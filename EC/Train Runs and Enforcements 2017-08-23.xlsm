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Trips'!$A$2:$J$33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0" i="4" l="1"/>
  <c r="G251" i="4"/>
  <c r="G252" i="4"/>
  <c r="G253" i="4"/>
  <c r="L154" i="1" s="1"/>
  <c r="G254" i="4"/>
  <c r="G255" i="4"/>
  <c r="G256" i="4"/>
  <c r="G257" i="4"/>
  <c r="G258" i="4"/>
  <c r="G259" i="4"/>
  <c r="G260" i="4"/>
  <c r="X138" i="1"/>
  <c r="X139" i="1"/>
  <c r="X140" i="1"/>
  <c r="X141" i="1"/>
  <c r="X14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X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P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T32" i="1"/>
  <c r="V32" i="1"/>
  <c r="X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AA34" i="1" s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AA46" i="1" s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P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26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R15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S21" i="3" s="1"/>
  <c r="Y86" i="1"/>
  <c r="Z86" i="1"/>
  <c r="AA86" i="1" s="1"/>
  <c r="AB86" i="1"/>
  <c r="AC86" i="1"/>
  <c r="AD86" i="1"/>
  <c r="AE86" i="1"/>
  <c r="R21" i="3" s="1"/>
  <c r="AF86" i="1"/>
  <c r="AH86" i="1"/>
  <c r="AM86" i="1"/>
  <c r="AN86" i="1"/>
  <c r="K87" i="1"/>
  <c r="L87" i="1"/>
  <c r="M87" i="1"/>
  <c r="N87" i="1" s="1"/>
  <c r="V87" i="1"/>
  <c r="S31" i="3" s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P92" i="1" s="1"/>
  <c r="V92" i="1"/>
  <c r="S20" i="3" s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96" i="1"/>
  <c r="AM96" i="1"/>
  <c r="AN96" i="1"/>
  <c r="K97" i="1"/>
  <c r="L97" i="1"/>
  <c r="M97" i="1"/>
  <c r="N97" i="1" s="1"/>
  <c r="V97" i="1"/>
  <c r="S17" i="3" s="1"/>
  <c r="Y97" i="1"/>
  <c r="Z97" i="1"/>
  <c r="AB97" i="1"/>
  <c r="AC97" i="1"/>
  <c r="AD97" i="1"/>
  <c r="T97" i="1" s="1"/>
  <c r="AE97" i="1"/>
  <c r="R10" i="3" s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R12" i="3" s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19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S7" i="3" s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T113" i="1"/>
  <c r="V113" i="1"/>
  <c r="X113" i="1"/>
  <c r="Y113" i="1"/>
  <c r="Z113" i="1"/>
  <c r="AA113" i="1" s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T114" i="1"/>
  <c r="V114" i="1"/>
  <c r="X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T124" i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T125" i="1"/>
  <c r="V125" i="1"/>
  <c r="Y125" i="1"/>
  <c r="Z125" i="1"/>
  <c r="AB125" i="1"/>
  <c r="AC125" i="1"/>
  <c r="AD125" i="1"/>
  <c r="X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P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S32" i="3" s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S11" i="3" s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AA142" i="1" s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AA146" i="1" s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X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T150" i="1"/>
  <c r="V150" i="1"/>
  <c r="X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X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K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AA158" i="1" s="1"/>
  <c r="Z158" i="1"/>
  <c r="AB158" i="1"/>
  <c r="AC158" i="1"/>
  <c r="AD158" i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6" i="1"/>
  <c r="L226" i="1"/>
  <c r="M226" i="1"/>
  <c r="N226" i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T230" i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X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3" i="1"/>
  <c r="AM193" i="1"/>
  <c r="AN193" i="1"/>
  <c r="K247" i="1"/>
  <c r="L247" i="1"/>
  <c r="M247" i="1"/>
  <c r="N247" i="1" s="1"/>
  <c r="V247" i="1"/>
  <c r="S48" i="3" s="1"/>
  <c r="Y247" i="1"/>
  <c r="Z247" i="1"/>
  <c r="AB247" i="1"/>
  <c r="AC247" i="1"/>
  <c r="AD247" i="1"/>
  <c r="T247" i="1" s="1"/>
  <c r="AE247" i="1"/>
  <c r="R42" i="3" s="1"/>
  <c r="AF247" i="1"/>
  <c r="AH194" i="1"/>
  <c r="AM194" i="1"/>
  <c r="AN194" i="1"/>
  <c r="K248" i="1"/>
  <c r="L248" i="1"/>
  <c r="M248" i="1"/>
  <c r="N248" i="1" s="1"/>
  <c r="V248" i="1"/>
  <c r="Y248" i="1"/>
  <c r="Z248" i="1"/>
  <c r="AA248" i="1" s="1"/>
  <c r="AB248" i="1"/>
  <c r="AC248" i="1"/>
  <c r="AD248" i="1"/>
  <c r="T248" i="1" s="1"/>
  <c r="AE248" i="1"/>
  <c r="AF248" i="1"/>
  <c r="AH195" i="1"/>
  <c r="AM195" i="1"/>
  <c r="AN195" i="1"/>
  <c r="K249" i="1"/>
  <c r="L249" i="1"/>
  <c r="M249" i="1"/>
  <c r="N249" i="1"/>
  <c r="V249" i="1"/>
  <c r="Y249" i="1"/>
  <c r="Z249" i="1"/>
  <c r="AB249" i="1"/>
  <c r="AC249" i="1"/>
  <c r="AD249" i="1"/>
  <c r="T249" i="1" s="1"/>
  <c r="AE249" i="1"/>
  <c r="AF249" i="1"/>
  <c r="AH196" i="1"/>
  <c r="AM196" i="1"/>
  <c r="AN196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197" i="1"/>
  <c r="AM197" i="1"/>
  <c r="AN197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198" i="1"/>
  <c r="AM198" i="1"/>
  <c r="AN198" i="1"/>
  <c r="K252" i="1"/>
  <c r="L252" i="1"/>
  <c r="M252" i="1"/>
  <c r="N252" i="1" s="1"/>
  <c r="V252" i="1"/>
  <c r="S45" i="3" s="1"/>
  <c r="Y252" i="1"/>
  <c r="Z252" i="1"/>
  <c r="AB252" i="1"/>
  <c r="AC252" i="1"/>
  <c r="AD252" i="1"/>
  <c r="T252" i="1" s="1"/>
  <c r="AE252" i="1"/>
  <c r="AF252" i="1"/>
  <c r="AH199" i="1"/>
  <c r="AM199" i="1"/>
  <c r="AN199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AF253" i="1"/>
  <c r="AH200" i="1"/>
  <c r="AM200" i="1"/>
  <c r="AN200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R46" i="3" s="1"/>
  <c r="AF254" i="1"/>
  <c r="AH201" i="1"/>
  <c r="AM201" i="1"/>
  <c r="AN201" i="1"/>
  <c r="K255" i="1"/>
  <c r="L255" i="1"/>
  <c r="M255" i="1"/>
  <c r="N255" i="1" s="1"/>
  <c r="T255" i="1"/>
  <c r="V255" i="1"/>
  <c r="X255" i="1"/>
  <c r="Y255" i="1"/>
  <c r="Z255" i="1"/>
  <c r="AB255" i="1"/>
  <c r="AC255" i="1"/>
  <c r="AD255" i="1"/>
  <c r="AE255" i="1"/>
  <c r="AF255" i="1"/>
  <c r="AH202" i="1"/>
  <c r="AM202" i="1"/>
  <c r="AN202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203" i="1"/>
  <c r="AM203" i="1"/>
  <c r="AN203" i="1"/>
  <c r="K160" i="1"/>
  <c r="L160" i="1"/>
  <c r="M160" i="1"/>
  <c r="N160" i="1"/>
  <c r="V160" i="1"/>
  <c r="Y160" i="1"/>
  <c r="Z160" i="1"/>
  <c r="AB160" i="1"/>
  <c r="AC160" i="1"/>
  <c r="AD160" i="1"/>
  <c r="T160" i="1" s="1"/>
  <c r="AE160" i="1"/>
  <c r="AF160" i="1"/>
  <c r="AH204" i="1"/>
  <c r="AM204" i="1"/>
  <c r="AN20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5" i="1"/>
  <c r="AM205" i="1"/>
  <c r="AN20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6" i="1"/>
  <c r="AM206" i="1"/>
  <c r="AN20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7" i="1"/>
  <c r="AM207" i="1"/>
  <c r="AN20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8" i="1"/>
  <c r="AM208" i="1"/>
  <c r="AN208" i="1"/>
  <c r="K165" i="1"/>
  <c r="L165" i="1"/>
  <c r="M165" i="1"/>
  <c r="N165" i="1" s="1"/>
  <c r="T165" i="1"/>
  <c r="V165" i="1"/>
  <c r="Y165" i="1"/>
  <c r="Z165" i="1"/>
  <c r="AB165" i="1"/>
  <c r="AC165" i="1"/>
  <c r="AD165" i="1"/>
  <c r="AE165" i="1"/>
  <c r="AF165" i="1"/>
  <c r="AH209" i="1"/>
  <c r="AM209" i="1"/>
  <c r="AN209" i="1"/>
  <c r="K166" i="1"/>
  <c r="L166" i="1"/>
  <c r="M166" i="1"/>
  <c r="N166" i="1" s="1"/>
  <c r="T166" i="1"/>
  <c r="V166" i="1"/>
  <c r="X166" i="1"/>
  <c r="Y166" i="1"/>
  <c r="Z166" i="1"/>
  <c r="AB166" i="1"/>
  <c r="AC166" i="1"/>
  <c r="AD166" i="1"/>
  <c r="AE166" i="1"/>
  <c r="AF166" i="1"/>
  <c r="AH210" i="1"/>
  <c r="AM210" i="1"/>
  <c r="AN210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211" i="1"/>
  <c r="AM211" i="1"/>
  <c r="AN211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212" i="1"/>
  <c r="AM212" i="1"/>
  <c r="AN212" i="1"/>
  <c r="K169" i="1"/>
  <c r="L169" i="1"/>
  <c r="M169" i="1"/>
  <c r="N169" i="1" s="1"/>
  <c r="V169" i="1"/>
  <c r="S34" i="3" s="1"/>
  <c r="Y169" i="1"/>
  <c r="Z169" i="1"/>
  <c r="AB169" i="1"/>
  <c r="AC169" i="1"/>
  <c r="AD169" i="1"/>
  <c r="T169" i="1" s="1"/>
  <c r="AE169" i="1"/>
  <c r="AF169" i="1"/>
  <c r="AH213" i="1"/>
  <c r="AM213" i="1"/>
  <c r="AN213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14" i="1"/>
  <c r="AM214" i="1"/>
  <c r="AN21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5" i="1"/>
  <c r="AM215" i="1"/>
  <c r="AN21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6" i="1"/>
  <c r="AM216" i="1"/>
  <c r="AN216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217" i="1"/>
  <c r="AM217" i="1"/>
  <c r="AN217" i="1"/>
  <c r="K174" i="1"/>
  <c r="L174" i="1"/>
  <c r="M174" i="1"/>
  <c r="N174" i="1" s="1"/>
  <c r="T174" i="1"/>
  <c r="V174" i="1"/>
  <c r="Y174" i="1"/>
  <c r="Z174" i="1"/>
  <c r="AB174" i="1"/>
  <c r="AC174" i="1"/>
  <c r="AD174" i="1"/>
  <c r="AE174" i="1"/>
  <c r="AF174" i="1"/>
  <c r="AH218" i="1"/>
  <c r="AM218" i="1"/>
  <c r="AN21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9" i="1"/>
  <c r="AM219" i="1"/>
  <c r="AN21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0" i="1"/>
  <c r="AM220" i="1"/>
  <c r="AN22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21" i="1"/>
  <c r="AM221" i="1"/>
  <c r="AN22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2" i="1"/>
  <c r="AM222" i="1"/>
  <c r="AN22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3" i="1"/>
  <c r="AM223" i="1"/>
  <c r="AN223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24" i="1"/>
  <c r="AM224" i="1"/>
  <c r="AN224" i="1"/>
  <c r="K181" i="1"/>
  <c r="L181" i="1"/>
  <c r="M181" i="1"/>
  <c r="N181" i="1" s="1"/>
  <c r="T181" i="1"/>
  <c r="V181" i="1"/>
  <c r="Y181" i="1"/>
  <c r="AA181" i="1" s="1"/>
  <c r="Z181" i="1"/>
  <c r="AB181" i="1"/>
  <c r="AC181" i="1"/>
  <c r="AD181" i="1"/>
  <c r="AE181" i="1"/>
  <c r="AF181" i="1"/>
  <c r="AH225" i="1"/>
  <c r="AM225" i="1"/>
  <c r="AN225" i="1"/>
  <c r="K182" i="1"/>
  <c r="L182" i="1"/>
  <c r="M182" i="1"/>
  <c r="N182" i="1" s="1"/>
  <c r="V182" i="1"/>
  <c r="S37" i="3" s="1"/>
  <c r="Y182" i="1"/>
  <c r="Z182" i="1"/>
  <c r="AB182" i="1"/>
  <c r="AC182" i="1"/>
  <c r="AD182" i="1"/>
  <c r="T182" i="1" s="1"/>
  <c r="AE182" i="1"/>
  <c r="R37" i="3" s="1"/>
  <c r="AF182" i="1"/>
  <c r="AH226" i="1"/>
  <c r="AM226" i="1"/>
  <c r="AN22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7" i="1"/>
  <c r="AM227" i="1"/>
  <c r="AN22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8" i="1"/>
  <c r="AM228" i="1"/>
  <c r="AN228" i="1"/>
  <c r="K185" i="1"/>
  <c r="L185" i="1"/>
  <c r="M185" i="1"/>
  <c r="N185" i="1" s="1"/>
  <c r="V185" i="1"/>
  <c r="S33" i="3" s="1"/>
  <c r="Y185" i="1"/>
  <c r="Z185" i="1"/>
  <c r="AB185" i="1"/>
  <c r="AC185" i="1"/>
  <c r="AD185" i="1"/>
  <c r="T185" i="1" s="1"/>
  <c r="AE185" i="1"/>
  <c r="R33" i="3" s="1"/>
  <c r="AF185" i="1"/>
  <c r="AH229" i="1"/>
  <c r="AM229" i="1"/>
  <c r="AN22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30" i="1"/>
  <c r="AM230" i="1"/>
  <c r="AN230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31" i="1"/>
  <c r="AM231" i="1"/>
  <c r="AN231" i="1"/>
  <c r="K188" i="1"/>
  <c r="L188" i="1"/>
  <c r="M188" i="1"/>
  <c r="N188" i="1"/>
  <c r="V188" i="1"/>
  <c r="Y188" i="1"/>
  <c r="Z188" i="1"/>
  <c r="AB188" i="1"/>
  <c r="AC188" i="1"/>
  <c r="AD188" i="1"/>
  <c r="T188" i="1" s="1"/>
  <c r="AE188" i="1"/>
  <c r="AF188" i="1"/>
  <c r="AH232" i="1"/>
  <c r="AM232" i="1"/>
  <c r="AN23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3" i="1"/>
  <c r="AM233" i="1"/>
  <c r="AN23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34" i="1"/>
  <c r="AM234" i="1"/>
  <c r="AN23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5" i="1"/>
  <c r="AM235" i="1"/>
  <c r="AN23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6" i="1"/>
  <c r="AM236" i="1"/>
  <c r="AN23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37" i="1"/>
  <c r="AM237" i="1"/>
  <c r="AN237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8" i="1"/>
  <c r="AM238" i="1"/>
  <c r="AN238" i="1"/>
  <c r="K195" i="1"/>
  <c r="L195" i="1"/>
  <c r="M195" i="1"/>
  <c r="N195" i="1" s="1"/>
  <c r="V195" i="1"/>
  <c r="S35" i="3" s="1"/>
  <c r="Y195" i="1"/>
  <c r="Z195" i="1"/>
  <c r="AB195" i="1"/>
  <c r="AC195" i="1"/>
  <c r="AD195" i="1"/>
  <c r="AE195" i="1"/>
  <c r="R35" i="3" s="1"/>
  <c r="AF195" i="1"/>
  <c r="AH239" i="1"/>
  <c r="AM239" i="1"/>
  <c r="AN239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40" i="1"/>
  <c r="AM240" i="1"/>
  <c r="AN24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41" i="1"/>
  <c r="AM241" i="1"/>
  <c r="AN24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R38" i="3" s="1"/>
  <c r="AF198" i="1"/>
  <c r="AH242" i="1"/>
  <c r="AM242" i="1"/>
  <c r="AN24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3" i="1"/>
  <c r="AM243" i="1"/>
  <c r="AN243" i="1"/>
  <c r="K200" i="1"/>
  <c r="L200" i="1"/>
  <c r="M200" i="1"/>
  <c r="N200" i="1" s="1"/>
  <c r="V200" i="1"/>
  <c r="Y200" i="1"/>
  <c r="AA200" i="1" s="1"/>
  <c r="Z200" i="1"/>
  <c r="AB200" i="1"/>
  <c r="AC200" i="1"/>
  <c r="AD200" i="1"/>
  <c r="T200" i="1" s="1"/>
  <c r="AE200" i="1"/>
  <c r="AF200" i="1"/>
  <c r="AH244" i="1"/>
  <c r="AM244" i="1"/>
  <c r="AN244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5" i="1"/>
  <c r="AM245" i="1"/>
  <c r="AN24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6" i="1"/>
  <c r="AM246" i="1"/>
  <c r="AN246" i="1"/>
  <c r="K203" i="1"/>
  <c r="L203" i="1"/>
  <c r="M203" i="1"/>
  <c r="N203" i="1" s="1"/>
  <c r="V203" i="1"/>
  <c r="S36" i="3" s="1"/>
  <c r="Y203" i="1"/>
  <c r="Z203" i="1"/>
  <c r="AB203" i="1"/>
  <c r="AC203" i="1"/>
  <c r="AD203" i="1"/>
  <c r="T203" i="1" s="1"/>
  <c r="AE203" i="1"/>
  <c r="AF203" i="1"/>
  <c r="AH247" i="1"/>
  <c r="AM247" i="1"/>
  <c r="AN247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R40" i="3" s="1"/>
  <c r="AF204" i="1"/>
  <c r="AH248" i="1"/>
  <c r="AM248" i="1"/>
  <c r="AN24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9" i="1"/>
  <c r="AM249" i="1"/>
  <c r="AN24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50" i="1"/>
  <c r="AM250" i="1"/>
  <c r="AN25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1" i="1"/>
  <c r="AM251" i="1"/>
  <c r="AN25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52" i="1"/>
  <c r="AM252" i="1"/>
  <c r="AN25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53" i="1"/>
  <c r="AM253" i="1"/>
  <c r="AN25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54" i="1"/>
  <c r="AM254" i="1"/>
  <c r="AN254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55" i="1"/>
  <c r="AM255" i="1"/>
  <c r="AN255" i="1"/>
  <c r="M23" i="3"/>
  <c r="R23" i="3"/>
  <c r="S23" i="3"/>
  <c r="U23" i="3"/>
  <c r="V23" i="3"/>
  <c r="X23" i="3"/>
  <c r="M29" i="3"/>
  <c r="R29" i="3"/>
  <c r="S29" i="3"/>
  <c r="U29" i="3"/>
  <c r="AC29" i="3" s="1"/>
  <c r="V29" i="3"/>
  <c r="X29" i="3"/>
  <c r="M34" i="3"/>
  <c r="R34" i="3"/>
  <c r="U34" i="3"/>
  <c r="AC34" i="3" s="1"/>
  <c r="V34" i="3"/>
  <c r="X34" i="3"/>
  <c r="M47" i="3"/>
  <c r="S47" i="3"/>
  <c r="U47" i="3"/>
  <c r="AC47" i="3" s="1"/>
  <c r="V47" i="3"/>
  <c r="X47" i="3"/>
  <c r="M14" i="3"/>
  <c r="R14" i="3"/>
  <c r="S14" i="3"/>
  <c r="U14" i="3"/>
  <c r="T14" i="3" s="1"/>
  <c r="V14" i="3"/>
  <c r="X14" i="3"/>
  <c r="M13" i="3"/>
  <c r="R13" i="3"/>
  <c r="S13" i="3"/>
  <c r="U13" i="3"/>
  <c r="V13" i="3"/>
  <c r="X13" i="3"/>
  <c r="M24" i="3"/>
  <c r="R24" i="3"/>
  <c r="S24" i="3"/>
  <c r="U24" i="3"/>
  <c r="AC24" i="3" s="1"/>
  <c r="V24" i="3"/>
  <c r="X24" i="3"/>
  <c r="M8" i="3"/>
  <c r="R8" i="3"/>
  <c r="S8" i="3"/>
  <c r="U8" i="3"/>
  <c r="AC8" i="3" s="1"/>
  <c r="V8" i="3"/>
  <c r="X8" i="3"/>
  <c r="M30" i="3"/>
  <c r="R30" i="3"/>
  <c r="S30" i="3"/>
  <c r="U30" i="3"/>
  <c r="T30" i="3" s="1"/>
  <c r="V30" i="3"/>
  <c r="X30" i="3"/>
  <c r="M42" i="3"/>
  <c r="S42" i="3"/>
  <c r="U42" i="3"/>
  <c r="V42" i="3"/>
  <c r="X42" i="3"/>
  <c r="M48" i="3"/>
  <c r="U48" i="3"/>
  <c r="AC48" i="3" s="1"/>
  <c r="V48" i="3"/>
  <c r="X48" i="3"/>
  <c r="M43" i="3"/>
  <c r="S43" i="3"/>
  <c r="U43" i="3"/>
  <c r="AC43" i="3" s="1"/>
  <c r="V43" i="3"/>
  <c r="X43" i="3"/>
  <c r="M49" i="3"/>
  <c r="S49" i="3"/>
  <c r="U49" i="3"/>
  <c r="T49" i="3" s="1"/>
  <c r="V49" i="3"/>
  <c r="X49" i="3"/>
  <c r="AC49" i="3"/>
  <c r="M31" i="3"/>
  <c r="R31" i="3"/>
  <c r="U31" i="3"/>
  <c r="AC31" i="3" s="1"/>
  <c r="V31" i="3"/>
  <c r="X31" i="3"/>
  <c r="M15" i="3"/>
  <c r="S15" i="3"/>
  <c r="U15" i="3"/>
  <c r="AC15" i="3" s="1"/>
  <c r="V15" i="3"/>
  <c r="X15" i="3"/>
  <c r="M41" i="3"/>
  <c r="S41" i="3"/>
  <c r="U41" i="3"/>
  <c r="V41" i="3"/>
  <c r="X41" i="3"/>
  <c r="M44" i="3"/>
  <c r="U44" i="3"/>
  <c r="T44" i="3" s="1"/>
  <c r="V44" i="3"/>
  <c r="X44" i="3"/>
  <c r="M26" i="3"/>
  <c r="S26" i="3"/>
  <c r="U26" i="3"/>
  <c r="V26" i="3"/>
  <c r="X26" i="3"/>
  <c r="AC26" i="3"/>
  <c r="M50" i="3"/>
  <c r="S50" i="3"/>
  <c r="U50" i="3"/>
  <c r="AC50" i="3" s="1"/>
  <c r="V50" i="3"/>
  <c r="X50" i="3"/>
  <c r="M10" i="3"/>
  <c r="S10" i="3"/>
  <c r="U10" i="3"/>
  <c r="V10" i="3"/>
  <c r="X10" i="3"/>
  <c r="M51" i="3"/>
  <c r="S51" i="3"/>
  <c r="U51" i="3"/>
  <c r="T51" i="3" s="1"/>
  <c r="V51" i="3"/>
  <c r="X51" i="3"/>
  <c r="M9" i="3"/>
  <c r="S9" i="3"/>
  <c r="U9" i="3"/>
  <c r="V9" i="3"/>
  <c r="X9" i="3"/>
  <c r="M52" i="3"/>
  <c r="S52" i="3"/>
  <c r="U52" i="3"/>
  <c r="AC52" i="3" s="1"/>
  <c r="V52" i="3"/>
  <c r="X52" i="3"/>
  <c r="M21" i="3"/>
  <c r="T21" i="3"/>
  <c r="U21" i="3"/>
  <c r="AC21" i="3" s="1"/>
  <c r="V21" i="3"/>
  <c r="X21" i="3"/>
  <c r="M27" i="3"/>
  <c r="S27" i="3"/>
  <c r="U27" i="3"/>
  <c r="T27" i="3" s="1"/>
  <c r="V27" i="3"/>
  <c r="X27" i="3"/>
  <c r="M37" i="3"/>
  <c r="U37" i="3"/>
  <c r="V37" i="3"/>
  <c r="X37" i="3"/>
  <c r="AC37" i="3"/>
  <c r="M17" i="3"/>
  <c r="R17" i="3"/>
  <c r="U17" i="3"/>
  <c r="AC17" i="3" s="1"/>
  <c r="V17" i="3"/>
  <c r="X17" i="3"/>
  <c r="M20" i="3"/>
  <c r="R20" i="3"/>
  <c r="U20" i="3"/>
  <c r="AC20" i="3" s="1"/>
  <c r="V20" i="3"/>
  <c r="X20" i="3"/>
  <c r="M19" i="3"/>
  <c r="S19" i="3"/>
  <c r="U19" i="3"/>
  <c r="T19" i="3" s="1"/>
  <c r="V19" i="3"/>
  <c r="X19" i="3"/>
  <c r="M12" i="3"/>
  <c r="S12" i="3"/>
  <c r="U12" i="3"/>
  <c r="AD37" i="3" s="1"/>
  <c r="V12" i="3"/>
  <c r="X12" i="3"/>
  <c r="M33" i="3"/>
  <c r="U33" i="3"/>
  <c r="AC33" i="3" s="1"/>
  <c r="V33" i="3"/>
  <c r="X33" i="3"/>
  <c r="M7" i="3"/>
  <c r="R7" i="3"/>
  <c r="U7" i="3"/>
  <c r="AC7" i="3" s="1"/>
  <c r="V7" i="3"/>
  <c r="X7" i="3"/>
  <c r="M45" i="3"/>
  <c r="R45" i="3"/>
  <c r="U45" i="3"/>
  <c r="T45" i="3" s="1"/>
  <c r="V45" i="3"/>
  <c r="X45" i="3"/>
  <c r="M46" i="3"/>
  <c r="S46" i="3"/>
  <c r="U46" i="3"/>
  <c r="V46" i="3"/>
  <c r="X46" i="3"/>
  <c r="M18" i="3"/>
  <c r="R18" i="3"/>
  <c r="S18" i="3"/>
  <c r="U18" i="3"/>
  <c r="AC18" i="3" s="1"/>
  <c r="V18" i="3"/>
  <c r="X18" i="3"/>
  <c r="M16" i="3"/>
  <c r="R16" i="3"/>
  <c r="S16" i="3"/>
  <c r="U16" i="3"/>
  <c r="AC16" i="3" s="1"/>
  <c r="V16" i="3"/>
  <c r="X16" i="3"/>
  <c r="AD43" i="3"/>
  <c r="M22" i="3"/>
  <c r="R22" i="3"/>
  <c r="S22" i="3"/>
  <c r="U22" i="3"/>
  <c r="T22" i="3" s="1"/>
  <c r="V22" i="3"/>
  <c r="X22" i="3"/>
  <c r="M35" i="3"/>
  <c r="U35" i="3"/>
  <c r="V35" i="3"/>
  <c r="X35" i="3"/>
  <c r="M38" i="3"/>
  <c r="S38" i="3"/>
  <c r="U38" i="3"/>
  <c r="AC38" i="3" s="1"/>
  <c r="V38" i="3"/>
  <c r="X38" i="3"/>
  <c r="M39" i="3"/>
  <c r="R39" i="3"/>
  <c r="S39" i="3"/>
  <c r="U39" i="3"/>
  <c r="AC39" i="3" s="1"/>
  <c r="V39" i="3"/>
  <c r="X39" i="3"/>
  <c r="M25" i="3"/>
  <c r="R25" i="3"/>
  <c r="S25" i="3"/>
  <c r="U25" i="3"/>
  <c r="T25" i="3" s="1"/>
  <c r="V25" i="3"/>
  <c r="X25" i="3"/>
  <c r="AD48" i="3"/>
  <c r="M32" i="3"/>
  <c r="R32" i="3"/>
  <c r="U32" i="3"/>
  <c r="AD49" i="3" s="1"/>
  <c r="V32" i="3"/>
  <c r="X32" i="3"/>
  <c r="M11" i="3"/>
  <c r="R11" i="3"/>
  <c r="U11" i="3"/>
  <c r="AC11" i="3" s="1"/>
  <c r="V11" i="3"/>
  <c r="X11" i="3"/>
  <c r="M40" i="3"/>
  <c r="S40" i="3"/>
  <c r="U40" i="3"/>
  <c r="AC40" i="3" s="1"/>
  <c r="V40" i="3"/>
  <c r="X40" i="3"/>
  <c r="M36" i="3"/>
  <c r="R36" i="3"/>
  <c r="U36" i="3"/>
  <c r="T36" i="3" s="1"/>
  <c r="V36" i="3"/>
  <c r="X36" i="3"/>
  <c r="AD52" i="3"/>
  <c r="AG43" i="1"/>
  <c r="AG19" i="1"/>
  <c r="AG34" i="1"/>
  <c r="AG50" i="1"/>
  <c r="AG26" i="1"/>
  <c r="AG41" i="1"/>
  <c r="AG21" i="1"/>
  <c r="AG36" i="1"/>
  <c r="AG53" i="1"/>
  <c r="AG69" i="1"/>
  <c r="AG85" i="1"/>
  <c r="AG64" i="1"/>
  <c r="AG80" i="1"/>
  <c r="AG63" i="1"/>
  <c r="AG79" i="1"/>
  <c r="AG58" i="1"/>
  <c r="AG74" i="1"/>
  <c r="AG91" i="1"/>
  <c r="AG107" i="1"/>
  <c r="AG123" i="1"/>
  <c r="AG98" i="1"/>
  <c r="AG114" i="1"/>
  <c r="AG93" i="1"/>
  <c r="AG109" i="1"/>
  <c r="AG125" i="1"/>
  <c r="AG100" i="1"/>
  <c r="AG116" i="1"/>
  <c r="AG134" i="1"/>
  <c r="AG148" i="1"/>
  <c r="AG211" i="1"/>
  <c r="AG139" i="1"/>
  <c r="AG155" i="1"/>
  <c r="AG128" i="1"/>
  <c r="AG142" i="1"/>
  <c r="AG158" i="1"/>
  <c r="AG153" i="1"/>
  <c r="AG216" i="1"/>
  <c r="AG238" i="1"/>
  <c r="AG254" i="1"/>
  <c r="AG173" i="1"/>
  <c r="AG189" i="1"/>
  <c r="AG229" i="1"/>
  <c r="AG245" i="1"/>
  <c r="AG164" i="1"/>
  <c r="AG180" i="1"/>
  <c r="AG214" i="1"/>
  <c r="AG236" i="1"/>
  <c r="AG252" i="1"/>
  <c r="AG171" i="1"/>
  <c r="AG187" i="1"/>
  <c r="AG231" i="1"/>
  <c r="AG247" i="1"/>
  <c r="AG166" i="1"/>
  <c r="AG182" i="1"/>
  <c r="AG191" i="1"/>
  <c r="AG220" i="1"/>
  <c r="AG223" i="1"/>
  <c r="AG222" i="1"/>
  <c r="AG221" i="1"/>
  <c r="AG86" i="1"/>
  <c r="AG120" i="1"/>
  <c r="AG165" i="1"/>
  <c r="AG176" i="1"/>
  <c r="AG186" i="1"/>
  <c r="AG20" i="1"/>
  <c r="AG39" i="1"/>
  <c r="AG23" i="1"/>
  <c r="AG42" i="1"/>
  <c r="AG22" i="1"/>
  <c r="AG45" i="1"/>
  <c r="AG28" i="1"/>
  <c r="AG48" i="1"/>
  <c r="AG73" i="1"/>
  <c r="AG56" i="1"/>
  <c r="AG76" i="1"/>
  <c r="AG67" i="1"/>
  <c r="AG87" i="1"/>
  <c r="AG70" i="1"/>
  <c r="AG95" i="1"/>
  <c r="AG115" i="1"/>
  <c r="AG94" i="1"/>
  <c r="AG118" i="1"/>
  <c r="AG101" i="1"/>
  <c r="AG121" i="1"/>
  <c r="AG104" i="1"/>
  <c r="AG124" i="1"/>
  <c r="AG144" i="1"/>
  <c r="AG129" i="1"/>
  <c r="AG147" i="1"/>
  <c r="AG126" i="1"/>
  <c r="AG146" i="1"/>
  <c r="AG131" i="1"/>
  <c r="AG149" i="1"/>
  <c r="AG226" i="1"/>
  <c r="AG246" i="1"/>
  <c r="AG169" i="1"/>
  <c r="AG193" i="1"/>
  <c r="AG237" i="1"/>
  <c r="AG160" i="1"/>
  <c r="AG184" i="1"/>
  <c r="AG228" i="1"/>
  <c r="AG248" i="1"/>
  <c r="AG175" i="1"/>
  <c r="AG217" i="1"/>
  <c r="AG243" i="1"/>
  <c r="AG170" i="1"/>
  <c r="AG190" i="1"/>
  <c r="AG202" i="1"/>
  <c r="AG196" i="1"/>
  <c r="AG199" i="1"/>
  <c r="AG24" i="1"/>
  <c r="AG47" i="1"/>
  <c r="AG27" i="1"/>
  <c r="AG46" i="1"/>
  <c r="AG29" i="1"/>
  <c r="AG49" i="1"/>
  <c r="AG32" i="1"/>
  <c r="AG57" i="1"/>
  <c r="AG77" i="1"/>
  <c r="AG60" i="1"/>
  <c r="AG84" i="1"/>
  <c r="AG71" i="1"/>
  <c r="AG54" i="1"/>
  <c r="AG78" i="1"/>
  <c r="AG119" i="1"/>
  <c r="AG102" i="1"/>
  <c r="AG122" i="1"/>
  <c r="AG105" i="1"/>
  <c r="AG88" i="1"/>
  <c r="AG108" i="1"/>
  <c r="AG130" i="1"/>
  <c r="AG152" i="1"/>
  <c r="AG151" i="1"/>
  <c r="AG132" i="1"/>
  <c r="AG150" i="1"/>
  <c r="AG135" i="1"/>
  <c r="AG157" i="1"/>
  <c r="AG250" i="1"/>
  <c r="AG177" i="1"/>
  <c r="AG215" i="1"/>
  <c r="AG168" i="1"/>
  <c r="AG188" i="1"/>
  <c r="AG159" i="1"/>
  <c r="AG179" i="1"/>
  <c r="AG251" i="1"/>
  <c r="AG174" i="1"/>
  <c r="AG197" i="1"/>
  <c r="AG200" i="1"/>
  <c r="AG110" i="1"/>
  <c r="AG140" i="1"/>
  <c r="AG210" i="1"/>
  <c r="AG145" i="1"/>
  <c r="AG185" i="1"/>
  <c r="AG218" i="1"/>
  <c r="AG167" i="1"/>
  <c r="AG162" i="1"/>
  <c r="AG205" i="1"/>
  <c r="AG99" i="1"/>
  <c r="AG133" i="1"/>
  <c r="AG230" i="1"/>
  <c r="AG241" i="1"/>
  <c r="AG232" i="1"/>
  <c r="AG227" i="1"/>
  <c r="AG194" i="1"/>
  <c r="AG203" i="1"/>
  <c r="AG117" i="1"/>
  <c r="AG143" i="1"/>
  <c r="AG212" i="1"/>
  <c r="AG233" i="1"/>
  <c r="AG244" i="1"/>
  <c r="AG213" i="1"/>
  <c r="AG198" i="1"/>
  <c r="AG31" i="1"/>
  <c r="AG51" i="1"/>
  <c r="AG30" i="1"/>
  <c r="AG14" i="1"/>
  <c r="AG33" i="1"/>
  <c r="AG17" i="1"/>
  <c r="AG40" i="1"/>
  <c r="AG61" i="1"/>
  <c r="AG81" i="1"/>
  <c r="AG68" i="1"/>
  <c r="AG55" i="1"/>
  <c r="AG75" i="1"/>
  <c r="AG62" i="1"/>
  <c r="AG82" i="1"/>
  <c r="AG103" i="1"/>
  <c r="AG127" i="1"/>
  <c r="AG106" i="1"/>
  <c r="AG89" i="1"/>
  <c r="AG113" i="1"/>
  <c r="AG92" i="1"/>
  <c r="AG112" i="1"/>
  <c r="AG138" i="1"/>
  <c r="AG156" i="1"/>
  <c r="AG137" i="1"/>
  <c r="AG206" i="1"/>
  <c r="AG136" i="1"/>
  <c r="AG154" i="1"/>
  <c r="AG141" i="1"/>
  <c r="AG208" i="1"/>
  <c r="AG234" i="1"/>
  <c r="AG161" i="1"/>
  <c r="AG181" i="1"/>
  <c r="AG219" i="1"/>
  <c r="AG249" i="1"/>
  <c r="AG172" i="1"/>
  <c r="AG192" i="1"/>
  <c r="AG240" i="1"/>
  <c r="AG163" i="1"/>
  <c r="AG183" i="1"/>
  <c r="AG235" i="1"/>
  <c r="AG255" i="1"/>
  <c r="AG178" i="1"/>
  <c r="AG195" i="1"/>
  <c r="AG201" i="1"/>
  <c r="AG204" i="1"/>
  <c r="AG225" i="1"/>
  <c r="AG16" i="1"/>
  <c r="AG35" i="1"/>
  <c r="AG15" i="1"/>
  <c r="AG38" i="1"/>
  <c r="AG18" i="1"/>
  <c r="AG37" i="1"/>
  <c r="AG25" i="1"/>
  <c r="AG44" i="1"/>
  <c r="AG65" i="1"/>
  <c r="AG52" i="1"/>
  <c r="AG72" i="1"/>
  <c r="AG59" i="1"/>
  <c r="AG83" i="1"/>
  <c r="AG66" i="1"/>
  <c r="AG111" i="1"/>
  <c r="AG90" i="1"/>
  <c r="AG97" i="1"/>
  <c r="AG96" i="1"/>
  <c r="AG207" i="1"/>
  <c r="AG209" i="1"/>
  <c r="AG242" i="1"/>
  <c r="AG253" i="1"/>
  <c r="AG239" i="1"/>
  <c r="AG224" i="1"/>
  <c r="W29" i="3"/>
  <c r="W26" i="3"/>
  <c r="W46" i="3"/>
  <c r="W39" i="3"/>
  <c r="W25" i="3"/>
  <c r="W15" i="3"/>
  <c r="W33" i="3"/>
  <c r="W21" i="3"/>
  <c r="W8" i="3"/>
  <c r="W20" i="3"/>
  <c r="W30" i="3"/>
  <c r="W36" i="3"/>
  <c r="W13" i="3"/>
  <c r="W9" i="3"/>
  <c r="W35" i="3"/>
  <c r="W40" i="3"/>
  <c r="W34" i="3"/>
  <c r="W50" i="3"/>
  <c r="W18" i="3"/>
  <c r="W16" i="3"/>
  <c r="W43" i="3"/>
  <c r="W27" i="3"/>
  <c r="W49" i="3"/>
  <c r="W19" i="3"/>
  <c r="W38" i="3"/>
  <c r="W41" i="3"/>
  <c r="W23" i="3"/>
  <c r="W31" i="3"/>
  <c r="W12" i="3"/>
  <c r="W7" i="3"/>
  <c r="W45" i="3"/>
  <c r="W48" i="3"/>
  <c r="W17" i="3"/>
  <c r="W11" i="3"/>
  <c r="W47" i="3"/>
  <c r="W10" i="3"/>
  <c r="W14" i="3"/>
  <c r="W22" i="3"/>
  <c r="W42" i="3"/>
  <c r="W37" i="3"/>
  <c r="W32" i="3"/>
  <c r="W24" i="3"/>
  <c r="W52" i="3"/>
  <c r="W51" i="3"/>
  <c r="W44" i="3"/>
  <c r="X118" i="1" l="1"/>
  <c r="X31" i="1"/>
  <c r="X27" i="1"/>
  <c r="AE47" i="3"/>
  <c r="R9" i="3"/>
  <c r="R41" i="3"/>
  <c r="R48" i="3"/>
  <c r="T47" i="3"/>
  <c r="AA183" i="1"/>
  <c r="X182" i="1"/>
  <c r="AA172" i="1"/>
  <c r="AA253" i="1"/>
  <c r="X235" i="1"/>
  <c r="AA233" i="1"/>
  <c r="AA230" i="1"/>
  <c r="AA211" i="1"/>
  <c r="AA207" i="1"/>
  <c r="T136" i="1"/>
  <c r="X128" i="1"/>
  <c r="T122" i="1"/>
  <c r="AA121" i="1"/>
  <c r="AA70" i="1"/>
  <c r="AA68" i="1"/>
  <c r="AA50" i="1"/>
  <c r="X30" i="1"/>
  <c r="X36" i="1"/>
  <c r="X29" i="1"/>
  <c r="AD47" i="3"/>
  <c r="AD44" i="3"/>
  <c r="R52" i="3"/>
  <c r="R51" i="3"/>
  <c r="AD24" i="3"/>
  <c r="R44" i="3"/>
  <c r="R49" i="3"/>
  <c r="R47" i="3"/>
  <c r="X223" i="1"/>
  <c r="AA223" i="1"/>
  <c r="AA193" i="1"/>
  <c r="AA212" i="1"/>
  <c r="AA208" i="1"/>
  <c r="AA125" i="1"/>
  <c r="X101" i="1"/>
  <c r="X93" i="1"/>
  <c r="X91" i="1"/>
  <c r="X87" i="1"/>
  <c r="X83" i="1"/>
  <c r="X71" i="1"/>
  <c r="X28" i="1"/>
  <c r="AD31" i="3"/>
  <c r="T231" i="1"/>
  <c r="X227" i="1"/>
  <c r="T23" i="3"/>
  <c r="AD23" i="3"/>
  <c r="AC23" i="3"/>
  <c r="AC41" i="3"/>
  <c r="T41" i="3"/>
  <c r="AD51" i="3"/>
  <c r="AD45" i="3"/>
  <c r="AD41" i="3"/>
  <c r="AC12" i="3"/>
  <c r="T20" i="3"/>
  <c r="AD29" i="3"/>
  <c r="AC9" i="3"/>
  <c r="AC10" i="3"/>
  <c r="T10" i="3"/>
  <c r="S44" i="3"/>
  <c r="AE23" i="3"/>
  <c r="AD13" i="3"/>
  <c r="AC13" i="3"/>
  <c r="AC14" i="3"/>
  <c r="X201" i="1"/>
  <c r="X186" i="1"/>
  <c r="T66" i="1"/>
  <c r="X67" i="1"/>
  <c r="AA220" i="1"/>
  <c r="AA177" i="1"/>
  <c r="X132" i="1"/>
  <c r="T132" i="1"/>
  <c r="U132" i="1" s="1"/>
  <c r="S132" i="1" s="1"/>
  <c r="X99" i="1"/>
  <c r="T99" i="1"/>
  <c r="AA170" i="1"/>
  <c r="AA162" i="1"/>
  <c r="X158" i="1"/>
  <c r="X117" i="1"/>
  <c r="X102" i="1"/>
  <c r="X63" i="1"/>
  <c r="X59" i="1"/>
  <c r="X55" i="1"/>
  <c r="X51" i="1"/>
  <c r="AE51" i="3"/>
  <c r="AE43" i="3"/>
  <c r="R27" i="3"/>
  <c r="AE31" i="3"/>
  <c r="R50" i="3"/>
  <c r="R43" i="3"/>
  <c r="AA222" i="1"/>
  <c r="AA190" i="1"/>
  <c r="AA178" i="1"/>
  <c r="X174" i="1"/>
  <c r="AA254" i="1"/>
  <c r="X247" i="1"/>
  <c r="AA242" i="1"/>
  <c r="AA238" i="1"/>
  <c r="AA216" i="1"/>
  <c r="AA213" i="1"/>
  <c r="AA209" i="1"/>
  <c r="AA206" i="1"/>
  <c r="AA145" i="1"/>
  <c r="AA120" i="1"/>
  <c r="X109" i="1"/>
  <c r="X106" i="1"/>
  <c r="X105" i="1"/>
  <c r="AA99" i="1"/>
  <c r="AA96" i="1"/>
  <c r="X95" i="1"/>
  <c r="X92" i="1"/>
  <c r="X86" i="1"/>
  <c r="AA82" i="1"/>
  <c r="AA80" i="1"/>
  <c r="X79" i="1"/>
  <c r="AA76" i="1"/>
  <c r="X75" i="1"/>
  <c r="AA62" i="1"/>
  <c r="AA58" i="1"/>
  <c r="AA54" i="1"/>
  <c r="AA49" i="1"/>
  <c r="AA47" i="1"/>
  <c r="X38" i="1"/>
  <c r="AA23" i="1"/>
  <c r="AA19" i="1"/>
  <c r="AA235" i="1"/>
  <c r="AA227" i="1"/>
  <c r="AA219" i="1"/>
  <c r="X208" i="1"/>
  <c r="AA144" i="1"/>
  <c r="X121" i="1"/>
  <c r="AA105" i="1"/>
  <c r="AA104" i="1"/>
  <c r="AA95" i="1"/>
  <c r="AA92" i="1"/>
  <c r="AA79" i="1"/>
  <c r="AA75" i="1"/>
  <c r="AA61" i="1"/>
  <c r="AA57" i="1"/>
  <c r="AA53" i="1"/>
  <c r="AA51" i="1"/>
  <c r="AA42" i="1"/>
  <c r="AA37" i="1"/>
  <c r="AA35" i="1"/>
  <c r="AA20" i="1"/>
  <c r="AA18" i="1"/>
  <c r="AA16" i="1"/>
  <c r="X205" i="1"/>
  <c r="X170" i="1"/>
  <c r="X243" i="1"/>
  <c r="T243" i="1"/>
  <c r="U243" i="1" s="1"/>
  <c r="S243" i="1" s="1"/>
  <c r="T223" i="1"/>
  <c r="X222" i="1"/>
  <c r="AA221" i="1"/>
  <c r="AA204" i="1"/>
  <c r="T201" i="1"/>
  <c r="X197" i="1"/>
  <c r="X196" i="1"/>
  <c r="X194" i="1"/>
  <c r="AA194" i="1"/>
  <c r="AA192" i="1"/>
  <c r="AA175" i="1"/>
  <c r="AA169" i="1"/>
  <c r="AA165" i="1"/>
  <c r="AA161" i="1"/>
  <c r="X251" i="1"/>
  <c r="AA251" i="1"/>
  <c r="AA246" i="1"/>
  <c r="X239" i="1"/>
  <c r="T239" i="1"/>
  <c r="U239" i="1" s="1"/>
  <c r="S239" i="1" s="1"/>
  <c r="AA250" i="1"/>
  <c r="AA224" i="1"/>
  <c r="AA205" i="1"/>
  <c r="AA202" i="1"/>
  <c r="X200" i="1"/>
  <c r="AA196" i="1"/>
  <c r="AA189" i="1"/>
  <c r="AA185" i="1"/>
  <c r="AA164" i="1"/>
  <c r="X47" i="1"/>
  <c r="X44" i="1"/>
  <c r="AA27" i="1"/>
  <c r="X24" i="1"/>
  <c r="AA228" i="1"/>
  <c r="AA226" i="1"/>
  <c r="AA157" i="1"/>
  <c r="AA156" i="1"/>
  <c r="AA152" i="1"/>
  <c r="AA148" i="1"/>
  <c r="AA139" i="1"/>
  <c r="AA135" i="1"/>
  <c r="AA131" i="1"/>
  <c r="T118" i="1"/>
  <c r="AA117" i="1"/>
  <c r="T117" i="1"/>
  <c r="AA116" i="1"/>
  <c r="X110" i="1"/>
  <c r="T102" i="1"/>
  <c r="AA101" i="1"/>
  <c r="T101" i="1"/>
  <c r="AA100" i="1"/>
  <c r="AA98" i="1"/>
  <c r="AA91" i="1"/>
  <c r="T91" i="1"/>
  <c r="AA90" i="1"/>
  <c r="X89" i="1"/>
  <c r="AA87" i="1"/>
  <c r="T87" i="1"/>
  <c r="AA83" i="1"/>
  <c r="T83" i="1"/>
  <c r="U83" i="1" s="1"/>
  <c r="S83" i="1" s="1"/>
  <c r="X78" i="1"/>
  <c r="AA74" i="1"/>
  <c r="AA69" i="1"/>
  <c r="AA66" i="1"/>
  <c r="AA63" i="1"/>
  <c r="AA59" i="1"/>
  <c r="AA55" i="1"/>
  <c r="AA45" i="1"/>
  <c r="AA43" i="1"/>
  <c r="X39" i="1"/>
  <c r="AA30" i="1"/>
  <c r="AA22" i="1"/>
  <c r="X21" i="1"/>
  <c r="X135" i="1"/>
  <c r="X131" i="1"/>
  <c r="T126" i="1"/>
  <c r="T109" i="1"/>
  <c r="X90" i="1"/>
  <c r="T71" i="1"/>
  <c r="AA244" i="1"/>
  <c r="AA240" i="1"/>
  <c r="AA236" i="1"/>
  <c r="AA234" i="1"/>
  <c r="AA214" i="1"/>
  <c r="X213" i="1"/>
  <c r="X209" i="1"/>
  <c r="T208" i="1"/>
  <c r="AA155" i="1"/>
  <c r="X154" i="1"/>
  <c r="AA149" i="1"/>
  <c r="X146" i="1"/>
  <c r="AA143" i="1"/>
  <c r="AA141" i="1"/>
  <c r="AA140" i="1"/>
  <c r="AA138" i="1"/>
  <c r="AA134" i="1"/>
  <c r="AA130" i="1"/>
  <c r="AA124" i="1"/>
  <c r="T121" i="1"/>
  <c r="AA109" i="1"/>
  <c r="AA108" i="1"/>
  <c r="X100" i="1"/>
  <c r="X94" i="1"/>
  <c r="AA94" i="1"/>
  <c r="AA89" i="1"/>
  <c r="AA88" i="1"/>
  <c r="AA84" i="1"/>
  <c r="AA71" i="1"/>
  <c r="X70" i="1"/>
  <c r="AA67" i="1"/>
  <c r="X66" i="1"/>
  <c r="X62" i="1"/>
  <c r="X60" i="1"/>
  <c r="X58" i="1"/>
  <c r="X56" i="1"/>
  <c r="X54" i="1"/>
  <c r="X52" i="1"/>
  <c r="AA52" i="1"/>
  <c r="X46" i="1"/>
  <c r="AA41" i="1"/>
  <c r="AA39" i="1"/>
  <c r="AA38" i="1"/>
  <c r="X35" i="1"/>
  <c r="AA26" i="1"/>
  <c r="AA24" i="1"/>
  <c r="AA21" i="1"/>
  <c r="T204" i="1"/>
  <c r="AA199" i="1"/>
  <c r="T235" i="1"/>
  <c r="U235" i="1" s="1"/>
  <c r="S235" i="1" s="1"/>
  <c r="AA232" i="1"/>
  <c r="T227" i="1"/>
  <c r="AA218" i="1"/>
  <c r="T158" i="1"/>
  <c r="AA203" i="1"/>
  <c r="T194" i="1"/>
  <c r="AA191" i="1"/>
  <c r="X190" i="1"/>
  <c r="AA186" i="1"/>
  <c r="AA184" i="1"/>
  <c r="AA179" i="1"/>
  <c r="X178" i="1"/>
  <c r="AA174" i="1"/>
  <c r="T170" i="1"/>
  <c r="AA168" i="1"/>
  <c r="AA163" i="1"/>
  <c r="X162" i="1"/>
  <c r="AA255" i="1"/>
  <c r="T251" i="1"/>
  <c r="U251" i="1" s="1"/>
  <c r="S251" i="1" s="1"/>
  <c r="AA249" i="1"/>
  <c r="AA243" i="1"/>
  <c r="AA241" i="1"/>
  <c r="AA210" i="1"/>
  <c r="AA197" i="1"/>
  <c r="AA201" i="1"/>
  <c r="AA198" i="1"/>
  <c r="AA188" i="1"/>
  <c r="AA182" i="1"/>
  <c r="AA176" i="1"/>
  <c r="AA171" i="1"/>
  <c r="AA166" i="1"/>
  <c r="AA160" i="1"/>
  <c r="AA252" i="1"/>
  <c r="AA247" i="1"/>
  <c r="AA245" i="1"/>
  <c r="AA239" i="1"/>
  <c r="AA237" i="1"/>
  <c r="AA231" i="1"/>
  <c r="AA229" i="1"/>
  <c r="X217" i="1"/>
  <c r="AA217" i="1"/>
  <c r="X212" i="1"/>
  <c r="T157" i="1"/>
  <c r="T141" i="1"/>
  <c r="U141" i="1" s="1"/>
  <c r="S141" i="1" s="1"/>
  <c r="T96" i="1"/>
  <c r="T90" i="1"/>
  <c r="T63" i="1"/>
  <c r="AA60" i="1"/>
  <c r="T60" i="1"/>
  <c r="T59" i="1"/>
  <c r="AA56" i="1"/>
  <c r="T56" i="1"/>
  <c r="T55" i="1"/>
  <c r="T52" i="1"/>
  <c r="X50" i="1"/>
  <c r="X48" i="1"/>
  <c r="AA44" i="1"/>
  <c r="T44" i="1"/>
  <c r="X42" i="1"/>
  <c r="X40" i="1"/>
  <c r="AA36" i="1"/>
  <c r="T36" i="1"/>
  <c r="X34" i="1"/>
  <c r="AA29" i="1"/>
  <c r="AA25" i="1"/>
  <c r="T25" i="1"/>
  <c r="X23" i="1"/>
  <c r="X20" i="1"/>
  <c r="X17" i="1"/>
  <c r="T15" i="1"/>
  <c r="AA215" i="1"/>
  <c r="AA154" i="1"/>
  <c r="X145" i="1"/>
  <c r="AA127" i="1"/>
  <c r="AA126" i="1"/>
  <c r="AA123" i="1"/>
  <c r="AA122" i="1"/>
  <c r="AA119" i="1"/>
  <c r="AA118" i="1"/>
  <c r="AA115" i="1"/>
  <c r="AA114" i="1"/>
  <c r="AA111" i="1"/>
  <c r="AA110" i="1"/>
  <c r="AA107" i="1"/>
  <c r="AA106" i="1"/>
  <c r="AA103" i="1"/>
  <c r="AA102" i="1"/>
  <c r="X98" i="1"/>
  <c r="X97" i="1"/>
  <c r="T94" i="1"/>
  <c r="AA93" i="1"/>
  <c r="T93" i="1"/>
  <c r="U93" i="1" s="1"/>
  <c r="S93" i="1" s="1"/>
  <c r="T86" i="1"/>
  <c r="AA85" i="1"/>
  <c r="X82" i="1"/>
  <c r="T78" i="1"/>
  <c r="U78" i="1" s="1"/>
  <c r="S78" i="1" s="1"/>
  <c r="AA77" i="1"/>
  <c r="X74" i="1"/>
  <c r="T70" i="1"/>
  <c r="T62" i="1"/>
  <c r="U62" i="1" s="1"/>
  <c r="S62" i="1" s="1"/>
  <c r="T58" i="1"/>
  <c r="T54" i="1"/>
  <c r="T51" i="1"/>
  <c r="T43" i="1"/>
  <c r="T35" i="1"/>
  <c r="T24" i="1"/>
  <c r="X19" i="1"/>
  <c r="X16" i="1"/>
  <c r="AA14" i="1"/>
  <c r="AA151" i="1"/>
  <c r="AA150" i="1"/>
  <c r="AA137" i="1"/>
  <c r="AA136" i="1"/>
  <c r="AA133" i="1"/>
  <c r="AA132" i="1"/>
  <c r="AA129" i="1"/>
  <c r="AA128" i="1"/>
  <c r="X124" i="1"/>
  <c r="X120" i="1"/>
  <c r="X116" i="1"/>
  <c r="X112" i="1"/>
  <c r="X108" i="1"/>
  <c r="X104" i="1"/>
  <c r="AA72" i="1"/>
  <c r="AA64" i="1"/>
  <c r="AA48" i="1"/>
  <c r="AA40" i="1"/>
  <c r="AA28" i="1"/>
  <c r="AA17" i="1"/>
  <c r="AA147" i="1"/>
  <c r="AA97" i="1"/>
  <c r="AA81" i="1"/>
  <c r="AA73" i="1"/>
  <c r="AA65" i="1"/>
  <c r="AI255" i="1"/>
  <c r="U225" i="1"/>
  <c r="S225" i="1" s="1"/>
  <c r="AI251" i="1"/>
  <c r="U221" i="1"/>
  <c r="S221" i="1" s="1"/>
  <c r="AI247" i="1"/>
  <c r="U203" i="1"/>
  <c r="S203" i="1" s="1"/>
  <c r="AI243" i="1"/>
  <c r="U199" i="1"/>
  <c r="S199" i="1" s="1"/>
  <c r="AI254" i="1"/>
  <c r="U224" i="1"/>
  <c r="S224" i="1" s="1"/>
  <c r="AI252" i="1"/>
  <c r="U222" i="1"/>
  <c r="S222" i="1" s="1"/>
  <c r="AI248" i="1"/>
  <c r="U204" i="1"/>
  <c r="S204" i="1" s="1"/>
  <c r="AI244" i="1"/>
  <c r="U200" i="1"/>
  <c r="S200" i="1" s="1"/>
  <c r="AI240" i="1"/>
  <c r="U196" i="1"/>
  <c r="S196" i="1" s="1"/>
  <c r="U223" i="1"/>
  <c r="S223" i="1" s="1"/>
  <c r="AI253" i="1"/>
  <c r="U205" i="1"/>
  <c r="S205" i="1" s="1"/>
  <c r="AI249" i="1"/>
  <c r="U201" i="1"/>
  <c r="S201" i="1" s="1"/>
  <c r="AI245" i="1"/>
  <c r="U197" i="1"/>
  <c r="S197" i="1" s="1"/>
  <c r="AI241" i="1"/>
  <c r="U220" i="1"/>
  <c r="S220" i="1" s="1"/>
  <c r="AI250" i="1"/>
  <c r="U202" i="1"/>
  <c r="S202" i="1" s="1"/>
  <c r="AI246" i="1"/>
  <c r="U198" i="1"/>
  <c r="S198" i="1" s="1"/>
  <c r="AI242" i="1"/>
  <c r="AI239" i="1"/>
  <c r="AI235" i="1"/>
  <c r="U191" i="1"/>
  <c r="S191" i="1" s="1"/>
  <c r="AI238" i="1"/>
  <c r="U194" i="1"/>
  <c r="S194" i="1" s="1"/>
  <c r="AI234" i="1"/>
  <c r="U190" i="1"/>
  <c r="S190" i="1" s="1"/>
  <c r="AI230" i="1"/>
  <c r="U186" i="1"/>
  <c r="S186" i="1" s="1"/>
  <c r="AI226" i="1"/>
  <c r="U182" i="1"/>
  <c r="S182" i="1" s="1"/>
  <c r="AI222" i="1"/>
  <c r="U178" i="1"/>
  <c r="S178" i="1" s="1"/>
  <c r="AI218" i="1"/>
  <c r="U174" i="1"/>
  <c r="S174" i="1" s="1"/>
  <c r="AI214" i="1"/>
  <c r="U170" i="1"/>
  <c r="S170" i="1" s="1"/>
  <c r="AI210" i="1"/>
  <c r="U166" i="1"/>
  <c r="S166" i="1" s="1"/>
  <c r="AI206" i="1"/>
  <c r="U162" i="1"/>
  <c r="S162" i="1" s="1"/>
  <c r="AI202" i="1"/>
  <c r="U255" i="1"/>
  <c r="S255" i="1" s="1"/>
  <c r="AI198" i="1"/>
  <c r="AI194" i="1"/>
  <c r="U247" i="1"/>
  <c r="S247" i="1" s="1"/>
  <c r="AI190" i="1"/>
  <c r="AI186" i="1"/>
  <c r="AI182" i="1"/>
  <c r="AI178" i="1"/>
  <c r="U231" i="1"/>
  <c r="S231" i="1" s="1"/>
  <c r="AI174" i="1"/>
  <c r="U227" i="1"/>
  <c r="S227" i="1" s="1"/>
  <c r="AI170" i="1"/>
  <c r="U217" i="1"/>
  <c r="S217" i="1" s="1"/>
  <c r="U213" i="1"/>
  <c r="S213" i="1" s="1"/>
  <c r="AI166" i="1"/>
  <c r="AI231" i="1"/>
  <c r="U187" i="1"/>
  <c r="S187" i="1" s="1"/>
  <c r="AI227" i="1"/>
  <c r="U183" i="1"/>
  <c r="S183" i="1" s="1"/>
  <c r="AI223" i="1"/>
  <c r="U179" i="1"/>
  <c r="S179" i="1" s="1"/>
  <c r="AI219" i="1"/>
  <c r="U175" i="1"/>
  <c r="S175" i="1" s="1"/>
  <c r="AI215" i="1"/>
  <c r="U171" i="1"/>
  <c r="S171" i="1" s="1"/>
  <c r="AI211" i="1"/>
  <c r="U167" i="1"/>
  <c r="S167" i="1" s="1"/>
  <c r="AI207" i="1"/>
  <c r="U163" i="1"/>
  <c r="S163" i="1" s="1"/>
  <c r="AI203" i="1"/>
  <c r="U159" i="1"/>
  <c r="S159" i="1" s="1"/>
  <c r="AI199" i="1"/>
  <c r="U252" i="1"/>
  <c r="S252" i="1" s="1"/>
  <c r="AI195" i="1"/>
  <c r="U248" i="1"/>
  <c r="S248" i="1" s="1"/>
  <c r="AI191" i="1"/>
  <c r="U244" i="1"/>
  <c r="S244" i="1" s="1"/>
  <c r="AI187" i="1"/>
  <c r="U240" i="1"/>
  <c r="S240" i="1" s="1"/>
  <c r="AI183" i="1"/>
  <c r="U236" i="1"/>
  <c r="S236" i="1" s="1"/>
  <c r="AI179" i="1"/>
  <c r="U232" i="1"/>
  <c r="S232" i="1" s="1"/>
  <c r="AI175" i="1"/>
  <c r="U228" i="1"/>
  <c r="S228" i="1" s="1"/>
  <c r="AI171" i="1"/>
  <c r="U218" i="1"/>
  <c r="S218" i="1" s="1"/>
  <c r="AI167" i="1"/>
  <c r="U214" i="1"/>
  <c r="S214" i="1" s="1"/>
  <c r="AI236" i="1"/>
  <c r="U188" i="1"/>
  <c r="S188" i="1" s="1"/>
  <c r="AI232" i="1"/>
  <c r="U184" i="1"/>
  <c r="S184" i="1" s="1"/>
  <c r="AI228" i="1"/>
  <c r="U180" i="1"/>
  <c r="S180" i="1" s="1"/>
  <c r="AI224" i="1"/>
  <c r="U176" i="1"/>
  <c r="S176" i="1" s="1"/>
  <c r="AI220" i="1"/>
  <c r="U172" i="1"/>
  <c r="S172" i="1" s="1"/>
  <c r="AI216" i="1"/>
  <c r="U168" i="1"/>
  <c r="S168" i="1" s="1"/>
  <c r="AI212" i="1"/>
  <c r="U164" i="1"/>
  <c r="S164" i="1" s="1"/>
  <c r="AI208" i="1"/>
  <c r="U160" i="1"/>
  <c r="S160" i="1" s="1"/>
  <c r="AI204" i="1"/>
  <c r="U253" i="1"/>
  <c r="S253" i="1"/>
  <c r="AI200" i="1"/>
  <c r="U249" i="1"/>
  <c r="S249" i="1" s="1"/>
  <c r="AI196" i="1"/>
  <c r="U245" i="1"/>
  <c r="S245" i="1" s="1"/>
  <c r="AI192" i="1"/>
  <c r="U241" i="1"/>
  <c r="S241" i="1" s="1"/>
  <c r="AI188" i="1"/>
  <c r="U237" i="1"/>
  <c r="S237" i="1" s="1"/>
  <c r="AI184" i="1"/>
  <c r="U233" i="1"/>
  <c r="S233" i="1" s="1"/>
  <c r="AI180" i="1"/>
  <c r="U229" i="1"/>
  <c r="S229" i="1" s="1"/>
  <c r="AI176" i="1"/>
  <c r="U219" i="1"/>
  <c r="S219" i="1" s="1"/>
  <c r="AI172" i="1"/>
  <c r="U215" i="1"/>
  <c r="S215" i="1" s="1"/>
  <c r="AI168" i="1"/>
  <c r="U193" i="1"/>
  <c r="S193" i="1" s="1"/>
  <c r="AI237" i="1"/>
  <c r="W193" i="1"/>
  <c r="U189" i="1"/>
  <c r="S189" i="1" s="1"/>
  <c r="AI233" i="1"/>
  <c r="U185" i="1"/>
  <c r="S185" i="1" s="1"/>
  <c r="AI229" i="1"/>
  <c r="U181" i="1"/>
  <c r="S181" i="1" s="1"/>
  <c r="AI225" i="1"/>
  <c r="U177" i="1"/>
  <c r="S177" i="1" s="1"/>
  <c r="AI221" i="1"/>
  <c r="U173" i="1"/>
  <c r="S173" i="1" s="1"/>
  <c r="AI217" i="1"/>
  <c r="U169" i="1"/>
  <c r="S169" i="1" s="1"/>
  <c r="AI213" i="1"/>
  <c r="U165" i="1"/>
  <c r="S165" i="1" s="1"/>
  <c r="AI209" i="1"/>
  <c r="U161" i="1"/>
  <c r="S161" i="1" s="1"/>
  <c r="AI205" i="1"/>
  <c r="U254" i="1"/>
  <c r="S254" i="1" s="1"/>
  <c r="AI201" i="1"/>
  <c r="U250" i="1"/>
  <c r="S250" i="1" s="1"/>
  <c r="AI197" i="1"/>
  <c r="U246" i="1"/>
  <c r="S246" i="1" s="1"/>
  <c r="AI193" i="1"/>
  <c r="U242" i="1"/>
  <c r="S242" i="1" s="1"/>
  <c r="AI189" i="1"/>
  <c r="U238" i="1"/>
  <c r="S238" i="1" s="1"/>
  <c r="AI185" i="1"/>
  <c r="U234" i="1"/>
  <c r="S234" i="1" s="1"/>
  <c r="AI181" i="1"/>
  <c r="U230" i="1"/>
  <c r="S230" i="1" s="1"/>
  <c r="AI177" i="1"/>
  <c r="U226" i="1"/>
  <c r="S226" i="1" s="1"/>
  <c r="AI173" i="1"/>
  <c r="U216" i="1"/>
  <c r="S216" i="1" s="1"/>
  <c r="AI169" i="1"/>
  <c r="U212" i="1"/>
  <c r="S212" i="1" s="1"/>
  <c r="AI165" i="1"/>
  <c r="AI161" i="1"/>
  <c r="U208" i="1"/>
  <c r="S208" i="1" s="1"/>
  <c r="AI157" i="1"/>
  <c r="U157" i="1"/>
  <c r="S157" i="1" s="1"/>
  <c r="AI153" i="1"/>
  <c r="U153" i="1"/>
  <c r="S153" i="1" s="1"/>
  <c r="AI149" i="1"/>
  <c r="U149" i="1"/>
  <c r="S149" i="1" s="1"/>
  <c r="AI145" i="1"/>
  <c r="U145" i="1"/>
  <c r="S145" i="1" s="1"/>
  <c r="AI141" i="1"/>
  <c r="AI135" i="1"/>
  <c r="U135" i="1"/>
  <c r="S135" i="1" s="1"/>
  <c r="AI131" i="1"/>
  <c r="U131" i="1"/>
  <c r="S131" i="1" s="1"/>
  <c r="AI162" i="1"/>
  <c r="U209" i="1"/>
  <c r="S209" i="1" s="1"/>
  <c r="AI158" i="1"/>
  <c r="U158" i="1"/>
  <c r="S158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6" i="1"/>
  <c r="U136" i="1"/>
  <c r="S136" i="1" s="1"/>
  <c r="AI132" i="1"/>
  <c r="AI128" i="1"/>
  <c r="U128" i="1"/>
  <c r="S128" i="1" s="1"/>
  <c r="AI126" i="1"/>
  <c r="U126" i="1"/>
  <c r="S126" i="1" s="1"/>
  <c r="U210" i="1"/>
  <c r="S210" i="1" s="1"/>
  <c r="AI163" i="1"/>
  <c r="U206" i="1"/>
  <c r="S206" i="1" s="1"/>
  <c r="AI159" i="1"/>
  <c r="U155" i="1"/>
  <c r="S155" i="1" s="1"/>
  <c r="AI155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U137" i="1"/>
  <c r="S137" i="1" s="1"/>
  <c r="AI137" i="1"/>
  <c r="U133" i="1"/>
  <c r="S133" i="1" s="1"/>
  <c r="AI133" i="1"/>
  <c r="U129" i="1"/>
  <c r="S129" i="1" s="1"/>
  <c r="AI129" i="1"/>
  <c r="U211" i="1"/>
  <c r="S211" i="1" s="1"/>
  <c r="AI164" i="1"/>
  <c r="U207" i="1"/>
  <c r="S207" i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8" i="1"/>
  <c r="S138" i="1" s="1"/>
  <c r="AI138" i="1"/>
  <c r="U134" i="1"/>
  <c r="S134" i="1" s="1"/>
  <c r="AI134" i="1"/>
  <c r="U130" i="1"/>
  <c r="S130" i="1" s="1"/>
  <c r="AI130" i="1"/>
  <c r="AI124" i="1"/>
  <c r="U124" i="1"/>
  <c r="S124" i="1" s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88" i="1"/>
  <c r="AI125" i="1"/>
  <c r="U125" i="1"/>
  <c r="S125" i="1" s="1"/>
  <c r="AI121" i="1"/>
  <c r="U121" i="1"/>
  <c r="S121" i="1" s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AI89" i="1"/>
  <c r="U89" i="1"/>
  <c r="S89" i="1" s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AI94" i="1"/>
  <c r="U90" i="1"/>
  <c r="S90" i="1" s="1"/>
  <c r="AI90" i="1"/>
  <c r="AI127" i="1"/>
  <c r="AI123" i="1"/>
  <c r="AI119" i="1"/>
  <c r="AI115" i="1"/>
  <c r="AI111" i="1"/>
  <c r="AI107" i="1"/>
  <c r="AI103" i="1"/>
  <c r="U99" i="1"/>
  <c r="S99" i="1" s="1"/>
  <c r="AI99" i="1"/>
  <c r="U95" i="1"/>
  <c r="S95" i="1" s="1"/>
  <c r="AI95" i="1"/>
  <c r="U91" i="1"/>
  <c r="S91" i="1" s="1"/>
  <c r="AI91" i="1"/>
  <c r="U86" i="1"/>
  <c r="S86" i="1" s="1"/>
  <c r="AI86" i="1"/>
  <c r="AI82" i="1"/>
  <c r="U82" i="1"/>
  <c r="S82" i="1" s="1"/>
  <c r="AI78" i="1"/>
  <c r="AI74" i="1"/>
  <c r="U74" i="1"/>
  <c r="AI70" i="1"/>
  <c r="U70" i="1"/>
  <c r="S70" i="1" s="1"/>
  <c r="AI66" i="1"/>
  <c r="U66" i="1"/>
  <c r="S66" i="1" s="1"/>
  <c r="AI62" i="1"/>
  <c r="AI58" i="1"/>
  <c r="U58" i="1"/>
  <c r="S58" i="1" s="1"/>
  <c r="AI54" i="1"/>
  <c r="U54" i="1"/>
  <c r="S54" i="1" s="1"/>
  <c r="AI87" i="1"/>
  <c r="U87" i="1"/>
  <c r="S87" i="1" s="1"/>
  <c r="AI83" i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U84" i="1"/>
  <c r="S84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/>
  <c r="AI56" i="1"/>
  <c r="U52" i="1"/>
  <c r="S52" i="1" s="1"/>
  <c r="AI52" i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48" i="1"/>
  <c r="U48" i="1"/>
  <c r="S48" i="1" s="1"/>
  <c r="AI44" i="1"/>
  <c r="U44" i="1"/>
  <c r="S44" i="1" s="1"/>
  <c r="AI40" i="1"/>
  <c r="U40" i="1"/>
  <c r="S40" i="1" s="1"/>
  <c r="AI36" i="1"/>
  <c r="U36" i="1"/>
  <c r="S36" i="1" s="1"/>
  <c r="AI32" i="1"/>
  <c r="U32" i="1"/>
  <c r="S32" i="1" s="1"/>
  <c r="AI28" i="1"/>
  <c r="U28" i="1"/>
  <c r="S28" i="1" s="1"/>
  <c r="AI25" i="1"/>
  <c r="U25" i="1"/>
  <c r="S25" i="1" s="1"/>
  <c r="AI21" i="1"/>
  <c r="U21" i="1"/>
  <c r="S21" i="1" s="1"/>
  <c r="AI17" i="1"/>
  <c r="U17" i="1"/>
  <c r="S17" i="1" s="1"/>
  <c r="AI49" i="1"/>
  <c r="U49" i="1"/>
  <c r="S49" i="1" s="1"/>
  <c r="AI45" i="1"/>
  <c r="U45" i="1"/>
  <c r="S45" i="1" s="1"/>
  <c r="AI41" i="1"/>
  <c r="U41" i="1"/>
  <c r="S41" i="1" s="1"/>
  <c r="S37" i="1"/>
  <c r="AI37" i="1"/>
  <c r="U37" i="1"/>
  <c r="AI33" i="1"/>
  <c r="U33" i="1"/>
  <c r="S33" i="1" s="1"/>
  <c r="AI29" i="1"/>
  <c r="U29" i="1"/>
  <c r="S29" i="1" s="1"/>
  <c r="AI26" i="1"/>
  <c r="U26" i="1"/>
  <c r="S26" i="1" s="1"/>
  <c r="AI22" i="1"/>
  <c r="U22" i="1"/>
  <c r="S22" i="1" s="1"/>
  <c r="AI18" i="1"/>
  <c r="U18" i="1"/>
  <c r="AI14" i="1"/>
  <c r="U14" i="1"/>
  <c r="S14" i="1" s="1"/>
  <c r="U50" i="1"/>
  <c r="S50" i="1" s="1"/>
  <c r="AI50" i="1"/>
  <c r="U46" i="1"/>
  <c r="S46" i="1" s="1"/>
  <c r="AI46" i="1"/>
  <c r="U42" i="1"/>
  <c r="S42" i="1" s="1"/>
  <c r="AI42" i="1"/>
  <c r="U38" i="1"/>
  <c r="S38" i="1" s="1"/>
  <c r="AI38" i="1"/>
  <c r="U34" i="1"/>
  <c r="S34" i="1" s="1"/>
  <c r="AI34" i="1"/>
  <c r="U30" i="1"/>
  <c r="S30" i="1" s="1"/>
  <c r="AI30" i="1"/>
  <c r="U27" i="1"/>
  <c r="S27" i="1" s="1"/>
  <c r="AI27" i="1"/>
  <c r="U23" i="1"/>
  <c r="S23" i="1" s="1"/>
  <c r="AI23" i="1"/>
  <c r="U19" i="1"/>
  <c r="AI19" i="1"/>
  <c r="U15" i="1"/>
  <c r="S15" i="1" s="1"/>
  <c r="AI15" i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4" i="1"/>
  <c r="S24" i="1" s="1"/>
  <c r="AI24" i="1"/>
  <c r="U20" i="1"/>
  <c r="S20" i="1" s="1"/>
  <c r="AI20" i="1"/>
  <c r="U16" i="1"/>
  <c r="S16" i="1" s="1"/>
  <c r="AI16" i="1"/>
  <c r="W225" i="1"/>
  <c r="W224" i="1"/>
  <c r="W221" i="1"/>
  <c r="W200" i="1"/>
  <c r="W197" i="1"/>
  <c r="W204" i="1"/>
  <c r="W201" i="1"/>
  <c r="W198" i="1"/>
  <c r="W222" i="1"/>
  <c r="W205" i="1"/>
  <c r="W202" i="1"/>
  <c r="W199" i="1"/>
  <c r="W223" i="1"/>
  <c r="W220" i="1"/>
  <c r="W203" i="1"/>
  <c r="W196" i="1"/>
  <c r="X224" i="1"/>
  <c r="X220" i="1"/>
  <c r="X202" i="1"/>
  <c r="X198" i="1"/>
  <c r="W187" i="1"/>
  <c r="W181" i="1"/>
  <c r="W180" i="1"/>
  <c r="W175" i="1"/>
  <c r="W170" i="1"/>
  <c r="W165" i="1"/>
  <c r="W164" i="1"/>
  <c r="W159" i="1"/>
  <c r="W251" i="1"/>
  <c r="W246" i="1"/>
  <c r="W244" i="1"/>
  <c r="W238" i="1"/>
  <c r="W236" i="1"/>
  <c r="W230" i="1"/>
  <c r="W228" i="1"/>
  <c r="W216" i="1"/>
  <c r="W214" i="1"/>
  <c r="X225" i="1"/>
  <c r="X221" i="1"/>
  <c r="X203" i="1"/>
  <c r="X199" i="1"/>
  <c r="AA195" i="1"/>
  <c r="W195" i="1" s="1"/>
  <c r="W192" i="1"/>
  <c r="W191" i="1"/>
  <c r="W190" i="1"/>
  <c r="W189" i="1"/>
  <c r="W188" i="1"/>
  <c r="W182" i="1"/>
  <c r="W177" i="1"/>
  <c r="W176" i="1"/>
  <c r="W171" i="1"/>
  <c r="W166" i="1"/>
  <c r="W161" i="1"/>
  <c r="W160" i="1"/>
  <c r="W252" i="1"/>
  <c r="W247" i="1"/>
  <c r="W245" i="1"/>
  <c r="W239" i="1"/>
  <c r="W237" i="1"/>
  <c r="W231" i="1"/>
  <c r="W229" i="1"/>
  <c r="W217" i="1"/>
  <c r="W215" i="1"/>
  <c r="T195" i="1"/>
  <c r="U195" i="1" s="1"/>
  <c r="S195" i="1" s="1"/>
  <c r="X195" i="1"/>
  <c r="W194" i="1"/>
  <c r="T192" i="1"/>
  <c r="U192" i="1" s="1"/>
  <c r="S192" i="1" s="1"/>
  <c r="X192" i="1"/>
  <c r="X193" i="1"/>
  <c r="W185" i="1"/>
  <c r="W183" i="1"/>
  <c r="W178" i="1"/>
  <c r="W173" i="1"/>
  <c r="W172" i="1"/>
  <c r="W167" i="1"/>
  <c r="W162" i="1"/>
  <c r="W254" i="1"/>
  <c r="W253" i="1"/>
  <c r="W248" i="1"/>
  <c r="W242" i="1"/>
  <c r="W240" i="1"/>
  <c r="W234" i="1"/>
  <c r="W232" i="1"/>
  <c r="W226" i="1"/>
  <c r="W218" i="1"/>
  <c r="W212" i="1"/>
  <c r="W186" i="1"/>
  <c r="W184" i="1"/>
  <c r="W179" i="1"/>
  <c r="W174" i="1"/>
  <c r="W169" i="1"/>
  <c r="W168" i="1"/>
  <c r="W163" i="1"/>
  <c r="W255" i="1"/>
  <c r="W250" i="1"/>
  <c r="W249" i="1"/>
  <c r="W243" i="1"/>
  <c r="W241" i="1"/>
  <c r="W235" i="1"/>
  <c r="W233" i="1"/>
  <c r="W227" i="1"/>
  <c r="W219" i="1"/>
  <c r="W213" i="1"/>
  <c r="W211" i="1"/>
  <c r="X189" i="1"/>
  <c r="X185" i="1"/>
  <c r="X181" i="1"/>
  <c r="X177" i="1"/>
  <c r="X173" i="1"/>
  <c r="X169" i="1"/>
  <c r="X165" i="1"/>
  <c r="X161" i="1"/>
  <c r="X254" i="1"/>
  <c r="X250" i="1"/>
  <c r="X246" i="1"/>
  <c r="X242" i="1"/>
  <c r="X238" i="1"/>
  <c r="X234" i="1"/>
  <c r="X230" i="1"/>
  <c r="X226" i="1"/>
  <c r="X216" i="1"/>
  <c r="W207" i="1"/>
  <c r="W206" i="1"/>
  <c r="W158" i="1"/>
  <c r="W153" i="1"/>
  <c r="W144" i="1"/>
  <c r="W143" i="1"/>
  <c r="W142" i="1"/>
  <c r="W156" i="1"/>
  <c r="W155" i="1"/>
  <c r="W154" i="1"/>
  <c r="W149" i="1"/>
  <c r="W140" i="1"/>
  <c r="W139" i="1"/>
  <c r="W135" i="1"/>
  <c r="W131" i="1"/>
  <c r="X191" i="1"/>
  <c r="X187" i="1"/>
  <c r="X183" i="1"/>
  <c r="X179" i="1"/>
  <c r="X175" i="1"/>
  <c r="X171" i="1"/>
  <c r="X167" i="1"/>
  <c r="X163" i="1"/>
  <c r="X159" i="1"/>
  <c r="X252" i="1"/>
  <c r="X248" i="1"/>
  <c r="X244" i="1"/>
  <c r="X240" i="1"/>
  <c r="X236" i="1"/>
  <c r="X232" i="1"/>
  <c r="X228" i="1"/>
  <c r="X218" i="1"/>
  <c r="X214" i="1"/>
  <c r="W208" i="1"/>
  <c r="W152" i="1"/>
  <c r="W151" i="1"/>
  <c r="W150" i="1"/>
  <c r="W145" i="1"/>
  <c r="W138" i="1"/>
  <c r="W137" i="1"/>
  <c r="W136" i="1"/>
  <c r="W133" i="1"/>
  <c r="W132" i="1"/>
  <c r="W129" i="1"/>
  <c r="W128" i="1"/>
  <c r="X188" i="1"/>
  <c r="X184" i="1"/>
  <c r="X180" i="1"/>
  <c r="X176" i="1"/>
  <c r="X172" i="1"/>
  <c r="X168" i="1"/>
  <c r="X164" i="1"/>
  <c r="X160" i="1"/>
  <c r="X253" i="1"/>
  <c r="X249" i="1"/>
  <c r="X245" i="1"/>
  <c r="X241" i="1"/>
  <c r="X237" i="1"/>
  <c r="X233" i="1"/>
  <c r="X229" i="1"/>
  <c r="X219" i="1"/>
  <c r="X215" i="1"/>
  <c r="W210" i="1"/>
  <c r="W209" i="1"/>
  <c r="W157" i="1"/>
  <c r="W148" i="1"/>
  <c r="W147" i="1"/>
  <c r="W146" i="1"/>
  <c r="W141" i="1"/>
  <c r="W134" i="1"/>
  <c r="W130" i="1"/>
  <c r="X211" i="1"/>
  <c r="X207" i="1"/>
  <c r="X156" i="1"/>
  <c r="X152" i="1"/>
  <c r="X148" i="1"/>
  <c r="X144" i="1"/>
  <c r="X134" i="1"/>
  <c r="X130" i="1"/>
  <c r="T127" i="1"/>
  <c r="U127" i="1" s="1"/>
  <c r="S127" i="1" s="1"/>
  <c r="X127" i="1"/>
  <c r="W126" i="1"/>
  <c r="W125" i="1"/>
  <c r="W121" i="1"/>
  <c r="W117" i="1"/>
  <c r="W113" i="1"/>
  <c r="W109" i="1"/>
  <c r="W105" i="1"/>
  <c r="W101" i="1"/>
  <c r="W98" i="1"/>
  <c r="W95" i="1"/>
  <c r="W89" i="1"/>
  <c r="W124" i="1"/>
  <c r="W123" i="1"/>
  <c r="W122" i="1"/>
  <c r="W120" i="1"/>
  <c r="W119" i="1"/>
  <c r="W118" i="1"/>
  <c r="W116" i="1"/>
  <c r="W115" i="1"/>
  <c r="W114" i="1"/>
  <c r="W112" i="1"/>
  <c r="W111" i="1"/>
  <c r="W110" i="1"/>
  <c r="W108" i="1"/>
  <c r="W107" i="1"/>
  <c r="W106" i="1"/>
  <c r="W104" i="1"/>
  <c r="W103" i="1"/>
  <c r="W102" i="1"/>
  <c r="W100" i="1"/>
  <c r="W93" i="1"/>
  <c r="W92" i="1"/>
  <c r="W88" i="1"/>
  <c r="W99" i="1"/>
  <c r="W94" i="1"/>
  <c r="W91" i="1"/>
  <c r="X210" i="1"/>
  <c r="X206" i="1"/>
  <c r="X155" i="1"/>
  <c r="X151" i="1"/>
  <c r="X147" i="1"/>
  <c r="X143" i="1"/>
  <c r="X137" i="1"/>
  <c r="X133" i="1"/>
  <c r="X129" i="1"/>
  <c r="W127" i="1"/>
  <c r="W97" i="1"/>
  <c r="W96" i="1"/>
  <c r="W90" i="1"/>
  <c r="X123" i="1"/>
  <c r="T123" i="1"/>
  <c r="U123" i="1" s="1"/>
  <c r="S123" i="1" s="1"/>
  <c r="X119" i="1"/>
  <c r="T119" i="1"/>
  <c r="U119" i="1" s="1"/>
  <c r="S119" i="1" s="1"/>
  <c r="X115" i="1"/>
  <c r="T115" i="1"/>
  <c r="U115" i="1" s="1"/>
  <c r="S115" i="1" s="1"/>
  <c r="X111" i="1"/>
  <c r="T111" i="1"/>
  <c r="U111" i="1" s="1"/>
  <c r="S111" i="1" s="1"/>
  <c r="X107" i="1"/>
  <c r="T107" i="1"/>
  <c r="U107" i="1" s="1"/>
  <c r="S107" i="1" s="1"/>
  <c r="X103" i="1"/>
  <c r="T103" i="1"/>
  <c r="U103" i="1" s="1"/>
  <c r="S103" i="1" s="1"/>
  <c r="W86" i="1"/>
  <c r="W84" i="1"/>
  <c r="W79" i="1"/>
  <c r="W78" i="1"/>
  <c r="W76" i="1"/>
  <c r="W71" i="1"/>
  <c r="W70" i="1"/>
  <c r="W68" i="1"/>
  <c r="W62" i="1"/>
  <c r="W60" i="1"/>
  <c r="W58" i="1"/>
  <c r="W56" i="1"/>
  <c r="W54" i="1"/>
  <c r="W85" i="1"/>
  <c r="W77" i="1"/>
  <c r="W69" i="1"/>
  <c r="W63" i="1"/>
  <c r="W61" i="1"/>
  <c r="W59" i="1"/>
  <c r="W57" i="1"/>
  <c r="W55" i="1"/>
  <c r="W53" i="1"/>
  <c r="W52" i="1"/>
  <c r="W83" i="1"/>
  <c r="W82" i="1"/>
  <c r="W80" i="1"/>
  <c r="W75" i="1"/>
  <c r="W74" i="1"/>
  <c r="W72" i="1"/>
  <c r="W66" i="1"/>
  <c r="W64" i="1"/>
  <c r="T88" i="1"/>
  <c r="U88" i="1" s="1"/>
  <c r="S88" i="1" s="1"/>
  <c r="X88" i="1"/>
  <c r="W87" i="1"/>
  <c r="W81" i="1"/>
  <c r="W73" i="1"/>
  <c r="W67" i="1"/>
  <c r="W65" i="1"/>
  <c r="X85" i="1"/>
  <c r="X81" i="1"/>
  <c r="X77" i="1"/>
  <c r="X73" i="1"/>
  <c r="X69" i="1"/>
  <c r="X65" i="1"/>
  <c r="X61" i="1"/>
  <c r="X57" i="1"/>
  <c r="X53" i="1"/>
  <c r="W44" i="1"/>
  <c r="W43" i="1"/>
  <c r="W36" i="1"/>
  <c r="W35" i="1"/>
  <c r="W29" i="1"/>
  <c r="W25" i="1"/>
  <c r="W24" i="1"/>
  <c r="W50" i="1"/>
  <c r="W45" i="1"/>
  <c r="W42" i="1"/>
  <c r="W37" i="1"/>
  <c r="W34" i="1"/>
  <c r="W32" i="1"/>
  <c r="W31" i="1"/>
  <c r="W26" i="1"/>
  <c r="W23" i="1"/>
  <c r="W21" i="1"/>
  <c r="W20" i="1"/>
  <c r="W14" i="1"/>
  <c r="W48" i="1"/>
  <c r="W47" i="1"/>
  <c r="W40" i="1"/>
  <c r="W39" i="1"/>
  <c r="W30" i="1"/>
  <c r="W28" i="1"/>
  <c r="W19" i="1"/>
  <c r="W17" i="1"/>
  <c r="W16" i="1"/>
  <c r="X84" i="1"/>
  <c r="X80" i="1"/>
  <c r="X76" i="1"/>
  <c r="X72" i="1"/>
  <c r="X68" i="1"/>
  <c r="X64" i="1"/>
  <c r="W51" i="1"/>
  <c r="W49" i="1"/>
  <c r="W46" i="1"/>
  <c r="W41" i="1"/>
  <c r="W38" i="1"/>
  <c r="W33" i="1"/>
  <c r="W27" i="1"/>
  <c r="W22" i="1"/>
  <c r="W18" i="1"/>
  <c r="W15" i="1"/>
  <c r="X49" i="1"/>
  <c r="X45" i="1"/>
  <c r="X41" i="1"/>
  <c r="X37" i="1"/>
  <c r="X33" i="1"/>
  <c r="X26" i="1"/>
  <c r="X22" i="1"/>
  <c r="X18" i="1"/>
  <c r="T39" i="3"/>
  <c r="AC35" i="3"/>
  <c r="AD40" i="3"/>
  <c r="AE19" i="3"/>
  <c r="AD17" i="3"/>
  <c r="AC46" i="3"/>
  <c r="AD35" i="3"/>
  <c r="AE39" i="3"/>
  <c r="AE35" i="3"/>
  <c r="AE27" i="3"/>
  <c r="AD19" i="3"/>
  <c r="T43" i="3"/>
  <c r="AC42" i="3"/>
  <c r="AD16" i="3"/>
  <c r="AD15" i="3"/>
  <c r="T8" i="3"/>
  <c r="AD12" i="3"/>
  <c r="AD33" i="3"/>
  <c r="AD25" i="3"/>
  <c r="AD21" i="3"/>
  <c r="AE11" i="3"/>
  <c r="AD9" i="3"/>
  <c r="T40" i="3"/>
  <c r="AC32" i="3"/>
  <c r="T16" i="3"/>
  <c r="AD39" i="3"/>
  <c r="T7" i="3"/>
  <c r="AD36" i="3"/>
  <c r="AD32" i="3"/>
  <c r="AD27" i="3"/>
  <c r="AD20" i="3"/>
  <c r="AE15" i="3"/>
  <c r="AD11" i="3"/>
  <c r="AD8" i="3"/>
  <c r="AC25" i="3"/>
  <c r="AC45" i="3"/>
  <c r="AC27" i="3"/>
  <c r="AC44" i="3"/>
  <c r="AC30" i="3"/>
  <c r="AC36" i="3"/>
  <c r="AC22" i="3"/>
  <c r="AC19" i="3"/>
  <c r="AC51" i="3"/>
  <c r="Y36" i="3"/>
  <c r="Y22" i="3"/>
  <c r="Y44" i="3"/>
  <c r="Y49" i="3"/>
  <c r="Y30" i="3"/>
  <c r="Y14" i="3"/>
  <c r="Y23" i="3"/>
  <c r="Y27" i="3"/>
  <c r="Y20" i="3"/>
  <c r="Y10" i="3"/>
  <c r="Y41" i="3"/>
  <c r="Y43" i="3"/>
  <c r="Y8" i="3"/>
  <c r="Y47" i="3"/>
  <c r="Y51" i="3"/>
  <c r="Y16" i="3"/>
  <c r="Y21" i="3"/>
  <c r="Y11" i="3"/>
  <c r="Y38" i="3"/>
  <c r="Y18" i="3"/>
  <c r="Y33" i="3"/>
  <c r="Y17" i="3"/>
  <c r="Y52" i="3"/>
  <c r="Y50" i="3"/>
  <c r="Y15" i="3"/>
  <c r="Y48" i="3"/>
  <c r="Y24" i="3"/>
  <c r="Y34" i="3"/>
  <c r="Y25" i="3"/>
  <c r="Y45" i="3"/>
  <c r="Y19" i="3"/>
  <c r="Y40" i="3"/>
  <c r="Y39" i="3"/>
  <c r="Y7" i="3"/>
  <c r="Y32" i="3"/>
  <c r="Y35" i="3"/>
  <c r="Y46" i="3"/>
  <c r="Y12" i="3"/>
  <c r="Y37" i="3"/>
  <c r="Y9" i="3"/>
  <c r="Y26" i="3"/>
  <c r="Y31" i="3"/>
  <c r="Y42" i="3"/>
  <c r="Y13" i="3"/>
  <c r="Y29" i="3"/>
  <c r="AE50" i="3"/>
  <c r="T11" i="3"/>
  <c r="T38" i="3"/>
  <c r="AE42" i="3"/>
  <c r="T18" i="3"/>
  <c r="AE34" i="3"/>
  <c r="AE22" i="3"/>
  <c r="T15" i="3"/>
  <c r="AE18" i="3"/>
  <c r="T48" i="3"/>
  <c r="AE14" i="3"/>
  <c r="T24" i="3"/>
  <c r="AE10" i="3"/>
  <c r="T34" i="3"/>
  <c r="AE38" i="3"/>
  <c r="T33" i="3"/>
  <c r="AD50" i="3"/>
  <c r="AE49" i="3"/>
  <c r="T32" i="3"/>
  <c r="AD46" i="3"/>
  <c r="AE45" i="3"/>
  <c r="T35" i="3"/>
  <c r="AD42" i="3"/>
  <c r="AE41" i="3"/>
  <c r="T46" i="3"/>
  <c r="AD38" i="3"/>
  <c r="AE37" i="3"/>
  <c r="T12" i="3"/>
  <c r="AD34" i="3"/>
  <c r="AE33" i="3"/>
  <c r="T37" i="3"/>
  <c r="AD30" i="3"/>
  <c r="AE29" i="3"/>
  <c r="T9" i="3"/>
  <c r="AD26" i="3"/>
  <c r="AE25" i="3"/>
  <c r="T26" i="3"/>
  <c r="AD22" i="3"/>
  <c r="AE21" i="3"/>
  <c r="T31" i="3"/>
  <c r="AD18" i="3"/>
  <c r="AE17" i="3"/>
  <c r="T42" i="3"/>
  <c r="AD14" i="3"/>
  <c r="AE13" i="3"/>
  <c r="T13" i="3"/>
  <c r="AD10" i="3"/>
  <c r="AE9" i="3"/>
  <c r="T29" i="3"/>
  <c r="AE46" i="3"/>
  <c r="T17" i="3"/>
  <c r="AE30" i="3"/>
  <c r="T52" i="3"/>
  <c r="AE26" i="3"/>
  <c r="T50" i="3"/>
  <c r="AE52" i="3"/>
  <c r="AE48" i="3"/>
  <c r="AE44" i="3"/>
  <c r="AE40" i="3"/>
  <c r="AE36" i="3"/>
  <c r="AE32" i="3"/>
  <c r="AE24" i="3"/>
  <c r="AE20" i="3"/>
  <c r="AE16" i="3"/>
  <c r="AE12" i="3"/>
  <c r="AE8" i="3"/>
  <c r="S18" i="1" l="1"/>
  <c r="G224" i="4"/>
  <c r="N39" i="3" s="1"/>
  <c r="G225" i="4"/>
  <c r="N25" i="3" s="1"/>
  <c r="G226" i="4"/>
  <c r="G227" i="4"/>
  <c r="G228" i="4"/>
  <c r="G229" i="4"/>
  <c r="G230" i="4"/>
  <c r="N32" i="3" s="1"/>
  <c r="G231" i="4"/>
  <c r="G232" i="4"/>
  <c r="G233" i="4"/>
  <c r="G234" i="4"/>
  <c r="G235" i="4"/>
  <c r="G236" i="4"/>
  <c r="N11" i="3" s="1"/>
  <c r="G237" i="4"/>
  <c r="N40" i="3" s="1"/>
  <c r="G238" i="4"/>
  <c r="G239" i="4"/>
  <c r="G240" i="4"/>
  <c r="N36" i="3" s="1"/>
  <c r="G241" i="4"/>
  <c r="G242" i="4"/>
  <c r="G243" i="4"/>
  <c r="G244" i="4"/>
  <c r="G245" i="4"/>
  <c r="G246" i="4"/>
  <c r="G247" i="4"/>
  <c r="G248" i="4"/>
  <c r="G249" i="4"/>
  <c r="M28" i="3" l="1"/>
  <c r="U28" i="3"/>
  <c r="V28" i="3"/>
  <c r="X28" i="3"/>
  <c r="W28" i="3"/>
  <c r="AD28" i="3" l="1"/>
  <c r="AE28" i="3"/>
  <c r="AC28" i="3"/>
  <c r="Y28" i="3"/>
  <c r="T28" i="3"/>
  <c r="K13" i="1" l="1"/>
  <c r="M13" i="1"/>
  <c r="N13" i="1" s="1"/>
  <c r="V13" i="1"/>
  <c r="S28" i="3" s="1"/>
  <c r="Y13" i="1"/>
  <c r="Z13" i="1"/>
  <c r="AB13" i="1"/>
  <c r="AC13" i="1"/>
  <c r="AD13" i="1"/>
  <c r="X14" i="1" s="1"/>
  <c r="AE13" i="1"/>
  <c r="R28" i="3" s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3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N29" i="3" s="1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34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N13" i="3" s="1"/>
  <c r="G95" i="4"/>
  <c r="N14" i="3" s="1"/>
  <c r="G96" i="4"/>
  <c r="G97" i="4"/>
  <c r="N24" i="3" s="1"/>
  <c r="G98" i="4"/>
  <c r="G99" i="4"/>
  <c r="N8" i="3" s="1"/>
  <c r="G100" i="4"/>
  <c r="N30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31" i="3" s="1"/>
  <c r="G132" i="4"/>
  <c r="G133" i="4"/>
  <c r="G134" i="4"/>
  <c r="N26" i="3" s="1"/>
  <c r="G135" i="4"/>
  <c r="G136" i="4"/>
  <c r="G137" i="4"/>
  <c r="N15" i="3" s="1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20" i="3" s="1"/>
  <c r="G153" i="4"/>
  <c r="G154" i="4"/>
  <c r="N37" i="3" s="1"/>
  <c r="G155" i="4"/>
  <c r="G156" i="4"/>
  <c r="G157" i="4"/>
  <c r="G158" i="4"/>
  <c r="G159" i="4"/>
  <c r="G160" i="4"/>
  <c r="G161" i="4"/>
  <c r="G162" i="4"/>
  <c r="N12" i="3" s="1"/>
  <c r="G163" i="4"/>
  <c r="G164" i="4"/>
  <c r="N19" i="3" s="1"/>
  <c r="G165" i="4"/>
  <c r="G166" i="4"/>
  <c r="G167" i="4"/>
  <c r="G168" i="4"/>
  <c r="G169" i="4"/>
  <c r="G170" i="4"/>
  <c r="G171" i="4"/>
  <c r="G172" i="4"/>
  <c r="G173" i="4"/>
  <c r="N33" i="3" s="1"/>
  <c r="G174" i="4"/>
  <c r="G175" i="4"/>
  <c r="N7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N46" i="3" s="1"/>
  <c r="G189" i="4"/>
  <c r="G190" i="4"/>
  <c r="G191" i="4"/>
  <c r="G192" i="4"/>
  <c r="G193" i="4"/>
  <c r="G194" i="4"/>
  <c r="N18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22" i="3" s="1"/>
  <c r="G209" i="4"/>
  <c r="G210" i="4"/>
  <c r="N35" i="3" s="1"/>
  <c r="G211" i="4"/>
  <c r="N16" i="3" s="1"/>
  <c r="G212" i="4"/>
  <c r="G213" i="4"/>
  <c r="G214" i="4"/>
  <c r="G215" i="4"/>
  <c r="G216" i="4"/>
  <c r="G217" i="4"/>
  <c r="G218" i="4"/>
  <c r="N38" i="3" s="1"/>
  <c r="G219" i="4"/>
  <c r="G220" i="4"/>
  <c r="G221" i="4"/>
  <c r="G222" i="4"/>
  <c r="G223" i="4"/>
  <c r="G2" i="4"/>
  <c r="N28" i="3" l="1"/>
  <c r="N45" i="3"/>
  <c r="N9" i="3"/>
  <c r="N10" i="3"/>
  <c r="N17" i="3"/>
  <c r="N27" i="3"/>
  <c r="N21" i="3"/>
  <c r="N47" i="3"/>
  <c r="N48" i="3"/>
  <c r="N52" i="3"/>
  <c r="N42" i="3"/>
  <c r="N41" i="3"/>
  <c r="N51" i="3"/>
  <c r="N49" i="3"/>
  <c r="N44" i="3"/>
  <c r="N50" i="3"/>
  <c r="N4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F8" i="6" l="1"/>
  <c r="I8" i="6"/>
  <c r="J8" i="6"/>
  <c r="G8" i="6"/>
  <c r="H8" i="6"/>
  <c r="B1" i="6"/>
  <c r="A5" i="3"/>
  <c r="B9" i="6" l="1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<sst xmlns="http://schemas.openxmlformats.org/spreadsheetml/2006/main" count="2815" uniqueCount="1033">
  <si>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</si>
  <si>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</si>
  <si>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</si>
  <si>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</si>
  <si>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</si>
  <si>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</si>
  <si>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</si>
  <si>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</si>
  <si>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</si>
  <si>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</si>
  <si>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</si>
  <si>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</si>
  <si>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</si>
  <si>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</si>
  <si>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</si>
  <si>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</si>
  <si>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</si>
  <si>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</si>
  <si>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</si>
  <si>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</si>
  <si>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</si>
  <si>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</si>
  <si>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</si>
  <si>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</si>
  <si>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</si>
  <si>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</si>
  <si>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</si>
  <si>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</si>
  <si>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</si>
  <si>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</si>
  <si>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</si>
  <si>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</si>
  <si>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</si>
  <si>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</si>
  <si>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</si>
  <si>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</si>
  <si>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</si>
  <si>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</si>
  <si>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</si>
  <si>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</si>
  <si>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</si>
  <si>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</si>
  <si>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</si>
  <si>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</si>
  <si>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</si>
  <si>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</si>
  <si>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</si>
  <si>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</si>
  <si>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</si>
  <si>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</si>
  <si>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</si>
  <si>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</si>
  <si>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</si>
  <si>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</si>
  <si>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</si>
  <si>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</si>
  <si>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</si>
  <si>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</si>
  <si>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</si>
  <si>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</si>
  <si>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</si>
  <si>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</si>
  <si>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</si>
  <si>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</si>
  <si>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</si>
  <si>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</si>
  <si>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</si>
  <si>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</si>
  <si>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</si>
  <si>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</si>
  <si>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</si>
  <si>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</si>
  <si>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</si>
  <si>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</si>
  <si>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</si>
  <si>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</si>
  <si>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</si>
  <si>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</si>
  <si>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</si>
  <si>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</si>
  <si>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</si>
  <si>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</si>
  <si>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</si>
  <si>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</si>
  <si>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</si>
  <si>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</si>
  <si>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</si>
  <si>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</si>
  <si>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</si>
  <si>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</si>
  <si>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</si>
  <si>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</si>
  <si>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</si>
  <si>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</si>
  <si>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</si>
  <si>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</si>
  <si>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</si>
  <si>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</si>
  <si>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</si>
  <si>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</si>
  <si>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</si>
  <si>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</si>
  <si>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</si>
  <si>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</si>
  <si>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</si>
  <si>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</si>
  <si>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</si>
  <si>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</si>
  <si>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</si>
  <si>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</si>
  <si>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</si>
  <si>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</si>
  <si>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</si>
  <si>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</si>
  <si>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</si>
  <si>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</si>
  <si>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</si>
  <si>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</si>
  <si>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</si>
  <si>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</si>
  <si>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</si>
  <si>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</si>
  <si>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</si>
  <si>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</si>
  <si>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</si>
  <si>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</si>
  <si>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</si>
  <si>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</si>
  <si>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</si>
  <si>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</si>
  <si>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</si>
  <si>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</si>
  <si>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</si>
  <si>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</si>
  <si>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</si>
  <si>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</si>
  <si>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</si>
  <si>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</si>
  <si>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</si>
  <si>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</si>
  <si>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</si>
  <si>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</si>
  <si>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</si>
  <si>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</si>
  <si>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</si>
  <si>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</si>
  <si>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</si>
  <si>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</si>
  <si>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</si>
  <si>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</si>
  <si>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</si>
  <si>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</si>
  <si>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</si>
  <si>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</si>
  <si>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</si>
  <si>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</si>
  <si>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</si>
  <si>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</si>
  <si>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</si>
  <si>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</si>
  <si>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</si>
  <si>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</si>
  <si>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</si>
  <si>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</si>
  <si>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</si>
  <si>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</si>
  <si>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</si>
  <si>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</si>
  <si>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</si>
  <si>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</si>
  <si>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</si>
  <si>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</si>
  <si>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</si>
  <si>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</si>
  <si>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</si>
  <si>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</si>
  <si>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</si>
  <si>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</si>
  <si>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</si>
  <si>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</si>
  <si>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</si>
  <si>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</si>
  <si>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</si>
  <si>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</si>
  <si>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</si>
  <si>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</si>
  <si>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</si>
  <si>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</si>
  <si>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</si>
  <si>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</si>
  <si>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</si>
  <si>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</si>
  <si>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</si>
  <si>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</si>
  <si>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</si>
  <si>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</si>
  <si>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</si>
  <si>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</si>
  <si>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</si>
  <si>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</si>
  <si>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</si>
  <si>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</si>
  <si>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</si>
  <si>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</si>
  <si>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</si>
  <si>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</si>
  <si>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</si>
  <si>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</si>
  <si>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</si>
  <si>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</si>
  <si>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</si>
  <si>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</si>
  <si>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</si>
  <si>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</si>
  <si>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</si>
  <si>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</si>
  <si>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</si>
  <si>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</si>
  <si>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</si>
  <si>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</si>
  <si>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</si>
  <si>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</si>
  <si>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</si>
  <si>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</si>
  <si>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</si>
  <si>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</si>
  <si>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</si>
  <si>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</si>
  <si>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</si>
  <si>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</si>
  <si>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</si>
  <si>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</si>
  <si>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</si>
  <si>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</si>
  <si>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</si>
  <si>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</si>
  <si>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</si>
  <si>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</si>
  <si>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</si>
  <si>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</si>
  <si>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</si>
  <si>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</si>
  <si>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</si>
  <si>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</si>
  <si>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</si>
  <si>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</si>
  <si>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</si>
  <si>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</si>
  <si>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</si>
  <si>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</si>
  <si>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</si>
  <si>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</si>
  <si>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</si>
  <si>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</si>
  <si>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</si>
  <si>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</si>
  <si>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</si>
  <si>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</si>
  <si>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</si>
  <si>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</si>
  <si>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</si>
  <si>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</si>
  <si>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</si>
  <si>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</si>
  <si>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</si>
  <si>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</si>
  <si>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</si>
  <si>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</si>
  <si>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</si>
  <si>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</si>
  <si>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</si>
  <si>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</si>
  <si>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</si>
  <si>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</si>
  <si>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</si>
  <si>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</si>
  <si>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</si>
  <si>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</si>
  <si>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</si>
  <si>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</si>
  <si>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</si>
  <si>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</si>
  <si>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</si>
  <si>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</si>
  <si>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</si>
  <si>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</si>
  <si>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</si>
  <si>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</si>
  <si>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</si>
  <si>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</si>
  <si>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</si>
  <si>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</si>
  <si>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</si>
  <si>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</si>
  <si>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</si>
  <si>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</si>
  <si>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</si>
  <si>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</si>
  <si>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</si>
  <si>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</si>
  <si>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</si>
  <si>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</si>
  <si>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</si>
  <si>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</si>
  <si>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</si>
  <si>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</si>
  <si>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</si>
  <si>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</si>
  <si>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</si>
  <si>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</si>
  <si>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</si>
  <si>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</si>
  <si>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</si>
  <si>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</si>
  <si>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</si>
  <si>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</si>
  <si>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</si>
  <si>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</si>
  <si>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</si>
  <si>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</si>
  <si>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</si>
  <si>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</si>
  <si>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</si>
  <si>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</si>
  <si>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</si>
  <si>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</si>
  <si>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</si>
  <si>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</si>
  <si>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</si>
  <si>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</si>
  <si>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</si>
  <si>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</si>
  <si>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</si>
  <si>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</si>
  <si>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</si>
  <si>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</si>
  <si>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</si>
  <si>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</si>
  <si>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</si>
  <si>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</si>
  <si>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</si>
  <si>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</si>
  <si>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</si>
  <si>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</si>
  <si>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</si>
  <si>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</si>
  <si>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</si>
  <si>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</si>
  <si>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</si>
  <si>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</si>
  <si>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</si>
  <si>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</si>
  <si>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</si>
  <si>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</si>
  <si>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</si>
  <si>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</si>
  <si>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</si>
  <si>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</si>
  <si>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</si>
  <si>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</si>
  <si>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</si>
  <si>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</si>
  <si>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</si>
  <si>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</si>
  <si>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</si>
  <si>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</si>
  <si>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</si>
  <si>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</si>
  <si>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204:158</t>
  </si>
  <si>
    <t>204:152</t>
  </si>
  <si>
    <t>204:460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</si>
  <si>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</si>
  <si>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</si>
  <si>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</si>
  <si>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</si>
  <si>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</si>
  <si>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</si>
  <si>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</si>
  <si>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204:160</t>
  </si>
  <si>
    <t>204:138</t>
  </si>
  <si>
    <t>204:442</t>
  </si>
  <si>
    <t>clear-day</t>
  </si>
  <si>
    <t>Clear</t>
  </si>
  <si>
    <t>clear-night</t>
  </si>
  <si>
    <t>rtdc.l.rtdc.4012:itc</t>
  </si>
  <si>
    <t>SWITCH UNKNOWN</t>
  </si>
  <si>
    <t>Track device (7)</t>
  </si>
  <si>
    <t>rtdc.l.rtdc.4011:itc</t>
  </si>
  <si>
    <t>MOSES</t>
  </si>
  <si>
    <t>BRADLEY</t>
  </si>
  <si>
    <t>204:444</t>
  </si>
  <si>
    <t>204:471</t>
  </si>
  <si>
    <t>204:466</t>
  </si>
  <si>
    <t>204:233293</t>
  </si>
  <si>
    <t>Early Arrival</t>
  </si>
  <si>
    <t>204:233308</t>
  </si>
  <si>
    <t>204:233302</t>
  </si>
  <si>
    <t>204:233291</t>
  </si>
  <si>
    <t>204:156</t>
  </si>
  <si>
    <t>204:232998</t>
  </si>
  <si>
    <t>204:467</t>
  </si>
  <si>
    <t>204:435</t>
  </si>
  <si>
    <t>204:233321</t>
  </si>
  <si>
    <t>204:233282</t>
  </si>
  <si>
    <t>204:232987</t>
  </si>
  <si>
    <t>204:233004</t>
  </si>
  <si>
    <t>204:440</t>
  </si>
  <si>
    <t>204:233314</t>
  </si>
  <si>
    <t>300:23308</t>
  </si>
  <si>
    <t>204:680</t>
  </si>
  <si>
    <t>204:972</t>
  </si>
  <si>
    <t>rtdc.l.rtdc.4027:itc</t>
  </si>
  <si>
    <t>rtdc.l.rtdc.4028:itc</t>
  </si>
  <si>
    <t>204:233002</t>
  </si>
  <si>
    <t>204:233312</t>
  </si>
  <si>
    <t>204:233300</t>
  </si>
  <si>
    <t>204:134</t>
  </si>
  <si>
    <t>204:233055</t>
  </si>
  <si>
    <t>204:232985</t>
  </si>
  <si>
    <t>rtdc.l.rtdc.4054:itc</t>
  </si>
  <si>
    <t>rtdc.l.rtdc.4057:itc</t>
  </si>
  <si>
    <t>rtdc.l.rtdc.4058:itc</t>
  </si>
  <si>
    <t>MAELZER</t>
  </si>
  <si>
    <t>KURT</t>
  </si>
  <si>
    <t>MACDONALD</t>
  </si>
  <si>
    <t>ROMERO</t>
  </si>
  <si>
    <t>CHAD</t>
  </si>
  <si>
    <t>BRUDER</t>
  </si>
  <si>
    <t>RICHARD</t>
  </si>
  <si>
    <t>204:233315</t>
  </si>
  <si>
    <t>204:698</t>
  </si>
  <si>
    <t>204:967</t>
  </si>
  <si>
    <t>204:233368</t>
  </si>
  <si>
    <t>204:233289</t>
  </si>
  <si>
    <t>rtdc.l.rtdc.4039:itc</t>
  </si>
  <si>
    <t>rtdc.l.rtdc.4042:itc</t>
  </si>
  <si>
    <t>rtdc.l.rtdc.4050:itc</t>
  </si>
  <si>
    <t>rtdc.l.rtdc.4009:itc</t>
  </si>
  <si>
    <t>rtdc.l.rtdc.4010:itc</t>
  </si>
  <si>
    <t>STARKS</t>
  </si>
  <si>
    <t>ANGELINA</t>
  </si>
  <si>
    <t>rtdc.l.rtdc.4040:itc</t>
  </si>
  <si>
    <t>DAVID</t>
  </si>
  <si>
    <t>LOZA</t>
  </si>
  <si>
    <t>FIDEL</t>
  </si>
  <si>
    <t>BONDS</t>
  </si>
  <si>
    <t>REYNALDO</t>
  </si>
  <si>
    <t>GUNTHIER</t>
  </si>
  <si>
    <t>ERIC</t>
  </si>
  <si>
    <t>TOUSIGNAUT</t>
  </si>
  <si>
    <t>CARL</t>
  </si>
  <si>
    <t>LEVIN</t>
  </si>
  <si>
    <t>SCOTT</t>
  </si>
  <si>
    <t>BARRON</t>
  </si>
  <si>
    <t>PERLA</t>
  </si>
  <si>
    <t>WEST</t>
  </si>
  <si>
    <t>BRYAN</t>
  </si>
  <si>
    <t>partly-cloudy-night</t>
  </si>
  <si>
    <t>Partly Cloudy</t>
  </si>
  <si>
    <t>204:232977</t>
  </si>
  <si>
    <t>204:232980</t>
  </si>
  <si>
    <t>204:233338</t>
  </si>
  <si>
    <t>204:170</t>
  </si>
  <si>
    <t>204:473</t>
  </si>
  <si>
    <t>204:165</t>
  </si>
  <si>
    <t>204:232979</t>
  </si>
  <si>
    <t>204:136</t>
  </si>
  <si>
    <t>204:139</t>
  </si>
  <si>
    <t>300:23299</t>
  </si>
  <si>
    <t>300:58626</t>
  </si>
  <si>
    <t>300:58933</t>
  </si>
  <si>
    <t>204:1020</t>
  </si>
  <si>
    <t>300:58615</t>
  </si>
  <si>
    <t>300:58604</t>
  </si>
  <si>
    <t>204:981</t>
  </si>
  <si>
    <t>300:58640</t>
  </si>
  <si>
    <t>204:705</t>
  </si>
  <si>
    <t>rtdc.l.rtdc.4055:itc</t>
  </si>
  <si>
    <t>rtdc.l.rtdc.4056:itc</t>
  </si>
  <si>
    <t>rtdc.l.rtdc.4023:itc</t>
  </si>
  <si>
    <t>rtdc.l.rtdc.4030:itc</t>
  </si>
  <si>
    <t>SPECTOR</t>
  </si>
  <si>
    <t>HELVIE</t>
  </si>
  <si>
    <t>ADAM</t>
  </si>
  <si>
    <t>rtdc.l.rtdc.4029:itc</t>
  </si>
  <si>
    <t>YANG</t>
  </si>
  <si>
    <t>JAN</t>
  </si>
  <si>
    <t>SANTIZO</t>
  </si>
  <si>
    <t>D. EDY</t>
  </si>
  <si>
    <t>DE LA ROSA</t>
  </si>
  <si>
    <t>ALEX</t>
  </si>
  <si>
    <t>STEWART</t>
  </si>
  <si>
    <t>STORY</t>
  </si>
  <si>
    <t>SAMANTHA</t>
  </si>
  <si>
    <t>rtdc.l.rtdc.4001:itc</t>
  </si>
  <si>
    <t>SAFIEF</t>
  </si>
  <si>
    <t>AEIMEN</t>
  </si>
  <si>
    <t>FORTUNATO</t>
  </si>
  <si>
    <t>FRANK</t>
  </si>
  <si>
    <t>NELSON</t>
  </si>
  <si>
    <t>ARIANE</t>
  </si>
  <si>
    <t>309-22</t>
  </si>
  <si>
    <t>244-22</t>
  </si>
  <si>
    <t>311-22</t>
  </si>
  <si>
    <t>313-22</t>
  </si>
  <si>
    <t>partly-cloudy-day</t>
  </si>
  <si>
    <t>204:701</t>
  </si>
  <si>
    <t>204:233306</t>
  </si>
  <si>
    <t>204:469</t>
  </si>
  <si>
    <t>204:161</t>
  </si>
  <si>
    <t>204:232973</t>
  </si>
  <si>
    <t>204:232994</t>
  </si>
  <si>
    <t>204:233407</t>
  </si>
  <si>
    <t>204:233000</t>
  </si>
  <si>
    <t>204:232969</t>
  </si>
  <si>
    <t>204:233323</t>
  </si>
  <si>
    <t>204:233297</t>
  </si>
  <si>
    <t>204:233364</t>
  </si>
  <si>
    <t>204:233398</t>
  </si>
  <si>
    <t>204:233295</t>
  </si>
  <si>
    <t>204:233400</t>
  </si>
  <si>
    <t>204:233299</t>
  </si>
  <si>
    <t>204:489</t>
  </si>
  <si>
    <t>204:233040</t>
  </si>
  <si>
    <t>204:232976</t>
  </si>
  <si>
    <t>204:130</t>
  </si>
  <si>
    <t>204:233047</t>
  </si>
  <si>
    <t>204:233015</t>
  </si>
  <si>
    <t>300:23449</t>
  </si>
  <si>
    <t>300:23304</t>
  </si>
  <si>
    <t>204:684</t>
  </si>
  <si>
    <t>204:1016</t>
  </si>
  <si>
    <t>204:1164</t>
  </si>
  <si>
    <t>300:23316</t>
  </si>
  <si>
    <t>204:1041</t>
  </si>
  <si>
    <t>204:971</t>
  </si>
  <si>
    <t>300:58638</t>
  </si>
  <si>
    <t>204:729</t>
  </si>
  <si>
    <t>300:58958</t>
  </si>
  <si>
    <t>300:58954</t>
  </si>
  <si>
    <t>204:722</t>
  </si>
  <si>
    <t>300:58941</t>
  </si>
  <si>
    <t>204:738</t>
  </si>
  <si>
    <t>300:58946</t>
  </si>
  <si>
    <t>300:58655</t>
  </si>
  <si>
    <t>204:687</t>
  </si>
  <si>
    <t>300:58973</t>
  </si>
  <si>
    <t>Onboard in-route failure</t>
  </si>
  <si>
    <t>Wi-MAX data drop</t>
  </si>
  <si>
    <t>rtdc.l.rtdc.4060:itc</t>
  </si>
  <si>
    <t>101-23</t>
  </si>
  <si>
    <t>106-23</t>
  </si>
  <si>
    <t>125-23</t>
  </si>
  <si>
    <t>rtdc.l.rtdc.4043:itc</t>
  </si>
  <si>
    <t>810-23</t>
  </si>
  <si>
    <t>71-23</t>
  </si>
  <si>
    <t>151-23</t>
  </si>
  <si>
    <t>144-23</t>
  </si>
  <si>
    <t>rtdc.l.rtdc.4013:itc</t>
  </si>
  <si>
    <t>146-23</t>
  </si>
  <si>
    <t>148-23</t>
  </si>
  <si>
    <t>155-23</t>
  </si>
  <si>
    <t>173-23</t>
  </si>
  <si>
    <t>rtdc.l.rtdc.4041:itc</t>
  </si>
  <si>
    <t>170-23</t>
  </si>
  <si>
    <t>rtdc.l.rtdc.4059:itc</t>
  </si>
  <si>
    <t>168-23</t>
  </si>
  <si>
    <t>rtdc.l.rtdc.4002:itc</t>
  </si>
  <si>
    <t>183-23</t>
  </si>
  <si>
    <t>172-23</t>
  </si>
  <si>
    <t>rtdc.l.rtdc.4066:itc</t>
  </si>
  <si>
    <t>823-23</t>
  </si>
  <si>
    <t>178-23</t>
  </si>
  <si>
    <t>186-23</t>
  </si>
  <si>
    <t>184-23</t>
  </si>
  <si>
    <t>rtdc.l.rtdc.4065:itc</t>
  </si>
  <si>
    <t>826-23</t>
  </si>
  <si>
    <t>197-23</t>
  </si>
  <si>
    <t>75-23</t>
  </si>
  <si>
    <t>77-23</t>
  </si>
  <si>
    <t>202-23</t>
  </si>
  <si>
    <t>217-23</t>
  </si>
  <si>
    <t>215-23</t>
  </si>
  <si>
    <t>836-23</t>
  </si>
  <si>
    <t>rtdc.l.rtdc.4044:itc</t>
  </si>
  <si>
    <t>839-23</t>
  </si>
  <si>
    <t>841-23</t>
  </si>
  <si>
    <t>220-23</t>
  </si>
  <si>
    <t>225-23</t>
  </si>
  <si>
    <t>226-23</t>
  </si>
  <si>
    <t>845-23</t>
  </si>
  <si>
    <t>844-23</t>
  </si>
  <si>
    <t>300-23</t>
  </si>
  <si>
    <t>51-23</t>
  </si>
  <si>
    <t>302-23</t>
  </si>
  <si>
    <t>52-23</t>
  </si>
  <si>
    <t>103-23</t>
  </si>
  <si>
    <t>304-23</t>
  </si>
  <si>
    <t>306-23</t>
  </si>
  <si>
    <t>102-23</t>
  </si>
  <si>
    <t>105-23</t>
  </si>
  <si>
    <t>rtdc.l.rtdc.4049:itc</t>
  </si>
  <si>
    <t>308-23</t>
  </si>
  <si>
    <t>WENDY</t>
  </si>
  <si>
    <t>107-23</t>
  </si>
  <si>
    <t>104-23</t>
  </si>
  <si>
    <t>109-23</t>
  </si>
  <si>
    <t>rtdc.l.rtdc.4046:itc</t>
  </si>
  <si>
    <t>901-23</t>
  </si>
  <si>
    <t>111-23</t>
  </si>
  <si>
    <t>310-23</t>
  </si>
  <si>
    <t>rtdc.l.rtdc.4045:itc</t>
  </si>
  <si>
    <t>800-23</t>
  </si>
  <si>
    <t>113-23</t>
  </si>
  <si>
    <t>108-23</t>
  </si>
  <si>
    <t>312-23</t>
  </si>
  <si>
    <t>115-23</t>
  </si>
  <si>
    <t>53-23</t>
  </si>
  <si>
    <t>54-23</t>
  </si>
  <si>
    <t>110-23</t>
  </si>
  <si>
    <t>902-23</t>
  </si>
  <si>
    <t>rtdc.l.rtdc.4014:itc</t>
  </si>
  <si>
    <t>117-23</t>
  </si>
  <si>
    <t>801-23</t>
  </si>
  <si>
    <t>112-23</t>
  </si>
  <si>
    <t>119-23</t>
  </si>
  <si>
    <t>803-23</t>
  </si>
  <si>
    <t>114-23</t>
  </si>
  <si>
    <t>802-23</t>
  </si>
  <si>
    <t>121-23</t>
  </si>
  <si>
    <t>CUSHING</t>
  </si>
  <si>
    <t>HARRY</t>
  </si>
  <si>
    <t>123-23</t>
  </si>
  <si>
    <t>116-23</t>
  </si>
  <si>
    <t>805-23</t>
  </si>
  <si>
    <t>118-23</t>
  </si>
  <si>
    <t>804-23</t>
  </si>
  <si>
    <t>120-23</t>
  </si>
  <si>
    <t>56-23</t>
  </si>
  <si>
    <t>127-23</t>
  </si>
  <si>
    <t>807-23</t>
  </si>
  <si>
    <t>806-23</t>
  </si>
  <si>
    <t>129-23</t>
  </si>
  <si>
    <t>122-23</t>
  </si>
  <si>
    <t>124-23</t>
  </si>
  <si>
    <t>131-23</t>
  </si>
  <si>
    <t>808-23</t>
  </si>
  <si>
    <t>126-23</t>
  </si>
  <si>
    <t>133-23</t>
  </si>
  <si>
    <t>128-23</t>
  </si>
  <si>
    <t>809-23</t>
  </si>
  <si>
    <t>135-23</t>
  </si>
  <si>
    <t>811-23</t>
  </si>
  <si>
    <t>130-23</t>
  </si>
  <si>
    <t>137-23</t>
  </si>
  <si>
    <t>132-23</t>
  </si>
  <si>
    <t>139-23</t>
  </si>
  <si>
    <t>134-23</t>
  </si>
  <si>
    <t>903-23</t>
  </si>
  <si>
    <t>812-23</t>
  </si>
  <si>
    <t>141-23</t>
  </si>
  <si>
    <t>143-23</t>
  </si>
  <si>
    <t>136-23</t>
  </si>
  <si>
    <t>813-23</t>
  </si>
  <si>
    <t>138-23</t>
  </si>
  <si>
    <t>145-23</t>
  </si>
  <si>
    <t>140-23</t>
  </si>
  <si>
    <t>147-23</t>
  </si>
  <si>
    <t>70-23</t>
  </si>
  <si>
    <t>814-23</t>
  </si>
  <si>
    <t>142-23</t>
  </si>
  <si>
    <t>149-23</t>
  </si>
  <si>
    <t>815-23</t>
  </si>
  <si>
    <t>153-23</t>
  </si>
  <si>
    <t>816-23</t>
  </si>
  <si>
    <t>58-23</t>
  </si>
  <si>
    <t>YORK</t>
  </si>
  <si>
    <t>EDGAR</t>
  </si>
  <si>
    <t>150-23</t>
  </si>
  <si>
    <t>157-23</t>
  </si>
  <si>
    <t>152-23</t>
  </si>
  <si>
    <t>159-23</t>
  </si>
  <si>
    <t>817-23</t>
  </si>
  <si>
    <t>161-23</t>
  </si>
  <si>
    <t>154-23</t>
  </si>
  <si>
    <t>156-23</t>
  </si>
  <si>
    <t>59-23</t>
  </si>
  <si>
    <t>163-23</t>
  </si>
  <si>
    <t>818-23</t>
  </si>
  <si>
    <t>158-23</t>
  </si>
  <si>
    <t>165-23</t>
  </si>
  <si>
    <t>160-23</t>
  </si>
  <si>
    <t>167-23</t>
  </si>
  <si>
    <t>819-23</t>
  </si>
  <si>
    <t>62-23</t>
  </si>
  <si>
    <t>162-23</t>
  </si>
  <si>
    <t>169-23</t>
  </si>
  <si>
    <t>LOPES</t>
  </si>
  <si>
    <t>KIMBERLY</t>
  </si>
  <si>
    <t>164-23</t>
  </si>
  <si>
    <t>63-23</t>
  </si>
  <si>
    <t>171-23</t>
  </si>
  <si>
    <t>820-23</t>
  </si>
  <si>
    <t>166-23</t>
  </si>
  <si>
    <t>175-23</t>
  </si>
  <si>
    <t>177-23</t>
  </si>
  <si>
    <t>821-23</t>
  </si>
  <si>
    <t>179-23</t>
  </si>
  <si>
    <t>KILLION</t>
  </si>
  <si>
    <t>57-23</t>
  </si>
  <si>
    <t>822-23</t>
  </si>
  <si>
    <t>174-23</t>
  </si>
  <si>
    <t>181-23</t>
  </si>
  <si>
    <t>176-23</t>
  </si>
  <si>
    <t>185-23</t>
  </si>
  <si>
    <t>180-23</t>
  </si>
  <si>
    <t>187-23</t>
  </si>
  <si>
    <t>182-23</t>
  </si>
  <si>
    <t>824-23</t>
  </si>
  <si>
    <t>189-23</t>
  </si>
  <si>
    <t>191-23</t>
  </si>
  <si>
    <t>193-23</t>
  </si>
  <si>
    <t>904-23</t>
  </si>
  <si>
    <t>825-23</t>
  </si>
  <si>
    <t>188-23</t>
  </si>
  <si>
    <t>195-23</t>
  </si>
  <si>
    <t>190-23</t>
  </si>
  <si>
    <t>192-23</t>
  </si>
  <si>
    <t>827-23</t>
  </si>
  <si>
    <t>199-23</t>
  </si>
  <si>
    <t>76-23</t>
  </si>
  <si>
    <t>828-23</t>
  </si>
  <si>
    <t>194-23</t>
  </si>
  <si>
    <t>201-23</t>
  </si>
  <si>
    <t>829-23</t>
  </si>
  <si>
    <t>203-23</t>
  </si>
  <si>
    <t>196-23</t>
  </si>
  <si>
    <t>831-23</t>
  </si>
  <si>
    <t>BADERTSCHER</t>
  </si>
  <si>
    <t>DIANE</t>
  </si>
  <si>
    <t>198-23</t>
  </si>
  <si>
    <t>205-23</t>
  </si>
  <si>
    <t>830-23</t>
  </si>
  <si>
    <t>207-23</t>
  </si>
  <si>
    <t>200-23</t>
  </si>
  <si>
    <t>78-23</t>
  </si>
  <si>
    <t>209-23</t>
  </si>
  <si>
    <t>832-23</t>
  </si>
  <si>
    <t>833-23</t>
  </si>
  <si>
    <t>204-23</t>
  </si>
  <si>
    <t>211-23</t>
  </si>
  <si>
    <t>206-23</t>
  </si>
  <si>
    <t>67-23</t>
  </si>
  <si>
    <t>ROBINSON</t>
  </si>
  <si>
    <t>KADDIBA</t>
  </si>
  <si>
    <t>834-23</t>
  </si>
  <si>
    <t>213-23</t>
  </si>
  <si>
    <t>RESPASS</t>
  </si>
  <si>
    <t>AARON</t>
  </si>
  <si>
    <t>835-23</t>
  </si>
  <si>
    <t>60-23</t>
  </si>
  <si>
    <t>HUFFSMITH</t>
  </si>
  <si>
    <t>MONTY</t>
  </si>
  <si>
    <t>208-23</t>
  </si>
  <si>
    <t>210-23</t>
  </si>
  <si>
    <t>837-23</t>
  </si>
  <si>
    <t>212-23</t>
  </si>
  <si>
    <t>219-23</t>
  </si>
  <si>
    <t>LAMAR</t>
  </si>
  <si>
    <t>NEKESHA</t>
  </si>
  <si>
    <t>301-23</t>
  </si>
  <si>
    <t>838-23</t>
  </si>
  <si>
    <t>214-23</t>
  </si>
  <si>
    <t>221-23</t>
  </si>
  <si>
    <t>216-23</t>
  </si>
  <si>
    <t>218-23</t>
  </si>
  <si>
    <t>906-23</t>
  </si>
  <si>
    <t>303-23</t>
  </si>
  <si>
    <t>223-23</t>
  </si>
  <si>
    <t>305-23</t>
  </si>
  <si>
    <t>840-23</t>
  </si>
  <si>
    <t>222-23</t>
  </si>
  <si>
    <t>224-23</t>
  </si>
  <si>
    <t>843-23</t>
  </si>
  <si>
    <t>227-23</t>
  </si>
  <si>
    <t>229-23</t>
  </si>
  <si>
    <t>842-23</t>
  </si>
  <si>
    <t>228-23</t>
  </si>
  <si>
    <t>231-23</t>
  </si>
  <si>
    <t>230-23</t>
  </si>
  <si>
    <t>233-23</t>
  </si>
  <si>
    <t>847-23</t>
  </si>
  <si>
    <t>232-23</t>
  </si>
  <si>
    <t>235-23</t>
  </si>
  <si>
    <t>908-23</t>
  </si>
  <si>
    <t>237-23</t>
  </si>
  <si>
    <t>234-23</t>
  </si>
  <si>
    <t>236-23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</si>
  <si>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</si>
  <si>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</si>
  <si>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</si>
  <si>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</si>
  <si>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</si>
  <si>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</si>
  <si>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</si>
  <si>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</si>
  <si>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</si>
  <si>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</si>
  <si>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</si>
  <si>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204:757</t>
  </si>
  <si>
    <t>204:233434</t>
  </si>
  <si>
    <t>204:233130</t>
  </si>
  <si>
    <t>204:233346</t>
  </si>
  <si>
    <t>204:233013</t>
  </si>
  <si>
    <t>204:433</t>
  </si>
  <si>
    <t>204:233303</t>
  </si>
  <si>
    <t>204:127849</t>
  </si>
  <si>
    <t>204:127268</t>
  </si>
  <si>
    <t>204:64169</t>
  </si>
  <si>
    <t>204:233341</t>
  </si>
  <si>
    <t>204:233011</t>
  </si>
  <si>
    <t>204:233383</t>
  </si>
  <si>
    <t>204:233431</t>
  </si>
  <si>
    <t>204:233113</t>
  </si>
  <si>
    <t>204:232986</t>
  </si>
  <si>
    <t>204:478</t>
  </si>
  <si>
    <t>204:233329</t>
  </si>
  <si>
    <t>204:233006</t>
  </si>
  <si>
    <t>204:233424</t>
  </si>
  <si>
    <t>204:233071</t>
  </si>
  <si>
    <t>204:233089</t>
  </si>
  <si>
    <t>204:233301</t>
  </si>
  <si>
    <t>204:232984</t>
  </si>
  <si>
    <t>204:232970</t>
  </si>
  <si>
    <t>204:233307</t>
  </si>
  <si>
    <t>204:233440</t>
  </si>
  <si>
    <t>204:233159</t>
  </si>
  <si>
    <t>204:233391</t>
  </si>
  <si>
    <t>204:233122</t>
  </si>
  <si>
    <t>204:232978</t>
  </si>
  <si>
    <t>204:233310</t>
  </si>
  <si>
    <t>204:233319</t>
  </si>
  <si>
    <t>204:233336</t>
  </si>
  <si>
    <t>204:233005</t>
  </si>
  <si>
    <t>204:233342</t>
  </si>
  <si>
    <t>204:233025</t>
  </si>
  <si>
    <t>204:233019</t>
  </si>
  <si>
    <t>204:233325</t>
  </si>
  <si>
    <t>204:127860</t>
  </si>
  <si>
    <t>204:144</t>
  </si>
  <si>
    <t>204:228588</t>
  </si>
  <si>
    <t>204:233408</t>
  </si>
  <si>
    <t>204:233102</t>
  </si>
  <si>
    <t>204:480</t>
  </si>
  <si>
    <t>204:233425</t>
  </si>
  <si>
    <t>204:233117</t>
  </si>
  <si>
    <t>204:1110</t>
  </si>
  <si>
    <t>204:233420</t>
  </si>
  <si>
    <t>204:233136</t>
  </si>
  <si>
    <t>204:233060</t>
  </si>
  <si>
    <t>204:1030</t>
  </si>
  <si>
    <t>204:233362</t>
  </si>
  <si>
    <t>204:233057</t>
  </si>
  <si>
    <t>204:3389</t>
  </si>
  <si>
    <t>204:15237</t>
  </si>
  <si>
    <t>204:482</t>
  </si>
  <si>
    <t>204:486</t>
  </si>
  <si>
    <t>204:232967</t>
  </si>
  <si>
    <t>204:1154</t>
  </si>
  <si>
    <t>204:233334</t>
  </si>
  <si>
    <t>204:233034</t>
  </si>
  <si>
    <t>204:398</t>
  </si>
  <si>
    <t>204:125</t>
  </si>
  <si>
    <t>204:233309</t>
  </si>
  <si>
    <t>204:232982</t>
  </si>
  <si>
    <t>204:132</t>
  </si>
  <si>
    <t>204:233361</t>
  </si>
  <si>
    <t>204:232975</t>
  </si>
  <si>
    <t>204:233042</t>
  </si>
  <si>
    <t>204:233078</t>
  </si>
  <si>
    <t>204:233023</t>
  </si>
  <si>
    <t>204:127761</t>
  </si>
  <si>
    <t>204:232971</t>
  </si>
  <si>
    <t>204:189</t>
  </si>
  <si>
    <t>204:233030</t>
  </si>
  <si>
    <t>204:475</t>
  </si>
  <si>
    <t>204:233285</t>
  </si>
  <si>
    <t>204:232983</t>
  </si>
  <si>
    <t>204:506</t>
  </si>
  <si>
    <t>204:233038</t>
  </si>
  <si>
    <t>204:429</t>
  </si>
  <si>
    <t>204:131</t>
  </si>
  <si>
    <t>204:137</t>
  </si>
  <si>
    <t>300:23737</t>
  </si>
  <si>
    <t>300:20133</t>
  </si>
  <si>
    <t>204:183</t>
  </si>
  <si>
    <t>300:20322</t>
  </si>
  <si>
    <t>300:22629</t>
  </si>
  <si>
    <t>204:419</t>
  </si>
  <si>
    <t>300:22331</t>
  </si>
  <si>
    <t>300:23620</t>
  </si>
  <si>
    <t>204:3568</t>
  </si>
  <si>
    <t>204:1162</t>
  </si>
  <si>
    <t>204:3253</t>
  </si>
  <si>
    <t>204:1177</t>
  </si>
  <si>
    <t>204:1484</t>
  </si>
  <si>
    <t>300:5627</t>
  </si>
  <si>
    <t>204:1006</t>
  </si>
  <si>
    <t>300:5308</t>
  </si>
  <si>
    <t>300:5292</t>
  </si>
  <si>
    <t>204:439</t>
  </si>
  <si>
    <t>300:5568</t>
  </si>
  <si>
    <t>300:21485</t>
  </si>
  <si>
    <t>204:882</t>
  </si>
  <si>
    <t>204:1201</t>
  </si>
  <si>
    <t>300:24224</t>
  </si>
  <si>
    <t>300:22870</t>
  </si>
  <si>
    <t>204:1947</t>
  </si>
  <si>
    <t>300:23190</t>
  </si>
  <si>
    <t>204:1721</t>
  </si>
  <si>
    <t>204:3199</t>
  </si>
  <si>
    <t>204:1475</t>
  </si>
  <si>
    <t>204:3534</t>
  </si>
  <si>
    <t>300:112188</t>
  </si>
  <si>
    <t>300:112260</t>
  </si>
  <si>
    <t>204:162</t>
  </si>
  <si>
    <t>300:112264</t>
  </si>
  <si>
    <t>204:924</t>
  </si>
  <si>
    <t>300:112273</t>
  </si>
  <si>
    <t>204:140</t>
  </si>
  <si>
    <t>204:1223</t>
  </si>
  <si>
    <t>300:112580</t>
  </si>
  <si>
    <t>204:448</t>
  </si>
  <si>
    <t>300:112483</t>
  </si>
  <si>
    <t>204:468</t>
  </si>
  <si>
    <t>300:30629</t>
  </si>
  <si>
    <t>300:112576</t>
  </si>
  <si>
    <t>204:459</t>
  </si>
  <si>
    <t>300:112261</t>
  </si>
  <si>
    <t>300:112201</t>
  </si>
  <si>
    <t>204:133</t>
  </si>
  <si>
    <t>300:112517</t>
  </si>
  <si>
    <t>300:112202</t>
  </si>
  <si>
    <t>300:28770</t>
  </si>
  <si>
    <t>300:58592</t>
  </si>
  <si>
    <t>204:713</t>
  </si>
  <si>
    <t>204:441</t>
  </si>
  <si>
    <t>300:58909</t>
  </si>
  <si>
    <t>300:58594</t>
  </si>
  <si>
    <t>204:178</t>
  </si>
  <si>
    <t>204:395</t>
  </si>
  <si>
    <t>300:58967</t>
  </si>
  <si>
    <t>300:58651</t>
  </si>
  <si>
    <t>204:733</t>
  </si>
  <si>
    <t>204:484</t>
  </si>
  <si>
    <t>300:58918</t>
  </si>
  <si>
    <t>300:58975</t>
  </si>
  <si>
    <t>300:58657</t>
  </si>
  <si>
    <t>300:58903</t>
  </si>
  <si>
    <t>204:734</t>
  </si>
  <si>
    <t>300:58984</t>
  </si>
  <si>
    <t>300:58670</t>
  </si>
  <si>
    <t>204:743</t>
  </si>
  <si>
    <t>204:1025</t>
  </si>
  <si>
    <t>300:58658</t>
  </si>
  <si>
    <t>204:1007</t>
  </si>
  <si>
    <t>300:58673</t>
  </si>
  <si>
    <t>204:766</t>
  </si>
  <si>
    <t>204:1060</t>
  </si>
  <si>
    <t>300:58647</t>
  </si>
  <si>
    <t>300:58952</t>
  </si>
  <si>
    <t>300:58656</t>
  </si>
  <si>
    <t>204:677</t>
  </si>
  <si>
    <t>204:943</t>
  </si>
  <si>
    <t>204:964</t>
  </si>
  <si>
    <t>204:955</t>
  </si>
  <si>
    <t>204:692</t>
  </si>
  <si>
    <t>300:58944</t>
  </si>
  <si>
    <t>204:712</t>
  </si>
  <si>
    <t>300:58943</t>
  </si>
  <si>
    <t>300:58619</t>
  </si>
  <si>
    <t>204:965</t>
  </si>
  <si>
    <t>300:58628</t>
  </si>
  <si>
    <t>204:993</t>
  </si>
  <si>
    <t>204:1021</t>
  </si>
  <si>
    <t>300:58920</t>
  </si>
  <si>
    <t>300:58634</t>
  </si>
  <si>
    <t>204:694</t>
  </si>
  <si>
    <t>300:58696</t>
  </si>
  <si>
    <t>204:656</t>
  </si>
  <si>
    <t>300:59018</t>
  </si>
  <si>
    <t>204:944</t>
  </si>
  <si>
    <t>300:29803</t>
  </si>
  <si>
    <t>300:58922</t>
  </si>
  <si>
    <t>300:19803</t>
  </si>
  <si>
    <t>204:95</t>
  </si>
  <si>
    <t>204:1035</t>
  </si>
  <si>
    <t>300:24241</t>
  </si>
  <si>
    <t>300:23574</t>
  </si>
  <si>
    <t>300:58596</t>
  </si>
  <si>
    <t>300:28784</t>
  </si>
  <si>
    <t>start /low /b %USERPROFILE%\Documents\GitHub\eaglep3\Utilities\DownloadLogsFromS3.py --loco 4027 --day 2017-08-23</t>
  </si>
  <si>
    <t>start /low /b %USERPROFILE%\Documents\GitHub\eaglep3\Utilities\DownloadLogsFromS3.py --loco 4041 --day 2017-08-23</t>
  </si>
  <si>
    <t>start /low /b %USERPROFILE%\Documents\GitHub\eaglep3\Utilities\DownloadLogsFromS3.py --loco 4013 --day 2017-08-23</t>
  </si>
  <si>
    <t>start /low /b %USERPROFILE%\Documents\GitHub\eaglep3\Utilities\DownloadLogsFromS3.py --loco 4011 --day 2017-08-23</t>
  </si>
  <si>
    <t>start /low /b %USERPROFILE%\Documents\GitHub\eaglep3\Utilities\DownloadLogsFromS3.py --loco 4029 --day 2017-08-23</t>
  </si>
  <si>
    <t>start /low /b %USERPROFILE%\Documents\GitHub\eaglep3\Utilities\DownloadLogsFromS3.py --loco 4012 --day 2017-08-23</t>
  </si>
  <si>
    <t>start /low /b %USERPROFILE%\Documents\GitHub\eaglep3\Utilities\DownloadLogsFromS3.py --loco 4002 --day 2017-08-23</t>
  </si>
  <si>
    <t>start /low /b %USERPROFILE%\Documents\GitHub\eaglep3\Utilities\DownloadLogsFromS3.py --loco 4027 --day 2017-08-24</t>
  </si>
  <si>
    <t>start /low /b %USERPROFILE%\Documents\GitHub\eaglep3\Utilities\DownloadLogsFromS3.py --loco 4001 --day 2017-08-23</t>
  </si>
  <si>
    <t>start /low /b %USERPROFILE%\Documents\GitHub\eaglep3\Utilities\DownloadLogsFromS3.py --loco 4039 --day 2017-08-23</t>
  </si>
  <si>
    <t>start /low /b %USERPROFILE%\Documents\GitHub\eaglep3\Utilities\DownloadLogsFromS3.py --loco 4050 --day 2017-08-23</t>
  </si>
  <si>
    <t>start /low /b %USERPROFILE%\Documents\GitHub\eaglep3\Utilities\DownloadLogsFromS3.py --loco 4028 --day 2017-08-24</t>
  </si>
  <si>
    <t>start /low /b %USERPROFILE%\Documents\GitHub\eaglep3\Utilities\DownloadLogsFromS3.py --loco 4012 --day 2017-08-24</t>
  </si>
  <si>
    <t>start /low /b %USERPROFILE%\Documents\GitHub\eaglep3\Utilities\DownloadLogsFromS3.py --loco 4029 --day 2017-08-24</t>
  </si>
  <si>
    <t>start /low /b %USERPROFILE%\Documents\GitHub\eaglep3\Utilities\DownloadLogsFromS3.py --loco 4059 --day 2017-08-23</t>
  </si>
  <si>
    <t>start /low /b %USERPROFILE%\Documents\GitHub\eaglep3\Utilities\DownloadLogsFromS3.py --loco 4060 --day 2017-08-23</t>
  </si>
  <si>
    <t>start /low /b %USERPROFILE%\Documents\GitHub\eaglep3\Utilities\DownloadLogsFromS3.py --loco 4042 --day 2017-08-23</t>
  </si>
  <si>
    <t>start /low /b %USERPROFILE%\Documents\GitHub\eaglep3\Utilities\DownloadLogsFromS3.py --loco 4065 --day 2017-08-23</t>
  </si>
  <si>
    <t>start /low /b %USERPROFILE%\Documents\GitHub\eaglep3\Utilities\DownloadLogsFromS3.py --loco 4043 --day 2017-08-23</t>
  </si>
  <si>
    <t>start /low /b %USERPROFILE%\Documents\GitHub\eaglep3\Utilities\DownloadLogsFromS3.py --loco 4043 --day 2017-08-24</t>
  </si>
  <si>
    <t>start /low /b %USERPROFILE%\Documents\GitHub\eaglep3\Utilities\DownloadLogsFromS3.py --loco 4065 --day 2017-08-24</t>
  </si>
  <si>
    <t>start /low /b %USERPROFILE%\Documents\GitHub\eaglep3\Utilities\DownloadLogsFromS3.py --loco 4066 --day 2017-08-23</t>
  </si>
  <si>
    <t>start /low /b %USERPROFILE%\Documents\GitHub\eaglep3\Utilities\DownloadLogsFromS3.py --loco 4044 --day 2017-08-24</t>
  </si>
  <si>
    <t>start /low /b %USERPROFILE%\Documents\GitHub\eaglep3\Utilities\DownloadLogsFromS3.py --loco 4066 --day 2017-08-24</t>
  </si>
  <si>
    <t>Delayed by door issues</t>
  </si>
  <si>
    <t>Cascade delay from 168</t>
  </si>
  <si>
    <t>Cut out in middle of DUS due to 168 issue</t>
  </si>
  <si>
    <t>Premature downgrade at 40th 2N</t>
  </si>
  <si>
    <t>Premature downgrade at EC0286RH 38-2T 2S</t>
  </si>
  <si>
    <t>14:17:56 - EC0286RH 38-2T 2S dropped from 270 to 0 while train was 121 feet approaching, do logs show anything unusual?</t>
  </si>
  <si>
    <t>Early Arrival; enforced for steadily accelerating towards Chambers</t>
  </si>
  <si>
    <t>Observed poor GPS at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</si>
</sst>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9"/>
  <sheetViews>
    <sheetView topLeftCell="A169" workbookViewId="0">
      <selection activeCell="R182" sqref="R18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4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4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42970</v>
      </c>
      <c r="J2" s="58"/>
      <c r="K2" s="59"/>
      <c r="L2" s="177"/>
      <c r="M2" s="60" t="s">
        <v>8</v>
      </c>
      <c r="N2" s="61"/>
      <c r="O2" s="62"/>
      <c r="P2" s="2"/>
      <c r="R2" s="57">
        <f>Variables!$A$2</f>
        <v>42970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82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187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COUNTIFS($N$13:$N$9302,"&gt;0",$AG$13:$AG$9302,I1)</f>
        <v>140</v>
      </c>
      <c r="K5" s="39"/>
      <c r="L5" s="187"/>
      <c r="M5" s="40">
        <f>AVERAGEIFS($N$13:$N$9302,$AG$13:$AG$9302,I1)</f>
        <v>38.169285714202225</v>
      </c>
      <c r="N5" s="38">
        <f t="array" ref="N5">MIN(IF($AG$13:$AG$9302=I1,IF(ISNUMBER($N$13:$N$9302),IF($N$13:$N$9302&gt;0,$N$13:$N$9302))))</f>
        <v>34.133333328645676</v>
      </c>
      <c r="O5" s="3">
        <f t="array" ref="O5">MAX(IF($AG$13:$AG$9302=I1,IF(ISNUMBER($N$13:$N$9302),IF($N$13:$N$9302&gt;0,$N$13:$N$9302))))</f>
        <v>74.11666666273959</v>
      </c>
      <c r="P5" s="2"/>
      <c r="R5" s="166" t="s">
        <v>17</v>
      </c>
      <c r="S5" s="186">
        <f>COUNTIFS($N$13:$N$9302,"&gt;0",$AG$13:$AG$9302,R1)</f>
        <v>47</v>
      </c>
      <c r="T5" s="187"/>
      <c r="U5" s="187"/>
      <c r="V5" s="183">
        <f>AVERAGEIFS($N$13:$N$9302,$AG$13:$AG$9302,R1)</f>
        <v>14.982624113054431</v>
      </c>
      <c r="W5" s="184">
        <f t="array" ref="W5">MIN(IF($AG$13:$AG$9302=R1,IF(ISNUMBER($N$13:$N$9302),IF($N$13:$N$9302&gt;0,$N$13:$N$9302))))</f>
        <v>12.683333333116025</v>
      </c>
      <c r="X5" s="185">
        <f t="array" ref="X5">MAX(IF($AG$13:$AG$9302=R1,IF(ISNUMBER($N$13:$N$9302),IF($N$13:$N$9302&gt;0,$N$13:$N$9302))))</f>
        <v>18.383333324454725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COUNT($O$13:$O$126)</f>
        <v>0</v>
      </c>
      <c r="K6" s="39"/>
      <c r="L6" s="187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67" t="s">
        <v>43</v>
      </c>
      <c r="S6" s="186">
        <f>COUNT($O$13:$O$126)</f>
        <v>0</v>
      </c>
      <c r="T6" s="187"/>
      <c r="U6" s="187"/>
      <c r="V6" s="183">
        <f>IFERROR(AVERAGE($O$13:$O$126),0)</f>
        <v>0</v>
      </c>
      <c r="W6" s="184">
        <f>MIN($O$13:$O$126)</f>
        <v>0</v>
      </c>
      <c r="X6" s="185">
        <f>MAX($O$13:$O$126)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COUNTIFS($P$13:$P$9302,"&gt;0",$AG$13:$AG$9302,I1)</f>
        <v>4</v>
      </c>
      <c r="K7" s="39"/>
      <c r="L7" s="187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COUNTIFS($P$13:$P$9302,"&gt;0",$AG$13:$AG$9302,R1)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87"/>
      <c r="M8" s="40">
        <f>M5</f>
        <v>38.169285714202225</v>
      </c>
      <c r="N8" s="38">
        <f>N5</f>
        <v>34.133333328645676</v>
      </c>
      <c r="O8" s="3">
        <f>O5</f>
        <v>74.11666666273959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14.982624113054431</v>
      </c>
      <c r="W8" s="184">
        <f>W5</f>
        <v>12.683333333116025</v>
      </c>
      <c r="X8" s="185">
        <f>X5</f>
        <v>18.383333324454725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174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4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8" t="str">
        <f>"Eagle P3 System Performance - "&amp;TEXT(Variables!A2,"yyyy-mm-dd")</f>
        <v>Eagle P3 System Performance - 2017-08-23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11">
        <f>AVERAGE(S13:S101)</f>
        <v>0.99712643678160917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6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550</v>
      </c>
      <c r="B13" s="7">
        <v>4060</v>
      </c>
      <c r="C13" s="21" t="s">
        <v>197</v>
      </c>
      <c r="D13" s="21" t="s">
        <v>809</v>
      </c>
      <c r="E13" s="13">
        <v>42970.131655092591</v>
      </c>
      <c r="F13" s="13">
        <v>42970.135949074072</v>
      </c>
      <c r="G13" s="7">
        <v>1</v>
      </c>
      <c r="H13" s="21" t="s">
        <v>810</v>
      </c>
      <c r="I13" s="13">
        <v>42970.161886574075</v>
      </c>
      <c r="J13" s="7">
        <v>1</v>
      </c>
      <c r="K13" s="89" t="str">
        <f>IF(ISEVEN(B13),(B13-1)&amp;"/"&amp;B13,B13&amp;"/"&amp;(B13+1))</f>
        <v>4059/4060</v>
      </c>
      <c r="L13" s="217" t="str">
        <f>VLOOKUP(A13,'Trips&amp;Operators'!$C$1:$G$99911,5,FALSE)</f>
        <v>BONDS REYNALDO</v>
      </c>
      <c r="M13" s="6">
        <f>I13-F13</f>
        <v>2.5937500002328306E-2</v>
      </c>
      <c r="N13" s="7">
        <f>24*60*SUM($M13:$M13)</f>
        <v>37.350000003352761</v>
      </c>
      <c r="O13" s="7"/>
      <c r="P13" s="7"/>
      <c r="Q13" s="22"/>
      <c r="R13" s="170"/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-23T02:09:35-0600',mode:absolute,to:'2017-08-23T04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7.5700000000000003E-2</v>
      </c>
      <c r="Z13" s="197">
        <f>RIGHT(H13,LEN(H13)-4)/10000</f>
        <v>23.343399999999999</v>
      </c>
      <c r="AA13" s="197">
        <f>ABS(Z13-Y13)</f>
        <v>23.267699999999998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"%USERPROFILE%\AppData\Local\Temp\OnboardLogs"\RTDC4060\2017-08-23 --exclude "*" --recursive --include "*20170823*" &amp; "%USERPROFILE%\Documents\GitHub\mrs-test-scripts\Headless Mode &amp; Sideloading\WalkAndUnGZ.bat" "%USERPROFILE%\AppData\Local\Temp\OnboardLogs"\RTDC4060\2017-08-23 &amp; aws s3 cp s3://rtdc.mdm.uploadarchive.raw/RTDC4060/ "%USERPROFILE%\AppData\Local\Temp\OnboardLogs"\RTDC4060\2017-08-24 --exclude "*" --recursive --include "*20170824*" &amp; "%USERPROFILE%\Documents\GitHub\mrs-test-scripts\Headless Mode &amp; Sideloading\WalkAndUnGZ.bat" "%USERPROFILE%\AppData\Local\Temp\OnboardLogs"\RTDC4060\2017-08-24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/stypes="app*4060*20170823*"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4060 --swversion DE.1.0.9.0 --startMP 204:757 --initTime 2017-08-23T03:09:35 --startdatetime 2017-08-23T03:15:46 --delay 1 --endMP 204:233434 --enddatetime 2017-08-23T03:53:07 --enforcementcount 1 &gt;&gt;C:\Users\stu\Documents\GitHub\eaglep3-reporting\EC\2017-08-23-refined-times.txt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{"issue":{"subject":"","project_id":79,"tracker_id":40,"status_id":1,"priority_id":2,"assigned_to_id":23,"start_date":"2017-08-23","description":"","custom_fields":[{"id":1,"name":"Subdivision","value":"EC"},{"id":4,"name":"Milepost","value":"23.3434"},{"id":17,"name":"Train ID","value":"101-23"},{"id":16,"name":"Locomotive ID","value":"4060"},{"id":130,"name":"Impact","value":""},{"id":150,"name":"Time of Event (Mountain Time)","value":"03:53:07"},{"id":151,"name":"Denver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4060 --day 2017-08-23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09:53:07"},{"id":29,"name":"Sharepoint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599</v>
      </c>
      <c r="B14" s="7">
        <v>4059</v>
      </c>
      <c r="C14" s="21" t="s">
        <v>197</v>
      </c>
      <c r="D14" s="21" t="s">
        <v>811</v>
      </c>
      <c r="E14" s="13">
        <v>42970.169212962966</v>
      </c>
      <c r="F14" s="13">
        <v>42970.175219907411</v>
      </c>
      <c r="G14" s="7">
        <v>1</v>
      </c>
      <c r="H14" s="21" t="s">
        <v>339</v>
      </c>
      <c r="I14" s="13">
        <v>42970.202291666668</v>
      </c>
      <c r="J14" s="7">
        <v>1</v>
      </c>
      <c r="K14" s="89" t="str">
        <f>IF(ISEVEN(B14),(B14-1)&amp;"/"&amp;B14,B14&amp;"/"&amp;(B14+1))</f>
        <v>4059/4060</v>
      </c>
      <c r="L14" s="217" t="str">
        <f>VLOOKUP(A14,'Trips&amp;Operators'!$C$1:$G$99911,5,FALSE)</f>
        <v>BONDS REYNALDO</v>
      </c>
      <c r="M14" s="6">
        <f>I14-F14</f>
        <v>2.7071759257523809E-2</v>
      </c>
      <c r="N14" s="7">
        <f>24*60*SUM($M14:$M14)</f>
        <v>38.983333330834284</v>
      </c>
      <c r="O14" s="7"/>
      <c r="P14" s="7"/>
      <c r="Q14" s="22"/>
      <c r="R14" s="170"/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-08-23T03:03:40-0600',mode:absolute,to:'2017-08-23T05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23.312999999999999</v>
      </c>
      <c r="Z14" s="197">
        <f>RIGHT(H14,LEN(H14)-4)/10000</f>
        <v>1.49E-2</v>
      </c>
      <c r="AA14" s="197">
        <f>ABS(Z14-Y14)</f>
        <v>23.298099999999998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s3://rtdc.mdm.uploadarchive.raw/RTDC4059/ "%USERPROFILE%\AppData\Local\Temp\OnboardLogs"\RTDC4059\2017-08-23 --exclude "*" --recursive --include "*20170823*" &amp; "%USERPROFILE%\Documents\GitHub\mrs-test-scripts\Headless Mode &amp; Sideloading\WalkAndUnGZ.bat" "%USERPROFILE%\AppData\Local\Temp\OnboardLogs"\RTDC4059\2017-08-23 &amp; aws s3 cp s3://rtdc.mdm.uploadarchive.raw/RTDC4059/ "%USERPROFILE%\AppData\Local\Temp\OnboardLogs"\RTDC4059\2017-08-24 --exclude "*" --recursive --include "*20170824*" &amp; "%USERPROFILE%\Documents\GitHub\mrs-test-scripts\Headless Mode &amp; Sideloading\WalkAndUnGZ.bat" "%USERPROFILE%\AppData\Local\Temp\OnboardLogs"\RTDC4059\2017-08-24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/stypes="app*4059*20170823*"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4059 --swversion DE.1.0.9.0 --startMP 204:233130 --initTime 2017-08-23T04:03:40 --startdatetime 2017-08-23T04:12:19 --delay 1 --endMP 204:149 --enddatetime 2017-08-23T04:51:18 --enforcementcount 1 &gt;&gt;C:\Users\stu\Documents\GitHub\eaglep3-reporting\EC\2017-08-23-refined-times.txt</v>
      </c>
      <c r="AI14" s="96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{"issue":{"subject":"","project_id":79,"tracker_id":40,"status_id":1,"priority_id":2,"assigned_to_id":23,"start_date":"2017-08-23","description":"","custom_fields":[{"id":1,"name":"Subdivision","value":"EC"},{"id":4,"name":"Milepost","value":"0.0149"},{"id":17,"name":"Train ID","value":"102-23"},{"id":16,"name":"Locomotive ID","value":"4059"},{"id":130,"name":"Impact","value":""},{"id":150,"name":"Time of Event (Mountain Time)","value":"04:51:18"},{"id":151,"name":"Denver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6">"start /low /b "&amp;dls3logs&amp;" --loco "&amp;B14&amp;" --day "&amp;TEXT(F14,"YYYY-MM-DD")</f>
        <v>start /low /b %USERPROFILE%\Documents\GitHub\eaglep3\Utilities\DownloadLogsFromS3.py --loco 4059 --day 2017-08-23</v>
      </c>
      <c r="AN14" s="151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10:51:18"},{"id":29,"name":"Sharepoint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596</v>
      </c>
      <c r="B15" s="7">
        <v>4040</v>
      </c>
      <c r="C15" s="21" t="s">
        <v>197</v>
      </c>
      <c r="D15" s="21" t="s">
        <v>372</v>
      </c>
      <c r="E15" s="13">
        <v>42970.151574074072</v>
      </c>
      <c r="F15" s="13">
        <v>42970.156793981485</v>
      </c>
      <c r="G15" s="7">
        <v>1</v>
      </c>
      <c r="H15" s="21" t="s">
        <v>812</v>
      </c>
      <c r="I15" s="13">
        <v>42970.182743055557</v>
      </c>
      <c r="J15" s="7">
        <v>1</v>
      </c>
      <c r="K15" s="89" t="str">
        <f>IF(ISEVEN(B15),(B15-1)&amp;"/"&amp;B15,B15&amp;"/"&amp;(B15+1))</f>
        <v>4039/4040</v>
      </c>
      <c r="L15" s="217" t="str">
        <f>VLOOKUP(A15,'Trips&amp;Operators'!$C$1:$G$99911,5,FALSE)</f>
        <v>MAELZER KURT</v>
      </c>
      <c r="M15" s="6">
        <f>I15-F15</f>
        <v>2.5949074071832001E-2</v>
      </c>
      <c r="N15" s="7">
        <f>24*60*SUM($M15:$M15)</f>
        <v>37.366666663438082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-08-23T02:38:16-0600',mode:absolute,to:'2017-08-23T05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4.5699999999999998E-2</v>
      </c>
      <c r="Z15" s="197">
        <f>RIGHT(H15,LEN(H15)-4)/10000</f>
        <v>23.334599999999998</v>
      </c>
      <c r="AA15" s="197">
        <f>ABS(Z15-Y15)</f>
        <v>23.288899999999998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s3://rtdc.mdm.uploadarchive.raw/RTDC4040/ "%USERPROFILE%\AppData\Local\Temp\OnboardLogs"\RTDC4040\2017-08-23 --exclude "*" --recursive --include "*20170823*" &amp; "%USERPROFILE%\Documents\GitHub\mrs-test-scripts\Headless Mode &amp; Sideloading\WalkAndUnGZ.bat" "%USERPROFILE%\AppData\Local\Temp\OnboardLogs"\RTDC4040\2017-08-23 &amp; 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/stypes="app*4040*20170823*"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103-23 --locoid 4040 --swversion DE.1.0.9.0 --startMP 204:457 --initTime 2017-08-23T03:38:16 --startdatetime 2017-08-23T03:45:47 --delay 1 --endMP 204:233346 --enddatetime 2017-08-23T04:23:09 --enforcementcount 1 &gt;&gt;C:\Users\stu\Documents\GitHub\eaglep3-reporting\EC\2017-08-23-refined-times.txt</v>
      </c>
      <c r="AI15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{"issue":{"subject":"","project_id":79,"tracker_id":40,"status_id":1,"priority_id":2,"assigned_to_id":23,"start_date":"2017-08-23","description":"","custom_fields":[{"id":1,"name":"Subdivision","value":"EC"},{"id":4,"name":"Milepost","value":"23.3346"},{"id":17,"name":"Train ID","value":"103-23"},{"id":16,"name":"Locomotive ID","value":"4040"},{"id":130,"name":"Impact","value":""},{"id":150,"name":"Time of Event (Mountain Time)","value":"04:23:09"},{"id":151,"name":"Denver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4040 --day 2017-08-23</v>
      </c>
      <c r="AN15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10:23:09"},{"id":29,"name":"Sharepoint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605</v>
      </c>
      <c r="B16" s="7">
        <v>4039</v>
      </c>
      <c r="C16" s="21" t="s">
        <v>197</v>
      </c>
      <c r="D16" s="21" t="s">
        <v>813</v>
      </c>
      <c r="E16" s="13">
        <v>42970.187604166669</v>
      </c>
      <c r="F16" s="13">
        <v>42970.196238425924</v>
      </c>
      <c r="G16" s="7">
        <v>1</v>
      </c>
      <c r="H16" s="21" t="s">
        <v>340</v>
      </c>
      <c r="I16" s="13">
        <v>42970.223090277781</v>
      </c>
      <c r="J16" s="7">
        <v>1</v>
      </c>
      <c r="K16" s="89" t="str">
        <f>IF(ISEVEN(B16),(B16-1)&amp;"/"&amp;B16,B16&amp;"/"&amp;(B16+1))</f>
        <v>4039/4040</v>
      </c>
      <c r="L16" s="217" t="str">
        <f>VLOOKUP(A16,'Trips&amp;Operators'!$C$1:$G$99911,5,FALSE)</f>
        <v>MAELZER KURT</v>
      </c>
      <c r="M16" s="6">
        <f>I16-F16</f>
        <v>2.6851851856918074E-2</v>
      </c>
      <c r="N16" s="7">
        <f>24*60*SUM($M16:$M16)</f>
        <v>38.666666673962027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-08-23T03:30:09-0600',mode:absolute,to:'2017-08-23T06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23.301300000000001</v>
      </c>
      <c r="Z16" s="197">
        <f>RIGHT(H16,LEN(H16)-4)/10000</f>
        <v>1.43E-2</v>
      </c>
      <c r="AA16" s="197">
        <f>ABS(Z16-Y16)</f>
        <v>23.287000000000003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/stypes="app*4039*20170823*"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104-23 --locoid 4039 --swversion DE.1.0.9.0 --startMP 204:233013 --initTime 2017-08-23T04:30:09 --startdatetime 2017-08-23T04:42:35 --delay 1 --endMP 204:143 --enddatetime 2017-08-23T05:21:15 --enforcementcount 1 &gt;&gt;C:\Users\stu\Documents\GitHub\eaglep3-reporting\EC\2017-08-23-refined-times.txt</v>
      </c>
      <c r="AI16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{"issue":{"subject":"","project_id":79,"tracker_id":40,"status_id":1,"priority_id":2,"assigned_to_id":23,"start_date":"2017-08-23","description":"","custom_fields":[{"id":1,"name":"Subdivision","value":"EC"},{"id":4,"name":"Milepost","value":"0.0143"},{"id":17,"name":"Train ID","value":"104-23"},{"id":16,"name":"Locomotive ID","value":"4039"},{"id":130,"name":"Impact","value":""},{"id":150,"name":"Time of Event (Mountain Time)","value":"05:21:15"},{"id":151,"name":"Denver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4039 --day 2017-08-23</v>
      </c>
      <c r="AN16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600</v>
      </c>
      <c r="B17" s="7">
        <v>4028</v>
      </c>
      <c r="C17" s="21" t="s">
        <v>197</v>
      </c>
      <c r="D17" s="21" t="s">
        <v>814</v>
      </c>
      <c r="E17" s="13">
        <v>42970.173483796294</v>
      </c>
      <c r="F17" s="13">
        <v>42970.177604166667</v>
      </c>
      <c r="G17" s="7">
        <v>1</v>
      </c>
      <c r="H17" s="21" t="s">
        <v>815</v>
      </c>
      <c r="I17" s="13">
        <v>42970.202210648145</v>
      </c>
      <c r="J17" s="7">
        <v>1</v>
      </c>
      <c r="K17" s="89" t="str">
        <f>IF(ISEVEN(B17),(B17-1)&amp;"/"&amp;B17,B17&amp;"/"&amp;(B17+1))</f>
        <v>4027/4028</v>
      </c>
      <c r="L17" s="217" t="str">
        <f>VLOOKUP(A17,'Trips&amp;Operators'!$C$1:$G$99911,5,FALSE)</f>
        <v>STARKS ANGELINA</v>
      </c>
      <c r="M17" s="6">
        <f>I17-F17</f>
        <v>2.4606481478258502E-2</v>
      </c>
      <c r="N17" s="7">
        <f>24*60*SUM($M17:$M17)</f>
        <v>35.433333328692243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-08-23T03:09:49-0600',mode:absolute,to:'2017-08-23T05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4.3299999999999998E-2</v>
      </c>
      <c r="Z17" s="197">
        <f>RIGHT(H17,LEN(H17)-4)/10000</f>
        <v>23.330300000000001</v>
      </c>
      <c r="AA17" s="197">
        <f>ABS(Z17-Y17)</f>
        <v>23.287000000000003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/stypes="app*4028*20170823*"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105-23 --locoid 4028 --swversion DE.1.0.9.0 --startMP 204:433 --initTime 2017-08-23T04:09:49 --startdatetime 2017-08-23T04:15:45 --delay 1 --endMP 204:233303 --enddatetime 2017-08-23T04:51:11 --enforcementcount 1 &gt;&gt;C:\Users\stu\Documents\GitHub\eaglep3-reporting\EC\2017-08-23-refined-times.txt</v>
      </c>
      <c r="AI17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{"issue":{"subject":"","project_id":79,"tracker_id":40,"status_id":1,"priority_id":2,"assigned_to_id":23,"start_date":"2017-08-23","description":"","custom_fields":[{"id":1,"name":"Subdivision","value":"EC"},{"id":4,"name":"Milepost","value":"23.3303"},{"id":17,"name":"Train ID","value":"105-23"},{"id":16,"name":"Locomotive ID","value":"4028"},{"id":130,"name":"Impact","value":""},{"id":150,"name":"Time of Event (Mountain Time)","value":"04:51:11"},{"id":151,"name":"Denver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4028 --day 2017-08-23</v>
      </c>
      <c r="AN17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551</v>
      </c>
      <c r="B18" s="7">
        <v>4027</v>
      </c>
      <c r="C18" s="21" t="s">
        <v>197</v>
      </c>
      <c r="D18" s="21" t="s">
        <v>816</v>
      </c>
      <c r="E18" s="13">
        <v>42970.226921296293</v>
      </c>
      <c r="F18" s="13">
        <v>42970.236030092594</v>
      </c>
      <c r="G18" s="7">
        <v>0</v>
      </c>
      <c r="H18" s="21" t="s">
        <v>817</v>
      </c>
      <c r="I18" s="13">
        <v>42970.246539351851</v>
      </c>
      <c r="J18" s="7">
        <v>1</v>
      </c>
      <c r="K18" s="89" t="str">
        <f>IF(ISEVEN(B18),(B18-1)&amp;"/"&amp;B18,B18&amp;"/"&amp;(B18+1))</f>
        <v>4027/4028</v>
      </c>
      <c r="L18" s="217" t="str">
        <f>VLOOKUP(A18,'Trips&amp;Operators'!$C$1:$G$99911,5,FALSE)</f>
        <v>STARKS ANGELINA</v>
      </c>
      <c r="M18" s="6">
        <f>I18-F18</f>
        <v>1.0509259256650694E-2</v>
      </c>
      <c r="N18" s="7"/>
      <c r="O18" s="7"/>
      <c r="P18" s="7">
        <f>24*60*SUM($M18:$M18)</f>
        <v>15.133333329576999</v>
      </c>
      <c r="Q18" s="22"/>
      <c r="R18" s="170" t="s">
        <v>547</v>
      </c>
      <c r="S18" s="213">
        <f>1/IF(AG18="EC",12,1)*SUM(U18:U19)</f>
        <v>0.75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-08-23T04:26:46-0600',mode:absolute,to:'2017-08-23T06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7" t="str">
        <f>IF(AA18&lt;VLOOKUP(AG18,Variables!$AC$3:$AD$8,2,FALSE),"Y","N")</f>
        <v>Y</v>
      </c>
      <c r="X18" s="197">
        <f>VALUE(LEFT(AD18,4))-VALUE(LEFT(AD17,4))</f>
        <v>1</v>
      </c>
      <c r="Y18" s="197">
        <f>RIGHT(D18,LEN(D18)-4)/10000</f>
        <v>12.7849</v>
      </c>
      <c r="Z18" s="197">
        <f>RIGHT(H18,LEN(H18)-4)/10000</f>
        <v>12.726800000000001</v>
      </c>
      <c r="AA18" s="197">
        <f>ABS(Z18-Y18)</f>
        <v>5.8099999999999596E-2</v>
      </c>
      <c r="AB18" s="54" t="e">
        <f>VLOOKUP(A18,Enforcements!$C$7:$K$11,8,0)</f>
        <v>#N/A</v>
      </c>
      <c r="AC18" s="51" t="e">
        <f>VLOOKUP(A18,Enforcements!$C$7:$E$11,3,0)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/stypes="app*4027*20170823*"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106-23 --locoid 4027 --swversion DE.1.0.9.0 --startMP 204:127849 --initTime 2017-08-23T05:26:46 --startdatetime 2017-08-23T05:39:53 --delay 0 --endMP 204:127268 --enddatetime 2017-08-23T05:55:01 --enforcementcount 1 &gt;&gt;C:\Users\stu\Documents\GitHub\eaglep3-reporting\EC\2017-08-23-refined-times.txt</v>
      </c>
      <c r="AI18" s="96" t="str">
        <f t="shared" si="5"/>
        <v>echo {"issue":{"subject":"Onboard in-route failure","project_id":79,"tracker_id":40,"status_id":1,"priority_id":2,"assigned_to_id":23,"start_date":"2017-08-23","description":"","custom_fields":[{"id":1,"name":"Subdivision","value":"EC"},{"id":4,"name":"Milepost","value":"12.7268"},{"id":17,"name":"Train ID","value":"106-23"},{"id":16,"name":"Locomotive ID","value":"4027"},{"id":130,"name":"Impact","value":""},{"id":150,"name":"Time of Event (Mountain Time)","value":"05:55:01"},{"id":151,"name":"Denver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4027 --day 2017-08-23</v>
      </c>
      <c r="AN18" s="151" t="str">
        <f t="shared" si="7"/>
        <v>echo {"issue":{"subject":"Onboard in-route failure","project_id":30,"tracker_id":4,"status_id":1,"priority_id":1,"assigned_to_id":10,"start_date":"2017-08-23","description":"","custom_fields":[{"id":30,"name":"Category","value":"Issue"},{"id":3,"name":"Functional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551</v>
      </c>
      <c r="B19" s="7">
        <v>4027</v>
      </c>
      <c r="C19" s="21" t="s">
        <v>197</v>
      </c>
      <c r="D19" s="21" t="s">
        <v>818</v>
      </c>
      <c r="E19" s="13">
        <v>42970.234942129631</v>
      </c>
      <c r="F19" s="13">
        <v>42970.236030092594</v>
      </c>
      <c r="G19" s="7">
        <v>1</v>
      </c>
      <c r="H19" s="21" t="s">
        <v>350</v>
      </c>
      <c r="I19" s="13">
        <v>42970.246539351851</v>
      </c>
      <c r="J19" s="7">
        <v>1</v>
      </c>
      <c r="K19" s="89" t="str">
        <f>IF(ISEVEN(B19),(B19-1)&amp;"/"&amp;B19,B19&amp;"/"&amp;(B19+1))</f>
        <v>4027/4028</v>
      </c>
      <c r="L19" s="217" t="str">
        <f>VLOOKUP(A19,'Trips&amp;Operators'!$C$1:$G$99911,5,FALSE)</f>
        <v>STARKS ANGELINA</v>
      </c>
      <c r="M19" s="6">
        <f>I19-F19</f>
        <v>1.0509259256650694E-2</v>
      </c>
      <c r="N19" s="7"/>
      <c r="O19" s="7"/>
      <c r="P19" s="7"/>
      <c r="Q19" s="22"/>
      <c r="R19" s="170"/>
      <c r="S19" s="213"/>
      <c r="T19" s="195" t="str">
        <f>IF(ISEVEN(LEFT(AD19,4)),"Southbound","NorthBound")</f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9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-08-23T04:38:19-0600',mode:absolute,to:'2017-08-23T06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" s="197" t="str">
        <f>IF(AA19&lt;VLOOKUP(AG19,Variables!$AC$3:$AD$8,2,FALSE),"Y","N")</f>
        <v>Y</v>
      </c>
      <c r="X19" s="197">
        <f>VALUE(LEFT(AD19,4))-VALUE(LEFT(AD18,4))</f>
        <v>0</v>
      </c>
      <c r="Y19" s="197">
        <f>RIGHT(D19,LEN(D19)-4)/10000</f>
        <v>6.4169</v>
      </c>
      <c r="Z19" s="197">
        <f>RIGHT(H19,LEN(H19)-4)/10000</f>
        <v>1.54E-2</v>
      </c>
      <c r="AA19" s="197">
        <f>ABS(Z19-Y19)</f>
        <v>6.4015000000000004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>VALUE(LEFT(A19,LEN(A19)-3))</f>
        <v>106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/stypes="app*4027*20170823*"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106-23 --locoid 4027 --swversion DE.1.0.9.0 --startMP 204:64169 --initTime 2017-08-23T05:38:19 --startdatetime 2017-08-23T05:39:53 --delay 1 --endMP 204:154 --enddatetime 2017-08-23T05:55:01 --enforcementcount 1 &gt;&gt;C:\Users\stu\Documents\GitHub\eaglep3-reporting\EC\2017-08-23-refined-times.txt</v>
      </c>
      <c r="AI19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{"issue":{"subject":"","project_id":79,"tracker_id":40,"status_id":1,"priority_id":2,"assigned_to_id":23,"start_date":"2017-08-23","description":"","custom_fields":[{"id":1,"name":"Subdivision","value":"EC"},{"id":4,"name":"Milepost","value":"0.0154"},{"id":17,"name":"Train ID","value":"106-23"},{"id":16,"name":"Locomotive ID","value":"4027"},{"id":130,"name":"Impact","value":""},{"id":150,"name":"Time of Event (Mountain Time)","value":"05:55:01"},{"id":151,"name":"Denver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4027 --day 2017-08-23</v>
      </c>
      <c r="AN19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604</v>
      </c>
      <c r="B20" s="7">
        <v>4030</v>
      </c>
      <c r="C20" s="21" t="s">
        <v>197</v>
      </c>
      <c r="D20" s="21" t="s">
        <v>370</v>
      </c>
      <c r="E20" s="13">
        <v>42970.186203703706</v>
      </c>
      <c r="F20" s="13">
        <v>42970.188414351855</v>
      </c>
      <c r="G20" s="7">
        <v>1</v>
      </c>
      <c r="H20" s="21" t="s">
        <v>395</v>
      </c>
      <c r="I20" s="13">
        <v>42970.212824074071</v>
      </c>
      <c r="J20" s="7">
        <v>1</v>
      </c>
      <c r="K20" s="89" t="str">
        <f>IF(ISEVEN(B20),(B20-1)&amp;"/"&amp;B20,B20&amp;"/"&amp;(B20+1))</f>
        <v>4029/4030</v>
      </c>
      <c r="L20" s="217" t="str">
        <f>VLOOKUP(A20,'Trips&amp;Operators'!$C$1:$G$99911,5,FALSE)</f>
        <v>HELVIE ADAM</v>
      </c>
      <c r="M20" s="6">
        <f>I20-F20</f>
        <v>2.4409722216660157E-2</v>
      </c>
      <c r="N20" s="7">
        <f>24*60*SUM($M20:$M20)</f>
        <v>35.149999991990626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-08-23T03:28:08-0600',mode:absolute,to:'2017-08-23T06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4.5999999999999999E-2</v>
      </c>
      <c r="Z20" s="197">
        <f>RIGHT(H20,LEN(H20)-4)/10000</f>
        <v>23.3308</v>
      </c>
      <c r="AA20" s="197">
        <f>ABS(Z20-Y20)</f>
        <v>23.284800000000001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>VALUE(LEFT(A20,LEN(A20)-3))</f>
        <v>107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/stypes="app*4030*20170823*" /stext=" 11:.+((SYSTEM_STATE.+slice.+state.+changed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107-23 --locoid 4030 --swversion DE.1.0.9.0 --startMP 204:460 --initTime 2017-08-23T04:28:08 --startdatetime 2017-08-23T04:31:19 --delay 1 --endMP 204:233308 --enddatetime 2017-08-23T05:06:28 --enforcementcount 1 &gt;&gt;C:\Users\stu\Documents\GitHub\eaglep3-reporting\EC\2017-08-23-refined-times.txt</v>
      </c>
      <c r="AI20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{"issue":{"subject":"","project_id":79,"tracker_id":40,"status_id":1,"priority_id":2,"assigned_to_id":23,"start_date":"2017-08-23","description":"","custom_fields":[{"id":1,"name":"Subdivision","value":"EC"},{"id":4,"name":"Milepost","value":"23.3308"},{"id":17,"name":"Train ID","value":"107-23"},{"id":16,"name":"Locomotive ID","value":"4030"},{"id":130,"name":"Impact","value":""},{"id":150,"name":"Time of Event (Mountain Time)","value":"05:06:28"},{"id":151,"name":"Denver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4030 --day 2017-08-23</v>
      </c>
      <c r="AN20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614</v>
      </c>
      <c r="B21" s="7">
        <v>4029</v>
      </c>
      <c r="C21" s="21" t="s">
        <v>197</v>
      </c>
      <c r="D21" s="21" t="s">
        <v>465</v>
      </c>
      <c r="E21" s="13">
        <v>42970.223333333335</v>
      </c>
      <c r="F21" s="13">
        <v>42970.227326388886</v>
      </c>
      <c r="G21" s="7">
        <v>1</v>
      </c>
      <c r="H21" s="21" t="s">
        <v>464</v>
      </c>
      <c r="I21" s="13">
        <v>42970.253252314818</v>
      </c>
      <c r="J21" s="7">
        <v>1</v>
      </c>
      <c r="K21" s="89" t="str">
        <f>IF(ISEVEN(B21),(B21-1)&amp;"/"&amp;B21,B21&amp;"/"&amp;(B21+1))</f>
        <v>4029/4030</v>
      </c>
      <c r="L21" s="217" t="str">
        <f>VLOOKUP(A21,'Trips&amp;Operators'!$C$1:$G$99911,5,FALSE)</f>
        <v>HELVIE ADAM</v>
      </c>
      <c r="M21" s="6">
        <f>I21-F21</f>
        <v>2.5925925932824612E-2</v>
      </c>
      <c r="N21" s="7">
        <f>24*60*SUM($M21:$M21)</f>
        <v>37.333333343267441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-08-23T04:21:36-0600',mode:absolute,to:'2017-08-23T07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23.297899999999998</v>
      </c>
      <c r="Z21" s="197">
        <f>RIGHT(H21,LEN(H21)-4)/10000</f>
        <v>1.6500000000000001E-2</v>
      </c>
      <c r="AA21" s="197">
        <f>ABS(Z21-Y21)</f>
        <v>23.281399999999998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>VALUE(LEFT(A21,LEN(A21)-3))</f>
        <v>108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/stypes="app*4029*20170823*" /stext=" 12:.+((SYSTEM_STATE.+slice.+state.+changed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108-23 --locoid 4029 --swversion DE.1.0.9.0 --startMP 204:232979 --initTime 2017-08-23T05:21:36 --startdatetime 2017-08-23T05:27:21 --delay 1 --endMP 204:165 --enddatetime 2017-08-23T06:04:41 --enforcementcount 1 &gt;&gt;C:\Users\stu\Documents\GitHub\eaglep3-reporting\EC\2017-08-23-refined-times.txt</v>
      </c>
      <c r="AI21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{"issue":{"subject":"","project_id":79,"tracker_id":40,"status_id":1,"priority_id":2,"assigned_to_id":23,"start_date":"2017-08-23","description":"","custom_fields":[{"id":1,"name":"Subdivision","value":"EC"},{"id":4,"name":"Milepost","value":"0.0165"},{"id":17,"name":"Train ID","value":"108-23"},{"id":16,"name":"Locomotive ID","value":"4029"},{"id":130,"name":"Impact","value":""},{"id":150,"name":"Time of Event (Mountain Time)","value":"06:04:41"},{"id":151,"name":"Denver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4029 --day 2017-08-23</v>
      </c>
      <c r="AN21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606</v>
      </c>
      <c r="B22" s="7">
        <v>4050</v>
      </c>
      <c r="C22" s="21" t="s">
        <v>197</v>
      </c>
      <c r="D22" s="21" t="s">
        <v>367</v>
      </c>
      <c r="E22" s="13">
        <v>42970.193645833337</v>
      </c>
      <c r="F22" s="13">
        <v>42970.198541666665</v>
      </c>
      <c r="G22" s="7">
        <v>1</v>
      </c>
      <c r="H22" s="21" t="s">
        <v>819</v>
      </c>
      <c r="I22" s="13">
        <v>42970.224629629629</v>
      </c>
      <c r="J22" s="7">
        <v>1</v>
      </c>
      <c r="K22" s="89" t="str">
        <f>IF(ISEVEN(B22),(B22-1)&amp;"/"&amp;B22,B22&amp;"/"&amp;(B22+1))</f>
        <v>4049/4050</v>
      </c>
      <c r="L22" s="217" t="str">
        <f>VLOOKUP(A22,'Trips&amp;Operators'!$C$1:$G$99911,5,FALSE)</f>
        <v>DAVIS WENDY</v>
      </c>
      <c r="M22" s="6">
        <f>I22-F22</f>
        <v>2.6087962964083999E-2</v>
      </c>
      <c r="N22" s="7">
        <f>24*60*SUM($M22:$M22)</f>
        <v>37.566666668280959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-08-23T03:38:51-0600',mode:absolute,to:'2017-08-23T06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4.58E-2</v>
      </c>
      <c r="Z22" s="197">
        <f>RIGHT(H22,LEN(H22)-4)/10000</f>
        <v>23.334099999999999</v>
      </c>
      <c r="AA22" s="197">
        <f>ABS(Z22-Y22)</f>
        <v>23.2883</v>
      </c>
      <c r="AB22" s="54" t="e">
        <f>VLOOKUP(A22,Enforcements!$C$7:$K$11,8,0)</f>
        <v>#N/A</v>
      </c>
      <c r="AC22" s="51" t="e">
        <f>VLOOKUP(A22,Enforcements!$C$7:$E$11,3,0)</f>
        <v>#N/A</v>
      </c>
      <c r="AD22" s="206">
        <f>VALUE(LEFT(A22,LEN(A22)-3))</f>
        <v>109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/stypes="app*4050*20170823*" /stext=" 11:.+((SYSTEM_STATE.+slice.+state.+changed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109-23 --locoid 4050 --swversion DE.1.0.9.0 --startMP 204:458 --initTime 2017-08-23T04:38:51 --startdatetime 2017-08-23T04:45:54 --delay 1 --endMP 204:233341 --enddatetime 2017-08-23T05:23:28 --enforcementcount 1 &gt;&gt;C:\Users\stu\Documents\GitHub\eaglep3-reporting\EC\2017-08-23-refined-times.txt</v>
      </c>
      <c r="AI22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{"issue":{"subject":"","project_id":79,"tracker_id":40,"status_id":1,"priority_id":2,"assigned_to_id":23,"start_date":"2017-08-23","description":"","custom_fields":[{"id":1,"name":"Subdivision","value":"EC"},{"id":4,"name":"Milepost","value":"23.3341"},{"id":17,"name":"Train ID","value":"109-23"},{"id":16,"name":"Locomotive ID","value":"4050"},{"id":130,"name":"Impact","value":""},{"id":150,"name":"Time of Event (Mountain Time)","value":"05:23:28"},{"id":151,"name":"Denver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4050 --day 2017-08-23</v>
      </c>
      <c r="AN22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619</v>
      </c>
      <c r="B23" s="7">
        <v>4049</v>
      </c>
      <c r="C23" s="21" t="s">
        <v>197</v>
      </c>
      <c r="D23" s="21" t="s">
        <v>820</v>
      </c>
      <c r="E23" s="13">
        <v>42970.234861111108</v>
      </c>
      <c r="F23" s="13">
        <v>42970.237662037034</v>
      </c>
      <c r="G23" s="7">
        <v>1</v>
      </c>
      <c r="H23" s="21" t="s">
        <v>369</v>
      </c>
      <c r="I23" s="13">
        <v>42970.264930555553</v>
      </c>
      <c r="J23" s="7">
        <v>1</v>
      </c>
      <c r="K23" s="89" t="str">
        <f>IF(ISEVEN(B23),(B23-1)&amp;"/"&amp;B23,B23&amp;"/"&amp;(B23+1))</f>
        <v>4049/4050</v>
      </c>
      <c r="L23" s="217" t="str">
        <f>VLOOKUP(A23,'Trips&amp;Operators'!$C$1:$G$99911,5,FALSE)</f>
        <v>DAVIS WENDY</v>
      </c>
      <c r="M23" s="6">
        <f>I23-F23</f>
        <v>2.7268518519122154E-2</v>
      </c>
      <c r="N23" s="7">
        <f>24*60*SUM($M23:$M23)</f>
        <v>39.266666667535901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-08-23T04:38:12-0600',mode:absolute,to:'2017-08-23T07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23.301100000000002</v>
      </c>
      <c r="Z23" s="197">
        <f>RIGHT(H23,LEN(H23)-4)/10000</f>
        <v>1.52E-2</v>
      </c>
      <c r="AA23" s="197">
        <f>ABS(Z23-Y23)</f>
        <v>23.285900000000002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>VALUE(LEFT(A23,LEN(A23)-3))</f>
        <v>110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s3://rtdc.mdm.uploadarchive.raw/RTDC4049/ "%USERPROFILE%\AppData\Local\Temp\OnboardLogs"\RTDC4049\2017-08-23 --exclude "*" --recursive --include "*20170823*" &amp; "%USERPROFILE%\Documents\GitHub\mrs-test-scripts\Headless Mode &amp; Sideloading\WalkAndUnGZ.bat" "%USERPROFILE%\AppData\Local\Temp\OnboardLogs"\RTDC4049\2017-08-23 &amp; aws s3 cp s3://rtdc.mdm.uploadarchive.raw/RTDC4049/ "%USERPROFILE%\AppData\Local\Temp\OnboardLogs"\RTDC4049\2017-08-24 --exclude "*" --recursive --include "*20170824*" &amp; "%USERPROFILE%\Documents\GitHub\mrs-test-scripts\Headless Mode &amp; Sideloading\WalkAndUnGZ.bat" "%USERPROFILE%\AppData\Local\Temp\OnboardLogs"\RTDC4049\2017-08-24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/stypes="app*4049*20170823*" /stext=" 12:.+((SYSTEM_STATE.+slice.+state.+changed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110-23 --locoid 4049 --swversion DE.1.0.9.0 --startMP 204:233011 --initTime 2017-08-23T05:38:12 --startdatetime 2017-08-23T05:42:14 --delay 1 --endMP 204:152 --enddatetime 2017-08-23T06:21:30 --enforcementcount 1 &gt;&gt;C:\Users\stu\Documents\GitHub\eaglep3-reporting\EC\2017-08-23-refined-times.txt</v>
      </c>
      <c r="AI23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{"issue":{"subject":"","project_id":79,"tracker_id":40,"status_id":1,"priority_id":2,"assigned_to_id":23,"start_date":"2017-08-23","description":"","custom_fields":[{"id":1,"name":"Subdivision","value":"EC"},{"id":4,"name":"Milepost","value":"0.0152"},{"id":17,"name":"Train ID","value":"110-23"},{"id":16,"name":"Locomotive ID","value":"4049"},{"id":130,"name":"Impact","value":""},{"id":150,"name":"Time of Event (Mountain Time)","value":"06:21:30"},{"id":151,"name":"Denver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4049 --day 2017-08-23</v>
      </c>
      <c r="AN23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609</v>
      </c>
      <c r="B24" s="7">
        <v>4060</v>
      </c>
      <c r="C24" s="21" t="s">
        <v>197</v>
      </c>
      <c r="D24" s="21" t="s">
        <v>392</v>
      </c>
      <c r="E24" s="13">
        <v>42970.20584490741</v>
      </c>
      <c r="F24" s="13">
        <v>42970.208958333336</v>
      </c>
      <c r="G24" s="7">
        <v>1</v>
      </c>
      <c r="H24" s="21" t="s">
        <v>821</v>
      </c>
      <c r="I24" s="13">
        <v>42970.23574074074</v>
      </c>
      <c r="J24" s="7">
        <v>1</v>
      </c>
      <c r="K24" s="89" t="str">
        <f>IF(ISEVEN(B24),(B24-1)&amp;"/"&amp;B24,B24&amp;"/"&amp;(B24+1))</f>
        <v>4059/4060</v>
      </c>
      <c r="L24" s="217" t="str">
        <f>VLOOKUP(A24,'Trips&amp;Operators'!$C$1:$G$99911,5,FALSE)</f>
        <v>BONDS REYNALDO</v>
      </c>
      <c r="M24" s="6">
        <f>I24-F24</f>
        <v>2.6782407403516117E-2</v>
      </c>
      <c r="N24" s="7">
        <f>24*60*SUM($M24:$M24)</f>
        <v>38.566666661063209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-08-23T03:56:25-0600',mode:absolute,to:'2017-08-23T06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4.6600000000000003E-2</v>
      </c>
      <c r="Z24" s="197">
        <f>RIGHT(H24,LEN(H24)-4)/10000</f>
        <v>23.3383</v>
      </c>
      <c r="AA24" s="197">
        <f>ABS(Z24-Y24)</f>
        <v>23.291699999999999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>VALUE(LEFT(A24,LEN(A24)-3))</f>
        <v>111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s3://rtdc.mdm.uploadarchive.raw/RTDC4060/ "%USERPROFILE%\AppData\Local\Temp\OnboardLogs"\RTDC4060\2017-08-23 --exclude "*" --recursive --include "*20170823*" &amp; "%USERPROFILE%\Documents\GitHub\mrs-test-scripts\Headless Mode &amp; Sideloading\WalkAndUnGZ.bat" "%USERPROFILE%\AppData\Local\Temp\OnboardLogs"\RTDC4060\2017-08-23 &amp; aws s3 cp s3://rtdc.mdm.uploadarchive.raw/RTDC4060/ "%USERPROFILE%\AppData\Local\Temp\OnboardLogs"\RTDC4060\2017-08-24 --exclude "*" --recursive --include "*20170824*" &amp; "%USERPROFILE%\Documents\GitHub\mrs-test-scripts\Headless Mode &amp; Sideloading\WalkAndUnGZ.bat" "%USERPROFILE%\AppData\Local\Temp\OnboardLogs"\RTDC4060\2017-08-24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/stypes="app*4060*20170823*" /stext=" 11:.+((SYSTEM_STATE.+slice.+state.+changed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111-23 --locoid 4060 --swversion DE.1.0.9.0 --startMP 204:466 --initTime 2017-08-23T04:56:25 --startdatetime 2017-08-23T05:00:54 --delay 1 --endMP 204:233383 --enddatetime 2017-08-23T05:39:28 --enforcementcount 1 &gt;&gt;C:\Users\stu\Documents\GitHub\eaglep3-reporting\EC\2017-08-23-refined-times.txt</v>
      </c>
      <c r="AI24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{"issue":{"subject":"","project_id":79,"tracker_id":40,"status_id":1,"priority_id":2,"assigned_to_id":23,"start_date":"2017-08-23","description":"","custom_fields":[{"id":1,"name":"Subdivision","value":"EC"},{"id":4,"name":"Milepost","value":"23.3383"},{"id":17,"name":"Train ID","value":"111-23"},{"id":16,"name":"Locomotive ID","value":"4060"},{"id":130,"name":"Impact","value":""},{"id":150,"name":"Time of Event (Mountain Time)","value":"05:39:28"},{"id":151,"name":"Denver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4060 --day 2017-08-23</v>
      </c>
      <c r="AN24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624</v>
      </c>
      <c r="B25" s="7">
        <v>4059</v>
      </c>
      <c r="C25" s="21" t="s">
        <v>197</v>
      </c>
      <c r="D25" s="21" t="s">
        <v>811</v>
      </c>
      <c r="E25" s="13">
        <v>42970.245891203704</v>
      </c>
      <c r="F25" s="13">
        <v>42970.248124999998</v>
      </c>
      <c r="G25" s="7">
        <v>1</v>
      </c>
      <c r="H25" s="21" t="s">
        <v>345</v>
      </c>
      <c r="I25" s="13">
        <v>42970.274884259263</v>
      </c>
      <c r="J25" s="7">
        <v>1</v>
      </c>
      <c r="K25" s="89" t="str">
        <f>IF(ISEVEN(B25),(B25-1)&amp;"/"&amp;B25,B25&amp;"/"&amp;(B25+1))</f>
        <v>4059/4060</v>
      </c>
      <c r="L25" s="217" t="str">
        <f>VLOOKUP(A25,'Trips&amp;Operators'!$C$1:$G$99911,5,FALSE)</f>
        <v>BONDS REYNALDO</v>
      </c>
      <c r="M25" s="6">
        <f>I25-F25</f>
        <v>2.6759259264508728E-2</v>
      </c>
      <c r="N25" s="7">
        <f>24*60*SUM($M25:$M25)</f>
        <v>38.533333340892568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-08-23T04:54:05-0600',mode:absolute,to:'2017-08-23T07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23.312999999999999</v>
      </c>
      <c r="Z25" s="197">
        <f>RIGHT(H25,LEN(H25)-4)/10000</f>
        <v>1.41E-2</v>
      </c>
      <c r="AA25" s="197">
        <f>ABS(Z25-Y25)</f>
        <v>23.2989</v>
      </c>
      <c r="AB25" s="54" t="e">
        <f>VLOOKUP(A25,Enforcements!$C$7:$K$11,8,0)</f>
        <v>#N/A</v>
      </c>
      <c r="AC25" s="51" t="e">
        <f>VLOOKUP(A25,Enforcements!$C$7:$E$11,3,0)</f>
        <v>#N/A</v>
      </c>
      <c r="AD25" s="206">
        <f>VALUE(LEFT(A25,LEN(A25)-3))</f>
        <v>112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s3://rtdc.mdm.uploadarchive.raw/RTDC4059/ "%USERPROFILE%\AppData\Local\Temp\OnboardLogs"\RTDC4059\2017-08-23 --exclude "*" --recursive --include "*20170823*" &amp; "%USERPROFILE%\Documents\GitHub\mrs-test-scripts\Headless Mode &amp; Sideloading\WalkAndUnGZ.bat" "%USERPROFILE%\AppData\Local\Temp\OnboardLogs"\RTDC4059\2017-08-23 &amp; aws s3 cp s3://rtdc.mdm.uploadarchive.raw/RTDC4059/ "%USERPROFILE%\AppData\Local\Temp\OnboardLogs"\RTDC4059\2017-08-24 --exclude "*" --recursive --include "*20170824*" &amp; "%USERPROFILE%\Documents\GitHub\mrs-test-scripts\Headless Mode &amp; Sideloading\WalkAndUnGZ.bat" "%USERPROFILE%\AppData\Local\Temp\OnboardLogs"\RTDC4059\2017-08-24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/stypes="app*4059*20170823*" /stext=" 12:.+((SYSTEM_STATE.+slice.+state.+changed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112-23 --locoid 4059 --swversion DE.1.0.9.0 --startMP 204:233130 --initTime 2017-08-23T05:54:05 --startdatetime 2017-08-23T05:57:18 --delay 1 --endMP 204:141 --enddatetime 2017-08-23T06:35:50 --enforcementcount 1 &gt;&gt;C:\Users\stu\Documents\GitHub\eaglep3-reporting\EC\2017-08-23-refined-times.txt</v>
      </c>
      <c r="AI25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{"issue":{"subject":"","project_id":79,"tracker_id":40,"status_id":1,"priority_id":2,"assigned_to_id":23,"start_date":"2017-08-23","description":"","custom_fields":[{"id":1,"name":"Subdivision","value":"EC"},{"id":4,"name":"Milepost","value":"0.0141"},{"id":17,"name":"Train ID","value":"112-23"},{"id":16,"name":"Locomotive ID","value":"4059"},{"id":130,"name":"Impact","value":""},{"id":150,"name":"Time of Event (Mountain Time)","value":"06:35:50"},{"id":151,"name":"Denver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4059 --day 2017-08-23</v>
      </c>
      <c r="AN25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613</v>
      </c>
      <c r="B26" s="7">
        <v>4042</v>
      </c>
      <c r="C26" s="21" t="s">
        <v>197</v>
      </c>
      <c r="D26" s="21" t="s">
        <v>370</v>
      </c>
      <c r="E26" s="13">
        <v>42970.216979166667</v>
      </c>
      <c r="F26" s="13">
        <v>42970.219340277778</v>
      </c>
      <c r="G26" s="7">
        <v>1</v>
      </c>
      <c r="H26" s="21" t="s">
        <v>822</v>
      </c>
      <c r="I26" s="13">
        <v>42970.24386574074</v>
      </c>
      <c r="J26" s="7">
        <v>1</v>
      </c>
      <c r="K26" s="89" t="str">
        <f>IF(ISEVEN(B26),(B26-1)&amp;"/"&amp;B26,B26&amp;"/"&amp;(B26+1))</f>
        <v>4041/4042</v>
      </c>
      <c r="L26" s="217" t="str">
        <f>VLOOKUP(A26,'Trips&amp;Operators'!$C$1:$G$99911,5,FALSE)</f>
        <v>LOZA FIDEL</v>
      </c>
      <c r="M26" s="6">
        <f>I26-F26</f>
        <v>2.4525462962628808E-2</v>
      </c>
      <c r="N26" s="7">
        <f>24*60*SUM($M26:$M26)</f>
        <v>35.316666666185483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-08-23T04:12:27-0600',mode:absolute,to:'2017-08-23T06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4.5999999999999999E-2</v>
      </c>
      <c r="Z26" s="197">
        <f>RIGHT(H26,LEN(H26)-4)/10000</f>
        <v>23.3431</v>
      </c>
      <c r="AA26" s="197">
        <f>ABS(Z26-Y26)</f>
        <v>23.2971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>VALUE(LEFT(A26,LEN(A26)-3))</f>
        <v>113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/stypes="app*4042*20170823*" /stext=" 11:.+((SYSTEM_STATE.+slice.+state.+changed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113-23 --locoid 4042 --swversion DE.1.0.9.0 --startMP 204:460 --initTime 2017-08-23T05:12:27 --startdatetime 2017-08-23T05:15:51 --delay 1 --endMP 204:233431 --enddatetime 2017-08-23T05:51:10 --enforcementcount 1 &gt;&gt;C:\Users\stu\Documents\GitHub\eaglep3-reporting\EC\2017-08-23-refined-times.txt</v>
      </c>
      <c r="AI26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{"issue":{"subject":"","project_id":79,"tracker_id":40,"status_id":1,"priority_id":2,"assigned_to_id":23,"start_date":"2017-08-23","description":"","custom_fields":[{"id":1,"name":"Subdivision","value":"EC"},{"id":4,"name":"Milepost","value":"23.3431"},{"id":17,"name":"Train ID","value":"113-23"},{"id":16,"name":"Locomotive ID","value":"4042"},{"id":130,"name":"Impact","value":""},{"id":150,"name":"Time of Event (Mountain Time)","value":"05:51:10"},{"id":151,"name":"Denver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4042 --day 2017-08-23</v>
      </c>
      <c r="AN26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627</v>
      </c>
      <c r="B27" s="7">
        <v>4041</v>
      </c>
      <c r="C27" s="21" t="s">
        <v>197</v>
      </c>
      <c r="D27" s="21" t="s">
        <v>823</v>
      </c>
      <c r="E27" s="13">
        <v>42970.255659722221</v>
      </c>
      <c r="F27" s="13">
        <v>42970.258576388886</v>
      </c>
      <c r="G27" s="7">
        <v>1</v>
      </c>
      <c r="H27" s="21" t="s">
        <v>467</v>
      </c>
      <c r="I27" s="13">
        <v>42970.284988425927</v>
      </c>
      <c r="J27" s="7">
        <v>1</v>
      </c>
      <c r="K27" s="89" t="str">
        <f>IF(ISEVEN(B27),(B27-1)&amp;"/"&amp;B27,B27&amp;"/"&amp;(B27+1))</f>
        <v>4041/4042</v>
      </c>
      <c r="L27" s="217" t="str">
        <f>VLOOKUP(A27,'Trips&amp;Operators'!$C$1:$G$99911,5,FALSE)</f>
        <v>LOZA FIDEL</v>
      </c>
      <c r="M27" s="6">
        <f>I27-F27</f>
        <v>2.641203704115469E-2</v>
      </c>
      <c r="N27" s="7">
        <f>24*60*SUM($M27:$M27)</f>
        <v>38.033333339262754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-08-23T05:08:09-0600',mode:absolute,to:'2017-08-23T07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7" s="197" t="str">
        <f>IF(AA27&lt;VLOOKUP(AG27,Variables!$AC$3:$AD$8,2,FALSE),"Y","N")</f>
        <v>N</v>
      </c>
      <c r="X27" s="197">
        <f t="shared" ref="X27:X31" si="8">VALUE(LEFT(AD27,4))-VALUE(LEFT(AD26,4))</f>
        <v>1</v>
      </c>
      <c r="Y27" s="197">
        <f>RIGHT(D27,LEN(D27)-4)/10000</f>
        <v>23.311299999999999</v>
      </c>
      <c r="Z27" s="197">
        <f>RIGHT(H27,LEN(H27)-4)/10000</f>
        <v>1.3899999999999999E-2</v>
      </c>
      <c r="AA27" s="197">
        <f>ABS(Z27-Y27)</f>
        <v>23.2974</v>
      </c>
      <c r="AB27" s="54" t="e">
        <f>VLOOKUP(A27,Enforcements!$C$7:$K$11,8,0)</f>
        <v>#N/A</v>
      </c>
      <c r="AC27" s="51" t="e">
        <f>VLOOKUP(A27,Enforcements!$C$7:$E$11,3,0)</f>
        <v>#N/A</v>
      </c>
      <c r="AD27" s="206">
        <f>VALUE(LEFT(A27,LEN(A27)-3))</f>
        <v>114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/stypes="app*4041*20170823*"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114-23 --locoid 4041 --swversion DE.1.0.9.0 --startMP 204:233113 --initTime 2017-08-23T06:08:09 --startdatetime 2017-08-23T06:12:21 --delay 1 --endMP 204:139 --enddatetime 2017-08-23T06:50:23 --enforcementcount 1 &gt;&gt;C:\Users\stu\Documents\GitHub\eaglep3-reporting\EC\2017-08-23-refined-times.txt</v>
      </c>
      <c r="AI27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{"issue":{"subject":"","project_id":79,"tracker_id":40,"status_id":1,"priority_id":2,"assigned_to_id":23,"start_date":"2017-08-23","description":"","custom_fields":[{"id":1,"name":"Subdivision","value":"EC"},{"id":4,"name":"Milepost","value":"0.0139"},{"id":17,"name":"Train ID","value":"114-23"},{"id":16,"name":"Locomotive ID","value":"4041"},{"id":130,"name":"Impact","value":""},{"id":150,"name":"Time of Event (Mountain Time)","value":"06:50:23"},{"id":151,"name":"Denver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4041 --day 2017-08-23</v>
      </c>
      <c r="AN27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616</v>
      </c>
      <c r="B28" s="7">
        <v>4040</v>
      </c>
      <c r="C28" s="21" t="s">
        <v>197</v>
      </c>
      <c r="D28" s="21" t="s">
        <v>367</v>
      </c>
      <c r="E28" s="13">
        <v>42970.225405092591</v>
      </c>
      <c r="F28" s="13">
        <v>42970.229733796295</v>
      </c>
      <c r="G28" s="7">
        <v>1</v>
      </c>
      <c r="H28" s="21" t="s">
        <v>518</v>
      </c>
      <c r="I28" s="13">
        <v>42970.255162037036</v>
      </c>
      <c r="J28" s="7">
        <v>1</v>
      </c>
      <c r="K28" s="89" t="str">
        <f>IF(ISEVEN(B28),(B28-1)&amp;"/"&amp;B28,B28&amp;"/"&amp;(B28+1))</f>
        <v>4039/4040</v>
      </c>
      <c r="L28" s="217" t="str">
        <f>VLOOKUP(A28,'Trips&amp;Operators'!$C$1:$G$99911,5,FALSE)</f>
        <v>MAELZER KURT</v>
      </c>
      <c r="M28" s="6">
        <f>I28-F28</f>
        <v>2.5428240740438923E-2</v>
      </c>
      <c r="N28" s="7">
        <f>24*60*SUM($M28:$M28)</f>
        <v>36.616666666232049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-08-23T04:24:35-0600',mode:absolute,to:'2017-08-23T07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8" s="197" t="str">
        <f>IF(AA28&lt;VLOOKUP(AG28,Variables!$AC$3:$AD$8,2,FALSE),"Y","N")</f>
        <v>N</v>
      </c>
      <c r="X28" s="197">
        <f t="shared" si="8"/>
        <v>1</v>
      </c>
      <c r="Y28" s="197">
        <f>RIGHT(D28,LEN(D28)-4)/10000</f>
        <v>4.58E-2</v>
      </c>
      <c r="Z28" s="197">
        <f>RIGHT(H28,LEN(H28)-4)/10000</f>
        <v>23.3398</v>
      </c>
      <c r="AA28" s="197">
        <f>ABS(Z28-Y28)</f>
        <v>23.294</v>
      </c>
      <c r="AB28" s="54" t="e">
        <f>VLOOKUP(A28,Enforcements!$C$7:$K$11,8,0)</f>
        <v>#N/A</v>
      </c>
      <c r="AC28" s="51" t="e">
        <f>VLOOKUP(A28,Enforcements!$C$7:$E$11,3,0)</f>
        <v>#N/A</v>
      </c>
      <c r="AD28" s="206">
        <f>VALUE(LEFT(A28,LEN(A28)-3))</f>
        <v>115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s3://rtdc.mdm.uploadarchive.raw/RTDC4040/ "%USERPROFILE%\AppData\Local\Temp\OnboardLogs"\RTDC4040\2017-08-23 --exclude "*" --recursive --include "*20170823*" &amp; "%USERPROFILE%\Documents\GitHub\mrs-test-scripts\Headless Mode &amp; Sideloading\WalkAndUnGZ.bat" "%USERPROFILE%\AppData\Local\Temp\OnboardLogs"\RTDC4040\2017-08-23 &amp; 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/stypes="app*4040*20170823*" /stext=" 12:.+((SYSTEM_STATE.+slice.+state.+changed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115-23 --locoid 4040 --swversion DE.1.0.9.0 --startMP 204:458 --initTime 2017-08-23T05:24:35 --startdatetime 2017-08-23T05:30:49 --delay 1 --endMP 204:233398 --enddatetime 2017-08-23T06:07:26 --enforcementcount 1 &gt;&gt;C:\Users\stu\Documents\GitHub\eaglep3-reporting\EC\2017-08-23-refined-times.txt</v>
      </c>
      <c r="AI28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{"issue":{"subject":"","project_id":79,"tracker_id":40,"status_id":1,"priority_id":2,"assigned_to_id":23,"start_date":"2017-08-23","description":"","custom_fields":[{"id":1,"name":"Subdivision","value":"EC"},{"id":4,"name":"Milepost","value":"23.3398"},{"id":17,"name":"Train ID","value":"115-23"},{"id":16,"name":"Locomotive ID","value":"4040"},{"id":130,"name":"Impact","value":""},{"id":150,"name":"Time of Event (Mountain Time)","value":"06:07:26"},{"id":151,"name":"Denver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4040 --day 2017-08-23</v>
      </c>
      <c r="AN28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633</v>
      </c>
      <c r="B29" s="7">
        <v>4039</v>
      </c>
      <c r="C29" s="21" t="s">
        <v>197</v>
      </c>
      <c r="D29" s="21" t="s">
        <v>413</v>
      </c>
      <c r="E29" s="13">
        <v>42970.26699074074</v>
      </c>
      <c r="F29" s="13">
        <v>42970.269201388888</v>
      </c>
      <c r="G29" s="7">
        <v>1</v>
      </c>
      <c r="H29" s="21" t="s">
        <v>345</v>
      </c>
      <c r="I29" s="13">
        <v>42970.295266203706</v>
      </c>
      <c r="J29" s="7">
        <v>1</v>
      </c>
      <c r="K29" s="89" t="str">
        <f>IF(ISEVEN(B29),(B29-1)&amp;"/"&amp;B29,B29&amp;"/"&amp;(B29+1))</f>
        <v>4039/4040</v>
      </c>
      <c r="L29" s="217" t="str">
        <f>VLOOKUP(A29,'Trips&amp;Operators'!$C$1:$G$99911,5,FALSE)</f>
        <v>MAELZER KURT</v>
      </c>
      <c r="M29" s="6">
        <f>I29-F29</f>
        <v>2.6064814817800652E-2</v>
      </c>
      <c r="N29" s="7">
        <f>24*60*SUM($M29:$M29)</f>
        <v>37.533333337632939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-08-23T05:24:28-0600',mode:absolute,to:'2017-08-23T08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9" s="197" t="str">
        <f>IF(AA29&lt;VLOOKUP(AG29,Variables!$AC$3:$AD$8,2,FALSE),"Y","N")</f>
        <v>N</v>
      </c>
      <c r="X29" s="197">
        <f t="shared" si="8"/>
        <v>1</v>
      </c>
      <c r="Y29" s="197">
        <f>RIGHT(D29,LEN(D29)-4)/10000</f>
        <v>23.3002</v>
      </c>
      <c r="Z29" s="197">
        <f>RIGHT(H29,LEN(H29)-4)/10000</f>
        <v>1.41E-2</v>
      </c>
      <c r="AA29" s="197">
        <f>ABS(Z29-Y29)</f>
        <v>23.286100000000001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>VALUE(LEFT(A29,LEN(A29)-3))</f>
        <v>116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/stypes="app*4039*20170823*" /stext=" 13:.+((SYSTEM_STATE.+slice.+state.+changed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116-23 --locoid 4039 --swversion DE.1.0.9.0 --startMP 204:233002 --initTime 2017-08-23T06:24:28 --startdatetime 2017-08-23T06:27:39 --delay 1 --endMP 204:141 --enddatetime 2017-08-23T07:05:11 --enforcementcount 1 &gt;&gt;C:\Users\stu\Documents\GitHub\eaglep3-reporting\EC\2017-08-23-refined-times.txt</v>
      </c>
      <c r="AI29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{"issue":{"subject":"","project_id":79,"tracker_id":40,"status_id":1,"priority_id":2,"assigned_to_id":23,"start_date":"2017-08-23","description":"","custom_fields":[{"id":1,"name":"Subdivision","value":"EC"},{"id":4,"name":"Milepost","value":"0.0141"},{"id":17,"name":"Train ID","value":"116-23"},{"id":16,"name":"Locomotive ID","value":"4039"},{"id":130,"name":"Impact","value":""},{"id":150,"name":"Time of Event (Mountain Time)","value":"07:05:11"},{"id":151,"name":"Denver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4039 --day 2017-08-23</v>
      </c>
      <c r="AN29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622</v>
      </c>
      <c r="B30" s="7">
        <v>4014</v>
      </c>
      <c r="C30" s="21" t="s">
        <v>197</v>
      </c>
      <c r="D30" s="21" t="s">
        <v>343</v>
      </c>
      <c r="E30" s="13">
        <v>42970.238344907404</v>
      </c>
      <c r="F30" s="13">
        <v>42970.240185185183</v>
      </c>
      <c r="G30" s="7">
        <v>1</v>
      </c>
      <c r="H30" s="21" t="s">
        <v>815</v>
      </c>
      <c r="I30" s="13">
        <v>42970.264976851853</v>
      </c>
      <c r="J30" s="7">
        <v>1</v>
      </c>
      <c r="K30" s="89" t="str">
        <f>IF(ISEVEN(B30),(B30-1)&amp;"/"&amp;B30,B30&amp;"/"&amp;(B30+1))</f>
        <v>4013/4014</v>
      </c>
      <c r="L30" s="217" t="str">
        <f>VLOOKUP(A30,'Trips&amp;Operators'!$C$1:$G$99911,5,FALSE)</f>
        <v>YANG JAN</v>
      </c>
      <c r="M30" s="6">
        <f>I30-F30</f>
        <v>2.4791666670353152E-2</v>
      </c>
      <c r="N30" s="7">
        <f>24*60*SUM($M30:$M30)</f>
        <v>35.700000005308539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-08-23T04:43:13-0600',mode:absolute,to:'2017-08-23T07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0" s="197" t="str">
        <f>IF(AA30&lt;VLOOKUP(AG30,Variables!$AC$3:$AD$8,2,FALSE),"Y","N")</f>
        <v>N</v>
      </c>
      <c r="X30" s="197">
        <f t="shared" si="8"/>
        <v>1</v>
      </c>
      <c r="Y30" s="197">
        <f>RIGHT(D30,LEN(D30)-4)/10000</f>
        <v>4.53E-2</v>
      </c>
      <c r="Z30" s="197">
        <f>RIGHT(H30,LEN(H30)-4)/10000</f>
        <v>23.330300000000001</v>
      </c>
      <c r="AA30" s="197">
        <f>ABS(Z30-Y30)</f>
        <v>23.285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>VALUE(LEFT(A30,LEN(A30)-3))</f>
        <v>117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/stypes="app*4014*20170823*" /stext=" 12:.+((SYSTEM_STATE.+slice.+state.+changed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117-23 --locoid 4014 --swversion DE.1.0.9.0 --startMP 204:453 --initTime 2017-08-23T05:43:13 --startdatetime 2017-08-23T05:45:52 --delay 1 --endMP 204:233303 --enddatetime 2017-08-23T06:21:34 --enforcementcount 1 &gt;&gt;C:\Users\stu\Documents\GitHub\eaglep3-reporting\EC\2017-08-23-refined-times.txt</v>
      </c>
      <c r="AI30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{"issue":{"subject":"","project_id":79,"tracker_id":40,"status_id":1,"priority_id":2,"assigned_to_id":23,"start_date":"2017-08-23","description":"","custom_fields":[{"id":1,"name":"Subdivision","value":"EC"},{"id":4,"name":"Milepost","value":"23.3303"},{"id":17,"name":"Train ID","value":"117-23"},{"id":16,"name":"Locomotive ID","value":"4014"},{"id":130,"name":"Impact","value":""},{"id":150,"name":"Time of Event (Mountain Time)","value":"06:21:34"},{"id":151,"name":"Denver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4014 --day 2017-08-23</v>
      </c>
      <c r="AN30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635</v>
      </c>
      <c r="B31" s="7">
        <v>4013</v>
      </c>
      <c r="C31" s="21" t="s">
        <v>197</v>
      </c>
      <c r="D31" s="21" t="s">
        <v>824</v>
      </c>
      <c r="E31" s="13">
        <v>42970.274814814817</v>
      </c>
      <c r="F31" s="13">
        <v>42970.279351851852</v>
      </c>
      <c r="G31" s="7">
        <v>1</v>
      </c>
      <c r="H31" s="21" t="s">
        <v>398</v>
      </c>
      <c r="I31" s="13">
        <v>42970.306215277778</v>
      </c>
      <c r="J31" s="7">
        <v>1</v>
      </c>
      <c r="K31" s="89" t="str">
        <f>IF(ISEVEN(B31),(B31-1)&amp;"/"&amp;B31,B31&amp;"/"&amp;(B31+1))</f>
        <v>4013/4014</v>
      </c>
      <c r="L31" s="217" t="str">
        <f>VLOOKUP(A31,'Trips&amp;Operators'!$C$1:$G$99911,5,FALSE)</f>
        <v>YANG JAN</v>
      </c>
      <c r="M31" s="6">
        <f>I31-F31</f>
        <v>2.6863425926421769E-2</v>
      </c>
      <c r="N31" s="7">
        <f>24*60*SUM($M31:$M31)</f>
        <v>38.683333334047347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-08-23T05:35:44-0600',mode:absolute,to:'2017-08-23T08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1" s="197" t="str">
        <f>IF(AA31&lt;VLOOKUP(AG31,Variables!$AC$3:$AD$8,2,FALSE),"Y","N")</f>
        <v>N</v>
      </c>
      <c r="X31" s="197">
        <f t="shared" si="8"/>
        <v>1</v>
      </c>
      <c r="Y31" s="197">
        <f>RIGHT(D31,LEN(D31)-4)/10000</f>
        <v>23.2986</v>
      </c>
      <c r="Z31" s="197">
        <f>RIGHT(H31,LEN(H31)-4)/10000</f>
        <v>1.5599999999999999E-2</v>
      </c>
      <c r="AA31" s="197">
        <f>ABS(Z31-Y31)</f>
        <v>23.283000000000001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>VALUE(LEFT(A31,LEN(A31)-3))</f>
        <v>118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/stypes="app*4013*20170823*" /stext=" 13:.+((SYSTEM_STATE.+slice.+state.+changed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118-23 --locoid 4013 --swversion DE.1.0.9.0 --startMP 204:232986 --initTime 2017-08-23T06:35:44 --startdatetime 2017-08-23T06:42:16 --delay 1 --endMP 204:156 --enddatetime 2017-08-23T07:20:57 --enforcementcount 1 &gt;&gt;C:\Users\stu\Documents\GitHub\eaglep3-reporting\EC\2017-08-23-refined-times.txt</v>
      </c>
      <c r="AI31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{"issue":{"subject":"","project_id":79,"tracker_id":40,"status_id":1,"priority_id":2,"assigned_to_id":23,"start_date":"2017-08-23","description":"","custom_fields":[{"id":1,"name":"Subdivision","value":"EC"},{"id":4,"name":"Milepost","value":"0.0156"},{"id":17,"name":"Train ID","value":"118-23"},{"id":16,"name":"Locomotive ID","value":"4013"},{"id":130,"name":"Impact","value":""},{"id":150,"name":"Time of Event (Mountain Time)","value":"07:20:57"},{"id":151,"name":"Denver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4013 --day 2017-08-23</v>
      </c>
      <c r="AN31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625</v>
      </c>
      <c r="B32" s="7">
        <v>4028</v>
      </c>
      <c r="C32" s="21" t="s">
        <v>197</v>
      </c>
      <c r="D32" s="21" t="s">
        <v>371</v>
      </c>
      <c r="E32" s="13">
        <v>42970.248136574075</v>
      </c>
      <c r="F32" s="13">
        <v>42970.290023148147</v>
      </c>
      <c r="G32" s="7">
        <v>1</v>
      </c>
      <c r="H32" s="21" t="s">
        <v>393</v>
      </c>
      <c r="I32" s="13">
        <v>42970.31627314815</v>
      </c>
      <c r="J32" s="7">
        <v>1</v>
      </c>
      <c r="K32" s="89" t="str">
        <f>IF(ISEVEN(B32),(B32-1)&amp;"/"&amp;B32,B32&amp;"/"&amp;(B32+1))</f>
        <v>4027/4028</v>
      </c>
      <c r="L32" s="217" t="str">
        <f>VLOOKUP(A32,'Trips&amp;Operators'!$C$1:$G$99911,5,FALSE)</f>
        <v>STARKS ANGELINA</v>
      </c>
      <c r="M32" s="6">
        <f>I32-F32</f>
        <v>2.6250000002619345E-2</v>
      </c>
      <c r="N32" s="7">
        <f>24*60*SUM($M32:$M32)</f>
        <v>37.800000003771856</v>
      </c>
      <c r="O32" s="7"/>
      <c r="P32" s="7"/>
      <c r="Q32" s="22"/>
      <c r="R32" s="170"/>
      <c r="S32" s="213">
        <f>1/IF(AG32="EC",12,1)*SUM(U32:U32)</f>
        <v>1</v>
      </c>
      <c r="T32" s="195" t="str">
        <f>IF(ISEVEN(LEFT(AD32,4)),"Southbound","NorthBound")</f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-08-23T04:57:19-0600',mode:absolute,to:'2017-08-23T08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4.4900000000000002E-2</v>
      </c>
      <c r="Z32" s="197">
        <f>RIGHT(H32,LEN(H32)-4)/10000</f>
        <v>23.3293</v>
      </c>
      <c r="AA32" s="197">
        <f>ABS(Z32-Y32)</f>
        <v>23.284400000000002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>VALUE(LEFT(A32,LEN(A32)-3))</f>
        <v>119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/stypes="app*4028*20170823*"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119-23 --locoid 4028 --swversion DE.1.0.9.0 --startMP 204:449 --initTime 2017-08-23T05:57:19 --startdatetime 2017-08-23T06:57:38 --delay 1 --endMP 204:233293 --enddatetime 2017-08-23T07:35:26 --enforcementcount 1 &gt;&gt;C:\Users\stu\Documents\GitHub\eaglep3-reporting\EC\2017-08-23-refined-times.txt</v>
      </c>
      <c r="AI32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{"issue":{"subject":"","project_id":79,"tracker_id":40,"status_id":1,"priority_id":2,"assigned_to_id":23,"start_date":"2017-08-23","description":"","custom_fields":[{"id":1,"name":"Subdivision","value":"EC"},{"id":4,"name":"Milepost","value":"23.3293"},{"id":17,"name":"Train ID","value":"119-23"},{"id":16,"name":"Locomotive ID","value":"4028"},{"id":130,"name":"Impact","value":""},{"id":150,"name":"Time of Event (Mountain Time)","value":"07:35:26"},{"id":151,"name":"Denver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4028 --day 2017-08-23</v>
      </c>
      <c r="AN32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637</v>
      </c>
      <c r="B33" s="7">
        <v>4027</v>
      </c>
      <c r="C33" s="21" t="s">
        <v>197</v>
      </c>
      <c r="D33" s="21" t="s">
        <v>404</v>
      </c>
      <c r="E33" s="13">
        <v>42970.277928240743</v>
      </c>
      <c r="F33" s="13">
        <v>42970.290023148147</v>
      </c>
      <c r="G33" s="7">
        <v>1</v>
      </c>
      <c r="H33" s="21" t="s">
        <v>379</v>
      </c>
      <c r="I33" s="13">
        <v>42970.31627314815</v>
      </c>
      <c r="J33" s="7">
        <v>1</v>
      </c>
      <c r="K33" s="89" t="str">
        <f>IF(ISEVEN(B33),(B33-1)&amp;"/"&amp;B33,B33&amp;"/"&amp;(B33+1))</f>
        <v>4027/4028</v>
      </c>
      <c r="L33" s="217" t="str">
        <f>VLOOKUP(A33,'Trips&amp;Operators'!$C$1:$G$99911,5,FALSE)</f>
        <v>STARKS ANGELINA</v>
      </c>
      <c r="M33" s="6">
        <f>I33-F33</f>
        <v>2.6250000002619345E-2</v>
      </c>
      <c r="N33" s="7">
        <f>24*60*SUM($M33:$M33)</f>
        <v>37.800000003771856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-08-23T05:40:13-0600',mode:absolute,to:'2017-08-23T08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23.2987</v>
      </c>
      <c r="Z33" s="197">
        <f>RIGHT(H33,LEN(H33)-4)/10000</f>
        <v>1.38E-2</v>
      </c>
      <c r="AA33" s="197">
        <f>ABS(Z33-Y33)</f>
        <v>23.2849</v>
      </c>
      <c r="AB33" s="54" t="e">
        <f>VLOOKUP(A33,Enforcements!$C$7:$K$11,8,0)</f>
        <v>#N/A</v>
      </c>
      <c r="AC33" s="51" t="e">
        <f>VLOOKUP(A33,Enforcements!$C$7:$E$11,3,0)</f>
        <v>#N/A</v>
      </c>
      <c r="AD33" s="206">
        <f>VALUE(LEFT(A33,LEN(A33)-3))</f>
        <v>120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/stypes="app*4027*20170823*" /stext=" 13:.+((SYSTEM_STATE.+slice.+state.+changed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120-23 --locoid 4027 --swversion DE.1.0.9.0 --startMP 204:232987 --initTime 2017-08-23T06:40:13 --startdatetime 2017-08-23T06:57:38 --delay 1 --endMP 204:138 --enddatetime 2017-08-23T07:35:26 --enforcementcount 1 &gt;&gt;C:\Users\stu\Documents\GitHub\eaglep3-reporting\EC\2017-08-23-refined-times.txt</v>
      </c>
      <c r="AI33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{"issue":{"subject":"","project_id":79,"tracker_id":40,"status_id":1,"priority_id":2,"assigned_to_id":23,"start_date":"2017-08-23","description":"","custom_fields":[{"id":1,"name":"Subdivision","value":"EC"},{"id":4,"name":"Milepost","value":"0.0138"},{"id":17,"name":"Train ID","value":"120-23"},{"id":16,"name":"Locomotive ID","value":"4027"},{"id":130,"name":"Impact","value":""},{"id":150,"name":"Time of Event (Mountain Time)","value":"07:35:26"},{"id":151,"name":"Denver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4027 --day 2017-08-23</v>
      </c>
      <c r="AN33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629</v>
      </c>
      <c r="B34" s="7">
        <v>4030</v>
      </c>
      <c r="C34" s="21" t="s">
        <v>197</v>
      </c>
      <c r="D34" s="21" t="s">
        <v>370</v>
      </c>
      <c r="E34" s="13">
        <v>42970.257476851853</v>
      </c>
      <c r="F34" s="13">
        <v>42970.260960648149</v>
      </c>
      <c r="G34" s="7">
        <v>1</v>
      </c>
      <c r="H34" s="21" t="s">
        <v>815</v>
      </c>
      <c r="I34" s="13">
        <v>42970.284907407404</v>
      </c>
      <c r="J34" s="7">
        <v>1</v>
      </c>
      <c r="K34" s="89" t="str">
        <f>IF(ISEVEN(B34),(B34-1)&amp;"/"&amp;B34,B34&amp;"/"&amp;(B34+1))</f>
        <v>4029/4030</v>
      </c>
      <c r="L34" s="217" t="str">
        <f>VLOOKUP(A34,'Trips&amp;Operators'!$C$1:$G$99911,5,FALSE)</f>
        <v>HELVIE ADAM</v>
      </c>
      <c r="M34" s="6">
        <f>I34-F34</f>
        <v>2.3946759254613426E-2</v>
      </c>
      <c r="N34" s="7">
        <f>24*60*SUM($M34:$M34)</f>
        <v>34.483333326643333</v>
      </c>
      <c r="O34" s="7"/>
      <c r="P34" s="7"/>
      <c r="Q34" s="22"/>
      <c r="R34" s="170"/>
      <c r="S34" s="213">
        <f>1/IF(AG34="EC",12,1)*SUM(U34:U34)</f>
        <v>1</v>
      </c>
      <c r="T34" s="195" t="str">
        <f>IF(ISEVEN(LEFT(AD34,4)),"Southbound","NorthBound")</f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-08-23T05:10:46-0600',mode:absolute,to:'2017-08-23T07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4.5999999999999999E-2</v>
      </c>
      <c r="Z34" s="197">
        <f>RIGHT(H34,LEN(H34)-4)/10000</f>
        <v>23.330300000000001</v>
      </c>
      <c r="AA34" s="197">
        <f>ABS(Z34-Y34)</f>
        <v>23.284300000000002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>VALUE(LEFT(A34,LEN(A34)-3))</f>
        <v>121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/stypes="app*4030*20170823*" /stext=" 12:.+((SYSTEM_STATE.+slice.+state.+changed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121-23 --locoid 4030 --swversion DE.1.0.9.0 --startMP 204:460 --initTime 2017-08-23T06:10:46 --startdatetime 2017-08-23T06:15:47 --delay 1 --endMP 204:233303 --enddatetime 2017-08-23T06:50:16 --enforcementcount 1 &gt;&gt;C:\Users\stu\Documents\GitHub\eaglep3-reporting\EC\2017-08-23-refined-times.txt</v>
      </c>
      <c r="AI34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{"issue":{"subject":"","project_id":79,"tracker_id":40,"status_id":1,"priority_id":2,"assigned_to_id":23,"start_date":"2017-08-23","description":"","custom_fields":[{"id":1,"name":"Subdivision","value":"EC"},{"id":4,"name":"Milepost","value":"23.3303"},{"id":17,"name":"Train ID","value":"121-23"},{"id":16,"name":"Locomotive ID","value":"4030"},{"id":130,"name":"Impact","value":""},{"id":150,"name":"Time of Event (Mountain Time)","value":"06:50:16"},{"id":151,"name":"Denver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4030 --day 2017-08-23</v>
      </c>
      <c r="AN34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643</v>
      </c>
      <c r="B35" s="7">
        <v>4029</v>
      </c>
      <c r="C35" s="21" t="s">
        <v>197</v>
      </c>
      <c r="D35" s="21" t="s">
        <v>514</v>
      </c>
      <c r="E35" s="13">
        <v>42970.297766203701</v>
      </c>
      <c r="F35" s="13">
        <v>42970.30028935185</v>
      </c>
      <c r="G35" s="7">
        <v>2</v>
      </c>
      <c r="H35" s="21" t="s">
        <v>377</v>
      </c>
      <c r="I35" s="13">
        <v>42970.326527777775</v>
      </c>
      <c r="J35" s="7">
        <v>1</v>
      </c>
      <c r="K35" s="89" t="str">
        <f>IF(ISEVEN(B35),(B35-1)&amp;"/"&amp;B35,B35&amp;"/"&amp;(B35+1))</f>
        <v>4029/4030</v>
      </c>
      <c r="L35" s="217" t="str">
        <f>VLOOKUP(A35,'Trips&amp;Operators'!$C$1:$G$99911,5,FALSE)</f>
        <v>HELVIE ADAM</v>
      </c>
      <c r="M35" s="6">
        <f>I35-F35</f>
        <v>2.6238425925839692E-2</v>
      </c>
      <c r="N35" s="7">
        <f>24*60*SUM($M35:$M35)</f>
        <v>37.783333333209157</v>
      </c>
      <c r="O35" s="7"/>
      <c r="P35" s="7"/>
      <c r="Q35" s="22"/>
      <c r="R35" s="170"/>
      <c r="S35" s="213">
        <f>1/IF(AG35="EC",12,1)*SUM(U35:U35)</f>
        <v>1</v>
      </c>
      <c r="T35" s="195" t="str">
        <f>IF(ISEVEN(LEFT(AD35,4)),"Southbound","NorthBound")</f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-08-23T06:08:47-0600',mode:absolute,to:'2017-08-23T08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23.296900000000001</v>
      </c>
      <c r="Z35" s="197">
        <f>RIGHT(H35,LEN(H35)-4)/10000</f>
        <v>1.4500000000000001E-2</v>
      </c>
      <c r="AA35" s="197">
        <f>ABS(Z35-Y35)</f>
        <v>23.282399999999999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>VALUE(LEFT(A35,LEN(A35)-3))</f>
        <v>122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/stypes="app*4029*20170823*"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122-23 --locoid 4029 --swversion DE.1.0.9.0 --startMP 204:232969 --initTime 2017-08-23T07:08:47 --startdatetime 2017-08-23T07:12:25 --delay 2 --endMP 204:145 --enddatetime 2017-08-23T07:50:12 --enforcementcount 1 &gt;&gt;C:\Users\stu\Documents\GitHub\eaglep3-reporting\EC\2017-08-23-refined-times.txt</v>
      </c>
      <c r="AI35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{"issue":{"subject":"","project_id":79,"tracker_id":40,"status_id":1,"priority_id":2,"assigned_to_id":23,"start_date":"2017-08-23","description":"","custom_fields":[{"id":1,"name":"Subdivision","value":"EC"},{"id":4,"name":"Milepost","value":"0.0145"},{"id":17,"name":"Train ID","value":"122-23"},{"id":16,"name":"Locomotive ID","value":"4029"},{"id":130,"name":"Impact","value":""},{"id":150,"name":"Time of Event (Mountain Time)","value":"07:50:12"},{"id":151,"name":"Denver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4029 --day 2017-08-23</v>
      </c>
      <c r="AN35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632</v>
      </c>
      <c r="B36" s="7">
        <v>4050</v>
      </c>
      <c r="C36" s="21" t="s">
        <v>197</v>
      </c>
      <c r="D36" s="21" t="s">
        <v>825</v>
      </c>
      <c r="E36" s="13">
        <v>42970.266284722224</v>
      </c>
      <c r="F36" s="13">
        <v>42970.271365740744</v>
      </c>
      <c r="G36" s="7">
        <v>1</v>
      </c>
      <c r="H36" s="21" t="s">
        <v>826</v>
      </c>
      <c r="I36" s="13">
        <v>42970.297233796293</v>
      </c>
      <c r="J36" s="7">
        <v>1</v>
      </c>
      <c r="K36" s="89" t="str">
        <f>IF(ISEVEN(B36),(B36-1)&amp;"/"&amp;B36,B36&amp;"/"&amp;(B36+1))</f>
        <v>4049/4050</v>
      </c>
      <c r="L36" s="217" t="str">
        <f>VLOOKUP(A36,'Trips&amp;Operators'!$C$1:$G$99911,5,FALSE)</f>
        <v>DAVIS WENDY</v>
      </c>
      <c r="M36" s="6">
        <f>I36-F36</f>
        <v>2.586805554892635E-2</v>
      </c>
      <c r="N36" s="7">
        <f>24*60*SUM($M36:$M36)</f>
        <v>37.249999990453944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-08-23T05:23:27-0600',mode:absolute,to:'2017-08-23T08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4.7800000000000002E-2</v>
      </c>
      <c r="Z36" s="197">
        <f>RIGHT(H36,LEN(H36)-4)/10000</f>
        <v>23.332899999999999</v>
      </c>
      <c r="AA36" s="197">
        <f>ABS(Z36-Y36)</f>
        <v>23.2851</v>
      </c>
      <c r="AB36" s="54" t="e">
        <f>VLOOKUP(A36,Enforcements!$C$7:$K$11,8,0)</f>
        <v>#N/A</v>
      </c>
      <c r="AC36" s="51" t="e">
        <f>VLOOKUP(A36,Enforcements!$C$7:$E$11,3,0)</f>
        <v>#N/A</v>
      </c>
      <c r="AD36" s="206">
        <f>VALUE(LEFT(A36,LEN(A36)-3))</f>
        <v>123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/stypes="app*4050*20170823*" /stext=" 13:.+((SYSTEM_STATE.+slice.+state.+changed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123-23 --locoid 4050 --swversion DE.1.0.9.0 --startMP 204:478 --initTime 2017-08-23T06:23:27 --startdatetime 2017-08-23T06:30:46 --delay 1 --endMP 204:233329 --enddatetime 2017-08-23T07:08:01 --enforcementcount 1 &gt;&gt;C:\Users\stu\Documents\GitHub\eaglep3-reporting\EC\2017-08-23-refined-times.txt</v>
      </c>
      <c r="AI36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{"issue":{"subject":"","project_id":79,"tracker_id":40,"status_id":1,"priority_id":2,"assigned_to_id":23,"start_date":"2017-08-23","description":"","custom_fields":[{"id":1,"name":"Subdivision","value":"EC"},{"id":4,"name":"Milepost","value":"23.3329"},{"id":17,"name":"Train ID","value":"123-23"},{"id":16,"name":"Locomotive ID","value":"4050"},{"id":130,"name":"Impact","value":""},{"id":150,"name":"Time of Event (Mountain Time)","value":"07:08:01"},{"id":151,"name":"Denver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4050 --day 2017-08-23</v>
      </c>
      <c r="AN36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644</v>
      </c>
      <c r="B37" s="7">
        <v>4049</v>
      </c>
      <c r="C37" s="21" t="s">
        <v>197</v>
      </c>
      <c r="D37" s="21" t="s">
        <v>827</v>
      </c>
      <c r="E37" s="13">
        <v>42970.308263888888</v>
      </c>
      <c r="F37" s="13">
        <v>42970.311006944445</v>
      </c>
      <c r="G37" s="7">
        <v>0</v>
      </c>
      <c r="H37" s="21" t="s">
        <v>340</v>
      </c>
      <c r="I37" s="13">
        <v>42970.337673611109</v>
      </c>
      <c r="J37" s="7">
        <v>1</v>
      </c>
      <c r="K37" s="89" t="str">
        <f>IF(ISEVEN(B37),(B37-1)&amp;"/"&amp;B37,B37&amp;"/"&amp;(B37+1))</f>
        <v>4049/4050</v>
      </c>
      <c r="L37" s="217" t="str">
        <f>VLOOKUP(A37,'Trips&amp;Operators'!$C$1:$G$99911,5,FALSE)</f>
        <v>DAVIS WENDY</v>
      </c>
      <c r="M37" s="6">
        <f>I37-F37</f>
        <v>2.6666666664823424E-2</v>
      </c>
      <c r="N37" s="7">
        <f>24*60*SUM($M37:$M37)</f>
        <v>38.399999997345731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-08-23T06:23:54-0600',mode:absolute,to:'2017-08-23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23.300599999999999</v>
      </c>
      <c r="Z37" s="197">
        <f>RIGHT(H37,LEN(H37)-4)/10000</f>
        <v>1.43E-2</v>
      </c>
      <c r="AA37" s="197">
        <f>ABS(Z37-Y37)</f>
        <v>23.286300000000001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206">
        <f>VALUE(LEFT(A37,LEN(A37)-3))</f>
        <v>124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s3://rtdc.mdm.uploadarchive.raw/RTDC4049/ "%USERPROFILE%\AppData\Local\Temp\OnboardLogs"\RTDC4049\2017-08-23 --exclude "*" --recursive --include "*20170823*" &amp; "%USERPROFILE%\Documents\GitHub\mrs-test-scripts\Headless Mode &amp; Sideloading\WalkAndUnGZ.bat" "%USERPROFILE%\AppData\Local\Temp\OnboardLogs"\RTDC4049\2017-08-23 &amp; aws s3 cp s3://rtdc.mdm.uploadarchive.raw/RTDC4049/ "%USERPROFILE%\AppData\Local\Temp\OnboardLogs"\RTDC4049\2017-08-24 --exclude "*" --recursive --include "*20170824*" &amp; "%USERPROFILE%\Documents\GitHub\mrs-test-scripts\Headless Mode &amp; Sideloading\WalkAndUnGZ.bat" "%USERPROFILE%\AppData\Local\Temp\OnboardLogs"\RTDC4049\2017-08-24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/stypes="app*4049*20170823*" /stext=" 14:.+((SYSTEM_STATE.+slice.+state.+changed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124-23 --locoid 4049 --swversion DE.1.0.9.0 --startMP 204:233006 --initTime 2017-08-23T07:23:54 --startdatetime 2017-08-23T07:27:51 --delay 0 --endMP 204:143 --enddatetime 2017-08-23T08:06:15 --enforcementcount 1 &gt;&gt;C:\Users\stu\Documents\GitHub\eaglep3-reporting\EC\2017-08-23-refined-times.txt</v>
      </c>
      <c r="AI37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{"issue":{"subject":"","project_id":79,"tracker_id":40,"status_id":1,"priority_id":2,"assigned_to_id":23,"start_date":"2017-08-23","description":"","custom_fields":[{"id":1,"name":"Subdivision","value":"EC"},{"id":4,"name":"Milepost","value":"0.0143"},{"id":17,"name":"Train ID","value":"124-23"},{"id":16,"name":"Locomotive ID","value":"4049"},{"id":130,"name":"Impact","value":""},{"id":150,"name":"Time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4049 --day 2017-08-23</v>
      </c>
      <c r="AN37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552</v>
      </c>
      <c r="B38" s="7">
        <v>4060</v>
      </c>
      <c r="C38" s="21" t="s">
        <v>197</v>
      </c>
      <c r="D38" s="21" t="s">
        <v>463</v>
      </c>
      <c r="E38" s="13">
        <v>42970.277800925927</v>
      </c>
      <c r="F38" s="13">
        <v>42970.281828703701</v>
      </c>
      <c r="G38" s="7">
        <v>1</v>
      </c>
      <c r="H38" s="21" t="s">
        <v>828</v>
      </c>
      <c r="I38" s="13">
        <v>42970.30704861111</v>
      </c>
      <c r="J38" s="7">
        <v>1</v>
      </c>
      <c r="K38" s="89" t="str">
        <f>IF(ISEVEN(B38),(B38-1)&amp;"/"&amp;B38,B38&amp;"/"&amp;(B38+1))</f>
        <v>4059/4060</v>
      </c>
      <c r="L38" s="217" t="str">
        <f>VLOOKUP(A38,'Trips&amp;Operators'!$C$1:$G$99911,5,FALSE)</f>
        <v>BONDS REYNALDO</v>
      </c>
      <c r="M38" s="6">
        <f>I38-F38</f>
        <v>2.5219907409336884E-2</v>
      </c>
      <c r="N38" s="7">
        <f>24*60*SUM($M38:$M38)</f>
        <v>36.316666669445112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-08-23T05:40:02-0600',mode:absolute,to:'2017-08-23T08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4.7300000000000002E-2</v>
      </c>
      <c r="Z38" s="197">
        <f>RIGHT(H38,LEN(H38)-4)/10000</f>
        <v>23.342400000000001</v>
      </c>
      <c r="AA38" s="197">
        <f>ABS(Z38-Y38)</f>
        <v>23.295100000000001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206">
        <f>VALUE(LEFT(A38,LEN(A38)-3))</f>
        <v>125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s3://rtdc.mdm.uploadarchive.raw/RTDC4060/ "%USERPROFILE%\AppData\Local\Temp\OnboardLogs"\RTDC4060\2017-08-23 --exclude "*" --recursive --include "*20170823*" &amp; "%USERPROFILE%\Documents\GitHub\mrs-test-scripts\Headless Mode &amp; Sideloading\WalkAndUnGZ.bat" "%USERPROFILE%\AppData\Local\Temp\OnboardLogs"\RTDC4060\2017-08-23 &amp; aws s3 cp s3://rtdc.mdm.uploadarchive.raw/RTDC4060/ "%USERPROFILE%\AppData\Local\Temp\OnboardLogs"\RTDC4060\2017-08-24 --exclude "*" --recursive --include "*20170824*" &amp; "%USERPROFILE%\Documents\GitHub\mrs-test-scripts\Headless Mode &amp; Sideloading\WalkAndUnGZ.bat" "%USERPROFILE%\AppData\Local\Temp\OnboardLogs"\RTDC4060\2017-08-24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/stypes="app*4060*20170823*" /stext=" 13:.+((SYSTEM_STATE.+slice.+state.+changed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125-23 --locoid 4060 --swversion DE.1.0.9.0 --startMP 204:473 --initTime 2017-08-23T06:40:02 --startdatetime 2017-08-23T06:45:50 --delay 1 --endMP 204:233424 --enddatetime 2017-08-23T07:22:09 --enforcementcount 1 &gt;&gt;C:\Users\stu\Documents\GitHub\eaglep3-reporting\EC\2017-08-23-refined-times.txt</v>
      </c>
      <c r="AI38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{"issue":{"subject":"","project_id":79,"tracker_id":40,"status_id":1,"priority_id":2,"assigned_to_id":23,"start_date":"2017-08-23","description":"","custom_fields":[{"id":1,"name":"Subdivision","value":"EC"},{"id":4,"name":"Milepost","value":"23.3424"},{"id":17,"name":"Train ID","value":"125-23"},{"id":16,"name":"Locomotive ID","value":"4060"},{"id":130,"name":"Impact","value":""},{"id":150,"name":"Time of Event (Mountain Time)","value":"07:22:09"},{"id":151,"name":"Denver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4060 --day 2017-08-23</v>
      </c>
      <c r="AN38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647</v>
      </c>
      <c r="B39" s="7">
        <v>4059</v>
      </c>
      <c r="C39" s="21" t="s">
        <v>197</v>
      </c>
      <c r="D39" s="21" t="s">
        <v>829</v>
      </c>
      <c r="E39" s="13">
        <v>42970.318564814814</v>
      </c>
      <c r="F39" s="13">
        <v>42970.321134259262</v>
      </c>
      <c r="G39" s="7">
        <v>1</v>
      </c>
      <c r="H39" s="21" t="s">
        <v>346</v>
      </c>
      <c r="I39" s="13">
        <v>42970.348217592589</v>
      </c>
      <c r="J39" s="7">
        <v>1</v>
      </c>
      <c r="K39" s="89" t="str">
        <f>IF(ISEVEN(B39),(B39-1)&amp;"/"&amp;B39,B39&amp;"/"&amp;(B39+1))</f>
        <v>4059/4060</v>
      </c>
      <c r="L39" s="217" t="str">
        <f>VLOOKUP(A39,'Trips&amp;Operators'!$C$1:$G$99911,5,FALSE)</f>
        <v>BONDS REYNALDO</v>
      </c>
      <c r="M39" s="6">
        <f>I39-F39</f>
        <v>2.7083333327027503E-2</v>
      </c>
      <c r="N39" s="7">
        <f>24*60*SUM($M39:$M39)</f>
        <v>38.999999990919605</v>
      </c>
      <c r="O39" s="7"/>
      <c r="P39" s="7"/>
      <c r="Q39" s="22"/>
      <c r="R39" s="170"/>
      <c r="S39" s="213">
        <f>1/IF(AG39="EC",12,1)*SUM(U39:U39)</f>
        <v>1</v>
      </c>
      <c r="T39" s="195" t="str">
        <f>IF(ISEVEN(LEFT(AD39,4)),"Southbound","NorthBound")</f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-08-23T06:38:44-0600',mode:absolute,to:'2017-08-23T09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23.307099999999998</v>
      </c>
      <c r="Z39" s="197">
        <f>RIGHT(H39,LEN(H39)-4)/10000</f>
        <v>1.47E-2</v>
      </c>
      <c r="AA39" s="197">
        <f>ABS(Z39-Y39)</f>
        <v>23.292399999999997</v>
      </c>
      <c r="AB39" s="54" t="e">
        <f>VLOOKUP(A39,Enforcements!$C$7:$K$11,8,0)</f>
        <v>#N/A</v>
      </c>
      <c r="AC39" s="51" t="e">
        <f>VLOOKUP(A39,Enforcements!$C$7:$E$11,3,0)</f>
        <v>#N/A</v>
      </c>
      <c r="AD39" s="206">
        <f>VALUE(LEFT(A39,LEN(A39)-3))</f>
        <v>126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s3://rtdc.mdm.uploadarchive.raw/RTDC4059/ "%USERPROFILE%\AppData\Local\Temp\OnboardLogs"\RTDC4059\2017-08-23 --exclude "*" --recursive --include "*20170823*" &amp; "%USERPROFILE%\Documents\GitHub\mrs-test-scripts\Headless Mode &amp; Sideloading\WalkAndUnGZ.bat" "%USERPROFILE%\AppData\Local\Temp\OnboardLogs"\RTDC4059\2017-08-23 &amp; aws s3 cp s3://rtdc.mdm.uploadarchive.raw/RTDC4059/ "%USERPROFILE%\AppData\Local\Temp\OnboardLogs"\RTDC4059\2017-08-24 --exclude "*" --recursive --include "*20170824*" &amp; "%USERPROFILE%\Documents\GitHub\mrs-test-scripts\Headless Mode &amp; Sideloading\WalkAndUnGZ.bat" "%USERPROFILE%\AppData\Local\Temp\OnboardLogs"\RTDC4059\2017-08-24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/stypes="app*4059*20170823*" /stext=" 14:.+((SYSTEM_STATE.+slice.+state.+changed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126-23 --locoid 4059 --swversion DE.1.0.9.0 --startMP 204:233071 --initTime 2017-08-23T07:38:44 --startdatetime 2017-08-23T07:42:26 --delay 1 --endMP 204:147 --enddatetime 2017-08-23T08:21:26 --enforcementcount 1 &gt;&gt;C:\Users\stu\Documents\GitHub\eaglep3-reporting\EC\2017-08-23-refined-times.txt</v>
      </c>
      <c r="AI39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{"issue":{"subject":"","project_id":79,"tracker_id":40,"status_id":1,"priority_id":2,"assigned_to_id":23,"start_date":"2017-08-23","description":"","custom_fields":[{"id":1,"name":"Subdivision","value":"EC"},{"id":4,"name":"Milepost","value":"0.0147"},{"id":17,"name":"Train ID","value":"126-23"},{"id":16,"name":"Locomotive ID","value":"4059"},{"id":130,"name":"Impact","value":""},{"id":150,"name":"Time of Event (Mountain Time)","value":"08:21:26"},{"id":151,"name":"Denver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4059 --day 2017-08-23</v>
      </c>
      <c r="AN39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639</v>
      </c>
      <c r="B40" s="7">
        <v>4042</v>
      </c>
      <c r="C40" s="21" t="s">
        <v>197</v>
      </c>
      <c r="D40" s="21" t="s">
        <v>337</v>
      </c>
      <c r="E40" s="13">
        <v>42970.287893518522</v>
      </c>
      <c r="F40" s="13">
        <v>42970.292268518519</v>
      </c>
      <c r="G40" s="7">
        <v>1</v>
      </c>
      <c r="H40" s="21" t="s">
        <v>520</v>
      </c>
      <c r="I40" s="13">
        <v>42970.31689814815</v>
      </c>
      <c r="J40" s="7">
        <v>1</v>
      </c>
      <c r="K40" s="89" t="str">
        <f>IF(ISEVEN(B40),(B40-1)&amp;"/"&amp;B40,B40&amp;"/"&amp;(B40+1))</f>
        <v>4041/4042</v>
      </c>
      <c r="L40" s="217" t="str">
        <f>VLOOKUP(A40,'Trips&amp;Operators'!$C$1:$G$99911,5,FALSE)</f>
        <v>LOZA FIDEL</v>
      </c>
      <c r="M40" s="6">
        <f>I40-F40</f>
        <v>2.4629629631817807E-2</v>
      </c>
      <c r="N40" s="7">
        <f>24*60*SUM($M40:$M40)</f>
        <v>35.466666669817641</v>
      </c>
      <c r="O40" s="7"/>
      <c r="P40" s="7"/>
      <c r="Q40" s="22"/>
      <c r="R40" s="170"/>
      <c r="S40" s="213">
        <f>1/IF(AG40="EC",12,1)*SUM(U40:U40)</f>
        <v>1</v>
      </c>
      <c r="T40" s="195" t="str">
        <f>IF(ISEVEN(LEFT(AD40,4)),"Southbound","NorthBound")</f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-08-23T05:54:34-0600',mode:absolute,to:'2017-08-23T08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4.4600000000000001E-2</v>
      </c>
      <c r="Z40" s="197">
        <f>RIGHT(H40,LEN(H40)-4)/10000</f>
        <v>23.34</v>
      </c>
      <c r="AA40" s="197">
        <f>ABS(Z40-Y40)</f>
        <v>23.295400000000001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>VALUE(LEFT(A40,LEN(A40)-3))</f>
        <v>127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/stypes="app*4042*20170823*" /stext=" 13:.+((SYSTEM_STATE.+slice.+state.+changed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127-23 --locoid 4042 --swversion DE.1.0.9.0 --startMP 204:446 --initTime 2017-08-23T06:54:34 --startdatetime 2017-08-23T07:00:52 --delay 1 --endMP 204:233400 --enddatetime 2017-08-23T07:36:20 --enforcementcount 1 &gt;&gt;C:\Users\stu\Documents\GitHub\eaglep3-reporting\EC\2017-08-23-refined-times.txt</v>
      </c>
      <c r="AI40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{"issue":{"subject":"","project_id":79,"tracker_id":40,"status_id":1,"priority_id":2,"assigned_to_id":23,"start_date":"2017-08-23","description":"","custom_fields":[{"id":1,"name":"Subdivision","value":"EC"},{"id":4,"name":"Milepost","value":"23.34"},{"id":17,"name":"Train ID","value":"127-23"},{"id":16,"name":"Locomotive ID","value":"4042"},{"id":130,"name":"Impact","value":""},{"id":150,"name":"Time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4042 --day 2017-08-23</v>
      </c>
      <c r="AN40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649</v>
      </c>
      <c r="B41" s="7">
        <v>4041</v>
      </c>
      <c r="C41" s="21" t="s">
        <v>197</v>
      </c>
      <c r="D41" s="21" t="s">
        <v>830</v>
      </c>
      <c r="E41" s="13">
        <v>42970.319814814815</v>
      </c>
      <c r="F41" s="13">
        <v>42970.331469907411</v>
      </c>
      <c r="G41" s="7">
        <v>1</v>
      </c>
      <c r="H41" s="21" t="s">
        <v>416</v>
      </c>
      <c r="I41" s="13">
        <v>42970.357523148145</v>
      </c>
      <c r="J41" s="7">
        <v>1</v>
      </c>
      <c r="K41" s="89" t="str">
        <f>IF(ISEVEN(B41),(B41-1)&amp;"/"&amp;B41,B41&amp;"/"&amp;(B41+1))</f>
        <v>4041/4042</v>
      </c>
      <c r="L41" s="217" t="str">
        <f>VLOOKUP(A41,'Trips&amp;Operators'!$C$1:$G$99911,5,FALSE)</f>
        <v>LOZA FIDEL</v>
      </c>
      <c r="M41" s="6">
        <f>I41-F41</f>
        <v>2.6053240733745042E-2</v>
      </c>
      <c r="N41" s="7">
        <f>24*60*SUM($M41:$M41)</f>
        <v>37.516666656592861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-08-23T06:40:32-0600',mode:absolute,to:'2017-08-23T09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23.308900000000001</v>
      </c>
      <c r="Z41" s="197">
        <f>RIGHT(H41,LEN(H41)-4)/10000</f>
        <v>1.34E-2</v>
      </c>
      <c r="AA41" s="197">
        <f>ABS(Z41-Y41)</f>
        <v>23.295500000000001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>VALUE(LEFT(A41,LEN(A41)-3))</f>
        <v>128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/stypes="app*4041*20170823*" /stext=" 14:.+((SYSTEM_STATE.+slice.+state.+changed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128-23 --locoid 4041 --swversion DE.1.0.9.0 --startMP 204:233089 --initTime 2017-08-23T07:40:32 --startdatetime 2017-08-23T07:57:19 --delay 1 --endMP 204:134 --enddatetime 2017-08-23T08:34:50 --enforcementcount 1 &gt;&gt;C:\Users\stu\Documents\GitHub\eaglep3-reporting\EC\2017-08-23-refined-times.txt</v>
      </c>
      <c r="AI41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{"issue":{"subject":"","project_id":79,"tracker_id":40,"status_id":1,"priority_id":2,"assigned_to_id":23,"start_date":"2017-08-23","description":"","custom_fields":[{"id":1,"name":"Subdivision","value":"EC"},{"id":4,"name":"Milepost","value":"0.0134"},{"id":17,"name":"Train ID","value":"128-23"},{"id":16,"name":"Locomotive ID","value":"4041"},{"id":130,"name":"Impact","value":""},{"id":150,"name":"Time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4041 --day 2017-08-23</v>
      </c>
      <c r="AN41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642</v>
      </c>
      <c r="B42" s="7">
        <v>4040</v>
      </c>
      <c r="C42" s="21" t="s">
        <v>197</v>
      </c>
      <c r="D42" s="21" t="s">
        <v>372</v>
      </c>
      <c r="E42" s="13">
        <v>42970.297094907408</v>
      </c>
      <c r="F42" s="13">
        <v>42970.302743055552</v>
      </c>
      <c r="G42" s="7">
        <v>1</v>
      </c>
      <c r="H42" s="21" t="s">
        <v>831</v>
      </c>
      <c r="I42" s="13">
        <v>42970.32712962963</v>
      </c>
      <c r="J42" s="7">
        <v>1</v>
      </c>
      <c r="K42" s="89" t="str">
        <f>IF(ISEVEN(B42),(B42-1)&amp;"/"&amp;B42,B42&amp;"/"&amp;(B42+1))</f>
        <v>4039/4040</v>
      </c>
      <c r="L42" s="217" t="str">
        <f>VLOOKUP(A42,'Trips&amp;Operators'!$C$1:$G$99911,5,FALSE)</f>
        <v>MAELZER KURT</v>
      </c>
      <c r="M42" s="6">
        <f>I42-F42</f>
        <v>2.4386574077652767E-2</v>
      </c>
      <c r="N42" s="7">
        <f>24*60*SUM($M42:$M42)</f>
        <v>35.116666671819985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-08-23T06:07:49-0600',mode:absolute,to:'2017-08-23T08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f>RIGHT(D42,LEN(D42)-4)/10000</f>
        <v>4.5699999999999998E-2</v>
      </c>
      <c r="Z42" s="197">
        <f>RIGHT(H42,LEN(H42)-4)/10000</f>
        <v>23.330100000000002</v>
      </c>
      <c r="AA42" s="197">
        <f>ABS(Z42-Y42)</f>
        <v>23.284400000000002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>VALUE(LEFT(A42,LEN(A42)-3))</f>
        <v>129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s3://rtdc.mdm.uploadarchive.raw/RTDC4040/ "%USERPROFILE%\AppData\Local\Temp\OnboardLogs"\RTDC4040\2017-08-23 --exclude "*" --recursive --include "*20170823*" &amp; "%USERPROFILE%\Documents\GitHub\mrs-test-scripts\Headless Mode &amp; Sideloading\WalkAndUnGZ.bat" "%USERPROFILE%\AppData\Local\Temp\OnboardLogs"\RTDC4040\2017-08-23 &amp; 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/stypes="app*4040*20170823*" /stext=" 13:.+((SYSTEM_STATE.+slice.+state.+changed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129-23 --locoid 4040 --swversion DE.1.0.9.0 --startMP 204:457 --initTime 2017-08-23T07:07:49 --startdatetime 2017-08-23T07:15:57 --delay 1 --endMP 204:233301 --enddatetime 2017-08-23T07:51:04 --enforcementcount 1 &gt;&gt;C:\Users\stu\Documents\GitHub\eaglep3-reporting\EC\2017-08-23-refined-times.txt</v>
      </c>
      <c r="AI42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{"issue":{"subject":"","project_id":79,"tracker_id":40,"status_id":1,"priority_id":2,"assigned_to_id":23,"start_date":"2017-08-23","description":"","custom_fields":[{"id":1,"name":"Subdivision","value":"EC"},{"id":4,"name":"Milepost","value":"23.3301"},{"id":17,"name":"Train ID","value":"129-23"},{"id":16,"name":"Locomotive ID","value":"4040"},{"id":130,"name":"Impact","value":""},{"id":150,"name":"Time of Event (Mountain Time)","value":"07:51:04"},{"id":151,"name":"Denver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4040 --day 2017-08-23</v>
      </c>
      <c r="AN42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653</v>
      </c>
      <c r="B43" s="7">
        <v>4039</v>
      </c>
      <c r="C43" s="21" t="s">
        <v>197</v>
      </c>
      <c r="D43" s="21" t="s">
        <v>832</v>
      </c>
      <c r="E43" s="13">
        <v>42970.334050925929</v>
      </c>
      <c r="F43" s="13">
        <v>42970.341990740744</v>
      </c>
      <c r="G43" s="7">
        <v>1</v>
      </c>
      <c r="H43" s="21" t="s">
        <v>379</v>
      </c>
      <c r="I43" s="13">
        <v>42970.368877314817</v>
      </c>
      <c r="J43" s="7">
        <v>1</v>
      </c>
      <c r="K43" s="89" t="str">
        <f>IF(ISEVEN(B43),(B43-1)&amp;"/"&amp;B43,B43&amp;"/"&amp;(B43+1))</f>
        <v>4039/4040</v>
      </c>
      <c r="L43" s="217" t="str">
        <f>VLOOKUP(A43,'Trips&amp;Operators'!$C$1:$G$99911,5,FALSE)</f>
        <v>MAELZER KURT</v>
      </c>
      <c r="M43" s="6">
        <f>I43-F43</f>
        <v>2.6886574072705116E-2</v>
      </c>
      <c r="N43" s="7">
        <f>24*60*SUM($M43:$M43)</f>
        <v>38.716666664695367</v>
      </c>
      <c r="O43" s="7"/>
      <c r="P43" s="7"/>
      <c r="Q43" s="22"/>
      <c r="R43" s="170"/>
      <c r="S43" s="213">
        <f>1/IF(AG43="EC",12,1)*SUM(U43:U43)</f>
        <v>1</v>
      </c>
      <c r="T43" s="195" t="str">
        <f>IF(ISEVEN(LEFT(AD43,4)),"Southbound","NorthBound")</f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-08-23T07:01:02-0600',mode:absolute,to:'2017-08-23T09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3" s="197" t="str">
        <f>IF(AA43&lt;VLOOKUP(AG43,Variables!$AC$3:$AD$8,2,FALSE),"Y","N")</f>
        <v>N</v>
      </c>
      <c r="X43" s="197">
        <f>VALUE(LEFT(AD43,4))-VALUE(LEFT(AD42,4))</f>
        <v>1</v>
      </c>
      <c r="Y43" s="197">
        <f>RIGHT(D43,LEN(D43)-4)/10000</f>
        <v>23.298400000000001</v>
      </c>
      <c r="Z43" s="197">
        <f>RIGHT(H43,LEN(H43)-4)/10000</f>
        <v>1.38E-2</v>
      </c>
      <c r="AA43" s="197">
        <f>ABS(Z43-Y43)</f>
        <v>23.284600000000001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206">
        <f>VALUE(LEFT(A43,LEN(A43)-3))</f>
        <v>130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/stypes="app*4039*20170823*"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130-23 --locoid 4039 --swversion DE.1.0.9.0 --startMP 204:232984 --initTime 2017-08-23T08:01:02 --startdatetime 2017-08-23T08:12:28 --delay 1 --endMP 204:138 --enddatetime 2017-08-23T08:51:11 --enforcementcount 1 &gt;&gt;C:\Users\stu\Documents\GitHub\eaglep3-reporting\EC\2017-08-23-refined-times.txt</v>
      </c>
      <c r="AI43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{"issue":{"subject":"","project_id":79,"tracker_id":40,"status_id":1,"priority_id":2,"assigned_to_id":23,"start_date":"2017-08-23","description":"","custom_fields":[{"id":1,"name":"Subdivision","value":"EC"},{"id":4,"name":"Milepost","value":"0.0138"},{"id":17,"name":"Train ID","value":"130-23"},{"id":16,"name":"Locomotive ID","value":"4039"},{"id":130,"name":"Impact","value":""},{"id":150,"name":"Time of Event (Mountain Time)","value":"08:51:11"},{"id":151,"name":"Denver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4039 --day 2017-08-23</v>
      </c>
      <c r="AN43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645</v>
      </c>
      <c r="B44" s="7">
        <v>4014</v>
      </c>
      <c r="C44" s="21" t="s">
        <v>197</v>
      </c>
      <c r="D44" s="21" t="s">
        <v>357</v>
      </c>
      <c r="E44" s="13">
        <v>42970.308564814812</v>
      </c>
      <c r="F44" s="13">
        <v>42970.313020833331</v>
      </c>
      <c r="G44" s="7">
        <v>1</v>
      </c>
      <c r="H44" s="21" t="s">
        <v>395</v>
      </c>
      <c r="I44" s="13">
        <v>42970.337777777779</v>
      </c>
      <c r="J44" s="7">
        <v>1</v>
      </c>
      <c r="K44" s="89" t="str">
        <f>IF(ISEVEN(B44),(B44-1)&amp;"/"&amp;B44,B44&amp;"/"&amp;(B44+1))</f>
        <v>4013/4014</v>
      </c>
      <c r="L44" s="217" t="str">
        <f>VLOOKUP(A44,'Trips&amp;Operators'!$C$1:$G$99911,5,FALSE)</f>
        <v>YANG JAN</v>
      </c>
      <c r="M44" s="6">
        <f>I44-F44</f>
        <v>2.4756944447290152E-2</v>
      </c>
      <c r="N44" s="7">
        <f>24*60*SUM($M44:$M44)</f>
        <v>35.650000004097819</v>
      </c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-08-23T06:24:20-0600',mode:absolute,to:'2017-08-23T09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1</v>
      </c>
      <c r="Y44" s="197">
        <f>RIGHT(D44,LEN(D44)-4)/10000</f>
        <v>4.5499999999999999E-2</v>
      </c>
      <c r="Z44" s="197">
        <f>RIGHT(H44,LEN(H44)-4)/10000</f>
        <v>23.3308</v>
      </c>
      <c r="AA44" s="197">
        <f>ABS(Z44-Y44)</f>
        <v>23.285299999999999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/stypes="app*4014*20170823*" /stext=" 14:.+((SYSTEM_STATE.+slice.+state.+changed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131-23 --locoid 4014 --swversion DE.1.0.9.0 --startMP 204:455 --initTime 2017-08-23T07:24:20 --startdatetime 2017-08-23T07:30:45 --delay 1 --endMP 204:233308 --enddatetime 2017-08-23T08:06:24 --enforcementcount 1 &gt;&gt;C:\Users\stu\Documents\GitHub\eaglep3-reporting\EC\2017-08-23-refined-times.txt</v>
      </c>
      <c r="AI44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{"issue":{"subject":"","project_id":79,"tracker_id":40,"status_id":1,"priority_id":2,"assigned_to_id":23,"start_date":"2017-08-23","description":"","custom_fields":[{"id":1,"name":"Subdivision","value":"EC"},{"id":4,"name":"Milepost","value":"23.3308"},{"id":17,"name":"Train ID","value":"131-23"},{"id":16,"name":"Locomotive ID","value":"4014"},{"id":130,"name":"Impact","value":""},{"id":150,"name":"Time of Event (Mountain Time)","value":"08:06:24"},{"id":151,"name":"Denver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4014 --day 2017-08-23</v>
      </c>
      <c r="AN44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655</v>
      </c>
      <c r="B45" s="7">
        <v>4013</v>
      </c>
      <c r="C45" s="21" t="s">
        <v>197</v>
      </c>
      <c r="D45" s="21" t="s">
        <v>354</v>
      </c>
      <c r="E45" s="13">
        <v>42970.347280092596</v>
      </c>
      <c r="F45" s="13">
        <v>42970.352268518516</v>
      </c>
      <c r="G45" s="7">
        <v>1</v>
      </c>
      <c r="H45" s="21" t="s">
        <v>378</v>
      </c>
      <c r="I45" s="13">
        <v>42970.378449074073</v>
      </c>
      <c r="J45" s="7">
        <v>1</v>
      </c>
      <c r="K45" s="89" t="str">
        <f>IF(ISEVEN(B45),(B45-1)&amp;"/"&amp;B45,B45&amp;"/"&amp;(B45+1))</f>
        <v>4013/4014</v>
      </c>
      <c r="L45" s="217" t="str">
        <f>VLOOKUP(A45,'Trips&amp;Operators'!$C$1:$G$99911,5,FALSE)</f>
        <v>YANG JAN</v>
      </c>
      <c r="M45" s="6">
        <f>I45-F45</f>
        <v>2.6180555556493346E-2</v>
      </c>
      <c r="N45" s="7">
        <f>24*60*SUM($M45:$M45)</f>
        <v>37.700000001350418</v>
      </c>
      <c r="O45" s="7"/>
      <c r="P45" s="7"/>
      <c r="Q45" s="22"/>
      <c r="R45" s="170"/>
      <c r="S45" s="213">
        <f>1/IF(AG45="EC",12,1)*SUM(U45:U45)</f>
        <v>1</v>
      </c>
      <c r="T45" s="195" t="str">
        <f>IF(ISEVEN(LEFT(AD45,4)),"Southbound","NorthBound")</f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-08-23T07:20:05-0600',mode:absolute,to:'2017-08-23T10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23.299600000000002</v>
      </c>
      <c r="Z45" s="197">
        <f>RIGHT(H45,LEN(H45)-4)/10000</f>
        <v>1.6E-2</v>
      </c>
      <c r="AA45" s="197">
        <f>ABS(Z45-Y45)</f>
        <v>23.283600000000003</v>
      </c>
      <c r="AB45" s="54" t="e">
        <f>VLOOKUP(A45,Enforcements!$C$7:$K$11,8,0)</f>
        <v>#N/A</v>
      </c>
      <c r="AC45" s="51" t="e">
        <f>VLOOKUP(A45,Enforcements!$C$7:$E$11,3,0)</f>
        <v>#N/A</v>
      </c>
      <c r="AD45" s="206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/stypes="app*4013*20170823*" /stext=" 15:.+((SYSTEM_STATE.+slice.+state.+changed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132-23 --locoid 4013 --swversion DE.1.0.9.0 --startMP 204:232996 --initTime 2017-08-23T08:20:05 --startdatetime 2017-08-23T08:27:16 --delay 1 --endMP 204:160 --enddatetime 2017-08-23T09:04:58 --enforcementcount 1 &gt;&gt;C:\Users\stu\Documents\GitHub\eaglep3-reporting\EC\2017-08-23-refined-times.txt</v>
      </c>
      <c r="AI45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{"issue":{"subject":"","project_id":79,"tracker_id":40,"status_id":1,"priority_id":2,"assigned_to_id":23,"start_date":"2017-08-23","description":"","custom_fields":[{"id":1,"name":"Subdivision","value":"EC"},{"id":4,"name":"Milepost","value":"0.016"},{"id":17,"name":"Train ID","value":"132-23"},{"id":16,"name":"Locomotive ID","value":"4013"},{"id":130,"name":"Impact","value":""},{"id":150,"name":"Time of Event (Mountain Time)","value":"09:04:58"},{"id":151,"name":"Denver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4013 --day 2017-08-23</v>
      </c>
      <c r="AN45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648</v>
      </c>
      <c r="B46" s="7">
        <v>4028</v>
      </c>
      <c r="C46" s="21" t="s">
        <v>197</v>
      </c>
      <c r="D46" s="21" t="s">
        <v>337</v>
      </c>
      <c r="E46" s="13">
        <v>42970.319247685184</v>
      </c>
      <c r="F46" s="13">
        <v>42970.362696759257</v>
      </c>
      <c r="G46" s="7">
        <v>1</v>
      </c>
      <c r="H46" s="21" t="s">
        <v>403</v>
      </c>
      <c r="I46" s="13">
        <v>42970.389166666668</v>
      </c>
      <c r="J46" s="7">
        <v>1</v>
      </c>
      <c r="K46" s="89" t="str">
        <f>IF(ISEVEN(B46),(B46-1)&amp;"/"&amp;B46,B46&amp;"/"&amp;(B46+1))</f>
        <v>4027/4028</v>
      </c>
      <c r="L46" s="217" t="str">
        <f>VLOOKUP(A46,'Trips&amp;Operators'!$C$1:$G$99911,5,FALSE)</f>
        <v>STARKS ANGELINA</v>
      </c>
      <c r="M46" s="6">
        <f>I46-F46</f>
        <v>2.6469907410501037E-2</v>
      </c>
      <c r="N46" s="7">
        <f>24*60*SUM($M46:$M46)</f>
        <v>38.116666671121493</v>
      </c>
      <c r="O46" s="7"/>
      <c r="P46" s="7"/>
      <c r="Q46" s="22"/>
      <c r="R46" s="170"/>
      <c r="S46" s="213">
        <f>1/IF(AG46="EC",12,1)*SUM(U46:U46)</f>
        <v>1</v>
      </c>
      <c r="T46" s="195" t="str">
        <f>IF(ISEVEN(LEFT(AD46,4)),"Southbound","NorthBound")</f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-08-23T06:39:43-0600',mode:absolute,to:'2017-08-23T10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197" t="str">
        <f>IF(AA46&lt;VLOOKUP(AG46,Variables!$AC$3:$AD$8,2,FALSE),"Y","N")</f>
        <v>N</v>
      </c>
      <c r="X46" s="197">
        <f>VALUE(LEFT(AD46,4))-VALUE(LEFT(AD45,4))</f>
        <v>1</v>
      </c>
      <c r="Y46" s="197">
        <f>RIGHT(D46,LEN(D46)-4)/10000</f>
        <v>4.4600000000000001E-2</v>
      </c>
      <c r="Z46" s="197">
        <f>RIGHT(H46,LEN(H46)-4)/10000</f>
        <v>23.328199999999999</v>
      </c>
      <c r="AA46" s="197">
        <f>ABS(Z46-Y46)</f>
        <v>23.2836</v>
      </c>
      <c r="AB46" s="54" t="e">
        <f>VLOOKUP(A46,Enforcements!$C$7:$K$11,8,0)</f>
        <v>#N/A</v>
      </c>
      <c r="AC46" s="51" t="e">
        <f>VLOOKUP(A46,Enforcements!$C$7:$E$11,3,0)</f>
        <v>#N/A</v>
      </c>
      <c r="AD46" s="206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/stypes="app*4028*20170823*" /stext=" 15:.+((SYSTEM_STATE.+slice.+state.+changed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133-23 --locoid 4028 --swversion DE.1.0.9.0 --startMP 204:446 --initTime 2017-08-23T07:39:43 --startdatetime 2017-08-23T08:42:17 --delay 1 --endMP 204:233282 --enddatetime 2017-08-23T09:20:24 --enforcementcount 1 &gt;&gt;C:\Users\stu\Documents\GitHub\eaglep3-reporting\EC\2017-08-23-refined-times.txt</v>
      </c>
      <c r="AI46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{"issue":{"subject":"","project_id":79,"tracker_id":40,"status_id":1,"priority_id":2,"assigned_to_id":23,"start_date":"2017-08-23","description":"","custom_fields":[{"id":1,"name":"Subdivision","value":"EC"},{"id":4,"name":"Milepost","value":"23.3282"},{"id":17,"name":"Train ID","value":"133-23"},{"id":16,"name":"Locomotive ID","value":"4028"},{"id":130,"name":"Impact","value":""},{"id":150,"name":"Time of Event (Mountain Time)","value":"09:20:24"},{"id":151,"name":"Denver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4028 --day 2017-08-23</v>
      </c>
      <c r="AN46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657</v>
      </c>
      <c r="B47" s="7">
        <v>4027</v>
      </c>
      <c r="C47" s="21" t="s">
        <v>197</v>
      </c>
      <c r="D47" s="21" t="s">
        <v>460</v>
      </c>
      <c r="E47" s="13">
        <v>42970.351168981484</v>
      </c>
      <c r="F47" s="13">
        <v>42970.362696759257</v>
      </c>
      <c r="G47" s="7">
        <v>1</v>
      </c>
      <c r="H47" s="21" t="s">
        <v>350</v>
      </c>
      <c r="I47" s="13">
        <v>42970.389166666668</v>
      </c>
      <c r="J47" s="7">
        <v>1</v>
      </c>
      <c r="K47" s="89" t="str">
        <f>IF(ISEVEN(B47),(B47-1)&amp;"/"&amp;B47,B47&amp;"/"&amp;(B47+1))</f>
        <v>4027/4028</v>
      </c>
      <c r="L47" s="217" t="str">
        <f>VLOOKUP(A47,'Trips&amp;Operators'!$C$1:$G$99911,5,FALSE)</f>
        <v>STARKS ANGELINA</v>
      </c>
      <c r="M47" s="6">
        <f>I47-F47</f>
        <v>2.6469907410501037E-2</v>
      </c>
      <c r="N47" s="7">
        <f>24*60*SUM($M47:$M47)</f>
        <v>38.116666671121493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-08-23T07:25:41-0600',mode:absolute,to:'2017-08-23T10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23.297999999999998</v>
      </c>
      <c r="Z47" s="197">
        <f>RIGHT(H47,LEN(H47)-4)/10000</f>
        <v>1.54E-2</v>
      </c>
      <c r="AA47" s="197">
        <f>ABS(Z47-Y47)</f>
        <v>23.282599999999999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/stypes="app*4027*20170823*" /stext=" 15:.+((SYSTEM_STATE.+slice.+state.+changed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134-23 --locoid 4027 --swversion DE.1.0.9.0 --startMP 204:232980 --initTime 2017-08-23T08:25:41 --startdatetime 2017-08-23T08:42:17 --delay 1 --endMP 204:154 --enddatetime 2017-08-23T09:20:24 --enforcementcount 1 &gt;&gt;C:\Users\stu\Documents\GitHub\eaglep3-reporting\EC\2017-08-23-refined-times.txt</v>
      </c>
      <c r="AI47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{"issue":{"subject":"","project_id":79,"tracker_id":40,"status_id":1,"priority_id":2,"assigned_to_id":23,"start_date":"2017-08-23","description":"","custom_fields":[{"id":1,"name":"Subdivision","value":"EC"},{"id":4,"name":"Milepost","value":"0.0154"},{"id":17,"name":"Train ID","value":"134-23"},{"id":16,"name":"Locomotive ID","value":"4027"},{"id":130,"name":"Impact","value":""},{"id":150,"name":"Time of Event (Mountain Time)","value":"09:20:24"},{"id":151,"name":"Denver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4027 --day 2017-08-23</v>
      </c>
      <c r="AN47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651</v>
      </c>
      <c r="B48" s="7">
        <v>4030</v>
      </c>
      <c r="C48" s="21" t="s">
        <v>197</v>
      </c>
      <c r="D48" s="21" t="s">
        <v>392</v>
      </c>
      <c r="E48" s="13">
        <v>42970.332037037035</v>
      </c>
      <c r="F48" s="13">
        <v>42970.33394675926</v>
      </c>
      <c r="G48" s="7">
        <v>1</v>
      </c>
      <c r="H48" s="21" t="s">
        <v>433</v>
      </c>
      <c r="I48" s="13">
        <v>42970.358599537038</v>
      </c>
      <c r="J48" s="7">
        <v>1</v>
      </c>
      <c r="K48" s="89" t="str">
        <f>IF(ISEVEN(B48),(B48-1)&amp;"/"&amp;B48,B48&amp;"/"&amp;(B48+1))</f>
        <v>4029/4030</v>
      </c>
      <c r="L48" s="217" t="str">
        <f>VLOOKUP(A48,'Trips&amp;Operators'!$C$1:$G$99911,5,FALSE)</f>
        <v>HELVIE ADAM</v>
      </c>
      <c r="M48" s="6">
        <f>I48-F48</f>
        <v>2.4652777778101154E-2</v>
      </c>
      <c r="N48" s="7">
        <f>24*60*SUM($M48:$M48)</f>
        <v>35.500000000465661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-08-23T06:58:08-0600',mode:absolute,to:'2017-08-23T09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4.6600000000000003E-2</v>
      </c>
      <c r="Z48" s="197">
        <f>RIGHT(H48,LEN(H48)-4)/10000</f>
        <v>23.328900000000001</v>
      </c>
      <c r="AA48" s="197">
        <f>ABS(Z48-Y48)</f>
        <v>23.282299999999999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/stypes="app*4030*20170823*" /stext=" 14:.+((SYSTEM_STATE.+slice.+state.+changed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135-23 --locoid 4030 --swversion DE.1.0.9.0 --startMP 204:466 --initTime 2017-08-23T07:58:08 --startdatetime 2017-08-23T08:00:53 --delay 1 --endMP 204:233289 --enddatetime 2017-08-23T08:36:23 --enforcementcount 1 &gt;&gt;C:\Users\stu\Documents\GitHub\eaglep3-reporting\EC\2017-08-23-refined-times.txt</v>
      </c>
      <c r="AI48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{"issue":{"subject":"","project_id":79,"tracker_id":40,"status_id":1,"priority_id":2,"assigned_to_id":23,"start_date":"2017-08-23","description":"","custom_fields":[{"id":1,"name":"Subdivision","value":"EC"},{"id":4,"name":"Milepost","value":"23.3289"},{"id":17,"name":"Train ID","value":"135-23"},{"id":16,"name":"Locomotive ID","value":"4030"},{"id":130,"name":"Impact","value":""},{"id":150,"name":"Time of Event (Mountain Time)","value":"08:36:23"},{"id":151,"name":"Denver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4030 --day 2017-08-23</v>
      </c>
      <c r="AN48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662</v>
      </c>
      <c r="B49" s="7">
        <v>4029</v>
      </c>
      <c r="C49" s="21" t="s">
        <v>197</v>
      </c>
      <c r="D49" s="21" t="s">
        <v>833</v>
      </c>
      <c r="E49" s="13">
        <v>42970.371805555558</v>
      </c>
      <c r="F49" s="13">
        <v>42970.373229166667</v>
      </c>
      <c r="G49" s="7">
        <v>1</v>
      </c>
      <c r="H49" s="21" t="s">
        <v>467</v>
      </c>
      <c r="I49" s="13">
        <v>42970.399375000001</v>
      </c>
      <c r="J49" s="7">
        <v>1</v>
      </c>
      <c r="K49" s="89" t="str">
        <f>IF(ISEVEN(B49),(B49-1)&amp;"/"&amp;B49,B49&amp;"/"&amp;(B49+1))</f>
        <v>4029/4030</v>
      </c>
      <c r="L49" s="217" t="str">
        <f>VLOOKUP(A49,'Trips&amp;Operators'!$C$1:$G$99911,5,FALSE)</f>
        <v>HELVIE ADAM</v>
      </c>
      <c r="M49" s="6">
        <f>I49-F49</f>
        <v>2.6145833333430346E-2</v>
      </c>
      <c r="N49" s="7">
        <f>24*60*SUM($M49:$M49)</f>
        <v>37.650000000139698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-08-23T07:55:24-0600',mode:absolute,to:'2017-08-23T10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23.297000000000001</v>
      </c>
      <c r="Z49" s="197">
        <f>RIGHT(H49,LEN(H49)-4)/10000</f>
        <v>1.3899999999999999E-2</v>
      </c>
      <c r="AA49" s="197">
        <f>ABS(Z49-Y49)</f>
        <v>23.283100000000001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/stypes="app*4029*20170823*" /stext=" 15:.+((SYSTEM_STATE.+slice.+state.+changed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136-23 --locoid 4029 --swversion DE.1.0.9.0 --startMP 204:232970 --initTime 2017-08-23T08:55:24 --startdatetime 2017-08-23T08:57:27 --delay 1 --endMP 204:139 --enddatetime 2017-08-23T09:35:06 --enforcementcount 1 &gt;&gt;C:\Users\stu\Documents\GitHub\eaglep3-reporting\EC\2017-08-23-refined-times.txt</v>
      </c>
      <c r="AI49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{"issue":{"subject":"","project_id":79,"tracker_id":40,"status_id":1,"priority_id":2,"assigned_to_id":23,"start_date":"2017-08-23","description":"","custom_fields":[{"id":1,"name":"Subdivision","value":"EC"},{"id":4,"name":"Milepost","value":"0.0139"},{"id":17,"name":"Train ID","value":"136-23"},{"id":16,"name":"Locomotive ID","value":"4029"},{"id":130,"name":"Impact","value":""},{"id":150,"name":"Time of Event (Mountain Time)","value":"09:35:06"},{"id":151,"name":"Denver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4029 --day 2017-08-23</v>
      </c>
      <c r="AN49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654</v>
      </c>
      <c r="B50" s="7">
        <v>4050</v>
      </c>
      <c r="C50" s="21" t="s">
        <v>197</v>
      </c>
      <c r="D50" s="21" t="s">
        <v>406</v>
      </c>
      <c r="E50" s="13">
        <v>42970.339097222219</v>
      </c>
      <c r="F50" s="13">
        <v>42970.344282407408</v>
      </c>
      <c r="G50" s="7">
        <v>1</v>
      </c>
      <c r="H50" s="21" t="s">
        <v>834</v>
      </c>
      <c r="I50" s="13">
        <v>42970.369664351849</v>
      </c>
      <c r="J50" s="7">
        <v>1</v>
      </c>
      <c r="K50" s="89" t="str">
        <f>IF(ISEVEN(B50),(B50-1)&amp;"/"&amp;B50,B50&amp;"/"&amp;(B50+1))</f>
        <v>4049/4050</v>
      </c>
      <c r="L50" s="217" t="str">
        <f>VLOOKUP(A50,'Trips&amp;Operators'!$C$1:$G$99911,5,FALSE)</f>
        <v>DAVIS WENDY</v>
      </c>
      <c r="M50" s="6">
        <f>I50-F50</f>
        <v>2.5381944440596271E-2</v>
      </c>
      <c r="N50" s="7">
        <f>24*60*SUM($M50:$M50)</f>
        <v>36.549999994458631</v>
      </c>
      <c r="O50" s="7"/>
      <c r="P50" s="7"/>
      <c r="Q50" s="22"/>
      <c r="R50" s="170"/>
      <c r="S50" s="213">
        <f>1/IF(AG50="EC",12,1)*SUM(U50:U50)</f>
        <v>1</v>
      </c>
      <c r="T50" s="195" t="str">
        <f>IF(ISEVEN(LEFT(AD50,4)),"Southbound","NorthBound")</f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-08-23T07:08:18-0600',mode:absolute,to:'2017-08-23T09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4.3999999999999997E-2</v>
      </c>
      <c r="Z50" s="197">
        <f>RIGHT(H50,LEN(H50)-4)/10000</f>
        <v>23.3307</v>
      </c>
      <c r="AA50" s="197">
        <f>ABS(Z50-Y50)</f>
        <v>23.2867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/stypes="app*4050*20170823*" /stext=" 14:.+((SYSTEM_STATE.+slice.+state.+changed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137-23 --locoid 4050 --swversion DE.1.0.9.0 --startMP 204:440 --initTime 2017-08-23T08:08:18 --startdatetime 2017-08-23T08:15:46 --delay 1 --endMP 204:233307 --enddatetime 2017-08-23T08:52:19 --enforcementcount 1 &gt;&gt;C:\Users\stu\Documents\GitHub\eaglep3-reporting\EC\2017-08-23-refined-times.txt</v>
      </c>
      <c r="AI50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{"issue":{"subject":"","project_id":79,"tracker_id":40,"status_id":1,"priority_id":2,"assigned_to_id":23,"start_date":"2017-08-23","description":"","custom_fields":[{"id":1,"name":"Subdivision","value":"EC"},{"id":4,"name":"Milepost","value":"23.3307"},{"id":17,"name":"Train ID","value":"137-23"},{"id":16,"name":"Locomotive ID","value":"4050"},{"id":130,"name":"Impact","value":""},{"id":150,"name":"Time of Event (Mountain Time)","value":"08:52:19"},{"id":151,"name":"Denver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4050 --day 2017-08-23</v>
      </c>
      <c r="AN50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664</v>
      </c>
      <c r="B51" s="7">
        <v>4049</v>
      </c>
      <c r="C51" s="21" t="s">
        <v>197</v>
      </c>
      <c r="D51" s="21" t="s">
        <v>511</v>
      </c>
      <c r="E51" s="13">
        <v>42970.381828703707</v>
      </c>
      <c r="F51" s="13">
        <v>42970.383506944447</v>
      </c>
      <c r="G51" s="7">
        <v>1</v>
      </c>
      <c r="H51" s="21" t="s">
        <v>350</v>
      </c>
      <c r="I51" s="13">
        <v>42970.410312499997</v>
      </c>
      <c r="J51" s="7">
        <v>1</v>
      </c>
      <c r="K51" s="89" t="str">
        <f>IF(ISEVEN(B51),(B51-1)&amp;"/"&amp;B51,B51&amp;"/"&amp;(B51+1))</f>
        <v>4049/4050</v>
      </c>
      <c r="L51" s="217" t="str">
        <f>VLOOKUP(A51,'Trips&amp;Operators'!$C$1:$G$99911,5,FALSE)</f>
        <v>DAVIS WENDY</v>
      </c>
      <c r="M51" s="6">
        <f>I51-F51</f>
        <v>2.6805555549799465E-2</v>
      </c>
      <c r="N51" s="7">
        <f>24*60*SUM($M51:$M51)</f>
        <v>38.599999991711229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-08-23T08:09:50-0600',mode:absolute,to:'2017-08-23T10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23.299399999999999</v>
      </c>
      <c r="Z51" s="197">
        <f>RIGHT(H51,LEN(H51)-4)/10000</f>
        <v>1.54E-2</v>
      </c>
      <c r="AA51" s="197">
        <f>ABS(Z51-Y51)</f>
        <v>23.283999999999999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s3://rtdc.mdm.uploadarchive.raw/RTDC4049/ "%USERPROFILE%\AppData\Local\Temp\OnboardLogs"\RTDC4049\2017-08-23 --exclude "*" --recursive --include "*20170823*" &amp; "%USERPROFILE%\Documents\GitHub\mrs-test-scripts\Headless Mode &amp; Sideloading\WalkAndUnGZ.bat" "%USERPROFILE%\AppData\Local\Temp\OnboardLogs"\RTDC4049\2017-08-23 &amp; aws s3 cp s3://rtdc.mdm.uploadarchive.raw/RTDC4049/ "%USERPROFILE%\AppData\Local\Temp\OnboardLogs"\RTDC4049\2017-08-24 --exclude "*" --recursive --include "*20170824*" &amp; "%USERPROFILE%\Documents\GitHub\mrs-test-scripts\Headless Mode &amp; Sideloading\WalkAndUnGZ.bat" "%USERPROFILE%\AppData\Local\Temp\OnboardLogs"\RTDC4049\2017-08-24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/stypes="app*4049*20170823*"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138-23 --locoid 4049 --swversion DE.1.0.9.0 --startMP 204:232994 --initTime 2017-08-23T09:09:50 --startdatetime 2017-08-23T09:12:15 --delay 1 --endMP 204:154 --enddatetime 2017-08-23T09:50:51 --enforcementcount 1 &gt;&gt;C:\Users\stu\Documents\GitHub\eaglep3-reporting\EC\2017-08-23-refined-times.txt</v>
      </c>
      <c r="AI51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{"issue":{"subject":"","project_id":79,"tracker_id":40,"status_id":1,"priority_id":2,"assigned_to_id":23,"start_date":"2017-08-23","description":"","custom_fields":[{"id":1,"name":"Subdivision","value":"EC"},{"id":4,"name":"Milepost","value":"0.0154"},{"id":17,"name":"Train ID","value":"138-23"},{"id":16,"name":"Locomotive ID","value":"4049"},{"id":130,"name":"Impact","value":""},{"id":150,"name":"Time of Event (Mountain Time)","value":"09:50:51"},{"id":151,"name":"Denver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4049 --day 2017-08-23</v>
      </c>
      <c r="AN51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656</v>
      </c>
      <c r="B52" s="7">
        <v>4060</v>
      </c>
      <c r="C52" s="21" t="s">
        <v>197</v>
      </c>
      <c r="D52" s="21" t="s">
        <v>343</v>
      </c>
      <c r="E52" s="13">
        <v>42970.350057870368</v>
      </c>
      <c r="F52" s="13">
        <v>42970.354895833334</v>
      </c>
      <c r="G52" s="7">
        <v>1</v>
      </c>
      <c r="H52" s="21" t="s">
        <v>835</v>
      </c>
      <c r="I52" s="13">
        <v>42970.380601851852</v>
      </c>
      <c r="J52" s="7">
        <v>1</v>
      </c>
      <c r="K52" s="89" t="str">
        <f>IF(ISEVEN(B52),(B52-1)&amp;"/"&amp;B52,B52&amp;"/"&amp;(B52+1))</f>
        <v>4059/4060</v>
      </c>
      <c r="L52" s="217" t="str">
        <f>VLOOKUP(A52,'Trips&amp;Operators'!$C$1:$G$99911,5,FALSE)</f>
        <v>BONDS REYNALDO</v>
      </c>
      <c r="M52" s="6">
        <f>I52-F52</f>
        <v>2.5706018517666962E-2</v>
      </c>
      <c r="N52" s="7">
        <f>24*60*SUM($M52:$M52)</f>
        <v>37.016666665440425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-08-23T07:24:05-0600',mode:absolute,to:'2017-08-23T10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4.53E-2</v>
      </c>
      <c r="Z52" s="197">
        <f>RIGHT(H52,LEN(H52)-4)/10000</f>
        <v>23.344000000000001</v>
      </c>
      <c r="AA52" s="197">
        <f>ABS(Z52-Y52)</f>
        <v>23.2987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s3://rtdc.mdm.uploadarchive.raw/RTDC4060/ "%USERPROFILE%\AppData\Local\Temp\OnboardLogs"\RTDC4060\2017-08-23 --exclude "*" --recursive --include "*20170823*" &amp; "%USERPROFILE%\Documents\GitHub\mrs-test-scripts\Headless Mode &amp; Sideloading\WalkAndUnGZ.bat" "%USERPROFILE%\AppData\Local\Temp\OnboardLogs"\RTDC4060\2017-08-23 &amp; aws s3 cp s3://rtdc.mdm.uploadarchive.raw/RTDC4060/ "%USERPROFILE%\AppData\Local\Temp\OnboardLogs"\RTDC4060\2017-08-24 --exclude "*" --recursive --include "*20170824*" &amp; "%USERPROFILE%\Documents\GitHub\mrs-test-scripts\Headless Mode &amp; Sideloading\WalkAndUnGZ.bat" "%USERPROFILE%\AppData\Local\Temp\OnboardLogs"\RTDC4060\2017-08-24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/stypes="app*4060*20170823*" /stext=" 15:.+((SYSTEM_STATE.+slice.+state.+changed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139-23 --locoid 4060 --swversion DE.1.0.9.0 --startMP 204:453 --initTime 2017-08-23T08:24:05 --startdatetime 2017-08-23T08:31:03 --delay 1 --endMP 204:233440 --enddatetime 2017-08-23T09:08:04 --enforcementcount 1 &gt;&gt;C:\Users\stu\Documents\GitHub\eaglep3-reporting\EC\2017-08-23-refined-times.txt</v>
      </c>
      <c r="AI52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{"issue":{"subject":"","project_id":79,"tracker_id":40,"status_id":1,"priority_id":2,"assigned_to_id":23,"start_date":"2017-08-23","description":"","custom_fields":[{"id":1,"name":"Subdivision","value":"EC"},{"id":4,"name":"Milepost","value":"23.344"},{"id":17,"name":"Train ID","value":"139-23"},{"id":16,"name":"Locomotive ID","value":"4060"},{"id":130,"name":"Impact","value":""},{"id":150,"name":"Time of Event (Mountain Time)","value":"09:08:04"},{"id":151,"name":"Denver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4060 --day 2017-08-23</v>
      </c>
      <c r="AN52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666</v>
      </c>
      <c r="B53" s="7">
        <v>4059</v>
      </c>
      <c r="C53" s="21" t="s">
        <v>197</v>
      </c>
      <c r="D53" s="21" t="s">
        <v>836</v>
      </c>
      <c r="E53" s="13">
        <v>42970.390243055554</v>
      </c>
      <c r="F53" s="13">
        <v>42970.394305555557</v>
      </c>
      <c r="G53" s="7">
        <v>1</v>
      </c>
      <c r="H53" s="21" t="s">
        <v>377</v>
      </c>
      <c r="I53" s="13">
        <v>42970.420740740738</v>
      </c>
      <c r="J53" s="7">
        <v>1</v>
      </c>
      <c r="K53" s="89" t="str">
        <f>IF(ISEVEN(B53),(B53-1)&amp;"/"&amp;B53,B53&amp;"/"&amp;(B53+1))</f>
        <v>4059/4060</v>
      </c>
      <c r="L53" s="217" t="str">
        <f>VLOOKUP(A53,'Trips&amp;Operators'!$C$1:$G$99911,5,FALSE)</f>
        <v>BONDS REYNALDO</v>
      </c>
      <c r="M53" s="6">
        <f>I53-F53</f>
        <v>2.643518518016208E-2</v>
      </c>
      <c r="N53" s="7">
        <f>24*60*SUM($M53:$M53)</f>
        <v>38.066666659433395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-08-23T08:21:57-0600',mode:absolute,to:'2017-08-23T11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23.315899999999999</v>
      </c>
      <c r="Z53" s="197">
        <f>RIGHT(H53,LEN(H53)-4)/10000</f>
        <v>1.4500000000000001E-2</v>
      </c>
      <c r="AA53" s="197">
        <f>ABS(Z53-Y53)</f>
        <v>23.301399999999997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s3://rtdc.mdm.uploadarchive.raw/RTDC4059/ "%USERPROFILE%\AppData\Local\Temp\OnboardLogs"\RTDC4059\2017-08-23 --exclude "*" --recursive --include "*20170823*" &amp; "%USERPROFILE%\Documents\GitHub\mrs-test-scripts\Headless Mode &amp; Sideloading\WalkAndUnGZ.bat" "%USERPROFILE%\AppData\Local\Temp\OnboardLogs"\RTDC4059\2017-08-23 &amp; aws s3 cp s3://rtdc.mdm.uploadarchive.raw/RTDC4059/ "%USERPROFILE%\AppData\Local\Temp\OnboardLogs"\RTDC4059\2017-08-24 --exclude "*" --recursive --include "*20170824*" &amp; "%USERPROFILE%\Documents\GitHub\mrs-test-scripts\Headless Mode &amp; Sideloading\WalkAndUnGZ.bat" "%USERPROFILE%\AppData\Local\Temp\OnboardLogs"\RTDC4059\2017-08-24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/stypes="app*4059*20170823*" /stext=" 16:.+((SYSTEM_STATE.+slice.+state.+changed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140-23 --locoid 4059 --swversion DE.1.0.9.0 --startMP 204:233159 --initTime 2017-08-23T09:21:57 --startdatetime 2017-08-23T09:27:48 --delay 1 --endMP 204:145 --enddatetime 2017-08-23T10:05:52 --enforcementcount 1 &gt;&gt;C:\Users\stu\Documents\GitHub\eaglep3-reporting\EC\2017-08-23-refined-times.txt</v>
      </c>
      <c r="AI53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{"issue":{"subject":"","project_id":79,"tracker_id":40,"status_id":1,"priority_id":2,"assigned_to_id":23,"start_date":"2017-08-23","description":"","custom_fields":[{"id":1,"name":"Subdivision","value":"EC"},{"id":4,"name":"Milepost","value":"0.0145"},{"id":17,"name":"Train ID","value":"140-23"},{"id":16,"name":"Locomotive ID","value":"4059"},{"id":130,"name":"Impact","value":""},{"id":150,"name":"Time of Event (Mountain Time)","value":"10:05:52"},{"id":151,"name":"Denver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4059 --day 2017-08-23</v>
      </c>
      <c r="AN53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660</v>
      </c>
      <c r="B54" s="7">
        <v>4042</v>
      </c>
      <c r="C54" s="21" t="s">
        <v>197</v>
      </c>
      <c r="D54" s="21" t="s">
        <v>357</v>
      </c>
      <c r="E54" s="13">
        <v>42970.360613425924</v>
      </c>
      <c r="F54" s="13">
        <v>42970.365358796298</v>
      </c>
      <c r="G54" s="7">
        <v>1</v>
      </c>
      <c r="H54" s="21" t="s">
        <v>837</v>
      </c>
      <c r="I54" s="13">
        <v>42970.389247685183</v>
      </c>
      <c r="J54" s="7">
        <v>1</v>
      </c>
      <c r="K54" s="89" t="str">
        <f>IF(ISEVEN(B54),(B54-1)&amp;"/"&amp;B54,B54&amp;"/"&amp;(B54+1))</f>
        <v>4041/4042</v>
      </c>
      <c r="L54" s="217" t="str">
        <f>VLOOKUP(A54,'Trips&amp;Operators'!$C$1:$G$99911,5,FALSE)</f>
        <v>LOZA FIDEL</v>
      </c>
      <c r="M54" s="6">
        <f>I54-F54</f>
        <v>2.3888888885267079E-2</v>
      </c>
      <c r="N54" s="7">
        <f>24*60*SUM($M54:$M54)</f>
        <v>34.399999994784594</v>
      </c>
      <c r="O54" s="7"/>
      <c r="P54" s="7"/>
      <c r="Q54" s="22"/>
      <c r="R54" s="170"/>
      <c r="S54" s="213">
        <f>1/IF(AG54="EC",12,1)*SUM(U54:U54)</f>
        <v>1</v>
      </c>
      <c r="T54" s="195" t="str">
        <f>IF(ISEVEN(LEFT(AD54,4)),"Southbound","NorthBound")</f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-08-23T07:39:17-0600',mode:absolute,to:'2017-08-23T10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4.5499999999999999E-2</v>
      </c>
      <c r="Z54" s="197">
        <f>RIGHT(H54,LEN(H54)-4)/10000</f>
        <v>23.339099999999998</v>
      </c>
      <c r="AA54" s="197">
        <f>ABS(Z54-Y54)</f>
        <v>23.293599999999998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/stypes="app*4042*20170823*" /stext=" 15:.+((SYSTEM_STATE.+slice.+state.+changed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141-23 --locoid 4042 --swversion DE.1.0.9.0 --startMP 204:455 --initTime 2017-08-23T08:39:17 --startdatetime 2017-08-23T08:46:07 --delay 1 --endMP 204:233391 --enddatetime 2017-08-23T09:20:31 --enforcementcount 1 &gt;&gt;C:\Users\stu\Documents\GitHub\eaglep3-reporting\EC\2017-08-23-refined-times.txt</v>
      </c>
      <c r="AI54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{"issue":{"subject":"","project_id":79,"tracker_id":40,"status_id":1,"priority_id":2,"assigned_to_id":23,"start_date":"2017-08-23","description":"","custom_fields":[{"id":1,"name":"Subdivision","value":"EC"},{"id":4,"name":"Milepost","value":"23.3391"},{"id":17,"name":"Train ID","value":"141-23"},{"id":16,"name":"Locomotive ID","value":"4042"},{"id":130,"name":"Impact","value":""},{"id":150,"name":"Time of Event (Mountain Time)","value":"09:20:31"},{"id":151,"name":"Denver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4042 --day 2017-08-23</v>
      </c>
      <c r="AN54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670</v>
      </c>
      <c r="B55" s="7">
        <v>4041</v>
      </c>
      <c r="C55" s="21" t="s">
        <v>197</v>
      </c>
      <c r="D55" s="21" t="s">
        <v>838</v>
      </c>
      <c r="E55" s="13">
        <v>42970.400567129633</v>
      </c>
      <c r="F55" s="13">
        <v>42970.404432870368</v>
      </c>
      <c r="G55" s="7">
        <v>1</v>
      </c>
      <c r="H55" s="21" t="s">
        <v>345</v>
      </c>
      <c r="I55" s="13">
        <v>42970.43037037037</v>
      </c>
      <c r="J55" s="7">
        <v>1</v>
      </c>
      <c r="K55" s="89" t="str">
        <f>IF(ISEVEN(B55),(B55-1)&amp;"/"&amp;B55,B55&amp;"/"&amp;(B55+1))</f>
        <v>4041/4042</v>
      </c>
      <c r="L55" s="217" t="str">
        <f>VLOOKUP(A55,'Trips&amp;Operators'!$C$1:$G$99911,5,FALSE)</f>
        <v>LOZA FIDEL</v>
      </c>
      <c r="M55" s="6">
        <f>I55-F55</f>
        <v>2.5937500002328306E-2</v>
      </c>
      <c r="N55" s="7">
        <f>24*60*SUM($M55:$M55)</f>
        <v>37.350000003352761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-08-23T08:36:49-0600',mode:absolute,to:'2017-08-23T11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23.312200000000001</v>
      </c>
      <c r="Z55" s="197">
        <f>RIGHT(H55,LEN(H55)-4)/10000</f>
        <v>1.41E-2</v>
      </c>
      <c r="AA55" s="197">
        <f>ABS(Z55-Y55)</f>
        <v>23.298100000000002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206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/stypes="app*4041*20170823*" /stext=" 16:.+((SYSTEM_STATE.+slice.+state.+changed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142-23 --locoid 4041 --swversion DE.1.0.9.0 --startMP 204:233122 --initTime 2017-08-23T09:36:49 --startdatetime 2017-08-23T09:42:23 --delay 1 --endMP 204:141 --enddatetime 2017-08-23T10:19:44 --enforcementcount 1 &gt;&gt;C:\Users\stu\Documents\GitHub\eaglep3-reporting\EC\2017-08-23-refined-times.txt</v>
      </c>
      <c r="AI55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{"issue":{"subject":"","project_id":79,"tracker_id":40,"status_id":1,"priority_id":2,"assigned_to_id":23,"start_date":"2017-08-23","description":"","custom_fields":[{"id":1,"name":"Subdivision","value":"EC"},{"id":4,"name":"Milepost","value":"0.0141"},{"id":17,"name":"Train ID","value":"142-23"},{"id":16,"name":"Locomotive ID","value":"4041"},{"id":130,"name":"Impact","value":""},{"id":150,"name":"Time of Event (Mountain Time)","value":"10:19:44"},{"id":151,"name":"Denver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4041 --day 2017-08-23</v>
      </c>
      <c r="AN55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661</v>
      </c>
      <c r="B56" s="7">
        <v>4040</v>
      </c>
      <c r="C56" s="21" t="s">
        <v>197</v>
      </c>
      <c r="D56" s="21" t="s">
        <v>372</v>
      </c>
      <c r="E56" s="13">
        <v>42970.371238425927</v>
      </c>
      <c r="F56" s="13">
        <v>42970.375706018516</v>
      </c>
      <c r="G56" s="7">
        <v>0</v>
      </c>
      <c r="H56" s="21" t="s">
        <v>515</v>
      </c>
      <c r="I56" s="13">
        <v>42970.400520833333</v>
      </c>
      <c r="J56" s="7">
        <v>1</v>
      </c>
      <c r="K56" s="89" t="str">
        <f>IF(ISEVEN(B56),(B56-1)&amp;"/"&amp;B56,B56&amp;"/"&amp;(B56+1))</f>
        <v>4039/4040</v>
      </c>
      <c r="L56" s="217" t="str">
        <f>VLOOKUP(A56,'Trips&amp;Operators'!$C$1:$G$99911,5,FALSE)</f>
        <v>MAELZER KURT</v>
      </c>
      <c r="M56" s="6">
        <f>I56-F56</f>
        <v>2.4814814816636499E-2</v>
      </c>
      <c r="N56" s="7">
        <f>24*60*SUM($M56:$M56)</f>
        <v>35.733333335956559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-08-23T07:54:35-0600',mode:absolute,to:'2017-08-23T10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4.5699999999999998E-2</v>
      </c>
      <c r="Z56" s="197">
        <f>RIGHT(H56,LEN(H56)-4)/10000</f>
        <v>23.3323</v>
      </c>
      <c r="AA56" s="197">
        <f>ABS(Z56-Y56)</f>
        <v>23.2866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s3://rtdc.mdm.uploadarchive.raw/RTDC4040/ "%USERPROFILE%\AppData\Local\Temp\OnboardLogs"\RTDC4040\2017-08-23 --exclude "*" --recursive --include "*20170823*" &amp; "%USERPROFILE%\Documents\GitHub\mrs-test-scripts\Headless Mode &amp; Sideloading\WalkAndUnGZ.bat" "%USERPROFILE%\AppData\Local\Temp\OnboardLogs"\RTDC4040\2017-08-23 &amp; 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/stypes="app*4040*20170823*" /stext=" 15:.+((SYSTEM_STATE.+slice.+state.+changed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143-23 --locoid 4040 --swversion DE.1.0.9.0 --startMP 204:457 --initTime 2017-08-23T08:54:35 --startdatetime 2017-08-23T09:01:01 --delay 0 --endMP 204:233323 --enddatetime 2017-08-23T09:36:45 --enforcementcount 1 &gt;&gt;C:\Users\stu\Documents\GitHub\eaglep3-reporting\EC\2017-08-23-refined-times.txt</v>
      </c>
      <c r="AI56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{"issue":{"subject":"","project_id":79,"tracker_id":40,"status_id":1,"priority_id":2,"assigned_to_id":23,"start_date":"2017-08-23","description":"","custom_fields":[{"id":1,"name":"Subdivision","value":"EC"},{"id":4,"name":"Milepost","value":"23.3323"},{"id":17,"name":"Train ID","value":"143-23"},{"id":16,"name":"Locomotive ID","value":"4040"},{"id":130,"name":"Impact","value":""},{"id":150,"name":"Time of Event (Mountain Time)","value":"09:36:45"},{"id":151,"name":"Denver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4040 --day 2017-08-23</v>
      </c>
      <c r="AN56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557</v>
      </c>
      <c r="B57" s="7">
        <v>4039</v>
      </c>
      <c r="C57" s="21" t="s">
        <v>197</v>
      </c>
      <c r="D57" s="21" t="s">
        <v>820</v>
      </c>
      <c r="E57" s="13">
        <v>42970.405717592592</v>
      </c>
      <c r="F57" s="13">
        <v>42970.414780092593</v>
      </c>
      <c r="G57" s="7">
        <v>1</v>
      </c>
      <c r="H57" s="21" t="s">
        <v>340</v>
      </c>
      <c r="I57" s="13">
        <v>42970.441331018519</v>
      </c>
      <c r="J57" s="7">
        <v>1</v>
      </c>
      <c r="K57" s="89" t="str">
        <f>IF(ISEVEN(B57),(B57-1)&amp;"/"&amp;B57,B57&amp;"/"&amp;(B57+1))</f>
        <v>4039/4040</v>
      </c>
      <c r="L57" s="217" t="str">
        <f>VLOOKUP(A57,'Trips&amp;Operators'!$C$1:$G$99911,5,FALSE)</f>
        <v>MAELZER KURT</v>
      </c>
      <c r="M57" s="6">
        <f>I57-F57</f>
        <v>2.6550925926130731E-2</v>
      </c>
      <c r="N57" s="7">
        <f>24*60*SUM($M57:$M57)</f>
        <v>38.233333333628252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-08-23T08:44:14-0600',mode:absolute,to:'2017-08-23T11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23.301100000000002</v>
      </c>
      <c r="Z57" s="197">
        <f>RIGHT(H57,LEN(H57)-4)/10000</f>
        <v>1.43E-2</v>
      </c>
      <c r="AA57" s="197">
        <f>ABS(Z57-Y57)</f>
        <v>23.286800000000003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/stypes="app*4039*20170823*" /stext=" 16:.+((SYSTEM_STATE.+slice.+state.+changed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144-23 --locoid 4039 --swversion DE.1.0.9.0 --startMP 204:233011 --initTime 2017-08-23T09:44:14 --startdatetime 2017-08-23T09:57:17 --delay 1 --endMP 204:143 --enddatetime 2017-08-23T10:35:31 --enforcementcount 1 &gt;&gt;C:\Users\stu\Documents\GitHub\eaglep3-reporting\EC\2017-08-23-refined-times.txt</v>
      </c>
      <c r="AI57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{"issue":{"subject":"","project_id":79,"tracker_id":40,"status_id":1,"priority_id":2,"assigned_to_id":23,"start_date":"2017-08-23","description":"","custom_fields":[{"id":1,"name":"Subdivision","value":"EC"},{"id":4,"name":"Milepost","value":"0.0143"},{"id":17,"name":"Train ID","value":"144-23"},{"id":16,"name":"Locomotive ID","value":"4039"},{"id":130,"name":"Impact","value":""},{"id":150,"name":"Time of Event (Mountain Time)","value":"10:35:31"},{"id":151,"name":"Denver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4039 --day 2017-08-23</v>
      </c>
      <c r="AN57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665</v>
      </c>
      <c r="B58" s="7">
        <v>4014</v>
      </c>
      <c r="C58" s="21" t="s">
        <v>197</v>
      </c>
      <c r="D58" s="21" t="s">
        <v>406</v>
      </c>
      <c r="E58" s="13">
        <v>42970.381967592592</v>
      </c>
      <c r="F58" s="13">
        <v>42970.386041666665</v>
      </c>
      <c r="G58" s="7">
        <v>1</v>
      </c>
      <c r="H58" s="21" t="s">
        <v>407</v>
      </c>
      <c r="I58" s="13">
        <v>42970.410254629627</v>
      </c>
      <c r="J58" s="7">
        <v>1</v>
      </c>
      <c r="K58" s="89" t="str">
        <f>IF(ISEVEN(B58),(B58-1)&amp;"/"&amp;B58,B58&amp;"/"&amp;(B58+1))</f>
        <v>4013/4014</v>
      </c>
      <c r="L58" s="217" t="str">
        <f>VLOOKUP(A58,'Trips&amp;Operators'!$C$1:$G$99911,5,FALSE)</f>
        <v>YANG JAN</v>
      </c>
      <c r="M58" s="6">
        <f>I58-F58</f>
        <v>2.421296296233777E-2</v>
      </c>
      <c r="N58" s="7">
        <f>24*60*SUM($M58:$M58)</f>
        <v>34.866666665766388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-08-23T08:10:02-0600',mode:absolute,to:'2017-08-23T10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4.3999999999999997E-2</v>
      </c>
      <c r="Z58" s="197">
        <f>RIGHT(H58,LEN(H58)-4)/10000</f>
        <v>23.331399999999999</v>
      </c>
      <c r="AA58" s="197">
        <f>ABS(Z58-Y58)</f>
        <v>23.287399999999998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/stypes="app*4014*20170823*" /stext=" 15:.+((SYSTEM_STATE.+slice.+state.+changed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145-23 --locoid 4014 --swversion DE.1.0.9.0 --startMP 204:440 --initTime 2017-08-23T09:10:02 --startdatetime 2017-08-23T09:15:54 --delay 1 --endMP 204:233314 --enddatetime 2017-08-23T09:50:46 --enforcementcount 1 &gt;&gt;C:\Users\stu\Documents\GitHub\eaglep3-reporting\EC\2017-08-23-refined-times.txt</v>
      </c>
      <c r="AI58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{"issue":{"subject":"","project_id":79,"tracker_id":40,"status_id":1,"priority_id":2,"assigned_to_id":23,"start_date":"2017-08-23","description":"","custom_fields":[{"id":1,"name":"Subdivision","value":"EC"},{"id":4,"name":"Milepost","value":"23.3314"},{"id":17,"name":"Train ID","value":"145-23"},{"id":16,"name":"Locomotive ID","value":"4014"},{"id":130,"name":"Impact","value":""},{"id":150,"name":"Time of Event (Mountain Time)","value":"09:50:46"},{"id":151,"name":"Denver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4014 --day 2017-08-23</v>
      </c>
      <c r="AN58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559</v>
      </c>
      <c r="B59" s="7">
        <v>4013</v>
      </c>
      <c r="C59" s="21" t="s">
        <v>197</v>
      </c>
      <c r="D59" s="21" t="s">
        <v>839</v>
      </c>
      <c r="E59" s="13">
        <v>42970.420717592591</v>
      </c>
      <c r="F59" s="13">
        <v>42970.425185185188</v>
      </c>
      <c r="G59" s="7">
        <v>1</v>
      </c>
      <c r="H59" s="21" t="s">
        <v>339</v>
      </c>
      <c r="I59" s="13">
        <v>42970.451469907406</v>
      </c>
      <c r="J59" s="7">
        <v>1</v>
      </c>
      <c r="K59" s="89" t="str">
        <f>IF(ISEVEN(B59),(B59-1)&amp;"/"&amp;B59,B59&amp;"/"&amp;(B59+1))</f>
        <v>4013/4014</v>
      </c>
      <c r="L59" s="217" t="str">
        <f>VLOOKUP(A59,'Trips&amp;Operators'!$C$1:$G$99911,5,FALSE)</f>
        <v>YANG JAN</v>
      </c>
      <c r="M59" s="6">
        <f>I59-F59</f>
        <v>2.6284722218406387E-2</v>
      </c>
      <c r="N59" s="7">
        <f>24*60*SUM($M59:$M59)</f>
        <v>37.849999994505197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-08-23T09:05:50-0600',mode:absolute,to:'2017-08-23T11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23.297799999999999</v>
      </c>
      <c r="Z59" s="197">
        <f>RIGHT(H59,LEN(H59)-4)/10000</f>
        <v>1.49E-2</v>
      </c>
      <c r="AA59" s="197">
        <f>ABS(Z59-Y59)</f>
        <v>23.282899999999998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/stypes="app*4013*20170823*"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146-23 --locoid 4013 --swversion DE.1.0.9.0 --startMP 204:232978 --initTime 2017-08-23T10:05:50 --startdatetime 2017-08-23T10:12:16 --delay 1 --endMP 204:149 --enddatetime 2017-08-23T10:50:07 --enforcementcount 1 &gt;&gt;C:\Users\stu\Documents\GitHub\eaglep3-reporting\EC\2017-08-23-refined-times.txt</v>
      </c>
      <c r="AI59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{"issue":{"subject":"","project_id":79,"tracker_id":40,"status_id":1,"priority_id":2,"assigned_to_id":23,"start_date":"2017-08-23","description":"","custom_fields":[{"id":1,"name":"Subdivision","value":"EC"},{"id":4,"name":"Milepost","value":"0.0149"},{"id":17,"name":"Train ID","value":"146-23"},{"id":16,"name":"Locomotive ID","value":"4013"},{"id":130,"name":"Impact","value":""},{"id":150,"name":"Time of Event (Mountain Time)","value":"10:50:07"},{"id":151,"name":"Denver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4013 --day 2017-08-23</v>
      </c>
      <c r="AN59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667</v>
      </c>
      <c r="B60" s="7">
        <v>4028</v>
      </c>
      <c r="C60" s="21" t="s">
        <v>197</v>
      </c>
      <c r="D60" s="21" t="s">
        <v>343</v>
      </c>
      <c r="E60" s="13">
        <v>42970.394386574073</v>
      </c>
      <c r="F60" s="13">
        <v>42970.396516203706</v>
      </c>
      <c r="G60" s="7">
        <v>1</v>
      </c>
      <c r="H60" s="21" t="s">
        <v>840</v>
      </c>
      <c r="I60" s="13">
        <v>42970.421550925923</v>
      </c>
      <c r="J60" s="7">
        <v>1</v>
      </c>
      <c r="K60" s="89" t="str">
        <f>IF(ISEVEN(B60),(B60-1)&amp;"/"&amp;B60,B60&amp;"/"&amp;(B60+1))</f>
        <v>4027/4028</v>
      </c>
      <c r="L60" s="217" t="str">
        <f>VLOOKUP(A60,'Trips&amp;Operators'!$C$1:$G$99911,5,FALSE)</f>
        <v>STARKS ANGELINA</v>
      </c>
      <c r="M60" s="6">
        <f>I60-F60</f>
        <v>2.5034722217242233E-2</v>
      </c>
      <c r="N60" s="7">
        <f>24*60*SUM($M60:$M60)</f>
        <v>36.049999992828816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-08-23T08:27:55-0600',mode:absolute,to:'2017-08-23T11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4.53E-2</v>
      </c>
      <c r="Z60" s="197">
        <f>RIGHT(H60,LEN(H60)-4)/10000</f>
        <v>23.331</v>
      </c>
      <c r="AA60" s="197">
        <f>ABS(Z60-Y60)</f>
        <v>23.285699999999999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/stypes="app*4028*20170823*" /stext=" 16:.+((SYSTEM_STATE.+slice.+state.+changed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147-23 --locoid 4028 --swversion DE.1.0.9.0 --startMP 204:453 --initTime 2017-08-23T09:27:55 --startdatetime 2017-08-23T09:30:59 --delay 1 --endMP 204:233310 --enddatetime 2017-08-23T10:07:02 --enforcementcount 1 &gt;&gt;C:\Users\stu\Documents\GitHub\eaglep3-reporting\EC\2017-08-23-refined-times.txt</v>
      </c>
      <c r="AI60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{"issue":{"subject":"","project_id":79,"tracker_id":40,"status_id":1,"priority_id":2,"assigned_to_id":23,"start_date":"2017-08-23","description":"","custom_fields":[{"id":1,"name":"Subdivision","value":"EC"},{"id":4,"name":"Milepost","value":"23.331"},{"id":17,"name":"Train ID","value":"147-23"},{"id":16,"name":"Locomotive ID","value":"4028"},{"id":130,"name":"Impact","value":""},{"id":150,"name":"Time of Event (Mountain Time)","value":"10:07:02"},{"id":151,"name":"Denver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4028 --day 2017-08-23</v>
      </c>
      <c r="AN60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560</v>
      </c>
      <c r="B61" s="7">
        <v>4027</v>
      </c>
      <c r="C61" s="21" t="s">
        <v>197</v>
      </c>
      <c r="D61" s="21" t="s">
        <v>418</v>
      </c>
      <c r="E61" s="13">
        <v>42970.43414351852</v>
      </c>
      <c r="F61" s="13">
        <v>42970.435567129629</v>
      </c>
      <c r="G61" s="7">
        <v>1</v>
      </c>
      <c r="H61" s="21" t="s">
        <v>346</v>
      </c>
      <c r="I61" s="13">
        <v>42970.463391203702</v>
      </c>
      <c r="J61" s="7">
        <v>1</v>
      </c>
      <c r="K61" s="89" t="str">
        <f>IF(ISEVEN(B61),(B61-1)&amp;"/"&amp;B61,B61&amp;"/"&amp;(B61+1))</f>
        <v>4027/4028</v>
      </c>
      <c r="L61" s="217" t="str">
        <f>VLOOKUP(A61,'Trips&amp;Operators'!$C$1:$G$99911,5,FALSE)</f>
        <v>STARKS ANGELINA</v>
      </c>
      <c r="M61" s="6">
        <f>I61-F61</f>
        <v>2.7824074073578231E-2</v>
      </c>
      <c r="N61" s="7">
        <f>24*60*SUM($M61:$M61)</f>
        <v>40.066666665952653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-08-23T09:25:10-0600',mode:absolute,to:'2017-08-23T12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23.298500000000001</v>
      </c>
      <c r="Z61" s="197">
        <f>RIGHT(H61,LEN(H61)-4)/10000</f>
        <v>1.47E-2</v>
      </c>
      <c r="AA61" s="197">
        <f>ABS(Z61-Y61)</f>
        <v>23.283799999999999</v>
      </c>
      <c r="AB61" s="54" t="str">
        <f>VLOOKUP(A61,Enforcements!$C$7:$K$11,8,0)</f>
        <v>Bulletin (2)</v>
      </c>
      <c r="AC61" s="51" t="str">
        <f>VLOOKUP(A61,Enforcements!$C$7:$E$11,3,0)</f>
        <v>GRADE CROSSING</v>
      </c>
      <c r="AD61" s="206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/stypes="app*4027*20170823*" /stext=" 17:.+((SYSTEM_STATE.+slice.+state.+changed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148-23 --locoid 4027 --swversion DE.1.0.9.0 --startMP 204:232985 --initTime 2017-08-23T10:25:10 --startdatetime 2017-08-23T10:27:13 --delay 1 --endMP 204:147 --enddatetime 2017-08-23T11:07:17 --enforcementcount 1 &gt;&gt;C:\Users\stu\Documents\GitHub\eaglep3-reporting\EC\2017-08-23-refined-times.txt</v>
      </c>
      <c r="AI61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{"issue":{"subject":"","project_id":79,"tracker_id":40,"status_id":1,"priority_id":2,"assigned_to_id":23,"start_date":"2017-08-23","description":"","custom_fields":[{"id":1,"name":"Subdivision","value":"EC"},{"id":4,"name":"Milepost","value":"0.0147"},{"id":17,"name":"Train ID","value":"148-23"},{"id":16,"name":"Locomotive ID","value":"4027"},{"id":130,"name":"Impact","value":""},{"id":150,"name":"Time of Event (Mountain Time)","value":"11:07:17"},{"id":151,"name":"Denver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4027 --day 2017-08-23</v>
      </c>
      <c r="AN61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671</v>
      </c>
      <c r="B62" s="7">
        <v>4030</v>
      </c>
      <c r="C62" s="21" t="s">
        <v>197</v>
      </c>
      <c r="D62" s="21" t="s">
        <v>375</v>
      </c>
      <c r="E62" s="13">
        <v>42970.403032407405</v>
      </c>
      <c r="F62" s="13">
        <v>42970.406770833331</v>
      </c>
      <c r="G62" s="7">
        <v>1</v>
      </c>
      <c r="H62" s="21" t="s">
        <v>834</v>
      </c>
      <c r="I62" s="13">
        <v>42970.430706018517</v>
      </c>
      <c r="J62" s="7">
        <v>1</v>
      </c>
      <c r="K62" s="89" t="str">
        <f>IF(ISEVEN(B62),(B62-1)&amp;"/"&amp;B62,B62&amp;"/"&amp;(B62+1))</f>
        <v>4029/4030</v>
      </c>
      <c r="L62" s="217" t="str">
        <f>VLOOKUP(A62,'Trips&amp;Operators'!$C$1:$G$99911,5,FALSE)</f>
        <v>HELVIE ADAM</v>
      </c>
      <c r="M62" s="6">
        <f>I62-F62</f>
        <v>2.3935185185109731E-2</v>
      </c>
      <c r="N62" s="7">
        <f>24*60*SUM($M62:$M62)</f>
        <v>34.466666666558012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-08-23T08:40:22-0600',mode:absolute,to:'2017-08-23T11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4.6399999999999997E-2</v>
      </c>
      <c r="Z62" s="197">
        <f>RIGHT(H62,LEN(H62)-4)/10000</f>
        <v>23.3307</v>
      </c>
      <c r="AA62" s="197">
        <f>ABS(Z62-Y62)</f>
        <v>23.284300000000002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/stypes="app*4030*20170823*" /stext=" 16:.+((SYSTEM_STATE.+slice.+state.+changed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149-23 --locoid 4030 --swversion DE.1.0.9.0 --startMP 204:464 --initTime 2017-08-23T09:40:22 --startdatetime 2017-08-23T09:45:45 --delay 1 --endMP 204:233307 --enddatetime 2017-08-23T10:20:13 --enforcementcount 1 &gt;&gt;C:\Users\stu\Documents\GitHub\eaglep3-reporting\EC\2017-08-23-refined-times.txt</v>
      </c>
      <c r="AI62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{"issue":{"subject":"","project_id":79,"tracker_id":40,"status_id":1,"priority_id":2,"assigned_to_id":23,"start_date":"2017-08-23","description":"","custom_fields":[{"id":1,"name":"Subdivision","value":"EC"},{"id":4,"name":"Milepost","value":"23.3307"},{"id":17,"name":"Train ID","value":"149-23"},{"id":16,"name":"Locomotive ID","value":"4030"},{"id":130,"name":"Impact","value":""},{"id":150,"name":"Time of Event (Mountain Time)","value":"10:20:13"},{"id":151,"name":"Denver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4030 --day 2017-08-23</v>
      </c>
      <c r="AN62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678</v>
      </c>
      <c r="B63" s="7">
        <v>4029</v>
      </c>
      <c r="C63" s="21" t="s">
        <v>197</v>
      </c>
      <c r="D63" s="21" t="s">
        <v>511</v>
      </c>
      <c r="E63" s="13">
        <v>42970.443611111114</v>
      </c>
      <c r="F63" s="13">
        <v>42970.446099537039</v>
      </c>
      <c r="G63" s="7">
        <v>1</v>
      </c>
      <c r="H63" s="21" t="s">
        <v>338</v>
      </c>
      <c r="I63" s="13">
        <v>42970.473240740743</v>
      </c>
      <c r="J63" s="7">
        <v>1</v>
      </c>
      <c r="K63" s="89" t="str">
        <f>IF(ISEVEN(B63),(B63-1)&amp;"/"&amp;B63,B63&amp;"/"&amp;(B63+1))</f>
        <v>4029/4030</v>
      </c>
      <c r="L63" s="217" t="str">
        <f>VLOOKUP(A63,'Trips&amp;Operators'!$C$1:$G$99911,5,FALSE)</f>
        <v>HELVIE ADAM</v>
      </c>
      <c r="M63" s="6">
        <f>I63-F63</f>
        <v>2.7141203703649808E-2</v>
      </c>
      <c r="N63" s="7">
        <f>24*60*SUM($M63:$M63)</f>
        <v>39.083333333255723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-08-23T09:38:48-0600',mode:absolute,to:'2017-08-23T12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23.299399999999999</v>
      </c>
      <c r="Z63" s="197">
        <f>RIGHT(H63,LEN(H63)-4)/10000</f>
        <v>1.4999999999999999E-2</v>
      </c>
      <c r="AA63" s="197">
        <f>ABS(Z63-Y63)</f>
        <v>23.284399999999998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/stypes="app*4029*20170823*" /stext=" 17:.+((SYSTEM_STATE.+slice.+state.+changed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150-23 --locoid 4029 --swversion DE.1.0.9.0 --startMP 204:232994 --initTime 2017-08-23T10:38:48 --startdatetime 2017-08-23T10:42:23 --delay 1 --endMP 204:150 --enddatetime 2017-08-23T11:21:28 --enforcementcount 1 &gt;&gt;C:\Users\stu\Documents\GitHub\eaglep3-reporting\EC\2017-08-23-refined-times.txt</v>
      </c>
      <c r="AI63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{"issue":{"subject":"","project_id":79,"tracker_id":40,"status_id":1,"priority_id":2,"assigned_to_id":23,"start_date":"2017-08-23","description":"","custom_fields":[{"id":1,"name":"Subdivision","value":"EC"},{"id":4,"name":"Milepost","value":"0.015"},{"id":17,"name":"Train ID","value":"150-23"},{"id":16,"name":"Locomotive ID","value":"4029"},{"id":130,"name":"Impact","value":""},{"id":150,"name":"Time of Event (Mountain Time)","value":"11:21:28"},{"id":151,"name":"Denver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4029 --day 2017-08-23</v>
      </c>
      <c r="AN63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556</v>
      </c>
      <c r="B64" s="7">
        <v>4050</v>
      </c>
      <c r="C64" s="21" t="s">
        <v>197</v>
      </c>
      <c r="D64" s="21" t="s">
        <v>406</v>
      </c>
      <c r="E64" s="13">
        <v>42970.413912037038</v>
      </c>
      <c r="F64" s="13">
        <v>42970.417164351849</v>
      </c>
      <c r="G64" s="7">
        <v>1</v>
      </c>
      <c r="H64" s="21" t="s">
        <v>841</v>
      </c>
      <c r="I64" s="13">
        <v>42970.442847222221</v>
      </c>
      <c r="J64" s="7">
        <v>1</v>
      </c>
      <c r="K64" s="89" t="str">
        <f>IF(ISEVEN(B64),(B64-1)&amp;"/"&amp;B64,B64&amp;"/"&amp;(B64+1))</f>
        <v>4049/4050</v>
      </c>
      <c r="L64" s="217" t="str">
        <f>VLOOKUP(A64,'Trips&amp;Operators'!$C$1:$G$99911,5,FALSE)</f>
        <v>DAVIS WENDY</v>
      </c>
      <c r="M64" s="6">
        <f>I64-F64</f>
        <v>2.5682870371383615E-2</v>
      </c>
      <c r="N64" s="7">
        <f>24*60*SUM($M64:$M64)</f>
        <v>36.983333334792405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-08-23T08:56:02-0600',mode:absolute,to:'2017-08-23T11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4.3999999999999997E-2</v>
      </c>
      <c r="Z64" s="197">
        <f>RIGHT(H64,LEN(H64)-4)/10000</f>
        <v>23.331900000000001</v>
      </c>
      <c r="AA64" s="197">
        <f>ABS(Z64-Y64)</f>
        <v>23.2879</v>
      </c>
      <c r="AB64" s="54" t="e">
        <f>VLOOKUP(A64,Enforcements!$C$7:$K$11,8,0)</f>
        <v>#N/A</v>
      </c>
      <c r="AC64" s="51" t="e">
        <f>VLOOKUP(A64,Enforcements!$C$7:$E$11,3,0)</f>
        <v>#N/A</v>
      </c>
      <c r="AD64" s="206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/stypes="app*4050*20170823*" /stext=" 16:.+((SYSTEM_STATE.+slice.+state.+changed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151-23 --locoid 4050 --swversion DE.1.0.9.0 --startMP 204:440 --initTime 2017-08-23T09:56:02 --startdatetime 2017-08-23T10:00:43 --delay 1 --endMP 204:233319 --enddatetime 2017-08-23T10:37:42 --enforcementcount 1 &gt;&gt;C:\Users\stu\Documents\GitHub\eaglep3-reporting\EC\2017-08-23-refined-times.txt</v>
      </c>
      <c r="AI64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{"issue":{"subject":"","project_id":79,"tracker_id":40,"status_id":1,"priority_id":2,"assigned_to_id":23,"start_date":"2017-08-23","description":"","custom_fields":[{"id":1,"name":"Subdivision","value":"EC"},{"id":4,"name":"Milepost","value":"23.3319"},{"id":17,"name":"Train ID","value":"151-23"},{"id":16,"name":"Locomotive ID","value":"4050"},{"id":130,"name":"Impact","value":""},{"id":150,"name":"Time of Event (Mountain Time)","value":"10:37:42"},{"id":151,"name":"Denver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4050 --day 2017-08-23</v>
      </c>
      <c r="AN64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680</v>
      </c>
      <c r="B65" s="7">
        <v>4049</v>
      </c>
      <c r="C65" s="21" t="s">
        <v>197</v>
      </c>
      <c r="D65" s="21" t="s">
        <v>405</v>
      </c>
      <c r="E65" s="13">
        <v>42970.453090277777</v>
      </c>
      <c r="F65" s="13">
        <v>42970.456412037034</v>
      </c>
      <c r="G65" s="7">
        <v>1</v>
      </c>
      <c r="H65" s="21" t="s">
        <v>398</v>
      </c>
      <c r="I65" s="13">
        <v>42970.483298611114</v>
      </c>
      <c r="J65" s="7">
        <v>1</v>
      </c>
      <c r="K65" s="89" t="str">
        <f>IF(ISEVEN(B65),(B65-1)&amp;"/"&amp;B65,B65&amp;"/"&amp;(B65+1))</f>
        <v>4049/4050</v>
      </c>
      <c r="L65" s="217" t="str">
        <f>VLOOKUP(A65,'Trips&amp;Operators'!$C$1:$G$99911,5,FALSE)</f>
        <v>DAVIS WENDY</v>
      </c>
      <c r="M65" s="6">
        <f>I65-F65</f>
        <v>2.6886574079981074E-2</v>
      </c>
      <c r="N65" s="7">
        <f>24*60*SUM($M65:$M65)</f>
        <v>38.716666675172746</v>
      </c>
      <c r="O65" s="7"/>
      <c r="P65" s="7"/>
      <c r="Q65" s="22"/>
      <c r="R65" s="170"/>
      <c r="S65" s="213">
        <f>1/IF(AG65="EC",12,1)*SUM(U65:U65)</f>
        <v>1</v>
      </c>
      <c r="T65" s="195" t="str">
        <f>IF(ISEVEN(LEFT(AD65,4)),"Southbound","NorthBound")</f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-08-23T09:52:27-0600',mode:absolute,to:'2017-08-23T12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23.3004</v>
      </c>
      <c r="Z65" s="197">
        <f>RIGHT(H65,LEN(H65)-4)/10000</f>
        <v>1.5599999999999999E-2</v>
      </c>
      <c r="AA65" s="197">
        <f>ABS(Z65-Y65)</f>
        <v>23.284800000000001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s3://rtdc.mdm.uploadarchive.raw/RTDC4049/ "%USERPROFILE%\AppData\Local\Temp\OnboardLogs"\RTDC4049\2017-08-23 --exclude "*" --recursive --include "*20170823*" &amp; "%USERPROFILE%\Documents\GitHub\mrs-test-scripts\Headless Mode &amp; Sideloading\WalkAndUnGZ.bat" "%USERPROFILE%\AppData\Local\Temp\OnboardLogs"\RTDC4049\2017-08-23 &amp; aws s3 cp s3://rtdc.mdm.uploadarchive.raw/RTDC4049/ "%USERPROFILE%\AppData\Local\Temp\OnboardLogs"\RTDC4049\2017-08-24 --exclude "*" --recursive --include "*20170824*" &amp; "%USERPROFILE%\Documents\GitHub\mrs-test-scripts\Headless Mode &amp; Sideloading\WalkAndUnGZ.bat" "%USERPROFILE%\AppData\Local\Temp\OnboardLogs"\RTDC4049\2017-08-24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/stypes="app*4049*20170823*" /stext=" 17:.+((SYSTEM_STATE.+slice.+state.+changed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152-23 --locoid 4049 --swversion DE.1.0.9.0 --startMP 204:233004 --initTime 2017-08-23T10:52:27 --startdatetime 2017-08-23T10:57:14 --delay 1 --endMP 204:156 --enddatetime 2017-08-23T11:35:57 --enforcementcount 1 &gt;&gt;C:\Users\stu\Documents\GitHub\eaglep3-reporting\EC\2017-08-23-refined-times.txt</v>
      </c>
      <c r="AI65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{"issue":{"subject":"","project_id":79,"tracker_id":40,"status_id":1,"priority_id":2,"assigned_to_id":23,"start_date":"2017-08-23","description":"","custom_fields":[{"id":1,"name":"Subdivision","value":"EC"},{"id":4,"name":"Milepost","value":"0.0156"},{"id":17,"name":"Train ID","value":"152-23"},{"id":16,"name":"Locomotive ID","value":"4049"},{"id":130,"name":"Impact","value":""},{"id":150,"name":"Time of Event (Mountain Time)","value":"11:35:57"},{"id":151,"name":"Denver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4049 --day 2017-08-23</v>
      </c>
      <c r="AN65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673</v>
      </c>
      <c r="B66" s="7">
        <v>4060</v>
      </c>
      <c r="C66" s="21" t="s">
        <v>197</v>
      </c>
      <c r="D66" s="21" t="s">
        <v>367</v>
      </c>
      <c r="E66" s="13">
        <v>42970.422569444447</v>
      </c>
      <c r="F66" s="13">
        <v>42970.468217592592</v>
      </c>
      <c r="G66" s="7">
        <v>1</v>
      </c>
      <c r="H66" s="21" t="s">
        <v>842</v>
      </c>
      <c r="I66" s="13">
        <v>42970.49490740741</v>
      </c>
      <c r="J66" s="7">
        <v>1</v>
      </c>
      <c r="K66" s="89" t="str">
        <f>IF(ISEVEN(B66),(B66-1)&amp;"/"&amp;B66,B66&amp;"/"&amp;(B66+1))</f>
        <v>4059/4060</v>
      </c>
      <c r="L66" s="217" t="str">
        <f>VLOOKUP(A66,'Trips&amp;Operators'!$C$1:$G$99911,5,FALSE)</f>
        <v>MACDONALD THOMAS</v>
      </c>
      <c r="M66" s="6">
        <f>I66-F66</f>
        <v>2.6689814818382729E-2</v>
      </c>
      <c r="N66" s="7">
        <f>24*60*SUM($M66:$M66)</f>
        <v>38.43333333847113</v>
      </c>
      <c r="O66" s="7"/>
      <c r="P66" s="7"/>
      <c r="Q66" s="22"/>
      <c r="R66" s="170"/>
      <c r="S66" s="213">
        <f>1/IF(AG66="EC",12,1)*SUM(U66:U66)</f>
        <v>1</v>
      </c>
      <c r="T66" s="195" t="str">
        <f>IF(ISEVEN(LEFT(AD66,4)),"Southbound","NorthBound")</f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-08-23T09:08:30-0600',mode:absolute,to:'2017-08-23T12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4.58E-2</v>
      </c>
      <c r="Z66" s="197">
        <f>RIGHT(H66,LEN(H66)-4)/10000</f>
        <v>23.333600000000001</v>
      </c>
      <c r="AA66" s="197">
        <f>ABS(Z66-Y66)</f>
        <v>23.287800000000001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s3://rtdc.mdm.uploadarchive.raw/RTDC4060/ "%USERPROFILE%\AppData\Local\Temp\OnboardLogs"\RTDC4060\2017-08-23 --exclude "*" --recursive --include "*20170823*" &amp; "%USERPROFILE%\Documents\GitHub\mrs-test-scripts\Headless Mode &amp; Sideloading\WalkAndUnGZ.bat" "%USERPROFILE%\AppData\Local\Temp\OnboardLogs"\RTDC4060\2017-08-23 &amp; aws s3 cp s3://rtdc.mdm.uploadarchive.raw/RTDC4060/ "%USERPROFILE%\AppData\Local\Temp\OnboardLogs"\RTDC4060\2017-08-24 --exclude "*" --recursive --include "*20170824*" &amp; "%USERPROFILE%\Documents\GitHub\mrs-test-scripts\Headless Mode &amp; Sideloading\WalkAndUnGZ.bat" "%USERPROFILE%\AppData\Local\Temp\OnboardLogs"\RTDC4060\2017-08-24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/stypes="app*4060*20170823*" /stext=" 17:.+((SYSTEM_STATE.+slice.+state.+changed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153-23 --locoid 4060 --swversion DE.1.0.9.0 --startMP 204:458 --initTime 2017-08-23T10:08:30 --startdatetime 2017-08-23T11:14:14 --delay 1 --endMP 204:233336 --enddatetime 2017-08-23T11:52:40 --enforcementcount 1 &gt;&gt;C:\Users\stu\Documents\GitHub\eaglep3-reporting\EC\2017-08-23-refined-times.txt</v>
      </c>
      <c r="AI66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{"issue":{"subject":"","project_id":79,"tracker_id":40,"status_id":1,"priority_id":2,"assigned_to_id":23,"start_date":"2017-08-23","description":"","custom_fields":[{"id":1,"name":"Subdivision","value":"EC"},{"id":4,"name":"Milepost","value":"23.3336"},{"id":17,"name":"Train ID","value":"153-23"},{"id":16,"name":"Locomotive ID","value":"4060"},{"id":130,"name":"Impact","value":""},{"id":150,"name":"Time of Event (Mountain Time)","value":"11:52:40"},{"id":151,"name":"Denver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4060 --day 2017-08-23</v>
      </c>
      <c r="AN66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684</v>
      </c>
      <c r="B67" s="7">
        <v>4059</v>
      </c>
      <c r="C67" s="21" t="s">
        <v>197</v>
      </c>
      <c r="D67" s="21" t="s">
        <v>843</v>
      </c>
      <c r="E67" s="13">
        <v>42970.46707175926</v>
      </c>
      <c r="F67" s="13">
        <v>42970.468217592592</v>
      </c>
      <c r="G67" s="7">
        <v>1</v>
      </c>
      <c r="H67" s="21" t="s">
        <v>462</v>
      </c>
      <c r="I67" s="13">
        <v>42970.49490740741</v>
      </c>
      <c r="J67" s="7">
        <v>1</v>
      </c>
      <c r="K67" s="89" t="str">
        <f>IF(ISEVEN(B67),(B67-1)&amp;"/"&amp;B67,B67&amp;"/"&amp;(B67+1))</f>
        <v>4059/4060</v>
      </c>
      <c r="L67" s="217" t="str">
        <f>VLOOKUP(A67,'Trips&amp;Operators'!$C$1:$G$99911,5,FALSE)</f>
        <v>MACDONALD THOMAS</v>
      </c>
      <c r="M67" s="6">
        <f>I67-F67</f>
        <v>2.6689814818382729E-2</v>
      </c>
      <c r="N67" s="7">
        <f>24*60*SUM($M67:$M67)</f>
        <v>38.43333333847113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-08-23T10:12:35-0600',mode:absolute,to:'2017-08-23T12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23.3005</v>
      </c>
      <c r="Z67" s="197">
        <f>RIGHT(H67,LEN(H67)-4)/10000</f>
        <v>1.7000000000000001E-2</v>
      </c>
      <c r="AA67" s="197">
        <f>ABS(Z67-Y67)</f>
        <v>23.2835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s3://rtdc.mdm.uploadarchive.raw/RTDC4059/ "%USERPROFILE%\AppData\Local\Temp\OnboardLogs"\RTDC4059\2017-08-23 --exclude "*" --recursive --include "*20170823*" &amp; "%USERPROFILE%\Documents\GitHub\mrs-test-scripts\Headless Mode &amp; Sideloading\WalkAndUnGZ.bat" "%USERPROFILE%\AppData\Local\Temp\OnboardLogs"\RTDC4059\2017-08-23 &amp; aws s3 cp s3://rtdc.mdm.uploadarchive.raw/RTDC4059/ "%USERPROFILE%\AppData\Local\Temp\OnboardLogs"\RTDC4059\2017-08-24 --exclude "*" --recursive --include "*20170824*" &amp; "%USERPROFILE%\Documents\GitHub\mrs-test-scripts\Headless Mode &amp; Sideloading\WalkAndUnGZ.bat" "%USERPROFILE%\AppData\Local\Temp\OnboardLogs"\RTDC4059\2017-08-24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/stypes="app*4059*20170823*"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154-23 --locoid 4059 --swversion DE.1.0.9.0 --startMP 204:233005 --initTime 2017-08-23T11:12:35 --startdatetime 2017-08-23T11:14:14 --delay 1 --endMP 204:170 --enddatetime 2017-08-23T11:52:40 --enforcementcount 1 &gt;&gt;C:\Users\stu\Documents\GitHub\eaglep3-reporting\EC\2017-08-23-refined-times.txt</v>
      </c>
      <c r="AI67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{"issue":{"subject":"","project_id":79,"tracker_id":40,"status_id":1,"priority_id":2,"assigned_to_id":23,"start_date":"2017-08-23","description":"","custom_fields":[{"id":1,"name":"Subdivision","value":"EC"},{"id":4,"name":"Milepost","value":"0.017"},{"id":17,"name":"Train ID","value":"154-23"},{"id":16,"name":"Locomotive ID","value":"4059"},{"id":130,"name":"Impact","value":""},{"id":150,"name":"Time of Event (Mountain Time)","value":"11:52:40"},{"id":151,"name":"Denver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4059 --day 2017-08-23</v>
      </c>
      <c r="AN67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561</v>
      </c>
      <c r="B68" s="7">
        <v>4042</v>
      </c>
      <c r="C68" s="21" t="s">
        <v>197</v>
      </c>
      <c r="D68" s="21" t="s">
        <v>357</v>
      </c>
      <c r="E68" s="13">
        <v>42970.435393518521</v>
      </c>
      <c r="F68" s="13">
        <v>42970.438043981485</v>
      </c>
      <c r="G68" s="7">
        <v>1</v>
      </c>
      <c r="H68" s="21" t="s">
        <v>844</v>
      </c>
      <c r="I68" s="13">
        <v>42970.462256944447</v>
      </c>
      <c r="J68" s="7">
        <v>1</v>
      </c>
      <c r="K68" s="89" t="str">
        <f>IF(ISEVEN(B68),(B68-1)&amp;"/"&amp;B68,B68&amp;"/"&amp;(B68+1))</f>
        <v>4041/4042</v>
      </c>
      <c r="L68" s="217" t="str">
        <f>VLOOKUP(A68,'Trips&amp;Operators'!$C$1:$G$99911,5,FALSE)</f>
        <v>LOZA FIDEL</v>
      </c>
      <c r="M68" s="6">
        <f>I68-F68</f>
        <v>2.421296296233777E-2</v>
      </c>
      <c r="N68" s="7">
        <f>24*60*SUM($M68:$M68)</f>
        <v>34.866666665766388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-08-23T09:26:58-0600',mode:absolute,to:'2017-08-23T12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4.5499999999999999E-2</v>
      </c>
      <c r="Z68" s="197">
        <f>RIGHT(H68,LEN(H68)-4)/10000</f>
        <v>23.334199999999999</v>
      </c>
      <c r="AA68" s="197">
        <f>ABS(Z68-Y68)</f>
        <v>23.288699999999999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206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/stypes="app*4042*20170823*" /stext=" 17:.+((SYSTEM_STATE.+slice.+state.+changed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155-23 --locoid 4042 --swversion DE.1.0.9.0 --startMP 204:455 --initTime 2017-08-23T10:26:58 --startdatetime 2017-08-23T10:30:47 --delay 1 --endMP 204:233342 --enddatetime 2017-08-23T11:05:39 --enforcementcount 1 &gt;&gt;C:\Users\stu\Documents\GitHub\eaglep3-reporting\EC\2017-08-23-refined-times.txt</v>
      </c>
      <c r="AI68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{"issue":{"subject":"","project_id":79,"tracker_id":40,"status_id":1,"priority_id":2,"assigned_to_id":23,"start_date":"2017-08-23","description":"","custom_fields":[{"id":1,"name":"Subdivision","value":"EC"},{"id":4,"name":"Milepost","value":"23.3342"},{"id":17,"name":"Train ID","value":"155-23"},{"id":16,"name":"Locomotive ID","value":"4042"},{"id":130,"name":"Impact","value":""},{"id":150,"name":"Time of Event (Mountain Time)","value":"11:05:39"},{"id":151,"name":"Denver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4042 --day 2017-08-23</v>
      </c>
      <c r="AN68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685</v>
      </c>
      <c r="B69" s="7">
        <v>4041</v>
      </c>
      <c r="C69" s="21" t="s">
        <v>197</v>
      </c>
      <c r="D69" s="21" t="s">
        <v>845</v>
      </c>
      <c r="E69" s="13">
        <v>42970.468333333331</v>
      </c>
      <c r="F69" s="13">
        <v>42970.477523148147</v>
      </c>
      <c r="G69" s="7">
        <v>1</v>
      </c>
      <c r="H69" s="21" t="s">
        <v>379</v>
      </c>
      <c r="I69" s="13">
        <v>42970.502951388888</v>
      </c>
      <c r="J69" s="7">
        <v>1</v>
      </c>
      <c r="K69" s="89" t="str">
        <f>IF(ISEVEN(B69),(B69-1)&amp;"/"&amp;B69,B69&amp;"/"&amp;(B69+1))</f>
        <v>4041/4042</v>
      </c>
      <c r="L69" s="217" t="str">
        <f>VLOOKUP(A69,'Trips&amp;Operators'!$C$1:$G$99911,5,FALSE)</f>
        <v>LOZA FIDEL</v>
      </c>
      <c r="M69" s="6">
        <f>I69-F69</f>
        <v>2.5428240740438923E-2</v>
      </c>
      <c r="N69" s="7">
        <f>24*60*SUM($M69:$M69)</f>
        <v>36.616666666232049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-08-23T10:14:24-0600',mode:absolute,to:'2017-08-23T13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23.302499999999998</v>
      </c>
      <c r="Z69" s="197">
        <f>RIGHT(H69,LEN(H69)-4)/10000</f>
        <v>1.38E-2</v>
      </c>
      <c r="AA69" s="197">
        <f>ABS(Z69-Y69)</f>
        <v>23.288699999999999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/stypes="app*4041*20170823*" /stext=" 18:.+((SYSTEM_STATE.+slice.+state.+changed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156-23 --locoid 4041 --swversion DE.1.0.9.0 --startMP 204:233025 --initTime 2017-08-23T11:14:24 --startdatetime 2017-08-23T11:27:38 --delay 1 --endMP 204:138 --enddatetime 2017-08-23T12:04:15 --enforcementcount 1 &gt;&gt;C:\Users\stu\Documents\GitHub\eaglep3-reporting\EC\2017-08-23-refined-times.txt</v>
      </c>
      <c r="AI69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{"issue":{"subject":"","project_id":79,"tracker_id":40,"status_id":1,"priority_id":2,"assigned_to_id":23,"start_date":"2017-08-23","description":"","custom_fields":[{"id":1,"name":"Subdivision","value":"EC"},{"id":4,"name":"Milepost","value":"0.0138"},{"id":17,"name":"Train ID","value":"156-23"},{"id":16,"name":"Locomotive ID","value":"4041"},{"id":130,"name":"Impact","value":""},{"id":150,"name":"Time of Event (Mountain Time)","value":"12:04:15"},{"id":151,"name":"Denver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4041 --day 2017-08-23</v>
      </c>
      <c r="AN69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679</v>
      </c>
      <c r="B70" s="7">
        <v>4040</v>
      </c>
      <c r="C70" s="21" t="s">
        <v>197</v>
      </c>
      <c r="D70" s="21" t="s">
        <v>508</v>
      </c>
      <c r="E70" s="13">
        <v>42970.444085648145</v>
      </c>
      <c r="F70" s="13">
        <v>42970.448460648149</v>
      </c>
      <c r="G70" s="7">
        <v>2</v>
      </c>
      <c r="H70" s="21" t="s">
        <v>517</v>
      </c>
      <c r="I70" s="13">
        <v>42970.473854166667</v>
      </c>
      <c r="J70" s="7">
        <v>1</v>
      </c>
      <c r="K70" s="89" t="str">
        <f>IF(ISEVEN(B70),(B70-1)&amp;"/"&amp;B70,B70&amp;"/"&amp;(B70+1))</f>
        <v>4039/4040</v>
      </c>
      <c r="L70" s="217" t="str">
        <f>VLOOKUP(A70,'Trips&amp;Operators'!$C$1:$G$99911,5,FALSE)</f>
        <v>DAVIS MICHAEL</v>
      </c>
      <c r="M70" s="6">
        <f>I70-F70</f>
        <v>2.5393518517375924E-2</v>
      </c>
      <c r="N70" s="7">
        <f>24*60*SUM($M70:$M70)</f>
        <v>36.56666666502133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-08-23T09:39:29-0600',mode:absolute,to:'2017-08-23T12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4.6899999999999997E-2</v>
      </c>
      <c r="Z70" s="197">
        <f>RIGHT(H70,LEN(H70)-4)/10000</f>
        <v>23.336400000000001</v>
      </c>
      <c r="AA70" s="197">
        <f>ABS(Z70-Y70)</f>
        <v>23.2895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s3://rtdc.mdm.uploadarchive.raw/RTDC4040/ "%USERPROFILE%\AppData\Local\Temp\OnboardLogs"\RTDC4040\2017-08-23 --exclude "*" --recursive --include "*20170823*" &amp; "%USERPROFILE%\Documents\GitHub\mrs-test-scripts\Headless Mode &amp; Sideloading\WalkAndUnGZ.bat" "%USERPROFILE%\AppData\Local\Temp\OnboardLogs"\RTDC4040\2017-08-23 &amp; 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/stypes="app*4040*20170823*" /stext=" 17:.+((SYSTEM_STATE.+slice.+state.+changed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157-23 --locoid 4040 --swversion DE.1.0.9.0 --startMP 204:469 --initTime 2017-08-23T10:39:29 --startdatetime 2017-08-23T10:45:47 --delay 2 --endMP 204:233364 --enddatetime 2017-08-23T11:22:21 --enforcementcount 1 &gt;&gt;C:\Users\stu\Documents\GitHub\eaglep3-reporting\EC\2017-08-23-refined-times.txt</v>
      </c>
      <c r="AI70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{"issue":{"subject":"","project_id":79,"tracker_id":40,"status_id":1,"priority_id":2,"assigned_to_id":23,"start_date":"2017-08-23","description":"","custom_fields":[{"id":1,"name":"Subdivision","value":"EC"},{"id":4,"name":"Milepost","value":"23.3364"},{"id":17,"name":"Train ID","value":"157-23"},{"id":16,"name":"Locomotive ID","value":"4040"},{"id":130,"name":"Impact","value":""},{"id":150,"name":"Time of Event (Mountain Time)","value":"11:22:21"},{"id":151,"name":"Denver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4040 --day 2017-08-23</v>
      </c>
      <c r="AN70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689</v>
      </c>
      <c r="B71" s="7">
        <v>4039</v>
      </c>
      <c r="C71" s="21" t="s">
        <v>197</v>
      </c>
      <c r="D71" s="21" t="s">
        <v>846</v>
      </c>
      <c r="E71" s="13">
        <v>42970.485833333332</v>
      </c>
      <c r="F71" s="13">
        <v>42970.487997685188</v>
      </c>
      <c r="G71" s="7">
        <v>1</v>
      </c>
      <c r="H71" s="21" t="s">
        <v>350</v>
      </c>
      <c r="I71" s="13">
        <v>42970.515659722223</v>
      </c>
      <c r="J71" s="7">
        <v>1</v>
      </c>
      <c r="K71" s="89" t="str">
        <f>IF(ISEVEN(B71),(B71-1)&amp;"/"&amp;B71,B71&amp;"/"&amp;(B71+1))</f>
        <v>4039/4040</v>
      </c>
      <c r="L71" s="217" t="str">
        <f>VLOOKUP(A71,'Trips&amp;Operators'!$C$1:$G$99911,5,FALSE)</f>
        <v>DAVIS MICHAEL</v>
      </c>
      <c r="M71" s="6">
        <f>I71-F71</f>
        <v>2.7662037035042886E-2</v>
      </c>
      <c r="N71" s="7">
        <f>24*60*SUM($M71:$M71)</f>
        <v>39.833333330461755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-08-23T10:39:36-0600',mode:absolute,to:'2017-08-23T13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23.3019</v>
      </c>
      <c r="Z71" s="197">
        <f>RIGHT(H71,LEN(H71)-4)/10000</f>
        <v>1.54E-2</v>
      </c>
      <c r="AA71" s="197">
        <f>ABS(Z71-Y71)</f>
        <v>23.2865</v>
      </c>
      <c r="AB71" s="54" t="e">
        <f>VLOOKUP(A71,Enforcements!$C$7:$K$11,8,0)</f>
        <v>#N/A</v>
      </c>
      <c r="AC71" s="51" t="e">
        <f>VLOOKUP(A71,Enforcements!$C$7:$E$11,3,0)</f>
        <v>#N/A</v>
      </c>
      <c r="AD71" s="206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/stypes="app*4039*20170823*" /stext=" 18:.+((SYSTEM_STATE.+slice.+state.+changed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158-23 --locoid 4039 --swversion DE.1.0.9.0 --startMP 204:233019 --initTime 2017-08-23T11:39:36 --startdatetime 2017-08-23T11:42:43 --delay 1 --endMP 204:154 --enddatetime 2017-08-23T12:22:33 --enforcementcount 1 &gt;&gt;C:\Users\stu\Documents\GitHub\eaglep3-reporting\EC\2017-08-23-refined-times.txt</v>
      </c>
      <c r="AI71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{"issue":{"subject":"","project_id":79,"tracker_id":40,"status_id":1,"priority_id":2,"assigned_to_id":23,"start_date":"2017-08-23","description":"","custom_fields":[{"id":1,"name":"Subdivision","value":"EC"},{"id":4,"name":"Milepost","value":"0.0154"},{"id":17,"name":"Train ID","value":"158-23"},{"id":16,"name":"Locomotive ID","value":"4039"},{"id":130,"name":"Impact","value":""},{"id":150,"name":"Time of Event (Mountain Time)","value":"12:22:33"},{"id":151,"name":"Denver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4039 --day 2017-08-23</v>
      </c>
      <c r="AN71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681</v>
      </c>
      <c r="B72" s="7">
        <v>4014</v>
      </c>
      <c r="C72" s="21" t="s">
        <v>197</v>
      </c>
      <c r="D72" s="21" t="s">
        <v>825</v>
      </c>
      <c r="E72" s="13">
        <v>42970.45453703704</v>
      </c>
      <c r="F72" s="13">
        <v>42970.458877314813</v>
      </c>
      <c r="G72" s="7">
        <v>1</v>
      </c>
      <c r="H72" s="21" t="s">
        <v>847</v>
      </c>
      <c r="I72" s="13">
        <v>42970.483749999999</v>
      </c>
      <c r="J72" s="7">
        <v>1</v>
      </c>
      <c r="K72" s="89" t="str">
        <f>IF(ISEVEN(B72),(B72-1)&amp;"/"&amp;B72,B72&amp;"/"&amp;(B72+1))</f>
        <v>4013/4014</v>
      </c>
      <c r="L72" s="217" t="str">
        <f>VLOOKUP(A72,'Trips&amp;Operators'!$C$1:$G$99911,5,FALSE)</f>
        <v>YANG JAN</v>
      </c>
      <c r="M72" s="6">
        <f>I72-F72</f>
        <v>2.4872685185982846E-2</v>
      </c>
      <c r="N72" s="7">
        <f>24*60*SUM($M72:$M72)</f>
        <v>35.816666667815298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-08-23T09:54:32-0600',mode:absolute,to:'2017-08-23T12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4.7800000000000002E-2</v>
      </c>
      <c r="Z72" s="197">
        <f>RIGHT(H72,LEN(H72)-4)/10000</f>
        <v>23.3325</v>
      </c>
      <c r="AA72" s="197">
        <f>ABS(Z72-Y72)</f>
        <v>23.284700000000001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206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/stypes="app*4014*20170823*" /stext=" 17:.+((SYSTEM_STATE.+slice.+state.+changed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159-23 --locoid 4014 --swversion DE.1.0.9.0 --startMP 204:478 --initTime 2017-08-23T10:54:32 --startdatetime 2017-08-23T11:00:47 --delay 1 --endMP 204:233325 --enddatetime 2017-08-23T11:36:36 --enforcementcount 1 &gt;&gt;C:\Users\stu\Documents\GitHub\eaglep3-reporting\EC\2017-08-23-refined-times.txt</v>
      </c>
      <c r="AI72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{"issue":{"subject":"","project_id":79,"tracker_id":40,"status_id":1,"priority_id":2,"assigned_to_id":23,"start_date":"2017-08-23","description":"","custom_fields":[{"id":1,"name":"Subdivision","value":"EC"},{"id":4,"name":"Milepost","value":"23.3325"},{"id":17,"name":"Train ID","value":"159-23"},{"id":16,"name":"Locomotive ID","value":"4014"},{"id":130,"name":"Impact","value":""},{"id":150,"name":"Time of Event (Mountain Time)","value":"11:36:36"},{"id":151,"name":"Denver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4014 --day 2017-08-23</v>
      </c>
      <c r="AN72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691</v>
      </c>
      <c r="B73" s="7">
        <v>4013</v>
      </c>
      <c r="C73" s="21" t="s">
        <v>197</v>
      </c>
      <c r="D73" s="21" t="s">
        <v>848</v>
      </c>
      <c r="E73" s="13">
        <v>42970.513761574075</v>
      </c>
      <c r="F73" s="13">
        <v>42970.515879629631</v>
      </c>
      <c r="G73" s="7">
        <v>1</v>
      </c>
      <c r="H73" s="21" t="s">
        <v>849</v>
      </c>
      <c r="I73" s="13">
        <v>42970.532708333332</v>
      </c>
      <c r="J73" s="7">
        <v>1</v>
      </c>
      <c r="K73" s="89" t="str">
        <f>IF(ISEVEN(B73),(B73-1)&amp;"/"&amp;B73,B73&amp;"/"&amp;(B73+1))</f>
        <v>4013/4014</v>
      </c>
      <c r="L73" s="217" t="str">
        <f>VLOOKUP(A73,'Trips&amp;Operators'!$C$1:$G$99911,5,FALSE)</f>
        <v>YANG JAN</v>
      </c>
      <c r="M73" s="6">
        <f>I73-F73</f>
        <v>1.6828703701321501E-2</v>
      </c>
      <c r="N73" s="7"/>
      <c r="O73" s="7"/>
      <c r="P73" s="7">
        <f>24*60*SUM($M73:$M73)</f>
        <v>24.233333329902962</v>
      </c>
      <c r="Q73" s="22"/>
      <c r="R73" s="170" t="s">
        <v>547</v>
      </c>
      <c r="S73" s="213">
        <f>1/IF(AG73="EC",12,1)*SUM(U73:U74)</f>
        <v>1</v>
      </c>
      <c r="T73" s="195" t="str">
        <f>IF(ISEVEN(LEFT(AD73,4)),"Southbound","NorthBound")</f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-08-23T11:19:49-0600',mode:absolute,to:'2017-08-23T13:47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3" s="197" t="str">
        <f>IF(AA73&lt;VLOOKUP(AG73,Variables!$AC$3:$AD$8,2,FALSE),"Y","N")</f>
        <v>Y</v>
      </c>
      <c r="X73" s="197">
        <f>VALUE(LEFT(AD73,4))-VALUE(LEFT(AD72,4))</f>
        <v>1</v>
      </c>
      <c r="Y73" s="197">
        <f>RIGHT(D73,LEN(D73)-4)/10000</f>
        <v>12.786</v>
      </c>
      <c r="Z73" s="197">
        <f>RIGHT(H73,LEN(H73)-4)/10000</f>
        <v>1.44E-2</v>
      </c>
      <c r="AA73" s="197">
        <f>ABS(Z73-Y73)</f>
        <v>12.771599999999999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/stypes="app*4013*20170823*" /stext=" 18:.+((SYSTEM_STATE.+slice.+state.+changed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160-23 --locoid 4013 --swversion DE.1.0.9.0 --startMP 204:127860 --initTime 2017-08-23T12:19:49 --startdatetime 2017-08-23T12:22:52 --delay 1 --endMP 204:144 --enddatetime 2017-08-23T12:47:06 --enforcementcount 1 &gt;&gt;C:\Users\stu\Documents\GitHub\eaglep3-reporting\EC\2017-08-23-refined-times.txt</v>
      </c>
      <c r="AI73" s="96" t="str">
        <f t="shared" si="5"/>
        <v>echo {"issue":{"subject":"Onboard in-route failure","project_id":79,"tracker_id":40,"status_id":1,"priority_id":2,"assigned_to_id":23,"start_date":"2017-08-23","description":"","custom_fields":[{"id":1,"name":"Subdivision","value":"EC"},{"id":4,"name":"Milepost","value":"0.0144"},{"id":17,"name":"Train ID","value":"160-23"},{"id":16,"name":"Locomotive ID","value":"4013"},{"id":130,"name":"Impact","value":""},{"id":150,"name":"Time of Event (Mountain Time)","value":"12:47:06"},{"id":151,"name":"Denver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4013 --day 2017-08-23</v>
      </c>
      <c r="AN73" s="151" t="str">
        <f t="shared" si="7"/>
        <v>echo {"issue":{"subject":"Onboard in-route failure","project_id":30,"tracker_id":4,"status_id":1,"priority_id":1,"assigned_to_id":10,"start_date":"2017-08-23","description":"","custom_fields":[{"id":30,"name":"Category","value":"Issue"},{"id":3,"name":"Functional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18:47:06"},{"id":29,"name":"Sharepoint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691</v>
      </c>
      <c r="B74" s="7">
        <v>4013</v>
      </c>
      <c r="C74" s="21" t="s">
        <v>197</v>
      </c>
      <c r="D74" s="21" t="s">
        <v>527</v>
      </c>
      <c r="E74" s="13">
        <v>42970.493668981479</v>
      </c>
      <c r="F74" s="13">
        <v>42970.515879629631</v>
      </c>
      <c r="G74" s="7">
        <v>2</v>
      </c>
      <c r="H74" s="21" t="s">
        <v>850</v>
      </c>
      <c r="I74" s="13">
        <v>42970.532708333332</v>
      </c>
      <c r="J74" s="7">
        <v>1</v>
      </c>
      <c r="K74" s="89" t="str">
        <f>IF(ISEVEN(B74),(B74-1)&amp;"/"&amp;B74,B74&amp;"/"&amp;(B74+1))</f>
        <v>4013/4014</v>
      </c>
      <c r="L74" s="217" t="str">
        <f>VLOOKUP(A74,'Trips&amp;Operators'!$C$1:$G$99911,5,FALSE)</f>
        <v>YANG JAN</v>
      </c>
      <c r="M74" s="6">
        <f>I74-F74</f>
        <v>1.6828703701321501E-2</v>
      </c>
      <c r="N74" s="7"/>
      <c r="O74" s="7"/>
      <c r="P74" s="7"/>
      <c r="Q74" s="22"/>
      <c r="R74" s="170"/>
      <c r="S74" s="213"/>
      <c r="T74" s="195" t="str">
        <f>IF(ISEVEN(LEFT(AD74,4)),"Southbound","NorthBound")</f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-08-23T10:50:53-0600',mode:absolute,to:'2017-08-23T13:47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197" t="str">
        <f>IF(AA74&lt;VLOOKUP(AG74,Variables!$AC$3:$AD$8,2,FALSE),"Y","N")</f>
        <v>Y</v>
      </c>
      <c r="X74" s="197">
        <f>VALUE(LEFT(AD74,4))-VALUE(LEFT(AD73,4))</f>
        <v>0</v>
      </c>
      <c r="Y74" s="197">
        <f>RIGHT(D74,LEN(D74)-4)/10000</f>
        <v>23.301500000000001</v>
      </c>
      <c r="Z74" s="197">
        <f>RIGHT(H74,LEN(H74)-4)/10000</f>
        <v>22.858799999999999</v>
      </c>
      <c r="AA74" s="197">
        <f>ABS(Z74-Y74)</f>
        <v>0.44270000000000209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>VALUE(LEFT(A74,LEN(A74)-3))</f>
        <v>160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/stypes="app*4013*20170823*" /stext=" 18:.+((SYSTEM_STATE.+slice.+state.+changed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160-23 --locoid 4013 --swversion DE.1.0.9.0 --startMP 204:233015 --initTime 2017-08-23T11:50:53 --startdatetime 2017-08-23T12:22:52 --delay 2 --endMP 204:228588 --enddatetime 2017-08-23T12:47:06 --enforcementcount 1 &gt;&gt;C:\Users\stu\Documents\GitHub\eaglep3-reporting\EC\2017-08-23-refined-times.txt</v>
      </c>
      <c r="AI74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{"issue":{"subject":"","project_id":79,"tracker_id":40,"status_id":1,"priority_id":2,"assigned_to_id":23,"start_date":"2017-08-23","description":"","custom_fields":[{"id":1,"name":"Subdivision","value":"EC"},{"id":4,"name":"Milepost","value":"22.8588"},{"id":17,"name":"Train ID","value":"160-23"},{"id":16,"name":"Locomotive ID","value":"4013"},{"id":130,"name":"Impact","value":""},{"id":150,"name":"Time of Event (Mountain Time)","value":"12:47:06"},{"id":151,"name":"Denver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4013 --day 2017-08-23</v>
      </c>
      <c r="AN74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18:47:06"},{"id":29,"name":"Sharepoint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683</v>
      </c>
      <c r="B75" s="7">
        <v>4028</v>
      </c>
      <c r="C75" s="21" t="s">
        <v>197</v>
      </c>
      <c r="D75" s="21" t="s">
        <v>357</v>
      </c>
      <c r="E75" s="13">
        <v>42970.465439814812</v>
      </c>
      <c r="F75" s="13">
        <v>42970.469930555555</v>
      </c>
      <c r="G75" s="7">
        <v>2</v>
      </c>
      <c r="H75" s="21" t="s">
        <v>393</v>
      </c>
      <c r="I75" s="13">
        <v>42970.494722222225</v>
      </c>
      <c r="J75" s="7">
        <v>1</v>
      </c>
      <c r="K75" s="89" t="str">
        <f>IF(ISEVEN(B75),(B75-1)&amp;"/"&amp;B75,B75&amp;"/"&amp;(B75+1))</f>
        <v>4027/4028</v>
      </c>
      <c r="L75" s="217" t="str">
        <f>VLOOKUP(A75,'Trips&amp;Operators'!$C$1:$G$99911,5,FALSE)</f>
        <v>STEWART MICHAEL</v>
      </c>
      <c r="M75" s="6">
        <f>I75-F75</f>
        <v>2.4791666670353152E-2</v>
      </c>
      <c r="N75" s="7">
        <f>24*60*SUM($M75:$M75)</f>
        <v>35.700000005308539</v>
      </c>
      <c r="O75" s="7"/>
      <c r="P75" s="7"/>
      <c r="Q75" s="22"/>
      <c r="R75" s="170"/>
      <c r="S75" s="213">
        <f>1/IF(AG75="EC",12,1)*SUM(U75:U75)</f>
        <v>1</v>
      </c>
      <c r="T75" s="195" t="str">
        <f>IF(ISEVEN(LEFT(AD75,4)),"Southbound","NorthBound")</f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-08-23T10:10:14-0600',mode:absolute,to:'2017-08-23T12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4.5499999999999999E-2</v>
      </c>
      <c r="Z75" s="197">
        <f>RIGHT(H75,LEN(H75)-4)/10000</f>
        <v>23.3293</v>
      </c>
      <c r="AA75" s="197">
        <f>ABS(Z75-Y75)</f>
        <v>23.283799999999999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206">
        <f>VALUE(LEFT(A75,LEN(A75)-3))</f>
        <v>161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/stypes="app*4028*20170823*" /stext=" 17:.+((SYSTEM_STATE.+slice.+state.+changed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161-23 --locoid 4028 --swversion DE.1.0.9.0 --startMP 204:455 --initTime 2017-08-23T11:10:14 --startdatetime 2017-08-23T11:16:42 --delay 2 --endMP 204:233293 --enddatetime 2017-08-23T11:52:24 --enforcementcount 1 &gt;&gt;C:\Users\stu\Documents\GitHub\eaglep3-reporting\EC\2017-08-23-refined-times.txt</v>
      </c>
      <c r="AI75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{"issue":{"subject":"","project_id":79,"tracker_id":40,"status_id":1,"priority_id":2,"assigned_to_id":23,"start_date":"2017-08-23","description":"","custom_fields":[{"id":1,"name":"Subdivision","value":"EC"},{"id":4,"name":"Milepost","value":"23.3293"},{"id":17,"name":"Train ID","value":"161-23"},{"id":16,"name":"Locomotive ID","value":"4028"},{"id":130,"name":"Impact","value":""},{"id":150,"name":"Time of Event (Mountain Time)","value":"11:52:24"},{"id":151,"name":"Denver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4028 --day 2017-08-23</v>
      </c>
      <c r="AN75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695</v>
      </c>
      <c r="B76" s="7">
        <v>4027</v>
      </c>
      <c r="C76" s="21" t="s">
        <v>197</v>
      </c>
      <c r="D76" s="21" t="s">
        <v>839</v>
      </c>
      <c r="E76" s="13">
        <v>42970.504050925927</v>
      </c>
      <c r="F76" s="13">
        <v>42970.508703703701</v>
      </c>
      <c r="G76" s="7">
        <v>2</v>
      </c>
      <c r="H76" s="21" t="s">
        <v>368</v>
      </c>
      <c r="I76" s="13">
        <v>42970.537534722222</v>
      </c>
      <c r="J76" s="7">
        <v>1</v>
      </c>
      <c r="K76" s="89" t="str">
        <f>IF(ISEVEN(B76),(B76-1)&amp;"/"&amp;B76,B76&amp;"/"&amp;(B76+1))</f>
        <v>4027/4028</v>
      </c>
      <c r="L76" s="217" t="str">
        <f>VLOOKUP(A76,'Trips&amp;Operators'!$C$1:$G$99911,5,FALSE)</f>
        <v>STEWART MICHAEL</v>
      </c>
      <c r="M76" s="6">
        <f>I76-F76</f>
        <v>2.8831018520577345E-2</v>
      </c>
      <c r="N76" s="7">
        <f>24*60*SUM($M76:$M76)</f>
        <v>41.516666669631377</v>
      </c>
      <c r="O76" s="7"/>
      <c r="P76" s="7"/>
      <c r="Q76" s="22"/>
      <c r="R76" s="170"/>
      <c r="S76" s="213">
        <f>1/IF(AG76="EC",12,1)*SUM(U76:U76)</f>
        <v>1</v>
      </c>
      <c r="T76" s="195" t="str">
        <f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-08-23T11:05:50-0600',mode:absolute,to:'2017-08-23T13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23.297799999999999</v>
      </c>
      <c r="Z76" s="197">
        <f>RIGHT(H76,LEN(H76)-4)/10000</f>
        <v>1.5800000000000002E-2</v>
      </c>
      <c r="AA76" s="197">
        <f>ABS(Z76-Y76)</f>
        <v>23.282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>VALUE(LEFT(A76,LEN(A76)-3))</f>
        <v>162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/stypes="app*4027*20170823*" /stext=" 18:.+((SYSTEM_STATE.+slice.+state.+changed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162-23 --locoid 4027 --swversion DE.1.0.9.0 --startMP 204:232978 --initTime 2017-08-23T12:05:50 --startdatetime 2017-08-23T12:12:32 --delay 2 --endMP 204:158 --enddatetime 2017-08-23T12:54:03 --enforcementcount 1 &gt;&gt;C:\Users\stu\Documents\GitHub\eaglep3-reporting\EC\2017-08-23-refined-times.txt</v>
      </c>
      <c r="AI76" s="96" t="str">
        <f t="shared" si="5"/>
        <v>echo {"issue":{"subject":"","project_id":79,"tracker_id":40,"status_id":1,"priority_id":2,"assigned_to_id":23,"start_date":"2017-08-23","description":"","custom_fields":[{"id":1,"name":"Subdivision","value":"EC"},{"id":4,"name":"Milepost","value":"0.0158"},{"id":17,"name":"Train ID","value":"162-23"},{"id":16,"name":"Locomotive ID","value":"4027"},{"id":130,"name":"Impact","value":""},{"id":150,"name":"Time of Event (Mountain Time)","value":"12:54:03"},{"id":151,"name":"Denver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4027 --day 2017-08-23</v>
      </c>
      <c r="AN76" s="151" t="str">
        <f t="shared" si="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687</v>
      </c>
      <c r="B77" s="7">
        <v>4030</v>
      </c>
      <c r="C77" s="21" t="s">
        <v>197</v>
      </c>
      <c r="D77" s="21" t="s">
        <v>337</v>
      </c>
      <c r="E77" s="13">
        <v>42970.475289351853</v>
      </c>
      <c r="F77" s="13">
        <v>42970.47965277778</v>
      </c>
      <c r="G77" s="7">
        <v>2</v>
      </c>
      <c r="H77" s="21" t="s">
        <v>851</v>
      </c>
      <c r="I77" s="13">
        <v>42970.505856481483</v>
      </c>
      <c r="J77" s="7">
        <v>1</v>
      </c>
      <c r="K77" s="89" t="str">
        <f>IF(ISEVEN(B77),(B77-1)&amp;"/"&amp;B77,B77&amp;"/"&amp;(B77+1))</f>
        <v>4029/4030</v>
      </c>
      <c r="L77" s="217" t="str">
        <f>VLOOKUP(A77,'Trips&amp;Operators'!$C$1:$G$99911,5,FALSE)</f>
        <v>ROMERO CHAD</v>
      </c>
      <c r="M77" s="6">
        <f>I77-F77</f>
        <v>2.6203703702776693E-2</v>
      </c>
      <c r="N77" s="7">
        <f>24*60*SUM($M77:$M77)</f>
        <v>37.733333331998438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-23T10:24:25-0600',mode:absolute,to:'2017-08-23T13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4.4600000000000001E-2</v>
      </c>
      <c r="Z77" s="197">
        <f>RIGHT(H77,LEN(H77)-4)/10000</f>
        <v>23.340800000000002</v>
      </c>
      <c r="AA77" s="197">
        <f>ABS(Z77-Y77)</f>
        <v>23.296200000000002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206">
        <f>VALUE(LEFT(A77,LEN(A77)-3))</f>
        <v>163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/stypes="app*4030*20170823*" /stext=" 18:.+((SYSTEM_STATE.+slice.+state.+changed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ref="AH77:AH138" si="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163-23 --locoid 4030 --swversion DE.1.0.9.0 --startMP 204:446 --initTime 2017-08-23T11:24:25 --startdatetime 2017-08-23T11:30:42 --delay 2 --endMP 204:233408 --enddatetime 2017-08-23T12:08:26 --enforcementcount 1 &gt;&gt;C:\Users\stu\Documents\GitHub\eaglep3-reporting\EC\2017-08-23-refined-times.txt</v>
      </c>
      <c r="AI77" s="96" t="str">
        <f t="shared" ref="AI77:AI138" si="1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{"issue":{"subject":"","project_id":79,"tracker_id":40,"status_id":1,"priority_id":2,"assigned_to_id":23,"start_date":"2017-08-23","description":"","custom_fields":[{"id":1,"name":"Subdivision","value":"EC"},{"id":4,"name":"Milepost","value":"23.3408"},{"id":17,"name":"Train ID","value":"163-23"},{"id":16,"name":"Locomotive ID","value":"4030"},{"id":130,"name":"Impact","value":""},{"id":150,"name":"Time of Event (Mountain Time)","value":"12:08:26"},{"id":151,"name":"Denver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38" si="11">"start /low /b "&amp;dls3logs&amp;" --loco "&amp;B77&amp;" --day "&amp;TEXT(F77,"YYYY-MM-DD")</f>
        <v>start /low /b %USERPROFILE%\Documents\GitHub\eaglep3\Utilities\DownloadLogsFromS3.py --loco 4030 --day 2017-08-23</v>
      </c>
      <c r="AN77" s="151" t="str">
        <f t="shared" ref="AN77:AN138" si="1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699</v>
      </c>
      <c r="B78" s="7">
        <v>4029</v>
      </c>
      <c r="C78" s="21" t="s">
        <v>197</v>
      </c>
      <c r="D78" s="21" t="s">
        <v>852</v>
      </c>
      <c r="E78" s="13">
        <v>42970.507256944446</v>
      </c>
      <c r="F78" s="13">
        <v>42970.519085648149</v>
      </c>
      <c r="G78" s="7">
        <v>2</v>
      </c>
      <c r="H78" s="21" t="s">
        <v>379</v>
      </c>
      <c r="I78" s="13">
        <v>42970.543981481482</v>
      </c>
      <c r="J78" s="7">
        <v>1</v>
      </c>
      <c r="K78" s="89" t="str">
        <f>IF(ISEVEN(B78),(B78-1)&amp;"/"&amp;B78,B78&amp;"/"&amp;(B78+1))</f>
        <v>4029/4030</v>
      </c>
      <c r="L78" s="217" t="str">
        <f>VLOOKUP(A78,'Trips&amp;Operators'!$C$1:$G$99911,5,FALSE)</f>
        <v>ROMERO CHAD</v>
      </c>
      <c r="M78" s="6">
        <f>I78-F78</f>
        <v>2.4895833332266193E-2</v>
      </c>
      <c r="N78" s="7">
        <f>24*60*SUM($M78:$M78)</f>
        <v>35.849999998463318</v>
      </c>
      <c r="O78" s="7"/>
      <c r="P78" s="7"/>
      <c r="Q78" s="22"/>
      <c r="R78" s="170"/>
      <c r="S78" s="213">
        <f>1/IF(AG78="EC",12,1)*SUM(U78:U78)</f>
        <v>1</v>
      </c>
      <c r="T78" s="195" t="str">
        <f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-08-23T11:10:27-0600',mode:absolute,to:'2017-08-23T14:03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23.310199999999998</v>
      </c>
      <c r="Z78" s="197">
        <f>RIGHT(H78,LEN(H78)-4)/10000</f>
        <v>1.38E-2</v>
      </c>
      <c r="AA78" s="197">
        <f>ABS(Z78-Y78)</f>
        <v>23.296399999999998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>VALUE(LEFT(A78,LEN(A78)-3))</f>
        <v>164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/stypes="app*4029*20170823*" /stext=" 19:.+((SYSTEM_STATE.+slice.+state.+changed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si="9"/>
        <v>"%USERPROFILE%\Documents\GitHub\eaglep3\Utilities\RefineRTDCRunTimes.py" --tripid 164-23 --locoid 4029 --swversion DE.1.0.9.0 --startMP 204:233102 --initTime 2017-08-23T12:10:27 --startdatetime 2017-08-23T12:27:29 --delay 2 --endMP 204:138 --enddatetime 2017-08-23T13:03:20 --enforcementcount 1 &gt;&gt;C:\Users\stu\Documents\GitHub\eaglep3-reporting\EC\2017-08-23-refined-times.txt</v>
      </c>
      <c r="AI78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{"issue":{"subject":"","project_id":79,"tracker_id":40,"status_id":1,"priority_id":2,"assigned_to_id":23,"start_date":"2017-08-23","description":"","custom_fields":[{"id":1,"name":"Subdivision","value":"EC"},{"id":4,"name":"Milepost","value":"0.0138"},{"id":17,"name":"Train ID","value":"164-23"},{"id":16,"name":"Locomotive ID","value":"4029"},{"id":130,"name":"Impact","value":""},{"id":150,"name":"Time of Event (Mountain Time)","value":"13:03:20"},{"id":151,"name":"Denver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1"/>
        <v>start /low /b %USERPROFILE%\Documents\GitHub\eaglep3\Utilities\DownloadLogsFromS3.py --loco 4029 --day 2017-08-23</v>
      </c>
      <c r="AN78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19:03:20"},{"id":29,"name":"Sharepoint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690</v>
      </c>
      <c r="B79" s="7">
        <v>4050</v>
      </c>
      <c r="C79" s="21" t="s">
        <v>197</v>
      </c>
      <c r="D79" s="21" t="s">
        <v>853</v>
      </c>
      <c r="E79" s="13">
        <v>42970.48709490741</v>
      </c>
      <c r="F79" s="13">
        <v>42970.49009259259</v>
      </c>
      <c r="G79" s="7">
        <v>2</v>
      </c>
      <c r="H79" s="21" t="s">
        <v>393</v>
      </c>
      <c r="I79" s="13">
        <v>42970.516875000001</v>
      </c>
      <c r="J79" s="7">
        <v>1</v>
      </c>
      <c r="K79" s="89" t="str">
        <f>IF(ISEVEN(B79),(B79-1)&amp;"/"&amp;B79,B79&amp;"/"&amp;(B79+1))</f>
        <v>4049/4050</v>
      </c>
      <c r="L79" s="217" t="str">
        <f>VLOOKUP(A79,'Trips&amp;Operators'!$C$1:$G$99911,5,FALSE)</f>
        <v>BRUDER RICHARD</v>
      </c>
      <c r="M79" s="6">
        <f>I79-F79</f>
        <v>2.6782407410792075E-2</v>
      </c>
      <c r="N79" s="7">
        <f>24*60*SUM($M79:$M79)</f>
        <v>38.566666671540588</v>
      </c>
      <c r="O79" s="7"/>
      <c r="P79" s="7"/>
      <c r="Q79" s="22"/>
      <c r="R79" s="170"/>
      <c r="S79" s="213">
        <f>1/IF(AG79="EC",12,1)*SUM(U79:U79)</f>
        <v>1</v>
      </c>
      <c r="T79" s="195" t="str">
        <f>IF(ISEVEN(LEFT(AD79,4)),"Southbound","NorthBound")</f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-08-23T10:41:25-0600',mode:absolute,to:'2017-08-23T13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4.8000000000000001E-2</v>
      </c>
      <c r="Z79" s="197">
        <f>RIGHT(H79,LEN(H79)-4)/10000</f>
        <v>23.3293</v>
      </c>
      <c r="AA79" s="197">
        <f>ABS(Z79-Y79)</f>
        <v>23.281300000000002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>VALUE(LEFT(A79,LEN(A79)-3))</f>
        <v>165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/stypes="app*4050*20170823*" /stext=" 18:.+((SYSTEM_STATE.+slice.+state.+changed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9"/>
        <v>"%USERPROFILE%\Documents\GitHub\eaglep3\Utilities\RefineRTDCRunTimes.py" --tripid 165-23 --locoid 4050 --swversion DE.1.0.9.0 --startMP 204:480 --initTime 2017-08-23T11:41:25 --startdatetime 2017-08-23T11:45:44 --delay 2 --endMP 204:233293 --enddatetime 2017-08-23T12:24:18 --enforcementcount 1 &gt;&gt;C:\Users\stu\Documents\GitHub\eaglep3-reporting\EC\2017-08-23-refined-times.txt</v>
      </c>
      <c r="AI79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{"issue":{"subject":"","project_id":79,"tracker_id":40,"status_id":1,"priority_id":2,"assigned_to_id":23,"start_date":"2017-08-23","description":"","custom_fields":[{"id":1,"name":"Subdivision","value":"EC"},{"id":4,"name":"Milepost","value":"23.3293"},{"id":17,"name":"Train ID","value":"165-23"},{"id":16,"name":"Locomotive ID","value":"4050"},{"id":130,"name":"Impact","value":""},{"id":150,"name":"Time of Event (Mountain Time)","value":"12:24:18"},{"id":151,"name":"Denver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1"/>
        <v>start /low /b %USERPROFILE%\Documents\GitHub\eaglep3\Utilities\DownloadLogsFromS3.py --loco 4050 --day 2017-08-23</v>
      </c>
      <c r="AN79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703</v>
      </c>
      <c r="B80" s="7">
        <v>4049</v>
      </c>
      <c r="C80" s="21" t="s">
        <v>197</v>
      </c>
      <c r="D80" s="21" t="s">
        <v>460</v>
      </c>
      <c r="E80" s="13">
        <v>42970.525439814817</v>
      </c>
      <c r="F80" s="13">
        <v>42970.529351851852</v>
      </c>
      <c r="G80" s="7">
        <v>1</v>
      </c>
      <c r="H80" s="21" t="s">
        <v>378</v>
      </c>
      <c r="I80" s="13">
        <v>42970.554918981485</v>
      </c>
      <c r="J80" s="7">
        <v>1</v>
      </c>
      <c r="K80" s="89" t="str">
        <f>IF(ISEVEN(B80),(B80-1)&amp;"/"&amp;B80,B80&amp;"/"&amp;(B80+1))</f>
        <v>4049/4050</v>
      </c>
      <c r="L80" s="217" t="str">
        <f>VLOOKUP(A80,'Trips&amp;Operators'!$C$1:$G$99911,5,FALSE)</f>
        <v>BRUDER RICHARD</v>
      </c>
      <c r="M80" s="6">
        <f>I80-F80</f>
        <v>2.5567129632690921E-2</v>
      </c>
      <c r="N80" s="7">
        <f>24*60*SUM($M80:$M80)</f>
        <v>36.816666671074927</v>
      </c>
      <c r="O80" s="7"/>
      <c r="P80" s="7"/>
      <c r="Q80" s="22"/>
      <c r="R80" s="170"/>
      <c r="S80" s="213">
        <f>1/IF(AG80="EC",12,1)*SUM(U80:U80)</f>
        <v>1</v>
      </c>
      <c r="T80" s="195" t="str">
        <f>IF(ISEVEN(LEFT(AD80,4)),"Southbound","NorthBound")</f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-08-23T11:36:38-0600',mode:absolute,to:'2017-08-23T14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23.297999999999998</v>
      </c>
      <c r="Z80" s="197">
        <f>RIGHT(H80,LEN(H80)-4)/10000</f>
        <v>1.6E-2</v>
      </c>
      <c r="AA80" s="197">
        <f>ABS(Z80-Y80)</f>
        <v>23.282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>VALUE(LEFT(A80,LEN(A80)-3))</f>
        <v>166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s3://rtdc.mdm.uploadarchive.raw/RTDC4049/ "%USERPROFILE%\AppData\Local\Temp\OnboardLogs"\RTDC4049\2017-08-23 --exclude "*" --recursive --include "*20170823*" &amp; "%USERPROFILE%\Documents\GitHub\mrs-test-scripts\Headless Mode &amp; Sideloading\WalkAndUnGZ.bat" "%USERPROFILE%\AppData\Local\Temp\OnboardLogs"\RTDC4049\2017-08-23 &amp; aws s3 cp s3://rtdc.mdm.uploadarchive.raw/RTDC4049/ "%USERPROFILE%\AppData\Local\Temp\OnboardLogs"\RTDC4049\2017-08-24 --exclude "*" --recursive --include "*20170824*" &amp; "%USERPROFILE%\Documents\GitHub\mrs-test-scripts\Headless Mode &amp; Sideloading\WalkAndUnGZ.bat" "%USERPROFILE%\AppData\Local\Temp\OnboardLogs"\RTDC4049\2017-08-24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/stypes="app*4049*20170823*" /stext=" 19:.+((SYSTEM_STATE.+slice.+state.+changed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9"/>
        <v>"%USERPROFILE%\Documents\GitHub\eaglep3\Utilities\RefineRTDCRunTimes.py" --tripid 166-23 --locoid 4049 --swversion DE.1.0.9.0 --startMP 204:232980 --initTime 2017-08-23T12:36:38 --startdatetime 2017-08-23T12:42:16 --delay 1 --endMP 204:160 --enddatetime 2017-08-23T13:19:05 --enforcementcount 1 &gt;&gt;C:\Users\stu\Documents\GitHub\eaglep3-reporting\EC\2017-08-23-refined-times.txt</v>
      </c>
      <c r="AI80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{"issue":{"subject":"","project_id":79,"tracker_id":40,"status_id":1,"priority_id":2,"assigned_to_id":23,"start_date":"2017-08-23","description":"","custom_fields":[{"id":1,"name":"Subdivision","value":"EC"},{"id":4,"name":"Milepost","value":"0.016"},{"id":17,"name":"Train ID","value":"166-23"},{"id":16,"name":"Locomotive ID","value":"4049"},{"id":130,"name":"Impact","value":""},{"id":150,"name":"Time of Event (Mountain Time)","value":"13:19:05"},{"id":151,"name":"Denver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1"/>
        <v>start /low /b %USERPROFILE%\Documents\GitHub\eaglep3\Utilities\DownloadLogsFromS3.py --loco 4049 --day 2017-08-23</v>
      </c>
      <c r="AN80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692</v>
      </c>
      <c r="B81" s="7">
        <v>4060</v>
      </c>
      <c r="C81" s="21" t="s">
        <v>197</v>
      </c>
      <c r="D81" s="21" t="s">
        <v>522</v>
      </c>
      <c r="E81" s="13">
        <v>42970.497060185182</v>
      </c>
      <c r="F81" s="13">
        <v>42970.500520833331</v>
      </c>
      <c r="G81" s="7">
        <v>1</v>
      </c>
      <c r="H81" s="21" t="s">
        <v>854</v>
      </c>
      <c r="I81" s="13">
        <v>42970.525567129633</v>
      </c>
      <c r="J81" s="7">
        <v>1</v>
      </c>
      <c r="K81" s="89" t="str">
        <f>IF(ISEVEN(B81),(B81-1)&amp;"/"&amp;B81,B81&amp;"/"&amp;(B81+1))</f>
        <v>4059/4060</v>
      </c>
      <c r="L81" s="217" t="str">
        <f>VLOOKUP(A81,'Trips&amp;Operators'!$C$1:$G$99911,5,FALSE)</f>
        <v>LEVIN SCOTT</v>
      </c>
      <c r="M81" s="6">
        <f>I81-F81</f>
        <v>2.5046296301297843E-2</v>
      </c>
      <c r="N81" s="7">
        <f>24*60*SUM($M81:$M81)</f>
        <v>36.066666673868895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-08-23T10:55:46-0600',mode:absolute,to:'2017-08-23T13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4.8899999999999999E-2</v>
      </c>
      <c r="Z81" s="197">
        <f>RIGHT(H81,LEN(H81)-4)/10000</f>
        <v>23.342500000000001</v>
      </c>
      <c r="AA81" s="197">
        <f>ABS(Z81-Y81)</f>
        <v>23.293600000000001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>VALUE(LEFT(A81,LEN(A81)-3))</f>
        <v>167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s3://rtdc.mdm.uploadarchive.raw/RTDC4060/ "%USERPROFILE%\AppData\Local\Temp\OnboardLogs"\RTDC4060\2017-08-23 --exclude "*" --recursive --include "*20170823*" &amp; "%USERPROFILE%\Documents\GitHub\mrs-test-scripts\Headless Mode &amp; Sideloading\WalkAndUnGZ.bat" "%USERPROFILE%\AppData\Local\Temp\OnboardLogs"\RTDC4060\2017-08-23 &amp; aws s3 cp s3://rtdc.mdm.uploadarchive.raw/RTDC4060/ "%USERPROFILE%\AppData\Local\Temp\OnboardLogs"\RTDC4060\2017-08-24 --exclude "*" --recursive --include "*20170824*" &amp; "%USERPROFILE%\Documents\GitHub\mrs-test-scripts\Headless Mode &amp; Sideloading\WalkAndUnGZ.bat" "%USERPROFILE%\AppData\Local\Temp\OnboardLogs"\RTDC4060\2017-08-24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/stypes="app*4060*20170823*" /stext=" 18:.+((SYSTEM_STATE.+slice.+state.+changed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9"/>
        <v>"%USERPROFILE%\Documents\GitHub\eaglep3\Utilities\RefineRTDCRunTimes.py" --tripid 167-23 --locoid 4060 --swversion DE.1.0.9.0 --startMP 204:489 --initTime 2017-08-23T11:55:46 --startdatetime 2017-08-23T12:00:45 --delay 1 --endMP 204:233425 --enddatetime 2017-08-23T12:36:49 --enforcementcount 1 &gt;&gt;C:\Users\stu\Documents\GitHub\eaglep3-reporting\EC\2017-08-23-refined-times.txt</v>
      </c>
      <c r="AI81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{"issue":{"subject":"","project_id":79,"tracker_id":40,"status_id":1,"priority_id":2,"assigned_to_id":23,"start_date":"2017-08-23","description":"","custom_fields":[{"id":1,"name":"Subdivision","value":"EC"},{"id":4,"name":"Milepost","value":"23.3425"},{"id":17,"name":"Train ID","value":"167-23"},{"id":16,"name":"Locomotive ID","value":"4060"},{"id":130,"name":"Impact","value":""},{"id":150,"name":"Time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1"/>
        <v>start /low /b %USERPROFILE%\Documents\GitHub\eaglep3\Utilities\DownloadLogsFromS3.py --loco 4060 --day 2017-08-23</v>
      </c>
      <c r="AN81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566</v>
      </c>
      <c r="B82" s="7">
        <v>4059</v>
      </c>
      <c r="C82" s="21" t="s">
        <v>197</v>
      </c>
      <c r="D82" s="21" t="s">
        <v>855</v>
      </c>
      <c r="E82" s="13">
        <v>42970.537303240744</v>
      </c>
      <c r="F82" s="13">
        <v>42970.539884259262</v>
      </c>
      <c r="G82" s="7">
        <v>1</v>
      </c>
      <c r="H82" s="21" t="s">
        <v>856</v>
      </c>
      <c r="I82" s="13">
        <v>42970.591354166667</v>
      </c>
      <c r="J82" s="7">
        <v>1</v>
      </c>
      <c r="K82" s="89" t="str">
        <f>IF(ISEVEN(B82),(B82-1)&amp;"/"&amp;B82,B82&amp;"/"&amp;(B82+1))</f>
        <v>4059/4060</v>
      </c>
      <c r="L82" s="217" t="str">
        <f>VLOOKUP(A82,'Trips&amp;Operators'!$C$1:$G$99911,5,FALSE)</f>
        <v>LEVIN SCOTT</v>
      </c>
      <c r="M82" s="6">
        <f>I82-F82</f>
        <v>5.1469907404680271E-2</v>
      </c>
      <c r="N82" s="7">
        <f>24*60*SUM($M82:$M82)</f>
        <v>74.11666666273959</v>
      </c>
      <c r="O82" s="7"/>
      <c r="P82" s="7"/>
      <c r="Q82" s="22"/>
      <c r="R82" s="170" t="s">
        <v>1025</v>
      </c>
      <c r="S82" s="213">
        <f>1/IF(AG82="EC",12,1)*SUM(U82:U82)</f>
        <v>1</v>
      </c>
      <c r="T82" s="195" t="str">
        <f>IF(ISEVEN(LEFT(AD82,4)),"Southbound","NorthBound")</f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-08-23T11:53:43-0600',mode:absolute,to:'2017-08-23T15:11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23.311699999999998</v>
      </c>
      <c r="Z82" s="197">
        <f>RIGHT(H82,LEN(H82)-4)/10000</f>
        <v>0.111</v>
      </c>
      <c r="AA82" s="197">
        <f>ABS(Z82-Y82)</f>
        <v>23.200699999999998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>VALUE(LEFT(A82,LEN(A82)-3))</f>
        <v>168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s3://rtdc.mdm.uploadarchive.raw/RTDC4059/ "%USERPROFILE%\AppData\Local\Temp\OnboardLogs"\RTDC4059\2017-08-23 --exclude "*" --recursive --include "*20170823*" &amp; "%USERPROFILE%\Documents\GitHub\mrs-test-scripts\Headless Mode &amp; Sideloading\WalkAndUnGZ.bat" "%USERPROFILE%\AppData\Local\Temp\OnboardLogs"\RTDC4059\2017-08-23 &amp; aws s3 cp s3://rtdc.mdm.uploadarchive.raw/RTDC4059/ "%USERPROFILE%\AppData\Local\Temp\OnboardLogs"\RTDC4059\2017-08-24 --exclude "*" --recursive --include "*20170824*" &amp; "%USERPROFILE%\Documents\GitHub\mrs-test-scripts\Headless Mode &amp; Sideloading\WalkAndUnGZ.bat" "%USERPROFILE%\AppData\Local\Temp\OnboardLogs"\RTDC4059\2017-08-24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/stypes="app*4059*20170823*" /stext=" 20:.+((SYSTEM_STATE.+slice.+state.+changed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9"/>
        <v>"%USERPROFILE%\Documents\GitHub\eaglep3\Utilities\RefineRTDCRunTimes.py" --tripid 168-23 --locoid 4059 --swversion DE.1.0.9.0 --startMP 204:233117 --initTime 2017-08-23T12:53:43 --startdatetime 2017-08-23T12:57:26 --delay 1 --endMP 204:1110 --enddatetime 2017-08-23T14:11:33 --enforcementcount 1 &gt;&gt;C:\Users\stu\Documents\GitHub\eaglep3-reporting\EC\2017-08-23-refined-times.txt</v>
      </c>
      <c r="AI82" s="96" t="str">
        <f t="shared" si="10"/>
        <v>echo {"issue":{"subject":"Delayed by door issues","project_id":79,"tracker_id":40,"status_id":1,"priority_id":2,"assigned_to_id":23,"start_date":"2017-08-23","description":"","custom_fields":[{"id":1,"name":"Subdivision","value":"EC"},{"id":4,"name":"Milepost","value":"0.111"},{"id":17,"name":"Train ID","value":"168-23"},{"id":16,"name":"Locomotive ID","value":"4059"},{"id":130,"name":"Impact","value":""},{"id":150,"name":"Time of Event (Mountain Time)","value":"14:11:33"},{"id":151,"name":"Denver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1"/>
        <v>start /low /b %USERPROFILE%\Documents\GitHub\eaglep3\Utilities\DownloadLogsFromS3.py --loco 4059 --day 2017-08-23</v>
      </c>
      <c r="AN82" s="151" t="str">
        <f t="shared" si="12"/>
        <v>echo {"issue":{"subject":"Delayed by door issues","project_id":30,"tracker_id":4,"status_id":1,"priority_id":1,"assigned_to_id":10,"start_date":"2017-08-23","description":"","custom_fields":[{"id":30,"name":"Category","value":"Issue"},{"id":3,"name":"Functional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20:11:33"},{"id":29,"name":"Sharepoint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696</v>
      </c>
      <c r="B83" s="7">
        <v>4042</v>
      </c>
      <c r="C83" s="21" t="s">
        <v>197</v>
      </c>
      <c r="D83" s="21" t="s">
        <v>371</v>
      </c>
      <c r="E83" s="13">
        <v>42970.505740740744</v>
      </c>
      <c r="F83" s="13">
        <v>42970.510937500003</v>
      </c>
      <c r="G83" s="7">
        <v>1</v>
      </c>
      <c r="H83" s="21" t="s">
        <v>857</v>
      </c>
      <c r="I83" s="13">
        <v>42970.535439814812</v>
      </c>
      <c r="J83" s="7">
        <v>1</v>
      </c>
      <c r="K83" s="89" t="str">
        <f>IF(ISEVEN(B83),(B83-1)&amp;"/"&amp;B83,B83&amp;"/"&amp;(B83+1))</f>
        <v>4041/4042</v>
      </c>
      <c r="L83" s="217" t="str">
        <f>VLOOKUP(A83,'Trips&amp;Operators'!$C$1:$G$99911,5,FALSE)</f>
        <v>LOPES KIMBERLY</v>
      </c>
      <c r="M83" s="6">
        <f>I83-F83</f>
        <v>2.4502314809069503E-2</v>
      </c>
      <c r="N83" s="7">
        <f>24*60*SUM($M83:$M83)</f>
        <v>35.283333325060084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-08-23T11:08:16-0600',mode:absolute,to:'2017-08-23T13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4.4900000000000002E-2</v>
      </c>
      <c r="Z83" s="197">
        <f>RIGHT(H83,LEN(H83)-4)/10000</f>
        <v>23.341999999999999</v>
      </c>
      <c r="AA83" s="197">
        <f>ABS(Z83-Y83)</f>
        <v>23.2971</v>
      </c>
      <c r="AB83" s="54" t="e">
        <f>VLOOKUP(A83,Enforcements!$C$7:$K$11,8,0)</f>
        <v>#N/A</v>
      </c>
      <c r="AC83" s="51" t="e">
        <f>VLOOKUP(A83,Enforcements!$C$7:$E$11,3,0)</f>
        <v>#N/A</v>
      </c>
      <c r="AD83" s="206">
        <f>VALUE(LEFT(A83,LEN(A83)-3))</f>
        <v>169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/stypes="app*4042*20170823*" /stext=" 18:.+((SYSTEM_STATE.+slice.+state.+changed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9"/>
        <v>"%USERPROFILE%\Documents\GitHub\eaglep3\Utilities\RefineRTDCRunTimes.py" --tripid 169-23 --locoid 4042 --swversion DE.1.0.9.0 --startMP 204:449 --initTime 2017-08-23T12:08:16 --startdatetime 2017-08-23T12:15:45 --delay 1 --endMP 204:233420 --enddatetime 2017-08-23T12:51:02 --enforcementcount 1 &gt;&gt;C:\Users\stu\Documents\GitHub\eaglep3-reporting\EC\2017-08-23-refined-times.txt</v>
      </c>
      <c r="AI83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{"issue":{"subject":"","project_id":79,"tracker_id":40,"status_id":1,"priority_id":2,"assigned_to_id":23,"start_date":"2017-08-23","description":"","custom_fields":[{"id":1,"name":"Subdivision","value":"EC"},{"id":4,"name":"Milepost","value":"23.342"},{"id":17,"name":"Train ID","value":"169-23"},{"id":16,"name":"Locomotive ID","value":"4042"},{"id":130,"name":"Impact","value":""},{"id":150,"name":"Time of Event (Mountain Time)","value":"12:51:02"},{"id":151,"name":"Denver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1"/>
        <v>start /low /b %USERPROFILE%\Documents\GitHub\eaglep3\Utilities\DownloadLogsFromS3.py --loco 4042 --day 2017-08-23</v>
      </c>
      <c r="AN83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564</v>
      </c>
      <c r="B84" s="7">
        <v>4041</v>
      </c>
      <c r="C84" s="21" t="s">
        <v>197</v>
      </c>
      <c r="D84" s="21" t="s">
        <v>858</v>
      </c>
      <c r="E84" s="13">
        <v>42970.542314814818</v>
      </c>
      <c r="F84" s="13">
        <v>42970.550150462965</v>
      </c>
      <c r="G84" s="7">
        <v>1</v>
      </c>
      <c r="H84" s="21" t="s">
        <v>345</v>
      </c>
      <c r="I84" s="13">
        <v>42970.595127314817</v>
      </c>
      <c r="J84" s="7">
        <v>1</v>
      </c>
      <c r="K84" s="89" t="str">
        <f>IF(ISEVEN(B84),(B84-1)&amp;"/"&amp;B84,B84&amp;"/"&amp;(B84+1))</f>
        <v>4041/4042</v>
      </c>
      <c r="L84" s="217" t="str">
        <f>VLOOKUP(A84,'Trips&amp;Operators'!$C$1:$G$99911,5,FALSE)</f>
        <v>LOPES KIMBERLY</v>
      </c>
      <c r="M84" s="6">
        <f>I84-F84</f>
        <v>4.4976851851970423E-2</v>
      </c>
      <c r="N84" s="7">
        <f>24*60*SUM($M84:$M84)</f>
        <v>64.766666666837409</v>
      </c>
      <c r="O84" s="7"/>
      <c r="P84" s="7"/>
      <c r="Q84" s="22"/>
      <c r="R84" s="170" t="s">
        <v>1026</v>
      </c>
      <c r="S84" s="213">
        <f>1/IF(AG84="EC",12,1)*SUM(U84:U84)</f>
        <v>1</v>
      </c>
      <c r="T84" s="195" t="str">
        <f>IF(ISEVEN(LEFT(AD84,4)),"Southbound","NorthBound")</f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-08-23T12:00:56-0600',mode:absolute,to:'2017-08-23T15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23.313600000000001</v>
      </c>
      <c r="Z84" s="197">
        <f>RIGHT(H84,LEN(H84)-4)/10000</f>
        <v>1.41E-2</v>
      </c>
      <c r="AA84" s="197">
        <f>ABS(Z84-Y84)</f>
        <v>23.299500000000002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>VALUE(LEFT(A84,LEN(A84)-3))</f>
        <v>170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/stypes="app*4041*20170823*" /stext=" 20:.+((SYSTEM_STATE.+slice.+state.+changed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9"/>
        <v>"%USERPROFILE%\Documents\GitHub\eaglep3\Utilities\RefineRTDCRunTimes.py" --tripid 170-23 --locoid 4041 --swversion DE.1.0.9.0 --startMP 204:233136 --initTime 2017-08-23T13:00:56 --startdatetime 2017-08-23T13:12:13 --delay 1 --endMP 204:141 --enddatetime 2017-08-23T14:16:59 --enforcementcount 1 &gt;&gt;C:\Users\stu\Documents\GitHub\eaglep3-reporting\EC\2017-08-23-refined-times.txt</v>
      </c>
      <c r="AI84" s="96" t="str">
        <f t="shared" si="10"/>
        <v>echo {"issue":{"subject":"Cascade delay from 168","project_id":79,"tracker_id":40,"status_id":1,"priority_id":2,"assigned_to_id":23,"start_date":"2017-08-23","description":"","custom_fields":[{"id":1,"name":"Subdivision","value":"EC"},{"id":4,"name":"Milepost","value":"0.0141"},{"id":17,"name":"Train ID","value":"170-23"},{"id":16,"name":"Locomotive ID","value":"4041"},{"id":130,"name":"Impact","value":""},{"id":150,"name":"Time of Event (Mountain Time)","value":"14:16:59"},{"id":151,"name":"Denver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1"/>
        <v>start /low /b %USERPROFILE%\Documents\GitHub\eaglep3\Utilities\DownloadLogsFromS3.py --loco 4041 --day 2017-08-23</v>
      </c>
      <c r="AN84" s="151" t="str">
        <f t="shared" si="12"/>
        <v>echo {"issue":{"subject":"Cascade delay from 168","project_id":30,"tracker_id":4,"status_id":1,"priority_id":1,"assigned_to_id":10,"start_date":"2017-08-23","description":"","custom_fields":[{"id":30,"name":"Category","value":"Issue"},{"id":3,"name":"Functional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20:16:59"},{"id":29,"name":"Sharepoint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701</v>
      </c>
      <c r="B85" s="7">
        <v>4040</v>
      </c>
      <c r="C85" s="21" t="s">
        <v>197</v>
      </c>
      <c r="D85" s="21" t="s">
        <v>343</v>
      </c>
      <c r="E85" s="13">
        <v>42970.520092592589</v>
      </c>
      <c r="F85" s="13">
        <v>42970.521539351852</v>
      </c>
      <c r="G85" s="7">
        <v>1</v>
      </c>
      <c r="H85" s="21" t="s">
        <v>517</v>
      </c>
      <c r="I85" s="13">
        <v>42970.547395833331</v>
      </c>
      <c r="J85" s="7">
        <v>1</v>
      </c>
      <c r="K85" s="89" t="str">
        <f>IF(ISEVEN(B85),(B85-1)&amp;"/"&amp;B85,B85&amp;"/"&amp;(B85+1))</f>
        <v>4039/4040</v>
      </c>
      <c r="L85" s="217" t="str">
        <f>VLOOKUP(A85,'Trips&amp;Operators'!$C$1:$G$99911,5,FALSE)</f>
        <v>DAVIS MICHAEL</v>
      </c>
      <c r="M85" s="6">
        <f>I85-F85</f>
        <v>2.5856481479422655E-2</v>
      </c>
      <c r="N85" s="7">
        <f>24*60*SUM($M85:$M85)</f>
        <v>37.233333330368623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-08-23T11:28:56-0600',mode:absolute,to:'2017-08-23T14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4.53E-2</v>
      </c>
      <c r="Z85" s="197">
        <f>RIGHT(H85,LEN(H85)-4)/10000</f>
        <v>23.336400000000001</v>
      </c>
      <c r="AA85" s="197">
        <f>ABS(Z85-Y85)</f>
        <v>23.2911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>VALUE(LEFT(A85,LEN(A85)-3))</f>
        <v>171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s3://rtdc.mdm.uploadarchive.raw/RTDC4040/ "%USERPROFILE%\AppData\Local\Temp\OnboardLogs"\RTDC4040\2017-08-23 --exclude "*" --recursive --include "*20170823*" &amp; "%USERPROFILE%\Documents\GitHub\mrs-test-scripts\Headless Mode &amp; Sideloading\WalkAndUnGZ.bat" "%USERPROFILE%\AppData\Local\Temp\OnboardLogs"\RTDC4040\2017-08-23 &amp; 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/stypes="app*4040*20170823*" /stext=" 19:.+((SYSTEM_STATE.+slice.+state.+changed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9"/>
        <v>"%USERPROFILE%\Documents\GitHub\eaglep3\Utilities\RefineRTDCRunTimes.py" --tripid 171-23 --locoid 4040 --swversion DE.1.0.9.0 --startMP 204:453 --initTime 2017-08-23T12:28:56 --startdatetime 2017-08-23T12:31:01 --delay 1 --endMP 204:233364 --enddatetime 2017-08-23T13:08:15 --enforcementcount 1 &gt;&gt;C:\Users\stu\Documents\GitHub\eaglep3-reporting\EC\2017-08-23-refined-times.txt</v>
      </c>
      <c r="AI85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{"issue":{"subject":"","project_id":79,"tracker_id":40,"status_id":1,"priority_id":2,"assigned_to_id":23,"start_date":"2017-08-23","description":"","custom_fields":[{"id":1,"name":"Subdivision","value":"EC"},{"id":4,"name":"Milepost","value":"23.3364"},{"id":17,"name":"Train ID","value":"171-23"},{"id":16,"name":"Locomotive ID","value":"4040"},{"id":130,"name":"Impact","value":""},{"id":150,"name":"Time of Event (Mountain Time)","value":"13:08:15"},{"id":151,"name":"Denver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1"/>
        <v>start /low /b %USERPROFILE%\Documents\GitHub\eaglep3\Utilities\DownloadLogsFromS3.py --loco 4040 --day 2017-08-23</v>
      </c>
      <c r="AN85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569</v>
      </c>
      <c r="B86" s="7">
        <v>4039</v>
      </c>
      <c r="C86" s="21" t="s">
        <v>197</v>
      </c>
      <c r="D86" s="21" t="s">
        <v>859</v>
      </c>
      <c r="E86" s="13">
        <v>42970.558194444442</v>
      </c>
      <c r="F86" s="13">
        <v>42970.560879629629</v>
      </c>
      <c r="G86" s="7">
        <v>1</v>
      </c>
      <c r="H86" s="21" t="s">
        <v>860</v>
      </c>
      <c r="I86" s="13">
        <v>42970.604143518518</v>
      </c>
      <c r="J86" s="7">
        <v>1</v>
      </c>
      <c r="K86" s="89" t="str">
        <f>IF(ISEVEN(B86),(B86-1)&amp;"/"&amp;B86,B86&amp;"/"&amp;(B86+1))</f>
        <v>4039/4040</v>
      </c>
      <c r="L86" s="217" t="str">
        <f>VLOOKUP(A86,'Trips&amp;Operators'!$C$1:$G$99911,5,FALSE)</f>
        <v>DAVIS MICHAEL</v>
      </c>
      <c r="M86" s="6">
        <f>I86-F86</f>
        <v>4.3263888888759539E-2</v>
      </c>
      <c r="N86" s="7">
        <f>24*60*SUM($M86:$M86)</f>
        <v>62.299999999813735</v>
      </c>
      <c r="O86" s="7"/>
      <c r="P86" s="7"/>
      <c r="Q86" s="22"/>
      <c r="R86" s="170" t="s">
        <v>1026</v>
      </c>
      <c r="S86" s="213">
        <f>1/IF(AG86="EC",12,1)*SUM(U86:U86)</f>
        <v>1</v>
      </c>
      <c r="T86" s="195" t="str">
        <f>IF(ISEVEN(LEFT(AD86,4)),"Southbound","NorthBound")</f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-08-23T12:23:48-0600',mode:absolute,to:'2017-08-23T15:29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23.306000000000001</v>
      </c>
      <c r="Z86" s="197">
        <f>RIGHT(H86,LEN(H86)-4)/10000</f>
        <v>0.10299999999999999</v>
      </c>
      <c r="AA86" s="197">
        <f>ABS(Z86-Y86)</f>
        <v>23.202999999999999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>VALUE(LEFT(A86,LEN(A86)-3))</f>
        <v>172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/stypes="app*4039*20170823*" /stext=" 20:.+((SYSTEM_STATE.+slice.+state.+changed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9"/>
        <v>"%USERPROFILE%\Documents\GitHub\eaglep3\Utilities\RefineRTDCRunTimes.py" --tripid 172-23 --locoid 4039 --swversion DE.1.0.9.0 --startMP 204:233060 --initTime 2017-08-23T13:23:48 --startdatetime 2017-08-23T13:27:40 --delay 1 --endMP 204:1030 --enddatetime 2017-08-23T14:29:58 --enforcementcount 1 &gt;&gt;C:\Users\stu\Documents\GitHub\eaglep3-reporting\EC\2017-08-23-refined-times.txt</v>
      </c>
      <c r="AI86" s="96" t="str">
        <f t="shared" si="10"/>
        <v>echo {"issue":{"subject":"Cascade delay from 168","project_id":79,"tracker_id":40,"status_id":1,"priority_id":2,"assigned_to_id":23,"start_date":"2017-08-23","description":"","custom_fields":[{"id":1,"name":"Subdivision","value":"EC"},{"id":4,"name":"Milepost","value":"0.103"},{"id":17,"name":"Train ID","value":"172-23"},{"id":16,"name":"Locomotive ID","value":"4039"},{"id":130,"name":"Impact","value":""},{"id":150,"name":"Time of Event (Mountain Time)","value":"14:29:58"},{"id":151,"name":"Denver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1"/>
        <v>start /low /b %USERPROFILE%\Documents\GitHub\eaglep3\Utilities\DownloadLogsFromS3.py --loco 4039 --day 2017-08-23</v>
      </c>
      <c r="AN86" s="151" t="str">
        <f t="shared" si="12"/>
        <v>echo {"issue":{"subject":"Cascade delay from 168","project_id":30,"tracker_id":4,"status_id":1,"priority_id":1,"assigned_to_id":10,"start_date":"2017-08-23","description":"","custom_fields":[{"id":30,"name":"Category","value":"Issue"},{"id":3,"name":"Functional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20:29:58"},{"id":29,"name":"Sharepoint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562</v>
      </c>
      <c r="B87" s="7">
        <v>4012</v>
      </c>
      <c r="C87" s="21" t="s">
        <v>197</v>
      </c>
      <c r="D87" s="21" t="s">
        <v>349</v>
      </c>
      <c r="E87" s="13">
        <v>42970.524062500001</v>
      </c>
      <c r="F87" s="13">
        <v>42970.532002314816</v>
      </c>
      <c r="G87" s="7">
        <v>2</v>
      </c>
      <c r="H87" s="21" t="s">
        <v>861</v>
      </c>
      <c r="I87" s="13">
        <v>42970.557268518518</v>
      </c>
      <c r="J87" s="7">
        <v>1</v>
      </c>
      <c r="K87" s="89" t="str">
        <f>IF(ISEVEN(B87),(B87-1)&amp;"/"&amp;B87,B87&amp;"/"&amp;(B87+1))</f>
        <v>4011/4012</v>
      </c>
      <c r="L87" s="217" t="str">
        <f>VLOOKUP(A87,'Trips&amp;Operators'!$C$1:$G$99911,5,FALSE)</f>
        <v>TOUSIGNAUT CARL</v>
      </c>
      <c r="M87" s="6">
        <f>I87-F87</f>
        <v>2.5266203701903578E-2</v>
      </c>
      <c r="N87" s="7">
        <f>24*60*SUM($M87:$M87)</f>
        <v>36.383333330741152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-08-23T11:34:39-0600',mode:absolute,to:'2017-08-23T14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4.6199999999999998E-2</v>
      </c>
      <c r="Z87" s="197">
        <f>RIGHT(H87,LEN(H87)-4)/10000</f>
        <v>23.336200000000002</v>
      </c>
      <c r="AA87" s="197">
        <f>ABS(Z87-Y87)</f>
        <v>23.290000000000003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>VALUE(LEFT(A87,LEN(A87)-3))</f>
        <v>173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 &amp; aws s3 cp s3://rtdc.mdm.uploadarchive.raw/RTDC4012/ "%USERPROFILE%\AppData\Local\Temp\OnboardLogs"\RTDC4012\2017-08-24 --exclude "*" --recursive --include "*20170824*" &amp; "%USERPROFILE%\Documents\GitHub\mrs-test-scripts\Headless Mode &amp; Sideloading\WalkAndUnGZ.bat" "%USERPROFILE%\AppData\Local\Temp\OnboardLogs"\RTDC4012\2017-08-24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/stypes="app*4012*20170823*" /stext=" 19:.+((SYSTEM_STATE.+slice.+state.+changed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9"/>
        <v>"%USERPROFILE%\Documents\GitHub\eaglep3\Utilities\RefineRTDCRunTimes.py" --tripid 173-23 --locoid 4012 --swversion DE.1.0.9.0 --startMP 204:462 --initTime 2017-08-23T12:34:39 --startdatetime 2017-08-23T12:46:05 --delay 2 --endMP 204:233362 --enddatetime 2017-08-23T13:22:28 --enforcementcount 1 &gt;&gt;C:\Users\stu\Documents\GitHub\eaglep3-reporting\EC\2017-08-23-refined-times.txt</v>
      </c>
      <c r="AI87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{"issue":{"subject":"","project_id":79,"tracker_id":40,"status_id":1,"priority_id":2,"assigned_to_id":23,"start_date":"2017-08-23","description":"","custom_fields":[{"id":1,"name":"Subdivision","value":"EC"},{"id":4,"name":"Milepost","value":"23.3362"},{"id":17,"name":"Train ID","value":"173-23"},{"id":16,"name":"Locomotive ID","value":"4012"},{"id":130,"name":"Impact","value":""},{"id":150,"name":"Time of Event (Mountain Time)","value":"13:22:28"},{"id":151,"name":"Denver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1"/>
        <v>start /low /b %USERPROFILE%\Documents\GitHub\eaglep3\Utilities\DownloadLogsFromS3.py --loco 4012 --day 2017-08-23</v>
      </c>
      <c r="AN87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711</v>
      </c>
      <c r="B88" s="7">
        <v>4011</v>
      </c>
      <c r="C88" s="21" t="s">
        <v>197</v>
      </c>
      <c r="D88" s="21" t="s">
        <v>862</v>
      </c>
      <c r="E88" s="13">
        <v>42970.572476851848</v>
      </c>
      <c r="F88" s="13">
        <v>42970.573645833334</v>
      </c>
      <c r="G88" s="7">
        <v>1</v>
      </c>
      <c r="H88" s="21" t="s">
        <v>863</v>
      </c>
      <c r="I88" s="13">
        <v>42970.60465277778</v>
      </c>
      <c r="J88" s="7">
        <v>1</v>
      </c>
      <c r="K88" s="89" t="str">
        <f>IF(ISEVEN(B88),(B88-1)&amp;"/"&amp;B88,B88&amp;"/"&amp;(B88+1))</f>
        <v>4011/4012</v>
      </c>
      <c r="L88" s="217" t="str">
        <f>VLOOKUP(A88,'Trips&amp;Operators'!$C$1:$G$99911,5,FALSE)</f>
        <v>TOUSIGNAUT CARL</v>
      </c>
      <c r="M88" s="6">
        <f>I88-F88</f>
        <v>3.1006944445834961E-2</v>
      </c>
      <c r="N88" s="7">
        <f>24*60*SUM($M88:$M88)</f>
        <v>44.650000002002344</v>
      </c>
      <c r="O88" s="7"/>
      <c r="P88" s="7"/>
      <c r="Q88" s="22"/>
      <c r="R88" s="170" t="s">
        <v>1027</v>
      </c>
      <c r="S88" s="213">
        <f>1/IF(AG88="EC",12,1)*SUM(U88:U88)</f>
        <v>1</v>
      </c>
      <c r="T88" s="195" t="str">
        <f>IF(ISEVEN(LEFT(AD88,4)),"Southbound","NorthBound")</f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-08-23T12:44:22-0600',mode:absolute,to:'2017-08-23T15:30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197" t="str">
        <f>IF(AA88&lt;VLOOKUP(AG88,Variables!$AC$3:$AD$8,2,FALSE),"Y","N")</f>
        <v>Y</v>
      </c>
      <c r="X88" s="197">
        <f>VALUE(LEFT(AD88,4))-VALUE(LEFT(AD87,4))</f>
        <v>1</v>
      </c>
      <c r="Y88" s="197">
        <f>RIGHT(D88,LEN(D88)-4)/10000</f>
        <v>23.305700000000002</v>
      </c>
      <c r="Z88" s="197">
        <f>RIGHT(H88,LEN(H88)-4)/10000</f>
        <v>0.33889999999999998</v>
      </c>
      <c r="AA88" s="197">
        <f>ABS(Z88-Y88)</f>
        <v>22.966800000000003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>VALUE(LEFT(A88,LEN(A88)-3))</f>
        <v>174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 &amp; aws s3 cp s3://rtdc.mdm.uploadarchive.raw/RTDC4011/ "%USERPROFILE%\AppData\Local\Temp\OnboardLogs"\RTDC4011\2017-08-24 --exclude "*" --recursive --include "*20170824*" &amp; "%USERPROFILE%\Documents\GitHub\mrs-test-scripts\Headless Mode &amp; Sideloading\WalkAndUnGZ.bat" "%USERPROFILE%\AppData\Local\Temp\OnboardLogs"\RTDC4011\2017-08-24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/stypes="app*4011*20170823*" /stext=" 20:.+((SYSTEM_STATE.+slice.+state.+changed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9"/>
        <v>"%USERPROFILE%\Documents\GitHub\eaglep3\Utilities\RefineRTDCRunTimes.py" --tripid 174-23 --locoid 4011 --swversion DE.1.0.9.0 --startMP 204:233057 --initTime 2017-08-23T13:44:22 --startdatetime 2017-08-23T13:46:03 --delay 1 --endMP 204:3389 --enddatetime 2017-08-23T14:30:42 --enforcementcount 1 &gt;&gt;C:\Users\stu\Documents\GitHub\eaglep3-reporting\EC\2017-08-23-refined-times.txt</v>
      </c>
      <c r="AI88" s="96" t="str">
        <f t="shared" si="10"/>
        <v>echo {"issue":{"subject":"Cut out in middle of DUS due to 168 issue","project_id":79,"tracker_id":40,"status_id":1,"priority_id":2,"assigned_to_id":23,"start_date":"2017-08-23","description":"","custom_fields":[{"id":1,"name":"Subdivision","value":"EC"},{"id":4,"name":"Milepost","value":"0.3389"},{"id":17,"name":"Train ID","value":"174-23"},{"id":16,"name":"Locomotive ID","value":"4011"},{"id":130,"name":"Impact","value":""},{"id":150,"name":"Time of Event (Mountain Time)","value":"14:30:42"},{"id":151,"name":"Denver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1"/>
        <v>start /low /b %USERPROFILE%\Documents\GitHub\eaglep3\Utilities\DownloadLogsFromS3.py --loco 4011 --day 2017-08-23</v>
      </c>
      <c r="AN88" s="151" t="str">
        <f t="shared" si="12"/>
        <v>echo {"issue":{"subject":"Cut out in middle of DUS due to 168 issue","project_id":30,"tracker_id":4,"status_id":1,"priority_id":1,"assigned_to_id":10,"start_date":"2017-08-23","description":"","custom_fields":[{"id":30,"name":"Category","value":"Issue"},{"id":3,"name":"Functional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20:30:42"},{"id":29,"name":"Sharepoint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704</v>
      </c>
      <c r="B89" s="7">
        <v>4028</v>
      </c>
      <c r="C89" s="21" t="s">
        <v>197</v>
      </c>
      <c r="D89" s="21" t="s">
        <v>370</v>
      </c>
      <c r="E89" s="13">
        <v>42970.53979166667</v>
      </c>
      <c r="F89" s="13">
        <v>42970.542430555557</v>
      </c>
      <c r="G89" s="7">
        <v>1</v>
      </c>
      <c r="H89" s="21" t="s">
        <v>429</v>
      </c>
      <c r="I89" s="13">
        <v>42970.567766203705</v>
      </c>
      <c r="J89" s="7">
        <v>1</v>
      </c>
      <c r="K89" s="89" t="str">
        <f>IF(ISEVEN(B89),(B89-1)&amp;"/"&amp;B89,B89&amp;"/"&amp;(B89+1))</f>
        <v>4027/4028</v>
      </c>
      <c r="L89" s="217" t="str">
        <f>VLOOKUP(A89,'Trips&amp;Operators'!$C$1:$G$99911,5,FALSE)</f>
        <v>STEWART MICHAEL</v>
      </c>
      <c r="M89" s="6">
        <f>I89-F89</f>
        <v>2.5335648148029577E-2</v>
      </c>
      <c r="N89" s="7">
        <f>24*60*SUM($M89:$M89)</f>
        <v>36.483333333162591</v>
      </c>
      <c r="O89" s="7"/>
      <c r="P89" s="7"/>
      <c r="Q89" s="22"/>
      <c r="R89" s="170"/>
      <c r="S89" s="213">
        <f>1/IF(AG89="EC",12,1)*SUM(U89:U89)</f>
        <v>1</v>
      </c>
      <c r="T89" s="195" t="str">
        <f>IF(ISEVEN(LEFT(AD89,4)),"Southbound","NorthBound")</f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-08-23T11:57:18-0600',mode:absolute,to:'2017-08-23T14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4.5999999999999999E-2</v>
      </c>
      <c r="Z89" s="197">
        <f>RIGHT(H89,LEN(H89)-4)/10000</f>
        <v>23.331499999999998</v>
      </c>
      <c r="AA89" s="197">
        <f>ABS(Z89-Y89)</f>
        <v>23.285499999999999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>VALUE(LEFT(A89,LEN(A89)-3))</f>
        <v>175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/stypes="app*4028*20170823*" /stext=" 19:.+((SYSTEM_STATE.+slice.+state.+changed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9"/>
        <v>"%USERPROFILE%\Documents\GitHub\eaglep3\Utilities\RefineRTDCRunTimes.py" --tripid 175-23 --locoid 4028 --swversion DE.1.0.9.0 --startMP 204:460 --initTime 2017-08-23T12:57:18 --startdatetime 2017-08-23T13:01:06 --delay 1 --endMP 204:233315 --enddatetime 2017-08-23T13:37:35 --enforcementcount 1 &gt;&gt;C:\Users\stu\Documents\GitHub\eaglep3-reporting\EC\2017-08-23-refined-times.txt</v>
      </c>
      <c r="AI89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{"issue":{"subject":"","project_id":79,"tracker_id":40,"status_id":1,"priority_id":2,"assigned_to_id":23,"start_date":"2017-08-23","description":"","custom_fields":[{"id":1,"name":"Subdivision","value":"EC"},{"id":4,"name":"Milepost","value":"23.3315"},{"id":17,"name":"Train ID","value":"175-23"},{"id":16,"name":"Locomotive ID","value":"4028"},{"id":130,"name":"Impact","value":""},{"id":150,"name":"Time of Event (Mountain Time)","value":"13:37:35"},{"id":151,"name":"Denver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1"/>
        <v>start /low /b %USERPROFILE%\Documents\GitHub\eaglep3\Utilities\DownloadLogsFromS3.py --loco 4028 --day 2017-08-23</v>
      </c>
      <c r="AN89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713</v>
      </c>
      <c r="B90" s="7">
        <v>4027</v>
      </c>
      <c r="C90" s="21" t="s">
        <v>197</v>
      </c>
      <c r="D90" s="21" t="s">
        <v>418</v>
      </c>
      <c r="E90" s="13">
        <v>42970.578136574077</v>
      </c>
      <c r="F90" s="13">
        <v>42970.581504629627</v>
      </c>
      <c r="G90" s="7">
        <v>1</v>
      </c>
      <c r="H90" s="21" t="s">
        <v>398</v>
      </c>
      <c r="I90" s="13">
        <v>42970.609803240739</v>
      </c>
      <c r="J90" s="7">
        <v>1</v>
      </c>
      <c r="K90" s="89" t="str">
        <f>IF(ISEVEN(B90),(B90-1)&amp;"/"&amp;B90,B90&amp;"/"&amp;(B90+1))</f>
        <v>4027/4028</v>
      </c>
      <c r="L90" s="217" t="str">
        <f>VLOOKUP(A90,'Trips&amp;Operators'!$C$1:$G$99911,5,FALSE)</f>
        <v>STEWART MICHAEL</v>
      </c>
      <c r="M90" s="6">
        <f>I90-F90</f>
        <v>2.8298611112404615E-2</v>
      </c>
      <c r="N90" s="7">
        <f>24*60*SUM($M90:$M90)</f>
        <v>40.750000001862645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-08-23T12:52:31-0600',mode:absolute,to:'2017-08-23T15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23.298500000000001</v>
      </c>
      <c r="Z90" s="197">
        <f>RIGHT(H90,LEN(H90)-4)/10000</f>
        <v>1.5599999999999999E-2</v>
      </c>
      <c r="AA90" s="197">
        <f>ABS(Z90-Y90)</f>
        <v>23.282900000000001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>VALUE(LEFT(A90,LEN(A90)-3))</f>
        <v>176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/stypes="app*4027*20170823*" /stext=" 20:.+((SYSTEM_STATE.+slice.+state.+changed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9"/>
        <v>"%USERPROFILE%\Documents\GitHub\eaglep3\Utilities\RefineRTDCRunTimes.py" --tripid 176-23 --locoid 4027 --swversion DE.1.0.9.0 --startMP 204:232985 --initTime 2017-08-23T13:52:31 --startdatetime 2017-08-23T13:57:22 --delay 1 --endMP 204:156 --enddatetime 2017-08-23T14:38:07 --enforcementcount 1 &gt;&gt;C:\Users\stu\Documents\GitHub\eaglep3-reporting\EC\2017-08-23-refined-times.txt</v>
      </c>
      <c r="AI90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{"issue":{"subject":"","project_id":79,"tracker_id":40,"status_id":1,"priority_id":2,"assigned_to_id":23,"start_date":"2017-08-23","description":"","custom_fields":[{"id":1,"name":"Subdivision","value":"EC"},{"id":4,"name":"Milepost","value":"0.0156"},{"id":17,"name":"Train ID","value":"176-23"},{"id":16,"name":"Locomotive ID","value":"4027"},{"id":130,"name":"Impact","value":""},{"id":150,"name":"Time of Event (Mountain Time)","value":"14:38:07"},{"id":151,"name":"Denver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1"/>
        <v>start /low /b %USERPROFILE%\Documents\GitHub\eaglep3\Utilities\DownloadLogsFromS3.py --loco 4027 --day 2017-08-23</v>
      </c>
      <c r="AN90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705</v>
      </c>
      <c r="B91" s="7">
        <v>4030</v>
      </c>
      <c r="C91" s="21" t="s">
        <v>197</v>
      </c>
      <c r="D91" s="21" t="s">
        <v>367</v>
      </c>
      <c r="E91" s="13">
        <v>42970.545474537037</v>
      </c>
      <c r="F91" s="13">
        <v>42970.55269675926</v>
      </c>
      <c r="G91" s="7">
        <v>1</v>
      </c>
      <c r="H91" s="21" t="s">
        <v>815</v>
      </c>
      <c r="I91" s="13">
        <v>42970.577268518522</v>
      </c>
      <c r="J91" s="7">
        <v>1</v>
      </c>
      <c r="K91" s="89" t="str">
        <f>IF(ISEVEN(B91),(B91-1)&amp;"/"&amp;B91,B91&amp;"/"&amp;(B91+1))</f>
        <v>4029/4030</v>
      </c>
      <c r="L91" s="217" t="str">
        <f>VLOOKUP(A91,'Trips&amp;Operators'!$C$1:$G$99911,5,FALSE)</f>
        <v>YORK EDGAR</v>
      </c>
      <c r="M91" s="6">
        <f>I91-F91</f>
        <v>2.457175926247146E-2</v>
      </c>
      <c r="N91" s="7">
        <f>24*60*SUM($M91:$M91)</f>
        <v>35.383333337958902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-08-23T12:05:29-0600',mode:absolute,to:'2017-08-23T14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4.58E-2</v>
      </c>
      <c r="Z91" s="197">
        <f>RIGHT(H91,LEN(H91)-4)/10000</f>
        <v>23.330300000000001</v>
      </c>
      <c r="AA91" s="197">
        <f>ABS(Z91-Y91)</f>
        <v>23.284500000000001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206">
        <f>VALUE(LEFT(A91,LEN(A91)-3))</f>
        <v>177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/stypes="app*4030*20170823*" /stext=" 19:.+((SYSTEM_STATE.+slice.+state.+changed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9"/>
        <v>"%USERPROFILE%\Documents\GitHub\eaglep3\Utilities\RefineRTDCRunTimes.py" --tripid 177-23 --locoid 4030 --swversion DE.1.0.9.0 --startMP 204:458 --initTime 2017-08-23T13:05:29 --startdatetime 2017-08-23T13:15:53 --delay 1 --endMP 204:233303 --enddatetime 2017-08-23T13:51:16 --enforcementcount 1 &gt;&gt;C:\Users\stu\Documents\GitHub\eaglep3-reporting\EC\2017-08-23-refined-times.txt</v>
      </c>
      <c r="AI91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{"issue":{"subject":"","project_id":79,"tracker_id":40,"status_id":1,"priority_id":2,"assigned_to_id":23,"start_date":"2017-08-23","description":"","custom_fields":[{"id":1,"name":"Subdivision","value":"EC"},{"id":4,"name":"Milepost","value":"23.3303"},{"id":17,"name":"Train ID","value":"177-23"},{"id":16,"name":"Locomotive ID","value":"4030"},{"id":130,"name":"Impact","value":""},{"id":150,"name":"Time of Event (Mountain Time)","value":"13:51:16"},{"id":151,"name":"Denver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1"/>
        <v>start /low /b %USERPROFILE%\Documents\GitHub\eaglep3\Utilities\DownloadLogsFromS3.py --loco 4030 --day 2017-08-23</v>
      </c>
      <c r="AN91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572</v>
      </c>
      <c r="B92" s="7">
        <v>4029</v>
      </c>
      <c r="C92" s="21" t="s">
        <v>197</v>
      </c>
      <c r="D92" s="21" t="s">
        <v>459</v>
      </c>
      <c r="E92" s="13">
        <v>42970.578287037039</v>
      </c>
      <c r="F92" s="13">
        <v>42970.592002314814</v>
      </c>
      <c r="G92" s="7">
        <v>1</v>
      </c>
      <c r="H92" s="21" t="s">
        <v>864</v>
      </c>
      <c r="I92" s="13">
        <v>42970.615069444444</v>
      </c>
      <c r="J92" s="7">
        <v>1</v>
      </c>
      <c r="K92" s="89" t="str">
        <f>IF(ISEVEN(B92),(B92-1)&amp;"/"&amp;B92,B92&amp;"/"&amp;(B92+1))</f>
        <v>4029/4030</v>
      </c>
      <c r="L92" s="217" t="str">
        <f>VLOOKUP(A92,'Trips&amp;Operators'!$C$1:$G$99911,5,FALSE)</f>
        <v>YORK EDGAR</v>
      </c>
      <c r="M92" s="6">
        <f>I92-F92</f>
        <v>2.3067129630362615E-2</v>
      </c>
      <c r="N92" s="7"/>
      <c r="O92" s="7"/>
      <c r="P92" s="7">
        <f>24*60*SUM($M92:$M92)</f>
        <v>33.216666667722166</v>
      </c>
      <c r="Q92" s="22"/>
      <c r="R92" s="170" t="s">
        <v>548</v>
      </c>
      <c r="S92" s="213">
        <f>1/IF(AG92="EC",12,1)*SUM(U92:U92)</f>
        <v>1</v>
      </c>
      <c r="T92" s="195" t="str">
        <f>IF(ISEVEN(LEFT(AD92,4)),"Southbound","NorthBound")</f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-08-23T12:52:44-0600',mode:absolute,to:'2017-08-23T15:45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197" t="str">
        <f>IF(AA92&lt;VLOOKUP(AG92,Variables!$AC$3:$AD$8,2,FALSE),"Y","N")</f>
        <v>Y</v>
      </c>
      <c r="X92" s="197">
        <f>VALUE(LEFT(AD92,4))-VALUE(LEFT(AD91,4))</f>
        <v>1</v>
      </c>
      <c r="Y92" s="197">
        <f>RIGHT(D92,LEN(D92)-4)/10000</f>
        <v>23.297699999999999</v>
      </c>
      <c r="Z92" s="197">
        <f>RIGHT(H92,LEN(H92)-4)/10000</f>
        <v>1.5237000000000001</v>
      </c>
      <c r="AA92" s="197">
        <f>ABS(Z92-Y92)</f>
        <v>21.773999999999997</v>
      </c>
      <c r="AB92" s="54" t="e">
        <f>VLOOKUP(A92,Enforcements!$C$7:$K$11,8,0)</f>
        <v>#N/A</v>
      </c>
      <c r="AC92" s="51" t="e">
        <f>VLOOKUP(A92,Enforcements!$C$7:$E$11,3,0)</f>
        <v>#N/A</v>
      </c>
      <c r="AD92" s="206">
        <f>VALUE(LEFT(A92,LEN(A92)-3))</f>
        <v>178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/stypes="app*4029*20170823*" /stext=" 20:.+((SYSTEM_STATE.+slice.+state.+changed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9"/>
        <v>"%USERPROFILE%\Documents\GitHub\eaglep3\Utilities\RefineRTDCRunTimes.py" --tripid 178-23 --locoid 4029 --swversion DE.1.0.9.0 --startMP 204:232977 --initTime 2017-08-23T13:52:44 --startdatetime 2017-08-23T14:12:29 --delay 1 --endMP 204:15237 --enddatetime 2017-08-23T14:45:42 --enforcementcount 1 &gt;&gt;C:\Users\stu\Documents\GitHub\eaglep3-reporting\EC\2017-08-23-refined-times.txt</v>
      </c>
      <c r="AI92" s="96" t="str">
        <f t="shared" si="10"/>
        <v>echo {"issue":{"subject":"Wi-MAX data drop","project_id":79,"tracker_id":40,"status_id":1,"priority_id":2,"assigned_to_id":23,"start_date":"2017-08-23","description":"","custom_fields":[{"id":1,"name":"Subdivision","value":"EC"},{"id":4,"name":"Milepost","value":"1.5237"},{"id":17,"name":"Train ID","value":"178-23"},{"id":16,"name":"Locomotive ID","value":"4029"},{"id":130,"name":"Impact","value":""},{"id":150,"name":"Time of Event (Mountain Time)","value":"14:45:42"},{"id":151,"name":"Denver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1"/>
        <v>start /low /b %USERPROFILE%\Documents\GitHub\eaglep3\Utilities\DownloadLogsFromS3.py --loco 4029 --day 2017-08-23</v>
      </c>
      <c r="AN92" s="151" t="str">
        <f t="shared" si="12"/>
        <v>echo {"issue":{"subject":"Wi-MAX data drop","project_id":30,"tracker_id":4,"status_id":1,"priority_id":1,"assigned_to_id":10,"start_date":"2017-08-23","description":"","custom_fields":[{"id":30,"name":"Category","value":"Issue"},{"id":3,"name":"Functional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20:45:42"},{"id":29,"name":"Sharepoint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707</v>
      </c>
      <c r="B93" s="7">
        <v>4050</v>
      </c>
      <c r="C93" s="21" t="s">
        <v>197</v>
      </c>
      <c r="D93" s="21" t="s">
        <v>865</v>
      </c>
      <c r="E93" s="13">
        <v>42970.557245370372</v>
      </c>
      <c r="F93" s="13">
        <v>42970.563067129631</v>
      </c>
      <c r="G93" s="7">
        <v>1</v>
      </c>
      <c r="H93" s="21" t="s">
        <v>402</v>
      </c>
      <c r="I93" s="13">
        <v>42970.598564814813</v>
      </c>
      <c r="J93" s="7">
        <v>1</v>
      </c>
      <c r="K93" s="89" t="str">
        <f>IF(ISEVEN(B93),(B93-1)&amp;"/"&amp;B93,B93&amp;"/"&amp;(B93+1))</f>
        <v>4049/4050</v>
      </c>
      <c r="L93" s="217" t="str">
        <f>VLOOKUP(A93,'Trips&amp;Operators'!$C$1:$G$99911,5,FALSE)</f>
        <v>KILLION DAVID</v>
      </c>
      <c r="M93" s="6">
        <f>I93-F93</f>
        <v>3.5497685181326233E-2</v>
      </c>
      <c r="N93" s="7">
        <f>24*60*SUM($M93:$M93)</f>
        <v>51.116666661109775</v>
      </c>
      <c r="O93" s="7"/>
      <c r="P93" s="7"/>
      <c r="Q93" s="22"/>
      <c r="R93" s="170" t="s">
        <v>1026</v>
      </c>
      <c r="S93" s="213">
        <f>1/IF(AG93="EC",12,1)*SUM(U93:U93)</f>
        <v>1</v>
      </c>
      <c r="T93" s="195" t="str">
        <f>IF(ISEVEN(LEFT(AD93,4)),"Southbound","NorthBound")</f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-08-23T12:22:26-0600',mode:absolute,to:'2017-08-23T15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4.82E-2</v>
      </c>
      <c r="Z93" s="197">
        <f>RIGHT(H93,LEN(H93)-4)/10000</f>
        <v>23.332100000000001</v>
      </c>
      <c r="AA93" s="197">
        <f>ABS(Z93-Y93)</f>
        <v>23.283899999999999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206">
        <f>VALUE(LEFT(A93,LEN(A93)-3))</f>
        <v>179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/stypes="app*4050*20170823*" /stext=" 20:.+((SYSTEM_STATE.+slice.+state.+changed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9"/>
        <v>"%USERPROFILE%\Documents\GitHub\eaglep3\Utilities\RefineRTDCRunTimes.py" --tripid 179-23 --locoid 4050 --swversion DE.1.0.9.0 --startMP 204:482 --initTime 2017-08-23T13:22:26 --startdatetime 2017-08-23T13:30:49 --delay 1 --endMP 204:233321 --enddatetime 2017-08-23T14:21:56 --enforcementcount 1 &gt;&gt;C:\Users\stu\Documents\GitHub\eaglep3-reporting\EC\2017-08-23-refined-times.txt</v>
      </c>
      <c r="AI93" s="96" t="str">
        <f t="shared" si="10"/>
        <v>echo {"issue":{"subject":"Cascade delay from 168","project_id":79,"tracker_id":40,"status_id":1,"priority_id":2,"assigned_to_id":23,"start_date":"2017-08-23","description":"","custom_fields":[{"id":1,"name":"Subdivision","value":"EC"},{"id":4,"name":"Milepost","value":"23.3321"},{"id":17,"name":"Train ID","value":"179-23"},{"id":16,"name":"Locomotive ID","value":"4050"},{"id":130,"name":"Impact","value":""},{"id":150,"name":"Time of Event (Mountain Time)","value":"14:21:56"},{"id":151,"name":"Denver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1"/>
        <v>start /low /b %USERPROFILE%\Documents\GitHub\eaglep3\Utilities\DownloadLogsFromS3.py --loco 4050 --day 2017-08-23</v>
      </c>
      <c r="AN93" s="151" t="str">
        <f t="shared" si="12"/>
        <v>echo {"issue":{"subject":"Cascade delay from 168","project_id":30,"tracker_id":4,"status_id":1,"priority_id":1,"assigned_to_id":10,"start_date":"2017-08-23","description":"","custom_fields":[{"id":30,"name":"Category","value":"Issue"},{"id":3,"name":"Functional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715</v>
      </c>
      <c r="B94" s="7">
        <v>4049</v>
      </c>
      <c r="C94" s="21" t="s">
        <v>197</v>
      </c>
      <c r="D94" s="21" t="s">
        <v>511</v>
      </c>
      <c r="E94" s="13">
        <v>42970.599803240744</v>
      </c>
      <c r="F94" s="13">
        <v>42970.602268518516</v>
      </c>
      <c r="G94" s="7">
        <v>1</v>
      </c>
      <c r="H94" s="21" t="s">
        <v>466</v>
      </c>
      <c r="I94" s="13">
        <v>42970.630601851852</v>
      </c>
      <c r="J94" s="7">
        <v>1</v>
      </c>
      <c r="K94" s="89" t="str">
        <f>IF(ISEVEN(B94),(B94-1)&amp;"/"&amp;B94,B94&amp;"/"&amp;(B94+1))</f>
        <v>4049/4050</v>
      </c>
      <c r="L94" s="217" t="str">
        <f>VLOOKUP(A94,'Trips&amp;Operators'!$C$1:$G$99911,5,FALSE)</f>
        <v>KILLION DAVID</v>
      </c>
      <c r="M94" s="6">
        <f>I94-F94</f>
        <v>2.8333333335467614E-2</v>
      </c>
      <c r="N94" s="7">
        <f>24*60*SUM($M94:$M94)</f>
        <v>40.800000003073364</v>
      </c>
      <c r="O94" s="7"/>
      <c r="P94" s="7"/>
      <c r="Q94" s="22"/>
      <c r="R94" s="170"/>
      <c r="S94" s="213">
        <f>1/IF(AG94="EC",12,1)*SUM(U94:U94)</f>
        <v>1</v>
      </c>
      <c r="T94" s="195" t="str">
        <f>IF(ISEVEN(LEFT(AD94,4)),"Southbound","NorthBound")</f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-08-23T13:23:43-0600',mode:absolute,to:'2017-08-23T16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23.299399999999999</v>
      </c>
      <c r="Z94" s="197">
        <f>RIGHT(H94,LEN(H94)-4)/10000</f>
        <v>1.3599999999999999E-2</v>
      </c>
      <c r="AA94" s="197">
        <f>ABS(Z94-Y94)</f>
        <v>23.285799999999998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>VALUE(LEFT(A94,LEN(A94)-3))</f>
        <v>180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s3://rtdc.mdm.uploadarchive.raw/RTDC4049/ "%USERPROFILE%\AppData\Local\Temp\OnboardLogs"\RTDC4049\2017-08-23 --exclude "*" --recursive --include "*20170823*" &amp; "%USERPROFILE%\Documents\GitHub\mrs-test-scripts\Headless Mode &amp; Sideloading\WalkAndUnGZ.bat" "%USERPROFILE%\AppData\Local\Temp\OnboardLogs"\RTDC4049\2017-08-23 &amp; aws s3 cp s3://rtdc.mdm.uploadarchive.raw/RTDC4049/ "%USERPROFILE%\AppData\Local\Temp\OnboardLogs"\RTDC4049\2017-08-24 --exclude "*" --recursive --include "*20170824*" &amp; "%USERPROFILE%\Documents\GitHub\mrs-test-scripts\Headless Mode &amp; Sideloading\WalkAndUnGZ.bat" "%USERPROFILE%\AppData\Local\Temp\OnboardLogs"\RTDC4049\2017-08-24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/stypes="app*4049*20170823*" /stext=" 21:.+((SYSTEM_STATE.+slice.+state.+changed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9"/>
        <v>"%USERPROFILE%\Documents\GitHub\eaglep3\Utilities\RefineRTDCRunTimes.py" --tripid 180-23 --locoid 4049 --swversion DE.1.0.9.0 --startMP 204:232994 --initTime 2017-08-23T14:23:43 --startdatetime 2017-08-23T14:27:16 --delay 1 --endMP 204:136 --enddatetime 2017-08-23T15:08:04 --enforcementcount 1 &gt;&gt;C:\Users\stu\Documents\GitHub\eaglep3-reporting\EC\2017-08-23-refined-times.txt</v>
      </c>
      <c r="AI94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{"issue":{"subject":"","project_id":79,"tracker_id":40,"status_id":1,"priority_id":2,"assigned_to_id":23,"start_date":"2017-08-23","description":"","custom_fields":[{"id":1,"name":"Subdivision","value":"EC"},{"id":4,"name":"Milepost","value":"0.0136"},{"id":17,"name":"Train ID","value":"180-23"},{"id":16,"name":"Locomotive ID","value":"4049"},{"id":130,"name":"Impact","value":""},{"id":150,"name":"Time of Event (Mountain Time)","value":"15:08:04"},{"id":151,"name":"Denver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11"/>
        <v>start /low /b %USERPROFILE%\Documents\GitHub\eaglep3\Utilities\DownloadLogsFromS3.py --loco 4049 --day 2017-08-23</v>
      </c>
      <c r="AN94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712</v>
      </c>
      <c r="B95" s="7">
        <v>4014</v>
      </c>
      <c r="C95" s="21" t="s">
        <v>197</v>
      </c>
      <c r="D95" s="21" t="s">
        <v>866</v>
      </c>
      <c r="E95" s="13">
        <v>42970.57508101852</v>
      </c>
      <c r="F95" s="13">
        <v>42970.57912037037</v>
      </c>
      <c r="G95" s="7">
        <v>2</v>
      </c>
      <c r="H95" s="21" t="s">
        <v>516</v>
      </c>
      <c r="I95" s="13">
        <v>42970.605636574073</v>
      </c>
      <c r="J95" s="7">
        <v>1</v>
      </c>
      <c r="K95" s="89" t="str">
        <f>IF(ISEVEN(B95),(B95-1)&amp;"/"&amp;B95,B95&amp;"/"&amp;(B95+1))</f>
        <v>4013/4014</v>
      </c>
      <c r="L95" s="217" t="str">
        <f>VLOOKUP(A95,'Trips&amp;Operators'!$C$1:$G$99911,5,FALSE)</f>
        <v>DE LA ROSA ALEX</v>
      </c>
      <c r="M95" s="6">
        <f>I95-F95</f>
        <v>2.6516203703067731E-2</v>
      </c>
      <c r="N95" s="7">
        <f>24*60*SUM($M95:$M95)</f>
        <v>38.183333332417533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-08-23T12:48:07-0600',mode:absolute,to:'2017-08-23T15:32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4.8599999999999997E-2</v>
      </c>
      <c r="Z95" s="197">
        <f>RIGHT(H95,LEN(H95)-4)/10000</f>
        <v>23.329699999999999</v>
      </c>
      <c r="AA95" s="197">
        <f>ABS(Z95-Y95)</f>
        <v>23.281099999999999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206">
        <f>VALUE(LEFT(A95,LEN(A95)-3))</f>
        <v>181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/stypes="app*4014*20170823*" /stext=" 20:.+((SYSTEM_STATE.+slice.+state.+changed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9"/>
        <v>"%USERPROFILE%\Documents\GitHub\eaglep3\Utilities\RefineRTDCRunTimes.py" --tripid 181-23 --locoid 4014 --swversion DE.1.0.9.0 --startMP 204:486 --initTime 2017-08-23T13:48:07 --startdatetime 2017-08-23T13:53:56 --delay 2 --endMP 204:233297 --enddatetime 2017-08-23T14:32:07 --enforcementcount 1 &gt;&gt;C:\Users\stu\Documents\GitHub\eaglep3-reporting\EC\2017-08-23-refined-times.txt</v>
      </c>
      <c r="AI95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{"issue":{"subject":"","project_id":79,"tracker_id":40,"status_id":1,"priority_id":2,"assigned_to_id":23,"start_date":"2017-08-23","description":"","custom_fields":[{"id":1,"name":"Subdivision","value":"EC"},{"id":4,"name":"Milepost","value":"23.3297"},{"id":17,"name":"Train ID","value":"181-23"},{"id":16,"name":"Locomotive ID","value":"4014"},{"id":130,"name":"Impact","value":""},{"id":150,"name":"Time of Event (Mountain Time)","value":"14:32:07"},{"id":151,"name":"Denver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11"/>
        <v>start /low /b %USERPROFILE%\Documents\GitHub\eaglep3\Utilities\DownloadLogsFromS3.py --loco 4014 --day 2017-08-23</v>
      </c>
      <c r="AN95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20:32:07"},{"id":29,"name":"Sharepoint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717</v>
      </c>
      <c r="B96" s="7">
        <v>4013</v>
      </c>
      <c r="C96" s="21" t="s">
        <v>197</v>
      </c>
      <c r="D96" s="21" t="s">
        <v>867</v>
      </c>
      <c r="E96" s="13">
        <v>42970.607465277775</v>
      </c>
      <c r="F96" s="13">
        <v>42970.614236111112</v>
      </c>
      <c r="G96" s="7">
        <v>1</v>
      </c>
      <c r="H96" s="21" t="s">
        <v>377</v>
      </c>
      <c r="I96" s="13">
        <v>42970.641817129632</v>
      </c>
      <c r="J96" s="7">
        <v>1</v>
      </c>
      <c r="K96" s="89" t="str">
        <f>IF(ISEVEN(B96),(B96-1)&amp;"/"&amp;B96,B96&amp;"/"&amp;(B96+1))</f>
        <v>4013/4014</v>
      </c>
      <c r="L96" s="217" t="str">
        <f>VLOOKUP(A96,'Trips&amp;Operators'!$C$1:$G$99911,5,FALSE)</f>
        <v>DE LA ROSA ALEX</v>
      </c>
      <c r="M96" s="6">
        <f>I96-F96</f>
        <v>2.7581018519413192E-2</v>
      </c>
      <c r="N96" s="7">
        <f>24*60*SUM($M96:$M96)</f>
        <v>39.716666667954996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-08-23T13:34:45-0600',mode:absolute,to:'2017-08-23T16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23.296700000000001</v>
      </c>
      <c r="Z96" s="197">
        <f>RIGHT(H96,LEN(H96)-4)/10000</f>
        <v>1.4500000000000001E-2</v>
      </c>
      <c r="AA96" s="197">
        <f>ABS(Z96-Y96)</f>
        <v>23.2822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>VALUE(LEFT(A96,LEN(A96)-3))</f>
        <v>182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/stypes="app*4013*20170823*" /stext=" 21:.+((SYSTEM_STATE.+slice.+state.+changed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9"/>
        <v>"%USERPROFILE%\Documents\GitHub\eaglep3\Utilities\RefineRTDCRunTimes.py" --tripid 182-23 --locoid 4013 --swversion DE.1.0.9.0 --startMP 204:232967 --initTime 2017-08-23T14:34:45 --startdatetime 2017-08-23T14:44:30 --delay 1 --endMP 204:145 --enddatetime 2017-08-23T15:24:13 --enforcementcount 1 &gt;&gt;C:\Users\stu\Documents\GitHub\eaglep3-reporting\EC\2017-08-23-refined-times.txt</v>
      </c>
      <c r="AI96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{"issue":{"subject":"","project_id":79,"tracker_id":40,"status_id":1,"priority_id":2,"assigned_to_id":23,"start_date":"2017-08-23","description":"","custom_fields":[{"id":1,"name":"Subdivision","value":"EC"},{"id":4,"name":"Milepost","value":"0.0145"},{"id":17,"name":"Train ID","value":"182-23"},{"id":16,"name":"Locomotive ID","value":"4013"},{"id":130,"name":"Impact","value":""},{"id":150,"name":"Time of Event (Mountain Time)","value":"15:24:13"},{"id":151,"name":"Denver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11"/>
        <v>start /low /b %USERPROFILE%\Documents\GitHub\eaglep3\Utilities\DownloadLogsFromS3.py --loco 4013 --day 2017-08-23</v>
      </c>
      <c r="AN96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568</v>
      </c>
      <c r="B97" s="7">
        <v>4002</v>
      </c>
      <c r="C97" s="21" t="s">
        <v>197</v>
      </c>
      <c r="D97" s="21" t="s">
        <v>868</v>
      </c>
      <c r="E97" s="13">
        <v>42970.580104166664</v>
      </c>
      <c r="F97" s="13">
        <v>42970.586296296293</v>
      </c>
      <c r="G97" s="7">
        <v>2</v>
      </c>
      <c r="H97" s="21" t="s">
        <v>869</v>
      </c>
      <c r="I97" s="13">
        <v>42970.617222222223</v>
      </c>
      <c r="J97" s="7">
        <v>1</v>
      </c>
      <c r="K97" s="89" t="str">
        <f>IF(ISEVEN(B97),(B97-1)&amp;"/"&amp;B97,B97&amp;"/"&amp;(B97+1))</f>
        <v>4001/4002</v>
      </c>
      <c r="L97" s="217" t="str">
        <f>VLOOKUP(A97,'Trips&amp;Operators'!$C$1:$G$99911,5,FALSE)</f>
        <v>STORY SAMANTHA</v>
      </c>
      <c r="M97" s="6">
        <f>I97-F97</f>
        <v>3.0925925930205267E-2</v>
      </c>
      <c r="N97" s="7">
        <f>24*60*SUM($M97:$M97)</f>
        <v>44.533333339495584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-08-23T12:55:21-0600',mode:absolute,to:'2017-08-23T15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0.1154</v>
      </c>
      <c r="Z97" s="197">
        <f>RIGHT(H97,LEN(H97)-4)/10000</f>
        <v>23.333400000000001</v>
      </c>
      <c r="AA97" s="197">
        <f>ABS(Z97-Y97)</f>
        <v>23.218</v>
      </c>
      <c r="AB97" s="54" t="str">
        <f>VLOOKUP(A97,Enforcements!$C$7:$K$11,8,0)</f>
        <v>Bulletin (2)</v>
      </c>
      <c r="AC97" s="51" t="str">
        <f>VLOOKUP(A97,Enforcements!$C$7:$E$11,3,0)</f>
        <v>GRADE CROSSING</v>
      </c>
      <c r="AD97" s="206">
        <f>VALUE(LEFT(A97,LEN(A97)-3))</f>
        <v>183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s3://rtdc.mdm.uploadarchive.raw/RTDC4002/ "%USERPROFILE%\AppData\Local\Temp\OnboardLogs"\RTDC4002\2017-08-23 --exclude "*" --recursive --include "*20170823*" &amp; "%USERPROFILE%\Documents\GitHub\mrs-test-scripts\Headless Mode &amp; Sideloading\WalkAndUnGZ.bat" "%USERPROFILE%\AppData\Local\Temp\OnboardLogs"\RTDC4002\2017-08-23 &amp; aws s3 cp s3://rtdc.mdm.uploadarchive.raw/RTDC4002/ "%USERPROFILE%\AppData\Local\Temp\OnboardLogs"\RTDC4002\2017-08-24 --exclude "*" --recursive --include "*20170824*" &amp; "%USERPROFILE%\Documents\GitHub\mrs-test-scripts\Headless Mode &amp; Sideloading\WalkAndUnGZ.bat" "%USERPROFILE%\AppData\Local\Temp\OnboardLogs"\RTDC4002\2017-08-24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/stypes="app*4002*20170823*" /stext=" 20:.+((SYSTEM_STATE.+slice.+state.+changed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9"/>
        <v>"%USERPROFILE%\Documents\GitHub\eaglep3\Utilities\RefineRTDCRunTimes.py" --tripid 183-23 --locoid 4002 --swversion DE.1.0.9.0 --startMP 204:1154 --initTime 2017-08-23T13:55:21 --startdatetime 2017-08-23T14:04:16 --delay 2 --endMP 204:233334 --enddatetime 2017-08-23T14:48:48 --enforcementcount 1 &gt;&gt;C:\Users\stu\Documents\GitHub\eaglep3-reporting\EC\2017-08-23-refined-times.txt</v>
      </c>
      <c r="AI97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{"issue":{"subject":"","project_id":79,"tracker_id":40,"status_id":1,"priority_id":2,"assigned_to_id":23,"start_date":"2017-08-23","description":"","custom_fields":[{"id":1,"name":"Subdivision","value":"EC"},{"id":4,"name":"Milepost","value":"23.3334"},{"id":17,"name":"Train ID","value":"183-23"},{"id":16,"name":"Locomotive ID","value":"4002"},{"id":130,"name":"Impact","value":""},{"id":150,"name":"Time of Event (Mountain Time)","value":"14:48:48"},{"id":151,"name":"Denver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11"/>
        <v>start /low /b %USERPROFILE%\Documents\GitHub\eaglep3\Utilities\DownloadLogsFromS3.py --loco 4002 --day 2017-08-23</v>
      </c>
      <c r="AN97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574</v>
      </c>
      <c r="B98" s="7">
        <v>4001</v>
      </c>
      <c r="C98" s="21" t="s">
        <v>197</v>
      </c>
      <c r="D98" s="21" t="s">
        <v>870</v>
      </c>
      <c r="E98" s="13">
        <v>42970.618506944447</v>
      </c>
      <c r="F98" s="13">
        <v>42970.623252314814</v>
      </c>
      <c r="G98" s="7">
        <v>1</v>
      </c>
      <c r="H98" s="21" t="s">
        <v>346</v>
      </c>
      <c r="I98" s="13">
        <v>42970.651469907411</v>
      </c>
      <c r="J98" s="7">
        <v>1</v>
      </c>
      <c r="K98" s="89" t="str">
        <f>IF(ISEVEN(B98),(B98-1)&amp;"/"&amp;B98,B98&amp;"/"&amp;(B98+1))</f>
        <v>4001/4002</v>
      </c>
      <c r="L98" s="217" t="str">
        <f>VLOOKUP(A98,'Trips&amp;Operators'!$C$1:$G$99911,5,FALSE)</f>
        <v>STORY SAMANTHA</v>
      </c>
      <c r="M98" s="6">
        <f>I98-F98</f>
        <v>2.8217592596774921E-2</v>
      </c>
      <c r="N98" s="7">
        <f>24*60*SUM($M98:$M98)</f>
        <v>40.633333339355886</v>
      </c>
      <c r="O98" s="7"/>
      <c r="P98" s="7"/>
      <c r="Q98" s="22"/>
      <c r="R98" s="170"/>
      <c r="S98" s="213">
        <f>1/IF(AG98="EC",12,1)*SUM(U98:U98)</f>
        <v>1</v>
      </c>
      <c r="T98" s="195" t="str">
        <f>IF(ISEVEN(LEFT(AD98,4)),"Southbound","NorthBound")</f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-08-23T13:50:39-0600',mode:absolute,to:'2017-08-23T16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23.3034</v>
      </c>
      <c r="Z98" s="197">
        <f>RIGHT(H98,LEN(H98)-4)/10000</f>
        <v>1.47E-2</v>
      </c>
      <c r="AA98" s="197">
        <f>ABS(Z98-Y98)</f>
        <v>23.288699999999999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>VALUE(LEFT(A98,LEN(A98)-3))</f>
        <v>184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s3://rtdc.mdm.uploadarchive.raw/RTDC4001/ "%USERPROFILE%\AppData\Local\Temp\OnboardLogs"\RTDC4001\2017-08-23 --exclude "*" --recursive --include "*20170823*" &amp; "%USERPROFILE%\Documents\GitHub\mrs-test-scripts\Headless Mode &amp; Sideloading\WalkAndUnGZ.bat" "%USERPROFILE%\AppData\Local\Temp\OnboardLogs"\RTDC4001\2017-08-23 &amp; aws s3 cp s3://rtdc.mdm.uploadarchive.raw/RTDC4001/ "%USERPROFILE%\AppData\Local\Temp\OnboardLogs"\RTDC4001\2017-08-24 --exclude "*" --recursive --include "*20170824*" &amp; "%USERPROFILE%\Documents\GitHub\mrs-test-scripts\Headless Mode &amp; Sideloading\WalkAndUnGZ.bat" "%USERPROFILE%\AppData\Local\Temp\OnboardLogs"\RTDC4001\2017-08-24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/stypes="app*4001*20170823*" /stext=" 21:.+((SYSTEM_STATE.+slice.+state.+changed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9"/>
        <v>"%USERPROFILE%\Documents\GitHub\eaglep3\Utilities\RefineRTDCRunTimes.py" --tripid 184-23 --locoid 4001 --swversion DE.1.0.9.0 --startMP 204:233034 --initTime 2017-08-23T14:50:39 --startdatetime 2017-08-23T14:57:29 --delay 1 --endMP 204:147 --enddatetime 2017-08-23T15:38:07 --enforcementcount 1 &gt;&gt;C:\Users\stu\Documents\GitHub\eaglep3-reporting\EC\2017-08-23-refined-times.txt</v>
      </c>
      <c r="AI98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{"issue":{"subject":"","project_id":79,"tracker_id":40,"status_id":1,"priority_id":2,"assigned_to_id":23,"start_date":"2017-08-23","description":"","custom_fields":[{"id":1,"name":"Subdivision","value":"EC"},{"id":4,"name":"Milepost","value":"0.0147"},{"id":17,"name":"Train ID","value":"184-23"},{"id":16,"name":"Locomotive ID","value":"4001"},{"id":130,"name":"Impact","value":""},{"id":150,"name":"Time of Event (Mountain Time)","value":"15:38:07"},{"id":151,"name":"Denver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1"/>
        <v>start /low /b %USERPROFILE%\Documents\GitHub\eaglep3\Utilities\DownloadLogsFromS3.py --loco 4001 --day 2017-08-23</v>
      </c>
      <c r="AN98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714</v>
      </c>
      <c r="B99" s="7">
        <v>4042</v>
      </c>
      <c r="C99" s="21" t="s">
        <v>197</v>
      </c>
      <c r="D99" s="21" t="s">
        <v>349</v>
      </c>
      <c r="E99" s="13">
        <v>42970.595856481479</v>
      </c>
      <c r="F99" s="13">
        <v>42970.597604166665</v>
      </c>
      <c r="G99" s="7">
        <v>1</v>
      </c>
      <c r="H99" s="21" t="s">
        <v>521</v>
      </c>
      <c r="I99" s="13">
        <v>42970.623217592591</v>
      </c>
      <c r="J99" s="7">
        <v>1</v>
      </c>
      <c r="K99" s="89" t="str">
        <f>IF(ISEVEN(B99),(B99-1)&amp;"/"&amp;B99,B99&amp;"/"&amp;(B99+1))</f>
        <v>4041/4042</v>
      </c>
      <c r="L99" s="217" t="str">
        <f>VLOOKUP(A99,'Trips&amp;Operators'!$C$1:$G$99911,5,FALSE)</f>
        <v>LOPES KIMBERLY</v>
      </c>
      <c r="M99" s="6">
        <f>I99-F99</f>
        <v>2.5613425925257616E-2</v>
      </c>
      <c r="N99" s="7">
        <f>24*60*SUM($M99:$M99)</f>
        <v>36.883333332370967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-08-23T13:18:02-0600',mode:absolute,to:'2017-08-23T15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4.6199999999999998E-2</v>
      </c>
      <c r="Z99" s="197">
        <f>RIGHT(H99,LEN(H99)-4)/10000</f>
        <v>23.329899999999999</v>
      </c>
      <c r="AA99" s="197">
        <f>ABS(Z99-Y99)</f>
        <v>23.2837</v>
      </c>
      <c r="AB99" s="54" t="e">
        <f>VLOOKUP(A99,Enforcements!$C$7:$K$11,8,0)</f>
        <v>#N/A</v>
      </c>
      <c r="AC99" s="51" t="e">
        <f>VLOOKUP(A99,Enforcements!$C$7:$E$11,3,0)</f>
        <v>#N/A</v>
      </c>
      <c r="AD99" s="206">
        <f>VALUE(LEFT(A99,LEN(A99)-3))</f>
        <v>185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/stypes="app*4042*20170823*" /stext=" 20:.+((SYSTEM_STATE.+slice.+state.+changed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9"/>
        <v>"%USERPROFILE%\Documents\GitHub\eaglep3\Utilities\RefineRTDCRunTimes.py" --tripid 185-23 --locoid 4042 --swversion DE.1.0.9.0 --startMP 204:462 --initTime 2017-08-23T14:18:02 --startdatetime 2017-08-23T14:20:33 --delay 1 --endMP 204:233299 --enddatetime 2017-08-23T14:57:26 --enforcementcount 1 &gt;&gt;C:\Users\stu\Documents\GitHub\eaglep3-reporting\EC\2017-08-23-refined-times.txt</v>
      </c>
      <c r="AI99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{"issue":{"subject":"","project_id":79,"tracker_id":40,"status_id":1,"priority_id":2,"assigned_to_id":23,"start_date":"2017-08-23","description":"","custom_fields":[{"id":1,"name":"Subdivision","value":"EC"},{"id":4,"name":"Milepost","value":"23.3299"},{"id":17,"name":"Train ID","value":"185-23"},{"id":16,"name":"Locomotive ID","value":"4042"},{"id":130,"name":"Impact","value":""},{"id":150,"name":"Time of Event (Mountain Time)","value":"14:57:26"},{"id":151,"name":"Denver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1"/>
        <v>start /low /b %USERPROFILE%\Documents\GitHub\eaglep3\Utilities\DownloadLogsFromS3.py --loco 4042 --day 2017-08-23</v>
      </c>
      <c r="AN99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573</v>
      </c>
      <c r="B100" s="7">
        <v>4041</v>
      </c>
      <c r="C100" s="21" t="s">
        <v>197</v>
      </c>
      <c r="D100" s="21" t="s">
        <v>832</v>
      </c>
      <c r="E100" s="13">
        <v>42970.629606481481</v>
      </c>
      <c r="F100" s="13">
        <v>42970.63354166667</v>
      </c>
      <c r="G100" s="7">
        <v>1</v>
      </c>
      <c r="H100" s="21" t="s">
        <v>339</v>
      </c>
      <c r="I100" s="13">
        <v>42970.660821759258</v>
      </c>
      <c r="J100" s="7">
        <v>1</v>
      </c>
      <c r="K100" s="89" t="str">
        <f>IF(ISEVEN(B100),(B100-1)&amp;"/"&amp;B100,B100&amp;"/"&amp;(B100+1))</f>
        <v>4041/4042</v>
      </c>
      <c r="L100" s="217" t="str">
        <f>VLOOKUP(A100,'Trips&amp;Operators'!$C$1:$G$99911,5,FALSE)</f>
        <v>LOPES KIMBERLY</v>
      </c>
      <c r="M100" s="6">
        <f>I100-F100</f>
        <v>2.7280092588625848E-2</v>
      </c>
      <c r="N100" s="7">
        <f>24*60*SUM($M100:$M100)</f>
        <v>39.283333327621222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-08-23T14:06:38-0600',mode:absolute,to:'2017-08-23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23.298400000000001</v>
      </c>
      <c r="Z100" s="197">
        <f>RIGHT(H100,LEN(H100)-4)/10000</f>
        <v>1.49E-2</v>
      </c>
      <c r="AA100" s="197">
        <f>ABS(Z100-Y100)</f>
        <v>23.2835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6">
        <f>VALUE(LEFT(A100,LEN(A100)-3))</f>
        <v>186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/stypes="app*4041*20170823*" /stext=" 21:.+((SYSTEM_STATE.+slice.+state.+changed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9"/>
        <v>"%USERPROFILE%\Documents\GitHub\eaglep3\Utilities\RefineRTDCRunTimes.py" --tripid 186-23 --locoid 4041 --swversion DE.1.0.9.0 --startMP 204:232984 --initTime 2017-08-23T15:06:38 --startdatetime 2017-08-23T15:12:18 --delay 1 --endMP 204:149 --enddatetime 2017-08-23T15:51:35 --enforcementcount 1 &gt;&gt;C:\Users\stu\Documents\GitHub\eaglep3-reporting\EC\2017-08-23-refined-times.txt</v>
      </c>
      <c r="AI100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{"issue":{"subject":"","project_id":79,"tracker_id":40,"status_id":1,"priority_id":2,"assigned_to_id":23,"start_date":"2017-08-23","description":"","custom_fields":[{"id":1,"name":"Subdivision","value":"EC"},{"id":4,"name":"Milepost","value":"0.0149"},{"id":17,"name":"Train ID","value":"186-23"},{"id":16,"name":"Locomotive ID","value":"4041"},{"id":130,"name":"Impact","value":""},{"id":150,"name":"Time of Event (Mountain Time)","value":"15:51:35"},{"id":151,"name":"Denver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1"/>
        <v>start /low /b %USERPROFILE%\Documents\GitHub\eaglep3\Utilities\DownloadLogsFromS3.py --loco 4041 --day 2017-08-23</v>
      </c>
      <c r="AN100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716</v>
      </c>
      <c r="B101" s="7">
        <v>4012</v>
      </c>
      <c r="C101" s="21" t="s">
        <v>197</v>
      </c>
      <c r="D101" s="21" t="s">
        <v>871</v>
      </c>
      <c r="E101" s="13">
        <v>42970.606631944444</v>
      </c>
      <c r="F101" s="13">
        <v>42970.607766203706</v>
      </c>
      <c r="G101" s="7">
        <v>1</v>
      </c>
      <c r="H101" s="21" t="s">
        <v>461</v>
      </c>
      <c r="I101" s="13">
        <v>42970.631469907406</v>
      </c>
      <c r="J101" s="7">
        <v>1</v>
      </c>
      <c r="K101" s="89" t="str">
        <f>IF(ISEVEN(B101),(B101-1)&amp;"/"&amp;B101,B101&amp;"/"&amp;(B101+1))</f>
        <v>4011/4012</v>
      </c>
      <c r="L101" s="217" t="str">
        <f>VLOOKUP(A101,'Trips&amp;Operators'!$C$1:$G$99911,5,FALSE)</f>
        <v>TOUSIGNAUT CARL</v>
      </c>
      <c r="M101" s="6">
        <f>I101-F101</f>
        <v>2.3703703700448386E-2</v>
      </c>
      <c r="N101" s="7">
        <f>24*60*SUM($M101:$M101)</f>
        <v>34.133333328645676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-08-23T13:33:33-0600',mode:absolute,to:'2017-08-23T16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3.9800000000000002E-2</v>
      </c>
      <c r="Z101" s="197">
        <f>RIGHT(H101,LEN(H101)-4)/10000</f>
        <v>23.3338</v>
      </c>
      <c r="AA101" s="197">
        <f>ABS(Z101-Y101)</f>
        <v>23.294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>VALUE(LEFT(A101,LEN(A101)-3))</f>
        <v>187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 &amp; aws s3 cp s3://rtdc.mdm.uploadarchive.raw/RTDC4012/ "%USERPROFILE%\AppData\Local\Temp\OnboardLogs"\RTDC4012\2017-08-24 --exclude "*" --recursive --include "*20170824*" &amp; "%USERPROFILE%\Documents\GitHub\mrs-test-scripts\Headless Mode &amp; Sideloading\WalkAndUnGZ.bat" "%USERPROFILE%\AppData\Local\Temp\OnboardLogs"\RTDC4012\2017-08-24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/stypes="app*4012*20170823*" /stext=" 21:.+((SYSTEM_STATE.+slice.+state.+changed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9"/>
        <v>"%USERPROFILE%\Documents\GitHub\eaglep3\Utilities\RefineRTDCRunTimes.py" --tripid 187-23 --locoid 4012 --swversion DE.1.0.9.0 --startMP 204:398 --initTime 2017-08-23T14:33:33 --startdatetime 2017-08-23T14:35:11 --delay 1 --endMP 204:233338 --enddatetime 2017-08-23T15:09:19 --enforcementcount 1 &gt;&gt;C:\Users\stu\Documents\GitHub\eaglep3-reporting\EC\2017-08-23-refined-times.txt</v>
      </c>
      <c r="AI101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{"issue":{"subject":"","project_id":79,"tracker_id":40,"status_id":1,"priority_id":2,"assigned_to_id":23,"start_date":"2017-08-23","description":"","custom_fields":[{"id":1,"name":"Subdivision","value":"EC"},{"id":4,"name":"Milepost","value":"23.3338"},{"id":17,"name":"Train ID","value":"187-23"},{"id":16,"name":"Locomotive ID","value":"4012"},{"id":130,"name":"Impact","value":""},{"id":150,"name":"Time of Event (Mountain Time)","value":"15:09:19"},{"id":151,"name":"Denver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1"/>
        <v>start /low /b %USERPROFILE%\Documents\GitHub\eaglep3\Utilities\DownloadLogsFromS3.py --loco 4012 --day 2017-08-23</v>
      </c>
      <c r="AN101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724</v>
      </c>
      <c r="B102" s="7">
        <v>4011</v>
      </c>
      <c r="C102" s="21" t="s">
        <v>197</v>
      </c>
      <c r="D102" s="21" t="s">
        <v>523</v>
      </c>
      <c r="E102" s="13">
        <v>42970.641898148147</v>
      </c>
      <c r="F102" s="13">
        <v>42970.643923611111</v>
      </c>
      <c r="G102" s="7">
        <v>0</v>
      </c>
      <c r="H102" s="21" t="s">
        <v>872</v>
      </c>
      <c r="I102" s="13">
        <v>42970.670891203707</v>
      </c>
      <c r="J102" s="7">
        <v>1</v>
      </c>
      <c r="K102" s="89" t="str">
        <f>IF(ISEVEN(B102),(B102-1)&amp;"/"&amp;B102,B102&amp;"/"&amp;(B102+1))</f>
        <v>4011/4012</v>
      </c>
      <c r="L102" s="217" t="str">
        <f>VLOOKUP(A102,'Trips&amp;Operators'!$C$1:$G$99911,5,FALSE)</f>
        <v>TOUSIGNAUT CARL</v>
      </c>
      <c r="M102" s="6">
        <f>I102-F102</f>
        <v>2.6967592595610768E-2</v>
      </c>
      <c r="N102" s="7">
        <f>24*60*SUM($M102:$M102)</f>
        <v>38.833333337679505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-08-23T14:24:20-0600',mode:absolute,to:'2017-08-23T17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23.303999999999998</v>
      </c>
      <c r="Z102" s="197">
        <f>RIGHT(H102,LEN(H102)-4)/10000</f>
        <v>1.2500000000000001E-2</v>
      </c>
      <c r="AA102" s="197">
        <f>ABS(Z102-Y102)</f>
        <v>23.291499999999999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>VALUE(LEFT(A102,LEN(A102)-3))</f>
        <v>188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 &amp; aws s3 cp s3://rtdc.mdm.uploadarchive.raw/RTDC4011/ "%USERPROFILE%\AppData\Local\Temp\OnboardLogs"\RTDC4011\2017-08-24 --exclude "*" --recursive --include "*20170824*" &amp; "%USERPROFILE%\Documents\GitHub\mrs-test-scripts\Headless Mode &amp; Sideloading\WalkAndUnGZ.bat" "%USERPROFILE%\AppData\Local\Temp\OnboardLogs"\RTDC4011\2017-08-24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/stypes="app*4011*20170823*" /stext=" 22:.+((SYSTEM_STATE.+slice.+state.+changed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9"/>
        <v>"%USERPROFILE%\Documents\GitHub\eaglep3\Utilities\RefineRTDCRunTimes.py" --tripid 188-23 --locoid 4011 --swversion DE.1.0.9.0 --startMP 204:233040 --initTime 2017-08-23T15:24:20 --startdatetime 2017-08-23T15:27:15 --delay 0 --endMP 204:125 --enddatetime 2017-08-23T16:06:05 --enforcementcount 1 &gt;&gt;C:\Users\stu\Documents\GitHub\eaglep3-reporting\EC\2017-08-23-refined-times.txt</v>
      </c>
      <c r="AI102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{"issue":{"subject":"","project_id":79,"tracker_id":40,"status_id":1,"priority_id":2,"assigned_to_id":23,"start_date":"2017-08-23","description":"","custom_fields":[{"id":1,"name":"Subdivision","value":"EC"},{"id":4,"name":"Milepost","value":"0.0125"},{"id":17,"name":"Train ID","value":"188-23"},{"id":16,"name":"Locomotive ID","value":"4011"},{"id":130,"name":"Impact","value":""},{"id":150,"name":"Time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1"/>
        <v>start /low /b %USERPROFILE%\Documents\GitHub\eaglep3\Utilities\DownloadLogsFromS3.py --loco 4011 --day 2017-08-23</v>
      </c>
      <c r="AN102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719</v>
      </c>
      <c r="B103" s="7">
        <v>4028</v>
      </c>
      <c r="C103" s="21" t="s">
        <v>197</v>
      </c>
      <c r="D103" s="21" t="s">
        <v>372</v>
      </c>
      <c r="E103" s="13">
        <v>42970.612291666665</v>
      </c>
      <c r="F103" s="13">
        <v>42970.615185185183</v>
      </c>
      <c r="G103" s="7">
        <v>2</v>
      </c>
      <c r="H103" s="21" t="s">
        <v>873</v>
      </c>
      <c r="I103" s="13">
        <v>42970.640925925924</v>
      </c>
      <c r="J103" s="7">
        <v>1</v>
      </c>
      <c r="K103" s="89" t="str">
        <f>IF(ISEVEN(B103),(B103-1)&amp;"/"&amp;B103,B103&amp;"/"&amp;(B103+1))</f>
        <v>4027/4028</v>
      </c>
      <c r="L103" s="217" t="str">
        <f>VLOOKUP(A103,'Trips&amp;Operators'!$C$1:$G$99911,5,FALSE)</f>
        <v>STEWART MICHAEL</v>
      </c>
      <c r="M103" s="6">
        <f>I103-F103</f>
        <v>2.5740740740729962E-2</v>
      </c>
      <c r="N103" s="7">
        <f>24*60*SUM($M103:$M103)</f>
        <v>37.066666666651145</v>
      </c>
      <c r="O103" s="7"/>
      <c r="P103" s="7"/>
      <c r="Q103" s="22"/>
      <c r="R103" s="170"/>
      <c r="S103" s="213">
        <f>1/IF(AG103="EC",12,1)*SUM(U103:U103)</f>
        <v>1</v>
      </c>
      <c r="T103" s="195" t="str">
        <f>IF(ISEVEN(LEFT(AD103,4)),"Southbound","NorthBound")</f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-08-23T13:41:42-0600',mode:absolute,to:'2017-08-23T16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4.5699999999999998E-2</v>
      </c>
      <c r="Z103" s="197">
        <f>RIGHT(H103,LEN(H103)-4)/10000</f>
        <v>23.3309</v>
      </c>
      <c r="AA103" s="197">
        <f>ABS(Z103-Y103)</f>
        <v>23.2852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6">
        <f>VALUE(LEFT(A103,LEN(A103)-3))</f>
        <v>189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/stypes="app*4028*20170823*" /stext=" 21:.+((SYSTEM_STATE.+slice.+state.+changed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9"/>
        <v>"%USERPROFILE%\Documents\GitHub\eaglep3\Utilities\RefineRTDCRunTimes.py" --tripid 189-23 --locoid 4028 --swversion DE.1.0.9.0 --startMP 204:457 --initTime 2017-08-23T14:41:42 --startdatetime 2017-08-23T14:45:52 --delay 2 --endMP 204:233309 --enddatetime 2017-08-23T15:22:56 --enforcementcount 1 &gt;&gt;C:\Users\stu\Documents\GitHub\eaglep3-reporting\EC\2017-08-23-refined-times.txt</v>
      </c>
      <c r="AI103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{"issue":{"subject":"","project_id":79,"tracker_id":40,"status_id":1,"priority_id":2,"assigned_to_id":23,"start_date":"2017-08-23","description":"","custom_fields":[{"id":1,"name":"Subdivision","value":"EC"},{"id":4,"name":"Milepost","value":"23.3309"},{"id":17,"name":"Train ID","value":"189-23"},{"id":16,"name":"Locomotive ID","value":"4028"},{"id":130,"name":"Impact","value":""},{"id":150,"name":"Time of Event (Mountain Time)","value":"15:22:56"},{"id":151,"name":"Denver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1"/>
        <v>start /low /b %USERPROFILE%\Documents\GitHub\eaglep3\Utilities\DownloadLogsFromS3.py --loco 4028 --day 2017-08-23</v>
      </c>
      <c r="AN103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726</v>
      </c>
      <c r="B104" s="7">
        <v>4027</v>
      </c>
      <c r="C104" s="21" t="s">
        <v>197</v>
      </c>
      <c r="D104" s="21" t="s">
        <v>874</v>
      </c>
      <c r="E104" s="13">
        <v>42970.652013888888</v>
      </c>
      <c r="F104" s="13">
        <v>42970.654421296298</v>
      </c>
      <c r="G104" s="7">
        <v>1</v>
      </c>
      <c r="H104" s="21" t="s">
        <v>368</v>
      </c>
      <c r="I104" s="13">
        <v>42970.68172453704</v>
      </c>
      <c r="J104" s="7">
        <v>1</v>
      </c>
      <c r="K104" s="89" t="str">
        <f>IF(ISEVEN(B104),(B104-1)&amp;"/"&amp;B104,B104&amp;"/"&amp;(B104+1))</f>
        <v>4027/4028</v>
      </c>
      <c r="L104" s="217" t="str">
        <f>VLOOKUP(A104,'Trips&amp;Operators'!$C$1:$G$99911,5,FALSE)</f>
        <v>STEWART MICHAEL</v>
      </c>
      <c r="M104" s="6">
        <f>I104-F104</f>
        <v>2.7303240742185153E-2</v>
      </c>
      <c r="N104" s="7">
        <f>24*60*SUM($M104:$M104)</f>
        <v>39.31666666874662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-08-23T14:38:54-0600',mode:absolute,to:'2017-08-23T17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23.298200000000001</v>
      </c>
      <c r="Z104" s="197">
        <f>RIGHT(H104,LEN(H104)-4)/10000</f>
        <v>1.5800000000000002E-2</v>
      </c>
      <c r="AA104" s="197">
        <f>ABS(Z104-Y104)</f>
        <v>23.282400000000003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>VALUE(LEFT(A104,LEN(A104)-3))</f>
        <v>190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/stypes="app*4027*20170823*" /stext=" 22:.+((SYSTEM_STATE.+slice.+state.+changed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9"/>
        <v>"%USERPROFILE%\Documents\GitHub\eaglep3\Utilities\RefineRTDCRunTimes.py" --tripid 190-23 --locoid 4027 --swversion DE.1.0.9.0 --startMP 204:232982 --initTime 2017-08-23T15:38:54 --startdatetime 2017-08-23T15:42:22 --delay 1 --endMP 204:158 --enddatetime 2017-08-23T16:21:41 --enforcementcount 1 &gt;&gt;C:\Users\stu\Documents\GitHub\eaglep3-reporting\EC\2017-08-23-refined-times.txt</v>
      </c>
      <c r="AI104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{"issue":{"subject":"","project_id":79,"tracker_id":40,"status_id":1,"priority_id":2,"assigned_to_id":23,"start_date":"2017-08-23","description":"","custom_fields":[{"id":1,"name":"Subdivision","value":"EC"},{"id":4,"name":"Milepost","value":"0.0158"},{"id":17,"name":"Train ID","value":"190-23"},{"id":16,"name":"Locomotive ID","value":"4027"},{"id":130,"name":"Impact","value":""},{"id":150,"name":"Time of Event (Mountain Time)","value":"16:21:41"},{"id":151,"name":"Denver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1"/>
        <v>start /low /b %USERPROFILE%\Documents\GitHub\eaglep3\Utilities\DownloadLogsFromS3.py --loco 4027 --day 2017-08-23</v>
      </c>
      <c r="AN104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720</v>
      </c>
      <c r="B105" s="7">
        <v>4030</v>
      </c>
      <c r="C105" s="21" t="s">
        <v>197</v>
      </c>
      <c r="D105" s="21" t="s">
        <v>380</v>
      </c>
      <c r="E105" s="13">
        <v>42970.620381944442</v>
      </c>
      <c r="F105" s="13">
        <v>42970.625497685185</v>
      </c>
      <c r="G105" s="7">
        <v>1</v>
      </c>
      <c r="H105" s="21" t="s">
        <v>432</v>
      </c>
      <c r="I105" s="13">
        <v>42970.649606481478</v>
      </c>
      <c r="J105" s="7">
        <v>1</v>
      </c>
      <c r="K105" s="89" t="str">
        <f>IF(ISEVEN(B105),(B105-1)&amp;"/"&amp;B105,B105&amp;"/"&amp;(B105+1))</f>
        <v>4029/4030</v>
      </c>
      <c r="L105" s="217" t="str">
        <f>VLOOKUP(A105,'Trips&amp;Operators'!$C$1:$G$99911,5,FALSE)</f>
        <v>ROMERO CHAD</v>
      </c>
      <c r="M105" s="6">
        <f>I105-F105</f>
        <v>2.4108796293148771E-2</v>
      </c>
      <c r="N105" s="7">
        <f>24*60*SUM($M105:$M105)</f>
        <v>34.71666666213423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-08-23T13:53:21-0600',mode:absolute,to:'2017-08-23T16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4.4200000000000003E-2</v>
      </c>
      <c r="Z105" s="197">
        <f>RIGHT(H105,LEN(H105)-4)/10000</f>
        <v>23.3368</v>
      </c>
      <c r="AA105" s="197">
        <f>ABS(Z105-Y105)</f>
        <v>23.2926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>VALUE(LEFT(A105,LEN(A105)-3))</f>
        <v>191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/stypes="app*4030*20170823*" /stext=" 21:.+((SYSTEM_STATE.+slice.+state.+changed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9"/>
        <v>"%USERPROFILE%\Documents\GitHub\eaglep3\Utilities\RefineRTDCRunTimes.py" --tripid 191-23 --locoid 4030 --swversion DE.1.0.9.0 --startMP 204:442 --initTime 2017-08-23T14:53:21 --startdatetime 2017-08-23T15:00:43 --delay 1 --endMP 204:233368 --enddatetime 2017-08-23T15:35:26 --enforcementcount 1 &gt;&gt;C:\Users\stu\Documents\GitHub\eaglep3-reporting\EC\2017-08-23-refined-times.txt</v>
      </c>
      <c r="AI105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{"issue":{"subject":"","project_id":79,"tracker_id":40,"status_id":1,"priority_id":2,"assigned_to_id":23,"start_date":"2017-08-23","description":"","custom_fields":[{"id":1,"name":"Subdivision","value":"EC"},{"id":4,"name":"Milepost","value":"23.3368"},{"id":17,"name":"Train ID","value":"191-23"},{"id":16,"name":"Locomotive ID","value":"4030"},{"id":130,"name":"Impact","value":""},{"id":150,"name":"Time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1"/>
        <v>start /low /b %USERPROFILE%\Documents\GitHub\eaglep3\Utilities\DownloadLogsFromS3.py --loco 4030 --day 2017-08-23</v>
      </c>
      <c r="AN105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727</v>
      </c>
      <c r="B106" s="7">
        <v>4029</v>
      </c>
      <c r="C106" s="21" t="s">
        <v>197</v>
      </c>
      <c r="D106" s="21" t="s">
        <v>417</v>
      </c>
      <c r="E106" s="13">
        <v>42970.653252314813</v>
      </c>
      <c r="F106" s="13">
        <v>42970.664768518516</v>
      </c>
      <c r="G106" s="7">
        <v>1</v>
      </c>
      <c r="H106" s="21" t="s">
        <v>466</v>
      </c>
      <c r="I106" s="13">
        <v>42970.689884259256</v>
      </c>
      <c r="J106" s="7">
        <v>1</v>
      </c>
      <c r="K106" s="89" t="str">
        <f>IF(ISEVEN(B106),(B106-1)&amp;"/"&amp;B106,B106&amp;"/"&amp;(B106+1))</f>
        <v>4029/4030</v>
      </c>
      <c r="L106" s="217" t="str">
        <f>VLOOKUP(A106,'Trips&amp;Operators'!$C$1:$G$99911,5,FALSE)</f>
        <v>ROMERO CHAD</v>
      </c>
      <c r="M106" s="6">
        <f>I106-F106</f>
        <v>2.5115740740147885E-2</v>
      </c>
      <c r="N106" s="7">
        <f>24*60*SUM($M106:$M106)</f>
        <v>36.166666665812954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-08-23T14:40:41-0600',mode:absolute,to:'2017-08-23T17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23.305499999999999</v>
      </c>
      <c r="Z106" s="197">
        <f>RIGHT(H106,LEN(H106)-4)/10000</f>
        <v>1.3599999999999999E-2</v>
      </c>
      <c r="AA106" s="197">
        <f>ABS(Z106-Y106)</f>
        <v>23.291899999999998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>VALUE(LEFT(A106,LEN(A106)-3))</f>
        <v>192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/stypes="app*4029*20170823*" /stext=" 22:.+((SYSTEM_STATE.+slice.+state.+changed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9"/>
        <v>"%USERPROFILE%\Documents\GitHub\eaglep3\Utilities\RefineRTDCRunTimes.py" --tripid 192-23 --locoid 4029 --swversion DE.1.0.9.0 --startMP 204:233055 --initTime 2017-08-23T15:40:41 --startdatetime 2017-08-23T15:57:16 --delay 1 --endMP 204:136 --enddatetime 2017-08-23T16:33:26 --enforcementcount 1 &gt;&gt;C:\Users\stu\Documents\GitHub\eaglep3-reporting\EC\2017-08-23-refined-times.txt</v>
      </c>
      <c r="AI106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{"issue":{"subject":"","project_id":79,"tracker_id":40,"status_id":1,"priority_id":2,"assigned_to_id":23,"start_date":"2017-08-23","description":"","custom_fields":[{"id":1,"name":"Subdivision","value":"EC"},{"id":4,"name":"Milepost","value":"0.0136"},{"id":17,"name":"Train ID","value":"192-23"},{"id":16,"name":"Locomotive ID","value":"4029"},{"id":130,"name":"Impact","value":""},{"id":150,"name":"Time of Event (Mountain Time)","value":"16:33:26"},{"id":151,"name":"Denver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1"/>
        <v>start /low /b %USERPROFILE%\Documents\GitHub\eaglep3\Utilities\DownloadLogsFromS3.py --loco 4029 --day 2017-08-23</v>
      </c>
      <c r="AN106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721</v>
      </c>
      <c r="B107" s="7">
        <v>4050</v>
      </c>
      <c r="C107" s="21" t="s">
        <v>197</v>
      </c>
      <c r="D107" s="21" t="s">
        <v>341</v>
      </c>
      <c r="E107" s="13">
        <v>42970.631967592592</v>
      </c>
      <c r="F107" s="13">
        <v>42970.635925925926</v>
      </c>
      <c r="G107" s="7">
        <v>1</v>
      </c>
      <c r="H107" s="21" t="s">
        <v>834</v>
      </c>
      <c r="I107" s="13">
        <v>42970.660995370374</v>
      </c>
      <c r="J107" s="7">
        <v>1</v>
      </c>
      <c r="K107" s="89" t="str">
        <f>IF(ISEVEN(B107),(B107-1)&amp;"/"&amp;B107,B107&amp;"/"&amp;(B107+1))</f>
        <v>4049/4050</v>
      </c>
      <c r="L107" s="217" t="str">
        <f>VLOOKUP(A107,'Trips&amp;Operators'!$C$1:$G$99911,5,FALSE)</f>
        <v>BRUDER RICHARD</v>
      </c>
      <c r="M107" s="6">
        <f>I107-F107</f>
        <v>2.5069444447581191E-2</v>
      </c>
      <c r="N107" s="7">
        <f>24*60*SUM($M107:$M107)</f>
        <v>36.100000004516914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-08-23T14:10:02-0600',mode:absolute,to:'2017-08-23T16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4.5100000000000001E-2</v>
      </c>
      <c r="Z107" s="197">
        <f>RIGHT(H107,LEN(H107)-4)/10000</f>
        <v>23.3307</v>
      </c>
      <c r="AA107" s="197">
        <f>ABS(Z107-Y107)</f>
        <v>23.285599999999999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6">
        <f>VALUE(LEFT(A107,LEN(A107)-3))</f>
        <v>193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/stypes="app*4050*20170823*" /stext=" 21:.+((SYSTEM_STATE.+slice.+state.+changed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9"/>
        <v>"%USERPROFILE%\Documents\GitHub\eaglep3\Utilities\RefineRTDCRunTimes.py" --tripid 193-23 --locoid 4050 --swversion DE.1.0.9.0 --startMP 204:451 --initTime 2017-08-23T15:10:02 --startdatetime 2017-08-23T15:15:44 --delay 1 --endMP 204:233307 --enddatetime 2017-08-23T15:51:50 --enforcementcount 1 &gt;&gt;C:\Users\stu\Documents\GitHub\eaglep3-reporting\EC\2017-08-23-refined-times.txt</v>
      </c>
      <c r="AI107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{"issue":{"subject":"","project_id":79,"tracker_id":40,"status_id":1,"priority_id":2,"assigned_to_id":23,"start_date":"2017-08-23","description":"","custom_fields":[{"id":1,"name":"Subdivision","value":"EC"},{"id":4,"name":"Milepost","value":"23.3307"},{"id":17,"name":"Train ID","value":"193-23"},{"id":16,"name":"Locomotive ID","value":"4050"},{"id":130,"name":"Impact","value":""},{"id":150,"name":"Time of Event (Mountain Time)","value":"15:51:50"},{"id":151,"name":"Denver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1"/>
        <v>start /low /b %USERPROFILE%\Documents\GitHub\eaglep3\Utilities\DownloadLogsFromS3.py --loco 4050 --day 2017-08-23</v>
      </c>
      <c r="AN107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732</v>
      </c>
      <c r="B108" s="7">
        <v>4049</v>
      </c>
      <c r="C108" s="21" t="s">
        <v>197</v>
      </c>
      <c r="D108" s="21" t="s">
        <v>510</v>
      </c>
      <c r="E108" s="13">
        <v>42970.671331018515</v>
      </c>
      <c r="F108" s="13">
        <v>42970.675358796296</v>
      </c>
      <c r="G108" s="7">
        <v>2</v>
      </c>
      <c r="H108" s="21" t="s">
        <v>875</v>
      </c>
      <c r="I108" s="13">
        <v>42970.701226851852</v>
      </c>
      <c r="J108" s="7">
        <v>1</v>
      </c>
      <c r="K108" s="89" t="str">
        <f>IF(ISEVEN(B108),(B108-1)&amp;"/"&amp;B108,B108&amp;"/"&amp;(B108+1))</f>
        <v>4049/4050</v>
      </c>
      <c r="L108" s="217" t="str">
        <f>VLOOKUP(A108,'Trips&amp;Operators'!$C$1:$G$99911,5,FALSE)</f>
        <v>BRUDER RICHARD</v>
      </c>
      <c r="M108" s="6">
        <f>I108-F108</f>
        <v>2.5868055556202307E-2</v>
      </c>
      <c r="N108" s="7">
        <f>24*60*SUM($M108:$M108)</f>
        <v>37.250000000931323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-08-23T15:06:43-0600',mode:absolute,to:'2017-08-23T17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23.2973</v>
      </c>
      <c r="Z108" s="197">
        <f>RIGHT(H108,LEN(H108)-4)/10000</f>
        <v>1.32E-2</v>
      </c>
      <c r="AA108" s="197">
        <f>ABS(Z108-Y108)</f>
        <v>23.284099999999999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6">
        <f>VALUE(LEFT(A108,LEN(A108)-3))</f>
        <v>194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s3://rtdc.mdm.uploadarchive.raw/RTDC4049/ "%USERPROFILE%\AppData\Local\Temp\OnboardLogs"\RTDC4049\2017-08-23 --exclude "*" --recursive --include "*20170823*" &amp; "%USERPROFILE%\Documents\GitHub\mrs-test-scripts\Headless Mode &amp; Sideloading\WalkAndUnGZ.bat" "%USERPROFILE%\AppData\Local\Temp\OnboardLogs"\RTDC4049\2017-08-23 &amp; aws s3 cp s3://rtdc.mdm.uploadarchive.raw/RTDC4049/ "%USERPROFILE%\AppData\Local\Temp\OnboardLogs"\RTDC4049\2017-08-24 --exclude "*" --recursive --include "*20170824*" &amp; "%USERPROFILE%\Documents\GitHub\mrs-test-scripts\Headless Mode &amp; Sideloading\WalkAndUnGZ.bat" "%USERPROFILE%\AppData\Local\Temp\OnboardLogs"\RTDC4049\2017-08-24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/stypes="app*4049*20170823*" /stext=" 22:.+((SYSTEM_STATE.+slice.+state.+changed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9"/>
        <v>"%USERPROFILE%\Documents\GitHub\eaglep3\Utilities\RefineRTDCRunTimes.py" --tripid 194-23 --locoid 4049 --swversion DE.1.0.9.0 --startMP 204:232973 --initTime 2017-08-23T16:06:43 --startdatetime 2017-08-23T16:12:31 --delay 2 --endMP 204:132 --enddatetime 2017-08-23T16:49:46 --enforcementcount 1 &gt;&gt;C:\Users\stu\Documents\GitHub\eaglep3-reporting\EC\2017-08-23-refined-times.txt</v>
      </c>
      <c r="AI108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{"issue":{"subject":"","project_id":79,"tracker_id":40,"status_id":1,"priority_id":2,"assigned_to_id":23,"start_date":"2017-08-23","description":"","custom_fields":[{"id":1,"name":"Subdivision","value":"EC"},{"id":4,"name":"Milepost","value":"0.0132"},{"id":17,"name":"Train ID","value":"194-23"},{"id":16,"name":"Locomotive ID","value":"4049"},{"id":130,"name":"Impact","value":""},{"id":150,"name":"Time of Event (Mountain Time)","value":"16:49:46"},{"id":151,"name":"Denver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1"/>
        <v>start /low /b %USERPROFILE%\Documents\GitHub\eaglep3\Utilities\DownloadLogsFromS3.py --loco 4049 --day 2017-08-23</v>
      </c>
      <c r="AN108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725</v>
      </c>
      <c r="B109" s="7">
        <v>4014</v>
      </c>
      <c r="C109" s="21" t="s">
        <v>197</v>
      </c>
      <c r="D109" s="21" t="s">
        <v>825</v>
      </c>
      <c r="E109" s="13">
        <v>42970.643252314818</v>
      </c>
      <c r="F109" s="13">
        <v>42970.64644675926</v>
      </c>
      <c r="G109" s="7">
        <v>1</v>
      </c>
      <c r="H109" s="21" t="s">
        <v>876</v>
      </c>
      <c r="I109" s="13">
        <v>42970.670937499999</v>
      </c>
      <c r="J109" s="7">
        <v>1</v>
      </c>
      <c r="K109" s="89" t="str">
        <f>IF(ISEVEN(B109),(B109-1)&amp;"/"&amp;B109,B109&amp;"/"&amp;(B109+1))</f>
        <v>4013/4014</v>
      </c>
      <c r="L109" s="217" t="str">
        <f>VLOOKUP(A109,'Trips&amp;Operators'!$C$1:$G$99911,5,FALSE)</f>
        <v>LEVIN SCOTT</v>
      </c>
      <c r="M109" s="6">
        <f>I109-F109</f>
        <v>2.4490740739565808E-2</v>
      </c>
      <c r="N109" s="7">
        <f>24*60*SUM($M109:$M109)</f>
        <v>35.266666664974764</v>
      </c>
      <c r="O109" s="7"/>
      <c r="P109" s="7"/>
      <c r="Q109" s="22"/>
      <c r="R109" s="170"/>
      <c r="S109" s="213">
        <f>1/IF(AG109="EC",12,1)*SUM(U109:U109)</f>
        <v>1</v>
      </c>
      <c r="T109" s="195" t="str">
        <f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-08-23T14:26:17-0600',mode:absolute,to:'2017-08-23T17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4.7800000000000002E-2</v>
      </c>
      <c r="Z109" s="197">
        <f>RIGHT(H109,LEN(H109)-4)/10000</f>
        <v>23.336099999999998</v>
      </c>
      <c r="AA109" s="197">
        <f>ABS(Z109-Y109)</f>
        <v>23.2883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>VALUE(LEFT(A109,LEN(A109)-3))</f>
        <v>195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/stypes="app*4014*20170823*" /stext=" 22:.+((SYSTEM_STATE.+slice.+state.+changed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9"/>
        <v>"%USERPROFILE%\Documents\GitHub\eaglep3\Utilities\RefineRTDCRunTimes.py" --tripid 195-23 --locoid 4014 --swversion DE.1.0.9.0 --startMP 204:478 --initTime 2017-08-23T15:26:17 --startdatetime 2017-08-23T15:30:53 --delay 1 --endMP 204:233361 --enddatetime 2017-08-23T16:06:09 --enforcementcount 1 &gt;&gt;C:\Users\stu\Documents\GitHub\eaglep3-reporting\EC\2017-08-23-refined-times.txt</v>
      </c>
      <c r="AI109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{"issue":{"subject":"","project_id":79,"tracker_id":40,"status_id":1,"priority_id":2,"assigned_to_id":23,"start_date":"2017-08-23","description":"","custom_fields":[{"id":1,"name":"Subdivision","value":"EC"},{"id":4,"name":"Milepost","value":"23.3361"},{"id":17,"name":"Train ID","value":"195-23"},{"id":16,"name":"Locomotive ID","value":"4014"},{"id":130,"name":"Impact","value":""},{"id":150,"name":"Time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1"/>
        <v>start /low /b %USERPROFILE%\Documents\GitHub\eaglep3\Utilities\DownloadLogsFromS3.py --loco 4014 --day 2017-08-23</v>
      </c>
      <c r="AN109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736</v>
      </c>
      <c r="B110" s="7">
        <v>4013</v>
      </c>
      <c r="C110" s="21" t="s">
        <v>197</v>
      </c>
      <c r="D110" s="21" t="s">
        <v>526</v>
      </c>
      <c r="E110" s="13">
        <v>42970.685150462959</v>
      </c>
      <c r="F110" s="13">
        <v>42970.686423611114</v>
      </c>
      <c r="G110" s="7">
        <v>1</v>
      </c>
      <c r="H110" s="21" t="s">
        <v>340</v>
      </c>
      <c r="I110" s="13">
        <v>42970.711875000001</v>
      </c>
      <c r="J110" s="7">
        <v>1</v>
      </c>
      <c r="K110" s="89" t="str">
        <f>IF(ISEVEN(B110),(B110-1)&amp;"/"&amp;B110,B110&amp;"/"&amp;(B110+1))</f>
        <v>4013/4014</v>
      </c>
      <c r="L110" s="217" t="str">
        <f>VLOOKUP(A110,'Trips&amp;Operators'!$C$1:$G$99911,5,FALSE)</f>
        <v>LEVIN SCOTT</v>
      </c>
      <c r="M110" s="6">
        <f>I110-F110</f>
        <v>2.545138888672227E-2</v>
      </c>
      <c r="N110" s="7">
        <f>24*60*SUM($M110:$M110)</f>
        <v>36.649999996880069</v>
      </c>
      <c r="O110" s="7"/>
      <c r="P110" s="7"/>
      <c r="Q110" s="22"/>
      <c r="R110" s="170"/>
      <c r="S110" s="213">
        <f>1/IF(AG110="EC",12,1)*SUM(U110:U110)</f>
        <v>1</v>
      </c>
      <c r="T110" s="195" t="str">
        <f>IF(ISEVEN(LEFT(AD110,4)),"Southbound","NorthBound")</f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-08-23T15:26:37-0600',mode:absolute,to:'2017-08-23T18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23.3047</v>
      </c>
      <c r="Z110" s="197">
        <f>RIGHT(H110,LEN(H110)-4)/10000</f>
        <v>1.43E-2</v>
      </c>
      <c r="AA110" s="197">
        <f>ABS(Z110-Y110)</f>
        <v>23.290400000000002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>VALUE(LEFT(A110,LEN(A110)-3))</f>
        <v>196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/stypes="app*4013*20170823*" /stext=" 23:.+((SYSTEM_STATE.+slice.+state.+changed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9"/>
        <v>"%USERPROFILE%\Documents\GitHub\eaglep3\Utilities\RefineRTDCRunTimes.py" --tripid 196-23 --locoid 4013 --swversion DE.1.0.9.0 --startMP 204:233047 --initTime 2017-08-23T16:26:37 --startdatetime 2017-08-23T16:28:27 --delay 1 --endMP 204:143 --enddatetime 2017-08-23T17:05:06 --enforcementcount 1 &gt;&gt;C:\Users\stu\Documents\GitHub\eaglep3-reporting\EC\2017-08-23-refined-times.txt</v>
      </c>
      <c r="AI110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{"issue":{"subject":"","project_id":79,"tracker_id":40,"status_id":1,"priority_id":2,"assigned_to_id":23,"start_date":"2017-08-23","description":"","custom_fields":[{"id":1,"name":"Subdivision","value":"EC"},{"id":4,"name":"Milepost","value":"0.0143"},{"id":17,"name":"Train ID","value":"196-23"},{"id":16,"name":"Locomotive ID","value":"4013"},{"id":130,"name":"Impact","value":""},{"id":150,"name":"Time of Event (Mountain Time)","value":"17:05:06"},{"id":151,"name":"Denver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1"/>
        <v>start /low /b %USERPROFILE%\Documents\GitHub\eaglep3\Utilities\DownloadLogsFromS3.py --loco 4013 --day 2017-08-23</v>
      </c>
      <c r="AN110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577</v>
      </c>
      <c r="B111" s="7">
        <v>4002</v>
      </c>
      <c r="C111" s="21" t="s">
        <v>197</v>
      </c>
      <c r="D111" s="21" t="s">
        <v>400</v>
      </c>
      <c r="E111" s="13">
        <v>42970.652951388889</v>
      </c>
      <c r="F111" s="13">
        <v>42970.656759259262</v>
      </c>
      <c r="G111" s="7">
        <v>1</v>
      </c>
      <c r="H111" s="21" t="s">
        <v>403</v>
      </c>
      <c r="I111" s="13">
        <v>42970.683275462965</v>
      </c>
      <c r="J111" s="7">
        <v>1</v>
      </c>
      <c r="K111" s="89" t="str">
        <f>IF(ISEVEN(B111),(B111-1)&amp;"/"&amp;B111,B111&amp;"/"&amp;(B111+1))</f>
        <v>4001/4002</v>
      </c>
      <c r="L111" s="217" t="str">
        <f>VLOOKUP(A111,'Trips&amp;Operators'!$C$1:$G$99911,5,FALSE)</f>
        <v>LOPES KIMBERLY</v>
      </c>
      <c r="M111" s="6">
        <f>I111-F111</f>
        <v>2.6516203703067731E-2</v>
      </c>
      <c r="N111" s="7">
        <f>24*60*SUM($M111:$M111)</f>
        <v>38.183333332417533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-08-23T14:40:15-0600',mode:absolute,to:'2017-08-23T17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4.6699999999999998E-2</v>
      </c>
      <c r="Z111" s="197">
        <f>RIGHT(H111,LEN(H111)-4)/10000</f>
        <v>23.328199999999999</v>
      </c>
      <c r="AA111" s="197">
        <f>ABS(Z111-Y111)</f>
        <v>23.281499999999998</v>
      </c>
      <c r="AB111" s="54" t="str">
        <f>VLOOKUP(A111,Enforcements!$C$7:$K$11,8,0)</f>
        <v>Bulletin (2)</v>
      </c>
      <c r="AC111" s="51" t="str">
        <f>VLOOKUP(A111,Enforcements!$C$7:$E$11,3,0)</f>
        <v>GRADE CROSSING</v>
      </c>
      <c r="AD111" s="206">
        <f>VALUE(LEFT(A111,LEN(A111)-3))</f>
        <v>197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s3://rtdc.mdm.uploadarchive.raw/RTDC4002/ "%USERPROFILE%\AppData\Local\Temp\OnboardLogs"\RTDC4002\2017-08-23 --exclude "*" --recursive --include "*20170823*" &amp; "%USERPROFILE%\Documents\GitHub\mrs-test-scripts\Headless Mode &amp; Sideloading\WalkAndUnGZ.bat" "%USERPROFILE%\AppData\Local\Temp\OnboardLogs"\RTDC4002\2017-08-23 &amp; aws s3 cp s3://rtdc.mdm.uploadarchive.raw/RTDC4002/ "%USERPROFILE%\AppData\Local\Temp\OnboardLogs"\RTDC4002\2017-08-24 --exclude "*" --recursive --include "*20170824*" &amp; "%USERPROFILE%\Documents\GitHub\mrs-test-scripts\Headless Mode &amp; Sideloading\WalkAndUnGZ.bat" "%USERPROFILE%\AppData\Local\Temp\OnboardLogs"\RTDC4002\2017-08-24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/stypes="app*4002*20170823*" /stext=" 22:.+((SYSTEM_STATE.+slice.+state.+changed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9"/>
        <v>"%USERPROFILE%\Documents\GitHub\eaglep3\Utilities\RefineRTDCRunTimes.py" --tripid 197-23 --locoid 4002 --swversion DE.1.0.9.0 --startMP 204:467 --initTime 2017-08-23T15:40:15 --startdatetime 2017-08-23T15:45:44 --delay 1 --endMP 204:233282 --enddatetime 2017-08-23T16:23:55 --enforcementcount 1 &gt;&gt;C:\Users\stu\Documents\GitHub\eaglep3-reporting\EC\2017-08-23-refined-times.txt</v>
      </c>
      <c r="AI111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{"issue":{"subject":"","project_id":79,"tracker_id":40,"status_id":1,"priority_id":2,"assigned_to_id":23,"start_date":"2017-08-23","description":"","custom_fields":[{"id":1,"name":"Subdivision","value":"EC"},{"id":4,"name":"Milepost","value":"23.3282"},{"id":17,"name":"Train ID","value":"197-23"},{"id":16,"name":"Locomotive ID","value":"4002"},{"id":130,"name":"Impact","value":""},{"id":150,"name":"Time of Event (Mountain Time)","value":"16:23:55"},{"id":151,"name":"Denver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1"/>
        <v>start /low /b %USERPROFILE%\Documents\GitHub\eaglep3\Utilities\DownloadLogsFromS3.py --loco 4002 --day 2017-08-23</v>
      </c>
      <c r="AN111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740</v>
      </c>
      <c r="B112" s="7">
        <v>4001</v>
      </c>
      <c r="C112" s="21" t="s">
        <v>197</v>
      </c>
      <c r="D112" s="21" t="s">
        <v>877</v>
      </c>
      <c r="E112" s="13">
        <v>42970.690393518518</v>
      </c>
      <c r="F112" s="13">
        <v>42970.696145833332</v>
      </c>
      <c r="G112" s="7">
        <v>1</v>
      </c>
      <c r="H112" s="21" t="s">
        <v>416</v>
      </c>
      <c r="I112" s="13">
        <v>42970.723078703704</v>
      </c>
      <c r="J112" s="7">
        <v>1</v>
      </c>
      <c r="K112" s="89" t="str">
        <f>IF(ISEVEN(B112),(B112-1)&amp;"/"&amp;B112,B112&amp;"/"&amp;(B112+1))</f>
        <v>4001/4002</v>
      </c>
      <c r="L112" s="217" t="str">
        <f>VLOOKUP(A112,'Trips&amp;Operators'!$C$1:$G$99911,5,FALSE)</f>
        <v>LOPES KIMBERLY</v>
      </c>
      <c r="M112" s="6">
        <f>I112-F112</f>
        <v>2.6932870372547768E-2</v>
      </c>
      <c r="N112" s="7">
        <f>24*60*SUM($M112:$M112)</f>
        <v>38.783333336468786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-08-23T15:34:10-0600',mode:absolute,to:'2017-08-23T18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23.297499999999999</v>
      </c>
      <c r="Z112" s="197">
        <f>RIGHT(H112,LEN(H112)-4)/10000</f>
        <v>1.34E-2</v>
      </c>
      <c r="AA112" s="197">
        <f>ABS(Z112-Y112)</f>
        <v>23.284099999999999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6">
        <f>VALUE(LEFT(A112,LEN(A112)-3))</f>
        <v>198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s3://rtdc.mdm.uploadarchive.raw/RTDC4001/ "%USERPROFILE%\AppData\Local\Temp\OnboardLogs"\RTDC4001\2017-08-23 --exclude "*" --recursive --include "*20170823*" &amp; "%USERPROFILE%\Documents\GitHub\mrs-test-scripts\Headless Mode &amp; Sideloading\WalkAndUnGZ.bat" "%USERPROFILE%\AppData\Local\Temp\OnboardLogs"\RTDC4001\2017-08-23 &amp; aws s3 cp s3://rtdc.mdm.uploadarchive.raw/RTDC4001/ "%USERPROFILE%\AppData\Local\Temp\OnboardLogs"\RTDC4001\2017-08-24 --exclude "*" --recursive --include "*20170824*" &amp; "%USERPROFILE%\Documents\GitHub\mrs-test-scripts\Headless Mode &amp; Sideloading\WalkAndUnGZ.bat" "%USERPROFILE%\AppData\Local\Temp\OnboardLogs"\RTDC4001\2017-08-24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/stypes="app*4001*20170823*" /stext=" 23:.+((SYSTEM_STATE.+slice.+state.+changed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9"/>
        <v>"%USERPROFILE%\Documents\GitHub\eaglep3\Utilities\RefineRTDCRunTimes.py" --tripid 198-23 --locoid 4001 --swversion DE.1.0.9.0 --startMP 204:232975 --initTime 2017-08-23T16:34:10 --startdatetime 2017-08-23T16:42:27 --delay 1 --endMP 204:134 --enddatetime 2017-08-23T17:21:14 --enforcementcount 1 &gt;&gt;C:\Users\stu\Documents\GitHub\eaglep3-reporting\EC\2017-08-23-refined-times.txt</v>
      </c>
      <c r="AI112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{"issue":{"subject":"","project_id":79,"tracker_id":40,"status_id":1,"priority_id":2,"assigned_to_id":23,"start_date":"2017-08-23","description":"","custom_fields":[{"id":1,"name":"Subdivision","value":"EC"},{"id":4,"name":"Milepost","value":"0.0134"},{"id":17,"name":"Train ID","value":"198-23"},{"id":16,"name":"Locomotive ID","value":"4001"},{"id":130,"name":"Impact","value":""},{"id":150,"name":"Time of Event (Mountain Time)","value":"17:21:14"},{"id":151,"name":"Denver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1"/>
        <v>start /low /b %USERPROFILE%\Documents\GitHub\eaglep3\Utilities\DownloadLogsFromS3.py --loco 4001 --day 2017-08-23</v>
      </c>
      <c r="AN112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729</v>
      </c>
      <c r="B113" s="7">
        <v>4042</v>
      </c>
      <c r="C113" s="21" t="s">
        <v>197</v>
      </c>
      <c r="D113" s="21" t="s">
        <v>865</v>
      </c>
      <c r="E113" s="13">
        <v>42970.662685185183</v>
      </c>
      <c r="F113" s="13">
        <v>42970.667337962965</v>
      </c>
      <c r="G113" s="7">
        <v>2</v>
      </c>
      <c r="H113" s="21" t="s">
        <v>517</v>
      </c>
      <c r="I113" s="13">
        <v>42970.693599537037</v>
      </c>
      <c r="J113" s="7">
        <v>1</v>
      </c>
      <c r="K113" s="89" t="str">
        <f>IF(ISEVEN(B113),(B113-1)&amp;"/"&amp;B113,B113&amp;"/"&amp;(B113+1))</f>
        <v>4041/4042</v>
      </c>
      <c r="L113" s="217" t="str">
        <f>VLOOKUP(A113,'Trips&amp;Operators'!$C$1:$G$99911,5,FALSE)</f>
        <v>DAVIS MICHAEL</v>
      </c>
      <c r="M113" s="6">
        <f>I113-F113</f>
        <v>2.626157407212304E-2</v>
      </c>
      <c r="N113" s="7">
        <f>24*60*SUM($M113:$M113)</f>
        <v>37.816666663857177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-08-23T14:54:16-0600',mode:absolute,to:'2017-08-23T17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4.82E-2</v>
      </c>
      <c r="Z113" s="197">
        <f>RIGHT(H113,LEN(H113)-4)/10000</f>
        <v>23.336400000000001</v>
      </c>
      <c r="AA113" s="197">
        <f>ABS(Z113-Y113)</f>
        <v>23.2882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>VALUE(LEFT(A113,LEN(A113)-3))</f>
        <v>199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/stypes="app*4042*20170823*" /stext=" 22:.+((SYSTEM_STATE.+slice.+state.+changed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9"/>
        <v>"%USERPROFILE%\Documents\GitHub\eaglep3\Utilities\RefineRTDCRunTimes.py" --tripid 199-23 --locoid 4042 --swversion DE.1.0.9.0 --startMP 204:482 --initTime 2017-08-23T15:54:16 --startdatetime 2017-08-23T16:00:58 --delay 2 --endMP 204:233364 --enddatetime 2017-08-23T16:38:47 --enforcementcount 1 &gt;&gt;C:\Users\stu\Documents\GitHub\eaglep3-reporting\EC\2017-08-23-refined-times.txt</v>
      </c>
      <c r="AI113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{"issue":{"subject":"","project_id":79,"tracker_id":40,"status_id":1,"priority_id":2,"assigned_to_id":23,"start_date":"2017-08-23","description":"","custom_fields":[{"id":1,"name":"Subdivision","value":"EC"},{"id":4,"name":"Milepost","value":"23.3364"},{"id":17,"name":"Train ID","value":"199-23"},{"id":16,"name":"Locomotive ID","value":"4042"},{"id":130,"name":"Impact","value":""},{"id":150,"name":"Time of Event (Mountain Time)","value":"16:38:47"},{"id":151,"name":"Denver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1"/>
        <v>start /low /b %USERPROFILE%\Documents\GitHub\eaglep3\Utilities\DownloadLogsFromS3.py --loco 4042 --day 2017-08-23</v>
      </c>
      <c r="AN113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744</v>
      </c>
      <c r="B114" s="7">
        <v>4041</v>
      </c>
      <c r="C114" s="21" t="s">
        <v>197</v>
      </c>
      <c r="D114" s="21" t="s">
        <v>878</v>
      </c>
      <c r="E114" s="13">
        <v>42970.704826388886</v>
      </c>
      <c r="F114" s="13">
        <v>42970.706944444442</v>
      </c>
      <c r="G114" s="7">
        <v>2</v>
      </c>
      <c r="H114" s="21" t="s">
        <v>346</v>
      </c>
      <c r="I114" s="13">
        <v>42970.734988425924</v>
      </c>
      <c r="J114" s="7">
        <v>1</v>
      </c>
      <c r="K114" s="89" t="str">
        <f>IF(ISEVEN(B114),(B114-1)&amp;"/"&amp;B114,B114&amp;"/"&amp;(B114+1))</f>
        <v>4041/4042</v>
      </c>
      <c r="L114" s="217" t="str">
        <f>VLOOKUP(A114,'Trips&amp;Operators'!$C$1:$G$99911,5,FALSE)</f>
        <v>DAVIS MICHAEL</v>
      </c>
      <c r="M114" s="6">
        <f>I114-F114</f>
        <v>2.8043981481459923E-2</v>
      </c>
      <c r="N114" s="7">
        <f>24*60*SUM($M114:$M114)</f>
        <v>40.383333333302289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-08-23T15:54:57-0600',mode:absolute,to:'2017-08-23T18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23.304200000000002</v>
      </c>
      <c r="Z114" s="197">
        <f>RIGHT(H114,LEN(H114)-4)/10000</f>
        <v>1.47E-2</v>
      </c>
      <c r="AA114" s="197">
        <f>ABS(Z114-Y114)</f>
        <v>23.2895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>VALUE(LEFT(A114,LEN(A114)-3))</f>
        <v>200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/stypes="app*4041*20170823*" /stext=" 23:.+((SYSTEM_STATE.+slice.+state.+changed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9"/>
        <v>"%USERPROFILE%\Documents\GitHub\eaglep3\Utilities\RefineRTDCRunTimes.py" --tripid 200-23 --locoid 4041 --swversion DE.1.0.9.0 --startMP 204:233042 --initTime 2017-08-23T16:54:57 --startdatetime 2017-08-23T16:58:00 --delay 2 --endMP 204:147 --enddatetime 2017-08-23T17:38:23 --enforcementcount 1 &gt;&gt;C:\Users\stu\Documents\GitHub\eaglep3-reporting\EC\2017-08-23-refined-times.txt</v>
      </c>
      <c r="AI114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{"issue":{"subject":"","project_id":79,"tracker_id":40,"status_id":1,"priority_id":2,"assigned_to_id":23,"start_date":"2017-08-23","description":"","custom_fields":[{"id":1,"name":"Subdivision","value":"EC"},{"id":4,"name":"Milepost","value":"0.0147"},{"id":17,"name":"Train ID","value":"200-23"},{"id":16,"name":"Locomotive ID","value":"4041"},{"id":130,"name":"Impact","value":""},{"id":150,"name":"Time of Event (Mountain Time)","value":"17:38:23"},{"id":151,"name":"Denver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1"/>
        <v>start /low /b %USERPROFILE%\Documents\GitHub\eaglep3\Utilities\DownloadLogsFromS3.py --loco 4041 --day 2017-08-23</v>
      </c>
      <c r="AN114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733</v>
      </c>
      <c r="B115" s="7">
        <v>4012</v>
      </c>
      <c r="C115" s="21" t="s">
        <v>197</v>
      </c>
      <c r="D115" s="21" t="s">
        <v>814</v>
      </c>
      <c r="E115" s="13">
        <v>42970.67355324074</v>
      </c>
      <c r="F115" s="13">
        <v>42970.67763888889</v>
      </c>
      <c r="G115" s="7">
        <v>1</v>
      </c>
      <c r="H115" s="21" t="s">
        <v>861</v>
      </c>
      <c r="I115" s="13">
        <v>42970.703715277778</v>
      </c>
      <c r="J115" s="7">
        <v>1</v>
      </c>
      <c r="K115" s="89" t="str">
        <f>IF(ISEVEN(B115),(B115-1)&amp;"/"&amp;B115,B115&amp;"/"&amp;(B115+1))</f>
        <v>4011/4012</v>
      </c>
      <c r="L115" s="217" t="str">
        <f>VLOOKUP(A115,'Trips&amp;Operators'!$C$1:$G$99911,5,FALSE)</f>
        <v>TOUSIGNAUT CARL</v>
      </c>
      <c r="M115" s="6">
        <f>I115-F115</f>
        <v>2.6076388887304347E-2</v>
      </c>
      <c r="N115" s="7">
        <f>24*60*SUM($M115:$M115)</f>
        <v>37.54999999771826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-08-23T15:09:55-0600',mode:absolute,to:'2017-08-23T17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4.3299999999999998E-2</v>
      </c>
      <c r="Z115" s="197">
        <f>RIGHT(H115,LEN(H115)-4)/10000</f>
        <v>23.336200000000002</v>
      </c>
      <c r="AA115" s="197">
        <f>ABS(Z115-Y115)</f>
        <v>23.292900000000003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6">
        <f>VALUE(LEFT(A115,LEN(A115)-3))</f>
        <v>201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 &amp; aws s3 cp s3://rtdc.mdm.uploadarchive.raw/RTDC4012/ "%USERPROFILE%\AppData\Local\Temp\OnboardLogs"\RTDC4012\2017-08-24 --exclude "*" --recursive --include "*20170824*" &amp; "%USERPROFILE%\Documents\GitHub\mrs-test-scripts\Headless Mode &amp; Sideloading\WalkAndUnGZ.bat" "%USERPROFILE%\AppData\Local\Temp\OnboardLogs"\RTDC4012\2017-08-24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/stypes="app*4012*20170823*" /stext=" 22:.+((SYSTEM_STATE.+slice.+state.+changed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9"/>
        <v>"%USERPROFILE%\Documents\GitHub\eaglep3\Utilities\RefineRTDCRunTimes.py" --tripid 201-23 --locoid 4012 --swversion DE.1.0.9.0 --startMP 204:433 --initTime 2017-08-23T16:09:55 --startdatetime 2017-08-23T16:15:48 --delay 1 --endMP 204:233362 --enddatetime 2017-08-23T16:53:21 --enforcementcount 1 &gt;&gt;C:\Users\stu\Documents\GitHub\eaglep3-reporting\EC\2017-08-23-refined-times.txt</v>
      </c>
      <c r="AI115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{"issue":{"subject":"","project_id":79,"tracker_id":40,"status_id":1,"priority_id":2,"assigned_to_id":23,"start_date":"2017-08-23","description":"","custom_fields":[{"id":1,"name":"Subdivision","value":"EC"},{"id":4,"name":"Milepost","value":"23.3362"},{"id":17,"name":"Train ID","value":"201-23"},{"id":16,"name":"Locomotive ID","value":"4012"},{"id":130,"name":"Impact","value":""},{"id":150,"name":"Time of Event (Mountain Time)","value":"16:53:21"},{"id":151,"name":"Denver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1"/>
        <v>start /low /b %USERPROFILE%\Documents\GitHub\eaglep3\Utilities\DownloadLogsFromS3.py --loco 4012 --day 2017-08-23</v>
      </c>
      <c r="AN115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580</v>
      </c>
      <c r="B116" s="7">
        <v>4011</v>
      </c>
      <c r="C116" s="21" t="s">
        <v>197</v>
      </c>
      <c r="D116" s="21" t="s">
        <v>870</v>
      </c>
      <c r="E116" s="13">
        <v>42970.710914351854</v>
      </c>
      <c r="F116" s="13">
        <v>42970.716967592591</v>
      </c>
      <c r="G116" s="7">
        <v>1</v>
      </c>
      <c r="H116" s="21" t="s">
        <v>525</v>
      </c>
      <c r="I116" s="13">
        <v>42970.743043981478</v>
      </c>
      <c r="J116" s="7">
        <v>1</v>
      </c>
      <c r="K116" s="89" t="str">
        <f>IF(ISEVEN(B116),(B116-1)&amp;"/"&amp;B116,B116&amp;"/"&amp;(B116+1))</f>
        <v>4011/4012</v>
      </c>
      <c r="L116" s="217" t="str">
        <f>VLOOKUP(A116,'Trips&amp;Operators'!$C$1:$G$99911,5,FALSE)</f>
        <v>TOUSIGNAUT CARL</v>
      </c>
      <c r="M116" s="6">
        <f>I116-F116</f>
        <v>2.6076388887304347E-2</v>
      </c>
      <c r="N116" s="7">
        <f>24*60*SUM($M116:$M116)</f>
        <v>37.54999999771826</v>
      </c>
      <c r="O116" s="7"/>
      <c r="P116" s="7"/>
      <c r="Q116" s="22"/>
      <c r="R116" s="170"/>
      <c r="S116" s="213">
        <f>1/IF(AG116="EC",12,1)*SUM(U116:U116)</f>
        <v>1</v>
      </c>
      <c r="T116" s="195" t="str">
        <f>IF(ISEVEN(LEFT(AD116,4)),"Southbound","NorthBound")</f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-08-23T16:03:43-0600',mode:absolute,to:'2017-08-23T18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23.3034</v>
      </c>
      <c r="Z116" s="197">
        <f>RIGHT(H116,LEN(H116)-4)/10000</f>
        <v>1.2999999999999999E-2</v>
      </c>
      <c r="AA116" s="197">
        <f>ABS(Z116-Y116)</f>
        <v>23.290399999999998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6">
        <f>VALUE(LEFT(A116,LEN(A116)-3))</f>
        <v>202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 &amp; aws s3 cp s3://rtdc.mdm.uploadarchive.raw/RTDC4011/ "%USERPROFILE%\AppData\Local\Temp\OnboardLogs"\RTDC4011\2017-08-24 --exclude "*" --recursive --include "*20170824*" &amp; "%USERPROFILE%\Documents\GitHub\mrs-test-scripts\Headless Mode &amp; Sideloading\WalkAndUnGZ.bat" "%USERPROFILE%\AppData\Local\Temp\OnboardLogs"\RTDC4011\2017-08-24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/stypes="app*4011*20170823*" /stext=" 23:.+((SYSTEM_STATE.+slice.+state.+changed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9"/>
        <v>"%USERPROFILE%\Documents\GitHub\eaglep3\Utilities\RefineRTDCRunTimes.py" --tripid 202-23 --locoid 4011 --swversion DE.1.0.9.0 --startMP 204:233034 --initTime 2017-08-23T17:03:43 --startdatetime 2017-08-23T17:12:26 --delay 1 --endMP 204:130 --enddatetime 2017-08-23T17:49:59 --enforcementcount 1 &gt;&gt;C:\Users\stu\Documents\GitHub\eaglep3-reporting\EC\2017-08-23-refined-times.txt</v>
      </c>
      <c r="AI116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{"issue":{"subject":"","project_id":79,"tracker_id":40,"status_id":1,"priority_id":2,"assigned_to_id":23,"start_date":"2017-08-23","description":"","custom_fields":[{"id":1,"name":"Subdivision","value":"EC"},{"id":4,"name":"Milepost","value":"0.013"},{"id":17,"name":"Train ID","value":"202-23"},{"id":16,"name":"Locomotive ID","value":"4011"},{"id":130,"name":"Impact","value":""},{"id":150,"name":"Time of Event (Mountain Time)","value":"17:49:59"},{"id":151,"name":"Denver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1"/>
        <v>start /low /b %USERPROFILE%\Documents\GitHub\eaglep3\Utilities\DownloadLogsFromS3.py --loco 4011 --day 2017-08-23</v>
      </c>
      <c r="AN116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735</v>
      </c>
      <c r="B117" s="7">
        <v>4028</v>
      </c>
      <c r="C117" s="21" t="s">
        <v>197</v>
      </c>
      <c r="D117" s="21" t="s">
        <v>344</v>
      </c>
      <c r="E117" s="13">
        <v>42970.683807870373</v>
      </c>
      <c r="F117" s="13">
        <v>42970.688148148147</v>
      </c>
      <c r="G117" s="7">
        <v>1</v>
      </c>
      <c r="H117" s="21" t="s">
        <v>414</v>
      </c>
      <c r="I117" s="13">
        <v>42970.713553240741</v>
      </c>
      <c r="J117" s="7">
        <v>1</v>
      </c>
      <c r="K117" s="89" t="str">
        <f>IF(ISEVEN(B117),(B117-1)&amp;"/"&amp;B117,B117&amp;"/"&amp;(B117+1))</f>
        <v>4027/4028</v>
      </c>
      <c r="L117" s="217" t="str">
        <f>VLOOKUP(A117,'Trips&amp;Operators'!$C$1:$G$99911,5,FALSE)</f>
        <v>STEWART MICHAEL</v>
      </c>
      <c r="M117" s="6">
        <f>I117-F117</f>
        <v>2.5405092594155576E-2</v>
      </c>
      <c r="N117" s="7">
        <f>24*60*SUM($M117:$M117)</f>
        <v>36.58333333558403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-08-23T15:24:41-0600',mode:absolute,to:'2017-08-23T18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4.4699999999999997E-2</v>
      </c>
      <c r="Z117" s="197">
        <f>RIGHT(H117,LEN(H117)-4)/10000</f>
        <v>23.331199999999999</v>
      </c>
      <c r="AA117" s="197">
        <f>ABS(Z117-Y117)</f>
        <v>23.2865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>VALUE(LEFT(A117,LEN(A117)-3))</f>
        <v>203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/stypes="app*4028*20170823*" /stext=" 23:.+((SYSTEM_STATE.+slice.+state.+changed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9"/>
        <v>"%USERPROFILE%\Documents\GitHub\eaglep3\Utilities\RefineRTDCRunTimes.py" --tripid 203-23 --locoid 4028 --swversion DE.1.0.9.0 --startMP 204:447 --initTime 2017-08-23T16:24:41 --startdatetime 2017-08-23T16:30:56 --delay 1 --endMP 204:233312 --enddatetime 2017-08-23T17:07:31 --enforcementcount 1 &gt;&gt;C:\Users\stu\Documents\GitHub\eaglep3-reporting\EC\2017-08-23-refined-times.txt</v>
      </c>
      <c r="AI117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{"issue":{"subject":"","project_id":79,"tracker_id":40,"status_id":1,"priority_id":2,"assigned_to_id":23,"start_date":"2017-08-23","description":"","custom_fields":[{"id":1,"name":"Subdivision","value":"EC"},{"id":4,"name":"Milepost","value":"23.3312"},{"id":17,"name":"Train ID","value":"203-23"},{"id":16,"name":"Locomotive ID","value":"4028"},{"id":130,"name":"Impact","value":""},{"id":150,"name":"Time of Event (Mountain Time)","value":"17:07:31"},{"id":151,"name":"Denver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1"/>
        <v>start /low /b %USERPROFILE%\Documents\GitHub\eaglep3\Utilities\DownloadLogsFromS3.py --loco 4028 --day 2017-08-23</v>
      </c>
      <c r="AN117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749</v>
      </c>
      <c r="B118" s="7">
        <v>4027</v>
      </c>
      <c r="C118" s="21" t="s">
        <v>197</v>
      </c>
      <c r="D118" s="21" t="s">
        <v>465</v>
      </c>
      <c r="E118" s="13">
        <v>42970.724386574075</v>
      </c>
      <c r="F118" s="13">
        <v>42970.727476851855</v>
      </c>
      <c r="G118" s="7">
        <v>1</v>
      </c>
      <c r="H118" s="21" t="s">
        <v>509</v>
      </c>
      <c r="I118" s="13">
        <v>42970.754699074074</v>
      </c>
      <c r="J118" s="7">
        <v>1</v>
      </c>
      <c r="K118" s="89" t="str">
        <f>IF(ISEVEN(B118),(B118-1)&amp;"/"&amp;B118,B118&amp;"/"&amp;(B118+1))</f>
        <v>4027/4028</v>
      </c>
      <c r="L118" s="217" t="str">
        <f>VLOOKUP(A118,'Trips&amp;Operators'!$C$1:$G$99911,5,FALSE)</f>
        <v>STEWART MICHAEL</v>
      </c>
      <c r="M118" s="6">
        <f>I118-F118</f>
        <v>2.7222222219279502E-2</v>
      </c>
      <c r="N118" s="7">
        <f>24*60*SUM($M118:$M118)</f>
        <v>39.199999995762482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-08-23T16:23:07-0600',mode:absolute,to:'2017-08-23T19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23.297899999999998</v>
      </c>
      <c r="Z118" s="197">
        <f>RIGHT(H118,LEN(H118)-4)/10000</f>
        <v>1.61E-2</v>
      </c>
      <c r="AA118" s="197">
        <f>ABS(Z118-Y118)</f>
        <v>23.281799999999997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>VALUE(LEFT(A118,LEN(A118)-3))</f>
        <v>204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/stypes="app*4027*20170824*" /stext=" 00:.+((SYSTEM_STATE.+slice.+state.+changed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9"/>
        <v>"%USERPROFILE%\Documents\GitHub\eaglep3\Utilities\RefineRTDCRunTimes.py" --tripid 204-23 --locoid 4027 --swversion DE.1.0.9.0 --startMP 204:232979 --initTime 2017-08-23T17:23:07 --startdatetime 2017-08-23T17:27:34 --delay 1 --endMP 204:161 --enddatetime 2017-08-23T18:06:46 --enforcementcount 1 &gt;&gt;C:\Users\stu\Documents\GitHub\eaglep3-reporting\EC\2017-08-23-refined-times.txt</v>
      </c>
      <c r="AI118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{"issue":{"subject":"","project_id":79,"tracker_id":40,"status_id":1,"priority_id":2,"assigned_to_id":23,"start_date":"2017-08-23","description":"","custom_fields":[{"id":1,"name":"Subdivision","value":"EC"},{"id":4,"name":"Milepost","value":"0.0161"},{"id":17,"name":"Train ID","value":"204-23"},{"id":16,"name":"Locomotive ID","value":"4027"},{"id":130,"name":"Impact","value":""},{"id":150,"name":"Time of Event (Mountain Time)","value":"18:06:46"},{"id":151,"name":"Denver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1"/>
        <v>start /low /b %USERPROFILE%\Documents\GitHub\eaglep3\Utilities\DownloadLogsFromS3.py --loco 4027 --day 2017-08-23</v>
      </c>
      <c r="AN118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741</v>
      </c>
      <c r="B119" s="7">
        <v>4030</v>
      </c>
      <c r="C119" s="21" t="s">
        <v>197</v>
      </c>
      <c r="D119" s="21" t="s">
        <v>390</v>
      </c>
      <c r="E119" s="13">
        <v>42970.692523148151</v>
      </c>
      <c r="F119" s="13">
        <v>42970.698495370372</v>
      </c>
      <c r="G119" s="7">
        <v>1</v>
      </c>
      <c r="H119" s="21" t="s">
        <v>512</v>
      </c>
      <c r="I119" s="13">
        <v>42970.72378472222</v>
      </c>
      <c r="J119" s="7">
        <v>1</v>
      </c>
      <c r="K119" s="89" t="str">
        <f>IF(ISEVEN(B119),(B119-1)&amp;"/"&amp;B119,B119&amp;"/"&amp;(B119+1))</f>
        <v>4029/4030</v>
      </c>
      <c r="L119" s="217" t="str">
        <f>VLOOKUP(A119,'Trips&amp;Operators'!$C$1:$G$99911,5,FALSE)</f>
        <v>ROMERO CHAD</v>
      </c>
      <c r="M119" s="6">
        <f>I119-F119</f>
        <v>2.5289351848186925E-2</v>
      </c>
      <c r="N119" s="7">
        <f>24*60*SUM($M119:$M119)</f>
        <v>36.416666661389172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-08-23T15:37:14-0600',mode:absolute,to:'2017-08-23T18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4.4400000000000002E-2</v>
      </c>
      <c r="Z119" s="197">
        <f>RIGHT(H119,LEN(H119)-4)/10000</f>
        <v>23.340699999999998</v>
      </c>
      <c r="AA119" s="197">
        <f>ABS(Z119-Y119)</f>
        <v>23.296299999999999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6">
        <f>VALUE(LEFT(A119,LEN(A119)-3))</f>
        <v>205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/stypes="app*4030*20170823*" /stext=" 23:.+((SYSTEM_STATE.+slice.+state.+changed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9"/>
        <v>"%USERPROFILE%\Documents\GitHub\eaglep3\Utilities\RefineRTDCRunTimes.py" --tripid 205-23 --locoid 4030 --swversion DE.1.0.9.0 --startMP 204:444 --initTime 2017-08-23T16:37:14 --startdatetime 2017-08-23T16:45:50 --delay 1 --endMP 204:233407 --enddatetime 2017-08-23T17:22:15 --enforcementcount 1 &gt;&gt;C:\Users\stu\Documents\GitHub\eaglep3-reporting\EC\2017-08-23-refined-times.txt</v>
      </c>
      <c r="AI119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{"issue":{"subject":"","project_id":79,"tracker_id":40,"status_id":1,"priority_id":2,"assigned_to_id":23,"start_date":"2017-08-23","description":"","custom_fields":[{"id":1,"name":"Subdivision","value":"EC"},{"id":4,"name":"Milepost","value":"23.3407"},{"id":17,"name":"Train ID","value":"205-23"},{"id":16,"name":"Locomotive ID","value":"4030"},{"id":130,"name":"Impact","value":""},{"id":150,"name":"Time of Event (Mountain Time)","value":"17:22:15"},{"id":151,"name":"Denver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1"/>
        <v>start /low /b %USERPROFILE%\Documents\GitHub\eaglep3\Utilities\DownloadLogsFromS3.py --loco 4030 --day 2017-08-23</v>
      </c>
      <c r="AN119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751</v>
      </c>
      <c r="B120" s="7">
        <v>4029</v>
      </c>
      <c r="C120" s="21" t="s">
        <v>197</v>
      </c>
      <c r="D120" s="21" t="s">
        <v>829</v>
      </c>
      <c r="E120" s="13">
        <v>42970.724953703706</v>
      </c>
      <c r="F120" s="13">
        <v>42970.73778935185</v>
      </c>
      <c r="G120" s="7">
        <v>15</v>
      </c>
      <c r="H120" s="21" t="s">
        <v>416</v>
      </c>
      <c r="I120" s="13">
        <v>42970.763032407405</v>
      </c>
      <c r="J120" s="7">
        <v>1</v>
      </c>
      <c r="K120" s="89" t="str">
        <f>IF(ISEVEN(B120),(B120-1)&amp;"/"&amp;B120,B120&amp;"/"&amp;(B120+1))</f>
        <v>4029/4030</v>
      </c>
      <c r="L120" s="217" t="str">
        <f>VLOOKUP(A120,'Trips&amp;Operators'!$C$1:$G$99911,5,FALSE)</f>
        <v>ROMERO CHAD</v>
      </c>
      <c r="M120" s="6">
        <f>I120-F120</f>
        <v>2.5243055555620231E-2</v>
      </c>
      <c r="N120" s="7">
        <f>24*60*SUM($M120:$M120)</f>
        <v>36.350000000093132</v>
      </c>
      <c r="O120" s="7"/>
      <c r="P120" s="7"/>
      <c r="Q120" s="22"/>
      <c r="R120" s="170"/>
      <c r="S120" s="213">
        <f>1/IF(AG120="EC",12,1)*SUM(U120:U120)</f>
        <v>1</v>
      </c>
      <c r="T120" s="195" t="str">
        <f>IF(ISEVEN(LEFT(AD120,4)),"Southbound","NorthBound")</f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-08-23T16:23:56-0600',mode:absolute,to:'2017-08-23T19:18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23.307099999999998</v>
      </c>
      <c r="Z120" s="197">
        <f>RIGHT(H120,LEN(H120)-4)/10000</f>
        <v>1.34E-2</v>
      </c>
      <c r="AA120" s="197">
        <f>ABS(Z120-Y120)</f>
        <v>23.293699999999998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>VALUE(LEFT(A120,LEN(A120)-3))</f>
        <v>206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/stypes="app*4029*20170824*" /stext=" 00:.+((SYSTEM_STATE.+slice.+state.+changed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9"/>
        <v>"%USERPROFILE%\Documents\GitHub\eaglep3\Utilities\RefineRTDCRunTimes.py" --tripid 206-23 --locoid 4029 --swversion DE.1.0.9.0 --startMP 204:233071 --initTime 2017-08-23T17:23:56 --startdatetime 2017-08-23T17:42:25 --delay 15 --endMP 204:134 --enddatetime 2017-08-23T18:18:46 --enforcementcount 1 &gt;&gt;C:\Users\stu\Documents\GitHub\eaglep3-reporting\EC\2017-08-23-refined-times.txt</v>
      </c>
      <c r="AI120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{"issue":{"subject":"","project_id":79,"tracker_id":40,"status_id":1,"priority_id":2,"assigned_to_id":23,"start_date":"2017-08-23","description":"","custom_fields":[{"id":1,"name":"Subdivision","value":"EC"},{"id":4,"name":"Milepost","value":"0.0134"},{"id":17,"name":"Train ID","value":"206-23"},{"id":16,"name":"Locomotive ID","value":"4029"},{"id":130,"name":"Impact","value":""},{"id":150,"name":"Time of Event (Mountain Time)","value":"18:18:46"},{"id":151,"name":"Denver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1"/>
        <v>start /low /b %USERPROFILE%\Documents\GitHub\eaglep3\Utilities\DownloadLogsFromS3.py --loco 4029 --day 2017-08-23</v>
      </c>
      <c r="AN120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743</v>
      </c>
      <c r="B121" s="7">
        <v>4050</v>
      </c>
      <c r="C121" s="21" t="s">
        <v>197</v>
      </c>
      <c r="D121" s="21" t="s">
        <v>406</v>
      </c>
      <c r="E121" s="13">
        <v>42970.704560185186</v>
      </c>
      <c r="F121" s="13">
        <v>42970.708865740744</v>
      </c>
      <c r="G121" s="7">
        <v>1</v>
      </c>
      <c r="H121" s="21" t="s">
        <v>407</v>
      </c>
      <c r="I121" s="13">
        <v>42970.733275462961</v>
      </c>
      <c r="J121" s="7">
        <v>1</v>
      </c>
      <c r="K121" s="89" t="str">
        <f>IF(ISEVEN(B121),(B121-1)&amp;"/"&amp;B121,B121&amp;"/"&amp;(B121+1))</f>
        <v>4049/4050</v>
      </c>
      <c r="L121" s="217" t="str">
        <f>VLOOKUP(A121,'Trips&amp;Operators'!$C$1:$G$99911,5,FALSE)</f>
        <v>BRUDER RICHARD</v>
      </c>
      <c r="M121" s="6">
        <f>I121-F121</f>
        <v>2.4409722216660157E-2</v>
      </c>
      <c r="N121" s="7">
        <f>24*60*SUM($M121:$M121)</f>
        <v>35.149999991990626</v>
      </c>
      <c r="O121" s="7"/>
      <c r="P121" s="7"/>
      <c r="Q121" s="22"/>
      <c r="R121" s="170"/>
      <c r="S121" s="213">
        <f>1/IF(AG121="EC",12,1)*SUM(U121:U121)</f>
        <v>1</v>
      </c>
      <c r="T121" s="195" t="str">
        <f>IF(ISEVEN(LEFT(AD121,4)),"Southbound","NorthBound")</f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-08-23T15:54:34-0600',mode:absolute,to:'2017-08-23T18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4.3999999999999997E-2</v>
      </c>
      <c r="Z121" s="197">
        <f>RIGHT(H121,LEN(H121)-4)/10000</f>
        <v>23.331399999999999</v>
      </c>
      <c r="AA121" s="197">
        <f>ABS(Z121-Y121)</f>
        <v>23.287399999999998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6">
        <f>VALUE(LEFT(A121,LEN(A121)-3))</f>
        <v>207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/stypes="app*4050*20170823*" /stext=" 23:.+((SYSTEM_STATE.+slice.+state.+changed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9"/>
        <v>"%USERPROFILE%\Documents\GitHub\eaglep3\Utilities\RefineRTDCRunTimes.py" --tripid 207-23 --locoid 4050 --swversion DE.1.0.9.0 --startMP 204:440 --initTime 2017-08-23T16:54:34 --startdatetime 2017-08-23T17:00:46 --delay 1 --endMP 204:233314 --enddatetime 2017-08-23T17:35:55 --enforcementcount 1 &gt;&gt;C:\Users\stu\Documents\GitHub\eaglep3-reporting\EC\2017-08-23-refined-times.txt</v>
      </c>
      <c r="AI121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{"issue":{"subject":"","project_id":79,"tracker_id":40,"status_id":1,"priority_id":2,"assigned_to_id":23,"start_date":"2017-08-23","description":"","custom_fields":[{"id":1,"name":"Subdivision","value":"EC"},{"id":4,"name":"Milepost","value":"23.3314"},{"id":17,"name":"Train ID","value":"207-23"},{"id":16,"name":"Locomotive ID","value":"4050"},{"id":130,"name":"Impact","value":""},{"id":150,"name":"Time of Event (Mountain Time)","value":"17:35:55"},{"id":151,"name":"Denver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1"/>
        <v>start /low /b %USERPROFILE%\Documents\GitHub\eaglep3\Utilities\DownloadLogsFromS3.py --loco 4050 --day 2017-08-23</v>
      </c>
      <c r="AN121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763</v>
      </c>
      <c r="B122" s="7">
        <v>4049</v>
      </c>
      <c r="C122" s="21" t="s">
        <v>197</v>
      </c>
      <c r="D122" s="21" t="s">
        <v>399</v>
      </c>
      <c r="E122" s="13">
        <v>42970.745300925926</v>
      </c>
      <c r="F122" s="13">
        <v>42970.748171296298</v>
      </c>
      <c r="G122" s="7">
        <v>1</v>
      </c>
      <c r="H122" s="21" t="s">
        <v>378</v>
      </c>
      <c r="I122" s="13">
        <v>42970.774027777778</v>
      </c>
      <c r="J122" s="7">
        <v>1</v>
      </c>
      <c r="K122" s="89" t="str">
        <f>IF(ISEVEN(B122),(B122-1)&amp;"/"&amp;B122,B122&amp;"/"&amp;(B122+1))</f>
        <v>4049/4050</v>
      </c>
      <c r="L122" s="217" t="str">
        <f>VLOOKUP(A122,'Trips&amp;Operators'!$C$1:$G$99911,5,FALSE)</f>
        <v>BRUDER RICHARD</v>
      </c>
      <c r="M122" s="6">
        <f>I122-F122</f>
        <v>2.5856481479422655E-2</v>
      </c>
      <c r="N122" s="7">
        <f>24*60*SUM($M122:$M122)</f>
        <v>37.233333330368623</v>
      </c>
      <c r="O122" s="7"/>
      <c r="P122" s="7"/>
      <c r="Q122" s="22"/>
      <c r="R122" s="170"/>
      <c r="S122" s="213">
        <f>1/IF(AG122="EC",12,1)*SUM(U122:U122)</f>
        <v>1</v>
      </c>
      <c r="T122" s="195" t="str">
        <f>IF(ISEVEN(LEFT(AD122,4)),"Southbound","NorthBound")</f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-08-23T16:53:14-0600',mode:absolute,to:'2017-08-23T19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23.299800000000001</v>
      </c>
      <c r="Z122" s="197">
        <f>RIGHT(H122,LEN(H122)-4)/10000</f>
        <v>1.6E-2</v>
      </c>
      <c r="AA122" s="197">
        <f>ABS(Z122-Y122)</f>
        <v>23.283800000000003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>VALUE(LEFT(A122,LEN(A122)-3))</f>
        <v>208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s3://rtdc.mdm.uploadarchive.raw/RTDC4049/ "%USERPROFILE%\AppData\Local\Temp\OnboardLogs"\RTDC4049\2017-08-23 --exclude "*" --recursive --include "*20170823*" &amp; "%USERPROFILE%\Documents\GitHub\mrs-test-scripts\Headless Mode &amp; Sideloading\WalkAndUnGZ.bat" "%USERPROFILE%\AppData\Local\Temp\OnboardLogs"\RTDC4049\2017-08-23 &amp; aws s3 cp s3://rtdc.mdm.uploadarchive.raw/RTDC4049/ "%USERPROFILE%\AppData\Local\Temp\OnboardLogs"\RTDC4049\2017-08-24 --exclude "*" --recursive --include "*20170824*" &amp; "%USERPROFILE%\Documents\GitHub\mrs-test-scripts\Headless Mode &amp; Sideloading\WalkAndUnGZ.bat" "%USERPROFILE%\AppData\Local\Temp\OnboardLogs"\RTDC4049\2017-08-24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/stypes="app*4049*20170824*" /stext=" 00:.+((SYSTEM_STATE.+slice.+state.+changed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9"/>
        <v>"%USERPROFILE%\Documents\GitHub\eaglep3\Utilities\RefineRTDCRunTimes.py" --tripid 208-23 --locoid 4049 --swversion DE.1.0.9.0 --startMP 204:232998 --initTime 2017-08-23T17:53:14 --startdatetime 2017-08-23T17:57:22 --delay 1 --endMP 204:160 --enddatetime 2017-08-23T18:34:36 --enforcementcount 1 &gt;&gt;C:\Users\stu\Documents\GitHub\eaglep3-reporting\EC\2017-08-23-refined-times.txt</v>
      </c>
      <c r="AI122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{"issue":{"subject":"","project_id":79,"tracker_id":40,"status_id":1,"priority_id":2,"assigned_to_id":23,"start_date":"2017-08-23","description":"","custom_fields":[{"id":1,"name":"Subdivision","value":"EC"},{"id":4,"name":"Milepost","value":"0.016"},{"id":17,"name":"Train ID","value":"208-23"},{"id":16,"name":"Locomotive ID","value":"4049"},{"id":130,"name":"Impact","value":""},{"id":150,"name":"Time of Event (Mountain Time)","value":"18:34:36"},{"id":151,"name":"Denver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1"/>
        <v>start /low /b %USERPROFILE%\Documents\GitHub\eaglep3\Utilities\DownloadLogsFromS3.py --loco 4049 --day 2017-08-23</v>
      </c>
      <c r="AN122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746</v>
      </c>
      <c r="B123" s="7">
        <v>4014</v>
      </c>
      <c r="C123" s="21" t="s">
        <v>197</v>
      </c>
      <c r="D123" s="21" t="s">
        <v>390</v>
      </c>
      <c r="E123" s="13">
        <v>42970.713240740741</v>
      </c>
      <c r="F123" s="13">
        <v>42970.719305555554</v>
      </c>
      <c r="G123" s="7">
        <v>1</v>
      </c>
      <c r="H123" s="21" t="s">
        <v>821</v>
      </c>
      <c r="I123" s="13">
        <v>42970.744722222225</v>
      </c>
      <c r="J123" s="7">
        <v>1</v>
      </c>
      <c r="K123" s="89" t="str">
        <f>IF(ISEVEN(B123),(B123-1)&amp;"/"&amp;B123,B123&amp;"/"&amp;(B123+1))</f>
        <v>4013/4014</v>
      </c>
      <c r="L123" s="217" t="str">
        <f>VLOOKUP(A123,'Trips&amp;Operators'!$C$1:$G$99911,5,FALSE)</f>
        <v>LEVIN SCOTT</v>
      </c>
      <c r="M123" s="6">
        <f>I123-F123</f>
        <v>2.5416666670935228E-2</v>
      </c>
      <c r="N123" s="7">
        <f>24*60*SUM($M123:$M123)</f>
        <v>36.600000006146729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-08-23T16:07:04-0600',mode:absolute,to:'2017-08-23T18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4.4400000000000002E-2</v>
      </c>
      <c r="Z123" s="197">
        <f>RIGHT(H123,LEN(H123)-4)/10000</f>
        <v>23.3383</v>
      </c>
      <c r="AA123" s="197">
        <f>ABS(Z123-Y123)</f>
        <v>23.293900000000001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>VALUE(LEFT(A123,LEN(A123)-3))</f>
        <v>209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/stypes="app*4014*20170823*" /stext=" 23:.+((SYSTEM_STATE.+slice.+state.+changed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9"/>
        <v>"%USERPROFILE%\Documents\GitHub\eaglep3\Utilities\RefineRTDCRunTimes.py" --tripid 209-23 --locoid 4014 --swversion DE.1.0.9.0 --startMP 204:444 --initTime 2017-08-23T17:07:04 --startdatetime 2017-08-23T17:15:48 --delay 1 --endMP 204:233383 --enddatetime 2017-08-23T17:52:24 --enforcementcount 1 &gt;&gt;C:\Users\stu\Documents\GitHub\eaglep3-reporting\EC\2017-08-23-refined-times.txt</v>
      </c>
      <c r="AI123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{"issue":{"subject":"","project_id":79,"tracker_id":40,"status_id":1,"priority_id":2,"assigned_to_id":23,"start_date":"2017-08-23","description":"","custom_fields":[{"id":1,"name":"Subdivision","value":"EC"},{"id":4,"name":"Milepost","value":"23.3383"},{"id":17,"name":"Train ID","value":"209-23"},{"id":16,"name":"Locomotive ID","value":"4014"},{"id":130,"name":"Impact","value":""},{"id":150,"name":"Time of Event (Mountain Time)","value":"17:52:24"},{"id":151,"name":"Denver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1"/>
        <v>start /low /b %USERPROFILE%\Documents\GitHub\eaglep3\Utilities\DownloadLogsFromS3.py --loco 4014 --day 2017-08-23</v>
      </c>
      <c r="AN123" s="151" t="str">
        <f t="shared" si="12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764</v>
      </c>
      <c r="B124" s="7">
        <v>4013</v>
      </c>
      <c r="C124" s="21" t="s">
        <v>197</v>
      </c>
      <c r="D124" s="21" t="s">
        <v>879</v>
      </c>
      <c r="E124" s="13">
        <v>42970.753391203703</v>
      </c>
      <c r="F124" s="13">
        <v>42970.758553240739</v>
      </c>
      <c r="G124" s="7">
        <v>0</v>
      </c>
      <c r="H124" s="21" t="s">
        <v>509</v>
      </c>
      <c r="I124" s="13">
        <v>42970.784490740742</v>
      </c>
      <c r="J124" s="7">
        <v>1</v>
      </c>
      <c r="K124" s="89" t="str">
        <f>IF(ISEVEN(B124),(B124-1)&amp;"/"&amp;B124,B124&amp;"/"&amp;(B124+1))</f>
        <v>4013/4014</v>
      </c>
      <c r="L124" s="217" t="str">
        <f>VLOOKUP(A124,'Trips&amp;Operators'!$C$1:$G$99911,5,FALSE)</f>
        <v>LEVIN SCOTT</v>
      </c>
      <c r="M124" s="6">
        <f>I124-F124</f>
        <v>2.5937500002328306E-2</v>
      </c>
      <c r="N124" s="7">
        <f>24*60*SUM($M124:$M124)</f>
        <v>37.350000003352761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-08-23T17:04:53-0600',mode:absolute,to:'2017-08-23T19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23.3078</v>
      </c>
      <c r="Z124" s="197">
        <f>RIGHT(H124,LEN(H124)-4)/10000</f>
        <v>1.61E-2</v>
      </c>
      <c r="AA124" s="197">
        <f>ABS(Z124-Y124)</f>
        <v>23.291699999999999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>VALUE(LEFT(A124,LEN(A124)-3))</f>
        <v>210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/stypes="app*4013*20170824*" /stext=" 00:.+((SYSTEM_STATE.+slice.+state.+changed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9"/>
        <v>"%USERPROFILE%\Documents\GitHub\eaglep3\Utilities\RefineRTDCRunTimes.py" --tripid 210-23 --locoid 4013 --swversion DE.1.0.9.0 --startMP 204:233078 --initTime 2017-08-23T18:04:53 --startdatetime 2017-08-23T18:12:19 --delay 0 --endMP 204:161 --enddatetime 2017-08-23T18:49:40 --enforcementcount 1 &gt;&gt;C:\Users\stu\Documents\GitHub\eaglep3-reporting\EC\2017-08-23-refined-times.txt</v>
      </c>
      <c r="AI124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{"issue":{"subject":"","project_id":79,"tracker_id":40,"status_id":1,"priority_id":2,"assigned_to_id":23,"start_date":"2017-08-23","description":"","custom_fields":[{"id":1,"name":"Subdivision","value":"EC"},{"id":4,"name":"Milepost","value":"0.0161"},{"id":17,"name":"Train ID","value":"210-23"},{"id":16,"name":"Locomotive ID","value":"4013"},{"id":130,"name":"Impact","value":""},{"id":150,"name":"Time of Event (Mountain Time)","value":"18:49:40"},{"id":151,"name":"Denver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1"/>
        <v>start /low /b %USERPROFILE%\Documents\GitHub\eaglep3\Utilities\DownloadLogsFromS3.py --loco 4013 --day 2017-08-23</v>
      </c>
      <c r="AN124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750</v>
      </c>
      <c r="B125" s="7">
        <v>4002</v>
      </c>
      <c r="C125" s="21" t="s">
        <v>197</v>
      </c>
      <c r="D125" s="21" t="s">
        <v>344</v>
      </c>
      <c r="E125" s="13">
        <v>42970.724710648145</v>
      </c>
      <c r="F125" s="13">
        <v>42970.730023148149</v>
      </c>
      <c r="G125" s="7">
        <v>1</v>
      </c>
      <c r="H125" s="21" t="s">
        <v>826</v>
      </c>
      <c r="I125" s="13">
        <v>42970.754664351851</v>
      </c>
      <c r="J125" s="7">
        <v>1</v>
      </c>
      <c r="K125" s="89" t="str">
        <f>IF(ISEVEN(B125),(B125-1)&amp;"/"&amp;B125,B125&amp;"/"&amp;(B125+1))</f>
        <v>4001/4002</v>
      </c>
      <c r="L125" s="217" t="str">
        <f>VLOOKUP(A125,'Trips&amp;Operators'!$C$1:$G$99911,5,FALSE)</f>
        <v>LOPES KIMBERLY</v>
      </c>
      <c r="M125" s="6">
        <f>I125-F125</f>
        <v>2.4641203701321501E-2</v>
      </c>
      <c r="N125" s="7">
        <f>24*60*SUM($M125:$M125)</f>
        <v>35.483333329902962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-08-23T16:23:35-0600',mode:absolute,to:'2017-08-23T19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4.4699999999999997E-2</v>
      </c>
      <c r="Z125" s="197">
        <f>RIGHT(H125,LEN(H125)-4)/10000</f>
        <v>23.332899999999999</v>
      </c>
      <c r="AA125" s="197">
        <f>ABS(Z125-Y125)</f>
        <v>23.2882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>VALUE(LEFT(A125,LEN(A125)-3))</f>
        <v>211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s3://rtdc.mdm.uploadarchive.raw/RTDC4002/ "%USERPROFILE%\AppData\Local\Temp\OnboardLogs"\RTDC4002\2017-08-23 --exclude "*" --recursive --include "*20170823*" &amp; "%USERPROFILE%\Documents\GitHub\mrs-test-scripts\Headless Mode &amp; Sideloading\WalkAndUnGZ.bat" "%USERPROFILE%\AppData\Local\Temp\OnboardLogs"\RTDC4002\2017-08-23 &amp; aws s3 cp s3://rtdc.mdm.uploadarchive.raw/RTDC4002/ "%USERPROFILE%\AppData\Local\Temp\OnboardLogs"\RTDC4002\2017-08-24 --exclude "*" --recursive --include "*20170824*" &amp; "%USERPROFILE%\Documents\GitHub\mrs-test-scripts\Headless Mode &amp; Sideloading\WalkAndUnGZ.bat" "%USERPROFILE%\AppData\Local\Temp\OnboardLogs"\RTDC4002\2017-08-24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/stypes="app*4002*20170824*" /stext=" 00:.+((SYSTEM_STATE.+slice.+state.+changed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9"/>
        <v>"%USERPROFILE%\Documents\GitHub\eaglep3\Utilities\RefineRTDCRunTimes.py" --tripid 211-23 --locoid 4002 --swversion DE.1.0.9.0 --startMP 204:447 --initTime 2017-08-23T17:23:35 --startdatetime 2017-08-23T17:31:14 --delay 1 --endMP 204:233329 --enddatetime 2017-08-23T18:06:43 --enforcementcount 1 &gt;&gt;C:\Users\stu\Documents\GitHub\eaglep3-reporting\EC\2017-08-23-refined-times.txt</v>
      </c>
      <c r="AI125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{"issue":{"subject":"","project_id":79,"tracker_id":40,"status_id":1,"priority_id":2,"assigned_to_id":23,"start_date":"2017-08-23","description":"","custom_fields":[{"id":1,"name":"Subdivision","value":"EC"},{"id":4,"name":"Milepost","value":"23.3329"},{"id":17,"name":"Train ID","value":"211-23"},{"id":16,"name":"Locomotive ID","value":"4002"},{"id":130,"name":"Impact","value":""},{"id":150,"name":"Time of Event (Mountain Time)","value":"18:06:43"},{"id":151,"name":"Denver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1"/>
        <v>start /low /b %USERPROFILE%\Documents\GitHub\eaglep3\Utilities\DownloadLogsFromS3.py --loco 4002 --day 2017-08-23</v>
      </c>
      <c r="AN125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766</v>
      </c>
      <c r="B126" s="7">
        <v>4001</v>
      </c>
      <c r="C126" s="21" t="s">
        <v>197</v>
      </c>
      <c r="D126" s="21" t="s">
        <v>880</v>
      </c>
      <c r="E126" s="13">
        <v>42970.762372685182</v>
      </c>
      <c r="F126" s="13">
        <v>42970.769224537034</v>
      </c>
      <c r="G126" s="7">
        <v>1</v>
      </c>
      <c r="H126" s="21" t="s">
        <v>345</v>
      </c>
      <c r="I126" s="13">
        <v>42970.796180555553</v>
      </c>
      <c r="J126" s="7">
        <v>1</v>
      </c>
      <c r="K126" s="89" t="str">
        <f>IF(ISEVEN(B126),(B126-1)&amp;"/"&amp;B126,B126&amp;"/"&amp;(B126+1))</f>
        <v>4001/4002</v>
      </c>
      <c r="L126" s="217" t="str">
        <f>VLOOKUP(A126,'Trips&amp;Operators'!$C$1:$G$99911,5,FALSE)</f>
        <v>LOPES KIMBERLY</v>
      </c>
      <c r="M126" s="6">
        <f>I126-F126</f>
        <v>2.6956018518831115E-2</v>
      </c>
      <c r="N126" s="7">
        <f>24*60*SUM($M126:$M126)</f>
        <v>38.816666667116806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-08-23T17:17:49-0600',mode:absolute,to:'2017-08-23T20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23.302299999999999</v>
      </c>
      <c r="Z126" s="197">
        <f>RIGHT(H126,LEN(H126)-4)/10000</f>
        <v>1.41E-2</v>
      </c>
      <c r="AA126" s="197">
        <f>ABS(Z126-Y126)</f>
        <v>23.2882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>VALUE(LEFT(A126,LEN(A126)-3))</f>
        <v>212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s3://rtdc.mdm.uploadarchive.raw/RTDC4001/ "%USERPROFILE%\AppData\Local\Temp\OnboardLogs"\RTDC4001\2017-08-23 --exclude "*" --recursive --include "*20170823*" &amp; "%USERPROFILE%\Documents\GitHub\mrs-test-scripts\Headless Mode &amp; Sideloading\WalkAndUnGZ.bat" "%USERPROFILE%\AppData\Local\Temp\OnboardLogs"\RTDC4001\2017-08-23 &amp; aws s3 cp s3://rtdc.mdm.uploadarchive.raw/RTDC4001/ "%USERPROFILE%\AppData\Local\Temp\OnboardLogs"\RTDC4001\2017-08-24 --exclude "*" --recursive --include "*20170824*" &amp; "%USERPROFILE%\Documents\GitHub\mrs-test-scripts\Headless Mode &amp; Sideloading\WalkAndUnGZ.bat" "%USERPROFILE%\AppData\Local\Temp\OnboardLogs"\RTDC4001\2017-08-24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/stypes="app*4001*20170824*" /stext=" 01:.+((SYSTEM_STATE.+slice.+state.+changed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9"/>
        <v>"%USERPROFILE%\Documents\GitHub\eaglep3\Utilities\RefineRTDCRunTimes.py" --tripid 212-23 --locoid 4001 --swversion DE.1.0.9.0 --startMP 204:233023 --initTime 2017-08-23T18:17:49 --startdatetime 2017-08-23T18:27:41 --delay 1 --endMP 204:141 --enddatetime 2017-08-23T19:06:30 --enforcementcount 1 &gt;&gt;C:\Users\stu\Documents\GitHub\eaglep3-reporting\EC\2017-08-23-refined-times.txt</v>
      </c>
      <c r="AI126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{"issue":{"subject":"","project_id":79,"tracker_id":40,"status_id":1,"priority_id":2,"assigned_to_id":23,"start_date":"2017-08-23","description":"","custom_fields":[{"id":1,"name":"Subdivision","value":"EC"},{"id":4,"name":"Milepost","value":"0.0141"},{"id":17,"name":"Train ID","value":"212-23"},{"id":16,"name":"Locomotive ID","value":"4001"},{"id":130,"name":"Impact","value":""},{"id":150,"name":"Time of Event (Mountain Time)","value":"19:06:30"},{"id":151,"name":"Denver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1"/>
        <v>start /low /b %USERPROFILE%\Documents\GitHub\eaglep3\Utilities\DownloadLogsFromS3.py --loco 4001 --day 2017-08-23</v>
      </c>
      <c r="AN126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756</v>
      </c>
      <c r="B127" s="7">
        <v>4042</v>
      </c>
      <c r="C127" s="21" t="s">
        <v>197</v>
      </c>
      <c r="D127" s="21" t="s">
        <v>392</v>
      </c>
      <c r="E127" s="13">
        <v>42970.736666666664</v>
      </c>
      <c r="F127" s="13">
        <v>42970.740057870367</v>
      </c>
      <c r="G127" s="7">
        <v>1</v>
      </c>
      <c r="H127" s="21" t="s">
        <v>516</v>
      </c>
      <c r="I127" s="13">
        <v>42970.771423611113</v>
      </c>
      <c r="J127" s="7">
        <v>1</v>
      </c>
      <c r="K127" s="89" t="str">
        <f>IF(ISEVEN(B127),(B127-1)&amp;"/"&amp;B127,B127&amp;"/"&amp;(B127+1))</f>
        <v>4041/4042</v>
      </c>
      <c r="L127" s="217" t="str">
        <f>VLOOKUP(A127,'Trips&amp;Operators'!$C$1:$G$99911,5,FALSE)</f>
        <v>RESPASS AARON</v>
      </c>
      <c r="M127" s="6">
        <f>I127-F127</f>
        <v>3.1365740745968651E-2</v>
      </c>
      <c r="N127" s="7">
        <f>24*60*SUM($M127:$M127)</f>
        <v>45.166666674194857</v>
      </c>
      <c r="O127" s="7"/>
      <c r="P127" s="7"/>
      <c r="Q127" s="22"/>
      <c r="R127" s="170"/>
      <c r="S127" s="213">
        <f>1/IF(AG127="EC",12,1)*SUM(U127:U127)</f>
        <v>1</v>
      </c>
      <c r="T127" s="195" t="str">
        <f>IF(ISEVEN(LEFT(AD127,4)),"Southbound","NorthBound")</f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-08-23T16:40:48-0600',mode:absolute,to:'2017-08-23T19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4.6600000000000003E-2</v>
      </c>
      <c r="Z127" s="197">
        <f>RIGHT(H127,LEN(H127)-4)/10000</f>
        <v>23.329699999999999</v>
      </c>
      <c r="AA127" s="197">
        <f>ABS(Z127-Y127)</f>
        <v>23.283099999999997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>VALUE(LEFT(A127,LEN(A127)-3))</f>
        <v>213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/stypes="app*4042*20170824*" /stext=" 00:.+((SYSTEM_STATE.+slice.+state.+changed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9"/>
        <v>"%USERPROFILE%\Documents\GitHub\eaglep3\Utilities\RefineRTDCRunTimes.py" --tripid 213-23 --locoid 4042 --swversion DE.1.0.9.0 --startMP 204:466 --initTime 2017-08-23T17:40:48 --startdatetime 2017-08-23T17:45:41 --delay 1 --endMP 204:233297 --enddatetime 2017-08-23T18:30:51 --enforcementcount 1 &gt;&gt;C:\Users\stu\Documents\GitHub\eaglep3-reporting\EC\2017-08-23-refined-times.txt</v>
      </c>
      <c r="AI127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{"issue":{"subject":"","project_id":79,"tracker_id":40,"status_id":1,"priority_id":2,"assigned_to_id":23,"start_date":"2017-08-23","description":"","custom_fields":[{"id":1,"name":"Subdivision","value":"EC"},{"id":4,"name":"Milepost","value":"23.3297"},{"id":17,"name":"Train ID","value":"213-23"},{"id":16,"name":"Locomotive ID","value":"4042"},{"id":130,"name":"Impact","value":""},{"id":150,"name":"Time of Event (Mountain Time)","value":"18:30:51"},{"id":151,"name":"Denver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1"/>
        <v>start /low /b %USERPROFILE%\Documents\GitHub\eaglep3\Utilities\DownloadLogsFromS3.py --loco 4042 --day 2017-08-23</v>
      </c>
      <c r="AN127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00:30:51"},{"id":29,"name":"Sharepoint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772</v>
      </c>
      <c r="B128" s="7">
        <v>4041</v>
      </c>
      <c r="C128" s="21" t="s">
        <v>197</v>
      </c>
      <c r="D128" s="21" t="s">
        <v>510</v>
      </c>
      <c r="E128" s="13">
        <v>42970.778113425928</v>
      </c>
      <c r="F128" s="13">
        <v>42970.78</v>
      </c>
      <c r="G128" s="7">
        <v>1</v>
      </c>
      <c r="H128" s="21" t="s">
        <v>398</v>
      </c>
      <c r="I128" s="13">
        <v>42970.805590277778</v>
      </c>
      <c r="J128" s="7">
        <v>1</v>
      </c>
      <c r="K128" s="89" t="str">
        <f>IF(ISEVEN(B128),(B128-1)&amp;"/"&amp;B128,B128&amp;"/"&amp;(B128+1))</f>
        <v>4041/4042</v>
      </c>
      <c r="L128" s="217" t="str">
        <f>VLOOKUP(A128,'Trips&amp;Operators'!$C$1:$G$99911,5,FALSE)</f>
        <v>RESPASS AARON</v>
      </c>
      <c r="M128" s="6">
        <f>I128-F128</f>
        <v>2.5590277778974269E-2</v>
      </c>
      <c r="N128" s="7">
        <f>24*60*SUM($M128:$M128)</f>
        <v>36.850000001722947</v>
      </c>
      <c r="O128" s="7"/>
      <c r="P128" s="7"/>
      <c r="Q128" s="22"/>
      <c r="R128" s="170"/>
      <c r="S128" s="213">
        <f>1/IF(AG128="EC",12,1)*SUM(U128:U128)</f>
        <v>1</v>
      </c>
      <c r="T128" s="195" t="str">
        <f>IF(ISEVEN(LEFT(AD128,4)),"Southbound","NorthBound")</f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-08-23T17:40:29-0600',mode:absolute,to:'2017-08-23T20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23.2973</v>
      </c>
      <c r="Z128" s="197">
        <f>RIGHT(H128,LEN(H128)-4)/10000</f>
        <v>1.5599999999999999E-2</v>
      </c>
      <c r="AA128" s="197">
        <f>ABS(Z128-Y128)</f>
        <v>23.281700000000001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6">
        <f>VALUE(LEFT(A128,LEN(A128)-3))</f>
        <v>214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/stypes="app*4041*20170824*" /stext=" 01:.+((SYSTEM_STATE.+slice.+state.+changed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9"/>
        <v>"%USERPROFILE%\Documents\GitHub\eaglep3\Utilities\RefineRTDCRunTimes.py" --tripid 214-23 --locoid 4041 --swversion DE.1.0.9.0 --startMP 204:232973 --initTime 2017-08-23T18:40:29 --startdatetime 2017-08-23T18:43:12 --delay 1 --endMP 204:156 --enddatetime 2017-08-23T19:20:03 --enforcementcount 1 &gt;&gt;C:\Users\stu\Documents\GitHub\eaglep3-reporting\EC\2017-08-23-refined-times.txt</v>
      </c>
      <c r="AI128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{"issue":{"subject":"","project_id":79,"tracker_id":40,"status_id":1,"priority_id":2,"assigned_to_id":23,"start_date":"2017-08-23","description":"","custom_fields":[{"id":1,"name":"Subdivision","value":"EC"},{"id":4,"name":"Milepost","value":"0.0156"},{"id":17,"name":"Train ID","value":"214-23"},{"id":16,"name":"Locomotive ID","value":"4041"},{"id":130,"name":"Impact","value":""},{"id":150,"name":"Time of Event (Mountain Time)","value":"19:20:03"},{"id":151,"name":"Denver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1"/>
        <v>start /low /b %USERPROFILE%\Documents\GitHub\eaglep3\Utilities\DownloadLogsFromS3.py --loco 4041 --day 2017-08-23</v>
      </c>
      <c r="AN128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582</v>
      </c>
      <c r="B129" s="7">
        <v>4012</v>
      </c>
      <c r="C129" s="21" t="s">
        <v>197</v>
      </c>
      <c r="D129" s="21" t="s">
        <v>349</v>
      </c>
      <c r="E129" s="13">
        <v>42970.747349537036</v>
      </c>
      <c r="F129" s="13">
        <v>42970.750543981485</v>
      </c>
      <c r="G129" s="7">
        <v>1</v>
      </c>
      <c r="H129" s="21" t="s">
        <v>881</v>
      </c>
      <c r="I129" s="13">
        <v>42970.765856481485</v>
      </c>
      <c r="J129" s="7">
        <v>1</v>
      </c>
      <c r="K129" s="89" t="str">
        <f>IF(ISEVEN(B129),(B129-1)&amp;"/"&amp;B129,B129&amp;"/"&amp;(B129+1))</f>
        <v>4011/4012</v>
      </c>
      <c r="L129" s="217" t="str">
        <f>VLOOKUP(A129,'Trips&amp;Operators'!$C$1:$G$99911,5,FALSE)</f>
        <v>TOUSIGNAUT CARL</v>
      </c>
      <c r="M129" s="6">
        <f>I129-F129</f>
        <v>1.5312499999708962E-2</v>
      </c>
      <c r="N129" s="7"/>
      <c r="O129" s="7"/>
      <c r="P129" s="7">
        <f>24*60*SUM($M129:$M129)</f>
        <v>22.049999999580905</v>
      </c>
      <c r="Q129" s="22"/>
      <c r="R129" s="170" t="s">
        <v>1028</v>
      </c>
      <c r="S129" s="213">
        <f>1/IF(AG129="EC",12,1)*SUM(U129:U129)</f>
        <v>1</v>
      </c>
      <c r="T129" s="195" t="str">
        <f>IF(ISEVEN(LEFT(AD129,4)),"Southbound","NorthBound")</f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-08-23T16:56:11-0600',mode:absolute,to:'2017-08-23T19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197" t="str">
        <f>IF(AA129&lt;VLOOKUP(AG129,Variables!$AC$3:$AD$8,2,FALSE),"Y","N")</f>
        <v>Y</v>
      </c>
      <c r="X129" s="197">
        <f>VALUE(LEFT(AD129,4))-VALUE(LEFT(AD128,4))</f>
        <v>1</v>
      </c>
      <c r="Y129" s="197">
        <f>RIGHT(D129,LEN(D129)-4)/10000</f>
        <v>4.6199999999999998E-2</v>
      </c>
      <c r="Z129" s="197">
        <f>RIGHT(H129,LEN(H129)-4)/10000</f>
        <v>12.7761</v>
      </c>
      <c r="AA129" s="197">
        <f>ABS(Z129-Y129)</f>
        <v>12.729899999999999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6">
        <f>VALUE(LEFT(A129,LEN(A129)-3))</f>
        <v>215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 &amp; aws s3 cp s3://rtdc.mdm.uploadarchive.raw/RTDC4012/ "%USERPROFILE%\AppData\Local\Temp\OnboardLogs"\RTDC4012\2017-08-24 --exclude "*" --recursive --include "*20170824*" &amp; "%USERPROFILE%\Documents\GitHub\mrs-test-scripts\Headless Mode &amp; Sideloading\WalkAndUnGZ.bat" "%USERPROFILE%\AppData\Local\Temp\OnboardLogs"\RTDC4012\2017-08-24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/stypes="app*4012*20170824*" /stext=" 00:.+((SYSTEM_STATE.+slice.+state.+changed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9"/>
        <v>"%USERPROFILE%\Documents\GitHub\eaglep3\Utilities\RefineRTDCRunTimes.py" --tripid 215-23 --locoid 4012 --swversion DE.1.0.9.0 --startMP 204:462 --initTime 2017-08-23T17:56:11 --startdatetime 2017-08-23T18:00:47 --delay 1 --endMP 204:127761 --enddatetime 2017-08-23T18:22:50 --enforcementcount 1 &gt;&gt;C:\Users\stu\Documents\GitHub\eaglep3-reporting\EC\2017-08-23-refined-times.txt</v>
      </c>
      <c r="AI129" s="96" t="str">
        <f t="shared" si="10"/>
        <v>echo {"issue":{"subject":"Premature downgrade at 40th 2N","project_id":79,"tracker_id":40,"status_id":1,"priority_id":2,"assigned_to_id":23,"start_date":"2017-08-23","description":"","custom_fields":[{"id":1,"name":"Subdivision","value":"EC"},{"id":4,"name":"Milepost","value":"12.7761"},{"id":17,"name":"Train ID","value":"215-23"},{"id":16,"name":"Locomotive ID","value":"4012"},{"id":130,"name":"Impact","value":""},{"id":150,"name":"Time of Event (Mountain Time)","value":"18:22:50"},{"id":151,"name":"Denver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1"/>
        <v>start /low /b %USERPROFILE%\Documents\GitHub\eaglep3\Utilities\DownloadLogsFromS3.py --loco 4012 --day 2017-08-23</v>
      </c>
      <c r="AN129" s="151" t="str">
        <f t="shared" si="12"/>
        <v>echo {"issue":{"subject":"Premature downgrade at 40th 2N","project_id":30,"tracker_id":4,"status_id":1,"priority_id":1,"assigned_to_id":10,"start_date":"2017-08-24","description":"","custom_fields":[{"id":30,"name":"Category","value":"Issue"},{"id":3,"name":"Functional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774</v>
      </c>
      <c r="B130" s="7">
        <v>4011</v>
      </c>
      <c r="C130" s="21" t="s">
        <v>197</v>
      </c>
      <c r="D130" s="21" t="s">
        <v>404</v>
      </c>
      <c r="E130" s="13">
        <v>42970.786666666667</v>
      </c>
      <c r="F130" s="13">
        <v>42970.789768518516</v>
      </c>
      <c r="G130" s="7">
        <v>1</v>
      </c>
      <c r="H130" s="21" t="s">
        <v>416</v>
      </c>
      <c r="I130" s="13">
        <v>42970.81591435185</v>
      </c>
      <c r="J130" s="7">
        <v>1</v>
      </c>
      <c r="K130" s="89" t="str">
        <f>IF(ISEVEN(B130),(B130-1)&amp;"/"&amp;B130,B130&amp;"/"&amp;(B130+1))</f>
        <v>4011/4012</v>
      </c>
      <c r="L130" s="217" t="str">
        <f>VLOOKUP(A130,'Trips&amp;Operators'!$C$1:$G$99911,5,FALSE)</f>
        <v>TOUSIGNAUT CARL</v>
      </c>
      <c r="M130" s="6">
        <f>I130-F130</f>
        <v>2.6145833333430346E-2</v>
      </c>
      <c r="N130" s="7">
        <f>24*60*SUM($M130:$M130)</f>
        <v>37.650000000139698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-08-23T17:52:48-0600',mode:absolute,to:'2017-08-23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23.2987</v>
      </c>
      <c r="Z130" s="197">
        <f>RIGHT(H130,LEN(H130)-4)/10000</f>
        <v>1.34E-2</v>
      </c>
      <c r="AA130" s="197">
        <f>ABS(Z130-Y130)</f>
        <v>23.285299999999999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6">
        <f>VALUE(LEFT(A130,LEN(A130)-3))</f>
        <v>216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 &amp; aws s3 cp s3://rtdc.mdm.uploadarchive.raw/RTDC4011/ "%USERPROFILE%\AppData\Local\Temp\OnboardLogs"\RTDC4011\2017-08-24 --exclude "*" --recursive --include "*20170824*" &amp; "%USERPROFILE%\Documents\GitHub\mrs-test-scripts\Headless Mode &amp; Sideloading\WalkAndUnGZ.bat" "%USERPROFILE%\AppData\Local\Temp\OnboardLogs"\RTDC4011\2017-08-24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/stypes="app*4011*20170824*" /stext=" 01:.+((SYSTEM_STATE.+slice.+state.+changed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9"/>
        <v>"%USERPROFILE%\Documents\GitHub\eaglep3\Utilities\RefineRTDCRunTimes.py" --tripid 216-23 --locoid 4011 --swversion DE.1.0.9.0 --startMP 204:232987 --initTime 2017-08-23T18:52:48 --startdatetime 2017-08-23T18:57:16 --delay 1 --endMP 204:134 --enddatetime 2017-08-23T19:34:55 --enforcementcount 1 &gt;&gt;C:\Users\stu\Documents\GitHub\eaglep3-reporting\EC\2017-08-23-refined-times.txt</v>
      </c>
      <c r="AI130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{"issue":{"subject":"","project_id":79,"tracker_id":40,"status_id":1,"priority_id":2,"assigned_to_id":23,"start_date":"2017-08-23","description":"","custom_fields":[{"id":1,"name":"Subdivision","value":"EC"},{"id":4,"name":"Milepost","value":"0.0134"},{"id":17,"name":"Train ID","value":"216-23"},{"id":16,"name":"Locomotive ID","value":"4011"},{"id":130,"name":"Impact","value":""},{"id":150,"name":"Time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1"/>
        <v>start /low /b %USERPROFILE%\Documents\GitHub\eaglep3\Utilities\DownloadLogsFromS3.py --loco 4011 --day 2017-08-23</v>
      </c>
      <c r="AN130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581</v>
      </c>
      <c r="B131" s="7">
        <v>4028</v>
      </c>
      <c r="C131" s="21" t="s">
        <v>197</v>
      </c>
      <c r="D131" s="21" t="s">
        <v>343</v>
      </c>
      <c r="E131" s="13">
        <v>42970.757418981484</v>
      </c>
      <c r="F131" s="13">
        <v>42970.760995370372</v>
      </c>
      <c r="G131" s="7">
        <v>2</v>
      </c>
      <c r="H131" s="21" t="s">
        <v>873</v>
      </c>
      <c r="I131" s="13">
        <v>42970.786747685182</v>
      </c>
      <c r="J131" s="7">
        <v>1</v>
      </c>
      <c r="K131" s="89" t="str">
        <f>IF(ISEVEN(B131),(B131-1)&amp;"/"&amp;B131,B131&amp;"/"&amp;(B131+1))</f>
        <v>4027/4028</v>
      </c>
      <c r="L131" s="217" t="str">
        <f>VLOOKUP(A131,'Trips&amp;Operators'!$C$1:$G$99911,5,FALSE)</f>
        <v>WEST BRYAN</v>
      </c>
      <c r="M131" s="6">
        <f>I131-F131</f>
        <v>2.5752314810233656E-2</v>
      </c>
      <c r="N131" s="7">
        <f>24*60*SUM($M131:$M131)</f>
        <v>37.083333326736465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-08-23T17:10:41-0600',mode:absolute,to:'2017-08-23T19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4.53E-2</v>
      </c>
      <c r="Z131" s="197">
        <f>RIGHT(H131,LEN(H131)-4)/10000</f>
        <v>23.3309</v>
      </c>
      <c r="AA131" s="197">
        <f>ABS(Z131-Y131)</f>
        <v>23.285599999999999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>VALUE(LEFT(A131,LEN(A131)-3))</f>
        <v>217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/stypes="app*4028*20170824*" /stext=" 00:.+((SYSTEM_STATE.+slice.+state.+changed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9"/>
        <v>"%USERPROFILE%\Documents\GitHub\eaglep3\Utilities\RefineRTDCRunTimes.py" --tripid 217-23 --locoid 4028 --swversion DE.1.0.9.0 --startMP 204:453 --initTime 2017-08-23T18:10:41 --startdatetime 2017-08-23T18:15:50 --delay 2 --endMP 204:233309 --enddatetime 2017-08-23T18:52:55 --enforcementcount 1 &gt;&gt;C:\Users\stu\Documents\GitHub\eaglep3-reporting\EC\2017-08-23-refined-times.txt</v>
      </c>
      <c r="AI131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{"issue":{"subject":"","project_id":79,"tracker_id":40,"status_id":1,"priority_id":2,"assigned_to_id":23,"start_date":"2017-08-23","description":"","custom_fields":[{"id":1,"name":"Subdivision","value":"EC"},{"id":4,"name":"Milepost","value":"23.3309"},{"id":17,"name":"Train ID","value":"217-23"},{"id":16,"name":"Locomotive ID","value":"4028"},{"id":130,"name":"Impact","value":""},{"id":150,"name":"Time of Event (Mountain Time)","value":"18:52:55"},{"id":151,"name":"Denver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1"/>
        <v>start /low /b %USERPROFILE%\Documents\GitHub\eaglep3\Utilities\DownloadLogsFromS3.py --loco 4028 --day 2017-08-23</v>
      </c>
      <c r="AN131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775</v>
      </c>
      <c r="B132" s="7">
        <v>4027</v>
      </c>
      <c r="C132" s="21" t="s">
        <v>197</v>
      </c>
      <c r="D132" s="21" t="s">
        <v>882</v>
      </c>
      <c r="E132" s="13">
        <v>42970.795752314814</v>
      </c>
      <c r="F132" s="13">
        <v>42970.800219907411</v>
      </c>
      <c r="G132" s="7">
        <v>3</v>
      </c>
      <c r="H132" s="21" t="s">
        <v>339</v>
      </c>
      <c r="I132" s="13">
        <v>42970.826990740738</v>
      </c>
      <c r="J132" s="7">
        <v>1</v>
      </c>
      <c r="K132" s="89" t="str">
        <f>IF(ISEVEN(B132),(B132-1)&amp;"/"&amp;B132,B132&amp;"/"&amp;(B132+1))</f>
        <v>4027/4028</v>
      </c>
      <c r="L132" s="217" t="str">
        <f>VLOOKUP(A132,'Trips&amp;Operators'!$C$1:$G$99911,5,FALSE)</f>
        <v>WEST BRYAN</v>
      </c>
      <c r="M132" s="6">
        <f>I132-F132</f>
        <v>2.6770833326736465E-2</v>
      </c>
      <c r="N132" s="7">
        <f>24*60*SUM($M132:$M132)</f>
        <v>38.54999999050051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-08-23T18:05:53-0600',mode:absolute,to:'2017-08-23T20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23.2971</v>
      </c>
      <c r="Z132" s="197">
        <f>RIGHT(H132,LEN(H132)-4)/10000</f>
        <v>1.49E-2</v>
      </c>
      <c r="AA132" s="197">
        <f>ABS(Z132-Y132)</f>
        <v>23.2822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6">
        <f>VALUE(LEFT(A132,LEN(A132)-3))</f>
        <v>218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/stypes="app*4027*20170824*" /stext=" 01:.+((SYSTEM_STATE.+slice.+state.+changed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9"/>
        <v>"%USERPROFILE%\Documents\GitHub\eaglep3\Utilities\RefineRTDCRunTimes.py" --tripid 218-23 --locoid 4027 --swversion DE.1.0.9.0 --startMP 204:232971 --initTime 2017-08-23T19:05:53 --startdatetime 2017-08-23T19:12:19 --delay 3 --endMP 204:149 --enddatetime 2017-08-23T19:50:52 --enforcementcount 1 &gt;&gt;C:\Users\stu\Documents\GitHub\eaglep3-reporting\EC\2017-08-23-refined-times.txt</v>
      </c>
      <c r="AI132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{"issue":{"subject":"","project_id":79,"tracker_id":40,"status_id":1,"priority_id":2,"assigned_to_id":23,"start_date":"2017-08-23","description":"","custom_fields":[{"id":1,"name":"Subdivision","value":"EC"},{"id":4,"name":"Milepost","value":"0.0149"},{"id":17,"name":"Train ID","value":"218-23"},{"id":16,"name":"Locomotive ID","value":"4027"},{"id":130,"name":"Impact","value":""},{"id":150,"name":"Time of Event (Mountain Time)","value":"19:50:52"},{"id":151,"name":"Denver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1"/>
        <v>start /low /b %USERPROFILE%\Documents\GitHub\eaglep3\Utilities\DownloadLogsFromS3.py --loco 4027 --day 2017-08-23</v>
      </c>
      <c r="AN132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767</v>
      </c>
      <c r="B133" s="7">
        <v>4030</v>
      </c>
      <c r="C133" s="21" t="s">
        <v>197</v>
      </c>
      <c r="D133" s="21" t="s">
        <v>406</v>
      </c>
      <c r="E133" s="13">
        <v>42970.765185185184</v>
      </c>
      <c r="F133" s="13">
        <v>42970.77140046296</v>
      </c>
      <c r="G133" s="7">
        <v>2</v>
      </c>
      <c r="H133" s="21" t="s">
        <v>415</v>
      </c>
      <c r="I133" s="13">
        <v>42970.796006944445</v>
      </c>
      <c r="J133" s="7">
        <v>1</v>
      </c>
      <c r="K133" s="89" t="str">
        <f>IF(ISEVEN(B133),(B133-1)&amp;"/"&amp;B133,B133&amp;"/"&amp;(B133+1))</f>
        <v>4029/4030</v>
      </c>
      <c r="L133" s="217" t="str">
        <f>VLOOKUP(A133,'Trips&amp;Operators'!$C$1:$G$99911,5,FALSE)</f>
        <v>LAMAR NEKESHA</v>
      </c>
      <c r="M133" s="6">
        <f>I133-F133</f>
        <v>2.4606481485534459E-2</v>
      </c>
      <c r="N133" s="7">
        <f>24*60*SUM($M133:$M133)</f>
        <v>35.433333339169621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-08-23T17:21:52-0600',mode:absolute,to:'2017-08-23T20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4.3999999999999997E-2</v>
      </c>
      <c r="Z133" s="197">
        <f>RIGHT(H133,LEN(H133)-4)/10000</f>
        <v>23.33</v>
      </c>
      <c r="AA133" s="197">
        <f>ABS(Z133-Y133)</f>
        <v>23.285999999999998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>VALUE(LEFT(A133,LEN(A133)-3))</f>
        <v>219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/stypes="app*4030*20170824*" /stext=" 01:.+((SYSTEM_STATE.+slice.+state.+changed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9"/>
        <v>"%USERPROFILE%\Documents\GitHub\eaglep3\Utilities\RefineRTDCRunTimes.py" --tripid 219-23 --locoid 4030 --swversion DE.1.0.9.0 --startMP 204:440 --initTime 2017-08-23T18:21:52 --startdatetime 2017-08-23T18:30:49 --delay 2 --endMP 204:233300 --enddatetime 2017-08-23T19:06:15 --enforcementcount 1 &gt;&gt;C:\Users\stu\Documents\GitHub\eaglep3-reporting\EC\2017-08-23-refined-times.txt</v>
      </c>
      <c r="AI133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{"issue":{"subject":"","project_id":79,"tracker_id":40,"status_id":1,"priority_id":2,"assigned_to_id":23,"start_date":"2017-08-23","description":"","custom_fields":[{"id":1,"name":"Subdivision","value":"EC"},{"id":4,"name":"Milepost","value":"23.33"},{"id":17,"name":"Train ID","value":"219-23"},{"id":16,"name":"Locomotive ID","value":"4030"},{"id":130,"name":"Impact","value":""},{"id":150,"name":"Time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1"/>
        <v>start /low /b %USERPROFILE%\Documents\GitHub\eaglep3\Utilities\DownloadLogsFromS3.py --loco 4030 --day 2017-08-23</v>
      </c>
      <c r="AN133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587</v>
      </c>
      <c r="B134" s="7">
        <v>4029</v>
      </c>
      <c r="C134" s="21" t="s">
        <v>197</v>
      </c>
      <c r="D134" s="21" t="s">
        <v>404</v>
      </c>
      <c r="E134" s="13">
        <v>42970.80736111111</v>
      </c>
      <c r="F134" s="13">
        <v>42970.810567129629</v>
      </c>
      <c r="G134" s="7">
        <v>1</v>
      </c>
      <c r="H134" s="21" t="s">
        <v>883</v>
      </c>
      <c r="I134" s="13">
        <v>42970.836354166669</v>
      </c>
      <c r="J134" s="7">
        <v>1</v>
      </c>
      <c r="K134" s="89" t="str">
        <f>IF(ISEVEN(B134),(B134-1)&amp;"/"&amp;B134,B134&amp;"/"&amp;(B134+1))</f>
        <v>4029/4030</v>
      </c>
      <c r="L134" s="217" t="str">
        <f>VLOOKUP(A134,'Trips&amp;Operators'!$C$1:$G$99911,5,FALSE)</f>
        <v>LAMAR NEKESHA</v>
      </c>
      <c r="M134" s="6">
        <f>I134-F134</f>
        <v>2.5787037040572613E-2</v>
      </c>
      <c r="N134" s="7">
        <f>24*60*SUM($M134:$M134)</f>
        <v>37.133333338424563</v>
      </c>
      <c r="O134" s="7"/>
      <c r="P134" s="7"/>
      <c r="Q134" s="22"/>
      <c r="R134" s="170"/>
      <c r="S134" s="213">
        <f>1/IF(AG134="EC",12,1)*SUM(U134:U134)</f>
        <v>1</v>
      </c>
      <c r="T134" s="195" t="str">
        <f>IF(ISEVEN(LEFT(AD134,4)),"Southbound","NorthBound")</f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-08-23T18:22:36-0600',mode:absolute,to:'2017-08-23T21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23.2987</v>
      </c>
      <c r="Z134" s="197">
        <f>RIGHT(H134,LEN(H134)-4)/10000</f>
        <v>1.89E-2</v>
      </c>
      <c r="AA134" s="197">
        <f>ABS(Z134-Y134)</f>
        <v>23.279800000000002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>VALUE(LEFT(A134,LEN(A134)-3))</f>
        <v>220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/stypes="app*4029*20170824*" /stext=" 02:.+((SYSTEM_STATE.+slice.+state.+changed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9"/>
        <v>"%USERPROFILE%\Documents\GitHub\eaglep3\Utilities\RefineRTDCRunTimes.py" --tripid 220-23 --locoid 4029 --swversion DE.1.0.9.0 --startMP 204:232987 --initTime 2017-08-23T19:22:36 --startdatetime 2017-08-23T19:27:13 --delay 1 --endMP 204:189 --enddatetime 2017-08-23T20:04:21 --enforcementcount 1 &gt;&gt;C:\Users\stu\Documents\GitHub\eaglep3-reporting\EC\2017-08-23-refined-times.txt</v>
      </c>
      <c r="AI134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{"issue":{"subject":"","project_id":79,"tracker_id":40,"status_id":1,"priority_id":2,"assigned_to_id":23,"start_date":"2017-08-23","description":"","custom_fields":[{"id":1,"name":"Subdivision","value":"EC"},{"id":4,"name":"Milepost","value":"0.0189"},{"id":17,"name":"Train ID","value":"220-23"},{"id":16,"name":"Locomotive ID","value":"4029"},{"id":130,"name":"Impact","value":""},{"id":150,"name":"Time of Event (Mountain Time)","value":"20:04:21"},{"id":151,"name":"Denver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1"/>
        <v>start /low /b %USERPROFILE%\Documents\GitHub\eaglep3\Utilities\DownloadLogsFromS3.py --loco 4029 --day 2017-08-23</v>
      </c>
      <c r="AN134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02:04:21"},{"id":29,"name":"Sharepoint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773</v>
      </c>
      <c r="B135" s="7">
        <v>4014</v>
      </c>
      <c r="C135" s="21" t="s">
        <v>197</v>
      </c>
      <c r="D135" s="21" t="s">
        <v>357</v>
      </c>
      <c r="E135" s="13">
        <v>42970.786122685182</v>
      </c>
      <c r="F135" s="13">
        <v>42970.792164351849</v>
      </c>
      <c r="G135" s="7">
        <v>1</v>
      </c>
      <c r="H135" s="21" t="s">
        <v>837</v>
      </c>
      <c r="I135" s="13">
        <v>42970.81722222222</v>
      </c>
      <c r="J135" s="7">
        <v>1</v>
      </c>
      <c r="K135" s="89" t="str">
        <f>IF(ISEVEN(B135),(B135-1)&amp;"/"&amp;B135,B135&amp;"/"&amp;(B135+1))</f>
        <v>4013/4014</v>
      </c>
      <c r="L135" s="217" t="str">
        <f>VLOOKUP(A135,'Trips&amp;Operators'!$C$1:$G$99911,5,FALSE)</f>
        <v>FORTUNATO FRANK</v>
      </c>
      <c r="M135" s="6">
        <f>I135-F135</f>
        <v>2.5057870370801538E-2</v>
      </c>
      <c r="N135" s="7">
        <f>24*60*SUM($M135:$M135)</f>
        <v>36.083333333954215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-08-23T17:52:01-0600',mode:absolute,to:'2017-08-23T20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4.5499999999999999E-2</v>
      </c>
      <c r="Z135" s="197">
        <f>RIGHT(H135,LEN(H135)-4)/10000</f>
        <v>23.339099999999998</v>
      </c>
      <c r="AA135" s="197">
        <f>ABS(Z135-Y135)</f>
        <v>23.293599999999998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>VALUE(LEFT(A135,LEN(A135)-3))</f>
        <v>221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/stypes="app*4014*20170824*" /stext=" 01:.+((SYSTEM_STATE.+slice.+state.+changed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9"/>
        <v>"%USERPROFILE%\Documents\GitHub\eaglep3\Utilities\RefineRTDCRunTimes.py" --tripid 221-23 --locoid 4014 --swversion DE.1.0.9.0 --startMP 204:455 --initTime 2017-08-23T18:52:01 --startdatetime 2017-08-23T19:00:43 --delay 1 --endMP 204:233391 --enddatetime 2017-08-23T19:36:48 --enforcementcount 1 &gt;&gt;C:\Users\stu\Documents\GitHub\eaglep3-reporting\EC\2017-08-23-refined-times.txt</v>
      </c>
      <c r="AI135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{"issue":{"subject":"","project_id":79,"tracker_id":40,"status_id":1,"priority_id":2,"assigned_to_id":23,"start_date":"2017-08-23","description":"","custom_fields":[{"id":1,"name":"Subdivision","value":"EC"},{"id":4,"name":"Milepost","value":"23.3391"},{"id":17,"name":"Train ID","value":"221-23"},{"id":16,"name":"Locomotive ID","value":"4014"},{"id":130,"name":"Impact","value":""},{"id":150,"name":"Time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1"/>
        <v>start /low /b %USERPROFILE%\Documents\GitHub\eaglep3\Utilities\DownloadLogsFromS3.py --loco 4014 --day 2017-08-23</v>
      </c>
      <c r="AN135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781</v>
      </c>
      <c r="B136" s="7">
        <v>4013</v>
      </c>
      <c r="C136" s="21" t="s">
        <v>197</v>
      </c>
      <c r="D136" s="21" t="s">
        <v>884</v>
      </c>
      <c r="E136" s="13">
        <v>42970.820798611108</v>
      </c>
      <c r="F136" s="13">
        <v>42970.831550925926</v>
      </c>
      <c r="G136" s="7">
        <v>1</v>
      </c>
      <c r="H136" s="21" t="s">
        <v>398</v>
      </c>
      <c r="I136" s="13">
        <v>42970.857615740744</v>
      </c>
      <c r="J136" s="7">
        <v>1</v>
      </c>
      <c r="K136" s="89" t="str">
        <f>IF(ISEVEN(B136),(B136-1)&amp;"/"&amp;B136,B136&amp;"/"&amp;(B136+1))</f>
        <v>4013/4014</v>
      </c>
      <c r="L136" s="217" t="str">
        <f>VLOOKUP(A136,'Trips&amp;Operators'!$C$1:$G$99911,5,FALSE)</f>
        <v>FORTUNATO FRANK</v>
      </c>
      <c r="M136" s="6">
        <f>I136-F136</f>
        <v>2.6064814817800652E-2</v>
      </c>
      <c r="N136" s="7">
        <f>24*60*SUM($M136:$M136)</f>
        <v>37.533333337632939</v>
      </c>
      <c r="O136" s="7"/>
      <c r="P136" s="7"/>
      <c r="Q136" s="22"/>
      <c r="R136" s="170"/>
      <c r="S136" s="213">
        <f>1/IF(AG136="EC",12,1)*SUM(U136:U136)</f>
        <v>1</v>
      </c>
      <c r="T136" s="195" t="str">
        <f>IF(ISEVEN(LEFT(AD136,4)),"Southbound","NorthBound")</f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-08-23T18:41:57-0600',mode:absolute,to:'2017-08-23T21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23.303000000000001</v>
      </c>
      <c r="Z136" s="197">
        <f>RIGHT(H136,LEN(H136)-4)/10000</f>
        <v>1.5599999999999999E-2</v>
      </c>
      <c r="AA136" s="197">
        <f>ABS(Z136-Y136)</f>
        <v>23.287400000000002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>VALUE(LEFT(A136,LEN(A136)-3))</f>
        <v>222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/stypes="app*4013*20170824*" /stext=" 02:.+((SYSTEM_STATE.+slice.+state.+changed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9"/>
        <v>"%USERPROFILE%\Documents\GitHub\eaglep3\Utilities\RefineRTDCRunTimes.py" --tripid 222-23 --locoid 4013 --swversion DE.1.0.9.0 --startMP 204:233030 --initTime 2017-08-23T19:41:57 --startdatetime 2017-08-23T19:57:26 --delay 1 --endMP 204:156 --enddatetime 2017-08-23T20:34:58 --enforcementcount 1 &gt;&gt;C:\Users\stu\Documents\GitHub\eaglep3-reporting\EC\2017-08-23-refined-times.txt</v>
      </c>
      <c r="AI136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{"issue":{"subject":"","project_id":79,"tracker_id":40,"status_id":1,"priority_id":2,"assigned_to_id":23,"start_date":"2017-08-23","description":"","custom_fields":[{"id":1,"name":"Subdivision","value":"EC"},{"id":4,"name":"Milepost","value":"0.0156"},{"id":17,"name":"Train ID","value":"222-23"},{"id":16,"name":"Locomotive ID","value":"4013"},{"id":130,"name":"Impact","value":""},{"id":150,"name":"Time of Event (Mountain Time)","value":"20:34:58"},{"id":151,"name":"Denver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1"/>
        <v>start /low /b %USERPROFILE%\Documents\GitHub\eaglep3\Utilities\DownloadLogsFromS3.py --loco 4013 --day 2017-08-23</v>
      </c>
      <c r="AN136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778</v>
      </c>
      <c r="B137" s="7">
        <v>4042</v>
      </c>
      <c r="C137" s="21" t="s">
        <v>197</v>
      </c>
      <c r="D137" s="21" t="s">
        <v>885</v>
      </c>
      <c r="E137" s="13">
        <v>42970.810543981483</v>
      </c>
      <c r="F137" s="13">
        <v>42970.813032407408</v>
      </c>
      <c r="G137" s="7">
        <v>1</v>
      </c>
      <c r="H137" s="21" t="s">
        <v>886</v>
      </c>
      <c r="I137" s="13">
        <v>42970.837824074071</v>
      </c>
      <c r="J137" s="7">
        <v>1</v>
      </c>
      <c r="K137" s="89" t="str">
        <f>IF(ISEVEN(B137),(B137-1)&amp;"/"&amp;B137,B137&amp;"/"&amp;(B137+1))</f>
        <v>4041/4042</v>
      </c>
      <c r="L137" s="217" t="str">
        <f>VLOOKUP(A137,'Trips&amp;Operators'!$C$1:$G$99911,5,FALSE)</f>
        <v>RESPASS AARON</v>
      </c>
      <c r="M137" s="6">
        <f>I137-F137</f>
        <v>2.4791666663077194E-2</v>
      </c>
      <c r="N137" s="7">
        <f>24*60*SUM($M137:$M137)</f>
        <v>35.69999999483116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-08-23T18:27:11-0600',mode:absolute,to:'2017-08-23T21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4.7500000000000001E-2</v>
      </c>
      <c r="Z137" s="197">
        <f>RIGHT(H137,LEN(H137)-4)/10000</f>
        <v>23.328499999999998</v>
      </c>
      <c r="AA137" s="197">
        <f>ABS(Z137-Y137)</f>
        <v>23.280999999999999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>VALUE(LEFT(A137,LEN(A137)-3))</f>
        <v>223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/stypes="app*4042*20170824*" /stext=" 02:.+((SYSTEM_STATE.+slice.+state.+changed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9"/>
        <v>"%USERPROFILE%\Documents\GitHub\eaglep3\Utilities\RefineRTDCRunTimes.py" --tripid 223-23 --locoid 4042 --swversion DE.1.0.9.0 --startMP 204:475 --initTime 2017-08-23T19:27:11 --startdatetime 2017-08-23T19:30:46 --delay 1 --endMP 204:233285 --enddatetime 2017-08-23T20:06:28 --enforcementcount 1 &gt;&gt;C:\Users\stu\Documents\GitHub\eaglep3-reporting\EC\2017-08-23-refined-times.txt</v>
      </c>
      <c r="AI137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{"issue":{"subject":"","project_id":79,"tracker_id":40,"status_id":1,"priority_id":2,"assigned_to_id":23,"start_date":"2017-08-23","description":"","custom_fields":[{"id":1,"name":"Subdivision","value":"EC"},{"id":4,"name":"Milepost","value":"23.3285"},{"id":17,"name":"Train ID","value":"223-23"},{"id":16,"name":"Locomotive ID","value":"4042"},{"id":130,"name":"Impact","value":""},{"id":150,"name":"Time of Event (Mountain Time)","value":"20:06:28"},{"id":151,"name":"Denver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1"/>
        <v>start /low /b %USERPROFILE%\Documents\GitHub\eaglep3\Utilities\DownloadLogsFromS3.py --loco 4042 --day 2017-08-23</v>
      </c>
      <c r="AN137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02:06:28"},{"id":29,"name":"Sharepoint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782</v>
      </c>
      <c r="B138" s="7">
        <v>4041</v>
      </c>
      <c r="C138" s="21" t="s">
        <v>197</v>
      </c>
      <c r="D138" s="21" t="s">
        <v>887</v>
      </c>
      <c r="E138" s="13">
        <v>42970.839409722219</v>
      </c>
      <c r="F138" s="13">
        <v>42970.852476851855</v>
      </c>
      <c r="G138" s="7">
        <v>11</v>
      </c>
      <c r="H138" s="21" t="s">
        <v>875</v>
      </c>
      <c r="I138" s="13">
        <v>42970.879918981482</v>
      </c>
      <c r="J138" s="7">
        <v>1</v>
      </c>
      <c r="K138" s="89" t="str">
        <f>IF(ISEVEN(B138),(B138-1)&amp;"/"&amp;B138,B138&amp;"/"&amp;(B138+1))</f>
        <v>4041/4042</v>
      </c>
      <c r="L138" s="217" t="str">
        <f>VLOOKUP(A138,'Trips&amp;Operators'!$C$1:$G$99911,5,FALSE)</f>
        <v>RESPASS AARON</v>
      </c>
      <c r="M138" s="6">
        <f>I138-F138</f>
        <v>2.7442129627161194E-2</v>
      </c>
      <c r="N138" s="7">
        <f>24*60*SUM($M138:$M138)</f>
        <v>39.516666663112119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-08-23T19:08:45-0600',mode:absolute,to:'2017-08-23T22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197" t="str">
        <f>IF(AA138&lt;VLOOKUP(AG138,Variables!$AC$3:$AD$8,2,FALSE),"Y","N")</f>
        <v>N</v>
      </c>
      <c r="X138" s="197">
        <f t="shared" ref="X138:X142" si="13">VALUE(LEFT(AD138,4))-VALUE(LEFT(AD137,4))</f>
        <v>1</v>
      </c>
      <c r="Y138" s="197">
        <f>RIGHT(D138,LEN(D138)-4)/10000</f>
        <v>23.298300000000001</v>
      </c>
      <c r="Z138" s="197">
        <f>RIGHT(H138,LEN(H138)-4)/10000</f>
        <v>1.32E-2</v>
      </c>
      <c r="AA138" s="197">
        <f>ABS(Z138-Y138)</f>
        <v>23.2851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>VALUE(LEFT(A138,LEN(A138)-3))</f>
        <v>224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/stypes="app*4041*20170824*" /stext=" 03:.+((SYSTEM_STATE.+slice.+state.+changed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9"/>
        <v>"%USERPROFILE%\Documents\GitHub\eaglep3\Utilities\RefineRTDCRunTimes.py" --tripid 224-23 --locoid 4041 --swversion DE.1.0.9.0 --startMP 204:232983 --initTime 2017-08-23T20:08:45 --startdatetime 2017-08-23T20:27:34 --delay 11 --endMP 204:132 --enddatetime 2017-08-23T21:07:05 --enforcementcount 1 &gt;&gt;C:\Users\stu\Documents\GitHub\eaglep3-reporting\EC\2017-08-23-refined-times.txt</v>
      </c>
      <c r="AI138" s="96" t="str">
        <f t="shared" si="10"/>
        <v>echo {"issue":{"subject":"","project_id":79,"tracker_id":40,"status_id":1,"priority_id":2,"assigned_to_id":23,"start_date":"2017-08-23","description":"","custom_fields":[{"id":1,"name":"Subdivision","value":"EC"},{"id":4,"name":"Milepost","value":"0.0132"},{"id":17,"name":"Train ID","value":"224-23"},{"id":16,"name":"Locomotive ID","value":"4041"},{"id":130,"name":"Impact","value":""},{"id":150,"name":"Time of Event (Mountain Time)","value":"21:07:05"},{"id":151,"name":"Denver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1"/>
        <v>start /low /b %USERPROFILE%\Documents\GitHub\eaglep3\Utilities\DownloadLogsFromS3.py --loco 4041 --day 2017-08-23</v>
      </c>
      <c r="AN138" s="151" t="str">
        <f t="shared" si="12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03:07:05"},{"id":29,"name":"Sharepoint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588</v>
      </c>
      <c r="B139" s="7">
        <v>4028</v>
      </c>
      <c r="C139" s="21" t="s">
        <v>197</v>
      </c>
      <c r="D139" s="21" t="s">
        <v>344</v>
      </c>
      <c r="E139" s="13">
        <v>42970.829317129632</v>
      </c>
      <c r="F139" s="13">
        <v>42970.834039351852</v>
      </c>
      <c r="G139" s="7">
        <v>1</v>
      </c>
      <c r="H139" s="21" t="s">
        <v>507</v>
      </c>
      <c r="I139" s="13">
        <v>42970.859618055554</v>
      </c>
      <c r="J139" s="7">
        <v>1</v>
      </c>
      <c r="K139" s="89" t="str">
        <f>IF(ISEVEN(B139),(B139-1)&amp;"/"&amp;B139,B139&amp;"/"&amp;(B139+1))</f>
        <v>4027/4028</v>
      </c>
      <c r="L139" s="217" t="str">
        <f>VLOOKUP(A139,'Trips&amp;Operators'!$C$1:$G$99911,5,FALSE)</f>
        <v>WEST BRYAN</v>
      </c>
      <c r="M139" s="6">
        <f>I139-F139</f>
        <v>2.5578703702194616E-2</v>
      </c>
      <c r="N139" s="7">
        <f>24*60*SUM($M139:$M139)</f>
        <v>36.833333331160247</v>
      </c>
      <c r="O139" s="7"/>
      <c r="P139" s="7"/>
      <c r="Q139" s="22"/>
      <c r="R139" s="170"/>
      <c r="S139" s="213">
        <f>1/IF(AG139="EC",12,1)*SUM(U139:U139)</f>
        <v>1</v>
      </c>
      <c r="T139" s="195" t="str">
        <f>IF(ISEVEN(LEFT(AD139,4)),"Southbound","NorthBound")</f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-08-23T18:54:13-0600',mode:absolute,to:'2017-08-23T21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97" t="str">
        <f>IF(AA139&lt;VLOOKUP(AG139,Variables!$AC$3:$AD$8,2,FALSE),"Y","N")</f>
        <v>N</v>
      </c>
      <c r="X139" s="197">
        <f t="shared" si="13"/>
        <v>1</v>
      </c>
      <c r="Y139" s="197">
        <f>RIGHT(D139,LEN(D139)-4)/10000</f>
        <v>4.4699999999999997E-2</v>
      </c>
      <c r="Z139" s="197">
        <f>RIGHT(H139,LEN(H139)-4)/10000</f>
        <v>23.3306</v>
      </c>
      <c r="AA139" s="197">
        <f>ABS(Z139-Y139)</f>
        <v>23.285900000000002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>VALUE(LEFT(A139,LEN(A139)-3))</f>
        <v>225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/stypes="app*4028*20170824*" /stext=" 02:.+((SYSTEM_STATE.+slice.+state.+changed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ref="AH139:AH202" si="14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225-23 --locoid 4028 --swversion DE.1.0.9.0 --startMP 204:447 --initTime 2017-08-23T19:54:13 --startdatetime 2017-08-23T20:01:01 --delay 1 --endMP 204:233306 --enddatetime 2017-08-23T20:37:51 --enforcementcount 1 &gt;&gt;C:\Users\stu\Documents\GitHub\eaglep3-reporting\EC\2017-08-23-refined-times.txt</v>
      </c>
      <c r="AI139" s="96" t="str">
        <f t="shared" ref="AI139:AI202" si="15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{"issue":{"subject":"","project_id":79,"tracker_id":40,"status_id":1,"priority_id":2,"assigned_to_id":23,"start_date":"2017-08-23","description":"","custom_fields":[{"id":1,"name":"Subdivision","value":"EC"},{"id":4,"name":"Milepost","value":"23.3306"},{"id":17,"name":"Train ID","value":"225-23"},{"id":16,"name":"Locomotive ID","value":"4028"},{"id":130,"name":"Impact","value":""},{"id":150,"name":"Time of Event (Mountain Time)","value":"20:37:51"},{"id":151,"name":"Denver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ref="AM139:AM202" si="16">"start /low /b "&amp;dls3logs&amp;" --loco "&amp;B139&amp;" --day "&amp;TEXT(F139,"YYYY-MM-DD")</f>
        <v>start /low /b %USERPROFILE%\Documents\GitHub\eaglep3\Utilities\DownloadLogsFromS3.py --loco 4028 --day 2017-08-23</v>
      </c>
      <c r="AN139" s="151" t="str">
        <f t="shared" ref="AN139:AN202" si="17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02:37:51"},{"id":29,"name":"Sharepoint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589</v>
      </c>
      <c r="B140" s="7">
        <v>4027</v>
      </c>
      <c r="C140" s="21" t="s">
        <v>197</v>
      </c>
      <c r="D140" s="21" t="s">
        <v>833</v>
      </c>
      <c r="E140" s="13">
        <v>42970.868831018517</v>
      </c>
      <c r="F140" s="13">
        <v>42970.873159722221</v>
      </c>
      <c r="G140" s="7">
        <v>1</v>
      </c>
      <c r="H140" s="21" t="s">
        <v>462</v>
      </c>
      <c r="I140" s="13">
        <v>42970.900590277779</v>
      </c>
      <c r="J140" s="7">
        <v>1</v>
      </c>
      <c r="K140" s="89" t="str">
        <f>IF(ISEVEN(B140),(B140-1)&amp;"/"&amp;B140,B140&amp;"/"&amp;(B140+1))</f>
        <v>4027/4028</v>
      </c>
      <c r="L140" s="217" t="str">
        <f>VLOOKUP(A140,'Trips&amp;Operators'!$C$1:$G$99911,5,FALSE)</f>
        <v>WEST BRYAN</v>
      </c>
      <c r="M140" s="6">
        <f>I140-F140</f>
        <v>2.7430555557657499E-2</v>
      </c>
      <c r="N140" s="7">
        <f>24*60*SUM($M140:$M140)</f>
        <v>39.500000003026798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-08-23T19:51:07-0600',mode:absolute,to:'2017-08-23T22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97" t="str">
        <f>IF(AA140&lt;VLOOKUP(AG140,Variables!$AC$3:$AD$8,2,FALSE),"Y","N")</f>
        <v>N</v>
      </c>
      <c r="X140" s="197">
        <f t="shared" si="13"/>
        <v>1</v>
      </c>
      <c r="Y140" s="197">
        <f>RIGHT(D140,LEN(D140)-4)/10000</f>
        <v>23.297000000000001</v>
      </c>
      <c r="Z140" s="197">
        <f>RIGHT(H140,LEN(H140)-4)/10000</f>
        <v>1.7000000000000001E-2</v>
      </c>
      <c r="AA140" s="197">
        <f>ABS(Z140-Y140)</f>
        <v>23.28</v>
      </c>
      <c r="AB140" s="54" t="str">
        <f>VLOOKUP(A140,Enforcements!$C$7:$K$11,8,0)</f>
        <v>Bulletin (2)</v>
      </c>
      <c r="AC140" s="51" t="str">
        <f>VLOOKUP(A140,Enforcements!$C$7:$E$11,3,0)</f>
        <v>GRADE CROSSING</v>
      </c>
      <c r="AD140" s="206">
        <f>VALUE(LEFT(A140,LEN(A140)-3))</f>
        <v>226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/stypes="app*4027*20170824*" /stext=" 03:.+((SYSTEM_STATE.+slice.+state.+changed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14"/>
        <v>"%USERPROFILE%\Documents\GitHub\eaglep3\Utilities\RefineRTDCRunTimes.py" --tripid 226-23 --locoid 4027 --swversion DE.1.0.9.0 --startMP 204:232970 --initTime 2017-08-23T20:51:07 --startdatetime 2017-08-23T20:57:21 --delay 1 --endMP 204:170 --enddatetime 2017-08-23T21:36:51 --enforcementcount 1 &gt;&gt;C:\Users\stu\Documents\GitHub\eaglep3-reporting\EC\2017-08-23-refined-times.txt</v>
      </c>
      <c r="AI140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{"issue":{"subject":"","project_id":79,"tracker_id":40,"status_id":1,"priority_id":2,"assigned_to_id":23,"start_date":"2017-08-23","description":"","custom_fields":[{"id":1,"name":"Subdivision","value":"EC"},{"id":4,"name":"Milepost","value":"0.017"},{"id":17,"name":"Train ID","value":"226-23"},{"id":16,"name":"Locomotive ID","value":"4027"},{"id":130,"name":"Impact","value":""},{"id":150,"name":"Time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6"/>
        <v>start /low /b %USERPROFILE%\Documents\GitHub\eaglep3\Utilities\DownloadLogsFromS3.py --loco 4027 --day 2017-08-23</v>
      </c>
      <c r="AN140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784</v>
      </c>
      <c r="B141" s="7">
        <v>4030</v>
      </c>
      <c r="C141" s="21" t="s">
        <v>197</v>
      </c>
      <c r="D141" s="21" t="s">
        <v>888</v>
      </c>
      <c r="E141" s="13">
        <v>42970.850300925929</v>
      </c>
      <c r="F141" s="13">
        <v>42970.854675925926</v>
      </c>
      <c r="G141" s="7">
        <v>1</v>
      </c>
      <c r="H141" s="21" t="s">
        <v>395</v>
      </c>
      <c r="I141" s="13">
        <v>42970.879675925928</v>
      </c>
      <c r="J141" s="7">
        <v>1</v>
      </c>
      <c r="K141" s="89" t="str">
        <f>IF(ISEVEN(B141),(B141-1)&amp;"/"&amp;B141,B141&amp;"/"&amp;(B141+1))</f>
        <v>4029/4030</v>
      </c>
      <c r="L141" s="217" t="str">
        <f>VLOOKUP(A141,'Trips&amp;Operators'!$C$1:$G$99911,5,FALSE)</f>
        <v>LAMAR NEKESHA</v>
      </c>
      <c r="M141" s="6">
        <f>I141-F141</f>
        <v>2.5000000001455192E-2</v>
      </c>
      <c r="N141" s="7">
        <f>24*60*SUM($M141:$M141)</f>
        <v>36.000000002095476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-23T19:24:26-0600',mode:absolute,to:'2017-08-23T22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1" s="197" t="str">
        <f>IF(AA141&lt;VLOOKUP(AG141,Variables!$AC$3:$AD$8,2,FALSE),"Y","N")</f>
        <v>N</v>
      </c>
      <c r="X141" s="197">
        <f t="shared" si="13"/>
        <v>1</v>
      </c>
      <c r="Y141" s="197">
        <f>RIGHT(D141,LEN(D141)-4)/10000</f>
        <v>5.0599999999999999E-2</v>
      </c>
      <c r="Z141" s="197">
        <f>RIGHT(H141,LEN(H141)-4)/10000</f>
        <v>23.3308</v>
      </c>
      <c r="AA141" s="197">
        <f>ABS(Z141-Y141)</f>
        <v>23.280200000000001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>VALUE(LEFT(A141,LEN(A141)-3))</f>
        <v>227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/stypes="app*4030*20170824*" /stext=" 03:.+((SYSTEM_STATE.+slice.+state.+changed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14"/>
        <v>"%USERPROFILE%\Documents\GitHub\eaglep3\Utilities\RefineRTDCRunTimes.py" --tripid 227-23 --locoid 4030 --swversion DE.1.0.9.0 --startMP 204:506 --initTime 2017-08-23T20:24:26 --startdatetime 2017-08-23T20:30:44 --delay 1 --endMP 204:233308 --enddatetime 2017-08-23T21:06:44 --enforcementcount 1 &gt;&gt;C:\Users\stu\Documents\GitHub\eaglep3-reporting\EC\2017-08-23-refined-times.txt</v>
      </c>
      <c r="AI141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{"issue":{"subject":"","project_id":79,"tracker_id":40,"status_id":1,"priority_id":2,"assigned_to_id":23,"start_date":"2017-08-23","description":"","custom_fields":[{"id":1,"name":"Subdivision","value":"EC"},{"id":4,"name":"Milepost","value":"23.3308"},{"id":17,"name":"Train ID","value":"227-23"},{"id":16,"name":"Locomotive ID","value":"4030"},{"id":130,"name":"Impact","value":""},{"id":150,"name":"Time of Event (Mountain Time)","value":"21:06:44"},{"id":151,"name":"Denver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6"/>
        <v>start /low /b %USERPROFILE%\Documents\GitHub\eaglep3\Utilities\DownloadLogsFromS3.py --loco 4030 --day 2017-08-23</v>
      </c>
      <c r="AN141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03:06:44"},{"id":29,"name":"Sharepoint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787</v>
      </c>
      <c r="B142" s="7">
        <v>4029</v>
      </c>
      <c r="C142" s="21" t="s">
        <v>197</v>
      </c>
      <c r="D142" s="21" t="s">
        <v>513</v>
      </c>
      <c r="E142" s="13">
        <v>42970.891145833331</v>
      </c>
      <c r="F142" s="13">
        <v>42970.89403935185</v>
      </c>
      <c r="G142" s="7">
        <v>1</v>
      </c>
      <c r="H142" s="21" t="s">
        <v>369</v>
      </c>
      <c r="I142" s="13">
        <v>42970.919791666667</v>
      </c>
      <c r="J142" s="7">
        <v>1</v>
      </c>
      <c r="K142" s="89" t="str">
        <f>IF(ISEVEN(B142),(B142-1)&amp;"/"&amp;B142,B142&amp;"/"&amp;(B142+1))</f>
        <v>4029/4030</v>
      </c>
      <c r="L142" s="217" t="str">
        <f>VLOOKUP(A142,'Trips&amp;Operators'!$C$1:$G$99911,5,FALSE)</f>
        <v>LAMAR NEKESHA</v>
      </c>
      <c r="M142" s="6">
        <f>I142-F142</f>
        <v>2.5752314817509614E-2</v>
      </c>
      <c r="N142" s="7">
        <f>24*60*SUM($M142:$M142)</f>
        <v>37.083333337213844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-08-23T20:23:15-0600',mode:absolute,to:'2017-08-23T23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197" t="str">
        <f>IF(AA142&lt;VLOOKUP(AG142,Variables!$AC$3:$AD$8,2,FALSE),"Y","N")</f>
        <v>N</v>
      </c>
      <c r="X142" s="197">
        <f t="shared" si="13"/>
        <v>1</v>
      </c>
      <c r="Y142" s="197">
        <f>RIGHT(D142,LEN(D142)-4)/10000</f>
        <v>23.3</v>
      </c>
      <c r="Z142" s="197">
        <f>RIGHT(H142,LEN(H142)-4)/10000</f>
        <v>1.52E-2</v>
      </c>
      <c r="AA142" s="197">
        <f>ABS(Z142-Y142)</f>
        <v>23.284800000000001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>VALUE(LEFT(A142,LEN(A142)-3))</f>
        <v>228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/stypes="app*4029*20170824*" /stext=" 04:.+((SYSTEM_STATE.+slice.+state.+changed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14"/>
        <v>"%USERPROFILE%\Documents\GitHub\eaglep3\Utilities\RefineRTDCRunTimes.py" --tripid 228-23 --locoid 4029 --swversion DE.1.0.9.0 --startMP 204:233000 --initTime 2017-08-23T21:23:15 --startdatetime 2017-08-23T21:27:25 --delay 1 --endMP 204:152 --enddatetime 2017-08-23T22:04:30 --enforcementcount 1 &gt;&gt;C:\Users\stu\Documents\GitHub\eaglep3-reporting\EC\2017-08-23-refined-times.txt</v>
      </c>
      <c r="AI142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{"issue":{"subject":"","project_id":79,"tracker_id":40,"status_id":1,"priority_id":2,"assigned_to_id":23,"start_date":"2017-08-23","description":"","custom_fields":[{"id":1,"name":"Subdivision","value":"EC"},{"id":4,"name":"Milepost","value":"0.0152"},{"id":17,"name":"Train ID","value":"228-23"},{"id":16,"name":"Locomotive ID","value":"4029"},{"id":130,"name":"Impact","value":""},{"id":150,"name":"Time of Event (Mountain Time)","value":"22:04:30"},{"id":151,"name":"Denver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6"/>
        <v>start /low /b %USERPROFILE%\Documents\GitHub\eaglep3\Utilities\DownloadLogsFromS3.py --loco 4029 --day 2017-08-23</v>
      </c>
      <c r="AN142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04:04:30"},{"id":29,"name":"Sharepoint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785</v>
      </c>
      <c r="B143" s="7">
        <v>4014</v>
      </c>
      <c r="C143" s="21" t="s">
        <v>197</v>
      </c>
      <c r="D143" s="21" t="s">
        <v>344</v>
      </c>
      <c r="E143" s="13">
        <v>42970.86141203704</v>
      </c>
      <c r="F143" s="13">
        <v>42970.875532407408</v>
      </c>
      <c r="G143" s="7">
        <v>1</v>
      </c>
      <c r="H143" s="21" t="s">
        <v>841</v>
      </c>
      <c r="I143" s="13">
        <v>42970.900520833333</v>
      </c>
      <c r="J143" s="7">
        <v>1</v>
      </c>
      <c r="K143" s="89" t="str">
        <f>IF(ISEVEN(B143),(B143-1)&amp;"/"&amp;B143,B143&amp;"/"&amp;(B143+1))</f>
        <v>4013/4014</v>
      </c>
      <c r="L143" s="217" t="str">
        <f>VLOOKUP(A143,'Trips&amp;Operators'!$C$1:$G$99911,5,FALSE)</f>
        <v>FORTUNATO FRANK</v>
      </c>
      <c r="M143" s="6">
        <f>I143-F143</f>
        <v>2.4988425924675539E-2</v>
      </c>
      <c r="N143" s="7">
        <f>24*60*SUM($M143:$M143)</f>
        <v>35.983333331532776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-08-23T19:40:26-0600',mode:absolute,to:'2017-08-23T22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4.4699999999999997E-2</v>
      </c>
      <c r="Z143" s="197">
        <f>RIGHT(H143,LEN(H143)-4)/10000</f>
        <v>23.331900000000001</v>
      </c>
      <c r="AA143" s="197">
        <f>ABS(Z143-Y143)</f>
        <v>23.287200000000002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>VALUE(LEFT(A143,LEN(A143)-3))</f>
        <v>229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/stypes="app*4014*20170824*" /stext=" 03:.+((SYSTEM_STATE.+slice.+state.+changed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si="14"/>
        <v>"%USERPROFILE%\Documents\GitHub\eaglep3\Utilities\RefineRTDCRunTimes.py" --tripid 229-23 --locoid 4014 --swversion DE.1.0.9.0 --startMP 204:447 --initTime 2017-08-23T20:40:26 --startdatetime 2017-08-23T21:00:46 --delay 1 --endMP 204:233319 --enddatetime 2017-08-23T21:36:45 --enforcementcount 1 &gt;&gt;C:\Users\stu\Documents\GitHub\eaglep3-reporting\EC\2017-08-23-refined-times.txt</v>
      </c>
      <c r="AI143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{"issue":{"subject":"","project_id":79,"tracker_id":40,"status_id":1,"priority_id":2,"assigned_to_id":23,"start_date":"2017-08-23","description":"","custom_fields":[{"id":1,"name":"Subdivision","value":"EC"},{"id":4,"name":"Milepost","value":"23.3319"},{"id":17,"name":"Train ID","value":"229-23"},{"id":16,"name":"Locomotive ID","value":"4014"},{"id":130,"name":"Impact","value":""},{"id":150,"name":"Time of Event (Mountain Time)","value":"21:36:45"},{"id":151,"name":"Denver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6"/>
        <v>start /low /b %USERPROFILE%\Documents\GitHub\eaglep3\Utilities\DownloadLogsFromS3.py --loco 4014 --day 2017-08-23</v>
      </c>
      <c r="AN143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789</v>
      </c>
      <c r="B144" s="7">
        <v>4013</v>
      </c>
      <c r="C144" s="21" t="s">
        <v>197</v>
      </c>
      <c r="D144" s="21" t="s">
        <v>889</v>
      </c>
      <c r="E144" s="13">
        <v>42970.901967592596</v>
      </c>
      <c r="F144" s="13">
        <v>42970.914826388886</v>
      </c>
      <c r="G144" s="7">
        <v>2</v>
      </c>
      <c r="H144" s="21" t="s">
        <v>875</v>
      </c>
      <c r="I144" s="13">
        <v>42970.94122685185</v>
      </c>
      <c r="J144" s="7">
        <v>1</v>
      </c>
      <c r="K144" s="89" t="str">
        <f>IF(ISEVEN(B144),(B144-1)&amp;"/"&amp;B144,B144&amp;"/"&amp;(B144+1))</f>
        <v>4013/4014</v>
      </c>
      <c r="L144" s="217" t="str">
        <f>VLOOKUP(A144,'Trips&amp;Operators'!$C$1:$G$99911,5,FALSE)</f>
        <v>FORTUNATO FRANK</v>
      </c>
      <c r="M144" s="6">
        <f>I144-F144</f>
        <v>2.6400462964375038E-2</v>
      </c>
      <c r="N144" s="7">
        <f>24*60*SUM($M144:$M144)</f>
        <v>38.016666668700054</v>
      </c>
      <c r="O144" s="7"/>
      <c r="P144" s="7"/>
      <c r="Q144" s="22"/>
      <c r="R144" s="170"/>
      <c r="S144" s="213">
        <f>1/IF(AG144="EC",12,1)*SUM(U144:U144)</f>
        <v>1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-08-23T20:38:50-0600',mode:absolute,to:'2017-08-23T23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23.303799999999999</v>
      </c>
      <c r="Z144" s="197">
        <f>RIGHT(H144,LEN(H144)-4)/10000</f>
        <v>1.32E-2</v>
      </c>
      <c r="AA144" s="197">
        <f>ABS(Z144-Y144)</f>
        <v>23.290599999999998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>VALUE(LEFT(A144,LEN(A144)-3))</f>
        <v>230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/stypes="app*4013*20170824*" /stext=" 04:.+((SYSTEM_STATE.+slice.+state.+changed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4"/>
        <v>"%USERPROFILE%\Documents\GitHub\eaglep3\Utilities\RefineRTDCRunTimes.py" --tripid 230-23 --locoid 4013 --swversion DE.1.0.9.0 --startMP 204:233038 --initTime 2017-08-23T21:38:50 --startdatetime 2017-08-23T21:57:21 --delay 2 --endMP 204:132 --enddatetime 2017-08-23T22:35:22 --enforcementcount 1 &gt;&gt;C:\Users\stu\Documents\GitHub\eaglep3-reporting\EC\2017-08-23-refined-times.txt</v>
      </c>
      <c r="AI144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{"issue":{"subject":"","project_id":79,"tracker_id":40,"status_id":1,"priority_id":2,"assigned_to_id":23,"start_date":"2017-08-23","description":"","custom_fields":[{"id":1,"name":"Subdivision","value":"EC"},{"id":4,"name":"Milepost","value":"0.0132"},{"id":17,"name":"Train ID","value":"230-23"},{"id":16,"name":"Locomotive ID","value":"4013"},{"id":130,"name":"Impact","value":""},{"id":150,"name":"Time of Event (Mountain Time)","value":"22:35:22"},{"id":151,"name":"Denver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6"/>
        <v>start /low /b %USERPROFILE%\Documents\GitHub\eaglep3\Utilities\DownloadLogsFromS3.py --loco 4013 --day 2017-08-23</v>
      </c>
      <c r="AN144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04:35:22"},{"id":29,"name":"Sharepoint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788</v>
      </c>
      <c r="B145" s="7">
        <v>4042</v>
      </c>
      <c r="C145" s="21" t="s">
        <v>197</v>
      </c>
      <c r="D145" s="21" t="s">
        <v>344</v>
      </c>
      <c r="E145" s="13">
        <v>42970.891493055555</v>
      </c>
      <c r="F145" s="13">
        <v>42970.896365740744</v>
      </c>
      <c r="G145" s="7">
        <v>1</v>
      </c>
      <c r="H145" s="21" t="s">
        <v>429</v>
      </c>
      <c r="I145" s="13">
        <v>42970.921435185184</v>
      </c>
      <c r="J145" s="7">
        <v>1</v>
      </c>
      <c r="K145" s="89" t="str">
        <f>IF(ISEVEN(B145),(B145-1)&amp;"/"&amp;B145,B145&amp;"/"&amp;(B145+1))</f>
        <v>4041/4042</v>
      </c>
      <c r="L145" s="217" t="str">
        <f>VLOOKUP(A145,'Trips&amp;Operators'!$C$1:$G$99911,5,FALSE)</f>
        <v>RESPASS AARON</v>
      </c>
      <c r="M145" s="6">
        <f>I145-F145</f>
        <v>2.5069444440305233E-2</v>
      </c>
      <c r="N145" s="7">
        <f>24*60*SUM($M145:$M145)</f>
        <v>36.099999994039536</v>
      </c>
      <c r="O145" s="7"/>
      <c r="P145" s="7"/>
      <c r="Q145" s="22"/>
      <c r="R145" s="170"/>
      <c r="S145" s="213">
        <f>1/IF(AG145="EC",12,1)*SUM(U145:U145)</f>
        <v>1</v>
      </c>
      <c r="T145" s="195" t="str">
        <f>IF(ISEVEN(LEFT(AD145,4)),"Southbound","NorthBound")</f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-08-23T20:23:45-0600',mode:absolute,to:'2017-08-23T23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4.4699999999999997E-2</v>
      </c>
      <c r="Z145" s="197">
        <f>RIGHT(H145,LEN(H145)-4)/10000</f>
        <v>23.331499999999998</v>
      </c>
      <c r="AA145" s="197">
        <f>ABS(Z145-Y145)</f>
        <v>23.286799999999999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>VALUE(LEFT(A145,LEN(A145)-3))</f>
        <v>231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/stypes="app*4042*20170824*" /stext=" 04:.+((SYSTEM_STATE.+slice.+state.+changed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4"/>
        <v>"%USERPROFILE%\Documents\GitHub\eaglep3\Utilities\RefineRTDCRunTimes.py" --tripid 231-23 --locoid 4042 --swversion DE.1.0.9.0 --startMP 204:447 --initTime 2017-08-23T21:23:45 --startdatetime 2017-08-23T21:30:46 --delay 1 --endMP 204:233315 --enddatetime 2017-08-23T22:06:52 --enforcementcount 1 &gt;&gt;C:\Users\stu\Documents\GitHub\eaglep3-reporting\EC\2017-08-23-refined-times.txt</v>
      </c>
      <c r="AI145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{"issue":{"subject":"","project_id":79,"tracker_id":40,"status_id":1,"priority_id":2,"assigned_to_id":23,"start_date":"2017-08-23","description":"","custom_fields":[{"id":1,"name":"Subdivision","value":"EC"},{"id":4,"name":"Milepost","value":"23.3315"},{"id":17,"name":"Train ID","value":"231-23"},{"id":16,"name":"Locomotive ID","value":"4042"},{"id":130,"name":"Impact","value":""},{"id":150,"name":"Time of Event (Mountain Time)","value":"22:06:52"},{"id":151,"name":"Denver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6"/>
        <v>start /low /b %USERPROFILE%\Documents\GitHub\eaglep3\Utilities\DownloadLogsFromS3.py --loco 4042 --day 2017-08-23</v>
      </c>
      <c r="AN145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04:06:52"},{"id":29,"name":"Sharepoint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792</v>
      </c>
      <c r="B146" s="7">
        <v>4041</v>
      </c>
      <c r="C146" s="21" t="s">
        <v>197</v>
      </c>
      <c r="D146" s="21" t="s">
        <v>524</v>
      </c>
      <c r="E146" s="13">
        <v>42970.931400462963</v>
      </c>
      <c r="F146" s="13">
        <v>42970.935601851852</v>
      </c>
      <c r="G146" s="7">
        <v>1</v>
      </c>
      <c r="H146" s="21" t="s">
        <v>346</v>
      </c>
      <c r="I146" s="13">
        <v>42970.962256944447</v>
      </c>
      <c r="J146" s="7">
        <v>1</v>
      </c>
      <c r="K146" s="89" t="str">
        <f>IF(ISEVEN(B146),(B146-1)&amp;"/"&amp;B146,B146&amp;"/"&amp;(B146+1))</f>
        <v>4041/4042</v>
      </c>
      <c r="L146" s="217" t="str">
        <f>VLOOKUP(A146,'Trips&amp;Operators'!$C$1:$G$99911,5,FALSE)</f>
        <v>RESPASS AARON</v>
      </c>
      <c r="M146" s="6">
        <f>I146-F146</f>
        <v>2.6655092595319729E-2</v>
      </c>
      <c r="N146" s="7">
        <f>24*60*SUM($M146:$M146)</f>
        <v>38.38333333726041</v>
      </c>
      <c r="O146" s="7"/>
      <c r="P146" s="7"/>
      <c r="Q146" s="22"/>
      <c r="R146" s="170"/>
      <c r="S146" s="213">
        <f>1/IF(AG146="EC",12,1)*SUM(U146:U146)</f>
        <v>1</v>
      </c>
      <c r="T146" s="195" t="str">
        <f>IF(ISEVEN(LEFT(AD146,4)),"Southbound","NorthBound")</f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-08-23T21:21:13-0600',mode:absolute,to:'2017-08-24T00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23.297599999999999</v>
      </c>
      <c r="Z146" s="197">
        <f>RIGHT(H146,LEN(H146)-4)/10000</f>
        <v>1.47E-2</v>
      </c>
      <c r="AA146" s="197">
        <f>ABS(Z146-Y146)</f>
        <v>23.282899999999998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>VALUE(LEFT(A146,LEN(A146)-3))</f>
        <v>232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/stypes="app*4041*20170824*" /stext=" 05:.+((SYSTEM_STATE.+slice.+state.+changed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4"/>
        <v>"%USERPROFILE%\Documents\GitHub\eaglep3\Utilities\RefineRTDCRunTimes.py" --tripid 232-23 --locoid 4041 --swversion DE.1.0.9.0 --startMP 204:232976 --initTime 2017-08-23T22:21:13 --startdatetime 2017-08-23T22:27:16 --delay 1 --endMP 204:147 --enddatetime 2017-08-23T23:05:39 --enforcementcount 1 &gt;&gt;C:\Users\stu\Documents\GitHub\eaglep3-reporting\EC\2017-08-23-refined-times.txt</v>
      </c>
      <c r="AI146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{"issue":{"subject":"","project_id":79,"tracker_id":40,"status_id":1,"priority_id":2,"assigned_to_id":23,"start_date":"2017-08-23","description":"","custom_fields":[{"id":1,"name":"Subdivision","value":"EC"},{"id":4,"name":"Milepost","value":"0.0147"},{"id":17,"name":"Train ID","value":"232-23"},{"id":16,"name":"Locomotive ID","value":"4041"},{"id":130,"name":"Impact","value":""},{"id":150,"name":"Time of Event (Mountain Time)","value":"23:05:39"},{"id":151,"name":"Denver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6"/>
        <v>start /low /b %USERPROFILE%\Documents\GitHub\eaglep3\Utilities\DownloadLogsFromS3.py --loco 4041 --day 2017-08-23</v>
      </c>
      <c r="AN146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05:05:39"},{"id":29,"name":"Sharepoint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790</v>
      </c>
      <c r="B147" s="7">
        <v>4028</v>
      </c>
      <c r="C147" s="21" t="s">
        <v>197</v>
      </c>
      <c r="D147" s="21" t="s">
        <v>391</v>
      </c>
      <c r="E147" s="13">
        <v>42970.904722222222</v>
      </c>
      <c r="F147" s="13">
        <v>42970.917233796295</v>
      </c>
      <c r="G147" s="7">
        <v>1</v>
      </c>
      <c r="H147" s="21" t="s">
        <v>396</v>
      </c>
      <c r="I147" s="13">
        <v>42970.941967592589</v>
      </c>
      <c r="J147" s="7">
        <v>1</v>
      </c>
      <c r="K147" s="89" t="str">
        <f>IF(ISEVEN(B147),(B147-1)&amp;"/"&amp;B147,B147&amp;"/"&amp;(B147+1))</f>
        <v>4027/4028</v>
      </c>
      <c r="L147" s="217" t="str">
        <f>VLOOKUP(A147,'Trips&amp;Operators'!$C$1:$G$99911,5,FALSE)</f>
        <v>WEST BRYAN</v>
      </c>
      <c r="M147" s="6">
        <f>I147-F147</f>
        <v>2.4733796293730848E-2</v>
      </c>
      <c r="N147" s="7">
        <f>24*60*SUM($M147:$M147)</f>
        <v>35.61666666297242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-08-23T20:42:48-0600',mode:absolute,to:'2017-08-23T23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4.7100000000000003E-2</v>
      </c>
      <c r="Z147" s="197">
        <f>RIGHT(H147,LEN(H147)-4)/10000</f>
        <v>23.330200000000001</v>
      </c>
      <c r="AA147" s="197">
        <f>ABS(Z147-Y147)</f>
        <v>23.283100000000001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>VALUE(LEFT(A147,LEN(A147)-3))</f>
        <v>233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/stypes="app*4028*20170824*" /stext=" 04:.+((SYSTEM_STATE.+slice.+state.+changed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4"/>
        <v>"%USERPROFILE%\Documents\GitHub\eaglep3\Utilities\RefineRTDCRunTimes.py" --tripid 233-23 --locoid 4028 --swversion DE.1.0.9.0 --startMP 204:471 --initTime 2017-08-23T21:42:48 --startdatetime 2017-08-23T22:00:49 --delay 1 --endMP 204:233302 --enddatetime 2017-08-23T22:36:26 --enforcementcount 1 &gt;&gt;C:\Users\stu\Documents\GitHub\eaglep3-reporting\EC\2017-08-23-refined-times.txt</v>
      </c>
      <c r="AI147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{"issue":{"subject":"","project_id":79,"tracker_id":40,"status_id":1,"priority_id":2,"assigned_to_id":23,"start_date":"2017-08-23","description":"","custom_fields":[{"id":1,"name":"Subdivision","value":"EC"},{"id":4,"name":"Milepost","value":"23.3302"},{"id":17,"name":"Train ID","value":"233-23"},{"id":16,"name":"Locomotive ID","value":"4028"},{"id":130,"name":"Impact","value":""},{"id":150,"name":"Time of Event (Mountain Time)","value":"22:36:26"},{"id":151,"name":"Denver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6"/>
        <v>start /low /b %USERPROFILE%\Documents\GitHub\eaglep3\Utilities\DownloadLogsFromS3.py --loco 4028 --day 2017-08-23</v>
      </c>
      <c r="AN147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04:36:26"},{"id":29,"name":"Sharepoint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796</v>
      </c>
      <c r="B148" s="7">
        <v>4027</v>
      </c>
      <c r="C148" s="21" t="s">
        <v>197</v>
      </c>
      <c r="D148" s="21" t="s">
        <v>465</v>
      </c>
      <c r="E148" s="13">
        <v>42970.951932870368</v>
      </c>
      <c r="F148" s="13">
        <v>42970.956458333334</v>
      </c>
      <c r="G148" s="7">
        <v>1</v>
      </c>
      <c r="H148" s="21" t="s">
        <v>346</v>
      </c>
      <c r="I148" s="13">
        <v>42970.983738425923</v>
      </c>
      <c r="J148" s="7">
        <v>1</v>
      </c>
      <c r="K148" s="89" t="str">
        <f>IF(ISEVEN(B148),(B148-1)&amp;"/"&amp;B148,B148&amp;"/"&amp;(B148+1))</f>
        <v>4027/4028</v>
      </c>
      <c r="L148" s="217" t="str">
        <f>VLOOKUP(A148,'Trips&amp;Operators'!$C$1:$G$99911,5,FALSE)</f>
        <v>WEST BRYAN</v>
      </c>
      <c r="M148" s="6">
        <f>I148-F148</f>
        <v>2.7280092588625848E-2</v>
      </c>
      <c r="N148" s="7">
        <f>24*60*SUM($M148:$M148)</f>
        <v>39.283333327621222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-08-23T21:50:47-0600',mode:absolute,to:'2017-08-24T00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23.297899999999998</v>
      </c>
      <c r="Z148" s="197">
        <f>RIGHT(H148,LEN(H148)-4)/10000</f>
        <v>1.47E-2</v>
      </c>
      <c r="AA148" s="197">
        <f>ABS(Z148-Y148)</f>
        <v>23.283199999999997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6">
        <f>VALUE(LEFT(A148,LEN(A148)-3))</f>
        <v>234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/stypes="app*4027*20170824*" /stext=" 05:.+((SYSTEM_STATE.+slice.+state.+changed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4"/>
        <v>"%USERPROFILE%\Documents\GitHub\eaglep3\Utilities\RefineRTDCRunTimes.py" --tripid 234-23 --locoid 4027 --swversion DE.1.0.9.0 --startMP 204:232979 --initTime 2017-08-23T22:50:47 --startdatetime 2017-08-23T22:57:18 --delay 1 --endMP 204:147 --enddatetime 2017-08-23T23:36:35 --enforcementcount 1 &gt;&gt;C:\Users\stu\Documents\GitHub\eaglep3-reporting\EC\2017-08-23-refined-times.txt</v>
      </c>
      <c r="AI148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{"issue":{"subject":"","project_id":79,"tracker_id":40,"status_id":1,"priority_id":2,"assigned_to_id":23,"start_date":"2017-08-23","description":"","custom_fields":[{"id":1,"name":"Subdivision","value":"EC"},{"id":4,"name":"Milepost","value":"0.0147"},{"id":17,"name":"Train ID","value":"234-23"},{"id":16,"name":"Locomotive ID","value":"4027"},{"id":130,"name":"Impact","value":""},{"id":150,"name":"Time of Event (Mountain Time)","value":"23:36:35"},{"id":151,"name":"Denver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6"/>
        <v>start /low /b %USERPROFILE%\Documents\GitHub\eaglep3\Utilities\DownloadLogsFromS3.py --loco 4027 --day 2017-08-23</v>
      </c>
      <c r="AN148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05:36:35"},{"id":29,"name":"Sharepoint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793</v>
      </c>
      <c r="B149" s="7">
        <v>4030</v>
      </c>
      <c r="C149" s="21" t="s">
        <v>197</v>
      </c>
      <c r="D149" s="21" t="s">
        <v>508</v>
      </c>
      <c r="E149" s="13">
        <v>42970.933368055557</v>
      </c>
      <c r="F149" s="13">
        <v>42970.938009259262</v>
      </c>
      <c r="G149" s="7">
        <v>1</v>
      </c>
      <c r="H149" s="21" t="s">
        <v>397</v>
      </c>
      <c r="I149" s="13">
        <v>42970.962719907409</v>
      </c>
      <c r="J149" s="7">
        <v>1</v>
      </c>
      <c r="K149" s="89" t="str">
        <f>IF(ISEVEN(B149),(B149-1)&amp;"/"&amp;B149,B149&amp;"/"&amp;(B149+1))</f>
        <v>4029/4030</v>
      </c>
      <c r="L149" s="217" t="str">
        <f>VLOOKUP(A149,'Trips&amp;Operators'!$C$1:$G$99911,5,FALSE)</f>
        <v>LAMAR NEKESHA</v>
      </c>
      <c r="M149" s="6">
        <f>I149-F149</f>
        <v>2.47106481474475E-2</v>
      </c>
      <c r="N149" s="7">
        <f>24*60*SUM($M149:$M149)</f>
        <v>35.583333332324401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-08-23T21:24:03-0600',mode:absolute,to:'2017-08-24T00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4.6899999999999997E-2</v>
      </c>
      <c r="Z149" s="197">
        <f>RIGHT(H149,LEN(H149)-4)/10000</f>
        <v>23.3291</v>
      </c>
      <c r="AA149" s="197">
        <f>ABS(Z149-Y149)</f>
        <v>23.2822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>VALUE(LEFT(A149,LEN(A149)-3))</f>
        <v>235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s3://rtdc.mdm.uploadarchive.raw/RTDC4030/ "%USERPROFILE%\AppData\Local\Temp\OnboardLogs"\RTDC4030\2017-08-23 --exclude "*" --recursive --include "*20170823*" &amp; "%USERPROFILE%\Documents\GitHub\mrs-test-scripts\Headless Mode &amp; Sideloading\WalkAndUnGZ.bat" "%USERPROFILE%\AppData\Local\Temp\OnboardLogs"\RTDC4030\2017-08-23 &amp; 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/stypes="app*4030*20170824*" /stext=" 05:.+((SYSTEM_STATE.+slice.+state.+changed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4"/>
        <v>"%USERPROFILE%\Documents\GitHub\eaglep3\Utilities\RefineRTDCRunTimes.py" --tripid 235-23 --locoid 4030 --swversion DE.1.0.9.0 --startMP 204:469 --initTime 2017-08-23T22:24:03 --startdatetime 2017-08-23T22:30:44 --delay 1 --endMP 204:233291 --enddatetime 2017-08-23T23:06:19 --enforcementcount 1 &gt;&gt;C:\Users\stu\Documents\GitHub\eaglep3-reporting\EC\2017-08-23-refined-times.txt</v>
      </c>
      <c r="AI149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{"issue":{"subject":"","project_id":79,"tracker_id":40,"status_id":1,"priority_id":2,"assigned_to_id":23,"start_date":"2017-08-23","description":"","custom_fields":[{"id":1,"name":"Subdivision","value":"EC"},{"id":4,"name":"Milepost","value":"23.3291"},{"id":17,"name":"Train ID","value":"235-23"},{"id":16,"name":"Locomotive ID","value":"4030"},{"id":130,"name":"Impact","value":""},{"id":150,"name":"Time of Event (Mountain Time)","value":"23:06:19"},{"id":151,"name":"Denver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6"/>
        <v>start /low /b %USERPROFILE%\Documents\GitHub\eaglep3\Utilities\DownloadLogsFromS3.py --loco 4030 --day 2017-08-23</v>
      </c>
      <c r="AN149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05:06:19"},{"id":29,"name":"Sharepoint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797</v>
      </c>
      <c r="B150" s="7">
        <v>4029</v>
      </c>
      <c r="C150" s="21" t="s">
        <v>197</v>
      </c>
      <c r="D150" s="21" t="s">
        <v>404</v>
      </c>
      <c r="E150" s="13">
        <v>42970.972939814812</v>
      </c>
      <c r="F150" s="13">
        <v>42970.977256944447</v>
      </c>
      <c r="G150" s="7">
        <v>1</v>
      </c>
      <c r="H150" s="21" t="s">
        <v>398</v>
      </c>
      <c r="I150" s="13">
        <v>42971.003750000003</v>
      </c>
      <c r="J150" s="7">
        <v>1</v>
      </c>
      <c r="K150" s="89" t="str">
        <f>IF(ISEVEN(B150),(B150-1)&amp;"/"&amp;B150,B150&amp;"/"&amp;(B150+1))</f>
        <v>4029/4030</v>
      </c>
      <c r="L150" s="217" t="str">
        <f>VLOOKUP(A150,'Trips&amp;Operators'!$C$1:$G$99911,5,FALSE)</f>
        <v>LAMAR NEKESHA</v>
      </c>
      <c r="M150" s="6">
        <f>I150-F150</f>
        <v>2.6493055556784384E-2</v>
      </c>
      <c r="N150" s="7">
        <f>24*60*SUM($M150:$M150)</f>
        <v>38.150000001769513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-08-23T22:21:02-0600',mode:absolute,to:'2017-08-24T01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23.2987</v>
      </c>
      <c r="Z150" s="197">
        <f>RIGHT(H150,LEN(H150)-4)/10000</f>
        <v>1.5599999999999999E-2</v>
      </c>
      <c r="AA150" s="197">
        <f>ABS(Z150-Y150)</f>
        <v>23.283100000000001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6">
        <f>VALUE(LEFT(A150,LEN(A150)-3))</f>
        <v>236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/stypes="app*4029*20170824*" /stext=" 06:.+((SYSTEM_STATE.+slice.+state.+changed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4"/>
        <v>"%USERPROFILE%\Documents\GitHub\eaglep3\Utilities\RefineRTDCRunTimes.py" --tripid 236-23 --locoid 4029 --swversion DE.1.0.9.0 --startMP 204:232987 --initTime 2017-08-23T23:21:02 --startdatetime 2017-08-23T23:27:15 --delay 1 --endMP 204:156 --enddatetime 2017-08-24T00:05:24 --enforcementcount 1 &gt;&gt;C:\Users\stu\Documents\GitHub\eaglep3-reporting\EC\2017-08-23-refined-times.txt</v>
      </c>
      <c r="AI150" s="96" t="str">
        <f t="shared" si="15"/>
        <v>echo {"issue":{"subject":"","project_id":79,"tracker_id":40,"status_id":1,"priority_id":2,"assigned_to_id":23,"start_date":"2017-08-24","description":"","custom_fields":[{"id":1,"name":"Subdivision","value":"EC"},{"id":4,"name":"Milepost","value":"0.0156"},{"id":17,"name":"Train ID","value":"236-23"},{"id":16,"name":"Locomotive ID","value":"4029"},{"id":130,"name":"Impact","value":""},{"id":150,"name":"Time of Event (Mountain Time)","value":"00:05:24"},{"id":151,"name":"Denver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6"/>
        <v>start /low /b %USERPROFILE%\Documents\GitHub\eaglep3\Utilities\DownloadLogsFromS3.py --loco 4029 --day 2017-08-23</v>
      </c>
      <c r="AN150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06:05:24"},{"id":29,"name":"Sharepoint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795</v>
      </c>
      <c r="B151" s="7">
        <v>4014</v>
      </c>
      <c r="C151" s="21" t="s">
        <v>197</v>
      </c>
      <c r="D151" s="21" t="s">
        <v>890</v>
      </c>
      <c r="E151" s="13">
        <v>42970.943796296298</v>
      </c>
      <c r="F151" s="13">
        <v>42970.95884259259</v>
      </c>
      <c r="G151" s="7">
        <v>1</v>
      </c>
      <c r="H151" s="21" t="s">
        <v>869</v>
      </c>
      <c r="I151" s="13">
        <v>42970.983460648145</v>
      </c>
      <c r="J151" s="7">
        <v>1</v>
      </c>
      <c r="K151" s="89" t="str">
        <f>IF(ISEVEN(B151),(B151-1)&amp;"/"&amp;B151,B151&amp;"/"&amp;(B151+1))</f>
        <v>4013/4014</v>
      </c>
      <c r="L151" s="217" t="str">
        <f>VLOOKUP(A151,'Trips&amp;Operators'!$C$1:$G$99911,5,FALSE)</f>
        <v>FORTUNATO FRANK</v>
      </c>
      <c r="M151" s="6">
        <f>I151-F151</f>
        <v>2.4618055555038154E-2</v>
      </c>
      <c r="N151" s="7">
        <f>24*60*SUM($M151:$M151)</f>
        <v>35.449999999254942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-08-23T21:39:04-0600',mode:absolute,to:'2017-08-24T00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4.2900000000000001E-2</v>
      </c>
      <c r="Z151" s="197">
        <f>RIGHT(H151,LEN(H151)-4)/10000</f>
        <v>23.333400000000001</v>
      </c>
      <c r="AA151" s="197">
        <f>ABS(Z151-Y151)</f>
        <v>23.290500000000002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>VALUE(LEFT(A151,LEN(A151)-3))</f>
        <v>237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/stypes="app*4014*20170824*" /stext=" 05:.+((SYSTEM_STATE.+slice.+state.+changed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4"/>
        <v>"%USERPROFILE%\Documents\GitHub\eaglep3\Utilities\RefineRTDCRunTimes.py" --tripid 237-23 --locoid 4014 --swversion DE.1.0.9.0 --startMP 204:429 --initTime 2017-08-23T22:39:04 --startdatetime 2017-08-23T23:00:44 --delay 1 --endMP 204:233334 --enddatetime 2017-08-23T23:36:11 --enforcementcount 1 &gt;&gt;C:\Users\stu\Documents\GitHub\eaglep3-reporting\EC\2017-08-23-refined-times.txt</v>
      </c>
      <c r="AI151" s="96" t="str">
        <f t="shared" si="15"/>
        <v>echo {"issue":{"subject":"","project_id":79,"tracker_id":40,"status_id":1,"priority_id":2,"assigned_to_id":23,"start_date":"2017-08-23","description":"","custom_fields":[{"id":1,"name":"Subdivision","value":"EC"},{"id":4,"name":"Milepost","value":"23.3334"},{"id":17,"name":"Train ID","value":"237-23"},{"id":16,"name":"Locomotive ID","value":"4014"},{"id":130,"name":"Impact","value":""},{"id":150,"name":"Time of Event (Mountain Time)","value":"23:36:11"},{"id":151,"name":"Denver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6"/>
        <v>start /low /b %USERPROFILE%\Documents\GitHub\eaglep3\Utilities\DownloadLogsFromS3.py --loco 4014 --day 2017-08-23</v>
      </c>
      <c r="AN151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799</v>
      </c>
      <c r="B152" s="7">
        <v>4013</v>
      </c>
      <c r="C152" s="21" t="s">
        <v>197</v>
      </c>
      <c r="D152" s="21" t="s">
        <v>846</v>
      </c>
      <c r="E152" s="13">
        <v>42970.984872685185</v>
      </c>
      <c r="F152" s="13">
        <v>42970.998159722221</v>
      </c>
      <c r="G152" s="7">
        <v>1</v>
      </c>
      <c r="H152" s="21" t="s">
        <v>891</v>
      </c>
      <c r="I152" s="13">
        <v>42971.024178240739</v>
      </c>
      <c r="J152" s="7">
        <v>1</v>
      </c>
      <c r="K152" s="89" t="str">
        <f>IF(ISEVEN(B152),(B152-1)&amp;"/"&amp;B152,B152&amp;"/"&amp;(B152+1))</f>
        <v>4013/4014</v>
      </c>
      <c r="L152" s="217" t="str">
        <f>VLOOKUP(A152,'Trips&amp;Operators'!$C$1:$G$99911,5,FALSE)</f>
        <v>FORTUNATO FRANK</v>
      </c>
      <c r="M152" s="6">
        <f>I152-F152</f>
        <v>2.6018518517958E-2</v>
      </c>
      <c r="N152" s="7">
        <f>24*60*SUM($M152:$M152)</f>
        <v>37.46666666585952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-08-23T22:38:13-0600',mode:absolute,to:'2017-08-24T01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23.3019</v>
      </c>
      <c r="Z152" s="197">
        <f>RIGHT(H152,LEN(H152)-4)/10000</f>
        <v>1.3100000000000001E-2</v>
      </c>
      <c r="AA152" s="197">
        <f>ABS(Z152-Y152)</f>
        <v>23.288799999999998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>VALUE(LEFT(A152,LEN(A152)-3))</f>
        <v>238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/stypes="app*4013*20170824*" /stext=" 06:.+((SYSTEM_STATE.+slice.+state.+changed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4"/>
        <v>"%USERPROFILE%\Documents\GitHub\eaglep3\Utilities\RefineRTDCRunTimes.py" --tripid 238-23 --locoid 4013 --swversion DE.1.0.9.0 --startMP 204:233019 --initTime 2017-08-23T23:38:13 --startdatetime 2017-08-23T23:57:21 --delay 1 --endMP 204:131 --enddatetime 2017-08-24T00:34:49 --enforcementcount 1 &gt;&gt;C:\Users\stu\Documents\GitHub\eaglep3-reporting\EC\2017-08-23-refined-times.txt</v>
      </c>
      <c r="AI152" s="96" t="str">
        <f t="shared" si="15"/>
        <v>echo {"issue":{"subject":"","project_id":79,"tracker_id":40,"status_id":1,"priority_id":2,"assigned_to_id":23,"start_date":"2017-08-24","description":"","custom_fields":[{"id":1,"name":"Subdivision","value":"EC"},{"id":4,"name":"Milepost","value":"0.0131"},{"id":17,"name":"Train ID","value":"238-23"},{"id":16,"name":"Locomotive ID","value":"4013"},{"id":130,"name":"Impact","value":""},{"id":150,"name":"Time of Event (Mountain Time)","value":"00:34:49"},{"id":151,"name":"Denver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6"/>
        <v>start /low /b %USERPROFILE%\Documents\GitHub\eaglep3\Utilities\DownloadLogsFromS3.py --loco 4013 --day 2017-08-23</v>
      </c>
      <c r="AN152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798</v>
      </c>
      <c r="B153" s="7">
        <v>4042</v>
      </c>
      <c r="C153" s="21" t="s">
        <v>197</v>
      </c>
      <c r="D153" s="21" t="s">
        <v>371</v>
      </c>
      <c r="E153" s="13">
        <v>42970.975324074076</v>
      </c>
      <c r="F153" s="13">
        <v>42970.979675925926</v>
      </c>
      <c r="G153" s="7">
        <v>1</v>
      </c>
      <c r="H153" s="21" t="s">
        <v>519</v>
      </c>
      <c r="I153" s="13">
        <v>42971.004212962966</v>
      </c>
      <c r="J153" s="7">
        <v>1</v>
      </c>
      <c r="K153" s="89" t="str">
        <f>IF(ISEVEN(B153),(B153-1)&amp;"/"&amp;B153,B153&amp;"/"&amp;(B153+1))</f>
        <v>4041/4042</v>
      </c>
      <c r="L153" s="217" t="str">
        <f>VLOOKUP(A153,'Trips&amp;Operators'!$C$1:$G$99911,5,FALSE)</f>
        <v>RESPASS AARON</v>
      </c>
      <c r="M153" s="6">
        <f>I153-F153</f>
        <v>2.453703703940846E-2</v>
      </c>
      <c r="N153" s="7">
        <f>24*60*SUM($M153:$M153)</f>
        <v>35.333333336748183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-08-23T22:24:28-0600',mode:absolute,to:'2017-08-24T01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4.4900000000000002E-2</v>
      </c>
      <c r="Z153" s="197">
        <f>RIGHT(H153,LEN(H153)-4)/10000</f>
        <v>23.329499999999999</v>
      </c>
      <c r="AA153" s="197">
        <f>ABS(Z153-Y153)</f>
        <v>23.284600000000001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>VALUE(LEFT(A153,LEN(A153)-3))</f>
        <v>239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/stypes="app*4042*20170824*" /stext=" 06:.+((SYSTEM_STATE.+slice.+state.+changed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4"/>
        <v>"%USERPROFILE%\Documents\GitHub\eaglep3\Utilities\RefineRTDCRunTimes.py" --tripid 239-23 --locoid 4042 --swversion DE.1.0.9.0 --startMP 204:449 --initTime 2017-08-23T23:24:28 --startdatetime 2017-08-23T23:30:44 --delay 1 --endMP 204:233295 --enddatetime 2017-08-24T00:06:04 --enforcementcount 1 &gt;&gt;C:\Users\stu\Documents\GitHub\eaglep3-reporting\EC\2017-08-23-refined-times.txt</v>
      </c>
      <c r="AI153" s="96" t="str">
        <f t="shared" si="15"/>
        <v>echo {"issue":{"subject":"","project_id":79,"tracker_id":40,"status_id":1,"priority_id":2,"assigned_to_id":23,"start_date":"2017-08-24","description":"","custom_fields":[{"id":1,"name":"Subdivision","value":"EC"},{"id":4,"name":"Milepost","value":"23.3295"},{"id":17,"name":"Train ID","value":"239-23"},{"id":16,"name":"Locomotive ID","value":"4042"},{"id":130,"name":"Impact","value":""},{"id":150,"name":"Time of Event (Mountain Time)","value":"00:06:04"},{"id":151,"name":"Denver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6"/>
        <v>start /low /b %USERPROFILE%\Documents\GitHub\eaglep3\Utilities\DownloadLogsFromS3.py --loco 4042 --day 2017-08-23</v>
      </c>
      <c r="AN153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06:06:04"},{"id":29,"name":"Sharepoint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801</v>
      </c>
      <c r="B154" s="7">
        <v>4041</v>
      </c>
      <c r="C154" s="21" t="s">
        <v>197</v>
      </c>
      <c r="D154" s="21" t="s">
        <v>887</v>
      </c>
      <c r="E154" s="13">
        <v>42971.015335648146</v>
      </c>
      <c r="F154" s="13">
        <v>42971.019062500003</v>
      </c>
      <c r="G154" s="7">
        <v>1</v>
      </c>
      <c r="H154" s="21" t="s">
        <v>466</v>
      </c>
      <c r="I154" s="13">
        <v>42971.046631944446</v>
      </c>
      <c r="J154" s="7">
        <v>1</v>
      </c>
      <c r="K154" s="89" t="str">
        <f>IF(ISEVEN(B154),(B154-1)&amp;"/"&amp;B154,B154&amp;"/"&amp;(B154+1))</f>
        <v>4041/4042</v>
      </c>
      <c r="L154" s="217" t="str">
        <f>VLOOKUP(A154,'Trips&amp;Operators'!$C$1:$G$99911,5,FALSE)</f>
        <v>RESPASS AARON</v>
      </c>
      <c r="M154" s="6">
        <f>I154-F154</f>
        <v>2.7569444442633539E-2</v>
      </c>
      <c r="N154" s="7">
        <f>24*60*SUM($M154:$M154)</f>
        <v>39.699999997392297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-08-23T23:22:05-0600',mode:absolute,to:'2017-08-24T02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23.298300000000001</v>
      </c>
      <c r="Z154" s="197">
        <f>RIGHT(H154,LEN(H154)-4)/10000</f>
        <v>1.3599999999999999E-2</v>
      </c>
      <c r="AA154" s="197">
        <f>ABS(Z154-Y154)</f>
        <v>23.284700000000001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>VALUE(LEFT(A154,LEN(A154)-3))</f>
        <v>240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 &amp; aws s3 cp s3://rtdc.mdm.uploadarchive.raw/RTDC4041/ "%USERPROFILE%\AppData\Local\Temp\OnboardLogs"\RTDC4041\2017-08-25 --exclude "*" --recursive --include "*20170825*" &amp; "%USERPROFILE%\Documents\GitHub\mrs-test-scripts\Headless Mode &amp; Sideloading\WalkAndUnGZ.bat" "%USERPROFILE%\AppData\Local\Temp\OnboardLogs"\RTDC4041\2017-08-25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/stypes="app*4041*20170824*" /stext=" 07:.+((SYSTEM_STATE.+slice.+state.+changed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4"/>
        <v>"%USERPROFILE%\Documents\GitHub\eaglep3\Utilities\RefineRTDCRunTimes.py" --tripid 240-23 --locoid 4041 --swversion DE.1.0.9.0 --startMP 204:232983 --initTime 2017-08-24T00:22:05 --startdatetime 2017-08-24T00:27:27 --delay 1 --endMP 204:136 --enddatetime 2017-08-24T01:07:09 --enforcementcount 1 &gt;&gt;C:\Users\stu\Documents\GitHub\eaglep3-reporting\EC\2017-08-23-refined-times.txt</v>
      </c>
      <c r="AI154" s="96" t="str">
        <f t="shared" si="15"/>
        <v>echo {"issue":{"subject":"","project_id":79,"tracker_id":40,"status_id":1,"priority_id":2,"assigned_to_id":23,"start_date":"2017-08-24","description":"","custom_fields":[{"id":1,"name":"Subdivision","value":"EC"},{"id":4,"name":"Milepost","value":"0.0136"},{"id":17,"name":"Train ID","value":"240-23"},{"id":16,"name":"Locomotive ID","value":"4041"},{"id":130,"name":"Impact","value":""},{"id":150,"name":"Time of Event (Mountain Time)","value":"01:07:09"},{"id":151,"name":"Denver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6"/>
        <v>start /low /b %USERPROFILE%\Documents\GitHub\eaglep3\Utilities\DownloadLogsFromS3.py --loco 4041 --day 2017-08-24</v>
      </c>
      <c r="AN154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07:07:09"},{"id":29,"name":"Sharepoint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800</v>
      </c>
      <c r="B155" s="7">
        <v>4028</v>
      </c>
      <c r="C155" s="21" t="s">
        <v>197</v>
      </c>
      <c r="D155" s="21" t="s">
        <v>406</v>
      </c>
      <c r="E155" s="13">
        <v>42970.986134259256</v>
      </c>
      <c r="F155" s="13">
        <v>42971.000543981485</v>
      </c>
      <c r="G155" s="7">
        <v>1</v>
      </c>
      <c r="H155" s="21" t="s">
        <v>886</v>
      </c>
      <c r="I155" s="13">
        <v>42971.025856481479</v>
      </c>
      <c r="J155" s="7">
        <v>1</v>
      </c>
      <c r="K155" s="89" t="str">
        <f>IF(ISEVEN(B155),(B155-1)&amp;"/"&amp;B155,B155&amp;"/"&amp;(B155+1))</f>
        <v>4027/4028</v>
      </c>
      <c r="L155" s="217" t="str">
        <f>VLOOKUP(A155,'Trips&amp;Operators'!$C$1:$G$99911,5,FALSE)</f>
        <v>WEST BRYAN</v>
      </c>
      <c r="M155" s="6">
        <f>I155-F155</f>
        <v>2.5312499994470272E-2</v>
      </c>
      <c r="N155" s="7">
        <f>24*60*SUM($M155:$M155)</f>
        <v>36.449999992037192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-08-23T22:40:02-0600',mode:absolute,to:'2017-08-24T01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4.3999999999999997E-2</v>
      </c>
      <c r="Z155" s="197">
        <f>RIGHT(H155,LEN(H155)-4)/10000</f>
        <v>23.328499999999998</v>
      </c>
      <c r="AA155" s="197">
        <f>ABS(Z155-Y155)</f>
        <v>23.284499999999998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>VALUE(LEFT(A155,LEN(A155)-3))</f>
        <v>241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 &amp; aws s3 cp s3://rtdc.mdm.uploadarchive.raw/RTDC4028/ "%USERPROFILE%\AppData\Local\Temp\OnboardLogs"\RTDC4028\2017-08-25 --exclude "*" --recursive --include "*20170825*" &amp; "%USERPROFILE%\Documents\GitHub\mrs-test-scripts\Headless Mode &amp; Sideloading\WalkAndUnGZ.bat" "%USERPROFILE%\AppData\Local\Temp\OnboardLogs"\RTDC4028\2017-08-25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/stypes="app*4028*20170824*" /stext=" 06:.+((SYSTEM_STATE.+slice.+state.+changed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4"/>
        <v>"%USERPROFILE%\Documents\GitHub\eaglep3\Utilities\RefineRTDCRunTimes.py" --tripid 241-23 --locoid 4028 --swversion DE.1.0.9.0 --startMP 204:440 --initTime 2017-08-23T23:40:02 --startdatetime 2017-08-24T00:00:47 --delay 1 --endMP 204:233285 --enddatetime 2017-08-24T00:37:14 --enforcementcount 1 &gt;&gt;C:\Users\stu\Documents\GitHub\eaglep3-reporting\EC\2017-08-23-refined-times.txt</v>
      </c>
      <c r="AI155" s="96" t="str">
        <f t="shared" si="15"/>
        <v>echo {"issue":{"subject":"","project_id":79,"tracker_id":40,"status_id":1,"priority_id":2,"assigned_to_id":23,"start_date":"2017-08-24","description":"","custom_fields":[{"id":1,"name":"Subdivision","value":"EC"},{"id":4,"name":"Milepost","value":"23.3285"},{"id":17,"name":"Train ID","value":"241-23"},{"id":16,"name":"Locomotive ID","value":"4028"},{"id":130,"name":"Impact","value":""},{"id":150,"name":"Time of Event (Mountain Time)","value":"00:37:14"},{"id":151,"name":"Denver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6"/>
        <v>start /low /b %USERPROFILE%\Documents\GitHub\eaglep3\Utilities\DownloadLogsFromS3.py --loco 4028 --day 2017-08-24</v>
      </c>
      <c r="AN155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06:37:14"},{"id":29,"name":"Sharepoint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804</v>
      </c>
      <c r="B156" s="7">
        <v>4027</v>
      </c>
      <c r="C156" s="21" t="s">
        <v>197</v>
      </c>
      <c r="D156" s="21" t="s">
        <v>833</v>
      </c>
      <c r="E156" s="13">
        <v>42971.028657407405</v>
      </c>
      <c r="F156" s="13">
        <v>42971.039803240739</v>
      </c>
      <c r="G156" s="7">
        <v>1</v>
      </c>
      <c r="H156" s="21" t="s">
        <v>339</v>
      </c>
      <c r="I156" s="13">
        <v>42971.066342592596</v>
      </c>
      <c r="J156" s="7">
        <v>1</v>
      </c>
      <c r="K156" s="89" t="str">
        <f>IF(ISEVEN(B156),(B156-1)&amp;"/"&amp;B156,B156&amp;"/"&amp;(B156+1))</f>
        <v>4027/4028</v>
      </c>
      <c r="L156" s="217" t="str">
        <f>VLOOKUP(A156,'Trips&amp;Operators'!$C$1:$G$99911,5,FALSE)</f>
        <v>WEST BRYAN</v>
      </c>
      <c r="M156" s="6">
        <f>I156-F156</f>
        <v>2.6539351856627036E-2</v>
      </c>
      <c r="N156" s="7">
        <f>24*60*SUM($M156:$M156)</f>
        <v>38.216666673542932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-08-23T23:41:16-0600',mode:absolute,to:'2017-08-24T02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23.297000000000001</v>
      </c>
      <c r="Z156" s="197">
        <f>RIGHT(H156,LEN(H156)-4)/10000</f>
        <v>1.49E-2</v>
      </c>
      <c r="AA156" s="197">
        <f>ABS(Z156-Y156)</f>
        <v>23.2821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>VALUE(LEFT(A156,LEN(A156)-3))</f>
        <v>242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 &amp; aws s3 cp s3://rtdc.mdm.uploadarchive.raw/RTDC4027/ "%USERPROFILE%\AppData\Local\Temp\OnboardLogs"\RTDC4027\2017-08-25 --exclude "*" --recursive --include "*20170825*" &amp; "%USERPROFILE%\Documents\GitHub\mrs-test-scripts\Headless Mode &amp; Sideloading\WalkAndUnGZ.bat" "%USERPROFILE%\AppData\Local\Temp\OnboardLogs"\RTDC4027\2017-08-25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/stypes="app*4027*20170824*" /stext=" 07:.+((SYSTEM_STATE.+slice.+state.+changed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4"/>
        <v>"%USERPROFILE%\Documents\GitHub\eaglep3\Utilities\RefineRTDCRunTimes.py" --tripid 242-23 --locoid 4027 --swversion DE.1.0.9.0 --startMP 204:232970 --initTime 2017-08-24T00:41:16 --startdatetime 2017-08-24T00:57:19 --delay 1 --endMP 204:149 --enddatetime 2017-08-24T01:35:32 --enforcementcount 1 &gt;&gt;C:\Users\stu\Documents\GitHub\eaglep3-reporting\EC\2017-08-23-refined-times.txt</v>
      </c>
      <c r="AI156" s="96" t="str">
        <f t="shared" si="15"/>
        <v>echo {"issue":{"subject":"","project_id":79,"tracker_id":40,"status_id":1,"priority_id":2,"assigned_to_id":23,"start_date":"2017-08-24","description":"","custom_fields":[{"id":1,"name":"Subdivision","value":"EC"},{"id":4,"name":"Milepost","value":"0.0149"},{"id":17,"name":"Train ID","value":"242-23"},{"id":16,"name":"Locomotive ID","value":"4027"},{"id":130,"name":"Impact","value":""},{"id":150,"name":"Time of Event (Mountain Time)","value":"01:35:32"},{"id":151,"name":"Denver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16"/>
        <v>start /low /b %USERPROFILE%\Documents\GitHub\eaglep3\Utilities\DownloadLogsFromS3.py --loco 4027 --day 2017-08-24</v>
      </c>
      <c r="AN156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07:35:32"},{"id":29,"name":"Sharepoint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802</v>
      </c>
      <c r="B157" s="7">
        <v>4030</v>
      </c>
      <c r="C157" s="21" t="s">
        <v>197</v>
      </c>
      <c r="D157" s="21" t="s">
        <v>508</v>
      </c>
      <c r="E157" s="13">
        <v>42971.016550925924</v>
      </c>
      <c r="F157" s="13">
        <v>42971.021655092591</v>
      </c>
      <c r="G157" s="7">
        <v>1</v>
      </c>
      <c r="H157" s="21" t="s">
        <v>873</v>
      </c>
      <c r="I157" s="13">
        <v>42971.046006944445</v>
      </c>
      <c r="J157" s="7">
        <v>1</v>
      </c>
      <c r="K157" s="89" t="str">
        <f>IF(ISEVEN(B157),(B157-1)&amp;"/"&amp;B157,B157&amp;"/"&amp;(B157+1))</f>
        <v>4029/4030</v>
      </c>
      <c r="L157" s="217" t="str">
        <f>VLOOKUP(A157,'Trips&amp;Operators'!$C$1:$G$99911,5,FALSE)</f>
        <v>LAMAR NEKESHA</v>
      </c>
      <c r="M157" s="6">
        <f>I157-F157</f>
        <v>2.4351851854589768E-2</v>
      </c>
      <c r="N157" s="7">
        <f>24*60*SUM($M157:$M157)</f>
        <v>35.066666670609266</v>
      </c>
      <c r="O157" s="7"/>
      <c r="P157" s="7"/>
      <c r="Q157" s="22"/>
      <c r="R157" s="170"/>
      <c r="S157" s="213">
        <f>1/IF(AG157="EC",12,1)*SUM(U157:U157)</f>
        <v>1</v>
      </c>
      <c r="T157" s="195" t="str">
        <f>IF(ISEVEN(LEFT(AD157,4)),"Southbound","NorthBound")</f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-08-23T23:23:50-0600',mode:absolute,to:'2017-08-24T02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>RIGHT(D157,LEN(D157)-4)/10000</f>
        <v>4.6899999999999997E-2</v>
      </c>
      <c r="Z157" s="197">
        <f>RIGHT(H157,LEN(H157)-4)/10000</f>
        <v>23.3309</v>
      </c>
      <c r="AA157" s="197">
        <f>ABS(Z157-Y157)</f>
        <v>23.283999999999999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>VALUE(LEFT(A157,LEN(A157)-3))</f>
        <v>243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 &amp; 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/stypes="app*4030*20170824*" /stext=" 07:.+((SYSTEM_STATE.+slice.+state.+changed )|(ment ac)|(multiple cpu faults)|(system.+state.+changed )|(\[timeout)|(PRM\|1\|D)|(kpr)|(kdp)|(train st.+moving)|(\|lc)|(penalty))"</v>
      </c>
      <c r="AG157" s="209" t="str">
        <f>DetSubdiv(A157)</f>
        <v>EC</v>
      </c>
      <c r="AH157" s="78" t="str">
        <f t="shared" si="14"/>
        <v>"%USERPROFILE%\Documents\GitHub\eaglep3\Utilities\RefineRTDCRunTimes.py" --tripid 243-23 --locoid 4030 --swversion DE.1.0.9.0 --startMP 204:469 --initTime 2017-08-24T00:23:50 --startdatetime 2017-08-24T00:31:11 --delay 1 --endMP 204:233309 --enddatetime 2017-08-24T01:06:15 --enforcementcount 1 &gt;&gt;C:\Users\stu\Documents\GitHub\eaglep3-reporting\EC\2017-08-23-refined-times.txt</v>
      </c>
      <c r="AI157" s="96" t="str">
        <f t="shared" si="15"/>
        <v>echo {"issue":{"subject":"","project_id":79,"tracker_id":40,"status_id":1,"priority_id":2,"assigned_to_id":23,"start_date":"2017-08-24","description":"","custom_fields":[{"id":1,"name":"Subdivision","value":"EC"},{"id":4,"name":"Milepost","value":"23.3309"},{"id":17,"name":"Train ID","value":"243-23"},{"id":16,"name":"Locomotive ID","value":"4030"},{"id":130,"name":"Impact","value":""},{"id":150,"name":"Time of Event (Mountain Time)","value":"01:06:15"},{"id":151,"name":"Denver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16"/>
        <v>start /low /b %USERPROFILE%\Documents\GitHub\eaglep3\Utilities\DownloadLogsFromS3.py --loco 4030 --day 2017-08-24</v>
      </c>
      <c r="AN157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07:06:15"},{"id":29,"name":"Sharepoint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806</v>
      </c>
      <c r="B158" s="7">
        <v>4029</v>
      </c>
      <c r="C158" s="21" t="s">
        <v>197</v>
      </c>
      <c r="D158" s="21" t="s">
        <v>459</v>
      </c>
      <c r="E158" s="13">
        <v>42971.054722222223</v>
      </c>
      <c r="F158" s="13">
        <v>42971.060671296298</v>
      </c>
      <c r="G158" s="7">
        <v>1</v>
      </c>
      <c r="H158" s="21" t="s">
        <v>892</v>
      </c>
      <c r="I158" s="13">
        <v>42971.087060185186</v>
      </c>
      <c r="J158" s="7">
        <v>1</v>
      </c>
      <c r="K158" s="89" t="str">
        <f>IF(ISEVEN(B158),(B158-1)&amp;"/"&amp;B158,B158&amp;"/"&amp;(B158+1))</f>
        <v>4029/4030</v>
      </c>
      <c r="L158" s="217" t="str">
        <f>VLOOKUP(A158,'Trips&amp;Operators'!$C$1:$G$99911,5,FALSE)</f>
        <v>LAMAR NEKESHA</v>
      </c>
      <c r="M158" s="6">
        <f>I158-F158</f>
        <v>2.6388888887595385E-2</v>
      </c>
      <c r="N158" s="7">
        <f>24*60*SUM($M158:$M158)</f>
        <v>37.999999998137355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-08-24T00:18:48-0600',mode:absolute,to:'2017-08-24T03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>RIGHT(D158,LEN(D158)-4)/10000</f>
        <v>23.297699999999999</v>
      </c>
      <c r="Z158" s="197">
        <f>RIGHT(H158,LEN(H158)-4)/10000</f>
        <v>1.37E-2</v>
      </c>
      <c r="AA158" s="197">
        <f>ABS(Z158-Y158)</f>
        <v>23.283999999999999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 &amp; aws s3 cp s3://rtdc.mdm.uploadarchive.raw/RTDC4029/ "%USERPROFILE%\AppData\Local\Temp\OnboardLogs"\RTDC4029\2017-08-25 --exclude "*" --recursive --include "*20170825*" &amp; "%USERPROFILE%\Documents\GitHub\mrs-test-scripts\Headless Mode &amp; Sideloading\WalkAndUnGZ.bat" "%USERPROFILE%\AppData\Local\Temp\OnboardLogs"\RTDC4029\2017-08-25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/stypes="app*4029*20170824*" /stext=" 08:.+((SYSTEM_STATE.+slice.+state.+changed )|(ment ac)|(multiple cpu faults)|(system.+state.+changed )|(\[timeout)|(PRM\|1\|D)|(kpr)|(kdp)|(train st.+moving)|(\|lc)|(penalty))"</v>
      </c>
      <c r="AG158" s="209" t="str">
        <f>DetSubdiv(A158)</f>
        <v>EC</v>
      </c>
      <c r="AH158" s="78" t="str">
        <f t="shared" si="14"/>
        <v>"%USERPROFILE%\Documents\GitHub\eaglep3\Utilities\RefineRTDCRunTimes.py" --tripid 244-23 --locoid 4029 --swversion DE.1.0.9.0 --startMP 204:232977 --initTime 2017-08-24T01:18:48 --startdatetime 2017-08-24T01:27:22 --delay 1 --endMP 204:137 --enddatetime 2017-08-24T02:05:22 --enforcementcount 1 &gt;&gt;C:\Users\stu\Documents\GitHub\eaglep3-reporting\EC\2017-08-23-refined-times.txt</v>
      </c>
      <c r="AI158" s="96" t="str">
        <f t="shared" si="15"/>
        <v>echo {"issue":{"subject":"","project_id":79,"tracker_id":40,"status_id":1,"priority_id":2,"assigned_to_id":23,"start_date":"2017-08-24","description":"","custom_fields":[{"id":1,"name":"Subdivision","value":"EC"},{"id":4,"name":"Milepost","value":"0.0137"},{"id":17,"name":"Train ID","value":"244-23"},{"id":16,"name":"Locomotive ID","value":"4029"},{"id":130,"name":"Impact","value":""},{"id":150,"name":"Time of Event (Mountain Time)","value":"02:05:22"},{"id":151,"name":"Denver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6"/>
        <v>start /low /b %USERPROFILE%\Documents\GitHub\eaglep3\Utilities\DownloadLogsFromS3.py --loco 4029 --day 2017-08-24</v>
      </c>
      <c r="AN158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08:05:22"},{"id":29,"name":"Sharepoint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612</v>
      </c>
      <c r="B159" s="7">
        <v>4045</v>
      </c>
      <c r="C159" s="21" t="s">
        <v>197</v>
      </c>
      <c r="D159" s="21" t="s">
        <v>944</v>
      </c>
      <c r="E159" s="13">
        <v>42970.212465277778</v>
      </c>
      <c r="F159" s="13">
        <v>42970.214247685188</v>
      </c>
      <c r="G159" s="7">
        <v>1</v>
      </c>
      <c r="H159" s="21" t="s">
        <v>945</v>
      </c>
      <c r="I159" s="13">
        <v>42970.226666666669</v>
      </c>
      <c r="J159" s="7">
        <v>1</v>
      </c>
      <c r="K159" s="89" t="str">
        <f>IF(ISEVEN(B159),(B159-1)&amp;"/"&amp;B159,B159&amp;"/"&amp;(B159+1))</f>
        <v>4045/4046</v>
      </c>
      <c r="L159" s="217" t="str">
        <f>VLOOKUP(A159,'Trips&amp;Operators'!$C$1:$G$99911,5,FALSE)</f>
        <v>MACDONALD THOMAS</v>
      </c>
      <c r="M159" s="6">
        <f>I159-F159</f>
        <v>1.2418981481459923E-2</v>
      </c>
      <c r="N159" s="7">
        <f>24*60*SUM($M159:$M159)</f>
        <v>17.883333333302289</v>
      </c>
      <c r="O159" s="7"/>
      <c r="P159" s="7"/>
      <c r="Q159" s="22"/>
      <c r="R159" s="170"/>
      <c r="S159" s="213">
        <f>1/IF(AG159="EC",12,1)*SUM(U159:U159)</f>
        <v>1</v>
      </c>
      <c r="T159" s="195" t="str">
        <f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-08-23T04:05:57-0600',mode:absolute,to:'2017-08-23T06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556</v>
      </c>
      <c r="Y159" s="197">
        <f>RIGHT(D159,LEN(D159)-4)/10000</f>
        <v>5.8592000000000004</v>
      </c>
      <c r="Z159" s="197">
        <f>RIGHT(H159,LEN(H159)-4)/10000</f>
        <v>7.1300000000000002E-2</v>
      </c>
      <c r="AA159" s="197">
        <f>ABS(Z159-Y159)</f>
        <v>5.7879000000000005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>VALUE(LEFT(A159,LEN(A159)-3))</f>
        <v>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s3://rtdc.mdm.uploadarchive.raw/RTDC4045/ "%USERPROFILE%\AppData\Local\Temp\OnboardLogs"\RTDC4045\2017-08-23 --exclude "*" --recursive --include "*20170823*" &amp; "%USERPROFILE%\Documents\GitHub\mrs-test-scripts\Headless Mode &amp; Sideloading\WalkAndUnGZ.bat" "%USERPROFILE%\AppData\Local\Temp\OnboardLogs"\RTDC4045\2017-08-23 &amp; aws s3 cp s3://rtdc.mdm.uploadarchive.raw/RTDC4045/ "%USERPROFILE%\AppData\Local\Temp\OnboardLogs"\RTDC4045\2017-08-24 --exclude "*" --recursive --include "*20170824*" &amp; "%USERPROFILE%\Documents\GitHub\mrs-test-scripts\Headless Mode &amp; Sideloading\WalkAndUnGZ.bat" "%USERPROFILE%\AppData\Local\Temp\OnboardLogs"\RTDC4045\2017-08-24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/stypes="app*4045*20170823*" /stext=" 11:.+((SYSTEM_STATE.+slice.+state.+changed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14"/>
        <v>"%USERPROFILE%\Documents\GitHub\eaglep3\Utilities\RefineRTDCRunTimes.py" --tripid 800-23 --locoid 4045 --swversion DE.1.0.9.0 --startMP 300:58592 --initTime 2017-08-23T05:05:57 --startdatetime 2017-08-23T05:08:31 --delay 1 --endMP 204:713 --enddatetime 2017-08-23T05:26:24 --enforcementcount 1 &gt;&gt;C:\Users\stu\Documents\GitHub\eaglep3-reporting\EC\2017-08-23-refined-times.txt</v>
      </c>
      <c r="AI159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{"issue":{"subject":"","project_id":79,"tracker_id":40,"status_id":1,"priority_id":2,"assigned_to_id":23,"start_date":"2017-08-23","description":"","custom_fields":[{"id":1,"name":"Subdivision","value":"NW"},{"id":4,"name":"Milepost","value":"0.0713"},{"id":17,"name":"Train ID","value":"800-23"},{"id":16,"name":"Locomotive ID","value":"4045"},{"id":130,"name":"Impact","value":""},{"id":150,"name":"Time of Event (Mountain Time)","value":"05:26:24"},{"id":151,"name":"Denver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6"/>
        <v>start /low /b %USERPROFILE%\Documents\GitHub\eaglep3\Utilities\DownloadLogsFromS3.py --loco 4045 --day 2017-08-23</v>
      </c>
      <c r="AN159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623</v>
      </c>
      <c r="B160" s="7">
        <v>4044</v>
      </c>
      <c r="C160" s="21" t="s">
        <v>197</v>
      </c>
      <c r="D160" s="21" t="s">
        <v>946</v>
      </c>
      <c r="E160" s="13">
        <v>42970.242071759261</v>
      </c>
      <c r="F160" s="13">
        <v>42970.244155092594</v>
      </c>
      <c r="G160" s="7">
        <v>1</v>
      </c>
      <c r="H160" s="21" t="s">
        <v>947</v>
      </c>
      <c r="I160" s="13">
        <v>42970.253703703704</v>
      </c>
      <c r="J160" s="7">
        <v>1</v>
      </c>
      <c r="K160" s="89" t="str">
        <f>IF(ISEVEN(B160),(B160-1)&amp;"/"&amp;B160,B160&amp;"/"&amp;(B160+1))</f>
        <v>4043/4044</v>
      </c>
      <c r="L160" s="217" t="str">
        <f>VLOOKUP(A160,'Trips&amp;Operators'!$C$1:$G$99911,5,FALSE)</f>
        <v>MACDONALD THOMAS</v>
      </c>
      <c r="M160" s="6">
        <f>I160-F160</f>
        <v>9.5486111094942316E-3</v>
      </c>
      <c r="N160" s="7">
        <f>24*60*SUM($M160:$M160)</f>
        <v>13.749999997671694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-08-23T04:48:35-0600',mode:absolute,to:'2017-08-23T07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4.41E-2</v>
      </c>
      <c r="Z160" s="197">
        <f>RIGHT(H160,LEN(H160)-4)/10000</f>
        <v>5.8909000000000002</v>
      </c>
      <c r="AA160" s="197">
        <f>ABS(Z160-Y160)</f>
        <v>5.8468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>VALUE(LEFT(A160,LEN(A160)-3))</f>
        <v>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/stypes="app*4044*20170823*"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4"/>
        <v>"%USERPROFILE%\Documents\GitHub\eaglep3\Utilities\RefineRTDCRunTimes.py" --tripid 801-23 --locoid 4044 --swversion DE.1.0.9.0 --startMP 204:441 --initTime 2017-08-23T05:48:35 --startdatetime 2017-08-23T05:51:35 --delay 1 --endMP 300:58909 --enddatetime 2017-08-23T06:05:20 --enforcementcount 1 &gt;&gt;C:\Users\stu\Documents\GitHub\eaglep3-reporting\EC\2017-08-23-refined-times.txt</v>
      </c>
      <c r="AI160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{"issue":{"subject":"","project_id":79,"tracker_id":40,"status_id":1,"priority_id":2,"assigned_to_id":23,"start_date":"2017-08-23","description":"","custom_fields":[{"id":1,"name":"Subdivision","value":"NW"},{"id":4,"name":"Milepost","value":"5.8909"},{"id":17,"name":"Train ID","value":"801-23"},{"id":16,"name":"Locomotive ID","value":"4044"},{"id":130,"name":"Impact","value":""},{"id":150,"name":"Time of Event (Mountain Time)","value":"06:05:20"},{"id":151,"name":"Denver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6"/>
        <v>start /low /b %USERPROFILE%\Documents\GitHub\eaglep3\Utilities\DownloadLogsFromS3.py --loco 4044 --day 2017-08-23</v>
      </c>
      <c r="AN160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628</v>
      </c>
      <c r="B161" s="7">
        <v>4043</v>
      </c>
      <c r="C161" s="21" t="s">
        <v>197</v>
      </c>
      <c r="D161" s="21" t="s">
        <v>948</v>
      </c>
      <c r="E161" s="13">
        <v>42970.254606481481</v>
      </c>
      <c r="F161" s="13">
        <v>42970.255972222221</v>
      </c>
      <c r="G161" s="7">
        <v>1</v>
      </c>
      <c r="H161" s="21" t="s">
        <v>949</v>
      </c>
      <c r="I161" s="13">
        <v>42970.268483796295</v>
      </c>
      <c r="J161" s="7">
        <v>1</v>
      </c>
      <c r="K161" s="89" t="str">
        <f>IF(ISEVEN(B161),(B161-1)&amp;"/"&amp;B161,B161&amp;"/"&amp;(B161+1))</f>
        <v>4043/4044</v>
      </c>
      <c r="L161" s="217" t="str">
        <f>VLOOKUP(A161,'Trips&amp;Operators'!$C$1:$G$99911,5,FALSE)</f>
        <v>MACDONALD THOMAS</v>
      </c>
      <c r="M161" s="6">
        <f>I161-F161</f>
        <v>1.2511574073869269E-2</v>
      </c>
      <c r="N161" s="7">
        <f>24*60*SUM($M161:$M161)</f>
        <v>18.016666666371748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-08-23T05:06:38-0600',mode:absolute,to:'2017-08-23T07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5.8593999999999999</v>
      </c>
      <c r="Z161" s="197">
        <f>RIGHT(H161,LEN(H161)-4)/10000</f>
        <v>1.78E-2</v>
      </c>
      <c r="AA161" s="197">
        <f>ABS(Z161-Y161)</f>
        <v>5.8415999999999997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>VALUE(LEFT(A161,LEN(A161)-3))</f>
        <v>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/stypes="app*4043*20170823*"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4"/>
        <v>"%USERPROFILE%\Documents\GitHub\eaglep3\Utilities\RefineRTDCRunTimes.py" --tripid 802-23 --locoid 4043 --swversion DE.1.0.9.0 --startMP 300:58594 --initTime 2017-08-23T06:06:38 --startdatetime 2017-08-23T06:08:36 --delay 1 --endMP 204:178 --enddatetime 2017-08-23T06:26:37 --enforcementcount 1 &gt;&gt;C:\Users\stu\Documents\GitHub\eaglep3-reporting\EC\2017-08-23-refined-times.txt</v>
      </c>
      <c r="AI161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{"issue":{"subject":"","project_id":79,"tracker_id":40,"status_id":1,"priority_id":2,"assigned_to_id":23,"start_date":"2017-08-23","description":"","custom_fields":[{"id":1,"name":"Subdivision","value":"NW"},{"id":4,"name":"Milepost","value":"0.0178"},{"id":17,"name":"Train ID","value":"802-23"},{"id":16,"name":"Locomotive ID","value":"4043"},{"id":130,"name":"Impact","value":""},{"id":150,"name":"Time of Event (Mountain Time)","value":"06:26:37"},{"id":151,"name":"Denver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16"/>
        <v>start /low /b %USERPROFILE%\Documents\GitHub\eaglep3\Utilities\DownloadLogsFromS3.py --loco 4043 --day 2017-08-23</v>
      </c>
      <c r="AN161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626</v>
      </c>
      <c r="B162" s="7">
        <v>4066</v>
      </c>
      <c r="C162" s="21" t="s">
        <v>197</v>
      </c>
      <c r="D162" s="21" t="s">
        <v>950</v>
      </c>
      <c r="E162" s="13">
        <v>42970.250034722223</v>
      </c>
      <c r="F162" s="13">
        <v>42970.264988425923</v>
      </c>
      <c r="G162" s="7">
        <v>1</v>
      </c>
      <c r="H162" s="21" t="s">
        <v>951</v>
      </c>
      <c r="I162" s="13">
        <v>42970.274560185186</v>
      </c>
      <c r="J162" s="7">
        <v>1</v>
      </c>
      <c r="K162" s="89" t="str">
        <f>IF(ISEVEN(B162),(B162-1)&amp;"/"&amp;B162,B162&amp;"/"&amp;(B162+1))</f>
        <v>4065/4066</v>
      </c>
      <c r="L162" s="217" t="str">
        <f>VLOOKUP(A162,'Trips&amp;Operators'!$C$1:$G$99911,5,FALSE)</f>
        <v>SANTIZO D. EDY</v>
      </c>
      <c r="M162" s="6">
        <f>I162-F162</f>
        <v>9.5717592630535364E-3</v>
      </c>
      <c r="N162" s="7">
        <f>24*60*SUM($M162:$M162)</f>
        <v>13.783333338797092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-08-23T05:00:03-0600',mode:absolute,to:'2017-08-23T07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3.95E-2</v>
      </c>
      <c r="Z162" s="197">
        <f>RIGHT(H162,LEN(H162)-4)/10000</f>
        <v>5.8967000000000001</v>
      </c>
      <c r="AA162" s="197">
        <f>ABS(Z162-Y162)</f>
        <v>5.8571999999999997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>VALUE(LEFT(A162,LEN(A162)-3))</f>
        <v>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/stypes="app*4066*20170823*" /stext=" 12:.+((SYSTEM_STATE.+slice.+state.+changed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4"/>
        <v>"%USERPROFILE%\Documents\GitHub\eaglep3\Utilities\RefineRTDCRunTimes.py" --tripid 803-23 --locoid 4066 --swversion DE.1.0.9.0 --startMP 204:395 --initTime 2017-08-23T06:00:03 --startdatetime 2017-08-23T06:21:35 --delay 1 --endMP 300:58967 --enddatetime 2017-08-23T06:35:22 --enforcementcount 1 &gt;&gt;C:\Users\stu\Documents\GitHub\eaglep3-reporting\EC\2017-08-23-refined-times.txt</v>
      </c>
      <c r="AI162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{"issue":{"subject":"","project_id":79,"tracker_id":40,"status_id":1,"priority_id":2,"assigned_to_id":23,"start_date":"2017-08-23","description":"","custom_fields":[{"id":1,"name":"Subdivision","value":"NW"},{"id":4,"name":"Milepost","value":"5.8967"},{"id":17,"name":"Train ID","value":"803-23"},{"id":16,"name":"Locomotive ID","value":"4066"},{"id":130,"name":"Impact","value":""},{"id":150,"name":"Time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16"/>
        <v>start /low /b %USERPROFILE%\Documents\GitHub\eaglep3\Utilities\DownloadLogsFromS3.py --loco 4066 --day 2017-08-23</v>
      </c>
      <c r="AN162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636</v>
      </c>
      <c r="B163" s="7">
        <v>4065</v>
      </c>
      <c r="C163" s="21" t="s">
        <v>197</v>
      </c>
      <c r="D163" s="21" t="s">
        <v>952</v>
      </c>
      <c r="E163" s="13">
        <v>42970.275405092594</v>
      </c>
      <c r="F163" s="13">
        <v>42970.276967592596</v>
      </c>
      <c r="G163" s="7">
        <v>1</v>
      </c>
      <c r="H163" s="21" t="s">
        <v>953</v>
      </c>
      <c r="I163" s="13">
        <v>42970.288958333331</v>
      </c>
      <c r="J163" s="7">
        <v>1</v>
      </c>
      <c r="K163" s="89" t="str">
        <f>IF(ISEVEN(B163),(B163-1)&amp;"/"&amp;B163,B163&amp;"/"&amp;(B163+1))</f>
        <v>4065/4066</v>
      </c>
      <c r="L163" s="217" t="str">
        <f>VLOOKUP(A163,'Trips&amp;Operators'!$C$1:$G$99911,5,FALSE)</f>
        <v>SANTIZO D. EDY</v>
      </c>
      <c r="M163" s="6">
        <f>I163-F163</f>
        <v>1.1990740735200234E-2</v>
      </c>
      <c r="N163" s="7">
        <f>24*60*SUM($M163:$M163)</f>
        <v>17.266666658688337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-08-23T05:36:35-0600',mode:absolute,to:'2017-08-23T07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5.8651</v>
      </c>
      <c r="Z163" s="197">
        <f>RIGHT(H163,LEN(H163)-4)/10000</f>
        <v>7.3300000000000004E-2</v>
      </c>
      <c r="AA163" s="197">
        <f>ABS(Z163-Y163)</f>
        <v>5.7918000000000003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>VALUE(LEFT(A163,LEN(A163)-3))</f>
        <v>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/stypes="app*4065*20170823*" /stext=" 12:.+((SYSTEM_STATE.+slice.+state.+changed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4"/>
        <v>"%USERPROFILE%\Documents\GitHub\eaglep3\Utilities\RefineRTDCRunTimes.py" --tripid 804-23 --locoid 4065 --swversion DE.1.0.9.0 --startMP 300:58651 --initTime 2017-08-23T06:36:35 --startdatetime 2017-08-23T06:38:50 --delay 1 --endMP 204:733 --enddatetime 2017-08-23T06:56:06 --enforcementcount 1 &gt;&gt;C:\Users\stu\Documents\GitHub\eaglep3-reporting\EC\2017-08-23-refined-times.txt</v>
      </c>
      <c r="AI163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{"issue":{"subject":"","project_id":79,"tracker_id":40,"status_id":1,"priority_id":2,"assigned_to_id":23,"start_date":"2017-08-23","description":"","custom_fields":[{"id":1,"name":"Subdivision","value":"NW"},{"id":4,"name":"Milepost","value":"0.0733"},{"id":17,"name":"Train ID","value":"804-23"},{"id":16,"name":"Locomotive ID","value":"4065"},{"id":130,"name":"Impact","value":""},{"id":150,"name":"Time of Event (Mountain Time)","value":"06:56:06"},{"id":151,"name":"Denver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16"/>
        <v>start /low /b %USERPROFILE%\Documents\GitHub\eaglep3\Utilities\DownloadLogsFromS3.py --loco 4065 --day 2017-08-23</v>
      </c>
      <c r="AN163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634</v>
      </c>
      <c r="B164" s="7">
        <v>4044</v>
      </c>
      <c r="C164" s="21" t="s">
        <v>197</v>
      </c>
      <c r="D164" s="21" t="s">
        <v>954</v>
      </c>
      <c r="E164" s="13">
        <v>42970.269699074073</v>
      </c>
      <c r="F164" s="13">
        <v>42970.285763888889</v>
      </c>
      <c r="G164" s="7">
        <v>1</v>
      </c>
      <c r="H164" s="21" t="s">
        <v>955</v>
      </c>
      <c r="I164" s="13">
        <v>42970.294641203705</v>
      </c>
      <c r="J164" s="7">
        <v>1</v>
      </c>
      <c r="K164" s="89" t="str">
        <f>IF(ISEVEN(B164),(B164-1)&amp;"/"&amp;B164,B164&amp;"/"&amp;(B164+1))</f>
        <v>4043/4044</v>
      </c>
      <c r="L164" s="217" t="str">
        <f>VLOOKUP(A164,'Trips&amp;Operators'!$C$1:$G$99911,5,FALSE)</f>
        <v>MACDONALD THOMAS</v>
      </c>
      <c r="M164" s="6">
        <f>I164-F164</f>
        <v>8.8773148163454607E-3</v>
      </c>
      <c r="N164" s="7">
        <f>24*60*SUM($M164:$M164)</f>
        <v>12.783333335537463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-08-23T05:28:22-0600',mode:absolute,to:'2017-08-23T08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4.8399999999999999E-2</v>
      </c>
      <c r="Z164" s="197">
        <f>RIGHT(H164,LEN(H164)-4)/10000</f>
        <v>5.8917999999999999</v>
      </c>
      <c r="AA164" s="197">
        <f>ABS(Z164-Y164)</f>
        <v>5.8433999999999999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>VALUE(LEFT(A164,LEN(A164)-3))</f>
        <v>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/stypes="app*4044*20170823*"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4"/>
        <v>"%USERPROFILE%\Documents\GitHub\eaglep3\Utilities\RefineRTDCRunTimes.py" --tripid 805-23 --locoid 4044 --swversion DE.1.0.9.0 --startMP 204:484 --initTime 2017-08-23T06:28:22 --startdatetime 2017-08-23T06:51:30 --delay 1 --endMP 300:58918 --enddatetime 2017-08-23T07:04:17 --enforcementcount 1 &gt;&gt;C:\Users\stu\Documents\GitHub\eaglep3-reporting\EC\2017-08-23-refined-times.txt</v>
      </c>
      <c r="AI164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{"issue":{"subject":"","project_id":79,"tracker_id":40,"status_id":1,"priority_id":2,"assigned_to_id":23,"start_date":"2017-08-23","description":"","custom_fields":[{"id":1,"name":"Subdivision","value":"NW"},{"id":4,"name":"Milepost","value":"5.8918"},{"id":17,"name":"Train ID","value":"805-23"},{"id":16,"name":"Locomotive ID","value":"4044"},{"id":130,"name":"Impact","value":""},{"id":150,"name":"Time of Event (Mountain Time)","value":"07:04:17"},{"id":151,"name":"Denver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6"/>
        <v>start /low /b %USERPROFILE%\Documents\GitHub\eaglep3\Utilities\DownloadLogsFromS3.py --loco 4044 --day 2017-08-23</v>
      </c>
      <c r="AN164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641</v>
      </c>
      <c r="B165" s="7">
        <v>4043</v>
      </c>
      <c r="C165" s="21" t="s">
        <v>197</v>
      </c>
      <c r="D165" s="21" t="s">
        <v>473</v>
      </c>
      <c r="E165" s="13">
        <v>42970.295416666668</v>
      </c>
      <c r="F165" s="13">
        <v>42970.296701388892</v>
      </c>
      <c r="G165" s="7">
        <v>1</v>
      </c>
      <c r="H165" s="21" t="s">
        <v>537</v>
      </c>
      <c r="I165" s="13">
        <v>42970.309467592589</v>
      </c>
      <c r="J165" s="7">
        <v>1</v>
      </c>
      <c r="K165" s="89" t="str">
        <f>IF(ISEVEN(B165),(B165-1)&amp;"/"&amp;B165,B165&amp;"/"&amp;(B165+1))</f>
        <v>4043/4044</v>
      </c>
      <c r="L165" s="217" t="str">
        <f>VLOOKUP(A165,'Trips&amp;Operators'!$C$1:$G$99911,5,FALSE)</f>
        <v>MACDONALD THOMAS</v>
      </c>
      <c r="M165" s="6">
        <f>I165-F165</f>
        <v>1.2766203697538003E-2</v>
      </c>
      <c r="N165" s="7">
        <f>24*60*SUM($M165:$M165)</f>
        <v>18.383333324454725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-08-23T06:05:24-0600',mode:absolute,to:'2017-08-23T08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5.8604000000000003</v>
      </c>
      <c r="Z165" s="197">
        <f>RIGHT(H165,LEN(H165)-4)/10000</f>
        <v>7.2900000000000006E-2</v>
      </c>
      <c r="AA165" s="197">
        <f>ABS(Z165-Y165)</f>
        <v>5.7875000000000005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>VALUE(LEFT(A165,LEN(A165)-3))</f>
        <v>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/stypes="app*4043*20170823*"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4"/>
        <v>"%USERPROFILE%\Documents\GitHub\eaglep3\Utilities\RefineRTDCRunTimes.py" --tripid 806-23 --locoid 4043 --swversion DE.1.0.9.0 --startMP 300:58604 --initTime 2017-08-23T07:05:24 --startdatetime 2017-08-23T07:07:15 --delay 1 --endMP 204:729 --enddatetime 2017-08-23T07:25:38 --enforcementcount 1 &gt;&gt;C:\Users\stu\Documents\GitHub\eaglep3-reporting\EC\2017-08-23-refined-times.txt</v>
      </c>
      <c r="AI165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{"issue":{"subject":"","project_id":79,"tracker_id":40,"status_id":1,"priority_id":2,"assigned_to_id":23,"start_date":"2017-08-23","description":"","custom_fields":[{"id":1,"name":"Subdivision","value":"NW"},{"id":4,"name":"Milepost","value":"0.0729"},{"id":17,"name":"Train ID","value":"806-23"},{"id":16,"name":"Locomotive ID","value":"4043"},{"id":130,"name":"Impact","value":""},{"id":150,"name":"Time of Event (Mountain Time)","value":"07:25:38"},{"id":151,"name":"Denver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6"/>
        <v>start /low /b %USERPROFILE%\Documents\GitHub\eaglep3\Utilities\DownloadLogsFromS3.py --loco 4043 --day 2017-08-23</v>
      </c>
      <c r="AN165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640</v>
      </c>
      <c r="B166" s="7">
        <v>4066</v>
      </c>
      <c r="C166" s="21" t="s">
        <v>197</v>
      </c>
      <c r="D166" s="21" t="s">
        <v>471</v>
      </c>
      <c r="E166" s="13">
        <v>42970.29</v>
      </c>
      <c r="F166" s="13">
        <v>42970.306562500002</v>
      </c>
      <c r="G166" s="7">
        <v>1</v>
      </c>
      <c r="H166" s="21" t="s">
        <v>956</v>
      </c>
      <c r="I166" s="13">
        <v>42970.316458333335</v>
      </c>
      <c r="J166" s="7">
        <v>1</v>
      </c>
      <c r="K166" s="89" t="str">
        <f>IF(ISEVEN(B166),(B166-1)&amp;"/"&amp;B166,B166&amp;"/"&amp;(B166+1))</f>
        <v>4065/4066</v>
      </c>
      <c r="L166" s="217" t="str">
        <f>VLOOKUP(A166,'Trips&amp;Operators'!$C$1:$G$99911,5,FALSE)</f>
        <v>SANTIZO D. EDY</v>
      </c>
      <c r="M166" s="6">
        <f>I166-F166</f>
        <v>9.8958333328482695E-3</v>
      </c>
      <c r="N166" s="7">
        <f>24*60*SUM($M166:$M166)</f>
        <v>14.249999999301508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-08-23T05:57:36-0600',mode:absolute,to:'2017-08-23T08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0.10199999999999999</v>
      </c>
      <c r="Z166" s="197">
        <f>RIGHT(H166,LEN(H166)-4)/10000</f>
        <v>5.8975</v>
      </c>
      <c r="AA166" s="197">
        <f>ABS(Z166-Y166)</f>
        <v>5.7954999999999997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>VALUE(LEFT(A166,LEN(A166)-3))</f>
        <v>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/stypes="app*4066*20170823*" /stext=" 13:.+((SYSTEM_STATE.+slice.+state.+changed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4"/>
        <v>"%USERPROFILE%\Documents\GitHub\eaglep3\Utilities\RefineRTDCRunTimes.py" --tripid 807-23 --locoid 4066 --swversion DE.1.0.9.0 --startMP 204:1020 --initTime 2017-08-23T06:57:36 --startdatetime 2017-08-23T07:21:27 --delay 1 --endMP 300:58975 --enddatetime 2017-08-23T07:35:42 --enforcementcount 1 &gt;&gt;C:\Users\stu\Documents\GitHub\eaglep3-reporting\EC\2017-08-23-refined-times.txt</v>
      </c>
      <c r="AI166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{"issue":{"subject":"","project_id":79,"tracker_id":40,"status_id":1,"priority_id":2,"assigned_to_id":23,"start_date":"2017-08-23","description":"","custom_fields":[{"id":1,"name":"Subdivision","value":"NW"},{"id":4,"name":"Milepost","value":"5.8975"},{"id":17,"name":"Train ID","value":"807-23"},{"id":16,"name":"Locomotive ID","value":"4066"},{"id":130,"name":"Impact","value":""},{"id":150,"name":"Time of Event (Mountain Time)","value":"07:35:42"},{"id":151,"name":"Denver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6"/>
        <v>start /low /b %USERPROFILE%\Documents\GitHub\eaglep3\Utilities\DownloadLogsFromS3.py --loco 4066 --day 2017-08-23</v>
      </c>
      <c r="AN166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646</v>
      </c>
      <c r="B167" s="7">
        <v>4065</v>
      </c>
      <c r="C167" s="21" t="s">
        <v>197</v>
      </c>
      <c r="D167" s="21" t="s">
        <v>957</v>
      </c>
      <c r="E167" s="13">
        <v>42970.317511574074</v>
      </c>
      <c r="F167" s="13">
        <v>42970.319513888891</v>
      </c>
      <c r="G167" s="7">
        <v>1</v>
      </c>
      <c r="H167" s="21" t="s">
        <v>540</v>
      </c>
      <c r="I167" s="13">
        <v>42970.330914351849</v>
      </c>
      <c r="J167" s="7">
        <v>1</v>
      </c>
      <c r="K167" s="89" t="str">
        <f>IF(ISEVEN(B167),(B167-1)&amp;"/"&amp;B167,B167&amp;"/"&amp;(B167+1))</f>
        <v>4065/4066</v>
      </c>
      <c r="L167" s="217" t="str">
        <f>VLOOKUP(A167,'Trips&amp;Operators'!$C$1:$G$99911,5,FALSE)</f>
        <v>SANTIZO D. EDY</v>
      </c>
      <c r="M167" s="6">
        <f>I167-F167</f>
        <v>1.1400462957681157E-2</v>
      </c>
      <c r="N167" s="7">
        <f>24*60*SUM($M167:$M167)</f>
        <v>16.416666659060866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-08-23T06:37:13-0600',mode:absolute,to:'2017-08-23T08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5.8657000000000004</v>
      </c>
      <c r="Z167" s="197">
        <f>RIGHT(H167,LEN(H167)-4)/10000</f>
        <v>7.22E-2</v>
      </c>
      <c r="AA167" s="197">
        <f>ABS(Z167-Y167)</f>
        <v>5.7935000000000008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>VALUE(LEFT(A167,LEN(A167)-3))</f>
        <v>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/stypes="app*4065*20170823*" /stext=" 13:.+((SYSTEM_STATE.+slice.+state.+changed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4"/>
        <v>"%USERPROFILE%\Documents\GitHub\eaglep3\Utilities\RefineRTDCRunTimes.py" --tripid 808-23 --locoid 4065 --swversion DE.1.0.9.0 --startMP 300:58657 --initTime 2017-08-23T07:37:13 --startdatetime 2017-08-23T07:40:06 --delay 1 --endMP 204:722 --enddatetime 2017-08-23T07:56:31 --enforcementcount 1 &gt;&gt;C:\Users\stu\Documents\GitHub\eaglep3-reporting\EC\2017-08-23-refined-times.txt</v>
      </c>
      <c r="AI167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{"issue":{"subject":"","project_id":79,"tracker_id":40,"status_id":1,"priority_id":2,"assigned_to_id":23,"start_date":"2017-08-23","description":"","custom_fields":[{"id":1,"name":"Subdivision","value":"NW"},{"id":4,"name":"Milepost","value":"0.0722"},{"id":17,"name":"Train ID","value":"808-23"},{"id":16,"name":"Locomotive ID","value":"4065"},{"id":130,"name":"Impact","value":""},{"id":150,"name":"Time of Event (Mountain Time)","value":"07:56:31"},{"id":151,"name":"Denver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16"/>
        <v>start /low /b %USERPROFILE%\Documents\GitHub\eaglep3\Utilities\DownloadLogsFromS3.py --loco 4065 --day 2017-08-23</v>
      </c>
      <c r="AN167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650</v>
      </c>
      <c r="B168" s="7">
        <v>4044</v>
      </c>
      <c r="C168" s="21" t="s">
        <v>197</v>
      </c>
      <c r="D168" s="21" t="s">
        <v>907</v>
      </c>
      <c r="E168" s="13">
        <v>42970.326238425929</v>
      </c>
      <c r="F168" s="13">
        <v>42970.328090277777</v>
      </c>
      <c r="G168" s="7">
        <v>1</v>
      </c>
      <c r="H168" s="21" t="s">
        <v>958</v>
      </c>
      <c r="I168" s="13">
        <v>42970.337523148148</v>
      </c>
      <c r="J168" s="7">
        <v>1</v>
      </c>
      <c r="K168" s="89" t="str">
        <f>IF(ISEVEN(B168),(B168-1)&amp;"/"&amp;B168,B168&amp;"/"&amp;(B168+1))</f>
        <v>4043/4044</v>
      </c>
      <c r="L168" s="217" t="str">
        <f>VLOOKUP(A168,'Trips&amp;Operators'!$C$1:$G$99911,5,FALSE)</f>
        <v>MACDONALD THOMAS</v>
      </c>
      <c r="M168" s="6">
        <f>I168-F168</f>
        <v>9.4328703708015382E-3</v>
      </c>
      <c r="N168" s="7">
        <f>24*60*SUM($M168:$M168)</f>
        <v>13.583333333954215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-08-23T06:49:47-0600',mode:absolute,to:'2017-08-23T09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0.10059999999999999</v>
      </c>
      <c r="Z168" s="197">
        <f>RIGHT(H168,LEN(H168)-4)/10000</f>
        <v>5.8902999999999999</v>
      </c>
      <c r="AA168" s="197">
        <f>ABS(Z168-Y168)</f>
        <v>5.7896999999999998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>VALUE(LEFT(A168,LEN(A168)-3))</f>
        <v>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/stypes="app*4044*20170823*"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4"/>
        <v>"%USERPROFILE%\Documents\GitHub\eaglep3\Utilities\RefineRTDCRunTimes.py" --tripid 809-23 --locoid 4044 --swversion DE.1.0.9.0 --startMP 204:1006 --initTime 2017-08-23T07:49:47 --startdatetime 2017-08-23T07:52:27 --delay 1 --endMP 300:58903 --enddatetime 2017-08-23T08:06:02 --enforcementcount 1 &gt;&gt;C:\Users\stu\Documents\GitHub\eaglep3-reporting\EC\2017-08-23-refined-times.txt</v>
      </c>
      <c r="AI168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{"issue":{"subject":"","project_id":79,"tracker_id":40,"status_id":1,"priority_id":2,"assigned_to_id":23,"start_date":"2017-08-23","description":"","custom_fields":[{"id":1,"name":"Subdivision","value":"NW"},{"id":4,"name":"Milepost","value":"5.8903"},{"id":17,"name":"Train ID","value":"809-23"},{"id":16,"name":"Locomotive ID","value":"4044"},{"id":130,"name":"Impact","value":""},{"id":150,"name":"Time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16"/>
        <v>start /low /b %USERPROFILE%\Documents\GitHub\eaglep3\Utilities\DownloadLogsFromS3.py --loco 4044 --day 2017-08-23</v>
      </c>
      <c r="AN168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554</v>
      </c>
      <c r="B169" s="7">
        <v>4043</v>
      </c>
      <c r="C169" s="21" t="s">
        <v>197</v>
      </c>
      <c r="D169" s="21" t="s">
        <v>948</v>
      </c>
      <c r="E169" s="13">
        <v>42970.338506944441</v>
      </c>
      <c r="F169" s="13">
        <v>42970.340567129628</v>
      </c>
      <c r="G169" s="7">
        <v>1</v>
      </c>
      <c r="H169" s="21" t="s">
        <v>959</v>
      </c>
      <c r="I169" s="13">
        <v>42970.352002314816</v>
      </c>
      <c r="J169" s="7">
        <v>1</v>
      </c>
      <c r="K169" s="89" t="str">
        <f>IF(ISEVEN(B169),(B169-1)&amp;"/"&amp;B169,B169&amp;"/"&amp;(B169+1))</f>
        <v>4043/4044</v>
      </c>
      <c r="L169" s="217" t="str">
        <f>VLOOKUP(A169,'Trips&amp;Operators'!$C$1:$G$99911,5,FALSE)</f>
        <v>MACDONALD THOMAS</v>
      </c>
      <c r="M169" s="6">
        <f>I169-F169</f>
        <v>1.1435185188020114E-2</v>
      </c>
      <c r="N169" s="7">
        <f>24*60*SUM($M169:$M169)</f>
        <v>16.466666670748964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-08-23T07:07:27-0600',mode:absolute,to:'2017-08-23T09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5.8593999999999999</v>
      </c>
      <c r="Z169" s="197">
        <f>RIGHT(H169,LEN(H169)-4)/10000</f>
        <v>7.3400000000000007E-2</v>
      </c>
      <c r="AA169" s="197">
        <f>ABS(Z169-Y169)</f>
        <v>5.7859999999999996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>VALUE(LEFT(A169,LEN(A169)-3))</f>
        <v>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/stypes="app*4043*20170823*"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4"/>
        <v>"%USERPROFILE%\Documents\GitHub\eaglep3\Utilities\RefineRTDCRunTimes.py" --tripid 810-23 --locoid 4043 --swversion DE.1.0.9.0 --startMP 300:58594 --initTime 2017-08-23T08:07:27 --startdatetime 2017-08-23T08:10:25 --delay 1 --endMP 204:734 --enddatetime 2017-08-23T08:26:53 --enforcementcount 1 &gt;&gt;C:\Users\stu\Documents\GitHub\eaglep3-reporting\EC\2017-08-23-refined-times.txt</v>
      </c>
      <c r="AI169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{"issue":{"subject":"","project_id":79,"tracker_id":40,"status_id":1,"priority_id":2,"assigned_to_id":23,"start_date":"2017-08-23","description":"","custom_fields":[{"id":1,"name":"Subdivision","value":"NW"},{"id":4,"name":"Milepost","value":"0.0734"},{"id":17,"name":"Train ID","value":"810-23"},{"id":16,"name":"Locomotive ID","value":"4043"},{"id":130,"name":"Impact","value":""},{"id":150,"name":"Time of Event (Mountain Time)","value":"08:26:53"},{"id":151,"name":"Denver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6"/>
        <v>start /low /b %USERPROFILE%\Documents\GitHub\eaglep3\Utilities\DownloadLogsFromS3.py --loco 4043 --day 2017-08-23</v>
      </c>
      <c r="AN169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652</v>
      </c>
      <c r="B170" s="7">
        <v>4066</v>
      </c>
      <c r="C170" s="21" t="s">
        <v>197</v>
      </c>
      <c r="D170" s="21" t="s">
        <v>531</v>
      </c>
      <c r="E170" s="13">
        <v>42970.331967592596</v>
      </c>
      <c r="F170" s="13">
        <v>42970.348171296297</v>
      </c>
      <c r="G170" s="7">
        <v>1</v>
      </c>
      <c r="H170" s="21" t="s">
        <v>960</v>
      </c>
      <c r="I170" s="13">
        <v>42970.35733796296</v>
      </c>
      <c r="J170" s="7">
        <v>1</v>
      </c>
      <c r="K170" s="89" t="str">
        <f>IF(ISEVEN(B170),(B170-1)&amp;"/"&amp;B170,B170&amp;"/"&amp;(B170+1))</f>
        <v>4065/4066</v>
      </c>
      <c r="L170" s="217" t="str">
        <f>VLOOKUP(A170,'Trips&amp;Operators'!$C$1:$G$99911,5,FALSE)</f>
        <v>SANTIZO D. EDY</v>
      </c>
      <c r="M170" s="6">
        <f>I170-F170</f>
        <v>9.1666666630771942E-3</v>
      </c>
      <c r="N170" s="7">
        <f>24*60*SUM($M170:$M170)</f>
        <v>13.19999999483116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-08-23T06:58:02-0600',mode:absolute,to:'2017-08-23T09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0.1016</v>
      </c>
      <c r="Z170" s="197">
        <f>RIGHT(H170,LEN(H170)-4)/10000</f>
        <v>5.8983999999999996</v>
      </c>
      <c r="AA170" s="197">
        <f>ABS(Z170-Y170)</f>
        <v>5.7967999999999993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/stypes="app*4066*20170823*" /stext=" 14:.+((SYSTEM_STATE.+slice.+state.+changed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4"/>
        <v>"%USERPROFILE%\Documents\GitHub\eaglep3\Utilities\RefineRTDCRunTimes.py" --tripid 811-23 --locoid 4066 --swversion DE.1.0.9.0 --startMP 204:1016 --initTime 2017-08-23T07:58:02 --startdatetime 2017-08-23T08:21:22 --delay 1 --endMP 300:58984 --enddatetime 2017-08-23T08:34:34 --enforcementcount 1 &gt;&gt;C:\Users\stu\Documents\GitHub\eaglep3-reporting\EC\2017-08-23-refined-times.txt</v>
      </c>
      <c r="AI170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{"issue":{"subject":"","project_id":79,"tracker_id":40,"status_id":1,"priority_id":2,"assigned_to_id":23,"start_date":"2017-08-23","description":"","custom_fields":[{"id":1,"name":"Subdivision","value":"NW"},{"id":4,"name":"Milepost","value":"5.8984"},{"id":17,"name":"Train ID","value":"811-23"},{"id":16,"name":"Locomotive ID","value":"4066"},{"id":130,"name":"Impact","value":""},{"id":150,"name":"Time of Event (Mountain Time)","value":"08:34:34"},{"id":151,"name":"Denver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6"/>
        <v>start /low /b %USERPROFILE%\Documents\GitHub\eaglep3\Utilities\DownloadLogsFromS3.py --loco 4066 --day 2017-08-23</v>
      </c>
      <c r="AN170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659</v>
      </c>
      <c r="B171" s="7">
        <v>4065</v>
      </c>
      <c r="C171" s="21" t="s">
        <v>197</v>
      </c>
      <c r="D171" s="21" t="s">
        <v>961</v>
      </c>
      <c r="E171" s="13">
        <v>42970.358182870368</v>
      </c>
      <c r="F171" s="13">
        <v>42970.359618055554</v>
      </c>
      <c r="G171" s="7">
        <v>1</v>
      </c>
      <c r="H171" s="21" t="s">
        <v>962</v>
      </c>
      <c r="I171" s="13">
        <v>42970.37232638889</v>
      </c>
      <c r="J171" s="7">
        <v>1</v>
      </c>
      <c r="K171" s="89" t="str">
        <f>IF(ISEVEN(B171),(B171-1)&amp;"/"&amp;B171,B171&amp;"/"&amp;(B171+1))</f>
        <v>4065/4066</v>
      </c>
      <c r="L171" s="217" t="str">
        <f>VLOOKUP(A171,'Trips&amp;Operators'!$C$1:$G$99911,5,FALSE)</f>
        <v>SANTIZO D. EDY</v>
      </c>
      <c r="M171" s="6">
        <f>I171-F171</f>
        <v>1.2708333335467614E-2</v>
      </c>
      <c r="N171" s="7">
        <f>24*60*SUM($M171:$M171)</f>
        <v>18.300000003073364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-08-23T07:35:47-0600',mode:absolute,to:'2017-08-23T09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5.867</v>
      </c>
      <c r="Z171" s="197">
        <f>RIGHT(H171,LEN(H171)-4)/10000</f>
        <v>7.4300000000000005E-2</v>
      </c>
      <c r="AA171" s="197">
        <f>ABS(Z171-Y171)</f>
        <v>5.7927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/stypes="app*4065*20170823*" /stext=" 14:.+((SYSTEM_STATE.+slice.+state.+changed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4"/>
        <v>"%USERPROFILE%\Documents\GitHub\eaglep3\Utilities\RefineRTDCRunTimes.py" --tripid 812-23 --locoid 4065 --swversion DE.1.0.9.0 --startMP 300:58670 --initTime 2017-08-23T08:35:47 --startdatetime 2017-08-23T08:37:51 --delay 1 --endMP 204:743 --enddatetime 2017-08-23T08:56:09 --enforcementcount 1 &gt;&gt;C:\Users\stu\Documents\GitHub\eaglep3-reporting\EC\2017-08-23-refined-times.txt</v>
      </c>
      <c r="AI171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{"issue":{"subject":"","project_id":79,"tracker_id":40,"status_id":1,"priority_id":2,"assigned_to_id":23,"start_date":"2017-08-23","description":"","custom_fields":[{"id":1,"name":"Subdivision","value":"NW"},{"id":4,"name":"Milepost","value":"0.0743"},{"id":17,"name":"Train ID","value":"812-23"},{"id":16,"name":"Locomotive ID","value":"4065"},{"id":130,"name":"Impact","value":""},{"id":150,"name":"Time of Event (Mountain Time)","value":"08:56:09"},{"id":151,"name":"Denver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16"/>
        <v>start /low /b %USERPROFILE%\Documents\GitHub\eaglep3\Utilities\DownloadLogsFromS3.py --loco 4065 --day 2017-08-23</v>
      </c>
      <c r="AN171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663</v>
      </c>
      <c r="B172" s="7">
        <v>4066</v>
      </c>
      <c r="C172" s="21" t="s">
        <v>197</v>
      </c>
      <c r="D172" s="21" t="s">
        <v>963</v>
      </c>
      <c r="E172" s="13">
        <v>42970.373391203706</v>
      </c>
      <c r="F172" s="13">
        <v>42970.389907407407</v>
      </c>
      <c r="G172" s="7">
        <v>1</v>
      </c>
      <c r="H172" s="21" t="s">
        <v>546</v>
      </c>
      <c r="I172" s="13">
        <v>42970.399155092593</v>
      </c>
      <c r="J172" s="7">
        <v>1</v>
      </c>
      <c r="K172" s="89" t="str">
        <f>IF(ISEVEN(B172),(B172-1)&amp;"/"&amp;B172,B172&amp;"/"&amp;(B172+1))</f>
        <v>4065/4066</v>
      </c>
      <c r="L172" s="217" t="str">
        <f>VLOOKUP(A172,'Trips&amp;Operators'!$C$1:$G$99911,5,FALSE)</f>
        <v>SANTIZO D. EDY</v>
      </c>
      <c r="M172" s="6">
        <f>I172-F172</f>
        <v>9.2476851859828457E-3</v>
      </c>
      <c r="N172" s="7">
        <f>24*60*SUM($M172:$M172)</f>
        <v>13.316666667815298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-08-23T07:57:41-0600',mode:absolute,to:'2017-08-23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0.10249999999999999</v>
      </c>
      <c r="Z172" s="197">
        <f>RIGHT(H172,LEN(H172)-4)/10000</f>
        <v>5.8973000000000004</v>
      </c>
      <c r="AA172" s="197">
        <f>ABS(Z172-Y172)</f>
        <v>5.7948000000000004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/stypes="app*4066*20170823*" /stext=" 15:.+((SYSTEM_STATE.+slice.+state.+changed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4"/>
        <v>"%USERPROFILE%\Documents\GitHub\eaglep3\Utilities\RefineRTDCRunTimes.py" --tripid 813-23 --locoid 4066 --swversion DE.1.0.9.0 --startMP 204:1025 --initTime 2017-08-23T08:57:41 --startdatetime 2017-08-23T09:21:28 --delay 1 --endMP 300:58973 --enddatetime 2017-08-23T09:34:47 --enforcementcount 1 &gt;&gt;C:\Users\stu\Documents\GitHub\eaglep3-reporting\EC\2017-08-23-refined-times.txt</v>
      </c>
      <c r="AI172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{"issue":{"subject":"","project_id":79,"tracker_id":40,"status_id":1,"priority_id":2,"assigned_to_id":23,"start_date":"2017-08-23","description":"","custom_fields":[{"id":1,"name":"Subdivision","value":"NW"},{"id":4,"name":"Milepost","value":"5.8973"},{"id":17,"name":"Train ID","value":"813-23"},{"id":16,"name":"Locomotive ID","value":"4066"},{"id":130,"name":"Impact","value":""},{"id":150,"name":"Time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16"/>
        <v>start /low /b %USERPROFILE%\Documents\GitHub\eaglep3\Utilities\DownloadLogsFromS3.py --loco 4066 --day 2017-08-23</v>
      </c>
      <c r="AN172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669</v>
      </c>
      <c r="B173" s="7">
        <v>4065</v>
      </c>
      <c r="C173" s="21" t="s">
        <v>197</v>
      </c>
      <c r="D173" s="21" t="s">
        <v>964</v>
      </c>
      <c r="E173" s="13">
        <v>42970.399942129632</v>
      </c>
      <c r="F173" s="13">
        <v>42970.401469907411</v>
      </c>
      <c r="G173" s="7">
        <v>0</v>
      </c>
      <c r="H173" s="21" t="s">
        <v>542</v>
      </c>
      <c r="I173" s="13">
        <v>42970.413738425923</v>
      </c>
      <c r="J173" s="7">
        <v>1</v>
      </c>
      <c r="K173" s="89" t="str">
        <f>IF(ISEVEN(B173),(B173-1)&amp;"/"&amp;B173,B173&amp;"/"&amp;(B173+1))</f>
        <v>4065/4066</v>
      </c>
      <c r="L173" s="217" t="str">
        <f>VLOOKUP(A173,'Trips&amp;Operators'!$C$1:$G$99911,5,FALSE)</f>
        <v>SANTIZO D. EDY</v>
      </c>
      <c r="M173" s="6">
        <f>I173-F173</f>
        <v>1.2268518512428273E-2</v>
      </c>
      <c r="N173" s="7">
        <f>24*60*SUM($M173:$M173)</f>
        <v>17.666666657896712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-08-23T08:35:55-0600',mode:absolute,to:'2017-08-23T10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5.8658000000000001</v>
      </c>
      <c r="Z173" s="197">
        <f>RIGHT(H173,LEN(H173)-4)/10000</f>
        <v>7.3800000000000004E-2</v>
      </c>
      <c r="AA173" s="197">
        <f>ABS(Z173-Y173)</f>
        <v>5.7919999999999998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/stypes="app*4065*20170823*" /stext=" 15:.+((SYSTEM_STATE.+slice.+state.+changed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4"/>
        <v>"%USERPROFILE%\Documents\GitHub\eaglep3\Utilities\RefineRTDCRunTimes.py" --tripid 814-23 --locoid 4065 --swversion DE.1.0.9.0 --startMP 300:58658 --initTime 2017-08-23T09:35:55 --startdatetime 2017-08-23T09:38:07 --delay 0 --endMP 204:738 --enddatetime 2017-08-23T09:55:47 --enforcementcount 1 &gt;&gt;C:\Users\stu\Documents\GitHub\eaglep3-reporting\EC\2017-08-23-refined-times.txt</v>
      </c>
      <c r="AI173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{"issue":{"subject":"","project_id":79,"tracker_id":40,"status_id":1,"priority_id":2,"assigned_to_id":23,"start_date":"2017-08-23","description":"","custom_fields":[{"id":1,"name":"Subdivision","value":"NW"},{"id":4,"name":"Milepost","value":"0.0738"},{"id":17,"name":"Train ID","value":"814-23"},{"id":16,"name":"Locomotive ID","value":"4065"},{"id":130,"name":"Impact","value":""},{"id":150,"name":"Time of Event (Mountain Time)","value":"09:55:47"},{"id":151,"name":"Denver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6"/>
        <v>start /low /b %USERPROFILE%\Documents\GitHub\eaglep3\Utilities\DownloadLogsFromS3.py --loco 4065 --day 2017-08-23</v>
      </c>
      <c r="AN173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672</v>
      </c>
      <c r="B174" s="7">
        <v>4066</v>
      </c>
      <c r="C174" s="21" t="s">
        <v>197</v>
      </c>
      <c r="D174" s="21" t="s">
        <v>965</v>
      </c>
      <c r="E174" s="13">
        <v>42970.414675925924</v>
      </c>
      <c r="F174" s="13">
        <v>42970.431423611109</v>
      </c>
      <c r="G174" s="7">
        <v>1</v>
      </c>
      <c r="H174" s="21" t="s">
        <v>960</v>
      </c>
      <c r="I174" s="13">
        <v>42970.44226851852</v>
      </c>
      <c r="J174" s="7">
        <v>1</v>
      </c>
      <c r="K174" s="89" t="str">
        <f>IF(ISEVEN(B174),(B174-1)&amp;"/"&amp;B174,B174&amp;"/"&amp;(B174+1))</f>
        <v>4065/4066</v>
      </c>
      <c r="L174" s="217" t="str">
        <f>VLOOKUP(A174,'Trips&amp;Operators'!$C$1:$G$99911,5,FALSE)</f>
        <v>SANTIZO D. EDY</v>
      </c>
      <c r="M174" s="6">
        <f>I174-F174</f>
        <v>1.0844907410501037E-2</v>
      </c>
      <c r="N174" s="7">
        <f>24*60*SUM($M174:$M174)</f>
        <v>15.616666671121493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-08-23T08:57:08-0600',mode:absolute,to:'2017-08-23T11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0.1007</v>
      </c>
      <c r="Z174" s="197">
        <f>RIGHT(H174,LEN(H174)-4)/10000</f>
        <v>5.8983999999999996</v>
      </c>
      <c r="AA174" s="197">
        <f>ABS(Z174-Y174)</f>
        <v>5.7976999999999999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/stypes="app*4066*20170823*" /stext=" 16:.+((SYSTEM_STATE.+slice.+state.+changed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4"/>
        <v>"%USERPROFILE%\Documents\GitHub\eaglep3\Utilities\RefineRTDCRunTimes.py" --tripid 815-23 --locoid 4066 --swversion DE.1.0.9.0 --startMP 204:1007 --initTime 2017-08-23T09:57:08 --startdatetime 2017-08-23T10:21:15 --delay 1 --endMP 300:58984 --enddatetime 2017-08-23T10:36:52 --enforcementcount 1 &gt;&gt;C:\Users\stu\Documents\GitHub\eaglep3-reporting\EC\2017-08-23-refined-times.txt</v>
      </c>
      <c r="AI174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{"issue":{"subject":"","project_id":79,"tracker_id":40,"status_id":1,"priority_id":2,"assigned_to_id":23,"start_date":"2017-08-23","description":"","custom_fields":[{"id":1,"name":"Subdivision","value":"NW"},{"id":4,"name":"Milepost","value":"5.8984"},{"id":17,"name":"Train ID","value":"815-23"},{"id":16,"name":"Locomotive ID","value":"4066"},{"id":130,"name":"Impact","value":""},{"id":150,"name":"Time of Event (Mountain Time)","value":"10:36:52"},{"id":151,"name":"Denver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6"/>
        <v>start /low /b %USERPROFILE%\Documents\GitHub\eaglep3\Utilities\DownloadLogsFromS3.py --loco 4066 --day 2017-08-23</v>
      </c>
      <c r="AN174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674</v>
      </c>
      <c r="B175" s="7">
        <v>4065</v>
      </c>
      <c r="C175" s="21" t="s">
        <v>197</v>
      </c>
      <c r="D175" s="21" t="s">
        <v>966</v>
      </c>
      <c r="E175" s="13">
        <v>42970.443043981482</v>
      </c>
      <c r="F175" s="13">
        <v>42970.444409722222</v>
      </c>
      <c r="G175" s="7">
        <v>0</v>
      </c>
      <c r="H175" s="21" t="s">
        <v>967</v>
      </c>
      <c r="I175" s="13">
        <v>42970.455393518518</v>
      </c>
      <c r="J175" s="7">
        <v>1</v>
      </c>
      <c r="K175" s="89" t="str">
        <f>IF(ISEVEN(B175),(B175-1)&amp;"/"&amp;B175,B175&amp;"/"&amp;(B175+1))</f>
        <v>4065/4066</v>
      </c>
      <c r="L175" s="217" t="str">
        <f>VLOOKUP(A175,'Trips&amp;Operators'!$C$1:$G$99911,5,FALSE)</f>
        <v>SANTIZO D. EDY</v>
      </c>
      <c r="M175" s="6">
        <f>I175-F175</f>
        <v>1.0983796295477077E-2</v>
      </c>
      <c r="N175" s="7">
        <f>24*60*SUM($M175:$M175)</f>
        <v>15.816666665486991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-08-23T09:37:59-0600',mode:absolute,to:'2017-08-23T11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5.8673000000000002</v>
      </c>
      <c r="Z175" s="197">
        <f>RIGHT(H175,LEN(H175)-4)/10000</f>
        <v>7.6600000000000001E-2</v>
      </c>
      <c r="AA175" s="197">
        <f>ABS(Z175-Y175)</f>
        <v>5.7907000000000002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/stypes="app*4065*20170823*" /stext=" 16:.+((SYSTEM_STATE.+slice.+state.+changed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4"/>
        <v>"%USERPROFILE%\Documents\GitHub\eaglep3\Utilities\RefineRTDCRunTimes.py" --tripid 816-23 --locoid 4065 --swversion DE.1.0.9.0 --startMP 300:58673 --initTime 2017-08-23T10:37:59 --startdatetime 2017-08-23T10:39:57 --delay 0 --endMP 204:766 --enddatetime 2017-08-23T10:55:46 --enforcementcount 1 &gt;&gt;C:\Users\stu\Documents\GitHub\eaglep3-reporting\EC\2017-08-23-refined-times.txt</v>
      </c>
      <c r="AI175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{"issue":{"subject":"","project_id":79,"tracker_id":40,"status_id":1,"priority_id":2,"assigned_to_id":23,"start_date":"2017-08-23","description":"","custom_fields":[{"id":1,"name":"Subdivision","value":"NW"},{"id":4,"name":"Milepost","value":"0.0766"},{"id":17,"name":"Train ID","value":"816-23"},{"id":16,"name":"Locomotive ID","value":"4065"},{"id":130,"name":"Impact","value":""},{"id":150,"name":"Time of Event (Mountain Time)","value":"10:55:46"},{"id":151,"name":"Denver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16"/>
        <v>start /low /b %USERPROFILE%\Documents\GitHub\eaglep3\Utilities\DownloadLogsFromS3.py --loco 4065 --day 2017-08-23</v>
      </c>
      <c r="AN175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682</v>
      </c>
      <c r="B176" s="7">
        <v>4066</v>
      </c>
      <c r="C176" s="21" t="s">
        <v>197</v>
      </c>
      <c r="D176" s="21" t="s">
        <v>968</v>
      </c>
      <c r="E176" s="13">
        <v>42970.456516203703</v>
      </c>
      <c r="F176" s="13">
        <v>42970.473090277781</v>
      </c>
      <c r="G176" s="7">
        <v>1</v>
      </c>
      <c r="H176" s="21" t="s">
        <v>546</v>
      </c>
      <c r="I176" s="13">
        <v>42970.482592592591</v>
      </c>
      <c r="J176" s="7">
        <v>1</v>
      </c>
      <c r="K176" s="89" t="str">
        <f>IF(ISEVEN(B176),(B176-1)&amp;"/"&amp;B176,B176&amp;"/"&amp;(B176+1))</f>
        <v>4065/4066</v>
      </c>
      <c r="L176" s="217" t="str">
        <f>VLOOKUP(A176,'Trips&amp;Operators'!$C$1:$G$99911,5,FALSE)</f>
        <v>SANTIZO D. EDY</v>
      </c>
      <c r="M176" s="6">
        <f>I176-F176</f>
        <v>9.5023148096515797E-3</v>
      </c>
      <c r="N176" s="7">
        <f>24*60*SUM($M176:$M176)</f>
        <v>13.683333325898275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-08-23T09:57:23-0600',mode:absolute,to:'2017-08-23T12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0.106</v>
      </c>
      <c r="Z176" s="197">
        <f>RIGHT(H176,LEN(H176)-4)/10000</f>
        <v>5.8973000000000004</v>
      </c>
      <c r="AA176" s="197">
        <f>ABS(Z176-Y176)</f>
        <v>5.7913000000000006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/stypes="app*4066*20170823*" /stext=" 17:.+((SYSTEM_STATE.+slice.+state.+changed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4"/>
        <v>"%USERPROFILE%\Documents\GitHub\eaglep3\Utilities\RefineRTDCRunTimes.py" --tripid 817-23 --locoid 4066 --swversion DE.1.0.9.0 --startMP 204:1060 --initTime 2017-08-23T10:57:23 --startdatetime 2017-08-23T11:21:15 --delay 1 --endMP 300:58973 --enddatetime 2017-08-23T11:34:56 --enforcementcount 1 &gt;&gt;C:\Users\stu\Documents\GitHub\eaglep3-reporting\EC\2017-08-23-refined-times.txt</v>
      </c>
      <c r="AI176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{"issue":{"subject":"","project_id":79,"tracker_id":40,"status_id":1,"priority_id":2,"assigned_to_id":23,"start_date":"2017-08-23","description":"","custom_fields":[{"id":1,"name":"Subdivision","value":"NW"},{"id":4,"name":"Milepost","value":"5.8973"},{"id":17,"name":"Train ID","value":"817-23"},{"id":16,"name":"Locomotive ID","value":"4066"},{"id":130,"name":"Impact","value":""},{"id":150,"name":"Time of Event (Mountain Time)","value":"11:34:56"},{"id":151,"name":"Denver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16"/>
        <v>start /low /b %USERPROFILE%\Documents\GitHub\eaglep3\Utilities\DownloadLogsFromS3.py --loco 4066 --day 2017-08-23</v>
      </c>
      <c r="AN176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688</v>
      </c>
      <c r="B177" s="7">
        <v>4065</v>
      </c>
      <c r="C177" s="21" t="s">
        <v>197</v>
      </c>
      <c r="D177" s="21" t="s">
        <v>969</v>
      </c>
      <c r="E177" s="13">
        <v>42970.48332175926</v>
      </c>
      <c r="F177" s="13">
        <v>42970.484837962962</v>
      </c>
      <c r="G177" s="7">
        <v>1</v>
      </c>
      <c r="H177" s="21" t="s">
        <v>540</v>
      </c>
      <c r="I177" s="13">
        <v>42970.496689814812</v>
      </c>
      <c r="J177" s="7">
        <v>1</v>
      </c>
      <c r="K177" s="89" t="str">
        <f>IF(ISEVEN(B177),(B177-1)&amp;"/"&amp;B177,B177&amp;"/"&amp;(B177+1))</f>
        <v>4065/4066</v>
      </c>
      <c r="L177" s="217" t="str">
        <f>VLOOKUP(A177,'Trips&amp;Operators'!$C$1:$G$99911,5,FALSE)</f>
        <v>SANTIZO D. EDY</v>
      </c>
      <c r="M177" s="6">
        <f>I177-F177</f>
        <v>1.1851851850224193E-2</v>
      </c>
      <c r="N177" s="7">
        <f>24*60*SUM($M177:$M177)</f>
        <v>17.066666664322838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-08-23T10:35:59-0600',mode:absolute,to:'2017-08-23T12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5.8647</v>
      </c>
      <c r="Z177" s="197">
        <f>RIGHT(H177,LEN(H177)-4)/10000</f>
        <v>7.22E-2</v>
      </c>
      <c r="AA177" s="197">
        <f>ABS(Z177-Y177)</f>
        <v>5.7925000000000004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>VALUE(LEFT(A177,LEN(A177)-3))</f>
        <v>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/stypes="app*4065*20170823*" /stext=" 17:.+((SYSTEM_STATE.+slice.+state.+changed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4"/>
        <v>"%USERPROFILE%\Documents\GitHub\eaglep3\Utilities\RefineRTDCRunTimes.py" --tripid 818-23 --locoid 4065 --swversion DE.1.0.9.0 --startMP 300:58647 --initTime 2017-08-23T11:35:59 --startdatetime 2017-08-23T11:38:10 --delay 1 --endMP 204:722 --enddatetime 2017-08-23T11:55:14 --enforcementcount 1 &gt;&gt;C:\Users\stu\Documents\GitHub\eaglep3-reporting\EC\2017-08-23-refined-times.txt</v>
      </c>
      <c r="AI177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{"issue":{"subject":"","project_id":79,"tracker_id":40,"status_id":1,"priority_id":2,"assigned_to_id":23,"start_date":"2017-08-23","description":"","custom_fields":[{"id":1,"name":"Subdivision","value":"NW"},{"id":4,"name":"Milepost","value":"0.0722"},{"id":17,"name":"Train ID","value":"818-23"},{"id":16,"name":"Locomotive ID","value":"4065"},{"id":130,"name":"Impact","value":""},{"id":150,"name":"Time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6"/>
        <v>start /low /b %USERPROFILE%\Documents\GitHub\eaglep3\Utilities\DownloadLogsFromS3.py --loco 4065 --day 2017-08-23</v>
      </c>
      <c r="AN177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693</v>
      </c>
      <c r="B178" s="7">
        <v>4066</v>
      </c>
      <c r="C178" s="21" t="s">
        <v>197</v>
      </c>
      <c r="D178" s="21" t="s">
        <v>860</v>
      </c>
      <c r="E178" s="13">
        <v>42970.497511574074</v>
      </c>
      <c r="F178" s="13">
        <v>42970.514745370368</v>
      </c>
      <c r="G178" s="7">
        <v>1</v>
      </c>
      <c r="H178" s="21" t="s">
        <v>970</v>
      </c>
      <c r="I178" s="13">
        <v>42970.524467592593</v>
      </c>
      <c r="J178" s="7">
        <v>1</v>
      </c>
      <c r="K178" s="89" t="str">
        <f>IF(ISEVEN(B178),(B178-1)&amp;"/"&amp;B178,B178&amp;"/"&amp;(B178+1))</f>
        <v>4065/4066</v>
      </c>
      <c r="L178" s="217" t="str">
        <f>VLOOKUP(A178,'Trips&amp;Operators'!$C$1:$G$99911,5,FALSE)</f>
        <v>SANTIZO D. EDY</v>
      </c>
      <c r="M178" s="6">
        <f>I178-F178</f>
        <v>9.7222222248092294E-3</v>
      </c>
      <c r="N178" s="7">
        <f>24*60*SUM($M178:$M178)</f>
        <v>14.00000000372529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-08-23T10:56:25-0600',mode:absolute,to:'2017-08-23T13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0.10299999999999999</v>
      </c>
      <c r="Z178" s="197">
        <f>RIGHT(H178,LEN(H178)-4)/10000</f>
        <v>5.8952</v>
      </c>
      <c r="AA178" s="197">
        <f>ABS(Z178-Y178)</f>
        <v>5.7922000000000002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>VALUE(LEFT(A178,LEN(A178)-3))</f>
        <v>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/stypes="app*4066*20170823*" /stext=" 18:.+((SYSTEM_STATE.+slice.+state.+changed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4"/>
        <v>"%USERPROFILE%\Documents\GitHub\eaglep3\Utilities\RefineRTDCRunTimes.py" --tripid 819-23 --locoid 4066 --swversion DE.1.0.9.0 --startMP 204:1030 --initTime 2017-08-23T11:56:25 --startdatetime 2017-08-23T12:21:14 --delay 1 --endMP 300:58952 --enddatetime 2017-08-23T12:35:14 --enforcementcount 1 &gt;&gt;C:\Users\stu\Documents\GitHub\eaglep3-reporting\EC\2017-08-23-refined-times.txt</v>
      </c>
      <c r="AI178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{"issue":{"subject":"","project_id":79,"tracker_id":40,"status_id":1,"priority_id":2,"assigned_to_id":23,"start_date":"2017-08-23","description":"","custom_fields":[{"id":1,"name":"Subdivision","value":"NW"},{"id":4,"name":"Milepost","value":"5.8952"},{"id":17,"name":"Train ID","value":"819-23"},{"id":16,"name":"Locomotive ID","value":"4066"},{"id":130,"name":"Impact","value":""},{"id":150,"name":"Time of Event (Mountain Time)","value":"12:35:14"},{"id":151,"name":"Denver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6"/>
        <v>start /low /b %USERPROFILE%\Documents\GitHub\eaglep3\Utilities\DownloadLogsFromS3.py --loco 4066 --day 2017-08-23</v>
      </c>
      <c r="AN178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702</v>
      </c>
      <c r="B179" s="7">
        <v>4065</v>
      </c>
      <c r="C179" s="21" t="s">
        <v>197</v>
      </c>
      <c r="D179" s="21" t="s">
        <v>971</v>
      </c>
      <c r="E179" s="13">
        <v>42970.525300925925</v>
      </c>
      <c r="F179" s="13">
        <v>42970.526585648149</v>
      </c>
      <c r="G179" s="7">
        <v>1</v>
      </c>
      <c r="H179" s="21" t="s">
        <v>506</v>
      </c>
      <c r="I179" s="13">
        <v>42970.538252314815</v>
      </c>
      <c r="J179" s="7">
        <v>1</v>
      </c>
      <c r="K179" s="89" t="str">
        <f>IF(ISEVEN(B179),(B179-1)&amp;"/"&amp;B179,B179&amp;"/"&amp;(B179+1))</f>
        <v>4065/4066</v>
      </c>
      <c r="L179" s="217" t="str">
        <f>VLOOKUP(A179,'Trips&amp;Operators'!$C$1:$G$99911,5,FALSE)</f>
        <v>SANTIZO D. EDY</v>
      </c>
      <c r="M179" s="6">
        <f>I179-F179</f>
        <v>1.1666666665405501E-2</v>
      </c>
      <c r="N179" s="7">
        <f>24*60*SUM($M179:$M179)</f>
        <v>16.799999998183921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-08-23T11:36:26-0600',mode:absolute,to:'2017-08-23T13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5.8655999999999997</v>
      </c>
      <c r="Z179" s="197">
        <f>RIGHT(H179,LEN(H179)-4)/10000</f>
        <v>7.0099999999999996E-2</v>
      </c>
      <c r="AA179" s="197">
        <f>ABS(Z179-Y179)</f>
        <v>5.7954999999999997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>VALUE(LEFT(A179,LEN(A179)-3))</f>
        <v>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/stypes="app*4065*20170823*" /stext=" 18:.+((SYSTEM_STATE.+slice.+state.+changed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4"/>
        <v>"%USERPROFILE%\Documents\GitHub\eaglep3\Utilities\RefineRTDCRunTimes.py" --tripid 820-23 --locoid 4065 --swversion DE.1.0.9.0 --startMP 300:58656 --initTime 2017-08-23T12:36:26 --startdatetime 2017-08-23T12:38:17 --delay 1 --endMP 204:701 --enddatetime 2017-08-23T12:55:05 --enforcementcount 1 &gt;&gt;C:\Users\stu\Documents\GitHub\eaglep3-reporting\EC\2017-08-23-refined-times.txt</v>
      </c>
      <c r="AI179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{"issue":{"subject":"","project_id":79,"tracker_id":40,"status_id":1,"priority_id":2,"assigned_to_id":23,"start_date":"2017-08-23","description":"","custom_fields":[{"id":1,"name":"Subdivision","value":"NW"},{"id":4,"name":"Milepost","value":"0.0701"},{"id":17,"name":"Train ID","value":"820-23"},{"id":16,"name":"Locomotive ID","value":"4065"},{"id":130,"name":"Impact","value":""},{"id":150,"name":"Time of Event (Mountain Time)","value":"12:55:05"},{"id":151,"name":"Denver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6"/>
        <v>start /low /b %USERPROFILE%\Documents\GitHub\eaglep3\Utilities\DownloadLogsFromS3.py --loco 4065 --day 2017-08-23</v>
      </c>
      <c r="AN179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706</v>
      </c>
      <c r="B180" s="7">
        <v>4066</v>
      </c>
      <c r="C180" s="21" t="s">
        <v>197</v>
      </c>
      <c r="D180" s="21" t="s">
        <v>534</v>
      </c>
      <c r="E180" s="13">
        <v>42970.549421296295</v>
      </c>
      <c r="F180" s="13">
        <v>42970.556689814817</v>
      </c>
      <c r="G180" s="7">
        <v>1</v>
      </c>
      <c r="H180" s="21" t="s">
        <v>539</v>
      </c>
      <c r="I180" s="13">
        <v>42970.566493055558</v>
      </c>
      <c r="J180" s="7">
        <v>1</v>
      </c>
      <c r="K180" s="89" t="str">
        <f>IF(ISEVEN(B180),(B180-1)&amp;"/"&amp;B180,B180&amp;"/"&amp;(B180+1))</f>
        <v>4065/4066</v>
      </c>
      <c r="L180" s="217" t="str">
        <f>VLOOKUP(A180,'Trips&amp;Operators'!$C$1:$G$99911,5,FALSE)</f>
        <v>GUNTHIER ERIC</v>
      </c>
      <c r="M180" s="6">
        <f>I180-F180</f>
        <v>9.8032407404389232E-3</v>
      </c>
      <c r="N180" s="7">
        <f>24*60*SUM($M180:$M180)</f>
        <v>14.116666666232049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-08-23T12:11:10-0600',mode:absolute,to:'2017-08-23T14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0.1041</v>
      </c>
      <c r="Z180" s="197">
        <f>RIGHT(H180,LEN(H180)-4)/10000</f>
        <v>5.8954000000000004</v>
      </c>
      <c r="AA180" s="197">
        <f>ABS(Z180-Y180)</f>
        <v>5.7913000000000006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/stypes="app*4066*20170823*" /stext=" 19:.+((SYSTEM_STATE.+slice.+state.+changed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4"/>
        <v>"%USERPROFILE%\Documents\GitHub\eaglep3\Utilities\RefineRTDCRunTimes.py" --tripid 821-23 --locoid 4066 --swversion DE.1.0.9.0 --startMP 204:1041 --initTime 2017-08-23T13:11:10 --startdatetime 2017-08-23T13:21:38 --delay 1 --endMP 300:58954 --enddatetime 2017-08-23T13:35:45 --enforcementcount 1 &gt;&gt;C:\Users\stu\Documents\GitHub\eaglep3-reporting\EC\2017-08-23-refined-times.txt</v>
      </c>
      <c r="AI180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{"issue":{"subject":"","project_id":79,"tracker_id":40,"status_id":1,"priority_id":2,"assigned_to_id":23,"start_date":"2017-08-23","description":"","custom_fields":[{"id":1,"name":"Subdivision","value":"NW"},{"id":4,"name":"Milepost","value":"5.8954"},{"id":17,"name":"Train ID","value":"821-23"},{"id":16,"name":"Locomotive ID","value":"4066"},{"id":130,"name":"Impact","value":""},{"id":150,"name":"Time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16"/>
        <v>start /low /b %USERPROFILE%\Documents\GitHub\eaglep3\Utilities\DownloadLogsFromS3.py --loco 4066 --day 2017-08-23</v>
      </c>
      <c r="AN180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710</v>
      </c>
      <c r="B181" s="7">
        <v>4065</v>
      </c>
      <c r="C181" s="21" t="s">
        <v>197</v>
      </c>
      <c r="D181" s="21" t="s">
        <v>475</v>
      </c>
      <c r="E181" s="13">
        <v>42970.568055555559</v>
      </c>
      <c r="F181" s="13">
        <v>42970.570173611108</v>
      </c>
      <c r="G181" s="7">
        <v>1</v>
      </c>
      <c r="H181" s="21" t="s">
        <v>972</v>
      </c>
      <c r="I181" s="13">
        <v>42970.580300925925</v>
      </c>
      <c r="J181" s="7">
        <v>1</v>
      </c>
      <c r="K181" s="89" t="str">
        <f>IF(ISEVEN(B181),(B181-1)&amp;"/"&amp;B181,B181&amp;"/"&amp;(B181+1))</f>
        <v>4065/4066</v>
      </c>
      <c r="L181" s="217" t="str">
        <f>VLOOKUP(A181,'Trips&amp;Operators'!$C$1:$G$99911,5,FALSE)</f>
        <v>GUNTHIER ERIC</v>
      </c>
      <c r="M181" s="6">
        <f>I181-F181</f>
        <v>1.0127314817509614E-2</v>
      </c>
      <c r="N181" s="7">
        <f>24*60*SUM($M181:$M181)</f>
        <v>14.583333337213844</v>
      </c>
      <c r="O181" s="7"/>
      <c r="P181" s="7"/>
      <c r="Q181" s="22"/>
      <c r="R181" s="170"/>
      <c r="S181" s="213">
        <f>1/IF(AG181="EC",12,1)*SUM(U181:U181)</f>
        <v>1</v>
      </c>
      <c r="T181" s="195" t="str">
        <f>IF(ISEVEN(LEFT(AD181,4)),"Southbound","NorthBound")</f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-08-23T12:38:00-0600',mode:absolute,to:'2017-08-23T14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5.8639999999999999</v>
      </c>
      <c r="Z181" s="197">
        <f>RIGHT(H181,LEN(H181)-4)/10000</f>
        <v>6.7699999999999996E-2</v>
      </c>
      <c r="AA181" s="197">
        <f>ABS(Z181-Y181)</f>
        <v>5.7962999999999996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>VALUE(LEFT(A181,LEN(A181)-3))</f>
        <v>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/stypes="app*4065*20170823*" /stext=" 19:.+((SYSTEM_STATE.+slice.+state.+changed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4"/>
        <v>"%USERPROFILE%\Documents\GitHub\eaglep3\Utilities\RefineRTDCRunTimes.py" --tripid 822-23 --locoid 4065 --swversion DE.1.0.9.0 --startMP 300:58640 --initTime 2017-08-23T13:38:00 --startdatetime 2017-08-23T13:41:03 --delay 1 --endMP 204:677 --enddatetime 2017-08-23T13:55:38 --enforcementcount 1 &gt;&gt;C:\Users\stu\Documents\GitHub\eaglep3-reporting\EC\2017-08-23-refined-times.txt</v>
      </c>
      <c r="AI181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{"issue":{"subject":"","project_id":79,"tracker_id":40,"status_id":1,"priority_id":2,"assigned_to_id":23,"start_date":"2017-08-23","description":"","custom_fields":[{"id":1,"name":"Subdivision","value":"NW"},{"id":4,"name":"Milepost","value":"0.0677"},{"id":17,"name":"Train ID","value":"822-23"},{"id":16,"name":"Locomotive ID","value":"4065"},{"id":130,"name":"Impact","value":""},{"id":150,"name":"Time of Event (Mountain Time)","value":"13:55:38"},{"id":151,"name":"Denver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6"/>
        <v>start /low /b %USERPROFILE%\Documents\GitHub\eaglep3\Utilities\DownloadLogsFromS3.py --loco 4065 --day 2017-08-23</v>
      </c>
      <c r="AN181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571</v>
      </c>
      <c r="B182" s="7">
        <v>4066</v>
      </c>
      <c r="C182" s="21" t="s">
        <v>197</v>
      </c>
      <c r="D182" s="21" t="s">
        <v>973</v>
      </c>
      <c r="E182" s="13">
        <v>42970.591585648152</v>
      </c>
      <c r="F182" s="13">
        <v>42970.597916666666</v>
      </c>
      <c r="G182" s="7">
        <v>1</v>
      </c>
      <c r="H182" s="21" t="s">
        <v>538</v>
      </c>
      <c r="I182" s="13">
        <v>42970.607951388891</v>
      </c>
      <c r="J182" s="7">
        <v>1</v>
      </c>
      <c r="K182" s="89" t="str">
        <f>IF(ISEVEN(B182),(B182-1)&amp;"/"&amp;B182,B182&amp;"/"&amp;(B182+1))</f>
        <v>4065/4066</v>
      </c>
      <c r="L182" s="217" t="str">
        <f>VLOOKUP(A182,'Trips&amp;Operators'!$C$1:$G$99911,5,FALSE)</f>
        <v>GUNTHIER ERIC</v>
      </c>
      <c r="M182" s="6">
        <f>I182-F182</f>
        <v>1.0034722225100268E-2</v>
      </c>
      <c r="N182" s="7">
        <f>24*60*SUM($M182:$M182)</f>
        <v>14.450000004144385</v>
      </c>
      <c r="O182" s="7"/>
      <c r="P182" s="7"/>
      <c r="Q182" s="22"/>
      <c r="R182" s="170" t="s">
        <v>1032</v>
      </c>
      <c r="S182" s="213">
        <f>1/IF(AG182="EC",12,1)*SUM(U182:U182)</f>
        <v>1</v>
      </c>
      <c r="T182" s="195" t="str">
        <f>IF(ISEVEN(LEFT(AD182,4)),"Southbound","NorthBound")</f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-08-23T13:11:53-0600',mode:absolute,to:'2017-08-23T15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9.4299999999999995E-2</v>
      </c>
      <c r="Z182" s="197">
        <f>RIGHT(H182,LEN(H182)-4)/10000</f>
        <v>5.8958000000000004</v>
      </c>
      <c r="AA182" s="197">
        <f>ABS(Z182-Y182)</f>
        <v>5.8015000000000008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>VALUE(LEFT(A182,LEN(A182)-3))</f>
        <v>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/stypes="app*4066*20170823*" /stext=" 20:.+((SYSTEM_STATE.+slice.+state.+changed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4"/>
        <v>"%USERPROFILE%\Documents\GitHub\eaglep3\Utilities\RefineRTDCRunTimes.py" --tripid 823-23 --locoid 4066 --swversion DE.1.0.9.0 --startMP 204:943 --initTime 2017-08-23T14:11:53 --startdatetime 2017-08-23T14:21:00 --delay 1 --endMP 300:58958 --enddatetime 2017-08-23T14:35:27 --enforcementcount 1 &gt;&gt;C:\Users\stu\Documents\GitHub\eaglep3-reporting\EC\2017-08-23-refined-times.txt</v>
      </c>
      <c r="AI182" s="96" t="str">
        <f t="shared" si="15"/>
        <v>echo {"issue":{"subject":"Observed poor GPS at DUS","project_id":79,"tracker_id":40,"status_id":1,"priority_id":2,"assigned_to_id":23,"start_date":"2017-08-23","description":"","custom_fields":[{"id":1,"name":"Subdivision","value":"NW"},{"id":4,"name":"Milepost","value":"5.8958"},{"id":17,"name":"Train ID","value":"823-23"},{"id":16,"name":"Locomotive ID","value":"4066"},{"id":130,"name":"Impact","value":""},{"id":150,"name":"Time of Event (Mountain Time)","value":"14:35:27"},{"id":151,"name":"Denver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6"/>
        <v>start /low /b %USERPROFILE%\Documents\GitHub\eaglep3\Utilities\DownloadLogsFromS3.py --loco 4066 --day 2017-08-23</v>
      </c>
      <c r="AN182" s="151" t="str">
        <f t="shared" si="17"/>
        <v>echo {"issue":{"subject":"Observed poor GPS at DUS","project_id":30,"tracker_id":4,"status_id":1,"priority_id":1,"assigned_to_id":10,"start_date":"2017-08-23","description":"","custom_fields":[{"id":30,"name":"Category","value":"Issue"},{"id":3,"name":"Functional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718</v>
      </c>
      <c r="B183" s="7">
        <v>4065</v>
      </c>
      <c r="C183" s="21" t="s">
        <v>197</v>
      </c>
      <c r="D183" s="21" t="s">
        <v>536</v>
      </c>
      <c r="E183" s="13">
        <v>42970.609768518516</v>
      </c>
      <c r="F183" s="13">
        <v>42970.611296296294</v>
      </c>
      <c r="G183" s="7">
        <v>1</v>
      </c>
      <c r="H183" s="21" t="s">
        <v>545</v>
      </c>
      <c r="I183" s="13">
        <v>42970.621655092589</v>
      </c>
      <c r="J183" s="7">
        <v>1</v>
      </c>
      <c r="K183" s="89" t="str">
        <f>IF(ISEVEN(B183),(B183-1)&amp;"/"&amp;B183,B183&amp;"/"&amp;(B183+1))</f>
        <v>4065/4066</v>
      </c>
      <c r="L183" s="217" t="str">
        <f>VLOOKUP(A183,'Trips&amp;Operators'!$C$1:$G$99911,5,FALSE)</f>
        <v>GUNTHIER ERIC</v>
      </c>
      <c r="M183" s="6">
        <f>I183-F183</f>
        <v>1.0358796294895001E-2</v>
      </c>
      <c r="N183" s="7">
        <f>24*60*SUM($M183:$M183)</f>
        <v>14.916666664648801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-08-23T13:38:04-0600',mode:absolute,to:'2017-08-23T15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5.8638000000000003</v>
      </c>
      <c r="Z183" s="197">
        <f>RIGHT(H183,LEN(H183)-4)/10000</f>
        <v>6.8699999999999997E-2</v>
      </c>
      <c r="AA183" s="197">
        <f>ABS(Z183-Y183)</f>
        <v>5.7951000000000006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>VALUE(LEFT(A183,LEN(A183)-3))</f>
        <v>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/stypes="app*4065*20170823*" /stext=" 20:.+((SYSTEM_STATE.+slice.+state.+changed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4"/>
        <v>"%USERPROFILE%\Documents\GitHub\eaglep3\Utilities\RefineRTDCRunTimes.py" --tripid 824-23 --locoid 4065 --swversion DE.1.0.9.0 --startMP 300:58638 --initTime 2017-08-23T14:38:04 --startdatetime 2017-08-23T14:40:16 --delay 1 --endMP 204:687 --enddatetime 2017-08-23T14:55:11 --enforcementcount 1 &gt;&gt;C:\Users\stu\Documents\GitHub\eaglep3-reporting\EC\2017-08-23-refined-times.txt</v>
      </c>
      <c r="AI183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{"issue":{"subject":"","project_id":79,"tracker_id":40,"status_id":1,"priority_id":2,"assigned_to_id":23,"start_date":"2017-08-23","description":"","custom_fields":[{"id":1,"name":"Subdivision","value":"NW"},{"id":4,"name":"Milepost","value":"0.0687"},{"id":17,"name":"Train ID","value":"824-23"},{"id":16,"name":"Locomotive ID","value":"4065"},{"id":130,"name":"Impact","value":""},{"id":150,"name":"Time of Event (Mountain Time)","value":"14:55:11"},{"id":151,"name":"Denver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6"/>
        <v>start /low /b %USERPROFILE%\Documents\GitHub\eaglep3\Utilities\DownloadLogsFromS3.py --loco 4065 --day 2017-08-23</v>
      </c>
      <c r="AN183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723</v>
      </c>
      <c r="B184" s="7">
        <v>4066</v>
      </c>
      <c r="C184" s="21" t="s">
        <v>197</v>
      </c>
      <c r="D184" s="21" t="s">
        <v>974</v>
      </c>
      <c r="E184" s="13">
        <v>42970.635601851849</v>
      </c>
      <c r="F184" s="13">
        <v>42970.639780092592</v>
      </c>
      <c r="G184" s="7">
        <v>1</v>
      </c>
      <c r="H184" s="21" t="s">
        <v>538</v>
      </c>
      <c r="I184" s="13">
        <v>42970.649791666663</v>
      </c>
      <c r="J184" s="7">
        <v>1</v>
      </c>
      <c r="K184" s="89" t="str">
        <f>IF(ISEVEN(B184),(B184-1)&amp;"/"&amp;B184,B184&amp;"/"&amp;(B184+1))</f>
        <v>4065/4066</v>
      </c>
      <c r="L184" s="217" t="str">
        <f>VLOOKUP(A184,'Trips&amp;Operators'!$C$1:$G$99911,5,FALSE)</f>
        <v>GUNTHIER ERIC</v>
      </c>
      <c r="M184" s="6">
        <f>I184-F184</f>
        <v>1.0011574071540963E-2</v>
      </c>
      <c r="N184" s="7">
        <f>24*60*SUM($M184:$M184)</f>
        <v>14.416666663018987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-08-23T14:15:16-0600',mode:absolute,to:'2017-08-23T16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9.64E-2</v>
      </c>
      <c r="Z184" s="197">
        <f>RIGHT(H184,LEN(H184)-4)/10000</f>
        <v>5.8958000000000004</v>
      </c>
      <c r="AA184" s="197">
        <f>ABS(Z184-Y184)</f>
        <v>5.7994000000000003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>VALUE(LEFT(A184,LEN(A184)-3))</f>
        <v>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/stypes="app*4066*20170823*" /stext=" 21:.+((SYSTEM_STATE.+slice.+state.+changed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4"/>
        <v>"%USERPROFILE%\Documents\GitHub\eaglep3\Utilities\RefineRTDCRunTimes.py" --tripid 825-23 --locoid 4066 --swversion DE.1.0.9.0 --startMP 204:964 --initTime 2017-08-23T15:15:16 --startdatetime 2017-08-23T15:21:17 --delay 1 --endMP 300:58958 --enddatetime 2017-08-23T15:35:42 --enforcementcount 1 &gt;&gt;C:\Users\stu\Documents\GitHub\eaglep3-reporting\EC\2017-08-23-refined-times.txt</v>
      </c>
      <c r="AI184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{"issue":{"subject":"","project_id":79,"tracker_id":40,"status_id":1,"priority_id":2,"assigned_to_id":23,"start_date":"2017-08-23","description":"","custom_fields":[{"id":1,"name":"Subdivision","value":"NW"},{"id":4,"name":"Milepost","value":"5.8958"},{"id":17,"name":"Train ID","value":"825-23"},{"id":16,"name":"Locomotive ID","value":"4066"},{"id":130,"name":"Impact","value":""},{"id":150,"name":"Time of Event (Mountain Time)","value":"15:35:42"},{"id":151,"name":"Denver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6"/>
        <v>start /low /b %USERPROFILE%\Documents\GitHub\eaglep3\Utilities\DownloadLogsFromS3.py --loco 4066 --day 2017-08-23</v>
      </c>
      <c r="AN184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576</v>
      </c>
      <c r="B185" s="7">
        <v>4065</v>
      </c>
      <c r="C185" s="21" t="s">
        <v>197</v>
      </c>
      <c r="D185" s="21" t="s">
        <v>469</v>
      </c>
      <c r="E185" s="13">
        <v>42970.650879629633</v>
      </c>
      <c r="F185" s="13">
        <v>42970.652743055558</v>
      </c>
      <c r="G185" s="7">
        <v>1</v>
      </c>
      <c r="H185" s="21" t="s">
        <v>409</v>
      </c>
      <c r="I185" s="13">
        <v>42970.664606481485</v>
      </c>
      <c r="J185" s="7">
        <v>1</v>
      </c>
      <c r="K185" s="89" t="str">
        <f>IF(ISEVEN(B185),(B185-1)&amp;"/"&amp;B185,B185&amp;"/"&amp;(B185+1))</f>
        <v>4065/4066</v>
      </c>
      <c r="L185" s="217" t="str">
        <f>VLOOKUP(A185,'Trips&amp;Operators'!$C$1:$G$99911,5,FALSE)</f>
        <v>GUNTHIER ERIC</v>
      </c>
      <c r="M185" s="6">
        <f>I185-F185</f>
        <v>1.1863425927003846E-2</v>
      </c>
      <c r="N185" s="7">
        <f>24*60*SUM($M185:$M185)</f>
        <v>17.083333334885538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-08-23T14:37:16-0600',mode:absolute,to:'2017-08-23T16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5.8625999999999996</v>
      </c>
      <c r="Z185" s="197">
        <f>RIGHT(H185,LEN(H185)-4)/10000</f>
        <v>6.8000000000000005E-2</v>
      </c>
      <c r="AA185" s="197">
        <f>ABS(Z185-Y185)</f>
        <v>5.7946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>VALUE(LEFT(A185,LEN(A185)-3))</f>
        <v>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/stypes="app*4065*20170823*" /stext=" 21:.+((SYSTEM_STATE.+slice.+state.+changed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4"/>
        <v>"%USERPROFILE%\Documents\GitHub\eaglep3\Utilities\RefineRTDCRunTimes.py" --tripid 826-23 --locoid 4065 --swversion DE.1.0.9.0 --startMP 300:58626 --initTime 2017-08-23T15:37:16 --startdatetime 2017-08-23T15:39:57 --delay 1 --endMP 204:680 --enddatetime 2017-08-23T15:57:02 --enforcementcount 1 &gt;&gt;C:\Users\stu\Documents\GitHub\eaglep3-reporting\EC\2017-08-23-refined-times.txt</v>
      </c>
      <c r="AI185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{"issue":{"subject":"","project_id":79,"tracker_id":40,"status_id":1,"priority_id":2,"assigned_to_id":23,"start_date":"2017-08-23","description":"","custom_fields":[{"id":1,"name":"Subdivision","value":"NW"},{"id":4,"name":"Milepost","value":"0.068"},{"id":17,"name":"Train ID","value":"826-23"},{"id":16,"name":"Locomotive ID","value":"4065"},{"id":130,"name":"Impact","value":""},{"id":150,"name":"Time of Event (Mountain Time)","value":"15:57:02"},{"id":151,"name":"Denver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16"/>
        <v>start /low /b %USERPROFILE%\Documents\GitHub\eaglep3\Utilities\DownloadLogsFromS3.py --loco 4065 --day 2017-08-23</v>
      </c>
      <c r="AN185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728</v>
      </c>
      <c r="B186" s="7">
        <v>4044</v>
      </c>
      <c r="C186" s="21" t="s">
        <v>197</v>
      </c>
      <c r="D186" s="21" t="s">
        <v>975</v>
      </c>
      <c r="E186" s="13">
        <v>42970.654803240737</v>
      </c>
      <c r="F186" s="13">
        <v>42970.660798611112</v>
      </c>
      <c r="G186" s="7">
        <v>1</v>
      </c>
      <c r="H186" s="21" t="s">
        <v>470</v>
      </c>
      <c r="I186" s="13">
        <v>42970.670057870368</v>
      </c>
      <c r="J186" s="7">
        <v>1</v>
      </c>
      <c r="K186" s="89" t="str">
        <f>IF(ISEVEN(B186),(B186-1)&amp;"/"&amp;B186,B186&amp;"/"&amp;(B186+1))</f>
        <v>4043/4044</v>
      </c>
      <c r="L186" s="217" t="str">
        <f>VLOOKUP(A186,'Trips&amp;Operators'!$C$1:$G$99911,5,FALSE)</f>
        <v>BARRON PERLA</v>
      </c>
      <c r="M186" s="6">
        <f>I186-F186</f>
        <v>9.2592592554865405E-3</v>
      </c>
      <c r="N186" s="7">
        <f>24*60*SUM($M186:$M186)</f>
        <v>13.333333327900618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-08-23T14:42:55-0600',mode:absolute,to:'2017-08-23T17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9.5500000000000002E-2</v>
      </c>
      <c r="Z186" s="197">
        <f>RIGHT(H186,LEN(H186)-4)/10000</f>
        <v>5.8933</v>
      </c>
      <c r="AA186" s="197">
        <f>ABS(Z186-Y186)</f>
        <v>5.7977999999999996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>VALUE(LEFT(A186,LEN(A186)-3))</f>
        <v>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/stypes="app*4044*20170823*"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4"/>
        <v>"%USERPROFILE%\Documents\GitHub\eaglep3\Utilities\RefineRTDCRunTimes.py" --tripid 827-23 --locoid 4044 --swversion DE.1.0.9.0 --startMP 204:955 --initTime 2017-08-23T15:42:55 --startdatetime 2017-08-23T15:51:33 --delay 1 --endMP 300:58933 --enddatetime 2017-08-23T16:04:53 --enforcementcount 1 &gt;&gt;C:\Users\stu\Documents\GitHub\eaglep3-reporting\EC\2017-08-23-refined-times.txt</v>
      </c>
      <c r="AI186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{"issue":{"subject":"","project_id":79,"tracker_id":40,"status_id":1,"priority_id":2,"assigned_to_id":23,"start_date":"2017-08-23","description":"","custom_fields":[{"id":1,"name":"Subdivision","value":"NW"},{"id":4,"name":"Milepost","value":"5.8933"},{"id":17,"name":"Train ID","value":"827-23"},{"id":16,"name":"Locomotive ID","value":"4044"},{"id":130,"name":"Impact","value":""},{"id":150,"name":"Time of Event (Mountain Time)","value":"16:04:53"},{"id":151,"name":"Denver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6"/>
        <v>start /low /b %USERPROFILE%\Documents\GitHub\eaglep3\Utilities\DownloadLogsFromS3.py --loco 4044 --day 2017-08-23</v>
      </c>
      <c r="AN186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731</v>
      </c>
      <c r="B187" s="7">
        <v>4043</v>
      </c>
      <c r="C187" s="21" t="s">
        <v>197</v>
      </c>
      <c r="D187" s="21" t="s">
        <v>472</v>
      </c>
      <c r="E187" s="13">
        <v>42970.671261574076</v>
      </c>
      <c r="F187" s="13">
        <v>42970.674421296295</v>
      </c>
      <c r="G187" s="7">
        <v>1</v>
      </c>
      <c r="H187" s="21" t="s">
        <v>976</v>
      </c>
      <c r="I187" s="13">
        <v>42970.684479166666</v>
      </c>
      <c r="J187" s="7">
        <v>1</v>
      </c>
      <c r="K187" s="89" t="str">
        <f>IF(ISEVEN(B187),(B187-1)&amp;"/"&amp;B187,B187&amp;"/"&amp;(B187+1))</f>
        <v>4043/4044</v>
      </c>
      <c r="L187" s="217" t="str">
        <f>VLOOKUP(A187,'Trips&amp;Operators'!$C$1:$G$99911,5,FALSE)</f>
        <v>BARRON PERLA</v>
      </c>
      <c r="M187" s="6">
        <f>I187-F187</f>
        <v>1.0057870371383615E-2</v>
      </c>
      <c r="N187" s="7">
        <f>24*60*SUM($M187:$M187)</f>
        <v>14.483333334792405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-08-23T15:06:37-0600',mode:absolute,to:'2017-08-23T17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5.8615000000000004</v>
      </c>
      <c r="Z187" s="197">
        <f>RIGHT(H187,LEN(H187)-4)/10000</f>
        <v>6.9199999999999998E-2</v>
      </c>
      <c r="AA187" s="197">
        <f>ABS(Z187-Y187)</f>
        <v>5.7923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>VALUE(LEFT(A187,LEN(A187)-3))</f>
        <v>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/stypes="app*4043*20170823*"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4"/>
        <v>"%USERPROFILE%\Documents\GitHub\eaglep3\Utilities\RefineRTDCRunTimes.py" --tripid 828-23 --locoid 4043 --swversion DE.1.0.9.0 --startMP 300:58615 --initTime 2017-08-23T16:06:37 --startdatetime 2017-08-23T16:11:10 --delay 1 --endMP 204:692 --enddatetime 2017-08-23T16:25:39 --enforcementcount 1 &gt;&gt;C:\Users\stu\Documents\GitHub\eaglep3-reporting\EC\2017-08-23-refined-times.txt</v>
      </c>
      <c r="AI187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{"issue":{"subject":"","project_id":79,"tracker_id":40,"status_id":1,"priority_id":2,"assigned_to_id":23,"start_date":"2017-08-23","description":"","custom_fields":[{"id":1,"name":"Subdivision","value":"NW"},{"id":4,"name":"Milepost","value":"0.0692"},{"id":17,"name":"Train ID","value":"828-23"},{"id":16,"name":"Locomotive ID","value":"4043"},{"id":130,"name":"Impact","value":""},{"id":150,"name":"Time of Event (Mountain Time)","value":"16:25:39"},{"id":151,"name":"Denver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6"/>
        <v>start /low /b %USERPROFILE%\Documents\GitHub\eaglep3\Utilities\DownloadLogsFromS3.py --loco 4043 --day 2017-08-23</v>
      </c>
      <c r="AN187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734</v>
      </c>
      <c r="B188" s="7">
        <v>4066</v>
      </c>
      <c r="C188" s="21" t="s">
        <v>197</v>
      </c>
      <c r="D188" s="21" t="s">
        <v>474</v>
      </c>
      <c r="E188" s="13">
        <v>42970.677719907406</v>
      </c>
      <c r="F188" s="13">
        <v>42970.681689814817</v>
      </c>
      <c r="G188" s="7">
        <v>1</v>
      </c>
      <c r="H188" s="21" t="s">
        <v>977</v>
      </c>
      <c r="I188" s="13">
        <v>42970.692303240743</v>
      </c>
      <c r="J188" s="7">
        <v>1</v>
      </c>
      <c r="K188" s="89" t="str">
        <f>IF(ISEVEN(B188),(B188-1)&amp;"/"&amp;B188,B188&amp;"/"&amp;(B188+1))</f>
        <v>4065/4066</v>
      </c>
      <c r="L188" s="217" t="str">
        <f>VLOOKUP(A188,'Trips&amp;Operators'!$C$1:$G$99911,5,FALSE)</f>
        <v>GUNTHIER ERIC</v>
      </c>
      <c r="M188" s="6">
        <f>I188-F188</f>
        <v>1.0613425925839692E-2</v>
      </c>
      <c r="N188" s="7">
        <f>24*60*SUM($M188:$M188)</f>
        <v>15.283333333209157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-08-23T15:15:55-0600',mode:absolute,to:'2017-08-23T17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9.8100000000000007E-2</v>
      </c>
      <c r="Z188" s="197">
        <f>RIGHT(H188,LEN(H188)-4)/10000</f>
        <v>5.8944000000000001</v>
      </c>
      <c r="AA188" s="197">
        <f>ABS(Z188-Y188)</f>
        <v>5.7963000000000005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>VALUE(LEFT(A188,LEN(A188)-3))</f>
        <v>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/stypes="app*4066*20170823*" /stext=" 22:.+((SYSTEM_STATE.+slice.+state.+changed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4"/>
        <v>"%USERPROFILE%\Documents\GitHub\eaglep3\Utilities\RefineRTDCRunTimes.py" --tripid 829-23 --locoid 4066 --swversion DE.1.0.9.0 --startMP 204:981 --initTime 2017-08-23T16:15:55 --startdatetime 2017-08-23T16:21:38 --delay 1 --endMP 300:58944 --enddatetime 2017-08-23T16:36:55 --enforcementcount 1 &gt;&gt;C:\Users\stu\Documents\GitHub\eaglep3-reporting\EC\2017-08-23-refined-times.txt</v>
      </c>
      <c r="AI188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{"issue":{"subject":"","project_id":79,"tracker_id":40,"status_id":1,"priority_id":2,"assigned_to_id":23,"start_date":"2017-08-23","description":"","custom_fields":[{"id":1,"name":"Subdivision","value":"NW"},{"id":4,"name":"Milepost","value":"5.8944"},{"id":17,"name":"Train ID","value":"829-23"},{"id":16,"name":"Locomotive ID","value":"4066"},{"id":130,"name":"Impact","value":""},{"id":150,"name":"Time of Event (Mountain Time)","value":"16:36:55"},{"id":151,"name":"Denver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16"/>
        <v>start /low /b %USERPROFILE%\Documents\GitHub\eaglep3\Utilities\DownloadLogsFromS3.py --loco 4066 --day 2017-08-23</v>
      </c>
      <c r="AN188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742</v>
      </c>
      <c r="B189" s="7">
        <v>4065</v>
      </c>
      <c r="C189" s="21" t="s">
        <v>197</v>
      </c>
      <c r="D189" s="21" t="s">
        <v>472</v>
      </c>
      <c r="E189" s="13">
        <v>42970.693553240744</v>
      </c>
      <c r="F189" s="13">
        <v>42970.694976851853</v>
      </c>
      <c r="G189" s="7">
        <v>1</v>
      </c>
      <c r="H189" s="21" t="s">
        <v>978</v>
      </c>
      <c r="I189" s="13">
        <v>42970.705648148149</v>
      </c>
      <c r="J189" s="7">
        <v>1</v>
      </c>
      <c r="K189" s="89" t="str">
        <f>IF(ISEVEN(B189),(B189-1)&amp;"/"&amp;B189,B189&amp;"/"&amp;(B189+1))</f>
        <v>4065/4066</v>
      </c>
      <c r="L189" s="217" t="str">
        <f>VLOOKUP(A189,'Trips&amp;Operators'!$C$1:$G$99911,5,FALSE)</f>
        <v>GUNTHIER ERIC</v>
      </c>
      <c r="M189" s="6">
        <f>I189-F189</f>
        <v>1.0671296295186039E-2</v>
      </c>
      <c r="N189" s="7">
        <f>24*60*SUM($M189:$M189)</f>
        <v>15.366666665067896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-08-23T15:38:43-0600',mode:absolute,to:'2017-08-23T17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5.8615000000000004</v>
      </c>
      <c r="Z189" s="197">
        <f>RIGHT(H189,LEN(H189)-4)/10000</f>
        <v>7.1199999999999999E-2</v>
      </c>
      <c r="AA189" s="197">
        <f>ABS(Z189-Y189)</f>
        <v>5.7903000000000002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>VALUE(LEFT(A189,LEN(A189)-3))</f>
        <v>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/stypes="app*4065*20170823*" /stext=" 22:.+((SYSTEM_STATE.+slice.+state.+changed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4"/>
        <v>"%USERPROFILE%\Documents\GitHub\eaglep3\Utilities\RefineRTDCRunTimes.py" --tripid 830-23 --locoid 4065 --swversion DE.1.0.9.0 --startMP 300:58615 --initTime 2017-08-23T16:38:43 --startdatetime 2017-08-23T16:40:46 --delay 1 --endMP 204:712 --enddatetime 2017-08-23T16:56:08 --enforcementcount 1 &gt;&gt;C:\Users\stu\Documents\GitHub\eaglep3-reporting\EC\2017-08-23-refined-times.txt</v>
      </c>
      <c r="AI189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{"issue":{"subject":"","project_id":79,"tracker_id":40,"status_id":1,"priority_id":2,"assigned_to_id":23,"start_date":"2017-08-23","description":"","custom_fields":[{"id":1,"name":"Subdivision","value":"NW"},{"id":4,"name":"Milepost","value":"0.0712"},{"id":17,"name":"Train ID","value":"830-23"},{"id":16,"name":"Locomotive ID","value":"4065"},{"id":130,"name":"Impact","value":""},{"id":150,"name":"Time of Event (Mountain Time)","value":"16:56:08"},{"id":151,"name":"Denver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6"/>
        <v>start /low /b %USERPROFILE%\Documents\GitHub\eaglep3\Utilities\DownloadLogsFromS3.py --loco 4065 --day 2017-08-23</v>
      </c>
      <c r="AN189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737</v>
      </c>
      <c r="B190" s="7">
        <v>4044</v>
      </c>
      <c r="C190" s="21" t="s">
        <v>197</v>
      </c>
      <c r="D190" s="21" t="s">
        <v>535</v>
      </c>
      <c r="E190" s="13">
        <v>42970.686261574076</v>
      </c>
      <c r="F190" s="13">
        <v>42970.702719907407</v>
      </c>
      <c r="G190" s="7">
        <v>1</v>
      </c>
      <c r="H190" s="21" t="s">
        <v>543</v>
      </c>
      <c r="I190" s="13">
        <v>42970.712372685186</v>
      </c>
      <c r="J190" s="7">
        <v>1</v>
      </c>
      <c r="K190" s="89" t="str">
        <f>IF(ISEVEN(B190),(B190-1)&amp;"/"&amp;B190,B190&amp;"/"&amp;(B190+1))</f>
        <v>4043/4044</v>
      </c>
      <c r="L190" s="217" t="str">
        <f>VLOOKUP(A190,'Trips&amp;Operators'!$C$1:$G$99911,5,FALSE)</f>
        <v>BARRON PERLA</v>
      </c>
      <c r="M190" s="6">
        <f>I190-F190</f>
        <v>9.6527777786832303E-3</v>
      </c>
      <c r="N190" s="7">
        <f>24*60*SUM($M190:$M190)</f>
        <v>13.900000001303852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-08-23T15:28:13-0600',mode:absolute,to:'2017-08-23T18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9.7100000000000006E-2</v>
      </c>
      <c r="Z190" s="197">
        <f>RIGHT(H190,LEN(H190)-4)/10000</f>
        <v>5.8945999999999996</v>
      </c>
      <c r="AA190" s="197">
        <f>ABS(Z190-Y190)</f>
        <v>5.7974999999999994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>VALUE(LEFT(A190,LEN(A190)-3))</f>
        <v>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/stypes="app*4044*20170823*"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4"/>
        <v>"%USERPROFILE%\Documents\GitHub\eaglep3\Utilities\RefineRTDCRunTimes.py" --tripid 831-23 --locoid 4044 --swversion DE.1.0.9.0 --startMP 204:971 --initTime 2017-08-23T16:28:13 --startdatetime 2017-08-23T16:51:55 --delay 1 --endMP 300:58946 --enddatetime 2017-08-23T17:05:49 --enforcementcount 1 &gt;&gt;C:\Users\stu\Documents\GitHub\eaglep3-reporting\EC\2017-08-23-refined-times.txt</v>
      </c>
      <c r="AI190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{"issue":{"subject":"","project_id":79,"tracker_id":40,"status_id":1,"priority_id":2,"assigned_to_id":23,"start_date":"2017-08-23","description":"","custom_fields":[{"id":1,"name":"Subdivision","value":"NW"},{"id":4,"name":"Milepost","value":"5.8946"},{"id":17,"name":"Train ID","value":"831-23"},{"id":16,"name":"Locomotive ID","value":"4044"},{"id":130,"name":"Impact","value":""},{"id":150,"name":"Time of Event (Mountain Time)","value":"17:05:49"},{"id":151,"name":"Denver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6"/>
        <v>start /low /b %USERPROFILE%\Documents\GitHub\eaglep3\Utilities\DownloadLogsFromS3.py --loco 4044 --day 2017-08-23</v>
      </c>
      <c r="AN190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747</v>
      </c>
      <c r="B191" s="7">
        <v>4043</v>
      </c>
      <c r="C191" s="21" t="s">
        <v>197</v>
      </c>
      <c r="D191" s="21" t="s">
        <v>475</v>
      </c>
      <c r="E191" s="13">
        <v>42970.713402777779</v>
      </c>
      <c r="F191" s="13">
        <v>42970.715567129628</v>
      </c>
      <c r="G191" s="7">
        <v>1</v>
      </c>
      <c r="H191" s="21" t="s">
        <v>476</v>
      </c>
      <c r="I191" s="13">
        <v>42970.7262962963</v>
      </c>
      <c r="J191" s="7">
        <v>1</v>
      </c>
      <c r="K191" s="89" t="str">
        <f>IF(ISEVEN(B191),(B191-1)&amp;"/"&amp;B191,B191&amp;"/"&amp;(B191+1))</f>
        <v>4043/4044</v>
      </c>
      <c r="L191" s="217" t="str">
        <f>VLOOKUP(A191,'Trips&amp;Operators'!$C$1:$G$99911,5,FALSE)</f>
        <v>BARRON PERLA</v>
      </c>
      <c r="M191" s="6">
        <f>I191-F191</f>
        <v>1.0729166671808343E-2</v>
      </c>
      <c r="N191" s="7">
        <f>24*60*SUM($M191:$M191)</f>
        <v>15.450000007404014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-08-23T16:07:18-0600',mode:absolute,to:'2017-08-23T18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5.8639999999999999</v>
      </c>
      <c r="Z191" s="197">
        <f>RIGHT(H191,LEN(H191)-4)/10000</f>
        <v>7.0499999999999993E-2</v>
      </c>
      <c r="AA191" s="197">
        <f>ABS(Z191-Y191)</f>
        <v>5.7934999999999999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>VALUE(LEFT(A191,LEN(A191)-3))</f>
        <v>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/stypes="app*4043*20170823*"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4"/>
        <v>"%USERPROFILE%\Documents\GitHub\eaglep3\Utilities\RefineRTDCRunTimes.py" --tripid 832-23 --locoid 4043 --swversion DE.1.0.9.0 --startMP 300:58640 --initTime 2017-08-23T17:07:18 --startdatetime 2017-08-23T17:10:25 --delay 1 --endMP 204:705 --enddatetime 2017-08-23T17:25:52 --enforcementcount 1 &gt;&gt;C:\Users\stu\Documents\GitHub\eaglep3-reporting\EC\2017-08-23-refined-times.txt</v>
      </c>
      <c r="AI191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{"issue":{"subject":"","project_id":79,"tracker_id":40,"status_id":1,"priority_id":2,"assigned_to_id":23,"start_date":"2017-08-23","description":"","custom_fields":[{"id":1,"name":"Subdivision","value":"NW"},{"id":4,"name":"Milepost","value":"0.0705"},{"id":17,"name":"Train ID","value":"832-23"},{"id":16,"name":"Locomotive ID","value":"4043"},{"id":130,"name":"Impact","value":""},{"id":150,"name":"Time of Event (Mountain Time)","value":"17:25:52"},{"id":151,"name":"Denver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6"/>
        <v>start /low /b %USERPROFILE%\Documents\GitHub\eaglep3\Utilities\DownloadLogsFromS3.py --loco 4043 --day 2017-08-23</v>
      </c>
      <c r="AN191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748</v>
      </c>
      <c r="B192" s="7">
        <v>4066</v>
      </c>
      <c r="C192" s="21" t="s">
        <v>197</v>
      </c>
      <c r="D192" s="21" t="s">
        <v>431</v>
      </c>
      <c r="E192" s="13">
        <v>42970.716226851851</v>
      </c>
      <c r="F192" s="13">
        <v>42970.723171296297</v>
      </c>
      <c r="G192" s="7">
        <v>1</v>
      </c>
      <c r="H192" s="21" t="s">
        <v>979</v>
      </c>
      <c r="I192" s="13">
        <v>42970.733206018522</v>
      </c>
      <c r="J192" s="7">
        <v>1</v>
      </c>
      <c r="K192" s="89" t="str">
        <f>IF(ISEVEN(B192),(B192-1)&amp;"/"&amp;B192,B192&amp;"/"&amp;(B192+1))</f>
        <v>4065/4066</v>
      </c>
      <c r="L192" s="217" t="str">
        <f>VLOOKUP(A192,'Trips&amp;Operators'!$C$1:$G$99911,5,FALSE)</f>
        <v>GUNTHIER ERIC</v>
      </c>
      <c r="M192" s="6">
        <f>I192-F192</f>
        <v>1.0034722225100268E-2</v>
      </c>
      <c r="N192" s="7">
        <f>24*60*SUM($M192:$M192)</f>
        <v>14.450000004144385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-08-23T16:11:22-0600',mode:absolute,to:'2017-08-23T18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9.6699999999999994E-2</v>
      </c>
      <c r="Z192" s="197">
        <f>RIGHT(H192,LEN(H192)-4)/10000</f>
        <v>5.8943000000000003</v>
      </c>
      <c r="AA192" s="197">
        <f>ABS(Z192-Y192)</f>
        <v>5.7976000000000001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>VALUE(LEFT(A192,LEN(A192)-3))</f>
        <v>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/stypes="app*4066*20170823*" /stext=" 23:.+((SYSTEM_STATE.+slice.+state.+changed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4"/>
        <v>"%USERPROFILE%\Documents\GitHub\eaglep3\Utilities\RefineRTDCRunTimes.py" --tripid 833-23 --locoid 4066 --swversion DE.1.0.9.0 --startMP 204:967 --initTime 2017-08-23T17:11:22 --startdatetime 2017-08-23T17:21:22 --delay 1 --endMP 300:58943 --enddatetime 2017-08-23T17:35:49 --enforcementcount 1 &gt;&gt;C:\Users\stu\Documents\GitHub\eaglep3-reporting\EC\2017-08-23-refined-times.txt</v>
      </c>
      <c r="AI192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{"issue":{"subject":"","project_id":79,"tracker_id":40,"status_id":1,"priority_id":2,"assigned_to_id":23,"start_date":"2017-08-23","description":"","custom_fields":[{"id":1,"name":"Subdivision","value":"NW"},{"id":4,"name":"Milepost","value":"5.8943"},{"id":17,"name":"Train ID","value":"833-23"},{"id":16,"name":"Locomotive ID","value":"4066"},{"id":130,"name":"Impact","value":""},{"id":150,"name":"Time of Event (Mountain Time)","value":"17:35:49"},{"id":151,"name":"Denver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6"/>
        <v>start /low /b %USERPROFILE%\Documents\GitHub\eaglep3\Utilities\DownloadLogsFromS3.py --loco 4066 --day 2017-08-23</v>
      </c>
      <c r="AN192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755</v>
      </c>
      <c r="B193" s="7">
        <v>4065</v>
      </c>
      <c r="C193" s="21" t="s">
        <v>197</v>
      </c>
      <c r="D193" s="21" t="s">
        <v>980</v>
      </c>
      <c r="E193" s="13">
        <v>42970.734432870369</v>
      </c>
      <c r="F193" s="13">
        <v>42970.735775462963</v>
      </c>
      <c r="G193" s="7">
        <v>0</v>
      </c>
      <c r="H193" s="21" t="s">
        <v>545</v>
      </c>
      <c r="I193" s="13">
        <v>42970.747025462966</v>
      </c>
      <c r="J193" s="7">
        <v>1</v>
      </c>
      <c r="K193" s="89" t="str">
        <f>IF(ISEVEN(B193),(B193-1)&amp;"/"&amp;B193,B193&amp;"/"&amp;(B193+1))</f>
        <v>4065/4066</v>
      </c>
      <c r="L193" s="217" t="str">
        <f>VLOOKUP(A193,'Trips&amp;Operators'!$C$1:$G$99911,5,FALSE)</f>
        <v>GUNTHIER ERIC</v>
      </c>
      <c r="M193" s="6">
        <f>I193-F193</f>
        <v>1.1250000003201421E-2</v>
      </c>
      <c r="N193" s="7">
        <f>24*60*SUM($M193:$M193)</f>
        <v>16.200000004610047</v>
      </c>
      <c r="O193" s="7"/>
      <c r="P193" s="7"/>
      <c r="Q193" s="22"/>
      <c r="R193" s="170"/>
      <c r="S193" s="213">
        <f>1/IF(AG193="EC",12,1)*SUM(U193:U193)</f>
        <v>1</v>
      </c>
      <c r="T193" s="195" t="str">
        <f>IF(ISEVEN(LEFT(AD193,4)),"Southbound","NorthBound")</f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-08-23T16:37:35-0600',mode:absolute,to:'2017-08-23T18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5.8619000000000003</v>
      </c>
      <c r="Z193" s="197">
        <f>RIGHT(H193,LEN(H193)-4)/10000</f>
        <v>6.8699999999999997E-2</v>
      </c>
      <c r="AA193" s="197">
        <f>ABS(Z193-Y193)</f>
        <v>5.7932000000000006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>VALUE(LEFT(A193,LEN(A193)-3))</f>
        <v>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/stypes="app*4065*20170823*" /stext=" 23:.+((SYSTEM_STATE.+slice.+state.+changed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4"/>
        <v>"%USERPROFILE%\Documents\GitHub\eaglep3\Utilities\RefineRTDCRunTimes.py" --tripid 834-23 --locoid 4065 --swversion DE.1.0.9.0 --startMP 300:58619 --initTime 2017-08-23T17:37:35 --startdatetime 2017-08-23T17:39:31 --delay 0 --endMP 204:687 --enddatetime 2017-08-23T17:55:43 --enforcementcount 1 &gt;&gt;C:\Users\stu\Documents\GitHub\eaglep3-reporting\EC\2017-08-23-refined-times.txt</v>
      </c>
      <c r="AI193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{"issue":{"subject":"","project_id":79,"tracker_id":40,"status_id":1,"priority_id":2,"assigned_to_id":23,"start_date":"2017-08-23","description":"","custom_fields":[{"id":1,"name":"Subdivision","value":"NW"},{"id":4,"name":"Milepost","value":"0.0687"},{"id":17,"name":"Train ID","value":"834-23"},{"id":16,"name":"Locomotive ID","value":"4065"},{"id":130,"name":"Impact","value":""},{"id":150,"name":"Time of Event (Mountain Time)","value":"17:55:43"},{"id":151,"name":"Denver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6"/>
        <v>start /low /b %USERPROFILE%\Documents\GitHub\eaglep3\Utilities\DownloadLogsFromS3.py --loco 4065 --day 2017-08-23</v>
      </c>
      <c r="AN193" s="151" t="str">
        <f t="shared" si="17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759</v>
      </c>
      <c r="B194" s="7">
        <v>4044</v>
      </c>
      <c r="C194" s="21" t="s">
        <v>197</v>
      </c>
      <c r="D194" s="21" t="s">
        <v>981</v>
      </c>
      <c r="E194" s="13">
        <v>42970.740011574075</v>
      </c>
      <c r="F194" s="13">
        <v>42970.744004629632</v>
      </c>
      <c r="G194" s="7">
        <v>2</v>
      </c>
      <c r="H194" s="21" t="s">
        <v>541</v>
      </c>
      <c r="I194" s="13">
        <v>42970.753333333334</v>
      </c>
      <c r="J194" s="7">
        <v>1</v>
      </c>
      <c r="K194" s="89" t="str">
        <f>IF(ISEVEN(B194),(B194-1)&amp;"/"&amp;B194,B194&amp;"/"&amp;(B194+1))</f>
        <v>4043/4044</v>
      </c>
      <c r="L194" s="217" t="str">
        <f>VLOOKUP(A194,'Trips&amp;Operators'!$C$1:$G$99911,5,FALSE)</f>
        <v>BARRON PERLA</v>
      </c>
      <c r="M194" s="6">
        <f>I194-F194</f>
        <v>9.3287037016125396E-3</v>
      </c>
      <c r="N194" s="7">
        <f>24*60*SUM($M194:$M194)</f>
        <v>13.433333330322057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-08-23T16:45:37-0600',mode:absolute,to:'2017-08-23T19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9.6500000000000002E-2</v>
      </c>
      <c r="Z194" s="197">
        <f>RIGHT(H194,LEN(H194)-4)/10000</f>
        <v>5.8940999999999999</v>
      </c>
      <c r="AA194" s="197">
        <f>ABS(Z194-Y194)</f>
        <v>5.7976000000000001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>VALUE(LEFT(A194,LEN(A194)-3))</f>
        <v>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/stypes="app*4044*20170824*"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4"/>
        <v>"%USERPROFILE%\Documents\GitHub\eaglep3\Utilities\RefineRTDCRunTimes.py" --tripid 835-23 --locoid 4044 --swversion DE.1.0.9.0 --startMP 204:965 --initTime 2017-08-23T17:45:37 --startdatetime 2017-08-23T17:51:22 --delay 2 --endMP 300:58941 --enddatetime 2017-08-23T18:04:48 --enforcementcount 1 &gt;&gt;C:\Users\stu\Documents\GitHub\eaglep3-reporting\EC\2017-08-23-refined-times.txt</v>
      </c>
      <c r="AI194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{"issue":{"subject":"","project_id":79,"tracker_id":40,"status_id":1,"priority_id":2,"assigned_to_id":23,"start_date":"2017-08-23","description":"","custom_fields":[{"id":1,"name":"Subdivision","value":"NW"},{"id":4,"name":"Milepost","value":"5.8941"},{"id":17,"name":"Train ID","value":"835-23"},{"id":16,"name":"Locomotive ID","value":"4044"},{"id":130,"name":"Impact","value":""},{"id":150,"name":"Time of Event (Mountain Time)","value":"18:04:48"},{"id":151,"name":"Denver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6"/>
        <v>start /low /b %USERPROFILE%\Documents\GitHub\eaglep3\Utilities\DownloadLogsFromS3.py --loco 4044 --day 2017-08-23</v>
      </c>
      <c r="AN194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583</v>
      </c>
      <c r="B195" s="7">
        <v>4043</v>
      </c>
      <c r="C195" s="21" t="s">
        <v>197</v>
      </c>
      <c r="D195" s="21" t="s">
        <v>982</v>
      </c>
      <c r="E195" s="13">
        <v>42970.755011574074</v>
      </c>
      <c r="F195" s="13">
        <v>42970.758009259262</v>
      </c>
      <c r="G195" s="7">
        <v>1</v>
      </c>
      <c r="H195" s="21" t="s">
        <v>537</v>
      </c>
      <c r="I195" s="13">
        <v>42970.767233796294</v>
      </c>
      <c r="J195" s="7">
        <v>1</v>
      </c>
      <c r="K195" s="89" t="str">
        <f>IF(ISEVEN(B195),(B195-1)&amp;"/"&amp;B195,B195&amp;"/"&amp;(B195+1))</f>
        <v>4043/4044</v>
      </c>
      <c r="L195" s="217" t="str">
        <f>VLOOKUP(A195,'Trips&amp;Operators'!$C$1:$G$99911,5,FALSE)</f>
        <v>BARRON PERLA</v>
      </c>
      <c r="M195" s="6">
        <f>I195-F195</f>
        <v>9.2245370324235409E-3</v>
      </c>
      <c r="N195" s="7">
        <f>24*60*SUM($M195:$M195)</f>
        <v>13.283333326689899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-08-23T17:07:13-0600',mode:absolute,to:'2017-08-23T19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5.8628</v>
      </c>
      <c r="Z195" s="197">
        <f>RIGHT(H195,LEN(H195)-4)/10000</f>
        <v>7.2900000000000006E-2</v>
      </c>
      <c r="AA195" s="197">
        <f>ABS(Z195-Y195)</f>
        <v>5.7899000000000003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>VALUE(LEFT(A195,LEN(A195)-3))</f>
        <v>836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/stypes="app*4043*20170824*"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4"/>
        <v>"%USERPROFILE%\Documents\GitHub\eaglep3\Utilities\RefineRTDCRunTimes.py" --tripid 836-23 --locoid 4043 --swversion DE.1.0.9.0 --startMP 300:58628 --initTime 2017-08-23T18:07:13 --startdatetime 2017-08-23T18:11:32 --delay 1 --endMP 204:729 --enddatetime 2017-08-23T18:24:49 --enforcementcount 1 &gt;&gt;C:\Users\stu\Documents\GitHub\eaglep3-reporting\EC\2017-08-23-refined-times.txt</v>
      </c>
      <c r="AI195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{"issue":{"subject":"","project_id":79,"tracker_id":40,"status_id":1,"priority_id":2,"assigned_to_id":23,"start_date":"2017-08-23","description":"","custom_fields":[{"id":1,"name":"Subdivision","value":"NW"},{"id":4,"name":"Milepost","value":"0.0729"},{"id":17,"name":"Train ID","value":"836-23"},{"id":16,"name":"Locomotive ID","value":"4043"},{"id":130,"name":"Impact","value":""},{"id":150,"name":"Time of Event (Mountain Time)","value":"18:24:49"},{"id":151,"name":"Denver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6"/>
        <v>start /low /b %USERPROFILE%\Documents\GitHub\eaglep3\Utilities\DownloadLogsFromS3.py --loco 4043 --day 2017-08-23</v>
      </c>
      <c r="AN195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765</v>
      </c>
      <c r="B196" s="7">
        <v>4066</v>
      </c>
      <c r="C196" s="21" t="s">
        <v>197</v>
      </c>
      <c r="D196" s="21" t="s">
        <v>983</v>
      </c>
      <c r="E196" s="13">
        <v>42970.758171296293</v>
      </c>
      <c r="F196" s="13">
        <v>42970.764803240738</v>
      </c>
      <c r="G196" s="7">
        <v>1</v>
      </c>
      <c r="H196" s="21" t="s">
        <v>977</v>
      </c>
      <c r="I196" s="13">
        <v>42970.775243055556</v>
      </c>
      <c r="J196" s="7">
        <v>1</v>
      </c>
      <c r="K196" s="89" t="str">
        <f>IF(ISEVEN(B196),(B196-1)&amp;"/"&amp;B196,B196&amp;"/"&amp;(B196+1))</f>
        <v>4065/4066</v>
      </c>
      <c r="L196" s="217" t="str">
        <f>VLOOKUP(A196,'Trips&amp;Operators'!$C$1:$G$99911,5,FALSE)</f>
        <v>GUNTHIER ERIC</v>
      </c>
      <c r="M196" s="6">
        <f>I196-F196</f>
        <v>1.0439814817800652E-2</v>
      </c>
      <c r="N196" s="7">
        <f>24*60*SUM($M196:$M196)</f>
        <v>15.033333337632939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-08-23T17:11:46-0600',mode:absolute,to:'2017-08-23T19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9.9299999999999999E-2</v>
      </c>
      <c r="Z196" s="197">
        <f>RIGHT(H196,LEN(H196)-4)/10000</f>
        <v>5.8944000000000001</v>
      </c>
      <c r="AA196" s="197">
        <f>ABS(Z196-Y196)</f>
        <v>5.7950999999999997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>VALUE(LEFT(A196,LEN(A196)-3))</f>
        <v>837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/stypes="app*4066*20170824*" /stext=" 00:.+((SYSTEM_STATE.+slice.+state.+changed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4"/>
        <v>"%USERPROFILE%\Documents\GitHub\eaglep3\Utilities\RefineRTDCRunTimes.py" --tripid 837-23 --locoid 4066 --swversion DE.1.0.9.0 --startMP 204:993 --initTime 2017-08-23T18:11:46 --startdatetime 2017-08-23T18:21:19 --delay 1 --endMP 300:58944 --enddatetime 2017-08-23T18:36:21 --enforcementcount 1 &gt;&gt;C:\Users\stu\Documents\GitHub\eaglep3-reporting\EC\2017-08-23-refined-times.txt</v>
      </c>
      <c r="AI196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{"issue":{"subject":"","project_id":79,"tracker_id":40,"status_id":1,"priority_id":2,"assigned_to_id":23,"start_date":"2017-08-23","description":"","custom_fields":[{"id":1,"name":"Subdivision","value":"NW"},{"id":4,"name":"Milepost","value":"5.8944"},{"id":17,"name":"Train ID","value":"837-23"},{"id":16,"name":"Locomotive ID","value":"4066"},{"id":130,"name":"Impact","value":""},{"id":150,"name":"Time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6"/>
        <v>start /low /b %USERPROFILE%\Documents\GitHub\eaglep3\Utilities\DownloadLogsFromS3.py --loco 4066 --day 2017-08-23</v>
      </c>
      <c r="AN196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771</v>
      </c>
      <c r="B197" s="7">
        <v>4065</v>
      </c>
      <c r="C197" s="21" t="s">
        <v>197</v>
      </c>
      <c r="D197" s="21" t="s">
        <v>469</v>
      </c>
      <c r="E197" s="13">
        <v>42970.776608796295</v>
      </c>
      <c r="F197" s="13">
        <v>42970.777951388889</v>
      </c>
      <c r="G197" s="7">
        <v>1</v>
      </c>
      <c r="H197" s="21" t="s">
        <v>530</v>
      </c>
      <c r="I197" s="13">
        <v>42970.788599537038</v>
      </c>
      <c r="J197" s="7">
        <v>1</v>
      </c>
      <c r="K197" s="89" t="str">
        <f>IF(ISEVEN(B197),(B197-1)&amp;"/"&amp;B197,B197&amp;"/"&amp;(B197+1))</f>
        <v>4065/4066</v>
      </c>
      <c r="L197" s="217" t="str">
        <f>VLOOKUP(A197,'Trips&amp;Operators'!$C$1:$G$99911,5,FALSE)</f>
        <v>GUNTHIER ERIC</v>
      </c>
      <c r="M197" s="6">
        <f>I197-F197</f>
        <v>1.0648148148902692E-2</v>
      </c>
      <c r="N197" s="7">
        <f>24*60*SUM($M197:$M197)</f>
        <v>15.333333334419876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-08-23T17:38:19-0600',mode:absolute,to:'2017-08-23T19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5.8625999999999996</v>
      </c>
      <c r="Z197" s="197">
        <f>RIGHT(H197,LEN(H197)-4)/10000</f>
        <v>6.8400000000000002E-2</v>
      </c>
      <c r="AA197" s="197">
        <f>ABS(Z197-Y197)</f>
        <v>5.7942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>VALUE(LEFT(A197,LEN(A197)-3))</f>
        <v>838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/stypes="app*4065*20170824*" /stext=" 00:.+((SYSTEM_STATE.+slice.+state.+changed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4"/>
        <v>"%USERPROFILE%\Documents\GitHub\eaglep3\Utilities\RefineRTDCRunTimes.py" --tripid 838-23 --locoid 4065 --swversion DE.1.0.9.0 --startMP 300:58626 --initTime 2017-08-23T18:38:19 --startdatetime 2017-08-23T18:40:15 --delay 1 --endMP 204:684 --enddatetime 2017-08-23T18:55:35 --enforcementcount 1 &gt;&gt;C:\Users\stu\Documents\GitHub\eaglep3-reporting\EC\2017-08-23-refined-times.txt</v>
      </c>
      <c r="AI197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{"issue":{"subject":"","project_id":79,"tracker_id":40,"status_id":1,"priority_id":2,"assigned_to_id":23,"start_date":"2017-08-23","description":"","custom_fields":[{"id":1,"name":"Subdivision","value":"NW"},{"id":4,"name":"Milepost","value":"0.0684"},{"id":17,"name":"Train ID","value":"838-23"},{"id":16,"name":"Locomotive ID","value":"4065"},{"id":130,"name":"Impact","value":""},{"id":150,"name":"Time of Event (Mountain Time)","value":"18:55:35"},{"id":151,"name":"Denver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6"/>
        <v>start /low /b %USERPROFILE%\Documents\GitHub\eaglep3\Utilities\DownloadLogsFromS3.py --loco 4065 --day 2017-08-23</v>
      </c>
      <c r="AN197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585</v>
      </c>
      <c r="B198" s="7">
        <v>4044</v>
      </c>
      <c r="C198" s="21" t="s">
        <v>197</v>
      </c>
      <c r="D198" s="21" t="s">
        <v>984</v>
      </c>
      <c r="E198" s="13">
        <v>42970.778414351851</v>
      </c>
      <c r="F198" s="13">
        <v>42970.785763888889</v>
      </c>
      <c r="G198" s="7">
        <v>1</v>
      </c>
      <c r="H198" s="21" t="s">
        <v>985</v>
      </c>
      <c r="I198" s="13">
        <v>42970.795219907406</v>
      </c>
      <c r="J198" s="7">
        <v>1</v>
      </c>
      <c r="K198" s="89" t="str">
        <f>IF(ISEVEN(B198),(B198-1)&amp;"/"&amp;B198,B198&amp;"/"&amp;(B198+1))</f>
        <v>4043/4044</v>
      </c>
      <c r="L198" s="217" t="str">
        <f>VLOOKUP(A198,'Trips&amp;Operators'!$C$1:$G$99911,5,FALSE)</f>
        <v>BARRON PERLA</v>
      </c>
      <c r="M198" s="6">
        <f>I198-F198</f>
        <v>9.4560185170848854E-3</v>
      </c>
      <c r="N198" s="7">
        <f>24*60*SUM($M198:$M198)</f>
        <v>13.616666664602235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-08-23T17:40:55-0600',mode:absolute,to:'2017-08-23T20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0.1021</v>
      </c>
      <c r="Z198" s="197">
        <f>RIGHT(H198,LEN(H198)-4)/10000</f>
        <v>5.8920000000000003</v>
      </c>
      <c r="AA198" s="197">
        <f>ABS(Z198-Y198)</f>
        <v>5.7899000000000003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>VALUE(LEFT(A198,LEN(A198)-3))</f>
        <v>839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/stypes="app*4044*20170824*"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4"/>
        <v>"%USERPROFILE%\Documents\GitHub\eaglep3\Utilities\RefineRTDCRunTimes.py" --tripid 839-23 --locoid 4044 --swversion DE.1.0.9.0 --startMP 204:1021 --initTime 2017-08-23T18:40:55 --startdatetime 2017-08-23T18:51:30 --delay 1 --endMP 300:58920 --enddatetime 2017-08-23T19:05:07 --enforcementcount 1 &gt;&gt;C:\Users\stu\Documents\GitHub\eaglep3-reporting\EC\2017-08-23-refined-times.txt</v>
      </c>
      <c r="AI198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{"issue":{"subject":"","project_id":79,"tracker_id":40,"status_id":1,"priority_id":2,"assigned_to_id":23,"start_date":"2017-08-23","description":"","custom_fields":[{"id":1,"name":"Subdivision","value":"NW"},{"id":4,"name":"Milepost","value":"5.892"},{"id":17,"name":"Train ID","value":"839-23"},{"id":16,"name":"Locomotive ID","value":"4044"},{"id":130,"name":"Impact","value":""},{"id":150,"name":"Time of Event (Mountain Time)","value":"19:05:07"},{"id":151,"name":"Denver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6"/>
        <v>start /low /b %USERPROFILE%\Documents\GitHub\eaglep3\Utilities\DownloadLogsFromS3.py --loco 4044 --day 2017-08-23</v>
      </c>
      <c r="AN198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780</v>
      </c>
      <c r="B199" s="7">
        <v>4065</v>
      </c>
      <c r="C199" s="21" t="s">
        <v>197</v>
      </c>
      <c r="D199" s="21" t="s">
        <v>980</v>
      </c>
      <c r="E199" s="13">
        <v>42970.818368055552</v>
      </c>
      <c r="F199" s="13">
        <v>42970.819826388892</v>
      </c>
      <c r="G199" s="7">
        <v>1</v>
      </c>
      <c r="H199" s="21" t="s">
        <v>430</v>
      </c>
      <c r="I199" s="13">
        <v>42970.83</v>
      </c>
      <c r="J199" s="7">
        <v>1</v>
      </c>
      <c r="K199" s="89" t="str">
        <f>IF(ISEVEN(B199),(B199-1)&amp;"/"&amp;B199,B199&amp;"/"&amp;(B199+1))</f>
        <v>4065/4066</v>
      </c>
      <c r="L199" s="217" t="str">
        <f>VLOOKUP(A199,'Trips&amp;Operators'!$C$1:$G$99911,5,FALSE)</f>
        <v>GUNTHIER ERIC</v>
      </c>
      <c r="M199" s="6">
        <f>I199-F199</f>
        <v>1.0173611110076308E-2</v>
      </c>
      <c r="N199" s="7">
        <f>24*60*SUM($M199:$M199)</f>
        <v>14.649999998509884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-08-23T18:38:27-0600',mode:absolute,to:'2017-08-23T20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5.8619000000000003</v>
      </c>
      <c r="Z199" s="197">
        <f>RIGHT(H199,LEN(H199)-4)/10000</f>
        <v>6.9800000000000001E-2</v>
      </c>
      <c r="AA199" s="197">
        <f>ABS(Z199-Y199)</f>
        <v>5.7921000000000005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>VALUE(LEFT(A199,LEN(A199)-3))</f>
        <v>840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/stypes="app*4065*20170824*" /stext=" 01:.+((SYSTEM_STATE.+slice.+state.+changed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4"/>
        <v>"%USERPROFILE%\Documents\GitHub\eaglep3\Utilities\RefineRTDCRunTimes.py" --tripid 840-23 --locoid 4065 --swversion DE.1.0.9.0 --startMP 300:58619 --initTime 2017-08-23T19:38:27 --startdatetime 2017-08-23T19:40:33 --delay 1 --endMP 204:698 --enddatetime 2017-08-23T19:55:12 --enforcementcount 1 &gt;&gt;C:\Users\stu\Documents\GitHub\eaglep3-reporting\EC\2017-08-23-refined-times.txt</v>
      </c>
      <c r="AI199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{"issue":{"subject":"","project_id":79,"tracker_id":40,"status_id":1,"priority_id":2,"assigned_to_id":23,"start_date":"2017-08-23","description":"","custom_fields":[{"id":1,"name":"Subdivision","value":"NW"},{"id":4,"name":"Milepost","value":"0.0698"},{"id":17,"name":"Train ID","value":"840-23"},{"id":16,"name":"Locomotive ID","value":"4065"},{"id":130,"name":"Impact","value":""},{"id":150,"name":"Time of Event (Mountain Time)","value":"19:55:12"},{"id":151,"name":"Denver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6"/>
        <v>start /low /b %USERPROFILE%\Documents\GitHub\eaglep3\Utilities\DownloadLogsFromS3.py --loco 4065 --day 2017-08-23</v>
      </c>
      <c r="AN199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586</v>
      </c>
      <c r="B200" s="7">
        <v>4066</v>
      </c>
      <c r="C200" s="21" t="s">
        <v>197</v>
      </c>
      <c r="D200" s="21" t="s">
        <v>410</v>
      </c>
      <c r="E200" s="13">
        <v>42970.801261574074</v>
      </c>
      <c r="F200" s="13">
        <v>42970.806620370371</v>
      </c>
      <c r="G200" s="7">
        <v>1</v>
      </c>
      <c r="H200" s="21" t="s">
        <v>977</v>
      </c>
      <c r="I200" s="13">
        <v>42970.817118055558</v>
      </c>
      <c r="J200" s="7">
        <v>1</v>
      </c>
      <c r="K200" s="89" t="str">
        <f>IF(ISEVEN(B200),(B200-1)&amp;"/"&amp;B200,B200&amp;"/"&amp;(B200+1))</f>
        <v>4065/4066</v>
      </c>
      <c r="L200" s="217" t="str">
        <f>VLOOKUP(A200,'Trips&amp;Operators'!$C$1:$G$99911,5,FALSE)</f>
        <v>GUNTHIER ERIC</v>
      </c>
      <c r="M200" s="6">
        <f>I200-F200</f>
        <v>1.0497685187146999E-2</v>
      </c>
      <c r="N200" s="7">
        <f>24*60*SUM($M200:$M200)</f>
        <v>15.116666669491678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-08-23T18:13:49-0600',mode:absolute,to:'2017-08-23T20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9.7199999999999995E-2</v>
      </c>
      <c r="Z200" s="197">
        <f>RIGHT(H200,LEN(H200)-4)/10000</f>
        <v>5.8944000000000001</v>
      </c>
      <c r="AA200" s="197">
        <f>ABS(Z200-Y200)</f>
        <v>5.7972000000000001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>VALUE(LEFT(A200,LEN(A200)-3))</f>
        <v>841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/stypes="app*4066*20170824*" /stext=" 01:.+((SYSTEM_STATE.+slice.+state.+changed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4"/>
        <v>"%USERPROFILE%\Documents\GitHub\eaglep3\Utilities\RefineRTDCRunTimes.py" --tripid 841-23 --locoid 4066 --swversion DE.1.0.9.0 --startMP 204:972 --initTime 2017-08-23T19:13:49 --startdatetime 2017-08-23T19:21:32 --delay 1 --endMP 300:58944 --enddatetime 2017-08-23T19:36:39 --enforcementcount 1 &gt;&gt;C:\Users\stu\Documents\GitHub\eaglep3-reporting\EC\2017-08-23-refined-times.txt</v>
      </c>
      <c r="AI200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{"issue":{"subject":"","project_id":79,"tracker_id":40,"status_id":1,"priority_id":2,"assigned_to_id":23,"start_date":"2017-08-23","description":"","custom_fields":[{"id":1,"name":"Subdivision","value":"NW"},{"id":4,"name":"Milepost","value":"5.8944"},{"id":17,"name":"Train ID","value":"841-23"},{"id":16,"name":"Locomotive ID","value":"4066"},{"id":130,"name":"Impact","value":""},{"id":150,"name":"Time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16"/>
        <v>start /low /b %USERPROFILE%\Documents\GitHub\eaglep3\Utilities\DownloadLogsFromS3.py --loco 4066 --day 2017-08-23</v>
      </c>
      <c r="AN200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786</v>
      </c>
      <c r="B201" s="7">
        <v>4065</v>
      </c>
      <c r="C201" s="21" t="s">
        <v>197</v>
      </c>
      <c r="D201" s="21" t="s">
        <v>986</v>
      </c>
      <c r="E201" s="13">
        <v>42970.861273148148</v>
      </c>
      <c r="F201" s="13">
        <v>42970.86278935185</v>
      </c>
      <c r="G201" s="7">
        <v>1</v>
      </c>
      <c r="H201" s="21" t="s">
        <v>987</v>
      </c>
      <c r="I201" s="13">
        <v>42970.872314814813</v>
      </c>
      <c r="J201" s="7">
        <v>1</v>
      </c>
      <c r="K201" s="89" t="str">
        <f>IF(ISEVEN(B201),(B201-1)&amp;"/"&amp;B201,B201&amp;"/"&amp;(B201+1))</f>
        <v>4065/4066</v>
      </c>
      <c r="L201" s="217" t="str">
        <f>VLOOKUP(A201,'Trips&amp;Operators'!$C$1:$G$99911,5,FALSE)</f>
        <v>GUNTHIER ERIC</v>
      </c>
      <c r="M201" s="6">
        <f>I201-F201</f>
        <v>9.5254629632108845E-3</v>
      </c>
      <c r="N201" s="7">
        <f>24*60*SUM($M201:$M201)</f>
        <v>13.716666667023674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-08-23T19:40:14-0600',mode:absolute,to:'2017-08-23T21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5.8634000000000004</v>
      </c>
      <c r="Z201" s="197">
        <f>RIGHT(H201,LEN(H201)-4)/10000</f>
        <v>6.9400000000000003E-2</v>
      </c>
      <c r="AA201" s="197">
        <f>ABS(Z201-Y201)</f>
        <v>5.7940000000000005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>VALUE(LEFT(A201,LEN(A201)-3))</f>
        <v>842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/stypes="app*4065*20170824*" /stext=" 02:.+((SYSTEM_STATE.+slice.+state.+changed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4"/>
        <v>"%USERPROFILE%\Documents\GitHub\eaglep3\Utilities\RefineRTDCRunTimes.py" --tripid 842-23 --locoid 4065 --swversion DE.1.0.9.0 --startMP 300:58634 --initTime 2017-08-23T20:40:14 --startdatetime 2017-08-23T20:42:25 --delay 1 --endMP 204:694 --enddatetime 2017-08-23T20:56:08 --enforcementcount 1 &gt;&gt;C:\Users\stu\Documents\GitHub\eaglep3-reporting\EC\2017-08-23-refined-times.txt</v>
      </c>
      <c r="AI201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{"issue":{"subject":"","project_id":79,"tracker_id":40,"status_id":1,"priority_id":2,"assigned_to_id":23,"start_date":"2017-08-23","description":"","custom_fields":[{"id":1,"name":"Subdivision","value":"NW"},{"id":4,"name":"Milepost","value":"0.0694"},{"id":17,"name":"Train ID","value":"842-23"},{"id":16,"name":"Locomotive ID","value":"4065"},{"id":130,"name":"Impact","value":""},{"id":150,"name":"Time of Event (Mountain Time)","value":"20:56:08"},{"id":151,"name":"Denver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6"/>
        <v>start /low /b %USERPROFILE%\Documents\GitHub\eaglep3\Utilities\DownloadLogsFromS3.py --loco 4065 --day 2017-08-23</v>
      </c>
      <c r="AN201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02:56:08"},{"id":29,"name":"Sharepoint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783</v>
      </c>
      <c r="B202" s="7">
        <v>4066</v>
      </c>
      <c r="C202" s="21" t="s">
        <v>197</v>
      </c>
      <c r="D202" s="21" t="s">
        <v>474</v>
      </c>
      <c r="E202" s="13">
        <v>42970.841273148151</v>
      </c>
      <c r="F202" s="13">
        <v>42970.848136574074</v>
      </c>
      <c r="G202" s="7">
        <v>1</v>
      </c>
      <c r="H202" s="21" t="s">
        <v>539</v>
      </c>
      <c r="I202" s="13">
        <v>42970.858460648145</v>
      </c>
      <c r="J202" s="7">
        <v>1</v>
      </c>
      <c r="K202" s="89" t="str">
        <f>IF(ISEVEN(B202),(B202-1)&amp;"/"&amp;B202,B202&amp;"/"&amp;(B202+1))</f>
        <v>4065/4066</v>
      </c>
      <c r="L202" s="217" t="str">
        <f>VLOOKUP(A202,'Trips&amp;Operators'!$C$1:$G$99911,5,FALSE)</f>
        <v>GUNTHIER ERIC</v>
      </c>
      <c r="M202" s="6">
        <f>I202-F202</f>
        <v>1.0324074071832001E-2</v>
      </c>
      <c r="N202" s="7">
        <f>24*60*SUM($M202:$M202)</f>
        <v>14.866666663438082</v>
      </c>
      <c r="O202" s="7"/>
      <c r="P202" s="7"/>
      <c r="Q202" s="22"/>
      <c r="R202" s="170"/>
      <c r="S202" s="213">
        <f>1/IF(AG202="EC",12,1)*SUM(U202:U202)</f>
        <v>1</v>
      </c>
      <c r="T202" s="195" t="str">
        <f>IF(ISEVEN(LEFT(AD202,4)),"Southbound","NorthBound")</f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-08-23T19:11:26-0600',mode:absolute,to:'2017-08-23T21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9.8100000000000007E-2</v>
      </c>
      <c r="Z202" s="197">
        <f>RIGHT(H202,LEN(H202)-4)/10000</f>
        <v>5.8954000000000004</v>
      </c>
      <c r="AA202" s="197">
        <f>ABS(Z202-Y202)</f>
        <v>5.7973000000000008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>VALUE(LEFT(A202,LEN(A202)-3))</f>
        <v>843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/stypes="app*4066*20170824*" /stext=" 02:.+((SYSTEM_STATE.+slice.+state.+changed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4"/>
        <v>"%USERPROFILE%\Documents\GitHub\eaglep3\Utilities\RefineRTDCRunTimes.py" --tripid 843-23 --locoid 4066 --swversion DE.1.0.9.0 --startMP 204:981 --initTime 2017-08-23T20:11:26 --startdatetime 2017-08-23T20:21:19 --delay 1 --endMP 300:58954 --enddatetime 2017-08-23T20:36:11 --enforcementcount 1 &gt;&gt;C:\Users\stu\Documents\GitHub\eaglep3-reporting\EC\2017-08-23-refined-times.txt</v>
      </c>
      <c r="AI202" s="96" t="str">
        <f t="shared" si="15"/>
        <v>echo {"issue":{"subject":"","project_id":79,"tracker_id":40,"status_id":1,"priority_id":2,"assigned_to_id":23,"start_date":"2017-08-23","description":"","custom_fields":[{"id":1,"name":"Subdivision","value":"NW"},{"id":4,"name":"Milepost","value":"5.8954"},{"id":17,"name":"Train ID","value":"843-23"},{"id":16,"name":"Locomotive ID","value":"4066"},{"id":130,"name":"Impact","value":""},{"id":150,"name":"Time of Event (Mountain Time)","value":"20:36:11"},{"id":151,"name":"Denver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6"/>
        <v>start /low /b %USERPROFILE%\Documents\GitHub\eaglep3\Utilities\DownloadLogsFromS3.py --loco 4066 --day 2017-08-23</v>
      </c>
      <c r="AN202" s="151" t="str">
        <f t="shared" si="1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591</v>
      </c>
      <c r="B203" s="7">
        <v>4065</v>
      </c>
      <c r="C203" s="21" t="s">
        <v>197</v>
      </c>
      <c r="D203" s="21" t="s">
        <v>988</v>
      </c>
      <c r="E203" s="13">
        <v>42970.900729166664</v>
      </c>
      <c r="F203" s="13">
        <v>42970.903854166667</v>
      </c>
      <c r="G203" s="7">
        <v>2</v>
      </c>
      <c r="H203" s="21" t="s">
        <v>989</v>
      </c>
      <c r="I203" s="13">
        <v>42970.912662037037</v>
      </c>
      <c r="J203" s="7">
        <v>1</v>
      </c>
      <c r="K203" s="89" t="str">
        <f>IF(ISEVEN(B203),(B203-1)&amp;"/"&amp;B203,B203&amp;"/"&amp;(B203+1))</f>
        <v>4065/4066</v>
      </c>
      <c r="L203" s="217" t="str">
        <f>VLOOKUP(A203,'Trips&amp;Operators'!$C$1:$G$99911,5,FALSE)</f>
        <v>BARRON PERLA</v>
      </c>
      <c r="M203" s="6">
        <f>I203-F203</f>
        <v>8.8078703702194616E-3</v>
      </c>
      <c r="N203" s="7">
        <f>24*60*SUM($M203:$M203)</f>
        <v>12.683333333116025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-08-23T20:37:03-0600',mode:absolute,to:'2017-08-23T22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1</v>
      </c>
      <c r="Y203" s="197">
        <f>RIGHT(D203,LEN(D203)-4)/10000</f>
        <v>5.8696000000000002</v>
      </c>
      <c r="Z203" s="197">
        <f>RIGHT(H203,LEN(H203)-4)/10000</f>
        <v>6.5600000000000006E-2</v>
      </c>
      <c r="AA203" s="197">
        <f>ABS(Z203-Y203)</f>
        <v>5.8040000000000003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>VALUE(LEFT(A203,LEN(A203)-3))</f>
        <v>844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/stypes="app*4065*20170824*" /stext=" 03:.+((SYSTEM_STATE.+slice.+state.+changed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ref="AH203:AH255" si="18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844-23 --locoid 4065 --swversion DE.1.0.9.0 --startMP 300:58696 --initTime 2017-08-23T21:37:03 --startdatetime 2017-08-23T21:41:33 --delay 2 --endMP 204:656 --enddatetime 2017-08-23T21:54:14 --enforcementcount 1 &gt;&gt;C:\Users\stu\Documents\GitHub\eaglep3-reporting\EC\2017-08-23-refined-times.txt</v>
      </c>
      <c r="AI203" s="96" t="str">
        <f t="shared" ref="AI203:AI255" si="19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{"issue":{"subject":"","project_id":79,"tracker_id":40,"status_id":1,"priority_id":2,"assigned_to_id":23,"start_date":"2017-08-23","description":"","custom_fields":[{"id":1,"name":"Subdivision","value":"NW"},{"id":4,"name":"Milepost","value":"0.0656"},{"id":17,"name":"Train ID","value":"844-23"},{"id":16,"name":"Locomotive ID","value":"4065"},{"id":130,"name":"Impact","value":""},{"id":150,"name":"Time of Event (Mountain Time)","value":"21:54:14"},{"id":151,"name":"Denver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ref="AM203:AM255" si="20">"start /low /b "&amp;dls3logs&amp;" --loco "&amp;B203&amp;" --day "&amp;TEXT(F203,"YYYY-MM-DD")</f>
        <v>start /low /b %USERPROFILE%\Documents\GitHub\eaglep3\Utilities\DownloadLogsFromS3.py --loco 4065 --day 2017-08-23</v>
      </c>
      <c r="AN203" s="151" t="str">
        <f t="shared" ref="AN203:AN255" si="21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03:54:14"},{"id":29,"name":"Sharepoint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590</v>
      </c>
      <c r="B204" s="7">
        <v>4066</v>
      </c>
      <c r="C204" s="21" t="s">
        <v>197</v>
      </c>
      <c r="D204" s="21" t="s">
        <v>410</v>
      </c>
      <c r="E204" s="13">
        <v>42970.884733796294</v>
      </c>
      <c r="F204" s="13">
        <v>42970.890127314815</v>
      </c>
      <c r="G204" s="7">
        <v>2</v>
      </c>
      <c r="H204" s="21" t="s">
        <v>990</v>
      </c>
      <c r="I204" s="13">
        <v>42970.899444444447</v>
      </c>
      <c r="J204" s="7">
        <v>1</v>
      </c>
      <c r="K204" s="89" t="str">
        <f>IF(ISEVEN(B204),(B204-1)&amp;"/"&amp;B204,B204&amp;"/"&amp;(B204+1))</f>
        <v>4065/4066</v>
      </c>
      <c r="L204" s="217" t="str">
        <f>VLOOKUP(A204,'Trips&amp;Operators'!$C$1:$G$99911,5,FALSE)</f>
        <v>BARRON PERLA</v>
      </c>
      <c r="M204" s="6">
        <f>I204-F204</f>
        <v>9.3171296321088448E-3</v>
      </c>
      <c r="N204" s="7">
        <f>24*60*SUM($M204:$M204)</f>
        <v>13.416666670236737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-08-23T20:14:01-0600',mode:absolute,to:'2017-08-23T22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4" s="197" t="str">
        <f>IF(AA204&lt;VLOOKUP(AG204,Variables!$AC$3:$AD$8,2,FALSE),"Y","N")</f>
        <v>N</v>
      </c>
      <c r="X204" s="197">
        <f>VALUE(LEFT(AD204,4))-VALUE(LEFT(AD203,4))</f>
        <v>1</v>
      </c>
      <c r="Y204" s="197">
        <f>RIGHT(D204,LEN(D204)-4)/10000</f>
        <v>9.7199999999999995E-2</v>
      </c>
      <c r="Z204" s="197">
        <f>RIGHT(H204,LEN(H204)-4)/10000</f>
        <v>5.9017999999999997</v>
      </c>
      <c r="AA204" s="197">
        <f>ABS(Z204-Y204)</f>
        <v>5.8045999999999998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>VALUE(LEFT(A204,LEN(A204)-3))</f>
        <v>845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/stypes="app*4066*20170824*" /stext=" 03:.+((SYSTEM_STATE.+slice.+state.+changed )|(ment ac)|(multiple cpu faults)|(system.+state.+changed )|(\[timeout)|(PRM\|1\|D)|(kpr)|(kdp)|(train st.+moving)|(\|lc)|(penalty))"</v>
      </c>
      <c r="AG204" s="209" t="str">
        <f>DetSubdiv(A204)</f>
        <v>NW</v>
      </c>
      <c r="AH204" s="78" t="str">
        <f t="shared" si="18"/>
        <v>"%USERPROFILE%\Documents\GitHub\eaglep3\Utilities\RefineRTDCRunTimes.py" --tripid 845-23 --locoid 4066 --swversion DE.1.0.9.0 --startMP 204:972 --initTime 2017-08-23T21:14:01 --startdatetime 2017-08-23T21:21:47 --delay 2 --endMP 300:59018 --enddatetime 2017-08-23T21:35:12 --enforcementcount 1 &gt;&gt;C:\Users\stu\Documents\GitHub\eaglep3-reporting\EC\2017-08-23-refined-times.txt</v>
      </c>
      <c r="AI204" s="96" t="str">
        <f t="shared" si="19"/>
        <v>echo {"issue":{"subject":"","project_id":79,"tracker_id":40,"status_id":1,"priority_id":2,"assigned_to_id":23,"start_date":"2017-08-23","description":"","custom_fields":[{"id":1,"name":"Subdivision","value":"NW"},{"id":4,"name":"Milepost","value":"5.9018"},{"id":17,"name":"Train ID","value":"845-23"},{"id":16,"name":"Locomotive ID","value":"4066"},{"id":130,"name":"Impact","value":""},{"id":150,"name":"Time of Event (Mountain Time)","value":"21:35:12"},{"id":151,"name":"Denver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20"/>
        <v>start /low /b %USERPROFILE%\Documents\GitHub\eaglep3\Utilities\DownloadLogsFromS3.py --loco 4066 --day 2017-08-23</v>
      </c>
      <c r="AN204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791</v>
      </c>
      <c r="B205" s="7">
        <v>4066</v>
      </c>
      <c r="C205" s="21" t="s">
        <v>197</v>
      </c>
      <c r="D205" s="21" t="s">
        <v>991</v>
      </c>
      <c r="E205" s="13">
        <v>42970.922731481478</v>
      </c>
      <c r="F205" s="13">
        <v>42970.93178240741</v>
      </c>
      <c r="G205" s="7">
        <v>2</v>
      </c>
      <c r="H205" s="21" t="s">
        <v>956</v>
      </c>
      <c r="I205" s="13">
        <v>42970.940775462965</v>
      </c>
      <c r="J205" s="7">
        <v>1</v>
      </c>
      <c r="K205" s="89" t="str">
        <f>IF(ISEVEN(B205),(B205-1)&amp;"/"&amp;B205,B205&amp;"/"&amp;(B205+1))</f>
        <v>4065/4066</v>
      </c>
      <c r="L205" s="217" t="str">
        <f>VLOOKUP(A205,'Trips&amp;Operators'!$C$1:$G$99911,5,FALSE)</f>
        <v>BARRON PERLA</v>
      </c>
      <c r="M205" s="6">
        <f>I205-F205</f>
        <v>8.9930555550381541E-3</v>
      </c>
      <c r="N205" s="7">
        <f>24*60*SUM($M205:$M205)</f>
        <v>12.949999999254942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-23T21:08:44-0600',mode:absolute,to:'2017-08-23T23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5" s="197" t="str">
        <f>IF(AA205&lt;VLOOKUP(AG205,Variables!$AC$3:$AD$8,2,FALSE),"Y","N")</f>
        <v>N</v>
      </c>
      <c r="X205" s="197">
        <f>VALUE(LEFT(AD205,4))-VALUE(LEFT(AD204,4))</f>
        <v>2</v>
      </c>
      <c r="Y205" s="197">
        <f>RIGHT(D205,LEN(D205)-4)/10000</f>
        <v>9.4399999999999998E-2</v>
      </c>
      <c r="Z205" s="197">
        <f>RIGHT(H205,LEN(H205)-4)/10000</f>
        <v>5.8975</v>
      </c>
      <c r="AA205" s="197">
        <f>ABS(Z205-Y205)</f>
        <v>5.8030999999999997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>VALUE(LEFT(A205,LEN(A205)-3))</f>
        <v>847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/stypes="app*4066*20170824*" /stext=" 04:.+((SYSTEM_STATE.+slice.+state.+changed )|(ment ac)|(multiple cpu faults)|(system.+state.+changed )|(\[timeout)|(PRM\|1\|D)|(kpr)|(kdp)|(train st.+moving)|(\|lc)|(penalty))"</v>
      </c>
      <c r="AG205" s="209" t="str">
        <f>DetSubdiv(A205)</f>
        <v>NW</v>
      </c>
      <c r="AH205" s="78" t="str">
        <f t="shared" si="18"/>
        <v>"%USERPROFILE%\Documents\GitHub\eaglep3\Utilities\RefineRTDCRunTimes.py" --tripid 847-23 --locoid 4066 --swversion DE.1.0.9.0 --startMP 204:944 --initTime 2017-08-23T22:08:44 --startdatetime 2017-08-23T22:21:46 --delay 2 --endMP 300:58975 --enddatetime 2017-08-23T22:34:43 --enforcementcount 1 &gt;&gt;C:\Users\stu\Documents\GitHub\eaglep3-reporting\EC\2017-08-23-refined-times.txt</v>
      </c>
      <c r="AI205" s="96" t="str">
        <f t="shared" si="19"/>
        <v>echo {"issue":{"subject":"","project_id":79,"tracker_id":40,"status_id":1,"priority_id":2,"assigned_to_id":23,"start_date":"2017-08-23","description":"","custom_fields":[{"id":1,"name":"Subdivision","value":"NW"},{"id":4,"name":"Milepost","value":"5.8975"},{"id":17,"name":"Train ID","value":"847-23"},{"id":16,"name":"Locomotive ID","value":"4066"},{"id":130,"name":"Impact","value":""},{"id":150,"name":"Time of Event (Mountain Time)","value":"22:34:43"},{"id":151,"name":"Denver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20"/>
        <v>start /low /b %USERPROFILE%\Documents\GitHub\eaglep3\Utilities\DownloadLogsFromS3.py --loco 4066 --day 2017-08-23</v>
      </c>
      <c r="AN205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592</v>
      </c>
      <c r="B206" s="7">
        <v>4043</v>
      </c>
      <c r="C206" s="21" t="s">
        <v>197</v>
      </c>
      <c r="D206" s="21" t="s">
        <v>893</v>
      </c>
      <c r="E206" s="13">
        <v>42970.11791666667</v>
      </c>
      <c r="F206" s="13">
        <v>42970.121087962965</v>
      </c>
      <c r="G206" s="7">
        <v>4</v>
      </c>
      <c r="H206" s="21" t="s">
        <v>369</v>
      </c>
      <c r="I206" s="13">
        <v>42970.126898148148</v>
      </c>
      <c r="J206" s="7">
        <v>1</v>
      </c>
      <c r="K206" s="89" t="str">
        <f>IF(ISEVEN(B206),(B206-1)&amp;"/"&amp;B206,B206&amp;"/"&amp;(B206+1))</f>
        <v>4043/4044</v>
      </c>
      <c r="L206" s="217" t="str">
        <f>VLOOKUP(A206,'Trips&amp;Operators'!$C$1:$G$99911,5,FALSE)</f>
        <v>BONDS REYNALDO</v>
      </c>
      <c r="M206" s="6">
        <f>I206-F206</f>
        <v>5.8101851827814244E-3</v>
      </c>
      <c r="N206" s="7">
        <f>24*60*SUM($M206:$M206)</f>
        <v>8.3666666632052511</v>
      </c>
      <c r="O206" s="7"/>
      <c r="P206" s="7"/>
      <c r="Q206" s="22"/>
      <c r="R206" s="170"/>
      <c r="S206" s="213">
        <f>1/IF(AG206="EC",12,1)*SUM(U206:U206)</f>
        <v>1</v>
      </c>
      <c r="T206" s="195" t="str">
        <f>IF(ISEVEN(LEFT(AD206,4)),"Southbound","NorthBound")</f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-08-23T01:49:48-0600',mode:absolute,to:'2017-08-23T04:02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-547</v>
      </c>
      <c r="Y206" s="197">
        <f>RIGHT(D206,LEN(D206)-4)/10000</f>
        <v>2.3736999999999999</v>
      </c>
      <c r="Z206" s="197">
        <f>RIGHT(H206,LEN(H206)-4)/10000</f>
        <v>1.52E-2</v>
      </c>
      <c r="AA206" s="197">
        <f>ABS(Z206-Y206)</f>
        <v>2.3584999999999998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>VALUE(LEFT(A206,LEN(A206)-3))</f>
        <v>300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/stypes="app*4043*20170823*" /stext=" 09:.+((SYSTEM_STATE.+slice.+state.+changed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si="18"/>
        <v>"%USERPROFILE%\Documents\GitHub\eaglep3\Utilities\RefineRTDCRunTimes.py" --tripid 300-23 --locoid 4043 --swversion DE.1.0.9.0 --startMP 300:23737 --initTime 2017-08-23T02:49:48 --startdatetime 2017-08-23T02:54:22 --delay 4 --endMP 204:152 --enddatetime 2017-08-23T03:02:44 --enforcementcount 1 &gt;&gt;C:\Users\stu\Documents\GitHub\eaglep3-reporting\EC\2017-08-23-refined-times.txt</v>
      </c>
      <c r="AI206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{"issue":{"subject":"","project_id":79,"tracker_id":40,"status_id":1,"priority_id":2,"assigned_to_id":23,"start_date":"2017-08-23","description":"","custom_fields":[{"id":1,"name":"Subdivision","value":"Other"},{"id":4,"name":"Milepost","value":"0.0152"},{"id":17,"name":"Train ID","value":"300-23"},{"id":16,"name":"Locomotive ID","value":"4043"},{"id":130,"name":"Impact","value":""},{"id":150,"name":"Time of Event (Mountain Time)","value":"03:02:44"},{"id":151,"name":"Denver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0"/>
        <v>start /low /b %USERPROFILE%\Documents\GitHub\eaglep3\Utilities\DownloadLogsFromS3.py --loco 4043 --day 2017-08-23</v>
      </c>
      <c r="AN206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09:02:44"},{"id":29,"name":"Sharepoint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770</v>
      </c>
      <c r="B207" s="7">
        <v>4050</v>
      </c>
      <c r="C207" s="21" t="s">
        <v>197</v>
      </c>
      <c r="D207" s="21" t="s">
        <v>344</v>
      </c>
      <c r="E207" s="13">
        <v>42970.775625000002</v>
      </c>
      <c r="F207" s="13">
        <v>42970.777395833335</v>
      </c>
      <c r="G207" s="7">
        <v>1</v>
      </c>
      <c r="H207" s="21" t="s">
        <v>408</v>
      </c>
      <c r="I207" s="13">
        <v>42970.783692129633</v>
      </c>
      <c r="J207" s="7">
        <v>1</v>
      </c>
      <c r="K207" s="89" t="str">
        <f>IF(ISEVEN(B207),(B207-1)&amp;"/"&amp;B207,B207&amp;"/"&amp;(B207+1))</f>
        <v>4049/4050</v>
      </c>
      <c r="L207" s="217" t="str">
        <f>VLOOKUP(A207,'Trips&amp;Operators'!$C$1:$G$99911,5,FALSE)</f>
        <v>BRUDER RICHARD</v>
      </c>
      <c r="M207" s="6">
        <f>I207-F207</f>
        <v>6.2962962983874604E-3</v>
      </c>
      <c r="N207" s="7">
        <f>24*60*SUM($M207:$M207)</f>
        <v>9.066666669677943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-08-23T17:36:54-0600',mode:absolute,to:'2017-08-23T19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4.4699999999999997E-2</v>
      </c>
      <c r="Z207" s="197">
        <f>RIGHT(H207,LEN(H207)-4)/10000</f>
        <v>2.3308</v>
      </c>
      <c r="AA207" s="197">
        <f>ABS(Z207-Y207)</f>
        <v>2.2860999999999998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>VALUE(LEFT(A207,LEN(A207)-3))</f>
        <v>301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/stypes="app*4050*20170824*" /stext=" 00:.+((SYSTEM_STATE.+slice.+state.+changed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si="18"/>
        <v>"%USERPROFILE%\Documents\GitHub\eaglep3\Utilities\RefineRTDCRunTimes.py" --tripid 301-23 --locoid 4050 --swversion DE.1.0.9.0 --startMP 204:447 --initTime 2017-08-23T18:36:54 --startdatetime 2017-08-23T18:39:27 --delay 1 --endMP 300:23308 --enddatetime 2017-08-23T18:48:31 --enforcementcount 1 &gt;&gt;C:\Users\stu\Documents\GitHub\eaglep3-reporting\EC\2017-08-23-refined-times.txt</v>
      </c>
      <c r="AI207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{"issue":{"subject":"","project_id":79,"tracker_id":40,"status_id":1,"priority_id":2,"assigned_to_id":23,"start_date":"2017-08-23","description":"","custom_fields":[{"id":1,"name":"Subdivision","value":"Other"},{"id":4,"name":"Milepost","value":"2.3308"},{"id":17,"name":"Train ID","value":"301-23"},{"id":16,"name":"Locomotive ID","value":"4050"},{"id":130,"name":"Impact","value":""},{"id":150,"name":"Time of Event (Mountain Time)","value":"18:48:31"},{"id":151,"name":"Denver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20"/>
        <v>start /low /b %USERPROFILE%\Documents\GitHub\eaglep3\Utilities\DownloadLogsFromS3.py --loco 4050 --day 2017-08-23</v>
      </c>
      <c r="AN207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594</v>
      </c>
      <c r="B208" s="7">
        <v>4039</v>
      </c>
      <c r="C208" s="21" t="s">
        <v>197</v>
      </c>
      <c r="D208" s="21" t="s">
        <v>894</v>
      </c>
      <c r="E208" s="13">
        <v>42970.137106481481</v>
      </c>
      <c r="F208" s="13">
        <v>42970.142418981479</v>
      </c>
      <c r="G208" s="7">
        <v>7</v>
      </c>
      <c r="H208" s="21" t="s">
        <v>895</v>
      </c>
      <c r="I208" s="13">
        <v>42970.147418981483</v>
      </c>
      <c r="J208" s="7">
        <v>1</v>
      </c>
      <c r="K208" s="89" t="str">
        <f>IF(ISEVEN(B208),(B208-1)&amp;"/"&amp;B208,B208&amp;"/"&amp;(B208+1))</f>
        <v>4039/4040</v>
      </c>
      <c r="L208" s="217" t="str">
        <f>VLOOKUP(A208,'Trips&amp;Operators'!$C$1:$G$99911,5,FALSE)</f>
        <v>MAELZER KURT</v>
      </c>
      <c r="M208" s="6">
        <f>I208-F208</f>
        <v>5.0000000046566129E-3</v>
      </c>
      <c r="N208" s="7">
        <f>24*60*SUM($M208:$M208)</f>
        <v>7.2000000067055225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-08-23T02:17:26-0600',mode:absolute,to:'2017-08-23T04:32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1</v>
      </c>
      <c r="Y208" s="197">
        <f>RIGHT(D208,LEN(D208)-4)/10000</f>
        <v>2.0133000000000001</v>
      </c>
      <c r="Z208" s="197">
        <f>RIGHT(H208,LEN(H208)-4)/10000</f>
        <v>1.83E-2</v>
      </c>
      <c r="AA208" s="197">
        <f>ABS(Z208-Y208)</f>
        <v>1.9950000000000001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>VALUE(LEFT(A208,LEN(A208)-3))</f>
        <v>302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/stypes="app*4039*20170823*" /stext=" 09:.+((SYSTEM_STATE.+slice.+state.+changed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18"/>
        <v>"%USERPROFILE%\Documents\GitHub\eaglep3\Utilities\RefineRTDCRunTimes.py" --tripid 302-23 --locoid 4039 --swversion DE.1.0.9.0 --startMP 300:20133 --initTime 2017-08-23T03:17:26 --startdatetime 2017-08-23T03:25:05 --delay 7 --endMP 204:183 --enddatetime 2017-08-23T03:32:17 --enforcementcount 1 &gt;&gt;C:\Users\stu\Documents\GitHub\eaglep3-reporting\EC\2017-08-23-refined-times.txt</v>
      </c>
      <c r="AI208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{"issue":{"subject":"","project_id":79,"tracker_id":40,"status_id":1,"priority_id":2,"assigned_to_id":23,"start_date":"2017-08-23","description":"","custom_fields":[{"id":1,"name":"Subdivision","value":"Other"},{"id":4,"name":"Milepost","value":"0.0183"},{"id":17,"name":"Train ID","value":"302-23"},{"id":16,"name":"Locomotive ID","value":"4039"},{"id":130,"name":"Impact","value":""},{"id":150,"name":"Time of Event (Mountain Time)","value":"03:32:17"},{"id":151,"name":"Denver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20"/>
        <v>start /low /b %USERPROFILE%\Documents\GitHub\eaglep3\Utilities\DownloadLogsFromS3.py --loco 4039 --day 2017-08-23</v>
      </c>
      <c r="AN208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09:32:17"},{"id":29,"name":"Sharepoint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777</v>
      </c>
      <c r="B209" s="7">
        <v>4002</v>
      </c>
      <c r="C209" s="21" t="s">
        <v>197</v>
      </c>
      <c r="D209" s="21" t="s">
        <v>380</v>
      </c>
      <c r="E209" s="13">
        <v>42970.797951388886</v>
      </c>
      <c r="F209" s="13">
        <v>42970.806921296295</v>
      </c>
      <c r="G209" s="7">
        <v>1</v>
      </c>
      <c r="H209" s="21" t="s">
        <v>342</v>
      </c>
      <c r="I209" s="13">
        <v>42970.813356481478</v>
      </c>
      <c r="J209" s="7">
        <v>1</v>
      </c>
      <c r="K209" s="89" t="str">
        <f>IF(ISEVEN(B209),(B209-1)&amp;"/"&amp;B209,B209&amp;"/"&amp;(B209+1))</f>
        <v>4001/4002</v>
      </c>
      <c r="L209" s="217" t="str">
        <f>VLOOKUP(A209,'Trips&amp;Operators'!$C$1:$G$99911,5,FALSE)</f>
        <v>LOPES KIMBERLY</v>
      </c>
      <c r="M209" s="6">
        <f>I209-F209</f>
        <v>6.435185183363501E-3</v>
      </c>
      <c r="N209" s="7">
        <f>24*60*SUM($M209:$M209)</f>
        <v>9.2666666640434414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-08-23T18:09:03-0600',mode:absolute,to:'2017-08-23T20:31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4.4200000000000003E-2</v>
      </c>
      <c r="Z209" s="197">
        <f>RIGHT(H209,LEN(H209)-4)/10000</f>
        <v>2.3346</v>
      </c>
      <c r="AA209" s="197">
        <f>ABS(Z209-Y209)</f>
        <v>2.2904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>VALUE(LEFT(A209,LEN(A209)-3))</f>
        <v>303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s3://rtdc.mdm.uploadarchive.raw/RTDC4002/ "%USERPROFILE%\AppData\Local\Temp\OnboardLogs"\RTDC4002\2017-08-23 --exclude "*" --recursive --include "*20170823*" &amp; "%USERPROFILE%\Documents\GitHub\mrs-test-scripts\Headless Mode &amp; Sideloading\WalkAndUnGZ.bat" "%USERPROFILE%\AppData\Local\Temp\OnboardLogs"\RTDC4002\2017-08-23 &amp; aws s3 cp s3://rtdc.mdm.uploadarchive.raw/RTDC4002/ "%USERPROFILE%\AppData\Local\Temp\OnboardLogs"\RTDC4002\2017-08-24 --exclude "*" --recursive --include "*20170824*" &amp; "%USERPROFILE%\Documents\GitHub\mrs-test-scripts\Headless Mode &amp; Sideloading\WalkAndUnGZ.bat" "%USERPROFILE%\AppData\Local\Temp\OnboardLogs"\RTDC4002\2017-08-24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/stypes="app*4002*20170824*" /stext=" 01:.+((SYSTEM_STATE.+slice.+state.+changed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18"/>
        <v>"%USERPROFILE%\Documents\GitHub\eaglep3\Utilities\RefineRTDCRunTimes.py" --tripid 303-23 --locoid 4002 --swversion DE.1.0.9.0 --startMP 204:442 --initTime 2017-08-23T19:09:03 --startdatetime 2017-08-23T19:21:58 --delay 1 --endMP 300:23346 --enddatetime 2017-08-23T19:31:14 --enforcementcount 1 &gt;&gt;C:\Users\stu\Documents\GitHub\eaglep3-reporting\EC\2017-08-23-refined-times.txt</v>
      </c>
      <c r="AI209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{"issue":{"subject":"","project_id":79,"tracker_id":40,"status_id":1,"priority_id":2,"assigned_to_id":23,"start_date":"2017-08-23","description":"","custom_fields":[{"id":1,"name":"Subdivision","value":"Other"},{"id":4,"name":"Milepost","value":"2.3346"},{"id":17,"name":"Train ID","value":"303-23"},{"id":16,"name":"Locomotive ID","value":"4002"},{"id":130,"name":"Impact","value":""},{"id":150,"name":"Time of Event (Mountain Time)","value":"19:31:14"},{"id":151,"name":"Denver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20"/>
        <v>start /low /b %USERPROFILE%\Documents\GitHub\eaglep3\Utilities\DownloadLogsFromS3.py --loco 4002 --day 2017-08-23</v>
      </c>
      <c r="AN209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01:31:14"},{"id":29,"name":"Sharepoint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597</v>
      </c>
      <c r="B210" s="7">
        <v>4027</v>
      </c>
      <c r="C210" s="21" t="s">
        <v>197</v>
      </c>
      <c r="D210" s="21" t="s">
        <v>896</v>
      </c>
      <c r="E210" s="13">
        <v>42970.159224537034</v>
      </c>
      <c r="F210" s="13">
        <v>42970.164594907408</v>
      </c>
      <c r="G210" s="7">
        <v>7</v>
      </c>
      <c r="H210" s="21" t="s">
        <v>338</v>
      </c>
      <c r="I210" s="13">
        <v>42970.170428240737</v>
      </c>
      <c r="J210" s="7">
        <v>1</v>
      </c>
      <c r="K210" s="89" t="str">
        <f>IF(ISEVEN(B210),(B210-1)&amp;"/"&amp;B210,B210&amp;"/"&amp;(B210+1))</f>
        <v>4027/4028</v>
      </c>
      <c r="L210" s="217" t="str">
        <f>VLOOKUP(A210,'Trips&amp;Operators'!$C$1:$G$99911,5,FALSE)</f>
        <v>STARKS ANGELINA</v>
      </c>
      <c r="M210" s="6">
        <f>I210-F210</f>
        <v>5.8333333290647715E-3</v>
      </c>
      <c r="N210" s="7">
        <f>24*60*SUM($M210:$M210)</f>
        <v>8.399999993853271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-08-23T02:49:17-0600',mode:absolute,to:'2017-08-23T05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2.0322</v>
      </c>
      <c r="Z210" s="197">
        <f>RIGHT(H210,LEN(H210)-4)/10000</f>
        <v>1.4999999999999999E-2</v>
      </c>
      <c r="AA210" s="197">
        <f>ABS(Z210-Y210)</f>
        <v>2.0171999999999999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>VALUE(LEFT(A210,LEN(A210)-3))</f>
        <v>304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/stypes="app*4027*20170823*" /stext=" 10:.+((SYSTEM_STATE.+slice.+state.+changed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18"/>
        <v>"%USERPROFILE%\Documents\GitHub\eaglep3\Utilities\RefineRTDCRunTimes.py" --tripid 304-23 --locoid 4027 --swversion DE.1.0.9.0 --startMP 300:20322 --initTime 2017-08-23T03:49:17 --startdatetime 2017-08-23T03:57:01 --delay 7 --endMP 204:150 --enddatetime 2017-08-23T04:05:25 --enforcementcount 1 &gt;&gt;C:\Users\stu\Documents\GitHub\eaglep3-reporting\EC\2017-08-23-refined-times.txt</v>
      </c>
      <c r="AI210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{"issue":{"subject":"","project_id":79,"tracker_id":40,"status_id":1,"priority_id":2,"assigned_to_id":23,"start_date":"2017-08-23","description":"","custom_fields":[{"id":1,"name":"Subdivision","value":"Other"},{"id":4,"name":"Milepost","value":"0.015"},{"id":17,"name":"Train ID","value":"304-23"},{"id":16,"name":"Locomotive ID","value":"4027"},{"id":130,"name":"Impact","value":""},{"id":150,"name":"Time of Event (Mountain Time)","value":"04:05:25"},{"id":151,"name":"Denver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20"/>
        <v>start /low /b %USERPROFILE%\Documents\GitHub\eaglep3\Utilities\DownloadLogsFromS3.py --loco 4027 --day 2017-08-23</v>
      </c>
      <c r="AN210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10:05:25"},{"id":29,"name":"Sharepoint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779</v>
      </c>
      <c r="B211" s="7">
        <v>4012</v>
      </c>
      <c r="C211" s="21" t="s">
        <v>197</v>
      </c>
      <c r="D211" s="21" t="s">
        <v>401</v>
      </c>
      <c r="E211" s="13">
        <v>42970.818078703705</v>
      </c>
      <c r="F211" s="13">
        <v>42970.819340277776</v>
      </c>
      <c r="G211" s="7">
        <v>1</v>
      </c>
      <c r="H211" s="21" t="s">
        <v>533</v>
      </c>
      <c r="I211" s="13">
        <v>42970.825300925928</v>
      </c>
      <c r="J211" s="7">
        <v>1</v>
      </c>
      <c r="K211" s="89" t="str">
        <f>IF(ISEVEN(B211),(B211-1)&amp;"/"&amp;B211,B211&amp;"/"&amp;(B211+1))</f>
        <v>4011/4012</v>
      </c>
      <c r="L211" s="217" t="str">
        <f>VLOOKUP(A211,'Trips&amp;Operators'!$C$1:$G$99911,5,FALSE)</f>
        <v>TOUSIGNAUT CARL</v>
      </c>
      <c r="M211" s="6">
        <f>I211-F211</f>
        <v>5.9606481518130749E-3</v>
      </c>
      <c r="N211" s="7">
        <f>24*60*SUM($M211:$M211)</f>
        <v>8.5833333386108279</v>
      </c>
      <c r="O211" s="7"/>
      <c r="P211" s="7"/>
      <c r="Q211" s="22"/>
      <c r="R211" s="170"/>
      <c r="S211" s="213">
        <f>1/IF(AG211="EC",12,1)*SUM(U211:U211)</f>
        <v>1</v>
      </c>
      <c r="T211" s="195" t="str">
        <f>IF(ISEVEN(LEFT(AD211,4)),"Southbound","NorthBound")</f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-08-23T18:38:02-0600',mode:absolute,to:'2017-08-23T20:48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4.3499999999999997E-2</v>
      </c>
      <c r="Z211" s="197">
        <f>RIGHT(H211,LEN(H211)-4)/10000</f>
        <v>2.3315999999999999</v>
      </c>
      <c r="AA211" s="197">
        <f>ABS(Z211-Y211)</f>
        <v>2.2881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>VALUE(LEFT(A211,LEN(A211)-3))</f>
        <v>305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 &amp; aws s3 cp s3://rtdc.mdm.uploadarchive.raw/RTDC4012/ "%USERPROFILE%\AppData\Local\Temp\OnboardLogs"\RTDC4012\2017-08-24 --exclude "*" --recursive --include "*20170824*" &amp; "%USERPROFILE%\Documents\GitHub\mrs-test-scripts\Headless Mode &amp; Sideloading\WalkAndUnGZ.bat" "%USERPROFILE%\AppData\Local\Temp\OnboardLogs"\RTDC4012\2017-08-24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/stypes="app*4012*20170824*" /stext=" 01:.+((SYSTEM_STATE.+slice.+state.+changed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18"/>
        <v>"%USERPROFILE%\Documents\GitHub\eaglep3\Utilities\RefineRTDCRunTimes.py" --tripid 305-23 --locoid 4012 --swversion DE.1.0.9.0 --startMP 204:435 --initTime 2017-08-23T19:38:02 --startdatetime 2017-08-23T19:39:51 --delay 1 --endMP 300:23316 --enddatetime 2017-08-23T19:48:26 --enforcementcount 1 &gt;&gt;C:\Users\stu\Documents\GitHub\eaglep3-reporting\EC\2017-08-23-refined-times.txt</v>
      </c>
      <c r="AI211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{"issue":{"subject":"","project_id":79,"tracker_id":40,"status_id":1,"priority_id":2,"assigned_to_id":23,"start_date":"2017-08-23","description":"","custom_fields":[{"id":1,"name":"Subdivision","value":"Other"},{"id":4,"name":"Milepost","value":"2.3316"},{"id":17,"name":"Train ID","value":"305-23"},{"id":16,"name":"Locomotive ID","value":"4012"},{"id":130,"name":"Impact","value":""},{"id":150,"name":"Time of Event (Mountain Time)","value":"19:48:26"},{"id":151,"name":"Denver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20"/>
        <v>start /low /b %USERPROFILE%\Documents\GitHub\eaglep3\Utilities\DownloadLogsFromS3.py --loco 4012 --day 2017-08-23</v>
      </c>
      <c r="AN211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01:48:26"},{"id":29,"name":"Sharepoint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598</v>
      </c>
      <c r="B212" s="7">
        <v>4029</v>
      </c>
      <c r="C212" s="21" t="s">
        <v>197</v>
      </c>
      <c r="D212" s="21" t="s">
        <v>897</v>
      </c>
      <c r="E212" s="13">
        <v>42970.166886574072</v>
      </c>
      <c r="F212" s="13">
        <v>42970.172488425924</v>
      </c>
      <c r="G212" s="7">
        <v>7</v>
      </c>
      <c r="H212" s="21" t="s">
        <v>368</v>
      </c>
      <c r="I212" s="13">
        <v>42970.180474537039</v>
      </c>
      <c r="J212" s="7">
        <v>1</v>
      </c>
      <c r="K212" s="89" t="str">
        <f>IF(ISEVEN(B212),(B212-1)&amp;"/"&amp;B212,B212&amp;"/"&amp;(B212+1))</f>
        <v>4029/4030</v>
      </c>
      <c r="L212" s="217" t="str">
        <f>VLOOKUP(A212,'Trips&amp;Operators'!$C$1:$G$99911,5,FALSE)</f>
        <v>HELVIE ADAM</v>
      </c>
      <c r="M212" s="6">
        <f>I212-F212</f>
        <v>7.9861111153149977E-3</v>
      </c>
      <c r="N212" s="7">
        <f>24*60*SUM($M212:$M212)</f>
        <v>11.500000006053597</v>
      </c>
      <c r="O212" s="7"/>
      <c r="P212" s="7"/>
      <c r="Q212" s="22"/>
      <c r="R212" s="170"/>
      <c r="S212" s="213">
        <f>1/IF(AG212="EC",12,1)*SUM(U212:U212)</f>
        <v>1</v>
      </c>
      <c r="T212" s="195" t="str">
        <f>IF(ISEVEN(LEFT(AD212,4)),"Southbound","NorthBound")</f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-08-23T03:00:19-0600',mode:absolute,to:'2017-08-23T05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2.2629000000000001</v>
      </c>
      <c r="Z212" s="197">
        <f>RIGHT(H212,LEN(H212)-4)/10000</f>
        <v>1.5800000000000002E-2</v>
      </c>
      <c r="AA212" s="197">
        <f>ABS(Z212-Y212)</f>
        <v>2.2471000000000001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>VALUE(LEFT(A212,LEN(A212)-3))</f>
        <v>306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/stypes="app*4029*20170823*" /stext=" 10:.+((SYSTEM_STATE.+slice.+state.+changed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18"/>
        <v>"%USERPROFILE%\Documents\GitHub\eaglep3\Utilities\RefineRTDCRunTimes.py" --tripid 306-23 --locoid 4029 --swversion DE.1.0.9.0 --startMP 300:22629 --initTime 2017-08-23T04:00:19 --startdatetime 2017-08-23T04:08:23 --delay 7 --endMP 204:158 --enddatetime 2017-08-23T04:19:53 --enforcementcount 1 &gt;&gt;C:\Users\stu\Documents\GitHub\eaglep3-reporting\EC\2017-08-23-refined-times.txt</v>
      </c>
      <c r="AI212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{"issue":{"subject":"","project_id":79,"tracker_id":40,"status_id":1,"priority_id":2,"assigned_to_id":23,"start_date":"2017-08-23","description":"","custom_fields":[{"id":1,"name":"Subdivision","value":"Other"},{"id":4,"name":"Milepost","value":"0.0158"},{"id":17,"name":"Train ID","value":"306-23"},{"id":16,"name":"Locomotive ID","value":"4029"},{"id":130,"name":"Impact","value":""},{"id":150,"name":"Time of Event (Mountain Time)","value":"04:19:53"},{"id":151,"name":"Denver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20"/>
        <v>start /low /b %USERPROFILE%\Documents\GitHub\eaglep3\Utilities\DownloadLogsFromS3.py --loco 4029 --day 2017-08-23</v>
      </c>
      <c r="AN212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10:19:53"},{"id":29,"name":"Sharepoint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803</v>
      </c>
      <c r="B213" s="7">
        <v>4014</v>
      </c>
      <c r="C213" s="21" t="s">
        <v>197</v>
      </c>
      <c r="D213" s="21" t="s">
        <v>898</v>
      </c>
      <c r="E213" s="13">
        <v>42971.025949074072</v>
      </c>
      <c r="F213" s="13">
        <v>42971.02820601852</v>
      </c>
      <c r="G213" s="7">
        <v>1</v>
      </c>
      <c r="H213" s="21" t="s">
        <v>342</v>
      </c>
      <c r="I213" s="13">
        <v>42971.035300925927</v>
      </c>
      <c r="J213" s="7">
        <v>1</v>
      </c>
      <c r="K213" s="89" t="str">
        <f>IF(ISEVEN(B213),(B213-1)&amp;"/"&amp;B213,B213&amp;"/"&amp;(B213+1))</f>
        <v>4013/4014</v>
      </c>
      <c r="L213" s="217" t="str">
        <f>VLOOKUP(A213,'Trips&amp;Operators'!$C$1:$G$99911,5,FALSE)</f>
        <v>FORTUNATO FRANK</v>
      </c>
      <c r="M213" s="6">
        <f>I213-F213</f>
        <v>7.0949074070085771E-3</v>
      </c>
      <c r="N213" s="7">
        <f>24*60*SUM($M213:$M213)</f>
        <v>10.216666666092351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-08-23T23:37:22-0600',mode:absolute,to:'2017-08-24T01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4.19E-2</v>
      </c>
      <c r="Z213" s="197">
        <f>RIGHT(H213,LEN(H213)-4)/10000</f>
        <v>2.3346</v>
      </c>
      <c r="AA213" s="197">
        <f>ABS(Z213-Y213)</f>
        <v>2.2927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>VALUE(LEFT(A213,LEN(A213)-3))</f>
        <v>307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 &amp; aws s3 cp s3://rtdc.mdm.uploadarchive.raw/RTDC4014/ "%USERPROFILE%\AppData\Local\Temp\OnboardLogs"\RTDC4014\2017-08-25 --exclude "*" --recursive --include "*20170825*" &amp; "%USERPROFILE%\Documents\GitHub\mrs-test-scripts\Headless Mode &amp; Sideloading\WalkAndUnGZ.bat" "%USERPROFILE%\AppData\Local\Temp\OnboardLogs"\RTDC4014\2017-08-25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/stypes="app*4014*20170824*" /stext=" 06:.+((SYSTEM_STATE.+slice.+state.+changed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18"/>
        <v>"%USERPROFILE%\Documents\GitHub\eaglep3\Utilities\RefineRTDCRunTimes.py" --tripid 307-23 --locoid 4014 --swversion DE.1.0.9.0 --startMP 204:419 --initTime 2017-08-24T00:37:22 --startdatetime 2017-08-24T00:40:37 --delay 1 --endMP 300:23346 --enddatetime 2017-08-24T00:50:50 --enforcementcount 1 &gt;&gt;C:\Users\stu\Documents\GitHub\eaglep3-reporting\EC\2017-08-23-refined-times.txt</v>
      </c>
      <c r="AI213" s="96" t="str">
        <f t="shared" si="19"/>
        <v>echo {"issue":{"subject":"","project_id":79,"tracker_id":40,"status_id":1,"priority_id":2,"assigned_to_id":23,"start_date":"2017-08-24","description":"","custom_fields":[{"id":1,"name":"Subdivision","value":"Other"},{"id":4,"name":"Milepost","value":"2.3346"},{"id":17,"name":"Train ID","value":"307-23"},{"id":16,"name":"Locomotive ID","value":"4014"},{"id":130,"name":"Impact","value":""},{"id":150,"name":"Time of Event (Mountain Time)","value":"00:50:50"},{"id":151,"name":"Denver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20"/>
        <v>start /low /b %USERPROFILE%\Documents\GitHub\eaglep3\Utilities\DownloadLogsFromS3.py --loco 4014 --day 2017-08-24</v>
      </c>
      <c r="AN213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06:50:50"},{"id":29,"name":"Sharepoint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602</v>
      </c>
      <c r="B214" s="7">
        <v>4049</v>
      </c>
      <c r="C214" s="21" t="s">
        <v>197</v>
      </c>
      <c r="D214" s="21" t="s">
        <v>899</v>
      </c>
      <c r="E214" s="13">
        <v>42970.17796296296</v>
      </c>
      <c r="F214" s="13">
        <v>42970.182453703703</v>
      </c>
      <c r="G214" s="7">
        <v>6</v>
      </c>
      <c r="H214" s="21" t="s">
        <v>346</v>
      </c>
      <c r="I214" s="13">
        <v>42970.191111111111</v>
      </c>
      <c r="J214" s="7">
        <v>1</v>
      </c>
      <c r="K214" s="89" t="str">
        <f>IF(ISEVEN(B214),(B214-1)&amp;"/"&amp;B214,B214&amp;"/"&amp;(B214+1))</f>
        <v>4049/4050</v>
      </c>
      <c r="L214" s="217" t="str">
        <f>VLOOKUP(A214,'Trips&amp;Operators'!$C$1:$G$99911,5,FALSE)</f>
        <v>DAVIS WENDY</v>
      </c>
      <c r="M214" s="6">
        <f>I214-F214</f>
        <v>8.6574074084637687E-3</v>
      </c>
      <c r="N214" s="7">
        <f>24*60*SUM($M214:$M214)</f>
        <v>12.466666668187827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-08-23T03:16:16-0600',mode:absolute,to:'2017-08-23T05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2.2330999999999999</v>
      </c>
      <c r="Z214" s="197">
        <f>RIGHT(H214,LEN(H214)-4)/10000</f>
        <v>1.47E-2</v>
      </c>
      <c r="AA214" s="197">
        <f>ABS(Z214-Y214)</f>
        <v>2.2183999999999999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>VALUE(LEFT(A214,LEN(A214)-3))</f>
        <v>308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s3://rtdc.mdm.uploadarchive.raw/RTDC4049/ "%USERPROFILE%\AppData\Local\Temp\OnboardLogs"\RTDC4049\2017-08-23 --exclude "*" --recursive --include "*20170823*" &amp; "%USERPROFILE%\Documents\GitHub\mrs-test-scripts\Headless Mode &amp; Sideloading\WalkAndUnGZ.bat" "%USERPROFILE%\AppData\Local\Temp\OnboardLogs"\RTDC4049\2017-08-23 &amp; aws s3 cp s3://rtdc.mdm.uploadarchive.raw/RTDC4049/ "%USERPROFILE%\AppData\Local\Temp\OnboardLogs"\RTDC4049\2017-08-24 --exclude "*" --recursive --include "*20170824*" &amp; "%USERPROFILE%\Documents\GitHub\mrs-test-scripts\Headless Mode &amp; Sideloading\WalkAndUnGZ.bat" "%USERPROFILE%\AppData\Local\Temp\OnboardLogs"\RTDC4049\2017-08-24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/stypes="app*4049*20170823*" /stext=" 10:.+((SYSTEM_STATE.+slice.+state.+changed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18"/>
        <v>"%USERPROFILE%\Documents\GitHub\eaglep3\Utilities\RefineRTDCRunTimes.py" --tripid 308-23 --locoid 4049 --swversion DE.1.0.9.0 --startMP 300:22331 --initTime 2017-08-23T04:16:16 --startdatetime 2017-08-23T04:22:44 --delay 6 --endMP 204:147 --enddatetime 2017-08-23T04:35:12 --enforcementcount 1 &gt;&gt;C:\Users\stu\Documents\GitHub\eaglep3-reporting\EC\2017-08-23-refined-times.txt</v>
      </c>
      <c r="AI214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{"issue":{"subject":"","project_id":79,"tracker_id":40,"status_id":1,"priority_id":2,"assigned_to_id":23,"start_date":"2017-08-23","description":"","custom_fields":[{"id":1,"name":"Subdivision","value":"Other"},{"id":4,"name":"Milepost","value":"0.0147"},{"id":17,"name":"Train ID","value":"308-23"},{"id":16,"name":"Locomotive ID","value":"4049"},{"id":130,"name":"Impact","value":""},{"id":150,"name":"Time of Event (Mountain Time)","value":"04:35:12"},{"id":151,"name":"Denver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20"/>
        <v>start /low /b %USERPROFILE%\Documents\GitHub\eaglep3\Utilities\DownloadLogsFromS3.py --loco 4049 --day 2017-08-23</v>
      </c>
      <c r="AN214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10:35:12"},{"id":29,"name":"Sharepoint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610</v>
      </c>
      <c r="B215" s="7">
        <v>4041</v>
      </c>
      <c r="C215" s="21" t="s">
        <v>197</v>
      </c>
      <c r="D215" s="21" t="s">
        <v>528</v>
      </c>
      <c r="E215" s="13">
        <v>42970.207245370373</v>
      </c>
      <c r="F215" s="13">
        <v>42970.209363425929</v>
      </c>
      <c r="G215" s="7">
        <v>2</v>
      </c>
      <c r="H215" s="21" t="s">
        <v>340</v>
      </c>
      <c r="I215" s="13">
        <v>42970.214490740742</v>
      </c>
      <c r="J215" s="7">
        <v>1</v>
      </c>
      <c r="K215" s="89" t="str">
        <f>IF(ISEVEN(B215),(B215-1)&amp;"/"&amp;B215,B215&amp;"/"&amp;(B215+1))</f>
        <v>4041/4042</v>
      </c>
      <c r="L215" s="217" t="str">
        <f>VLOOKUP(A215,'Trips&amp;Operators'!$C$1:$G$99911,5,FALSE)</f>
        <v>LOZA FIDEL</v>
      </c>
      <c r="M215" s="6">
        <f>I215-F215</f>
        <v>5.1273148128530011E-3</v>
      </c>
      <c r="N215" s="7">
        <f>24*60*SUM($M215:$M215)</f>
        <v>7.3833333305083215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-08-23T03:58:26-0600',mode:absolute,to:'2017-08-23T06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2</v>
      </c>
      <c r="Y215" s="197">
        <f>RIGHT(D215,LEN(D215)-4)/10000</f>
        <v>2.3449</v>
      </c>
      <c r="Z215" s="197">
        <f>RIGHT(H215,LEN(H215)-4)/10000</f>
        <v>1.43E-2</v>
      </c>
      <c r="AA215" s="197">
        <f>ABS(Z215-Y215)</f>
        <v>2.3306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>VALUE(LEFT(A215,LEN(A215)-3))</f>
        <v>310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/stypes="app*4041*20170823*" /stext=" 11:.+((SYSTEM_STATE.+slice.+state.+changed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18"/>
        <v>"%USERPROFILE%\Documents\GitHub\eaglep3\Utilities\RefineRTDCRunTimes.py" --tripid 310-23 --locoid 4041 --swversion DE.1.0.9.0 --startMP 300:23449 --initTime 2017-08-23T04:58:26 --startdatetime 2017-08-23T05:01:29 --delay 2 --endMP 204:143 --enddatetime 2017-08-23T05:08:52 --enforcementcount 1 &gt;&gt;C:\Users\stu\Documents\GitHub\eaglep3-reporting\EC\2017-08-23-refined-times.txt</v>
      </c>
      <c r="AI215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{"issue":{"subject":"","project_id":79,"tracker_id":40,"status_id":1,"priority_id":2,"assigned_to_id":23,"start_date":"2017-08-23","description":"","custom_fields":[{"id":1,"name":"Subdivision","value":"Other"},{"id":4,"name":"Milepost","value":"0.0143"},{"id":17,"name":"Train ID","value":"310-23"},{"id":16,"name":"Locomotive ID","value":"4041"},{"id":130,"name":"Impact","value":""},{"id":150,"name":"Time of Event (Mountain Time)","value":"05:08:52"},{"id":151,"name":"Denver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20"/>
        <v>start /low /b %USERPROFILE%\Documents\GitHub\eaglep3\Utilities\DownloadLogsFromS3.py --loco 4041 --day 2017-08-23</v>
      </c>
      <c r="AN215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503</v>
      </c>
      <c r="B216" s="7">
        <v>4018</v>
      </c>
      <c r="C216" s="21" t="s">
        <v>197</v>
      </c>
      <c r="D216" s="21" t="s">
        <v>342</v>
      </c>
      <c r="E216" s="13">
        <v>42970.06925925926</v>
      </c>
      <c r="F216" s="13">
        <v>42970.070833333331</v>
      </c>
      <c r="G216" s="7">
        <v>10</v>
      </c>
      <c r="H216" s="21" t="s">
        <v>342</v>
      </c>
      <c r="I216" s="13">
        <v>42970.079953703702</v>
      </c>
      <c r="J216" s="7">
        <v>1</v>
      </c>
      <c r="K216" s="89" t="str">
        <f>IF(ISEVEN(B216),(B216-1)&amp;"/"&amp;B216,B216&amp;"/"&amp;(B216+1))</f>
        <v>4017/4018</v>
      </c>
      <c r="L216" s="217" t="str">
        <f>VLOOKUP(A216,'Trips&amp;Operators'!$C$1:$G$99911,5,FALSE)</f>
        <v>FORTUNATO FRANK</v>
      </c>
      <c r="M216" s="6">
        <f>I216-F216</f>
        <v>9.1203703705104999E-3</v>
      </c>
      <c r="N216" s="7">
        <f>24*60*SUM($M216:$M216)</f>
        <v>13.13333333353512</v>
      </c>
      <c r="O216" s="7"/>
      <c r="P216" s="7"/>
      <c r="Q216" s="22"/>
      <c r="R216" s="170"/>
      <c r="S216" s="213">
        <f>1/IF(AG216="EC",12,1)*SUM(U216:U216)</f>
        <v>0</v>
      </c>
      <c r="T216" s="195" t="str">
        <f>IF(ISEVEN(LEFT(AD216,4)),"Southbound","NorthBound")</f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-08-23T00:39:44-0600',mode:absolute,to:'2017-08-23T02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2.3346</v>
      </c>
      <c r="Z216" s="197">
        <f>RIGHT(H216,LEN(H216)-4)/10000</f>
        <v>2.3346</v>
      </c>
      <c r="AA216" s="197">
        <f>ABS(Z216-Y216)</f>
        <v>0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>VALUE(LEFT(A216,LEN(A216)-3))</f>
        <v>311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s3://rtdc.mdm.uploadarchive.raw/RTDC4018/ "%USERPROFILE%\AppData\Local\Temp\OnboardLogs"\RTDC4018\2017-08-23 --exclude "*" --recursive --include "*20170823*" &amp; "%USERPROFILE%\Documents\GitHub\mrs-test-scripts\Headless Mode &amp; Sideloading\WalkAndUnGZ.bat" "%USERPROFILE%\AppData\Local\Temp\OnboardLogs"\RTDC4018\2017-08-23 &amp; 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/stypes="app*4018*20170823*" /stext=" 07:.+((SYSTEM_STATE.+slice.+state.+changed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18"/>
        <v>"%USERPROFILE%\Documents\GitHub\eaglep3\Utilities\RefineRTDCRunTimes.py" --tripid 311-22 --locoid 4018 --swversion DE.1.0.9.0 --startMP 300:23346 --initTime 2017-08-23T01:39:44 --startdatetime 2017-08-23T01:42:00 --delay 10 --endMP 300:23346 --enddatetime 2017-08-23T01:55:08 --enforcementcount 1 &gt;&gt;C:\Users\stu\Documents\GitHub\eaglep3-reporting\EC\2017-08-23-refined-times.txt</v>
      </c>
      <c r="AI216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{"issue":{"subject":"","project_id":79,"tracker_id":40,"status_id":1,"priority_id":2,"assigned_to_id":23,"start_date":"2017-08-23","description":"","custom_fields":[{"id":1,"name":"Subdivision","value":"Other"},{"id":4,"name":"Milepost","value":"2.3346"},{"id":17,"name":"Train ID","value":"311-22"},{"id":16,"name":"Locomotive ID","value":"4018"},{"id":130,"name":"Impact","value":""},{"id":150,"name":"Time of Event (Mountain Time)","value":"01:55:08"},{"id":151,"name":"Denver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20"/>
        <v>start /low /b %USERPROFILE%\Documents\GitHub\eaglep3\Utilities\DownloadLogsFromS3.py --loco 4018 --day 2017-08-23</v>
      </c>
      <c r="AN216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07:55:08"},{"id":29,"name":"Sharepoint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807</v>
      </c>
      <c r="B217" s="7">
        <v>4028</v>
      </c>
      <c r="C217" s="21" t="s">
        <v>197</v>
      </c>
      <c r="D217" s="21" t="s">
        <v>343</v>
      </c>
      <c r="E217" s="13">
        <v>42971.068460648145</v>
      </c>
      <c r="F217" s="13">
        <v>42971.071192129632</v>
      </c>
      <c r="G217" s="7">
        <v>1</v>
      </c>
      <c r="H217" s="21" t="s">
        <v>342</v>
      </c>
      <c r="I217" s="13">
        <v>42971.086643518516</v>
      </c>
      <c r="J217" s="7">
        <v>1</v>
      </c>
      <c r="K217" s="89" t="str">
        <f>IF(ISEVEN(B217),(B217-1)&amp;"/"&amp;B217,B217&amp;"/"&amp;(B217+1))</f>
        <v>4027/4028</v>
      </c>
      <c r="L217" s="217" t="str">
        <f>VLOOKUP(A217,'Trips&amp;Operators'!$C$1:$G$99911,5,FALSE)</f>
        <v>WEST BRYAN</v>
      </c>
      <c r="M217" s="6">
        <f>I217-F217</f>
        <v>1.5451388884685002E-2</v>
      </c>
      <c r="N217" s="7">
        <f>24*60*SUM($M217:$M217)</f>
        <v>22.249999993946403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-08-24T00:38:35-0600',mode:absolute,to:'2017-08-24T03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0</v>
      </c>
      <c r="Y217" s="197">
        <f>RIGHT(D217,LEN(D217)-4)/10000</f>
        <v>4.53E-2</v>
      </c>
      <c r="Z217" s="197">
        <f>RIGHT(H217,LEN(H217)-4)/10000</f>
        <v>2.3346</v>
      </c>
      <c r="AA217" s="197">
        <f>ABS(Z217-Y217)</f>
        <v>2.2892999999999999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>VALUE(LEFT(A217,LEN(A217)-3))</f>
        <v>311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 &amp; aws s3 cp s3://rtdc.mdm.uploadarchive.raw/RTDC4028/ "%USERPROFILE%\AppData\Local\Temp\OnboardLogs"\RTDC4028\2017-08-25 --exclude "*" --recursive --include "*20170825*" &amp; "%USERPROFILE%\Documents\GitHub\mrs-test-scripts\Headless Mode &amp; Sideloading\WalkAndUnGZ.bat" "%USERPROFILE%\AppData\Local\Temp\OnboardLogs"\RTDC4028\2017-08-25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/stypes="app*4028*20170824*" /stext=" 08:.+((SYSTEM_STATE.+slice.+state.+changed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18"/>
        <v>"%USERPROFILE%\Documents\GitHub\eaglep3\Utilities\RefineRTDCRunTimes.py" --tripid 311-23 --locoid 4028 --swversion DE.1.0.9.0 --startMP 204:453 --initTime 2017-08-24T01:38:35 --startdatetime 2017-08-24T01:42:31 --delay 1 --endMP 300:23346 --enddatetime 2017-08-24T02:04:46 --enforcementcount 1 &gt;&gt;C:\Users\stu\Documents\GitHub\eaglep3-reporting\EC\2017-08-23-refined-times.txt</v>
      </c>
      <c r="AI217" s="96" t="str">
        <f t="shared" si="19"/>
        <v>echo {"issue":{"subject":"","project_id":79,"tracker_id":40,"status_id":1,"priority_id":2,"assigned_to_id":23,"start_date":"2017-08-24","description":"","custom_fields":[{"id":1,"name":"Subdivision","value":"Other"},{"id":4,"name":"Milepost","value":"2.3346"},{"id":17,"name":"Train ID","value":"311-23"},{"id":16,"name":"Locomotive ID","value":"4028"},{"id":130,"name":"Impact","value":""},{"id":150,"name":"Time of Event (Mountain Time)","value":"02:04:46"},{"id":151,"name":"Denver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20"/>
        <v>start /low /b %USERPROFILE%\Documents\GitHub\eaglep3\Utilities\DownloadLogsFromS3.py --loco 4028 --day 2017-08-24</v>
      </c>
      <c r="AN217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08:04:46"},{"id":29,"name":"Sharepoint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615</v>
      </c>
      <c r="B218" s="7">
        <v>4013</v>
      </c>
      <c r="C218" s="21" t="s">
        <v>197</v>
      </c>
      <c r="D218" s="21" t="s">
        <v>900</v>
      </c>
      <c r="E218" s="13">
        <v>42970.224074074074</v>
      </c>
      <c r="F218" s="13">
        <v>42970.230393518519</v>
      </c>
      <c r="G218" s="7">
        <v>9</v>
      </c>
      <c r="H218" s="21" t="s">
        <v>346</v>
      </c>
      <c r="I218" s="13">
        <v>42970.236122685186</v>
      </c>
      <c r="J218" s="7">
        <v>1</v>
      </c>
      <c r="K218" s="89" t="str">
        <f>IF(ISEVEN(B218),(B218-1)&amp;"/"&amp;B218,B218&amp;"/"&amp;(B218+1))</f>
        <v>4013/4014</v>
      </c>
      <c r="L218" s="217" t="str">
        <f>VLOOKUP(A218,'Trips&amp;Operators'!$C$1:$G$99911,5,FALSE)</f>
        <v>YANG JAN</v>
      </c>
      <c r="M218" s="6">
        <f>I218-F218</f>
        <v>5.7291666671517305E-3</v>
      </c>
      <c r="N218" s="7">
        <f>24*60*SUM($M218:$M218)</f>
        <v>8.2500000006984919</v>
      </c>
      <c r="O218" s="7"/>
      <c r="P218" s="7"/>
      <c r="Q218" s="22"/>
      <c r="R218" s="170"/>
      <c r="S218" s="213">
        <f>1/IF(AG218="EC",12,1)*SUM(U218:U218)</f>
        <v>1</v>
      </c>
      <c r="T218" s="195" t="str">
        <f>IF(ISEVEN(LEFT(AD218,4)),"Southbound","NorthBound")</f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-08-23T04:22:40-0600',mode:absolute,to:'2017-08-23T06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1</v>
      </c>
      <c r="Y218" s="197">
        <f>RIGHT(D218,LEN(D218)-4)/10000</f>
        <v>2.3620000000000001</v>
      </c>
      <c r="Z218" s="197">
        <f>RIGHT(H218,LEN(H218)-4)/10000</f>
        <v>1.47E-2</v>
      </c>
      <c r="AA218" s="197">
        <f>ABS(Z218-Y218)</f>
        <v>2.3473000000000002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>VALUE(LEFT(A218,LEN(A218)-3))</f>
        <v>312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/stypes="app*4013*20170823*" /stext=" 11:.+((SYSTEM_STATE.+slice.+state.+changed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18"/>
        <v>"%USERPROFILE%\Documents\GitHub\eaglep3\Utilities\RefineRTDCRunTimes.py" --tripid 312-23 --locoid 4013 --swversion DE.1.0.9.0 --startMP 300:23620 --initTime 2017-08-23T05:22:40 --startdatetime 2017-08-23T05:31:46 --delay 9 --endMP 204:147 --enddatetime 2017-08-23T05:40:01 --enforcementcount 1 &gt;&gt;C:\Users\stu\Documents\GitHub\eaglep3-reporting\EC\2017-08-23-refined-times.txt</v>
      </c>
      <c r="AI218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{"issue":{"subject":"","project_id":79,"tracker_id":40,"status_id":1,"priority_id":2,"assigned_to_id":23,"start_date":"2017-08-23","description":"","custom_fields":[{"id":1,"name":"Subdivision","value":"Other"},{"id":4,"name":"Milepost","value":"0.0147"},{"id":17,"name":"Train ID","value":"312-23"},{"id":16,"name":"Locomotive ID","value":"4013"},{"id":130,"name":"Impact","value":""},{"id":150,"name":"Time of Event (Mountain Time)","value":"05:40:01"},{"id":151,"name":"Denver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20"/>
        <v>start /low /b %USERPROFILE%\Documents\GitHub\eaglep3\Utilities\DownloadLogsFromS3.py --loco 4013 --day 2017-08-23</v>
      </c>
      <c r="AN218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808</v>
      </c>
      <c r="B219" s="7">
        <v>4030</v>
      </c>
      <c r="C219" s="21" t="s">
        <v>197</v>
      </c>
      <c r="D219" s="21" t="s">
        <v>392</v>
      </c>
      <c r="E219" s="13">
        <v>42971.089050925926</v>
      </c>
      <c r="F219" s="13">
        <v>42971.090173611112</v>
      </c>
      <c r="G219" s="7">
        <v>0</v>
      </c>
      <c r="H219" s="21" t="s">
        <v>342</v>
      </c>
      <c r="I219" s="13">
        <v>42971.09957175926</v>
      </c>
      <c r="J219" s="7">
        <v>1</v>
      </c>
      <c r="K219" s="89" t="str">
        <f>IF(ISEVEN(B219),(B219-1)&amp;"/"&amp;B219,B219&amp;"/"&amp;(B219+1))</f>
        <v>4029/4030</v>
      </c>
      <c r="L219" s="217" t="str">
        <f>VLOOKUP(A219,'Trips&amp;Operators'!$C$1:$G$99911,5,FALSE)</f>
        <v>LAMAR NEKESHA</v>
      </c>
      <c r="M219" s="6">
        <f>I219-F219</f>
        <v>9.3981481477385387E-3</v>
      </c>
      <c r="N219" s="7">
        <f>24*60*SUM($M219:$M219)</f>
        <v>13.533333332743496</v>
      </c>
      <c r="O219" s="7"/>
      <c r="P219" s="7"/>
      <c r="Q219" s="22"/>
      <c r="R219" s="170"/>
      <c r="S219" s="213">
        <f>1/IF(AG219="EC",12,1)*SUM(U219:U219)</f>
        <v>1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-08-24T01:08:14-0600',mode:absolute,to:'2017-08-24T03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1</v>
      </c>
      <c r="Y219" s="197">
        <f>RIGHT(D219,LEN(D219)-4)/10000</f>
        <v>4.6600000000000003E-2</v>
      </c>
      <c r="Z219" s="197">
        <f>RIGHT(H219,LEN(H219)-4)/10000</f>
        <v>2.3346</v>
      </c>
      <c r="AA219" s="197">
        <f>ABS(Z219-Y219)</f>
        <v>2.2879999999999998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 &amp; 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/stypes="app*4030*20170824*" /stext=" 08:.+((SYSTEM_STATE.+slice.+state.+changed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18"/>
        <v>"%USERPROFILE%\Documents\GitHub\eaglep3\Utilities\RefineRTDCRunTimes.py" --tripid 313-23 --locoid 4030 --swversion DE.1.0.9.0 --startMP 204:466 --initTime 2017-08-24T02:08:14 --startdatetime 2017-08-24T02:09:51 --delay 0 --endMP 300:23346 --enddatetime 2017-08-24T02:23:23 --enforcementcount 1 &gt;&gt;C:\Users\stu\Documents\GitHub\eaglep3-reporting\EC\2017-08-23-refined-times.txt</v>
      </c>
      <c r="AI219" s="96" t="str">
        <f t="shared" si="19"/>
        <v>echo {"issue":{"subject":"","project_id":79,"tracker_id":40,"status_id":1,"priority_id":2,"assigned_to_id":23,"start_date":"2017-08-24","description":"","custom_fields":[{"id":1,"name":"Subdivision","value":"Other"},{"id":4,"name":"Milepost","value":"2.3346"},{"id":17,"name":"Train ID","value":"313-23"},{"id":16,"name":"Locomotive ID","value":"4030"},{"id":130,"name":"Impact","value":""},{"id":150,"name":"Time of Event (Mountain Time)","value":"02:23:23"},{"id":151,"name":"Denver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20"/>
        <v>start /low /b %USERPROFILE%\Documents\GitHub\eaglep3\Utilities\DownloadLogsFromS3.py --loco 4030 --day 2017-08-24</v>
      </c>
      <c r="AN219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08:23:23"},{"id":29,"name":"Sharepoint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608</v>
      </c>
      <c r="B220" s="7">
        <v>4046</v>
      </c>
      <c r="C220" s="21" t="s">
        <v>197</v>
      </c>
      <c r="D220" s="21" t="s">
        <v>992</v>
      </c>
      <c r="E220" s="13">
        <v>42970.202407407407</v>
      </c>
      <c r="F220" s="13">
        <v>42970.206087962964</v>
      </c>
      <c r="G220" s="7">
        <v>5</v>
      </c>
      <c r="H220" s="21" t="s">
        <v>993</v>
      </c>
      <c r="I220" s="13">
        <v>42970.211724537039</v>
      </c>
      <c r="J220" s="7">
        <v>1</v>
      </c>
      <c r="K220" s="89" t="str">
        <f>IF(ISEVEN(B220),(B220-1)&amp;"/"&amp;B220,B220&amp;"/"&amp;(B220+1))</f>
        <v>4045/4046</v>
      </c>
      <c r="L220" s="217" t="str">
        <f>VLOOKUP(A220,'Trips&amp;Operators'!$C$1:$G$99911,5,FALSE)</f>
        <v>MACDONALD THOMAS</v>
      </c>
      <c r="M220" s="6">
        <f>I220-F220</f>
        <v>5.6365740747423843E-3</v>
      </c>
      <c r="N220" s="7">
        <f>24*60*SUM($M220:$M220)</f>
        <v>8.1166666676290333</v>
      </c>
      <c r="O220" s="7"/>
      <c r="P220" s="7"/>
      <c r="Q220" s="22"/>
      <c r="R220" s="170"/>
      <c r="S220" s="213">
        <f>1/IF(AG220="EC",12,1)*SUM(U220:U220)</f>
        <v>0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-08-23T03:51:28-0600',mode:absolute,to:'2017-08-23T06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588</v>
      </c>
      <c r="Y220" s="197">
        <f>RIGHT(D220,LEN(D220)-4)/10000</f>
        <v>2.9803000000000002</v>
      </c>
      <c r="Z220" s="197">
        <f>RIGHT(H220,LEN(H220)-4)/10000</f>
        <v>5.8921999999999999</v>
      </c>
      <c r="AA220" s="197">
        <f>ABS(Z220-Y220)</f>
        <v>2.9118999999999997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6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s3://rtdc.mdm.uploadarchive.raw/RTDC4046/ "%USERPROFILE%\AppData\Local\Temp\OnboardLogs"\RTDC4046\2017-08-23 --exclude "*" --recursive --include "*20170823*" &amp; "%USERPROFILE%\Documents\GitHub\mrs-test-scripts\Headless Mode &amp; Sideloading\WalkAndUnGZ.bat" "%USERPROFILE%\AppData\Local\Temp\OnboardLogs"\RTDC4046\2017-08-23 &amp; aws s3 cp s3://rtdc.mdm.uploadarchive.raw/RTDC4046/ "%USERPROFILE%\AppData\Local\Temp\OnboardLogs"\RTDC4046\2017-08-24 --exclude "*" --recursive --include "*20170824*" &amp; "%USERPROFILE%\Documents\GitHub\mrs-test-scripts\Headless Mode &amp; Sideloading\WalkAndUnGZ.bat" "%USERPROFILE%\AppData\Local\Temp\OnboardLogs"\RTDC4046\2017-08-24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/stypes="app*4046*20170823*" /stext=" 11:.+((SYSTEM_STATE.+slice.+state.+changed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18"/>
        <v>"%USERPROFILE%\Documents\GitHub\eaglep3\Utilities\RefineRTDCRunTimes.py" --tripid 901-23 --locoid 4046 --swversion DE.1.0.9.0 --startMP 300:29803 --initTime 2017-08-23T04:51:28 --startdatetime 2017-08-23T04:56:46 --delay 5 --endMP 300:58922 --enddatetime 2017-08-23T05:04:53 --enforcementcount 1 &gt;&gt;C:\Users\stu\Documents\GitHub\eaglep3-reporting\EC\2017-08-23-refined-times.txt</v>
      </c>
      <c r="AI220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{"issue":{"subject":"","project_id":79,"tracker_id":40,"status_id":1,"priority_id":2,"assigned_to_id":23,"start_date":"2017-08-23","description":"","custom_fields":[{"id":1,"name":"Subdivision","value":"Other"},{"id":4,"name":"Milepost","value":"5.8922"},{"id":17,"name":"Train ID","value":"901-23"},{"id":16,"name":"Locomotive ID","value":"4046"},{"id":130,"name":"Impact","value":""},{"id":150,"name":"Time of Event (Mountain Time)","value":"05:04:53"},{"id":151,"name":"Denver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20"/>
        <v>start /low /b %USERPROFILE%\Documents\GitHub\eaglep3\Utilities\DownloadLogsFromS3.py --loco 4046 --day 2017-08-23</v>
      </c>
      <c r="AN220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620</v>
      </c>
      <c r="B221" s="7">
        <v>4065</v>
      </c>
      <c r="C221" s="21" t="s">
        <v>197</v>
      </c>
      <c r="D221" s="21" t="s">
        <v>994</v>
      </c>
      <c r="E221" s="13">
        <v>42970.23605324074</v>
      </c>
      <c r="F221" s="13">
        <v>42970.243611111109</v>
      </c>
      <c r="G221" s="7">
        <v>10</v>
      </c>
      <c r="H221" s="21" t="s">
        <v>995</v>
      </c>
      <c r="I221" s="13">
        <v>42970.24858796296</v>
      </c>
      <c r="J221" s="7">
        <v>1</v>
      </c>
      <c r="K221" s="89" t="str">
        <f>IF(ISEVEN(B221),(B221-1)&amp;"/"&amp;B221,B221&amp;"/"&amp;(B221+1))</f>
        <v>4065/4066</v>
      </c>
      <c r="L221" s="217" t="str">
        <f>VLOOKUP(A221,'Trips&amp;Operators'!$C$1:$G$99911,5,FALSE)</f>
        <v>SANTIZO D. EDY</v>
      </c>
      <c r="M221" s="6">
        <f>I221-F221</f>
        <v>4.9768518510973081E-3</v>
      </c>
      <c r="N221" s="7">
        <f>24*60*SUM($M221:$M221)</f>
        <v>7.1666666655801237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-08-23T04:39:55-0600',mode:absolute,to:'2017-08-23T06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1.9802999999999999</v>
      </c>
      <c r="Z221" s="197">
        <f>RIGHT(H221,LEN(H221)-4)/10000</f>
        <v>9.4999999999999998E-3</v>
      </c>
      <c r="AA221" s="197">
        <f>ABS(Z221-Y221)</f>
        <v>1.9707999999999999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6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/stypes="app*4065*20170823*" /stext=" 11:.+((SYSTEM_STATE.+slice.+state.+changed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18"/>
        <v>"%USERPROFILE%\Documents\GitHub\eaglep3\Utilities\RefineRTDCRunTimes.py" --tripid 902-23 --locoid 4065 --swversion DE.1.0.9.0 --startMP 300:19803 --initTime 2017-08-23T05:39:55 --startdatetime 2017-08-23T05:50:48 --delay 10 --endMP 204:95 --enddatetime 2017-08-23T05:57:58 --enforcementcount 1 &gt;&gt;C:\Users\stu\Documents\GitHub\eaglep3-reporting\EC\2017-08-23-refined-times.txt</v>
      </c>
      <c r="AI221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{"issue":{"subject":"","project_id":79,"tracker_id":40,"status_id":1,"priority_id":2,"assigned_to_id":23,"start_date":"2017-08-23","description":"","custom_fields":[{"id":1,"name":"Subdivision","value":"Other"},{"id":4,"name":"Milepost","value":"0.0095"},{"id":17,"name":"Train ID","value":"902-23"},{"id":16,"name":"Locomotive ID","value":"4065"},{"id":130,"name":"Impact","value":""},{"id":150,"name":"Time of Event (Mountain Time)","value":"05:57:58"},{"id":151,"name":"Denver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20"/>
        <v>start /low /b %USERPROFILE%\Documents\GitHub\eaglep3\Utilities\DownloadLogsFromS3.py --loco 4065 --day 2017-08-23</v>
      </c>
      <c r="AN221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658</v>
      </c>
      <c r="B222" s="7">
        <v>4044</v>
      </c>
      <c r="C222" s="21" t="s">
        <v>197</v>
      </c>
      <c r="D222" s="21" t="s">
        <v>996</v>
      </c>
      <c r="E222" s="13">
        <v>42970.353055555555</v>
      </c>
      <c r="F222" s="13">
        <v>42970.354108796295</v>
      </c>
      <c r="G222" s="7">
        <v>1</v>
      </c>
      <c r="H222" s="21" t="s">
        <v>997</v>
      </c>
      <c r="I222" s="13">
        <v>42970.359861111108</v>
      </c>
      <c r="J222" s="7">
        <v>1</v>
      </c>
      <c r="K222" s="89" t="str">
        <f>IF(ISEVEN(B222),(B222-1)&amp;"/"&amp;B222,B222&amp;"/"&amp;(B222+1))</f>
        <v>4043/4044</v>
      </c>
      <c r="L222" s="217" t="str">
        <f>VLOOKUP(A222,'Trips&amp;Operators'!$C$1:$G$99911,5,FALSE)</f>
        <v>MACDONALD THOMAS</v>
      </c>
      <c r="M222" s="6">
        <f>I222-F222</f>
        <v>5.7523148134350777E-3</v>
      </c>
      <c r="N222" s="7">
        <f>24*60*SUM($M222:$M222)</f>
        <v>8.2833333313465118</v>
      </c>
      <c r="O222" s="7"/>
      <c r="P222" s="7"/>
      <c r="Q222" s="22"/>
      <c r="R222" s="170"/>
      <c r="S222" s="213">
        <f>1/IF(AG222="EC",12,1)*SUM(U222:U222)</f>
        <v>1</v>
      </c>
      <c r="T222" s="195" t="str">
        <f>IF(ISEVEN(LEFT(AD222,4)),"Southbound","NorthBound")</f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-08-23T07:28:24-0600',mode:absolute,to:'2017-08-23T09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0.10349999999999999</v>
      </c>
      <c r="Z222" s="197">
        <f>RIGHT(H222,LEN(H222)-4)/10000</f>
        <v>2.4241000000000001</v>
      </c>
      <c r="AA222" s="197">
        <f>ABS(Z222-Y222)</f>
        <v>2.3206000000000002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6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/stypes="app*4044*20170823*" /stext=" 14:.+((SYSTEM_STATE.+slice.+state.+changed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18"/>
        <v>"%USERPROFILE%\Documents\GitHub\eaglep3\Utilities\RefineRTDCRunTimes.py" --tripid 903-23 --locoid 4044 --swversion DE.1.0.9.0 --startMP 204:1035 --initTime 2017-08-23T08:28:24 --startdatetime 2017-08-23T08:29:55 --delay 1 --endMP 300:24241 --enddatetime 2017-08-23T08:38:12 --enforcementcount 1 &gt;&gt;C:\Users\stu\Documents\GitHub\eaglep3-reporting\EC\2017-08-23-refined-times.txt</v>
      </c>
      <c r="AI222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{"issue":{"subject":"","project_id":79,"tracker_id":40,"status_id":1,"priority_id":2,"assigned_to_id":23,"start_date":"2017-08-23","description":"","custom_fields":[{"id":1,"name":"Subdivision","value":"Other"},{"id":4,"name":"Milepost","value":"2.4241"},{"id":17,"name":"Train ID","value":"903-23"},{"id":16,"name":"Locomotive ID","value":"4044"},{"id":130,"name":"Impact","value":""},{"id":150,"name":"Time of Event (Mountain Time)","value":"08:38:12"},{"id":151,"name":"Denver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20"/>
        <v>start /low /b %USERPROFILE%\Documents\GitHub\eaglep3\Utilities\DownloadLogsFromS3.py --loco 4044 --day 2017-08-23</v>
      </c>
      <c r="AN222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14:38:12"},{"id":29,"name":"Sharepoint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722</v>
      </c>
      <c r="B223" s="7">
        <v>4043</v>
      </c>
      <c r="C223" s="21" t="s">
        <v>197</v>
      </c>
      <c r="D223" s="21" t="s">
        <v>998</v>
      </c>
      <c r="E223" s="13">
        <v>42970.637303240743</v>
      </c>
      <c r="F223" s="13">
        <v>42970.639768518522</v>
      </c>
      <c r="G223" s="7">
        <v>3</v>
      </c>
      <c r="H223" s="21" t="s">
        <v>987</v>
      </c>
      <c r="I223" s="13">
        <v>42970.645243055558</v>
      </c>
      <c r="J223" s="7">
        <v>1</v>
      </c>
      <c r="K223" s="89" t="str">
        <f>IF(ISEVEN(B223),(B223-1)&amp;"/"&amp;B223,B223&amp;"/"&amp;(B223+1))</f>
        <v>4043/4044</v>
      </c>
      <c r="L223" s="217" t="str">
        <f>VLOOKUP(A223,'Trips&amp;Operators'!$C$1:$G$99911,5,FALSE)</f>
        <v>TOUSIGNAUT CARL</v>
      </c>
      <c r="M223" s="6">
        <f>I223-F223</f>
        <v>5.4745370362070389E-3</v>
      </c>
      <c r="N223" s="7">
        <f>24*60*SUM($M223:$M223)</f>
        <v>7.883333332138136</v>
      </c>
      <c r="O223" s="7"/>
      <c r="P223" s="7"/>
      <c r="Q223" s="22"/>
      <c r="R223" s="170"/>
      <c r="S223" s="213">
        <f>1/IF(AG223="EC",12,1)*SUM(U223:U223)</f>
        <v>1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-08-23T14:17:43-0600',mode:absolute,to:'2017-08-23T16:29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1</v>
      </c>
      <c r="Y223" s="197">
        <f>RIGHT(D223,LEN(D223)-4)/10000</f>
        <v>2.3574000000000002</v>
      </c>
      <c r="Z223" s="197">
        <f>RIGHT(H223,LEN(H223)-4)/10000</f>
        <v>6.9400000000000003E-2</v>
      </c>
      <c r="AA223" s="197">
        <f>ABS(Z223-Y223)</f>
        <v>2.2880000000000003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6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/stypes="app*4043*20170823*" /stext=" 21:.+((SYSTEM_STATE.+slice.+state.+changed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18"/>
        <v>"%USERPROFILE%\Documents\GitHub\eaglep3\Utilities\RefineRTDCRunTimes.py" --tripid 904-23 --locoid 4043 --swversion DE.1.0.9.0 --startMP 300:23574 --initTime 2017-08-23T15:17:43 --startdatetime 2017-08-23T15:21:16 --delay 3 --endMP 204:694 --enddatetime 2017-08-23T15:29:09 --enforcementcount 1 &gt;&gt;C:\Users\stu\Documents\GitHub\eaglep3-reporting\EC\2017-08-23-refined-times.txt</v>
      </c>
      <c r="AI223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{"issue":{"subject":"","project_id":79,"tracker_id":40,"status_id":1,"priority_id":2,"assigned_to_id":23,"start_date":"2017-08-23","description":"","custom_fields":[{"id":1,"name":"Subdivision","value":"Other"},{"id":4,"name":"Milepost","value":"0.0694"},{"id":17,"name":"Train ID","value":"904-23"},{"id":16,"name":"Locomotive ID","value":"4043"},{"id":130,"name":"Impact","value":""},{"id":150,"name":"Time of Event (Mountain Time)","value":"15:29:09"},{"id":151,"name":"Denver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20"/>
        <v>start /low /b %USERPROFILE%\Documents\GitHub\eaglep3\Utilities\DownloadLogsFromS3.py --loco 4043 --day 2017-08-23</v>
      </c>
      <c r="AN223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21:29:09"},{"id":29,"name":"Sharepoint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776</v>
      </c>
      <c r="B224" s="7">
        <v>4043</v>
      </c>
      <c r="C224" s="21" t="s">
        <v>197</v>
      </c>
      <c r="D224" s="21" t="s">
        <v>999</v>
      </c>
      <c r="E224" s="13">
        <v>42970.796307870369</v>
      </c>
      <c r="F224" s="13">
        <v>42970.797847222224</v>
      </c>
      <c r="G224" s="7">
        <v>1</v>
      </c>
      <c r="H224" s="21" t="s">
        <v>1000</v>
      </c>
      <c r="I224" s="13">
        <v>42970.805</v>
      </c>
      <c r="J224" s="7">
        <v>1</v>
      </c>
      <c r="K224" s="89" t="str">
        <f>IF(ISEVEN(B224),(B224-1)&amp;"/"&amp;B224,B224&amp;"/"&amp;(B224+1))</f>
        <v>4043/4044</v>
      </c>
      <c r="L224" s="217" t="str">
        <f>VLOOKUP(A224,'Trips&amp;Operators'!$C$1:$G$99911,5,FALSE)</f>
        <v>BARRON PERLA</v>
      </c>
      <c r="M224" s="6">
        <f>I224-F224</f>
        <v>7.1527777763549238E-3</v>
      </c>
      <c r="N224" s="7">
        <f>24*60*SUM($M224:$M224)</f>
        <v>10.29999999795109</v>
      </c>
      <c r="O224" s="7"/>
      <c r="P224" s="7"/>
      <c r="Q224" s="22"/>
      <c r="R224" s="170"/>
      <c r="S224" s="213">
        <f>1/IF(AG224="EC",12,1)*SUM(U224:U224)</f>
        <v>0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-08-23T18:06:41-0600',mode:absolute,to:'2017-08-23T20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2</v>
      </c>
      <c r="Y224" s="197">
        <f>RIGHT(D224,LEN(D224)-4)/10000</f>
        <v>5.8596000000000004</v>
      </c>
      <c r="Z224" s="197">
        <f>RIGHT(H224,LEN(H224)-4)/10000</f>
        <v>2.8784000000000001</v>
      </c>
      <c r="AA224" s="197">
        <f>ABS(Z224-Y224)</f>
        <v>2.9812000000000003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6">
        <f>VALUE(LEFT(A224,LEN(A224)-3))</f>
        <v>906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/stypes="app*4043*20170824*" /stext=" 01:.+((SYSTEM_STATE.+slice.+state.+changed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18"/>
        <v>"%USERPROFILE%\Documents\GitHub\eaglep3\Utilities\RefineRTDCRunTimes.py" --tripid 906-23 --locoid 4043 --swversion DE.1.0.9.0 --startMP 300:58596 --initTime 2017-08-23T19:06:41 --startdatetime 2017-08-23T19:08:54 --delay 1 --endMP 300:28784 --enddatetime 2017-08-23T19:19:12 --enforcementcount 1 &gt;&gt;C:\Users\stu\Documents\GitHub\eaglep3-reporting\EC\2017-08-23-refined-times.txt</v>
      </c>
      <c r="AI224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{"issue":{"subject":"","project_id":79,"tracker_id":40,"status_id":1,"priority_id":2,"assigned_to_id":23,"start_date":"2017-08-23","description":"","custom_fields":[{"id":1,"name":"Subdivision","value":"Other"},{"id":4,"name":"Milepost","value":"2.8784"},{"id":17,"name":"Train ID","value":"906-23"},{"id":16,"name":"Locomotive ID","value":"4043"},{"id":130,"name":"Impact","value":""},{"id":150,"name":"Time of Event (Mountain Time)","value":"19:19:12"},{"id":151,"name":"Denver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20"/>
        <v>start /low /b %USERPROFILE%\Documents\GitHub\eaglep3\Utilities\DownloadLogsFromS3.py --loco 4043 --day 2017-08-23</v>
      </c>
      <c r="AN224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01:19:12"},{"id":29,"name":"Sharepoint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794</v>
      </c>
      <c r="B225" s="7">
        <v>4065</v>
      </c>
      <c r="C225" s="21" t="s">
        <v>197</v>
      </c>
      <c r="D225" s="21" t="s">
        <v>544</v>
      </c>
      <c r="E225" s="13">
        <v>42970.941863425927</v>
      </c>
      <c r="F225" s="13">
        <v>42970.943391203706</v>
      </c>
      <c r="G225" s="7">
        <v>1</v>
      </c>
      <c r="H225" s="21" t="s">
        <v>943</v>
      </c>
      <c r="I225" s="13">
        <v>42970.95349537037</v>
      </c>
      <c r="J225" s="7">
        <v>1</v>
      </c>
      <c r="K225" s="89" t="str">
        <f>IF(ISEVEN(B225),(B225-1)&amp;"/"&amp;B225,B225&amp;"/"&amp;(B225+1))</f>
        <v>4065/4066</v>
      </c>
      <c r="L225" s="217" t="str">
        <f>VLOOKUP(A225,'Trips&amp;Operators'!$C$1:$G$99911,5,FALSE)</f>
        <v>BARRON PERLA</v>
      </c>
      <c r="M225" s="6">
        <f>I225-F225</f>
        <v>1.0104166663950309E-2</v>
      </c>
      <c r="N225" s="7">
        <f>24*60*SUM($M225:$M225)</f>
        <v>14.549999996088445</v>
      </c>
      <c r="O225" s="7"/>
      <c r="P225" s="7"/>
      <c r="Q225" s="22"/>
      <c r="R225" s="170"/>
      <c r="S225" s="213">
        <f>1/IF(AG225="EC",12,1)*SUM(U225:U225)</f>
        <v>0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-08-23T21:36:17-0600',mode:absolute,to:'2017-08-23T23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2</v>
      </c>
      <c r="Y225" s="197">
        <f>RIGHT(D225,LEN(D225)-4)/10000</f>
        <v>5.8654999999999999</v>
      </c>
      <c r="Z225" s="197">
        <f>RIGHT(H225,LEN(H225)-4)/10000</f>
        <v>2.8769999999999998</v>
      </c>
      <c r="AA225" s="197">
        <f>ABS(Z225-Y225)</f>
        <v>2.9885000000000002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6">
        <f>VALUE(LEFT(A225,LEN(A225)-3))</f>
        <v>908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/stypes="app*4065*20170824*" /stext=" 04:.+((SYSTEM_STATE.+slice.+state.+changed )|(ment ac)|(multiple cpu faults)|(system.+state.+changed )|(\[timeout)|(PRM\|1\|D)|(kpr)|(kdp)|(train st.+moving)|(\|lc)|(penalty))"</v>
      </c>
      <c r="AG225" s="209" t="str">
        <f>DetSubdiv(A225)</f>
        <v>Other</v>
      </c>
      <c r="AH225" s="78" t="str">
        <f t="shared" si="18"/>
        <v>"%USERPROFILE%\Documents\GitHub\eaglep3\Utilities\RefineRTDCRunTimes.py" --tripid 908-23 --locoid 4065 --swversion DE.1.0.9.0 --startMP 300:58655 --initTime 2017-08-23T22:36:17 --startdatetime 2017-08-23T22:38:29 --delay 1 --endMP 300:28770 --enddatetime 2017-08-23T22:53:02 --enforcementcount 1 &gt;&gt;C:\Users\stu\Documents\GitHub\eaglep3-reporting\EC\2017-08-23-refined-times.txt</v>
      </c>
      <c r="AI225" s="96" t="str">
        <f t="shared" si="19"/>
        <v>echo {"issue":{"subject":"","project_id":79,"tracker_id":40,"status_id":1,"priority_id":2,"assigned_to_id":23,"start_date":"2017-08-23","description":"","custom_fields":[{"id":1,"name":"Subdivision","value":"Other"},{"id":4,"name":"Milepost","value":"2.877"},{"id":17,"name":"Train ID","value":"908-23"},{"id":16,"name":"Locomotive ID","value":"4065"},{"id":130,"name":"Impact","value":""},{"id":150,"name":"Time of Event (Mountain Time)","value":"22:53:02"},{"id":151,"name":"Denver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20"/>
        <v>start /low /b %USERPROFILE%\Documents\GitHub\eaglep3\Utilities\DownloadLogsFromS3.py --loco 4065 --day 2017-08-23</v>
      </c>
      <c r="AN225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04:53:02"},{"id":29,"name":"Sharepoint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593</v>
      </c>
      <c r="B226" s="7">
        <v>4044</v>
      </c>
      <c r="C226" s="21" t="s">
        <v>197</v>
      </c>
      <c r="D226" s="21" t="s">
        <v>390</v>
      </c>
      <c r="E226" s="13">
        <v>42970.128668981481</v>
      </c>
      <c r="F226" s="13">
        <v>42970.137476851851</v>
      </c>
      <c r="G226" s="7">
        <v>1</v>
      </c>
      <c r="H226" s="21" t="s">
        <v>901</v>
      </c>
      <c r="I226" s="13">
        <v>42970.138715277775</v>
      </c>
      <c r="J226" s="7">
        <v>1</v>
      </c>
      <c r="K226" s="89" t="str">
        <f>IF(ISEVEN(B226),(B226-1)&amp;"/"&amp;B226,B226&amp;"/"&amp;(B226+1))</f>
        <v>4043/4044</v>
      </c>
      <c r="L226" s="217" t="str">
        <f>VLOOKUP(A226,'Trips&amp;Operators'!$C$1:$G$99911,5,FALSE)</f>
        <v>SPECTOR MICHAEL</v>
      </c>
      <c r="M226" s="6">
        <f>I226-F226</f>
        <v>1.2384259243845008E-3</v>
      </c>
      <c r="N226" s="7">
        <f>24*60*SUM($M226:$M226)</f>
        <v>1.7833333311136812</v>
      </c>
      <c r="O226" s="7"/>
      <c r="P226" s="7"/>
      <c r="Q226" s="22"/>
      <c r="R226" s="170"/>
      <c r="S226" s="213">
        <f>1/IF(AG226="EC",12,1)*SUM(U226:U226)</f>
        <v>0</v>
      </c>
      <c r="T226" s="195" t="str">
        <f>IF(ISEVEN(LEFT(AD226,4)),"Southbound","NorthBound")</f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-08-23T02:05:17-0600',mode:absolute,to:'2017-08-23T04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-857</v>
      </c>
      <c r="Y226" s="197">
        <f>RIGHT(D226,LEN(D226)-4)/10000</f>
        <v>4.4400000000000002E-2</v>
      </c>
      <c r="Z226" s="197">
        <f>RIGHT(H226,LEN(H226)-4)/10000</f>
        <v>0.35680000000000001</v>
      </c>
      <c r="AA226" s="197">
        <f>ABS(Z226-Y226)</f>
        <v>0.31240000000000001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6">
        <f>VALUE(LEFT(A226,LEN(A226)-3))</f>
        <v>51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/stypes="app*4044*20170823*" /stext=" 09:.+((SYSTEM_STATE.+slice.+state.+changed )|(ment ac)|(multiple cpu faults)|(system.+state.+changed )|(\[timeout)|(PRM\|1\|D)|(kpr)|(kdp)|(train st.+moving)|(\|lc)|(penalty))"</v>
      </c>
      <c r="AG226" s="209" t="str">
        <f>DetSubdiv(A226)</f>
        <v>Shuttle/Test</v>
      </c>
      <c r="AH226" s="78" t="str">
        <f t="shared" si="18"/>
        <v>"%USERPROFILE%\Documents\GitHub\eaglep3\Utilities\RefineRTDCRunTimes.py" --tripid 51-23 --locoid 4044 --swversion DE.1.0.9.0 --startMP 204:444 --initTime 2017-08-23T03:05:17 --startdatetime 2017-08-23T03:17:58 --delay 1 --endMP 204:3568 --enddatetime 2017-08-23T03:19:45 --enforcementcount 1 &gt;&gt;C:\Users\stu\Documents\GitHub\eaglep3-reporting\EC\2017-08-23-refined-times.txt</v>
      </c>
      <c r="AI226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0.3568"},{"id":17,"name":"Train ID","value":"51-23"},{"id":16,"name":"Locomotive ID","value":"4044"},{"id":130,"name":"Impact","value":""},{"id":150,"name":"Time of Event (Mountain Time)","value":"03:19:45"},{"id":151,"name":"Denver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0"/>
        <v>start /low /b %USERPROFILE%\Documents\GitHub\eaglep3\Utilities\DownloadLogsFromS3.py --loco 4044 --day 2017-08-23</v>
      </c>
      <c r="AN226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09:19:45"},{"id":29,"name":"Sharepoint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593</v>
      </c>
      <c r="B227" s="7">
        <v>4060</v>
      </c>
      <c r="C227" s="21" t="s">
        <v>197</v>
      </c>
      <c r="D227" s="21" t="s">
        <v>902</v>
      </c>
      <c r="E227" s="13">
        <v>42970.655636574076</v>
      </c>
      <c r="F227" s="13">
        <v>42970.66578703704</v>
      </c>
      <c r="G227" s="7">
        <v>2</v>
      </c>
      <c r="H227" s="21" t="s">
        <v>529</v>
      </c>
      <c r="I227" s="13">
        <v>42970.675011574072</v>
      </c>
      <c r="J227" s="7">
        <v>1</v>
      </c>
      <c r="K227" s="89" t="str">
        <f>IF(ISEVEN(B227),(B227-1)&amp;"/"&amp;B227,B227&amp;"/"&amp;(B227+1))</f>
        <v>4059/4060</v>
      </c>
      <c r="L227" s="217" t="str">
        <f>VLOOKUP(A227,'Trips&amp;Operators'!$C$1:$G$99911,5,FALSE)</f>
        <v>SPECTOR MICHAEL</v>
      </c>
      <c r="M227" s="6">
        <f>I227-F227</f>
        <v>9.2245370324235409E-3</v>
      </c>
      <c r="N227" s="7">
        <f>24*60*SUM($M227:$M227)</f>
        <v>13.283333326689899</v>
      </c>
      <c r="O227" s="7"/>
      <c r="P227" s="7"/>
      <c r="Q227" s="22"/>
      <c r="R227" s="170"/>
      <c r="S227" s="213">
        <f>1/IF(AG227="EC",12,1)*SUM(U227:U227)</f>
        <v>1</v>
      </c>
      <c r="T227" s="195" t="str">
        <f>IF(ISEVEN(LEFT(AD227,4)),"Southbound","NorthBound")</f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-08-23T14:44:07-0600',mode:absolute,to:'2017-08-23T17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0</v>
      </c>
      <c r="Y227" s="197">
        <f>RIGHT(D227,LEN(D227)-4)/10000</f>
        <v>0.1162</v>
      </c>
      <c r="Z227" s="197">
        <f>RIGHT(H227,LEN(H227)-4)/10000</f>
        <v>2.3304</v>
      </c>
      <c r="AA227" s="197">
        <f>ABS(Z227-Y227)</f>
        <v>2.2141999999999999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6">
        <f>VALUE(LEFT(A227,LEN(A227)-3))</f>
        <v>51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s3://rtdc.mdm.uploadarchive.raw/RTDC4060/ "%USERPROFILE%\AppData\Local\Temp\OnboardLogs"\RTDC4060\2017-08-23 --exclude "*" --recursive --include "*20170823*" &amp; "%USERPROFILE%\Documents\GitHub\mrs-test-scripts\Headless Mode &amp; Sideloading\WalkAndUnGZ.bat" "%USERPROFILE%\AppData\Local\Temp\OnboardLogs"\RTDC4060\2017-08-23 &amp; aws s3 cp s3://rtdc.mdm.uploadarchive.raw/RTDC4060/ "%USERPROFILE%\AppData\Local\Temp\OnboardLogs"\RTDC4060\2017-08-24 --exclude "*" --recursive --include "*20170824*" &amp; "%USERPROFILE%\Documents\GitHub\mrs-test-scripts\Headless Mode &amp; Sideloading\WalkAndUnGZ.bat" "%USERPROFILE%\AppData\Local\Temp\OnboardLogs"\RTDC4060\2017-08-24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/stypes="app*4060*20170823*" /stext=" 22:.+((SYSTEM_STATE.+slice.+state.+changed )|(ment ac)|(multiple cpu faults)|(system.+state.+changed )|(\[timeout)|(PRM\|1\|D)|(kpr)|(kdp)|(train st.+moving)|(\|lc)|(penalty))"</v>
      </c>
      <c r="AG227" s="209" t="str">
        <f>DetSubdiv(A227)</f>
        <v>Shuttle/Test</v>
      </c>
      <c r="AH227" s="78" t="str">
        <f t="shared" si="18"/>
        <v>"%USERPROFILE%\Documents\GitHub\eaglep3\Utilities\RefineRTDCRunTimes.py" --tripid 51-23 --locoid 4060 --swversion DE.1.0.9.0 --startMP 204:1162 --initTime 2017-08-23T15:44:07 --startdatetime 2017-08-23T15:58:44 --delay 2 --endMP 300:23304 --enddatetime 2017-08-23T16:12:01 --enforcementcount 1 &gt;&gt;C:\Users\stu\Documents\GitHub\eaglep3-reporting\EC\2017-08-23-refined-times.txt</v>
      </c>
      <c r="AI227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2.3304"},{"id":17,"name":"Train ID","value":"51-23"},{"id":16,"name":"Locomotive ID","value":"4060"},{"id":130,"name":"Impact","value":""},{"id":150,"name":"Time of Event (Mountain Time)","value":"16:12:01"},{"id":151,"name":"Denver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20"/>
        <v>start /low /b %USERPROFILE%\Documents\GitHub\eaglep3\Utilities\DownloadLogsFromS3.py --loco 4060 --day 2017-08-23</v>
      </c>
      <c r="AN227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22:12:01"},{"id":29,"name":"Sharepoint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595</v>
      </c>
      <c r="B228" s="7">
        <v>4043</v>
      </c>
      <c r="C228" s="21" t="s">
        <v>197</v>
      </c>
      <c r="D228" s="21" t="s">
        <v>903</v>
      </c>
      <c r="E228" s="13">
        <v>42970.139699074076</v>
      </c>
      <c r="F228" s="13">
        <v>42970.141145833331</v>
      </c>
      <c r="G228" s="7">
        <v>1</v>
      </c>
      <c r="H228" s="21" t="s">
        <v>904</v>
      </c>
      <c r="I228" s="13">
        <v>42970.142164351855</v>
      </c>
      <c r="J228" s="7">
        <v>1</v>
      </c>
      <c r="K228" s="89" t="str">
        <f>IF(ISEVEN(B228),(B228-1)&amp;"/"&amp;B228,B228&amp;"/"&amp;(B228+1))</f>
        <v>4043/4044</v>
      </c>
      <c r="L228" s="217" t="str">
        <f>VLOOKUP(A228,'Trips&amp;Operators'!$C$1:$G$99911,5,FALSE)</f>
        <v>SPECTOR MICHAEL</v>
      </c>
      <c r="M228" s="6">
        <f>I228-F228</f>
        <v>1.0185185237787664E-3</v>
      </c>
      <c r="N228" s="7">
        <f>24*60*SUM($M228:$M228)</f>
        <v>1.4666666742414236</v>
      </c>
      <c r="O228" s="7"/>
      <c r="P228" s="7"/>
      <c r="Q228" s="22"/>
      <c r="R228" s="170"/>
      <c r="S228" s="213">
        <f>1/IF(AG228="EC",12,1)*SUM(U228:U228)</f>
        <v>0</v>
      </c>
      <c r="T228" s="195" t="str">
        <f>IF(ISEVEN(LEFT(AD228,4)),"Southbound","NorthBound")</f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-08-23T02:21:10-0600',mode:absolute,to:'2017-08-23T04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1</v>
      </c>
      <c r="Y228" s="197">
        <f>RIGHT(D228,LEN(D228)-4)/10000</f>
        <v>0.32529999999999998</v>
      </c>
      <c r="Z228" s="197">
        <f>RIGHT(H228,LEN(H228)-4)/10000</f>
        <v>0.1177</v>
      </c>
      <c r="AA228" s="197">
        <f>ABS(Z228-Y228)</f>
        <v>0.20759999999999998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6">
        <f>VALUE(LEFT(A228,LEN(A228)-3))</f>
        <v>52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/stypes="app*4043*20170823*" /stext=" 09:.+((SYSTEM_STATE.+slice.+state.+changed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18"/>
        <v>"%USERPROFILE%\Documents\GitHub\eaglep3\Utilities\RefineRTDCRunTimes.py" --tripid 52-23 --locoid 4043 --swversion DE.1.0.9.0 --startMP 204:3253 --initTime 2017-08-23T03:21:10 --startdatetime 2017-08-23T03:23:15 --delay 1 --endMP 204:1177 --enddatetime 2017-08-23T03:24:43 --enforcementcount 1 &gt;&gt;C:\Users\stu\Documents\GitHub\eaglep3-reporting\EC\2017-08-23-refined-times.txt</v>
      </c>
      <c r="AI228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0.1177"},{"id":17,"name":"Train ID","value":"52-23"},{"id":16,"name":"Locomotive ID","value":"4043"},{"id":130,"name":"Impact","value":""},{"id":150,"name":"Time of Event (Mountain Time)","value":"03:24:43"},{"id":151,"name":"Denver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20"/>
        <v>start /low /b %USERPROFILE%\Documents\GitHub\eaglep3\Utilities\DownloadLogsFromS3.py --loco 4043 --day 2017-08-23</v>
      </c>
      <c r="AN228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09:24:43"},{"id":29,"name":"Sharepoint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617</v>
      </c>
      <c r="B229" s="7">
        <v>4044</v>
      </c>
      <c r="C229" s="21" t="s">
        <v>197</v>
      </c>
      <c r="D229" s="21" t="s">
        <v>905</v>
      </c>
      <c r="E229" s="13">
        <v>42970.227500000001</v>
      </c>
      <c r="F229" s="13">
        <v>42970.229502314818</v>
      </c>
      <c r="G229" s="7">
        <v>1</v>
      </c>
      <c r="H229" s="21" t="s">
        <v>906</v>
      </c>
      <c r="I229" s="13">
        <v>42970.231087962966</v>
      </c>
      <c r="J229" s="7">
        <v>1</v>
      </c>
      <c r="K229" s="89" t="str">
        <f>IF(ISEVEN(B229),(B229-1)&amp;"/"&amp;B229,B229&amp;"/"&amp;(B229+1))</f>
        <v>4043/4044</v>
      </c>
      <c r="L229" s="217" t="str">
        <f>VLOOKUP(A229,'Trips&amp;Operators'!$C$1:$G$99911,5,FALSE)</f>
        <v>SPECTOR MICHAEL</v>
      </c>
      <c r="M229" s="6">
        <f>I229-F229</f>
        <v>1.5856481477385387E-3</v>
      </c>
      <c r="N229" s="7">
        <f>24*60*SUM($M229:$M229)</f>
        <v>2.2833333327434957</v>
      </c>
      <c r="O229" s="7"/>
      <c r="P229" s="7"/>
      <c r="Q229" s="22"/>
      <c r="R229" s="170"/>
      <c r="S229" s="213">
        <f>1/IF(AG229="EC",12,1)*SUM(U229:U229)</f>
        <v>0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-08-23T04:27:36-0600',mode:absolute,to:'2017-08-23T06:32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1</v>
      </c>
      <c r="Y229" s="197">
        <f>RIGHT(D229,LEN(D229)-4)/10000</f>
        <v>0.1484</v>
      </c>
      <c r="Z229" s="197">
        <f>RIGHT(H229,LEN(H229)-4)/10000</f>
        <v>0.56269999999999998</v>
      </c>
      <c r="AA229" s="197">
        <f>ABS(Z229-Y229)</f>
        <v>0.4143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6">
        <f>VALUE(LEFT(A229,LEN(A229)-3))</f>
        <v>53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/stypes="app*4044*20170823*" /stext=" 11:.+((SYSTEM_STATE.+slice.+state.+changed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18"/>
        <v>"%USERPROFILE%\Documents\GitHub\eaglep3\Utilities\RefineRTDCRunTimes.py" --tripid 53-23 --locoid 4044 --swversion DE.1.0.9.0 --startMP 204:1484 --initTime 2017-08-23T05:27:36 --startdatetime 2017-08-23T05:30:29 --delay 1 --endMP 300:5627 --enddatetime 2017-08-23T05:32:46 --enforcementcount 1 &gt;&gt;C:\Users\stu\Documents\GitHub\eaglep3-reporting\EC\2017-08-23-refined-times.txt</v>
      </c>
      <c r="AI229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0.5627"},{"id":17,"name":"Train ID","value":"53-23"},{"id":16,"name":"Locomotive ID","value":"4044"},{"id":130,"name":"Impact","value":""},{"id":150,"name":"Time of Event (Mountain Time)","value":"05:32:46"},{"id":151,"name":"Denver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20"/>
        <v>start /low /b %USERPROFILE%\Documents\GitHub\eaglep3\Utilities\DownloadLogsFromS3.py --loco 4044 --day 2017-08-23</v>
      </c>
      <c r="AN229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11:32:46"},{"id":29,"name":"Sharepoint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617</v>
      </c>
      <c r="B230" s="7">
        <v>4046</v>
      </c>
      <c r="C230" s="21" t="s">
        <v>197</v>
      </c>
      <c r="D230" s="21" t="s">
        <v>907</v>
      </c>
      <c r="E230" s="13">
        <v>42970.267800925925</v>
      </c>
      <c r="F230" s="13">
        <v>42970.269085648149</v>
      </c>
      <c r="G230" s="7">
        <v>1</v>
      </c>
      <c r="H230" s="21" t="s">
        <v>468</v>
      </c>
      <c r="I230" s="13">
        <v>42970.275763888887</v>
      </c>
      <c r="J230" s="7">
        <v>1</v>
      </c>
      <c r="K230" s="89" t="str">
        <f>IF(ISEVEN(B230),(B230-1)&amp;"/"&amp;B230,B230&amp;"/"&amp;(B230+1))</f>
        <v>4045/4046</v>
      </c>
      <c r="L230" s="217" t="str">
        <f>VLOOKUP(A230,'Trips&amp;Operators'!$C$1:$G$99911,5,FALSE)</f>
        <v>SPECTOR MICHAEL</v>
      </c>
      <c r="M230" s="6">
        <f>I230-F230</f>
        <v>6.6782407375285402E-3</v>
      </c>
      <c r="N230" s="7">
        <f>24*60*SUM($M230:$M230)</f>
        <v>9.6166666620410979</v>
      </c>
      <c r="O230" s="7"/>
      <c r="P230" s="7"/>
      <c r="Q230" s="22"/>
      <c r="R230" s="170"/>
      <c r="S230" s="213">
        <f>1/IF(AG230="EC",12,1)*SUM(U230:U230)</f>
        <v>1</v>
      </c>
      <c r="T230" s="195" t="str">
        <f>IF(ISEVEN(LEFT(AD230,4)),"Southbound","NorthBound")</f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-08-23T05:25:38-0600',mode:absolute,to:'2017-08-23T07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0</v>
      </c>
      <c r="Y230" s="197">
        <f>RIGHT(D230,LEN(D230)-4)/10000</f>
        <v>0.10059999999999999</v>
      </c>
      <c r="Z230" s="197">
        <f>RIGHT(H230,LEN(H230)-4)/10000</f>
        <v>2.3298999999999999</v>
      </c>
      <c r="AA230" s="197">
        <f>ABS(Z230-Y230)</f>
        <v>2.2292999999999998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6">
        <f>VALUE(LEFT(A230,LEN(A230)-3))</f>
        <v>53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s3://rtdc.mdm.uploadarchive.raw/RTDC4046/ "%USERPROFILE%\AppData\Local\Temp\OnboardLogs"\RTDC4046\2017-08-23 --exclude "*" --recursive --include "*20170823*" &amp; "%USERPROFILE%\Documents\GitHub\mrs-test-scripts\Headless Mode &amp; Sideloading\WalkAndUnGZ.bat" "%USERPROFILE%\AppData\Local\Temp\OnboardLogs"\RTDC4046\2017-08-23 &amp; aws s3 cp s3://rtdc.mdm.uploadarchive.raw/RTDC4046/ "%USERPROFILE%\AppData\Local\Temp\OnboardLogs"\RTDC4046\2017-08-24 --exclude "*" --recursive --include "*20170824*" &amp; "%USERPROFILE%\Documents\GitHub\mrs-test-scripts\Headless Mode &amp; Sideloading\WalkAndUnGZ.bat" "%USERPROFILE%\AppData\Local\Temp\OnboardLogs"\RTDC4046\2017-08-24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/stypes="app*4046*20170823*" /stext=" 12:.+((SYSTEM_STATE.+slice.+state.+changed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18"/>
        <v>"%USERPROFILE%\Documents\GitHub\eaglep3\Utilities\RefineRTDCRunTimes.py" --tripid 53-23 --locoid 4046 --swversion DE.1.0.9.0 --startMP 204:1006 --initTime 2017-08-23T06:25:38 --startdatetime 2017-08-23T06:27:29 --delay 1 --endMP 300:23299 --enddatetime 2017-08-23T06:37:06 --enforcementcount 1 &gt;&gt;C:\Users\stu\Documents\GitHub\eaglep3-reporting\EC\2017-08-23-refined-times.txt</v>
      </c>
      <c r="AI230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2.3299"},{"id":17,"name":"Train ID","value":"53-23"},{"id":16,"name":"Locomotive ID","value":"4046"},{"id":130,"name":"Impact","value":""},{"id":150,"name":"Time of Event (Mountain Time)","value":"06:37:06"},{"id":151,"name":"Denver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20"/>
        <v>start /low /b %USERPROFILE%\Documents\GitHub\eaglep3\Utilities\DownloadLogsFromS3.py --loco 4046 --day 2017-08-23</v>
      </c>
      <c r="AN230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12:37:06"},{"id":29,"name":"Sharepoint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618</v>
      </c>
      <c r="B231" s="7">
        <v>4043</v>
      </c>
      <c r="C231" s="21" t="s">
        <v>197</v>
      </c>
      <c r="D231" s="21" t="s">
        <v>908</v>
      </c>
      <c r="E231" s="13">
        <v>42970.232083333336</v>
      </c>
      <c r="F231" s="13">
        <v>42970.236875000002</v>
      </c>
      <c r="G231" s="7">
        <v>1</v>
      </c>
      <c r="H231" s="21" t="s">
        <v>892</v>
      </c>
      <c r="I231" s="13">
        <v>42970.239224537036</v>
      </c>
      <c r="J231" s="7">
        <v>1</v>
      </c>
      <c r="K231" s="89" t="str">
        <f>IF(ISEVEN(B231),(B231-1)&amp;"/"&amp;B231,B231&amp;"/"&amp;(B231+1))</f>
        <v>4043/4044</v>
      </c>
      <c r="L231" s="217" t="str">
        <f>VLOOKUP(A231,'Trips&amp;Operators'!$C$1:$G$99911,5,FALSE)</f>
        <v>SPECTOR MICHAEL</v>
      </c>
      <c r="M231" s="6">
        <f>I231-F231</f>
        <v>2.3495370332966559E-3</v>
      </c>
      <c r="N231" s="7">
        <f>24*60*SUM($M231:$M231)</f>
        <v>3.3833333279471844</v>
      </c>
      <c r="O231" s="7"/>
      <c r="P231" s="7"/>
      <c r="Q231" s="22"/>
      <c r="R231" s="170"/>
      <c r="S231" s="213">
        <f>1/IF(AG231="EC",12,1)*SUM(U231:U231)</f>
        <v>0</v>
      </c>
      <c r="T231" s="195" t="str">
        <f>IF(ISEVEN(LEFT(AD231,4)),"Southbound","NorthBound")</f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-08-23T04:34:12-0600',mode:absolute,to:'2017-08-23T06:44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1</v>
      </c>
      <c r="Y231" s="197">
        <f>RIGHT(D231,LEN(D231)-4)/10000</f>
        <v>0.53080000000000005</v>
      </c>
      <c r="Z231" s="197">
        <f>RIGHT(H231,LEN(H231)-4)/10000</f>
        <v>1.37E-2</v>
      </c>
      <c r="AA231" s="197">
        <f>ABS(Z231-Y231)</f>
        <v>0.5171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6">
        <f>VALUE(LEFT(A231,LEN(A231)-3))</f>
        <v>54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/stypes="app*4043*20170823*" /stext=" 11:.+((SYSTEM_STATE.+slice.+state.+changed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18"/>
        <v>"%USERPROFILE%\Documents\GitHub\eaglep3\Utilities\RefineRTDCRunTimes.py" --tripid 54-23 --locoid 4043 --swversion DE.1.0.9.0 --startMP 300:5308 --initTime 2017-08-23T05:34:12 --startdatetime 2017-08-23T05:41:06 --delay 1 --endMP 204:137 --enddatetime 2017-08-23T05:44:29 --enforcementcount 1 &gt;&gt;C:\Users\stu\Documents\GitHub\eaglep3-reporting\EC\2017-08-23-refined-times.txt</v>
      </c>
      <c r="AI231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0.0137"},{"id":17,"name":"Train ID","value":"54-23"},{"id":16,"name":"Locomotive ID","value":"4043"},{"id":130,"name":"Impact","value":""},{"id":150,"name":"Time of Event (Mountain Time)","value":"05:44:29"},{"id":151,"name":"Denver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20"/>
        <v>start /low /b %USERPROFILE%\Documents\GitHub\eaglep3\Utilities\DownloadLogsFromS3.py --loco 4043 --day 2017-08-23</v>
      </c>
      <c r="AN231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11:44:29"},{"id":29,"name":"Sharepoint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638</v>
      </c>
      <c r="B232" s="7">
        <v>4011</v>
      </c>
      <c r="C232" s="21" t="s">
        <v>197</v>
      </c>
      <c r="D232" s="21" t="s">
        <v>342</v>
      </c>
      <c r="E232" s="13">
        <v>42970.286307870374</v>
      </c>
      <c r="F232" s="13">
        <v>42970.29074074074</v>
      </c>
      <c r="G232" s="7">
        <v>6</v>
      </c>
      <c r="H232" s="21" t="s">
        <v>532</v>
      </c>
      <c r="I232" s="13">
        <v>42970.298425925925</v>
      </c>
      <c r="J232" s="7">
        <v>1</v>
      </c>
      <c r="K232" s="89" t="str">
        <f>IF(ISEVEN(B232),(B232-1)&amp;"/"&amp;B232,B232&amp;"/"&amp;(B232+1))</f>
        <v>4011/4012</v>
      </c>
      <c r="L232" s="217" t="str">
        <f>VLOOKUP(A232,'Trips&amp;Operators'!$C$1:$G$99911,5,FALSE)</f>
        <v>CUSHING HARRY</v>
      </c>
      <c r="M232" s="6">
        <f>I232-F232</f>
        <v>7.6851851845276542E-3</v>
      </c>
      <c r="N232" s="7">
        <f>24*60*SUM($M232:$M232)</f>
        <v>11.066666665719822</v>
      </c>
      <c r="O232" s="7"/>
      <c r="P232" s="7"/>
      <c r="Q232" s="22"/>
      <c r="R232" s="170"/>
      <c r="S232" s="213">
        <f>1/IF(AG232="EC",12,1)*SUM(U232:U232)</f>
        <v>1</v>
      </c>
      <c r="T232" s="195" t="str">
        <f>IF(ISEVEN(LEFT(AD232,4)),"Southbound","NorthBound")</f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-08-23T05:52:17-0600',mode:absolute,to:'2017-08-23T08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2</v>
      </c>
      <c r="Y232" s="197">
        <f>RIGHT(D232,LEN(D232)-4)/10000</f>
        <v>2.3346</v>
      </c>
      <c r="Z232" s="197">
        <f>RIGHT(H232,LEN(H232)-4)/10000</f>
        <v>0.1164</v>
      </c>
      <c r="AA232" s="197">
        <f>ABS(Z232-Y232)</f>
        <v>2.2181999999999999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6">
        <f>VALUE(LEFT(A232,LEN(A232)-3))</f>
        <v>56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 &amp; aws s3 cp s3://rtdc.mdm.uploadarchive.raw/RTDC4011/ "%USERPROFILE%\AppData\Local\Temp\OnboardLogs"\RTDC4011\2017-08-24 --exclude "*" --recursive --include "*20170824*" &amp; "%USERPROFILE%\Documents\GitHub\mrs-test-scripts\Headless Mode &amp; Sideloading\WalkAndUnGZ.bat" "%USERPROFILE%\AppData\Local\Temp\OnboardLogs"\RTDC4011\2017-08-24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/stypes="app*4011*20170823*" /stext=" 13:.+((SYSTEM_STATE.+slice.+state.+changed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18"/>
        <v>"%USERPROFILE%\Documents\GitHub\eaglep3\Utilities\RefineRTDCRunTimes.py" --tripid 56-23 --locoid 4011 --swversion DE.1.0.9.0 --startMP 300:23346 --initTime 2017-08-23T06:52:17 --startdatetime 2017-08-23T06:58:40 --delay 6 --endMP 204:1164 --enddatetime 2017-08-23T07:09:44 --enforcementcount 1 &gt;&gt;C:\Users\stu\Documents\GitHub\eaglep3-reporting\EC\2017-08-23-refined-times.txt</v>
      </c>
      <c r="AI232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0.1164"},{"id":17,"name":"Train ID","value":"56-23"},{"id":16,"name":"Locomotive ID","value":"4011"},{"id":130,"name":"Impact","value":""},{"id":150,"name":"Time of Event (Mountain Time)","value":"07:09:44"},{"id":151,"name":"Denver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20"/>
        <v>start /low /b %USERPROFILE%\Documents\GitHub\eaglep3\Utilities\DownloadLogsFromS3.py --loco 4011 --day 2017-08-23</v>
      </c>
      <c r="AN232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13:09:44"},{"id":29,"name":"Sharepoint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709</v>
      </c>
      <c r="B233" s="7">
        <v>4013</v>
      </c>
      <c r="C233" s="21" t="s">
        <v>197</v>
      </c>
      <c r="D233" s="21" t="s">
        <v>909</v>
      </c>
      <c r="E233" s="13">
        <v>42970.570567129631</v>
      </c>
      <c r="F233" s="13">
        <v>42970.571909722225</v>
      </c>
      <c r="G233" s="7">
        <v>1</v>
      </c>
      <c r="H233" s="21" t="s">
        <v>464</v>
      </c>
      <c r="I233" s="13">
        <v>42970.573761574073</v>
      </c>
      <c r="J233" s="7">
        <v>1</v>
      </c>
      <c r="K233" s="89" t="str">
        <f>IF(ISEVEN(B233),(B233-1)&amp;"/"&amp;B233,B233&amp;"/"&amp;(B233+1))</f>
        <v>4013/4014</v>
      </c>
      <c r="L233" s="217" t="str">
        <f>VLOOKUP(A233,'Trips&amp;Operators'!$C$1:$G$99911,5,FALSE)</f>
        <v>DE LA ROSA ALEX</v>
      </c>
      <c r="M233" s="6">
        <f>I233-F233</f>
        <v>1.8518518481869251E-3</v>
      </c>
      <c r="N233" s="7">
        <f>24*60*SUM($M233:$M233)</f>
        <v>2.6666666613891721</v>
      </c>
      <c r="O233" s="7"/>
      <c r="P233" s="7"/>
      <c r="Q233" s="22"/>
      <c r="R233" s="170"/>
      <c r="S233" s="213">
        <f>1/IF(AG233="EC",12,1)*SUM(U233:U233)</f>
        <v>0</v>
      </c>
      <c r="T233" s="195" t="str">
        <f>IF(ISEVEN(LEFT(AD233,4)),"Southbound","NorthBound")</f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-08-23T12:41:37-0600',mode:absolute,to:'2017-08-23T14:46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1</v>
      </c>
      <c r="Y233" s="197">
        <f>RIGHT(D233,LEN(D233)-4)/10000</f>
        <v>0.5292</v>
      </c>
      <c r="Z233" s="197">
        <f>RIGHT(H233,LEN(H233)-4)/10000</f>
        <v>1.6500000000000001E-2</v>
      </c>
      <c r="AA233" s="197">
        <f>ABS(Z233-Y233)</f>
        <v>0.51270000000000004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6">
        <f>VALUE(LEFT(A233,LEN(A233)-3))</f>
        <v>57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/stypes="app*4013*20170823*" /stext=" 19:.+((SYSTEM_STATE.+slice.+state.+changed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18"/>
        <v>"%USERPROFILE%\Documents\GitHub\eaglep3\Utilities\RefineRTDCRunTimes.py" --tripid 57-23 --locoid 4013 --swversion DE.1.0.9.0 --startMP 300:5292 --initTime 2017-08-23T13:41:37 --startdatetime 2017-08-23T13:43:33 --delay 1 --endMP 204:165 --enddatetime 2017-08-23T13:46:13 --enforcementcount 1 &gt;&gt;C:\Users\stu\Documents\GitHub\eaglep3-reporting\EC\2017-08-23-refined-times.txt</v>
      </c>
      <c r="AI233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0.0165"},{"id":17,"name":"Train ID","value":"57-23"},{"id":16,"name":"Locomotive ID","value":"4013"},{"id":130,"name":"Impact","value":""},{"id":150,"name":"Time of Event (Mountain Time)","value":"13:46:13"},{"id":151,"name":"Denver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20"/>
        <v>start /low /b %USERPROFILE%\Documents\GitHub\eaglep3\Utilities\DownloadLogsFromS3.py --loco 4013 --day 2017-08-23</v>
      </c>
      <c r="AN233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19:46:13"},{"id":29,"name":"Sharepoint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s="20" customFormat="1" x14ac:dyDescent="0.25">
      <c r="A234" s="32" t="s">
        <v>709</v>
      </c>
      <c r="B234" s="7">
        <v>4014</v>
      </c>
      <c r="C234" s="21" t="s">
        <v>197</v>
      </c>
      <c r="D234" s="21" t="s">
        <v>910</v>
      </c>
      <c r="E234" s="13">
        <v>42970.564583333333</v>
      </c>
      <c r="F234" s="13">
        <v>42970.571909722225</v>
      </c>
      <c r="G234" s="7">
        <v>1</v>
      </c>
      <c r="H234" s="21" t="s">
        <v>911</v>
      </c>
      <c r="I234" s="13">
        <v>42970.573761574073</v>
      </c>
      <c r="J234" s="7">
        <v>1</v>
      </c>
      <c r="K234" s="89" t="str">
        <f>IF(ISEVEN(B234),(B234-1)&amp;"/"&amp;B234,B234&amp;"/"&amp;(B234+1))</f>
        <v>4013/4014</v>
      </c>
      <c r="L234" s="217" t="str">
        <f>VLOOKUP(A234,'Trips&amp;Operators'!$C$1:$G$99911,5,FALSE)</f>
        <v>DE LA ROSA ALEX</v>
      </c>
      <c r="M234" s="6">
        <f>I234-F234</f>
        <v>1.8518518481869251E-3</v>
      </c>
      <c r="N234" s="7">
        <f>24*60*SUM($M234:$M234)</f>
        <v>2.6666666613891721</v>
      </c>
      <c r="O234" s="7"/>
      <c r="P234" s="7"/>
      <c r="Q234" s="22"/>
      <c r="R234" s="170"/>
      <c r="S234" s="213">
        <f>1/IF(AG234="EC",12,1)*SUM(U234:U234)</f>
        <v>0</v>
      </c>
      <c r="T234" s="195" t="str">
        <f>IF(ISEVEN(LEFT(AD234,4)),"Southbound","NorthBound")</f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-08-23T12:33:00-0600',mode:absolute,to:'2017-08-23T14:46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0</v>
      </c>
      <c r="Y234" s="197">
        <f>RIGHT(D234,LEN(D234)-4)/10000</f>
        <v>4.3900000000000002E-2</v>
      </c>
      <c r="Z234" s="197">
        <f>RIGHT(H234,LEN(H234)-4)/10000</f>
        <v>0.55679999999999996</v>
      </c>
      <c r="AA234" s="197">
        <f>ABS(Z234-Y234)</f>
        <v>0.51289999999999991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6">
        <f>VALUE(LEFT(A234,LEN(A234)-3))</f>
        <v>57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s3://rtdc.mdm.uploadarchive.raw/RTDC4014/ "%USERPROFILE%\AppData\Local\Temp\OnboardLogs"\RTDC4014\2017-08-23 --exclude "*" --recursive --include "*20170823*" &amp; "%USERPROFILE%\Documents\GitHub\mrs-test-scripts\Headless Mode &amp; Sideloading\WalkAndUnGZ.bat" "%USERPROFILE%\AppData\Local\Temp\OnboardLogs"\RTDC4014\2017-08-23 &amp; aws s3 cp s3://rtdc.mdm.uploadarchive.raw/RTDC4014/ "%USERPROFILE%\AppData\Local\Temp\OnboardLogs"\RTDC4014\2017-08-24 --exclude "*" --recursive --include "*20170824*" &amp; "%USERPROFILE%\Documents\GitHub\mrs-test-scripts\Headless Mode &amp; Sideloading\WalkAndUnGZ.bat" "%USERPROFILE%\AppData\Local\Temp\OnboardLogs"\RTDC4014\2017-08-24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/stypes="app*4014*20170823*" /stext=" 19:.+((SYSTEM_STATE.+slice.+state.+changed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18"/>
        <v>"%USERPROFILE%\Documents\GitHub\eaglep3\Utilities\RefineRTDCRunTimes.py" --tripid 57-23 --locoid 4014 --swversion DE.1.0.9.0 --startMP 204:439 --initTime 2017-08-23T13:33:00 --startdatetime 2017-08-23T13:43:33 --delay 1 --endMP 300:5568 --enddatetime 2017-08-23T13:46:13 --enforcementcount 1 &gt;&gt;C:\Users\stu\Documents\GitHub\eaglep3-reporting\EC\2017-08-23-refined-times.txt</v>
      </c>
      <c r="AI234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0.5568"},{"id":17,"name":"Train ID","value":"57-23"},{"id":16,"name":"Locomotive ID","value":"4014"},{"id":130,"name":"Impact","value":""},{"id":150,"name":"Time of Event (Mountain Time)","value":"13:46:13"},{"id":151,"name":"Denver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20"/>
        <v>start /low /b %USERPROFILE%\Documents\GitHub\eaglep3\Utilities\DownloadLogsFromS3.py --loco 4014 --day 2017-08-23</v>
      </c>
      <c r="AN234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19:46:13"},{"id":29,"name":"Sharepoint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2" t="s">
        <v>675</v>
      </c>
      <c r="B235" s="7">
        <v>4055</v>
      </c>
      <c r="C235" s="21" t="s">
        <v>197</v>
      </c>
      <c r="D235" s="21" t="s">
        <v>912</v>
      </c>
      <c r="E235" s="13">
        <v>42970.443252314813</v>
      </c>
      <c r="F235" s="13">
        <v>42970.452303240738</v>
      </c>
      <c r="G235" s="7">
        <v>12</v>
      </c>
      <c r="H235" s="21" t="s">
        <v>913</v>
      </c>
      <c r="I235" s="13">
        <v>42970.457800925928</v>
      </c>
      <c r="J235" s="7">
        <v>1</v>
      </c>
      <c r="K235" s="89" t="str">
        <f>IF(ISEVEN(B235),(B235-1)&amp;"/"&amp;B235,B235&amp;"/"&amp;(B235+1))</f>
        <v>4055/4056</v>
      </c>
      <c r="L235" s="217" t="str">
        <f>VLOOKUP(A235,'Trips&amp;Operators'!$C$1:$G$99911,5,FALSE)</f>
        <v>YORK EDGAR</v>
      </c>
      <c r="M235" s="6">
        <f>I235-F235</f>
        <v>5.4976851897663437E-3</v>
      </c>
      <c r="N235" s="7">
        <f>24*60*SUM($M235:$M235)</f>
        <v>7.9166666732635349</v>
      </c>
      <c r="O235" s="7"/>
      <c r="P235" s="7"/>
      <c r="Q235" s="22"/>
      <c r="R235" s="170"/>
      <c r="S235" s="213">
        <f>1/IF(AG235="EC",12,1)*SUM(U235:U235)</f>
        <v>1</v>
      </c>
      <c r="T235" s="195" t="str">
        <f>IF(ISEVEN(LEFT(AD235,4)),"Southbound","NorthBound")</f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-08-23T09:38:17-0600',mode:absolute,to:'2017-08-23T11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5" s="197" t="str">
        <f>IF(AA235&lt;VLOOKUP(AG235,Variables!$AC$3:$AD$8,2,FALSE),"Y","N")</f>
        <v>Y</v>
      </c>
      <c r="X235" s="197">
        <f>VALUE(LEFT(AD235,4))-VALUE(LEFT(AD234,4))</f>
        <v>1</v>
      </c>
      <c r="Y235" s="197">
        <f>RIGHT(D235,LEN(D235)-4)/10000</f>
        <v>2.1484999999999999</v>
      </c>
      <c r="Z235" s="197">
        <f>RIGHT(H235,LEN(H235)-4)/10000</f>
        <v>8.8200000000000001E-2</v>
      </c>
      <c r="AA235" s="197">
        <f>ABS(Z235-Y235)</f>
        <v>2.0602999999999998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6">
        <f>VALUE(LEFT(A235,LEN(A235)-3))</f>
        <v>58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 &amp; 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/stypes="app*4055*20170823*" /stext=" 16:.+((SYSTEM_STATE.+slice.+state.+changed )|(ment ac)|(multiple cpu faults)|(system.+state.+changed )|(\[timeout)|(PRM\|1\|D)|(kpr)|(kdp)|(train st.+moving)|(\|lc)|(penalty))"</v>
      </c>
      <c r="AG235" s="209" t="str">
        <f>DetSubdiv(A235)</f>
        <v>Shuttle/Test</v>
      </c>
      <c r="AH235" s="78" t="str">
        <f t="shared" si="18"/>
        <v>"%USERPROFILE%\Documents\GitHub\eaglep3\Utilities\RefineRTDCRunTimes.py" --tripid 58-23 --locoid 4055 --swversion DE.1.0.9.0 --startMP 300:21485 --initTime 2017-08-23T10:38:17 --startdatetime 2017-08-23T10:51:19 --delay 12 --endMP 204:882 --enddatetime 2017-08-23T10:59:14 --enforcementcount 1 &gt;&gt;C:\Users\stu\Documents\GitHub\eaglep3-reporting\EC\2017-08-23-refined-times.txt</v>
      </c>
      <c r="AI235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0.0882"},{"id":17,"name":"Train ID","value":"58-23"},{"id":16,"name":"Locomotive ID","value":"4055"},{"id":130,"name":"Impact","value":""},{"id":150,"name":"Time of Event (Mountain Time)","value":"10:59:14"},{"id":151,"name":"Denver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20"/>
        <v>start /low /b %USERPROFILE%\Documents\GitHub\eaglep3\Utilities\DownloadLogsFromS3.py --loco 4055 --day 2017-08-23</v>
      </c>
      <c r="AN235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16:59:14"},{"id":29,"name":"Sharepoint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686</v>
      </c>
      <c r="B236" s="7">
        <v>4056</v>
      </c>
      <c r="C236" s="21" t="s">
        <v>197</v>
      </c>
      <c r="D236" s="21" t="s">
        <v>914</v>
      </c>
      <c r="E236" s="13">
        <v>42970.474699074075</v>
      </c>
      <c r="F236" s="13">
        <v>42970.477118055554</v>
      </c>
      <c r="G236" s="7">
        <v>1</v>
      </c>
      <c r="H236" s="21" t="s">
        <v>915</v>
      </c>
      <c r="I236" s="13">
        <v>42970.497187499997</v>
      </c>
      <c r="J236" s="7">
        <v>1</v>
      </c>
      <c r="K236" s="89" t="str">
        <f>IF(ISEVEN(B236),(B236-1)&amp;"/"&amp;B236,B236&amp;"/"&amp;(B236+1))</f>
        <v>4055/4056</v>
      </c>
      <c r="L236" s="217" t="str">
        <f>VLOOKUP(A236,'Trips&amp;Operators'!$C$1:$G$99911,5,FALSE)</f>
        <v>STARKS ANGELINA</v>
      </c>
      <c r="M236" s="6">
        <f>I236-F236</f>
        <v>2.0069444442924578E-2</v>
      </c>
      <c r="N236" s="7">
        <f>24*60*SUM($M236:$M236)</f>
        <v>28.899999997811392</v>
      </c>
      <c r="O236" s="7"/>
      <c r="P236" s="7"/>
      <c r="Q236" s="22"/>
      <c r="R236" s="170"/>
      <c r="S236" s="213">
        <f>1/IF(AG236="EC",12,1)*SUM(U236:U236)</f>
        <v>1</v>
      </c>
      <c r="T236" s="195" t="str">
        <f>IF(ISEVEN(LEFT(AD236,4)),"Southbound","NorthBound")</f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-08-23T10:23:34-0600',mode:absolute,to:'2017-08-23T12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6" s="197" t="str">
        <f>IF(AA236&lt;VLOOKUP(AG236,Variables!$AC$3:$AD$8,2,FALSE),"Y","N")</f>
        <v>Y</v>
      </c>
      <c r="X236" s="197">
        <f>VALUE(LEFT(AD236,4))-VALUE(LEFT(AD235,4))</f>
        <v>1</v>
      </c>
      <c r="Y236" s="197">
        <f>RIGHT(D236,LEN(D236)-4)/10000</f>
        <v>0.1201</v>
      </c>
      <c r="Z236" s="197">
        <f>RIGHT(H236,LEN(H236)-4)/10000</f>
        <v>2.4224000000000001</v>
      </c>
      <c r="AA236" s="197">
        <f>ABS(Z236-Y236)</f>
        <v>2.3023000000000002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6">
        <f>VALUE(LEFT(A236,LEN(A236)-3))</f>
        <v>59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s3://rtdc.mdm.uploadarchive.raw/RTDC4056/ "%USERPROFILE%\AppData\Local\Temp\OnboardLogs"\RTDC4056\2017-08-23 --exclude "*" --recursive --include "*20170823*" &amp; "%USERPROFILE%\Documents\GitHub\mrs-test-scripts\Headless Mode &amp; Sideloading\WalkAndUnGZ.bat" "%USERPROFILE%\AppData\Local\Temp\OnboardLogs"\RTDC4056\2017-08-23 &amp; 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/stypes="app*4056*20170823*" /stext=" 17:.+((SYSTEM_STATE.+slice.+state.+changed )|(ment ac)|(multiple cpu faults)|(system.+state.+changed )|(\[timeout)|(PRM\|1\|D)|(kpr)|(kdp)|(train st.+moving)|(\|lc)|(penalty))"</v>
      </c>
      <c r="AG236" s="209" t="str">
        <f>DetSubdiv(A236)</f>
        <v>Shuttle/Test</v>
      </c>
      <c r="AH236" s="78" t="str">
        <f t="shared" si="18"/>
        <v>"%USERPROFILE%\Documents\GitHub\eaglep3\Utilities\RefineRTDCRunTimes.py" --tripid 59-23 --locoid 4056 --swversion DE.1.0.9.0 --startMP 204:1201 --initTime 2017-08-23T11:23:34 --startdatetime 2017-08-23T11:27:03 --delay 1 --endMP 300:24224 --enddatetime 2017-08-23T11:55:57 --enforcementcount 1 &gt;&gt;C:\Users\stu\Documents\GitHub\eaglep3-reporting\EC\2017-08-23-refined-times.txt</v>
      </c>
      <c r="AI236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2.4224"},{"id":17,"name":"Train ID","value":"59-23"},{"id":16,"name":"Locomotive ID","value":"4056"},{"id":130,"name":"Impact","value":""},{"id":150,"name":"Time of Event (Mountain Time)","value":"11:55:57"},{"id":151,"name":"Denver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20"/>
        <v>start /low /b %USERPROFILE%\Documents\GitHub\eaglep3\Utilities\DownloadLogsFromS3.py --loco 4056 --day 2017-08-23</v>
      </c>
      <c r="AN236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760</v>
      </c>
      <c r="B237" s="7">
        <v>4023</v>
      </c>
      <c r="C237" s="21" t="s">
        <v>197</v>
      </c>
      <c r="D237" s="21" t="s">
        <v>916</v>
      </c>
      <c r="E237" s="13">
        <v>42970.744884259257</v>
      </c>
      <c r="F237" s="13">
        <v>42970.747557870367</v>
      </c>
      <c r="G237" s="7">
        <v>3</v>
      </c>
      <c r="H237" s="21" t="s">
        <v>917</v>
      </c>
      <c r="I237" s="13">
        <v>42970.756030092591</v>
      </c>
      <c r="J237" s="7">
        <v>1</v>
      </c>
      <c r="K237" s="89" t="str">
        <f>IF(ISEVEN(B237),(B237-1)&amp;"/"&amp;B237,B237&amp;"/"&amp;(B237+1))</f>
        <v>4023/4024</v>
      </c>
      <c r="L237" s="217" t="str">
        <f>VLOOKUP(A237,'Trips&amp;Operators'!$C$1:$G$99911,5,FALSE)</f>
        <v>HUFFSMITH MONTY</v>
      </c>
      <c r="M237" s="6">
        <f>I237-F237</f>
        <v>8.4722222236450762E-3</v>
      </c>
      <c r="N237" s="7">
        <f>24*60*SUM($M237:$M237)</f>
        <v>12.20000000204891</v>
      </c>
      <c r="O237" s="7"/>
      <c r="P237" s="7"/>
      <c r="Q237" s="22"/>
      <c r="R237" s="170"/>
      <c r="S237" s="213">
        <f>1/IF(AG237="EC",12,1)*SUM(U237:U237)</f>
        <v>1</v>
      </c>
      <c r="T237" s="195" t="str">
        <f>IF(ISEVEN(LEFT(AD237,4)),"Southbound","NorthBound")</f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-08-23T16:52:38-0600',mode:absolute,to:'2017-08-23T19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7" s="197" t="str">
        <f>IF(AA237&lt;VLOOKUP(AG237,Variables!$AC$3:$AD$8,2,FALSE),"Y","N")</f>
        <v>Y</v>
      </c>
      <c r="X237" s="197">
        <f>VALUE(LEFT(AD237,4))-VALUE(LEFT(AD236,4))</f>
        <v>1</v>
      </c>
      <c r="Y237" s="197">
        <f>RIGHT(D237,LEN(D237)-4)/10000</f>
        <v>2.2869999999999999</v>
      </c>
      <c r="Z237" s="197">
        <f>RIGHT(H237,LEN(H237)-4)/10000</f>
        <v>0.19470000000000001</v>
      </c>
      <c r="AA237" s="197">
        <f>ABS(Z237-Y237)</f>
        <v>2.0922999999999998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6">
        <f>VALUE(LEFT(A237,LEN(A237)-3))</f>
        <v>60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s3://rtdc.mdm.uploadarchive.raw/RTDC4023/ "%USERPROFILE%\AppData\Local\Temp\OnboardLogs"\RTDC4023\2017-08-23 --exclude "*" --recursive --include "*20170823*" &amp; "%USERPROFILE%\Documents\GitHub\mrs-test-scripts\Headless Mode &amp; Sideloading\WalkAndUnGZ.bat" "%USERPROFILE%\AppData\Local\Temp\OnboardLogs"\RTDC4023\2017-08-23 &amp; aws s3 cp s3://rtdc.mdm.uploadarchive.raw/RTDC4023/ "%USERPROFILE%\AppData\Local\Temp\OnboardLogs"\RTDC4023\2017-08-24 --exclude "*" --recursive --include "*20170824*" &amp; "%USERPROFILE%\Documents\GitHub\mrs-test-scripts\Headless Mode &amp; Sideloading\WalkAndUnGZ.bat" "%USERPROFILE%\AppData\Local\Temp\OnboardLogs"\RTDC4023\2017-08-24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/stypes="app*4023*20170824*" /stext=" 00:.+((SYSTEM_STATE.+slice.+state.+changed )|(ment ac)|(multiple cpu faults)|(system.+state.+changed )|(\[timeout)|(PRM\|1\|D)|(kpr)|(kdp)|(train st.+moving)|(\|lc)|(penalty))"</v>
      </c>
      <c r="AG237" s="209" t="str">
        <f>DetSubdiv(A237)</f>
        <v>Shuttle/Test</v>
      </c>
      <c r="AH237" s="78" t="str">
        <f t="shared" si="18"/>
        <v>"%USERPROFILE%\Documents\GitHub\eaglep3\Utilities\RefineRTDCRunTimes.py" --tripid 60-23 --locoid 4023 --swversion DE.1.0.9.0 --startMP 300:22870 --initTime 2017-08-23T17:52:38 --startdatetime 2017-08-23T17:56:29 --delay 3 --endMP 204:1947 --enddatetime 2017-08-23T18:08:41 --enforcementcount 1 &gt;&gt;C:\Users\stu\Documents\GitHub\eaglep3-reporting\EC\2017-08-23-refined-times.txt</v>
      </c>
      <c r="AI237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0.1947"},{"id":17,"name":"Train ID","value":"60-23"},{"id":16,"name":"Locomotive ID","value":"4023"},{"id":130,"name":"Impact","value":""},{"id":150,"name":"Time of Event (Mountain Time)","value":"18:08:41"},{"id":151,"name":"Denver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20"/>
        <v>start /low /b %USERPROFILE%\Documents\GitHub\eaglep3\Utilities\DownloadLogsFromS3.py --loco 4023 --day 2017-08-23</v>
      </c>
      <c r="AN237" s="151" t="str">
        <f t="shared" si="2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00:08:41"},{"id":29,"name":"Sharepoint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s="20" customFormat="1" x14ac:dyDescent="0.25">
      <c r="A238" s="32" t="s">
        <v>694</v>
      </c>
      <c r="B238" s="7">
        <v>4055</v>
      </c>
      <c r="C238" s="21" t="s">
        <v>197</v>
      </c>
      <c r="D238" s="21" t="s">
        <v>918</v>
      </c>
      <c r="E238" s="13">
        <v>42970.498726851853</v>
      </c>
      <c r="F238" s="13">
        <v>42970.50335648148</v>
      </c>
      <c r="G238" s="7">
        <v>6</v>
      </c>
      <c r="H238" s="21" t="s">
        <v>919</v>
      </c>
      <c r="I238" s="13">
        <v>42970.508368055554</v>
      </c>
      <c r="J238" s="7">
        <v>1</v>
      </c>
      <c r="K238" s="89" t="str">
        <f>IF(ISEVEN(B238),(B238-1)&amp;"/"&amp;B238,B238&amp;"/"&amp;(B238+1))</f>
        <v>4055/4056</v>
      </c>
      <c r="L238" s="217" t="str">
        <f>VLOOKUP(A238,'Trips&amp;Operators'!$C$1:$G$99911,5,FALSE)</f>
        <v>TOUSIGNAUT CARL</v>
      </c>
      <c r="M238" s="6">
        <f>I238-F238</f>
        <v>5.0115740741603076E-3</v>
      </c>
      <c r="N238" s="7">
        <f>24*60*SUM($M238:$M238)</f>
        <v>7.216666666790843</v>
      </c>
      <c r="O238" s="7"/>
      <c r="P238" s="7"/>
      <c r="Q238" s="22"/>
      <c r="R238" s="170"/>
      <c r="S238" s="213">
        <f>1/IF(AG238="EC",12,1)*SUM(U238:U238)</f>
        <v>1</v>
      </c>
      <c r="T238" s="195" t="str">
        <f>IF(ISEVEN(LEFT(AD238,4)),"Southbound","NorthBound")</f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-08-23T10:58:10-0600',mode:absolute,to:'2017-08-23T13:12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8" s="197" t="str">
        <f>IF(AA238&lt;VLOOKUP(AG238,Variables!$AC$3:$AD$8,2,FALSE),"Y","N")</f>
        <v>Y</v>
      </c>
      <c r="X238" s="197">
        <f>VALUE(LEFT(AD238,4))-VALUE(LEFT(AD237,4))</f>
        <v>2</v>
      </c>
      <c r="Y238" s="197">
        <f>RIGHT(D238,LEN(D238)-4)/10000</f>
        <v>2.319</v>
      </c>
      <c r="Z238" s="197">
        <f>RIGHT(H238,LEN(H238)-4)/10000</f>
        <v>0.1721</v>
      </c>
      <c r="AA238" s="197">
        <f>ABS(Z238-Y238)</f>
        <v>2.1469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6">
        <f>VALUE(LEFT(A238,LEN(A238)-3))</f>
        <v>62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s3://rtdc.mdm.uploadarchive.raw/RTDC4055/ "%USERPROFILE%\AppData\Local\Temp\OnboardLogs"\RTDC4055\2017-08-23 --exclude "*" --recursive --include "*20170823*" &amp; "%USERPROFILE%\Documents\GitHub\mrs-test-scripts\Headless Mode &amp; Sideloading\WalkAndUnGZ.bat" "%USERPROFILE%\AppData\Local\Temp\OnboardLogs"\RTDC4055\2017-08-23 &amp; 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/stypes="app*4055*20170823*" /stext=" 18:.+((SYSTEM_STATE.+slice.+state.+changed )|(ment ac)|(multiple cpu faults)|(system.+state.+changed )|(\[timeout)|(PRM\|1\|D)|(kpr)|(kdp)|(train st.+moving)|(\|lc)|(penalty))"</v>
      </c>
      <c r="AG238" s="209" t="str">
        <f>DetSubdiv(A238)</f>
        <v>Shuttle/Test</v>
      </c>
      <c r="AH238" s="78" t="str">
        <f t="shared" si="18"/>
        <v>"%USERPROFILE%\Documents\GitHub\eaglep3\Utilities\RefineRTDCRunTimes.py" --tripid 62-23 --locoid 4055 --swversion DE.1.0.9.0 --startMP 300:23190 --initTime 2017-08-23T11:58:10 --startdatetime 2017-08-23T12:04:50 --delay 6 --endMP 204:1721 --enddatetime 2017-08-23T12:12:03 --enforcementcount 1 &gt;&gt;C:\Users\stu\Documents\GitHub\eaglep3-reporting\EC\2017-08-23-refined-times.txt</v>
      </c>
      <c r="AI238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0.1721"},{"id":17,"name":"Train ID","value":"62-23"},{"id":16,"name":"Locomotive ID","value":"4055"},{"id":130,"name":"Impact","value":""},{"id":150,"name":"Time of Event (Mountain Time)","value":"12:12:03"},{"id":151,"name":"Denver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8" s="47"/>
      <c r="AL238" s="47"/>
      <c r="AM238" s="142" t="str">
        <f t="shared" si="20"/>
        <v>start /low /b %USERPROFILE%\Documents\GitHub\eaglep3\Utilities\DownloadLogsFromS3.py --loco 4055 --day 2017-08-23</v>
      </c>
      <c r="AN238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18:12:03"},{"id":29,"name":"Sharepoint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 s="32" t="s">
        <v>700</v>
      </c>
      <c r="B239" s="7">
        <v>4011</v>
      </c>
      <c r="C239" s="21" t="s">
        <v>197</v>
      </c>
      <c r="D239" s="21" t="s">
        <v>920</v>
      </c>
      <c r="E239" s="13">
        <v>42970.517118055555</v>
      </c>
      <c r="F239" s="13">
        <v>42970.51866898148</v>
      </c>
      <c r="G239" s="7">
        <v>1</v>
      </c>
      <c r="H239" s="21" t="s">
        <v>339</v>
      </c>
      <c r="I239" s="13">
        <v>42970.519907407404</v>
      </c>
      <c r="J239" s="7">
        <v>1</v>
      </c>
      <c r="K239" s="89" t="str">
        <f>IF(ISEVEN(B239),(B239-1)&amp;"/"&amp;B239,B239&amp;"/"&amp;(B239+1))</f>
        <v>4011/4012</v>
      </c>
      <c r="L239" s="217" t="str">
        <f>VLOOKUP(A239,'Trips&amp;Operators'!$C$1:$G$99911,5,FALSE)</f>
        <v>DE LA ROSA ALEX</v>
      </c>
      <c r="M239" s="6">
        <f>I239-F239</f>
        <v>1.2384259243845008E-3</v>
      </c>
      <c r="N239" s="7">
        <f>24*60*SUM($M239:$M239)</f>
        <v>1.7833333311136812</v>
      </c>
      <c r="O239" s="7"/>
      <c r="P239" s="7"/>
      <c r="Q239" s="22"/>
      <c r="R239" s="170"/>
      <c r="S239" s="213">
        <f>1/IF(AG239="EC",12,1)*SUM(U239:U239)</f>
        <v>0</v>
      </c>
      <c r="T239" s="195" t="str">
        <f>IF(ISEVEN(LEFT(AD239,4)),"Southbound","NorthBound")</f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-08-23T11:24:39-0600',mode:absolute,to:'2017-08-23T13:28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9" s="197" t="str">
        <f>IF(AA239&lt;VLOOKUP(AG239,Variables!$AC$3:$AD$8,2,FALSE),"Y","N")</f>
        <v>Y</v>
      </c>
      <c r="X239" s="197">
        <f>VALUE(LEFT(AD239,4))-VALUE(LEFT(AD238,4))</f>
        <v>1</v>
      </c>
      <c r="Y239" s="197">
        <f>RIGHT(D239,LEN(D239)-4)/10000</f>
        <v>0.31990000000000002</v>
      </c>
      <c r="Z239" s="197">
        <f>RIGHT(H239,LEN(H239)-4)/10000</f>
        <v>1.49E-2</v>
      </c>
      <c r="AA239" s="197">
        <f>ABS(Z239-Y239)</f>
        <v>0.30499999999999999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206">
        <f>VALUE(LEFT(A239,LEN(A239)-3))</f>
        <v>63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 &amp; aws s3 cp s3://rtdc.mdm.uploadarchive.raw/RTDC4011/ "%USERPROFILE%\AppData\Local\Temp\OnboardLogs"\RTDC4011\2017-08-24 --exclude "*" --recursive --include "*20170824*" &amp; "%USERPROFILE%\Documents\GitHub\mrs-test-scripts\Headless Mode &amp; Sideloading\WalkAndUnGZ.bat" "%USERPROFILE%\AppData\Local\Temp\OnboardLogs"\RTDC4011\2017-08-24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/stypes="app*4011*20170823*" /stext=" 18:.+((SYSTEM_STATE.+slice.+state.+changed )|(ment ac)|(multiple cpu faults)|(system.+state.+changed )|(\[timeout)|(PRM\|1\|D)|(kpr)|(kdp)|(train st.+moving)|(\|lc)|(penalty))"</v>
      </c>
      <c r="AG239" s="209" t="str">
        <f>DetSubdiv(A239)</f>
        <v>Shuttle/Test</v>
      </c>
      <c r="AH239" s="78" t="str">
        <f t="shared" si="18"/>
        <v>"%USERPROFILE%\Documents\GitHub\eaglep3\Utilities\RefineRTDCRunTimes.py" --tripid 63-23 --locoid 4011 --swversion DE.1.0.9.0 --startMP 204:3199 --initTime 2017-08-23T12:24:39 --startdatetime 2017-08-23T12:26:53 --delay 1 --endMP 204:149 --enddatetime 2017-08-23T12:28:40 --enforcementcount 1 &gt;&gt;C:\Users\stu\Documents\GitHub\eaglep3-reporting\EC\2017-08-23-refined-times.txt</v>
      </c>
      <c r="AI239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0.0149"},{"id":17,"name":"Train ID","value":"63-23"},{"id":16,"name":"Locomotive ID","value":"4011"},{"id":130,"name":"Impact","value":""},{"id":150,"name":"Time of Event (Mountain Time)","value":"12:28:40"},{"id":151,"name":"Denver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20"/>
        <v>start /low /b %USERPROFILE%\Documents\GitHub\eaglep3\Utilities\DownloadLogsFromS3.py --loco 4011 --day 2017-08-23</v>
      </c>
      <c r="AN239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18:28:40"},{"id":29,"name":"Sharepoint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700</v>
      </c>
      <c r="B240" s="7">
        <v>4012</v>
      </c>
      <c r="C240" s="21" t="s">
        <v>197</v>
      </c>
      <c r="D240" s="21" t="s">
        <v>921</v>
      </c>
      <c r="E240" s="13">
        <v>42970.50986111111</v>
      </c>
      <c r="F240" s="13">
        <v>42970.51866898148</v>
      </c>
      <c r="G240" s="7">
        <v>1</v>
      </c>
      <c r="H240" s="21" t="s">
        <v>922</v>
      </c>
      <c r="I240" s="13">
        <v>42970.519907407404</v>
      </c>
      <c r="J240" s="7">
        <v>1</v>
      </c>
      <c r="K240" s="89" t="str">
        <f>IF(ISEVEN(B240),(B240-1)&amp;"/"&amp;B240,B240&amp;"/"&amp;(B240+1))</f>
        <v>4011/4012</v>
      </c>
      <c r="L240" s="217" t="str">
        <f>VLOOKUP(A240,'Trips&amp;Operators'!$C$1:$G$99911,5,FALSE)</f>
        <v>DE LA ROSA ALEX</v>
      </c>
      <c r="M240" s="6">
        <f>I240-F240</f>
        <v>1.2384259243845008E-3</v>
      </c>
      <c r="N240" s="7">
        <f>24*60*SUM($M240:$M240)</f>
        <v>1.7833333311136812</v>
      </c>
      <c r="O240" s="7"/>
      <c r="P240" s="7"/>
      <c r="Q240" s="22"/>
      <c r="R240" s="170"/>
      <c r="S240" s="213">
        <f>1/IF(AG240="EC",12,1)*SUM(U240:U240)</f>
        <v>0</v>
      </c>
      <c r="T240" s="195" t="str">
        <f>IF(ISEVEN(LEFT(AD240,4)),"Southbound","NorthBound")</f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-08-23T11:14:12-0600',mode:absolute,to:'2017-08-23T13:28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0" s="197" t="str">
        <f>IF(AA240&lt;VLOOKUP(AG240,Variables!$AC$3:$AD$8,2,FALSE),"Y","N")</f>
        <v>Y</v>
      </c>
      <c r="X240" s="197">
        <f>VALUE(LEFT(AD240,4))-VALUE(LEFT(AD239,4))</f>
        <v>0</v>
      </c>
      <c r="Y240" s="197">
        <f>RIGHT(D240,LEN(D240)-4)/10000</f>
        <v>0.14749999999999999</v>
      </c>
      <c r="Z240" s="197">
        <f>RIGHT(H240,LEN(H240)-4)/10000</f>
        <v>0.35339999999999999</v>
      </c>
      <c r="AA240" s="197">
        <f>ABS(Z240-Y240)</f>
        <v>0.2059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206">
        <f>VALUE(LEFT(A240,LEN(A240)-3))</f>
        <v>63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 &amp; aws s3 cp s3://rtdc.mdm.uploadarchive.raw/RTDC4012/ "%USERPROFILE%\AppData\Local\Temp\OnboardLogs"\RTDC4012\2017-08-24 --exclude "*" --recursive --include "*20170824*" &amp; "%USERPROFILE%\Documents\GitHub\mrs-test-scripts\Headless Mode &amp; Sideloading\WalkAndUnGZ.bat" "%USERPROFILE%\AppData\Local\Temp\OnboardLogs"\RTDC4012\2017-08-24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/stypes="app*4012*20170823*" /stext=" 18:.+((SYSTEM_STATE.+slice.+state.+changed )|(ment ac)|(multiple cpu faults)|(system.+state.+changed )|(\[timeout)|(PRM\|1\|D)|(kpr)|(kdp)|(train st.+moving)|(\|lc)|(penalty))"</v>
      </c>
      <c r="AG240" s="209" t="str">
        <f>DetSubdiv(A240)</f>
        <v>Shuttle/Test</v>
      </c>
      <c r="AH240" s="78" t="str">
        <f t="shared" si="18"/>
        <v>"%USERPROFILE%\Documents\GitHub\eaglep3\Utilities\RefineRTDCRunTimes.py" --tripid 63-23 --locoid 4012 --swversion DE.1.0.9.0 --startMP 204:1475 --initTime 2017-08-23T12:14:12 --startdatetime 2017-08-23T12:26:53 --delay 1 --endMP 204:3534 --enddatetime 2017-08-23T12:28:40 --enforcementcount 1 &gt;&gt;C:\Users\stu\Documents\GitHub\eaglep3-reporting\EC\2017-08-23-refined-times.txt</v>
      </c>
      <c r="AI240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0.3534"},{"id":17,"name":"Train ID","value":"63-23"},{"id":16,"name":"Locomotive ID","value":"4012"},{"id":130,"name":"Impact","value":""},{"id":150,"name":"Time of Event (Mountain Time)","value":"12:28:40"},{"id":151,"name":"Denver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20"/>
        <v>start /low /b %USERPROFILE%\Documents\GitHub\eaglep3\Utilities\DownloadLogsFromS3.py --loco 4012 --day 2017-08-23</v>
      </c>
      <c r="AN240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18:28:40"},{"id":29,"name":"Sharepoint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752</v>
      </c>
      <c r="B241" s="7">
        <v>4040</v>
      </c>
      <c r="C241" s="21" t="s">
        <v>197</v>
      </c>
      <c r="D241" s="21" t="s">
        <v>868</v>
      </c>
      <c r="E241" s="13">
        <v>42970.724502314813</v>
      </c>
      <c r="F241" s="13">
        <v>42970.728229166663</v>
      </c>
      <c r="G241" s="7">
        <v>2</v>
      </c>
      <c r="H241" s="21" t="s">
        <v>342</v>
      </c>
      <c r="I241" s="13">
        <v>42970.741388888891</v>
      </c>
      <c r="J241" s="7">
        <v>1</v>
      </c>
      <c r="K241" s="89" t="str">
        <f>IF(ISEVEN(B241),(B241-1)&amp;"/"&amp;B241,B241&amp;"/"&amp;(B241+1))</f>
        <v>4039/4040</v>
      </c>
      <c r="L241" s="217" t="str">
        <f>VLOOKUP(A241,'Trips&amp;Operators'!$C$1:$G$99911,5,FALSE)</f>
        <v>ROBINSON KADDIBA</v>
      </c>
      <c r="M241" s="6">
        <f>I241-F241</f>
        <v>1.3159722228010651E-2</v>
      </c>
      <c r="N241" s="7">
        <f>24*60*SUM($M241:$M241)</f>
        <v>18.950000008335337</v>
      </c>
      <c r="O241" s="7"/>
      <c r="P241" s="7"/>
      <c r="Q241" s="22"/>
      <c r="R241" s="170"/>
      <c r="S241" s="213">
        <f>1/IF(AG241="EC",12,1)*SUM(U241:U241)</f>
        <v>1</v>
      </c>
      <c r="T241" s="195" t="str">
        <f>IF(ISEVEN(LEFT(AD241,4)),"Southbound","NorthBound")</f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19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-08-23T16:23:17-0600',mode:absolute,to:'2017-08-23T18:47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1" s="197" t="str">
        <f>IF(AA241&lt;VLOOKUP(AG241,Variables!$AC$3:$AD$8,2,FALSE),"Y","N")</f>
        <v>Y</v>
      </c>
      <c r="X241" s="197">
        <f>VALUE(LEFT(AD241,4))-VALUE(LEFT(AD240,4))</f>
        <v>4</v>
      </c>
      <c r="Y241" s="197">
        <f>RIGHT(D241,LEN(D241)-4)/10000</f>
        <v>0.1154</v>
      </c>
      <c r="Z241" s="197">
        <f>RIGHT(H241,LEN(H241)-4)/10000</f>
        <v>2.3346</v>
      </c>
      <c r="AA241" s="197">
        <f>ABS(Z241-Y241)</f>
        <v>2.2191999999999998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206">
        <f>VALUE(LEFT(A241,LEN(A241)-3))</f>
        <v>67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s3://rtdc.mdm.uploadarchive.raw/RTDC4040/ "%USERPROFILE%\AppData\Local\Temp\OnboardLogs"\RTDC4040\2017-08-23 --exclude "*" --recursive --include "*20170823*" &amp; "%USERPROFILE%\Documents\GitHub\mrs-test-scripts\Headless Mode &amp; Sideloading\WalkAndUnGZ.bat" "%USERPROFILE%\AppData\Local\Temp\OnboardLogs"\RTDC4040\2017-08-23 &amp; 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/stypes="app*4040*20170823*" /stext=" 23:.+((SYSTEM_STATE.+slice.+state.+changed )|(ment ac)|(multiple cpu faults)|(system.+state.+changed )|(\[timeout)|(PRM\|1\|D)|(kpr)|(kdp)|(train st.+moving)|(\|lc)|(penalty))"</v>
      </c>
      <c r="AG241" s="209" t="str">
        <f>DetSubdiv(A241)</f>
        <v>Shuttle/Test</v>
      </c>
      <c r="AH241" s="78" t="str">
        <f t="shared" si="18"/>
        <v>"%USERPROFILE%\Documents\GitHub\eaglep3\Utilities\RefineRTDCRunTimes.py" --tripid 67-23 --locoid 4040 --swversion DE.1.0.9.0 --startMP 204:1154 --initTime 2017-08-23T17:23:17 --startdatetime 2017-08-23T17:28:39 --delay 2 --endMP 300:23346 --enddatetime 2017-08-23T17:47:36 --enforcementcount 1 &gt;&gt;C:\Users\stu\Documents\GitHub\eaglep3-reporting\EC\2017-08-23-refined-times.txt</v>
      </c>
      <c r="AI241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2.3346"},{"id":17,"name":"Train ID","value":"67-23"},{"id":16,"name":"Locomotive ID","value":"4040"},{"id":130,"name":"Impact","value":""},{"id":150,"name":"Time of Event (Mountain Time)","value":"17:47:36"},{"id":151,"name":"Denver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20"/>
        <v>start /low /b %USERPROFILE%\Documents\GitHub\eaglep3\Utilities\DownloadLogsFromS3.py --loco 4040 --day 2017-08-23</v>
      </c>
      <c r="AN241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23:47:36"},{"id":29,"name":"Sharepoint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668</v>
      </c>
      <c r="B242" s="7">
        <v>4057</v>
      </c>
      <c r="C242" s="21" t="s">
        <v>197</v>
      </c>
      <c r="D242" s="21" t="s">
        <v>923</v>
      </c>
      <c r="E242" s="13">
        <v>42970.39806712963</v>
      </c>
      <c r="F242" s="13">
        <v>42970.405798611115</v>
      </c>
      <c r="G242" s="7">
        <v>11</v>
      </c>
      <c r="H242" s="21" t="s">
        <v>339</v>
      </c>
      <c r="I242" s="13">
        <v>25568.708333333332</v>
      </c>
      <c r="J242" s="7">
        <v>1</v>
      </c>
      <c r="K242" s="89" t="str">
        <f>IF(ISEVEN(B242),(B242-1)&amp;"/"&amp;B242,B242&amp;"/"&amp;(B242+1))</f>
        <v>4057/4058</v>
      </c>
      <c r="L242" s="217" t="str">
        <f>VLOOKUP(A242,'Trips&amp;Operators'!$C$1:$G$99911,5,FALSE)</f>
        <v>MOSES BRADLEY</v>
      </c>
      <c r="M242" s="6">
        <f>I242-F242</f>
        <v>-17401.697465277783</v>
      </c>
      <c r="N242" s="7">
        <f>24*60*SUM($M242:$M242)</f>
        <v>-25058444.350000005</v>
      </c>
      <c r="O242" s="7"/>
      <c r="P242" s="7"/>
      <c r="Q242" s="22"/>
      <c r="R242" s="170"/>
      <c r="S242" s="213">
        <f>1/IF(AG242="EC",12,1)*SUM(U242:U242)</f>
        <v>1</v>
      </c>
      <c r="T242" s="195" t="str">
        <f>IF(ISEVEN(LEFT(AD242,4)),"Southbound","NorthBound")</f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-08-23T08:33:13-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2" s="197" t="str">
        <f>IF(AA242&lt;VLOOKUP(AG242,Variables!$AC$3:$AD$8,2,FALSE),"Y","N")</f>
        <v>Y</v>
      </c>
      <c r="X242" s="197">
        <f>VALUE(LEFT(AD242,4))-VALUE(LEFT(AD241,4))</f>
        <v>3</v>
      </c>
      <c r="Y242" s="197">
        <f>RIGHT(D242,LEN(D242)-4)/10000</f>
        <v>11.2188</v>
      </c>
      <c r="Z242" s="197">
        <f>RIGHT(H242,LEN(H242)-4)/10000</f>
        <v>1.49E-2</v>
      </c>
      <c r="AA242" s="197">
        <f>ABS(Z242-Y242)</f>
        <v>11.203899999999999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206">
        <f>VALUE(LEFT(A242,LEN(A242)-3))</f>
        <v>70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 &amp; aws s3 cp s3://rtdc.mdm.uploadarchive.raw/RTDC4057/ "%USERPROFILE%\AppData\Local\Temp\OnboardLogs"\RTDC4057\2017-08-24 --exclude "*" --recursive --include "*20170824*" &amp; "%USERPROFILE%\Documents\GitHub\mrs-test-scripts\Headless Mode &amp; Sideloading\WalkAndUnGZ.bat" "%USERPROFILE%\AppData\Local\Temp\OnboardLogs"\RTDC4057\2017-08-24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/stypes="app*4057*19691231*" /stext=" 23:.+((SYSTEM_STATE.+slice.+state.+changed )|(ment ac)|(multiple cpu faults)|(system.+state.+changed )|(\[timeout)|(PRM\|1\|D)|(kpr)|(kdp)|(train st.+moving)|(\|lc)|(penalty))"</v>
      </c>
      <c r="AG242" s="209" t="str">
        <f>DetSubdiv(A242)</f>
        <v>Shuttle/Test</v>
      </c>
      <c r="AH242" s="78" t="str">
        <f t="shared" si="18"/>
        <v>"%USERPROFILE%\Documents\GitHub\eaglep3\Utilities\RefineRTDCRunTimes.py" --tripid 70-23 --locoid 4057 --swversion DE.1.0.9.0 --startMP 300:112188 --initTime 2017-08-23T09:33:13 --startdatetime 2017-08-23T09:44:21 --delay 11 --endMP 204:149 --enddatetime 1969-12-31T17:00:00 --enforcementcount 1 &gt;&gt;C:\Users\stu\Documents\GitHub\eaglep3-reporting\EC\2017-08-23-refined-times.txt</v>
      </c>
      <c r="AI242" s="96" t="str">
        <f t="shared" si="19"/>
        <v>echo {"issue":{"subject":"","project_id":79,"tracker_id":40,"status_id":1,"priority_id":2,"assigned_to_id":23,"start_date":"1969-12-31","description":"","custom_fields":[{"id":1,"name":"Subdivision","value":"Shuttle/Test"},{"id":4,"name":"Milepost","value":"0.0149"},{"id":17,"name":"Train ID","value":"70-23"},{"id":16,"name":"Locomotive ID","value":"4057"},{"id":130,"name":"Impact","value":""},{"id":150,"name":"Time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20"/>
        <v>start /low /b %USERPROFILE%\Documents\GitHub\eaglep3\Utilities\DownloadLogsFromS3.py --loco 4057 --day 2017-08-23</v>
      </c>
      <c r="AN242" s="151" t="str">
        <f t="shared" si="2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668</v>
      </c>
      <c r="B243" s="7">
        <v>4057</v>
      </c>
      <c r="C243" s="21" t="s">
        <v>197</v>
      </c>
      <c r="D243" s="21" t="s">
        <v>924</v>
      </c>
      <c r="E243" s="13">
        <v>42970.47216435185</v>
      </c>
      <c r="F243" s="13">
        <v>42970.474490740744</v>
      </c>
      <c r="G243" s="7">
        <v>1</v>
      </c>
      <c r="H243" s="21" t="s">
        <v>925</v>
      </c>
      <c r="I243" s="13">
        <v>42970.493738425925</v>
      </c>
      <c r="J243" s="7">
        <v>1</v>
      </c>
      <c r="K243" s="89" t="str">
        <f>IF(ISEVEN(B243),(B243-1)&amp;"/"&amp;B243,B243&amp;"/"&amp;(B243+1))</f>
        <v>4057/4058</v>
      </c>
      <c r="L243" s="217" t="str">
        <f>VLOOKUP(A243,'Trips&amp;Operators'!$C$1:$G$99911,5,FALSE)</f>
        <v>MOSES BRADLEY</v>
      </c>
      <c r="M243" s="6">
        <f>I243-F243</f>
        <v>1.9247685180744156E-2</v>
      </c>
      <c r="N243" s="7">
        <f>24*60*SUM($M243:$M243)</f>
        <v>27.716666660271585</v>
      </c>
      <c r="O243" s="7"/>
      <c r="P243" s="7"/>
      <c r="Q243" s="22"/>
      <c r="R243" s="170"/>
      <c r="S243" s="213">
        <f>1/IF(AG243="EC",12,1)*SUM(U243:U243)</f>
        <v>1</v>
      </c>
      <c r="T243" s="195" t="str">
        <f>IF(ISEVEN(LEFT(AD243,4)),"Southbound","NorthBound")</f>
        <v>Southbound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-08-23T10:19:55-0600',mode:absolute,to:'2017-08-23T12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3" s="197" t="str">
        <f>IF(AA243&lt;VLOOKUP(AG243,Variables!$AC$3:$AD$8,2,FALSE),"Y","N")</f>
        <v>Y</v>
      </c>
      <c r="X243" s="197">
        <f>VALUE(LEFT(AD243,4))-VALUE(LEFT(AD242,4))</f>
        <v>0</v>
      </c>
      <c r="Y243" s="197">
        <f>RIGHT(D243,LEN(D243)-4)/10000</f>
        <v>11.226000000000001</v>
      </c>
      <c r="Z243" s="197">
        <f>RIGHT(H243,LEN(H243)-4)/10000</f>
        <v>1.6199999999999999E-2</v>
      </c>
      <c r="AA243" s="197">
        <f>ABS(Z243-Y243)</f>
        <v>11.209800000000001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206">
        <f>VALUE(LEFT(A243,LEN(A243)-3))</f>
        <v>70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 &amp; aws s3 cp s3://rtdc.mdm.uploadarchive.raw/RTDC4057/ "%USERPROFILE%\AppData\Local\Temp\OnboardLogs"\RTDC4057\2017-08-24 --exclude "*" --recursive --include "*20170824*" &amp; "%USERPROFILE%\Documents\GitHub\mrs-test-scripts\Headless Mode &amp; Sideloading\WalkAndUnGZ.bat" "%USERPROFILE%\AppData\Local\Temp\OnboardLogs"\RTDC4057\2017-08-24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/stypes="app*4057*20170823*" /stext=" 17:.+((SYSTEM_STATE.+slice.+state.+changed )|(ment ac)|(multiple cpu faults)|(system.+state.+changed )|(\[timeout)|(PRM\|1\|D)|(kpr)|(kdp)|(train st.+moving)|(\|lc)|(penalty))"</v>
      </c>
      <c r="AG243" s="209" t="str">
        <f>DetSubdiv(A243)</f>
        <v>Shuttle/Test</v>
      </c>
      <c r="AH243" s="78" t="str">
        <f t="shared" si="18"/>
        <v>"%USERPROFILE%\Documents\GitHub\eaglep3\Utilities\RefineRTDCRunTimes.py" --tripid 70-23 --locoid 4057 --swversion DE.1.0.9.0 --startMP 300:112260 --initTime 2017-08-23T11:19:55 --startdatetime 2017-08-23T11:23:16 --delay 1 --endMP 204:162 --enddatetime 2017-08-23T11:50:59 --enforcementcount 1 &gt;&gt;C:\Users\stu\Documents\GitHub\eaglep3-reporting\EC\2017-08-23-refined-times.txt</v>
      </c>
      <c r="AI243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0.0162"},{"id":17,"name":"Train ID","value":"70-23"},{"id":16,"name":"Locomotive ID","value":"4057"},{"id":130,"name":"Impact","value":""},{"id":150,"name":"Time of Event (Mountain Time)","value":"11:50:59"},{"id":151,"name":"Denver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20"/>
        <v>start /low /b %USERPROFILE%\Documents\GitHub\eaglep3\Utilities\DownloadLogsFromS3.py --loco 4057 --day 2017-08-23</v>
      </c>
      <c r="AN243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668</v>
      </c>
      <c r="B244" s="7">
        <v>4057</v>
      </c>
      <c r="C244" s="21" t="s">
        <v>197</v>
      </c>
      <c r="D244" s="21" t="s">
        <v>926</v>
      </c>
      <c r="E244" s="13">
        <v>42970.39806712963</v>
      </c>
      <c r="F244" s="13">
        <v>42970.405798611115</v>
      </c>
      <c r="G244" s="7">
        <v>2</v>
      </c>
      <c r="H244" s="21" t="s">
        <v>339</v>
      </c>
      <c r="I244" s="13">
        <v>25568.708333333332</v>
      </c>
      <c r="J244" s="7">
        <v>1</v>
      </c>
      <c r="K244" s="89" t="str">
        <f>IF(ISEVEN(B244),(B244-1)&amp;"/"&amp;B244,B244&amp;"/"&amp;(B244+1))</f>
        <v>4057/4058</v>
      </c>
      <c r="L244" s="217" t="str">
        <f>VLOOKUP(A244,'Trips&amp;Operators'!$C$1:$G$99911,5,FALSE)</f>
        <v>MOSES BRADLEY</v>
      </c>
      <c r="M244" s="6">
        <f>I244-F244</f>
        <v>-17401.697465277783</v>
      </c>
      <c r="N244" s="7">
        <f>24*60*SUM($M244:$M244)</f>
        <v>-25058444.350000005</v>
      </c>
      <c r="O244" s="7"/>
      <c r="P244" s="7"/>
      <c r="Q244" s="22"/>
      <c r="R244" s="170"/>
      <c r="S244" s="213">
        <f>1/IF(AG244="EC",12,1)*SUM(U244:U244)</f>
        <v>1</v>
      </c>
      <c r="T244" s="195" t="str">
        <f>IF(ISEVEN(LEFT(AD244,4)),"Southbound","NorthBound")</f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-08-23T08:33:13-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4" s="197" t="str">
        <f>IF(AA244&lt;VLOOKUP(AG244,Variables!$AC$3:$AD$8,2,FALSE),"Y","N")</f>
        <v>Y</v>
      </c>
      <c r="X244" s="197">
        <f>VALUE(LEFT(AD244,4))-VALUE(LEFT(AD243,4))</f>
        <v>0</v>
      </c>
      <c r="Y244" s="197">
        <f>RIGHT(D244,LEN(D244)-4)/10000</f>
        <v>11.2264</v>
      </c>
      <c r="Z244" s="197">
        <f>RIGHT(H244,LEN(H244)-4)/10000</f>
        <v>1.49E-2</v>
      </c>
      <c r="AA244" s="197">
        <f>ABS(Z244-Y244)</f>
        <v>11.211499999999999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206">
        <f>VALUE(LEFT(A244,LEN(A244)-3))</f>
        <v>70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 &amp; aws s3 cp s3://rtdc.mdm.uploadarchive.raw/RTDC4057/ "%USERPROFILE%\AppData\Local\Temp\OnboardLogs"\RTDC4057\2017-08-24 --exclude "*" --recursive --include "*20170824*" &amp; "%USERPROFILE%\Documents\GitHub\mrs-test-scripts\Headless Mode &amp; Sideloading\WalkAndUnGZ.bat" "%USERPROFILE%\AppData\Local\Temp\OnboardLogs"\RTDC4057\2017-08-24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/stypes="app*4057*19691231*" /stext=" 23:.+((SYSTEM_STATE.+slice.+state.+changed )|(ment ac)|(multiple cpu faults)|(system.+state.+changed )|(\[timeout)|(PRM\|1\|D)|(kpr)|(kdp)|(train st.+moving)|(\|lc)|(penalty))"</v>
      </c>
      <c r="AG244" s="209" t="str">
        <f>DetSubdiv(A244)</f>
        <v>Shuttle/Test</v>
      </c>
      <c r="AH244" s="78" t="str">
        <f t="shared" si="18"/>
        <v>"%USERPROFILE%\Documents\GitHub\eaglep3\Utilities\RefineRTDCRunTimes.py" --tripid 70-23 --locoid 4057 --swversion DE.1.0.9.0 --startMP 300:112264 --initTime 2017-08-23T09:33:13 --startdatetime 2017-08-23T09:44:21 --delay 2 --endMP 204:149 --enddatetime 1969-12-31T17:00:00 --enforcementcount 1 &gt;&gt;C:\Users\stu\Documents\GitHub\eaglep3-reporting\EC\2017-08-23-refined-times.txt</v>
      </c>
      <c r="AI244" s="96" t="str">
        <f t="shared" si="19"/>
        <v>echo {"issue":{"subject":"","project_id":79,"tracker_id":40,"status_id":1,"priority_id":2,"assigned_to_id":23,"start_date":"1969-12-31","description":"","custom_fields":[{"id":1,"name":"Subdivision","value":"Shuttle/Test"},{"id":4,"name":"Milepost","value":"0.0149"},{"id":17,"name":"Train ID","value":"70-23"},{"id":16,"name":"Locomotive ID","value":"4057"},{"id":130,"name":"Impact","value":""},{"id":150,"name":"Time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20"/>
        <v>start /low /b %USERPROFILE%\Documents\GitHub\eaglep3\Utilities\DownloadLogsFromS3.py --loco 4057 --day 2017-08-23</v>
      </c>
      <c r="AN244" s="151" t="str">
        <f t="shared" si="2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668</v>
      </c>
      <c r="B245" s="7">
        <v>4057</v>
      </c>
      <c r="C245" s="21" t="s">
        <v>197</v>
      </c>
      <c r="D245" s="21" t="s">
        <v>926</v>
      </c>
      <c r="E245" s="13">
        <v>42970.538865740738</v>
      </c>
      <c r="F245" s="13">
        <v>42970.542094907411</v>
      </c>
      <c r="G245" s="7">
        <v>1</v>
      </c>
      <c r="H245" s="21" t="s">
        <v>927</v>
      </c>
      <c r="I245" s="13">
        <v>42970.56177083333</v>
      </c>
      <c r="J245" s="7">
        <v>1</v>
      </c>
      <c r="K245" s="89" t="str">
        <f>IF(ISEVEN(B245),(B245-1)&amp;"/"&amp;B245,B245&amp;"/"&amp;(B245+1))</f>
        <v>4057/4058</v>
      </c>
      <c r="L245" s="217" t="str">
        <f>VLOOKUP(A245,'Trips&amp;Operators'!$C$1:$G$99911,5,FALSE)</f>
        <v>MOSES BRADLEY</v>
      </c>
      <c r="M245" s="6">
        <f>I245-F245</f>
        <v>1.9675925919727888E-2</v>
      </c>
      <c r="N245" s="7">
        <f>24*60*SUM($M245:$M245)</f>
        <v>28.333333324408159</v>
      </c>
      <c r="O245" s="7"/>
      <c r="P245" s="7"/>
      <c r="Q245" s="22"/>
      <c r="R245" s="170"/>
      <c r="S245" s="213">
        <f>1/IF(AG245="EC",12,1)*SUM(U245:U245)</f>
        <v>1</v>
      </c>
      <c r="T245" s="195" t="str">
        <f>IF(ISEVEN(LEFT(AD245,4)),"Southbound","NorthBound")</f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-08-23T11:55:58-0600',mode:absolute,to:'2017-08-23T14:28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5" s="197" t="str">
        <f>IF(AA245&lt;VLOOKUP(AG245,Variables!$AC$3:$AD$8,2,FALSE),"Y","N")</f>
        <v>Y</v>
      </c>
      <c r="X245" s="197">
        <f>VALUE(LEFT(AD245,4))-VALUE(LEFT(AD244,4))</f>
        <v>0</v>
      </c>
      <c r="Y245" s="197">
        <f>RIGHT(D245,LEN(D245)-4)/10000</f>
        <v>11.2264</v>
      </c>
      <c r="Z245" s="197">
        <f>RIGHT(H245,LEN(H245)-4)/10000</f>
        <v>9.2399999999999996E-2</v>
      </c>
      <c r="AA245" s="197">
        <f>ABS(Z245-Y245)</f>
        <v>11.134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206">
        <f>VALUE(LEFT(A245,LEN(A245)-3))</f>
        <v>70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 &amp; aws s3 cp s3://rtdc.mdm.uploadarchive.raw/RTDC4057/ "%USERPROFILE%\AppData\Local\Temp\OnboardLogs"\RTDC4057\2017-08-24 --exclude "*" --recursive --include "*20170824*" &amp; "%USERPROFILE%\Documents\GitHub\mrs-test-scripts\Headless Mode &amp; Sideloading\WalkAndUnGZ.bat" "%USERPROFILE%\AppData\Local\Temp\OnboardLogs"\RTDC4057\2017-08-24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/stypes="app*4057*20170823*" /stext=" 19:.+((SYSTEM_STATE.+slice.+state.+changed )|(ment ac)|(multiple cpu faults)|(system.+state.+changed )|(\[timeout)|(PRM\|1\|D)|(kpr)|(kdp)|(train st.+moving)|(\|lc)|(penalty))"</v>
      </c>
      <c r="AG245" s="209" t="str">
        <f>DetSubdiv(A245)</f>
        <v>Shuttle/Test</v>
      </c>
      <c r="AH245" s="78" t="str">
        <f t="shared" si="18"/>
        <v>"%USERPROFILE%\Documents\GitHub\eaglep3\Utilities\RefineRTDCRunTimes.py" --tripid 70-23 --locoid 4057 --swversion DE.1.0.9.0 --startMP 300:112264 --initTime 2017-08-23T12:55:58 --startdatetime 2017-08-23T13:00:37 --delay 1 --endMP 204:924 --enddatetime 2017-08-23T13:28:57 --enforcementcount 1 &gt;&gt;C:\Users\stu\Documents\GitHub\eaglep3-reporting\EC\2017-08-23-refined-times.txt</v>
      </c>
      <c r="AI245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0.0924"},{"id":17,"name":"Train ID","value":"70-23"},{"id":16,"name":"Locomotive ID","value":"4057"},{"id":130,"name":"Impact","value":""},{"id":150,"name":"Time of Event (Mountain Time)","value":"13:28:57"},{"id":151,"name":"Denver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20"/>
        <v>start /low /b %USERPROFILE%\Documents\GitHub\eaglep3\Utilities\DownloadLogsFromS3.py --loco 4057 --day 2017-08-23</v>
      </c>
      <c r="AN245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19:28:57"},{"id":29,"name":"Sharepoint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668</v>
      </c>
      <c r="B246" s="7">
        <v>4057</v>
      </c>
      <c r="C246" s="21" t="s">
        <v>197</v>
      </c>
      <c r="D246" s="21" t="s">
        <v>928</v>
      </c>
      <c r="E246" s="13">
        <v>42970.593819444446</v>
      </c>
      <c r="F246" s="13">
        <v>42970.595752314817</v>
      </c>
      <c r="G246" s="7">
        <v>0</v>
      </c>
      <c r="H246" s="21" t="s">
        <v>929</v>
      </c>
      <c r="I246" s="13">
        <v>42970.615416666667</v>
      </c>
      <c r="J246" s="7">
        <v>1</v>
      </c>
      <c r="K246" s="89" t="str">
        <f>IF(ISEVEN(B246),(B246-1)&amp;"/"&amp;B246,B246&amp;"/"&amp;(B246+1))</f>
        <v>4057/4058</v>
      </c>
      <c r="L246" s="217" t="str">
        <f>VLOOKUP(A246,'Trips&amp;Operators'!$C$1:$G$99911,5,FALSE)</f>
        <v>MOSES BRADLEY</v>
      </c>
      <c r="M246" s="6">
        <f>I246-F246</f>
        <v>1.9664351850224193E-2</v>
      </c>
      <c r="N246" s="7">
        <f>24*60*SUM($M246:$M246)</f>
        <v>28.316666664322838</v>
      </c>
      <c r="O246" s="7"/>
      <c r="P246" s="7"/>
      <c r="Q246" s="22"/>
      <c r="R246" s="170"/>
      <c r="S246" s="213">
        <f>1/IF(AG246="EC",12,1)*SUM(U246:U246)</f>
        <v>1</v>
      </c>
      <c r="T246" s="195" t="str">
        <f>IF(ISEVEN(LEFT(AD246,4)),"Southbound","NorthBound")</f>
        <v>Southbound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-08-23T13:15:06-0600',mode:absolute,to:'2017-08-23T15:46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6" s="197" t="str">
        <f>IF(AA246&lt;VLOOKUP(AG246,Variables!$AC$3:$AD$8,2,FALSE),"Y","N")</f>
        <v>Y</v>
      </c>
      <c r="X246" s="197">
        <f>VALUE(LEFT(AD246,4))-VALUE(LEFT(AD245,4))</f>
        <v>0</v>
      </c>
      <c r="Y246" s="197">
        <f>RIGHT(D246,LEN(D246)-4)/10000</f>
        <v>11.2273</v>
      </c>
      <c r="Z246" s="197">
        <f>RIGHT(H246,LEN(H246)-4)/10000</f>
        <v>1.4E-2</v>
      </c>
      <c r="AA246" s="197">
        <f>ABS(Z246-Y246)</f>
        <v>11.2133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206">
        <f>VALUE(LEFT(A246,LEN(A246)-3))</f>
        <v>70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 &amp; aws s3 cp s3://rtdc.mdm.uploadarchive.raw/RTDC4057/ "%USERPROFILE%\AppData\Local\Temp\OnboardLogs"\RTDC4057\2017-08-24 --exclude "*" --recursive --include "*20170824*" &amp; "%USERPROFILE%\Documents\GitHub\mrs-test-scripts\Headless Mode &amp; Sideloading\WalkAndUnGZ.bat" "%USERPROFILE%\AppData\Local\Temp\OnboardLogs"\RTDC4057\2017-08-24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/stypes="app*4057*20170823*" /stext=" 20:.+((SYSTEM_STATE.+slice.+state.+changed )|(ment ac)|(multiple cpu faults)|(system.+state.+changed )|(\[timeout)|(PRM\|1\|D)|(kpr)|(kdp)|(train st.+moving)|(\|lc)|(penalty))"</v>
      </c>
      <c r="AG246" s="209" t="str">
        <f>DetSubdiv(A246)</f>
        <v>Shuttle/Test</v>
      </c>
      <c r="AH246" s="78" t="str">
        <f t="shared" si="18"/>
        <v>"%USERPROFILE%\Documents\GitHub\eaglep3\Utilities\RefineRTDCRunTimes.py" --tripid 70-23 --locoid 4057 --swversion DE.1.0.9.0 --startMP 300:112273 --initTime 2017-08-23T14:15:06 --startdatetime 2017-08-23T14:17:53 --delay 0 --endMP 204:140 --enddatetime 2017-08-23T14:46:12 --enforcementcount 1 &gt;&gt;C:\Users\stu\Documents\GitHub\eaglep3-reporting\EC\2017-08-23-refined-times.txt</v>
      </c>
      <c r="AI246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0.014"},{"id":17,"name":"Train ID","value":"70-23"},{"id":16,"name":"Locomotive ID","value":"4057"},{"id":130,"name":"Impact","value":""},{"id":150,"name":"Time of Event (Mountain Time)","value":"14:46:12"},{"id":151,"name":"Denver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20"/>
        <v>start /low /b %USERPROFILE%\Documents\GitHub\eaglep3\Utilities\DownloadLogsFromS3.py --loco 4057 --day 2017-08-23</v>
      </c>
      <c r="AN246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555</v>
      </c>
      <c r="B247" s="7">
        <v>4058</v>
      </c>
      <c r="C247" s="21" t="s">
        <v>197</v>
      </c>
      <c r="D247" s="21" t="s">
        <v>930</v>
      </c>
      <c r="E247" s="13">
        <v>42970.566550925927</v>
      </c>
      <c r="F247" s="13">
        <v>42970.56927083333</v>
      </c>
      <c r="G247" s="7">
        <v>1</v>
      </c>
      <c r="H247" s="21" t="s">
        <v>931</v>
      </c>
      <c r="I247" s="13">
        <v>42970.591793981483</v>
      </c>
      <c r="J247" s="7">
        <v>1</v>
      </c>
      <c r="K247" s="89" t="str">
        <f>IF(ISEVEN(B247),(B247-1)&amp;"/"&amp;B247,B247&amp;"/"&amp;(B247+1))</f>
        <v>4057/4058</v>
      </c>
      <c r="L247" s="217" t="str">
        <f>VLOOKUP(A247,'Trips&amp;Operators'!$C$1:$G$99911,5,FALSE)</f>
        <v>MOSES BRADLEY</v>
      </c>
      <c r="M247" s="6">
        <f>I247-F247</f>
        <v>2.252314815268619E-2</v>
      </c>
      <c r="N247" s="7">
        <f>24*60*SUM($M247:$M247)</f>
        <v>32.433333339868113</v>
      </c>
      <c r="O247" s="7"/>
      <c r="P247" s="7"/>
      <c r="Q247" s="22"/>
      <c r="R247" s="170"/>
      <c r="S247" s="213">
        <f>1/IF(AG247="EC",12,1)*SUM(U247:U247)</f>
        <v>1</v>
      </c>
      <c r="T247" s="195" t="str">
        <f>IF(ISEVEN(LEFT(AD247,4)),"Southbound","NorthBound")</f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7" s="197" t="str">
        <f>IF(AA247&lt;VLOOKUP(AG247,Variables!$AC$3:$AD$8,2,FALSE),"Y","N")</f>
        <v>Y</v>
      </c>
      <c r="X247" s="197">
        <f>VALUE(LEFT(AD247,4))-VALUE(LEFT(AD246,4))</f>
        <v>1</v>
      </c>
      <c r="Y247" s="197">
        <f>RIGHT(D247,LEN(D247)-4)/10000</f>
        <v>0.12230000000000001</v>
      </c>
      <c r="Z247" s="197">
        <f>RIGHT(H247,LEN(H247)-4)/10000</f>
        <v>11.257999999999999</v>
      </c>
      <c r="AA247" s="197">
        <f>ABS(Z247-Y247)</f>
        <v>11.1357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206">
        <f>VALUE(LEFT(A247,LEN(A247)-3))</f>
        <v>71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/stypes="app*4058*20170823*" /stext=" 20:.+((SYSTEM_STATE.+slice.+state.+changed )|(ment ac)|(multiple cpu faults)|(system.+state.+changed )|(\[timeout)|(PRM\|1\|D)|(kpr)|(kdp)|(train st.+moving)|(\|lc)|(penalty))"</v>
      </c>
      <c r="AG247" s="209" t="str">
        <f>DetSubdiv(A247)</f>
        <v>Shuttle/Test</v>
      </c>
      <c r="AH247" s="78" t="str">
        <f t="shared" si="18"/>
        <v>"%USERPROFILE%\Documents\GitHub\eaglep3\Utilities\RefineRTDCRunTimes.py" --tripid 71-23 --locoid 4058 --swversion DE.1.0.9.0 --startMP 204:1223 --initTime 2017-08-23T13:35:50 --startdatetime 2017-08-23T13:39:45 --delay 1 --endMP 300:112580 --enddatetime 2017-08-23T14:12:11 --enforcementcount 1 &gt;&gt;C:\Users\stu\Documents\GitHub\eaglep3-reporting\EC\2017-08-23-refined-times.txt</v>
      </c>
      <c r="AI247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11.258"},{"id":17,"name":"Train ID","value":"71-23"},{"id":16,"name":"Locomotive ID","value":"4058"},{"id":130,"name":"Impact","value":""},{"id":150,"name":"Time of Event (Mountain Time)","value":"14:12:11"},{"id":151,"name":"Denver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20"/>
        <v>start /low /b %USERPROFILE%\Documents\GitHub\eaglep3\Utilities\DownloadLogsFromS3.py --loco 4058 --day 2017-08-23</v>
      </c>
      <c r="AN247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20:12:11"},{"id":29,"name":"Sharepoint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555</v>
      </c>
      <c r="B248" s="7">
        <v>4058</v>
      </c>
      <c r="C248" s="21" t="s">
        <v>197</v>
      </c>
      <c r="D248" s="21" t="s">
        <v>932</v>
      </c>
      <c r="E248" s="13">
        <v>42970.512164351851</v>
      </c>
      <c r="F248" s="13">
        <v>42970.515925925924</v>
      </c>
      <c r="G248" s="7">
        <v>1</v>
      </c>
      <c r="H248" s="21" t="s">
        <v>933</v>
      </c>
      <c r="I248" s="13">
        <v>42970.536956018521</v>
      </c>
      <c r="J248" s="7">
        <v>1</v>
      </c>
      <c r="K248" s="89" t="str">
        <f>IF(ISEVEN(B248),(B248-1)&amp;"/"&amp;B248,B248&amp;"/"&amp;(B248+1))</f>
        <v>4057/4058</v>
      </c>
      <c r="L248" s="217" t="str">
        <f>VLOOKUP(A248,'Trips&amp;Operators'!$C$1:$G$99911,5,FALSE)</f>
        <v>MOSES BRADLEY</v>
      </c>
      <c r="M248" s="6">
        <f>I248-F248</f>
        <v>2.1030092597356997E-2</v>
      </c>
      <c r="N248" s="7">
        <f>24*60*SUM($M248:$M248)</f>
        <v>30.283333340194076</v>
      </c>
      <c r="O248" s="7"/>
      <c r="P248" s="7"/>
      <c r="Q248" s="22"/>
      <c r="R248" s="170"/>
      <c r="S248" s="213">
        <f>1/IF(AG248="EC",12,1)*SUM(U248:U248)</f>
        <v>1</v>
      </c>
      <c r="T248" s="195" t="str">
        <f>IF(ISEVEN(LEFT(AD248,4)),"Southbound","NorthBound")</f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-08-23T11:17:31-0600',mode:absolute,to:'2017-08-23T13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8" s="197" t="str">
        <f>IF(AA248&lt;VLOOKUP(AG248,Variables!$AC$3:$AD$8,2,FALSE),"Y","N")</f>
        <v>Y</v>
      </c>
      <c r="X248" s="197">
        <f>VALUE(LEFT(AD248,4))-VALUE(LEFT(AD247,4))</f>
        <v>0</v>
      </c>
      <c r="Y248" s="197">
        <f>RIGHT(D248,LEN(D248)-4)/10000</f>
        <v>4.48E-2</v>
      </c>
      <c r="Z248" s="197">
        <f>RIGHT(H248,LEN(H248)-4)/10000</f>
        <v>11.2483</v>
      </c>
      <c r="AA248" s="197">
        <f>ABS(Z248-Y248)</f>
        <v>11.2035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206">
        <f>VALUE(LEFT(A248,LEN(A248)-3))</f>
        <v>71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/stypes="app*4058*20170823*" /stext=" 18:.+((SYSTEM_STATE.+slice.+state.+changed )|(ment ac)|(multiple cpu faults)|(system.+state.+changed )|(\[timeout)|(PRM\|1\|D)|(kpr)|(kdp)|(train st.+moving)|(\|lc)|(penalty))"</v>
      </c>
      <c r="AG248" s="209" t="str">
        <f>DetSubdiv(A248)</f>
        <v>Shuttle/Test</v>
      </c>
      <c r="AH248" s="78" t="str">
        <f t="shared" si="18"/>
        <v>"%USERPROFILE%\Documents\GitHub\eaglep3\Utilities\RefineRTDCRunTimes.py" --tripid 71-23 --locoid 4058 --swversion DE.1.0.9.0 --startMP 204:448 --initTime 2017-08-23T12:17:31 --startdatetime 2017-08-23T12:22:56 --delay 1 --endMP 300:112483 --enddatetime 2017-08-23T12:53:13 --enforcementcount 1 &gt;&gt;C:\Users\stu\Documents\GitHub\eaglep3-reporting\EC\2017-08-23-refined-times.txt</v>
      </c>
      <c r="AI248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11.2483"},{"id":17,"name":"Train ID","value":"71-23"},{"id":16,"name":"Locomotive ID","value":"4058"},{"id":130,"name":"Impact","value":""},{"id":150,"name":"Time of Event (Mountain Time)","value":"12:53:13"},{"id":151,"name":"Denver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20"/>
        <v>start /low /b %USERPROFILE%\Documents\GitHub\eaglep3\Utilities\DownloadLogsFromS3.py --loco 4058 --day 2017-08-23</v>
      </c>
      <c r="AN248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18:53:13"},{"id":29,"name":"Sharepoint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555</v>
      </c>
      <c r="B249" s="7">
        <v>4058</v>
      </c>
      <c r="C249" s="21" t="s">
        <v>197</v>
      </c>
      <c r="D249" s="21" t="s">
        <v>372</v>
      </c>
      <c r="E249" s="13">
        <v>42970.439247685186</v>
      </c>
      <c r="F249" s="13">
        <v>42970.449814814812</v>
      </c>
      <c r="G249" s="7">
        <v>1</v>
      </c>
      <c r="H249" s="21" t="s">
        <v>931</v>
      </c>
      <c r="I249" s="13">
        <v>42970.471134259256</v>
      </c>
      <c r="J249" s="7">
        <v>1</v>
      </c>
      <c r="K249" s="89" t="str">
        <f>IF(ISEVEN(B249),(B249-1)&amp;"/"&amp;B249,B249&amp;"/"&amp;(B249+1))</f>
        <v>4057/4058</v>
      </c>
      <c r="L249" s="217" t="str">
        <f>VLOOKUP(A249,'Trips&amp;Operators'!$C$1:$G$99911,5,FALSE)</f>
        <v>MOSES BRADLEY</v>
      </c>
      <c r="M249" s="6">
        <f>I249-F249</f>
        <v>2.1319444444088731E-2</v>
      </c>
      <c r="N249" s="7">
        <f>24*60*SUM($M249:$M249)</f>
        <v>30.699999999487773</v>
      </c>
      <c r="O249" s="7"/>
      <c r="P249" s="7"/>
      <c r="Q249" s="22"/>
      <c r="R249" s="170"/>
      <c r="S249" s="213">
        <f>1/IF(AG249="EC",12,1)*SUM(U249:U249)</f>
        <v>1</v>
      </c>
      <c r="T249" s="195" t="str">
        <f>IF(ISEVEN(LEFT(AD249,4)),"Southbound","NorthBound")</f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19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-08-23T09:32:31-0600',mode:absolute,to:'2017-08-23T12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9" s="197" t="str">
        <f>IF(AA249&lt;VLOOKUP(AG249,Variables!$AC$3:$AD$8,2,FALSE),"Y","N")</f>
        <v>Y</v>
      </c>
      <c r="X249" s="197">
        <f>VALUE(LEFT(AD249,4))-VALUE(LEFT(AD248,4))</f>
        <v>0</v>
      </c>
      <c r="Y249" s="197">
        <f>RIGHT(D249,LEN(D249)-4)/10000</f>
        <v>4.5699999999999998E-2</v>
      </c>
      <c r="Z249" s="197">
        <f>RIGHT(H249,LEN(H249)-4)/10000</f>
        <v>11.257999999999999</v>
      </c>
      <c r="AA249" s="197">
        <f>ABS(Z249-Y249)</f>
        <v>11.212299999999999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206">
        <f>VALUE(LEFT(A249,LEN(A249)-3))</f>
        <v>71</v>
      </c>
      <c r="AE249" s="77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AF249" s="7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/stypes="app*4058*20170823*" /stext=" 17:.+((SYSTEM_STATE.+slice.+state.+changed )|(ment ac)|(multiple cpu faults)|(system.+state.+changed )|(\[timeout)|(PRM\|1\|D)|(kpr)|(kdp)|(train st.+moving)|(\|lc)|(penalty))"</v>
      </c>
      <c r="AG249" s="209" t="str">
        <f>DetSubdiv(A249)</f>
        <v>Shuttle/Test</v>
      </c>
      <c r="AH249" s="78" t="str">
        <f t="shared" si="18"/>
        <v>"%USERPROFILE%\Documents\GitHub\eaglep3\Utilities\RefineRTDCRunTimes.py" --tripid 71-23 --locoid 4058 --swversion DE.1.0.9.0 --startMP 204:457 --initTime 2017-08-23T10:32:31 --startdatetime 2017-08-23T10:47:44 --delay 1 --endMP 300:112580 --enddatetime 2017-08-23T11:18:26 --enforcementcount 1 &gt;&gt;C:\Users\stu\Documents\GitHub\eaglep3-reporting\EC\2017-08-23-refined-times.txt</v>
      </c>
      <c r="AI249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11.258"},{"id":17,"name":"Train ID","value":"71-23"},{"id":16,"name":"Locomotive ID","value":"4058"},{"id":130,"name":"Impact","value":""},{"id":150,"name":"Time of Event (Mountain Time)","value":"11:18:26"},{"id":151,"name":"Denver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20"/>
        <v>start /low /b %USERPROFILE%\Documents\GitHub\eaglep3\Utilities\DownloadLogsFromS3.py --loco 4058 --day 2017-08-23</v>
      </c>
      <c r="AN249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555</v>
      </c>
      <c r="B250" s="7">
        <v>4058</v>
      </c>
      <c r="C250" s="21" t="s">
        <v>197</v>
      </c>
      <c r="D250" s="21" t="s">
        <v>934</v>
      </c>
      <c r="E250" s="13">
        <v>42970.439247685186</v>
      </c>
      <c r="F250" s="13">
        <v>42970.449814814812</v>
      </c>
      <c r="G250" s="7">
        <v>14</v>
      </c>
      <c r="H250" s="21" t="s">
        <v>931</v>
      </c>
      <c r="I250" s="13">
        <v>42970.471134259256</v>
      </c>
      <c r="J250" s="7">
        <v>1</v>
      </c>
      <c r="K250" s="89" t="str">
        <f>IF(ISEVEN(B250),(B250-1)&amp;"/"&amp;B250,B250&amp;"/"&amp;(B250+1))</f>
        <v>4057/4058</v>
      </c>
      <c r="L250" s="217" t="str">
        <f>VLOOKUP(A250,'Trips&amp;Operators'!$C$1:$G$99911,5,FALSE)</f>
        <v>MOSES BRADLEY</v>
      </c>
      <c r="M250" s="6">
        <f>I250-F250</f>
        <v>2.1319444444088731E-2</v>
      </c>
      <c r="N250" s="7">
        <f>24*60*SUM($M250:$M250)</f>
        <v>30.699999999487773</v>
      </c>
      <c r="O250" s="7"/>
      <c r="P250" s="7"/>
      <c r="Q250" s="22"/>
      <c r="R250" s="170"/>
      <c r="S250" s="213">
        <f>1/IF(AG250="EC",12,1)*SUM(U250:U250)</f>
        <v>1</v>
      </c>
      <c r="T250" s="195" t="str">
        <f>IF(ISEVEN(LEFT(AD250,4)),"Southbound","NorthBound")</f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19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-08-23T09:32:31-0600',mode:absolute,to:'2017-08-23T12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0" s="197" t="str">
        <f>IF(AA250&lt;VLOOKUP(AG250,Variables!$AC$3:$AD$8,2,FALSE),"Y","N")</f>
        <v>Y</v>
      </c>
      <c r="X250" s="197">
        <f>VALUE(LEFT(AD250,4))-VALUE(LEFT(AD249,4))</f>
        <v>0</v>
      </c>
      <c r="Y250" s="197">
        <f>RIGHT(D250,LEN(D250)-4)/10000</f>
        <v>4.6800000000000001E-2</v>
      </c>
      <c r="Z250" s="197">
        <f>RIGHT(H250,LEN(H250)-4)/10000</f>
        <v>11.257999999999999</v>
      </c>
      <c r="AA250" s="197">
        <f>ABS(Z250-Y250)</f>
        <v>11.2112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206">
        <f>VALUE(LEFT(A250,LEN(A250)-3))</f>
        <v>71</v>
      </c>
      <c r="AE250" s="77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AF250" s="7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/stypes="app*4058*20170823*" /stext=" 17:.+((SYSTEM_STATE.+slice.+state.+changed )|(ment ac)|(multiple cpu faults)|(system.+state.+changed )|(\[timeout)|(PRM\|1\|D)|(kpr)|(kdp)|(train st.+moving)|(\|lc)|(penalty))"</v>
      </c>
      <c r="AG250" s="209" t="str">
        <f>DetSubdiv(A250)</f>
        <v>Shuttle/Test</v>
      </c>
      <c r="AH250" s="78" t="str">
        <f t="shared" si="18"/>
        <v>"%USERPROFILE%\Documents\GitHub\eaglep3\Utilities\RefineRTDCRunTimes.py" --tripid 71-23 --locoid 4058 --swversion DE.1.0.9.0 --startMP 204:468 --initTime 2017-08-23T10:32:31 --startdatetime 2017-08-23T10:47:44 --delay 14 --endMP 300:112580 --enddatetime 2017-08-23T11:18:26 --enforcementcount 1 &gt;&gt;C:\Users\stu\Documents\GitHub\eaglep3-reporting\EC\2017-08-23-refined-times.txt</v>
      </c>
      <c r="AI250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11.258"},{"id":17,"name":"Train ID","value":"71-23"},{"id":16,"name":"Locomotive ID","value":"4058"},{"id":130,"name":"Impact","value":""},{"id":150,"name":"Time of Event (Mountain Time)","value":"11:18:26"},{"id":151,"name":"Denver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20"/>
        <v>start /low /b %USERPROFILE%\Documents\GitHub\eaglep3\Utilities\DownloadLogsFromS3.py --loco 4058 --day 2017-08-23</v>
      </c>
      <c r="AN250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17:18:26"},{"id":29,"name":"Sharepoint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555</v>
      </c>
      <c r="B251" s="7">
        <v>4058</v>
      </c>
      <c r="C251" s="21" t="s">
        <v>197</v>
      </c>
      <c r="D251" s="21" t="s">
        <v>935</v>
      </c>
      <c r="E251" s="13">
        <v>42970.371770833335</v>
      </c>
      <c r="F251" s="13">
        <v>42970.381203703706</v>
      </c>
      <c r="G251" s="7">
        <v>13</v>
      </c>
      <c r="H251" s="21" t="s">
        <v>936</v>
      </c>
      <c r="I251" s="13">
        <v>42970.396319444444</v>
      </c>
      <c r="J251" s="7">
        <v>1</v>
      </c>
      <c r="K251" s="89" t="str">
        <f>IF(ISEVEN(B251),(B251-1)&amp;"/"&amp;B251,B251&amp;"/"&amp;(B251+1))</f>
        <v>4057/4058</v>
      </c>
      <c r="L251" s="217" t="str">
        <f>VLOOKUP(A251,'Trips&amp;Operators'!$C$1:$G$99911,5,FALSE)</f>
        <v>MOSES BRADLEY</v>
      </c>
      <c r="M251" s="6">
        <f>I251-F251</f>
        <v>1.5115740738110617E-2</v>
      </c>
      <c r="N251" s="7">
        <f>24*60*SUM($M251:$M251)</f>
        <v>21.766666662879288</v>
      </c>
      <c r="O251" s="7"/>
      <c r="P251" s="7"/>
      <c r="Q251" s="22"/>
      <c r="R251" s="170"/>
      <c r="S251" s="213">
        <f>1/IF(AG251="EC",12,1)*SUM(U251:U251)</f>
        <v>0</v>
      </c>
      <c r="T251" s="195" t="str">
        <f>IF(ISEVEN(LEFT(AD251,4)),"Southbound","NorthBound")</f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6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-08-23T07:55:21-0600',mode:absolute,to:'2017-08-23T10:30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1" s="197" t="str">
        <f>IF(AA251&lt;VLOOKUP(AG251,Variables!$AC$3:$AD$8,2,FALSE),"Y","N")</f>
        <v>Y</v>
      </c>
      <c r="X251" s="197">
        <f>VALUE(LEFT(AD251,4))-VALUE(LEFT(AD250,4))</f>
        <v>0</v>
      </c>
      <c r="Y251" s="197">
        <f>RIGHT(D251,LEN(D251)-4)/10000</f>
        <v>3.0629</v>
      </c>
      <c r="Z251" s="197">
        <f>RIGHT(H251,LEN(H251)-4)/10000</f>
        <v>11.2576</v>
      </c>
      <c r="AA251" s="197">
        <f>ABS(Z251-Y251)</f>
        <v>8.194700000000001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206">
        <f>VALUE(LEFT(A251,LEN(A251)-3))</f>
        <v>71</v>
      </c>
      <c r="AE251" s="77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AF251" s="7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/stypes="app*4058*20170823*" /stext=" 15:.+((SYSTEM_STATE.+slice.+state.+changed )|(ment ac)|(multiple cpu faults)|(system.+state.+changed )|(\[timeout)|(PRM\|1\|D)|(kpr)|(kdp)|(train st.+moving)|(\|lc)|(penalty))"</v>
      </c>
      <c r="AG251" s="209" t="str">
        <f>DetSubdiv(A251)</f>
        <v>Shuttle/Test</v>
      </c>
      <c r="AH251" s="78" t="str">
        <f t="shared" si="18"/>
        <v>"%USERPROFILE%\Documents\GitHub\eaglep3\Utilities\RefineRTDCRunTimes.py" --tripid 71-23 --locoid 4058 --swversion DE.1.0.9.0 --startMP 300:30629 --initTime 2017-08-23T08:55:21 --startdatetime 2017-08-23T09:08:56 --delay 13 --endMP 300:112576 --enddatetime 2017-08-23T09:30:42 --enforcementcount 1 &gt;&gt;C:\Users\stu\Documents\GitHub\eaglep3-reporting\EC\2017-08-23-refined-times.txt</v>
      </c>
      <c r="AI251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11.2576"},{"id":17,"name":"Train ID","value":"71-23"},{"id":16,"name":"Locomotive ID","value":"4058"},{"id":130,"name":"Impact","value":""},{"id":150,"name":"Time of Event (Mountain Time)","value":"09:30:42"},{"id":151,"name":"Denver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20"/>
        <v>start /low /b %USERPROFILE%\Documents\GitHub\eaglep3\Utilities\DownloadLogsFromS3.py --loco 4058 --day 2017-08-23</v>
      </c>
      <c r="AN251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15:30:42"},{"id":29,"name":"Sharepoint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578</v>
      </c>
      <c r="B252" s="7">
        <v>4058</v>
      </c>
      <c r="C252" s="21" t="s">
        <v>197</v>
      </c>
      <c r="D252" s="21" t="s">
        <v>937</v>
      </c>
      <c r="E252" s="13">
        <v>42970.632905092592</v>
      </c>
      <c r="F252" s="13">
        <v>42970.641111111108</v>
      </c>
      <c r="G252" s="7">
        <v>2</v>
      </c>
      <c r="H252" s="21" t="s">
        <v>938</v>
      </c>
      <c r="I252" s="13">
        <v>42970.661574074074</v>
      </c>
      <c r="J252" s="7">
        <v>1</v>
      </c>
      <c r="K252" s="89" t="str">
        <f>IF(ISEVEN(B252),(B252-1)&amp;"/"&amp;B252,B252&amp;"/"&amp;(B252+1))</f>
        <v>4057/4058</v>
      </c>
      <c r="L252" s="217" t="str">
        <f>VLOOKUP(A252,'Trips&amp;Operators'!$C$1:$G$99911,5,FALSE)</f>
        <v>SAFIEF AEIMEN</v>
      </c>
      <c r="M252" s="6">
        <f>I252-F252</f>
        <v>2.0462962966121268E-2</v>
      </c>
      <c r="N252" s="7">
        <f>24*60*SUM($M252:$M252)</f>
        <v>29.466666671214625</v>
      </c>
      <c r="O252" s="7"/>
      <c r="P252" s="7"/>
      <c r="Q252" s="22"/>
      <c r="R252" s="170"/>
      <c r="S252" s="213">
        <f>1/IF(AG252="EC",12,1)*SUM(U252:U252)</f>
        <v>1</v>
      </c>
      <c r="T252" s="195" t="str">
        <f>IF(ISEVEN(LEFT(AD252,4)),"Southbound","NorthBound")</f>
        <v>NorthBound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196" t="str">
        <f>"https://d0f6bd738d7f1b3e5a7ca70fe4ff75f0.us-east-1.aws.found.io/app/kibana#/discover/Steve-Slow-Train-Analysis-(2080s-and-2083s)?_g="&amp;"(refreshInterval:(display:Off,pause:!f,section:0,value:0),time:(from:'"&amp;TEXT(E252-1/24,"yyyy-MM-DDThh:mm:ss")&amp;utc_offset&amp;"00"&amp;"',mode:absolute,to:'"&amp;TEXT(I252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252&amp;"%22')),sort:!(Time.ISO8601,asc))"</f>
        <v>https://d0f6bd738d7f1b3e5a7ca70fe4ff75f0.us-east-1.aws.found.io/app/kibana#/discover/Steve-Slow-Train-Analysis-(2080s-and-2083s)?_g=(refreshInterval:(display:Off,pause:!f,section:0,value:0),time:(from:'2017-08-23T14:11:23-0600',mode:absolute,to:'2017-08-23T16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2" s="197" t="str">
        <f>IF(AA252&lt;VLOOKUP(AG252,Variables!$AC$3:$AD$8,2,FALSE),"Y","N")</f>
        <v>Y</v>
      </c>
      <c r="X252" s="197">
        <f>VALUE(LEFT(AD252,4))-VALUE(LEFT(AD251,4))</f>
        <v>4</v>
      </c>
      <c r="Y252" s="197">
        <f>RIGHT(D252,LEN(D252)-4)/10000</f>
        <v>4.5900000000000003E-2</v>
      </c>
      <c r="Z252" s="197">
        <f>RIGHT(H252,LEN(H252)-4)/10000</f>
        <v>11.226100000000001</v>
      </c>
      <c r="AA252" s="197">
        <f>ABS(Z252-Y252)</f>
        <v>11.180200000000001</v>
      </c>
      <c r="AB252" s="54" t="e">
        <f>VLOOKUP(A252,Enforcements!$C$7:$K$11,8,0)</f>
        <v>#N/A</v>
      </c>
      <c r="AC252" s="51" t="e">
        <f>VLOOKUP(A252,Enforcements!$C$7:$E$11,3,0)</f>
        <v>#N/A</v>
      </c>
      <c r="AD252" s="206">
        <f>VALUE(LEFT(A252,LEN(A252)-3))</f>
        <v>75</v>
      </c>
      <c r="AE252" s="77" t="str">
        <f>"aws s3 cp "&amp;s3_bucket&amp;"/RTDC"&amp;B252&amp;"/ "&amp;search_path&amp;"\RTDC"&amp;B252&amp;"\"&amp;TEXT(F252,"YYYY-MM-DD")&amp;" --exclude ""*"" --recursive --include ""*"&amp;TEXT(F252,"YYYYMMDD")&amp;"*"" &amp; """&amp;walkandungz&amp;""" "&amp;search_path&amp;"\RTDC"&amp;B252&amp;"\"&amp;TEXT(F252,"YYYY-MM-DD")
&amp;" &amp; "&amp;"aws s3 cp "&amp;s3_bucket&amp;"/RTDC"&amp;B252&amp;"/ "&amp;search_path&amp;"\RTDC"&amp;B252&amp;"\"&amp;TEXT(F252+1,"YYYY-MM-DD")&amp;" --exclude ""*"" --recursive --include ""*"&amp;TEXT(F252+1,"YYYYMMDD")&amp;"*"" &amp; """&amp;walkandungz&amp;""" "&amp;search_path&amp;"\RTDC"&amp;B252&amp;"\"&amp;TEXT(F252+1,"YYYY-MM-DD")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AF252" s="74" t="str">
        <f>astrogrep_path&amp;" /e /r /s /spath="&amp;search_path&amp;" /stypes=""app*"&amp;B252&amp;"*"&amp;TEXT(I252-utc_offset/24,"YYYYMMDD")&amp;"*"" /stext="" "&amp;TEXT(I252-utc_offset/24,"HH")&amp;search_regexp&amp;""""</f>
        <v>"C:\Program Files (x86)\AstroGrep\AstroGrep.exe" /e /r /s /spath="%USERPROFILE%\AppData\Local\Temp\OnboardLogs" /stypes="app*4058*20170823*" /stext=" 21:.+((SYSTEM_STATE.+slice.+state.+changed )|(ment ac)|(multiple cpu faults)|(system.+state.+changed )|(\[timeout)|(PRM\|1\|D)|(kpr)|(kdp)|(train st.+moving)|(\|lc)|(penalty))"</v>
      </c>
      <c r="AG252" s="209" t="str">
        <f>DetSubdiv(A252)</f>
        <v>Shuttle/Test</v>
      </c>
      <c r="AH252" s="78" t="str">
        <f t="shared" si="18"/>
        <v>"%USERPROFILE%\Documents\GitHub\eaglep3\Utilities\RefineRTDCRunTimes.py" --tripid 75-23 --locoid 4058 --swversion DE.1.0.9.0 --startMP 204:459 --initTime 2017-08-23T15:11:23 --startdatetime 2017-08-23T15:23:12 --delay 2 --endMP 300:112261 --enddatetime 2017-08-23T15:52:40 --enforcementcount 1 &gt;&gt;C:\Users\stu\Documents\GitHub\eaglep3-reporting\EC\2017-08-23-refined-times.txt</v>
      </c>
      <c r="AI252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11.2261"},{"id":17,"name":"Train ID","value":"75-23"},{"id":16,"name":"Locomotive ID","value":"4058"},{"id":130,"name":"Impact","value":""},{"id":150,"name":"Time of Event (Mountain Time)","value":"15:52:40"},{"id":151,"name":"Denver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20"/>
        <v>start /low /b %USERPROFILE%\Documents\GitHub\eaglep3\Utilities\DownloadLogsFromS3.py --loco 4058 --day 2017-08-23</v>
      </c>
      <c r="AN252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21:52:40"},{"id":29,"name":"Sharepoint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730</v>
      </c>
      <c r="B253" s="7">
        <v>4057</v>
      </c>
      <c r="C253" s="21" t="s">
        <v>197</v>
      </c>
      <c r="D253" s="21" t="s">
        <v>939</v>
      </c>
      <c r="E253" s="13">
        <v>42970.664224537039</v>
      </c>
      <c r="F253" s="13">
        <v>42970.666319444441</v>
      </c>
      <c r="G253" s="7">
        <v>2</v>
      </c>
      <c r="H253" s="21" t="s">
        <v>940</v>
      </c>
      <c r="I253" s="13">
        <v>42970.686863425923</v>
      </c>
      <c r="J253" s="7">
        <v>1</v>
      </c>
      <c r="K253" s="89" t="str">
        <f>IF(ISEVEN(B253),(B253-1)&amp;"/"&amp;B253,B253&amp;"/"&amp;(B253+1))</f>
        <v>4057/4058</v>
      </c>
      <c r="L253" s="217" t="str">
        <f>VLOOKUP(A253,'Trips&amp;Operators'!$C$1:$G$99911,5,FALSE)</f>
        <v>SAFIEF AEIMEN</v>
      </c>
      <c r="M253" s="6">
        <f>I253-F253</f>
        <v>2.0543981481750961E-2</v>
      </c>
      <c r="N253" s="7">
        <f>24*60*SUM($M253:$M253)</f>
        <v>29.583333333721384</v>
      </c>
      <c r="O253" s="7"/>
      <c r="P253" s="7"/>
      <c r="Q253" s="22"/>
      <c r="R253" s="170"/>
      <c r="S253" s="213">
        <f>1/IF(AG253="EC",12,1)*SUM(U253:U253)</f>
        <v>1</v>
      </c>
      <c r="T253" s="195" t="str">
        <f>IF(ISEVEN(LEFT(AD253,4)),"Southbound","NorthBound")</f>
        <v>Southbound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1</v>
      </c>
      <c r="V253" s="196" t="str">
        <f>"https://d0f6bd738d7f1b3e5a7ca70fe4ff75f0.us-east-1.aws.found.io/app/kibana#/discover/Steve-Slow-Train-Analysis-(2080s-and-2083s)?_g="&amp;"(refreshInterval:(display:Off,pause:!f,section:0,value:0),time:(from:'"&amp;TEXT(E253-1/24,"yyyy-MM-DDThh:mm:ss")&amp;utc_offset&amp;"00"&amp;"',mode:absolute,to:'"&amp;TEXT(I253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253&amp;"%22')),sort:!(Time.ISO8601,asc))"</f>
        <v>https://d0f6bd738d7f1b3e5a7ca70fe4ff75f0.us-east-1.aws.found.io/app/kibana#/discover/Steve-Slow-Train-Analysis-(2080s-and-2083s)?_g=(refreshInterval:(display:Off,pause:!f,section:0,value:0),time:(from:'2017-08-23T14:56:29-0600',mode:absolute,to:'2017-08-23T17:29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53" s="197" t="str">
        <f>IF(AA253&lt;VLOOKUP(AG253,Variables!$AC$3:$AD$8,2,FALSE),"Y","N")</f>
        <v>Y</v>
      </c>
      <c r="X253" s="197">
        <f>VALUE(LEFT(AD253,4))-VALUE(LEFT(AD252,4))</f>
        <v>1</v>
      </c>
      <c r="Y253" s="197">
        <f>RIGHT(D253,LEN(D253)-4)/10000</f>
        <v>11.2201</v>
      </c>
      <c r="Z253" s="197">
        <f>RIGHT(H253,LEN(H253)-4)/10000</f>
        <v>1.3299999999999999E-2</v>
      </c>
      <c r="AA253" s="197">
        <f>ABS(Z253-Y253)</f>
        <v>11.206800000000001</v>
      </c>
      <c r="AB253" s="54" t="e">
        <f>VLOOKUP(A253,Enforcements!$C$7:$K$11,8,0)</f>
        <v>#N/A</v>
      </c>
      <c r="AC253" s="51" t="e">
        <f>VLOOKUP(A253,Enforcements!$C$7:$E$11,3,0)</f>
        <v>#N/A</v>
      </c>
      <c r="AD253" s="206">
        <f>VALUE(LEFT(A253,LEN(A253)-3))</f>
        <v>76</v>
      </c>
      <c r="AE253" s="77" t="str">
        <f>"aws s3 cp "&amp;s3_bucket&amp;"/RTDC"&amp;B253&amp;"/ "&amp;search_path&amp;"\RTDC"&amp;B253&amp;"\"&amp;TEXT(F253,"YYYY-MM-DD")&amp;" --exclude ""*"" --recursive --include ""*"&amp;TEXT(F253,"YYYYMMDD")&amp;"*"" &amp; """&amp;walkandungz&amp;""" "&amp;search_path&amp;"\RTDC"&amp;B253&amp;"\"&amp;TEXT(F253,"YYYY-MM-DD")
&amp;" &amp; "&amp;"aws s3 cp "&amp;s3_bucket&amp;"/RTDC"&amp;B253&amp;"/ "&amp;search_path&amp;"\RTDC"&amp;B253&amp;"\"&amp;TEXT(F253+1,"YYYY-MM-DD")&amp;" --exclude ""*"" --recursive --include ""*"&amp;TEXT(F253+1,"YYYYMMDD")&amp;"*"" &amp; """&amp;walkandungz&amp;""" "&amp;search_path&amp;"\RTDC"&amp;B253&amp;"\"&amp;TEXT(F253+1,"YYYY-MM-DD")</f>
        <v>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 &amp; aws s3 cp s3://rtdc.mdm.uploadarchive.raw/RTDC4057/ "%USERPROFILE%\AppData\Local\Temp\OnboardLogs"\RTDC4057\2017-08-24 --exclude "*" --recursive --include "*20170824*" &amp; "%USERPROFILE%\Documents\GitHub\mrs-test-scripts\Headless Mode &amp; Sideloading\WalkAndUnGZ.bat" "%USERPROFILE%\AppData\Local\Temp\OnboardLogs"\RTDC4057\2017-08-24</v>
      </c>
      <c r="AF253" s="74" t="str">
        <f>astrogrep_path&amp;" /e /r /s /spath="&amp;search_path&amp;" /stypes=""app*"&amp;B253&amp;"*"&amp;TEXT(I253-utc_offset/24,"YYYYMMDD")&amp;"*"" /stext="" "&amp;TEXT(I253-utc_offset/24,"HH")&amp;search_regexp&amp;""""</f>
        <v>"C:\Program Files (x86)\AstroGrep\AstroGrep.exe" /e /r /s /spath="%USERPROFILE%\AppData\Local\Temp\OnboardLogs" /stypes="app*4057*20170823*" /stext=" 22:.+((SYSTEM_STATE.+slice.+state.+changed )|(ment ac)|(multiple cpu faults)|(system.+state.+changed )|(\[timeout)|(PRM\|1\|D)|(kpr)|(kdp)|(train st.+moving)|(\|lc)|(penalty))"</v>
      </c>
      <c r="AG253" s="209" t="str">
        <f>DetSubdiv(A253)</f>
        <v>Shuttle/Test</v>
      </c>
      <c r="AH253" s="78" t="str">
        <f t="shared" si="18"/>
        <v>"%USERPROFILE%\Documents\GitHub\eaglep3\Utilities\RefineRTDCRunTimes.py" --tripid 76-23 --locoid 4057 --swversion DE.1.0.9.0 --startMP 300:112201 --initTime 2017-08-23T15:56:29 --startdatetime 2017-08-23T15:59:30 --delay 2 --endMP 204:133 --enddatetime 2017-08-23T16:29:05 --enforcementcount 1 &gt;&gt;C:\Users\stu\Documents\GitHub\eaglep3-reporting\EC\2017-08-23-refined-times.txt</v>
      </c>
      <c r="AI253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0.0133"},{"id":17,"name":"Train ID","value":"76-23"},{"id":16,"name":"Locomotive ID","value":"4057"},{"id":130,"name":"Impact","value":""},{"id":150,"name":"Time of Event (Mountain Time)","value":"16:29:05"},{"id":151,"name":"Denver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20"/>
        <v>start /low /b %USERPROFILE%\Documents\GitHub\eaglep3\Utilities\DownloadLogsFromS3.py --loco 4057 --day 2017-08-23</v>
      </c>
      <c r="AN253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22:29:05"},{"id":29,"name":"Sharepoint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579</v>
      </c>
      <c r="B254" s="7">
        <v>4058</v>
      </c>
      <c r="C254" s="21" t="s">
        <v>197</v>
      </c>
      <c r="D254" s="21" t="s">
        <v>390</v>
      </c>
      <c r="E254" s="13">
        <v>42970.688263888886</v>
      </c>
      <c r="F254" s="13">
        <v>42970.690625000003</v>
      </c>
      <c r="G254" s="7">
        <v>2</v>
      </c>
      <c r="H254" s="21" t="s">
        <v>941</v>
      </c>
      <c r="I254" s="13">
        <v>42970.70994212963</v>
      </c>
      <c r="J254" s="7">
        <v>1</v>
      </c>
      <c r="K254" s="89" t="str">
        <f>IF(ISEVEN(B254),(B254-1)&amp;"/"&amp;B254,B254&amp;"/"&amp;(B254+1))</f>
        <v>4057/4058</v>
      </c>
      <c r="L254" s="217" t="str">
        <f>VLOOKUP(A254,'Trips&amp;Operators'!$C$1:$G$99911,5,FALSE)</f>
        <v>BADERTSCHER DIANE</v>
      </c>
      <c r="M254" s="6">
        <f>I254-F254</f>
        <v>1.9317129626870155E-2</v>
      </c>
      <c r="N254" s="7">
        <f>24*60*SUM($M254:$M254)</f>
        <v>27.816666662693024</v>
      </c>
      <c r="O254" s="7"/>
      <c r="P254" s="7"/>
      <c r="Q254" s="22"/>
      <c r="R254" s="170"/>
      <c r="S254" s="213">
        <f>1/IF(AG254="EC",12,1)*SUM(U254:U254)</f>
        <v>1</v>
      </c>
      <c r="T254" s="195" t="str">
        <f>IF(ISEVEN(LEFT(AD254,4)),"Southbound","NorthBound")</f>
        <v>NorthBound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196" t="str">
        <f>"https://d0f6bd738d7f1b3e5a7ca70fe4ff75f0.us-east-1.aws.found.io/app/kibana#/discover/Steve-Slow-Train-Analysis-(2080s-and-2083s)?_g="&amp;"(refreshInterval:(display:Off,pause:!f,section:0,value:0),time:(from:'"&amp;TEXT(E254-1/24,"yyyy-MM-DDThh:mm:ss")&amp;utc_offset&amp;"00"&amp;"',mode:absolute,to:'"&amp;TEXT(I254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254&amp;"%22')),sort:!(Time.ISO8601,asc))"</f>
        <v>https://d0f6bd738d7f1b3e5a7ca70fe4ff75f0.us-east-1.aws.found.io/app/kibana#/discover/Steve-Slow-Train-Analysis-(2080s-and-2083s)?_g=(refreshInterval:(display:Off,pause:!f,section:0,value:0),time:(from:'2017-08-23T15:31:06-0600',mode:absolute,to:'2017-08-23T18:02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4" s="197" t="str">
        <f>IF(AA254&lt;VLOOKUP(AG254,Variables!$AC$3:$AD$8,2,FALSE),"Y","N")</f>
        <v>Y</v>
      </c>
      <c r="X254" s="197">
        <f>VALUE(LEFT(AD254,4))-VALUE(LEFT(AD253,4))</f>
        <v>1</v>
      </c>
      <c r="Y254" s="197">
        <f>RIGHT(D254,LEN(D254)-4)/10000</f>
        <v>4.4400000000000002E-2</v>
      </c>
      <c r="Z254" s="197">
        <f>RIGHT(H254,LEN(H254)-4)/10000</f>
        <v>11.2517</v>
      </c>
      <c r="AA254" s="197">
        <f>ABS(Z254-Y254)</f>
        <v>11.2073</v>
      </c>
      <c r="AB254" s="54" t="e">
        <f>VLOOKUP(A254,Enforcements!$C$7:$K$11,8,0)</f>
        <v>#N/A</v>
      </c>
      <c r="AC254" s="51" t="e">
        <f>VLOOKUP(A254,Enforcements!$C$7:$E$11,3,0)</f>
        <v>#N/A</v>
      </c>
      <c r="AD254" s="206">
        <f>VALUE(LEFT(A254,LEN(A254)-3))</f>
        <v>77</v>
      </c>
      <c r="AE254" s="77" t="str">
        <f>"aws s3 cp "&amp;s3_bucket&amp;"/RTDC"&amp;B254&amp;"/ "&amp;search_path&amp;"\RTDC"&amp;B254&amp;"\"&amp;TEXT(F254,"YYYY-MM-DD")&amp;" --exclude ""*"" --recursive --include ""*"&amp;TEXT(F254,"YYYYMMDD")&amp;"*"" &amp; """&amp;walkandungz&amp;""" "&amp;search_path&amp;"\RTDC"&amp;B254&amp;"\"&amp;TEXT(F254,"YYYY-MM-DD")
&amp;" &amp; "&amp;"aws s3 cp "&amp;s3_bucket&amp;"/RTDC"&amp;B254&amp;"/ "&amp;search_path&amp;"\RTDC"&amp;B254&amp;"\"&amp;TEXT(F254+1,"YYYY-MM-DD")&amp;" --exclude ""*"" --recursive --include ""*"&amp;TEXT(F254+1,"YYYYMMDD")&amp;"*"" &amp; """&amp;walkandungz&amp;""" "&amp;search_path&amp;"\RTDC"&amp;B254&amp;"\"&amp;TEXT(F254+1,"YYYY-MM-DD")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AF254" s="74" t="str">
        <f>astrogrep_path&amp;" /e /r /s /spath="&amp;search_path&amp;" /stypes=""app*"&amp;B254&amp;"*"&amp;TEXT(I254-utc_offset/24,"YYYYMMDD")&amp;"*"" /stext="" "&amp;TEXT(I254-utc_offset/24,"HH")&amp;search_regexp&amp;""""</f>
        <v>"C:\Program Files (x86)\AstroGrep\AstroGrep.exe" /e /r /s /spath="%USERPROFILE%\AppData\Local\Temp\OnboardLogs" /stypes="app*4058*20170823*" /stext=" 23:.+((SYSTEM_STATE.+slice.+state.+changed )|(ment ac)|(multiple cpu faults)|(system.+state.+changed )|(\[timeout)|(PRM\|1\|D)|(kpr)|(kdp)|(train st.+moving)|(\|lc)|(penalty))"</v>
      </c>
      <c r="AG254" s="209" t="str">
        <f>DetSubdiv(A254)</f>
        <v>Shuttle/Test</v>
      </c>
      <c r="AH254" s="78" t="str">
        <f t="shared" si="18"/>
        <v>"%USERPROFILE%\Documents\GitHub\eaglep3\Utilities\RefineRTDCRunTimes.py" --tripid 77-23 --locoid 4058 --swversion DE.1.0.9.0 --startMP 204:444 --initTime 2017-08-23T16:31:06 --startdatetime 2017-08-23T16:34:30 --delay 2 --endMP 300:112517 --enddatetime 2017-08-23T17:02:19 --enforcementcount 1 &gt;&gt;C:\Users\stu\Documents\GitHub\eaglep3-reporting\EC\2017-08-23-refined-times.txt</v>
      </c>
      <c r="AI254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11.2517"},{"id":17,"name":"Train ID","value":"77-23"},{"id":16,"name":"Locomotive ID","value":"4058"},{"id":130,"name":"Impact","value":""},{"id":150,"name":"Time of Event (Mountain Time)","value":"17:02:19"},{"id":151,"name":"Denver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20"/>
        <v>start /low /b %USERPROFILE%\Documents\GitHub\eaglep3\Utilities\DownloadLogsFromS3.py --loco 4058 --day 2017-08-23</v>
      </c>
      <c r="AN254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23:02:19"},{"id":29,"name":"Sharepoint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 s="32" t="s">
        <v>745</v>
      </c>
      <c r="B255" s="7">
        <v>4057</v>
      </c>
      <c r="C255" s="21" t="s">
        <v>197</v>
      </c>
      <c r="D255" s="21" t="s">
        <v>942</v>
      </c>
      <c r="E255" s="13">
        <v>42970.711041666669</v>
      </c>
      <c r="F255" s="13">
        <v>42970.713136574072</v>
      </c>
      <c r="G255" s="7">
        <v>1</v>
      </c>
      <c r="H255" s="21" t="s">
        <v>943</v>
      </c>
      <c r="I255" s="13">
        <v>42970.728935185187</v>
      </c>
      <c r="J255" s="7">
        <v>1</v>
      </c>
      <c r="K255" s="89" t="str">
        <f>IF(ISEVEN(B255),(B255-1)&amp;"/"&amp;B255,B255&amp;"/"&amp;(B255+1))</f>
        <v>4057/4058</v>
      </c>
      <c r="L255" s="217" t="str">
        <f>VLOOKUP(A255,'Trips&amp;Operators'!$C$1:$G$99911,5,FALSE)</f>
        <v>BADERTSCHER DIANE</v>
      </c>
      <c r="M255" s="6">
        <f>I255-F255</f>
        <v>1.5798611115314998E-2</v>
      </c>
      <c r="N255" s="7">
        <f>24*60*SUM($M255:$M255)</f>
        <v>22.750000006053597</v>
      </c>
      <c r="O255" s="7"/>
      <c r="P255" s="7"/>
      <c r="Q255" s="22"/>
      <c r="R255" s="170"/>
      <c r="S255" s="213">
        <f>1/IF(AG255="EC",12,1)*SUM(U255:U255)</f>
        <v>0</v>
      </c>
      <c r="T255" s="195" t="str">
        <f>IF(ISEVEN(LEFT(AD255,4)),"Southbound","NorthBound")</f>
        <v>Southbound</v>
      </c>
      <c r="U255" s="19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6" t="str">
        <f>"https://d0f6bd738d7f1b3e5a7ca70fe4ff75f0.us-east-1.aws.found.io/app/kibana#/discover/Steve-Slow-Train-Analysis-(2080s-and-2083s)?_g="&amp;"(refreshInterval:(display:Off,pause:!f,section:0,value:0),time:(from:'"&amp;TEXT(E255-1/24,"yyyy-MM-DDThh:mm:ss")&amp;utc_offset&amp;"00"&amp;"',mode:absolute,to:'"&amp;TEXT(I255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255&amp;"%22')),sort:!(Time.ISO8601,asc))"</f>
        <v>https://d0f6bd738d7f1b3e5a7ca70fe4ff75f0.us-east-1.aws.found.io/app/kibana#/discover/Steve-Slow-Train-Analysis-(2080s-and-2083s)?_g=(refreshInterval:(display:Off,pause:!f,section:0,value:0),time:(from:'2017-08-23T16:03:54-0600',mode:absolute,to:'2017-08-23T18:29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55" s="197" t="str">
        <f>IF(AA255&lt;VLOOKUP(AG255,Variables!$AC$3:$AD$8,2,FALSE),"Y","N")</f>
        <v>Y</v>
      </c>
      <c r="X255" s="197">
        <f>VALUE(LEFT(AD255,4))-VALUE(LEFT(AD254,4))</f>
        <v>1</v>
      </c>
      <c r="Y255" s="197">
        <f>RIGHT(D255,LEN(D255)-4)/10000</f>
        <v>11.2202</v>
      </c>
      <c r="Z255" s="197">
        <f>RIGHT(H255,LEN(H255)-4)/10000</f>
        <v>2.8769999999999998</v>
      </c>
      <c r="AA255" s="197">
        <f>ABS(Z255-Y255)</f>
        <v>8.3431999999999995</v>
      </c>
      <c r="AB255" s="54" t="e">
        <f>VLOOKUP(A255,Enforcements!$C$7:$K$11,8,0)</f>
        <v>#N/A</v>
      </c>
      <c r="AC255" s="51" t="e">
        <f>VLOOKUP(A255,Enforcements!$C$7:$E$11,3,0)</f>
        <v>#N/A</v>
      </c>
      <c r="AD255" s="206">
        <f>VALUE(LEFT(A255,LEN(A255)-3))</f>
        <v>78</v>
      </c>
      <c r="AE255" s="77" t="str">
        <f>"aws s3 cp "&amp;s3_bucket&amp;"/RTDC"&amp;B255&amp;"/ "&amp;search_path&amp;"\RTDC"&amp;B255&amp;"\"&amp;TEXT(F255,"YYYY-MM-DD")&amp;" --exclude ""*"" --recursive --include ""*"&amp;TEXT(F255,"YYYYMMDD")&amp;"*"" &amp; """&amp;walkandungz&amp;""" "&amp;search_path&amp;"\RTDC"&amp;B255&amp;"\"&amp;TEXT(F255,"YYYY-MM-DD")
&amp;" &amp; "&amp;"aws s3 cp "&amp;s3_bucket&amp;"/RTDC"&amp;B255&amp;"/ "&amp;search_path&amp;"\RTDC"&amp;B255&amp;"\"&amp;TEXT(F255+1,"YYYY-MM-DD")&amp;" --exclude ""*"" --recursive --include ""*"&amp;TEXT(F255+1,"YYYYMMDD")&amp;"*"" &amp; """&amp;walkandungz&amp;""" "&amp;search_path&amp;"\RTDC"&amp;B255&amp;"\"&amp;TEXT(F255+1,"YYYY-MM-DD")</f>
        <v>aws s3 cp s3://rtdc.mdm.uploadarchive.raw/RTDC4057/ "%USERPROFILE%\AppData\Local\Temp\OnboardLogs"\RTDC4057\2017-08-23 --exclude "*" --recursive --include "*20170823*" &amp; "%USERPROFILE%\Documents\GitHub\mrs-test-scripts\Headless Mode &amp; Sideloading\WalkAndUnGZ.bat" "%USERPROFILE%\AppData\Local\Temp\OnboardLogs"\RTDC4057\2017-08-23 &amp; aws s3 cp s3://rtdc.mdm.uploadarchive.raw/RTDC4057/ "%USERPROFILE%\AppData\Local\Temp\OnboardLogs"\RTDC4057\2017-08-24 --exclude "*" --recursive --include "*20170824*" &amp; "%USERPROFILE%\Documents\GitHub\mrs-test-scripts\Headless Mode &amp; Sideloading\WalkAndUnGZ.bat" "%USERPROFILE%\AppData\Local\Temp\OnboardLogs"\RTDC4057\2017-08-24</v>
      </c>
      <c r="AF255" s="74" t="str">
        <f>astrogrep_path&amp;" /e /r /s /spath="&amp;search_path&amp;" /stypes=""app*"&amp;B255&amp;"*"&amp;TEXT(I255-utc_offset/24,"YYYYMMDD")&amp;"*"" /stext="" "&amp;TEXT(I255-utc_offset/24,"HH")&amp;search_regexp&amp;""""</f>
        <v>"C:\Program Files (x86)\AstroGrep\AstroGrep.exe" /e /r /s /spath="%USERPROFILE%\AppData\Local\Temp\OnboardLogs" /stypes="app*4057*20170823*" /stext=" 23:.+((SYSTEM_STATE.+slice.+state.+changed )|(ment ac)|(multiple cpu faults)|(system.+state.+changed )|(\[timeout)|(PRM\|1\|D)|(kpr)|(kdp)|(train st.+moving)|(\|lc)|(penalty))"</v>
      </c>
      <c r="AG255" s="209" t="str">
        <f>DetSubdiv(A255)</f>
        <v>Shuttle/Test</v>
      </c>
      <c r="AH255" s="78" t="str">
        <f t="shared" si="18"/>
        <v>"%USERPROFILE%\Documents\GitHub\eaglep3\Utilities\RefineRTDCRunTimes.py" --tripid 78-23 --locoid 4057 --swversion DE.1.0.9.0 --startMP 300:112202 --initTime 2017-08-23T17:03:54 --startdatetime 2017-08-23T17:06:55 --delay 1 --endMP 300:28770 --enddatetime 2017-08-23T17:29:40 --enforcementcount 1 &gt;&gt;C:\Users\stu\Documents\GitHub\eaglep3-reporting\EC\2017-08-23-refined-times.txt</v>
      </c>
      <c r="AI255" s="96" t="str">
        <f t="shared" si="19"/>
        <v>echo {"issue":{"subject":"","project_id":79,"tracker_id":40,"status_id":1,"priority_id":2,"assigned_to_id":23,"start_date":"2017-08-23","description":"","custom_fields":[{"id":1,"name":"Subdivision","value":"Shuttle/Test"},{"id":4,"name":"Milepost","value":"2.877"},{"id":17,"name":"Train ID","value":"78-23"},{"id":16,"name":"Locomotive ID","value":"4057"},{"id":130,"name":"Impact","value":""},{"id":150,"name":"Time of Event (Mountain Time)","value":"17:29:40"},{"id":151,"name":"Denver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20"/>
        <v>start /low /b %USERPROFILE%\Documents\GitHub\eaglep3\Utilities\DownloadLogsFromS3.py --loco 4057 --day 2017-08-23</v>
      </c>
      <c r="AN255" s="151" t="str">
        <f t="shared" si="21"/>
        <v>echo {"issue":{"subject":"","project_id":30,"tracker_id":4,"status_id":1,"priority_id":1,"assigned_to_id":10,"start_date":"2017-08-23","description":"","custom_fields":[{"id":30,"name":"Category","value":"Issue"},{"id":3,"name":"Functional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UTC","value":"2017-08-23 23:29:40"},{"id":29,"name":"Sharepoint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</sheetData>
  <autoFilter ref="A12:AG254">
    <sortState ref="A13:AG255">
      <sortCondition ref="AG13:AG255"/>
      <sortCondition ref="AD13:AD255"/>
    </sortState>
  </autoFilter>
  <sortState ref="A13:AN209">
    <sortCondition ref="AG13:AG209"/>
    <sortCondition ref="AD13:AD209"/>
  </sortState>
  <mergeCells count="1">
    <mergeCell ref="A11:P11"/>
  </mergeCells>
  <conditionalFormatting sqref="W11:W12 W260:X1048576 W13:X255">
    <cfRule type="cellIs" dxfId="10" priority="415" operator="equal">
      <formula>"Y"</formula>
    </cfRule>
  </conditionalFormatting>
  <conditionalFormatting sqref="X260:X1048576 X13:X255">
    <cfRule type="cellIs" dxfId="9" priority="398" operator="greaterThan">
      <formula>1</formula>
    </cfRule>
  </conditionalFormatting>
  <conditionalFormatting sqref="X260:X1048576 X12:X255">
    <cfRule type="cellIs" dxfId="8" priority="395" operator="equal">
      <formula>0</formula>
    </cfRule>
  </conditionalFormatting>
  <conditionalFormatting sqref="A13:S25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Values'!$C$2:$C$15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abSelected="1" topLeftCell="A2" workbookViewId="0">
      <selection activeCell="P19" sqref="P19:P2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COUNTIF($O$7:$O$258,"=Y")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COUNTA($O$7:$O$258)-O2</f>
        <v>41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- 2017-08-23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365</v>
      </c>
      <c r="X6" s="208" t="s">
        <v>358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42970.661574074074</v>
      </c>
      <c r="B7" s="30" t="s">
        <v>567</v>
      </c>
      <c r="C7" s="30" t="s">
        <v>577</v>
      </c>
      <c r="D7" s="30" t="s">
        <v>49</v>
      </c>
      <c r="E7" s="30" t="s">
        <v>187</v>
      </c>
      <c r="F7" s="42">
        <v>0</v>
      </c>
      <c r="G7" s="42">
        <v>210</v>
      </c>
      <c r="H7" s="42">
        <v>26939</v>
      </c>
      <c r="I7" s="42">
        <v>27164</v>
      </c>
      <c r="J7" s="30" t="s">
        <v>188</v>
      </c>
      <c r="K7" s="42">
        <v>27053</v>
      </c>
      <c r="L7" s="131" t="s">
        <v>50</v>
      </c>
      <c r="M7" s="132">
        <f>CONVERT((I7-K7)/10000,"mi","ft")*IF(L7="Increasing Mileposts (1)",-1,1)</f>
        <v>-58.607999999999997</v>
      </c>
      <c r="N7" s="133" t="str">
        <f>VLOOKUP(C7,'Trips&amp;Operators'!$C$1:$G$99911,5,FALSE)</f>
        <v>LOPES KIMBERLY</v>
      </c>
      <c r="O7" s="203" t="s">
        <v>180</v>
      </c>
      <c r="P7" s="134" t="s">
        <v>394</v>
      </c>
      <c r="Q7" s="30"/>
      <c r="R7" s="81" t="str">
        <f>VLOOKUP(C7,'Train Runs'!$A$13:$AE$9913,31,0)</f>
        <v>aws s3 cp s3://rtdc.mdm.uploadarchive.raw/RTDC4002/ "%USERPROFILE%\AppData\Local\Temp\OnboardLogs"\RTDC4002\2017-08-23 --exclude "*" --recursive --include "*20170823*" &amp; "%USERPROFILE%\Documents\GitHub\mrs-test-scripts\Headless Mode &amp; Sideloading\WalkAndUnGZ.bat" "%USERPROFILE%\AppData\Local\Temp\OnboardLogs"\RTDC4002\2017-08-23 &amp; aws s3 cp s3://rtdc.mdm.uploadarchive.raw/RTDC4002/ "%USERPROFILE%\AppData\Local\Temp\OnboardLogs"\RTDC4002\2017-08-24 --exclude "*" --recursive --include "*20170824*" &amp; "%USERPROFILE%\Documents\GitHub\mrs-test-scripts\Headless Mode &amp; Sideloading\WalkAndUnGZ.bat" "%USERPROFILE%\AppData\Local\Temp\OnboardLogs"\RTDC4002\2017-08-24</v>
      </c>
      <c r="S7" s="84" t="str">
        <f>VLOOKUP(C7,'Train Runs'!$A$13:$AE$9913,22,0)</f>
        <v>https://d0f6bd738d7f1b3e5a7ca70fe4ff75f0.us-east-1.aws.found.io/app/kibana#/discover/Steve-Slow-Train-Analysis-(2080s-and-2083s)?_g=(refreshInterval:(display:Off,pause:!f,section:0,value:0),time:(from:'2017-08-23T14:40:15-0600',mode:absolute,to:'2017-08-23T17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/stypes="*4002*201708232*" /stext=" 21:.+((SYSTEM_STATE.+slice.+state.+changed )|(ment ac)|(multiple cpu faults)|(system.+state.+changed )|(\[timeout)|(PRM\|1\|D)|(kpr)|(kdp)|(train st.+moving)|(\|lc)|(penalty))"</v>
      </c>
      <c r="U7" s="9" t="str">
        <f>MID(B7,13,4)</f>
        <v>4002</v>
      </c>
      <c r="V7" s="31">
        <f>A7-utc_offset/24</f>
        <v>42970.911574074074</v>
      </c>
      <c r="W7" s="45" t="str">
        <f>DetSubdiv(C7)</f>
        <v>EC</v>
      </c>
      <c r="X7" s="22">
        <f>VALUE(LEFT(C7,LEN(C7)-3))</f>
        <v>197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Arrival","project_id":79,"tracker_id":40,"status_id":1,"priority_id":2,"assigned_to_id":23,"start_date":"2017-08-23","description":"","custom_fields":[{"id":1,"name":"Subdivision","value":"EC"},{"id":4,"name":"Milepost","value":"2.7053"},{"id":17,"name":"Train ID","value":"197-23"},{"id":16,"name":"Locomotive ID","value":"4002"},{"id":130,"name":"Impact","value":""},{"id":150,"name":"Time of Event (Mountain Time)","value":"15:52:40"},{"id":151,"name":"Denver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/c/Users/stu/AppData/Local/Temp/OnboardLogs/RTDC4002 --include="*4002*201708232*"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"%USERPROFILE%\AppData\Local\Temp\OnboardLogs"\RTDC4002\*4002*201708232* &gt;&gt; 2017-08-23-SliceDisagreementCheck.txt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4002 --day 2017-08-23</v>
      </c>
    </row>
    <row r="8" spans="1:32" s="1" customFormat="1" x14ac:dyDescent="0.25">
      <c r="A8" s="31">
        <v>42970.457303240742</v>
      </c>
      <c r="B8" s="30" t="s">
        <v>411</v>
      </c>
      <c r="C8" s="30" t="s">
        <v>560</v>
      </c>
      <c r="D8" s="30" t="s">
        <v>49</v>
      </c>
      <c r="E8" s="30" t="s">
        <v>187</v>
      </c>
      <c r="F8" s="42">
        <v>0</v>
      </c>
      <c r="G8" s="42">
        <v>140</v>
      </c>
      <c r="H8" s="42">
        <v>30990</v>
      </c>
      <c r="I8" s="42">
        <v>30823</v>
      </c>
      <c r="J8" s="30" t="s">
        <v>188</v>
      </c>
      <c r="K8" s="42">
        <v>30970</v>
      </c>
      <c r="L8" s="131" t="s">
        <v>51</v>
      </c>
      <c r="M8" s="132">
        <f>CONVERT((I8-K8)/10000,"mi","ft")*IF(L8="Increasing Mileposts (1)",-1,1)</f>
        <v>-77.616</v>
      </c>
      <c r="N8" s="133" t="str">
        <f>VLOOKUP(C8,'Trips&amp;Operators'!$C$1:$G$99911,5,FALSE)</f>
        <v>STARKS ANGELINA</v>
      </c>
      <c r="O8" s="203" t="s">
        <v>180</v>
      </c>
      <c r="P8" s="134" t="s">
        <v>394</v>
      </c>
      <c r="Q8" s="30"/>
      <c r="R8" s="81" t="str">
        <f>VLOOKUP(C8,'Train Runs'!$A$13:$AE$9913,31,0)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S8" s="84" t="str">
        <f>VLOOKUP(C8,'Train Runs'!$A$13:$AE$9913,22,0)</f>
        <v>https://d0f6bd738d7f1b3e5a7ca70fe4ff75f0.us-east-1.aws.found.io/app/kibana#/discover/Steve-Slow-Train-Analysis-(2080s-and-2083s)?_g=(refreshInterval:(display:Off,pause:!f,section:0,value:0),time:(from:'2017-08-23T09:25:10-0600',mode:absolute,to:'2017-08-23T12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/stypes="*4027*201708231*" /stext=" 16:.+((SYSTEM_STATE.+slice.+state.+changed )|(ment ac)|(multiple cpu faults)|(system.+state.+changed )|(\[timeout)|(PRM\|1\|D)|(kpr)|(kdp)|(train st.+moving)|(\|lc)|(penalty))"</v>
      </c>
      <c r="U8" s="9" t="str">
        <f>MID(B8,13,4)</f>
        <v>4027</v>
      </c>
      <c r="V8" s="31">
        <f>A8-utc_offset/24</f>
        <v>42970.707303240742</v>
      </c>
      <c r="W8" s="45" t="str">
        <f>DetSubdiv(C8)</f>
        <v>EC</v>
      </c>
      <c r="X8" s="22">
        <f>VALUE(LEFT(C8,LEN(C8)-3))</f>
        <v>148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Arrival","project_id":79,"tracker_id":40,"status_id":1,"priority_id":2,"assigned_to_id":23,"start_date":"2017-08-23","description":"","custom_fields":[{"id":1,"name":"Subdivision","value":"EC"},{"id":4,"name":"Milepost","value":"3.097"},{"id":17,"name":"Train ID","value":"148-23"},{"id":16,"name":"Locomotive ID","value":"4027"},{"id":130,"name":"Impact","value":""},{"id":150,"name":"Time of Event (Mountain Time)","value":"10:58:31"},{"id":151,"name":"Denver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/c/Users/stu/AppData/Local/Temp/OnboardLogs/RTDC4027 --include="*4027*201708231*"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"%USERPROFILE%\AppData\Local\Temp\OnboardLogs"\RTDC4027\*4027*201708231* &gt;&gt; 2017-08-23-SliceDisagreementCheck.txt</v>
      </c>
      <c r="AE8" s="145" t="str">
        <f t="shared" ref="AE8:AE52" si="1">"start /low /b "&amp;dls3logs&amp;" --loco "&amp;U8&amp;" --day "&amp;TEXT(V8,"YYYY-MM-DD")</f>
        <v>start /low /b %USERPROFILE%\Documents\GitHub\eaglep3\Utilities\DownloadLogsFromS3.py --loco 4027 --day 2017-08-23</v>
      </c>
    </row>
    <row r="9" spans="1:32" s="1" customFormat="1" x14ac:dyDescent="0.25">
      <c r="A9" s="31">
        <v>42970.592303240737</v>
      </c>
      <c r="B9" s="30" t="s">
        <v>567</v>
      </c>
      <c r="C9" s="30" t="s">
        <v>568</v>
      </c>
      <c r="D9" s="30" t="s">
        <v>49</v>
      </c>
      <c r="E9" s="30" t="s">
        <v>187</v>
      </c>
      <c r="F9" s="42">
        <v>70</v>
      </c>
      <c r="G9" s="42">
        <v>128</v>
      </c>
      <c r="H9" s="42">
        <v>33032</v>
      </c>
      <c r="I9" s="42">
        <v>33165</v>
      </c>
      <c r="J9" s="30" t="s">
        <v>188</v>
      </c>
      <c r="K9" s="42">
        <v>33137</v>
      </c>
      <c r="L9" s="131" t="s">
        <v>50</v>
      </c>
      <c r="M9" s="132">
        <f>CONVERT((I9-K9)/10000,"mi","ft")*IF(L9="Increasing Mileposts (1)",-1,1)</f>
        <v>-14.784000000000001</v>
      </c>
      <c r="N9" s="133" t="str">
        <f>VLOOKUP(C9,'Trips&amp;Operators'!$C$1:$G$99911,5,FALSE)</f>
        <v>STORY SAMANTHA</v>
      </c>
      <c r="O9" s="203" t="s">
        <v>180</v>
      </c>
      <c r="P9" s="134" t="s">
        <v>394</v>
      </c>
      <c r="Q9" s="30"/>
      <c r="R9" s="81" t="str">
        <f>VLOOKUP(C9,'Train Runs'!$A$13:$AE$9913,31,0)</f>
        <v>aws s3 cp s3://rtdc.mdm.uploadarchive.raw/RTDC4002/ "%USERPROFILE%\AppData\Local\Temp\OnboardLogs"\RTDC4002\2017-08-23 --exclude "*" --recursive --include "*20170823*" &amp; "%USERPROFILE%\Documents\GitHub\mrs-test-scripts\Headless Mode &amp; Sideloading\WalkAndUnGZ.bat" "%USERPROFILE%\AppData\Local\Temp\OnboardLogs"\RTDC4002\2017-08-23 &amp; aws s3 cp s3://rtdc.mdm.uploadarchive.raw/RTDC4002/ "%USERPROFILE%\AppData\Local\Temp\OnboardLogs"\RTDC4002\2017-08-24 --exclude "*" --recursive --include "*20170824*" &amp; "%USERPROFILE%\Documents\GitHub\mrs-test-scripts\Headless Mode &amp; Sideloading\WalkAndUnGZ.bat" "%USERPROFILE%\AppData\Local\Temp\OnboardLogs"\RTDC4002\2017-08-24</v>
      </c>
      <c r="S9" s="84" t="str">
        <f>VLOOKUP(C9,'Train Runs'!$A$13:$AE$9913,22,0)</f>
        <v>https://d0f6bd738d7f1b3e5a7ca70fe4ff75f0.us-east-1.aws.found.io/app/kibana#/discover/Steve-Slow-Train-Analysis-(2080s-and-2083s)?_g=(refreshInterval:(display:Off,pause:!f,section:0,value:0),time:(from:'2017-08-23T12:55:21-0600',mode:absolute,to:'2017-08-23T15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/stypes="*4002*201708232*" /stext=" 20:.+((SYSTEM_STATE.+slice.+state.+changed )|(ment ac)|(multiple cpu faults)|(system.+state.+changed )|(\[timeout)|(PRM\|1\|D)|(kpr)|(kdp)|(train st.+moving)|(\|lc)|(penalty))"</v>
      </c>
      <c r="U9" s="9" t="str">
        <f>MID(B9,13,4)</f>
        <v>4002</v>
      </c>
      <c r="V9" s="31">
        <f>A9-utc_offset/24</f>
        <v>42970.842303240737</v>
      </c>
      <c r="W9" s="45" t="str">
        <f>DetSubdiv(C9)</f>
        <v>EC</v>
      </c>
      <c r="X9" s="22">
        <f>VALUE(LEFT(C9,LEN(C9)-3))</f>
        <v>183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Arrival","project_id":79,"tracker_id":40,"status_id":1,"priority_id":2,"assigned_to_id":23,"start_date":"2017-08-23","description":"","custom_fields":[{"id":1,"name":"Subdivision","value":"EC"},{"id":4,"name":"Milepost","value":"3.3137"},{"id":17,"name":"Train ID","value":"183-23"},{"id":16,"name":"Locomotive ID","value":"4002"},{"id":130,"name":"Impact","value":""},{"id":150,"name":"Time of Event (Mountain Time)","value":"14:12:55"},{"id":151,"name":"Denver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/c/Users/stu/AppData/Local/Temp/OnboardLogs/RTDC4002 --include="*4002*201708232*"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"%USERPROFILE%\AppData\Local\Temp\OnboardLogs"\RTDC4002\*4002*201708232* &gt;&gt; 2017-08-23-SliceDisagreementCheck.txt</v>
      </c>
      <c r="AE9" s="145" t="str">
        <f t="shared" si="1"/>
        <v>start /low /b %USERPROFILE%\Documents\GitHub\eaglep3\Utilities\DownloadLogsFromS3.py --loco 4002 --day 2017-08-23</v>
      </c>
    </row>
    <row r="10" spans="1:32" s="1" customFormat="1" x14ac:dyDescent="0.25">
      <c r="A10" s="31">
        <v>42970.591874999998</v>
      </c>
      <c r="B10" s="30" t="s">
        <v>567</v>
      </c>
      <c r="C10" s="30" t="s">
        <v>568</v>
      </c>
      <c r="D10" s="30" t="s">
        <v>49</v>
      </c>
      <c r="E10" s="30" t="s">
        <v>187</v>
      </c>
      <c r="F10" s="42">
        <v>310</v>
      </c>
      <c r="G10" s="42">
        <v>365</v>
      </c>
      <c r="H10" s="42">
        <v>31831</v>
      </c>
      <c r="I10" s="42">
        <v>32846</v>
      </c>
      <c r="J10" s="30" t="s">
        <v>188</v>
      </c>
      <c r="K10" s="42">
        <v>33137</v>
      </c>
      <c r="L10" s="131" t="s">
        <v>50</v>
      </c>
      <c r="M10" s="132">
        <f>CONVERT((I10-K10)/10000,"mi","ft")*IF(L10="Increasing Mileposts (1)",-1,1)</f>
        <v>153.648</v>
      </c>
      <c r="N10" s="133" t="str">
        <f>VLOOKUP(C10,'Trips&amp;Operators'!$C$1:$G$99911,5,FALSE)</f>
        <v>STORY SAMANTHA</v>
      </c>
      <c r="O10" s="203" t="s">
        <v>180</v>
      </c>
      <c r="P10" s="134" t="s">
        <v>394</v>
      </c>
      <c r="Q10" s="30"/>
      <c r="R10" s="81" t="str">
        <f>VLOOKUP(C10,'Train Runs'!$A$13:$AE$9913,31,0)</f>
        <v>aws s3 cp s3://rtdc.mdm.uploadarchive.raw/RTDC4002/ "%USERPROFILE%\AppData\Local\Temp\OnboardLogs"\RTDC4002\2017-08-23 --exclude "*" --recursive --include "*20170823*" &amp; "%USERPROFILE%\Documents\GitHub\mrs-test-scripts\Headless Mode &amp; Sideloading\WalkAndUnGZ.bat" "%USERPROFILE%\AppData\Local\Temp\OnboardLogs"\RTDC4002\2017-08-23 &amp; aws s3 cp s3://rtdc.mdm.uploadarchive.raw/RTDC4002/ "%USERPROFILE%\AppData\Local\Temp\OnboardLogs"\RTDC4002\2017-08-24 --exclude "*" --recursive --include "*20170824*" &amp; "%USERPROFILE%\Documents\GitHub\mrs-test-scripts\Headless Mode &amp; Sideloading\WalkAndUnGZ.bat" "%USERPROFILE%\AppData\Local\Temp\OnboardLogs"\RTDC4002\2017-08-24</v>
      </c>
      <c r="S10" s="84" t="str">
        <f>VLOOKUP(C10,'Train Runs'!$A$13:$AE$9913,22,0)</f>
        <v>https://d0f6bd738d7f1b3e5a7ca70fe4ff75f0.us-east-1.aws.found.io/app/kibana#/discover/Steve-Slow-Train-Analysis-(2080s-and-2083s)?_g=(refreshInterval:(display:Off,pause:!f,section:0,value:0),time:(from:'2017-08-23T12:55:21-0600',mode:absolute,to:'2017-08-23T15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/stypes="*4002*201708232*" /stext=" 20:.+((SYSTEM_STATE.+slice.+state.+changed )|(ment ac)|(multiple cpu faults)|(system.+state.+changed )|(\[timeout)|(PRM\|1\|D)|(kpr)|(kdp)|(train st.+moving)|(\|lc)|(penalty))"</v>
      </c>
      <c r="U10" s="9" t="str">
        <f>MID(B10,13,4)</f>
        <v>4002</v>
      </c>
      <c r="V10" s="31">
        <f>A10-utc_offset/24</f>
        <v>42970.841874999998</v>
      </c>
      <c r="W10" s="45" t="str">
        <f>DetSubdiv(C10)</f>
        <v>EC</v>
      </c>
      <c r="X10" s="22">
        <f>VALUE(LEFT(C10,LEN(C10)-3))</f>
        <v>183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Arrival","project_id":79,"tracker_id":40,"status_id":1,"priority_id":2,"assigned_to_id":23,"start_date":"2017-08-23","description":"","custom_fields":[{"id":1,"name":"Subdivision","value":"EC"},{"id":4,"name":"Milepost","value":"3.3137"},{"id":17,"name":"Train ID","value":"183-23"},{"id":16,"name":"Locomotive ID","value":"4002"},{"id":130,"name":"Impact","value":""},{"id":150,"name":"Time of Event (Mountain Time)","value":"14:12:18"},{"id":151,"name":"Denver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/c/Users/stu/AppData/Local/Temp/OnboardLogs/RTDC4002 --include="*4002*201708232*"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"%USERPROFILE%\AppData\Local\Temp\OnboardLogs"\RTDC4002\*4002*201708232* &gt;&gt; 2017-08-23-SliceDisagreementCheck.txt</v>
      </c>
      <c r="AE10" s="145" t="str">
        <f t="shared" si="1"/>
        <v>start /low /b %USERPROFILE%\Documents\GitHub\eaglep3\Utilities\DownloadLogsFromS3.py --loco 4002 --day 2017-08-23</v>
      </c>
    </row>
    <row r="11" spans="1:32" s="1" customFormat="1" x14ac:dyDescent="0.25">
      <c r="A11" s="31">
        <v>42970.893726851849</v>
      </c>
      <c r="B11" s="30" t="s">
        <v>411</v>
      </c>
      <c r="C11" s="30" t="s">
        <v>589</v>
      </c>
      <c r="D11" s="30" t="s">
        <v>96</v>
      </c>
      <c r="E11" s="30" t="s">
        <v>187</v>
      </c>
      <c r="F11" s="42">
        <v>0</v>
      </c>
      <c r="G11" s="42">
        <v>242</v>
      </c>
      <c r="H11" s="42">
        <v>33251</v>
      </c>
      <c r="I11" s="42">
        <v>32798</v>
      </c>
      <c r="J11" s="30" t="s">
        <v>188</v>
      </c>
      <c r="K11" s="42">
        <v>33257</v>
      </c>
      <c r="L11" s="131" t="s">
        <v>51</v>
      </c>
      <c r="M11" s="132">
        <f>CONVERT((I11-K11)/10000,"mi","ft")*IF(L11="Increasing Mileposts (1)",-1,1)</f>
        <v>-242.352</v>
      </c>
      <c r="N11" s="133" t="str">
        <f>VLOOKUP(C11,'Trips&amp;Operators'!$C$1:$G$99911,5,FALSE)</f>
        <v>WEST BRYAN</v>
      </c>
      <c r="O11" s="203" t="s">
        <v>180</v>
      </c>
      <c r="P11" s="134" t="s">
        <v>394</v>
      </c>
      <c r="Q11" s="30"/>
      <c r="R11" s="81" t="str">
        <f>VLOOKUP(C11,'Train Runs'!$A$13:$AE$9913,31,0)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S11" s="84" t="str">
        <f>VLOOKUP(C11,'Train Runs'!$A$13:$AE$9913,22,0)</f>
        <v>https://d0f6bd738d7f1b3e5a7ca70fe4ff75f0.us-east-1.aws.found.io/app/kibana#/discover/Steve-Slow-Train-Analysis-(2080s-and-2083s)?_g=(refreshInterval:(display:Off,pause:!f,section:0,value:0),time:(from:'2017-08-23T19:51:07-0600',mode:absolute,to:'2017-08-23T22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/stypes="*4027*201708240*" /stext=" 03:.+((SYSTEM_STATE.+slice.+state.+changed )|(ment ac)|(multiple cpu faults)|(system.+state.+changed )|(\[timeout)|(PRM\|1\|D)|(kpr)|(kdp)|(train st.+moving)|(\|lc)|(penalty))"</v>
      </c>
      <c r="U11" s="9" t="str">
        <f>MID(B11,13,4)</f>
        <v>4027</v>
      </c>
      <c r="V11" s="31">
        <f>A11-utc_offset/24</f>
        <v>42971.143726851849</v>
      </c>
      <c r="W11" s="45" t="str">
        <f>DetSubdiv(C11)</f>
        <v>EC</v>
      </c>
      <c r="X11" s="22">
        <f>VALUE(LEFT(C11,LEN(C11)-3))</f>
        <v>226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Arrival","project_id":79,"tracker_id":40,"status_id":1,"priority_id":2,"assigned_to_id":23,"start_date":"2017-08-23","description":"","custom_fields":[{"id":1,"name":"Subdivision","value":"EC"},{"id":4,"name":"Milepost","value":"3.3257"},{"id":17,"name":"Train ID","value":"226-23"},{"id":16,"name":"Locomotive ID","value":"4027"},{"id":130,"name":"Impact","value":""},{"id":150,"name":"Time of Event (Mountain Time)","value":"21:26:58"},{"id":151,"name":"Denver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/c/Users/stu/AppData/Local/Temp/OnboardLogs/RTDC4027 --include="*4027*201708240*"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"%USERPROFILE%\AppData\Local\Temp\OnboardLogs"\RTDC4027\*4027*201708240* &gt;&gt; 2017-08-23-SliceDisagreementCheck.txt</v>
      </c>
      <c r="AE11" s="145" t="str">
        <f t="shared" si="1"/>
        <v>start /low /b %USERPROFILE%\Documents\GitHub\eaglep3\Utilities\DownloadLogsFromS3.py --loco 4027 --day 2017-08-24</v>
      </c>
    </row>
    <row r="12" spans="1:32" x14ac:dyDescent="0.25">
      <c r="A12" s="31">
        <v>42970.641689814816</v>
      </c>
      <c r="B12" s="30" t="s">
        <v>494</v>
      </c>
      <c r="C12" s="30" t="s">
        <v>574</v>
      </c>
      <c r="D12" s="30" t="s">
        <v>96</v>
      </c>
      <c r="E12" s="30" t="s">
        <v>187</v>
      </c>
      <c r="F12" s="42">
        <v>330</v>
      </c>
      <c r="G12" s="42">
        <v>384</v>
      </c>
      <c r="H12" s="42">
        <v>58254</v>
      </c>
      <c r="I12" s="42">
        <v>57164</v>
      </c>
      <c r="J12" s="30" t="s">
        <v>188</v>
      </c>
      <c r="K12" s="42">
        <v>58301</v>
      </c>
      <c r="L12" s="131" t="s">
        <v>51</v>
      </c>
      <c r="M12" s="132">
        <f>CONVERT((I12-K12)/10000,"mi","ft")*IF(L12="Increasing Mileposts (1)",-1,1)</f>
        <v>-600.33600000000001</v>
      </c>
      <c r="N12" s="133" t="str">
        <f>VLOOKUP(C12,'Trips&amp;Operators'!$C$1:$G$99911,5,FALSE)</f>
        <v>STORY SAMANTHA</v>
      </c>
      <c r="O12" s="203" t="s">
        <v>180</v>
      </c>
      <c r="P12" s="134" t="s">
        <v>394</v>
      </c>
      <c r="Q12" s="30"/>
      <c r="R12" s="81" t="str">
        <f>VLOOKUP(C12,'Train Runs'!$A$13:$AE$9913,31,0)</f>
        <v>aws s3 cp s3://rtdc.mdm.uploadarchive.raw/RTDC4001/ "%USERPROFILE%\AppData\Local\Temp\OnboardLogs"\RTDC4001\2017-08-23 --exclude "*" --recursive --include "*20170823*" &amp; "%USERPROFILE%\Documents\GitHub\mrs-test-scripts\Headless Mode &amp; Sideloading\WalkAndUnGZ.bat" "%USERPROFILE%\AppData\Local\Temp\OnboardLogs"\RTDC4001\2017-08-23 &amp; aws s3 cp s3://rtdc.mdm.uploadarchive.raw/RTDC4001/ "%USERPROFILE%\AppData\Local\Temp\OnboardLogs"\RTDC4001\2017-08-24 --exclude "*" --recursive --include "*20170824*" &amp; "%USERPROFILE%\Documents\GitHub\mrs-test-scripts\Headless Mode &amp; Sideloading\WalkAndUnGZ.bat" "%USERPROFILE%\AppData\Local\Temp\OnboardLogs"\RTDC4001\2017-08-24</v>
      </c>
      <c r="S12" s="84" t="str">
        <f>VLOOKUP(C12,'Train Runs'!$A$13:$AE$9913,22,0)</f>
        <v>https://d0f6bd738d7f1b3e5a7ca70fe4ff75f0.us-east-1.aws.found.io/app/kibana#/discover/Steve-Slow-Train-Analysis-(2080s-and-2083s)?_g=(refreshInterval:(display:Off,pause:!f,section:0,value:0),time:(from:'2017-08-23T13:50:39-0600',mode:absolute,to:'2017-08-23T16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/stypes="*4001*201708232*" /stext=" 21:.+((SYSTEM_STATE.+slice.+state.+changed )|(ment ac)|(multiple cpu faults)|(system.+state.+changed )|(\[timeout)|(PRM\|1\|D)|(kpr)|(kdp)|(train st.+moving)|(\|lc)|(penalty))"</v>
      </c>
      <c r="U12" s="9" t="str">
        <f>MID(B12,13,4)</f>
        <v>4001</v>
      </c>
      <c r="V12" s="31">
        <f>A12-utc_offset/24</f>
        <v>42970.891689814816</v>
      </c>
      <c r="W12" s="45" t="str">
        <f>DetSubdiv(C12)</f>
        <v>EC</v>
      </c>
      <c r="X12" s="22">
        <f>VALUE(LEFT(C12,LEN(C12)-3))</f>
        <v>184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Arrival","project_id":79,"tracker_id":40,"status_id":1,"priority_id":2,"assigned_to_id":23,"start_date":"2017-08-23","description":"","custom_fields":[{"id":1,"name":"Subdivision","value":"EC"},{"id":4,"name":"Milepost","value":"5.8301"},{"id":17,"name":"Train ID","value":"184-23"},{"id":16,"name":"Locomotive ID","value":"4001"},{"id":130,"name":"Impact","value":""},{"id":150,"name":"Time of Event (Mountain Time)","value":"15:24:02"},{"id":151,"name":"Denver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/c/Users/stu/AppData/Local/Temp/OnboardLogs/RTDC4001 --include="*4001*201708232*"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"%USERPROFILE%\AppData\Local\Temp\OnboardLogs"\RTDC4001\*4001*201708232* &gt;&gt; 2017-08-23-SliceDisagreementCheck.txt</v>
      </c>
      <c r="AE12" s="145" t="str">
        <f t="shared" si="1"/>
        <v>start /low /b %USERPROFILE%\Documents\GitHub\eaglep3\Utilities\DownloadLogsFromS3.py --loco 4001 --day 2017-08-23</v>
      </c>
      <c r="AF12" s="1"/>
    </row>
    <row r="13" spans="1:32" x14ac:dyDescent="0.25">
      <c r="A13" s="31">
        <v>42970.431284722225</v>
      </c>
      <c r="B13" s="30" t="s">
        <v>434</v>
      </c>
      <c r="C13" s="30" t="s">
        <v>557</v>
      </c>
      <c r="D13" s="30" t="s">
        <v>96</v>
      </c>
      <c r="E13" s="30" t="s">
        <v>187</v>
      </c>
      <c r="F13" s="42">
        <v>0</v>
      </c>
      <c r="G13" s="42">
        <v>156</v>
      </c>
      <c r="H13" s="42">
        <v>63297</v>
      </c>
      <c r="I13" s="42">
        <v>63172</v>
      </c>
      <c r="J13" s="30" t="s">
        <v>188</v>
      </c>
      <c r="K13" s="42">
        <v>63309</v>
      </c>
      <c r="L13" s="131" t="s">
        <v>51</v>
      </c>
      <c r="M13" s="132">
        <f>CONVERT((I13-K13)/10000,"mi","ft")*IF(L13="Increasing Mileposts (1)",-1,1)</f>
        <v>-72.335999999999999</v>
      </c>
      <c r="N13" s="133" t="str">
        <f>VLOOKUP(C13,'Trips&amp;Operators'!$C$1:$G$99911,5,FALSE)</f>
        <v>MAELZER KURT</v>
      </c>
      <c r="O13" s="203" t="s">
        <v>180</v>
      </c>
      <c r="P13" s="134" t="s">
        <v>394</v>
      </c>
      <c r="Q13" s="30"/>
      <c r="R13" s="81" t="str">
        <f>VLOOKUP(C13,'Train Runs'!$A$13:$AE$9913,31,0)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S13" s="84" t="str">
        <f>VLOOKUP(C13,'Train Runs'!$A$13:$AE$9913,22,0)</f>
        <v>https://d0f6bd738d7f1b3e5a7ca70fe4ff75f0.us-east-1.aws.found.io/app/kibana#/discover/Steve-Slow-Train-Analysis-(2080s-and-2083s)?_g=(refreshInterval:(display:Off,pause:!f,section:0,value:0),time:(from:'2017-08-23T08:44:14-0600',mode:absolute,to:'2017-08-23T11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/stypes="*4039*201708231*" /stext=" 16:.+((SYSTEM_STATE.+slice.+state.+changed )|(ment ac)|(multiple cpu faults)|(system.+state.+changed )|(\[timeout)|(PRM\|1\|D)|(kpr)|(kdp)|(train st.+moving)|(\|lc)|(penalty))"</v>
      </c>
      <c r="U13" s="9" t="str">
        <f>MID(B13,13,4)</f>
        <v>4039</v>
      </c>
      <c r="V13" s="31">
        <f>A13-utc_offset/24</f>
        <v>42970.681284722225</v>
      </c>
      <c r="W13" s="45" t="str">
        <f>DetSubdiv(C13)</f>
        <v>EC</v>
      </c>
      <c r="X13" s="22">
        <f>VALUE(LEFT(C13,LEN(C13)-3))</f>
        <v>144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Arrival","project_id":79,"tracker_id":40,"status_id":1,"priority_id":2,"assigned_to_id":23,"start_date":"2017-08-23","description":"","custom_fields":[{"id":1,"name":"Subdivision","value":"EC"},{"id":4,"name":"Milepost","value":"6.3309"},{"id":17,"name":"Train ID","value":"144-23"},{"id":16,"name":"Locomotive ID","value":"4039"},{"id":130,"name":"Impact","value":""},{"id":150,"name":"Time of Event (Mountain Time)","value":"10:21:03"},{"id":151,"name":"Denver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/c/Users/stu/AppData/Local/Temp/OnboardLogs/RTDC4039 --include="*4039*201708231*"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"%USERPROFILE%\AppData\Local\Temp\OnboardLogs"\RTDC4039\*4039*201708231* &gt;&gt; 2017-08-23-SliceDisagreementCheck.txt</v>
      </c>
      <c r="AE13" s="145" t="str">
        <f t="shared" si="1"/>
        <v>start /low /b %USERPROFILE%\Documents\GitHub\eaglep3\Utilities\DownloadLogsFromS3.py --loco 4039 --day 2017-08-23</v>
      </c>
      <c r="AF13" s="1"/>
    </row>
    <row r="14" spans="1:32" x14ac:dyDescent="0.25">
      <c r="A14" s="31">
        <v>42970.430960648147</v>
      </c>
      <c r="B14" s="30" t="s">
        <v>436</v>
      </c>
      <c r="C14" s="30" t="s">
        <v>556</v>
      </c>
      <c r="D14" s="30" t="s">
        <v>49</v>
      </c>
      <c r="E14" s="30" t="s">
        <v>187</v>
      </c>
      <c r="F14" s="42">
        <v>660</v>
      </c>
      <c r="G14" s="42">
        <v>772</v>
      </c>
      <c r="H14" s="42">
        <v>106831</v>
      </c>
      <c r="I14" s="42">
        <v>110850</v>
      </c>
      <c r="J14" s="30" t="s">
        <v>188</v>
      </c>
      <c r="K14" s="42">
        <v>108954</v>
      </c>
      <c r="L14" s="131" t="s">
        <v>50</v>
      </c>
      <c r="M14" s="132">
        <f>CONVERT((I14-K14)/10000,"mi","ft")*IF(L14="Increasing Mileposts (1)",-1,1)</f>
        <v>-1001.088</v>
      </c>
      <c r="N14" s="133" t="str">
        <f>VLOOKUP(C14,'Trips&amp;Operators'!$C$1:$G$99911,5,FALSE)</f>
        <v>DAVIS WENDY</v>
      </c>
      <c r="O14" s="203" t="s">
        <v>180</v>
      </c>
      <c r="P14" s="134" t="s">
        <v>1031</v>
      </c>
      <c r="Q14" s="30"/>
      <c r="R14" s="81" t="str">
        <f>VLOOKUP(C14,'Train Runs'!$A$13:$AE$9913,31,0)</f>
        <v>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 &amp; aws s3 cp s3://rtdc.mdm.uploadarchive.raw/RTDC4050/ "%USERPROFILE%\AppData\Local\Temp\OnboardLogs"\RTDC4050\2017-08-24 --exclude "*" --recursive --include "*20170824*" &amp; "%USERPROFILE%\Documents\GitHub\mrs-test-scripts\Headless Mode &amp; Sideloading\WalkAndUnGZ.bat" "%USERPROFILE%\AppData\Local\Temp\OnboardLogs"\RTDC4050\2017-08-24</v>
      </c>
      <c r="S14" s="84" t="str">
        <f>VLOOKUP(C14,'Train Runs'!$A$13:$AE$9913,22,0)</f>
        <v>https://d0f6bd738d7f1b3e5a7ca70fe4ff75f0.us-east-1.aws.found.io/app/kibana#/discover/Steve-Slow-Train-Analysis-(2080s-and-2083s)?_g=(refreshInterval:(display:Off,pause:!f,section:0,value:0),time:(from:'2017-08-23T08:56:02-0600',mode:absolute,to:'2017-08-23T11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/stypes="*4050*201708231*" /stext=" 16:.+((SYSTEM_STATE.+slice.+state.+changed )|(ment ac)|(multiple cpu faults)|(system.+state.+changed )|(\[timeout)|(PRM\|1\|D)|(kpr)|(kdp)|(train st.+moving)|(\|lc)|(penalty))"</v>
      </c>
      <c r="U14" s="9" t="str">
        <f>MID(B14,13,4)</f>
        <v>4050</v>
      </c>
      <c r="V14" s="31">
        <f>A14-utc_offset/24</f>
        <v>42970.680960648147</v>
      </c>
      <c r="W14" s="45" t="str">
        <f>DetSubdiv(C14)</f>
        <v>EC</v>
      </c>
      <c r="X14" s="22">
        <f>VALUE(LEFT(C14,LEN(C14)-3))</f>
        <v>151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Arrival; enforced for steadily accelerating towards Chambers","project_id":79,"tracker_id":40,"status_id":1,"priority_id":2,"assigned_to_id":23,"start_date":"2017-08-23","description":"","custom_fields":[{"id":1,"name":"Subdivision","value":"EC"},{"id":4,"name":"Milepost","value":"10.8954"},{"id":17,"name":"Train ID","value":"151-23"},{"id":16,"name":"Locomotive ID","value":"4050"},{"id":130,"name":"Impact","value":""},{"id":150,"name":"Time of Event (Mountain Time)","value":"10:20:35"},{"id":151,"name":"Denver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/c/Users/stu/AppData/Local/Temp/OnboardLogs/RTDC4050 --include="*4050*201708231*"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"%USERPROFILE%\AppData\Local\Temp\OnboardLogs"\RTDC4050\*4050*201708231* &gt;&gt; 2017-08-23-SliceDisagreementCheck.txt</v>
      </c>
      <c r="AE14" s="145" t="str">
        <f t="shared" si="1"/>
        <v>start /low /b %USERPROFILE%\Documents\GitHub\eaglep3\Utilities\DownloadLogsFromS3.py --loco 4050 --day 2017-08-23</v>
      </c>
      <c r="AF14" s="1"/>
    </row>
    <row r="15" spans="1:32" x14ac:dyDescent="0.25">
      <c r="A15" s="31">
        <v>42970.562118055554</v>
      </c>
      <c r="B15" s="30" t="s">
        <v>563</v>
      </c>
      <c r="C15" s="30" t="s">
        <v>564</v>
      </c>
      <c r="D15" s="30" t="s">
        <v>49</v>
      </c>
      <c r="E15" s="30" t="s">
        <v>187</v>
      </c>
      <c r="F15" s="42">
        <v>360</v>
      </c>
      <c r="G15" s="42">
        <v>427</v>
      </c>
      <c r="H15" s="42">
        <v>110083</v>
      </c>
      <c r="I15" s="42">
        <v>108976</v>
      </c>
      <c r="J15" s="30" t="s">
        <v>188</v>
      </c>
      <c r="K15" s="42">
        <v>109135</v>
      </c>
      <c r="L15" s="131" t="s">
        <v>51</v>
      </c>
      <c r="M15" s="132">
        <f>CONVERT((I15-K15)/10000,"mi","ft")*IF(L15="Increasing Mileposts (1)",-1,1)</f>
        <v>-83.951999999999998</v>
      </c>
      <c r="N15" s="133" t="str">
        <f>VLOOKUP(C15,'Trips&amp;Operators'!$C$1:$G$99911,5,FALSE)</f>
        <v>LOPES KIMBERLY</v>
      </c>
      <c r="O15" s="203" t="s">
        <v>180</v>
      </c>
      <c r="P15" s="134" t="s">
        <v>394</v>
      </c>
      <c r="Q15" s="30"/>
      <c r="R15" s="81" t="str">
        <f>VLOOKUP(C15,'Train Runs'!$A$13:$AE$9913,31,0)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S15" s="84" t="str">
        <f>VLOOKUP(C15,'Train Runs'!$A$13:$AE$9913,22,0)</f>
        <v>https://d0f6bd738d7f1b3e5a7ca70fe4ff75f0.us-east-1.aws.found.io/app/kibana#/discover/Steve-Slow-Train-Analysis-(2080s-and-2083s)?_g=(refreshInterval:(display:Off,pause:!f,section:0,value:0),time:(from:'2017-08-23T12:00:56-0600',mode:absolute,to:'2017-08-23T15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/stypes="*4041*201708231*" /stext=" 19:.+((SYSTEM_STATE.+slice.+state.+changed )|(ment ac)|(multiple cpu faults)|(system.+state.+changed )|(\[timeout)|(PRM\|1\|D)|(kpr)|(kdp)|(train st.+moving)|(\|lc)|(penalty))"</v>
      </c>
      <c r="U15" s="9" t="str">
        <f>MID(B15,13,4)</f>
        <v>4041</v>
      </c>
      <c r="V15" s="31">
        <f>A15-utc_offset/24</f>
        <v>42970.812118055554</v>
      </c>
      <c r="W15" s="45" t="str">
        <f>DetSubdiv(C15)</f>
        <v>EC</v>
      </c>
      <c r="X15" s="22">
        <f>VALUE(LEFT(C15,LEN(C15)-3))</f>
        <v>170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Arrival","project_id":79,"tracker_id":40,"status_id":1,"priority_id":2,"assigned_to_id":23,"start_date":"2017-08-23","description":"","custom_fields":[{"id":1,"name":"Subdivision","value":"EC"},{"id":4,"name":"Milepost","value":"10.9135"},{"id":17,"name":"Train ID","value":"170-23"},{"id":16,"name":"Locomotive ID","value":"4041"},{"id":130,"name":"Impact","value":""},{"id":150,"name":"Time of Event (Mountain Time)","value":"13:29:27"},{"id":151,"name":"Denver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/c/Users/stu/AppData/Local/Temp/OnboardLogs/RTDC4041 --include="*4041*201708231*"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"%USERPROFILE%\AppData\Local\Temp\OnboardLogs"\RTDC4041\*4041*201708231* &gt;&gt; 2017-08-23-SliceDisagreementCheck.txt</v>
      </c>
      <c r="AE15" s="145" t="str">
        <f t="shared" si="1"/>
        <v>start /low /b %USERPROFILE%\Documents\GitHub\eaglep3\Utilities\DownloadLogsFromS3.py --loco 4041 --day 2017-08-23</v>
      </c>
      <c r="AF15" s="1"/>
    </row>
    <row r="16" spans="1:32" x14ac:dyDescent="0.25">
      <c r="A16" s="31">
        <v>42970.762511574074</v>
      </c>
      <c r="B16" s="30" t="s">
        <v>412</v>
      </c>
      <c r="C16" s="30" t="s">
        <v>581</v>
      </c>
      <c r="D16" s="30" t="s">
        <v>96</v>
      </c>
      <c r="E16" s="30" t="s">
        <v>195</v>
      </c>
      <c r="F16" s="42">
        <v>200</v>
      </c>
      <c r="G16" s="42">
        <v>257</v>
      </c>
      <c r="H16" s="42">
        <v>5365</v>
      </c>
      <c r="I16" s="42">
        <v>6013</v>
      </c>
      <c r="J16" s="30" t="s">
        <v>196</v>
      </c>
      <c r="K16" s="42">
        <v>4677</v>
      </c>
      <c r="L16" s="131" t="s">
        <v>50</v>
      </c>
      <c r="M16" s="132">
        <f>CONVERT((I16-K16)/10000,"mi","ft")*IF(L16="Increasing Mileposts (1)",-1,1)</f>
        <v>-705.40800000000002</v>
      </c>
      <c r="N16" s="133" t="str">
        <f>VLOOKUP(C16,'Trips&amp;Operators'!$C$1:$G$99911,5,FALSE)</f>
        <v>WEST BRYAN</v>
      </c>
      <c r="O16" s="203" t="s">
        <v>180</v>
      </c>
      <c r="P16" s="134"/>
      <c r="Q16" s="30"/>
      <c r="R16" s="81" t="str">
        <f>VLOOKUP(C16,'Train Runs'!$A$13:$AE$9913,31,0)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S16" s="84" t="str">
        <f>VLOOKUP(C16,'Train Runs'!$A$13:$AE$9913,22,0)</f>
        <v>https://d0f6bd738d7f1b3e5a7ca70fe4ff75f0.us-east-1.aws.found.io/app/kibana#/discover/Steve-Slow-Train-Analysis-(2080s-and-2083s)?_g=(refreshInterval:(display:Off,pause:!f,section:0,value:0),time:(from:'2017-08-23T17:10:41-0600',mode:absolute,to:'2017-08-23T19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/stypes="*4028*201708240*" /stext=" 00:.+((SYSTEM_STATE.+slice.+state.+changed )|(ment ac)|(multiple cpu faults)|(system.+state.+changed )|(\[timeout)|(PRM\|1\|D)|(kpr)|(kdp)|(train st.+moving)|(\|lc)|(penalty))"</v>
      </c>
      <c r="U16" s="9" t="str">
        <f>MID(B16,13,4)</f>
        <v>4028</v>
      </c>
      <c r="V16" s="31">
        <f>A16-utc_offset/24</f>
        <v>42971.012511574074</v>
      </c>
      <c r="W16" s="45" t="str">
        <f>DetSubdiv(C16)</f>
        <v>EC</v>
      </c>
      <c r="X16" s="22">
        <f>VALUE(LEFT(C16,LEN(C16)-3))</f>
        <v>217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{"issue":{"subject":"","project_id":79,"tracker_id":40,"status_id":1,"priority_id":2,"assigned_to_id":23,"start_date":"2017-08-23","description":"","custom_fields":[{"id":1,"name":"Subdivision","value":"EC"},{"id":4,"name":"Milepost","value":"0.4677"},{"id":17,"name":"Train ID","value":"217-23"},{"id":16,"name":"Locomotive ID","value":"4028"},{"id":130,"name":"Impact","value":""},{"id":150,"name":"Time of Event (Mountain Time)","value":"18:18:01"},{"id":151,"name":"Denver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/c/Users/stu/AppData/Local/Temp/OnboardLogs/RTDC4028 --include="*4028*201708240*"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"%USERPROFILE%\AppData\Local\Temp\OnboardLogs"\RTDC4028\*4028*201708240* &gt;&gt; 2017-08-23-SliceDisagreementCheck.txt</v>
      </c>
      <c r="AE16" s="145" t="str">
        <f t="shared" si="1"/>
        <v>start /low /b %USERPROFILE%\Documents\GitHub\eaglep3\Utilities\DownloadLogsFromS3.py --loco 4028 --day 2017-08-24</v>
      </c>
      <c r="AF16" s="1"/>
    </row>
    <row r="17" spans="1:32" x14ac:dyDescent="0.25">
      <c r="A17" s="31">
        <v>42970.614548611113</v>
      </c>
      <c r="B17" s="30" t="s">
        <v>567</v>
      </c>
      <c r="C17" s="30" t="s">
        <v>568</v>
      </c>
      <c r="D17" s="30" t="s">
        <v>49</v>
      </c>
      <c r="E17" s="30" t="s">
        <v>195</v>
      </c>
      <c r="F17" s="42">
        <v>350</v>
      </c>
      <c r="G17" s="42">
        <v>597</v>
      </c>
      <c r="H17" s="42">
        <v>221278</v>
      </c>
      <c r="I17" s="42">
        <v>223464</v>
      </c>
      <c r="J17" s="30" t="s">
        <v>196</v>
      </c>
      <c r="K17" s="42">
        <v>224581</v>
      </c>
      <c r="L17" s="131" t="s">
        <v>50</v>
      </c>
      <c r="M17" s="132">
        <f>CONVERT((I17-K17)/10000,"mi","ft")*IF(L17="Increasing Mileposts (1)",-1,1)</f>
        <v>589.77599999999995</v>
      </c>
      <c r="N17" s="133" t="str">
        <f>VLOOKUP(C17,'Trips&amp;Operators'!$C$1:$G$99911,5,FALSE)</f>
        <v>STORY SAMANTHA</v>
      </c>
      <c r="O17" s="203" t="s">
        <v>180</v>
      </c>
      <c r="P17" s="134"/>
      <c r="Q17" s="30"/>
      <c r="R17" s="81" t="str">
        <f>VLOOKUP(C17,'Train Runs'!$A$13:$AE$9913,31,0)</f>
        <v>aws s3 cp s3://rtdc.mdm.uploadarchive.raw/RTDC4002/ "%USERPROFILE%\AppData\Local\Temp\OnboardLogs"\RTDC4002\2017-08-23 --exclude "*" --recursive --include "*20170823*" &amp; "%USERPROFILE%\Documents\GitHub\mrs-test-scripts\Headless Mode &amp; Sideloading\WalkAndUnGZ.bat" "%USERPROFILE%\AppData\Local\Temp\OnboardLogs"\RTDC4002\2017-08-23 &amp; aws s3 cp s3://rtdc.mdm.uploadarchive.raw/RTDC4002/ "%USERPROFILE%\AppData\Local\Temp\OnboardLogs"\RTDC4002\2017-08-24 --exclude "*" --recursive --include "*20170824*" &amp; "%USERPROFILE%\Documents\GitHub\mrs-test-scripts\Headless Mode &amp; Sideloading\WalkAndUnGZ.bat" "%USERPROFILE%\AppData\Local\Temp\OnboardLogs"\RTDC4002\2017-08-24</v>
      </c>
      <c r="S17" s="84" t="str">
        <f>VLOOKUP(C17,'Train Runs'!$A$13:$AE$9913,22,0)</f>
        <v>https://d0f6bd738d7f1b3e5a7ca70fe4ff75f0.us-east-1.aws.found.io/app/kibana#/discover/Steve-Slow-Train-Analysis-(2080s-and-2083s)?_g=(refreshInterval:(display:Off,pause:!f,section:0,value:0),time:(from:'2017-08-23T12:55:21-0600',mode:absolute,to:'2017-08-23T15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/stypes="*4002*201708232*" /stext=" 20:.+((SYSTEM_STATE.+slice.+state.+changed )|(ment ac)|(multiple cpu faults)|(system.+state.+changed )|(\[timeout)|(PRM\|1\|D)|(kpr)|(kdp)|(train st.+moving)|(\|lc)|(penalty))"</v>
      </c>
      <c r="U17" s="9" t="str">
        <f>MID(B17,13,4)</f>
        <v>4002</v>
      </c>
      <c r="V17" s="31">
        <f>A17-utc_offset/24</f>
        <v>42970.864548611113</v>
      </c>
      <c r="W17" s="45" t="str">
        <f>DetSubdiv(C17)</f>
        <v>EC</v>
      </c>
      <c r="X17" s="22">
        <f>VALUE(LEFT(C17,LEN(C17)-3))</f>
        <v>183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{"issue":{"subject":"","project_id":79,"tracker_id":40,"status_id":1,"priority_id":2,"assigned_to_id":23,"start_date":"2017-08-23","description":"","custom_fields":[{"id":1,"name":"Subdivision","value":"EC"},{"id":4,"name":"Milepost","value":"22.4581"},{"id":17,"name":"Train ID","value":"183-23"},{"id":16,"name":"Locomotive ID","value":"4002"},{"id":130,"name":"Impact","value":""},{"id":150,"name":"Time of Event (Mountain Time)","value":"14:44:57"},{"id":151,"name":"Denver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/c/Users/stu/AppData/Local/Temp/OnboardLogs/RTDC4002 --include="*4002*201708232*"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"%USERPROFILE%\AppData\Local\Temp\OnboardLogs"\RTDC4002\*4002*201708232* &gt;&gt; 2017-08-23-SliceDisagreementCheck.txt</v>
      </c>
      <c r="AE17" s="145" t="str">
        <f t="shared" si="1"/>
        <v>start /low /b %USERPROFILE%\Documents\GitHub\eaglep3\Utilities\DownloadLogsFromS3.py --loco 4002 --day 2017-08-23</v>
      </c>
      <c r="AF17" s="1"/>
    </row>
    <row r="18" spans="1:32" x14ac:dyDescent="0.25">
      <c r="A18" s="31">
        <v>42970.718460648146</v>
      </c>
      <c r="B18" s="30" t="s">
        <v>387</v>
      </c>
      <c r="C18" s="30" t="s">
        <v>580</v>
      </c>
      <c r="D18" s="30" t="s">
        <v>96</v>
      </c>
      <c r="E18" s="30" t="s">
        <v>195</v>
      </c>
      <c r="F18" s="42">
        <v>350</v>
      </c>
      <c r="G18" s="42">
        <v>400</v>
      </c>
      <c r="H18" s="42">
        <v>224765</v>
      </c>
      <c r="I18" s="42">
        <v>223361</v>
      </c>
      <c r="J18" s="30" t="s">
        <v>196</v>
      </c>
      <c r="K18" s="42">
        <v>232080</v>
      </c>
      <c r="L18" s="131" t="s">
        <v>51</v>
      </c>
      <c r="M18" s="132">
        <f>CONVERT((I18-K18)/10000,"mi","ft")*IF(L18="Increasing Mileposts (1)",-1,1)</f>
        <v>-4603.6319999999996</v>
      </c>
      <c r="N18" s="133" t="str">
        <f>VLOOKUP(C18,'Trips&amp;Operators'!$C$1:$G$99911,5,FALSE)</f>
        <v>TOUSIGNAUT CARL</v>
      </c>
      <c r="O18" s="203" t="s">
        <v>180</v>
      </c>
      <c r="P18" s="134"/>
      <c r="Q18" s="30"/>
      <c r="R18" s="81" t="str">
        <f>VLOOKUP(C18,'Train Runs'!$A$13:$AE$9913,31,0)</f>
        <v>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 &amp; aws s3 cp s3://rtdc.mdm.uploadarchive.raw/RTDC4011/ "%USERPROFILE%\AppData\Local\Temp\OnboardLogs"\RTDC4011\2017-08-24 --exclude "*" --recursive --include "*20170824*" &amp; "%USERPROFILE%\Documents\GitHub\mrs-test-scripts\Headless Mode &amp; Sideloading\WalkAndUnGZ.bat" "%USERPROFILE%\AppData\Local\Temp\OnboardLogs"\RTDC4011\2017-08-24</v>
      </c>
      <c r="S18" s="84" t="str">
        <f>VLOOKUP(C18,'Train Runs'!$A$13:$AE$9913,22,0)</f>
        <v>https://d0f6bd738d7f1b3e5a7ca70fe4ff75f0.us-east-1.aws.found.io/app/kibana#/discover/Steve-Slow-Train-Analysis-(2080s-and-2083s)?_g=(refreshInterval:(display:Off,pause:!f,section:0,value:0),time:(from:'2017-08-23T16:03:43-0600',mode:absolute,to:'2017-08-23T18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/stypes="*4011*201708232*" /stext=" 23:.+((SYSTEM_STATE.+slice.+state.+changed )|(ment ac)|(multiple cpu faults)|(system.+state.+changed )|(\[timeout)|(PRM\|1\|D)|(kpr)|(kdp)|(train st.+moving)|(\|lc)|(penalty))"</v>
      </c>
      <c r="U18" s="9" t="str">
        <f>MID(B18,13,4)</f>
        <v>4011</v>
      </c>
      <c r="V18" s="31">
        <f>A18-utc_offset/24</f>
        <v>42970.968460648146</v>
      </c>
      <c r="W18" s="45" t="str">
        <f>DetSubdiv(C18)</f>
        <v>EC</v>
      </c>
      <c r="X18" s="22">
        <f>VALUE(LEFT(C18,LEN(C18)-3))</f>
        <v>202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{"issue":{"subject":"","project_id":79,"tracker_id":40,"status_id":1,"priority_id":2,"assigned_to_id":23,"start_date":"2017-08-23","description":"","custom_fields":[{"id":1,"name":"Subdivision","value":"EC"},{"id":4,"name":"Milepost","value":"23.208"},{"id":17,"name":"Train ID","value":"202-23"},{"id":16,"name":"Locomotive ID","value":"4011"},{"id":130,"name":"Impact","value":""},{"id":150,"name":"Time of Event (Mountain Time)","value":"17:14:35"},{"id":151,"name":"Denver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/c/Users/stu/AppData/Local/Temp/OnboardLogs/RTDC4011 --include="*4011*201708232*"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"%USERPROFILE%\AppData\Local\Temp\OnboardLogs"\RTDC4011\*4011*201708232* &gt;&gt; 2017-08-23-SliceDisagreementCheck.txt</v>
      </c>
      <c r="AE18" s="145" t="str">
        <f t="shared" si="1"/>
        <v>start /low /b %USERPROFILE%\Documents\GitHub\eaglep3\Utilities\DownloadLogsFromS3.py --loco 4011 --day 2017-08-23</v>
      </c>
      <c r="AF18" s="1"/>
    </row>
    <row r="19" spans="1:32" x14ac:dyDescent="0.25">
      <c r="A19" s="31">
        <v>42970.633831018517</v>
      </c>
      <c r="B19" s="30" t="s">
        <v>563</v>
      </c>
      <c r="C19" s="30" t="s">
        <v>573</v>
      </c>
      <c r="D19" s="30" t="s">
        <v>96</v>
      </c>
      <c r="E19" s="30" t="s">
        <v>195</v>
      </c>
      <c r="F19" s="42">
        <v>150</v>
      </c>
      <c r="G19" s="42">
        <v>208</v>
      </c>
      <c r="H19" s="42">
        <v>232272</v>
      </c>
      <c r="I19" s="42">
        <v>231984</v>
      </c>
      <c r="J19" s="30" t="s">
        <v>196</v>
      </c>
      <c r="K19" s="42">
        <v>233492</v>
      </c>
      <c r="L19" s="131" t="s">
        <v>51</v>
      </c>
      <c r="M19" s="132">
        <f>CONVERT((I19-K19)/10000,"mi","ft")*IF(L19="Increasing Mileposts (1)",-1,1)</f>
        <v>-796.22400000000005</v>
      </c>
      <c r="N19" s="133" t="str">
        <f>VLOOKUP(C19,'Trips&amp;Operators'!$C$1:$G$99911,5,FALSE)</f>
        <v>LOPES KIMBERLY</v>
      </c>
      <c r="O19" s="203" t="s">
        <v>180</v>
      </c>
      <c r="P19" s="134"/>
      <c r="Q19" s="30"/>
      <c r="R19" s="81" t="str">
        <f>VLOOKUP(C19,'Train Runs'!$A$13:$AE$9913,31,0)</f>
        <v>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 &amp; aws s3 cp s3://rtdc.mdm.uploadarchive.raw/RTDC4041/ "%USERPROFILE%\AppData\Local\Temp\OnboardLogs"\RTDC4041\2017-08-24 --exclude "*" --recursive --include "*20170824*" &amp; "%USERPROFILE%\Documents\GitHub\mrs-test-scripts\Headless Mode &amp; Sideloading\WalkAndUnGZ.bat" "%USERPROFILE%\AppData\Local\Temp\OnboardLogs"\RTDC4041\2017-08-24</v>
      </c>
      <c r="S19" s="84" t="str">
        <f>VLOOKUP(C19,'Train Runs'!$A$13:$AE$9913,22,0)</f>
        <v>https://d0f6bd738d7f1b3e5a7ca70fe4ff75f0.us-east-1.aws.found.io/app/kibana#/discover/Steve-Slow-Train-Analysis-(2080s-and-2083s)?_g=(refreshInterval:(display:Off,pause:!f,section:0,value:0),time:(from:'2017-08-23T14:06:38-0600',mode:absolute,to:'2017-08-23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/stypes="*4041*201708232*" /stext=" 21:.+((SYSTEM_STATE.+slice.+state.+changed )|(ment ac)|(multiple cpu faults)|(system.+state.+changed )|(\[timeout)|(PRM\|1\|D)|(kpr)|(kdp)|(train st.+moving)|(\|lc)|(penalty))"</v>
      </c>
      <c r="U19" s="9" t="str">
        <f>MID(B19,13,4)</f>
        <v>4041</v>
      </c>
      <c r="V19" s="31">
        <f>A19-utc_offset/24</f>
        <v>42970.883831018517</v>
      </c>
      <c r="W19" s="45" t="str">
        <f>DetSubdiv(C19)</f>
        <v>EC</v>
      </c>
      <c r="X19" s="22">
        <f>VALUE(LEFT(C19,LEN(C19)-3))</f>
        <v>186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{"issue":{"subject":"","project_id":79,"tracker_id":40,"status_id":1,"priority_id":2,"assigned_to_id":23,"start_date":"2017-08-23","description":"","custom_fields":[{"id":1,"name":"Subdivision","value":"EC"},{"id":4,"name":"Milepost","value":"23.3492"},{"id":17,"name":"Train ID","value":"186-23"},{"id":16,"name":"Locomotive ID","value":"4041"},{"id":130,"name":"Impact","value":""},{"id":150,"name":"Time of Event (Mountain Time)","value":"15:12:43"},{"id":151,"name":"Denver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/c/Users/stu/AppData/Local/Temp/OnboardLogs/RTDC4041 --include="*4041*201708232*"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"%USERPROFILE%\AppData\Local\Temp\OnboardLogs"\RTDC4041\*4041*201708232* &gt;&gt; 2017-08-23-SliceDisagreementCheck.txt</v>
      </c>
      <c r="AE19" s="145" t="str">
        <f t="shared" si="1"/>
        <v>start /low /b %USERPROFILE%\Documents\GitHub\eaglep3\Utilities\DownloadLogsFromS3.py --loco 4041 --day 2017-08-23</v>
      </c>
      <c r="AF19" s="1"/>
    </row>
    <row r="20" spans="1:32" x14ac:dyDescent="0.25">
      <c r="A20" s="31">
        <v>42970.615057870367</v>
      </c>
      <c r="B20" s="30" t="s">
        <v>484</v>
      </c>
      <c r="C20" s="30" t="s">
        <v>572</v>
      </c>
      <c r="D20" s="30" t="s">
        <v>49</v>
      </c>
      <c r="E20" s="30" t="s">
        <v>373</v>
      </c>
      <c r="F20" s="42">
        <v>0</v>
      </c>
      <c r="G20" s="42">
        <v>416</v>
      </c>
      <c r="H20" s="42">
        <v>17791</v>
      </c>
      <c r="I20" s="42">
        <v>0</v>
      </c>
      <c r="J20" s="30" t="s">
        <v>374</v>
      </c>
      <c r="K20" s="42">
        <v>0</v>
      </c>
      <c r="L20" s="131" t="s">
        <v>51</v>
      </c>
      <c r="M20" s="132">
        <f>CONVERT((I20-K20)/10000,"mi","ft")*IF(L20="Increasing Mileposts (1)",-1,1)</f>
        <v>0</v>
      </c>
      <c r="N20" s="133" t="str">
        <f>VLOOKUP(C20,'Trips&amp;Operators'!$C$1:$G$99911,5,FALSE)</f>
        <v>YORK EDGAR</v>
      </c>
      <c r="O20" s="203" t="s">
        <v>376</v>
      </c>
      <c r="P20" s="134" t="s">
        <v>548</v>
      </c>
      <c r="Q20" s="30"/>
      <c r="R20" s="81" t="str">
        <f>VLOOKUP(C20,'Train Runs'!$A$13:$AE$9913,31,0)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S20" s="84" t="str">
        <f>VLOOKUP(C20,'Train Runs'!$A$13:$AE$9913,22,0)</f>
        <v>https://d0f6bd738d7f1b3e5a7ca70fe4ff75f0.us-east-1.aws.found.io/app/kibana#/discover/Steve-Slow-Train-Analysis-(2080s-and-2083s)?_g=(refreshInterval:(display:Off,pause:!f,section:0,value:0),time:(from:'2017-08-23T12:52:44-0600',mode:absolute,to:'2017-08-23T15:45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/stypes="*4029*201708232*" /stext=" 20:.+((SYSTEM_STATE.+slice.+state.+changed )|(ment ac)|(multiple cpu faults)|(system.+state.+changed )|(\[timeout)|(PRM\|1\|D)|(kpr)|(kdp)|(train st.+moving)|(\|lc)|(penalty))"</v>
      </c>
      <c r="U20" s="9" t="str">
        <f>MID(B20,13,4)</f>
        <v>4029</v>
      </c>
      <c r="V20" s="31">
        <f>A20-utc_offset/24</f>
        <v>42970.865057870367</v>
      </c>
      <c r="W20" s="45" t="str">
        <f>DetSubdiv(C20)</f>
        <v>EC</v>
      </c>
      <c r="X20" s="22">
        <f>VALUE(LEFT(C20,LEN(C20)-3))</f>
        <v>178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drop","project_id":79,"tracker_id":40,"status_id":1,"priority_id":2,"assigned_to_id":23,"start_date":"2017-08-23","description":"","custom_fields":[{"id":1,"name":"Subdivision","value":"EC"},{"id":4,"name":"Milepost","value":"0"},{"id":17,"name":"Train ID","value":"178-23"},{"id":16,"name":"Locomotive ID","value":"4029"},{"id":130,"name":"Impact","value":""},{"id":150,"name":"Time of Event (Mountain Time)","value":"14:45:41"},{"id":151,"name":"Denver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/c/Users/stu/AppData/Local/Temp/OnboardLogs/RTDC4029 --include="*4029*201708232*"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"%USERPROFILE%\AppData\Local\Temp\OnboardLogs"\RTDC4029\*4029*201708232* &gt;&gt; 2017-08-23-SliceDisagreementCheck.txt</v>
      </c>
      <c r="AE20" s="145" t="str">
        <f t="shared" si="1"/>
        <v>start /low /b %USERPROFILE%\Documents\GitHub\eaglep3\Utilities\DownloadLogsFromS3.py --loco 4029 --day 2017-08-23</v>
      </c>
      <c r="AF20" s="1"/>
    </row>
    <row r="21" spans="1:32" x14ac:dyDescent="0.25">
      <c r="A21" s="31">
        <v>42970.595902777779</v>
      </c>
      <c r="B21" s="30" t="s">
        <v>434</v>
      </c>
      <c r="C21" s="30" t="s">
        <v>569</v>
      </c>
      <c r="D21" s="30" t="s">
        <v>49</v>
      </c>
      <c r="E21" s="30" t="s">
        <v>373</v>
      </c>
      <c r="F21" s="42">
        <v>0</v>
      </c>
      <c r="G21" s="42">
        <v>165</v>
      </c>
      <c r="H21" s="42">
        <v>28292</v>
      </c>
      <c r="I21" s="42">
        <v>28048</v>
      </c>
      <c r="J21" s="30" t="s">
        <v>374</v>
      </c>
      <c r="K21" s="42">
        <v>28061</v>
      </c>
      <c r="L21" s="131" t="s">
        <v>51</v>
      </c>
      <c r="M21" s="132">
        <f>CONVERT((I21-K21)/10000,"mi","ft")*IF(L21="Increasing Mileposts (1)",-1,1)</f>
        <v>-6.8639999999999999</v>
      </c>
      <c r="N21" s="133" t="str">
        <f>VLOOKUP(C21,'Trips&amp;Operators'!$C$1:$G$99911,5,FALSE)</f>
        <v>DAVIS MICHAEL</v>
      </c>
      <c r="O21" s="203" t="s">
        <v>376</v>
      </c>
      <c r="P21" s="134" t="s">
        <v>1029</v>
      </c>
      <c r="Q21" s="30"/>
      <c r="R21" s="81" t="str">
        <f>VLOOKUP(C21,'Train Runs'!$A$13:$AE$9913,31,0)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S21" s="84" t="str">
        <f>VLOOKUP(C21,'Train Runs'!$A$13:$AE$9913,22,0)</f>
        <v>https://d0f6bd738d7f1b3e5a7ca70fe4ff75f0.us-east-1.aws.found.io/app/kibana#/discover/Steve-Slow-Train-Analysis-(2080s-and-2083s)?_g=(refreshInterval:(display:Off,pause:!f,section:0,value:0),time:(from:'2017-08-23T12:23:48-0600',mode:absolute,to:'2017-08-23T15:29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/stypes="*4039*201708232*" /stext=" 20:.+((SYSTEM_STATE.+slice.+state.+changed )|(ment ac)|(multiple cpu faults)|(system.+state.+changed )|(\[timeout)|(PRM\|1\|D)|(kpr)|(kdp)|(train st.+moving)|(\|lc)|(penalty))"</v>
      </c>
      <c r="U21" s="9" t="str">
        <f>MID(B21,13,4)</f>
        <v>4039</v>
      </c>
      <c r="V21" s="31">
        <f>A21-utc_offset/24</f>
        <v>42970.845902777779</v>
      </c>
      <c r="W21" s="45" t="str">
        <f>DetSubdiv(C21)</f>
        <v>EC</v>
      </c>
      <c r="X21" s="22">
        <f>VALUE(LEFT(C21,LEN(C21)-3))</f>
        <v>172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{"issue":{"subject":"Premature downgrade at EC0286RH 38-2T 2S","project_id":79,"tracker_id":40,"status_id":1,"priority_id":2,"assigned_to_id":23,"start_date":"2017-08-23","description":"14:17:56 - EC0286RH 38-2T 2S dropped from 270 to 0 while train was 121 feet approaching, do logs show anything unusual?","custom_fields":[{"id":1,"name":"Subdivision","value":"EC"},{"id":4,"name":"Milepost","value":"2.8061"},{"id":17,"name":"Train ID","value":"172-23"},{"id":16,"name":"Locomotive ID","value":"4039"},{"id":130,"name":"Impact","value":"Enforcement"},{"id":150,"name":"Time of Event (Mountain Time)","value":"14:18:06"},{"id":151,"name":"Denver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1" s="159" t="s">
        <v>1030</v>
      </c>
      <c r="AA21" s="47" t="s">
        <v>120</v>
      </c>
      <c r="AB21" s="47" t="s">
        <v>125</v>
      </c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/c/Users/stu/AppData/Local/Temp/OnboardLogs/RTDC4039 --include="*4039*201708232*"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"%USERPROFILE%\AppData\Local\Temp\OnboardLogs"\RTDC4039\*4039*201708232* &gt;&gt; 2017-08-23-SliceDisagreementCheck.txt</v>
      </c>
      <c r="AE21" s="145" t="str">
        <f t="shared" si="1"/>
        <v>start /low /b %USERPROFILE%\Documents\GitHub\eaglep3\Utilities\DownloadLogsFromS3.py --loco 4039 --day 2017-08-23</v>
      </c>
      <c r="AF21" s="1"/>
    </row>
    <row r="22" spans="1:32" x14ac:dyDescent="0.25">
      <c r="A22" s="31">
        <v>42970.765844907408</v>
      </c>
      <c r="B22" s="30" t="s">
        <v>384</v>
      </c>
      <c r="C22" s="30" t="s">
        <v>582</v>
      </c>
      <c r="D22" s="30" t="s">
        <v>49</v>
      </c>
      <c r="E22" s="30" t="s">
        <v>373</v>
      </c>
      <c r="F22" s="42">
        <v>0</v>
      </c>
      <c r="G22" s="42">
        <v>393</v>
      </c>
      <c r="H22" s="42">
        <v>126540</v>
      </c>
      <c r="I22" s="42">
        <v>127788</v>
      </c>
      <c r="J22" s="30" t="s">
        <v>374</v>
      </c>
      <c r="K22" s="42">
        <v>126585</v>
      </c>
      <c r="L22" s="131" t="s">
        <v>50</v>
      </c>
      <c r="M22" s="132">
        <f>CONVERT((I22-K22)/10000,"mi","ft")*IF(L22="Increasing Mileposts (1)",-1,1)</f>
        <v>-635.18399999999997</v>
      </c>
      <c r="N22" s="133" t="str">
        <f>VLOOKUP(C22,'Trips&amp;Operators'!$C$1:$G$99911,5,FALSE)</f>
        <v>TOUSIGNAUT CARL</v>
      </c>
      <c r="O22" s="203" t="s">
        <v>376</v>
      </c>
      <c r="P22" s="134" t="s">
        <v>1028</v>
      </c>
      <c r="Q22" s="30"/>
      <c r="R22" s="81" t="str">
        <f>VLOOKUP(C22,'Train Runs'!$A$13:$AE$9913,31,0)</f>
        <v>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 &amp; aws s3 cp s3://rtdc.mdm.uploadarchive.raw/RTDC4012/ "%USERPROFILE%\AppData\Local\Temp\OnboardLogs"\RTDC4012\2017-08-24 --exclude "*" --recursive --include "*20170824*" &amp; "%USERPROFILE%\Documents\GitHub\mrs-test-scripts\Headless Mode &amp; Sideloading\WalkAndUnGZ.bat" "%USERPROFILE%\AppData\Local\Temp\OnboardLogs"\RTDC4012\2017-08-24</v>
      </c>
      <c r="S22" s="84" t="str">
        <f>VLOOKUP(C22,'Train Runs'!$A$13:$AE$9913,22,0)</f>
        <v>https://d0f6bd738d7f1b3e5a7ca70fe4ff75f0.us-east-1.aws.found.io/app/kibana#/discover/Steve-Slow-Train-Analysis-(2080s-and-2083s)?_g=(refreshInterval:(display:Off,pause:!f,section:0,value:0),time:(from:'2017-08-23T16:56:11-0600',mode:absolute,to:'2017-08-23T19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/stypes="*4012*201708240*" /stext=" 00:.+((SYSTEM_STATE.+slice.+state.+changed )|(ment ac)|(multiple cpu faults)|(system.+state.+changed )|(\[timeout)|(PRM\|1\|D)|(kpr)|(kdp)|(train st.+moving)|(\|lc)|(penalty))"</v>
      </c>
      <c r="U22" s="9" t="str">
        <f>MID(B22,13,4)</f>
        <v>4012</v>
      </c>
      <c r="V22" s="31">
        <f>A22-utc_offset/24</f>
        <v>42971.015844907408</v>
      </c>
      <c r="W22" s="45" t="str">
        <f>DetSubdiv(C22)</f>
        <v>EC</v>
      </c>
      <c r="X22" s="22">
        <f>VALUE(LEFT(C22,LEN(C22)-3))</f>
        <v>215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{"issue":{"subject":"Premature downgrade at 40th 2N","project_id":79,"tracker_id":40,"status_id":1,"priority_id":2,"assigned_to_id":23,"start_date":"2017-08-23","description":"","custom_fields":[{"id":1,"name":"Subdivision","value":"EC"},{"id":4,"name":"Milepost","value":"12.6585"},{"id":17,"name":"Train ID","value":"215-23"},{"id":16,"name":"Locomotive ID","value":"4012"},{"id":130,"name":"Impact","value":""},{"id":150,"name":"Time of Event (Mountain Time)","value":"18:22:49"},{"id":151,"name":"Denver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/c/Users/stu/AppData/Local/Temp/OnboardLogs/RTDC4012 --include="*4012*201708240*"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"%USERPROFILE%\AppData\Local\Temp\OnboardLogs"\RTDC4012\*4012*201708240* &gt;&gt; 2017-08-23-SliceDisagreementCheck.txt</v>
      </c>
      <c r="AE22" s="145" t="str">
        <f t="shared" si="1"/>
        <v>start /low /b %USERPROFILE%\Documents\GitHub\eaglep3\Utilities\DownloadLogsFromS3.py --loco 4012 --day 2017-08-24</v>
      </c>
      <c r="AF22" s="1"/>
    </row>
    <row r="23" spans="1:32" x14ac:dyDescent="0.25">
      <c r="A23" s="31">
        <v>42970.228067129632</v>
      </c>
      <c r="B23" s="30" t="s">
        <v>411</v>
      </c>
      <c r="C23" s="30" t="s">
        <v>551</v>
      </c>
      <c r="D23" s="30" t="s">
        <v>96</v>
      </c>
      <c r="E23" s="30" t="s">
        <v>373</v>
      </c>
      <c r="F23" s="42">
        <v>0</v>
      </c>
      <c r="G23" s="42">
        <v>119</v>
      </c>
      <c r="H23" s="42">
        <v>127445</v>
      </c>
      <c r="I23" s="42">
        <v>127233</v>
      </c>
      <c r="J23" s="30" t="s">
        <v>374</v>
      </c>
      <c r="K23" s="42">
        <v>127587</v>
      </c>
      <c r="L23" s="131" t="s">
        <v>51</v>
      </c>
      <c r="M23" s="132">
        <f>CONVERT((I23-K23)/10000,"mi","ft")*IF(L23="Increasing Mileposts (1)",-1,1)</f>
        <v>-186.91200000000001</v>
      </c>
      <c r="N23" s="133" t="str">
        <f>VLOOKUP(C23,'Trips&amp;Operators'!$C$1:$G$99911,5,FALSE)</f>
        <v>STARKS ANGELINA</v>
      </c>
      <c r="O23" s="203" t="s">
        <v>376</v>
      </c>
      <c r="P23" s="134" t="s">
        <v>547</v>
      </c>
      <c r="Q23" s="30"/>
      <c r="R23" s="81" t="str">
        <f>VLOOKUP(C23,'Train Runs'!$A$13:$AE$9913,31,0)</f>
        <v>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 &amp; aws s3 cp s3://rtdc.mdm.uploadarchive.raw/RTDC4027/ "%USERPROFILE%\AppData\Local\Temp\OnboardLogs"\RTDC4027\2017-08-24 --exclude "*" --recursive --include "*20170824*" &amp; "%USERPROFILE%\Documents\GitHub\mrs-test-scripts\Headless Mode &amp; Sideloading\WalkAndUnGZ.bat" "%USERPROFILE%\AppData\Local\Temp\OnboardLogs"\RTDC4027\2017-08-24</v>
      </c>
      <c r="S23" s="84" t="str">
        <f>VLOOKUP(C23,'Train Runs'!$A$13:$AE$9913,22,0)</f>
        <v>https://d0f6bd738d7f1b3e5a7ca70fe4ff75f0.us-east-1.aws.found.io/app/kibana#/discover/Steve-Slow-Train-Analysis-(2080s-and-2083s)?_g=(refreshInterval:(display:Off,pause:!f,section:0,value:0),time:(from:'2017-08-23T04:26:46-0600',mode:absolute,to:'2017-08-23T06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/stypes="*4027*201708231*" /stext=" 11:.+((SYSTEM_STATE.+slice.+state.+changed )|(ment ac)|(multiple cpu faults)|(system.+state.+changed )|(\[timeout)|(PRM\|1\|D)|(kpr)|(kdp)|(train st.+moving)|(\|lc)|(penalty))"</v>
      </c>
      <c r="U23" s="9" t="str">
        <f>MID(B23,13,4)</f>
        <v>4027</v>
      </c>
      <c r="V23" s="31">
        <f>A23-utc_offset/24</f>
        <v>42970.478067129632</v>
      </c>
      <c r="W23" s="45" t="str">
        <f>DetSubdiv(C23)</f>
        <v>EC</v>
      </c>
      <c r="X23" s="22">
        <f>VALUE(LEFT(C23,LEN(C23)-3))</f>
        <v>106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failure","project_id":79,"tracker_id":40,"status_id":1,"priority_id":2,"assigned_to_id":23,"start_date":"2017-08-23","description":"","custom_fields":[{"id":1,"name":"Subdivision","value":"EC"},{"id":4,"name":"Milepost","value":"12.7587"},{"id":17,"name":"Train ID","value":"106-23"},{"id":16,"name":"Locomotive ID","value":"4027"},{"id":130,"name":"Impact","value":""},{"id":150,"name":"Time of Event (Mountain Time)","value":"05:28:25"},{"id":151,"name":"Denver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/c/Users/stu/AppData/Local/Temp/OnboardLogs/RTDC4027 --include="*4027*201708231*"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"%USERPROFILE%\AppData\Local\Temp\OnboardLogs"\RTDC4027\*4027*201708231* &gt;&gt; 2017-08-23-SliceDisagreementCheck.txt</v>
      </c>
      <c r="AE23" s="145" t="str">
        <f t="shared" si="1"/>
        <v>start /low /b %USERPROFILE%\Documents\GitHub\eaglep3\Utilities\DownloadLogsFromS3.py --loco 4027 --day 2017-08-23</v>
      </c>
      <c r="AF23" s="1"/>
    </row>
    <row r="24" spans="1:32" x14ac:dyDescent="0.25">
      <c r="A24" s="31">
        <v>42970.451469907406</v>
      </c>
      <c r="B24" s="30" t="s">
        <v>558</v>
      </c>
      <c r="C24" s="30" t="s">
        <v>559</v>
      </c>
      <c r="D24" s="30" t="s">
        <v>49</v>
      </c>
      <c r="E24" s="30" t="s">
        <v>181</v>
      </c>
      <c r="F24" s="42">
        <v>0</v>
      </c>
      <c r="G24" s="42">
        <v>40</v>
      </c>
      <c r="H24" s="42">
        <v>149</v>
      </c>
      <c r="I24" s="42">
        <v>118</v>
      </c>
      <c r="J24" s="30" t="s">
        <v>182</v>
      </c>
      <c r="K24" s="42">
        <v>1</v>
      </c>
      <c r="L24" s="131" t="s">
        <v>51</v>
      </c>
      <c r="M24" s="132">
        <f>CONVERT((I24-K24)/10000,"mi","ft")*IF(L24="Increasing Mileposts (1)",-1,1)</f>
        <v>61.776000000000003</v>
      </c>
      <c r="N24" s="133" t="str">
        <f>VLOOKUP(C24,'Trips&amp;Operators'!$C$1:$G$99911,5,FALSE)</f>
        <v>YANG JAN</v>
      </c>
      <c r="O24" s="203" t="s">
        <v>180</v>
      </c>
      <c r="P24" s="134"/>
      <c r="Q24" s="30"/>
      <c r="R24" s="81" t="str">
        <f>VLOOKUP(C24,'Train Runs'!$A$13:$AE$9913,31,0)</f>
        <v>aws s3 cp s3://rtdc.mdm.uploadarchive.raw/RTDC4013/ "%USERPROFILE%\AppData\Local\Temp\OnboardLogs"\RTDC4013\2017-08-23 --exclude "*" --recursive --include "*20170823*" &amp; "%USERPROFILE%\Documents\GitHub\mrs-test-scripts\Headless Mode &amp; Sideloading\WalkAndUnGZ.bat" "%USERPROFILE%\AppData\Local\Temp\OnboardLogs"\RTDC4013\2017-08-23 &amp; aws s3 cp s3://rtdc.mdm.uploadarchive.raw/RTDC4013/ "%USERPROFILE%\AppData\Local\Temp\OnboardLogs"\RTDC4013\2017-08-24 --exclude "*" --recursive --include "*20170824*" &amp; "%USERPROFILE%\Documents\GitHub\mrs-test-scripts\Headless Mode &amp; Sideloading\WalkAndUnGZ.bat" "%USERPROFILE%\AppData\Local\Temp\OnboardLogs"\RTDC4013\2017-08-24</v>
      </c>
      <c r="S24" s="84" t="str">
        <f>VLOOKUP(C24,'Train Runs'!$A$13:$AE$9913,22,0)</f>
        <v>https://d0f6bd738d7f1b3e5a7ca70fe4ff75f0.us-east-1.aws.found.io/app/kibana#/discover/Steve-Slow-Train-Analysis-(2080s-and-2083s)?_g=(refreshInterval:(display:Off,pause:!f,section:0,value:0),time:(from:'2017-08-23T09:05:50-0600',mode:absolute,to:'2017-08-23T11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/stypes="*4013*201708231*" /stext=" 16:.+((SYSTEM_STATE.+slice.+state.+changed )|(ment ac)|(multiple cpu faults)|(system.+state.+changed )|(\[timeout)|(PRM\|1\|D)|(kpr)|(kdp)|(train st.+moving)|(\|lc)|(penalty))"</v>
      </c>
      <c r="U24" s="9" t="str">
        <f>MID(B24,13,4)</f>
        <v>4013</v>
      </c>
      <c r="V24" s="31">
        <f>A24-utc_offset/24</f>
        <v>42970.701469907406</v>
      </c>
      <c r="W24" s="45" t="str">
        <f>DetSubdiv(C24)</f>
        <v>EC</v>
      </c>
      <c r="X24" s="22">
        <f>VALUE(LEFT(C24,LEN(C24)-3))</f>
        <v>146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{"issue":{"subject":"","project_id":79,"tracker_id":40,"status_id":1,"priority_id":2,"assigned_to_id":23,"start_date":"2017-08-23","description":"","custom_fields":[{"id":1,"name":"Subdivision","value":"EC"},{"id":4,"name":"Milepost","value":"0.0001"},{"id":17,"name":"Train ID","value":"146-23"},{"id":16,"name":"Locomotive ID","value":"4013"},{"id":130,"name":"Impact","value":""},{"id":150,"name":"Time of Event (Mountain Time)","value":"10:50:07"},{"id":151,"name":"Denver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/c/Users/stu/AppData/Local/Temp/OnboardLogs/RTDC4013 --include="*4013*201708231*"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"%USERPROFILE%\AppData\Local\Temp\OnboardLogs"\RTDC4013\*4013*201708231* &gt;&gt; 2017-08-23-SliceDisagreementCheck.txt</v>
      </c>
      <c r="AE24" s="145" t="str">
        <f t="shared" si="1"/>
        <v>start /low /b %USERPROFILE%\Documents\GitHub\eaglep3\Utilities\DownloadLogsFromS3.py --loco 4013 --day 2017-08-23</v>
      </c>
      <c r="AF24" s="1"/>
    </row>
    <row r="25" spans="1:32" x14ac:dyDescent="0.25">
      <c r="A25" s="31">
        <v>42970.836354166669</v>
      </c>
      <c r="B25" s="30" t="s">
        <v>484</v>
      </c>
      <c r="C25" s="30" t="s">
        <v>587</v>
      </c>
      <c r="D25" s="30" t="s">
        <v>49</v>
      </c>
      <c r="E25" s="30" t="s">
        <v>181</v>
      </c>
      <c r="F25" s="42">
        <v>0</v>
      </c>
      <c r="G25" s="42">
        <v>70</v>
      </c>
      <c r="H25" s="42">
        <v>229</v>
      </c>
      <c r="I25" s="42">
        <v>163</v>
      </c>
      <c r="J25" s="30" t="s">
        <v>182</v>
      </c>
      <c r="K25" s="42">
        <v>1</v>
      </c>
      <c r="L25" s="131" t="s">
        <v>51</v>
      </c>
      <c r="M25" s="132">
        <f>CONVERT((I25-K25)/10000,"mi","ft")*IF(L25="Increasing Mileposts (1)",-1,1)</f>
        <v>85.536000000000001</v>
      </c>
      <c r="N25" s="133" t="str">
        <f>VLOOKUP(C25,'Trips&amp;Operators'!$C$1:$G$99911,5,FALSE)</f>
        <v>LAMAR NEKESHA</v>
      </c>
      <c r="O25" s="203" t="s">
        <v>180</v>
      </c>
      <c r="P25" s="134"/>
      <c r="Q25" s="30"/>
      <c r="R25" s="81" t="str">
        <f>VLOOKUP(C25,'Train Runs'!$A$13:$AE$9913,31,0)</f>
        <v>aws s3 cp s3://rtdc.mdm.uploadarchive.raw/RTDC4029/ "%USERPROFILE%\AppData\Local\Temp\OnboardLogs"\RTDC4029\2017-08-23 --exclude "*" --recursive --include "*20170823*" &amp; "%USERPROFILE%\Documents\GitHub\mrs-test-scripts\Headless Mode &amp; Sideloading\WalkAndUnGZ.bat" "%USERPROFILE%\AppData\Local\Temp\OnboardLogs"\RTDC4029\2017-08-23 &amp; aws s3 cp s3://rtdc.mdm.uploadarchive.raw/RTDC4029/ "%USERPROFILE%\AppData\Local\Temp\OnboardLogs"\RTDC4029\2017-08-24 --exclude "*" --recursive --include "*20170824*" &amp; "%USERPROFILE%\Documents\GitHub\mrs-test-scripts\Headless Mode &amp; Sideloading\WalkAndUnGZ.bat" "%USERPROFILE%\AppData\Local\Temp\OnboardLogs"\RTDC4029\2017-08-24</v>
      </c>
      <c r="S25" s="84" t="str">
        <f>VLOOKUP(C25,'Train Runs'!$A$13:$AE$9913,22,0)</f>
        <v>https://d0f6bd738d7f1b3e5a7ca70fe4ff75f0.us-east-1.aws.found.io/app/kibana#/discover/Steve-Slow-Train-Analysis-(2080s-and-2083s)?_g=(refreshInterval:(display:Off,pause:!f,section:0,value:0),time:(from:'2017-08-23T18:22:36-0600',mode:absolute,to:'2017-08-23T21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/stypes="*4029*201708240*" /stext=" 02:.+((SYSTEM_STATE.+slice.+state.+changed )|(ment ac)|(multiple cpu faults)|(system.+state.+changed )|(\[timeout)|(PRM\|1\|D)|(kpr)|(kdp)|(train st.+moving)|(\|lc)|(penalty))"</v>
      </c>
      <c r="U25" s="9" t="str">
        <f>MID(B25,13,4)</f>
        <v>4029</v>
      </c>
      <c r="V25" s="31">
        <f>A25-utc_offset/24</f>
        <v>42971.086354166669</v>
      </c>
      <c r="W25" s="45" t="str">
        <f>DetSubdiv(C25)</f>
        <v>EC</v>
      </c>
      <c r="X25" s="22">
        <f>VALUE(LEFT(C25,LEN(C25)-3))</f>
        <v>220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{"issue":{"subject":"","project_id":79,"tracker_id":40,"status_id":1,"priority_id":2,"assigned_to_id":23,"start_date":"2017-08-23","description":"","custom_fields":[{"id":1,"name":"Subdivision","value":"EC"},{"id":4,"name":"Milepost","value":"0.0001"},{"id":17,"name":"Train ID","value":"220-23"},{"id":16,"name":"Locomotive ID","value":"4029"},{"id":130,"name":"Impact","value":""},{"id":150,"name":"Time of Event (Mountain Time)","value":"20:04:21"},{"id":151,"name":"Denver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/c/Users/stu/AppData/Local/Temp/OnboardLogs/RTDC4029 --include="*4029*201708240*"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"%USERPROFILE%\AppData\Local\Temp\OnboardLogs"\RTDC4029\*4029*201708240* &gt;&gt; 2017-08-23-SliceDisagreementCheck.txt</v>
      </c>
      <c r="AE25" s="145" t="str">
        <f t="shared" si="1"/>
        <v>start /low /b %USERPROFILE%\Documents\GitHub\eaglep3\Utilities\DownloadLogsFromS3.py --loco 4029 --day 2017-08-24</v>
      </c>
      <c r="AF25" s="1"/>
    </row>
    <row r="26" spans="1:32" x14ac:dyDescent="0.25">
      <c r="A26" s="31">
        <v>42970.591724537036</v>
      </c>
      <c r="B26" s="30" t="s">
        <v>565</v>
      </c>
      <c r="C26" s="30" t="s">
        <v>566</v>
      </c>
      <c r="D26" s="30" t="s">
        <v>49</v>
      </c>
      <c r="E26" s="30" t="s">
        <v>181</v>
      </c>
      <c r="F26" s="42">
        <v>0</v>
      </c>
      <c r="G26" s="42">
        <v>87</v>
      </c>
      <c r="H26" s="42">
        <v>1183</v>
      </c>
      <c r="I26" s="42">
        <v>1077</v>
      </c>
      <c r="J26" s="30" t="s">
        <v>182</v>
      </c>
      <c r="K26" s="42">
        <v>826</v>
      </c>
      <c r="L26" s="131" t="s">
        <v>51</v>
      </c>
      <c r="M26" s="132">
        <f>CONVERT((I26-K26)/10000,"mi","ft")*IF(L26="Increasing Mileposts (1)",-1,1)</f>
        <v>132.52799999999999</v>
      </c>
      <c r="N26" s="133" t="str">
        <f>VLOOKUP(C26,'Trips&amp;Operators'!$C$1:$G$99911,5,FALSE)</f>
        <v>LEVIN SCOTT</v>
      </c>
      <c r="O26" s="203" t="s">
        <v>180</v>
      </c>
      <c r="P26" s="134"/>
      <c r="Q26" s="30"/>
      <c r="R26" s="81" t="str">
        <f>VLOOKUP(C26,'Train Runs'!$A$13:$AE$9913,31,0)</f>
        <v>aws s3 cp s3://rtdc.mdm.uploadarchive.raw/RTDC4059/ "%USERPROFILE%\AppData\Local\Temp\OnboardLogs"\RTDC4059\2017-08-23 --exclude "*" --recursive --include "*20170823*" &amp; "%USERPROFILE%\Documents\GitHub\mrs-test-scripts\Headless Mode &amp; Sideloading\WalkAndUnGZ.bat" "%USERPROFILE%\AppData\Local\Temp\OnboardLogs"\RTDC4059\2017-08-23 &amp; aws s3 cp s3://rtdc.mdm.uploadarchive.raw/RTDC4059/ "%USERPROFILE%\AppData\Local\Temp\OnboardLogs"\RTDC4059\2017-08-24 --exclude "*" --recursive --include "*20170824*" &amp; "%USERPROFILE%\Documents\GitHub\mrs-test-scripts\Headless Mode &amp; Sideloading\WalkAndUnGZ.bat" "%USERPROFILE%\AppData\Local\Temp\OnboardLogs"\RTDC4059\2017-08-24</v>
      </c>
      <c r="S26" s="84" t="str">
        <f>VLOOKUP(C26,'Train Runs'!$A$13:$AE$9913,22,0)</f>
        <v>https://d0f6bd738d7f1b3e5a7ca70fe4ff75f0.us-east-1.aws.found.io/app/kibana#/discover/Steve-Slow-Train-Analysis-(2080s-and-2083s)?_g=(refreshInterval:(display:Off,pause:!f,section:0,value:0),time:(from:'2017-08-23T11:53:43-0600',mode:absolute,to:'2017-08-23T15:11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/stypes="*4059*201708232*" /stext=" 20:.+((SYSTEM_STATE.+slice.+state.+changed )|(ment ac)|(multiple cpu faults)|(system.+state.+changed )|(\[timeout)|(PRM\|1\|D)|(kpr)|(kdp)|(train st.+moving)|(\|lc)|(penalty))"</v>
      </c>
      <c r="U26" s="9" t="str">
        <f>MID(B26,13,4)</f>
        <v>4059</v>
      </c>
      <c r="V26" s="31">
        <f>A26-utc_offset/24</f>
        <v>42970.841724537036</v>
      </c>
      <c r="W26" s="45" t="str">
        <f>DetSubdiv(C26)</f>
        <v>EC</v>
      </c>
      <c r="X26" s="22">
        <f>VALUE(LEFT(C26,LEN(C26)-3))</f>
        <v>168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{"issue":{"subject":"","project_id":79,"tracker_id":40,"status_id":1,"priority_id":2,"assigned_to_id":23,"start_date":"2017-08-23","description":"","custom_fields":[{"id":1,"name":"Subdivision","value":"EC"},{"id":4,"name":"Milepost","value":"0.0826"},{"id":17,"name":"Train ID","value":"168-23"},{"id":16,"name":"Locomotive ID","value":"4059"},{"id":130,"name":"Impact","value":""},{"id":150,"name":"Time of Event (Mountain Time)","value":"14:12:05"},{"id":151,"name":"Denver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/c/Users/stu/AppData/Local/Temp/OnboardLogs/RTDC4059 --include="*4059*201708232*"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"%USERPROFILE%\AppData\Local\Temp\OnboardLogs"\RTDC4059\*4059*201708232* &gt;&gt; 2017-08-23-SliceDisagreementCheck.txt</v>
      </c>
      <c r="AE26" s="145" t="str">
        <f t="shared" si="1"/>
        <v>start /low /b %USERPROFILE%\Documents\GitHub\eaglep3\Utilities\DownloadLogsFromS3.py --loco 4059 --day 2017-08-23</v>
      </c>
      <c r="AF26" s="1"/>
    </row>
    <row r="27" spans="1:32" x14ac:dyDescent="0.25">
      <c r="A27" s="31">
        <v>42970.604143518518</v>
      </c>
      <c r="B27" s="30" t="s">
        <v>434</v>
      </c>
      <c r="C27" s="30" t="s">
        <v>569</v>
      </c>
      <c r="D27" s="30" t="s">
        <v>49</v>
      </c>
      <c r="E27" s="30" t="s">
        <v>181</v>
      </c>
      <c r="F27" s="42">
        <v>0</v>
      </c>
      <c r="G27" s="42">
        <v>53</v>
      </c>
      <c r="H27" s="42">
        <v>1031</v>
      </c>
      <c r="I27" s="42">
        <v>996</v>
      </c>
      <c r="J27" s="30" t="s">
        <v>182</v>
      </c>
      <c r="K27" s="42">
        <v>839</v>
      </c>
      <c r="L27" s="131" t="s">
        <v>51</v>
      </c>
      <c r="M27" s="132">
        <f>CONVERT((I27-K27)/10000,"mi","ft")*IF(L27="Increasing Mileposts (1)",-1,1)</f>
        <v>82.895999999999987</v>
      </c>
      <c r="N27" s="133" t="str">
        <f>VLOOKUP(C27,'Trips&amp;Operators'!$C$1:$G$99911,5,FALSE)</f>
        <v>DAVIS MICHAEL</v>
      </c>
      <c r="O27" s="203" t="s">
        <v>180</v>
      </c>
      <c r="P27" s="134"/>
      <c r="Q27" s="30"/>
      <c r="R27" s="81" t="str">
        <f>VLOOKUP(C27,'Train Runs'!$A$13:$AE$9913,31,0)</f>
        <v>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 &amp; 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</v>
      </c>
      <c r="S27" s="84" t="str">
        <f>VLOOKUP(C27,'Train Runs'!$A$13:$AE$9913,22,0)</f>
        <v>https://d0f6bd738d7f1b3e5a7ca70fe4ff75f0.us-east-1.aws.found.io/app/kibana#/discover/Steve-Slow-Train-Analysis-(2080s-and-2083s)?_g=(refreshInterval:(display:Off,pause:!f,section:0,value:0),time:(from:'2017-08-23T12:23:48-0600',mode:absolute,to:'2017-08-23T15:29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/stypes="*4039*201708232*" /stext=" 20:.+((SYSTEM_STATE.+slice.+state.+changed )|(ment ac)|(multiple cpu faults)|(system.+state.+changed )|(\[timeout)|(PRM\|1\|D)|(kpr)|(kdp)|(train st.+moving)|(\|lc)|(penalty))"</v>
      </c>
      <c r="U27" s="9" t="str">
        <f>MID(B27,13,4)</f>
        <v>4039</v>
      </c>
      <c r="V27" s="31">
        <f>A27-utc_offset/24</f>
        <v>42970.854143518518</v>
      </c>
      <c r="W27" s="45" t="str">
        <f>DetSubdiv(C27)</f>
        <v>EC</v>
      </c>
      <c r="X27" s="22">
        <f>VALUE(LEFT(C27,LEN(C27)-3))</f>
        <v>172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{"issue":{"subject":"","project_id":79,"tracker_id":40,"status_id":1,"priority_id":2,"assigned_to_id":23,"start_date":"2017-08-23","description":"","custom_fields":[{"id":1,"name":"Subdivision","value":"EC"},{"id":4,"name":"Milepost","value":"0.0839"},{"id":17,"name":"Train ID","value":"172-23"},{"id":16,"name":"Locomotive ID","value":"4039"},{"id":130,"name":"Impact","value":""},{"id":150,"name":"Time of Event (Mountain Time)","value":"14:29:58"},{"id":151,"name":"Denver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/c/Users/stu/AppData/Local/Temp/OnboardLogs/RTDC4039 --include="*4039*201708232*"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"%USERPROFILE%\AppData\Local\Temp\OnboardLogs"\RTDC4039\*4039*201708232* &gt;&gt; 2017-08-23-SliceDisagreementCheck.txt</v>
      </c>
      <c r="AE27" s="145" t="str">
        <f t="shared" si="1"/>
        <v>start /low /b %USERPROFILE%\Documents\GitHub\eaglep3\Utilities\DownloadLogsFromS3.py --loco 4039 --day 2017-08-23</v>
      </c>
      <c r="AF27" s="1"/>
    </row>
    <row r="28" spans="1:32" x14ac:dyDescent="0.25">
      <c r="A28" s="31">
        <v>42970.161874999998</v>
      </c>
      <c r="B28" s="30" t="s">
        <v>549</v>
      </c>
      <c r="C28" s="30" t="s">
        <v>550</v>
      </c>
      <c r="D28" s="30" t="s">
        <v>49</v>
      </c>
      <c r="E28" s="30" t="s">
        <v>181</v>
      </c>
      <c r="F28" s="42">
        <v>0</v>
      </c>
      <c r="G28" s="42">
        <v>19</v>
      </c>
      <c r="H28" s="42">
        <v>233465</v>
      </c>
      <c r="I28" s="42">
        <v>233483</v>
      </c>
      <c r="J28" s="30" t="s">
        <v>182</v>
      </c>
      <c r="K28" s="42">
        <v>233491</v>
      </c>
      <c r="L28" s="131" t="s">
        <v>50</v>
      </c>
      <c r="M28" s="132">
        <f>CONVERT((I28-K28)/10000,"mi","ft")*IF(L28="Increasing Mileposts (1)",-1,1)</f>
        <v>4.2240000000000002</v>
      </c>
      <c r="N28" s="133" t="str">
        <f>VLOOKUP(C28,'Trips&amp;Operators'!$C$1:$G$99911,5,FALSE)</f>
        <v>BONDS REYNALDO</v>
      </c>
      <c r="O28" s="203" t="s">
        <v>180</v>
      </c>
      <c r="P28" s="134"/>
      <c r="Q28" s="30"/>
      <c r="R28" s="81" t="str">
        <f>VLOOKUP(C28,'Train Runs'!$A$13:$AE$9913,31,0)</f>
        <v>aws s3 cp s3://rtdc.mdm.uploadarchive.raw/RTDC4060/ "%USERPROFILE%\AppData\Local\Temp\OnboardLogs"\RTDC4060\2017-08-23 --exclude "*" --recursive --include "*20170823*" &amp; "%USERPROFILE%\Documents\GitHub\mrs-test-scripts\Headless Mode &amp; Sideloading\WalkAndUnGZ.bat" "%USERPROFILE%\AppData\Local\Temp\OnboardLogs"\RTDC4060\2017-08-23 &amp; aws s3 cp s3://rtdc.mdm.uploadarchive.raw/RTDC4060/ "%USERPROFILE%\AppData\Local\Temp\OnboardLogs"\RTDC4060\2017-08-24 --exclude "*" --recursive --include "*20170824*" &amp; "%USERPROFILE%\Documents\GitHub\mrs-test-scripts\Headless Mode &amp; Sideloading\WalkAndUnGZ.bat" "%USERPROFILE%\AppData\Local\Temp\OnboardLogs"\RTDC4060\2017-08-24</v>
      </c>
      <c r="S28" s="84" t="str">
        <f>VLOOKUP(C28,'Train Runs'!$A$13:$AE$9913,22,0)</f>
        <v>https://d0f6bd738d7f1b3e5a7ca70fe4ff75f0.us-east-1.aws.found.io/app/kibana#/discover/Steve-Slow-Train-Analysis-(2080s-and-2083s)?_g=(refreshInterval:(display:Off,pause:!f,section:0,value:0),time:(from:'2017-08-23T02:09:35-0600',mode:absolute,to:'2017-08-23T04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/stypes="*4060*201708230*" /stext=" 09:.+((SYSTEM_STATE.+slice.+state.+changed )|(ment ac)|(multiple cpu faults)|(system.+state.+changed )|(\[timeout)|(PRM\|1\|D)|(kpr)|(kdp)|(train st.+moving)|(\|lc)|(penalty))"</v>
      </c>
      <c r="U28" s="9" t="str">
        <f>MID(B28,13,4)</f>
        <v>4060</v>
      </c>
      <c r="V28" s="31">
        <f>A28-utc_offset/24</f>
        <v>42970.411874999998</v>
      </c>
      <c r="W28" s="45" t="str">
        <f>DetSubdiv(C28)</f>
        <v>EC</v>
      </c>
      <c r="X28" s="22">
        <f>VALUE(LEFT(C28,LEN(C28)-3))</f>
        <v>101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{"issue":{"subject":"","project_id":79,"tracker_id":40,"status_id":1,"priority_id":2,"assigned_to_id":23,"start_date":"2017-08-23","description":"","custom_fields":[{"id":1,"name":"Subdivision","value":"EC"},{"id":4,"name":"Milepost","value":"23.3491"},{"id":17,"name":"Train ID","value":"101-23"},{"id":16,"name":"Locomotive ID","value":"4060"},{"id":130,"name":"Impact","value":""},{"id":150,"name":"Time of Event (Mountain Time)","value":"03:53:06"},{"id":151,"name":"Denver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/c/Users/stu/AppData/Local/Temp/OnboardLogs/RTDC4060 --include="*4060*201708230*"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"%USERPROFILE%\AppData\Local\Temp\OnboardLogs"\RTDC4060\*4060*201708230* &gt;&gt; 2017-08-23-SliceDisagreementCheck.txt</v>
      </c>
      <c r="AE28" s="145" t="str">
        <f t="shared" si="1"/>
        <v>start /low /b %USERPROFILE%\Documents\GitHub\eaglep3\Utilities\DownloadLogsFromS3.py --loco 4060 --day 2017-08-23</v>
      </c>
      <c r="AF28" s="1"/>
    </row>
    <row r="29" spans="1:32" x14ac:dyDescent="0.25">
      <c r="A29" s="31">
        <v>42970.307060185187</v>
      </c>
      <c r="B29" s="30" t="s">
        <v>549</v>
      </c>
      <c r="C29" s="30" t="s">
        <v>552</v>
      </c>
      <c r="D29" s="30" t="s">
        <v>49</v>
      </c>
      <c r="E29" s="30" t="s">
        <v>181</v>
      </c>
      <c r="F29" s="42">
        <v>0</v>
      </c>
      <c r="G29" s="42">
        <v>35</v>
      </c>
      <c r="H29" s="42">
        <v>233401</v>
      </c>
      <c r="I29" s="42">
        <v>233439</v>
      </c>
      <c r="J29" s="30" t="s">
        <v>182</v>
      </c>
      <c r="K29" s="42">
        <v>233491</v>
      </c>
      <c r="L29" s="131" t="s">
        <v>50</v>
      </c>
      <c r="M29" s="132">
        <f>CONVERT((I29-K29)/10000,"mi","ft")*IF(L29="Increasing Mileposts (1)",-1,1)</f>
        <v>27.456</v>
      </c>
      <c r="N29" s="133" t="str">
        <f>VLOOKUP(C29,'Trips&amp;Operators'!$C$1:$G$99911,5,FALSE)</f>
        <v>BONDS REYNALDO</v>
      </c>
      <c r="O29" s="203" t="s">
        <v>180</v>
      </c>
      <c r="P29" s="134"/>
      <c r="Q29" s="30"/>
      <c r="R29" s="81" t="str">
        <f>VLOOKUP(C29,'Train Runs'!$A$13:$AE$9913,31,0)</f>
        <v>aws s3 cp s3://rtdc.mdm.uploadarchive.raw/RTDC4060/ "%USERPROFILE%\AppData\Local\Temp\OnboardLogs"\RTDC4060\2017-08-23 --exclude "*" --recursive --include "*20170823*" &amp; "%USERPROFILE%\Documents\GitHub\mrs-test-scripts\Headless Mode &amp; Sideloading\WalkAndUnGZ.bat" "%USERPROFILE%\AppData\Local\Temp\OnboardLogs"\RTDC4060\2017-08-23 &amp; aws s3 cp s3://rtdc.mdm.uploadarchive.raw/RTDC4060/ "%USERPROFILE%\AppData\Local\Temp\OnboardLogs"\RTDC4060\2017-08-24 --exclude "*" --recursive --include "*20170824*" &amp; "%USERPROFILE%\Documents\GitHub\mrs-test-scripts\Headless Mode &amp; Sideloading\WalkAndUnGZ.bat" "%USERPROFILE%\AppData\Local\Temp\OnboardLogs"\RTDC4060\2017-08-24</v>
      </c>
      <c r="S29" s="84" t="str">
        <f>VLOOKUP(C29,'Train Runs'!$A$13:$AE$9913,22,0)</f>
        <v>https://d0f6bd738d7f1b3e5a7ca70fe4ff75f0.us-east-1.aws.found.io/app/kibana#/discover/Steve-Slow-Train-Analysis-(2080s-and-2083s)?_g=(refreshInterval:(display:Off,pause:!f,section:0,value:0),time:(from:'2017-08-23T05:40:02-0600',mode:absolute,to:'2017-08-23T08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/stypes="*4060*201708231*" /stext=" 13:.+((SYSTEM_STATE.+slice.+state.+changed )|(ment ac)|(multiple cpu faults)|(system.+state.+changed )|(\[timeout)|(PRM\|1\|D)|(kpr)|(kdp)|(train st.+moving)|(\|lc)|(penalty))"</v>
      </c>
      <c r="U29" s="9" t="str">
        <f>MID(B29,13,4)</f>
        <v>4060</v>
      </c>
      <c r="V29" s="31">
        <f>A29-utc_offset/24</f>
        <v>42970.557060185187</v>
      </c>
      <c r="W29" s="45" t="str">
        <f>DetSubdiv(C29)</f>
        <v>EC</v>
      </c>
      <c r="X29" s="22">
        <f>VALUE(LEFT(C29,LEN(C29)-3))</f>
        <v>125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{"issue":{"subject":"","project_id":79,"tracker_id":40,"status_id":1,"priority_id":2,"assigned_to_id":23,"start_date":"2017-08-23","description":"","custom_fields":[{"id":1,"name":"Subdivision","value":"EC"},{"id":4,"name":"Milepost","value":"23.3491"},{"id":17,"name":"Train ID","value":"125-23"},{"id":16,"name":"Locomotive ID","value":"4060"},{"id":130,"name":"Impact","value":""},{"id":150,"name":"Time of Event (Mountain Time)","value":"07:22:10"},{"id":151,"name":"Denver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/c/Users/stu/AppData/Local/Temp/OnboardLogs/RTDC4060 --include="*4060*201708231*"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"%USERPROFILE%\AppData\Local\Temp\OnboardLogs"\RTDC4060\*4060*201708231* &gt;&gt; 2017-08-23-SliceDisagreementCheck.txt</v>
      </c>
      <c r="AE29" s="145" t="str">
        <f t="shared" si="1"/>
        <v>start /low /b %USERPROFILE%\Documents\GitHub\eaglep3\Utilities\DownloadLogsFromS3.py --loco 4060 --day 2017-08-23</v>
      </c>
      <c r="AF29" s="1"/>
    </row>
    <row r="30" spans="1:32" x14ac:dyDescent="0.25">
      <c r="A30" s="31">
        <v>42970.462245370371</v>
      </c>
      <c r="B30" s="30" t="s">
        <v>435</v>
      </c>
      <c r="C30" s="30" t="s">
        <v>561</v>
      </c>
      <c r="D30" s="30" t="s">
        <v>49</v>
      </c>
      <c r="E30" s="30" t="s">
        <v>181</v>
      </c>
      <c r="F30" s="42">
        <v>0</v>
      </c>
      <c r="G30" s="42">
        <v>154</v>
      </c>
      <c r="H30" s="42">
        <v>232804</v>
      </c>
      <c r="I30" s="42">
        <v>233028</v>
      </c>
      <c r="J30" s="30" t="s">
        <v>182</v>
      </c>
      <c r="K30" s="42">
        <v>233491</v>
      </c>
      <c r="L30" s="131" t="s">
        <v>50</v>
      </c>
      <c r="M30" s="132">
        <f>CONVERT((I30-K30)/10000,"mi","ft")*IF(L30="Increasing Mileposts (1)",-1,1)</f>
        <v>244.464</v>
      </c>
      <c r="N30" s="133" t="str">
        <f>VLOOKUP(C30,'Trips&amp;Operators'!$C$1:$G$99911,5,FALSE)</f>
        <v>LOZA FIDEL</v>
      </c>
      <c r="O30" s="203" t="s">
        <v>180</v>
      </c>
      <c r="P30" s="134"/>
      <c r="Q30" s="30"/>
      <c r="R30" s="81" t="str">
        <f>VLOOKUP(C30,'Train Runs'!$A$13:$AE$9913,31,0)</f>
        <v>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 &amp; aws s3 cp s3://rtdc.mdm.uploadarchive.raw/RTDC4042/ "%USERPROFILE%\AppData\Local\Temp\OnboardLogs"\RTDC4042\2017-08-24 --exclude "*" --recursive --include "*20170824*" &amp; "%USERPROFILE%\Documents\GitHub\mrs-test-scripts\Headless Mode &amp; Sideloading\WalkAndUnGZ.bat" "%USERPROFILE%\AppData\Local\Temp\OnboardLogs"\RTDC4042\2017-08-24</v>
      </c>
      <c r="S30" s="84" t="str">
        <f>VLOOKUP(C30,'Train Runs'!$A$13:$AE$9913,22,0)</f>
        <v>https://d0f6bd738d7f1b3e5a7ca70fe4ff75f0.us-east-1.aws.found.io/app/kibana#/discover/Steve-Slow-Train-Analysis-(2080s-and-2083s)?_g=(refreshInterval:(display:Off,pause:!f,section:0,value:0),time:(from:'2017-08-23T09:26:58-0600',mode:absolute,to:'2017-08-23T12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/stypes="*4042*201708231*" /stext=" 17:.+((SYSTEM_STATE.+slice.+state.+changed )|(ment ac)|(multiple cpu faults)|(system.+state.+changed )|(\[timeout)|(PRM\|1\|D)|(kpr)|(kdp)|(train st.+moving)|(\|lc)|(penalty))"</v>
      </c>
      <c r="U30" s="9" t="str">
        <f>MID(B30,13,4)</f>
        <v>4042</v>
      </c>
      <c r="V30" s="31">
        <f>A30-utc_offset/24</f>
        <v>42970.712245370371</v>
      </c>
      <c r="W30" s="45" t="str">
        <f>DetSubdiv(C30)</f>
        <v>EC</v>
      </c>
      <c r="X30" s="22">
        <f>VALUE(LEFT(C30,LEN(C30)-3))</f>
        <v>155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{"issue":{"subject":"","project_id":79,"tracker_id":40,"status_id":1,"priority_id":2,"assigned_to_id":23,"start_date":"2017-08-23","description":"","custom_fields":[{"id":1,"name":"Subdivision","value":"EC"},{"id":4,"name":"Milepost","value":"23.3491"},{"id":17,"name":"Train ID","value":"155-23"},{"id":16,"name":"Locomotive ID","value":"4042"},{"id":130,"name":"Impact","value":""},{"id":150,"name":"Time of Event (Mountain Time)","value":"11:05:38"},{"id":151,"name":"Denver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/c/Users/stu/AppData/Local/Temp/OnboardLogs/RTDC4042 --include="*4042*201708231*"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"%USERPROFILE%\AppData\Local\Temp\OnboardLogs"\RTDC4042\*4042*201708231* &gt;&gt; 2017-08-23-SliceDisagreementCheck.txt</v>
      </c>
      <c r="AE30" s="145" t="str">
        <f t="shared" si="1"/>
        <v>start /low /b %USERPROFILE%\Documents\GitHub\eaglep3\Utilities\DownloadLogsFromS3.py --loco 4042 --day 2017-08-23</v>
      </c>
      <c r="AF30" s="1"/>
    </row>
    <row r="31" spans="1:32" x14ac:dyDescent="0.25">
      <c r="A31" s="31">
        <v>42970.557280092595</v>
      </c>
      <c r="B31" s="30" t="s">
        <v>384</v>
      </c>
      <c r="C31" s="30" t="s">
        <v>562</v>
      </c>
      <c r="D31" s="30" t="s">
        <v>49</v>
      </c>
      <c r="E31" s="30" t="s">
        <v>181</v>
      </c>
      <c r="F31" s="42">
        <v>0</v>
      </c>
      <c r="G31" s="42">
        <v>38</v>
      </c>
      <c r="H31" s="42">
        <v>233399</v>
      </c>
      <c r="I31" s="42">
        <v>233424</v>
      </c>
      <c r="J31" s="30" t="s">
        <v>182</v>
      </c>
      <c r="K31" s="42">
        <v>233491</v>
      </c>
      <c r="L31" s="131" t="s">
        <v>50</v>
      </c>
      <c r="M31" s="132">
        <f>CONVERT((I31-K31)/10000,"mi","ft")*IF(L31="Increasing Mileposts (1)",-1,1)</f>
        <v>35.375999999999998</v>
      </c>
      <c r="N31" s="133" t="str">
        <f>VLOOKUP(C31,'Trips&amp;Operators'!$C$1:$G$99911,5,FALSE)</f>
        <v>TOUSIGNAUT CARL</v>
      </c>
      <c r="O31" s="203" t="s">
        <v>180</v>
      </c>
      <c r="P31" s="134"/>
      <c r="Q31" s="30"/>
      <c r="R31" s="81" t="str">
        <f>VLOOKUP(C31,'Train Runs'!$A$13:$AE$9913,31,0)</f>
        <v>aws s3 cp s3://rtdc.mdm.uploadarchive.raw/RTDC4012/ "%USERPROFILE%\AppData\Local\Temp\OnboardLogs"\RTDC4012\2017-08-23 --exclude "*" --recursive --include "*20170823*" &amp; "%USERPROFILE%\Documents\GitHub\mrs-test-scripts\Headless Mode &amp; Sideloading\WalkAndUnGZ.bat" "%USERPROFILE%\AppData\Local\Temp\OnboardLogs"\RTDC4012\2017-08-23 &amp; aws s3 cp s3://rtdc.mdm.uploadarchive.raw/RTDC4012/ "%USERPROFILE%\AppData\Local\Temp\OnboardLogs"\RTDC4012\2017-08-24 --exclude "*" --recursive --include "*20170824*" &amp; "%USERPROFILE%\Documents\GitHub\mrs-test-scripts\Headless Mode &amp; Sideloading\WalkAndUnGZ.bat" "%USERPROFILE%\AppData\Local\Temp\OnboardLogs"\RTDC4012\2017-08-24</v>
      </c>
      <c r="S31" s="84" t="str">
        <f>VLOOKUP(C31,'Train Runs'!$A$13:$AE$9913,22,0)</f>
        <v>https://d0f6bd738d7f1b3e5a7ca70fe4ff75f0.us-east-1.aws.found.io/app/kibana#/discover/Steve-Slow-Train-Analysis-(2080s-and-2083s)?_g=(refreshInterval:(display:Off,pause:!f,section:0,value:0),time:(from:'2017-08-23T11:34:39-0600',mode:absolute,to:'2017-08-23T14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/stypes="*4012*201708231*" /stext=" 19:.+((SYSTEM_STATE.+slice.+state.+changed )|(ment ac)|(multiple cpu faults)|(system.+state.+changed )|(\[timeout)|(PRM\|1\|D)|(kpr)|(kdp)|(train st.+moving)|(\|lc)|(penalty))"</v>
      </c>
      <c r="U31" s="9" t="str">
        <f>MID(B31,13,4)</f>
        <v>4012</v>
      </c>
      <c r="V31" s="31">
        <f>A31-utc_offset/24</f>
        <v>42970.807280092595</v>
      </c>
      <c r="W31" s="45" t="str">
        <f>DetSubdiv(C31)</f>
        <v>EC</v>
      </c>
      <c r="X31" s="22">
        <f>VALUE(LEFT(C31,LEN(C31)-3))</f>
        <v>173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{"issue":{"subject":"","project_id":79,"tracker_id":40,"status_id":1,"priority_id":2,"assigned_to_id":23,"start_date":"2017-08-23","description":"","custom_fields":[{"id":1,"name":"Subdivision","value":"EC"},{"id":4,"name":"Milepost","value":"23.3491"},{"id":17,"name":"Train ID","value":"173-23"},{"id":16,"name":"Locomotive ID","value":"4012"},{"id":130,"name":"Impact","value":""},{"id":150,"name":"Time of Event (Mountain Time)","value":"13:22:29"},{"id":151,"name":"Denver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/c/Users/stu/AppData/Local/Temp/OnboardLogs/RTDC4012 --include="*4012*201708231*"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"%USERPROFILE%\AppData\Local\Temp\OnboardLogs"\RTDC4012\*4012*201708231* &gt;&gt; 2017-08-23-SliceDisagreementCheck.txt</v>
      </c>
      <c r="AE31" s="145" t="str">
        <f t="shared" si="1"/>
        <v>start /low /b %USERPROFILE%\Documents\GitHub\eaglep3\Utilities\DownloadLogsFromS3.py --loco 4012 --day 2017-08-23</v>
      </c>
      <c r="AF31" s="1"/>
    </row>
    <row r="32" spans="1:32" x14ac:dyDescent="0.25">
      <c r="A32" s="31">
        <v>42970.859618055554</v>
      </c>
      <c r="B32" s="30" t="s">
        <v>412</v>
      </c>
      <c r="C32" s="30" t="s">
        <v>588</v>
      </c>
      <c r="D32" s="30" t="s">
        <v>49</v>
      </c>
      <c r="E32" s="30" t="s">
        <v>181</v>
      </c>
      <c r="F32" s="42">
        <v>0</v>
      </c>
      <c r="G32" s="42">
        <v>57</v>
      </c>
      <c r="H32" s="42">
        <v>233268</v>
      </c>
      <c r="I32" s="42">
        <v>233325</v>
      </c>
      <c r="J32" s="30" t="s">
        <v>182</v>
      </c>
      <c r="K32" s="42">
        <v>233491</v>
      </c>
      <c r="L32" s="131" t="s">
        <v>50</v>
      </c>
      <c r="M32" s="132">
        <f>CONVERT((I32-K32)/10000,"mi","ft")*IF(L32="Increasing Mileposts (1)",-1,1)</f>
        <v>87.647999999999996</v>
      </c>
      <c r="N32" s="133" t="str">
        <f>VLOOKUP(C32,'Trips&amp;Operators'!$C$1:$G$99911,5,FALSE)</f>
        <v>WEST BRYAN</v>
      </c>
      <c r="O32" s="203" t="s">
        <v>180</v>
      </c>
      <c r="P32" s="134"/>
      <c r="Q32" s="30"/>
      <c r="R32" s="81" t="str">
        <f>VLOOKUP(C32,'Train Runs'!$A$13:$AE$9913,31,0)</f>
        <v>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 &amp; aws s3 cp s3://rtdc.mdm.uploadarchive.raw/RTDC4028/ "%USERPROFILE%\AppData\Local\Temp\OnboardLogs"\RTDC4028\2017-08-24 --exclude "*" --recursive --include "*20170824*" &amp; "%USERPROFILE%\Documents\GitHub\mrs-test-scripts\Headless Mode &amp; Sideloading\WalkAndUnGZ.bat" "%USERPROFILE%\AppData\Local\Temp\OnboardLogs"\RTDC4028\2017-08-24</v>
      </c>
      <c r="S32" s="84" t="str">
        <f>VLOOKUP(C32,'Train Runs'!$A$13:$AE$9913,22,0)</f>
        <v>https://d0f6bd738d7f1b3e5a7ca70fe4ff75f0.us-east-1.aws.found.io/app/kibana#/discover/Steve-Slow-Train-Analysis-(2080s-and-2083s)?_g=(refreshInterval:(display:Off,pause:!f,section:0,value:0),time:(from:'2017-08-23T18:54:13-0600',mode:absolute,to:'2017-08-23T21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/stypes="*4028*201708240*" /stext=" 02:.+((SYSTEM_STATE.+slice.+state.+changed )|(ment ac)|(multiple cpu faults)|(system.+state.+changed )|(\[timeout)|(PRM\|1\|D)|(kpr)|(kdp)|(train st.+moving)|(\|lc)|(penalty))"</v>
      </c>
      <c r="U32" s="9" t="str">
        <f>MID(B32,13,4)</f>
        <v>4028</v>
      </c>
      <c r="V32" s="31">
        <f>A32-utc_offset/24</f>
        <v>42971.109618055554</v>
      </c>
      <c r="W32" s="45" t="str">
        <f>DetSubdiv(C32)</f>
        <v>EC</v>
      </c>
      <c r="X32" s="22">
        <f>VALUE(LEFT(C32,LEN(C32)-3))</f>
        <v>225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{"issue":{"subject":"","project_id":79,"tracker_id":40,"status_id":1,"priority_id":2,"assigned_to_id":23,"start_date":"2017-08-23","description":"","custom_fields":[{"id":1,"name":"Subdivision","value":"EC"},{"id":4,"name":"Milepost","value":"23.3491"},{"id":17,"name":"Train ID","value":"225-23"},{"id":16,"name":"Locomotive ID","value":"4028"},{"id":130,"name":"Impact","value":""},{"id":150,"name":"Time of Event (Mountain Time)","value":"20:37:51"},{"id":151,"name":"Denver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/c/Users/stu/AppData/Local/Temp/OnboardLogs/RTDC4028 --include="*4028*201708240*"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"%USERPROFILE%\AppData\Local\Temp\OnboardLogs"\RTDC4028\*4028*201708240* &gt;&gt; 2017-08-23-SliceDisagreementCheck.txt</v>
      </c>
      <c r="AE32" s="145" t="str">
        <f t="shared" si="1"/>
        <v>start /low /b %USERPROFILE%\Documents\GitHub\eaglep3\Utilities\DownloadLogsFromS3.py --loco 4028 --day 2017-08-24</v>
      </c>
      <c r="AF32" s="1"/>
    </row>
    <row r="33" spans="1:32" x14ac:dyDescent="0.25">
      <c r="A33" s="31">
        <v>42970.65892361111</v>
      </c>
      <c r="B33" s="30" t="s">
        <v>575</v>
      </c>
      <c r="C33" s="30" t="s">
        <v>576</v>
      </c>
      <c r="D33" s="30" t="s">
        <v>96</v>
      </c>
      <c r="E33" s="30" t="s">
        <v>385</v>
      </c>
      <c r="F33" s="42">
        <v>0</v>
      </c>
      <c r="G33" s="42">
        <v>309</v>
      </c>
      <c r="H33" s="42">
        <v>24190</v>
      </c>
      <c r="I33" s="42">
        <v>23351</v>
      </c>
      <c r="J33" s="30" t="s">
        <v>386</v>
      </c>
      <c r="K33" s="42">
        <v>24235</v>
      </c>
      <c r="L33" s="131" t="s">
        <v>51</v>
      </c>
      <c r="M33" s="132">
        <f>CONVERT((I33-K33)/10000,"mi","ft")*IF(L33="Increasing Mileposts (1)",-1,1)</f>
        <v>-466.75200000000001</v>
      </c>
      <c r="N33" s="133" t="str">
        <f>VLOOKUP(C33,'Trips&amp;Operators'!$C$1:$G$99911,5,FALSE)</f>
        <v>GUNTHIER ERIC</v>
      </c>
      <c r="O33" s="203" t="s">
        <v>376</v>
      </c>
      <c r="P33" s="134" t="s">
        <v>548</v>
      </c>
      <c r="Q33" s="30"/>
      <c r="R33" s="81" t="str">
        <f>VLOOKUP(C33,'Train Runs'!$A$13:$AE$9913,31,0)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S33" s="84" t="str">
        <f>VLOOKUP(C33,'Train Runs'!$A$13:$AE$9913,22,0)</f>
        <v>https://d0f6bd738d7f1b3e5a7ca70fe4ff75f0.us-east-1.aws.found.io/app/kibana#/discover/Steve-Slow-Train-Analysis-(2080s-and-2083s)?_g=(refreshInterval:(display:Off,pause:!f,section:0,value:0),time:(from:'2017-08-23T14:37:16-0600',mode:absolute,to:'2017-08-23T16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/stypes="*4065*201708232*" /stext=" 21:.+((SYSTEM_STATE.+slice.+state.+changed )|(ment ac)|(multiple cpu faults)|(system.+state.+changed )|(\[timeout)|(PRM\|1\|D)|(kpr)|(kdp)|(train st.+moving)|(\|lc)|(penalty))"</v>
      </c>
      <c r="U33" s="9" t="str">
        <f>MID(B33,13,4)</f>
        <v>4065</v>
      </c>
      <c r="V33" s="31">
        <f>A33-utc_offset/24</f>
        <v>42970.90892361111</v>
      </c>
      <c r="W33" s="45" t="str">
        <f>DetSubdiv(C33)</f>
        <v>NW</v>
      </c>
      <c r="X33" s="22">
        <f>VALUE(LEFT(C33,LEN(C33)-3))</f>
        <v>826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drop","project_id":79,"tracker_id":40,"status_id":1,"priority_id":2,"assigned_to_id":23,"start_date":"2017-08-23","description":"","custom_fields":[{"id":1,"name":"Subdivision","value":"NW"},{"id":4,"name":"Milepost","value":"2.4235"},{"id":17,"name":"Train ID","value":"826-23"},{"id":16,"name":"Locomotive ID","value":"4065"},{"id":130,"name":"Impact","value":""},{"id":150,"name":"Time of Event (Mountain Time)","value":"15:48:51"},{"id":151,"name":"Denver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/c/Users/stu/AppData/Local/Temp/OnboardLogs/RTDC4065 --include="*4065*201708232*"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"%USERPROFILE%\AppData\Local\Temp\OnboardLogs"\RTDC4065\*4065*201708232* &gt;&gt; 2017-08-23-SliceDisagreementCheck.txt</v>
      </c>
      <c r="AE33" s="145" t="str">
        <f t="shared" si="1"/>
        <v>start /low /b %USERPROFILE%\Documents\GitHub\eaglep3\Utilities\DownloadLogsFromS3.py --loco 4065 --day 2017-08-23</v>
      </c>
      <c r="AF33" s="1"/>
    </row>
    <row r="34" spans="1:32" x14ac:dyDescent="0.25">
      <c r="A34" s="31">
        <v>42970.351261574076</v>
      </c>
      <c r="B34" s="30" t="s">
        <v>553</v>
      </c>
      <c r="C34" s="30" t="s">
        <v>554</v>
      </c>
      <c r="D34" s="30" t="s">
        <v>49</v>
      </c>
      <c r="E34" s="30" t="s">
        <v>181</v>
      </c>
      <c r="F34" s="42">
        <v>0</v>
      </c>
      <c r="G34" s="42">
        <v>143</v>
      </c>
      <c r="H34" s="42">
        <v>1490</v>
      </c>
      <c r="I34" s="42">
        <v>1275</v>
      </c>
      <c r="J34" s="30" t="s">
        <v>182</v>
      </c>
      <c r="K34" s="42">
        <v>575</v>
      </c>
      <c r="L34" s="131" t="s">
        <v>51</v>
      </c>
      <c r="M34" s="132">
        <f>CONVERT((I34-K34)/10000,"mi","ft")*IF(L34="Increasing Mileposts (1)",-1,1)</f>
        <v>369.6</v>
      </c>
      <c r="N34" s="133" t="str">
        <f>VLOOKUP(C34,'Trips&amp;Operators'!$C$1:$G$99911,5,FALSE)</f>
        <v>MACDONALD THOMAS</v>
      </c>
      <c r="O34" s="203" t="s">
        <v>180</v>
      </c>
      <c r="P34" s="134"/>
      <c r="Q34" s="30"/>
      <c r="R34" s="81" t="str">
        <f>VLOOKUP(C34,'Train Runs'!$A$13:$AE$9913,31,0)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S34" s="84" t="str">
        <f>VLOOKUP(C34,'Train Runs'!$A$13:$AE$9913,22,0)</f>
        <v>https://d0f6bd738d7f1b3e5a7ca70fe4ff75f0.us-east-1.aws.found.io/app/kibana#/discover/Steve-Slow-Train-Analysis-(2080s-and-2083s)?_g=(refreshInterval:(display:Off,pause:!f,section:0,value:0),time:(from:'2017-08-23T07:07:27-0600',mode:absolute,to:'2017-08-23T09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/stypes="*4043*201708231*" /stext=" 14:.+((SYSTEM_STATE.+slice.+state.+changed )|(ment ac)|(multiple cpu faults)|(system.+state.+changed )|(\[timeout)|(PRM\|1\|D)|(kpr)|(kdp)|(train st.+moving)|(\|lc)|(penalty))"</v>
      </c>
      <c r="U34" s="9" t="str">
        <f>MID(B34,13,4)</f>
        <v>4043</v>
      </c>
      <c r="V34" s="31">
        <f>A34-utc_offset/24</f>
        <v>42970.601261574076</v>
      </c>
      <c r="W34" s="45" t="str">
        <f>DetSubdiv(C34)</f>
        <v>NW</v>
      </c>
      <c r="X34" s="22">
        <f>VALUE(LEFT(C34,LEN(C34)-3))</f>
        <v>810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{"issue":{"subject":"","project_id":79,"tracker_id":40,"status_id":1,"priority_id":2,"assigned_to_id":23,"start_date":"2017-08-23","description":"","custom_fields":[{"id":1,"name":"Subdivision","value":"NW"},{"id":4,"name":"Milepost","value":"0.0575"},{"id":17,"name":"Train ID","value":"810-23"},{"id":16,"name":"Locomotive ID","value":"4043"},{"id":130,"name":"Impact","value":""},{"id":150,"name":"Time of Event (Mountain Time)","value":"08:25:49"},{"id":151,"name":"Denver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/c/Users/stu/AppData/Local/Temp/OnboardLogs/RTDC4043 --include="*4043*201708231*"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"%USERPROFILE%\AppData\Local\Temp\OnboardLogs"\RTDC4043\*4043*201708231* &gt;&gt; 2017-08-23-SliceDisagreementCheck.txt</v>
      </c>
      <c r="AE34" s="145" t="str">
        <f t="shared" si="1"/>
        <v>start /low /b %USERPROFILE%\Documents\GitHub\eaglep3\Utilities\DownloadLogsFromS3.py --loco 4043 --day 2017-08-23</v>
      </c>
      <c r="AF34" s="1"/>
    </row>
    <row r="35" spans="1:32" x14ac:dyDescent="0.25">
      <c r="A35" s="31">
        <v>42970.767233796294</v>
      </c>
      <c r="B35" s="30" t="s">
        <v>553</v>
      </c>
      <c r="C35" s="30" t="s">
        <v>583</v>
      </c>
      <c r="D35" s="30" t="s">
        <v>49</v>
      </c>
      <c r="E35" s="30" t="s">
        <v>181</v>
      </c>
      <c r="F35" s="42">
        <v>0</v>
      </c>
      <c r="G35" s="42">
        <v>61</v>
      </c>
      <c r="H35" s="42">
        <v>745</v>
      </c>
      <c r="I35" s="42">
        <v>699</v>
      </c>
      <c r="J35" s="30" t="s">
        <v>182</v>
      </c>
      <c r="K35" s="42">
        <v>575</v>
      </c>
      <c r="L35" s="131" t="s">
        <v>51</v>
      </c>
      <c r="M35" s="132">
        <f>CONVERT((I35-K35)/10000,"mi","ft")*IF(L35="Increasing Mileposts (1)",-1,1)</f>
        <v>65.471999999999994</v>
      </c>
      <c r="N35" s="133" t="str">
        <f>VLOOKUP(C35,'Trips&amp;Operators'!$C$1:$G$99911,5,FALSE)</f>
        <v>BARRON PERLA</v>
      </c>
      <c r="O35" s="203" t="s">
        <v>180</v>
      </c>
      <c r="P35" s="134"/>
      <c r="Q35" s="30"/>
      <c r="R35" s="81" t="str">
        <f>VLOOKUP(C35,'Train Runs'!$A$13:$AE$9913,31,0)</f>
        <v>aws s3 cp s3://rtdc.mdm.uploadarchive.raw/RTDC4043/ "%USERPROFILE%\AppData\Local\Temp\OnboardLogs"\RTDC4043\2017-08-23 --exclude "*" --recursive --include "*20170823*" &amp; "%USERPROFILE%\Documents\GitHub\mrs-test-scripts\Headless Mode &amp; Sideloading\WalkAndUnGZ.bat" "%USERPROFILE%\AppData\Local\Temp\OnboardLogs"\RTDC4043\2017-08-23 &amp; aws s3 cp s3://rtdc.mdm.uploadarchive.raw/RTDC4043/ "%USERPROFILE%\AppData\Local\Temp\OnboardLogs"\RTDC4043\2017-08-24 --exclude "*" --recursive --include "*20170824*" &amp; "%USERPROFILE%\Documents\GitHub\mrs-test-scripts\Headless Mode &amp; Sideloading\WalkAndUnGZ.bat" "%USERPROFILE%\AppData\Local\Temp\OnboardLogs"\RTDC4043\2017-08-24</v>
      </c>
      <c r="S35" s="84" t="str">
        <f>VLOOKUP(C35,'Train Runs'!$A$13:$AE$9913,22,0)</f>
        <v>https://d0f6bd738d7f1b3e5a7ca70fe4ff75f0.us-east-1.aws.found.io/app/kibana#/discover/Steve-Slow-Train-Analysis-(2080s-and-2083s)?_g=(refreshInterval:(display:Off,pause:!f,section:0,value:0),time:(from:'2017-08-23T17:07:13-0600',mode:absolute,to:'2017-08-23T19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/stypes="*4043*201708240*" /stext=" 00:.+((SYSTEM_STATE.+slice.+state.+changed )|(ment ac)|(multiple cpu faults)|(system.+state.+changed )|(\[timeout)|(PRM\|1\|D)|(kpr)|(kdp)|(train st.+moving)|(\|lc)|(penalty))"</v>
      </c>
      <c r="U35" s="9" t="str">
        <f>MID(B35,13,4)</f>
        <v>4043</v>
      </c>
      <c r="V35" s="31">
        <f>A35-utc_offset/24</f>
        <v>42971.017233796294</v>
      </c>
      <c r="W35" s="45" t="str">
        <f>DetSubdiv(C35)</f>
        <v>NW</v>
      </c>
      <c r="X35" s="22">
        <f>VALUE(LEFT(C35,LEN(C35)-3))</f>
        <v>836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{"issue":{"subject":"","project_id":79,"tracker_id":40,"status_id":1,"priority_id":2,"assigned_to_id":23,"start_date":"2017-08-23","description":"","custom_fields":[{"id":1,"name":"Subdivision","value":"NW"},{"id":4,"name":"Milepost","value":"0.0575"},{"id":17,"name":"Train ID","value":"836-23"},{"id":16,"name":"Locomotive ID","value":"4043"},{"id":130,"name":"Impact","value":""},{"id":150,"name":"Time of Event (Mountain Time)","value":"18:24:49"},{"id":151,"name":"Denver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/c/Users/stu/AppData/Local/Temp/OnboardLogs/RTDC4043 --include="*4043*201708240*"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"%USERPROFILE%\AppData\Local\Temp\OnboardLogs"\RTDC4043\*4043*201708240* &gt;&gt; 2017-08-23-SliceDisagreementCheck.txt</v>
      </c>
      <c r="AE35" s="145" t="str">
        <f t="shared" si="1"/>
        <v>start /low /b %USERPROFILE%\Documents\GitHub\eaglep3\Utilities\DownloadLogsFromS3.py --loco 4043 --day 2017-08-24</v>
      </c>
      <c r="AF35" s="1"/>
    </row>
    <row r="36" spans="1:32" x14ac:dyDescent="0.25">
      <c r="A36" s="31">
        <v>42970.912662037037</v>
      </c>
      <c r="B36" s="30" t="s">
        <v>575</v>
      </c>
      <c r="C36" s="30" t="s">
        <v>591</v>
      </c>
      <c r="D36" s="30" t="s">
        <v>49</v>
      </c>
      <c r="E36" s="30" t="s">
        <v>181</v>
      </c>
      <c r="F36" s="42">
        <v>0</v>
      </c>
      <c r="G36" s="42">
        <v>31</v>
      </c>
      <c r="H36" s="42">
        <v>647</v>
      </c>
      <c r="I36" s="42">
        <v>626</v>
      </c>
      <c r="J36" s="30" t="s">
        <v>182</v>
      </c>
      <c r="K36" s="42">
        <v>575</v>
      </c>
      <c r="L36" s="131" t="s">
        <v>51</v>
      </c>
      <c r="M36" s="132">
        <f>CONVERT((I36-K36)/10000,"mi","ft")*IF(L36="Increasing Mileposts (1)",-1,1)</f>
        <v>26.928000000000001</v>
      </c>
      <c r="N36" s="133" t="str">
        <f>VLOOKUP(C36,'Trips&amp;Operators'!$C$1:$G$99911,5,FALSE)</f>
        <v>BARRON PERLA</v>
      </c>
      <c r="O36" s="203" t="s">
        <v>180</v>
      </c>
      <c r="P36" s="134"/>
      <c r="Q36" s="30"/>
      <c r="R36" s="81" t="str">
        <f>VLOOKUP(C36,'Train Runs'!$A$13:$AE$9913,31,0)</f>
        <v>aws s3 cp s3://rtdc.mdm.uploadarchive.raw/RTDC4065/ "%USERPROFILE%\AppData\Local\Temp\OnboardLogs"\RTDC4065\2017-08-23 --exclude "*" --recursive --include "*20170823*" &amp; "%USERPROFILE%\Documents\GitHub\mrs-test-scripts\Headless Mode &amp; Sideloading\WalkAndUnGZ.bat" "%USERPROFILE%\AppData\Local\Temp\OnboardLogs"\RTDC4065\2017-08-23 &amp; 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</v>
      </c>
      <c r="S36" s="84" t="str">
        <f>VLOOKUP(C36,'Train Runs'!$A$13:$AE$9913,22,0)</f>
        <v>https://d0f6bd738d7f1b3e5a7ca70fe4ff75f0.us-east-1.aws.found.io/app/kibana#/discover/Steve-Slow-Train-Analysis-(2080s-and-2083s)?_g=(refreshInterval:(display:Off,pause:!f,section:0,value:0),time:(from:'2017-08-23T20:37:03-0600',mode:absolute,to:'2017-08-23T22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/stypes="*4065*201708240*" /stext=" 03:.+((SYSTEM_STATE.+slice.+state.+changed )|(ment ac)|(multiple cpu faults)|(system.+state.+changed )|(\[timeout)|(PRM\|1\|D)|(kpr)|(kdp)|(train st.+moving)|(\|lc)|(penalty))"</v>
      </c>
      <c r="U36" s="9" t="str">
        <f>MID(B36,13,4)</f>
        <v>4065</v>
      </c>
      <c r="V36" s="31">
        <f>A36-utc_offset/24</f>
        <v>42971.162662037037</v>
      </c>
      <c r="W36" s="45" t="str">
        <f>DetSubdiv(C36)</f>
        <v>NW</v>
      </c>
      <c r="X36" s="22">
        <f>VALUE(LEFT(C36,LEN(C36)-3))</f>
        <v>844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{"issue":{"subject":"","project_id":79,"tracker_id":40,"status_id":1,"priority_id":2,"assigned_to_id":23,"start_date":"2017-08-23","description":"","custom_fields":[{"id":1,"name":"Subdivision","value":"NW"},{"id":4,"name":"Milepost","value":"0.0575"},{"id":17,"name":"Train ID","value":"844-23"},{"id":16,"name":"Locomotive ID","value":"4065"},{"id":130,"name":"Impact","value":""},{"id":150,"name":"Time of Event (Mountain Time)","value":"21:54:14"},{"id":151,"name":"Denver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/c/Users/stu/AppData/Local/Temp/OnboardLogs/RTDC4065 --include="*4065*201708240*"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"%USERPROFILE%\AppData\Local\Temp\OnboardLogs"\RTDC4065\*4065*201708240* &gt;&gt; 2017-08-23-SliceDisagreementCheck.txt</v>
      </c>
      <c r="AE36" s="145" t="str">
        <f t="shared" si="1"/>
        <v>start /low /b %USERPROFILE%\Documents\GitHub\eaglep3\Utilities\DownloadLogsFromS3.py --loco 4065 --day 2017-08-24</v>
      </c>
      <c r="AF36" s="1"/>
    </row>
    <row r="37" spans="1:32" x14ac:dyDescent="0.25">
      <c r="A37" s="31">
        <v>42970.607951388891</v>
      </c>
      <c r="B37" s="30" t="s">
        <v>570</v>
      </c>
      <c r="C37" s="30" t="s">
        <v>571</v>
      </c>
      <c r="D37" s="30" t="s">
        <v>49</v>
      </c>
      <c r="E37" s="30" t="s">
        <v>181</v>
      </c>
      <c r="F37" s="42">
        <v>0</v>
      </c>
      <c r="G37" s="42">
        <v>70</v>
      </c>
      <c r="H37" s="42">
        <v>58786</v>
      </c>
      <c r="I37" s="42">
        <v>58843</v>
      </c>
      <c r="J37" s="30" t="s">
        <v>182</v>
      </c>
      <c r="K37" s="42">
        <v>59048</v>
      </c>
      <c r="L37" s="131" t="s">
        <v>50</v>
      </c>
      <c r="M37" s="132">
        <f>CONVERT((I37-K37)/10000,"mi","ft")*IF(L37="Increasing Mileposts (1)",-1,1)</f>
        <v>108.24</v>
      </c>
      <c r="N37" s="133" t="str">
        <f>VLOOKUP(C37,'Trips&amp;Operators'!$C$1:$G$99911,5,FALSE)</f>
        <v>GUNTHIER ERIC</v>
      </c>
      <c r="O37" s="203" t="s">
        <v>180</v>
      </c>
      <c r="P37" s="134"/>
      <c r="Q37" s="30"/>
      <c r="R37" s="81" t="str">
        <f>VLOOKUP(C37,'Train Runs'!$A$13:$AE$9913,31,0)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S37" s="84" t="str">
        <f>VLOOKUP(C37,'Train Runs'!$A$13:$AE$9913,22,0)</f>
        <v>https://d0f6bd738d7f1b3e5a7ca70fe4ff75f0.us-east-1.aws.found.io/app/kibana#/discover/Steve-Slow-Train-Analysis-(2080s-and-2083s)?_g=(refreshInterval:(display:Off,pause:!f,section:0,value:0),time:(from:'2017-08-23T13:11:53-0600',mode:absolute,to:'2017-08-23T15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/stypes="*4066*201708232*" /stext=" 20:.+((SYSTEM_STATE.+slice.+state.+changed )|(ment ac)|(multiple cpu faults)|(system.+state.+changed )|(\[timeout)|(PRM\|1\|D)|(kpr)|(kdp)|(train st.+moving)|(\|lc)|(penalty))"</v>
      </c>
      <c r="U37" s="9" t="str">
        <f>MID(B37,13,4)</f>
        <v>4066</v>
      </c>
      <c r="V37" s="31">
        <f>A37-utc_offset/24</f>
        <v>42970.857951388891</v>
      </c>
      <c r="W37" s="45" t="str">
        <f>DetSubdiv(C37)</f>
        <v>NW</v>
      </c>
      <c r="X37" s="22">
        <f>VALUE(LEFT(C37,LEN(C37)-3))</f>
        <v>823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{"issue":{"subject":"","project_id":79,"tracker_id":40,"status_id":1,"priority_id":2,"assigned_to_id":23,"start_date":"2017-08-23","description":"","custom_fields":[{"id":1,"name":"Subdivision","value":"NW"},{"id":4,"name":"Milepost","value":"5.9048"},{"id":17,"name":"Train ID","value":"823-23"},{"id":16,"name":"Locomotive ID","value":"4066"},{"id":130,"name":"Impact","value":""},{"id":150,"name":"Time of Event (Mountain Time)","value":"14:35:27"},{"id":151,"name":"Denver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/c/Users/stu/AppData/Local/Temp/OnboardLogs/RTDC4066 --include="*4066*201708232*"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"%USERPROFILE%\AppData\Local\Temp\OnboardLogs"\RTDC4066\*4066*201708232* &gt;&gt; 2017-08-23-SliceDisagreementCheck.txt</v>
      </c>
      <c r="AE37" s="145" t="str">
        <f t="shared" si="1"/>
        <v>start /low /b %USERPROFILE%\Documents\GitHub\eaglep3\Utilities\DownloadLogsFromS3.py --loco 4066 --day 2017-08-23</v>
      </c>
      <c r="AF37" s="1"/>
    </row>
    <row r="38" spans="1:32" x14ac:dyDescent="0.25">
      <c r="A38" s="31">
        <v>42970.795219907406</v>
      </c>
      <c r="B38" s="30" t="s">
        <v>584</v>
      </c>
      <c r="C38" s="30" t="s">
        <v>585</v>
      </c>
      <c r="D38" s="30" t="s">
        <v>49</v>
      </c>
      <c r="E38" s="30" t="s">
        <v>181</v>
      </c>
      <c r="F38" s="42">
        <v>0</v>
      </c>
      <c r="G38" s="42">
        <v>43</v>
      </c>
      <c r="H38" s="42">
        <v>58912</v>
      </c>
      <c r="I38" s="42">
        <v>58950</v>
      </c>
      <c r="J38" s="30" t="s">
        <v>182</v>
      </c>
      <c r="K38" s="42">
        <v>59048</v>
      </c>
      <c r="L38" s="131" t="s">
        <v>50</v>
      </c>
      <c r="M38" s="132">
        <f>CONVERT((I38-K38)/10000,"mi","ft")*IF(L38="Increasing Mileposts (1)",-1,1)</f>
        <v>51.744</v>
      </c>
      <c r="N38" s="133" t="str">
        <f>VLOOKUP(C38,'Trips&amp;Operators'!$C$1:$G$99911,5,FALSE)</f>
        <v>BARRON PERLA</v>
      </c>
      <c r="O38" s="203" t="s">
        <v>180</v>
      </c>
      <c r="P38" s="134"/>
      <c r="Q38" s="30"/>
      <c r="R38" s="81" t="str">
        <f>VLOOKUP(C38,'Train Runs'!$A$13:$AE$9913,31,0)</f>
        <v>aws s3 cp s3://rtdc.mdm.uploadarchive.raw/RTDC4044/ "%USERPROFILE%\AppData\Local\Temp\OnboardLogs"\RTDC4044\2017-08-23 --exclude "*" --recursive --include "*20170823*" &amp; "%USERPROFILE%\Documents\GitHub\mrs-test-scripts\Headless Mode &amp; Sideloading\WalkAndUnGZ.bat" "%USERPROFILE%\AppData\Local\Temp\OnboardLogs"\RTDC4044\2017-08-23 &amp; aws s3 cp s3://rtdc.mdm.uploadarchive.raw/RTDC4044/ "%USERPROFILE%\AppData\Local\Temp\OnboardLogs"\RTDC4044\2017-08-24 --exclude "*" --recursive --include "*20170824*" &amp; "%USERPROFILE%\Documents\GitHub\mrs-test-scripts\Headless Mode &amp; Sideloading\WalkAndUnGZ.bat" "%USERPROFILE%\AppData\Local\Temp\OnboardLogs"\RTDC4044\2017-08-24</v>
      </c>
      <c r="S38" s="84" t="str">
        <f>VLOOKUP(C38,'Train Runs'!$A$13:$AE$9913,22,0)</f>
        <v>https://d0f6bd738d7f1b3e5a7ca70fe4ff75f0.us-east-1.aws.found.io/app/kibana#/discover/Steve-Slow-Train-Analysis-(2080s-and-2083s)?_g=(refreshInterval:(display:Off,pause:!f,section:0,value:0),time:(from:'2017-08-23T17:40:55-0600',mode:absolute,to:'2017-08-23T20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/stypes="*4044*201708240*" /stext=" 01:.+((SYSTEM_STATE.+slice.+state.+changed )|(ment ac)|(multiple cpu faults)|(system.+state.+changed )|(\[timeout)|(PRM\|1\|D)|(kpr)|(kdp)|(train st.+moving)|(\|lc)|(penalty))"</v>
      </c>
      <c r="U38" s="9" t="str">
        <f>MID(B38,13,4)</f>
        <v>4044</v>
      </c>
      <c r="V38" s="31">
        <f>A38-utc_offset/24</f>
        <v>42971.045219907406</v>
      </c>
      <c r="W38" s="45" t="str">
        <f>DetSubdiv(C38)</f>
        <v>NW</v>
      </c>
      <c r="X38" s="22">
        <f>VALUE(LEFT(C38,LEN(C38)-3))</f>
        <v>839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{"issue":{"subject":"","project_id":79,"tracker_id":40,"status_id":1,"priority_id":2,"assigned_to_id":23,"start_date":"2017-08-23","description":"","custom_fields":[{"id":1,"name":"Subdivision","value":"NW"},{"id":4,"name":"Milepost","value":"5.9048"},{"id":17,"name":"Train ID","value":"839-23"},{"id":16,"name":"Locomotive ID","value":"4044"},{"id":130,"name":"Impact","value":""},{"id":150,"name":"Time of Event (Mountain Time)","value":"19:05:07"},{"id":151,"name":"Denver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/c/Users/stu/AppData/Local/Temp/OnboardLogs/RTDC4044 --include="*4044*201708240*"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"%USERPROFILE%\AppData\Local\Temp\OnboardLogs"\RTDC4044\*4044*201708240* &gt;&gt; 2017-08-23-SliceDisagreementCheck.txt</v>
      </c>
      <c r="AE38" s="145" t="str">
        <f t="shared" si="1"/>
        <v>start /low /b %USERPROFILE%\Documents\GitHub\eaglep3\Utilities\DownloadLogsFromS3.py --loco 4044 --day 2017-08-24</v>
      </c>
      <c r="AF38" s="1"/>
    </row>
    <row r="39" spans="1:32" x14ac:dyDescent="0.25">
      <c r="A39" s="31">
        <v>42970.817118055558</v>
      </c>
      <c r="B39" s="30" t="s">
        <v>570</v>
      </c>
      <c r="C39" s="30" t="s">
        <v>586</v>
      </c>
      <c r="D39" s="30" t="s">
        <v>49</v>
      </c>
      <c r="E39" s="30" t="s">
        <v>181</v>
      </c>
      <c r="F39" s="42">
        <v>0</v>
      </c>
      <c r="G39" s="42">
        <v>29</v>
      </c>
      <c r="H39" s="42">
        <v>58944</v>
      </c>
      <c r="I39" s="42">
        <v>58978</v>
      </c>
      <c r="J39" s="30" t="s">
        <v>182</v>
      </c>
      <c r="K39" s="42">
        <v>59048</v>
      </c>
      <c r="L39" s="131" t="s">
        <v>50</v>
      </c>
      <c r="M39" s="132">
        <f>CONVERT((I39-K39)/10000,"mi","ft")*IF(L39="Increasing Mileposts (1)",-1,1)</f>
        <v>36.96</v>
      </c>
      <c r="N39" s="133" t="str">
        <f>VLOOKUP(C39,'Trips&amp;Operators'!$C$1:$G$99911,5,FALSE)</f>
        <v>GUNTHIER ERIC</v>
      </c>
      <c r="O39" s="203" t="s">
        <v>180</v>
      </c>
      <c r="P39" s="134"/>
      <c r="Q39" s="30"/>
      <c r="R39" s="81" t="str">
        <f>VLOOKUP(C39,'Train Runs'!$A$13:$AE$9913,31,0)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S39" s="84" t="str">
        <f>VLOOKUP(C39,'Train Runs'!$A$13:$AE$9913,22,0)</f>
        <v>https://d0f6bd738d7f1b3e5a7ca70fe4ff75f0.us-east-1.aws.found.io/app/kibana#/discover/Steve-Slow-Train-Analysis-(2080s-and-2083s)?_g=(refreshInterval:(display:Off,pause:!f,section:0,value:0),time:(from:'2017-08-23T18:13:49-0600',mode:absolute,to:'2017-08-23T20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/stypes="*4066*201708240*" /stext=" 01:.+((SYSTEM_STATE.+slice.+state.+changed )|(ment ac)|(multiple cpu faults)|(system.+state.+changed )|(\[timeout)|(PRM\|1\|D)|(kpr)|(kdp)|(train st.+moving)|(\|lc)|(penalty))"</v>
      </c>
      <c r="U39" s="9" t="str">
        <f>MID(B39,13,4)</f>
        <v>4066</v>
      </c>
      <c r="V39" s="31">
        <f>A39-utc_offset/24</f>
        <v>42971.067118055558</v>
      </c>
      <c r="W39" s="45" t="str">
        <f>DetSubdiv(C39)</f>
        <v>NW</v>
      </c>
      <c r="X39" s="22">
        <f>VALUE(LEFT(C39,LEN(C39)-3))</f>
        <v>841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{"issue":{"subject":"","project_id":79,"tracker_id":40,"status_id":1,"priority_id":2,"assigned_to_id":23,"start_date":"2017-08-23","description":"","custom_fields":[{"id":1,"name":"Subdivision","value":"NW"},{"id":4,"name":"Milepost","value":"5.9048"},{"id":17,"name":"Train ID","value":"841-23"},{"id":16,"name":"Locomotive ID","value":"4066"},{"id":130,"name":"Impact","value":""},{"id":150,"name":"Time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/c/Users/stu/AppData/Local/Temp/OnboardLogs/RTDC4066 --include="*4066*201708240*"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"%USERPROFILE%\AppData\Local\Temp\OnboardLogs"\RTDC4066\*4066*201708240* &gt;&gt; 2017-08-23-SliceDisagreementCheck.txt</v>
      </c>
      <c r="AE39" s="145" t="str">
        <f t="shared" si="1"/>
        <v>start /low /b %USERPROFILE%\Documents\GitHub\eaglep3\Utilities\DownloadLogsFromS3.py --loco 4066 --day 2017-08-24</v>
      </c>
      <c r="AF39" s="1"/>
    </row>
    <row r="40" spans="1:32" x14ac:dyDescent="0.25">
      <c r="A40" s="31">
        <v>42970.899444444447</v>
      </c>
      <c r="B40" s="30" t="s">
        <v>570</v>
      </c>
      <c r="C40" s="30" t="s">
        <v>590</v>
      </c>
      <c r="D40" s="30" t="s">
        <v>96</v>
      </c>
      <c r="E40" s="30" t="s">
        <v>181</v>
      </c>
      <c r="F40" s="42">
        <v>0</v>
      </c>
      <c r="G40" s="42">
        <v>2</v>
      </c>
      <c r="H40" s="42">
        <v>59048</v>
      </c>
      <c r="I40" s="42">
        <v>59048</v>
      </c>
      <c r="J40" s="30" t="s">
        <v>182</v>
      </c>
      <c r="K40" s="42">
        <v>59048</v>
      </c>
      <c r="L40" s="131" t="s">
        <v>50</v>
      </c>
      <c r="M40" s="132">
        <f>CONVERT((I40-K40)/10000,"mi","ft")*IF(L40="Increasing Mileposts (1)",-1,1)</f>
        <v>0</v>
      </c>
      <c r="N40" s="133" t="str">
        <f>VLOOKUP(C40,'Trips&amp;Operators'!$C$1:$G$99911,5,FALSE)</f>
        <v>BARRON PERLA</v>
      </c>
      <c r="O40" s="203" t="s">
        <v>180</v>
      </c>
      <c r="P40" s="134"/>
      <c r="Q40" s="30"/>
      <c r="R40" s="81" t="str">
        <f>VLOOKUP(C40,'Train Runs'!$A$13:$AE$9913,31,0)</f>
        <v>aws s3 cp s3://rtdc.mdm.uploadarchive.raw/RTDC4066/ "%USERPROFILE%\AppData\Local\Temp\OnboardLogs"\RTDC4066\2017-08-23 --exclude "*" --recursive --include "*20170823*" &amp; "%USERPROFILE%\Documents\GitHub\mrs-test-scripts\Headless Mode &amp; Sideloading\WalkAndUnGZ.bat" "%USERPROFILE%\AppData\Local\Temp\OnboardLogs"\RTDC4066\2017-08-23 &amp; 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</v>
      </c>
      <c r="S40" s="84" t="str">
        <f>VLOOKUP(C40,'Train Runs'!$A$13:$AE$9913,22,0)</f>
        <v>https://d0f6bd738d7f1b3e5a7ca70fe4ff75f0.us-east-1.aws.found.io/app/kibana#/discover/Steve-Slow-Train-Analysis-(2080s-and-2083s)?_g=(refreshInterval:(display:Off,pause:!f,section:0,value:0),time:(from:'2017-08-23T20:14:01-0600',mode:absolute,to:'2017-08-23T22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/stypes="*4066*201708240*" /stext=" 03:.+((SYSTEM_STATE.+slice.+state.+changed )|(ment ac)|(multiple cpu faults)|(system.+state.+changed )|(\[timeout)|(PRM\|1\|D)|(kpr)|(kdp)|(train st.+moving)|(\|lc)|(penalty))"</v>
      </c>
      <c r="U40" s="9" t="str">
        <f>MID(B40,13,4)</f>
        <v>4066</v>
      </c>
      <c r="V40" s="31">
        <f>A40-utc_offset/24</f>
        <v>42971.149444444447</v>
      </c>
      <c r="W40" s="45" t="str">
        <f>DetSubdiv(C40)</f>
        <v>NW</v>
      </c>
      <c r="X40" s="22">
        <f>VALUE(LEFT(C40,LEN(C40)-3))</f>
        <v>845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{"issue":{"subject":"","project_id":79,"tracker_id":40,"status_id":1,"priority_id":2,"assigned_to_id":23,"start_date":"2017-08-23","description":"","custom_fields":[{"id":1,"name":"Subdivision","value":"NW"},{"id":4,"name":"Milepost","value":"5.9048"},{"id":17,"name":"Train ID","value":"845-23"},{"id":16,"name":"Locomotive ID","value":"4066"},{"id":130,"name":"Impact","value":""},{"id":150,"name":"Time of Event (Mountain Time)","value":"21:35:12"},{"id":151,"name":"Denver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/c/Users/stu/AppData/Local/Temp/OnboardLogs/RTDC4066 --include="*4066*201708240*"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"%USERPROFILE%\AppData\Local\Temp\OnboardLogs"\RTDC4066\*4066*201708240* &gt;&gt; 2017-08-23-SliceDisagreementCheck.txt</v>
      </c>
      <c r="AE40" s="145" t="str">
        <f t="shared" si="1"/>
        <v>start /low /b %USERPROFILE%\Documents\GitHub\eaglep3\Utilities\DownloadLogsFromS3.py --loco 4066 --day 2017-08-24</v>
      </c>
      <c r="AF40" s="1"/>
    </row>
    <row r="41" spans="1:32" x14ac:dyDescent="0.25">
      <c r="A41" s="31">
        <v>42970.577384259261</v>
      </c>
      <c r="B41" s="30" t="s">
        <v>421</v>
      </c>
      <c r="C41" s="30" t="s">
        <v>555</v>
      </c>
      <c r="D41" s="30" t="s">
        <v>96</v>
      </c>
      <c r="E41" s="30" t="s">
        <v>195</v>
      </c>
      <c r="F41" s="42">
        <v>300</v>
      </c>
      <c r="G41" s="42">
        <v>358</v>
      </c>
      <c r="H41" s="42">
        <v>47702</v>
      </c>
      <c r="I41" s="42">
        <v>48596</v>
      </c>
      <c r="J41" s="30" t="s">
        <v>196</v>
      </c>
      <c r="K41" s="42">
        <v>44309</v>
      </c>
      <c r="L41" s="131" t="s">
        <v>50</v>
      </c>
      <c r="M41" s="132">
        <f>CONVERT((I41-K41)/10000,"mi","ft")*IF(L41="Increasing Mileposts (1)",-1,1)</f>
        <v>-2263.5360000000001</v>
      </c>
      <c r="N41" s="133" t="str">
        <f>VLOOKUP(C41,'Trips&amp;Operators'!$C$1:$G$99911,5,FALSE)</f>
        <v>MOSES BRADLEY</v>
      </c>
      <c r="O41" s="203" t="s">
        <v>180</v>
      </c>
      <c r="P41" s="134"/>
      <c r="Q41" s="30"/>
      <c r="R41" s="81" t="str">
        <f>VLOOKUP(C41,'Train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41" s="84" t="str">
        <f>VLOOKUP(C41,'Train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/stypes="*4058*201708231*" /stext=" 19:.+((SYSTEM_STATE.+slice.+state.+changed )|(ment ac)|(multiple cpu faults)|(system.+state.+changed )|(\[timeout)|(PRM\|1\|D)|(kpr)|(kdp)|(train st.+moving)|(\|lc)|(penalty))"</v>
      </c>
      <c r="U41" s="9" t="str">
        <f>MID(B41,13,4)</f>
        <v>4058</v>
      </c>
      <c r="V41" s="31">
        <f>A41-utc_offset/24</f>
        <v>42970.827384259261</v>
      </c>
      <c r="W41" s="45" t="str">
        <f>DetSubdiv(C41)</f>
        <v>Shuttle/Test</v>
      </c>
      <c r="X41" s="22">
        <f>VALUE(LEFT(C41,LEN(C41)-3))</f>
        <v>71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4.4309"},{"id":17,"name":"Train ID","value":"71-23"},{"id":16,"name":"Locomotive ID","value":"4058"},{"id":130,"name":"Impact","value":""},{"id":150,"name":"Time of Event (Mountain Time)","value":"13:51:26"},{"id":151,"name":"Denver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/c/Users/stu/AppData/Local/Temp/OnboardLogs/RTDC4058 --include="*4058*201708231*"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"%USERPROFILE%\AppData\Local\Temp\OnboardLogs"\RTDC4058\*4058*201708231* &gt;&gt; 2017-08-23-SliceDisagreementCheck.txt</v>
      </c>
      <c r="AE41" s="145" t="str">
        <f t="shared" si="1"/>
        <v>start /low /b %USERPROFILE%\Documents\GitHub\eaglep3\Utilities\DownloadLogsFromS3.py --loco 4058 --day 2017-08-23</v>
      </c>
      <c r="AF41" s="1"/>
    </row>
    <row r="42" spans="1:32" x14ac:dyDescent="0.25">
      <c r="A42" s="31">
        <v>42970.468599537038</v>
      </c>
      <c r="B42" s="30" t="s">
        <v>421</v>
      </c>
      <c r="C42" s="30" t="s">
        <v>555</v>
      </c>
      <c r="D42" s="30" t="s">
        <v>49</v>
      </c>
      <c r="E42" s="30" t="s">
        <v>195</v>
      </c>
      <c r="F42" s="42">
        <v>150</v>
      </c>
      <c r="G42" s="42">
        <v>274</v>
      </c>
      <c r="H42" s="42">
        <v>108834</v>
      </c>
      <c r="I42" s="42">
        <v>109340</v>
      </c>
      <c r="J42" s="30" t="s">
        <v>196</v>
      </c>
      <c r="K42" s="42">
        <v>109686</v>
      </c>
      <c r="L42" s="131" t="s">
        <v>50</v>
      </c>
      <c r="M42" s="132">
        <f>CONVERT((I42-K42)/10000,"mi","ft")*IF(L42="Increasing Mileposts (1)",-1,1)</f>
        <v>182.68799999999999</v>
      </c>
      <c r="N42" s="133" t="str">
        <f>VLOOKUP(C42,'Trips&amp;Operators'!$C$1:$G$99911,5,FALSE)</f>
        <v>MOSES BRADLEY</v>
      </c>
      <c r="O42" s="203" t="s">
        <v>180</v>
      </c>
      <c r="P42" s="134"/>
      <c r="Q42" s="30"/>
      <c r="R42" s="81" t="str">
        <f>VLOOKUP(C42,'Train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42" s="84" t="str">
        <f>VLOOKUP(C42,'Train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/stypes="*4058*201708231*" /stext=" 17:.+((SYSTEM_STATE.+slice.+state.+changed )|(ment ac)|(multiple cpu faults)|(system.+state.+changed )|(\[timeout)|(PRM\|1\|D)|(kpr)|(kdp)|(train st.+moving)|(\|lc)|(penalty))"</v>
      </c>
      <c r="U42" s="9" t="str">
        <f>MID(B42,13,4)</f>
        <v>4058</v>
      </c>
      <c r="V42" s="31">
        <f>A42-utc_offset/24</f>
        <v>42970.718599537038</v>
      </c>
      <c r="W42" s="45" t="str">
        <f>DetSubdiv(C42)</f>
        <v>Shuttle/Test</v>
      </c>
      <c r="X42" s="22">
        <f>VALUE(LEFT(C42,LEN(C42)-3))</f>
        <v>71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10.9686"},{"id":17,"name":"Train ID","value":"71-23"},{"id":16,"name":"Locomotive ID","value":"4058"},{"id":130,"name":"Impact","value":""},{"id":150,"name":"Time of Event (Mountain Time)","value":"11:14:47"},{"id":151,"name":"Denver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/c/Users/stu/AppData/Local/Temp/OnboardLogs/RTDC4058 --include="*4058*201708231*"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"%USERPROFILE%\AppData\Local\Temp\OnboardLogs"\RTDC4058\*4058*201708231* &gt;&gt; 2017-08-23-SliceDisagreementCheck.txt</v>
      </c>
      <c r="AE42" s="145" t="str">
        <f t="shared" si="1"/>
        <v>start /low /b %USERPROFILE%\Documents\GitHub\eaglep3\Utilities\DownloadLogsFromS3.py --loco 4058 --day 2017-08-23</v>
      </c>
      <c r="AF42" s="1"/>
    </row>
    <row r="43" spans="1:32" x14ac:dyDescent="0.25">
      <c r="A43" s="31">
        <v>42970.534837962965</v>
      </c>
      <c r="B43" s="30" t="s">
        <v>421</v>
      </c>
      <c r="C43" s="30" t="s">
        <v>555</v>
      </c>
      <c r="D43" s="30" t="s">
        <v>49</v>
      </c>
      <c r="E43" s="30" t="s">
        <v>195</v>
      </c>
      <c r="F43" s="42">
        <v>150</v>
      </c>
      <c r="G43" s="42">
        <v>288</v>
      </c>
      <c r="H43" s="42">
        <v>108792</v>
      </c>
      <c r="I43" s="42">
        <v>109453</v>
      </c>
      <c r="J43" s="30" t="s">
        <v>196</v>
      </c>
      <c r="K43" s="42">
        <v>109686</v>
      </c>
      <c r="L43" s="131" t="s">
        <v>50</v>
      </c>
      <c r="M43" s="132">
        <f>CONVERT((I43-K43)/10000,"mi","ft")*IF(L43="Increasing Mileposts (1)",-1,1)</f>
        <v>123.024</v>
      </c>
      <c r="N43" s="133" t="str">
        <f>VLOOKUP(C43,'Trips&amp;Operators'!$C$1:$G$99911,5,FALSE)</f>
        <v>MOSES BRADLEY</v>
      </c>
      <c r="O43" s="203" t="s">
        <v>180</v>
      </c>
      <c r="P43" s="134"/>
      <c r="Q43" s="30"/>
      <c r="R43" s="81" t="str">
        <f>VLOOKUP(C43,'Train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43" s="84" t="str">
        <f>VLOOKUP(C43,'Train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/stypes="*4058*201708231*" /stext=" 18:.+((SYSTEM_STATE.+slice.+state.+changed )|(ment ac)|(multiple cpu faults)|(system.+state.+changed )|(\[timeout)|(PRM\|1\|D)|(kpr)|(kdp)|(train st.+moving)|(\|lc)|(penalty))"</v>
      </c>
      <c r="U43" s="9" t="str">
        <f>MID(B43,13,4)</f>
        <v>4058</v>
      </c>
      <c r="V43" s="31">
        <f>A43-utc_offset/24</f>
        <v>42970.784837962965</v>
      </c>
      <c r="W43" s="45" t="str">
        <f>DetSubdiv(C43)</f>
        <v>Shuttle/Test</v>
      </c>
      <c r="X43" s="22">
        <f>VALUE(LEFT(C43,LEN(C43)-3))</f>
        <v>71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10.9686"},{"id":17,"name":"Train ID","value":"71-23"},{"id":16,"name":"Locomotive ID","value":"4058"},{"id":130,"name":"Impact","value":""},{"id":150,"name":"Time of Event (Mountain Time)","value":"12:50:10"},{"id":151,"name":"Denver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/c/Users/stu/AppData/Local/Temp/OnboardLogs/RTDC4058 --include="*4058*201708231*"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"%USERPROFILE%\AppData\Local\Temp\OnboardLogs"\RTDC4058\*4058*201708231* &gt;&gt; 2017-08-23-SliceDisagreementCheck.txt</v>
      </c>
      <c r="AE43" s="145" t="str">
        <f t="shared" si="1"/>
        <v>start /low /b %USERPROFILE%\Documents\GitHub\eaglep3\Utilities\DownloadLogsFromS3.py --loco 4058 --day 2017-08-23</v>
      </c>
      <c r="AF43" s="1"/>
    </row>
    <row r="44" spans="1:32" x14ac:dyDescent="0.25">
      <c r="A44" s="31">
        <v>42970.589722222219</v>
      </c>
      <c r="B44" s="30" t="s">
        <v>421</v>
      </c>
      <c r="C44" s="30" t="s">
        <v>555</v>
      </c>
      <c r="D44" s="30" t="s">
        <v>49</v>
      </c>
      <c r="E44" s="30" t="s">
        <v>195</v>
      </c>
      <c r="F44" s="42">
        <v>150</v>
      </c>
      <c r="G44" s="42">
        <v>294</v>
      </c>
      <c r="H44" s="42">
        <v>108683</v>
      </c>
      <c r="I44" s="42">
        <v>109226</v>
      </c>
      <c r="J44" s="30" t="s">
        <v>196</v>
      </c>
      <c r="K44" s="42">
        <v>109686</v>
      </c>
      <c r="L44" s="131" t="s">
        <v>50</v>
      </c>
      <c r="M44" s="132">
        <f>CONVERT((I44-K44)/10000,"mi","ft")*IF(L44="Increasing Mileposts (1)",-1,1)</f>
        <v>242.88</v>
      </c>
      <c r="N44" s="133" t="str">
        <f>VLOOKUP(C44,'Trips&amp;Operators'!$C$1:$G$99911,5,FALSE)</f>
        <v>MOSES BRADLEY</v>
      </c>
      <c r="O44" s="203" t="s">
        <v>180</v>
      </c>
      <c r="P44" s="134"/>
      <c r="Q44" s="30"/>
      <c r="R44" s="81" t="str">
        <f>VLOOKUP(C44,'Train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44" s="84" t="str">
        <f>VLOOKUP(C44,'Train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/stypes="*4058*201708232*" /stext=" 20:.+((SYSTEM_STATE.+slice.+state.+changed )|(ment ac)|(multiple cpu faults)|(system.+state.+changed )|(\[timeout)|(PRM\|1\|D)|(kpr)|(kdp)|(train st.+moving)|(\|lc)|(penalty))"</v>
      </c>
      <c r="U44" s="9" t="str">
        <f>MID(B44,13,4)</f>
        <v>4058</v>
      </c>
      <c r="V44" s="31">
        <f>A44-utc_offset/24</f>
        <v>42970.839722222219</v>
      </c>
      <c r="W44" s="45" t="str">
        <f>DetSubdiv(C44)</f>
        <v>Shuttle/Test</v>
      </c>
      <c r="X44" s="22">
        <f>VALUE(LEFT(C44,LEN(C44)-3))</f>
        <v>71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10.9686"},{"id":17,"name":"Train ID","value":"71-23"},{"id":16,"name":"Locomotive ID","value":"4058"},{"id":130,"name":"Impact","value":""},{"id":150,"name":"Time of Event (Mountain Time)","value":"14:09:12"},{"id":151,"name":"Denver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/c/Users/stu/AppData/Local/Temp/OnboardLogs/RTDC4058 --include="*4058*201708232*"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"%USERPROFILE%\AppData\Local\Temp\OnboardLogs"\RTDC4058\*4058*201708232* &gt;&gt; 2017-08-23-SliceDisagreementCheck.txt</v>
      </c>
      <c r="AE44" s="145" t="str">
        <f t="shared" si="1"/>
        <v>start /low /b %USERPROFILE%\Documents\GitHub\eaglep3\Utilities\DownloadLogsFromS3.py --loco 4058 --day 2017-08-23</v>
      </c>
      <c r="AF44" s="1"/>
    </row>
    <row r="45" spans="1:32" x14ac:dyDescent="0.25">
      <c r="A45" s="31">
        <v>42970.661574074074</v>
      </c>
      <c r="B45" s="30" t="s">
        <v>421</v>
      </c>
      <c r="C45" s="30" t="s">
        <v>578</v>
      </c>
      <c r="D45" s="30" t="s">
        <v>96</v>
      </c>
      <c r="E45" s="30" t="s">
        <v>181</v>
      </c>
      <c r="F45" s="42">
        <v>0</v>
      </c>
      <c r="G45" s="42">
        <v>8</v>
      </c>
      <c r="H45" s="42">
        <v>112547</v>
      </c>
      <c r="I45" s="42">
        <v>0</v>
      </c>
      <c r="J45" s="30" t="s">
        <v>182</v>
      </c>
      <c r="K45" s="42">
        <v>112547</v>
      </c>
      <c r="L45" s="131" t="s">
        <v>50</v>
      </c>
      <c r="M45" s="132">
        <f>CONVERT((I45-K45)/10000,"mi","ft")*IF(L45="Increasing Mileposts (1)",-1,1)</f>
        <v>59424.815999999999</v>
      </c>
      <c r="N45" s="133" t="str">
        <f>VLOOKUP(C45,'Trips&amp;Operators'!$C$1:$G$99911,5,FALSE)</f>
        <v>SAFIEF AEIMEN</v>
      </c>
      <c r="O45" s="203" t="s">
        <v>180</v>
      </c>
      <c r="P45" s="134"/>
      <c r="Q45" s="30"/>
      <c r="R45" s="81" t="str">
        <f>VLOOKUP(C45,'Train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45" s="84" t="str">
        <f>VLOOKUP(C45,'Train Runs'!$A$13:$AE$9913,22,0)</f>
        <v>https://d0f6bd738d7f1b3e5a7ca70fe4ff75f0.us-east-1.aws.found.io/app/kibana#/discover/Steve-Slow-Train-Analysis-(2080s-and-2083s)?_g=(refreshInterval:(display:Off,pause:!f,section:0,value:0),time:(from:'2017-08-23T14:11:23-0600',mode:absolute,to:'2017-08-23T16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/stypes="*4058*201708232*" /stext=" 21:.+((SYSTEM_STATE.+slice.+state.+changed )|(ment ac)|(multiple cpu faults)|(system.+state.+changed )|(\[timeout)|(PRM\|1\|D)|(kpr)|(kdp)|(train st.+moving)|(\|lc)|(penalty))"</v>
      </c>
      <c r="U45" s="9" t="str">
        <f>MID(B45,13,4)</f>
        <v>4058</v>
      </c>
      <c r="V45" s="31">
        <f>A45-utc_offset/24</f>
        <v>42970.911574074074</v>
      </c>
      <c r="W45" s="45" t="str">
        <f>DetSubdiv(C45)</f>
        <v>Shuttle/Test</v>
      </c>
      <c r="X45" s="22">
        <f>VALUE(LEFT(C45,LEN(C45)-3))</f>
        <v>75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11.2547"},{"id":17,"name":"Train ID","value":"75-23"},{"id":16,"name":"Locomotive ID","value":"4058"},{"id":130,"name":"Impact","value":""},{"id":150,"name":"Time of Event (Mountain Time)","value":"15:52:40"},{"id":151,"name":"Denver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/c/Users/stu/AppData/Local/Temp/OnboardLogs/RTDC4058 --include="*4058*201708232*"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"%USERPROFILE%\AppData\Local\Temp\OnboardLogs"\RTDC4058\*4058*201708232* &gt;&gt; 2017-08-23-SliceDisagreementCheck.txt</v>
      </c>
      <c r="AE45" s="145" t="str">
        <f t="shared" si="1"/>
        <v>start /low /b %USERPROFILE%\Documents\GitHub\eaglep3\Utilities\DownloadLogsFromS3.py --loco 4058 --day 2017-08-23</v>
      </c>
      <c r="AF45" s="1"/>
    </row>
    <row r="46" spans="1:32" x14ac:dyDescent="0.25">
      <c r="A46" s="31">
        <v>42970.70994212963</v>
      </c>
      <c r="B46" s="30" t="s">
        <v>421</v>
      </c>
      <c r="C46" s="30" t="s">
        <v>579</v>
      </c>
      <c r="D46" s="30" t="s">
        <v>49</v>
      </c>
      <c r="E46" s="30" t="s">
        <v>181</v>
      </c>
      <c r="F46" s="42">
        <v>0</v>
      </c>
      <c r="G46" s="42">
        <v>11</v>
      </c>
      <c r="H46" s="42">
        <v>112539</v>
      </c>
      <c r="I46" s="42">
        <v>0</v>
      </c>
      <c r="J46" s="30" t="s">
        <v>182</v>
      </c>
      <c r="K46" s="42">
        <v>112547</v>
      </c>
      <c r="L46" s="131" t="s">
        <v>50</v>
      </c>
      <c r="M46" s="132">
        <f>CONVERT((I46-K46)/10000,"mi","ft")*IF(L46="Increasing Mileposts (1)",-1,1)</f>
        <v>59424.815999999999</v>
      </c>
      <c r="N46" s="133" t="str">
        <f>VLOOKUP(C46,'Trips&amp;Operators'!$C$1:$G$99911,5,FALSE)</f>
        <v>BADERTSCHER DIANE</v>
      </c>
      <c r="O46" s="203" t="s">
        <v>180</v>
      </c>
      <c r="P46" s="134"/>
      <c r="Q46" s="30"/>
      <c r="R46" s="81" t="str">
        <f>VLOOKUP(C46,'Train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46" s="84" t="str">
        <f>VLOOKUP(C46,'Train Runs'!$A$13:$AE$9913,22,0)</f>
        <v>https://d0f6bd738d7f1b3e5a7ca70fe4ff75f0.us-east-1.aws.found.io/app/kibana#/discover/Steve-Slow-Train-Analysis-(2080s-and-2083s)?_g=(refreshInterval:(display:Off,pause:!f,section:0,value:0),time:(from:'2017-08-23T15:31:06-0600',mode:absolute,to:'2017-08-23T18:02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/stypes="*4058*201708232*" /stext=" 23:.+((SYSTEM_STATE.+slice.+state.+changed )|(ment ac)|(multiple cpu faults)|(system.+state.+changed )|(\[timeout)|(PRM\|1\|D)|(kpr)|(kdp)|(train st.+moving)|(\|lc)|(penalty))"</v>
      </c>
      <c r="U46" s="9" t="str">
        <f>MID(B46,13,4)</f>
        <v>4058</v>
      </c>
      <c r="V46" s="31">
        <f>A46-utc_offset/24</f>
        <v>42970.95994212963</v>
      </c>
      <c r="W46" s="45" t="str">
        <f>DetSubdiv(C46)</f>
        <v>Shuttle/Test</v>
      </c>
      <c r="X46" s="22">
        <f>VALUE(LEFT(C46,LEN(C46)-3))</f>
        <v>77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11.2547"},{"id":17,"name":"Train ID","value":"77-23"},{"id":16,"name":"Locomotive ID","value":"4058"},{"id":130,"name":"Impact","value":""},{"id":150,"name":"Time of Event (Mountain Time)","value":"17:02:19"},{"id":151,"name":"Denver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/c/Users/stu/AppData/Local/Temp/OnboardLogs/RTDC4058 --include="*4058*201708232*"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"%USERPROFILE%\AppData\Local\Temp\OnboardLogs"\RTDC4058\*4058*201708232* &gt;&gt; 2017-08-23-SliceDisagreementCheck.txt</v>
      </c>
      <c r="AE46" s="145" t="str">
        <f t="shared" si="1"/>
        <v>start /low /b %USERPROFILE%\Documents\GitHub\eaglep3\Utilities\DownloadLogsFromS3.py --loco 4058 --day 2017-08-23</v>
      </c>
      <c r="AF46" s="1"/>
    </row>
    <row r="47" spans="1:32" x14ac:dyDescent="0.25">
      <c r="A47" s="31">
        <v>42970.396319444444</v>
      </c>
      <c r="B47" s="30" t="s">
        <v>421</v>
      </c>
      <c r="C47" s="30" t="s">
        <v>555</v>
      </c>
      <c r="D47" s="30" t="s">
        <v>96</v>
      </c>
      <c r="E47" s="30" t="s">
        <v>181</v>
      </c>
      <c r="F47" s="42">
        <v>0</v>
      </c>
      <c r="G47" s="42">
        <v>11</v>
      </c>
      <c r="H47" s="42">
        <v>112612</v>
      </c>
      <c r="I47" s="42">
        <v>0</v>
      </c>
      <c r="J47" s="30" t="s">
        <v>182</v>
      </c>
      <c r="K47" s="42">
        <v>112612</v>
      </c>
      <c r="L47" s="131" t="s">
        <v>50</v>
      </c>
      <c r="M47" s="132">
        <f>CONVERT((I47-K47)/10000,"mi","ft")*IF(L47="Increasing Mileposts (1)",-1,1)</f>
        <v>59459.135999999999</v>
      </c>
      <c r="N47" s="133" t="str">
        <f>VLOOKUP(C47,'Trips&amp;Operators'!$C$1:$G$99911,5,FALSE)</f>
        <v>MOSES BRADLEY</v>
      </c>
      <c r="O47" s="203" t="s">
        <v>180</v>
      </c>
      <c r="P47" s="134"/>
      <c r="Q47" s="30"/>
      <c r="R47" s="81" t="str">
        <f>VLOOKUP(C47,'Train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47" s="84" t="str">
        <f>VLOOKUP(C47,'Train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/stypes="*4058*201708231*" /stext=" 15:.+((SYSTEM_STATE.+slice.+state.+changed )|(ment ac)|(multiple cpu faults)|(system.+state.+changed )|(\[timeout)|(PRM\|1\|D)|(kpr)|(kdp)|(train st.+moving)|(\|lc)|(penalty))"</v>
      </c>
      <c r="U47" s="9" t="str">
        <f>MID(B47,13,4)</f>
        <v>4058</v>
      </c>
      <c r="V47" s="31">
        <f>A47-utc_offset/24</f>
        <v>42970.646319444444</v>
      </c>
      <c r="W47" s="45" t="str">
        <f>DetSubdiv(C47)</f>
        <v>Shuttle/Test</v>
      </c>
      <c r="X47" s="22">
        <f>VALUE(LEFT(C47,LEN(C47)-3))</f>
        <v>71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11.2612"},{"id":17,"name":"Train ID","value":"71-23"},{"id":16,"name":"Locomotive ID","value":"4058"},{"id":130,"name":"Impact","value":""},{"id":150,"name":"Time of Event (Mountain Time)","value":"09:30:42"},{"id":151,"name":"Denver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/c/Users/stu/AppData/Local/Temp/OnboardLogs/RTDC4058 --include="*4058*201708231*"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"%USERPROFILE%\AppData\Local\Temp\OnboardLogs"\RTDC4058\*4058*201708231* &gt;&gt; 2017-08-23-SliceDisagreementCheck.txt</v>
      </c>
      <c r="AE47" s="145" t="str">
        <f t="shared" si="1"/>
        <v>start /low /b %USERPROFILE%\Documents\GitHub\eaglep3\Utilities\DownloadLogsFromS3.py --loco 4058 --day 2017-08-23</v>
      </c>
      <c r="AF47" s="1"/>
    </row>
    <row r="48" spans="1:32" x14ac:dyDescent="0.25">
      <c r="A48" s="31">
        <v>42970.471134259256</v>
      </c>
      <c r="B48" s="30" t="s">
        <v>421</v>
      </c>
      <c r="C48" s="30" t="s">
        <v>555</v>
      </c>
      <c r="D48" s="30" t="s">
        <v>49</v>
      </c>
      <c r="E48" s="30" t="s">
        <v>181</v>
      </c>
      <c r="F48" s="42">
        <v>0</v>
      </c>
      <c r="G48" s="42">
        <v>16</v>
      </c>
      <c r="H48" s="42">
        <v>112599</v>
      </c>
      <c r="I48" s="42">
        <v>112612</v>
      </c>
      <c r="J48" s="30" t="s">
        <v>182</v>
      </c>
      <c r="K48" s="42">
        <v>112612</v>
      </c>
      <c r="L48" s="131" t="s">
        <v>50</v>
      </c>
      <c r="M48" s="132">
        <f>CONVERT((I48-K48)/10000,"mi","ft")*IF(L48="Increasing Mileposts (1)",-1,1)</f>
        <v>0</v>
      </c>
      <c r="N48" s="133" t="str">
        <f>VLOOKUP(C48,'Trips&amp;Operators'!$C$1:$G$99911,5,FALSE)</f>
        <v>MOSES BRADLEY</v>
      </c>
      <c r="O48" s="203" t="s">
        <v>180</v>
      </c>
      <c r="P48" s="134"/>
      <c r="Q48" s="30"/>
      <c r="R48" s="81" t="str">
        <f>VLOOKUP(C48,'Train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48" s="84" t="str">
        <f>VLOOKUP(C48,'Train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/stypes="*4058*201708231*" /stext=" 17:.+((SYSTEM_STATE.+slice.+state.+changed )|(ment ac)|(multiple cpu faults)|(system.+state.+changed )|(\[timeout)|(PRM\|1\|D)|(kpr)|(kdp)|(train st.+moving)|(\|lc)|(penalty))"</v>
      </c>
      <c r="U48" s="9" t="str">
        <f>MID(B48,13,4)</f>
        <v>4058</v>
      </c>
      <c r="V48" s="31">
        <f>A48-utc_offset/24</f>
        <v>42970.721134259256</v>
      </c>
      <c r="W48" s="45" t="str">
        <f>DetSubdiv(C48)</f>
        <v>Shuttle/Test</v>
      </c>
      <c r="X48" s="22">
        <f>VALUE(LEFT(C48,LEN(C48)-3))</f>
        <v>71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11.2612"},{"id":17,"name":"Train ID","value":"71-23"},{"id":16,"name":"Locomotive ID","value":"4058"},{"id":130,"name":"Impact","value":""},{"id":150,"name":"Time of Event (Mountain Time)","value":"11:18:26"},{"id":151,"name":"Denver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/c/Users/stu/AppData/Local/Temp/OnboardLogs/RTDC4058 --include="*4058*201708231*"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"%USERPROFILE%\AppData\Local\Temp\OnboardLogs"\RTDC4058\*4058*201708231* &gt;&gt; 2017-08-23-SliceDisagreementCheck.txt</v>
      </c>
      <c r="AE48" s="145" t="str">
        <f t="shared" si="1"/>
        <v>start /low /b %USERPROFILE%\Documents\GitHub\eaglep3\Utilities\DownloadLogsFromS3.py --loco 4058 --day 2017-08-23</v>
      </c>
      <c r="AF48" s="1"/>
    </row>
    <row r="49" spans="1:32" x14ac:dyDescent="0.25">
      <c r="A49" s="31">
        <v>42970.536979166667</v>
      </c>
      <c r="B49" s="30" t="s">
        <v>421</v>
      </c>
      <c r="C49" s="30" t="s">
        <v>555</v>
      </c>
      <c r="D49" s="30" t="s">
        <v>96</v>
      </c>
      <c r="E49" s="30" t="s">
        <v>181</v>
      </c>
      <c r="F49" s="42">
        <v>0</v>
      </c>
      <c r="G49" s="42">
        <v>16</v>
      </c>
      <c r="H49" s="42">
        <v>112612</v>
      </c>
      <c r="I49" s="42">
        <v>0</v>
      </c>
      <c r="J49" s="30" t="s">
        <v>182</v>
      </c>
      <c r="K49" s="42">
        <v>112612</v>
      </c>
      <c r="L49" s="131" t="s">
        <v>50</v>
      </c>
      <c r="M49" s="132">
        <f>CONVERT((I49-K49)/10000,"mi","ft")*IF(L49="Increasing Mileposts (1)",-1,1)</f>
        <v>59459.135999999999</v>
      </c>
      <c r="N49" s="133" t="str">
        <f>VLOOKUP(C49,'Trips&amp;Operators'!$C$1:$G$99911,5,FALSE)</f>
        <v>MOSES BRADLEY</v>
      </c>
      <c r="O49" s="203" t="s">
        <v>180</v>
      </c>
      <c r="P49" s="134"/>
      <c r="Q49" s="30"/>
      <c r="R49" s="81" t="str">
        <f>VLOOKUP(C49,'Train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49" s="84" t="str">
        <f>VLOOKUP(C49,'Train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/stypes="*4058*201708231*" /stext=" 18:.+((SYSTEM_STATE.+slice.+state.+changed )|(ment ac)|(multiple cpu faults)|(system.+state.+changed )|(\[timeout)|(PRM\|1\|D)|(kpr)|(kdp)|(train st.+moving)|(\|lc)|(penalty))"</v>
      </c>
      <c r="U49" s="9" t="str">
        <f>MID(B49,13,4)</f>
        <v>4058</v>
      </c>
      <c r="V49" s="31">
        <f>A49-utc_offset/24</f>
        <v>42970.786979166667</v>
      </c>
      <c r="W49" s="45" t="str">
        <f>DetSubdiv(C49)</f>
        <v>Shuttle/Test</v>
      </c>
      <c r="X49" s="22">
        <f>VALUE(LEFT(C49,LEN(C49)-3))</f>
        <v>71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11.2612"},{"id":17,"name":"Train ID","value":"71-23"},{"id":16,"name":"Locomotive ID","value":"4058"},{"id":130,"name":"Impact","value":""},{"id":150,"name":"Time of Event (Mountain Time)","value":"12:53:15"},{"id":151,"name":"Denver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/c/Users/stu/AppData/Local/Temp/OnboardLogs/RTDC4058 --include="*4058*201708231*"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"%USERPROFILE%\AppData\Local\Temp\OnboardLogs"\RTDC4058\*4058*201708231* &gt;&gt; 2017-08-23-SliceDisagreementCheck.txt</v>
      </c>
      <c r="AE49" s="145" t="str">
        <f t="shared" si="1"/>
        <v>start /low /b %USERPROFILE%\Documents\GitHub\eaglep3\Utilities\DownloadLogsFromS3.py --loco 4058 --day 2017-08-23</v>
      </c>
      <c r="AF49" s="1"/>
    </row>
    <row r="50" spans="1:32" x14ac:dyDescent="0.25">
      <c r="A50" s="31">
        <v>42970.591805555552</v>
      </c>
      <c r="B50" s="30" t="s">
        <v>421</v>
      </c>
      <c r="C50" s="30" t="s">
        <v>555</v>
      </c>
      <c r="D50" s="30" t="s">
        <v>49</v>
      </c>
      <c r="E50" s="30" t="s">
        <v>181</v>
      </c>
      <c r="F50" s="42">
        <v>0</v>
      </c>
      <c r="G50" s="42">
        <v>64</v>
      </c>
      <c r="H50" s="42">
        <v>112425</v>
      </c>
      <c r="I50" s="42">
        <v>112538</v>
      </c>
      <c r="J50" s="30" t="s">
        <v>182</v>
      </c>
      <c r="K50" s="42">
        <v>112612</v>
      </c>
      <c r="L50" s="131" t="s">
        <v>50</v>
      </c>
      <c r="M50" s="132">
        <f>CONVERT((I50-K50)/10000,"mi","ft")*IF(L50="Increasing Mileposts (1)",-1,1)</f>
        <v>39.072000000000003</v>
      </c>
      <c r="N50" s="133" t="str">
        <f>VLOOKUP(C50,'Trips&amp;Operators'!$C$1:$G$99911,5,FALSE)</f>
        <v>MOSES BRADLEY</v>
      </c>
      <c r="O50" s="203" t="s">
        <v>180</v>
      </c>
      <c r="P50" s="134"/>
      <c r="Q50" s="30"/>
      <c r="R50" s="81" t="str">
        <f>VLOOKUP(C50,'Train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50" s="84" t="str">
        <f>VLOOKUP(C50,'Train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/stypes="*4058*201708232*" /stext=" 20:.+((SYSTEM_STATE.+slice.+state.+changed )|(ment ac)|(multiple cpu faults)|(system.+state.+changed )|(\[timeout)|(PRM\|1\|D)|(kpr)|(kdp)|(train st.+moving)|(\|lc)|(penalty))"</v>
      </c>
      <c r="U50" s="9" t="str">
        <f>MID(B50,13,4)</f>
        <v>4058</v>
      </c>
      <c r="V50" s="31">
        <f>A50-utc_offset/24</f>
        <v>42970.841805555552</v>
      </c>
      <c r="W50" s="45" t="str">
        <f>DetSubdiv(C50)</f>
        <v>Shuttle/Test</v>
      </c>
      <c r="X50" s="22">
        <f>VALUE(LEFT(C50,LEN(C50)-3))</f>
        <v>71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11.2612"},{"id":17,"name":"Train ID","value":"71-23"},{"id":16,"name":"Locomotive ID","value":"4058"},{"id":130,"name":"Impact","value":""},{"id":150,"name":"Time of Event (Mountain Time)","value":"14:12:12"},{"id":151,"name":"Denver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>"grep -hrE -A400 ""Enforcement Action"" "&amp;"/c/Users/stu/AppData/Local/Temp/OnboardLogs"&amp;"/RTDC"&amp;U50&amp;"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/c/Users/stu/AppData/Local/Temp/OnboardLogs/RTDC4058 --include="*4058*201708232*"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"%USERPROFILE%\AppData\Local\Temp\OnboardLogs"\RTDC4058\*4058*201708232* &gt;&gt; 2017-08-23-SliceDisagreementCheck.txt</v>
      </c>
      <c r="AE50" s="145" t="str">
        <f t="shared" si="1"/>
        <v>start /low /b %USERPROFILE%\Documents\GitHub\eaglep3\Utilities\DownloadLogsFromS3.py --loco 4058 --day 2017-08-23</v>
      </c>
      <c r="AF50" s="1"/>
    </row>
    <row r="51" spans="1:32" x14ac:dyDescent="0.25">
      <c r="A51" s="31">
        <v>42970.592233796298</v>
      </c>
      <c r="B51" s="30" t="s">
        <v>421</v>
      </c>
      <c r="C51" s="30" t="s">
        <v>555</v>
      </c>
      <c r="D51" s="30" t="s">
        <v>49</v>
      </c>
      <c r="E51" s="30" t="s">
        <v>181</v>
      </c>
      <c r="F51" s="42">
        <v>0</v>
      </c>
      <c r="G51" s="42">
        <v>24</v>
      </c>
      <c r="H51" s="42">
        <v>112591</v>
      </c>
      <c r="I51" s="42">
        <v>112612</v>
      </c>
      <c r="J51" s="30" t="s">
        <v>182</v>
      </c>
      <c r="K51" s="42">
        <v>112612</v>
      </c>
      <c r="L51" s="131" t="s">
        <v>50</v>
      </c>
      <c r="M51" s="132">
        <f>CONVERT((I51-K51)/10000,"mi","ft")*IF(L51="Increasing Mileposts (1)",-1,1)</f>
        <v>0</v>
      </c>
      <c r="N51" s="133" t="str">
        <f>VLOOKUP(C51,'Trips&amp;Operators'!$C$1:$G$99911,5,FALSE)</f>
        <v>MOSES BRADLEY</v>
      </c>
      <c r="O51" s="203" t="s">
        <v>180</v>
      </c>
      <c r="P51" s="134"/>
      <c r="Q51" s="30"/>
      <c r="R51" s="81" t="str">
        <f>VLOOKUP(C51,'Train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51" s="84" t="str">
        <f>VLOOKUP(C51,'Train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1" s="86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/stypes="*4058*201708232*" /stext=" 20:.+((SYSTEM_STATE.+slice.+state.+changed )|(ment ac)|(multiple cpu faults)|(system.+state.+changed )|(\[timeout)|(PRM\|1\|D)|(kpr)|(kdp)|(train st.+moving)|(\|lc)|(penalty))"</v>
      </c>
      <c r="U51" s="9" t="str">
        <f>MID(B51,13,4)</f>
        <v>4058</v>
      </c>
      <c r="V51" s="31">
        <f>A51-utc_offset/24</f>
        <v>42970.842233796298</v>
      </c>
      <c r="W51" s="45" t="str">
        <f>DetSubdiv(C51)</f>
        <v>Shuttle/Test</v>
      </c>
      <c r="X51" s="22">
        <f>VALUE(LEFT(C51,LEN(C51)-3))</f>
        <v>71</v>
      </c>
      <c r="Y51" s="96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11.2612"},{"id":17,"name":"Train ID","value":"71-23"},{"id":16,"name":"Locomotive ID","value":"4058"},{"id":130,"name":"Impact","value":""},{"id":150,"name":"Time of Event (Mountain Time)","value":"14:12:49"},{"id":151,"name":"Denver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>"grep -hrE -A400 ""Enforcement Action"" "&amp;"/c/Users/stu/AppData/Local/Temp/OnboardLogs"&amp;"/RTDC"&amp;U51&amp;"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/c/Users/stu/AppData/Local/Temp/OnboardLogs/RTDC4058 --include="*4058*201708232*"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"%USERPROFILE%\AppData\Local\Temp\OnboardLogs"\RTDC4058\*4058*201708232* &gt;&gt; 2017-08-23-SliceDisagreementCheck.txt</v>
      </c>
      <c r="AE51" s="145" t="str">
        <f t="shared" si="1"/>
        <v>start /low /b %USERPROFILE%\Documents\GitHub\eaglep3\Utilities\DownloadLogsFromS3.py --loco 4058 --day 2017-08-23</v>
      </c>
      <c r="AF51" s="1"/>
    </row>
    <row r="52" spans="1:32" x14ac:dyDescent="0.25">
      <c r="A52" s="31">
        <v>42970.592638888891</v>
      </c>
      <c r="B52" s="30" t="s">
        <v>421</v>
      </c>
      <c r="C52" s="30" t="s">
        <v>555</v>
      </c>
      <c r="D52" s="30" t="s">
        <v>96</v>
      </c>
      <c r="E52" s="30" t="s">
        <v>181</v>
      </c>
      <c r="F52" s="42">
        <v>0</v>
      </c>
      <c r="G52" s="42">
        <v>3</v>
      </c>
      <c r="H52" s="42">
        <v>112612</v>
      </c>
      <c r="I52" s="42">
        <v>0</v>
      </c>
      <c r="J52" s="30" t="s">
        <v>182</v>
      </c>
      <c r="K52" s="42">
        <v>112612</v>
      </c>
      <c r="L52" s="131" t="s">
        <v>50</v>
      </c>
      <c r="M52" s="132">
        <f>CONVERT((I52-K52)/10000,"mi","ft")*IF(L52="Increasing Mileposts (1)",-1,1)</f>
        <v>59459.135999999999</v>
      </c>
      <c r="N52" s="133" t="str">
        <f>VLOOKUP(C52,'Trips&amp;Operators'!$C$1:$G$99911,5,FALSE)</f>
        <v>MOSES BRADLEY</v>
      </c>
      <c r="O52" s="203" t="s">
        <v>180</v>
      </c>
      <c r="P52" s="134"/>
      <c r="Q52" s="30"/>
      <c r="R52" s="81" t="str">
        <f>VLOOKUP(C52,'Train Runs'!$A$13:$AE$9913,31,0)</f>
        <v>aws s3 cp s3://rtdc.mdm.uploadarchive.raw/RTDC4058/ "%USERPROFILE%\AppData\Local\Temp\OnboardLogs"\RTDC4058\2017-08-23 --exclude "*" --recursive --include "*20170823*" &amp; "%USERPROFILE%\Documents\GitHub\mrs-test-scripts\Headless Mode &amp; Sideloading\WalkAndUnGZ.bat" "%USERPROFILE%\AppData\Local\Temp\OnboardLogs"\RTDC4058\2017-08-23 &amp; aws s3 cp s3://rtdc.mdm.uploadarchive.raw/RTDC4058/ "%USERPROFILE%\AppData\Local\Temp\OnboardLogs"\RTDC4058\2017-08-24 --exclude "*" --recursive --include "*20170824*" &amp; "%USERPROFILE%\Documents\GitHub\mrs-test-scripts\Headless Mode &amp; Sideloading\WalkAndUnGZ.bat" "%USERPROFILE%\AppData\Local\Temp\OnboardLogs"\RTDC4058\2017-08-24</v>
      </c>
      <c r="S52" s="84" t="str">
        <f>VLOOKUP(C52,'Train Runs'!$A$13:$AE$9913,22,0)</f>
        <v>https://d0f6bd738d7f1b3e5a7ca70fe4ff75f0.us-east-1.aws.found.io/app/kibana#/discover/Steve-Slow-Train-Analysis-(2080s-and-2083s)?_g=(refreshInterval:(display:Off,pause:!f,section:0,value:0),time:(from:'2017-08-23T12:35:50-0600',mode:absolute,to:'2017-08-23T15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2" s="86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/stypes="*4058*201708232*" /stext=" 20:.+((SYSTEM_STATE.+slice.+state.+changed )|(ment ac)|(multiple cpu faults)|(system.+state.+changed )|(\[timeout)|(PRM\|1\|D)|(kpr)|(kdp)|(train st.+moving)|(\|lc)|(penalty))"</v>
      </c>
      <c r="U52" s="9" t="str">
        <f>MID(B52,13,4)</f>
        <v>4058</v>
      </c>
      <c r="V52" s="31">
        <f>A52-utc_offset/24</f>
        <v>42970.842638888891</v>
      </c>
      <c r="W52" s="45" t="str">
        <f>DetSubdiv(C52)</f>
        <v>Shuttle/Test</v>
      </c>
      <c r="X52" s="22">
        <f>VALUE(LEFT(C52,LEN(C52)-3))</f>
        <v>71</v>
      </c>
      <c r="Y52" s="96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-23","description":"","custom_fields":[{"id":1,"name":"Subdivision","value":"Shuttle/Test"},{"id":4,"name":"Milepost","value":"11.2612"},{"id":17,"name":"Train ID","value":"71-23"},{"id":16,"name":"Locomotive ID","value":"4058"},{"id":130,"name":"Impact","value":""},{"id":150,"name":"Time of Event (Mountain Time)","value":"14:13:24"},{"id":151,"name":"Denver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>"grep -hrE -A400 ""Enforcement Action"" "&amp;"/c/Users/stu/AppData/Local/Temp/OnboardLogs"&amp;"/RTDC"&amp;U52&amp;" --include=""*"&amp;U52&amp;"*"&amp;TEXT(A52-utc_offset/24,"YYYYMMDD")&amp;LEFT(TEXT(A52-utc_offset/24,"HH"),1)&amp;"*"" | grep -E ""((Enforcement Ac)|(PRM))"" -"</f>
        <v>grep -hrE -A400 "Enforcement Action" /c/Users/stu/AppData/Local/Temp/OnboardLogs/RTDC4058 --include="*4058*201708232*"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"%USERPROFILE%\AppData\Local\Temp\OnboardLogs"\RTDC4058\*4058*201708232* &gt;&gt; 2017-08-23-SliceDisagreementCheck.txt</v>
      </c>
      <c r="AE52" s="145" t="str">
        <f t="shared" si="1"/>
        <v>start /low /b %USERPROFILE%\Documents\GitHub\eaglep3\Utilities\DownloadLogsFromS3.py --loco 4058 --day 2017-08-23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52"/>
      <sortCondition ref="E7:E52"/>
      <sortCondition ref="K7:K52"/>
      <sortCondition ref="F7:F52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9" t="str">
        <f>"Trips that did not appear in PTC Data "&amp;TEXT(Variables!$A$2,"YYYY-mm-dd")</f>
        <v>Trips that did not appear in PTC Data 2017-08-23</v>
      </c>
      <c r="C1" s="219"/>
      <c r="D1" s="219"/>
      <c r="E1" s="219"/>
      <c r="F1" s="219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-23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0" t="e">
        <f>VLOOKUP(B3,'Train Runs'!$A$13:$A$99910,1,FALSE)</f>
        <v>#N/A</v>
      </c>
    </row>
    <row r="4" spans="1:10" x14ac:dyDescent="0.25">
      <c r="A4" s="195"/>
      <c r="B4" s="42" t="str">
        <f>A4&amp;"-"&amp;IF(DAY(Variables!$A$2)&lt;10,0,"")&amp;DAY(Variables!$A$2)</f>
        <v>-23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Runs'!$A$13:$A$99910,1,FALSE)</f>
        <v>#N/A</v>
      </c>
    </row>
    <row r="5" spans="1:10" x14ac:dyDescent="0.25">
      <c r="A5" s="195"/>
      <c r="B5" s="42" t="str">
        <f>A5&amp;"-"&amp;IF(DAY(Variables!$A$2)&lt;10,0,"")&amp;DAY(Variables!$A$2)</f>
        <v>-23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Runs'!$A$13:$A$99910,1,FALSE)</f>
        <v>#N/A</v>
      </c>
    </row>
    <row r="6" spans="1:10" x14ac:dyDescent="0.25">
      <c r="A6" s="195"/>
      <c r="B6" s="42" t="str">
        <f>A6&amp;"-"&amp;IF(DAY(Variables!$A$2)&lt;10,0,"")&amp;DAY(Variables!$A$2)</f>
        <v>-23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Runs'!$A$13:$A$99910,1,FALSE)</f>
        <v>#N/A</v>
      </c>
    </row>
    <row r="7" spans="1:10" x14ac:dyDescent="0.25">
      <c r="A7" s="195"/>
      <c r="B7" s="42" t="str">
        <f>A7&amp;"-"&amp;IF(DAY(Variables!$A$2)&lt;10,0,"")&amp;DAY(Variables!$A$2)</f>
        <v>-23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ref="I7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Runs'!$A$13:$A$99910,1,FALSE)</f>
        <v>#N/A</v>
      </c>
    </row>
    <row r="8" spans="1:10" x14ac:dyDescent="0.25">
      <c r="A8" s="195"/>
      <c r="B8" s="42" t="str">
        <f>A8&amp;"-"&amp;IF(DAY(Variables!$A$2)&lt;10,0,"")&amp;DAY(Variables!$A$2)</f>
        <v>-23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Runs'!$A$13:$A$99910,1,FALSE)</f>
        <v>#N/A</v>
      </c>
    </row>
    <row r="9" spans="1:10" x14ac:dyDescent="0.25">
      <c r="A9" s="195"/>
      <c r="B9" s="42" t="str">
        <f>A9&amp;"-"&amp;IF(DAY(Variables!$A$2)&lt;10,0,"")&amp;DAY(Variables!$A$2)</f>
        <v>-23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Runs'!$A$13:$A$99910,1,FALSE)</f>
        <v>#N/A</v>
      </c>
    </row>
    <row r="10" spans="1:10" x14ac:dyDescent="0.25">
      <c r="A10" s="195"/>
      <c r="B10" s="42" t="str">
        <f>A10&amp;"-"&amp;IF(DAY(Variables!$A$2)&lt;10,0,"")&amp;DAY(Variables!$A$2)</f>
        <v>-23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Runs'!$A$13:$A$99910,1,FALSE)</f>
        <v>#N/A</v>
      </c>
    </row>
    <row r="11" spans="1:10" x14ac:dyDescent="0.25">
      <c r="A11" s="195"/>
      <c r="B11" s="42" t="str">
        <f>A11&amp;"-"&amp;IF(DAY(Variables!$A$2)&lt;10,0,"")&amp;DAY(Variables!$A$2)</f>
        <v>-23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Runs'!$A$13:$A$99910,1,FALSE)</f>
        <v>#N/A</v>
      </c>
    </row>
    <row r="12" spans="1:10" x14ac:dyDescent="0.25">
      <c r="A12" s="195"/>
      <c r="B12" s="42" t="str">
        <f>A12&amp;"-"&amp;IF(DAY(Variables!$A$2)&lt;10,0,"")&amp;DAY(Variables!$A$2)</f>
        <v>-23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Runs'!$A$13:$A$99910,1,FALSE)</f>
        <v>#N/A</v>
      </c>
    </row>
    <row r="13" spans="1:10" x14ac:dyDescent="0.25">
      <c r="A13" s="195"/>
      <c r="B13" s="42" t="str">
        <f>A13&amp;"-"&amp;IF(DAY(Variables!$A$2)&lt;10,0,"")&amp;DAY(Variables!$A$2)</f>
        <v>-23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Runs'!$A$13:$A$99910,1,FALSE)</f>
        <v>#N/A</v>
      </c>
    </row>
    <row r="14" spans="1:10" x14ac:dyDescent="0.25">
      <c r="A14" s="195"/>
      <c r="B14" s="42" t="str">
        <f>A14&amp;"-"&amp;IF(DAY(Variables!$A$2)&lt;10,0,"")&amp;DAY(Variables!$A$2)</f>
        <v>-23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Runs'!$A$13:$A$99910,1,FALSE)</f>
        <v>#N/A</v>
      </c>
    </row>
    <row r="15" spans="1:10" x14ac:dyDescent="0.25">
      <c r="A15" s="195"/>
      <c r="B15" s="42" t="str">
        <f>A15&amp;"-"&amp;IF(DAY(Variables!$A$2)&lt;10,0,"")&amp;DAY(Variables!$A$2)</f>
        <v>-23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Runs'!$A$13:$A$99910,1,FALSE)</f>
        <v>#N/A</v>
      </c>
    </row>
    <row r="16" spans="1:10" x14ac:dyDescent="0.25">
      <c r="A16" s="195"/>
      <c r="B16" s="42" t="str">
        <f>A16&amp;"-"&amp;IF(DAY(Variables!$A$2)&lt;10,0,"")&amp;DAY(Variables!$A$2)</f>
        <v>-23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Runs'!$A$13:$A$99910,1,FALSE)</f>
        <v>#N/A</v>
      </c>
    </row>
    <row r="17" spans="1:10" x14ac:dyDescent="0.25">
      <c r="A17" s="195"/>
      <c r="B17" s="42" t="str">
        <f>A17&amp;"-"&amp;IF(DAY(Variables!$A$2)&lt;10,0,"")&amp;DAY(Variables!$A$2)</f>
        <v>-23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Runs'!$A$13:$A$99910,1,FALSE)</f>
        <v>#N/A</v>
      </c>
    </row>
    <row r="18" spans="1:10" x14ac:dyDescent="0.25">
      <c r="A18" s="195"/>
      <c r="B18" s="42" t="str">
        <f>A18&amp;"-"&amp;IF(DAY(Variables!$A$2)&lt;10,0,"")&amp;DAY(Variables!$A$2)</f>
        <v>-23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Runs'!$A$13:$A$99910,1,FALSE)</f>
        <v>#N/A</v>
      </c>
    </row>
    <row r="19" spans="1:10" x14ac:dyDescent="0.25">
      <c r="A19" s="195"/>
      <c r="B19" s="42" t="str">
        <f>A19&amp;"-"&amp;IF(DAY(Variables!$A$2)&lt;10,0,"")&amp;DAY(Variables!$A$2)</f>
        <v>-23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0" t="e">
        <f>VLOOKUP(B19,'Train Runs'!$A$13:$A$99910,1,FALSE)</f>
        <v>#N/A</v>
      </c>
    </row>
    <row r="20" spans="1:10" x14ac:dyDescent="0.25">
      <c r="A20" s="195"/>
      <c r="B20" s="42" t="str">
        <f>A20&amp;"-"&amp;IF(DAY(Variables!$A$2)&lt;10,0,"")&amp;DAY(Variables!$A$2)</f>
        <v>-23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0" t="e">
        <f>VLOOKUP(B20,'Train Runs'!$A$13:$A$99910,1,FALSE)</f>
        <v>#N/A</v>
      </c>
    </row>
    <row r="21" spans="1:10" x14ac:dyDescent="0.25">
      <c r="A21" s="195"/>
      <c r="B21" s="42" t="str">
        <f>A21&amp;"-"&amp;IF(DAY(Variables!$A$2)&lt;10,0,"")&amp;DAY(Variables!$A$2)</f>
        <v>-23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0" t="e">
        <f>VLOOKUP(B21,'Train Runs'!$A$13:$A$99910,1,FALSE)</f>
        <v>#N/A</v>
      </c>
    </row>
    <row r="22" spans="1:10" x14ac:dyDescent="0.25">
      <c r="A22" s="195"/>
      <c r="B22" s="42" t="str">
        <f>A22&amp;"-"&amp;IF(DAY(Variables!$A$2)&lt;10,0,"")&amp;DAY(Variables!$A$2)</f>
        <v>-23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0" t="e">
        <f>VLOOKUP(B22,'Train Runs'!$A$13:$A$99910,1,FALSE)</f>
        <v>#N/A</v>
      </c>
    </row>
    <row r="23" spans="1:10" x14ac:dyDescent="0.25">
      <c r="A23" s="195"/>
      <c r="B23" s="42" t="str">
        <f>A23&amp;"-"&amp;IF(DAY(Variables!$A$2)&lt;10,0,"")&amp;DAY(Variables!$A$2)</f>
        <v>-23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0" t="e">
        <f>VLOOKUP(B23,'Train Runs'!$A$13:$A$99910,1,FALSE)</f>
        <v>#N/A</v>
      </c>
    </row>
    <row r="24" spans="1:10" x14ac:dyDescent="0.25">
      <c r="A24" s="195"/>
      <c r="B24" s="42" t="str">
        <f>A24&amp;"-"&amp;IF(DAY(Variables!$A$2)&lt;10,0,"")&amp;DAY(Variables!$A$2)</f>
        <v>-23</v>
      </c>
      <c r="C24" s="135"/>
      <c r="D24" s="153"/>
      <c r="E24" s="30"/>
      <c r="F24" s="21" t="e">
        <f>VLOOKUP(B24,'Trips&amp;Operators'!$C$2:$E$9912,3,FALSE)</f>
        <v>#N/A</v>
      </c>
      <c r="G24" s="21" t="e">
        <f>VLOOKUP(B24,'Trips&amp;Operators'!$C$1:$F$9912,4,FALSE)</f>
        <v>#N/A</v>
      </c>
      <c r="H24" s="29" t="e">
        <f>VLOOKUP(B24,'Trips&amp;Operators'!$C$1:$H$9912,5,FALSE)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0" t="e">
        <f>VLOOKUP(B24,'Train Runs'!$A$13:$A$99910,1,FALSE)</f>
        <v>#N/A</v>
      </c>
    </row>
    <row r="25" spans="1:10" x14ac:dyDescent="0.25">
      <c r="A25" s="195"/>
      <c r="B25" s="42" t="str">
        <f>A25&amp;"-"&amp;IF(DAY(Variables!$A$2)&lt;10,0,"")&amp;DAY(Variables!$A$2)</f>
        <v>-23</v>
      </c>
      <c r="C25" s="135"/>
      <c r="D25" s="153"/>
      <c r="E25" s="30"/>
      <c r="F25" s="21" t="e">
        <f>VLOOKUP(B25,'Trips&amp;Operators'!$C$2:$E$9912,3,FALSE)</f>
        <v>#N/A</v>
      </c>
      <c r="G25" s="21" t="e">
        <f>VLOOKUP(B25,'Trips&amp;Operators'!$C$1:$F$9912,4,FALSE)</f>
        <v>#N/A</v>
      </c>
      <c r="H25" s="29" t="e">
        <f>VLOOKUP(B25,'Trips&amp;Operators'!$C$1:$H$9912,5,FALSE)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0" t="e">
        <f>VLOOKUP(B25,'Train Runs'!$A$13:$A$99910,1,FALSE)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activeCell="G249" sqref="G249:G26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42970.048229166663</v>
      </c>
      <c r="B2" s="20" t="s">
        <v>419</v>
      </c>
      <c r="C2" s="20" t="s">
        <v>501</v>
      </c>
      <c r="D2" s="138">
        <v>3490000</v>
      </c>
      <c r="E2" s="20" t="s">
        <v>455</v>
      </c>
      <c r="F2" s="20" t="s">
        <v>456</v>
      </c>
      <c r="G2" s="8" t="str">
        <f>E2&amp;" "&amp;F2</f>
        <v>WEST BRYAN</v>
      </c>
    </row>
    <row r="3" spans="1:7" x14ac:dyDescent="0.25">
      <c r="A3" s="8">
        <v>42970.057233796295</v>
      </c>
      <c r="B3" s="20" t="s">
        <v>437</v>
      </c>
      <c r="C3" s="20" t="s">
        <v>502</v>
      </c>
      <c r="D3" s="138">
        <v>2450000</v>
      </c>
      <c r="E3" s="20" t="s">
        <v>499</v>
      </c>
      <c r="F3" s="20" t="s">
        <v>500</v>
      </c>
      <c r="G3" s="8" t="str">
        <f t="shared" ref="G3:G66" si="0">E3&amp;" "&amp;F3</f>
        <v>NELSON ARIANE</v>
      </c>
    </row>
    <row r="4" spans="1:7" x14ac:dyDescent="0.25">
      <c r="A4" s="8">
        <v>42970.069918981484</v>
      </c>
      <c r="B4" s="20" t="s">
        <v>366</v>
      </c>
      <c r="C4" s="20" t="s">
        <v>503</v>
      </c>
      <c r="D4" s="138">
        <v>3000000</v>
      </c>
      <c r="E4" s="20" t="s">
        <v>497</v>
      </c>
      <c r="F4" s="20" t="s">
        <v>498</v>
      </c>
      <c r="G4" s="8" t="str">
        <f t="shared" si="0"/>
        <v>FORTUNATO FRANK</v>
      </c>
    </row>
    <row r="5" spans="1:7" x14ac:dyDescent="0.25">
      <c r="A5" s="8">
        <v>42970.092118055552</v>
      </c>
      <c r="B5" s="20" t="s">
        <v>438</v>
      </c>
      <c r="C5" s="20" t="s">
        <v>504</v>
      </c>
      <c r="D5" s="138">
        <v>2450000</v>
      </c>
      <c r="E5" s="20" t="s">
        <v>499</v>
      </c>
      <c r="F5" s="20" t="s">
        <v>500</v>
      </c>
      <c r="G5" s="8" t="str">
        <f t="shared" si="0"/>
        <v>NELSON ARIANE</v>
      </c>
    </row>
    <row r="6" spans="1:7" x14ac:dyDescent="0.25">
      <c r="A6" s="8">
        <v>42970.118437500001</v>
      </c>
      <c r="B6" s="20" t="s">
        <v>553</v>
      </c>
      <c r="C6" s="20" t="s">
        <v>592</v>
      </c>
      <c r="D6" s="138">
        <v>940000</v>
      </c>
      <c r="E6" s="20" t="s">
        <v>445</v>
      </c>
      <c r="F6" s="20" t="s">
        <v>446</v>
      </c>
      <c r="G6" s="8" t="str">
        <f t="shared" si="0"/>
        <v>BONDS REYNALDO</v>
      </c>
    </row>
    <row r="7" spans="1:7" x14ac:dyDescent="0.25">
      <c r="A7" s="8">
        <v>42970.129201388889</v>
      </c>
      <c r="B7" s="20" t="s">
        <v>584</v>
      </c>
      <c r="C7" s="20" t="s">
        <v>593</v>
      </c>
      <c r="D7" s="138">
        <v>1090000</v>
      </c>
      <c r="E7" s="20" t="s">
        <v>481</v>
      </c>
      <c r="F7" s="20" t="s">
        <v>191</v>
      </c>
      <c r="G7" s="8" t="str">
        <f t="shared" si="0"/>
        <v>SPECTOR MICHAEL</v>
      </c>
    </row>
    <row r="8" spans="1:7" x14ac:dyDescent="0.25">
      <c r="A8" s="8">
        <v>42970.130868055552</v>
      </c>
      <c r="B8" s="20" t="s">
        <v>549</v>
      </c>
      <c r="C8" s="20" t="s">
        <v>550</v>
      </c>
      <c r="D8" s="138">
        <v>940000</v>
      </c>
      <c r="E8" s="20" t="s">
        <v>445</v>
      </c>
      <c r="F8" s="20" t="s">
        <v>446</v>
      </c>
      <c r="G8" s="8" t="str">
        <f t="shared" si="0"/>
        <v>BONDS REYNALDO</v>
      </c>
    </row>
    <row r="9" spans="1:7" ht="15.75" thickBot="1" x14ac:dyDescent="0.3">
      <c r="A9" s="24">
        <v>42970.131967592592</v>
      </c>
      <c r="B9" s="20" t="s">
        <v>549</v>
      </c>
      <c r="C9" s="20" t="s">
        <v>550</v>
      </c>
      <c r="D9" s="138">
        <v>940000</v>
      </c>
      <c r="E9" s="20" t="s">
        <v>445</v>
      </c>
      <c r="F9" s="20" t="s">
        <v>446</v>
      </c>
      <c r="G9" s="8" t="str">
        <f t="shared" si="0"/>
        <v>BONDS REYNALDO</v>
      </c>
    </row>
    <row r="10" spans="1:7" x14ac:dyDescent="0.25">
      <c r="A10" s="8">
        <v>42970.138148148151</v>
      </c>
      <c r="B10" s="20" t="s">
        <v>434</v>
      </c>
      <c r="C10" s="20" t="s">
        <v>594</v>
      </c>
      <c r="D10" s="138">
        <v>2010000</v>
      </c>
      <c r="E10" s="20" t="s">
        <v>422</v>
      </c>
      <c r="F10" s="20" t="s">
        <v>423</v>
      </c>
      <c r="G10" s="8" t="str">
        <f t="shared" si="0"/>
        <v>MAELZER KURT</v>
      </c>
    </row>
    <row r="11" spans="1:7" x14ac:dyDescent="0.25">
      <c r="A11" s="8">
        <v>42970.140266203707</v>
      </c>
      <c r="B11" s="20" t="s">
        <v>553</v>
      </c>
      <c r="C11" s="20" t="s">
        <v>595</v>
      </c>
      <c r="D11" s="138">
        <v>1090000</v>
      </c>
      <c r="E11" s="20" t="s">
        <v>481</v>
      </c>
      <c r="F11" s="20" t="s">
        <v>191</v>
      </c>
      <c r="G11" s="8" t="str">
        <f t="shared" si="0"/>
        <v>SPECTOR MICHAEL</v>
      </c>
    </row>
    <row r="12" spans="1:7" x14ac:dyDescent="0.25">
      <c r="A12" s="8">
        <v>42970.152002314811</v>
      </c>
      <c r="B12" s="20" t="s">
        <v>441</v>
      </c>
      <c r="C12" s="20" t="s">
        <v>596</v>
      </c>
      <c r="D12" s="138">
        <v>2010000</v>
      </c>
      <c r="E12" s="20" t="s">
        <v>422</v>
      </c>
      <c r="F12" s="20" t="s">
        <v>423</v>
      </c>
      <c r="G12" s="8" t="str">
        <f t="shared" si="0"/>
        <v>MAELZER KURT</v>
      </c>
    </row>
    <row r="13" spans="1:7" x14ac:dyDescent="0.25">
      <c r="A13" s="8">
        <v>42970.160208333335</v>
      </c>
      <c r="B13" s="20" t="s">
        <v>411</v>
      </c>
      <c r="C13" s="20" t="s">
        <v>597</v>
      </c>
      <c r="D13" s="138">
        <v>1110000</v>
      </c>
      <c r="E13" s="20" t="s">
        <v>439</v>
      </c>
      <c r="F13" s="20" t="s">
        <v>440</v>
      </c>
      <c r="G13" s="8" t="str">
        <f t="shared" si="0"/>
        <v>STARKS ANGELINA</v>
      </c>
    </row>
    <row r="14" spans="1:7" x14ac:dyDescent="0.25">
      <c r="A14" s="8">
        <v>42970.167638888888</v>
      </c>
      <c r="B14" s="20" t="s">
        <v>484</v>
      </c>
      <c r="C14" s="20" t="s">
        <v>598</v>
      </c>
      <c r="D14" s="138">
        <v>1540000</v>
      </c>
      <c r="E14" s="20" t="s">
        <v>482</v>
      </c>
      <c r="F14" s="20" t="s">
        <v>483</v>
      </c>
      <c r="G14" s="8" t="str">
        <f t="shared" si="0"/>
        <v>HELVIE ADAM</v>
      </c>
    </row>
    <row r="15" spans="1:7" x14ac:dyDescent="0.25">
      <c r="A15" s="8">
        <v>42970.169699074075</v>
      </c>
      <c r="B15" s="20" t="s">
        <v>565</v>
      </c>
      <c r="C15" s="20" t="s">
        <v>599</v>
      </c>
      <c r="D15" s="138">
        <v>940000</v>
      </c>
      <c r="E15" s="20" t="s">
        <v>445</v>
      </c>
      <c r="F15" s="20" t="s">
        <v>446</v>
      </c>
      <c r="G15" s="8" t="str">
        <f t="shared" si="0"/>
        <v>BONDS REYNALDO</v>
      </c>
    </row>
    <row r="16" spans="1:7" x14ac:dyDescent="0.25">
      <c r="A16" s="8">
        <v>42970.174270833333</v>
      </c>
      <c r="B16" s="20" t="s">
        <v>412</v>
      </c>
      <c r="C16" s="20" t="s">
        <v>600</v>
      </c>
      <c r="D16" s="138">
        <v>1110000</v>
      </c>
      <c r="E16" s="20" t="s">
        <v>439</v>
      </c>
      <c r="F16" s="20" t="s">
        <v>440</v>
      </c>
      <c r="G16" s="8" t="str">
        <f t="shared" si="0"/>
        <v>STARKS ANGELINA</v>
      </c>
    </row>
    <row r="17" spans="1:7" x14ac:dyDescent="0.25">
      <c r="A17" s="8">
        <v>42970.178738425922</v>
      </c>
      <c r="B17" s="20" t="s">
        <v>601</v>
      </c>
      <c r="C17" s="20" t="s">
        <v>602</v>
      </c>
      <c r="D17" s="138">
        <v>1990000</v>
      </c>
      <c r="E17" s="20" t="s">
        <v>351</v>
      </c>
      <c r="F17" s="20" t="s">
        <v>603</v>
      </c>
      <c r="G17" s="8" t="str">
        <f t="shared" si="0"/>
        <v>DAVIS WENDY</v>
      </c>
    </row>
    <row r="18" spans="1:7" x14ac:dyDescent="0.25">
      <c r="A18" s="8">
        <v>42970.186944444446</v>
      </c>
      <c r="B18" s="20" t="s">
        <v>480</v>
      </c>
      <c r="C18" s="20" t="s">
        <v>604</v>
      </c>
      <c r="D18" s="138">
        <v>1540000</v>
      </c>
      <c r="E18" s="20" t="s">
        <v>482</v>
      </c>
      <c r="F18" s="20" t="s">
        <v>483</v>
      </c>
      <c r="G18" s="8" t="str">
        <f t="shared" si="0"/>
        <v>HELVIE ADAM</v>
      </c>
    </row>
    <row r="19" spans="1:7" x14ac:dyDescent="0.25">
      <c r="A19" s="8">
        <v>42970.187916666669</v>
      </c>
      <c r="B19" s="20" t="s">
        <v>434</v>
      </c>
      <c r="C19" s="20" t="s">
        <v>605</v>
      </c>
      <c r="D19" s="138">
        <v>2010000</v>
      </c>
      <c r="E19" s="20" t="s">
        <v>422</v>
      </c>
      <c r="F19" s="20" t="s">
        <v>423</v>
      </c>
      <c r="G19" s="8" t="str">
        <f t="shared" si="0"/>
        <v>MAELZER KURT</v>
      </c>
    </row>
    <row r="20" spans="1:7" x14ac:dyDescent="0.25">
      <c r="A20" s="8">
        <v>42970.194178240738</v>
      </c>
      <c r="B20" s="20" t="s">
        <v>436</v>
      </c>
      <c r="C20" s="20" t="s">
        <v>606</v>
      </c>
      <c r="D20" s="138">
        <v>1990000</v>
      </c>
      <c r="E20" s="20" t="s">
        <v>351</v>
      </c>
      <c r="F20" s="20" t="s">
        <v>603</v>
      </c>
      <c r="G20" s="8" t="str">
        <f t="shared" si="0"/>
        <v>DAVIS WENDY</v>
      </c>
    </row>
    <row r="21" spans="1:7" x14ac:dyDescent="0.25">
      <c r="A21" s="8">
        <v>42970.203009259261</v>
      </c>
      <c r="B21" s="20" t="s">
        <v>607</v>
      </c>
      <c r="C21" s="20" t="s">
        <v>608</v>
      </c>
      <c r="D21" s="138">
        <v>2560000</v>
      </c>
      <c r="E21" s="20" t="s">
        <v>424</v>
      </c>
      <c r="F21" s="20" t="s">
        <v>348</v>
      </c>
      <c r="G21" s="8" t="str">
        <f t="shared" si="0"/>
        <v>MACDONALD THOMAS</v>
      </c>
    </row>
    <row r="22" spans="1:7" x14ac:dyDescent="0.25">
      <c r="A22" s="26">
        <v>42970.206157407411</v>
      </c>
      <c r="B22" s="20" t="s">
        <v>549</v>
      </c>
      <c r="C22" s="20" t="s">
        <v>609</v>
      </c>
      <c r="D22" s="138">
        <v>940000</v>
      </c>
      <c r="E22" s="20" t="s">
        <v>445</v>
      </c>
      <c r="F22" s="20" t="s">
        <v>446</v>
      </c>
      <c r="G22" s="8" t="str">
        <f t="shared" si="0"/>
        <v>BONDS REYNALDO</v>
      </c>
    </row>
    <row r="23" spans="1:7" x14ac:dyDescent="0.25">
      <c r="A23" s="8">
        <v>42970.207743055558</v>
      </c>
      <c r="B23" s="20" t="s">
        <v>563</v>
      </c>
      <c r="C23" s="20" t="s">
        <v>610</v>
      </c>
      <c r="D23" s="138">
        <v>890000</v>
      </c>
      <c r="E23" s="20" t="s">
        <v>443</v>
      </c>
      <c r="F23" s="20" t="s">
        <v>444</v>
      </c>
      <c r="G23" s="8" t="str">
        <f t="shared" si="0"/>
        <v>LOZA FIDEL</v>
      </c>
    </row>
    <row r="24" spans="1:7" x14ac:dyDescent="0.25">
      <c r="A24" s="8">
        <v>42970.213009259256</v>
      </c>
      <c r="B24" s="20" t="s">
        <v>611</v>
      </c>
      <c r="C24" s="20" t="s">
        <v>612</v>
      </c>
      <c r="D24" s="138">
        <v>2560000</v>
      </c>
      <c r="E24" s="20" t="s">
        <v>424</v>
      </c>
      <c r="F24" s="20" t="s">
        <v>348</v>
      </c>
      <c r="G24" s="8" t="str">
        <f t="shared" si="0"/>
        <v>MACDONALD THOMAS</v>
      </c>
    </row>
    <row r="25" spans="1:7" x14ac:dyDescent="0.25">
      <c r="A25" s="8">
        <v>42970.214791666665</v>
      </c>
      <c r="B25" s="20" t="s">
        <v>411</v>
      </c>
      <c r="C25" s="20" t="s">
        <v>551</v>
      </c>
      <c r="D25" s="138">
        <v>1110000</v>
      </c>
      <c r="E25" s="20" t="s">
        <v>439</v>
      </c>
      <c r="F25" s="20" t="s">
        <v>440</v>
      </c>
      <c r="G25" s="8" t="str">
        <f t="shared" si="0"/>
        <v>STARKS ANGELINA</v>
      </c>
    </row>
    <row r="26" spans="1:7" x14ac:dyDescent="0.25">
      <c r="A26" s="8">
        <v>42970.217627314814</v>
      </c>
      <c r="B26" s="20" t="s">
        <v>435</v>
      </c>
      <c r="C26" s="20" t="s">
        <v>613</v>
      </c>
      <c r="D26" s="138">
        <v>890000</v>
      </c>
      <c r="E26" s="20" t="s">
        <v>443</v>
      </c>
      <c r="F26" s="20" t="s">
        <v>444</v>
      </c>
      <c r="G26" s="8" t="str">
        <f t="shared" si="0"/>
        <v>LOZA FIDEL</v>
      </c>
    </row>
    <row r="27" spans="1:7" x14ac:dyDescent="0.25">
      <c r="A27" s="8">
        <v>42970.223738425928</v>
      </c>
      <c r="B27" s="20" t="s">
        <v>484</v>
      </c>
      <c r="C27" s="20" t="s">
        <v>614</v>
      </c>
      <c r="D27" s="138">
        <v>1540000</v>
      </c>
      <c r="E27" s="20" t="s">
        <v>482</v>
      </c>
      <c r="F27" s="20" t="s">
        <v>483</v>
      </c>
      <c r="G27" s="8" t="str">
        <f t="shared" si="0"/>
        <v>HELVIE ADAM</v>
      </c>
    </row>
    <row r="28" spans="1:7" x14ac:dyDescent="0.25">
      <c r="A28" s="8">
        <v>42970.224548611113</v>
      </c>
      <c r="B28" s="20" t="s">
        <v>558</v>
      </c>
      <c r="C28" s="20" t="s">
        <v>615</v>
      </c>
      <c r="D28" s="138">
        <v>2730000</v>
      </c>
      <c r="E28" s="20" t="s">
        <v>485</v>
      </c>
      <c r="F28" s="20" t="s">
        <v>486</v>
      </c>
      <c r="G28" s="8" t="str">
        <f t="shared" si="0"/>
        <v>YANG JAN</v>
      </c>
    </row>
    <row r="29" spans="1:7" x14ac:dyDescent="0.25">
      <c r="A29" s="8">
        <v>42970.225752314815</v>
      </c>
      <c r="B29" s="20" t="s">
        <v>441</v>
      </c>
      <c r="C29" s="20" t="s">
        <v>616</v>
      </c>
      <c r="D29" s="138">
        <v>2010000</v>
      </c>
      <c r="E29" s="20" t="s">
        <v>422</v>
      </c>
      <c r="F29" s="20" t="s">
        <v>423</v>
      </c>
      <c r="G29" s="8" t="str">
        <f t="shared" si="0"/>
        <v>MAELZER KURT</v>
      </c>
    </row>
    <row r="30" spans="1:7" x14ac:dyDescent="0.25">
      <c r="A30" s="8">
        <v>42970.227268518516</v>
      </c>
      <c r="B30" s="20" t="s">
        <v>411</v>
      </c>
      <c r="C30" s="20" t="s">
        <v>551</v>
      </c>
      <c r="D30" s="138">
        <v>1110000</v>
      </c>
      <c r="E30" s="20" t="s">
        <v>439</v>
      </c>
      <c r="F30" s="20" t="s">
        <v>440</v>
      </c>
      <c r="G30" s="8" t="str">
        <f t="shared" si="0"/>
        <v>STARKS ANGELINA</v>
      </c>
    </row>
    <row r="31" spans="1:7" x14ac:dyDescent="0.25">
      <c r="A31" s="8">
        <v>42970.22792824074</v>
      </c>
      <c r="B31" s="20" t="s">
        <v>584</v>
      </c>
      <c r="C31" s="20" t="s">
        <v>617</v>
      </c>
      <c r="D31" s="138">
        <v>1090000</v>
      </c>
      <c r="E31" s="20" t="s">
        <v>481</v>
      </c>
      <c r="F31" s="20" t="s">
        <v>191</v>
      </c>
      <c r="G31" s="8" t="str">
        <f t="shared" si="0"/>
        <v>SPECTOR MICHAEL</v>
      </c>
    </row>
    <row r="32" spans="1:7" x14ac:dyDescent="0.25">
      <c r="A32" s="8">
        <v>42970.232546296298</v>
      </c>
      <c r="B32" s="20" t="s">
        <v>553</v>
      </c>
      <c r="C32" s="20" t="s">
        <v>618</v>
      </c>
      <c r="D32" s="138">
        <v>1090000</v>
      </c>
      <c r="E32" s="20" t="s">
        <v>481</v>
      </c>
      <c r="F32" s="20" t="s">
        <v>191</v>
      </c>
      <c r="G32" s="8" t="str">
        <f t="shared" si="0"/>
        <v>SPECTOR MICHAEL</v>
      </c>
    </row>
    <row r="33" spans="1:7" x14ac:dyDescent="0.25">
      <c r="A33" s="8">
        <v>42970.235254629632</v>
      </c>
      <c r="B33" s="20" t="s">
        <v>411</v>
      </c>
      <c r="C33" s="20" t="s">
        <v>551</v>
      </c>
      <c r="D33" s="138">
        <v>1110000</v>
      </c>
      <c r="E33" s="20" t="s">
        <v>439</v>
      </c>
      <c r="F33" s="20" t="s">
        <v>440</v>
      </c>
      <c r="G33" s="8" t="str">
        <f t="shared" si="0"/>
        <v>STARKS ANGELINA</v>
      </c>
    </row>
    <row r="34" spans="1:7" x14ac:dyDescent="0.25">
      <c r="A34" s="8">
        <v>42970.235277777778</v>
      </c>
      <c r="B34" s="20" t="s">
        <v>601</v>
      </c>
      <c r="C34" s="20" t="s">
        <v>619</v>
      </c>
      <c r="D34" s="138">
        <v>1990000</v>
      </c>
      <c r="E34" s="20" t="s">
        <v>351</v>
      </c>
      <c r="F34" s="20" t="s">
        <v>603</v>
      </c>
      <c r="G34" s="8" t="str">
        <f t="shared" si="0"/>
        <v>DAVIS WENDY</v>
      </c>
    </row>
    <row r="35" spans="1:7" x14ac:dyDescent="0.25">
      <c r="A35" s="8">
        <v>42970.236817129633</v>
      </c>
      <c r="B35" s="20" t="s">
        <v>575</v>
      </c>
      <c r="C35" s="20" t="s">
        <v>620</v>
      </c>
      <c r="D35" s="138">
        <v>1360000</v>
      </c>
      <c r="E35" s="20" t="s">
        <v>487</v>
      </c>
      <c r="F35" s="20" t="s">
        <v>488</v>
      </c>
      <c r="G35" s="8" t="str">
        <f t="shared" si="0"/>
        <v>SANTIZO D. EDY</v>
      </c>
    </row>
    <row r="36" spans="1:7" x14ac:dyDescent="0.25">
      <c r="A36" s="8">
        <v>42970.238888888889</v>
      </c>
      <c r="B36" s="20" t="s">
        <v>621</v>
      </c>
      <c r="C36" s="20" t="s">
        <v>622</v>
      </c>
      <c r="D36" s="138">
        <v>2730000</v>
      </c>
      <c r="E36" s="20" t="s">
        <v>485</v>
      </c>
      <c r="F36" s="20" t="s">
        <v>486</v>
      </c>
      <c r="G36" s="8" t="str">
        <f t="shared" si="0"/>
        <v>YANG JAN</v>
      </c>
    </row>
    <row r="37" spans="1:7" x14ac:dyDescent="0.25">
      <c r="A37" s="8">
        <v>42970.242546296293</v>
      </c>
      <c r="B37" s="20" t="s">
        <v>584</v>
      </c>
      <c r="C37" s="20" t="s">
        <v>623</v>
      </c>
      <c r="D37" s="138">
        <v>2560000</v>
      </c>
      <c r="E37" s="20" t="s">
        <v>424</v>
      </c>
      <c r="F37" s="20" t="s">
        <v>348</v>
      </c>
      <c r="G37" s="8" t="str">
        <f t="shared" si="0"/>
        <v>MACDONALD THOMAS</v>
      </c>
    </row>
    <row r="38" spans="1:7" x14ac:dyDescent="0.25">
      <c r="A38" s="8">
        <v>42970.246238425927</v>
      </c>
      <c r="B38" s="20" t="s">
        <v>565</v>
      </c>
      <c r="C38" s="20" t="s">
        <v>624</v>
      </c>
      <c r="D38" s="138">
        <v>940000</v>
      </c>
      <c r="E38" s="20" t="s">
        <v>445</v>
      </c>
      <c r="F38" s="20" t="s">
        <v>446</v>
      </c>
      <c r="G38" s="8" t="str">
        <f t="shared" si="0"/>
        <v>BONDS REYNALDO</v>
      </c>
    </row>
    <row r="39" spans="1:7" x14ac:dyDescent="0.25">
      <c r="A39" s="8">
        <v>42970.248437499999</v>
      </c>
      <c r="B39" s="20" t="s">
        <v>412</v>
      </c>
      <c r="C39" s="20" t="s">
        <v>625</v>
      </c>
      <c r="D39" s="138">
        <v>1110000</v>
      </c>
      <c r="E39" s="20" t="s">
        <v>439</v>
      </c>
      <c r="F39" s="20" t="s">
        <v>440</v>
      </c>
      <c r="G39" s="8" t="str">
        <f t="shared" si="0"/>
        <v>STARKS ANGELINA</v>
      </c>
    </row>
    <row r="40" spans="1:7" x14ac:dyDescent="0.25">
      <c r="A40" s="8">
        <v>42970.250625000001</v>
      </c>
      <c r="B40" s="25" t="s">
        <v>570</v>
      </c>
      <c r="C40" s="20" t="s">
        <v>626</v>
      </c>
      <c r="D40" s="138">
        <v>1360000</v>
      </c>
      <c r="E40" s="20" t="s">
        <v>487</v>
      </c>
      <c r="F40" s="20" t="s">
        <v>488</v>
      </c>
      <c r="G40" s="8" t="str">
        <f t="shared" si="0"/>
        <v>SANTIZO D. EDY</v>
      </c>
    </row>
    <row r="41" spans="1:7" x14ac:dyDescent="0.25">
      <c r="A41" s="8">
        <v>42970.253935185188</v>
      </c>
      <c r="B41" s="20" t="s">
        <v>563</v>
      </c>
      <c r="C41" s="20" t="s">
        <v>627</v>
      </c>
      <c r="D41" s="138">
        <v>890000</v>
      </c>
      <c r="E41" s="20" t="s">
        <v>443</v>
      </c>
      <c r="F41" s="20" t="s">
        <v>444</v>
      </c>
      <c r="G41" s="8" t="str">
        <f t="shared" si="0"/>
        <v>LOZA FIDEL</v>
      </c>
    </row>
    <row r="42" spans="1:7" x14ac:dyDescent="0.25">
      <c r="A42" s="8">
        <v>42970.255162037036</v>
      </c>
      <c r="B42" s="20" t="s">
        <v>553</v>
      </c>
      <c r="C42" s="20" t="s">
        <v>628</v>
      </c>
      <c r="D42" s="138">
        <v>2560000</v>
      </c>
      <c r="E42" s="20" t="s">
        <v>424</v>
      </c>
      <c r="F42" s="20" t="s">
        <v>348</v>
      </c>
      <c r="G42" s="8" t="str">
        <f t="shared" si="0"/>
        <v>MACDONALD THOMAS</v>
      </c>
    </row>
    <row r="43" spans="1:7" x14ac:dyDescent="0.25">
      <c r="A43" s="8">
        <v>42970.256296296298</v>
      </c>
      <c r="B43" s="20" t="s">
        <v>563</v>
      </c>
      <c r="C43" s="20" t="s">
        <v>627</v>
      </c>
      <c r="D43" s="138">
        <v>890000</v>
      </c>
      <c r="E43" s="20" t="s">
        <v>443</v>
      </c>
      <c r="F43" s="20" t="s">
        <v>444</v>
      </c>
      <c r="G43" s="8" t="str">
        <f t="shared" si="0"/>
        <v>LOZA FIDEL</v>
      </c>
    </row>
    <row r="44" spans="1:7" x14ac:dyDescent="0.25">
      <c r="A44" s="8">
        <v>42970.257754629631</v>
      </c>
      <c r="B44" s="20" t="s">
        <v>480</v>
      </c>
      <c r="C44" s="20" t="s">
        <v>629</v>
      </c>
      <c r="D44" s="138">
        <v>1540000</v>
      </c>
      <c r="E44" s="20" t="s">
        <v>482</v>
      </c>
      <c r="F44" s="20" t="s">
        <v>483</v>
      </c>
      <c r="G44" s="8" t="str">
        <f t="shared" si="0"/>
        <v>HELVIE ADAM</v>
      </c>
    </row>
    <row r="45" spans="1:7" x14ac:dyDescent="0.25">
      <c r="A45" s="8">
        <v>42970.265729166669</v>
      </c>
      <c r="B45" s="20" t="s">
        <v>607</v>
      </c>
      <c r="C45" s="20" t="s">
        <v>617</v>
      </c>
      <c r="D45" s="138">
        <v>1200000</v>
      </c>
      <c r="E45" s="20" t="s">
        <v>630</v>
      </c>
      <c r="F45" s="20" t="s">
        <v>631</v>
      </c>
      <c r="G45" s="8" t="str">
        <f t="shared" si="0"/>
        <v>CUSHING HARRY</v>
      </c>
    </row>
    <row r="46" spans="1:7" x14ac:dyDescent="0.25">
      <c r="A46" s="8">
        <v>42970.266597222224</v>
      </c>
      <c r="B46" s="20" t="s">
        <v>436</v>
      </c>
      <c r="C46" s="20" t="s">
        <v>632</v>
      </c>
      <c r="D46" s="138">
        <v>1990000</v>
      </c>
      <c r="E46" s="20" t="s">
        <v>351</v>
      </c>
      <c r="F46" s="20" t="s">
        <v>603</v>
      </c>
      <c r="G46" s="8" t="str">
        <f t="shared" si="0"/>
        <v>DAVIS WENDY</v>
      </c>
    </row>
    <row r="47" spans="1:7" x14ac:dyDescent="0.25">
      <c r="A47" s="8">
        <v>42970.26699074074</v>
      </c>
      <c r="B47" s="20" t="s">
        <v>607</v>
      </c>
      <c r="C47" s="20" t="s">
        <v>617</v>
      </c>
      <c r="D47" s="138">
        <v>1200000</v>
      </c>
      <c r="E47" s="20" t="s">
        <v>630</v>
      </c>
      <c r="F47" s="20" t="s">
        <v>631</v>
      </c>
      <c r="G47" s="8" t="str">
        <f t="shared" si="0"/>
        <v>CUSHING HARRY</v>
      </c>
    </row>
    <row r="48" spans="1:7" x14ac:dyDescent="0.25">
      <c r="A48" s="8">
        <v>42970.267488425925</v>
      </c>
      <c r="B48" s="20" t="s">
        <v>434</v>
      </c>
      <c r="C48" s="20" t="s">
        <v>633</v>
      </c>
      <c r="D48" s="138">
        <v>2010000</v>
      </c>
      <c r="E48" s="20" t="s">
        <v>422</v>
      </c>
      <c r="F48" s="20" t="s">
        <v>423</v>
      </c>
      <c r="G48" s="8" t="str">
        <f t="shared" si="0"/>
        <v>MAELZER KURT</v>
      </c>
    </row>
    <row r="49" spans="1:7" x14ac:dyDescent="0.25">
      <c r="A49" s="8">
        <v>42970.268229166664</v>
      </c>
      <c r="B49" s="20" t="s">
        <v>607</v>
      </c>
      <c r="C49" s="20" t="s">
        <v>617</v>
      </c>
      <c r="D49" s="138">
        <v>1200000</v>
      </c>
      <c r="E49" s="20" t="s">
        <v>630</v>
      </c>
      <c r="F49" s="20" t="s">
        <v>631</v>
      </c>
      <c r="G49" s="8" t="str">
        <f t="shared" si="0"/>
        <v>CUSHING HARRY</v>
      </c>
    </row>
    <row r="50" spans="1:7" x14ac:dyDescent="0.25">
      <c r="A50" s="8">
        <v>42970.27002314815</v>
      </c>
      <c r="B50" s="20" t="s">
        <v>584</v>
      </c>
      <c r="C50" s="20" t="s">
        <v>634</v>
      </c>
      <c r="D50" s="138">
        <v>2560000</v>
      </c>
      <c r="E50" s="20" t="s">
        <v>424</v>
      </c>
      <c r="F50" s="20" t="s">
        <v>348</v>
      </c>
      <c r="G50" s="8" t="str">
        <f t="shared" si="0"/>
        <v>MACDONALD THOMAS</v>
      </c>
    </row>
    <row r="51" spans="1:7" x14ac:dyDescent="0.25">
      <c r="A51" s="8">
        <v>42970.275243055556</v>
      </c>
      <c r="B51" s="20" t="s">
        <v>558</v>
      </c>
      <c r="C51" s="20" t="s">
        <v>635</v>
      </c>
      <c r="D51" s="138">
        <v>2730000</v>
      </c>
      <c r="E51" s="20" t="s">
        <v>485</v>
      </c>
      <c r="F51" s="20" t="s">
        <v>486</v>
      </c>
      <c r="G51" s="8" t="str">
        <f t="shared" si="0"/>
        <v>YANG JAN</v>
      </c>
    </row>
    <row r="52" spans="1:7" x14ac:dyDescent="0.25">
      <c r="A52" s="8">
        <v>42970.275868055556</v>
      </c>
      <c r="B52" s="20" t="s">
        <v>575</v>
      </c>
      <c r="C52" s="20" t="s">
        <v>636</v>
      </c>
      <c r="D52" s="138">
        <v>1360000</v>
      </c>
      <c r="E52" s="20" t="s">
        <v>487</v>
      </c>
      <c r="F52" s="20" t="s">
        <v>488</v>
      </c>
      <c r="G52" s="8" t="str">
        <f t="shared" si="0"/>
        <v>SANTIZO D. EDY</v>
      </c>
    </row>
    <row r="53" spans="1:7" x14ac:dyDescent="0.25">
      <c r="A53" s="8">
        <v>42970.277581018519</v>
      </c>
      <c r="B53" s="20" t="s">
        <v>411</v>
      </c>
      <c r="C53" s="20" t="s">
        <v>625</v>
      </c>
      <c r="D53" s="138">
        <v>1110000</v>
      </c>
      <c r="E53" s="20" t="s">
        <v>439</v>
      </c>
      <c r="F53" s="20" t="s">
        <v>440</v>
      </c>
      <c r="G53" s="8" t="str">
        <f t="shared" si="0"/>
        <v>STARKS ANGELINA</v>
      </c>
    </row>
    <row r="54" spans="1:7" x14ac:dyDescent="0.25">
      <c r="A54" s="8">
        <v>42970.278182870374</v>
      </c>
      <c r="B54" s="20" t="s">
        <v>549</v>
      </c>
      <c r="C54" s="20" t="s">
        <v>552</v>
      </c>
      <c r="D54" s="138">
        <v>940000</v>
      </c>
      <c r="E54" s="20" t="s">
        <v>445</v>
      </c>
      <c r="F54" s="20" t="s">
        <v>446</v>
      </c>
      <c r="G54" s="8" t="str">
        <f t="shared" si="0"/>
        <v>BONDS REYNALDO</v>
      </c>
    </row>
    <row r="55" spans="1:7" x14ac:dyDescent="0.25">
      <c r="A55" s="8">
        <v>42970.278263888889</v>
      </c>
      <c r="B55" s="20" t="s">
        <v>411</v>
      </c>
      <c r="C55" s="20" t="s">
        <v>637</v>
      </c>
      <c r="D55" s="138">
        <v>1110000</v>
      </c>
      <c r="E55" s="20" t="s">
        <v>439</v>
      </c>
      <c r="F55" s="20" t="s">
        <v>440</v>
      </c>
      <c r="G55" s="8" t="str">
        <f t="shared" si="0"/>
        <v>STARKS ANGELINA</v>
      </c>
    </row>
    <row r="56" spans="1:7" x14ac:dyDescent="0.25">
      <c r="A56" s="8">
        <v>42970.286874999998</v>
      </c>
      <c r="B56" s="20" t="s">
        <v>387</v>
      </c>
      <c r="C56" s="20" t="s">
        <v>638</v>
      </c>
      <c r="D56" s="138">
        <v>1200000</v>
      </c>
      <c r="E56" s="20" t="s">
        <v>630</v>
      </c>
      <c r="F56" s="20" t="s">
        <v>631</v>
      </c>
      <c r="G56" s="8" t="str">
        <f t="shared" si="0"/>
        <v>CUSHING HARRY</v>
      </c>
    </row>
    <row r="57" spans="1:7" x14ac:dyDescent="0.25">
      <c r="A57" s="8">
        <v>42970.288472222222</v>
      </c>
      <c r="B57" s="20" t="s">
        <v>435</v>
      </c>
      <c r="C57" s="20" t="s">
        <v>639</v>
      </c>
      <c r="D57" s="138">
        <v>890000</v>
      </c>
      <c r="E57" s="20" t="s">
        <v>443</v>
      </c>
      <c r="F57" s="20" t="s">
        <v>444</v>
      </c>
      <c r="G57" s="8" t="str">
        <f t="shared" si="0"/>
        <v>LOZA FIDEL</v>
      </c>
    </row>
    <row r="58" spans="1:7" x14ac:dyDescent="0.25">
      <c r="A58" s="8">
        <v>42970.29042824074</v>
      </c>
      <c r="B58" s="20" t="s">
        <v>570</v>
      </c>
      <c r="C58" s="20" t="s">
        <v>640</v>
      </c>
      <c r="D58" s="138">
        <v>1360000</v>
      </c>
      <c r="E58" s="20" t="s">
        <v>487</v>
      </c>
      <c r="F58" s="20" t="s">
        <v>488</v>
      </c>
      <c r="G58" s="8" t="str">
        <f t="shared" si="0"/>
        <v>SANTIZO D. EDY</v>
      </c>
    </row>
    <row r="59" spans="1:7" x14ac:dyDescent="0.25">
      <c r="A59" s="8">
        <v>42970.295810185184</v>
      </c>
      <c r="B59" s="20" t="s">
        <v>553</v>
      </c>
      <c r="C59" s="20" t="s">
        <v>641</v>
      </c>
      <c r="D59" s="138">
        <v>2560000</v>
      </c>
      <c r="E59" s="20" t="s">
        <v>424</v>
      </c>
      <c r="F59" s="20" t="s">
        <v>348</v>
      </c>
      <c r="G59" s="8" t="str">
        <f t="shared" si="0"/>
        <v>MACDONALD THOMAS</v>
      </c>
    </row>
    <row r="60" spans="1:7" x14ac:dyDescent="0.25">
      <c r="A60" s="8">
        <v>42970.297488425924</v>
      </c>
      <c r="B60" s="20" t="s">
        <v>441</v>
      </c>
      <c r="C60" s="20" t="s">
        <v>642</v>
      </c>
      <c r="D60" s="138">
        <v>2010000</v>
      </c>
      <c r="E60" s="20" t="s">
        <v>422</v>
      </c>
      <c r="F60" s="20" t="s">
        <v>423</v>
      </c>
      <c r="G60" s="8" t="str">
        <f t="shared" si="0"/>
        <v>MAELZER KURT</v>
      </c>
    </row>
    <row r="61" spans="1:7" x14ac:dyDescent="0.25">
      <c r="A61" s="8">
        <v>42970.298101851855</v>
      </c>
      <c r="B61" s="20" t="s">
        <v>484</v>
      </c>
      <c r="C61" s="20" t="s">
        <v>643</v>
      </c>
      <c r="D61" s="138">
        <v>1540000</v>
      </c>
      <c r="E61" s="20" t="s">
        <v>482</v>
      </c>
      <c r="F61" s="20" t="s">
        <v>483</v>
      </c>
      <c r="G61" s="8" t="str">
        <f t="shared" si="0"/>
        <v>HELVIE ADAM</v>
      </c>
    </row>
    <row r="62" spans="1:7" x14ac:dyDescent="0.25">
      <c r="A62" s="8">
        <v>42970.308587962965</v>
      </c>
      <c r="B62" s="20" t="s">
        <v>601</v>
      </c>
      <c r="C62" s="20" t="s">
        <v>644</v>
      </c>
      <c r="D62" s="138">
        <v>1990000</v>
      </c>
      <c r="E62" s="20" t="s">
        <v>351</v>
      </c>
      <c r="F62" s="20" t="s">
        <v>603</v>
      </c>
      <c r="G62" s="8" t="str">
        <f t="shared" si="0"/>
        <v>DAVIS WENDY</v>
      </c>
    </row>
    <row r="63" spans="1:7" x14ac:dyDescent="0.25">
      <c r="A63" s="8">
        <v>42970.309050925927</v>
      </c>
      <c r="B63" s="20" t="s">
        <v>621</v>
      </c>
      <c r="C63" s="20" t="s">
        <v>645</v>
      </c>
      <c r="D63" s="138">
        <v>2730000</v>
      </c>
      <c r="E63" s="20" t="s">
        <v>485</v>
      </c>
      <c r="F63" s="20" t="s">
        <v>486</v>
      </c>
      <c r="G63" s="8" t="str">
        <f t="shared" si="0"/>
        <v>YANG JAN</v>
      </c>
    </row>
    <row r="64" spans="1:7" x14ac:dyDescent="0.25">
      <c r="A64" s="26">
        <v>42970.317962962959</v>
      </c>
      <c r="B64" s="20" t="s">
        <v>575</v>
      </c>
      <c r="C64" s="20" t="s">
        <v>646</v>
      </c>
      <c r="D64" s="138">
        <v>1360000</v>
      </c>
      <c r="E64" s="20" t="s">
        <v>487</v>
      </c>
      <c r="F64" s="20" t="s">
        <v>488</v>
      </c>
      <c r="G64" s="8" t="str">
        <f t="shared" si="0"/>
        <v>SANTIZO D. EDY</v>
      </c>
    </row>
    <row r="65" spans="1:7" x14ac:dyDescent="0.25">
      <c r="A65" s="8">
        <v>42970.318923611114</v>
      </c>
      <c r="B65" s="20" t="s">
        <v>565</v>
      </c>
      <c r="C65" s="20" t="s">
        <v>647</v>
      </c>
      <c r="D65" s="138">
        <v>940000</v>
      </c>
      <c r="E65" s="20" t="s">
        <v>445</v>
      </c>
      <c r="F65" s="20" t="s">
        <v>446</v>
      </c>
      <c r="G65" s="8" t="str">
        <f t="shared" si="0"/>
        <v>BONDS REYNALDO</v>
      </c>
    </row>
    <row r="66" spans="1:7" x14ac:dyDescent="0.25">
      <c r="A66" s="8">
        <v>42970.319780092592</v>
      </c>
      <c r="B66" s="20" t="s">
        <v>412</v>
      </c>
      <c r="C66" s="20" t="s">
        <v>648</v>
      </c>
      <c r="D66" s="138">
        <v>1110000</v>
      </c>
      <c r="E66" s="20" t="s">
        <v>439</v>
      </c>
      <c r="F66" s="20" t="s">
        <v>440</v>
      </c>
      <c r="G66" s="8" t="str">
        <f t="shared" si="0"/>
        <v>STARKS ANGELINA</v>
      </c>
    </row>
    <row r="67" spans="1:7" x14ac:dyDescent="0.25">
      <c r="A67" s="8">
        <v>42970.320127314815</v>
      </c>
      <c r="B67" s="20" t="s">
        <v>563</v>
      </c>
      <c r="C67" s="20" t="s">
        <v>649</v>
      </c>
      <c r="D67" s="138">
        <v>890000</v>
      </c>
      <c r="E67" s="20" t="s">
        <v>443</v>
      </c>
      <c r="F67" s="20" t="s">
        <v>444</v>
      </c>
      <c r="G67" s="8" t="str">
        <f t="shared" ref="G67:G130" si="1">E67&amp;" "&amp;F67</f>
        <v>LOZA FIDEL</v>
      </c>
    </row>
    <row r="68" spans="1:7" x14ac:dyDescent="0.25">
      <c r="A68" s="8">
        <v>42970.326527777775</v>
      </c>
      <c r="B68" s="20" t="s">
        <v>584</v>
      </c>
      <c r="C68" s="20" t="s">
        <v>650</v>
      </c>
      <c r="D68" s="138">
        <v>2560000</v>
      </c>
      <c r="E68" s="20" t="s">
        <v>424</v>
      </c>
      <c r="F68" s="20" t="s">
        <v>348</v>
      </c>
      <c r="G68" s="8" t="str">
        <f t="shared" si="1"/>
        <v>MACDONALD THOMAS</v>
      </c>
    </row>
    <row r="69" spans="1:7" x14ac:dyDescent="0.25">
      <c r="A69" s="8">
        <v>42970.332326388889</v>
      </c>
      <c r="B69" s="20" t="s">
        <v>480</v>
      </c>
      <c r="C69" s="20" t="s">
        <v>651</v>
      </c>
      <c r="D69" s="138">
        <v>1540000</v>
      </c>
      <c r="E69" s="20" t="s">
        <v>482</v>
      </c>
      <c r="F69" s="20" t="s">
        <v>483</v>
      </c>
      <c r="G69" s="8" t="str">
        <f t="shared" si="1"/>
        <v>HELVIE ADAM</v>
      </c>
    </row>
    <row r="70" spans="1:7" x14ac:dyDescent="0.25">
      <c r="A70" s="8">
        <v>42970.332407407404</v>
      </c>
      <c r="B70" s="20" t="s">
        <v>570</v>
      </c>
      <c r="C70" s="20" t="s">
        <v>652</v>
      </c>
      <c r="D70" s="138">
        <v>1360000</v>
      </c>
      <c r="E70" s="20" t="s">
        <v>487</v>
      </c>
      <c r="F70" s="20" t="s">
        <v>488</v>
      </c>
      <c r="G70" s="8" t="str">
        <f t="shared" si="1"/>
        <v>SANTIZO D. EDY</v>
      </c>
    </row>
    <row r="71" spans="1:7" x14ac:dyDescent="0.25">
      <c r="A71" s="8">
        <v>42970.334444444445</v>
      </c>
      <c r="B71" s="20" t="s">
        <v>434</v>
      </c>
      <c r="C71" s="20" t="s">
        <v>653</v>
      </c>
      <c r="D71" s="138">
        <v>2010000</v>
      </c>
      <c r="E71" s="20" t="s">
        <v>422</v>
      </c>
      <c r="F71" s="20" t="s">
        <v>423</v>
      </c>
      <c r="G71" s="8" t="str">
        <f t="shared" si="1"/>
        <v>MAELZER KURT</v>
      </c>
    </row>
    <row r="72" spans="1:7" x14ac:dyDescent="0.25">
      <c r="A72" s="8">
        <v>42970.339085648149</v>
      </c>
      <c r="B72" s="20" t="s">
        <v>553</v>
      </c>
      <c r="C72" s="20" t="s">
        <v>554</v>
      </c>
      <c r="D72" s="138">
        <v>2560000</v>
      </c>
      <c r="E72" s="20" t="s">
        <v>424</v>
      </c>
      <c r="F72" s="20" t="s">
        <v>348</v>
      </c>
      <c r="G72" s="8" t="str">
        <f t="shared" si="1"/>
        <v>MACDONALD THOMAS</v>
      </c>
    </row>
    <row r="73" spans="1:7" x14ac:dyDescent="0.25">
      <c r="A73" s="8">
        <v>42970.339398148149</v>
      </c>
      <c r="B73" s="20" t="s">
        <v>436</v>
      </c>
      <c r="C73" s="20" t="s">
        <v>654</v>
      </c>
      <c r="D73" s="138">
        <v>1990000</v>
      </c>
      <c r="E73" s="20" t="s">
        <v>351</v>
      </c>
      <c r="F73" s="20" t="s">
        <v>603</v>
      </c>
      <c r="G73" s="8" t="str">
        <f t="shared" si="1"/>
        <v>DAVIS WENDY</v>
      </c>
    </row>
    <row r="74" spans="1:7" x14ac:dyDescent="0.25">
      <c r="A74" s="8">
        <v>42970.347569444442</v>
      </c>
      <c r="B74" s="20" t="s">
        <v>558</v>
      </c>
      <c r="C74" s="20" t="s">
        <v>655</v>
      </c>
      <c r="D74" s="138">
        <v>2730000</v>
      </c>
      <c r="E74" s="20" t="s">
        <v>485</v>
      </c>
      <c r="F74" s="20" t="s">
        <v>486</v>
      </c>
      <c r="G74" s="8" t="str">
        <f t="shared" si="1"/>
        <v>YANG JAN</v>
      </c>
    </row>
    <row r="75" spans="1:7" x14ac:dyDescent="0.25">
      <c r="A75" s="8">
        <v>42970.349826388891</v>
      </c>
      <c r="B75" s="20" t="s">
        <v>411</v>
      </c>
      <c r="C75" s="20" t="s">
        <v>648</v>
      </c>
      <c r="D75" s="138">
        <v>1110000</v>
      </c>
      <c r="E75" s="20" t="s">
        <v>439</v>
      </c>
      <c r="F75" s="20" t="s">
        <v>440</v>
      </c>
      <c r="G75" s="8" t="str">
        <f t="shared" si="1"/>
        <v>STARKS ANGELINA</v>
      </c>
    </row>
    <row r="76" spans="1:7" x14ac:dyDescent="0.25">
      <c r="A76" s="8">
        <v>42970.35050925926</v>
      </c>
      <c r="B76" s="20" t="s">
        <v>549</v>
      </c>
      <c r="C76" s="20" t="s">
        <v>656</v>
      </c>
      <c r="D76" s="138">
        <v>940000</v>
      </c>
      <c r="E76" s="20" t="s">
        <v>445</v>
      </c>
      <c r="F76" s="20" t="s">
        <v>446</v>
      </c>
      <c r="G76" s="8" t="str">
        <f t="shared" si="1"/>
        <v>BONDS REYNALDO</v>
      </c>
    </row>
    <row r="77" spans="1:7" x14ac:dyDescent="0.25">
      <c r="A77" s="8">
        <v>42970.3516087963</v>
      </c>
      <c r="B77" s="20" t="s">
        <v>411</v>
      </c>
      <c r="C77" s="20" t="s">
        <v>657</v>
      </c>
      <c r="D77" s="138">
        <v>1110000</v>
      </c>
      <c r="E77" s="20" t="s">
        <v>439</v>
      </c>
      <c r="F77" s="20" t="s">
        <v>440</v>
      </c>
      <c r="G77" s="8" t="str">
        <f t="shared" si="1"/>
        <v>STARKS ANGELINA</v>
      </c>
    </row>
    <row r="78" spans="1:7" x14ac:dyDescent="0.25">
      <c r="A78" s="8">
        <v>42970.353414351855</v>
      </c>
      <c r="B78" s="20" t="s">
        <v>584</v>
      </c>
      <c r="C78" s="20" t="s">
        <v>658</v>
      </c>
      <c r="D78" s="138">
        <v>2560000</v>
      </c>
      <c r="E78" s="20" t="s">
        <v>424</v>
      </c>
      <c r="F78" s="20" t="s">
        <v>348</v>
      </c>
      <c r="G78" s="8" t="str">
        <f t="shared" si="1"/>
        <v>MACDONALD THOMAS</v>
      </c>
    </row>
    <row r="79" spans="1:7" x14ac:dyDescent="0.25">
      <c r="A79" s="8">
        <v>42970.358657407407</v>
      </c>
      <c r="B79" s="20" t="s">
        <v>575</v>
      </c>
      <c r="C79" s="20" t="s">
        <v>659</v>
      </c>
      <c r="D79" s="138">
        <v>1360000</v>
      </c>
      <c r="E79" s="20" t="s">
        <v>487</v>
      </c>
      <c r="F79" s="20" t="s">
        <v>488</v>
      </c>
      <c r="G79" s="8" t="str">
        <f t="shared" si="1"/>
        <v>SANTIZO D. EDY</v>
      </c>
    </row>
    <row r="80" spans="1:7" x14ac:dyDescent="0.25">
      <c r="A80" s="8">
        <v>42970.361006944448</v>
      </c>
      <c r="B80" s="20" t="s">
        <v>435</v>
      </c>
      <c r="C80" s="20" t="s">
        <v>660</v>
      </c>
      <c r="D80" s="138">
        <v>890000</v>
      </c>
      <c r="E80" s="20" t="s">
        <v>443</v>
      </c>
      <c r="F80" s="20" t="s">
        <v>444</v>
      </c>
      <c r="G80" s="8" t="str">
        <f t="shared" si="1"/>
        <v>LOZA FIDEL</v>
      </c>
    </row>
    <row r="81" spans="1:7" x14ac:dyDescent="0.25">
      <c r="A81" s="8">
        <v>42970.371516203704</v>
      </c>
      <c r="B81" s="20" t="s">
        <v>441</v>
      </c>
      <c r="C81" s="20" t="s">
        <v>661</v>
      </c>
      <c r="D81" s="138">
        <v>2010000</v>
      </c>
      <c r="E81" s="20" t="s">
        <v>422</v>
      </c>
      <c r="F81" s="20" t="s">
        <v>423</v>
      </c>
      <c r="G81" s="8" t="str">
        <f t="shared" si="1"/>
        <v>MAELZER KURT</v>
      </c>
    </row>
    <row r="82" spans="1:7" x14ac:dyDescent="0.25">
      <c r="A82" s="8">
        <v>42970.372094907405</v>
      </c>
      <c r="B82" s="20" t="s">
        <v>484</v>
      </c>
      <c r="C82" s="20" t="s">
        <v>662</v>
      </c>
      <c r="D82" s="138">
        <v>1540000</v>
      </c>
      <c r="E82" s="20" t="s">
        <v>482</v>
      </c>
      <c r="F82" s="20" t="s">
        <v>483</v>
      </c>
      <c r="G82" s="8" t="str">
        <f t="shared" si="1"/>
        <v>HELVIE ADAM</v>
      </c>
    </row>
    <row r="83" spans="1:7" x14ac:dyDescent="0.25">
      <c r="A83" s="8">
        <v>42970.372615740744</v>
      </c>
      <c r="B83" s="20" t="s">
        <v>421</v>
      </c>
      <c r="C83" s="20" t="s">
        <v>555</v>
      </c>
      <c r="D83" s="138">
        <v>2040000</v>
      </c>
      <c r="E83" s="20" t="s">
        <v>388</v>
      </c>
      <c r="F83" s="20" t="s">
        <v>389</v>
      </c>
      <c r="G83" s="8" t="str">
        <f t="shared" si="1"/>
        <v>MOSES BRADLEY</v>
      </c>
    </row>
    <row r="84" spans="1:7" x14ac:dyDescent="0.25">
      <c r="A84" s="8">
        <v>42970.373703703706</v>
      </c>
      <c r="B84" s="20" t="s">
        <v>570</v>
      </c>
      <c r="C84" s="20" t="s">
        <v>663</v>
      </c>
      <c r="D84" s="138">
        <v>1360000</v>
      </c>
      <c r="E84" s="20" t="s">
        <v>487</v>
      </c>
      <c r="F84" s="20" t="s">
        <v>488</v>
      </c>
      <c r="G84" s="8" t="str">
        <f t="shared" si="1"/>
        <v>SANTIZO D. EDY</v>
      </c>
    </row>
    <row r="85" spans="1:7" x14ac:dyDescent="0.25">
      <c r="A85" s="8">
        <v>42970.382199074076</v>
      </c>
      <c r="B85" s="20" t="s">
        <v>601</v>
      </c>
      <c r="C85" s="20" t="s">
        <v>664</v>
      </c>
      <c r="D85" s="138">
        <v>1990000</v>
      </c>
      <c r="E85" s="20" t="s">
        <v>351</v>
      </c>
      <c r="F85" s="20" t="s">
        <v>603</v>
      </c>
      <c r="G85" s="8" t="str">
        <f t="shared" si="1"/>
        <v>DAVIS WENDY</v>
      </c>
    </row>
    <row r="86" spans="1:7" x14ac:dyDescent="0.25">
      <c r="A86" s="8">
        <v>42970.382372685184</v>
      </c>
      <c r="B86" s="20" t="s">
        <v>621</v>
      </c>
      <c r="C86" s="20" t="s">
        <v>665</v>
      </c>
      <c r="D86" s="138">
        <v>2730000</v>
      </c>
      <c r="E86" s="20" t="s">
        <v>485</v>
      </c>
      <c r="F86" s="20" t="s">
        <v>486</v>
      </c>
      <c r="G86" s="8" t="str">
        <f t="shared" si="1"/>
        <v>YANG JAN</v>
      </c>
    </row>
    <row r="87" spans="1:7" x14ac:dyDescent="0.25">
      <c r="A87" s="8">
        <v>42970.390567129631</v>
      </c>
      <c r="B87" s="20" t="s">
        <v>565</v>
      </c>
      <c r="C87" s="20" t="s">
        <v>666</v>
      </c>
      <c r="D87" s="138">
        <v>940000</v>
      </c>
      <c r="E87" s="20" t="s">
        <v>445</v>
      </c>
      <c r="F87" s="20" t="s">
        <v>446</v>
      </c>
      <c r="G87" s="8" t="str">
        <f t="shared" si="1"/>
        <v>BONDS REYNALDO</v>
      </c>
    </row>
    <row r="88" spans="1:7" x14ac:dyDescent="0.25">
      <c r="A88" s="8">
        <v>42970.393993055557</v>
      </c>
      <c r="B88" s="20" t="s">
        <v>412</v>
      </c>
      <c r="C88" s="20" t="s">
        <v>667</v>
      </c>
      <c r="D88" s="138">
        <v>1110000</v>
      </c>
      <c r="E88" s="20" t="s">
        <v>439</v>
      </c>
      <c r="F88" s="20" t="s">
        <v>440</v>
      </c>
      <c r="G88" s="8" t="str">
        <f t="shared" si="1"/>
        <v>STARKS ANGELINA</v>
      </c>
    </row>
    <row r="89" spans="1:7" x14ac:dyDescent="0.25">
      <c r="A89" s="8">
        <v>42970.394756944443</v>
      </c>
      <c r="B89" s="20" t="s">
        <v>412</v>
      </c>
      <c r="C89" s="20" t="s">
        <v>667</v>
      </c>
      <c r="D89" s="138">
        <v>1110000</v>
      </c>
      <c r="E89" s="20" t="s">
        <v>439</v>
      </c>
      <c r="F89" s="20" t="s">
        <v>440</v>
      </c>
      <c r="G89" s="8" t="str">
        <f t="shared" si="1"/>
        <v>STARKS ANGELINA</v>
      </c>
    </row>
    <row r="90" spans="1:7" x14ac:dyDescent="0.25">
      <c r="A90" s="8">
        <v>42970.398819444446</v>
      </c>
      <c r="B90" s="20" t="s">
        <v>420</v>
      </c>
      <c r="C90" s="20" t="s">
        <v>668</v>
      </c>
      <c r="D90" s="138">
        <v>2040000</v>
      </c>
      <c r="E90" s="20" t="s">
        <v>388</v>
      </c>
      <c r="F90" s="20" t="s">
        <v>389</v>
      </c>
      <c r="G90" s="8" t="str">
        <f t="shared" si="1"/>
        <v>MOSES BRADLEY</v>
      </c>
    </row>
    <row r="91" spans="1:7" x14ac:dyDescent="0.25">
      <c r="A91" s="8">
        <v>42970.400231481479</v>
      </c>
      <c r="B91" s="20" t="s">
        <v>575</v>
      </c>
      <c r="C91" s="20" t="s">
        <v>669</v>
      </c>
      <c r="D91" s="138">
        <v>1360000</v>
      </c>
      <c r="E91" s="20" t="s">
        <v>487</v>
      </c>
      <c r="F91" s="20" t="s">
        <v>488</v>
      </c>
      <c r="G91" s="8" t="str">
        <f t="shared" si="1"/>
        <v>SANTIZO D. EDY</v>
      </c>
    </row>
    <row r="92" spans="1:7" x14ac:dyDescent="0.25">
      <c r="A92" s="8">
        <v>42970.401053240741</v>
      </c>
      <c r="B92" s="20" t="s">
        <v>563</v>
      </c>
      <c r="C92" s="20" t="s">
        <v>670</v>
      </c>
      <c r="D92" s="138">
        <v>890000</v>
      </c>
      <c r="E92" s="20" t="s">
        <v>443</v>
      </c>
      <c r="F92" s="20" t="s">
        <v>444</v>
      </c>
      <c r="G92" s="8" t="str">
        <f t="shared" si="1"/>
        <v>LOZA FIDEL</v>
      </c>
    </row>
    <row r="93" spans="1:7" x14ac:dyDescent="0.25">
      <c r="A93" s="8">
        <v>42970.40347222222</v>
      </c>
      <c r="B93" s="20" t="s">
        <v>480</v>
      </c>
      <c r="C93" s="20" t="s">
        <v>671</v>
      </c>
      <c r="D93" s="138">
        <v>1540000</v>
      </c>
      <c r="E93" s="20" t="s">
        <v>482</v>
      </c>
      <c r="F93" s="20" t="s">
        <v>483</v>
      </c>
      <c r="G93" s="8" t="str">
        <f t="shared" si="1"/>
        <v>HELVIE ADAM</v>
      </c>
    </row>
    <row r="94" spans="1:7" x14ac:dyDescent="0.25">
      <c r="A94" s="8">
        <v>42970.406018518515</v>
      </c>
      <c r="B94" s="20" t="s">
        <v>434</v>
      </c>
      <c r="C94" s="20" t="s">
        <v>557</v>
      </c>
      <c r="D94" s="138">
        <v>2010000</v>
      </c>
      <c r="E94" s="20" t="s">
        <v>422</v>
      </c>
      <c r="F94" s="20" t="s">
        <v>423</v>
      </c>
      <c r="G94" s="8" t="str">
        <f t="shared" si="1"/>
        <v>MAELZER KURT</v>
      </c>
    </row>
    <row r="95" spans="1:7" x14ac:dyDescent="0.25">
      <c r="A95" s="8">
        <v>42970.414259259262</v>
      </c>
      <c r="B95" s="20" t="s">
        <v>436</v>
      </c>
      <c r="C95" s="20" t="s">
        <v>556</v>
      </c>
      <c r="D95" s="138">
        <v>1990000</v>
      </c>
      <c r="E95" s="20" t="s">
        <v>351</v>
      </c>
      <c r="F95" s="20" t="s">
        <v>603</v>
      </c>
      <c r="G95" s="8" t="str">
        <f t="shared" si="1"/>
        <v>DAVIS WENDY</v>
      </c>
    </row>
    <row r="96" spans="1:7" x14ac:dyDescent="0.25">
      <c r="A96" s="8">
        <v>42970.415023148147</v>
      </c>
      <c r="B96" s="20" t="s">
        <v>570</v>
      </c>
      <c r="C96" s="20" t="s">
        <v>672</v>
      </c>
      <c r="D96" s="138">
        <v>1360000</v>
      </c>
      <c r="E96" s="20" t="s">
        <v>487</v>
      </c>
      <c r="F96" s="20" t="s">
        <v>488</v>
      </c>
      <c r="G96" s="8" t="str">
        <f t="shared" si="1"/>
        <v>SANTIZO D. EDY</v>
      </c>
    </row>
    <row r="97" spans="1:7" x14ac:dyDescent="0.25">
      <c r="A97" s="8">
        <v>42970.421157407407</v>
      </c>
      <c r="B97" s="20" t="s">
        <v>558</v>
      </c>
      <c r="C97" s="20" t="s">
        <v>559</v>
      </c>
      <c r="D97" s="138">
        <v>2730000</v>
      </c>
      <c r="E97" s="20" t="s">
        <v>485</v>
      </c>
      <c r="F97" s="20" t="s">
        <v>486</v>
      </c>
      <c r="G97" s="8" t="str">
        <f t="shared" si="1"/>
        <v>YANG JAN</v>
      </c>
    </row>
    <row r="98" spans="1:7" x14ac:dyDescent="0.25">
      <c r="A98" s="8">
        <v>42970.423391203702</v>
      </c>
      <c r="B98" s="20" t="s">
        <v>549</v>
      </c>
      <c r="C98" s="20" t="s">
        <v>673</v>
      </c>
      <c r="D98" s="138">
        <v>2560000</v>
      </c>
      <c r="E98" s="20" t="s">
        <v>424</v>
      </c>
      <c r="F98" s="20" t="s">
        <v>348</v>
      </c>
      <c r="G98" s="8" t="str">
        <f t="shared" si="1"/>
        <v>MACDONALD THOMAS</v>
      </c>
    </row>
    <row r="99" spans="1:7" x14ac:dyDescent="0.25">
      <c r="A99" s="8">
        <v>42970.434432870374</v>
      </c>
      <c r="B99" s="20" t="s">
        <v>411</v>
      </c>
      <c r="C99" s="20" t="s">
        <v>560</v>
      </c>
      <c r="D99" s="138">
        <v>1110000</v>
      </c>
      <c r="E99" s="20" t="s">
        <v>439</v>
      </c>
      <c r="F99" s="20" t="s">
        <v>440</v>
      </c>
      <c r="G99" s="8" t="str">
        <f t="shared" si="1"/>
        <v>STARKS ANGELINA</v>
      </c>
    </row>
    <row r="100" spans="1:7" x14ac:dyDescent="0.25">
      <c r="A100" s="8">
        <v>42970.43577546296</v>
      </c>
      <c r="B100" s="20" t="s">
        <v>435</v>
      </c>
      <c r="C100" s="20" t="s">
        <v>561</v>
      </c>
      <c r="D100" s="138">
        <v>890000</v>
      </c>
      <c r="E100" s="20" t="s">
        <v>443</v>
      </c>
      <c r="F100" s="20" t="s">
        <v>444</v>
      </c>
      <c r="G100" s="8" t="str">
        <f t="shared" si="1"/>
        <v>LOZA FIDEL</v>
      </c>
    </row>
    <row r="101" spans="1:7" x14ac:dyDescent="0.25">
      <c r="A101" s="8">
        <v>42970.439675925925</v>
      </c>
      <c r="B101" s="20" t="s">
        <v>421</v>
      </c>
      <c r="C101" s="20" t="s">
        <v>555</v>
      </c>
      <c r="D101" s="138">
        <v>2040000</v>
      </c>
      <c r="E101" s="20" t="s">
        <v>388</v>
      </c>
      <c r="F101" s="20" t="s">
        <v>389</v>
      </c>
      <c r="G101" s="8" t="str">
        <f t="shared" si="1"/>
        <v>MOSES BRADLEY</v>
      </c>
    </row>
    <row r="102" spans="1:7" x14ac:dyDescent="0.25">
      <c r="A102" s="8">
        <v>42970.443368055552</v>
      </c>
      <c r="B102" s="20" t="s">
        <v>575</v>
      </c>
      <c r="C102" s="20" t="s">
        <v>674</v>
      </c>
      <c r="D102" s="138">
        <v>1360000</v>
      </c>
      <c r="E102" s="20" t="s">
        <v>487</v>
      </c>
      <c r="F102" s="20" t="s">
        <v>488</v>
      </c>
      <c r="G102" s="8" t="str">
        <f t="shared" si="1"/>
        <v>SANTIZO D. EDY</v>
      </c>
    </row>
    <row r="103" spans="1:7" x14ac:dyDescent="0.25">
      <c r="A103" s="8">
        <v>42970.44394675926</v>
      </c>
      <c r="B103" s="20" t="s">
        <v>477</v>
      </c>
      <c r="C103" s="20" t="s">
        <v>675</v>
      </c>
      <c r="D103" s="138">
        <v>1830000</v>
      </c>
      <c r="E103" s="20" t="s">
        <v>676</v>
      </c>
      <c r="F103" s="20" t="s">
        <v>677</v>
      </c>
      <c r="G103" s="8" t="str">
        <f t="shared" si="1"/>
        <v>YORK EDGAR</v>
      </c>
    </row>
    <row r="104" spans="1:7" x14ac:dyDescent="0.25">
      <c r="A104" s="8">
        <v>42970.443958333337</v>
      </c>
      <c r="B104" s="20" t="s">
        <v>484</v>
      </c>
      <c r="C104" s="20" t="s">
        <v>678</v>
      </c>
      <c r="D104" s="138">
        <v>1540000</v>
      </c>
      <c r="E104" s="20" t="s">
        <v>482</v>
      </c>
      <c r="F104" s="20" t="s">
        <v>483</v>
      </c>
      <c r="G104" s="8" t="str">
        <f t="shared" si="1"/>
        <v>HELVIE ADAM</v>
      </c>
    </row>
    <row r="105" spans="1:7" x14ac:dyDescent="0.25">
      <c r="A105" s="8">
        <v>42970.445335648146</v>
      </c>
      <c r="B105" s="20" t="s">
        <v>441</v>
      </c>
      <c r="C105" s="20" t="s">
        <v>679</v>
      </c>
      <c r="D105" s="138">
        <v>920000</v>
      </c>
      <c r="E105" s="20" t="s">
        <v>351</v>
      </c>
      <c r="F105" s="20" t="s">
        <v>191</v>
      </c>
      <c r="G105" s="8" t="str">
        <f t="shared" si="1"/>
        <v>DAVIS MICHAEL</v>
      </c>
    </row>
    <row r="106" spans="1:7" x14ac:dyDescent="0.25">
      <c r="A106" s="8">
        <v>42970.453460648147</v>
      </c>
      <c r="B106" s="20" t="s">
        <v>601</v>
      </c>
      <c r="C106" s="20" t="s">
        <v>680</v>
      </c>
      <c r="D106" s="138">
        <v>1990000</v>
      </c>
      <c r="E106" s="20" t="s">
        <v>351</v>
      </c>
      <c r="F106" s="20" t="s">
        <v>603</v>
      </c>
      <c r="G106" s="8" t="str">
        <f t="shared" si="1"/>
        <v>DAVIS WENDY</v>
      </c>
    </row>
    <row r="107" spans="1:7" x14ac:dyDescent="0.25">
      <c r="A107" s="8">
        <v>42970.454872685186</v>
      </c>
      <c r="B107" s="20" t="s">
        <v>621</v>
      </c>
      <c r="C107" s="20" t="s">
        <v>681</v>
      </c>
      <c r="D107" s="138">
        <v>2730000</v>
      </c>
      <c r="E107" s="20" t="s">
        <v>485</v>
      </c>
      <c r="F107" s="20" t="s">
        <v>486</v>
      </c>
      <c r="G107" s="8" t="str">
        <f t="shared" si="1"/>
        <v>YANG JAN</v>
      </c>
    </row>
    <row r="108" spans="1:7" x14ac:dyDescent="0.25">
      <c r="A108" s="8">
        <v>42970.456932870373</v>
      </c>
      <c r="B108" s="20" t="s">
        <v>570</v>
      </c>
      <c r="C108" s="20" t="s">
        <v>682</v>
      </c>
      <c r="D108" s="138">
        <v>1360000</v>
      </c>
      <c r="E108" s="20" t="s">
        <v>487</v>
      </c>
      <c r="F108" s="20" t="s">
        <v>488</v>
      </c>
      <c r="G108" s="8" t="str">
        <f t="shared" si="1"/>
        <v>SANTIZO D. EDY</v>
      </c>
    </row>
    <row r="109" spans="1:7" x14ac:dyDescent="0.25">
      <c r="A109" s="8">
        <v>42970.466273148151</v>
      </c>
      <c r="B109" s="20" t="s">
        <v>412</v>
      </c>
      <c r="C109" s="20" t="s">
        <v>683</v>
      </c>
      <c r="D109" s="138">
        <v>880000</v>
      </c>
      <c r="E109" s="20" t="s">
        <v>491</v>
      </c>
      <c r="F109" s="20" t="s">
        <v>191</v>
      </c>
      <c r="G109" s="8" t="str">
        <f t="shared" si="1"/>
        <v>STEWART MICHAEL</v>
      </c>
    </row>
    <row r="110" spans="1:7" x14ac:dyDescent="0.25">
      <c r="A110" s="8">
        <v>42970.466921296298</v>
      </c>
      <c r="B110" s="20" t="s">
        <v>565</v>
      </c>
      <c r="C110" s="20" t="s">
        <v>673</v>
      </c>
      <c r="D110" s="138">
        <v>2560000</v>
      </c>
      <c r="E110" s="20" t="s">
        <v>424</v>
      </c>
      <c r="F110" s="20" t="s">
        <v>348</v>
      </c>
      <c r="G110" s="8" t="str">
        <f t="shared" si="1"/>
        <v>MACDONALD THOMAS</v>
      </c>
    </row>
    <row r="111" spans="1:7" x14ac:dyDescent="0.25">
      <c r="A111" s="8">
        <v>42970.467430555553</v>
      </c>
      <c r="B111" s="20" t="s">
        <v>565</v>
      </c>
      <c r="C111" s="20" t="s">
        <v>684</v>
      </c>
      <c r="D111" s="138">
        <v>2560000</v>
      </c>
      <c r="E111" s="20" t="s">
        <v>424</v>
      </c>
      <c r="F111" s="20" t="s">
        <v>348</v>
      </c>
      <c r="G111" s="8" t="str">
        <f t="shared" si="1"/>
        <v>MACDONALD THOMAS</v>
      </c>
    </row>
    <row r="112" spans="1:7" x14ac:dyDescent="0.25">
      <c r="A112" s="8">
        <v>42970.468668981484</v>
      </c>
      <c r="B112" s="20" t="s">
        <v>563</v>
      </c>
      <c r="C112" s="20" t="s">
        <v>685</v>
      </c>
      <c r="D112" s="138">
        <v>890000</v>
      </c>
      <c r="E112" s="20" t="s">
        <v>443</v>
      </c>
      <c r="F112" s="20" t="s">
        <v>444</v>
      </c>
      <c r="G112" s="8" t="str">
        <f t="shared" si="1"/>
        <v>LOZA FIDEL</v>
      </c>
    </row>
    <row r="113" spans="1:7" x14ac:dyDescent="0.25">
      <c r="A113" s="8">
        <v>42970.472488425927</v>
      </c>
      <c r="B113" s="20" t="s">
        <v>420</v>
      </c>
      <c r="C113" s="20" t="s">
        <v>668</v>
      </c>
      <c r="D113" s="138">
        <v>2040000</v>
      </c>
      <c r="E113" s="20" t="s">
        <v>388</v>
      </c>
      <c r="F113" s="20" t="s">
        <v>389</v>
      </c>
      <c r="G113" s="8" t="str">
        <f t="shared" si="1"/>
        <v>MOSES BRADLEY</v>
      </c>
    </row>
    <row r="114" spans="1:7" x14ac:dyDescent="0.25">
      <c r="A114" s="8">
        <v>42970.475243055553</v>
      </c>
      <c r="B114" s="20" t="s">
        <v>478</v>
      </c>
      <c r="C114" s="20" t="s">
        <v>686</v>
      </c>
      <c r="D114" s="138">
        <v>1110000</v>
      </c>
      <c r="E114" s="20" t="s">
        <v>439</v>
      </c>
      <c r="F114" s="20" t="s">
        <v>440</v>
      </c>
      <c r="G114" s="8" t="str">
        <f t="shared" si="1"/>
        <v>STARKS ANGELINA</v>
      </c>
    </row>
    <row r="115" spans="1:7" x14ac:dyDescent="0.25">
      <c r="A115" s="8">
        <v>42970.476388888892</v>
      </c>
      <c r="B115" s="20" t="s">
        <v>480</v>
      </c>
      <c r="C115" s="20" t="s">
        <v>687</v>
      </c>
      <c r="D115" s="138">
        <v>2470000</v>
      </c>
      <c r="E115" s="20" t="s">
        <v>425</v>
      </c>
      <c r="F115" s="20" t="s">
        <v>426</v>
      </c>
      <c r="G115" s="8" t="str">
        <f t="shared" si="1"/>
        <v>ROMERO CHAD</v>
      </c>
    </row>
    <row r="116" spans="1:7" x14ac:dyDescent="0.25">
      <c r="A116" s="8">
        <v>42970.483749999999</v>
      </c>
      <c r="B116" s="20" t="s">
        <v>575</v>
      </c>
      <c r="C116" s="20" t="s">
        <v>688</v>
      </c>
      <c r="D116" s="138">
        <v>1360000</v>
      </c>
      <c r="E116" s="20" t="s">
        <v>487</v>
      </c>
      <c r="F116" s="20" t="s">
        <v>488</v>
      </c>
      <c r="G116" s="8" t="str">
        <f t="shared" si="1"/>
        <v>SANTIZO D. EDY</v>
      </c>
    </row>
    <row r="117" spans="1:7" x14ac:dyDescent="0.25">
      <c r="A117" s="8">
        <v>42970.486631944441</v>
      </c>
      <c r="B117" s="20" t="s">
        <v>434</v>
      </c>
      <c r="C117" s="20" t="s">
        <v>689</v>
      </c>
      <c r="D117" s="138">
        <v>920000</v>
      </c>
      <c r="E117" s="20" t="s">
        <v>351</v>
      </c>
      <c r="F117" s="20" t="s">
        <v>191</v>
      </c>
      <c r="G117" s="8" t="str">
        <f t="shared" si="1"/>
        <v>DAVIS MICHAEL</v>
      </c>
    </row>
    <row r="118" spans="1:7" x14ac:dyDescent="0.25">
      <c r="A118" s="8">
        <v>42970.487962962965</v>
      </c>
      <c r="B118" s="20" t="s">
        <v>436</v>
      </c>
      <c r="C118" s="20" t="s">
        <v>690</v>
      </c>
      <c r="D118" s="138">
        <v>1770000</v>
      </c>
      <c r="E118" s="20" t="s">
        <v>427</v>
      </c>
      <c r="F118" s="20" t="s">
        <v>428</v>
      </c>
      <c r="G118" s="8" t="str">
        <f t="shared" si="1"/>
        <v>BRUDER RICHARD</v>
      </c>
    </row>
    <row r="119" spans="1:7" x14ac:dyDescent="0.25">
      <c r="A119" s="8">
        <v>42970.494074074071</v>
      </c>
      <c r="B119" s="20" t="s">
        <v>558</v>
      </c>
      <c r="C119" s="20" t="s">
        <v>691</v>
      </c>
      <c r="D119" s="138">
        <v>2730000</v>
      </c>
      <c r="E119" s="20" t="s">
        <v>485</v>
      </c>
      <c r="F119" s="20" t="s">
        <v>486</v>
      </c>
      <c r="G119" s="8" t="str">
        <f t="shared" si="1"/>
        <v>YANG JAN</v>
      </c>
    </row>
    <row r="120" spans="1:7" x14ac:dyDescent="0.25">
      <c r="A120" s="8">
        <v>42970.497812499998</v>
      </c>
      <c r="B120" s="20" t="s">
        <v>549</v>
      </c>
      <c r="C120" s="20" t="s">
        <v>692</v>
      </c>
      <c r="D120" s="138">
        <v>1300000</v>
      </c>
      <c r="E120" s="20" t="s">
        <v>451</v>
      </c>
      <c r="F120" s="20" t="s">
        <v>452</v>
      </c>
      <c r="G120" s="8" t="str">
        <f t="shared" si="1"/>
        <v>LEVIN SCOTT</v>
      </c>
    </row>
    <row r="121" spans="1:7" x14ac:dyDescent="0.25">
      <c r="A121" s="8">
        <v>42970.497916666667</v>
      </c>
      <c r="B121" s="20" t="s">
        <v>570</v>
      </c>
      <c r="C121" s="20" t="s">
        <v>693</v>
      </c>
      <c r="D121" s="138">
        <v>1360000</v>
      </c>
      <c r="E121" s="20" t="s">
        <v>487</v>
      </c>
      <c r="F121" s="20" t="s">
        <v>488</v>
      </c>
      <c r="G121" s="8" t="str">
        <f t="shared" si="1"/>
        <v>SANTIZO D. EDY</v>
      </c>
    </row>
    <row r="122" spans="1:7" x14ac:dyDescent="0.25">
      <c r="A122" s="8">
        <v>42970.500902777778</v>
      </c>
      <c r="B122" s="25" t="s">
        <v>477</v>
      </c>
      <c r="C122" s="20" t="s">
        <v>694</v>
      </c>
      <c r="D122" s="138">
        <v>3520000</v>
      </c>
      <c r="E122" s="20" t="s">
        <v>449</v>
      </c>
      <c r="F122" s="20" t="s">
        <v>450</v>
      </c>
      <c r="G122" s="8" t="str">
        <f t="shared" si="1"/>
        <v>TOUSIGNAUT CARL</v>
      </c>
    </row>
    <row r="123" spans="1:7" x14ac:dyDescent="0.25">
      <c r="A123" s="8">
        <v>42970.505023148151</v>
      </c>
      <c r="B123" s="20" t="s">
        <v>411</v>
      </c>
      <c r="C123" s="20" t="s">
        <v>695</v>
      </c>
      <c r="D123" s="138">
        <v>880000</v>
      </c>
      <c r="E123" s="20" t="s">
        <v>491</v>
      </c>
      <c r="F123" s="20" t="s">
        <v>191</v>
      </c>
      <c r="G123" s="8" t="str">
        <f t="shared" si="1"/>
        <v>STEWART MICHAEL</v>
      </c>
    </row>
    <row r="124" spans="1:7" x14ac:dyDescent="0.25">
      <c r="A124" s="8">
        <v>42970.506354166668</v>
      </c>
      <c r="B124" s="20" t="s">
        <v>435</v>
      </c>
      <c r="C124" s="20" t="s">
        <v>696</v>
      </c>
      <c r="D124" s="138">
        <v>2440000</v>
      </c>
      <c r="E124" s="20" t="s">
        <v>697</v>
      </c>
      <c r="F124" s="20" t="s">
        <v>698</v>
      </c>
      <c r="G124" s="8" t="str">
        <f t="shared" si="1"/>
        <v>LOPES KIMBERLY</v>
      </c>
    </row>
    <row r="125" spans="1:7" x14ac:dyDescent="0.25">
      <c r="A125" s="8">
        <v>42970.508159722223</v>
      </c>
      <c r="B125" s="20" t="s">
        <v>484</v>
      </c>
      <c r="C125" s="20" t="s">
        <v>699</v>
      </c>
      <c r="D125" s="138">
        <v>2470000</v>
      </c>
      <c r="E125" s="20" t="s">
        <v>425</v>
      </c>
      <c r="F125" s="20" t="s">
        <v>426</v>
      </c>
      <c r="G125" s="8" t="str">
        <f t="shared" si="1"/>
        <v>ROMERO CHAD</v>
      </c>
    </row>
    <row r="126" spans="1:7" x14ac:dyDescent="0.25">
      <c r="A126" s="8">
        <v>42970.510347222225</v>
      </c>
      <c r="B126" s="20" t="s">
        <v>384</v>
      </c>
      <c r="C126" s="20" t="s">
        <v>700</v>
      </c>
      <c r="D126" s="138">
        <v>1780000</v>
      </c>
      <c r="E126" s="20" t="s">
        <v>489</v>
      </c>
      <c r="F126" s="20" t="s">
        <v>490</v>
      </c>
      <c r="G126" s="8" t="str">
        <f t="shared" si="1"/>
        <v>DE LA ROSA ALEX</v>
      </c>
    </row>
    <row r="127" spans="1:7" x14ac:dyDescent="0.25">
      <c r="A127" s="8">
        <v>42970.512557870374</v>
      </c>
      <c r="B127" s="20" t="s">
        <v>421</v>
      </c>
      <c r="C127" s="20" t="s">
        <v>555</v>
      </c>
      <c r="D127" s="138">
        <v>2040000</v>
      </c>
      <c r="E127" s="20" t="s">
        <v>388</v>
      </c>
      <c r="F127" s="20" t="s">
        <v>389</v>
      </c>
      <c r="G127" s="8" t="str">
        <f t="shared" si="1"/>
        <v>MOSES BRADLEY</v>
      </c>
    </row>
    <row r="128" spans="1:7" x14ac:dyDescent="0.25">
      <c r="A128" s="8">
        <v>42970.514236111114</v>
      </c>
      <c r="B128" s="20" t="s">
        <v>558</v>
      </c>
      <c r="C128" s="20" t="s">
        <v>691</v>
      </c>
      <c r="D128" s="138">
        <v>2730000</v>
      </c>
      <c r="E128" s="20" t="s">
        <v>485</v>
      </c>
      <c r="F128" s="20" t="s">
        <v>486</v>
      </c>
      <c r="G128" s="8" t="str">
        <f t="shared" si="1"/>
        <v>YANG JAN</v>
      </c>
    </row>
    <row r="129" spans="1:7" x14ac:dyDescent="0.25">
      <c r="A129" s="8">
        <v>42970.517766203702</v>
      </c>
      <c r="B129" s="20" t="s">
        <v>387</v>
      </c>
      <c r="C129" s="20" t="s">
        <v>700</v>
      </c>
      <c r="D129" s="138">
        <v>1780000</v>
      </c>
      <c r="E129" s="20" t="s">
        <v>489</v>
      </c>
      <c r="F129" s="20" t="s">
        <v>490</v>
      </c>
      <c r="G129" s="8" t="str">
        <f t="shared" si="1"/>
        <v>DE LA ROSA ALEX</v>
      </c>
    </row>
    <row r="130" spans="1:7" x14ac:dyDescent="0.25">
      <c r="A130" s="8">
        <v>42970.520486111112</v>
      </c>
      <c r="B130" s="20" t="s">
        <v>441</v>
      </c>
      <c r="C130" s="20" t="s">
        <v>701</v>
      </c>
      <c r="D130" s="138">
        <v>920000</v>
      </c>
      <c r="E130" s="20" t="s">
        <v>351</v>
      </c>
      <c r="F130" s="20" t="s">
        <v>191</v>
      </c>
      <c r="G130" s="8" t="str">
        <f t="shared" si="1"/>
        <v>DAVIS MICHAEL</v>
      </c>
    </row>
    <row r="131" spans="1:7" x14ac:dyDescent="0.25">
      <c r="A131" s="8">
        <v>42970.525416666664</v>
      </c>
      <c r="B131" s="20" t="s">
        <v>384</v>
      </c>
      <c r="C131" s="20" t="s">
        <v>562</v>
      </c>
      <c r="D131" s="138">
        <v>3520000</v>
      </c>
      <c r="E131" s="20" t="s">
        <v>449</v>
      </c>
      <c r="F131" s="20" t="s">
        <v>450</v>
      </c>
      <c r="G131" s="8" t="str">
        <f t="shared" ref="G131:G194" si="2">E131&amp;" "&amp;F131</f>
        <v>TOUSIGNAUT CARL</v>
      </c>
    </row>
    <row r="132" spans="1:7" x14ac:dyDescent="0.25">
      <c r="A132" s="8">
        <v>42970.525567129633</v>
      </c>
      <c r="B132" s="20" t="s">
        <v>575</v>
      </c>
      <c r="C132" s="20" t="s">
        <v>702</v>
      </c>
      <c r="D132" s="138">
        <v>1360000</v>
      </c>
      <c r="E132" s="20" t="s">
        <v>487</v>
      </c>
      <c r="F132" s="20" t="s">
        <v>488</v>
      </c>
      <c r="G132" s="8" t="str">
        <f t="shared" si="2"/>
        <v>SANTIZO D. EDY</v>
      </c>
    </row>
    <row r="133" spans="1:7" x14ac:dyDescent="0.25">
      <c r="A133" s="8">
        <v>42970.526030092595</v>
      </c>
      <c r="B133" s="20" t="s">
        <v>601</v>
      </c>
      <c r="C133" s="20" t="s">
        <v>703</v>
      </c>
      <c r="D133" s="138">
        <v>1770000</v>
      </c>
      <c r="E133" s="20" t="s">
        <v>427</v>
      </c>
      <c r="F133" s="20" t="s">
        <v>428</v>
      </c>
      <c r="G133" s="8" t="str">
        <f t="shared" si="2"/>
        <v>BRUDER RICHARD</v>
      </c>
    </row>
    <row r="134" spans="1:7" x14ac:dyDescent="0.25">
      <c r="A134" s="8">
        <v>42970.537905092591</v>
      </c>
      <c r="B134" s="20" t="s">
        <v>565</v>
      </c>
      <c r="C134" s="20" t="s">
        <v>566</v>
      </c>
      <c r="D134" s="138">
        <v>1300000</v>
      </c>
      <c r="E134" s="20" t="s">
        <v>451</v>
      </c>
      <c r="F134" s="20" t="s">
        <v>452</v>
      </c>
      <c r="G134" s="8" t="str">
        <f t="shared" si="2"/>
        <v>LEVIN SCOTT</v>
      </c>
    </row>
    <row r="135" spans="1:7" x14ac:dyDescent="0.25">
      <c r="A135" s="8">
        <v>42970.539259259262</v>
      </c>
      <c r="B135" s="20" t="s">
        <v>420</v>
      </c>
      <c r="C135" s="20" t="s">
        <v>668</v>
      </c>
      <c r="D135" s="138">
        <v>2040000</v>
      </c>
      <c r="E135" s="20" t="s">
        <v>388</v>
      </c>
      <c r="F135" s="20" t="s">
        <v>389</v>
      </c>
      <c r="G135" s="8" t="str">
        <f t="shared" si="2"/>
        <v>MOSES BRADLEY</v>
      </c>
    </row>
    <row r="136" spans="1:7" x14ac:dyDescent="0.25">
      <c r="A136" s="8">
        <v>42970.540289351855</v>
      </c>
      <c r="B136" s="20" t="s">
        <v>412</v>
      </c>
      <c r="C136" s="20" t="s">
        <v>704</v>
      </c>
      <c r="D136" s="138">
        <v>880000</v>
      </c>
      <c r="E136" s="20" t="s">
        <v>491</v>
      </c>
      <c r="F136" s="20" t="s">
        <v>191</v>
      </c>
      <c r="G136" s="8" t="str">
        <f t="shared" si="2"/>
        <v>STEWART MICHAEL</v>
      </c>
    </row>
    <row r="137" spans="1:7" x14ac:dyDescent="0.25">
      <c r="A137" s="8">
        <v>42970.542951388888</v>
      </c>
      <c r="B137" s="20" t="s">
        <v>563</v>
      </c>
      <c r="C137" s="20" t="s">
        <v>564</v>
      </c>
      <c r="D137" s="138">
        <v>2440000</v>
      </c>
      <c r="E137" s="20" t="s">
        <v>697</v>
      </c>
      <c r="F137" s="20" t="s">
        <v>698</v>
      </c>
      <c r="G137" s="8" t="str">
        <f t="shared" si="2"/>
        <v>LOPES KIMBERLY</v>
      </c>
    </row>
    <row r="138" spans="1:7" x14ac:dyDescent="0.25">
      <c r="A138" s="8">
        <v>42970.545972222222</v>
      </c>
      <c r="B138" s="20" t="s">
        <v>480</v>
      </c>
      <c r="C138" s="20" t="s">
        <v>705</v>
      </c>
      <c r="D138" s="138">
        <v>1830000</v>
      </c>
      <c r="E138" s="20" t="s">
        <v>676</v>
      </c>
      <c r="F138" s="20" t="s">
        <v>677</v>
      </c>
      <c r="G138" s="8" t="str">
        <f t="shared" si="2"/>
        <v>YORK EDGAR</v>
      </c>
    </row>
    <row r="139" spans="1:7" x14ac:dyDescent="0.25">
      <c r="A139" s="8">
        <v>42970.55</v>
      </c>
      <c r="B139" s="20" t="s">
        <v>570</v>
      </c>
      <c r="C139" s="20" t="s">
        <v>706</v>
      </c>
      <c r="D139" s="138">
        <v>3500000</v>
      </c>
      <c r="E139" s="20" t="s">
        <v>447</v>
      </c>
      <c r="F139" s="20" t="s">
        <v>448</v>
      </c>
      <c r="G139" s="8" t="str">
        <f t="shared" si="2"/>
        <v>GUNTHIER ERIC</v>
      </c>
    </row>
    <row r="140" spans="1:7" x14ac:dyDescent="0.25">
      <c r="A140" s="8">
        <v>42970.557847222219</v>
      </c>
      <c r="B140" s="20" t="s">
        <v>436</v>
      </c>
      <c r="C140" s="20" t="s">
        <v>707</v>
      </c>
      <c r="D140" s="138">
        <v>2030000</v>
      </c>
      <c r="E140" s="20" t="s">
        <v>708</v>
      </c>
      <c r="F140" s="20" t="s">
        <v>442</v>
      </c>
      <c r="G140" s="8" t="str">
        <f t="shared" si="2"/>
        <v>KILLION DAVID</v>
      </c>
    </row>
    <row r="141" spans="1:7" x14ac:dyDescent="0.25">
      <c r="A141" s="8">
        <v>42970.558657407404</v>
      </c>
      <c r="B141" s="20" t="s">
        <v>434</v>
      </c>
      <c r="C141" s="20" t="s">
        <v>569</v>
      </c>
      <c r="D141" s="138">
        <v>920000</v>
      </c>
      <c r="E141" s="20" t="s">
        <v>351</v>
      </c>
      <c r="F141" s="20" t="s">
        <v>191</v>
      </c>
      <c r="G141" s="8" t="str">
        <f t="shared" si="2"/>
        <v>DAVIS MICHAEL</v>
      </c>
    </row>
    <row r="142" spans="1:7" x14ac:dyDescent="0.25">
      <c r="A142" s="8">
        <v>42970.565162037034</v>
      </c>
      <c r="B142" s="20" t="s">
        <v>621</v>
      </c>
      <c r="C142" s="20" t="s">
        <v>709</v>
      </c>
      <c r="D142" s="138">
        <v>1780000</v>
      </c>
      <c r="E142" s="20" t="s">
        <v>489</v>
      </c>
      <c r="F142" s="20" t="s">
        <v>490</v>
      </c>
      <c r="G142" s="8" t="str">
        <f t="shared" si="2"/>
        <v>DE LA ROSA ALEX</v>
      </c>
    </row>
    <row r="143" spans="1:7" x14ac:dyDescent="0.25">
      <c r="A143" s="8">
        <v>42970.566990740743</v>
      </c>
      <c r="B143" s="20" t="s">
        <v>421</v>
      </c>
      <c r="C143" s="20" t="s">
        <v>555</v>
      </c>
      <c r="D143" s="138">
        <v>2040000</v>
      </c>
      <c r="E143" s="20" t="s">
        <v>388</v>
      </c>
      <c r="F143" s="20" t="s">
        <v>389</v>
      </c>
      <c r="G143" s="8" t="str">
        <f t="shared" si="2"/>
        <v>MOSES BRADLEY</v>
      </c>
    </row>
    <row r="144" spans="1:7" x14ac:dyDescent="0.25">
      <c r="A144" s="8">
        <v>42970.568819444445</v>
      </c>
      <c r="B144" s="20" t="s">
        <v>575</v>
      </c>
      <c r="C144" s="20" t="s">
        <v>710</v>
      </c>
      <c r="D144" s="138">
        <v>3500000</v>
      </c>
      <c r="E144" s="20" t="s">
        <v>447</v>
      </c>
      <c r="F144" s="20" t="s">
        <v>448</v>
      </c>
      <c r="G144" s="8" t="str">
        <f t="shared" si="2"/>
        <v>GUNTHIER ERIC</v>
      </c>
    </row>
    <row r="145" spans="1:7" x14ac:dyDescent="0.25">
      <c r="A145" s="8">
        <v>42970.569976851853</v>
      </c>
      <c r="B145" s="20" t="s">
        <v>558</v>
      </c>
      <c r="C145" s="20" t="s">
        <v>709</v>
      </c>
      <c r="D145" s="138">
        <v>1780000</v>
      </c>
      <c r="E145" s="20" t="s">
        <v>489</v>
      </c>
      <c r="F145" s="20" t="s">
        <v>490</v>
      </c>
      <c r="G145" s="8" t="str">
        <f t="shared" si="2"/>
        <v>DE LA ROSA ALEX</v>
      </c>
    </row>
    <row r="146" spans="1:7" x14ac:dyDescent="0.25">
      <c r="A146" s="8">
        <v>42970.570104166669</v>
      </c>
      <c r="B146" s="20" t="s">
        <v>387</v>
      </c>
      <c r="C146" s="20" t="s">
        <v>711</v>
      </c>
      <c r="D146" s="138">
        <v>3520000</v>
      </c>
      <c r="E146" s="20" t="s">
        <v>449</v>
      </c>
      <c r="F146" s="20" t="s">
        <v>450</v>
      </c>
      <c r="G146" s="8" t="str">
        <f t="shared" si="2"/>
        <v>TOUSIGNAUT CARL</v>
      </c>
    </row>
    <row r="147" spans="1:7" x14ac:dyDescent="0.25">
      <c r="A147" s="8">
        <v>42970.570868055554</v>
      </c>
      <c r="B147" s="20" t="s">
        <v>558</v>
      </c>
      <c r="C147" s="20" t="s">
        <v>709</v>
      </c>
      <c r="D147" s="138">
        <v>1780000</v>
      </c>
      <c r="E147" s="20" t="s">
        <v>489</v>
      </c>
      <c r="F147" s="20" t="s">
        <v>490</v>
      </c>
      <c r="G147" s="8" t="str">
        <f t="shared" si="2"/>
        <v>DE LA ROSA ALEX</v>
      </c>
    </row>
    <row r="148" spans="1:7" x14ac:dyDescent="0.25">
      <c r="A148" s="8">
        <v>42970.571030092593</v>
      </c>
      <c r="B148" s="20" t="s">
        <v>387</v>
      </c>
      <c r="C148" s="20" t="s">
        <v>711</v>
      </c>
      <c r="D148" s="138">
        <v>3520000</v>
      </c>
      <c r="E148" s="20" t="s">
        <v>449</v>
      </c>
      <c r="F148" s="20" t="s">
        <v>450</v>
      </c>
      <c r="G148" s="8" t="str">
        <f t="shared" si="2"/>
        <v>TOUSIGNAUT CARL</v>
      </c>
    </row>
    <row r="149" spans="1:7" x14ac:dyDescent="0.25">
      <c r="A149" s="8">
        <v>42970.572974537034</v>
      </c>
      <c r="B149" s="20" t="s">
        <v>387</v>
      </c>
      <c r="C149" s="20" t="s">
        <v>711</v>
      </c>
      <c r="D149" s="138">
        <v>3520000</v>
      </c>
      <c r="E149" s="20" t="s">
        <v>449</v>
      </c>
      <c r="F149" s="20" t="s">
        <v>450</v>
      </c>
      <c r="G149" s="8" t="str">
        <f t="shared" si="2"/>
        <v>TOUSIGNAUT CARL</v>
      </c>
    </row>
    <row r="150" spans="1:7" x14ac:dyDescent="0.25">
      <c r="A150" s="8">
        <v>42970.576064814813</v>
      </c>
      <c r="B150" s="20" t="s">
        <v>621</v>
      </c>
      <c r="C150" s="20" t="s">
        <v>712</v>
      </c>
      <c r="D150" s="138">
        <v>1780000</v>
      </c>
      <c r="E150" s="20" t="s">
        <v>489</v>
      </c>
      <c r="F150" s="20" t="s">
        <v>490</v>
      </c>
      <c r="G150" s="8" t="str">
        <f t="shared" si="2"/>
        <v>DE LA ROSA ALEX</v>
      </c>
    </row>
    <row r="151" spans="1:7" x14ac:dyDescent="0.25">
      <c r="A151" s="8">
        <v>42970.578506944446</v>
      </c>
      <c r="B151" s="20" t="s">
        <v>411</v>
      </c>
      <c r="C151" s="20" t="s">
        <v>713</v>
      </c>
      <c r="D151" s="138">
        <v>880000</v>
      </c>
      <c r="E151" s="20" t="s">
        <v>491</v>
      </c>
      <c r="F151" s="20" t="s">
        <v>191</v>
      </c>
      <c r="G151" s="8" t="str">
        <f t="shared" si="2"/>
        <v>STEWART MICHAEL</v>
      </c>
    </row>
    <row r="152" spans="1:7" x14ac:dyDescent="0.25">
      <c r="A152" s="8">
        <v>42970.578634259262</v>
      </c>
      <c r="B152" s="20" t="s">
        <v>484</v>
      </c>
      <c r="C152" s="20" t="s">
        <v>572</v>
      </c>
      <c r="D152" s="138">
        <v>1830000</v>
      </c>
      <c r="E152" s="20" t="s">
        <v>676</v>
      </c>
      <c r="F152" s="20" t="s">
        <v>677</v>
      </c>
      <c r="G152" s="8" t="str">
        <f t="shared" si="2"/>
        <v>YORK EDGAR</v>
      </c>
    </row>
    <row r="153" spans="1:7" x14ac:dyDescent="0.25">
      <c r="A153" s="8">
        <v>42970.581122685187</v>
      </c>
      <c r="B153" s="20" t="s">
        <v>567</v>
      </c>
      <c r="C153" s="20" t="s">
        <v>568</v>
      </c>
      <c r="D153" s="138">
        <v>1740000</v>
      </c>
      <c r="E153" s="20" t="s">
        <v>492</v>
      </c>
      <c r="F153" s="20" t="s">
        <v>493</v>
      </c>
      <c r="G153" s="8" t="str">
        <f t="shared" si="2"/>
        <v>STORY SAMANTHA</v>
      </c>
    </row>
    <row r="154" spans="1:7" x14ac:dyDescent="0.25">
      <c r="A154" s="8">
        <v>42970.592060185183</v>
      </c>
      <c r="B154" s="20" t="s">
        <v>570</v>
      </c>
      <c r="C154" s="20" t="s">
        <v>571</v>
      </c>
      <c r="D154" s="138">
        <v>3500000</v>
      </c>
      <c r="E154" s="20" t="s">
        <v>447</v>
      </c>
      <c r="F154" s="20" t="s">
        <v>448</v>
      </c>
      <c r="G154" s="8" t="str">
        <f t="shared" si="2"/>
        <v>GUNTHIER ERIC</v>
      </c>
    </row>
    <row r="155" spans="1:7" x14ac:dyDescent="0.25">
      <c r="A155" s="8">
        <v>42970.59412037037</v>
      </c>
      <c r="B155" s="20" t="s">
        <v>420</v>
      </c>
      <c r="C155" s="20" t="s">
        <v>668</v>
      </c>
      <c r="D155" s="138">
        <v>2040000</v>
      </c>
      <c r="E155" s="20" t="s">
        <v>388</v>
      </c>
      <c r="F155" s="20" t="s">
        <v>389</v>
      </c>
      <c r="G155" s="8" t="str">
        <f t="shared" si="2"/>
        <v>MOSES BRADLEY</v>
      </c>
    </row>
    <row r="156" spans="1:7" x14ac:dyDescent="0.25">
      <c r="A156" s="8">
        <v>42970.59642361111</v>
      </c>
      <c r="B156" s="20" t="s">
        <v>435</v>
      </c>
      <c r="C156" s="20" t="s">
        <v>714</v>
      </c>
      <c r="D156" s="138">
        <v>2440000</v>
      </c>
      <c r="E156" s="20" t="s">
        <v>697</v>
      </c>
      <c r="F156" s="20" t="s">
        <v>698</v>
      </c>
      <c r="G156" s="8" t="str">
        <f t="shared" si="2"/>
        <v>LOPES KIMBERLY</v>
      </c>
    </row>
    <row r="157" spans="1:7" x14ac:dyDescent="0.25">
      <c r="A157" s="8">
        <v>42970.600335648145</v>
      </c>
      <c r="B157" s="20" t="s">
        <v>601</v>
      </c>
      <c r="C157" s="20" t="s">
        <v>715</v>
      </c>
      <c r="D157" s="138">
        <v>2030000</v>
      </c>
      <c r="E157" s="20" t="s">
        <v>708</v>
      </c>
      <c r="F157" s="20" t="s">
        <v>442</v>
      </c>
      <c r="G157" s="8" t="str">
        <f t="shared" si="2"/>
        <v>KILLION DAVID</v>
      </c>
    </row>
    <row r="158" spans="1:7" x14ac:dyDescent="0.25">
      <c r="A158" s="8">
        <v>42970.606898148151</v>
      </c>
      <c r="B158" s="20" t="s">
        <v>384</v>
      </c>
      <c r="C158" s="20" t="s">
        <v>716</v>
      </c>
      <c r="D158" s="138">
        <v>3520000</v>
      </c>
      <c r="E158" s="20" t="s">
        <v>449</v>
      </c>
      <c r="F158" s="20" t="s">
        <v>450</v>
      </c>
      <c r="G158" s="8" t="str">
        <f t="shared" si="2"/>
        <v>TOUSIGNAUT CARL</v>
      </c>
    </row>
    <row r="159" spans="1:7" x14ac:dyDescent="0.25">
      <c r="A159" s="8">
        <v>42970.60800925926</v>
      </c>
      <c r="B159" s="20" t="s">
        <v>558</v>
      </c>
      <c r="C159" s="20" t="s">
        <v>717</v>
      </c>
      <c r="D159" s="138">
        <v>1780000</v>
      </c>
      <c r="E159" s="20" t="s">
        <v>489</v>
      </c>
      <c r="F159" s="20" t="s">
        <v>490</v>
      </c>
      <c r="G159" s="8" t="str">
        <f t="shared" si="2"/>
        <v>DE LA ROSA ALEX</v>
      </c>
    </row>
    <row r="160" spans="1:7" x14ac:dyDescent="0.25">
      <c r="A160" s="8">
        <v>42970.610173611109</v>
      </c>
      <c r="B160" s="20" t="s">
        <v>575</v>
      </c>
      <c r="C160" s="20" t="s">
        <v>718</v>
      </c>
      <c r="D160" s="138">
        <v>3500000</v>
      </c>
      <c r="E160" s="20" t="s">
        <v>447</v>
      </c>
      <c r="F160" s="20" t="s">
        <v>448</v>
      </c>
      <c r="G160" s="8" t="str">
        <f t="shared" si="2"/>
        <v>GUNTHIER ERIC</v>
      </c>
    </row>
    <row r="161" spans="1:7" x14ac:dyDescent="0.25">
      <c r="A161" s="8">
        <v>42970.612916666665</v>
      </c>
      <c r="B161" s="20" t="s">
        <v>412</v>
      </c>
      <c r="C161" s="20" t="s">
        <v>719</v>
      </c>
      <c r="D161" s="138">
        <v>880000</v>
      </c>
      <c r="E161" s="20" t="s">
        <v>491</v>
      </c>
      <c r="F161" s="20" t="s">
        <v>191</v>
      </c>
      <c r="G161" s="8" t="str">
        <f t="shared" si="2"/>
        <v>STEWART MICHAEL</v>
      </c>
    </row>
    <row r="162" spans="1:7" x14ac:dyDescent="0.25">
      <c r="A162" s="8">
        <v>42970.619108796294</v>
      </c>
      <c r="B162" s="20" t="s">
        <v>494</v>
      </c>
      <c r="C162" s="20" t="s">
        <v>574</v>
      </c>
      <c r="D162" s="138">
        <v>1740000</v>
      </c>
      <c r="E162" s="20" t="s">
        <v>492</v>
      </c>
      <c r="F162" s="20" t="s">
        <v>493</v>
      </c>
      <c r="G162" s="8" t="str">
        <f t="shared" si="2"/>
        <v>STORY SAMANTHA</v>
      </c>
    </row>
    <row r="163" spans="1:7" x14ac:dyDescent="0.25">
      <c r="A163" s="8">
        <v>42970.621030092596</v>
      </c>
      <c r="B163" s="20" t="s">
        <v>480</v>
      </c>
      <c r="C163" s="20" t="s">
        <v>720</v>
      </c>
      <c r="D163" s="138">
        <v>2470000</v>
      </c>
      <c r="E163" s="20" t="s">
        <v>425</v>
      </c>
      <c r="F163" s="20" t="s">
        <v>426</v>
      </c>
      <c r="G163" s="8" t="str">
        <f t="shared" si="2"/>
        <v>ROMERO CHAD</v>
      </c>
    </row>
    <row r="164" spans="1:7" x14ac:dyDescent="0.25">
      <c r="A164" s="8">
        <v>42970.629965277774</v>
      </c>
      <c r="B164" s="20" t="s">
        <v>563</v>
      </c>
      <c r="C164" s="20" t="s">
        <v>573</v>
      </c>
      <c r="D164" s="138">
        <v>2440000</v>
      </c>
      <c r="E164" s="20" t="s">
        <v>697</v>
      </c>
      <c r="F164" s="20" t="s">
        <v>698</v>
      </c>
      <c r="G164" s="8" t="str">
        <f t="shared" si="2"/>
        <v>LOPES KIMBERLY</v>
      </c>
    </row>
    <row r="165" spans="1:7" x14ac:dyDescent="0.25">
      <c r="A165" s="8">
        <v>42970.632407407407</v>
      </c>
      <c r="B165" s="20" t="s">
        <v>436</v>
      </c>
      <c r="C165" s="20" t="s">
        <v>721</v>
      </c>
      <c r="D165" s="138">
        <v>1770000</v>
      </c>
      <c r="E165" s="20" t="s">
        <v>427</v>
      </c>
      <c r="F165" s="20" t="s">
        <v>428</v>
      </c>
      <c r="G165" s="8" t="str">
        <f t="shared" si="2"/>
        <v>BRUDER RICHARD</v>
      </c>
    </row>
    <row r="166" spans="1:7" x14ac:dyDescent="0.25">
      <c r="A166" s="8">
        <v>42970.633472222224</v>
      </c>
      <c r="B166" s="20" t="s">
        <v>421</v>
      </c>
      <c r="C166" s="20" t="s">
        <v>578</v>
      </c>
      <c r="D166" s="138">
        <v>2630000</v>
      </c>
      <c r="E166" s="20" t="s">
        <v>495</v>
      </c>
      <c r="F166" s="20" t="s">
        <v>496</v>
      </c>
      <c r="G166" s="8" t="str">
        <f t="shared" si="2"/>
        <v>SAFIEF AEIMEN</v>
      </c>
    </row>
    <row r="167" spans="1:7" x14ac:dyDescent="0.25">
      <c r="A167" s="8">
        <v>42970.63484953704</v>
      </c>
      <c r="B167" s="20" t="s">
        <v>553</v>
      </c>
      <c r="C167" s="20" t="s">
        <v>722</v>
      </c>
      <c r="D167" s="138">
        <v>3520000</v>
      </c>
      <c r="E167" s="20" t="s">
        <v>449</v>
      </c>
      <c r="F167" s="20" t="s">
        <v>450</v>
      </c>
      <c r="G167" s="8" t="str">
        <f t="shared" si="2"/>
        <v>TOUSIGNAUT CARL</v>
      </c>
    </row>
    <row r="168" spans="1:7" x14ac:dyDescent="0.25">
      <c r="A168" s="8">
        <v>42970.635821759257</v>
      </c>
      <c r="B168" s="20" t="s">
        <v>553</v>
      </c>
      <c r="C168" s="20" t="s">
        <v>722</v>
      </c>
      <c r="D168" s="138">
        <v>3510000</v>
      </c>
      <c r="E168" s="20" t="s">
        <v>453</v>
      </c>
      <c r="F168" s="20" t="s">
        <v>454</v>
      </c>
      <c r="G168" s="8" t="str">
        <f t="shared" si="2"/>
        <v>BARRON PERLA</v>
      </c>
    </row>
    <row r="169" spans="1:7" x14ac:dyDescent="0.25">
      <c r="A169" s="8">
        <v>42970.635949074072</v>
      </c>
      <c r="B169" s="20" t="s">
        <v>570</v>
      </c>
      <c r="C169" s="20" t="s">
        <v>723</v>
      </c>
      <c r="D169" s="138">
        <v>3500000</v>
      </c>
      <c r="E169" s="20" t="s">
        <v>447</v>
      </c>
      <c r="F169" s="20" t="s">
        <v>448</v>
      </c>
      <c r="G169" s="8" t="str">
        <f t="shared" si="2"/>
        <v>GUNTHIER ERIC</v>
      </c>
    </row>
    <row r="170" spans="1:7" x14ac:dyDescent="0.25">
      <c r="A170" s="8">
        <v>42970.637835648151</v>
      </c>
      <c r="B170" s="20" t="s">
        <v>553</v>
      </c>
      <c r="C170" s="20" t="s">
        <v>722</v>
      </c>
      <c r="D170" s="138">
        <v>3510000</v>
      </c>
      <c r="E170" s="20" t="s">
        <v>453</v>
      </c>
      <c r="F170" s="20" t="s">
        <v>454</v>
      </c>
      <c r="G170" s="8" t="str">
        <f t="shared" si="2"/>
        <v>BARRON PERLA</v>
      </c>
    </row>
    <row r="171" spans="1:7" x14ac:dyDescent="0.25">
      <c r="A171" s="8">
        <v>42970.642164351855</v>
      </c>
      <c r="B171" s="20" t="s">
        <v>387</v>
      </c>
      <c r="C171" s="20" t="s">
        <v>724</v>
      </c>
      <c r="D171" s="138">
        <v>3520000</v>
      </c>
      <c r="E171" s="20" t="s">
        <v>449</v>
      </c>
      <c r="F171" s="20" t="s">
        <v>450</v>
      </c>
      <c r="G171" s="8" t="str">
        <f t="shared" si="2"/>
        <v>TOUSIGNAUT CARL</v>
      </c>
    </row>
    <row r="172" spans="1:7" x14ac:dyDescent="0.25">
      <c r="A172" s="8">
        <v>42970.643703703703</v>
      </c>
      <c r="B172" s="20" t="s">
        <v>621</v>
      </c>
      <c r="C172" s="20" t="s">
        <v>725</v>
      </c>
      <c r="D172" s="138">
        <v>1300000</v>
      </c>
      <c r="E172" s="20" t="s">
        <v>451</v>
      </c>
      <c r="F172" s="20" t="s">
        <v>452</v>
      </c>
      <c r="G172" s="8" t="str">
        <f t="shared" si="2"/>
        <v>LEVIN SCOTT</v>
      </c>
    </row>
    <row r="173" spans="1:7" x14ac:dyDescent="0.25">
      <c r="A173" s="8">
        <v>42970.651261574072</v>
      </c>
      <c r="B173" s="20" t="s">
        <v>575</v>
      </c>
      <c r="C173" s="20" t="s">
        <v>576</v>
      </c>
      <c r="D173" s="138">
        <v>3500000</v>
      </c>
      <c r="E173" s="20" t="s">
        <v>447</v>
      </c>
      <c r="F173" s="20" t="s">
        <v>448</v>
      </c>
      <c r="G173" s="8" t="str">
        <f t="shared" si="2"/>
        <v>GUNTHIER ERIC</v>
      </c>
    </row>
    <row r="174" spans="1:7" x14ac:dyDescent="0.25">
      <c r="A174" s="8">
        <v>42970.652465277781</v>
      </c>
      <c r="B174" s="20" t="s">
        <v>411</v>
      </c>
      <c r="C174" s="20" t="s">
        <v>726</v>
      </c>
      <c r="D174" s="138">
        <v>880000</v>
      </c>
      <c r="E174" s="20" t="s">
        <v>491</v>
      </c>
      <c r="F174" s="20" t="s">
        <v>191</v>
      </c>
      <c r="G174" s="8" t="str">
        <f t="shared" si="2"/>
        <v>STEWART MICHAEL</v>
      </c>
    </row>
    <row r="175" spans="1:7" x14ac:dyDescent="0.25">
      <c r="A175" s="8">
        <v>42970.653356481482</v>
      </c>
      <c r="B175" s="20" t="s">
        <v>567</v>
      </c>
      <c r="C175" s="20" t="s">
        <v>577</v>
      </c>
      <c r="D175" s="138">
        <v>2440000</v>
      </c>
      <c r="E175" s="20" t="s">
        <v>697</v>
      </c>
      <c r="F175" s="20" t="s">
        <v>698</v>
      </c>
      <c r="G175" s="8" t="str">
        <f t="shared" si="2"/>
        <v>LOPES KIMBERLY</v>
      </c>
    </row>
    <row r="176" spans="1:7" x14ac:dyDescent="0.25">
      <c r="A176" s="8">
        <v>42970.653877314813</v>
      </c>
      <c r="B176" s="20" t="s">
        <v>484</v>
      </c>
      <c r="C176" s="20" t="s">
        <v>727</v>
      </c>
      <c r="D176" s="138">
        <v>2470000</v>
      </c>
      <c r="E176" s="20" t="s">
        <v>425</v>
      </c>
      <c r="F176" s="20" t="s">
        <v>426</v>
      </c>
      <c r="G176" s="8" t="str">
        <f t="shared" si="2"/>
        <v>ROMERO CHAD</v>
      </c>
    </row>
    <row r="177" spans="1:7" x14ac:dyDescent="0.25">
      <c r="A177" s="8">
        <v>42970.655300925922</v>
      </c>
      <c r="B177" s="20" t="s">
        <v>584</v>
      </c>
      <c r="C177" s="20" t="s">
        <v>728</v>
      </c>
      <c r="D177" s="138">
        <v>3510000</v>
      </c>
      <c r="E177" s="20" t="s">
        <v>453</v>
      </c>
      <c r="F177" s="20" t="s">
        <v>454</v>
      </c>
      <c r="G177" s="8" t="str">
        <f t="shared" si="2"/>
        <v>BARRON PERLA</v>
      </c>
    </row>
    <row r="178" spans="1:7" x14ac:dyDescent="0.25">
      <c r="A178" s="8">
        <v>42970.656782407408</v>
      </c>
      <c r="B178" s="20" t="s">
        <v>549</v>
      </c>
      <c r="C178" s="20" t="s">
        <v>593</v>
      </c>
      <c r="D178" s="138">
        <v>1780000</v>
      </c>
      <c r="E178" s="20" t="s">
        <v>489</v>
      </c>
      <c r="F178" s="20" t="s">
        <v>490</v>
      </c>
      <c r="G178" s="8" t="str">
        <f t="shared" si="2"/>
        <v>DE LA ROSA ALEX</v>
      </c>
    </row>
    <row r="179" spans="1:7" x14ac:dyDescent="0.25">
      <c r="A179" s="8">
        <v>42970.66369212963</v>
      </c>
      <c r="B179" s="20" t="s">
        <v>435</v>
      </c>
      <c r="C179" s="20" t="s">
        <v>729</v>
      </c>
      <c r="D179" s="138">
        <v>920000</v>
      </c>
      <c r="E179" s="20" t="s">
        <v>351</v>
      </c>
      <c r="F179" s="20" t="s">
        <v>191</v>
      </c>
      <c r="G179" s="8" t="str">
        <f t="shared" si="2"/>
        <v>DAVIS MICHAEL</v>
      </c>
    </row>
    <row r="180" spans="1:7" x14ac:dyDescent="0.25">
      <c r="A180" s="8">
        <v>42970.664872685185</v>
      </c>
      <c r="B180" s="20" t="s">
        <v>420</v>
      </c>
      <c r="C180" s="20" t="s">
        <v>730</v>
      </c>
      <c r="D180" s="138">
        <v>2630000</v>
      </c>
      <c r="E180" s="20" t="s">
        <v>495</v>
      </c>
      <c r="F180" s="20" t="s">
        <v>496</v>
      </c>
      <c r="G180" s="8" t="str">
        <f t="shared" si="2"/>
        <v>SAFIEF AEIMEN</v>
      </c>
    </row>
    <row r="181" spans="1:7" x14ac:dyDescent="0.25">
      <c r="A181" s="8">
        <v>42970.671643518515</v>
      </c>
      <c r="B181" s="20" t="s">
        <v>553</v>
      </c>
      <c r="C181" s="20" t="s">
        <v>731</v>
      </c>
      <c r="D181" s="138">
        <v>3510000</v>
      </c>
      <c r="E181" s="20" t="s">
        <v>453</v>
      </c>
      <c r="F181" s="20" t="s">
        <v>454</v>
      </c>
      <c r="G181" s="8" t="str">
        <f t="shared" si="2"/>
        <v>BARRON PERLA</v>
      </c>
    </row>
    <row r="182" spans="1:7" x14ac:dyDescent="0.25">
      <c r="A182" s="8">
        <v>42970.67224537037</v>
      </c>
      <c r="B182" s="20" t="s">
        <v>601</v>
      </c>
      <c r="C182" s="20" t="s">
        <v>732</v>
      </c>
      <c r="D182" s="138">
        <v>1770000</v>
      </c>
      <c r="E182" s="20" t="s">
        <v>427</v>
      </c>
      <c r="F182" s="20" t="s">
        <v>428</v>
      </c>
      <c r="G182" s="8" t="str">
        <f t="shared" si="2"/>
        <v>BRUDER RICHARD</v>
      </c>
    </row>
    <row r="183" spans="1:7" x14ac:dyDescent="0.25">
      <c r="A183" s="8">
        <v>42970.673842592594</v>
      </c>
      <c r="B183" s="20" t="s">
        <v>384</v>
      </c>
      <c r="C183" s="20" t="s">
        <v>733</v>
      </c>
      <c r="D183" s="138">
        <v>3520000</v>
      </c>
      <c r="E183" s="20" t="s">
        <v>449</v>
      </c>
      <c r="F183" s="20" t="s">
        <v>450</v>
      </c>
      <c r="G183" s="8" t="str">
        <f t="shared" si="2"/>
        <v>TOUSIGNAUT CARL</v>
      </c>
    </row>
    <row r="184" spans="1:7" x14ac:dyDescent="0.25">
      <c r="A184" s="8">
        <v>42970.678067129629</v>
      </c>
      <c r="B184" s="20" t="s">
        <v>570</v>
      </c>
      <c r="C184" s="20" t="s">
        <v>734</v>
      </c>
      <c r="D184" s="138">
        <v>3500000</v>
      </c>
      <c r="E184" s="20" t="s">
        <v>447</v>
      </c>
      <c r="F184" s="20" t="s">
        <v>448</v>
      </c>
      <c r="G184" s="8" t="str">
        <f t="shared" si="2"/>
        <v>GUNTHIER ERIC</v>
      </c>
    </row>
    <row r="185" spans="1:7" x14ac:dyDescent="0.25">
      <c r="A185" s="8">
        <v>42970.684421296297</v>
      </c>
      <c r="B185" s="20" t="s">
        <v>412</v>
      </c>
      <c r="C185" s="20" t="s">
        <v>735</v>
      </c>
      <c r="D185" s="138">
        <v>880000</v>
      </c>
      <c r="E185" s="20" t="s">
        <v>491</v>
      </c>
      <c r="F185" s="20" t="s">
        <v>191</v>
      </c>
      <c r="G185" s="8" t="str">
        <f t="shared" si="2"/>
        <v>STEWART MICHAEL</v>
      </c>
    </row>
    <row r="186" spans="1:7" x14ac:dyDescent="0.25">
      <c r="A186" s="8">
        <v>42970.685682870368</v>
      </c>
      <c r="B186" s="20" t="s">
        <v>558</v>
      </c>
      <c r="C186" s="20" t="s">
        <v>736</v>
      </c>
      <c r="D186" s="138">
        <v>1300000</v>
      </c>
      <c r="E186" s="20" t="s">
        <v>451</v>
      </c>
      <c r="F186" s="20" t="s">
        <v>452</v>
      </c>
      <c r="G186" s="8" t="str">
        <f t="shared" si="2"/>
        <v>LEVIN SCOTT</v>
      </c>
    </row>
    <row r="187" spans="1:7" x14ac:dyDescent="0.25">
      <c r="A187" s="8">
        <v>42970.686863425923</v>
      </c>
      <c r="B187" s="20" t="s">
        <v>584</v>
      </c>
      <c r="C187" s="20" t="s">
        <v>737</v>
      </c>
      <c r="D187" s="138">
        <v>3510000</v>
      </c>
      <c r="E187" s="20" t="s">
        <v>453</v>
      </c>
      <c r="F187" s="20" t="s">
        <v>454</v>
      </c>
      <c r="G187" s="8" t="str">
        <f t="shared" si="2"/>
        <v>BARRON PERLA</v>
      </c>
    </row>
    <row r="188" spans="1:7" x14ac:dyDescent="0.25">
      <c r="A188" s="8">
        <v>42970.689375000002</v>
      </c>
      <c r="B188" s="20" t="s">
        <v>421</v>
      </c>
      <c r="C188" s="20" t="s">
        <v>579</v>
      </c>
      <c r="D188" s="138">
        <v>2550000</v>
      </c>
      <c r="E188" s="20" t="s">
        <v>738</v>
      </c>
      <c r="F188" s="20" t="s">
        <v>739</v>
      </c>
      <c r="G188" s="8" t="str">
        <f t="shared" si="2"/>
        <v>BADERTSCHER DIANE</v>
      </c>
    </row>
    <row r="189" spans="1:7" x14ac:dyDescent="0.25">
      <c r="A189" s="8">
        <v>42970.691041666665</v>
      </c>
      <c r="B189" s="20" t="s">
        <v>494</v>
      </c>
      <c r="C189" s="20" t="s">
        <v>740</v>
      </c>
      <c r="D189" s="138">
        <v>2440000</v>
      </c>
      <c r="E189" s="20" t="s">
        <v>697</v>
      </c>
      <c r="F189" s="20" t="s">
        <v>698</v>
      </c>
      <c r="G189" s="8" t="str">
        <f t="shared" si="2"/>
        <v>LOPES KIMBERLY</v>
      </c>
    </row>
    <row r="190" spans="1:7" x14ac:dyDescent="0.25">
      <c r="A190" s="8">
        <v>42970.693055555559</v>
      </c>
      <c r="B190" s="20" t="s">
        <v>480</v>
      </c>
      <c r="C190" s="20" t="s">
        <v>741</v>
      </c>
      <c r="D190" s="138">
        <v>2470000</v>
      </c>
      <c r="E190" s="20" t="s">
        <v>425</v>
      </c>
      <c r="F190" s="20" t="s">
        <v>426</v>
      </c>
      <c r="G190" s="8" t="str">
        <f t="shared" si="2"/>
        <v>ROMERO CHAD</v>
      </c>
    </row>
    <row r="191" spans="1:7" x14ac:dyDescent="0.25">
      <c r="A191" s="8">
        <v>42970.693958333337</v>
      </c>
      <c r="B191" s="20" t="s">
        <v>575</v>
      </c>
      <c r="C191" s="20" t="s">
        <v>742</v>
      </c>
      <c r="D191" s="138">
        <v>3500000</v>
      </c>
      <c r="E191" s="20" t="s">
        <v>447</v>
      </c>
      <c r="F191" s="20" t="s">
        <v>448</v>
      </c>
      <c r="G191" s="8" t="str">
        <f t="shared" si="2"/>
        <v>GUNTHIER ERIC</v>
      </c>
    </row>
    <row r="192" spans="1:7" x14ac:dyDescent="0.25">
      <c r="A192" s="8">
        <v>42970.704907407409</v>
      </c>
      <c r="B192" s="20" t="s">
        <v>436</v>
      </c>
      <c r="C192" s="20" t="s">
        <v>743</v>
      </c>
      <c r="D192" s="138">
        <v>1770000</v>
      </c>
      <c r="E192" s="20" t="s">
        <v>427</v>
      </c>
      <c r="F192" s="20" t="s">
        <v>428</v>
      </c>
      <c r="G192" s="8" t="str">
        <f t="shared" si="2"/>
        <v>BRUDER RICHARD</v>
      </c>
    </row>
    <row r="193" spans="1:7" x14ac:dyDescent="0.25">
      <c r="A193" s="8">
        <v>42970.70553240741</v>
      </c>
      <c r="B193" s="20" t="s">
        <v>563</v>
      </c>
      <c r="C193" s="20" t="s">
        <v>744</v>
      </c>
      <c r="D193" s="138">
        <v>920000</v>
      </c>
      <c r="E193" s="20" t="s">
        <v>351</v>
      </c>
      <c r="F193" s="20" t="s">
        <v>191</v>
      </c>
      <c r="G193" s="8" t="str">
        <f t="shared" si="2"/>
        <v>DAVIS MICHAEL</v>
      </c>
    </row>
    <row r="194" spans="1:7" x14ac:dyDescent="0.25">
      <c r="A194" s="8">
        <v>42970.711354166669</v>
      </c>
      <c r="B194" s="20" t="s">
        <v>387</v>
      </c>
      <c r="C194" s="20" t="s">
        <v>580</v>
      </c>
      <c r="D194" s="138">
        <v>3520000</v>
      </c>
      <c r="E194" s="20" t="s">
        <v>449</v>
      </c>
      <c r="F194" s="20" t="s">
        <v>450</v>
      </c>
      <c r="G194" s="8" t="str">
        <f t="shared" si="2"/>
        <v>TOUSIGNAUT CARL</v>
      </c>
    </row>
    <row r="195" spans="1:7" x14ac:dyDescent="0.25">
      <c r="A195" s="8">
        <v>42970.711527777778</v>
      </c>
      <c r="B195" s="20" t="s">
        <v>420</v>
      </c>
      <c r="C195" s="20" t="s">
        <v>745</v>
      </c>
      <c r="D195" s="138">
        <v>2550000</v>
      </c>
      <c r="E195" s="20" t="s">
        <v>738</v>
      </c>
      <c r="F195" s="20" t="s">
        <v>739</v>
      </c>
      <c r="G195" s="8" t="str">
        <f t="shared" ref="G195:G258" si="3">E195&amp;" "&amp;F195</f>
        <v>BADERTSCHER DIANE</v>
      </c>
    </row>
    <row r="196" spans="1:7" x14ac:dyDescent="0.25">
      <c r="A196" s="8">
        <v>42970.713645833333</v>
      </c>
      <c r="B196" s="20" t="s">
        <v>621</v>
      </c>
      <c r="C196" s="20" t="s">
        <v>746</v>
      </c>
      <c r="D196" s="138">
        <v>1300000</v>
      </c>
      <c r="E196" s="20" t="s">
        <v>451</v>
      </c>
      <c r="F196" s="20" t="s">
        <v>452</v>
      </c>
      <c r="G196" s="8" t="str">
        <f t="shared" si="3"/>
        <v>LEVIN SCOTT</v>
      </c>
    </row>
    <row r="197" spans="1:7" x14ac:dyDescent="0.25">
      <c r="A197" s="8">
        <v>42970.714039351849</v>
      </c>
      <c r="B197" s="20" t="s">
        <v>553</v>
      </c>
      <c r="C197" s="20" t="s">
        <v>747</v>
      </c>
      <c r="D197" s="138">
        <v>3510000</v>
      </c>
      <c r="E197" s="20" t="s">
        <v>453</v>
      </c>
      <c r="F197" s="20" t="s">
        <v>454</v>
      </c>
      <c r="G197" s="8" t="str">
        <f t="shared" si="3"/>
        <v>BARRON PERLA</v>
      </c>
    </row>
    <row r="198" spans="1:7" x14ac:dyDescent="0.25">
      <c r="A198" s="8">
        <v>42970.716597222221</v>
      </c>
      <c r="B198" s="20" t="s">
        <v>570</v>
      </c>
      <c r="C198" s="20" t="s">
        <v>748</v>
      </c>
      <c r="D198" s="138">
        <v>3500000</v>
      </c>
      <c r="E198" s="20" t="s">
        <v>447</v>
      </c>
      <c r="F198" s="20" t="s">
        <v>448</v>
      </c>
      <c r="G198" s="8" t="str">
        <f t="shared" si="3"/>
        <v>GUNTHIER ERIC</v>
      </c>
    </row>
    <row r="199" spans="1:7" x14ac:dyDescent="0.25">
      <c r="A199" s="8">
        <v>42970.724803240744</v>
      </c>
      <c r="B199" s="20" t="s">
        <v>411</v>
      </c>
      <c r="C199" s="20" t="s">
        <v>749</v>
      </c>
      <c r="D199" s="138">
        <v>880000</v>
      </c>
      <c r="E199" s="20" t="s">
        <v>491</v>
      </c>
      <c r="F199" s="20" t="s">
        <v>191</v>
      </c>
      <c r="G199" s="8" t="str">
        <f t="shared" si="3"/>
        <v>STEWART MICHAEL</v>
      </c>
    </row>
    <row r="200" spans="1:7" x14ac:dyDescent="0.25">
      <c r="A200" s="8">
        <v>42970.725034722222</v>
      </c>
      <c r="B200" s="20" t="s">
        <v>567</v>
      </c>
      <c r="C200" s="20" t="s">
        <v>750</v>
      </c>
      <c r="D200" s="138">
        <v>2440000</v>
      </c>
      <c r="E200" s="20" t="s">
        <v>697</v>
      </c>
      <c r="F200" s="20" t="s">
        <v>698</v>
      </c>
      <c r="G200" s="8" t="str">
        <f t="shared" si="3"/>
        <v>LOPES KIMBERLY</v>
      </c>
    </row>
    <row r="201" spans="1:7" x14ac:dyDescent="0.25">
      <c r="A201" s="8">
        <v>42970.725324074076</v>
      </c>
      <c r="B201" s="20" t="s">
        <v>484</v>
      </c>
      <c r="C201" s="20" t="s">
        <v>751</v>
      </c>
      <c r="D201" s="138">
        <v>2470000</v>
      </c>
      <c r="E201" s="20" t="s">
        <v>425</v>
      </c>
      <c r="F201" s="20" t="s">
        <v>426</v>
      </c>
      <c r="G201" s="8" t="str">
        <f t="shared" si="3"/>
        <v>ROMERO CHAD</v>
      </c>
    </row>
    <row r="202" spans="1:7" x14ac:dyDescent="0.25">
      <c r="A202" s="26">
        <v>42970.725486111114</v>
      </c>
      <c r="B202" s="20" t="s">
        <v>441</v>
      </c>
      <c r="C202" s="20" t="s">
        <v>752</v>
      </c>
      <c r="D202" s="138">
        <v>2140000</v>
      </c>
      <c r="E202" s="20" t="s">
        <v>753</v>
      </c>
      <c r="F202" s="20" t="s">
        <v>754</v>
      </c>
      <c r="G202" s="8" t="str">
        <f t="shared" si="3"/>
        <v>ROBINSON KADDIBA</v>
      </c>
    </row>
    <row r="203" spans="1:7" x14ac:dyDescent="0.25">
      <c r="A203" s="8">
        <v>42970.734791666669</v>
      </c>
      <c r="B203" s="20" t="s">
        <v>575</v>
      </c>
      <c r="C203" s="20" t="s">
        <v>755</v>
      </c>
      <c r="D203" s="138">
        <v>3500000</v>
      </c>
      <c r="E203" s="20" t="s">
        <v>447</v>
      </c>
      <c r="F203" s="20" t="s">
        <v>448</v>
      </c>
      <c r="G203" s="8" t="str">
        <f t="shared" si="3"/>
        <v>GUNTHIER ERIC</v>
      </c>
    </row>
    <row r="204" spans="1:7" x14ac:dyDescent="0.25">
      <c r="A204" s="8">
        <v>42970.737615740742</v>
      </c>
      <c r="B204" s="20" t="s">
        <v>435</v>
      </c>
      <c r="C204" s="20" t="s">
        <v>756</v>
      </c>
      <c r="D204" s="138">
        <v>3220000</v>
      </c>
      <c r="E204" s="20" t="s">
        <v>757</v>
      </c>
      <c r="F204" s="20" t="s">
        <v>758</v>
      </c>
      <c r="G204" s="8" t="str">
        <f t="shared" si="3"/>
        <v>RESPASS AARON</v>
      </c>
    </row>
    <row r="205" spans="1:7" x14ac:dyDescent="0.25">
      <c r="A205" s="8">
        <v>42970.74050925926</v>
      </c>
      <c r="B205" s="20" t="s">
        <v>584</v>
      </c>
      <c r="C205" s="20" t="s">
        <v>759</v>
      </c>
      <c r="D205" s="138">
        <v>3510000</v>
      </c>
      <c r="E205" s="20" t="s">
        <v>453</v>
      </c>
      <c r="F205" s="20" t="s">
        <v>454</v>
      </c>
      <c r="G205" s="8" t="str">
        <f t="shared" si="3"/>
        <v>BARRON PERLA</v>
      </c>
    </row>
    <row r="206" spans="1:7" x14ac:dyDescent="0.25">
      <c r="A206" s="8">
        <v>42970.745393518519</v>
      </c>
      <c r="B206" s="20" t="s">
        <v>479</v>
      </c>
      <c r="C206" s="20" t="s">
        <v>760</v>
      </c>
      <c r="D206" s="138">
        <v>3180000</v>
      </c>
      <c r="E206" s="20" t="s">
        <v>761</v>
      </c>
      <c r="F206" s="20" t="s">
        <v>762</v>
      </c>
      <c r="G206" s="8" t="str">
        <f t="shared" si="3"/>
        <v>HUFFSMITH MONTY</v>
      </c>
    </row>
    <row r="207" spans="1:7" x14ac:dyDescent="0.25">
      <c r="A207" s="8">
        <v>42970.745844907404</v>
      </c>
      <c r="B207" s="20" t="s">
        <v>601</v>
      </c>
      <c r="C207" s="20" t="s">
        <v>763</v>
      </c>
      <c r="D207" s="138">
        <v>1770000</v>
      </c>
      <c r="E207" s="20" t="s">
        <v>427</v>
      </c>
      <c r="F207" s="20" t="s">
        <v>428</v>
      </c>
      <c r="G207" s="8" t="str">
        <f t="shared" si="3"/>
        <v>BRUDER RICHARD</v>
      </c>
    </row>
    <row r="208" spans="1:7" x14ac:dyDescent="0.25">
      <c r="A208" s="8">
        <v>42970.747800925928</v>
      </c>
      <c r="B208" s="20" t="s">
        <v>384</v>
      </c>
      <c r="C208" s="20" t="s">
        <v>582</v>
      </c>
      <c r="D208" s="138">
        <v>3520000</v>
      </c>
      <c r="E208" s="20" t="s">
        <v>449</v>
      </c>
      <c r="F208" s="20" t="s">
        <v>450</v>
      </c>
      <c r="G208" s="8" t="str">
        <f t="shared" si="3"/>
        <v>TOUSIGNAUT CARL</v>
      </c>
    </row>
    <row r="209" spans="1:7" x14ac:dyDescent="0.25">
      <c r="A209" s="8">
        <v>42970.75371527778</v>
      </c>
      <c r="B209" s="20" t="s">
        <v>558</v>
      </c>
      <c r="C209" s="20" t="s">
        <v>764</v>
      </c>
      <c r="D209" s="138">
        <v>1300000</v>
      </c>
      <c r="E209" s="20" t="s">
        <v>451</v>
      </c>
      <c r="F209" s="20" t="s">
        <v>452</v>
      </c>
      <c r="G209" s="8" t="str">
        <f t="shared" si="3"/>
        <v>LEVIN SCOTT</v>
      </c>
    </row>
    <row r="210" spans="1:7" x14ac:dyDescent="0.25">
      <c r="A210" s="8">
        <v>42970.755428240744</v>
      </c>
      <c r="B210" s="20" t="s">
        <v>553</v>
      </c>
      <c r="C210" s="20" t="s">
        <v>583</v>
      </c>
      <c r="D210" s="138">
        <v>3510000</v>
      </c>
      <c r="E210" s="20" t="s">
        <v>453</v>
      </c>
      <c r="F210" s="20" t="s">
        <v>454</v>
      </c>
      <c r="G210" s="8" t="str">
        <f t="shared" si="3"/>
        <v>BARRON PERLA</v>
      </c>
    </row>
    <row r="211" spans="1:7" x14ac:dyDescent="0.25">
      <c r="A211" s="8">
        <v>42970.758298611108</v>
      </c>
      <c r="B211" s="20" t="s">
        <v>412</v>
      </c>
      <c r="C211" s="20" t="s">
        <v>581</v>
      </c>
      <c r="D211" s="138">
        <v>3490000</v>
      </c>
      <c r="E211" s="20" t="s">
        <v>455</v>
      </c>
      <c r="F211" s="20" t="s">
        <v>456</v>
      </c>
      <c r="G211" s="8" t="str">
        <f t="shared" si="3"/>
        <v>WEST BRYAN</v>
      </c>
    </row>
    <row r="212" spans="1:7" x14ac:dyDescent="0.25">
      <c r="A212" s="8">
        <v>42970.758530092593</v>
      </c>
      <c r="B212" s="20" t="s">
        <v>570</v>
      </c>
      <c r="C212" s="20" t="s">
        <v>765</v>
      </c>
      <c r="D212" s="138">
        <v>3500000</v>
      </c>
      <c r="E212" s="20" t="s">
        <v>447</v>
      </c>
      <c r="F212" s="20" t="s">
        <v>448</v>
      </c>
      <c r="G212" s="8" t="str">
        <f t="shared" si="3"/>
        <v>GUNTHIER ERIC</v>
      </c>
    </row>
    <row r="213" spans="1:7" x14ac:dyDescent="0.25">
      <c r="A213" s="8">
        <v>42970.762685185182</v>
      </c>
      <c r="B213" s="20" t="s">
        <v>494</v>
      </c>
      <c r="C213" s="20" t="s">
        <v>766</v>
      </c>
      <c r="D213" s="138">
        <v>2440000</v>
      </c>
      <c r="E213" s="20" t="s">
        <v>697</v>
      </c>
      <c r="F213" s="20" t="s">
        <v>698</v>
      </c>
      <c r="G213" s="8" t="str">
        <f t="shared" si="3"/>
        <v>LOPES KIMBERLY</v>
      </c>
    </row>
    <row r="214" spans="1:7" x14ac:dyDescent="0.25">
      <c r="A214" s="8">
        <v>42970.766180555554</v>
      </c>
      <c r="B214" s="20" t="s">
        <v>480</v>
      </c>
      <c r="C214" s="20" t="s">
        <v>767</v>
      </c>
      <c r="D214" s="138">
        <v>3090000</v>
      </c>
      <c r="E214" s="20" t="s">
        <v>768</v>
      </c>
      <c r="F214" s="20" t="s">
        <v>769</v>
      </c>
      <c r="G214" s="8" t="str">
        <f t="shared" si="3"/>
        <v>LAMAR NEKESHA</v>
      </c>
    </row>
    <row r="215" spans="1:7" x14ac:dyDescent="0.25">
      <c r="A215" s="8">
        <v>42970.775972222225</v>
      </c>
      <c r="B215" s="20" t="s">
        <v>436</v>
      </c>
      <c r="C215" s="20" t="s">
        <v>770</v>
      </c>
      <c r="D215" s="138">
        <v>1770000</v>
      </c>
      <c r="E215" s="20" t="s">
        <v>427</v>
      </c>
      <c r="F215" s="20" t="s">
        <v>428</v>
      </c>
      <c r="G215" s="8" t="str">
        <f t="shared" si="3"/>
        <v>BRUDER RICHARD</v>
      </c>
    </row>
    <row r="216" spans="1:7" x14ac:dyDescent="0.25">
      <c r="A216" s="8">
        <v>42970.777013888888</v>
      </c>
      <c r="B216" s="20" t="s">
        <v>575</v>
      </c>
      <c r="C216" s="20" t="s">
        <v>771</v>
      </c>
      <c r="D216" s="138">
        <v>3500000</v>
      </c>
      <c r="E216" s="20" t="s">
        <v>447</v>
      </c>
      <c r="F216" s="20" t="s">
        <v>448</v>
      </c>
      <c r="G216" s="8" t="str">
        <f t="shared" si="3"/>
        <v>GUNTHIER ERIC</v>
      </c>
    </row>
    <row r="217" spans="1:7" x14ac:dyDescent="0.25">
      <c r="A217" s="8">
        <v>42970.778773148151</v>
      </c>
      <c r="B217" s="20" t="s">
        <v>563</v>
      </c>
      <c r="C217" s="20" t="s">
        <v>772</v>
      </c>
      <c r="D217" s="138">
        <v>3220000</v>
      </c>
      <c r="E217" s="20" t="s">
        <v>757</v>
      </c>
      <c r="F217" s="20" t="s">
        <v>758</v>
      </c>
      <c r="G217" s="8" t="str">
        <f t="shared" si="3"/>
        <v>RESPASS AARON</v>
      </c>
    </row>
    <row r="218" spans="1:7" x14ac:dyDescent="0.25">
      <c r="A218" s="8">
        <v>42970.779062499998</v>
      </c>
      <c r="B218" s="20" t="s">
        <v>584</v>
      </c>
      <c r="C218" s="20" t="s">
        <v>585</v>
      </c>
      <c r="D218" s="138">
        <v>3510000</v>
      </c>
      <c r="E218" s="20" t="s">
        <v>453</v>
      </c>
      <c r="F218" s="20" t="s">
        <v>454</v>
      </c>
      <c r="G218" s="8" t="str">
        <f t="shared" si="3"/>
        <v>BARRON PERLA</v>
      </c>
    </row>
    <row r="219" spans="1:7" x14ac:dyDescent="0.25">
      <c r="A219" s="8">
        <v>42970.786585648151</v>
      </c>
      <c r="B219" s="20" t="s">
        <v>621</v>
      </c>
      <c r="C219" s="20" t="s">
        <v>773</v>
      </c>
      <c r="D219" s="138">
        <v>3000000</v>
      </c>
      <c r="E219" s="20" t="s">
        <v>497</v>
      </c>
      <c r="F219" s="20" t="s">
        <v>498</v>
      </c>
      <c r="G219" s="8" t="str">
        <f t="shared" si="3"/>
        <v>FORTUNATO FRANK</v>
      </c>
    </row>
    <row r="220" spans="1:7" x14ac:dyDescent="0.25">
      <c r="A220" s="8">
        <v>42970.787361111114</v>
      </c>
      <c r="B220" s="20" t="s">
        <v>387</v>
      </c>
      <c r="C220" s="20" t="s">
        <v>774</v>
      </c>
      <c r="D220" s="138">
        <v>3520000</v>
      </c>
      <c r="E220" s="20" t="s">
        <v>449</v>
      </c>
      <c r="F220" s="20" t="s">
        <v>450</v>
      </c>
      <c r="G220" s="8" t="str">
        <f t="shared" si="3"/>
        <v>TOUSIGNAUT CARL</v>
      </c>
    </row>
    <row r="221" spans="1:7" x14ac:dyDescent="0.25">
      <c r="A221" s="8">
        <v>42970.796493055554</v>
      </c>
      <c r="B221" s="20" t="s">
        <v>411</v>
      </c>
      <c r="C221" s="20" t="s">
        <v>775</v>
      </c>
      <c r="D221" s="138">
        <v>3490000</v>
      </c>
      <c r="E221" s="20" t="s">
        <v>455</v>
      </c>
      <c r="F221" s="20" t="s">
        <v>456</v>
      </c>
      <c r="G221" s="8" t="str">
        <f t="shared" si="3"/>
        <v>WEST BRYAN</v>
      </c>
    </row>
    <row r="222" spans="1:7" x14ac:dyDescent="0.25">
      <c r="A222" s="8">
        <v>42970.796736111108</v>
      </c>
      <c r="B222" s="20" t="s">
        <v>553</v>
      </c>
      <c r="C222" s="20" t="s">
        <v>776</v>
      </c>
      <c r="D222" s="138">
        <v>3510000</v>
      </c>
      <c r="E222" s="20" t="s">
        <v>453</v>
      </c>
      <c r="F222" s="20" t="s">
        <v>454</v>
      </c>
      <c r="G222" s="8" t="str">
        <f t="shared" si="3"/>
        <v>BARRON PERLA</v>
      </c>
    </row>
    <row r="223" spans="1:7" x14ac:dyDescent="0.25">
      <c r="A223" s="8">
        <v>42970.798229166663</v>
      </c>
      <c r="B223" s="20" t="s">
        <v>567</v>
      </c>
      <c r="C223" s="20" t="s">
        <v>777</v>
      </c>
      <c r="D223" s="138">
        <v>2440000</v>
      </c>
      <c r="E223" s="20" t="s">
        <v>697</v>
      </c>
      <c r="F223" s="20" t="s">
        <v>698</v>
      </c>
      <c r="G223" s="8" t="str">
        <f t="shared" si="3"/>
        <v>LOPES KIMBERLY</v>
      </c>
    </row>
    <row r="224" spans="1:7" x14ac:dyDescent="0.25">
      <c r="A224" s="8">
        <v>42970.801678240743</v>
      </c>
      <c r="B224" t="s">
        <v>570</v>
      </c>
      <c r="C224" t="s">
        <v>586</v>
      </c>
      <c r="D224" s="138">
        <v>3500000</v>
      </c>
      <c r="E224" t="s">
        <v>447</v>
      </c>
      <c r="F224" s="20" t="s">
        <v>448</v>
      </c>
      <c r="G224" s="8" t="str">
        <f t="shared" si="3"/>
        <v>GUNTHIER ERIC</v>
      </c>
    </row>
    <row r="225" spans="1:7" x14ac:dyDescent="0.25">
      <c r="A225" s="8">
        <v>42970.807997685188</v>
      </c>
      <c r="B225" t="s">
        <v>484</v>
      </c>
      <c r="C225" t="s">
        <v>587</v>
      </c>
      <c r="D225" s="138">
        <v>3090000</v>
      </c>
      <c r="E225" t="s">
        <v>768</v>
      </c>
      <c r="F225" s="20" t="s">
        <v>769</v>
      </c>
      <c r="G225" s="8" t="str">
        <f t="shared" si="3"/>
        <v>LAMAR NEKESHA</v>
      </c>
    </row>
    <row r="226" spans="1:7" x14ac:dyDescent="0.25">
      <c r="A226" s="8">
        <v>42970.810891203706</v>
      </c>
      <c r="B226" t="s">
        <v>435</v>
      </c>
      <c r="C226" t="s">
        <v>778</v>
      </c>
      <c r="D226" s="138">
        <v>3220000</v>
      </c>
      <c r="E226" t="s">
        <v>757</v>
      </c>
      <c r="F226" s="20" t="s">
        <v>758</v>
      </c>
      <c r="G226" s="8" t="str">
        <f t="shared" si="3"/>
        <v>RESPASS AARON</v>
      </c>
    </row>
    <row r="227" spans="1:7" x14ac:dyDescent="0.25">
      <c r="A227" s="8">
        <v>42970.818472222221</v>
      </c>
      <c r="B227" t="s">
        <v>384</v>
      </c>
      <c r="C227" t="s">
        <v>779</v>
      </c>
      <c r="D227" s="138">
        <v>3520000</v>
      </c>
      <c r="E227" t="s">
        <v>449</v>
      </c>
      <c r="F227" s="20" t="s">
        <v>450</v>
      </c>
      <c r="G227" s="8" t="str">
        <f t="shared" si="3"/>
        <v>TOUSIGNAUT CARL</v>
      </c>
    </row>
    <row r="228" spans="1:7" x14ac:dyDescent="0.25">
      <c r="A228" s="8">
        <v>42970.818761574075</v>
      </c>
      <c r="B228" t="s">
        <v>575</v>
      </c>
      <c r="C228" t="s">
        <v>780</v>
      </c>
      <c r="D228" s="138">
        <v>3500000</v>
      </c>
      <c r="E228" t="s">
        <v>447</v>
      </c>
      <c r="F228" s="20" t="s">
        <v>448</v>
      </c>
      <c r="G228" s="8" t="str">
        <f t="shared" si="3"/>
        <v>GUNTHIER ERIC</v>
      </c>
    </row>
    <row r="229" spans="1:7" x14ac:dyDescent="0.25">
      <c r="A229" s="8">
        <v>42970.82130787037</v>
      </c>
      <c r="B229" t="s">
        <v>558</v>
      </c>
      <c r="C229" t="s">
        <v>781</v>
      </c>
      <c r="D229" s="138">
        <v>3000000</v>
      </c>
      <c r="E229" t="s">
        <v>497</v>
      </c>
      <c r="F229" s="20" t="s">
        <v>498</v>
      </c>
      <c r="G229" s="8" t="str">
        <f t="shared" si="3"/>
        <v>FORTUNATO FRANK</v>
      </c>
    </row>
    <row r="230" spans="1:7" x14ac:dyDescent="0.25">
      <c r="A230" s="8">
        <v>42970.829756944448</v>
      </c>
      <c r="B230" t="s">
        <v>412</v>
      </c>
      <c r="C230" t="s">
        <v>588</v>
      </c>
      <c r="D230" s="138">
        <v>3490000</v>
      </c>
      <c r="E230" t="s">
        <v>455</v>
      </c>
      <c r="F230" s="20" t="s">
        <v>456</v>
      </c>
      <c r="G230" s="8" t="str">
        <f t="shared" si="3"/>
        <v>WEST BRYAN</v>
      </c>
    </row>
    <row r="231" spans="1:7" x14ac:dyDescent="0.25">
      <c r="A231" s="8">
        <v>42970.839953703704</v>
      </c>
      <c r="B231" t="s">
        <v>563</v>
      </c>
      <c r="C231" t="s">
        <v>782</v>
      </c>
      <c r="D231" s="138">
        <v>3220000</v>
      </c>
      <c r="E231" t="s">
        <v>757</v>
      </c>
      <c r="F231" s="20" t="s">
        <v>758</v>
      </c>
      <c r="G231" s="8" t="str">
        <f t="shared" si="3"/>
        <v>RESPASS AARON</v>
      </c>
    </row>
    <row r="232" spans="1:7" x14ac:dyDescent="0.25">
      <c r="A232" s="8">
        <v>42970.841689814813</v>
      </c>
      <c r="B232" t="s">
        <v>570</v>
      </c>
      <c r="C232" t="s">
        <v>783</v>
      </c>
      <c r="D232" s="138">
        <v>3500000</v>
      </c>
      <c r="E232" t="s">
        <v>447</v>
      </c>
      <c r="F232" s="20" t="s">
        <v>448</v>
      </c>
      <c r="G232" s="8" t="str">
        <f t="shared" si="3"/>
        <v>GUNTHIER ERIC</v>
      </c>
    </row>
    <row r="233" spans="1:7" x14ac:dyDescent="0.25">
      <c r="A233" s="8">
        <v>42970.850624999999</v>
      </c>
      <c r="B233" t="s">
        <v>480</v>
      </c>
      <c r="C233" t="s">
        <v>784</v>
      </c>
      <c r="D233" s="138">
        <v>3090000</v>
      </c>
      <c r="E233" t="s">
        <v>768</v>
      </c>
      <c r="F233" s="20" t="s">
        <v>769</v>
      </c>
      <c r="G233" s="8" t="str">
        <f t="shared" si="3"/>
        <v>LAMAR NEKESHA</v>
      </c>
    </row>
    <row r="234" spans="1:7" x14ac:dyDescent="0.25">
      <c r="A234" s="8">
        <v>42970.86173611111</v>
      </c>
      <c r="B234" t="s">
        <v>621</v>
      </c>
      <c r="C234" t="s">
        <v>785</v>
      </c>
      <c r="D234" s="138">
        <v>3000000</v>
      </c>
      <c r="E234" t="s">
        <v>497</v>
      </c>
      <c r="F234" s="20" t="s">
        <v>498</v>
      </c>
      <c r="G234" s="8" t="str">
        <f t="shared" si="3"/>
        <v>FORTUNATO FRANK</v>
      </c>
    </row>
    <row r="235" spans="1:7" x14ac:dyDescent="0.25">
      <c r="A235" s="8">
        <v>42970.861851851849</v>
      </c>
      <c r="B235" t="s">
        <v>575</v>
      </c>
      <c r="C235" t="s">
        <v>786</v>
      </c>
      <c r="D235" s="138">
        <v>3500000</v>
      </c>
      <c r="E235" t="s">
        <v>447</v>
      </c>
      <c r="F235" s="20" t="s">
        <v>448</v>
      </c>
      <c r="G235" s="8" t="str">
        <f t="shared" si="3"/>
        <v>GUNTHIER ERIC</v>
      </c>
    </row>
    <row r="236" spans="1:7" x14ac:dyDescent="0.25">
      <c r="A236" s="8">
        <v>42970.869444444441</v>
      </c>
      <c r="B236" t="s">
        <v>411</v>
      </c>
      <c r="C236" t="s">
        <v>589</v>
      </c>
      <c r="D236" s="138">
        <v>3490000</v>
      </c>
      <c r="E236" t="s">
        <v>455</v>
      </c>
      <c r="F236" s="20" t="s">
        <v>456</v>
      </c>
      <c r="G236" s="8" t="str">
        <f t="shared" si="3"/>
        <v>WEST BRYAN</v>
      </c>
    </row>
    <row r="237" spans="1:7" x14ac:dyDescent="0.25">
      <c r="A237" s="8">
        <v>42970.88590277778</v>
      </c>
      <c r="B237" t="s">
        <v>570</v>
      </c>
      <c r="C237" t="s">
        <v>590</v>
      </c>
      <c r="D237" s="138">
        <v>3510000</v>
      </c>
      <c r="E237" t="s">
        <v>453</v>
      </c>
      <c r="F237" s="20" t="s">
        <v>454</v>
      </c>
      <c r="G237" s="8" t="str">
        <f t="shared" si="3"/>
        <v>BARRON PERLA</v>
      </c>
    </row>
    <row r="238" spans="1:7" x14ac:dyDescent="0.25">
      <c r="A238" s="8">
        <v>42970.891562500001</v>
      </c>
      <c r="B238" t="s">
        <v>484</v>
      </c>
      <c r="C238" t="s">
        <v>787</v>
      </c>
      <c r="D238" s="138">
        <v>3090000</v>
      </c>
      <c r="E238" t="s">
        <v>768</v>
      </c>
      <c r="F238" s="20" t="s">
        <v>769</v>
      </c>
      <c r="G238" s="8" t="str">
        <f t="shared" si="3"/>
        <v>LAMAR NEKESHA</v>
      </c>
    </row>
    <row r="239" spans="1:7" x14ac:dyDescent="0.25">
      <c r="A239" s="8">
        <v>42970.892048611109</v>
      </c>
      <c r="B239" t="s">
        <v>435</v>
      </c>
      <c r="C239" t="s">
        <v>788</v>
      </c>
      <c r="D239" s="138">
        <v>3220000</v>
      </c>
      <c r="E239" t="s">
        <v>757</v>
      </c>
      <c r="F239" s="20" t="s">
        <v>758</v>
      </c>
      <c r="G239" s="8" t="str">
        <f t="shared" si="3"/>
        <v>RESPASS AARON</v>
      </c>
    </row>
    <row r="240" spans="1:7" x14ac:dyDescent="0.25">
      <c r="A240" s="8">
        <v>42970.901550925926</v>
      </c>
      <c r="B240" t="s">
        <v>575</v>
      </c>
      <c r="C240" t="s">
        <v>591</v>
      </c>
      <c r="D240" s="138">
        <v>3510000</v>
      </c>
      <c r="E240" t="s">
        <v>453</v>
      </c>
      <c r="F240" s="20" t="s">
        <v>454</v>
      </c>
      <c r="G240" s="8" t="str">
        <f t="shared" si="3"/>
        <v>BARRON PERLA</v>
      </c>
    </row>
    <row r="241" spans="1:7" x14ac:dyDescent="0.25">
      <c r="A241" s="8">
        <v>42970.903298611112</v>
      </c>
      <c r="B241" t="s">
        <v>558</v>
      </c>
      <c r="C241" t="s">
        <v>789</v>
      </c>
      <c r="D241" s="138">
        <v>3000000</v>
      </c>
      <c r="E241" t="s">
        <v>497</v>
      </c>
      <c r="F241" s="20" t="s">
        <v>498</v>
      </c>
      <c r="G241" s="8" t="str">
        <f t="shared" si="3"/>
        <v>FORTUNATO FRANK</v>
      </c>
    </row>
    <row r="242" spans="1:7" x14ac:dyDescent="0.25">
      <c r="A242" s="8">
        <v>42970.905162037037</v>
      </c>
      <c r="B242" t="s">
        <v>412</v>
      </c>
      <c r="C242" t="s">
        <v>790</v>
      </c>
      <c r="D242" s="138">
        <v>3490000</v>
      </c>
      <c r="E242" t="s">
        <v>455</v>
      </c>
      <c r="F242" s="20" t="s">
        <v>456</v>
      </c>
      <c r="G242" s="8" t="str">
        <f t="shared" si="3"/>
        <v>WEST BRYAN</v>
      </c>
    </row>
    <row r="243" spans="1:7" x14ac:dyDescent="0.25">
      <c r="A243" s="8">
        <v>42970.923449074071</v>
      </c>
      <c r="B243" t="s">
        <v>570</v>
      </c>
      <c r="C243" t="s">
        <v>791</v>
      </c>
      <c r="D243" s="138">
        <v>3510000</v>
      </c>
      <c r="E243" t="s">
        <v>453</v>
      </c>
      <c r="F243" s="20" t="s">
        <v>454</v>
      </c>
      <c r="G243" s="8" t="str">
        <f t="shared" si="3"/>
        <v>BARRON PERLA</v>
      </c>
    </row>
    <row r="244" spans="1:7" x14ac:dyDescent="0.25">
      <c r="A244" s="8">
        <v>42970.931840277779</v>
      </c>
      <c r="B244" t="s">
        <v>563</v>
      </c>
      <c r="C244" t="s">
        <v>792</v>
      </c>
      <c r="D244" s="138">
        <v>3220000</v>
      </c>
      <c r="E244" t="s">
        <v>757</v>
      </c>
      <c r="F244" s="20" t="s">
        <v>758</v>
      </c>
      <c r="G244" s="8" t="str">
        <f t="shared" si="3"/>
        <v>RESPASS AARON</v>
      </c>
    </row>
    <row r="245" spans="1:7" x14ac:dyDescent="0.25">
      <c r="A245" s="8">
        <v>42970.933692129627</v>
      </c>
      <c r="B245" t="s">
        <v>480</v>
      </c>
      <c r="C245" t="s">
        <v>793</v>
      </c>
      <c r="D245" s="138">
        <v>3090000</v>
      </c>
      <c r="E245" t="s">
        <v>768</v>
      </c>
      <c r="F245" s="20" t="s">
        <v>769</v>
      </c>
      <c r="G245" s="8" t="str">
        <f t="shared" si="3"/>
        <v>LAMAR NEKESHA</v>
      </c>
    </row>
    <row r="246" spans="1:7" x14ac:dyDescent="0.25">
      <c r="A246" s="8">
        <v>42970.942280092589</v>
      </c>
      <c r="B246" t="s">
        <v>575</v>
      </c>
      <c r="C246" t="s">
        <v>794</v>
      </c>
      <c r="D246" s="138">
        <v>3510000</v>
      </c>
      <c r="E246" t="s">
        <v>453</v>
      </c>
      <c r="F246" s="20" t="s">
        <v>454</v>
      </c>
      <c r="G246" s="8" t="str">
        <f t="shared" si="3"/>
        <v>BARRON PERLA</v>
      </c>
    </row>
    <row r="247" spans="1:7" x14ac:dyDescent="0.25">
      <c r="A247" s="8">
        <v>42970.944097222222</v>
      </c>
      <c r="B247" t="s">
        <v>621</v>
      </c>
      <c r="C247" t="s">
        <v>795</v>
      </c>
      <c r="D247" s="138">
        <v>3000000</v>
      </c>
      <c r="E247" t="s">
        <v>497</v>
      </c>
      <c r="F247" s="20" t="s">
        <v>498</v>
      </c>
      <c r="G247" s="8" t="str">
        <f t="shared" si="3"/>
        <v>FORTUNATO FRANK</v>
      </c>
    </row>
    <row r="248" spans="1:7" x14ac:dyDescent="0.25">
      <c r="A248" s="8">
        <v>42970.952511574076</v>
      </c>
      <c r="B248" t="s">
        <v>411</v>
      </c>
      <c r="C248" t="s">
        <v>796</v>
      </c>
      <c r="D248" s="138">
        <v>3490000</v>
      </c>
      <c r="E248" t="s">
        <v>455</v>
      </c>
      <c r="F248" s="20" t="s">
        <v>456</v>
      </c>
      <c r="G248" s="8" t="str">
        <f t="shared" si="3"/>
        <v>WEST BRYAN</v>
      </c>
    </row>
    <row r="249" spans="1:7" x14ac:dyDescent="0.25">
      <c r="A249" s="8">
        <v>42970.973252314812</v>
      </c>
      <c r="B249" t="s">
        <v>484</v>
      </c>
      <c r="C249" t="s">
        <v>797</v>
      </c>
      <c r="D249" s="138">
        <v>3090000</v>
      </c>
      <c r="E249" t="s">
        <v>768</v>
      </c>
      <c r="F249" s="20" t="s">
        <v>769</v>
      </c>
      <c r="G249" s="8" t="str">
        <f t="shared" si="3"/>
        <v>LAMAR NEKESHA</v>
      </c>
    </row>
    <row r="250" spans="1:7" x14ac:dyDescent="0.25">
      <c r="A250" s="8">
        <v>42970.976006944446</v>
      </c>
      <c r="B250" t="s">
        <v>435</v>
      </c>
      <c r="C250" t="s">
        <v>798</v>
      </c>
      <c r="D250" s="138">
        <v>3220000</v>
      </c>
      <c r="E250" t="s">
        <v>757</v>
      </c>
      <c r="F250" s="20" t="s">
        <v>758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558</v>
      </c>
      <c r="C251" t="s">
        <v>799</v>
      </c>
      <c r="D251" s="138">
        <v>3000000</v>
      </c>
      <c r="E251" t="s">
        <v>497</v>
      </c>
      <c r="F251" s="20" t="s">
        <v>498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412</v>
      </c>
      <c r="C252" t="s">
        <v>800</v>
      </c>
      <c r="D252" s="138">
        <v>3490000</v>
      </c>
      <c r="E252" t="s">
        <v>455</v>
      </c>
      <c r="F252" s="20" t="s">
        <v>456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563</v>
      </c>
      <c r="C253" t="s">
        <v>801</v>
      </c>
      <c r="D253" s="138">
        <v>3220000</v>
      </c>
      <c r="E253" t="s">
        <v>757</v>
      </c>
      <c r="F253" s="20" t="s">
        <v>758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480</v>
      </c>
      <c r="C254" t="s">
        <v>802</v>
      </c>
      <c r="D254" s="138">
        <v>3090000</v>
      </c>
      <c r="E254" t="s">
        <v>768</v>
      </c>
      <c r="F254" s="20" t="s">
        <v>769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621</v>
      </c>
      <c r="C255" t="s">
        <v>803</v>
      </c>
      <c r="D255" s="138">
        <v>3000000</v>
      </c>
      <c r="E255" t="s">
        <v>497</v>
      </c>
      <c r="F255" s="20" t="s">
        <v>498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411</v>
      </c>
      <c r="C256" t="s">
        <v>804</v>
      </c>
      <c r="D256" s="138">
        <v>3490000</v>
      </c>
      <c r="E256" t="s">
        <v>455</v>
      </c>
      <c r="F256" s="20" t="s">
        <v>456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435</v>
      </c>
      <c r="C257" t="s">
        <v>805</v>
      </c>
      <c r="D257" s="138">
        <v>3220000</v>
      </c>
      <c r="E257" t="s">
        <v>757</v>
      </c>
      <c r="F257" s="20" t="s">
        <v>758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484</v>
      </c>
      <c r="C258" t="s">
        <v>806</v>
      </c>
      <c r="D258" s="138">
        <v>3090000</v>
      </c>
      <c r="E258" t="s">
        <v>768</v>
      </c>
      <c r="F258" s="20" t="s">
        <v>769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412</v>
      </c>
      <c r="C259" t="s">
        <v>807</v>
      </c>
      <c r="D259" s="138">
        <v>3490000</v>
      </c>
      <c r="E259" t="s">
        <v>455</v>
      </c>
      <c r="F259" s="20" t="s">
        <v>456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480</v>
      </c>
      <c r="C260" t="s">
        <v>808</v>
      </c>
      <c r="D260" s="138">
        <v>3090000</v>
      </c>
      <c r="E260" t="s">
        <v>768</v>
      </c>
      <c r="F260" s="20" t="s">
        <v>769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355</v>
      </c>
      <c r="O1" s="171" t="s">
        <v>156</v>
      </c>
      <c r="P1" s="171" t="s">
        <v>163</v>
      </c>
      <c r="Q1" s="171" t="s">
        <v>356</v>
      </c>
      <c r="R1" s="171" t="s">
        <v>160</v>
      </c>
      <c r="S1"/>
    </row>
    <row r="2" spans="1:19" x14ac:dyDescent="0.25">
      <c r="A2" s="172">
        <v>69.67</v>
      </c>
      <c r="B2" s="172">
        <v>0.02</v>
      </c>
      <c r="C2" s="172">
        <v>45.34</v>
      </c>
      <c r="D2" s="8">
        <v>42970</v>
      </c>
      <c r="E2" s="172">
        <v>0.42</v>
      </c>
      <c r="F2" s="172" t="s">
        <v>383</v>
      </c>
      <c r="G2" s="172">
        <v>281.02999999999997</v>
      </c>
      <c r="H2" s="172">
        <v>0</v>
      </c>
      <c r="I2" s="172">
        <v>0</v>
      </c>
      <c r="J2" s="172">
        <v>1015.32</v>
      </c>
      <c r="K2" s="172" t="s">
        <v>382</v>
      </c>
      <c r="L2" s="172">
        <v>69.67</v>
      </c>
      <c r="M2" s="172">
        <v>1503468000</v>
      </c>
      <c r="N2" s="172">
        <v>0</v>
      </c>
      <c r="O2" s="172">
        <v>3.71</v>
      </c>
      <c r="P2" s="172">
        <v>192</v>
      </c>
      <c r="Q2" s="172">
        <v>6.41</v>
      </c>
      <c r="R2" s="172">
        <v>2.44</v>
      </c>
      <c r="S2"/>
    </row>
    <row r="3" spans="1:19" x14ac:dyDescent="0.25">
      <c r="A3" s="172">
        <v>67.099999999999994</v>
      </c>
      <c r="B3" s="172">
        <v>0.02</v>
      </c>
      <c r="C3" s="172">
        <v>45.77</v>
      </c>
      <c r="D3" s="8">
        <v>42970.041666666664</v>
      </c>
      <c r="E3" s="172">
        <v>0.46</v>
      </c>
      <c r="F3" s="172" t="s">
        <v>383</v>
      </c>
      <c r="G3" s="172">
        <v>281.27</v>
      </c>
      <c r="H3" s="172">
        <v>0</v>
      </c>
      <c r="I3" s="172">
        <v>0</v>
      </c>
      <c r="J3" s="172">
        <v>1014.96</v>
      </c>
      <c r="K3" s="172" t="s">
        <v>382</v>
      </c>
      <c r="L3" s="172">
        <v>67.099999999999994</v>
      </c>
      <c r="M3" s="172">
        <v>1503471600</v>
      </c>
      <c r="N3" s="172">
        <v>0</v>
      </c>
      <c r="O3" s="172">
        <v>3.69</v>
      </c>
      <c r="P3" s="172">
        <v>194</v>
      </c>
      <c r="Q3" s="172">
        <v>4.38</v>
      </c>
      <c r="R3" s="172">
        <v>1.63</v>
      </c>
      <c r="S3"/>
    </row>
    <row r="4" spans="1:19" x14ac:dyDescent="0.25">
      <c r="A4" s="172">
        <v>64.87</v>
      </c>
      <c r="B4" s="172">
        <v>0.06</v>
      </c>
      <c r="C4" s="172">
        <v>46.22</v>
      </c>
      <c r="D4" s="8">
        <v>42970.083333333336</v>
      </c>
      <c r="E4" s="172">
        <v>0.51</v>
      </c>
      <c r="F4" s="172" t="s">
        <v>383</v>
      </c>
      <c r="G4" s="172">
        <v>281.51</v>
      </c>
      <c r="H4" s="172">
        <v>0</v>
      </c>
      <c r="I4" s="172">
        <v>0</v>
      </c>
      <c r="J4" s="172">
        <v>1014.99</v>
      </c>
      <c r="K4" s="172" t="s">
        <v>382</v>
      </c>
      <c r="L4" s="172">
        <v>64.87</v>
      </c>
      <c r="M4" s="172">
        <v>1503475200</v>
      </c>
      <c r="N4" s="172">
        <v>0</v>
      </c>
      <c r="O4" s="172">
        <v>2.98</v>
      </c>
      <c r="P4" s="172">
        <v>210</v>
      </c>
      <c r="Q4" s="172">
        <v>3.68</v>
      </c>
      <c r="R4" s="172">
        <v>1.38</v>
      </c>
      <c r="S4"/>
    </row>
    <row r="5" spans="1:19" x14ac:dyDescent="0.25">
      <c r="A5" s="172">
        <v>62.54</v>
      </c>
      <c r="B5" s="172">
        <v>0.09</v>
      </c>
      <c r="C5" s="172">
        <v>47.93</v>
      </c>
      <c r="D5" s="8">
        <v>42970.125</v>
      </c>
      <c r="E5" s="172">
        <v>0.59</v>
      </c>
      <c r="F5" s="172" t="s">
        <v>383</v>
      </c>
      <c r="G5" s="172">
        <v>281.74</v>
      </c>
      <c r="H5" s="172">
        <v>0</v>
      </c>
      <c r="I5" s="172">
        <v>0</v>
      </c>
      <c r="J5" s="172">
        <v>1014.92</v>
      </c>
      <c r="K5" s="172" t="s">
        <v>382</v>
      </c>
      <c r="L5" s="172">
        <v>62.54</v>
      </c>
      <c r="M5" s="172">
        <v>1503478800</v>
      </c>
      <c r="N5" s="172">
        <v>0</v>
      </c>
      <c r="O5" s="172">
        <v>3.6</v>
      </c>
      <c r="P5" s="172">
        <v>211</v>
      </c>
      <c r="Q5" s="172">
        <v>3.16</v>
      </c>
      <c r="R5" s="172">
        <v>1.33</v>
      </c>
      <c r="S5"/>
    </row>
    <row r="6" spans="1:19" x14ac:dyDescent="0.25">
      <c r="A6" s="172">
        <v>61.88</v>
      </c>
      <c r="B6" s="172">
        <v>0.09</v>
      </c>
      <c r="C6" s="172">
        <v>48.79</v>
      </c>
      <c r="D6" s="8">
        <v>42970.166666666664</v>
      </c>
      <c r="E6" s="172">
        <v>0.62</v>
      </c>
      <c r="F6" s="172" t="s">
        <v>383</v>
      </c>
      <c r="G6" s="172">
        <v>281.86</v>
      </c>
      <c r="H6" s="172">
        <v>0</v>
      </c>
      <c r="I6" s="172">
        <v>0</v>
      </c>
      <c r="J6" s="172">
        <v>1014.84</v>
      </c>
      <c r="K6" s="172" t="s">
        <v>382</v>
      </c>
      <c r="L6" s="172">
        <v>61.88</v>
      </c>
      <c r="M6" s="172">
        <v>1503482400</v>
      </c>
      <c r="N6" s="172">
        <v>0</v>
      </c>
      <c r="O6" s="172">
        <v>3.69</v>
      </c>
      <c r="P6" s="172">
        <v>191</v>
      </c>
      <c r="Q6" s="172">
        <v>2.98</v>
      </c>
      <c r="R6" s="172">
        <v>1.33</v>
      </c>
      <c r="S6"/>
    </row>
    <row r="7" spans="1:19" x14ac:dyDescent="0.25">
      <c r="A7" s="172">
        <v>62.76</v>
      </c>
      <c r="B7" s="172">
        <v>0.09</v>
      </c>
      <c r="C7" s="172">
        <v>49.42</v>
      </c>
      <c r="D7" s="8">
        <v>42970.208333333336</v>
      </c>
      <c r="E7" s="172">
        <v>0.62</v>
      </c>
      <c r="F7" s="172" t="s">
        <v>383</v>
      </c>
      <c r="G7" s="172">
        <v>281.87</v>
      </c>
      <c r="H7" s="172">
        <v>0</v>
      </c>
      <c r="I7" s="172">
        <v>0</v>
      </c>
      <c r="J7" s="172">
        <v>1015.29</v>
      </c>
      <c r="K7" s="172" t="s">
        <v>382</v>
      </c>
      <c r="L7" s="172">
        <v>62.76</v>
      </c>
      <c r="M7" s="172">
        <v>1503486000</v>
      </c>
      <c r="N7" s="172">
        <v>0</v>
      </c>
      <c r="O7" s="172">
        <v>3.69</v>
      </c>
      <c r="P7" s="172">
        <v>192</v>
      </c>
      <c r="Q7" s="172">
        <v>3.35</v>
      </c>
      <c r="R7" s="172">
        <v>1.44</v>
      </c>
      <c r="S7"/>
    </row>
    <row r="8" spans="1:19" x14ac:dyDescent="0.25">
      <c r="A8" s="172">
        <v>63.02</v>
      </c>
      <c r="B8" s="172">
        <v>0.1</v>
      </c>
      <c r="C8" s="172">
        <v>49.66</v>
      </c>
      <c r="D8" s="8">
        <v>42970.25</v>
      </c>
      <c r="E8" s="172">
        <v>0.62</v>
      </c>
      <c r="F8" s="172" t="s">
        <v>383</v>
      </c>
      <c r="G8" s="172">
        <v>280.45</v>
      </c>
      <c r="H8" s="172">
        <v>0</v>
      </c>
      <c r="I8" s="172">
        <v>0</v>
      </c>
      <c r="J8" s="172">
        <v>1015.37</v>
      </c>
      <c r="K8" s="172" t="s">
        <v>382</v>
      </c>
      <c r="L8" s="172">
        <v>63.02</v>
      </c>
      <c r="M8" s="172">
        <v>1503489600</v>
      </c>
      <c r="N8" s="172">
        <v>0</v>
      </c>
      <c r="O8" s="172">
        <v>3.83</v>
      </c>
      <c r="P8" s="172">
        <v>215</v>
      </c>
      <c r="Q8" s="172">
        <v>3.19</v>
      </c>
      <c r="R8" s="172">
        <v>1.29</v>
      </c>
      <c r="S8"/>
    </row>
    <row r="9" spans="1:19" x14ac:dyDescent="0.25">
      <c r="A9" s="172">
        <v>63.07</v>
      </c>
      <c r="B9" s="172">
        <v>0.11</v>
      </c>
      <c r="C9" s="172">
        <v>50.56</v>
      </c>
      <c r="D9" s="8">
        <v>42970.291666666664</v>
      </c>
      <c r="E9" s="172">
        <v>0.64</v>
      </c>
      <c r="F9" s="172" t="s">
        <v>381</v>
      </c>
      <c r="G9" s="172">
        <v>280.10000000000002</v>
      </c>
      <c r="H9" s="172">
        <v>0</v>
      </c>
      <c r="I9" s="172">
        <v>0</v>
      </c>
      <c r="J9" s="172">
        <v>1015.23</v>
      </c>
      <c r="K9" s="172" t="s">
        <v>382</v>
      </c>
      <c r="L9" s="172">
        <v>63.07</v>
      </c>
      <c r="M9" s="172">
        <v>1503493200</v>
      </c>
      <c r="N9" s="172">
        <v>0</v>
      </c>
      <c r="O9" s="172">
        <v>3.6</v>
      </c>
      <c r="P9" s="172">
        <v>210</v>
      </c>
      <c r="Q9" s="172">
        <v>2.73</v>
      </c>
      <c r="R9" s="172">
        <v>0.63</v>
      </c>
      <c r="S9"/>
    </row>
    <row r="10" spans="1:19" x14ac:dyDescent="0.25">
      <c r="A10" s="172">
        <v>63.84</v>
      </c>
      <c r="B10" s="172">
        <v>0.22</v>
      </c>
      <c r="C10" s="172">
        <v>51.73</v>
      </c>
      <c r="D10" s="8">
        <v>42970.333333333336</v>
      </c>
      <c r="E10" s="172">
        <v>0.65</v>
      </c>
      <c r="F10" s="172" t="s">
        <v>381</v>
      </c>
      <c r="G10" s="172">
        <v>279.86</v>
      </c>
      <c r="H10" s="172">
        <v>0</v>
      </c>
      <c r="I10" s="172">
        <v>0</v>
      </c>
      <c r="J10" s="172">
        <v>1015.67</v>
      </c>
      <c r="K10" s="172" t="s">
        <v>382</v>
      </c>
      <c r="L10" s="172">
        <v>63.84</v>
      </c>
      <c r="M10" s="172">
        <v>1503496800</v>
      </c>
      <c r="N10" s="172">
        <v>1</v>
      </c>
      <c r="O10" s="172">
        <v>3.6</v>
      </c>
      <c r="P10" s="172">
        <v>295</v>
      </c>
      <c r="Q10" s="172">
        <v>2.91</v>
      </c>
      <c r="R10" s="172">
        <v>0.44</v>
      </c>
      <c r="S10"/>
    </row>
    <row r="11" spans="1:19" x14ac:dyDescent="0.25">
      <c r="A11" s="172">
        <v>69.040000000000006</v>
      </c>
      <c r="B11" s="172">
        <v>0.15</v>
      </c>
      <c r="C11" s="172">
        <v>52.71</v>
      </c>
      <c r="D11" s="8">
        <v>42970.375</v>
      </c>
      <c r="E11" s="172">
        <v>0.56000000000000005</v>
      </c>
      <c r="F11" s="172" t="s">
        <v>381</v>
      </c>
      <c r="G11" s="172">
        <v>279.74</v>
      </c>
      <c r="H11" s="172">
        <v>0</v>
      </c>
      <c r="I11" s="172">
        <v>0</v>
      </c>
      <c r="J11" s="172">
        <v>1015.49</v>
      </c>
      <c r="K11" s="172" t="s">
        <v>382</v>
      </c>
      <c r="L11" s="172">
        <v>69.040000000000006</v>
      </c>
      <c r="M11" s="172">
        <v>1503500400</v>
      </c>
      <c r="N11" s="172">
        <v>2</v>
      </c>
      <c r="O11" s="172">
        <v>3.69</v>
      </c>
      <c r="P11" s="172">
        <v>278</v>
      </c>
      <c r="Q11" s="172">
        <v>3.94</v>
      </c>
      <c r="R11" s="172">
        <v>0.47</v>
      </c>
      <c r="S11"/>
    </row>
    <row r="12" spans="1:19" x14ac:dyDescent="0.25">
      <c r="A12" s="172">
        <v>75.2</v>
      </c>
      <c r="B12" s="172">
        <v>0.24</v>
      </c>
      <c r="C12" s="172">
        <v>52.82</v>
      </c>
      <c r="D12" s="8">
        <v>42970.416666666664</v>
      </c>
      <c r="E12" s="172">
        <v>0.46</v>
      </c>
      <c r="F12" s="172" t="s">
        <v>381</v>
      </c>
      <c r="G12" s="172">
        <v>279.5</v>
      </c>
      <c r="H12" s="172">
        <v>0</v>
      </c>
      <c r="I12" s="172">
        <v>0</v>
      </c>
      <c r="J12" s="172">
        <v>1014.99</v>
      </c>
      <c r="K12" s="172" t="s">
        <v>382</v>
      </c>
      <c r="L12" s="172">
        <v>75.2</v>
      </c>
      <c r="M12" s="172">
        <v>1503504000</v>
      </c>
      <c r="N12" s="172">
        <v>3</v>
      </c>
      <c r="O12" s="172">
        <v>3.81</v>
      </c>
      <c r="P12" s="172">
        <v>201</v>
      </c>
      <c r="Q12" s="172">
        <v>4.2</v>
      </c>
      <c r="R12" s="172">
        <v>0.05</v>
      </c>
      <c r="S12"/>
    </row>
    <row r="13" spans="1:19" x14ac:dyDescent="0.25">
      <c r="A13" s="172">
        <v>80.23</v>
      </c>
      <c r="B13" s="172">
        <v>0.06</v>
      </c>
      <c r="C13" s="172">
        <v>50.42</v>
      </c>
      <c r="D13" s="8">
        <v>42970.458333333336</v>
      </c>
      <c r="E13" s="172">
        <v>0.35</v>
      </c>
      <c r="F13" s="172" t="s">
        <v>381</v>
      </c>
      <c r="G13" s="172">
        <v>279.39</v>
      </c>
      <c r="H13" s="172">
        <v>0</v>
      </c>
      <c r="I13" s="172">
        <v>0</v>
      </c>
      <c r="J13" s="172">
        <v>1014.38</v>
      </c>
      <c r="K13" s="172" t="s">
        <v>382</v>
      </c>
      <c r="L13" s="172">
        <v>80.23</v>
      </c>
      <c r="M13" s="172">
        <v>1503507600</v>
      </c>
      <c r="N13" s="172">
        <v>6</v>
      </c>
      <c r="O13" s="172">
        <v>3.54</v>
      </c>
      <c r="P13" s="172">
        <v>54</v>
      </c>
      <c r="Q13" s="172">
        <v>5.12</v>
      </c>
      <c r="R13" s="172">
        <v>1.28</v>
      </c>
      <c r="S13"/>
    </row>
    <row r="14" spans="1:19" x14ac:dyDescent="0.25">
      <c r="A14" s="172">
        <v>83.28</v>
      </c>
      <c r="B14" s="172">
        <v>0.04</v>
      </c>
      <c r="C14" s="172">
        <v>48.06</v>
      </c>
      <c r="D14" s="8">
        <v>42970.5</v>
      </c>
      <c r="E14" s="172">
        <v>0.28999999999999998</v>
      </c>
      <c r="F14" s="172" t="s">
        <v>381</v>
      </c>
      <c r="G14" s="172">
        <v>285.36</v>
      </c>
      <c r="H14" s="172">
        <v>0</v>
      </c>
      <c r="I14" s="172">
        <v>0</v>
      </c>
      <c r="J14" s="172">
        <v>1013.8</v>
      </c>
      <c r="K14" s="172" t="s">
        <v>382</v>
      </c>
      <c r="L14" s="172">
        <v>83.28</v>
      </c>
      <c r="M14" s="172">
        <v>1503511200</v>
      </c>
      <c r="N14" s="172">
        <v>9</v>
      </c>
      <c r="O14" s="172">
        <v>3.08</v>
      </c>
      <c r="P14" s="172">
        <v>79</v>
      </c>
      <c r="Q14" s="172">
        <v>7.27</v>
      </c>
      <c r="R14" s="172">
        <v>2.2599999999999998</v>
      </c>
      <c r="S14"/>
    </row>
    <row r="15" spans="1:19" x14ac:dyDescent="0.25">
      <c r="A15" s="172">
        <v>85.97</v>
      </c>
      <c r="B15" s="172">
        <v>0.05</v>
      </c>
      <c r="C15" s="172">
        <v>46.54</v>
      </c>
      <c r="D15" s="8">
        <v>42970.541666666664</v>
      </c>
      <c r="E15" s="172">
        <v>0.25</v>
      </c>
      <c r="F15" s="172" t="s">
        <v>381</v>
      </c>
      <c r="G15" s="172">
        <v>285.83</v>
      </c>
      <c r="H15" s="172">
        <v>0</v>
      </c>
      <c r="I15" s="172">
        <v>0</v>
      </c>
      <c r="J15" s="172">
        <v>1013.22</v>
      </c>
      <c r="K15" s="172" t="s">
        <v>382</v>
      </c>
      <c r="L15" s="172">
        <v>85.97</v>
      </c>
      <c r="M15" s="172">
        <v>1503514800</v>
      </c>
      <c r="N15" s="172">
        <v>10</v>
      </c>
      <c r="O15" s="172">
        <v>3.58</v>
      </c>
      <c r="P15" s="172">
        <v>83</v>
      </c>
      <c r="Q15" s="172">
        <v>7.53</v>
      </c>
      <c r="R15" s="172">
        <v>2.23</v>
      </c>
      <c r="S15"/>
    </row>
    <row r="16" spans="1:19" x14ac:dyDescent="0.25">
      <c r="A16" s="172">
        <v>86.92</v>
      </c>
      <c r="B16" s="172">
        <v>0.09</v>
      </c>
      <c r="C16" s="172">
        <v>44.63</v>
      </c>
      <c r="D16" s="8">
        <v>42970.583333333336</v>
      </c>
      <c r="E16" s="172">
        <v>0.23</v>
      </c>
      <c r="F16" s="172" t="s">
        <v>381</v>
      </c>
      <c r="G16" s="172">
        <v>285.60000000000002</v>
      </c>
      <c r="H16" s="172">
        <v>0</v>
      </c>
      <c r="I16" s="172">
        <v>0</v>
      </c>
      <c r="J16" s="172">
        <v>1012.34</v>
      </c>
      <c r="K16" s="172" t="s">
        <v>382</v>
      </c>
      <c r="L16" s="172">
        <v>86.92</v>
      </c>
      <c r="M16" s="172">
        <v>1503518400</v>
      </c>
      <c r="N16" s="172">
        <v>9</v>
      </c>
      <c r="O16" s="172">
        <v>3.65</v>
      </c>
      <c r="P16" s="172">
        <v>50</v>
      </c>
      <c r="Q16" s="172">
        <v>7.23</v>
      </c>
      <c r="R16" s="172">
        <v>1.76</v>
      </c>
      <c r="S16"/>
    </row>
    <row r="17" spans="1:19" x14ac:dyDescent="0.25">
      <c r="A17" s="172">
        <v>86.65</v>
      </c>
      <c r="B17" s="172">
        <v>0.19</v>
      </c>
      <c r="C17" s="172">
        <v>43.46</v>
      </c>
      <c r="D17" s="8">
        <v>42970.625</v>
      </c>
      <c r="E17" s="172">
        <v>0.22</v>
      </c>
      <c r="F17" s="172" t="s">
        <v>381</v>
      </c>
      <c r="G17" s="172">
        <v>285.37</v>
      </c>
      <c r="H17" s="172">
        <v>0</v>
      </c>
      <c r="I17" s="172">
        <v>0</v>
      </c>
      <c r="J17" s="172">
        <v>1011.79</v>
      </c>
      <c r="K17" s="172" t="s">
        <v>382</v>
      </c>
      <c r="L17" s="172">
        <v>86.65</v>
      </c>
      <c r="M17" s="172">
        <v>1503522000</v>
      </c>
      <c r="N17" s="172">
        <v>6</v>
      </c>
      <c r="O17" s="172">
        <v>4.04</v>
      </c>
      <c r="P17" s="172">
        <v>333</v>
      </c>
      <c r="Q17" s="172">
        <v>6.51</v>
      </c>
      <c r="R17" s="172">
        <v>1.87</v>
      </c>
      <c r="S17"/>
    </row>
    <row r="18" spans="1:19" x14ac:dyDescent="0.25">
      <c r="A18" s="172">
        <v>84.82</v>
      </c>
      <c r="B18" s="172">
        <v>0.1</v>
      </c>
      <c r="C18" s="172">
        <v>43.74</v>
      </c>
      <c r="D18" s="8">
        <v>42970.666666666664</v>
      </c>
      <c r="E18" s="172">
        <v>0.24</v>
      </c>
      <c r="F18" s="172" t="s">
        <v>381</v>
      </c>
      <c r="G18" s="172">
        <v>285.14999999999998</v>
      </c>
      <c r="H18" s="172">
        <v>0</v>
      </c>
      <c r="I18" s="172">
        <v>0</v>
      </c>
      <c r="J18" s="172">
        <v>1011.36</v>
      </c>
      <c r="K18" s="172" t="s">
        <v>382</v>
      </c>
      <c r="L18" s="172">
        <v>84.82</v>
      </c>
      <c r="M18" s="172">
        <v>1503525600</v>
      </c>
      <c r="N18" s="172">
        <v>4</v>
      </c>
      <c r="O18" s="172">
        <v>3.83</v>
      </c>
      <c r="P18" s="172">
        <v>320</v>
      </c>
      <c r="Q18" s="172">
        <v>10.199999999999999</v>
      </c>
      <c r="R18" s="172">
        <v>3.31</v>
      </c>
      <c r="S18"/>
    </row>
    <row r="19" spans="1:19" x14ac:dyDescent="0.25">
      <c r="A19" s="172">
        <v>82.27</v>
      </c>
      <c r="B19" s="172">
        <v>0.32</v>
      </c>
      <c r="C19" s="172">
        <v>44.75</v>
      </c>
      <c r="D19" s="8">
        <v>42970.708333333336</v>
      </c>
      <c r="E19" s="172">
        <v>0.27</v>
      </c>
      <c r="F19" s="172" t="s">
        <v>505</v>
      </c>
      <c r="G19" s="172">
        <v>284.92</v>
      </c>
      <c r="H19" s="172">
        <v>0</v>
      </c>
      <c r="I19" s="172">
        <v>0</v>
      </c>
      <c r="J19" s="172">
        <v>1011.42</v>
      </c>
      <c r="K19" s="172" t="s">
        <v>458</v>
      </c>
      <c r="L19" s="172">
        <v>82.27</v>
      </c>
      <c r="M19" s="172">
        <v>1503529200</v>
      </c>
      <c r="N19" s="172">
        <v>2</v>
      </c>
      <c r="O19" s="172">
        <v>3.66</v>
      </c>
      <c r="P19" s="172">
        <v>299</v>
      </c>
      <c r="Q19" s="172">
        <v>11.06</v>
      </c>
      <c r="R19" s="172">
        <v>4.29</v>
      </c>
      <c r="S19"/>
    </row>
    <row r="20" spans="1:19" x14ac:dyDescent="0.25">
      <c r="A20" s="172">
        <v>78.72</v>
      </c>
      <c r="B20" s="172">
        <v>0.42</v>
      </c>
      <c r="C20" s="172">
        <v>45.44</v>
      </c>
      <c r="D20" s="8">
        <v>42970.75</v>
      </c>
      <c r="E20" s="172">
        <v>0.31</v>
      </c>
      <c r="F20" s="172" t="s">
        <v>505</v>
      </c>
      <c r="G20" s="172">
        <v>283.29000000000002</v>
      </c>
      <c r="H20" s="172">
        <v>0</v>
      </c>
      <c r="I20" s="172">
        <v>0</v>
      </c>
      <c r="J20" s="172">
        <v>1012.5</v>
      </c>
      <c r="K20" s="172" t="s">
        <v>458</v>
      </c>
      <c r="L20" s="172">
        <v>78.72</v>
      </c>
      <c r="M20" s="172">
        <v>1503532800</v>
      </c>
      <c r="N20" s="172">
        <v>1</v>
      </c>
      <c r="O20" s="172">
        <v>4.0999999999999996</v>
      </c>
      <c r="P20" s="172">
        <v>275</v>
      </c>
      <c r="Q20" s="172">
        <v>12.81</v>
      </c>
      <c r="R20" s="172">
        <v>5.0199999999999996</v>
      </c>
      <c r="S20"/>
    </row>
    <row r="21" spans="1:19" x14ac:dyDescent="0.25">
      <c r="A21" s="172">
        <v>73.489999999999995</v>
      </c>
      <c r="B21" s="172">
        <v>0.56999999999999995</v>
      </c>
      <c r="C21" s="172">
        <v>46.64</v>
      </c>
      <c r="D21" s="8">
        <v>42970.791666666664</v>
      </c>
      <c r="E21" s="172">
        <v>0.38</v>
      </c>
      <c r="F21" s="172" t="s">
        <v>505</v>
      </c>
      <c r="G21" s="172">
        <v>283.29000000000002</v>
      </c>
      <c r="H21" s="172">
        <v>0</v>
      </c>
      <c r="I21" s="172">
        <v>0</v>
      </c>
      <c r="J21" s="172">
        <v>1013.36</v>
      </c>
      <c r="K21" s="172" t="s">
        <v>458</v>
      </c>
      <c r="L21" s="172">
        <v>73.489999999999995</v>
      </c>
      <c r="M21" s="172">
        <v>1503536400</v>
      </c>
      <c r="N21" s="172">
        <v>0</v>
      </c>
      <c r="O21" s="172">
        <v>3.88</v>
      </c>
      <c r="P21" s="172">
        <v>285</v>
      </c>
      <c r="Q21" s="172">
        <v>13.98</v>
      </c>
      <c r="R21" s="172">
        <v>5.39</v>
      </c>
      <c r="S21"/>
    </row>
    <row r="22" spans="1:19" x14ac:dyDescent="0.25">
      <c r="A22" s="172">
        <v>70.790000000000006</v>
      </c>
      <c r="B22" s="172">
        <v>0.47</v>
      </c>
      <c r="C22" s="172">
        <v>47.19</v>
      </c>
      <c r="D22" s="8">
        <v>42970.833333333336</v>
      </c>
      <c r="E22" s="172">
        <v>0.43</v>
      </c>
      <c r="F22" s="172" t="s">
        <v>457</v>
      </c>
      <c r="G22" s="172">
        <v>283.75</v>
      </c>
      <c r="H22" s="172">
        <v>0</v>
      </c>
      <c r="I22" s="172">
        <v>0</v>
      </c>
      <c r="J22" s="172">
        <v>1013.62</v>
      </c>
      <c r="K22" s="172" t="s">
        <v>458</v>
      </c>
      <c r="L22" s="172">
        <v>70.790000000000006</v>
      </c>
      <c r="M22" s="172">
        <v>1503540000</v>
      </c>
      <c r="N22" s="172">
        <v>0</v>
      </c>
      <c r="O22" s="172">
        <v>3.96</v>
      </c>
      <c r="P22" s="172">
        <v>277</v>
      </c>
      <c r="Q22" s="172">
        <v>8.43</v>
      </c>
      <c r="R22" s="172">
        <v>2.98</v>
      </c>
      <c r="S22"/>
    </row>
    <row r="23" spans="1:19" x14ac:dyDescent="0.25">
      <c r="A23" s="172">
        <v>69.38</v>
      </c>
      <c r="B23" s="172">
        <v>0.2</v>
      </c>
      <c r="C23" s="172">
        <v>47.09</v>
      </c>
      <c r="D23" s="8">
        <v>42970.875</v>
      </c>
      <c r="E23" s="172">
        <v>0.45</v>
      </c>
      <c r="F23" s="172" t="s">
        <v>383</v>
      </c>
      <c r="G23" s="172">
        <v>283.99</v>
      </c>
      <c r="H23" s="172">
        <v>0</v>
      </c>
      <c r="I23" s="172">
        <v>0</v>
      </c>
      <c r="J23" s="172">
        <v>1014.14</v>
      </c>
      <c r="K23" s="172" t="s">
        <v>382</v>
      </c>
      <c r="L23" s="172">
        <v>69.38</v>
      </c>
      <c r="M23" s="172">
        <v>1503543600</v>
      </c>
      <c r="N23" s="172">
        <v>0</v>
      </c>
      <c r="O23" s="172">
        <v>4.0999999999999996</v>
      </c>
      <c r="P23" s="172">
        <v>245</v>
      </c>
      <c r="Q23" s="172">
        <v>4.92</v>
      </c>
      <c r="R23" s="172">
        <v>2.08</v>
      </c>
      <c r="S23"/>
    </row>
    <row r="24" spans="1:19" x14ac:dyDescent="0.25">
      <c r="A24" s="172">
        <v>66.91</v>
      </c>
      <c r="B24" s="172">
        <v>0.12</v>
      </c>
      <c r="C24" s="172">
        <v>47.41</v>
      </c>
      <c r="D24" s="8">
        <v>42970.916666666664</v>
      </c>
      <c r="E24" s="172">
        <v>0.5</v>
      </c>
      <c r="F24" s="172" t="s">
        <v>383</v>
      </c>
      <c r="G24" s="172">
        <v>283.98</v>
      </c>
      <c r="H24" s="172">
        <v>0</v>
      </c>
      <c r="I24" s="172">
        <v>0</v>
      </c>
      <c r="J24" s="172">
        <v>1014.19</v>
      </c>
      <c r="K24" s="172" t="s">
        <v>382</v>
      </c>
      <c r="L24" s="172">
        <v>66.91</v>
      </c>
      <c r="M24" s="172">
        <v>1503547200</v>
      </c>
      <c r="N24" s="172">
        <v>0</v>
      </c>
      <c r="O24" s="172">
        <v>3.51</v>
      </c>
      <c r="P24" s="172">
        <v>228</v>
      </c>
      <c r="Q24" s="172">
        <v>3.38</v>
      </c>
      <c r="R24" s="172">
        <v>1.28</v>
      </c>
      <c r="S24"/>
    </row>
    <row r="25" spans="1:19" x14ac:dyDescent="0.25">
      <c r="A25" s="172">
        <v>65.3</v>
      </c>
      <c r="B25" s="172">
        <v>0.11</v>
      </c>
      <c r="C25" s="172">
        <v>47.15</v>
      </c>
      <c r="D25" s="8">
        <v>42970.958333333336</v>
      </c>
      <c r="E25" s="172">
        <v>0.52</v>
      </c>
      <c r="F25" s="172" t="s">
        <v>383</v>
      </c>
      <c r="G25" s="172">
        <v>283.97000000000003</v>
      </c>
      <c r="H25" s="172">
        <v>0</v>
      </c>
      <c r="I25" s="172">
        <v>0</v>
      </c>
      <c r="J25" s="172">
        <v>1013.66</v>
      </c>
      <c r="K25" s="172" t="s">
        <v>382</v>
      </c>
      <c r="L25" s="172">
        <v>65.3</v>
      </c>
      <c r="M25" s="172">
        <v>1503550800</v>
      </c>
      <c r="N25" s="172">
        <v>0</v>
      </c>
      <c r="O25" s="172">
        <v>3.83</v>
      </c>
      <c r="P25" s="172">
        <v>214</v>
      </c>
      <c r="Q25" s="172">
        <v>3.65</v>
      </c>
      <c r="R25" s="172">
        <v>1.33</v>
      </c>
      <c r="S25"/>
    </row>
    <row r="26" spans="1:19" x14ac:dyDescent="0.25">
      <c r="A26" s="172">
        <v>63.95</v>
      </c>
      <c r="B26" s="172">
        <v>7.0000000000000007E-2</v>
      </c>
      <c r="C26" s="172">
        <v>46.6</v>
      </c>
      <c r="D26" s="8">
        <v>42971</v>
      </c>
      <c r="E26" s="172">
        <v>0.53</v>
      </c>
      <c r="F26" s="172" t="s">
        <v>383</v>
      </c>
      <c r="G26" s="172">
        <v>287.55</v>
      </c>
      <c r="H26" s="172">
        <v>0</v>
      </c>
      <c r="I26" s="172">
        <v>0</v>
      </c>
      <c r="J26" s="172">
        <v>1013.49</v>
      </c>
      <c r="K26" s="172" t="s">
        <v>382</v>
      </c>
      <c r="L26" s="172">
        <v>63.95</v>
      </c>
      <c r="M26" s="172">
        <v>1503554400</v>
      </c>
      <c r="N26" s="172">
        <v>0</v>
      </c>
      <c r="O26" s="172">
        <v>3.32</v>
      </c>
      <c r="P26" s="172">
        <v>183</v>
      </c>
      <c r="Q26" s="172">
        <v>3.86</v>
      </c>
      <c r="R26" s="172">
        <v>1</v>
      </c>
      <c r="S26"/>
    </row>
    <row r="27" spans="1:19" x14ac:dyDescent="0.25">
      <c r="A27" s="172">
        <v>62.46</v>
      </c>
      <c r="B27" s="172">
        <v>0.03</v>
      </c>
      <c r="C27" s="172">
        <v>46.74</v>
      </c>
      <c r="D27" s="8">
        <v>42971.041666666664</v>
      </c>
      <c r="E27" s="172">
        <v>0.56000000000000005</v>
      </c>
      <c r="F27" s="172" t="s">
        <v>383</v>
      </c>
      <c r="G27" s="172">
        <v>288.47000000000003</v>
      </c>
      <c r="H27" s="172">
        <v>0</v>
      </c>
      <c r="I27" s="172">
        <v>0</v>
      </c>
      <c r="J27" s="172">
        <v>1013.09</v>
      </c>
      <c r="K27" s="172" t="s">
        <v>382</v>
      </c>
      <c r="L27" s="172">
        <v>62.46</v>
      </c>
      <c r="M27" s="172">
        <v>1503558000</v>
      </c>
      <c r="N27" s="172">
        <v>0</v>
      </c>
      <c r="O27" s="172">
        <v>3.32</v>
      </c>
      <c r="P27" s="172">
        <v>186</v>
      </c>
      <c r="Q27" s="172">
        <v>3.78</v>
      </c>
      <c r="R27" s="172">
        <v>1.37</v>
      </c>
      <c r="S27"/>
    </row>
    <row r="28" spans="1:19" x14ac:dyDescent="0.25">
      <c r="A28" s="172">
        <v>61.36</v>
      </c>
      <c r="B28" s="172">
        <v>0.06</v>
      </c>
      <c r="C28" s="172">
        <v>46.64</v>
      </c>
      <c r="D28" s="8">
        <v>42971.083333333336</v>
      </c>
      <c r="E28" s="172">
        <v>0.57999999999999996</v>
      </c>
      <c r="F28" s="172" t="s">
        <v>383</v>
      </c>
      <c r="G28" s="172">
        <v>289.38</v>
      </c>
      <c r="H28" s="172">
        <v>0</v>
      </c>
      <c r="I28" s="172">
        <v>0</v>
      </c>
      <c r="J28" s="172">
        <v>1012.58</v>
      </c>
      <c r="K28" s="172" t="s">
        <v>382</v>
      </c>
      <c r="L28" s="172">
        <v>61.36</v>
      </c>
      <c r="M28" s="172">
        <v>1503561600</v>
      </c>
      <c r="N28" s="172">
        <v>0</v>
      </c>
      <c r="O28" s="172">
        <v>3.2</v>
      </c>
      <c r="P28" s="172">
        <v>179</v>
      </c>
      <c r="Q28" s="172">
        <v>4</v>
      </c>
      <c r="R28" s="172">
        <v>1.3</v>
      </c>
      <c r="S28"/>
    </row>
    <row r="29" spans="1:19" x14ac:dyDescent="0.25">
      <c r="A29" s="172">
        <v>61.01</v>
      </c>
      <c r="B29" s="172">
        <v>0.13</v>
      </c>
      <c r="C29" s="172">
        <v>46.73</v>
      </c>
      <c r="D29" s="8">
        <v>42971.125</v>
      </c>
      <c r="E29" s="172">
        <v>0.59</v>
      </c>
      <c r="F29" s="172" t="s">
        <v>383</v>
      </c>
      <c r="G29" s="172">
        <v>290.06</v>
      </c>
      <c r="H29" s="172">
        <v>0</v>
      </c>
      <c r="I29" s="172">
        <v>0</v>
      </c>
      <c r="J29" s="172">
        <v>1012.93</v>
      </c>
      <c r="K29" s="172" t="s">
        <v>382</v>
      </c>
      <c r="L29" s="172">
        <v>61.01</v>
      </c>
      <c r="M29" s="172">
        <v>1503565200</v>
      </c>
      <c r="N29" s="172">
        <v>0</v>
      </c>
      <c r="O29" s="172">
        <v>3.11</v>
      </c>
      <c r="P29" s="172">
        <v>198</v>
      </c>
      <c r="Q29" s="172">
        <v>3.96</v>
      </c>
      <c r="R29" s="172">
        <v>1.8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1"/>
  <sheetViews>
    <sheetView topLeftCell="A5" workbookViewId="0">
      <selection activeCell="C18" sqref="C18:C4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42970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359</v>
      </c>
      <c r="AE2" s="56" t="s">
        <v>362</v>
      </c>
      <c r="AF2" s="56" t="s">
        <v>363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360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352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361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1003</v>
      </c>
      <c r="J20" s="140" t="s">
        <v>87</v>
      </c>
      <c r="M20" s="154" t="s">
        <v>347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1004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1005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1006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1007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1008</v>
      </c>
      <c r="J25" s="140" t="s">
        <v>146</v>
      </c>
      <c r="M25" s="154" t="b">
        <v>1</v>
      </c>
    </row>
    <row r="26" spans="3:24" x14ac:dyDescent="0.25">
      <c r="C26" t="s">
        <v>1009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C:\Users\stu\Documents\GitHub\eaglep3-reporting\EC\2017-08-23-refined-times.txt</v>
      </c>
    </row>
    <row r="27" spans="3:24" x14ac:dyDescent="0.25">
      <c r="C27" t="s">
        <v>1010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C:\Users\stu\Documents\GitHub\eaglep3-reporting\EC\2017-08-23-Enforcements.txt</v>
      </c>
    </row>
    <row r="28" spans="3:24" x14ac:dyDescent="0.25">
      <c r="C28" t="s">
        <v>1011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C:\Users\stu\Documents\GitHub\eaglep3-reporting\EC\2017-08-23-Runs-refined.txt</v>
      </c>
    </row>
    <row r="29" spans="3:24" x14ac:dyDescent="0.25">
      <c r="C29" t="s">
        <v>1012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C:\Users\stu\Documents\GitHub\eaglep3-reporting\EC\2017-08-23-Trips.txt</v>
      </c>
    </row>
    <row r="30" spans="3:24" x14ac:dyDescent="0.25">
      <c r="C30" t="s">
        <v>1013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C:\Users\stu\Documents\GitHub\eaglep3-reporting\EC\2017-08-23-Weather.txt</v>
      </c>
    </row>
    <row r="31" spans="3:24" x14ac:dyDescent="0.25">
      <c r="C31" t="s">
        <v>1014</v>
      </c>
      <c r="J31" s="140" t="s">
        <v>193</v>
      </c>
      <c r="M31" s="154" t="s">
        <v>194</v>
      </c>
    </row>
    <row r="32" spans="3:24" x14ac:dyDescent="0.25">
      <c r="C32" t="s">
        <v>1015</v>
      </c>
    </row>
    <row r="33" spans="3:3" x14ac:dyDescent="0.25">
      <c r="C33" t="s">
        <v>1016</v>
      </c>
    </row>
    <row r="34" spans="3:3" x14ac:dyDescent="0.25">
      <c r="C34" t="s">
        <v>1017</v>
      </c>
    </row>
    <row r="35" spans="3:3" x14ac:dyDescent="0.25">
      <c r="C35" t="s">
        <v>1018</v>
      </c>
    </row>
    <row r="36" spans="3:3" x14ac:dyDescent="0.25">
      <c r="C36" t="s">
        <v>1019</v>
      </c>
    </row>
    <row r="37" spans="3:3" x14ac:dyDescent="0.25">
      <c r="C37" t="s">
        <v>1020</v>
      </c>
    </row>
    <row r="38" spans="3:3" x14ac:dyDescent="0.25">
      <c r="C38" t="s">
        <v>1021</v>
      </c>
    </row>
    <row r="39" spans="3:3" x14ac:dyDescent="0.25">
      <c r="C39" t="s">
        <v>1022</v>
      </c>
    </row>
    <row r="40" spans="3:3" x14ac:dyDescent="0.25">
      <c r="C40" t="s">
        <v>1023</v>
      </c>
    </row>
    <row r="41" spans="3:3" x14ac:dyDescent="0.25">
      <c r="C41" t="s">
        <v>1024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2017-08-24T15:45:33Z</dcterms:modified>
</cp:coreProperties>
</file>