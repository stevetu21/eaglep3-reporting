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Enforcements!$A$6:$AC$65</definedName>
    <definedName name="_xlnm._FilterDatabase" localSheetId="2" hidden="1">'Missing Trips'!$A$2:$J$83</definedName>
    <definedName name="_xlnm._FilterDatabase" localSheetId="0" hidden="1">'Train Runs'!$A$12:$AG$268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27" i="1" l="1"/>
  <c r="X137" i="1"/>
  <c r="X138" i="1"/>
  <c r="X139" i="1"/>
  <c r="X140" i="1"/>
  <c r="X141" i="1"/>
  <c r="X142" i="1"/>
  <c r="X143" i="1"/>
  <c r="X144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/>
  <c r="V15" i="1"/>
  <c r="Y15" i="1"/>
  <c r="AA15" i="1" s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P19" i="1" s="1"/>
  <c r="V19" i="1"/>
  <c r="Y19" i="1"/>
  <c r="AA19" i="1" s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T21" i="1"/>
  <c r="V21" i="1"/>
  <c r="X21" i="1"/>
  <c r="Y21" i="1"/>
  <c r="Z21" i="1"/>
  <c r="AB21" i="1"/>
  <c r="AC21" i="1"/>
  <c r="AD21" i="1"/>
  <c r="AE21" i="1"/>
  <c r="AF21" i="1"/>
  <c r="AG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AA24" i="1" s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/>
  <c r="V26" i="1"/>
  <c r="S7" i="3" s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X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R23" i="3" s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R34" i="3" s="1"/>
  <c r="AF41" i="1"/>
  <c r="AH41" i="1"/>
  <c r="AM41" i="1"/>
  <c r="AN41" i="1"/>
  <c r="K42" i="1"/>
  <c r="L42" i="1"/>
  <c r="M42" i="1"/>
  <c r="N42" i="1" s="1"/>
  <c r="V42" i="1"/>
  <c r="S24" i="3" s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A48" i="1" s="1"/>
  <c r="AB48" i="1"/>
  <c r="AC48" i="1"/>
  <c r="AD48" i="1"/>
  <c r="AG48" i="1" s="1"/>
  <c r="AE48" i="1"/>
  <c r="R13" i="3" s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P52" i="1" s="1"/>
  <c r="V52" i="1"/>
  <c r="Y52" i="1"/>
  <c r="Z52" i="1"/>
  <c r="AA52" i="1" s="1"/>
  <c r="W52" i="1" s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S17" i="3" s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I56" i="1" s="1"/>
  <c r="AB56" i="1"/>
  <c r="AC56" i="1"/>
  <c r="AD56" i="1"/>
  <c r="AG56" i="1" s="1"/>
  <c r="AE56" i="1"/>
  <c r="R12" i="3" s="1"/>
  <c r="AF56" i="1"/>
  <c r="AH56" i="1"/>
  <c r="AM56" i="1"/>
  <c r="AN56" i="1"/>
  <c r="K57" i="1"/>
  <c r="L57" i="1"/>
  <c r="M57" i="1"/>
  <c r="P57" i="1" s="1"/>
  <c r="V57" i="1"/>
  <c r="S26" i="3" s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G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S28" i="3" s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S16" i="3" s="1"/>
  <c r="Y69" i="1"/>
  <c r="Z69" i="1"/>
  <c r="AB69" i="1"/>
  <c r="AC69" i="1"/>
  <c r="AD69" i="1"/>
  <c r="AE69" i="1"/>
  <c r="R16" i="3" s="1"/>
  <c r="AF69" i="1"/>
  <c r="AH69" i="1"/>
  <c r="AM69" i="1"/>
  <c r="AN69" i="1"/>
  <c r="K70" i="1"/>
  <c r="L70" i="1"/>
  <c r="M70" i="1"/>
  <c r="N70" i="1" s="1"/>
  <c r="V70" i="1"/>
  <c r="S14" i="3" s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A72" i="1" s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S19" i="3" s="1"/>
  <c r="Y77" i="1"/>
  <c r="Z77" i="1"/>
  <c r="AB77" i="1"/>
  <c r="AC77" i="1"/>
  <c r="AD77" i="1"/>
  <c r="AG77" i="1" s="1"/>
  <c r="AE77" i="1"/>
  <c r="R19" i="3" s="1"/>
  <c r="AF77" i="1"/>
  <c r="AH77" i="1"/>
  <c r="AM77" i="1"/>
  <c r="AN77" i="1"/>
  <c r="K78" i="1"/>
  <c r="L78" i="1"/>
  <c r="M78" i="1"/>
  <c r="N78" i="1" s="1"/>
  <c r="V78" i="1"/>
  <c r="S15" i="3" s="1"/>
  <c r="Y78" i="1"/>
  <c r="Z78" i="1"/>
  <c r="AB78" i="1"/>
  <c r="AC78" i="1"/>
  <c r="AD78" i="1"/>
  <c r="T78" i="1" s="1"/>
  <c r="AE78" i="1"/>
  <c r="R29" i="3" s="1"/>
  <c r="AF78" i="1"/>
  <c r="AH78" i="1"/>
  <c r="AM78" i="1"/>
  <c r="AN78" i="1"/>
  <c r="K79" i="1"/>
  <c r="L79" i="1"/>
  <c r="M79" i="1"/>
  <c r="N79" i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AA80" i="1" s="1"/>
  <c r="Z80" i="1"/>
  <c r="AB80" i="1"/>
  <c r="AC80" i="1"/>
  <c r="AD80" i="1"/>
  <c r="AG80" i="1" s="1"/>
  <c r="AE80" i="1"/>
  <c r="AF80" i="1"/>
  <c r="AH80" i="1"/>
  <c r="AI80" i="1"/>
  <c r="AM80" i="1"/>
  <c r="AN80" i="1"/>
  <c r="K81" i="1"/>
  <c r="L81" i="1"/>
  <c r="M81" i="1"/>
  <c r="N81" i="1" s="1"/>
  <c r="V81" i="1"/>
  <c r="Y81" i="1"/>
  <c r="Z81" i="1"/>
  <c r="AA81" i="1" s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S10" i="3" s="1"/>
  <c r="Y82" i="1"/>
  <c r="Z82" i="1"/>
  <c r="AB82" i="1"/>
  <c r="AC82" i="1"/>
  <c r="AD82" i="1"/>
  <c r="T82" i="1" s="1"/>
  <c r="AE82" i="1"/>
  <c r="R10" i="3" s="1"/>
  <c r="AF82" i="1"/>
  <c r="AH82" i="1"/>
  <c r="AM82" i="1"/>
  <c r="AN82" i="1"/>
  <c r="K83" i="1"/>
  <c r="L83" i="1"/>
  <c r="M83" i="1"/>
  <c r="N83" i="1" s="1"/>
  <c r="V83" i="1"/>
  <c r="Y83" i="1"/>
  <c r="Z83" i="1"/>
  <c r="AA83" i="1" s="1"/>
  <c r="AB83" i="1"/>
  <c r="AC83" i="1"/>
  <c r="AD83" i="1"/>
  <c r="AE83" i="1"/>
  <c r="AF83" i="1"/>
  <c r="AH83" i="1"/>
  <c r="AM83" i="1"/>
  <c r="AN83" i="1"/>
  <c r="K84" i="1"/>
  <c r="L84" i="1"/>
  <c r="M84" i="1"/>
  <c r="N84" i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S11" i="3" s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3" i="1"/>
  <c r="AM93" i="1"/>
  <c r="AN9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4" i="1"/>
  <c r="AM94" i="1"/>
  <c r="AN94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95" i="1"/>
  <c r="AM95" i="1"/>
  <c r="AN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G163" i="1"/>
  <c r="AH97" i="1"/>
  <c r="AM97" i="1"/>
  <c r="AN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A165" i="1" s="1"/>
  <c r="W165" i="1" s="1"/>
  <c r="AB165" i="1"/>
  <c r="AC165" i="1"/>
  <c r="AD165" i="1"/>
  <c r="AG165" i="1" s="1"/>
  <c r="AE165" i="1"/>
  <c r="AF165" i="1"/>
  <c r="AH99" i="1"/>
  <c r="AM99" i="1"/>
  <c r="AN99" i="1"/>
  <c r="K166" i="1"/>
  <c r="L166" i="1"/>
  <c r="M166" i="1"/>
  <c r="N166" i="1" s="1"/>
  <c r="T166" i="1"/>
  <c r="V166" i="1"/>
  <c r="Y166" i="1"/>
  <c r="Z166" i="1"/>
  <c r="AB166" i="1"/>
  <c r="AC166" i="1"/>
  <c r="AD166" i="1"/>
  <c r="AE166" i="1"/>
  <c r="AF166" i="1"/>
  <c r="AH100" i="1"/>
  <c r="AM100" i="1"/>
  <c r="AN1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1" i="1"/>
  <c r="AM101" i="1"/>
  <c r="AN101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02" i="1"/>
  <c r="AM102" i="1"/>
  <c r="AN102" i="1"/>
  <c r="K93" i="1"/>
  <c r="L93" i="1"/>
  <c r="M93" i="1"/>
  <c r="N93" i="1" s="1"/>
  <c r="T93" i="1"/>
  <c r="V93" i="1"/>
  <c r="Y93" i="1"/>
  <c r="AA93" i="1" s="1"/>
  <c r="Z93" i="1"/>
  <c r="AB93" i="1"/>
  <c r="AC93" i="1"/>
  <c r="AD93" i="1"/>
  <c r="AG93" i="1" s="1"/>
  <c r="AE93" i="1"/>
  <c r="AF93" i="1"/>
  <c r="AH103" i="1"/>
  <c r="AM103" i="1"/>
  <c r="AN10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4" i="1"/>
  <c r="AM104" i="1"/>
  <c r="AN104" i="1"/>
  <c r="K170" i="1"/>
  <c r="L170" i="1"/>
  <c r="M170" i="1"/>
  <c r="N170" i="1" s="1"/>
  <c r="V170" i="1"/>
  <c r="S42" i="3" s="1"/>
  <c r="Y170" i="1"/>
  <c r="Z170" i="1"/>
  <c r="AB170" i="1"/>
  <c r="AC170" i="1"/>
  <c r="AD170" i="1"/>
  <c r="T170" i="1" s="1"/>
  <c r="AE170" i="1"/>
  <c r="R42" i="3" s="1"/>
  <c r="AF170" i="1"/>
  <c r="AH105" i="1"/>
  <c r="AM105" i="1"/>
  <c r="AN105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8" i="1"/>
  <c r="AM108" i="1"/>
  <c r="AN108" i="1"/>
  <c r="K174" i="1"/>
  <c r="L174" i="1"/>
  <c r="M174" i="1"/>
  <c r="N174" i="1" s="1"/>
  <c r="V174" i="1"/>
  <c r="S40" i="3" s="1"/>
  <c r="Y174" i="1"/>
  <c r="Z174" i="1"/>
  <c r="AB174" i="1"/>
  <c r="AC174" i="1"/>
  <c r="AD174" i="1"/>
  <c r="T174" i="1" s="1"/>
  <c r="AE174" i="1"/>
  <c r="AF174" i="1"/>
  <c r="AH109" i="1"/>
  <c r="AM109" i="1"/>
  <c r="AN109" i="1"/>
  <c r="K175" i="1"/>
  <c r="L175" i="1"/>
  <c r="M175" i="1"/>
  <c r="N175" i="1" s="1"/>
  <c r="V175" i="1"/>
  <c r="Y175" i="1"/>
  <c r="Z175" i="1"/>
  <c r="AB175" i="1"/>
  <c r="AC175" i="1"/>
  <c r="AD175" i="1"/>
  <c r="AE175" i="1"/>
  <c r="R41" i="3" s="1"/>
  <c r="AF175" i="1"/>
  <c r="AH110" i="1"/>
  <c r="AM110" i="1"/>
  <c r="AN11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1" i="1"/>
  <c r="AM111" i="1"/>
  <c r="AN11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2" i="1"/>
  <c r="AM112" i="1"/>
  <c r="AN112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3" i="1"/>
  <c r="AM113" i="1"/>
  <c r="AN11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14" i="1"/>
  <c r="AM114" i="1"/>
  <c r="AN1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5" i="1"/>
  <c r="AM115" i="1"/>
  <c r="AN11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6" i="1"/>
  <c r="AM116" i="1"/>
  <c r="AN116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17" i="1"/>
  <c r="AM117" i="1"/>
  <c r="AN11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8" i="1"/>
  <c r="AM118" i="1"/>
  <c r="AN1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9" i="1"/>
  <c r="AM119" i="1"/>
  <c r="AN11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0" i="1"/>
  <c r="AM120" i="1"/>
  <c r="AN120" i="1"/>
  <c r="K185" i="1"/>
  <c r="L185" i="1"/>
  <c r="M185" i="1"/>
  <c r="N185" i="1"/>
  <c r="V185" i="1"/>
  <c r="Y185" i="1"/>
  <c r="Z185" i="1"/>
  <c r="AB185" i="1"/>
  <c r="AC185" i="1"/>
  <c r="AD185" i="1"/>
  <c r="AG185" i="1" s="1"/>
  <c r="AE185" i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2" i="1"/>
  <c r="AM122" i="1"/>
  <c r="AN122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3" i="1"/>
  <c r="AM123" i="1"/>
  <c r="AN12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4" i="1"/>
  <c r="AM124" i="1"/>
  <c r="AN12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25" i="1"/>
  <c r="AM125" i="1"/>
  <c r="AN125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6" i="1"/>
  <c r="AM126" i="1"/>
  <c r="AN12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7" i="1"/>
  <c r="AM127" i="1"/>
  <c r="AN12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8" i="1"/>
  <c r="AM128" i="1"/>
  <c r="AN128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29" i="1"/>
  <c r="AM129" i="1"/>
  <c r="AN129" i="1"/>
  <c r="K96" i="1"/>
  <c r="L96" i="1"/>
  <c r="M96" i="1"/>
  <c r="N96" i="1" s="1"/>
  <c r="V96" i="1"/>
  <c r="S30" i="3" s="1"/>
  <c r="Y96" i="1"/>
  <c r="Z96" i="1"/>
  <c r="AB96" i="1"/>
  <c r="AC96" i="1"/>
  <c r="AD96" i="1"/>
  <c r="AG96" i="1" s="1"/>
  <c r="AE96" i="1"/>
  <c r="AF96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6" i="1"/>
  <c r="AM136" i="1"/>
  <c r="AN13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37" i="1"/>
  <c r="AM137" i="1"/>
  <c r="AN137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38" i="1"/>
  <c r="AM138" i="1"/>
  <c r="AN13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41" i="1"/>
  <c r="AM141" i="1"/>
  <c r="AN141" i="1"/>
  <c r="K106" i="1"/>
  <c r="L106" i="1"/>
  <c r="M106" i="1"/>
  <c r="N106" i="1" s="1"/>
  <c r="V106" i="1"/>
  <c r="S31" i="3" s="1"/>
  <c r="Y106" i="1"/>
  <c r="Z106" i="1"/>
  <c r="AB106" i="1"/>
  <c r="AC106" i="1"/>
  <c r="AD106" i="1"/>
  <c r="AG106" i="1" s="1"/>
  <c r="AE106" i="1"/>
  <c r="AF106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9" i="1"/>
  <c r="AM149" i="1"/>
  <c r="AN149" i="1"/>
  <c r="K114" i="1"/>
  <c r="L114" i="1"/>
  <c r="M114" i="1"/>
  <c r="N114" i="1" s="1"/>
  <c r="T114" i="1"/>
  <c r="V114" i="1"/>
  <c r="Y114" i="1"/>
  <c r="Z114" i="1"/>
  <c r="AB114" i="1"/>
  <c r="AC114" i="1"/>
  <c r="AD114" i="1"/>
  <c r="AG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A122" i="1" s="1"/>
  <c r="W122" i="1" s="1"/>
  <c r="AB122" i="1"/>
  <c r="AC122" i="1"/>
  <c r="AD122" i="1"/>
  <c r="AG122" i="1" s="1"/>
  <c r="AE122" i="1"/>
  <c r="AF122" i="1"/>
  <c r="AH158" i="1"/>
  <c r="AM158" i="1"/>
  <c r="AN158" i="1"/>
  <c r="K123" i="1"/>
  <c r="L123" i="1"/>
  <c r="M123" i="1"/>
  <c r="N123" i="1" s="1"/>
  <c r="T123" i="1"/>
  <c r="V123" i="1"/>
  <c r="X123" i="1"/>
  <c r="Y123" i="1"/>
  <c r="Z123" i="1"/>
  <c r="AB123" i="1"/>
  <c r="AC123" i="1"/>
  <c r="AD123" i="1"/>
  <c r="AE123" i="1"/>
  <c r="AF123" i="1"/>
  <c r="AG123" i="1"/>
  <c r="AH159" i="1"/>
  <c r="AM159" i="1"/>
  <c r="AN159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60" i="1"/>
  <c r="AM160" i="1"/>
  <c r="AN160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1" i="1"/>
  <c r="AM161" i="1"/>
  <c r="AN161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2" i="1"/>
  <c r="AM162" i="1"/>
  <c r="AN162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3" i="1"/>
  <c r="AM163" i="1"/>
  <c r="AN163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4" i="1"/>
  <c r="AM164" i="1"/>
  <c r="AN164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5" i="1"/>
  <c r="AM165" i="1"/>
  <c r="AN165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6" i="1"/>
  <c r="AM166" i="1"/>
  <c r="AN166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7" i="1"/>
  <c r="AM167" i="1"/>
  <c r="AN167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68" i="1"/>
  <c r="AM168" i="1"/>
  <c r="AN168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9" i="1"/>
  <c r="AM169" i="1"/>
  <c r="AN169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0" i="1"/>
  <c r="AM170" i="1"/>
  <c r="AN170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1" i="1"/>
  <c r="AM171" i="1"/>
  <c r="AN171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2" i="1"/>
  <c r="AI172" i="1"/>
  <c r="AM172" i="1"/>
  <c r="AN172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3" i="1"/>
  <c r="AM173" i="1"/>
  <c r="AN173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4" i="1"/>
  <c r="AM174" i="1"/>
  <c r="AN174" i="1"/>
  <c r="AH175" i="1"/>
  <c r="AM175" i="1"/>
  <c r="AN175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6" i="1"/>
  <c r="AM176" i="1"/>
  <c r="AN176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7" i="1"/>
  <c r="AM177" i="1"/>
  <c r="AN177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8" i="1"/>
  <c r="AM178" i="1"/>
  <c r="AN178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9" i="1"/>
  <c r="AM179" i="1"/>
  <c r="AN179" i="1"/>
  <c r="K143" i="1"/>
  <c r="L143" i="1"/>
  <c r="M143" i="1"/>
  <c r="N143" i="1" s="1"/>
  <c r="T143" i="1"/>
  <c r="V143" i="1"/>
  <c r="Y143" i="1"/>
  <c r="Z143" i="1"/>
  <c r="AB143" i="1"/>
  <c r="AC143" i="1"/>
  <c r="AD143" i="1"/>
  <c r="AE143" i="1"/>
  <c r="AF143" i="1"/>
  <c r="AG143" i="1"/>
  <c r="AH180" i="1"/>
  <c r="AM180" i="1"/>
  <c r="AN180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G144" i="1"/>
  <c r="AH181" i="1"/>
  <c r="AM181" i="1"/>
  <c r="AN181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2" i="1"/>
  <c r="AM182" i="1"/>
  <c r="AN182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3" i="1"/>
  <c r="AM183" i="1"/>
  <c r="AN183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84" i="1"/>
  <c r="AM184" i="1"/>
  <c r="AN184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5" i="1"/>
  <c r="AM185" i="1"/>
  <c r="AN185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6" i="1"/>
  <c r="AM186" i="1"/>
  <c r="AN186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7" i="1"/>
  <c r="AM187" i="1"/>
  <c r="AN187" i="1"/>
  <c r="K151" i="1"/>
  <c r="L151" i="1"/>
  <c r="M151" i="1"/>
  <c r="N151" i="1" s="1"/>
  <c r="T151" i="1"/>
  <c r="V151" i="1"/>
  <c r="Y151" i="1"/>
  <c r="Z151" i="1"/>
  <c r="AB151" i="1"/>
  <c r="AC151" i="1"/>
  <c r="AD151" i="1"/>
  <c r="AG151" i="1" s="1"/>
  <c r="AE151" i="1"/>
  <c r="AF151" i="1"/>
  <c r="AH188" i="1"/>
  <c r="AM188" i="1"/>
  <c r="AN188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9" i="1"/>
  <c r="AM189" i="1"/>
  <c r="AN189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90" i="1"/>
  <c r="AM190" i="1"/>
  <c r="AN190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1" i="1"/>
  <c r="AM191" i="1"/>
  <c r="AN191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2" i="1"/>
  <c r="AM192" i="1"/>
  <c r="AN192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3" i="1"/>
  <c r="AM193" i="1"/>
  <c r="AN193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4" i="1"/>
  <c r="AM194" i="1"/>
  <c r="AN194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5" i="1"/>
  <c r="AM195" i="1"/>
  <c r="AN195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6" i="1"/>
  <c r="AM196" i="1"/>
  <c r="AN196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7" i="1"/>
  <c r="AM197" i="1"/>
  <c r="AN197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8" i="1"/>
  <c r="AM198" i="1"/>
  <c r="AN198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9" i="1"/>
  <c r="AM199" i="1"/>
  <c r="AN199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00" i="1"/>
  <c r="AM200" i="1"/>
  <c r="AN200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1" i="1"/>
  <c r="AM201" i="1"/>
  <c r="AN201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2" i="1"/>
  <c r="AM202" i="1"/>
  <c r="AN202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3" i="1"/>
  <c r="AM203" i="1"/>
  <c r="AN203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4" i="1"/>
  <c r="AM204" i="1"/>
  <c r="AN20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5" i="1"/>
  <c r="AM205" i="1"/>
  <c r="AN205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6" i="1"/>
  <c r="AM206" i="1"/>
  <c r="AN20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A216" i="1" s="1"/>
  <c r="AB216" i="1"/>
  <c r="AC216" i="1"/>
  <c r="AD216" i="1"/>
  <c r="AG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S47" i="3" s="1"/>
  <c r="Y219" i="1"/>
  <c r="Z219" i="1"/>
  <c r="AB219" i="1"/>
  <c r="AC219" i="1"/>
  <c r="AD219" i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A220" i="1" s="1"/>
  <c r="AB220" i="1"/>
  <c r="AC220" i="1"/>
  <c r="AD220" i="1"/>
  <c r="AE220" i="1"/>
  <c r="AF220" i="1"/>
  <c r="AH220" i="1"/>
  <c r="AM220" i="1"/>
  <c r="AN220" i="1"/>
  <c r="K221" i="1"/>
  <c r="L221" i="1"/>
  <c r="M221" i="1"/>
  <c r="P221" i="1" s="1"/>
  <c r="T221" i="1"/>
  <c r="V221" i="1"/>
  <c r="Y221" i="1"/>
  <c r="Z221" i="1"/>
  <c r="AB221" i="1"/>
  <c r="AC221" i="1"/>
  <c r="AD221" i="1"/>
  <c r="AG221" i="1" s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25" i="1"/>
  <c r="AM225" i="1"/>
  <c r="AN225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26" i="1"/>
  <c r="AM226" i="1"/>
  <c r="AN226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27" i="1"/>
  <c r="AM227" i="1"/>
  <c r="AN227" i="1"/>
  <c r="K228" i="1"/>
  <c r="L228" i="1"/>
  <c r="M228" i="1"/>
  <c r="N228" i="1" s="1"/>
  <c r="V228" i="1"/>
  <c r="S46" i="3" s="1"/>
  <c r="Y228" i="1"/>
  <c r="Z228" i="1"/>
  <c r="AB228" i="1"/>
  <c r="AC228" i="1"/>
  <c r="AD228" i="1"/>
  <c r="T228" i="1" s="1"/>
  <c r="AE228" i="1"/>
  <c r="AF228" i="1"/>
  <c r="AH228" i="1"/>
  <c r="AM228" i="1"/>
  <c r="AN228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29" i="1"/>
  <c r="AM229" i="1"/>
  <c r="AN229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230" i="1"/>
  <c r="AM230" i="1"/>
  <c r="AN230" i="1"/>
  <c r="K231" i="1"/>
  <c r="L231" i="1"/>
  <c r="M231" i="1"/>
  <c r="N231" i="1" s="1"/>
  <c r="V231" i="1"/>
  <c r="Y231" i="1"/>
  <c r="Z231" i="1"/>
  <c r="AB231" i="1"/>
  <c r="AC231" i="1"/>
  <c r="AD231" i="1"/>
  <c r="AE231" i="1"/>
  <c r="R46" i="3" s="1"/>
  <c r="AF231" i="1"/>
  <c r="AH231" i="1"/>
  <c r="AM231" i="1"/>
  <c r="AN231" i="1"/>
  <c r="K232" i="1"/>
  <c r="L232" i="1"/>
  <c r="M232" i="1"/>
  <c r="N232" i="1" s="1"/>
  <c r="V232" i="1"/>
  <c r="S45" i="3" s="1"/>
  <c r="Y232" i="1"/>
  <c r="Z232" i="1"/>
  <c r="AB232" i="1"/>
  <c r="AC232" i="1"/>
  <c r="AD232" i="1"/>
  <c r="T232" i="1" s="1"/>
  <c r="AE232" i="1"/>
  <c r="AF232" i="1"/>
  <c r="AH232" i="1"/>
  <c r="AM232" i="1"/>
  <c r="AN232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233" i="1"/>
  <c r="AM233" i="1"/>
  <c r="AN233" i="1"/>
  <c r="K234" i="1"/>
  <c r="L234" i="1"/>
  <c r="M234" i="1"/>
  <c r="N234" i="1" s="1"/>
  <c r="V234" i="1"/>
  <c r="Y234" i="1"/>
  <c r="Z234" i="1"/>
  <c r="AB234" i="1"/>
  <c r="AC234" i="1"/>
  <c r="AD234" i="1"/>
  <c r="AE234" i="1"/>
  <c r="R45" i="3" s="1"/>
  <c r="AF234" i="1"/>
  <c r="AH234" i="1"/>
  <c r="AM234" i="1"/>
  <c r="AN234" i="1"/>
  <c r="K235" i="1"/>
  <c r="L235" i="1"/>
  <c r="M235" i="1"/>
  <c r="N235" i="1" s="1"/>
  <c r="V235" i="1"/>
  <c r="S44" i="3" s="1"/>
  <c r="Y235" i="1"/>
  <c r="Z235" i="1"/>
  <c r="AB235" i="1"/>
  <c r="AC235" i="1"/>
  <c r="AD235" i="1"/>
  <c r="AE235" i="1"/>
  <c r="R44" i="3" s="1"/>
  <c r="AF235" i="1"/>
  <c r="AH235" i="1"/>
  <c r="AM235" i="1"/>
  <c r="AN235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236" i="1"/>
  <c r="AM236" i="1"/>
  <c r="AN236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AH237" i="1"/>
  <c r="AM237" i="1"/>
  <c r="AN237" i="1"/>
  <c r="M25" i="3"/>
  <c r="R25" i="3"/>
  <c r="S25" i="3"/>
  <c r="U25" i="3"/>
  <c r="T25" i="3" s="1"/>
  <c r="V25" i="3"/>
  <c r="W25" i="3"/>
  <c r="X25" i="3"/>
  <c r="M38" i="3"/>
  <c r="R38" i="3"/>
  <c r="S38" i="3"/>
  <c r="U38" i="3"/>
  <c r="T38" i="3" s="1"/>
  <c r="V38" i="3"/>
  <c r="W38" i="3"/>
  <c r="X38" i="3"/>
  <c r="AC38" i="3"/>
  <c r="M7" i="3"/>
  <c r="R7" i="3"/>
  <c r="U7" i="3"/>
  <c r="V7" i="3"/>
  <c r="W7" i="3"/>
  <c r="X7" i="3"/>
  <c r="AC7" i="3"/>
  <c r="M23" i="3"/>
  <c r="S23" i="3"/>
  <c r="U23" i="3"/>
  <c r="T23" i="3" s="1"/>
  <c r="V23" i="3"/>
  <c r="W23" i="3"/>
  <c r="X23" i="3"/>
  <c r="M34" i="3"/>
  <c r="S34" i="3"/>
  <c r="U34" i="3"/>
  <c r="V34" i="3"/>
  <c r="W34" i="3"/>
  <c r="X34" i="3"/>
  <c r="AC34" i="3"/>
  <c r="M18" i="3"/>
  <c r="R18" i="3"/>
  <c r="S18" i="3"/>
  <c r="U18" i="3"/>
  <c r="T18" i="3" s="1"/>
  <c r="V18" i="3"/>
  <c r="W18" i="3"/>
  <c r="X18" i="3"/>
  <c r="AC18" i="3"/>
  <c r="M24" i="3"/>
  <c r="R24" i="3"/>
  <c r="U24" i="3"/>
  <c r="V24" i="3"/>
  <c r="W24" i="3"/>
  <c r="Y24" i="3" s="1"/>
  <c r="X24" i="3"/>
  <c r="M8" i="3"/>
  <c r="R8" i="3"/>
  <c r="U8" i="3"/>
  <c r="T8" i="3" s="1"/>
  <c r="V8" i="3"/>
  <c r="W8" i="3"/>
  <c r="X8" i="3"/>
  <c r="M27" i="3"/>
  <c r="R27" i="3"/>
  <c r="S27" i="3"/>
  <c r="U27" i="3"/>
  <c r="V27" i="3"/>
  <c r="W27" i="3"/>
  <c r="X27" i="3"/>
  <c r="AC27" i="3"/>
  <c r="M17" i="3"/>
  <c r="R17" i="3"/>
  <c r="U17" i="3"/>
  <c r="T17" i="3" s="1"/>
  <c r="V17" i="3"/>
  <c r="W17" i="3"/>
  <c r="X17" i="3"/>
  <c r="AC17" i="3"/>
  <c r="AD18" i="3"/>
  <c r="M13" i="3"/>
  <c r="S13" i="3"/>
  <c r="U13" i="3"/>
  <c r="AD13" i="3" s="1"/>
  <c r="V13" i="3"/>
  <c r="W13" i="3"/>
  <c r="X13" i="3"/>
  <c r="AC13" i="3"/>
  <c r="M39" i="3"/>
  <c r="R39" i="3"/>
  <c r="S39" i="3"/>
  <c r="U39" i="3"/>
  <c r="T39" i="3" s="1"/>
  <c r="V39" i="3"/>
  <c r="W39" i="3"/>
  <c r="Y39" i="3" s="1"/>
  <c r="X39" i="3"/>
  <c r="M26" i="3"/>
  <c r="R26" i="3"/>
  <c r="U26" i="3"/>
  <c r="T26" i="3" s="1"/>
  <c r="V26" i="3"/>
  <c r="W26" i="3"/>
  <c r="X26" i="3"/>
  <c r="AC26" i="3"/>
  <c r="M21" i="3"/>
  <c r="R21" i="3"/>
  <c r="S21" i="3"/>
  <c r="U21" i="3"/>
  <c r="T21" i="3" s="1"/>
  <c r="V21" i="3"/>
  <c r="W21" i="3"/>
  <c r="X21" i="3"/>
  <c r="AC21" i="3"/>
  <c r="M12" i="3"/>
  <c r="S12" i="3"/>
  <c r="U12" i="3"/>
  <c r="V12" i="3"/>
  <c r="W12" i="3"/>
  <c r="X12" i="3"/>
  <c r="AC12" i="3"/>
  <c r="M16" i="3"/>
  <c r="U16" i="3"/>
  <c r="T16" i="3" s="1"/>
  <c r="V16" i="3"/>
  <c r="W16" i="3"/>
  <c r="Y16" i="3" s="1"/>
  <c r="X16" i="3"/>
  <c r="M9" i="3"/>
  <c r="R9" i="3"/>
  <c r="S9" i="3"/>
  <c r="U9" i="3"/>
  <c r="T9" i="3" s="1"/>
  <c r="V9" i="3"/>
  <c r="W9" i="3"/>
  <c r="X9" i="3"/>
  <c r="AC9" i="3"/>
  <c r="M47" i="3"/>
  <c r="R47" i="3"/>
  <c r="U47" i="3"/>
  <c r="T47" i="3" s="1"/>
  <c r="V47" i="3"/>
  <c r="W47" i="3"/>
  <c r="X47" i="3"/>
  <c r="M28" i="3"/>
  <c r="R28" i="3"/>
  <c r="U28" i="3"/>
  <c r="V28" i="3"/>
  <c r="W28" i="3"/>
  <c r="X28" i="3"/>
  <c r="AC28" i="3"/>
  <c r="M42" i="3"/>
  <c r="U42" i="3"/>
  <c r="AC42" i="3" s="1"/>
  <c r="V42" i="3"/>
  <c r="W42" i="3"/>
  <c r="X42" i="3"/>
  <c r="M14" i="3"/>
  <c r="R14" i="3"/>
  <c r="U14" i="3"/>
  <c r="V14" i="3"/>
  <c r="W14" i="3"/>
  <c r="X14" i="3"/>
  <c r="AC14" i="3"/>
  <c r="M19" i="3"/>
  <c r="U19" i="3"/>
  <c r="T19" i="3" s="1"/>
  <c r="V19" i="3"/>
  <c r="W19" i="3"/>
  <c r="X19" i="3"/>
  <c r="AC19" i="3"/>
  <c r="M15" i="3"/>
  <c r="R15" i="3"/>
  <c r="U15" i="3"/>
  <c r="V15" i="3"/>
  <c r="W15" i="3"/>
  <c r="Y15" i="3" s="1"/>
  <c r="X15" i="3"/>
  <c r="M29" i="3"/>
  <c r="U29" i="3"/>
  <c r="AC29" i="3" s="1"/>
  <c r="V29" i="3"/>
  <c r="W29" i="3"/>
  <c r="X29" i="3"/>
  <c r="M40" i="3"/>
  <c r="R40" i="3"/>
  <c r="U40" i="3"/>
  <c r="V40" i="3"/>
  <c r="W40" i="3"/>
  <c r="X40" i="3"/>
  <c r="AC40" i="3"/>
  <c r="M10" i="3"/>
  <c r="U10" i="3"/>
  <c r="T10" i="3" s="1"/>
  <c r="V10" i="3"/>
  <c r="W10" i="3"/>
  <c r="X10" i="3"/>
  <c r="AC10" i="3"/>
  <c r="M41" i="3"/>
  <c r="S41" i="3"/>
  <c r="U41" i="3"/>
  <c r="AD34" i="3" s="1"/>
  <c r="V41" i="3"/>
  <c r="W41" i="3"/>
  <c r="X41" i="3"/>
  <c r="AC41" i="3"/>
  <c r="M35" i="3"/>
  <c r="R35" i="3"/>
  <c r="S35" i="3"/>
  <c r="U35" i="3"/>
  <c r="AC35" i="3" s="1"/>
  <c r="V35" i="3"/>
  <c r="W35" i="3"/>
  <c r="X35" i="3"/>
  <c r="M11" i="3"/>
  <c r="R11" i="3"/>
  <c r="U11" i="3"/>
  <c r="T11" i="3" s="1"/>
  <c r="V11" i="3"/>
  <c r="W11" i="3"/>
  <c r="X11" i="3"/>
  <c r="AC11" i="3"/>
  <c r="M22" i="3"/>
  <c r="R22" i="3"/>
  <c r="S22" i="3"/>
  <c r="U22" i="3"/>
  <c r="T22" i="3" s="1"/>
  <c r="V22" i="3"/>
  <c r="W22" i="3"/>
  <c r="X22" i="3"/>
  <c r="AC22" i="3"/>
  <c r="M30" i="3"/>
  <c r="R30" i="3"/>
  <c r="U30" i="3"/>
  <c r="V30" i="3"/>
  <c r="W30" i="3"/>
  <c r="X30" i="3"/>
  <c r="AC30" i="3"/>
  <c r="M20" i="3"/>
  <c r="R20" i="3"/>
  <c r="S20" i="3"/>
  <c r="U20" i="3"/>
  <c r="AC20" i="3" s="1"/>
  <c r="V20" i="3"/>
  <c r="W20" i="3"/>
  <c r="X20" i="3"/>
  <c r="M31" i="3"/>
  <c r="R31" i="3"/>
  <c r="U31" i="3"/>
  <c r="T31" i="3" s="1"/>
  <c r="V31" i="3"/>
  <c r="W31" i="3"/>
  <c r="X31" i="3"/>
  <c r="AC31" i="3"/>
  <c r="AE40" i="3"/>
  <c r="M33" i="3"/>
  <c r="R33" i="3"/>
  <c r="S33" i="3"/>
  <c r="U33" i="3"/>
  <c r="T33" i="3" s="1"/>
  <c r="V33" i="3"/>
  <c r="W33" i="3"/>
  <c r="X33" i="3"/>
  <c r="AC33" i="3"/>
  <c r="M32" i="3"/>
  <c r="R32" i="3"/>
  <c r="S32" i="3"/>
  <c r="U32" i="3"/>
  <c r="AD42" i="3" s="1"/>
  <c r="V32" i="3"/>
  <c r="W32" i="3"/>
  <c r="X32" i="3"/>
  <c r="AC32" i="3"/>
  <c r="M36" i="3"/>
  <c r="R36" i="3"/>
  <c r="S36" i="3"/>
  <c r="U36" i="3"/>
  <c r="AC36" i="3" s="1"/>
  <c r="V36" i="3"/>
  <c r="W36" i="3"/>
  <c r="X36" i="3"/>
  <c r="M44" i="3"/>
  <c r="U44" i="3"/>
  <c r="V44" i="3"/>
  <c r="W44" i="3"/>
  <c r="X44" i="3"/>
  <c r="AC44" i="3"/>
  <c r="AD44" i="3"/>
  <c r="M45" i="3"/>
  <c r="U45" i="3"/>
  <c r="T45" i="3" s="1"/>
  <c r="V45" i="3"/>
  <c r="W45" i="3"/>
  <c r="X45" i="3"/>
  <c r="AC45" i="3"/>
  <c r="M43" i="3"/>
  <c r="R43" i="3"/>
  <c r="S43" i="3"/>
  <c r="U43" i="3"/>
  <c r="V43" i="3"/>
  <c r="W43" i="3"/>
  <c r="Y43" i="3" s="1"/>
  <c r="X43" i="3"/>
  <c r="M37" i="3"/>
  <c r="R37" i="3"/>
  <c r="S37" i="3"/>
  <c r="U37" i="3"/>
  <c r="AC37" i="3" s="1"/>
  <c r="V37" i="3"/>
  <c r="W37" i="3"/>
  <c r="X37" i="3"/>
  <c r="M46" i="3"/>
  <c r="U46" i="3"/>
  <c r="V46" i="3"/>
  <c r="W46" i="3"/>
  <c r="X46" i="3"/>
  <c r="AC46" i="3"/>
  <c r="AC47" i="3" l="1"/>
  <c r="X35" i="1"/>
  <c r="X31" i="1"/>
  <c r="AA225" i="1"/>
  <c r="AG194" i="1"/>
  <c r="X194" i="1"/>
  <c r="AG193" i="1"/>
  <c r="AG152" i="1"/>
  <c r="X152" i="1"/>
  <c r="AA142" i="1"/>
  <c r="AA132" i="1"/>
  <c r="Y35" i="3"/>
  <c r="X229" i="1"/>
  <c r="AI47" i="1"/>
  <c r="X33" i="1"/>
  <c r="AD26" i="3"/>
  <c r="AD41" i="3"/>
  <c r="Y12" i="3"/>
  <c r="Y25" i="3"/>
  <c r="AA232" i="1"/>
  <c r="AA224" i="1"/>
  <c r="AA143" i="1"/>
  <c r="AG111" i="1"/>
  <c r="AI111" i="1" s="1"/>
  <c r="X111" i="1"/>
  <c r="AA109" i="1"/>
  <c r="AI192" i="1"/>
  <c r="AG191" i="1"/>
  <c r="X191" i="1"/>
  <c r="AG190" i="1"/>
  <c r="AA189" i="1"/>
  <c r="AI84" i="1"/>
  <c r="AI60" i="1"/>
  <c r="AI39" i="1"/>
  <c r="X32" i="1"/>
  <c r="Y45" i="3"/>
  <c r="Y11" i="3"/>
  <c r="AD45" i="3"/>
  <c r="Y20" i="3"/>
  <c r="Y30" i="3"/>
  <c r="AA237" i="1"/>
  <c r="X234" i="1"/>
  <c r="AG224" i="1"/>
  <c r="AI224" i="1" s="1"/>
  <c r="AI212" i="1"/>
  <c r="X156" i="1"/>
  <c r="AA152" i="1"/>
  <c r="AG138" i="1"/>
  <c r="AA136" i="1"/>
  <c r="AG133" i="1"/>
  <c r="U133" i="1" s="1"/>
  <c r="AA128" i="1"/>
  <c r="AA108" i="1"/>
  <c r="AA191" i="1"/>
  <c r="W191" i="1" s="1"/>
  <c r="X180" i="1"/>
  <c r="AG179" i="1"/>
  <c r="U179" i="1" s="1"/>
  <c r="S179" i="1" s="1"/>
  <c r="AA172" i="1"/>
  <c r="W172" i="1" s="1"/>
  <c r="T88" i="1"/>
  <c r="AA85" i="1"/>
  <c r="W85" i="1" s="1"/>
  <c r="AA75" i="1"/>
  <c r="W75" i="1" s="1"/>
  <c r="T65" i="1"/>
  <c r="U65" i="1" s="1"/>
  <c r="S65" i="1" s="1"/>
  <c r="AI48" i="1"/>
  <c r="AG32" i="1"/>
  <c r="AI32" i="1" s="1"/>
  <c r="AA20" i="1"/>
  <c r="W20" i="1" s="1"/>
  <c r="AD30" i="3"/>
  <c r="S8" i="3"/>
  <c r="AA235" i="1"/>
  <c r="AA233" i="1"/>
  <c r="U151" i="1"/>
  <c r="S151" i="1" s="1"/>
  <c r="W143" i="1"/>
  <c r="AA205" i="1"/>
  <c r="AA177" i="1"/>
  <c r="AA38" i="1"/>
  <c r="AD21" i="3"/>
  <c r="AD28" i="3"/>
  <c r="AA236" i="1"/>
  <c r="AG177" i="1"/>
  <c r="AA63" i="1"/>
  <c r="W63" i="1" s="1"/>
  <c r="AA16" i="1"/>
  <c r="W16" i="1" s="1"/>
  <c r="AA230" i="1"/>
  <c r="AG228" i="1"/>
  <c r="U228" i="1" s="1"/>
  <c r="S228" i="1" s="1"/>
  <c r="AG217" i="1"/>
  <c r="AI217" i="1" s="1"/>
  <c r="AA212" i="1"/>
  <c r="W212" i="1" s="1"/>
  <c r="X209" i="1"/>
  <c r="AG202" i="1"/>
  <c r="AG199" i="1"/>
  <c r="U199" i="1" s="1"/>
  <c r="AA158" i="1"/>
  <c r="AG149" i="1"/>
  <c r="AI149" i="1" s="1"/>
  <c r="AA139" i="1"/>
  <c r="AA126" i="1"/>
  <c r="AA118" i="1"/>
  <c r="W118" i="1" s="1"/>
  <c r="AA113" i="1"/>
  <c r="W113" i="1" s="1"/>
  <c r="AA105" i="1"/>
  <c r="W105" i="1" s="1"/>
  <c r="T105" i="1"/>
  <c r="U105" i="1" s="1"/>
  <c r="S105" i="1" s="1"/>
  <c r="AA104" i="1"/>
  <c r="AA207" i="1"/>
  <c r="AA187" i="1"/>
  <c r="AA182" i="1"/>
  <c r="AA180" i="1"/>
  <c r="AG167" i="1"/>
  <c r="U167" i="1" s="1"/>
  <c r="S167" i="1" s="1"/>
  <c r="AA166" i="1"/>
  <c r="AA90" i="1"/>
  <c r="AI75" i="1"/>
  <c r="AA73" i="1"/>
  <c r="AG70" i="1"/>
  <c r="AG53" i="1"/>
  <c r="U53" i="1" s="1"/>
  <c r="S53" i="1" s="1"/>
  <c r="X53" i="1"/>
  <c r="X41" i="1"/>
  <c r="AG40" i="1"/>
  <c r="X40" i="1"/>
  <c r="AG36" i="1"/>
  <c r="AA35" i="1"/>
  <c r="W35" i="1" s="1"/>
  <c r="AA34" i="1"/>
  <c r="AA29" i="1"/>
  <c r="AE25" i="3"/>
  <c r="Y32" i="3"/>
  <c r="AD38" i="3"/>
  <c r="AD25" i="3"/>
  <c r="T229" i="1"/>
  <c r="T97" i="1"/>
  <c r="U97" i="1" s="1"/>
  <c r="S97" i="1" s="1"/>
  <c r="W93" i="1"/>
  <c r="W80" i="1"/>
  <c r="AD32" i="3"/>
  <c r="S29" i="3"/>
  <c r="AE28" i="3"/>
  <c r="AD17" i="3"/>
  <c r="Y7" i="3"/>
  <c r="X237" i="1"/>
  <c r="Y19" i="3"/>
  <c r="Y28" i="3"/>
  <c r="AD23" i="3"/>
  <c r="AE21" i="3"/>
  <c r="Y26" i="3"/>
  <c r="Y8" i="3"/>
  <c r="Y18" i="3"/>
  <c r="X233" i="1"/>
  <c r="AA229" i="1"/>
  <c r="X220" i="1"/>
  <c r="T209" i="1"/>
  <c r="AA202" i="1"/>
  <c r="AA193" i="1"/>
  <c r="W193" i="1" s="1"/>
  <c r="AG139" i="1"/>
  <c r="U139" i="1" s="1"/>
  <c r="S139" i="1" s="1"/>
  <c r="AG126" i="1"/>
  <c r="AA125" i="1"/>
  <c r="AA117" i="1"/>
  <c r="W117" i="1" s="1"/>
  <c r="X105" i="1"/>
  <c r="AA103" i="1"/>
  <c r="AA101" i="1"/>
  <c r="X190" i="1"/>
  <c r="T187" i="1"/>
  <c r="U187" i="1" s="1"/>
  <c r="S187" i="1" s="1"/>
  <c r="AA186" i="1"/>
  <c r="AA181" i="1"/>
  <c r="X173" i="1"/>
  <c r="X169" i="1"/>
  <c r="AA164" i="1"/>
  <c r="X86" i="1"/>
  <c r="AA70" i="1"/>
  <c r="W70" i="1" s="1"/>
  <c r="AA68" i="1"/>
  <c r="X57" i="1"/>
  <c r="AA47" i="1"/>
  <c r="W47" i="1" s="1"/>
  <c r="AI38" i="1"/>
  <c r="X17" i="1"/>
  <c r="T234" i="1"/>
  <c r="AG233" i="1"/>
  <c r="AI233" i="1" s="1"/>
  <c r="T226" i="1"/>
  <c r="AG226" i="1"/>
  <c r="U226" i="1" s="1"/>
  <c r="S226" i="1" s="1"/>
  <c r="AG234" i="1"/>
  <c r="AA227" i="1"/>
  <c r="W38" i="1"/>
  <c r="AG229" i="1"/>
  <c r="T222" i="1"/>
  <c r="AG222" i="1"/>
  <c r="AA228" i="1"/>
  <c r="W228" i="1" s="1"/>
  <c r="AA221" i="1"/>
  <c r="W221" i="1" s="1"/>
  <c r="X217" i="1"/>
  <c r="U149" i="1"/>
  <c r="S149" i="1" s="1"/>
  <c r="AI144" i="1"/>
  <c r="T136" i="1"/>
  <c r="U136" i="1" s="1"/>
  <c r="S136" i="1" s="1"/>
  <c r="X122" i="1"/>
  <c r="X207" i="1"/>
  <c r="X102" i="1"/>
  <c r="AA226" i="1"/>
  <c r="T216" i="1"/>
  <c r="U216" i="1" s="1"/>
  <c r="S216" i="1" s="1"/>
  <c r="AA215" i="1"/>
  <c r="T212" i="1"/>
  <c r="U212" i="1" s="1"/>
  <c r="S212" i="1" s="1"/>
  <c r="AA211" i="1"/>
  <c r="AA210" i="1"/>
  <c r="AG208" i="1"/>
  <c r="U208" i="1" s="1"/>
  <c r="S208" i="1" s="1"/>
  <c r="AG198" i="1"/>
  <c r="AI198" i="1" s="1"/>
  <c r="AA197" i="1"/>
  <c r="W197" i="1" s="1"/>
  <c r="AG157" i="1"/>
  <c r="AA155" i="1"/>
  <c r="AG153" i="1"/>
  <c r="AI153" i="1" s="1"/>
  <c r="AA151" i="1"/>
  <c r="W151" i="1" s="1"/>
  <c r="AA141" i="1"/>
  <c r="AG137" i="1"/>
  <c r="U137" i="1" s="1"/>
  <c r="S137" i="1" s="1"/>
  <c r="AG134" i="1"/>
  <c r="AG129" i="1"/>
  <c r="U129" i="1" s="1"/>
  <c r="X129" i="1"/>
  <c r="AG128" i="1"/>
  <c r="X125" i="1"/>
  <c r="AA121" i="1"/>
  <c r="W121" i="1" s="1"/>
  <c r="AA110" i="1"/>
  <c r="AA206" i="1"/>
  <c r="W206" i="1" s="1"/>
  <c r="AA188" i="1"/>
  <c r="AA183" i="1"/>
  <c r="AA179" i="1"/>
  <c r="AG178" i="1"/>
  <c r="AA176" i="1"/>
  <c r="AA173" i="1"/>
  <c r="T173" i="1"/>
  <c r="T172" i="1"/>
  <c r="U172" i="1" s="1"/>
  <c r="S172" i="1" s="1"/>
  <c r="AA171" i="1"/>
  <c r="T165" i="1"/>
  <c r="U165" i="1" s="1"/>
  <c r="S165" i="1" s="1"/>
  <c r="X162" i="1"/>
  <c r="AG92" i="1"/>
  <c r="U92" i="1" s="1"/>
  <c r="X92" i="1"/>
  <c r="X91" i="1"/>
  <c r="X89" i="1"/>
  <c r="AA86" i="1"/>
  <c r="AA71" i="1"/>
  <c r="AA61" i="1"/>
  <c r="AA59" i="1"/>
  <c r="AA46" i="1"/>
  <c r="W46" i="1" s="1"/>
  <c r="AG45" i="1"/>
  <c r="AI45" i="1" s="1"/>
  <c r="X45" i="1"/>
  <c r="AA39" i="1"/>
  <c r="W39" i="1" s="1"/>
  <c r="AA37" i="1"/>
  <c r="AA28" i="1"/>
  <c r="W28" i="1" s="1"/>
  <c r="AA25" i="1"/>
  <c r="AA22" i="1"/>
  <c r="W136" i="1"/>
  <c r="X58" i="1"/>
  <c r="X50" i="1"/>
  <c r="W48" i="1"/>
  <c r="AA31" i="1"/>
  <c r="AA214" i="1"/>
  <c r="AG210" i="1"/>
  <c r="AA209" i="1"/>
  <c r="AA208" i="1"/>
  <c r="AG203" i="1"/>
  <c r="U203" i="1" s="1"/>
  <c r="S203" i="1" s="1"/>
  <c r="AA201" i="1"/>
  <c r="AA157" i="1"/>
  <c r="AG155" i="1"/>
  <c r="U155" i="1" s="1"/>
  <c r="S155" i="1" s="1"/>
  <c r="AG148" i="1"/>
  <c r="AI148" i="1" s="1"/>
  <c r="AA147" i="1"/>
  <c r="AG141" i="1"/>
  <c r="AI141" i="1" s="1"/>
  <c r="AA137" i="1"/>
  <c r="AA127" i="1"/>
  <c r="AA124" i="1"/>
  <c r="W124" i="1" s="1"/>
  <c r="X119" i="1"/>
  <c r="AA119" i="1"/>
  <c r="X106" i="1"/>
  <c r="AA106" i="1"/>
  <c r="W106" i="1" s="1"/>
  <c r="X103" i="1"/>
  <c r="AG207" i="1"/>
  <c r="AA100" i="1"/>
  <c r="W100" i="1" s="1"/>
  <c r="AG188" i="1"/>
  <c r="X188" i="1"/>
  <c r="AA185" i="1"/>
  <c r="W185" i="1" s="1"/>
  <c r="X184" i="1"/>
  <c r="T180" i="1"/>
  <c r="AA94" i="1"/>
  <c r="AG173" i="1"/>
  <c r="X166" i="1"/>
  <c r="T162" i="1"/>
  <c r="AA161" i="1"/>
  <c r="W161" i="1" s="1"/>
  <c r="AA91" i="1"/>
  <c r="T89" i="1"/>
  <c r="AA88" i="1"/>
  <c r="W88" i="1" s="1"/>
  <c r="AA87" i="1"/>
  <c r="AA84" i="1"/>
  <c r="W84" i="1" s="1"/>
  <c r="T81" i="1"/>
  <c r="U81" i="1" s="1"/>
  <c r="S81" i="1" s="1"/>
  <c r="X80" i="1"/>
  <c r="AI72" i="1"/>
  <c r="X69" i="1"/>
  <c r="AA69" i="1"/>
  <c r="AA57" i="1"/>
  <c r="AA53" i="1"/>
  <c r="AI52" i="1"/>
  <c r="X48" i="1"/>
  <c r="AA44" i="1"/>
  <c r="AG37" i="1"/>
  <c r="U37" i="1" s="1"/>
  <c r="S37" i="1" s="1"/>
  <c r="X37" i="1"/>
  <c r="AA36" i="1"/>
  <c r="W36" i="1" s="1"/>
  <c r="AA27" i="1"/>
  <c r="X20" i="1"/>
  <c r="AA17" i="1"/>
  <c r="W237" i="1"/>
  <c r="AI237" i="1"/>
  <c r="T233" i="1"/>
  <c r="U233" i="1" s="1"/>
  <c r="S233" i="1" s="1"/>
  <c r="AA231" i="1"/>
  <c r="X230" i="1"/>
  <c r="AG230" i="1"/>
  <c r="X225" i="1"/>
  <c r="AG225" i="1"/>
  <c r="T220" i="1"/>
  <c r="X221" i="1"/>
  <c r="AG220" i="1"/>
  <c r="W220" i="1" s="1"/>
  <c r="W132" i="1"/>
  <c r="W108" i="1"/>
  <c r="T237" i="1"/>
  <c r="U237" i="1" s="1"/>
  <c r="S237" i="1" s="1"/>
  <c r="T230" i="1"/>
  <c r="AI216" i="1"/>
  <c r="W225" i="1"/>
  <c r="W147" i="1"/>
  <c r="W216" i="1"/>
  <c r="X201" i="1"/>
  <c r="U198" i="1"/>
  <c r="S198" i="1" s="1"/>
  <c r="X198" i="1"/>
  <c r="T197" i="1"/>
  <c r="U197" i="1" s="1"/>
  <c r="S197" i="1" s="1"/>
  <c r="AA196" i="1"/>
  <c r="AA195" i="1"/>
  <c r="AA156" i="1"/>
  <c r="T156" i="1"/>
  <c r="X151" i="1"/>
  <c r="X148" i="1"/>
  <c r="T147" i="1"/>
  <c r="U147" i="1" s="1"/>
  <c r="S147" i="1" s="1"/>
  <c r="AA146" i="1"/>
  <c r="AA145" i="1"/>
  <c r="AA140" i="1"/>
  <c r="T140" i="1"/>
  <c r="X136" i="1"/>
  <c r="X133" i="1"/>
  <c r="T132" i="1"/>
  <c r="U132" i="1" s="1"/>
  <c r="S132" i="1" s="1"/>
  <c r="AA131" i="1"/>
  <c r="AA130" i="1"/>
  <c r="AA120" i="1"/>
  <c r="T119" i="1"/>
  <c r="AG107" i="1"/>
  <c r="AI107" i="1" s="1"/>
  <c r="X107" i="1"/>
  <c r="T106" i="1"/>
  <c r="T206" i="1"/>
  <c r="U206" i="1" s="1"/>
  <c r="S206" i="1" s="1"/>
  <c r="AA99" i="1"/>
  <c r="W99" i="1" s="1"/>
  <c r="T98" i="1"/>
  <c r="X98" i="1"/>
  <c r="AG98" i="1"/>
  <c r="U190" i="1"/>
  <c r="S190" i="1" s="1"/>
  <c r="AI85" i="1"/>
  <c r="AI81" i="1"/>
  <c r="AG218" i="1"/>
  <c r="U218" i="1" s="1"/>
  <c r="X216" i="1"/>
  <c r="AG213" i="1"/>
  <c r="U213" i="1" s="1"/>
  <c r="S213" i="1" s="1"/>
  <c r="X213" i="1"/>
  <c r="AG201" i="1"/>
  <c r="U201" i="1" s="1"/>
  <c r="S201" i="1" s="1"/>
  <c r="X197" i="1"/>
  <c r="U194" i="1"/>
  <c r="S194" i="1" s="1"/>
  <c r="X147" i="1"/>
  <c r="U144" i="1"/>
  <c r="S144" i="1" s="1"/>
  <c r="X132" i="1"/>
  <c r="T118" i="1"/>
  <c r="U118" i="1" s="1"/>
  <c r="S118" i="1" s="1"/>
  <c r="AI133" i="1"/>
  <c r="AI99" i="1"/>
  <c r="X228" i="1"/>
  <c r="AA223" i="1"/>
  <c r="AA222" i="1"/>
  <c r="AA217" i="1"/>
  <c r="W217" i="1" s="1"/>
  <c r="AG214" i="1"/>
  <c r="X212" i="1"/>
  <c r="AG209" i="1"/>
  <c r="AA204" i="1"/>
  <c r="AA203" i="1"/>
  <c r="AA198" i="1"/>
  <c r="AG195" i="1"/>
  <c r="U195" i="1" s="1"/>
  <c r="X193" i="1"/>
  <c r="AG156" i="1"/>
  <c r="AA154" i="1"/>
  <c r="AA153" i="1"/>
  <c r="W153" i="1" s="1"/>
  <c r="AA148" i="1"/>
  <c r="AG145" i="1"/>
  <c r="U145" i="1" s="1"/>
  <c r="AG140" i="1"/>
  <c r="AA138" i="1"/>
  <c r="AA133" i="1"/>
  <c r="W133" i="1" s="1"/>
  <c r="AG130" i="1"/>
  <c r="X128" i="1"/>
  <c r="AA123" i="1"/>
  <c r="AG119" i="1"/>
  <c r="AA116" i="1"/>
  <c r="AA114" i="1"/>
  <c r="W114" i="1" s="1"/>
  <c r="AG110" i="1"/>
  <c r="AA107" i="1"/>
  <c r="X206" i="1"/>
  <c r="AG101" i="1"/>
  <c r="U101" i="1" s="1"/>
  <c r="AA192" i="1"/>
  <c r="W192" i="1" s="1"/>
  <c r="AA190" i="1"/>
  <c r="W190" i="1" s="1"/>
  <c r="X183" i="1"/>
  <c r="AG183" i="1"/>
  <c r="U183" i="1" s="1"/>
  <c r="S183" i="1" s="1"/>
  <c r="W181" i="1"/>
  <c r="AG176" i="1"/>
  <c r="T176" i="1"/>
  <c r="X177" i="1"/>
  <c r="X224" i="1"/>
  <c r="U221" i="1"/>
  <c r="S221" i="1" s="1"/>
  <c r="AA219" i="1"/>
  <c r="AA218" i="1"/>
  <c r="AA213" i="1"/>
  <c r="X208" i="1"/>
  <c r="U202" i="1"/>
  <c r="X202" i="1"/>
  <c r="AA200" i="1"/>
  <c r="AA199" i="1"/>
  <c r="AA194" i="1"/>
  <c r="W194" i="1" s="1"/>
  <c r="U193" i="1"/>
  <c r="S193" i="1" s="1"/>
  <c r="X155" i="1"/>
  <c r="U152" i="1"/>
  <c r="S152" i="1" s="1"/>
  <c r="AA150" i="1"/>
  <c r="AA149" i="1"/>
  <c r="AA144" i="1"/>
  <c r="W144" i="1" s="1"/>
  <c r="U143" i="1"/>
  <c r="S143" i="1" s="1"/>
  <c r="AA135" i="1"/>
  <c r="AA134" i="1"/>
  <c r="AA129" i="1"/>
  <c r="U128" i="1"/>
  <c r="S128" i="1" s="1"/>
  <c r="U123" i="1"/>
  <c r="AI123" i="1"/>
  <c r="T122" i="1"/>
  <c r="U122" i="1" s="1"/>
  <c r="S122" i="1" s="1"/>
  <c r="X118" i="1"/>
  <c r="U114" i="1"/>
  <c r="U107" i="1"/>
  <c r="S107" i="1" s="1"/>
  <c r="AA97" i="1"/>
  <c r="W97" i="1" s="1"/>
  <c r="AG184" i="1"/>
  <c r="U177" i="1"/>
  <c r="AA175" i="1"/>
  <c r="AA169" i="1"/>
  <c r="T169" i="1"/>
  <c r="U93" i="1"/>
  <c r="S93" i="1" s="1"/>
  <c r="AG162" i="1"/>
  <c r="AA160" i="1"/>
  <c r="AA92" i="1"/>
  <c r="W92" i="1" s="1"/>
  <c r="X85" i="1"/>
  <c r="T84" i="1"/>
  <c r="AA79" i="1"/>
  <c r="W79" i="1" s="1"/>
  <c r="T77" i="1"/>
  <c r="U77" i="1" s="1"/>
  <c r="S77" i="1" s="1"/>
  <c r="AA76" i="1"/>
  <c r="AG73" i="1"/>
  <c r="X73" i="1"/>
  <c r="T72" i="1"/>
  <c r="T69" i="1"/>
  <c r="U69" i="1" s="1"/>
  <c r="S69" i="1" s="1"/>
  <c r="AG66" i="1"/>
  <c r="AI66" i="1" s="1"/>
  <c r="X66" i="1"/>
  <c r="AA65" i="1"/>
  <c r="AG62" i="1"/>
  <c r="AI62" i="1" s="1"/>
  <c r="X62" i="1"/>
  <c r="AG61" i="1"/>
  <c r="X61" i="1"/>
  <c r="U58" i="1"/>
  <c r="S58" i="1" s="1"/>
  <c r="X56" i="1"/>
  <c r="T48" i="1"/>
  <c r="U48" i="1" s="1"/>
  <c r="S48" i="1" s="1"/>
  <c r="X47" i="1"/>
  <c r="T44" i="1"/>
  <c r="U44" i="1" s="1"/>
  <c r="S44" i="1" s="1"/>
  <c r="AA43" i="1"/>
  <c r="AA30" i="1"/>
  <c r="T29" i="1"/>
  <c r="AG25" i="1"/>
  <c r="U25" i="1" s="1"/>
  <c r="S25" i="1" s="1"/>
  <c r="X25" i="1"/>
  <c r="T24" i="1"/>
  <c r="T17" i="1"/>
  <c r="W81" i="1"/>
  <c r="T57" i="1"/>
  <c r="T52" i="1"/>
  <c r="U52" i="1" s="1"/>
  <c r="S52" i="1" s="1"/>
  <c r="T28" i="1"/>
  <c r="AG17" i="1"/>
  <c r="AI17" i="1" s="1"/>
  <c r="T16" i="1"/>
  <c r="AA14" i="1"/>
  <c r="W187" i="1"/>
  <c r="AG174" i="1"/>
  <c r="AI174" i="1" s="1"/>
  <c r="AG169" i="1"/>
  <c r="AI169" i="1" s="1"/>
  <c r="AG159" i="1"/>
  <c r="AI159" i="1" s="1"/>
  <c r="AA89" i="1"/>
  <c r="T85" i="1"/>
  <c r="U85" i="1" s="1"/>
  <c r="S85" i="1" s="1"/>
  <c r="X84" i="1"/>
  <c r="AG78" i="1"/>
  <c r="U78" i="1" s="1"/>
  <c r="S78" i="1" s="1"/>
  <c r="X78" i="1"/>
  <c r="AA77" i="1"/>
  <c r="AA74" i="1"/>
  <c r="U70" i="1"/>
  <c r="S70" i="1" s="1"/>
  <c r="AG69" i="1"/>
  <c r="AA67" i="1"/>
  <c r="W67" i="1" s="1"/>
  <c r="AA64" i="1"/>
  <c r="W64" i="1" s="1"/>
  <c r="AA62" i="1"/>
  <c r="T60" i="1"/>
  <c r="AG57" i="1"/>
  <c r="W57" i="1" s="1"/>
  <c r="T56" i="1"/>
  <c r="U56" i="1" s="1"/>
  <c r="S56" i="1" s="1"/>
  <c r="AA50" i="1"/>
  <c r="W50" i="1" s="1"/>
  <c r="T50" i="1"/>
  <c r="T47" i="1"/>
  <c r="U47" i="1" s="1"/>
  <c r="S47" i="1" s="1"/>
  <c r="AA40" i="1"/>
  <c r="W40" i="1" s="1"/>
  <c r="T39" i="1"/>
  <c r="AI35" i="1"/>
  <c r="AA32" i="1"/>
  <c r="AG29" i="1"/>
  <c r="AA26" i="1"/>
  <c r="X24" i="1"/>
  <c r="AA21" i="1"/>
  <c r="W21" i="1" s="1"/>
  <c r="T20" i="1"/>
  <c r="AA96" i="1"/>
  <c r="W96" i="1" s="1"/>
  <c r="U191" i="1"/>
  <c r="S191" i="1" s="1"/>
  <c r="AG180" i="1"/>
  <c r="AG170" i="1"/>
  <c r="AI170" i="1" s="1"/>
  <c r="AG166" i="1"/>
  <c r="U166" i="1" s="1"/>
  <c r="S166" i="1" s="1"/>
  <c r="AA162" i="1"/>
  <c r="T161" i="1"/>
  <c r="U161" i="1" s="1"/>
  <c r="S161" i="1" s="1"/>
  <c r="AG90" i="1"/>
  <c r="U90" i="1" s="1"/>
  <c r="S90" i="1" s="1"/>
  <c r="X90" i="1"/>
  <c r="AG89" i="1"/>
  <c r="AI88" i="1"/>
  <c r="X68" i="1"/>
  <c r="AA60" i="1"/>
  <c r="W60" i="1" s="1"/>
  <c r="AA58" i="1"/>
  <c r="W58" i="1" s="1"/>
  <c r="AA56" i="1"/>
  <c r="W56" i="1" s="1"/>
  <c r="AA55" i="1"/>
  <c r="X52" i="1"/>
  <c r="AA51" i="1"/>
  <c r="W51" i="1" s="1"/>
  <c r="AA45" i="1"/>
  <c r="W45" i="1" s="1"/>
  <c r="AA42" i="1"/>
  <c r="X28" i="1"/>
  <c r="AA18" i="1"/>
  <c r="X16" i="1"/>
  <c r="AI234" i="1"/>
  <c r="U210" i="1"/>
  <c r="U126" i="1"/>
  <c r="S126" i="1" s="1"/>
  <c r="AA234" i="1"/>
  <c r="W234" i="1" s="1"/>
  <c r="U234" i="1"/>
  <c r="S234" i="1" s="1"/>
  <c r="T231" i="1"/>
  <c r="X231" i="1"/>
  <c r="AG231" i="1"/>
  <c r="T235" i="1"/>
  <c r="X235" i="1"/>
  <c r="AG235" i="1"/>
  <c r="AG227" i="1"/>
  <c r="X226" i="1"/>
  <c r="AG223" i="1"/>
  <c r="X222" i="1"/>
  <c r="AI221" i="1"/>
  <c r="AG219" i="1"/>
  <c r="X218" i="1"/>
  <c r="AG215" i="1"/>
  <c r="W215" i="1" s="1"/>
  <c r="X214" i="1"/>
  <c r="AG211" i="1"/>
  <c r="X210" i="1"/>
  <c r="AI209" i="1"/>
  <c r="AG204" i="1"/>
  <c r="X203" i="1"/>
  <c r="S202" i="1"/>
  <c r="AG200" i="1"/>
  <c r="X199" i="1"/>
  <c r="AI201" i="1"/>
  <c r="AG196" i="1"/>
  <c r="AI196" i="1" s="1"/>
  <c r="X195" i="1"/>
  <c r="AI197" i="1"/>
  <c r="AG158" i="1"/>
  <c r="X157" i="1"/>
  <c r="AI193" i="1"/>
  <c r="AG154" i="1"/>
  <c r="W154" i="1" s="1"/>
  <c r="X153" i="1"/>
  <c r="AG150" i="1"/>
  <c r="AI150" i="1" s="1"/>
  <c r="X149" i="1"/>
  <c r="AI185" i="1"/>
  <c r="AG146" i="1"/>
  <c r="X145" i="1"/>
  <c r="AI181" i="1"/>
  <c r="AG142" i="1"/>
  <c r="AI177" i="1"/>
  <c r="AG135" i="1"/>
  <c r="W135" i="1" s="1"/>
  <c r="X134" i="1"/>
  <c r="S133" i="1"/>
  <c r="AG131" i="1"/>
  <c r="X130" i="1"/>
  <c r="AI165" i="1"/>
  <c r="S129" i="1"/>
  <c r="AG127" i="1"/>
  <c r="AI127" i="1" s="1"/>
  <c r="X126" i="1"/>
  <c r="AG125" i="1"/>
  <c r="T125" i="1"/>
  <c r="T124" i="1"/>
  <c r="U124" i="1" s="1"/>
  <c r="S124" i="1" s="1"/>
  <c r="X124" i="1"/>
  <c r="AA112" i="1"/>
  <c r="W112" i="1" s="1"/>
  <c r="AG109" i="1"/>
  <c r="X109" i="1"/>
  <c r="T109" i="1"/>
  <c r="X110" i="1"/>
  <c r="AG236" i="1"/>
  <c r="AG232" i="1"/>
  <c r="AI230" i="1"/>
  <c r="X227" i="1"/>
  <c r="T227" i="1"/>
  <c r="X223" i="1"/>
  <c r="T223" i="1"/>
  <c r="AI222" i="1"/>
  <c r="X219" i="1"/>
  <c r="T219" i="1"/>
  <c r="AI218" i="1"/>
  <c r="S218" i="1"/>
  <c r="X215" i="1"/>
  <c r="T215" i="1"/>
  <c r="AI214" i="1"/>
  <c r="X211" i="1"/>
  <c r="T211" i="1"/>
  <c r="AI210" i="1"/>
  <c r="S210" i="1"/>
  <c r="X204" i="1"/>
  <c r="T204" i="1"/>
  <c r="AI206" i="1"/>
  <c r="X200" i="1"/>
  <c r="T200" i="1"/>
  <c r="AI202" i="1"/>
  <c r="S199" i="1"/>
  <c r="X196" i="1"/>
  <c r="T196" i="1"/>
  <c r="S195" i="1"/>
  <c r="X158" i="1"/>
  <c r="T158" i="1"/>
  <c r="AI194" i="1"/>
  <c r="X154" i="1"/>
  <c r="T154" i="1"/>
  <c r="AI190" i="1"/>
  <c r="X150" i="1"/>
  <c r="T150" i="1"/>
  <c r="X146" i="1"/>
  <c r="T146" i="1"/>
  <c r="S145" i="1"/>
  <c r="T142" i="1"/>
  <c r="AI178" i="1"/>
  <c r="X135" i="1"/>
  <c r="T135" i="1"/>
  <c r="X131" i="1"/>
  <c r="T131" i="1"/>
  <c r="X127" i="1"/>
  <c r="T127" i="1"/>
  <c r="W123" i="1"/>
  <c r="T120" i="1"/>
  <c r="X120" i="1"/>
  <c r="AG120" i="1"/>
  <c r="W120" i="1" s="1"/>
  <c r="U110" i="1"/>
  <c r="S110" i="1" s="1"/>
  <c r="U106" i="1"/>
  <c r="S106" i="1" s="1"/>
  <c r="X236" i="1"/>
  <c r="X232" i="1"/>
  <c r="S123" i="1"/>
  <c r="T116" i="1"/>
  <c r="X116" i="1"/>
  <c r="AG116" i="1"/>
  <c r="AI116" i="1" s="1"/>
  <c r="X115" i="1"/>
  <c r="AG115" i="1"/>
  <c r="AI115" i="1" s="1"/>
  <c r="AI147" i="1"/>
  <c r="U111" i="1"/>
  <c r="S111" i="1" s="1"/>
  <c r="X121" i="1"/>
  <c r="T121" i="1"/>
  <c r="U121" i="1" s="1"/>
  <c r="S121" i="1" s="1"/>
  <c r="X117" i="1"/>
  <c r="T117" i="1"/>
  <c r="U117" i="1" s="1"/>
  <c r="S117" i="1" s="1"/>
  <c r="AA115" i="1"/>
  <c r="S114" i="1"/>
  <c r="X113" i="1"/>
  <c r="T112" i="1"/>
  <c r="U112" i="1" s="1"/>
  <c r="S112" i="1" s="1"/>
  <c r="X112" i="1"/>
  <c r="AI143" i="1"/>
  <c r="AA102" i="1"/>
  <c r="AI135" i="1"/>
  <c r="S101" i="1"/>
  <c r="X100" i="1"/>
  <c r="T99" i="1"/>
  <c r="U99" i="1" s="1"/>
  <c r="S99" i="1" s="1"/>
  <c r="X99" i="1"/>
  <c r="AA95" i="1"/>
  <c r="T185" i="1"/>
  <c r="U185" i="1" s="1"/>
  <c r="S185" i="1" s="1"/>
  <c r="X185" i="1"/>
  <c r="AA184" i="1"/>
  <c r="W184" i="1" s="1"/>
  <c r="T182" i="1"/>
  <c r="X182" i="1"/>
  <c r="AG182" i="1"/>
  <c r="AI182" i="1" s="1"/>
  <c r="AI117" i="1"/>
  <c r="X179" i="1"/>
  <c r="T94" i="1"/>
  <c r="X94" i="1"/>
  <c r="AG94" i="1"/>
  <c r="X176" i="1"/>
  <c r="T175" i="1"/>
  <c r="X175" i="1"/>
  <c r="AG175" i="1"/>
  <c r="X172" i="1"/>
  <c r="T171" i="1"/>
  <c r="X171" i="1"/>
  <c r="AG171" i="1"/>
  <c r="W171" i="1" s="1"/>
  <c r="X93" i="1"/>
  <c r="T168" i="1"/>
  <c r="X168" i="1"/>
  <c r="AG168" i="1"/>
  <c r="X165" i="1"/>
  <c r="T164" i="1"/>
  <c r="X164" i="1"/>
  <c r="AG164" i="1"/>
  <c r="AI164" i="1" s="1"/>
  <c r="X161" i="1"/>
  <c r="T160" i="1"/>
  <c r="X160" i="1"/>
  <c r="AG160" i="1"/>
  <c r="AI160" i="1" s="1"/>
  <c r="X82" i="1"/>
  <c r="AG82" i="1"/>
  <c r="W77" i="1"/>
  <c r="W72" i="1"/>
  <c r="AG64" i="1"/>
  <c r="X64" i="1"/>
  <c r="T64" i="1"/>
  <c r="X65" i="1"/>
  <c r="T205" i="1"/>
  <c r="X205" i="1"/>
  <c r="T102" i="1"/>
  <c r="AI132" i="1"/>
  <c r="T95" i="1"/>
  <c r="X95" i="1"/>
  <c r="T186" i="1"/>
  <c r="X186" i="1"/>
  <c r="AG186" i="1"/>
  <c r="AI186" i="1" s="1"/>
  <c r="AI121" i="1"/>
  <c r="AI113" i="1"/>
  <c r="AI105" i="1"/>
  <c r="AI101" i="1"/>
  <c r="AI97" i="1"/>
  <c r="AI93" i="1"/>
  <c r="T83" i="1"/>
  <c r="X83" i="1"/>
  <c r="AG83" i="1"/>
  <c r="W83" i="1" s="1"/>
  <c r="AI77" i="1"/>
  <c r="AG76" i="1"/>
  <c r="X76" i="1"/>
  <c r="T76" i="1"/>
  <c r="X77" i="1"/>
  <c r="U72" i="1"/>
  <c r="S72" i="1" s="1"/>
  <c r="AI65" i="1"/>
  <c r="AI46" i="1"/>
  <c r="T104" i="1"/>
  <c r="X104" i="1"/>
  <c r="T103" i="1"/>
  <c r="AG205" i="1"/>
  <c r="AI205" i="1" s="1"/>
  <c r="AG102" i="1"/>
  <c r="X97" i="1"/>
  <c r="T96" i="1"/>
  <c r="U96" i="1" s="1"/>
  <c r="S96" i="1" s="1"/>
  <c r="T189" i="1"/>
  <c r="X189" i="1"/>
  <c r="AG189" i="1"/>
  <c r="AI189" i="1" s="1"/>
  <c r="AG95" i="1"/>
  <c r="AI95" i="1" s="1"/>
  <c r="U178" i="1"/>
  <c r="S178" i="1" s="1"/>
  <c r="U174" i="1"/>
  <c r="S174" i="1" s="1"/>
  <c r="U170" i="1"/>
  <c r="S170" i="1" s="1"/>
  <c r="U163" i="1"/>
  <c r="S163" i="1" s="1"/>
  <c r="U159" i="1"/>
  <c r="S159" i="1" s="1"/>
  <c r="X114" i="1"/>
  <c r="T113" i="1"/>
  <c r="U113" i="1" s="1"/>
  <c r="S113" i="1" s="1"/>
  <c r="AA111" i="1"/>
  <c r="W111" i="1" s="1"/>
  <c r="T108" i="1"/>
  <c r="U108" i="1" s="1"/>
  <c r="S108" i="1" s="1"/>
  <c r="X108" i="1"/>
  <c r="AG104" i="1"/>
  <c r="AI104" i="1" s="1"/>
  <c r="AG103" i="1"/>
  <c r="AI103" i="1" s="1"/>
  <c r="X101" i="1"/>
  <c r="T100" i="1"/>
  <c r="U100" i="1" s="1"/>
  <c r="S100" i="1" s="1"/>
  <c r="AA98" i="1"/>
  <c r="W98" i="1" s="1"/>
  <c r="AI131" i="1"/>
  <c r="X96" i="1"/>
  <c r="T192" i="1"/>
  <c r="U192" i="1" s="1"/>
  <c r="S192" i="1" s="1"/>
  <c r="X192" i="1"/>
  <c r="AI124" i="1"/>
  <c r="X187" i="1"/>
  <c r="T181" i="1"/>
  <c r="U181" i="1" s="1"/>
  <c r="S181" i="1" s="1"/>
  <c r="X181" i="1"/>
  <c r="AA178" i="1"/>
  <c r="AA174" i="1"/>
  <c r="W174" i="1" s="1"/>
  <c r="AA170" i="1"/>
  <c r="AA167" i="1"/>
  <c r="AA163" i="1"/>
  <c r="W163" i="1" s="1"/>
  <c r="AA159" i="1"/>
  <c r="AI79" i="1"/>
  <c r="X178" i="1"/>
  <c r="AI112" i="1"/>
  <c r="S177" i="1"/>
  <c r="X174" i="1"/>
  <c r="AI108" i="1"/>
  <c r="X170" i="1"/>
  <c r="X167" i="1"/>
  <c r="AI100" i="1"/>
  <c r="X163" i="1"/>
  <c r="AI96" i="1"/>
  <c r="X159" i="1"/>
  <c r="AI92" i="1"/>
  <c r="S92" i="1"/>
  <c r="X88" i="1"/>
  <c r="T87" i="1"/>
  <c r="X87" i="1"/>
  <c r="T86" i="1"/>
  <c r="T74" i="1"/>
  <c r="X74" i="1"/>
  <c r="T71" i="1"/>
  <c r="X71" i="1"/>
  <c r="AG71" i="1"/>
  <c r="W71" i="1" s="1"/>
  <c r="AI29" i="1"/>
  <c r="U20" i="1"/>
  <c r="S20" i="1" s="1"/>
  <c r="AI20" i="1"/>
  <c r="AG91" i="1"/>
  <c r="AG87" i="1"/>
  <c r="W87" i="1" s="1"/>
  <c r="AG86" i="1"/>
  <c r="U84" i="1"/>
  <c r="S84" i="1" s="1"/>
  <c r="X81" i="1"/>
  <c r="T80" i="1"/>
  <c r="U80" i="1" s="1"/>
  <c r="S80" i="1" s="1"/>
  <c r="AA78" i="1"/>
  <c r="T75" i="1"/>
  <c r="U75" i="1" s="1"/>
  <c r="S75" i="1" s="1"/>
  <c r="X75" i="1"/>
  <c r="AG74" i="1"/>
  <c r="X72" i="1"/>
  <c r="AI70" i="1"/>
  <c r="AI67" i="1"/>
  <c r="U62" i="1"/>
  <c r="S62" i="1" s="1"/>
  <c r="X54" i="1"/>
  <c r="AG54" i="1"/>
  <c r="AI51" i="1"/>
  <c r="U88" i="1"/>
  <c r="S88" i="1" s="1"/>
  <c r="AA82" i="1"/>
  <c r="T79" i="1"/>
  <c r="U79" i="1" s="1"/>
  <c r="S79" i="1" s="1"/>
  <c r="X79" i="1"/>
  <c r="U66" i="1"/>
  <c r="S66" i="1" s="1"/>
  <c r="W65" i="1"/>
  <c r="T55" i="1"/>
  <c r="X55" i="1"/>
  <c r="AG55" i="1"/>
  <c r="X70" i="1"/>
  <c r="AI69" i="1"/>
  <c r="AI63" i="1"/>
  <c r="X60" i="1"/>
  <c r="T59" i="1"/>
  <c r="X59" i="1"/>
  <c r="U45" i="1"/>
  <c r="S45" i="1" s="1"/>
  <c r="W44" i="1"/>
  <c r="U40" i="1"/>
  <c r="S40" i="1" s="1"/>
  <c r="AI21" i="1"/>
  <c r="U21" i="1"/>
  <c r="S21" i="1" s="1"/>
  <c r="AG68" i="1"/>
  <c r="W68" i="1" s="1"/>
  <c r="AA66" i="1"/>
  <c r="T63" i="1"/>
  <c r="U63" i="1" s="1"/>
  <c r="S63" i="1" s="1"/>
  <c r="X63" i="1"/>
  <c r="AG59" i="1"/>
  <c r="AI58" i="1"/>
  <c r="U50" i="1"/>
  <c r="S50" i="1" s="1"/>
  <c r="AI50" i="1"/>
  <c r="AI44" i="1"/>
  <c r="AG43" i="1"/>
  <c r="X43" i="1"/>
  <c r="T43" i="1"/>
  <c r="X44" i="1"/>
  <c r="T67" i="1"/>
  <c r="U67" i="1" s="1"/>
  <c r="S67" i="1" s="1"/>
  <c r="X67" i="1"/>
  <c r="U60" i="1"/>
  <c r="S60" i="1" s="1"/>
  <c r="AA54" i="1"/>
  <c r="T51" i="1"/>
  <c r="U51" i="1" s="1"/>
  <c r="S51" i="1" s="1"/>
  <c r="X51" i="1"/>
  <c r="X49" i="1"/>
  <c r="AG49" i="1"/>
  <c r="T34" i="1"/>
  <c r="AG34" i="1"/>
  <c r="W34" i="1" s="1"/>
  <c r="AG33" i="1"/>
  <c r="U28" i="1"/>
  <c r="S28" i="1" s="1"/>
  <c r="AI28" i="1"/>
  <c r="AA41" i="1"/>
  <c r="AI40" i="1"/>
  <c r="X39" i="1"/>
  <c r="T38" i="1"/>
  <c r="U38" i="1" s="1"/>
  <c r="S38" i="1" s="1"/>
  <c r="X38" i="1"/>
  <c r="T26" i="1"/>
  <c r="X26" i="1"/>
  <c r="AG26" i="1"/>
  <c r="W24" i="1"/>
  <c r="T18" i="1"/>
  <c r="X18" i="1"/>
  <c r="AG18" i="1"/>
  <c r="T42" i="1"/>
  <c r="X42" i="1"/>
  <c r="T41" i="1"/>
  <c r="AI37" i="1"/>
  <c r="AI25" i="1"/>
  <c r="U24" i="1"/>
  <c r="S24" i="1" s="1"/>
  <c r="AI24" i="1"/>
  <c r="U16" i="1"/>
  <c r="S16" i="1" s="1"/>
  <c r="AI16" i="1"/>
  <c r="T14" i="1"/>
  <c r="AG14" i="1"/>
  <c r="AA49" i="1"/>
  <c r="T46" i="1"/>
  <c r="U46" i="1" s="1"/>
  <c r="S46" i="1" s="1"/>
  <c r="X46" i="1"/>
  <c r="AG42" i="1"/>
  <c r="W42" i="1" s="1"/>
  <c r="AG41" i="1"/>
  <c r="U39" i="1"/>
  <c r="S39" i="1" s="1"/>
  <c r="X36" i="1"/>
  <c r="T35" i="1"/>
  <c r="U35" i="1" s="1"/>
  <c r="S35" i="1" s="1"/>
  <c r="AA33" i="1"/>
  <c r="T30" i="1"/>
  <c r="AG30" i="1"/>
  <c r="W29" i="1"/>
  <c r="T22" i="1"/>
  <c r="X22" i="1"/>
  <c r="AG22" i="1"/>
  <c r="AG31" i="1"/>
  <c r="W31" i="1" s="1"/>
  <c r="AG27" i="1"/>
  <c r="W27" i="1" s="1"/>
  <c r="AG23" i="1"/>
  <c r="AG19" i="1"/>
  <c r="W19" i="1" s="1"/>
  <c r="AG15" i="1"/>
  <c r="X27" i="1"/>
  <c r="X23" i="1"/>
  <c r="X19" i="1"/>
  <c r="X15" i="1"/>
  <c r="AE44" i="3"/>
  <c r="Y31" i="3"/>
  <c r="AD33" i="3"/>
  <c r="Y29" i="3"/>
  <c r="AD29" i="3"/>
  <c r="Y9" i="3"/>
  <c r="AD14" i="3"/>
  <c r="AE9" i="3"/>
  <c r="AD46" i="3"/>
  <c r="Y37" i="3"/>
  <c r="Y36" i="3"/>
  <c r="Y33" i="3"/>
  <c r="AD40" i="3"/>
  <c r="Y41" i="3"/>
  <c r="Y42" i="3"/>
  <c r="Y47" i="3"/>
  <c r="Y13" i="3"/>
  <c r="Y23" i="3"/>
  <c r="AD11" i="3"/>
  <c r="Y38" i="3"/>
  <c r="AD9" i="3"/>
  <c r="AE36" i="3"/>
  <c r="AD10" i="3"/>
  <c r="AD36" i="3"/>
  <c r="AD19" i="3"/>
  <c r="AD15" i="3"/>
  <c r="AE13" i="3"/>
  <c r="T46" i="3"/>
  <c r="T40" i="3"/>
  <c r="T27" i="3"/>
  <c r="Y46" i="3"/>
  <c r="Y22" i="3"/>
  <c r="AE32" i="3"/>
  <c r="Y40" i="3"/>
  <c r="T14" i="3"/>
  <c r="Y21" i="3"/>
  <c r="AE17" i="3"/>
  <c r="Y27" i="3"/>
  <c r="T34" i="3"/>
  <c r="T44" i="3"/>
  <c r="AC43" i="3"/>
  <c r="Y44" i="3"/>
  <c r="AD37" i="3"/>
  <c r="Y10" i="3"/>
  <c r="AC15" i="3"/>
  <c r="Y14" i="3"/>
  <c r="AD22" i="3"/>
  <c r="Y17" i="3"/>
  <c r="AC24" i="3"/>
  <c r="Y34" i="3"/>
  <c r="AE47" i="3"/>
  <c r="T37" i="3"/>
  <c r="AE43" i="3"/>
  <c r="T36" i="3"/>
  <c r="AE39" i="3"/>
  <c r="T20" i="3"/>
  <c r="AE35" i="3"/>
  <c r="T35" i="3"/>
  <c r="AE31" i="3"/>
  <c r="T29" i="3"/>
  <c r="AE27" i="3"/>
  <c r="T42" i="3"/>
  <c r="AD47" i="3"/>
  <c r="AE46" i="3"/>
  <c r="AD43" i="3"/>
  <c r="AD39" i="3"/>
  <c r="AD35" i="3"/>
  <c r="AE34" i="3"/>
  <c r="T41" i="3"/>
  <c r="T15" i="3"/>
  <c r="AD27" i="3"/>
  <c r="AE26" i="3"/>
  <c r="T28" i="3"/>
  <c r="AD24" i="3"/>
  <c r="AE23" i="3"/>
  <c r="T12" i="3"/>
  <c r="AD20" i="3"/>
  <c r="AE19" i="3"/>
  <c r="T13" i="3"/>
  <c r="AD16" i="3"/>
  <c r="AE15" i="3"/>
  <c r="T24" i="3"/>
  <c r="AD12" i="3"/>
  <c r="AE11" i="3"/>
  <c r="T7" i="3"/>
  <c r="AD8" i="3"/>
  <c r="T43" i="3"/>
  <c r="AE42" i="3"/>
  <c r="T32" i="3"/>
  <c r="AE38" i="3"/>
  <c r="T30" i="3"/>
  <c r="AD31" i="3"/>
  <c r="AE30" i="3"/>
  <c r="AE45" i="3"/>
  <c r="AE41" i="3"/>
  <c r="AE37" i="3"/>
  <c r="AE33" i="3"/>
  <c r="AE29" i="3"/>
  <c r="AC16" i="3"/>
  <c r="AE22" i="3"/>
  <c r="AC39" i="3"/>
  <c r="AE18" i="3"/>
  <c r="AC8" i="3"/>
  <c r="AE14" i="3"/>
  <c r="AC23" i="3"/>
  <c r="AE10" i="3"/>
  <c r="AC25" i="3"/>
  <c r="AE24" i="3"/>
  <c r="AE20" i="3"/>
  <c r="AE16" i="3"/>
  <c r="AE12" i="3"/>
  <c r="AE8" i="3"/>
  <c r="O2" i="3"/>
  <c r="M48" i="3"/>
  <c r="R48" i="3"/>
  <c r="S48" i="3"/>
  <c r="U48" i="3"/>
  <c r="T48" i="3" s="1"/>
  <c r="V48" i="3"/>
  <c r="W48" i="3"/>
  <c r="X48" i="3"/>
  <c r="W223" i="1" l="1"/>
  <c r="U141" i="1"/>
  <c r="S141" i="1" s="1"/>
  <c r="W213" i="1"/>
  <c r="W110" i="1"/>
  <c r="W25" i="1"/>
  <c r="AI213" i="1"/>
  <c r="U140" i="1"/>
  <c r="S140" i="1" s="1"/>
  <c r="AI208" i="1"/>
  <c r="U98" i="1"/>
  <c r="S98" i="1" s="1"/>
  <c r="W188" i="1"/>
  <c r="W226" i="1"/>
  <c r="W94" i="1"/>
  <c r="U29" i="1"/>
  <c r="S29" i="1" s="1"/>
  <c r="W17" i="1"/>
  <c r="U173" i="1"/>
  <c r="S173" i="1" s="1"/>
  <c r="W137" i="1"/>
  <c r="W208" i="1"/>
  <c r="AI228" i="1"/>
  <c r="W202" i="1"/>
  <c r="W73" i="1"/>
  <c r="W177" i="1"/>
  <c r="W152" i="1"/>
  <c r="W109" i="1"/>
  <c r="AI109" i="1"/>
  <c r="AI157" i="1"/>
  <c r="U157" i="1"/>
  <c r="S157" i="1" s="1"/>
  <c r="U229" i="1"/>
  <c r="S229" i="1" s="1"/>
  <c r="AI229" i="1"/>
  <c r="W229" i="1"/>
  <c r="AI138" i="1"/>
  <c r="U138" i="1"/>
  <c r="S138" i="1" s="1"/>
  <c r="W170" i="1"/>
  <c r="AI168" i="1"/>
  <c r="W168" i="1"/>
  <c r="W148" i="1"/>
  <c r="W214" i="1"/>
  <c r="U214" i="1"/>
  <c r="S214" i="1" s="1"/>
  <c r="AI129" i="1"/>
  <c r="U148" i="1"/>
  <c r="S148" i="1" s="1"/>
  <c r="U225" i="1"/>
  <c r="S225" i="1" s="1"/>
  <c r="AI225" i="1"/>
  <c r="W207" i="1"/>
  <c r="W224" i="1"/>
  <c r="U134" i="1"/>
  <c r="S134" i="1" s="1"/>
  <c r="AI134" i="1"/>
  <c r="U36" i="1"/>
  <c r="S36" i="1" s="1"/>
  <c r="AI36" i="1"/>
  <c r="W90" i="1"/>
  <c r="U73" i="1"/>
  <c r="S73" i="1" s="1"/>
  <c r="AI73" i="1"/>
  <c r="U162" i="1"/>
  <c r="S162" i="1" s="1"/>
  <c r="AI162" i="1"/>
  <c r="W175" i="1"/>
  <c r="W134" i="1"/>
  <c r="U224" i="1"/>
  <c r="S224" i="1" s="1"/>
  <c r="AI226" i="1"/>
  <c r="W107" i="1"/>
  <c r="W74" i="1"/>
  <c r="W167" i="1"/>
  <c r="W76" i="1"/>
  <c r="U89" i="1"/>
  <c r="S89" i="1" s="1"/>
  <c r="W69" i="1"/>
  <c r="W149" i="1"/>
  <c r="U209" i="1"/>
  <c r="S209" i="1" s="1"/>
  <c r="W222" i="1"/>
  <c r="W157" i="1"/>
  <c r="W128" i="1"/>
  <c r="W126" i="1"/>
  <c r="W30" i="1"/>
  <c r="U32" i="1"/>
  <c r="S32" i="1" s="1"/>
  <c r="W66" i="1"/>
  <c r="AI89" i="1"/>
  <c r="W178" i="1"/>
  <c r="AI120" i="1"/>
  <c r="W32" i="1"/>
  <c r="AI53" i="1"/>
  <c r="W62" i="1"/>
  <c r="W61" i="1"/>
  <c r="W129" i="1"/>
  <c r="W138" i="1"/>
  <c r="U156" i="1"/>
  <c r="S156" i="1" s="1"/>
  <c r="W203" i="1"/>
  <c r="U217" i="1"/>
  <c r="S217" i="1" s="1"/>
  <c r="W230" i="1"/>
  <c r="W179" i="1"/>
  <c r="W91" i="1"/>
  <c r="AI78" i="1"/>
  <c r="AI173" i="1"/>
  <c r="U222" i="1"/>
  <c r="S222" i="1" s="1"/>
  <c r="AI90" i="1"/>
  <c r="W78" i="1"/>
  <c r="AI155" i="1"/>
  <c r="W146" i="1"/>
  <c r="U207" i="1"/>
  <c r="S207" i="1" s="1"/>
  <c r="W198" i="1"/>
  <c r="W53" i="1"/>
  <c r="W139" i="1"/>
  <c r="W43" i="1"/>
  <c r="AI61" i="1"/>
  <c r="U61" i="1"/>
  <c r="S61" i="1" s="1"/>
  <c r="W159" i="1"/>
  <c r="AI128" i="1"/>
  <c r="AI166" i="1"/>
  <c r="U153" i="1"/>
  <c r="S153" i="1" s="1"/>
  <c r="W173" i="1"/>
  <c r="W199" i="1"/>
  <c r="U188" i="1"/>
  <c r="S188" i="1" s="1"/>
  <c r="AI188" i="1"/>
  <c r="W141" i="1"/>
  <c r="W210" i="1"/>
  <c r="W49" i="1"/>
  <c r="W82" i="1"/>
  <c r="W205" i="1"/>
  <c r="AI154" i="1"/>
  <c r="AI146" i="1"/>
  <c r="W162" i="1"/>
  <c r="W218" i="1"/>
  <c r="W37" i="1"/>
  <c r="W155" i="1"/>
  <c r="W233" i="1"/>
  <c r="W164" i="1"/>
  <c r="W104" i="1"/>
  <c r="W142" i="1"/>
  <c r="AI142" i="1"/>
  <c r="W158" i="1"/>
  <c r="AI158" i="1"/>
  <c r="W200" i="1"/>
  <c r="AI200" i="1"/>
  <c r="W204" i="1"/>
  <c r="AI204" i="1"/>
  <c r="U180" i="1"/>
  <c r="S180" i="1" s="1"/>
  <c r="AI180" i="1"/>
  <c r="W89" i="1"/>
  <c r="W169" i="1"/>
  <c r="U119" i="1"/>
  <c r="S119" i="1" s="1"/>
  <c r="AI119" i="1"/>
  <c r="W183" i="1"/>
  <c r="W101" i="1"/>
  <c r="W195" i="1"/>
  <c r="W201" i="1"/>
  <c r="U220" i="1"/>
  <c r="S220" i="1" s="1"/>
  <c r="AI220" i="1"/>
  <c r="W180" i="1"/>
  <c r="U230" i="1"/>
  <c r="S230" i="1" s="1"/>
  <c r="W160" i="1"/>
  <c r="U169" i="1"/>
  <c r="S169" i="1" s="1"/>
  <c r="U176" i="1"/>
  <c r="S176" i="1" s="1"/>
  <c r="AI176" i="1"/>
  <c r="W130" i="1"/>
  <c r="W140" i="1"/>
  <c r="U57" i="1"/>
  <c r="S57" i="1" s="1"/>
  <c r="AI57" i="1"/>
  <c r="U17" i="1"/>
  <c r="S17" i="1" s="1"/>
  <c r="W166" i="1"/>
  <c r="U184" i="1"/>
  <c r="S184" i="1" s="1"/>
  <c r="AI184" i="1"/>
  <c r="U130" i="1"/>
  <c r="S130" i="1" s="1"/>
  <c r="AI130" i="1"/>
  <c r="W176" i="1"/>
  <c r="W119" i="1"/>
  <c r="W145" i="1"/>
  <c r="W156" i="1"/>
  <c r="W209" i="1"/>
  <c r="AI18" i="1"/>
  <c r="U18" i="1"/>
  <c r="S18" i="1" s="1"/>
  <c r="U59" i="1"/>
  <c r="S59" i="1" s="1"/>
  <c r="AI59" i="1"/>
  <c r="AI55" i="1"/>
  <c r="U55" i="1"/>
  <c r="S55" i="1" s="1"/>
  <c r="AI136" i="1"/>
  <c r="U102" i="1"/>
  <c r="S102" i="1" s="1"/>
  <c r="U186" i="1"/>
  <c r="S186" i="1" s="1"/>
  <c r="AI122" i="1"/>
  <c r="U182" i="1"/>
  <c r="S182" i="1" s="1"/>
  <c r="AI118" i="1"/>
  <c r="W102" i="1"/>
  <c r="AI151" i="1"/>
  <c r="U115" i="1"/>
  <c r="S115" i="1" s="1"/>
  <c r="U232" i="1"/>
  <c r="S232" i="1" s="1"/>
  <c r="AI232" i="1"/>
  <c r="U125" i="1"/>
  <c r="S125" i="1" s="1"/>
  <c r="AI161" i="1"/>
  <c r="AI235" i="1"/>
  <c r="U235" i="1"/>
  <c r="S235" i="1" s="1"/>
  <c r="AI231" i="1"/>
  <c r="U231" i="1"/>
  <c r="S231" i="1" s="1"/>
  <c r="U23" i="1"/>
  <c r="S23" i="1" s="1"/>
  <c r="AI23" i="1"/>
  <c r="U27" i="1"/>
  <c r="S27" i="1" s="1"/>
  <c r="AI27" i="1"/>
  <c r="AI22" i="1"/>
  <c r="U22" i="1"/>
  <c r="S22" i="1" s="1"/>
  <c r="W33" i="1"/>
  <c r="AI41" i="1"/>
  <c r="U41" i="1"/>
  <c r="S41" i="1" s="1"/>
  <c r="W41" i="1"/>
  <c r="AI49" i="1"/>
  <c r="U49" i="1"/>
  <c r="S49" i="1" s="1"/>
  <c r="W54" i="1"/>
  <c r="AI86" i="1"/>
  <c r="U86" i="1"/>
  <c r="S86" i="1" s="1"/>
  <c r="U15" i="1"/>
  <c r="S15" i="1" s="1"/>
  <c r="AI15" i="1"/>
  <c r="U31" i="1"/>
  <c r="S31" i="1" s="1"/>
  <c r="AI31" i="1"/>
  <c r="AI30" i="1"/>
  <c r="U30" i="1"/>
  <c r="S30" i="1" s="1"/>
  <c r="U42" i="1"/>
  <c r="S42" i="1" s="1"/>
  <c r="AI42" i="1"/>
  <c r="AI14" i="1"/>
  <c r="U14" i="1"/>
  <c r="S14" i="1" s="1"/>
  <c r="W22" i="1"/>
  <c r="W14" i="1"/>
  <c r="AI26" i="1"/>
  <c r="U26" i="1"/>
  <c r="S26" i="1" s="1"/>
  <c r="AI34" i="1"/>
  <c r="U34" i="1"/>
  <c r="S34" i="1" s="1"/>
  <c r="U68" i="1"/>
  <c r="S68" i="1" s="1"/>
  <c r="AI68" i="1"/>
  <c r="W55" i="1"/>
  <c r="AI74" i="1"/>
  <c r="U74" i="1"/>
  <c r="S74" i="1" s="1"/>
  <c r="U87" i="1"/>
  <c r="S87" i="1" s="1"/>
  <c r="AI87" i="1"/>
  <c r="U71" i="1"/>
  <c r="S71" i="1" s="1"/>
  <c r="AI71" i="1"/>
  <c r="AI139" i="1"/>
  <c r="U103" i="1"/>
  <c r="S103" i="1" s="1"/>
  <c r="AI125" i="1"/>
  <c r="U95" i="1"/>
  <c r="S95" i="1" s="1"/>
  <c r="U205" i="1"/>
  <c r="S205" i="1" s="1"/>
  <c r="AI137" i="1"/>
  <c r="AI83" i="1"/>
  <c r="U83" i="1"/>
  <c r="S83" i="1" s="1"/>
  <c r="W103" i="1"/>
  <c r="W86" i="1"/>
  <c r="W186" i="1"/>
  <c r="U236" i="1"/>
  <c r="S236" i="1" s="1"/>
  <c r="AI236" i="1"/>
  <c r="W235" i="1"/>
  <c r="W231" i="1"/>
  <c r="AI54" i="1"/>
  <c r="U54" i="1"/>
  <c r="S54" i="1" s="1"/>
  <c r="U19" i="1"/>
  <c r="S19" i="1" s="1"/>
  <c r="AI19" i="1"/>
  <c r="W23" i="1"/>
  <c r="W18" i="1"/>
  <c r="W59" i="1"/>
  <c r="U91" i="1"/>
  <c r="S91" i="1" s="1"/>
  <c r="AI91" i="1"/>
  <c r="W26" i="1"/>
  <c r="U104" i="1"/>
  <c r="S104" i="1" s="1"/>
  <c r="AI140" i="1"/>
  <c r="U189" i="1"/>
  <c r="S189" i="1" s="1"/>
  <c r="AI126" i="1"/>
  <c r="U76" i="1"/>
  <c r="S76" i="1" s="1"/>
  <c r="AI76" i="1"/>
  <c r="W15" i="1"/>
  <c r="U64" i="1"/>
  <c r="S64" i="1" s="1"/>
  <c r="AI64" i="1"/>
  <c r="AI82" i="1"/>
  <c r="U82" i="1"/>
  <c r="S82" i="1" s="1"/>
  <c r="AI94" i="1"/>
  <c r="U160" i="1"/>
  <c r="S160" i="1" s="1"/>
  <c r="AI98" i="1"/>
  <c r="U164" i="1"/>
  <c r="S164" i="1" s="1"/>
  <c r="AI102" i="1"/>
  <c r="U168" i="1"/>
  <c r="S168" i="1" s="1"/>
  <c r="AI106" i="1"/>
  <c r="U171" i="1"/>
  <c r="S171" i="1" s="1"/>
  <c r="AI110" i="1"/>
  <c r="U175" i="1"/>
  <c r="S175" i="1" s="1"/>
  <c r="AI114" i="1"/>
  <c r="U94" i="1"/>
  <c r="S94" i="1" s="1"/>
  <c r="W95" i="1"/>
  <c r="W115" i="1"/>
  <c r="AI152" i="1"/>
  <c r="U116" i="1"/>
  <c r="S116" i="1" s="1"/>
  <c r="W182" i="1"/>
  <c r="W116" i="1"/>
  <c r="W189" i="1"/>
  <c r="U109" i="1"/>
  <c r="S109" i="1" s="1"/>
  <c r="AI145" i="1"/>
  <c r="AI163" i="1"/>
  <c r="U127" i="1"/>
  <c r="S127" i="1" s="1"/>
  <c r="AI167" i="1"/>
  <c r="U131" i="1"/>
  <c r="S131" i="1" s="1"/>
  <c r="AI171" i="1"/>
  <c r="U135" i="1"/>
  <c r="S135" i="1" s="1"/>
  <c r="AI175" i="1"/>
  <c r="AI179" i="1"/>
  <c r="U142" i="1"/>
  <c r="S142" i="1" s="1"/>
  <c r="AI183" i="1"/>
  <c r="U146" i="1"/>
  <c r="S146" i="1" s="1"/>
  <c r="AI187" i="1"/>
  <c r="U150" i="1"/>
  <c r="S150" i="1" s="1"/>
  <c r="AI191" i="1"/>
  <c r="U154" i="1"/>
  <c r="S154" i="1" s="1"/>
  <c r="AI195" i="1"/>
  <c r="U158" i="1"/>
  <c r="S158" i="1" s="1"/>
  <c r="AI199" i="1"/>
  <c r="U196" i="1"/>
  <c r="S196" i="1" s="1"/>
  <c r="AI203" i="1"/>
  <c r="U200" i="1"/>
  <c r="S200" i="1" s="1"/>
  <c r="AI207" i="1"/>
  <c r="U204" i="1"/>
  <c r="S204" i="1" s="1"/>
  <c r="AI211" i="1"/>
  <c r="U211" i="1"/>
  <c r="S211" i="1" s="1"/>
  <c r="AI215" i="1"/>
  <c r="U215" i="1"/>
  <c r="S215" i="1" s="1"/>
  <c r="AI219" i="1"/>
  <c r="U219" i="1"/>
  <c r="S219" i="1" s="1"/>
  <c r="AI223" i="1"/>
  <c r="U223" i="1"/>
  <c r="S223" i="1" s="1"/>
  <c r="S227" i="1"/>
  <c r="AI227" i="1"/>
  <c r="U227" i="1"/>
  <c r="W211" i="1"/>
  <c r="W131" i="1"/>
  <c r="W196" i="1"/>
  <c r="W125" i="1"/>
  <c r="W150" i="1"/>
  <c r="W219" i="1"/>
  <c r="W236" i="1"/>
  <c r="AI33" i="1"/>
  <c r="U33" i="1"/>
  <c r="S33" i="1" s="1"/>
  <c r="U43" i="1"/>
  <c r="S43" i="1" s="1"/>
  <c r="AI43" i="1"/>
  <c r="U120" i="1"/>
  <c r="S120" i="1" s="1"/>
  <c r="AI156" i="1"/>
  <c r="W127" i="1"/>
  <c r="W232" i="1"/>
  <c r="AE48" i="3"/>
  <c r="AD48" i="3"/>
  <c r="AC48" i="3"/>
  <c r="Y48" i="3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48" i="3" s="1"/>
  <c r="G48" i="4"/>
  <c r="N7" i="3" s="1"/>
  <c r="G49" i="4"/>
  <c r="G50" i="4"/>
  <c r="G51" i="4"/>
  <c r="G52" i="4"/>
  <c r="N38" i="3" s="1"/>
  <c r="G53" i="4"/>
  <c r="G54" i="4"/>
  <c r="G55" i="4"/>
  <c r="G56" i="4"/>
  <c r="N23" i="3" s="1"/>
  <c r="G57" i="4"/>
  <c r="G58" i="4"/>
  <c r="G59" i="4"/>
  <c r="G60" i="4"/>
  <c r="G61" i="4"/>
  <c r="G62" i="4"/>
  <c r="N34" i="3" s="1"/>
  <c r="G63" i="4"/>
  <c r="G64" i="4"/>
  <c r="N18" i="3" s="1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N13" i="3" s="1"/>
  <c r="G79" i="4"/>
  <c r="G80" i="4"/>
  <c r="N17" i="3" s="1"/>
  <c r="G81" i="4"/>
  <c r="N26" i="3" s="1"/>
  <c r="G82" i="4"/>
  <c r="G83" i="4"/>
  <c r="G84" i="4"/>
  <c r="N21" i="3" s="1"/>
  <c r="G85" i="4"/>
  <c r="G86" i="4"/>
  <c r="G87" i="4"/>
  <c r="N39" i="3" s="1"/>
  <c r="G88" i="4"/>
  <c r="G89" i="4"/>
  <c r="N12" i="3" s="1"/>
  <c r="G90" i="4"/>
  <c r="G91" i="4"/>
  <c r="G92" i="4"/>
  <c r="G93" i="4"/>
  <c r="G94" i="4"/>
  <c r="G95" i="4"/>
  <c r="G96" i="4"/>
  <c r="G97" i="4"/>
  <c r="G98" i="4"/>
  <c r="G99" i="4"/>
  <c r="N16" i="3" s="1"/>
  <c r="G100" i="4"/>
  <c r="G101" i="4"/>
  <c r="N47" i="3" s="1"/>
  <c r="G102" i="4"/>
  <c r="G103" i="4"/>
  <c r="G104" i="4"/>
  <c r="G105" i="4"/>
  <c r="N42" i="3" s="1"/>
  <c r="G106" i="4"/>
  <c r="N14" i="3" s="1"/>
  <c r="G107" i="4"/>
  <c r="G108" i="4"/>
  <c r="G109" i="4"/>
  <c r="N19" i="3" s="1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N10" i="3" s="1"/>
  <c r="G126" i="4"/>
  <c r="G127" i="4"/>
  <c r="G128" i="4"/>
  <c r="N40" i="3" s="1"/>
  <c r="G129" i="4"/>
  <c r="G130" i="4"/>
  <c r="N35" i="3" s="1"/>
  <c r="G131" i="4"/>
  <c r="G132" i="4"/>
  <c r="N11" i="3" s="1"/>
  <c r="G133" i="4"/>
  <c r="N41" i="3" s="1"/>
  <c r="G134" i="4"/>
  <c r="G135" i="4"/>
  <c r="G136" i="4"/>
  <c r="G137" i="4"/>
  <c r="G138" i="4"/>
  <c r="G139" i="4"/>
  <c r="G140" i="4"/>
  <c r="G141" i="4"/>
  <c r="G142" i="4"/>
  <c r="G143" i="4"/>
  <c r="G144" i="4"/>
  <c r="G145" i="4"/>
  <c r="N30" i="3" s="1"/>
  <c r="G146" i="4"/>
  <c r="G147" i="4"/>
  <c r="G148" i="4"/>
  <c r="N22" i="3" s="1"/>
  <c r="G149" i="4"/>
  <c r="G150" i="4"/>
  <c r="G151" i="4"/>
  <c r="G152" i="4"/>
  <c r="G153" i="4"/>
  <c r="G154" i="4"/>
  <c r="G155" i="4"/>
  <c r="N20" i="3" s="1"/>
  <c r="G156" i="4"/>
  <c r="G157" i="4"/>
  <c r="G158" i="4"/>
  <c r="G159" i="4"/>
  <c r="G160" i="4"/>
  <c r="N31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N33" i="3" s="1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N32" i="3" s="1"/>
  <c r="G194" i="4"/>
  <c r="G195" i="4"/>
  <c r="G196" i="4"/>
  <c r="G197" i="4"/>
  <c r="G198" i="4"/>
  <c r="G199" i="4"/>
  <c r="G200" i="4"/>
  <c r="G201" i="4"/>
  <c r="G202" i="4"/>
  <c r="N36" i="3" s="1"/>
  <c r="G203" i="4"/>
  <c r="G204" i="4"/>
  <c r="G205" i="4"/>
  <c r="G206" i="4"/>
  <c r="G207" i="4"/>
  <c r="N46" i="3" s="1"/>
  <c r="G208" i="4"/>
  <c r="N44" i="3" s="1"/>
  <c r="G209" i="4"/>
  <c r="G210" i="4"/>
  <c r="G211" i="4"/>
  <c r="G212" i="4"/>
  <c r="N45" i="3" s="1"/>
  <c r="G213" i="4"/>
  <c r="G214" i="4"/>
  <c r="G215" i="4"/>
  <c r="G216" i="4"/>
  <c r="G217" i="4"/>
  <c r="G218" i="4"/>
  <c r="G219" i="4"/>
  <c r="G220" i="4"/>
  <c r="G221" i="4"/>
  <c r="G222" i="4"/>
  <c r="G223" i="4"/>
  <c r="G224" i="4"/>
  <c r="N43" i="3" s="1"/>
  <c r="G225" i="4"/>
  <c r="G226" i="4"/>
  <c r="G227" i="4"/>
  <c r="N37" i="3" s="1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5" i="3" l="1"/>
  <c r="N15" i="3"/>
  <c r="N29" i="3"/>
  <c r="N28" i="3"/>
  <c r="N9" i="3"/>
  <c r="N8" i="3"/>
  <c r="N27" i="3"/>
  <c r="N2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J3" i="6"/>
  <c r="G3" i="6"/>
  <c r="H3" i="6"/>
  <c r="I4" i="6" l="1"/>
  <c r="F4" i="6"/>
  <c r="H4" i="6"/>
  <c r="J4" i="6"/>
  <c r="G4" i="6"/>
  <c r="B5" i="6"/>
  <c r="I5" i="6" l="1"/>
  <c r="F5" i="6"/>
  <c r="B6" i="6"/>
  <c r="G5" i="6"/>
  <c r="J5" i="6"/>
  <c r="H5" i="6"/>
  <c r="I6" i="6" l="1"/>
  <c r="F6" i="6"/>
  <c r="G6" i="6"/>
  <c r="H6" i="6"/>
  <c r="J6" i="6"/>
  <c r="B7" i="6"/>
  <c r="I7" i="6" l="1"/>
  <c r="F7" i="6"/>
  <c r="J7" i="6"/>
  <c r="G7" i="6"/>
  <c r="H7" i="6"/>
  <c r="B8" i="6"/>
  <c r="I8" i="6" l="1"/>
  <c r="F8" i="6"/>
  <c r="G8" i="6"/>
  <c r="H8" i="6"/>
  <c r="J8" i="6"/>
  <c r="B9" i="6"/>
  <c r="I9" i="6" l="1"/>
  <c r="F9" i="6"/>
  <c r="B10" i="6"/>
  <c r="J9" i="6"/>
  <c r="H9" i="6"/>
  <c r="G9" i="6"/>
  <c r="I10" i="6" l="1"/>
  <c r="F10" i="6"/>
  <c r="J10" i="6"/>
  <c r="G10" i="6"/>
  <c r="H10" i="6"/>
  <c r="B11" i="6"/>
  <c r="I11" i="6" l="1"/>
  <c r="F11" i="6"/>
  <c r="B12" i="6"/>
  <c r="G11" i="6"/>
  <c r="J11" i="6"/>
  <c r="H11" i="6"/>
  <c r="I12" i="6" l="1"/>
  <c r="F12" i="6"/>
  <c r="G12" i="6"/>
  <c r="J12" i="6"/>
  <c r="H12" i="6"/>
  <c r="B74" i="6" l="1"/>
  <c r="I74" i="6" l="1"/>
  <c r="F74" i="6"/>
  <c r="B75" i="6"/>
  <c r="H74" i="6"/>
  <c r="G74" i="6"/>
  <c r="J74" i="6"/>
  <c r="I75" i="6" l="1"/>
  <c r="F75" i="6"/>
  <c r="B76" i="6"/>
  <c r="J75" i="6"/>
  <c r="G75" i="6"/>
  <c r="H75" i="6"/>
  <c r="I76" i="6" l="1"/>
  <c r="F76" i="6"/>
  <c r="H76" i="6"/>
  <c r="G76" i="6"/>
  <c r="J76" i="6"/>
  <c r="B77" i="6"/>
  <c r="I77" i="6" l="1"/>
  <c r="F77" i="6"/>
  <c r="H77" i="6"/>
  <c r="J77" i="6"/>
  <c r="G77" i="6"/>
  <c r="B78" i="6"/>
  <c r="I78" i="6" l="1"/>
  <c r="F78" i="6"/>
  <c r="G78" i="6"/>
  <c r="J78" i="6"/>
  <c r="H78" i="6"/>
  <c r="B79" i="6"/>
  <c r="I79" i="6" l="1"/>
  <c r="F79" i="6"/>
  <c r="B80" i="6"/>
  <c r="H79" i="6"/>
  <c r="J79" i="6"/>
  <c r="G79" i="6"/>
  <c r="I80" i="6" l="1"/>
  <c r="F80" i="6"/>
  <c r="B81" i="6"/>
  <c r="J80" i="6"/>
  <c r="H80" i="6"/>
  <c r="G80" i="6"/>
  <c r="I81" i="6" l="1"/>
  <c r="F81" i="6"/>
  <c r="B83" i="6"/>
  <c r="B82" i="6"/>
  <c r="G81" i="6"/>
  <c r="H81" i="6"/>
  <c r="J81" i="6"/>
  <c r="I82" i="6" l="1"/>
  <c r="F82" i="6"/>
  <c r="I83" i="6"/>
  <c r="F83" i="6"/>
  <c r="G82" i="6"/>
  <c r="H82" i="6"/>
  <c r="J82" i="6"/>
  <c r="J83" i="6"/>
  <c r="G83" i="6"/>
  <c r="H8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<sst xmlns="http://schemas.openxmlformats.org/spreadsheetml/2006/main" count="2879" uniqueCount="1033">
  <si>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</si>
  <si>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</si>
  <si>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</si>
  <si>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</si>
  <si>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</si>
  <si>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</si>
  <si>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</si>
  <si>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</si>
  <si>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</si>
  <si>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</si>
  <si>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</si>
  <si>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</si>
  <si>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</si>
  <si>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</si>
  <si>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</si>
  <si>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</si>
  <si>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</si>
  <si>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</si>
  <si>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</si>
  <si>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</si>
  <si>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</si>
  <si>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</si>
  <si>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</si>
  <si>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</si>
  <si>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</si>
  <si>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</si>
  <si>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</si>
  <si>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</si>
  <si>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</si>
  <si>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</si>
  <si>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</si>
  <si>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</si>
  <si>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</si>
  <si>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</si>
  <si>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</si>
  <si>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</si>
  <si>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</si>
  <si>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</si>
  <si>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</si>
  <si>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</si>
  <si>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</si>
  <si>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</si>
  <si>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</si>
  <si>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</si>
  <si>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</si>
  <si>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</si>
  <si>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</si>
  <si>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</si>
  <si>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</si>
  <si>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</si>
  <si>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</si>
  <si>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</si>
  <si>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</si>
  <si>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</si>
  <si>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</si>
  <si>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</si>
  <si>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</si>
  <si>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</si>
  <si>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</si>
  <si>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</si>
  <si>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</si>
  <si>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</si>
  <si>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</si>
  <si>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</si>
  <si>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</si>
  <si>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</si>
  <si>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</si>
  <si>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</si>
  <si>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</si>
  <si>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</si>
  <si>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</si>
  <si>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</si>
  <si>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</si>
  <si>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</si>
  <si>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</si>
  <si>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</si>
  <si>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</si>
  <si>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</si>
  <si>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</si>
  <si>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</si>
  <si>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</si>
  <si>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</si>
  <si>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</si>
  <si>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</si>
  <si>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</si>
  <si>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</si>
  <si>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</si>
  <si>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</si>
  <si>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</si>
  <si>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</si>
  <si>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</si>
  <si>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</si>
  <si>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</si>
  <si>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</si>
  <si>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</si>
  <si>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</si>
  <si>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</si>
  <si>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</si>
  <si>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</si>
  <si>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</si>
  <si>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</si>
  <si>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</si>
  <si>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</si>
  <si>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</si>
  <si>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</si>
  <si>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</si>
  <si>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</si>
  <si>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</si>
  <si>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</si>
  <si>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</si>
  <si>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</si>
  <si>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</si>
  <si>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</si>
  <si>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</si>
  <si>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</si>
  <si>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</si>
  <si>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</si>
  <si>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</si>
  <si>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</si>
  <si>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</si>
  <si>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</si>
  <si>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</si>
  <si>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</si>
  <si>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</si>
  <si>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</si>
  <si>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</si>
  <si>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</si>
  <si>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</si>
  <si>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</si>
  <si>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</si>
  <si>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</si>
  <si>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</si>
  <si>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</si>
  <si>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</si>
  <si>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</si>
  <si>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</si>
  <si>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</si>
  <si>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</si>
  <si>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</si>
  <si>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</si>
  <si>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</si>
  <si>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</si>
  <si>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</si>
  <si>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</si>
  <si>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</si>
  <si>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</si>
  <si>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</si>
  <si>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</si>
  <si>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</si>
  <si>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</si>
  <si>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</si>
  <si>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</si>
  <si>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</si>
  <si>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</si>
  <si>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</si>
  <si>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</si>
  <si>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</si>
  <si>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</si>
  <si>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</si>
  <si>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</si>
  <si>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</si>
  <si>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</si>
  <si>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</si>
  <si>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</si>
  <si>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</si>
  <si>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</si>
  <si>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</si>
  <si>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</si>
  <si>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</si>
  <si>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</si>
  <si>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</si>
  <si>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</si>
  <si>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</si>
  <si>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</si>
  <si>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</si>
  <si>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</si>
  <si>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</si>
  <si>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</si>
  <si>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</si>
  <si>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</si>
  <si>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</si>
  <si>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</si>
  <si>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</si>
  <si>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</si>
  <si>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</si>
  <si>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</si>
  <si>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</si>
  <si>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</si>
  <si>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</si>
  <si>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</si>
  <si>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</si>
  <si>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</si>
  <si>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</si>
  <si>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</si>
  <si>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</si>
  <si>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</si>
  <si>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</si>
  <si>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</si>
  <si>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</si>
  <si>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</si>
  <si>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</si>
  <si>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</si>
  <si>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</si>
  <si>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</si>
  <si>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</si>
  <si>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</si>
  <si>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</si>
  <si>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</si>
  <si>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</si>
  <si>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</si>
  <si>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</si>
  <si>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</si>
  <si>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</si>
  <si>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</si>
  <si>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</si>
  <si>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</si>
  <si>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</si>
  <si>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</si>
  <si>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</si>
  <si>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</si>
  <si>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</si>
  <si>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</si>
  <si>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</si>
  <si>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</si>
  <si>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</si>
  <si>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</si>
  <si>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</si>
  <si>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</si>
  <si>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</si>
  <si>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</si>
  <si>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</si>
  <si>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</si>
  <si>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</si>
  <si>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</si>
  <si>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</si>
  <si>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</si>
  <si>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</si>
  <si>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</si>
  <si>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</si>
  <si>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</si>
  <si>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</si>
  <si>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</si>
  <si>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</si>
  <si>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</si>
  <si>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</si>
  <si>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</si>
  <si>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</si>
  <si>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</si>
  <si>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</si>
  <si>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</si>
  <si>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</si>
  <si>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</si>
  <si>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</si>
  <si>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</si>
  <si>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</si>
  <si>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</si>
  <si>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</si>
  <si>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</si>
  <si>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</si>
  <si>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</si>
  <si>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</si>
  <si>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</si>
  <si>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</si>
  <si>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</si>
  <si>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</si>
  <si>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</si>
  <si>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</si>
  <si>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</si>
  <si>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</si>
  <si>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</si>
  <si>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</si>
  <si>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</si>
  <si>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</si>
  <si>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</si>
  <si>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</si>
  <si>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</si>
  <si>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</si>
  <si>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</si>
  <si>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</si>
  <si>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</si>
  <si>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</si>
  <si>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</si>
  <si>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</si>
  <si>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</si>
  <si>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</si>
  <si>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</si>
  <si>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</si>
  <si>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</si>
  <si>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</si>
  <si>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</si>
  <si>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</si>
  <si>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</si>
  <si>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</si>
  <si>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</si>
  <si>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</si>
  <si>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</si>
  <si>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</si>
  <si>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</si>
  <si>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</si>
  <si>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</si>
  <si>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</si>
  <si>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</si>
  <si>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</si>
  <si>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</si>
  <si>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</si>
  <si>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</si>
  <si>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</si>
  <si>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</si>
  <si>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</si>
  <si>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</si>
  <si>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</si>
  <si>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</si>
  <si>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</si>
  <si>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</si>
  <si>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</si>
  <si>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</si>
  <si>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</si>
  <si>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</si>
  <si>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</si>
  <si>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</si>
  <si>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</si>
  <si>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</si>
  <si>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</si>
  <si>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</si>
  <si>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</si>
  <si>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</si>
  <si>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</si>
  <si>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</si>
  <si>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</si>
  <si>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</si>
  <si>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</si>
  <si>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</si>
  <si>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</si>
  <si>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</si>
  <si>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</si>
  <si>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</si>
  <si>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</si>
  <si>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</si>
  <si>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</si>
  <si>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</si>
  <si>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</si>
  <si>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</si>
  <si>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</si>
  <si>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</si>
  <si>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</si>
  <si>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</si>
  <si>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</si>
  <si>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</si>
  <si>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</si>
  <si>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</si>
  <si>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</si>
  <si>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</si>
  <si>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</si>
  <si>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</si>
  <si>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</si>
  <si>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</si>
  <si>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</si>
  <si>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</si>
  <si>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</si>
  <si>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</si>
  <si>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</si>
  <si>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</si>
  <si>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</si>
  <si>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</si>
  <si>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</si>
  <si>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</si>
  <si>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</si>
  <si>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</si>
  <si>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</si>
  <si>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</si>
  <si>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</si>
  <si>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</si>
  <si>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</si>
  <si>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</si>
  <si>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</si>
  <si>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</si>
  <si>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</si>
  <si>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</si>
  <si>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204:138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</si>
  <si>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</si>
  <si>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</si>
  <si>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</si>
  <si>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</si>
  <si>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</si>
  <si>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204:232989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</si>
  <si>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</si>
  <si>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</si>
  <si>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</si>
  <si>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</si>
  <si>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</si>
  <si>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</si>
  <si>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</si>
  <si>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</si>
  <si>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</si>
  <si>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</si>
  <si>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GUZMAN</t>
  </si>
  <si>
    <t>DANNY</t>
  </si>
  <si>
    <t>81-04</t>
  </si>
  <si>
    <t>82-04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</si>
  <si>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</si>
  <si>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</si>
  <si>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</si>
  <si>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</si>
  <si>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</si>
  <si>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</si>
  <si>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</si>
  <si>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</si>
  <si>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</si>
  <si>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</si>
  <si>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204:467</t>
  </si>
  <si>
    <t>204:233291</t>
  </si>
  <si>
    <t>204:150</t>
  </si>
  <si>
    <t>rtdc.l.rtdc.4006:itc</t>
  </si>
  <si>
    <t>partly-cloudy-night</t>
  </si>
  <si>
    <t>204:149</t>
  </si>
  <si>
    <t>204:143</t>
  </si>
  <si>
    <t>rtdc.l.rtdc.4026:itc</t>
  </si>
  <si>
    <t>rtdc.l.rtdc.4025:itc</t>
  </si>
  <si>
    <t>Y</t>
  </si>
  <si>
    <t>204:466</t>
  </si>
  <si>
    <t>rtdc.l.rtdc.4024:itc</t>
  </si>
  <si>
    <t>SIGNAL</t>
  </si>
  <si>
    <t>Signal based authority (5)</t>
  </si>
  <si>
    <t>Mostly Cloudy</t>
  </si>
  <si>
    <t>204:469</t>
  </si>
  <si>
    <t>rtdc.l.rtdc.4039:itc</t>
  </si>
  <si>
    <t>rtdc.l.rtdc.4040:itc</t>
  </si>
  <si>
    <t>204:232994</t>
  </si>
  <si>
    <t>204:451</t>
  </si>
  <si>
    <t>204:233301</t>
  </si>
  <si>
    <t>300:23346</t>
  </si>
  <si>
    <t>300:58636</t>
  </si>
  <si>
    <t>rtdc.l.rtdc.4018:itc</t>
  </si>
  <si>
    <t>rtdc.l.rtdc.4008:itc</t>
  </si>
  <si>
    <t>precipType</t>
  </si>
  <si>
    <t>204:233297</t>
  </si>
  <si>
    <t>204:233314</t>
  </si>
  <si>
    <t>204:232988</t>
  </si>
  <si>
    <t>204:464</t>
  </si>
  <si>
    <t>300:58937</t>
  </si>
  <si>
    <t>rtdc.l.rtdc.4063:itc</t>
  </si>
  <si>
    <t>rtdc.l.rtdc.4064:itc</t>
  </si>
  <si>
    <t>204:232991</t>
  </si>
  <si>
    <t>204:471</t>
  </si>
  <si>
    <t>204:431</t>
  </si>
  <si>
    <t>Early arrival</t>
  </si>
  <si>
    <t>rtdc.l.rtdc.4011:itc</t>
  </si>
  <si>
    <t>PERKINS</t>
  </si>
  <si>
    <t>DARREN</t>
  </si>
  <si>
    <t>240-24</t>
  </si>
  <si>
    <t>315-24</t>
  </si>
  <si>
    <t>242-24</t>
  </si>
  <si>
    <t>309-24</t>
  </si>
  <si>
    <t>244-24</t>
  </si>
  <si>
    <t>311-24</t>
  </si>
  <si>
    <t>313-24</t>
  </si>
  <si>
    <t>204:156</t>
  </si>
  <si>
    <t>204:233298</t>
  </si>
  <si>
    <t>204:232998</t>
  </si>
  <si>
    <t>204:232987</t>
  </si>
  <si>
    <t>300:23302</t>
  </si>
  <si>
    <t>rtdc.l.rtdc.4002:itc</t>
  </si>
  <si>
    <t>rtdc.l.rtdc.4001:itc</t>
  </si>
  <si>
    <t>rtdc.l.rtdc.4017:itc</t>
  </si>
  <si>
    <t>LOZA</t>
  </si>
  <si>
    <t>FIDEL</t>
  </si>
  <si>
    <t>204:233304</t>
  </si>
  <si>
    <t>204:453</t>
  </si>
  <si>
    <t>204:233307</t>
  </si>
  <si>
    <t>204:437</t>
  </si>
  <si>
    <t>204:435</t>
  </si>
  <si>
    <t>204:232978</t>
  </si>
  <si>
    <t>204:433</t>
  </si>
  <si>
    <t>204:478</t>
  </si>
  <si>
    <t>204:232973</t>
  </si>
  <si>
    <t>204:170</t>
  </si>
  <si>
    <t>204:233334</t>
  </si>
  <si>
    <t>204:488</t>
  </si>
  <si>
    <t>204:233003</t>
  </si>
  <si>
    <t>204:233299</t>
  </si>
  <si>
    <t>300:58941</t>
  </si>
  <si>
    <t>ARVIDSON</t>
  </si>
  <si>
    <t>DANIEL</t>
  </si>
  <si>
    <t>DELGADO</t>
  </si>
  <si>
    <t>DIANAH</t>
  </si>
  <si>
    <t>WHITED</t>
  </si>
  <si>
    <t>DUSTIN</t>
  </si>
  <si>
    <t>204:130</t>
  </si>
  <si>
    <t>204:233312</t>
  </si>
  <si>
    <t>204:440</t>
  </si>
  <si>
    <t>204:132</t>
  </si>
  <si>
    <t>204:775</t>
  </si>
  <si>
    <t>204:233284</t>
  </si>
  <si>
    <t>204:232996</t>
  </si>
  <si>
    <t>204:438</t>
  </si>
  <si>
    <t>204:233326</t>
  </si>
  <si>
    <t>204:233040</t>
  </si>
  <si>
    <t>204:233376</t>
  </si>
  <si>
    <t>204:233034</t>
  </si>
  <si>
    <t>204:232980</t>
  </si>
  <si>
    <t>300:58952</t>
  </si>
  <si>
    <t>204:979</t>
  </si>
  <si>
    <t>rtdc.l.rtdc.4032:itc</t>
  </si>
  <si>
    <t>rtdc.l.rtdc.4061:itc</t>
  </si>
  <si>
    <t>rtdc.l.rtdc.4062:itc</t>
  </si>
  <si>
    <t>rtdc.l.rtdc.4055:itc</t>
  </si>
  <si>
    <t>rtdc.l.rtdc.4056:itc</t>
  </si>
  <si>
    <t>COOLAHAN</t>
  </si>
  <si>
    <t>JOHN</t>
  </si>
  <si>
    <t>BRANDNER</t>
  </si>
  <si>
    <t>MELINDA</t>
  </si>
  <si>
    <t>BEAM</t>
  </si>
  <si>
    <t>ROSS</t>
  </si>
  <si>
    <t>MCREYNOLDS</t>
  </si>
  <si>
    <t>KYLE</t>
  </si>
  <si>
    <t>DE LA ROSA</t>
  </si>
  <si>
    <t>ALEX</t>
  </si>
  <si>
    <t>4062-27</t>
  </si>
  <si>
    <t>4061-27</t>
  </si>
  <si>
    <t>242-27</t>
  </si>
  <si>
    <t>309-27</t>
  </si>
  <si>
    <t>244-27</t>
  </si>
  <si>
    <t>311-27</t>
  </si>
  <si>
    <t>313-27</t>
  </si>
  <si>
    <t>204:232968</t>
  </si>
  <si>
    <t>204:233323</t>
  </si>
  <si>
    <t>204:233280</t>
  </si>
  <si>
    <t>204:444</t>
  </si>
  <si>
    <t>204:233302</t>
  </si>
  <si>
    <t>204:232974</t>
  </si>
  <si>
    <t>204:161</t>
  </si>
  <si>
    <t>204:136</t>
  </si>
  <si>
    <t>204:447</t>
  </si>
  <si>
    <t>204:233006</t>
  </si>
  <si>
    <t>204:232966</t>
  </si>
  <si>
    <t>204:139</t>
  </si>
  <si>
    <t>204:233068</t>
  </si>
  <si>
    <t>204:233028</t>
  </si>
  <si>
    <t>204:233311</t>
  </si>
  <si>
    <t>204:233332</t>
  </si>
  <si>
    <t>204:233320</t>
  </si>
  <si>
    <t>204:233001</t>
  </si>
  <si>
    <t>204:429</t>
  </si>
  <si>
    <t>204:475</t>
  </si>
  <si>
    <t>204:233355</t>
  </si>
  <si>
    <t>204:233316</t>
  </si>
  <si>
    <t>204:180</t>
  </si>
  <si>
    <t>204:233349</t>
  </si>
  <si>
    <t>204:1171</t>
  </si>
  <si>
    <t>204:643</t>
  </si>
  <si>
    <t>300:58939</t>
  </si>
  <si>
    <t>204:955</t>
  </si>
  <si>
    <t>300:58608</t>
  </si>
  <si>
    <t>300:58931</t>
  </si>
  <si>
    <t>:.+((SYSTEM_STATE.+slice.+state.+changed )|(ment ac)|(multiple cpu faults)|(system.+state.+changed )|(\[timeout)|(PRM\|1\|D)|(kpr)|(kdp)|(train.+moving)|(\|lc)|(penalty))</t>
  </si>
  <si>
    <t>Wi-MAX data drop</t>
  </si>
  <si>
    <t>Onboard in-route failure</t>
  </si>
  <si>
    <t>4056-29</t>
  </si>
  <si>
    <t>107-29</t>
  </si>
  <si>
    <t>1801-29</t>
  </si>
  <si>
    <t>114-29</t>
  </si>
  <si>
    <t>125-29</t>
  </si>
  <si>
    <t>129-29</t>
  </si>
  <si>
    <t>131-29</t>
  </si>
  <si>
    <t>130-29</t>
  </si>
  <si>
    <t>143-29</t>
  </si>
  <si>
    <t>136-29</t>
  </si>
  <si>
    <t>1808-29</t>
  </si>
  <si>
    <t>145-29</t>
  </si>
  <si>
    <t>SWITCH UNKNOWN</t>
  </si>
  <si>
    <t>Track device (7)</t>
  </si>
  <si>
    <t>140-29</t>
  </si>
  <si>
    <t>144-29</t>
  </si>
  <si>
    <t>157-29</t>
  </si>
  <si>
    <t>150-29</t>
  </si>
  <si>
    <t>53-29</t>
  </si>
  <si>
    <t>1811-29</t>
  </si>
  <si>
    <t>158-29</t>
  </si>
  <si>
    <t>165-29</t>
  </si>
  <si>
    <t>rtdc.l.rtdc.4007:itc</t>
  </si>
  <si>
    <t>166-29</t>
  </si>
  <si>
    <t>1815-29</t>
  </si>
  <si>
    <t>170-29</t>
  </si>
  <si>
    <t>1816-29</t>
  </si>
  <si>
    <t>179-29</t>
  </si>
  <si>
    <t>174-29</t>
  </si>
  <si>
    <t>186-29</t>
  </si>
  <si>
    <t>184-29</t>
  </si>
  <si>
    <t>197-29</t>
  </si>
  <si>
    <t>194-29</t>
  </si>
  <si>
    <t>208-29</t>
  </si>
  <si>
    <t>218-29</t>
  </si>
  <si>
    <t>225-29</t>
  </si>
  <si>
    <t>88-29</t>
  </si>
  <si>
    <t>rtdc.l.rtdc.4060:itc</t>
  </si>
  <si>
    <t>81-29</t>
  </si>
  <si>
    <t>1833-29</t>
  </si>
  <si>
    <t>237-29</t>
  </si>
  <si>
    <t>80-29</t>
  </si>
  <si>
    <t>242-28</t>
  </si>
  <si>
    <t>rtdc.l.rtdc.4052:itc</t>
  </si>
  <si>
    <t>309-28</t>
  </si>
  <si>
    <t>244-28</t>
  </si>
  <si>
    <t>89-28</t>
  </si>
  <si>
    <t>MAGEE</t>
  </si>
  <si>
    <t>KENYA</t>
  </si>
  <si>
    <t>311-28</t>
  </si>
  <si>
    <t>rtdc.l.rtdc.4041:itc</t>
  </si>
  <si>
    <t>246-28</t>
  </si>
  <si>
    <t>SAFIEF</t>
  </si>
  <si>
    <t>AEIMEN</t>
  </si>
  <si>
    <t>4055-29</t>
  </si>
  <si>
    <t>313-28</t>
  </si>
  <si>
    <t>rtdc.l.rtdc.4042:itc</t>
  </si>
  <si>
    <t>315-28</t>
  </si>
  <si>
    <t>302-29</t>
  </si>
  <si>
    <t>101-29</t>
  </si>
  <si>
    <t>304-29</t>
  </si>
  <si>
    <t>ROBINSON</t>
  </si>
  <si>
    <t>KADDIBA</t>
  </si>
  <si>
    <t>103-29</t>
  </si>
  <si>
    <t>306-29</t>
  </si>
  <si>
    <t>MAELZER</t>
  </si>
  <si>
    <t>KURT</t>
  </si>
  <si>
    <t>102-29</t>
  </si>
  <si>
    <t>105-29</t>
  </si>
  <si>
    <t>308-29</t>
  </si>
  <si>
    <t>DAVIS</t>
  </si>
  <si>
    <t>WENDY</t>
  </si>
  <si>
    <t>310-29</t>
  </si>
  <si>
    <t>SANTIZO</t>
  </si>
  <si>
    <t>D. EDY</t>
  </si>
  <si>
    <t>104-29</t>
  </si>
  <si>
    <t>109-29</t>
  </si>
  <si>
    <t>111-29</t>
  </si>
  <si>
    <t>106-29</t>
  </si>
  <si>
    <t>113-29</t>
  </si>
  <si>
    <t>108-29</t>
  </si>
  <si>
    <t>110-29</t>
  </si>
  <si>
    <t>115-29</t>
  </si>
  <si>
    <t>MAYBERRY</t>
  </si>
  <si>
    <t>BILL</t>
  </si>
  <si>
    <t>1901-29</t>
  </si>
  <si>
    <t>117-29</t>
  </si>
  <si>
    <t>1800-29</t>
  </si>
  <si>
    <t>112-29</t>
  </si>
  <si>
    <t>120-29</t>
  </si>
  <si>
    <t>119-29</t>
  </si>
  <si>
    <t>51-29</t>
  </si>
  <si>
    <t>121-29</t>
  </si>
  <si>
    <t>116-29</t>
  </si>
  <si>
    <t>123-29</t>
  </si>
  <si>
    <t>118-29</t>
  </si>
  <si>
    <t>1802-29</t>
  </si>
  <si>
    <t>127-29</t>
  </si>
  <si>
    <t>122-29</t>
  </si>
  <si>
    <t>124-29</t>
  </si>
  <si>
    <t>1803-29</t>
  </si>
  <si>
    <t>126-29</t>
  </si>
  <si>
    <t>133-29</t>
  </si>
  <si>
    <t>1804-29</t>
  </si>
  <si>
    <t>128-29</t>
  </si>
  <si>
    <t>135-29</t>
  </si>
  <si>
    <t>137-29</t>
  </si>
  <si>
    <t>1805-29</t>
  </si>
  <si>
    <t>132-29</t>
  </si>
  <si>
    <t>139-29</t>
  </si>
  <si>
    <t>134-29</t>
  </si>
  <si>
    <t>141-29</t>
  </si>
  <si>
    <t>1806-29</t>
  </si>
  <si>
    <t>138-29</t>
  </si>
  <si>
    <t>1807-29</t>
  </si>
  <si>
    <t>147-29</t>
  </si>
  <si>
    <t>142-29</t>
  </si>
  <si>
    <t>149-29</t>
  </si>
  <si>
    <t>151-29</t>
  </si>
  <si>
    <t>146-29</t>
  </si>
  <si>
    <t>153-29</t>
  </si>
  <si>
    <t>1809-29</t>
  </si>
  <si>
    <t>148-29</t>
  </si>
  <si>
    <t>155-29</t>
  </si>
  <si>
    <t>ROMERO</t>
  </si>
  <si>
    <t>CHAD</t>
  </si>
  <si>
    <t>1810-29</t>
  </si>
  <si>
    <t>152-29</t>
  </si>
  <si>
    <t>159-29</t>
  </si>
  <si>
    <t>STEWART</t>
  </si>
  <si>
    <t>BRUDER</t>
  </si>
  <si>
    <t>RICHARD</t>
  </si>
  <si>
    <t>154-29</t>
  </si>
  <si>
    <t>156-29</t>
  </si>
  <si>
    <t>161-29</t>
  </si>
  <si>
    <t>163-29</t>
  </si>
  <si>
    <t>55-29</t>
  </si>
  <si>
    <t>LALONDE</t>
  </si>
  <si>
    <t>GREGORY</t>
  </si>
  <si>
    <t>1812-29</t>
  </si>
  <si>
    <t>50-29</t>
  </si>
  <si>
    <t>160-29</t>
  </si>
  <si>
    <t>167-29</t>
  </si>
  <si>
    <t>52-29</t>
  </si>
  <si>
    <t>169-29</t>
  </si>
  <si>
    <t>162-29</t>
  </si>
  <si>
    <t>1813-29</t>
  </si>
  <si>
    <t>164-29</t>
  </si>
  <si>
    <t>171-29</t>
  </si>
  <si>
    <t>1814-29</t>
  </si>
  <si>
    <t>173-29</t>
  </si>
  <si>
    <t>168-29</t>
  </si>
  <si>
    <t>175-29</t>
  </si>
  <si>
    <t>177-29</t>
  </si>
  <si>
    <t>172-29</t>
  </si>
  <si>
    <t>181-29</t>
  </si>
  <si>
    <t>176-29</t>
  </si>
  <si>
    <t>183-29</t>
  </si>
  <si>
    <t>178-29</t>
  </si>
  <si>
    <t>185-29</t>
  </si>
  <si>
    <t>1817-29</t>
  </si>
  <si>
    <t>HELVIE</t>
  </si>
  <si>
    <t>ADAM</t>
  </si>
  <si>
    <t>180-29</t>
  </si>
  <si>
    <t>182-29</t>
  </si>
  <si>
    <t>187-29</t>
  </si>
  <si>
    <t>189-29</t>
  </si>
  <si>
    <t>1818-29</t>
  </si>
  <si>
    <t>59-29</t>
  </si>
  <si>
    <t>LOPES</t>
  </si>
  <si>
    <t>KIMBERLY</t>
  </si>
  <si>
    <t>191-29</t>
  </si>
  <si>
    <t>193-29</t>
  </si>
  <si>
    <t>1819-29</t>
  </si>
  <si>
    <t>195-29</t>
  </si>
  <si>
    <t>188-29</t>
  </si>
  <si>
    <t>1820-29</t>
  </si>
  <si>
    <t>190-29</t>
  </si>
  <si>
    <t>192-29</t>
  </si>
  <si>
    <t>199-29</t>
  </si>
  <si>
    <t>196-29</t>
  </si>
  <si>
    <t>201-29</t>
  </si>
  <si>
    <t>1821-29</t>
  </si>
  <si>
    <t>198-29</t>
  </si>
  <si>
    <t>203-29</t>
  </si>
  <si>
    <t>205-29</t>
  </si>
  <si>
    <t>1822-29</t>
  </si>
  <si>
    <t>200-29</t>
  </si>
  <si>
    <t>207-29</t>
  </si>
  <si>
    <t>63-29</t>
  </si>
  <si>
    <t>202-29</t>
  </si>
  <si>
    <t>209-29</t>
  </si>
  <si>
    <t>1823-29</t>
  </si>
  <si>
    <t>211-29</t>
  </si>
  <si>
    <t>204-29</t>
  </si>
  <si>
    <t>206-29</t>
  </si>
  <si>
    <t>1824-29</t>
  </si>
  <si>
    <t>213-29</t>
  </si>
  <si>
    <t>215-29</t>
  </si>
  <si>
    <t>210-29</t>
  </si>
  <si>
    <t>217-29</t>
  </si>
  <si>
    <t>212-29</t>
  </si>
  <si>
    <t>1825-29</t>
  </si>
  <si>
    <t>219-29</t>
  </si>
  <si>
    <t>214-29</t>
  </si>
  <si>
    <t>1826-29</t>
  </si>
  <si>
    <t>72-29</t>
  </si>
  <si>
    <t>216-29</t>
  </si>
  <si>
    <t>221-29</t>
  </si>
  <si>
    <t>73-29</t>
  </si>
  <si>
    <t>75-29</t>
  </si>
  <si>
    <t>305-29</t>
  </si>
  <si>
    <t>220-29</t>
  </si>
  <si>
    <t>74-29</t>
  </si>
  <si>
    <t>1827-29</t>
  </si>
  <si>
    <t>223-29</t>
  </si>
  <si>
    <t>1828-29</t>
  </si>
  <si>
    <t>307-29</t>
  </si>
  <si>
    <t>222-29</t>
  </si>
  <si>
    <t>227-29</t>
  </si>
  <si>
    <t>224-29</t>
  </si>
  <si>
    <t>1829-29</t>
  </si>
  <si>
    <t>1830-29</t>
  </si>
  <si>
    <t>HOLCOMB</t>
  </si>
  <si>
    <t>KAMDEN</t>
  </si>
  <si>
    <t>226-29</t>
  </si>
  <si>
    <t>89-29</t>
  </si>
  <si>
    <t>229-29</t>
  </si>
  <si>
    <t>231-29</t>
  </si>
  <si>
    <t>1831-29</t>
  </si>
  <si>
    <t>228-29</t>
  </si>
  <si>
    <t>1832-29</t>
  </si>
  <si>
    <t>233-29</t>
  </si>
  <si>
    <t>230-29</t>
  </si>
  <si>
    <t>232-29</t>
  </si>
  <si>
    <t>235-29</t>
  </si>
  <si>
    <t>1902-29</t>
  </si>
  <si>
    <t>234-29</t>
  </si>
  <si>
    <t>239-29</t>
  </si>
  <si>
    <t>236-29</t>
  </si>
  <si>
    <t>241-29</t>
  </si>
  <si>
    <t>238-29</t>
  </si>
  <si>
    <t>243-29</t>
  </si>
  <si>
    <t>240-29</t>
  </si>
  <si>
    <t>242-29</t>
  </si>
  <si>
    <t>245-29</t>
  </si>
  <si>
    <t>309-29</t>
  </si>
  <si>
    <t>244-29</t>
  </si>
  <si>
    <t>311-29</t>
  </si>
  <si>
    <t>246-29</t>
  </si>
  <si>
    <t>313-29</t>
  </si>
  <si>
    <t>315-29</t>
  </si>
  <si>
    <t>precipAccumulation</t>
  </si>
  <si>
    <t>snow</t>
  </si>
  <si>
    <t>Snow</t>
  </si>
  <si>
    <t>Light Snow</t>
  </si>
  <si>
    <t>sleet</t>
  </si>
  <si>
    <t>Light Sleet</t>
  </si>
  <si>
    <t>204:752</t>
  </si>
  <si>
    <t>204:232683</t>
  </si>
  <si>
    <t>204:755</t>
  </si>
  <si>
    <t>204:233404</t>
  </si>
  <si>
    <t>204:232779</t>
  </si>
  <si>
    <t>204:728</t>
  </si>
  <si>
    <t>204:232675</t>
  </si>
  <si>
    <t>204:229208</t>
  </si>
  <si>
    <t>204:233023</t>
  </si>
  <si>
    <t>204:233322</t>
  </si>
  <si>
    <t>204:765</t>
  </si>
  <si>
    <t>204:233331</t>
  </si>
  <si>
    <t>204:165</t>
  </si>
  <si>
    <t>204:233359</t>
  </si>
  <si>
    <t>204:748</t>
  </si>
  <si>
    <t>204:233319</t>
  </si>
  <si>
    <t>204:232992</t>
  </si>
  <si>
    <t>204:790</t>
  </si>
  <si>
    <t>204:422</t>
  </si>
  <si>
    <t>204:233341</t>
  </si>
  <si>
    <t>204:134</t>
  </si>
  <si>
    <t>204:233032</t>
  </si>
  <si>
    <t>204:233391</t>
  </si>
  <si>
    <t>204:233055</t>
  </si>
  <si>
    <t>204:233019</t>
  </si>
  <si>
    <t>204:233000</t>
  </si>
  <si>
    <t>204:233342</t>
  </si>
  <si>
    <t>204:233005</t>
  </si>
  <si>
    <t>204:233395</t>
  </si>
  <si>
    <t>204:233111</t>
  </si>
  <si>
    <t>204:14363</t>
  </si>
  <si>
    <t>204:413</t>
  </si>
  <si>
    <t>204:233328</t>
  </si>
  <si>
    <t>204:233308</t>
  </si>
  <si>
    <t>204:229470</t>
  </si>
  <si>
    <t>204:233317</t>
  </si>
  <si>
    <t>204:233397</t>
  </si>
  <si>
    <t>204:233084</t>
  </si>
  <si>
    <t>204:233406</t>
  </si>
  <si>
    <t>204:127</t>
  </si>
  <si>
    <t>204:498</t>
  </si>
  <si>
    <t>204:233251</t>
  </si>
  <si>
    <t>204:233274</t>
  </si>
  <si>
    <t>204:480</t>
  </si>
  <si>
    <t>204:178</t>
  </si>
  <si>
    <t>204:232986</t>
  </si>
  <si>
    <t>204:141</t>
  </si>
  <si>
    <t>204:233038</t>
  </si>
  <si>
    <t>204:233053</t>
  </si>
  <si>
    <t>204:121</t>
  </si>
  <si>
    <t>204:233336</t>
  </si>
  <si>
    <t>204:233027</t>
  </si>
  <si>
    <t>204:233278</t>
  </si>
  <si>
    <t>204:123</t>
  </si>
  <si>
    <t>204:647</t>
  </si>
  <si>
    <t>204:923</t>
  </si>
  <si>
    <t>300:58929</t>
  </si>
  <si>
    <t>300:58619</t>
  </si>
  <si>
    <t>204:950</t>
  </si>
  <si>
    <t>300:58933</t>
  </si>
  <si>
    <t>204:622</t>
  </si>
  <si>
    <t>204:922</t>
  </si>
  <si>
    <t>300:58617</t>
  </si>
  <si>
    <t>204:951</t>
  </si>
  <si>
    <t>204:705</t>
  </si>
  <si>
    <t>300:58944</t>
  </si>
  <si>
    <t>300:58632</t>
  </si>
  <si>
    <t>204:666</t>
  </si>
  <si>
    <t>204:960</t>
  </si>
  <si>
    <t>300:58943</t>
  </si>
  <si>
    <t>300:58630</t>
  </si>
  <si>
    <t>204:633</t>
  </si>
  <si>
    <t>204:946</t>
  </si>
  <si>
    <t>204:671</t>
  </si>
  <si>
    <t>300:58626</t>
  </si>
  <si>
    <t>204:736</t>
  </si>
  <si>
    <t>204:1030</t>
  </si>
  <si>
    <t>204:1037</t>
  </si>
  <si>
    <t>204:233017</t>
  </si>
  <si>
    <t>204:750</t>
  </si>
  <si>
    <t>204:1048</t>
  </si>
  <si>
    <t>204:743</t>
  </si>
  <si>
    <t>204:1034</t>
  </si>
  <si>
    <t>300:58624</t>
  </si>
  <si>
    <t>300:58615</t>
  </si>
  <si>
    <t>204:757</t>
  </si>
  <si>
    <t>204:1042</t>
  </si>
  <si>
    <t>204:733</t>
  </si>
  <si>
    <t>204:1035</t>
  </si>
  <si>
    <t>300:58935</t>
  </si>
  <si>
    <t>204:407</t>
  </si>
  <si>
    <t>204:233415</t>
  </si>
  <si>
    <t>300:58628</t>
  </si>
  <si>
    <t>204:1041</t>
  </si>
  <si>
    <t>204:780</t>
  </si>
  <si>
    <t>204:1107</t>
  </si>
  <si>
    <t>204:233100</t>
  </si>
  <si>
    <t>204:76</t>
  </si>
  <si>
    <t>204:233357</t>
  </si>
  <si>
    <t>204:232976</t>
  </si>
  <si>
    <t>204:1483</t>
  </si>
  <si>
    <t>300:30527</t>
  </si>
  <si>
    <t>300:58611</t>
  </si>
  <si>
    <t>300:21755</t>
  </si>
  <si>
    <t>300:22075</t>
  </si>
  <si>
    <t>204:163</t>
  </si>
  <si>
    <t>204:373</t>
  </si>
  <si>
    <t>204:233353</t>
  </si>
  <si>
    <t>204:956</t>
  </si>
  <si>
    <t>204:424</t>
  </si>
  <si>
    <t>204:233259</t>
  </si>
  <si>
    <t>204:232963</t>
  </si>
  <si>
    <t>204:233325</t>
  </si>
  <si>
    <t>204:233401</t>
  </si>
  <si>
    <t>204:233109</t>
  </si>
  <si>
    <t>204:88</t>
  </si>
  <si>
    <t>204:442</t>
  </si>
  <si>
    <t>204:233412</t>
  </si>
  <si>
    <t>204:233091</t>
  </si>
  <si>
    <t>204:233324</t>
  </si>
  <si>
    <t>204:418</t>
  </si>
  <si>
    <t>204:233090</t>
  </si>
  <si>
    <t>204:233092</t>
  </si>
  <si>
    <t>204:233378</t>
  </si>
  <si>
    <t>204:233060</t>
  </si>
  <si>
    <t>204:129</t>
  </si>
  <si>
    <t>204:233234</t>
  </si>
  <si>
    <t>204:232904</t>
  </si>
  <si>
    <t>204:233418</t>
  </si>
  <si>
    <t>204:125</t>
  </si>
  <si>
    <t>204:233094</t>
  </si>
  <si>
    <t>204:233217</t>
  </si>
  <si>
    <t>204:232934</t>
  </si>
  <si>
    <t>204:233340</t>
  </si>
  <si>
    <t>204:233451</t>
  </si>
  <si>
    <t>204:233078</t>
  </si>
  <si>
    <t>300:23538</t>
  </si>
  <si>
    <t>300:23773</t>
  </si>
  <si>
    <t>300:23019</t>
  </si>
  <si>
    <t>300:23514</t>
  </si>
  <si>
    <t>300:23295</t>
  </si>
  <si>
    <t>300:19481</t>
  </si>
  <si>
    <t>300:23308</t>
  </si>
  <si>
    <t>300:23314</t>
  </si>
  <si>
    <t>300:23091</t>
  </si>
  <si>
    <t>204:883</t>
  </si>
  <si>
    <t>300:20581</t>
  </si>
  <si>
    <t>204:973</t>
  </si>
  <si>
    <t>300:58638</t>
  </si>
  <si>
    <t>300:21539</t>
  </si>
  <si>
    <t>204:1172</t>
  </si>
  <si>
    <t>300:58961</t>
  </si>
  <si>
    <t>204:1270</t>
  </si>
  <si>
    <t>300:21850</t>
  </si>
  <si>
    <t>300:24218</t>
  </si>
  <si>
    <t>204:1549</t>
  </si>
  <si>
    <t>300:24485</t>
  </si>
  <si>
    <t>204:3302</t>
  </si>
  <si>
    <t>204:1165</t>
  </si>
  <si>
    <t>204:3609</t>
  </si>
  <si>
    <t>204:1231</t>
  </si>
  <si>
    <t>300:24263</t>
  </si>
  <si>
    <t>300:23269</t>
  </si>
  <si>
    <t>204:917</t>
  </si>
  <si>
    <t>300:23345</t>
  </si>
  <si>
    <t>204:1233</t>
  </si>
  <si>
    <t>204:1154</t>
  </si>
  <si>
    <t>204:3538</t>
  </si>
  <si>
    <t>204:1473</t>
  </si>
  <si>
    <t>300:21897</t>
  </si>
  <si>
    <t>204:893</t>
  </si>
  <si>
    <t>204:1282</t>
  </si>
  <si>
    <t>300:23312</t>
  </si>
  <si>
    <t>300:5292</t>
  </si>
  <si>
    <t>204:1205</t>
  </si>
  <si>
    <t>300:5563</t>
  </si>
  <si>
    <t>204:232641</t>
  </si>
  <si>
    <t>204:232658</t>
  </si>
  <si>
    <t>204:232664</t>
  </si>
  <si>
    <t>300:23451</t>
  </si>
  <si>
    <t>204:856</t>
  </si>
  <si>
    <t>204:1489</t>
  </si>
  <si>
    <t>204:704</t>
  </si>
  <si>
    <t>300:24415</t>
  </si>
  <si>
    <t>300:23906</t>
  </si>
  <si>
    <t>204:839</t>
  </si>
  <si>
    <t>300:22096</t>
  </si>
  <si>
    <t>start /low /b %USERPROFILE%\Documents\GitHub\eaglep3\Utilities\DownloadLogsFromS3.py --loco 4022 --day 2017-04-29</t>
  </si>
  <si>
    <t>start /low /b %USERPROFILE%\Documents\GitHub\eaglep3\Utilities\DownloadLogsFromS3.py --loco 4028 --day 2017-04-29</t>
  </si>
  <si>
    <t>start /low /b %USERPROFILE%\Documents\GitHub\eaglep3\Utilities\DownloadLogsFromS3.py --loco 4017 --day 2017-04-29</t>
  </si>
  <si>
    <t>start /low /b %USERPROFILE%\Documents\GitHub\eaglep3\Utilities\DownloadLogsFromS3.py --loco 4026 --day 2017-04-29</t>
  </si>
  <si>
    <t>start /low /b %USERPROFILE%\Documents\GitHub\eaglep3\Utilities\DownloadLogsFromS3.py --loco 4001 --day 2017-04-29</t>
  </si>
  <si>
    <t>start /low /b %USERPROFILE%\Documents\GitHub\eaglep3\Utilities\DownloadLogsFromS3.py --loco 4009 --day 2017-04-29</t>
  </si>
  <si>
    <t>start /low /b %USERPROFILE%\Documents\GitHub\eaglep3\Utilities\DownloadLogsFromS3.py --loco 4003 --day 2017-04-29</t>
  </si>
  <si>
    <t>start /low /b %USERPROFILE%\Documents\GitHub\eaglep3\Utilities\DownloadLogsFromS3.py --loco 4021 --day 2017-04-29</t>
  </si>
  <si>
    <t>start /low /b %USERPROFILE%\Documents\GitHub\eaglep3\Utilities\DownloadLogsFromS3.py --loco 4025 --day 2017-04-29</t>
  </si>
  <si>
    <t>start /low /b %USERPROFILE%\Documents\GitHub\eaglep3\Utilities\DownloadLogsFromS3.py --loco 4007 --day 2017-04-29</t>
  </si>
  <si>
    <t>start /low /b %USERPROFILE%\Documents\GitHub\eaglep3\Utilities\DownloadLogsFromS3.py --loco 4004 --day 2017-04-29</t>
  </si>
  <si>
    <t>start /low /b %USERPROFILE%\Documents\GitHub\eaglep3\Utilities\DownloadLogsFromS3.py --loco 4008 --day 2017-04-29</t>
  </si>
  <si>
    <t>start /low /b %USERPROFILE%\Documents\GitHub\eaglep3\Utilities\DownloadLogsFromS3.py --loco 4010 --day 2017-04-29</t>
  </si>
  <si>
    <t>start /low /b %USERPROFILE%\Documents\GitHub\eaglep3\Utilities\DownloadLogsFromS3.py --loco 4018 --day 2017-04-29</t>
  </si>
  <si>
    <t>start /low /b %USERPROFILE%\Documents\GitHub\eaglep3\Utilities\DownloadLogsFromS3.py --loco 4001 --day 2017-04-30</t>
  </si>
  <si>
    <t>start /low /b %USERPROFILE%\Documents\GitHub\eaglep3\Utilities\DownloadLogsFromS3.py --loco 4007 --day 2017-04-30</t>
  </si>
  <si>
    <t>start /low /b %USERPROFILE%\Documents\GitHub\eaglep3\Utilities\DownloadLogsFromS3.py --loco 4002 --day 2017-04-30</t>
  </si>
  <si>
    <t>start /low /b %USERPROFILE%\Documents\GitHub\eaglep3\Utilities\DownloadLogsFromS3.py --loco 4018 --day 2017-04-30</t>
  </si>
  <si>
    <t>start /low /b %USERPROFILE%\Documents\GitHub\eaglep3\Utilities\DownloadLogsFromS3.py --loco 4046 --day 2017-04-29</t>
  </si>
  <si>
    <t>start /low /b %USERPROFILE%\Documents\GitHub\eaglep3\Utilities\DownloadLogsFromS3.py --loco 4045 --day 2017-04-29</t>
  </si>
  <si>
    <t>start /low /b %USERPROFILE%\Documents\GitHub\eaglep3\Utilities\DownloadLogsFromS3.py --loco 4046 --day 2017-04-30</t>
  </si>
  <si>
    <t>Premature downgrade at DIA 4N</t>
  </si>
  <si>
    <t>05:06:07 - DIA 4N dropped from PROCEED CAB to STOP, train was approaching signal (~20 ft away). Do logs show anything unusual at this time?</t>
  </si>
  <si>
    <t>Premature downgrade at Bright 4S</t>
  </si>
  <si>
    <t>09:59:46 - Bright 4S dropped from PROCEED CAB to STOP, do logs indicate anything unusual during this time?</t>
  </si>
  <si>
    <t>http://stevetu21.github.io/eaglep3/load_kml.html?kml=http://rtdc.gmaps-snips.s3.amazonaws.com/b880b6e7-160b-4808-be5f-40755810c3d8.kml</t>
  </si>
  <si>
    <t>Unhealthy at York due to early arrival enforcement at Steele</t>
  </si>
  <si>
    <t>Onboard in-route failure showed on screen, system recovered itself</t>
  </si>
  <si>
    <t>Selected wrong track, but corrected</t>
  </si>
  <si>
    <t>Selected wrong track (should have selected CRMF YD)</t>
  </si>
  <si>
    <t>CCROC/crew/equipment mismatch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</si>
</sst>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4"/>
  <sheetViews>
    <sheetView topLeftCell="A169" zoomScaleNormal="100" workbookViewId="0">
      <selection activeCell="R192" sqref="R192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42854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42854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34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COUNTIFS($N$13:$N$9333,"&gt;0",$AG$13:$AG$9333,I1)</f>
        <v>143</v>
      </c>
      <c r="K5" s="39"/>
      <c r="L5" s="39"/>
      <c r="M5" s="40">
        <f>AVERAGEIFS($N$13:$N$9333,$AG$13:$AG$9333,I1)</f>
        <v>37.465967365729433</v>
      </c>
      <c r="N5" s="38">
        <f t="array" ref="N5">MIN(IF($AG$13:$AG$9333=I1,IF(ISNUMBER($N$13:$N$9333),IF($N$13:$N$9333&gt;0,$N$13:$N$9333))))</f>
        <v>34.65000000083819</v>
      </c>
      <c r="O5" s="3">
        <f t="array" ref="O5">MAX(IF($AG$13:$AG$9333=I1,IF(ISNUMBER($N$13:$N$9333),IF($N$13:$N$9333&gt;0,$N$13:$N$9333))))</f>
        <v>42.883333341451362</v>
      </c>
      <c r="P5" s="2"/>
      <c r="R5" s="177" t="s">
        <v>17</v>
      </c>
      <c r="S5" s="199">
        <f>COUNTIFS($N$13:$N$9333,"&gt;0",$AG$13:$AG$9333,R1)</f>
        <v>34</v>
      </c>
      <c r="T5" s="179"/>
      <c r="U5" s="179"/>
      <c r="V5" s="176">
        <f>AVERAGEIFS($N$13:$N$9333,$AG$13:$AG$9333,R1)</f>
        <v>14.051960784777561</v>
      </c>
      <c r="W5" s="177">
        <f t="array" ref="W5">MIN(IF($AG$13:$AG$9333=R1,IF(ISNUMBER($N$13:$N$9333),IF($N$13:$N$9333&gt;0,$N$13:$N$9333))))</f>
        <v>12.299999993992969</v>
      </c>
      <c r="X5" s="178">
        <f t="array" ref="X5">MAX(IF($AG$13:$AG$9333=R1,IF(ISNUMBER($N$13:$N$9333),IF($N$13:$N$9333&gt;0,$N$13:$N$9333))))</f>
        <v>18.833333335351199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COUNT($O$13:$O$118)</f>
        <v>0</v>
      </c>
      <c r="K6" s="39"/>
      <c r="L6" s="39"/>
      <c r="M6" s="40">
        <f>IFERROR(AVERAGE($O$13:$O$118),0)</f>
        <v>0</v>
      </c>
      <c r="N6" s="38">
        <f>MIN($O$13:$O$118)</f>
        <v>0</v>
      </c>
      <c r="O6" s="3">
        <f>MAX($O$13:$O$118)</f>
        <v>0</v>
      </c>
      <c r="P6" s="2"/>
      <c r="R6" s="180" t="s">
        <v>43</v>
      </c>
      <c r="S6" s="199">
        <f>COUNT($O$13:$O$118)</f>
        <v>0</v>
      </c>
      <c r="T6" s="179"/>
      <c r="U6" s="179"/>
      <c r="V6" s="176">
        <f>IFERROR(AVERAGE($O$13:$O$118),0)</f>
        <v>0</v>
      </c>
      <c r="W6" s="177">
        <f>MIN($O$13:$O$118)</f>
        <v>0</v>
      </c>
      <c r="X6" s="178">
        <f>MAX($O$13:$O$118)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COUNTIFS($P$13:$P$9333,"&gt;0",$AG$13:$AG$9333,I1)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COUNTIFS($P$13:$P$9333,"&gt;0",$AG$13:$AG$9333,R1)</f>
        <v>0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143</v>
      </c>
      <c r="K8" s="39"/>
      <c r="L8" s="39"/>
      <c r="M8" s="40">
        <f>M5</f>
        <v>37.465967365729433</v>
      </c>
      <c r="N8" s="38">
        <f>N5</f>
        <v>34.65000000083819</v>
      </c>
      <c r="O8" s="3">
        <f>O5</f>
        <v>42.883333341451362</v>
      </c>
      <c r="P8" s="2"/>
      <c r="R8" s="177" t="s">
        <v>16</v>
      </c>
      <c r="S8" s="199">
        <f>S5</f>
        <v>34</v>
      </c>
      <c r="T8" s="179"/>
      <c r="U8" s="179"/>
      <c r="V8" s="176">
        <f>V5</f>
        <v>14.051960784777561</v>
      </c>
      <c r="W8" s="177">
        <f>W5</f>
        <v>12.299999993992969</v>
      </c>
      <c r="X8" s="178">
        <f>X5</f>
        <v>18.833333335351199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0.97945205479452058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1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- 2017-04-29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AVERAGE(S13:S90)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200</v>
      </c>
      <c r="AN12" s="46" t="s">
        <v>379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616</v>
      </c>
      <c r="B13" s="7">
        <v>4018</v>
      </c>
      <c r="C13" s="21" t="s">
        <v>212</v>
      </c>
      <c r="D13" s="21" t="s">
        <v>815</v>
      </c>
      <c r="E13" s="13">
        <v>42854.130011574074</v>
      </c>
      <c r="F13" s="13">
        <v>42854.135844907411</v>
      </c>
      <c r="G13" s="7">
        <v>2</v>
      </c>
      <c r="H13" s="21" t="s">
        <v>539</v>
      </c>
      <c r="I13" s="13">
        <v>42854.161365740743</v>
      </c>
      <c r="J13" s="7">
        <v>0</v>
      </c>
      <c r="K13" s="92" t="str">
        <f t="shared" ref="K13:K76" si="0">IF(ISEVEN(B13),(B13-1)&amp;"/"&amp;B13,B13&amp;"/"&amp;(B13+1))</f>
        <v>4017/4018</v>
      </c>
      <c r="L13" s="21" t="str">
        <f>VLOOKUP(A13,'Trips&amp;Operators'!$C$1:$G$99999,5,FALSE)</f>
        <v>COOLAHAN JOHN</v>
      </c>
      <c r="M13" s="6">
        <f t="shared" ref="M13:M76" si="1">I13-F13</f>
        <v>2.5520833332848269E-2</v>
      </c>
      <c r="N13" s="7">
        <f t="shared" ref="N13:N18" si="2">24*60*SUM($M13:$M13)</f>
        <v>36.749999999301508</v>
      </c>
      <c r="O13" s="7"/>
      <c r="P13" s="7"/>
      <c r="Q13" s="22"/>
      <c r="R13" s="190"/>
      <c r="S13" s="196">
        <f t="shared" ref="S13:S76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-29T02:07:13-0600',mode:absolute,to:'2017-04-29T04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" s="192" t="str">
        <f t="shared" ref="W13:W76" si="6">IF(AA13&lt;IF(AG13="EC",23,5.65),"Y","N")</f>
        <v>N</v>
      </c>
      <c r="X13" s="192" t="e">
        <f t="shared" ref="X13:X29" si="7">VALUE(LEFT(AD13,4))-VALUE(LEFT(AD12,4))</f>
        <v>#VALUE!</v>
      </c>
      <c r="Y13" s="192">
        <f t="shared" ref="Y13:Y76" si="8">RIGHT(D13,LEN(D13)-4)/10000</f>
        <v>7.5200000000000003E-2</v>
      </c>
      <c r="Z13" s="192">
        <f t="shared" ref="Z13:Z76" si="9">RIGHT(H13,LEN(H13)-4)/10000</f>
        <v>23.333200000000001</v>
      </c>
      <c r="AA13" s="192">
        <f t="shared" ref="AA13:AA76" si="10">ABS(Z13-Y13)</f>
        <v>23.258000000000003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0101-29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 &amp; aws s3 cp s3://rtdc.mdm.uploadarchive.raw/RTDC4018/ "%USERPROFILE%\AppData\Local\Temp\OnboardLogs"\RTDC4018\2017-04-30 --exclude "*" --recursive --include "*20170430*" &amp; "%USERPROFILE%\Documents\GitHub\mrs-test-scripts\Headless Mode &amp; Sideloading\WalkAndUnGZ.bat" "%USERPROFILE%\AppData\Local\Temp\OnboardLogs"\RTDC4018\2017-04-30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/stypes="app*4018*20170429*" /stext=" 09:.+((SYSTEM_STATE.+slice.+state.+changed )|(ment ac)|(multiple cpu faults)|(system.+state.+changed )|(\[timeout)|(PRM\|1\|D)|(kpr)|(kdp)|(train.+moving)|(\|lc)|(penalty))"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101-29 --locoid 4018 --swversion DE.1.0.9.0 --startMP 204:752 --initTime 2017-04-29T03:07:13 --startdatetime 2017-04-29T03:15:37 --delay 2 --endMP 204:233332 --enddatetime 2017-04-29T03:52:22 --enforcementcount 0 &gt;&gt;C:\Users\stu\Documents\GitHub\eaglep3-reporting\EC\2017-04-29-refined-times.txt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{"issue":{"subject":"","project_id":79,"tracker_id":40,"status_id":1,"priority_id":2,"assigned_to_id":23,"start_date":"2017-04-29","description":"","custom_fields":[{"id":1,"name":"Subdivision","value":"EC"},{"id":4,"name":"Milepost","value":"23.3332"},{"id":17,"name":"Train ID","value":"101-29"},{"id":16,"name":"Locomotive ID","value":"4018"},{"id":130,"name":"Impact","value":""},{"id":150,"name":"Time of Event (Mountain Time)","value":"03:52:22"},{"id":151,"name":"Denver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4018 --day 2017-04-29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09:52:22"},{"id":29,"name":"Sharepoint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624</v>
      </c>
      <c r="B14" s="7">
        <v>4009</v>
      </c>
      <c r="C14" s="21" t="s">
        <v>212</v>
      </c>
      <c r="D14" s="21" t="s">
        <v>816</v>
      </c>
      <c r="E14" s="13">
        <v>42854.17119212963</v>
      </c>
      <c r="F14" s="13">
        <v>42854.174525462964</v>
      </c>
      <c r="G14" s="7">
        <v>2</v>
      </c>
      <c r="H14" s="21" t="s">
        <v>411</v>
      </c>
      <c r="I14" s="13">
        <v>42854.201631944445</v>
      </c>
      <c r="J14" s="7">
        <v>0</v>
      </c>
      <c r="K14" s="92" t="str">
        <f t="shared" si="0"/>
        <v>4009/4010</v>
      </c>
      <c r="L14" s="21" t="str">
        <f>VLOOKUP(A14,'Trips&amp;Operators'!$C$1:$G$99999,5,FALSE)</f>
        <v>COOLAHAN JOHN</v>
      </c>
      <c r="M14" s="6">
        <f t="shared" si="1"/>
        <v>2.7106481480586808E-2</v>
      </c>
      <c r="N14" s="7">
        <f t="shared" si="2"/>
        <v>39.033333332045004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-04-29T03:06:31-0600',mode:absolute,to:'2017-04-29T05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23.2683</v>
      </c>
      <c r="Z14" s="192">
        <f t="shared" si="9"/>
        <v>1.4999999999999999E-2</v>
      </c>
      <c r="AA14" s="192">
        <f t="shared" si="10"/>
        <v>23.253299999999999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0102-29</v>
      </c>
      <c r="AE14" s="80" t="str">
        <f t="shared" si="12"/>
        <v>aws s3 cp s3://rtdc.mdm.uploadarchive.raw/RTDC4009/ "%USERPROFILE%\AppData\Local\Temp\OnboardLogs"\RTDC4009\2017-04-29 --exclude "*" --recursive --include "*20170429*" &amp; "%USERPROFILE%\Documents\GitHub\mrs-test-scripts\Headless Mode &amp; Sideloading\WalkAndUnGZ.bat" "%USERPROFILE%\AppData\Local\Temp\OnboardLogs"\RTDC4009\2017-04-29 &amp; aws s3 cp s3://rtdc.mdm.uploadarchive.raw/RTDC4009/ "%USERPROFILE%\AppData\Local\Temp\OnboardLogs"\RTDC4009\2017-04-30 --exclude "*" --recursive --include "*20170430*" &amp; "%USERPROFILE%\Documents\GitHub\mrs-test-scripts\Headless Mode &amp; Sideloading\WalkAndUnGZ.bat" "%USERPROFILE%\AppData\Local\Temp\OnboardLogs"\RTDC4009\2017-04-30</v>
      </c>
      <c r="AF14" s="77" t="str">
        <f t="shared" si="13"/>
        <v>"C:\Program Files (x86)\AstroGrep\AstroGrep.exe" /e /r /s /spath="%USERPROFILE%\AppData\Local\Temp\OnboardLogs" /stypes="app*4009*20170429*" /stext=" 10:.+((SYSTEM_STATE.+slice.+state.+changed )|(ment ac)|(multiple cpu faults)|(system.+state.+changed )|(\[timeout)|(PRM\|1\|D)|(kpr)|(kdp)|(train.+moving)|(\|lc)|(penalty))"</v>
      </c>
      <c r="AG14" s="1" t="str">
        <f t="shared" si="14"/>
        <v>EC</v>
      </c>
      <c r="AH14" s="81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102-29 --locoid 4009 --swversion DE.1.0.9.0 --startMP 204:232683 --initTime 2017-04-29T04:06:31 --startdatetime 2017-04-29T04:11:19 --delay 2 --endMP 204:150 --enddatetime 2017-04-29T04:50:21 --enforcementcount 0 &gt;&gt;C:\Users\stu\Documents\GitHub\eaglep3-reporting\EC\2017-04-29-refined-times.txt</v>
      </c>
      <c r="AI14" s="99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{"issue":{"subject":"","project_id":79,"tracker_id":40,"status_id":1,"priority_id":2,"assigned_to_id":23,"start_date":"2017-04-29","description":"","custom_fields":[{"id":1,"name":"Subdivision","value":"EC"},{"id":4,"name":"Milepost","value":"0.015"},{"id":17,"name":"Train ID","value":"102-29"},{"id":16,"name":"Locomotive ID","value":"4009"},{"id":130,"name":"Impact","value":""},{"id":150,"name":"Time of Event (Mountain Time)","value":"04:50:21"},{"id":151,"name":"Denver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6" si="21">"start /low /b "&amp;dls3logs&amp;" --loco "&amp;B14&amp;" --day "&amp;TEXT(F14,"YYYY-MM-DD")</f>
        <v>start /low /b %USERPROFILE%\Documents\GitHub\eaglep3\Utilities\DownloadLogsFromS3.py --loco 4009 --day 2017-04-29</v>
      </c>
      <c r="AN14" s="154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10:50:21"},{"id":29,"name":"Sharepoint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620</v>
      </c>
      <c r="B15" s="7">
        <v>4004</v>
      </c>
      <c r="C15" s="21" t="s">
        <v>212</v>
      </c>
      <c r="D15" s="21" t="s">
        <v>817</v>
      </c>
      <c r="E15" s="13">
        <v>42854.151585648149</v>
      </c>
      <c r="F15" s="13">
        <v>42854.156412037039</v>
      </c>
      <c r="G15" s="7">
        <v>1</v>
      </c>
      <c r="H15" s="21" t="s">
        <v>818</v>
      </c>
      <c r="I15" s="13">
        <v>42854.18241898148</v>
      </c>
      <c r="J15" s="7">
        <v>0</v>
      </c>
      <c r="K15" s="92" t="str">
        <f t="shared" si="0"/>
        <v>4003/4004</v>
      </c>
      <c r="L15" s="21" t="str">
        <f>VLOOKUP(A15,'Trips&amp;Operators'!$C$1:$G$99999,5,FALSE)</f>
        <v>ROBINSON KADDIBA</v>
      </c>
      <c r="M15" s="6">
        <f t="shared" si="1"/>
        <v>2.6006944441178348E-2</v>
      </c>
      <c r="N15" s="7">
        <f t="shared" si="2"/>
        <v>37.449999995296821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-04-29T02:38:17-0600',mode:absolute,to:'2017-04-29T05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7.5499999999999998E-2</v>
      </c>
      <c r="Z15" s="192">
        <f t="shared" si="9"/>
        <v>23.340399999999999</v>
      </c>
      <c r="AA15" s="192">
        <f t="shared" si="10"/>
        <v>23.264899999999997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0103-29</v>
      </c>
      <c r="AE15" s="80" t="str">
        <f t="shared" si="12"/>
        <v>aws s3 cp s3://rtdc.mdm.uploadarchive.raw/RTDC4004/ "%USERPROFILE%\AppData\Local\Temp\OnboardLogs"\RTDC4004\2017-04-29 --exclude "*" --recursive --include "*20170429*" &amp; "%USERPROFILE%\Documents\GitHub\mrs-test-scripts\Headless Mode &amp; Sideloading\WalkAndUnGZ.bat" "%USERPROFILE%\AppData\Local\Temp\OnboardLogs"\RTDC4004\2017-04-29 &amp; aws s3 cp s3://rtdc.mdm.uploadarchive.raw/RTDC4004/ "%USERPROFILE%\AppData\Local\Temp\OnboardLogs"\RTDC4004\2017-04-30 --exclude "*" --recursive --include "*20170430*" &amp; "%USERPROFILE%\Documents\GitHub\mrs-test-scripts\Headless Mode &amp; Sideloading\WalkAndUnGZ.bat" "%USERPROFILE%\AppData\Local\Temp\OnboardLogs"\RTDC4004\2017-04-30</v>
      </c>
      <c r="AF15" s="77" t="str">
        <f t="shared" si="13"/>
        <v>"C:\Program Files (x86)\AstroGrep\AstroGrep.exe" /e /r /s /spath="%USERPROFILE%\AppData\Local\Temp\OnboardLogs" /stypes="app*4004*20170429*" /stext=" 10:.+((SYSTEM_STATE.+slice.+state.+changed )|(ment ac)|(multiple cpu faults)|(system.+state.+changed )|(\[timeout)|(PRM\|1\|D)|(kpr)|(kdp)|(train.+moving)|(\|lc)|(penalty))"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103-29 --locoid 4004 --swversion DE.1.0.9.0 --startMP 204:755 --initTime 2017-04-29T03:38:17 --startdatetime 2017-04-29T03:45:14 --delay 1 --endMP 204:233404 --enddatetime 2017-04-29T04:22:41 --enforcementcount 0 &gt;&gt;C:\Users\stu\Documents\GitHub\eaglep3-reporting\EC\2017-04-29-refined-times.txt</v>
      </c>
      <c r="AI15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{"issue":{"subject":"","project_id":79,"tracker_id":40,"status_id":1,"priority_id":2,"assigned_to_id":23,"start_date":"2017-04-29","description":"","custom_fields":[{"id":1,"name":"Subdivision","value":"EC"},{"id":4,"name":"Milepost","value":"23.3404"},{"id":17,"name":"Train ID","value":"103-29"},{"id":16,"name":"Locomotive ID","value":"4004"},{"id":130,"name":"Impact","value":""},{"id":150,"name":"Time of Event (Mountain Time)","value":"04:22:41"},{"id":151,"name":"Denver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4004 --day 2017-04-29</v>
      </c>
      <c r="AN15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10:22:41"},{"id":29,"name":"Sharepoint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632</v>
      </c>
      <c r="B16" s="7">
        <v>4025</v>
      </c>
      <c r="C16" s="21" t="s">
        <v>212</v>
      </c>
      <c r="D16" s="21" t="s">
        <v>819</v>
      </c>
      <c r="E16" s="13">
        <v>42854.189108796294</v>
      </c>
      <c r="F16" s="13">
        <v>42854.1953125</v>
      </c>
      <c r="G16" s="7">
        <v>1</v>
      </c>
      <c r="H16" s="21" t="s">
        <v>198</v>
      </c>
      <c r="I16" s="13">
        <v>42854.22278935185</v>
      </c>
      <c r="J16" s="7">
        <v>0</v>
      </c>
      <c r="K16" s="92" t="str">
        <f t="shared" si="0"/>
        <v>4025/4026</v>
      </c>
      <c r="L16" s="21" t="str">
        <f>VLOOKUP(A16,'Trips&amp;Operators'!$C$1:$G$99999,5,FALSE)</f>
        <v>ROBINSON KADDIBA</v>
      </c>
      <c r="M16" s="6">
        <f t="shared" si="1"/>
        <v>2.7476851850224193E-2</v>
      </c>
      <c r="N16" s="7">
        <f t="shared" si="2"/>
        <v>39.566666664322838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-04-29T03:32:19-0600',mode:absolute,to:'2017-04-29T06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23.277899999999999</v>
      </c>
      <c r="Z16" s="192">
        <f t="shared" si="9"/>
        <v>1.5800000000000002E-2</v>
      </c>
      <c r="AA16" s="192">
        <f t="shared" si="10"/>
        <v>23.2621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0104-29</v>
      </c>
      <c r="AE16" s="80" t="str">
        <f t="shared" si="12"/>
        <v>aws s3 cp s3://rtdc.mdm.uploadarchive.raw/RTDC4025/ "%USERPROFILE%\AppData\Local\Temp\OnboardLogs"\RTDC4025\2017-04-29 --exclude "*" --recursive --include "*20170429*" &amp; "%USERPROFILE%\Documents\GitHub\mrs-test-scripts\Headless Mode &amp; Sideloading\WalkAndUnGZ.bat" "%USERPROFILE%\AppData\Local\Temp\OnboardLogs"\RTDC4025\2017-04-29 &amp; 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</v>
      </c>
      <c r="AF16" s="77" t="str">
        <f t="shared" si="13"/>
        <v>"C:\Program Files (x86)\AstroGrep\AstroGrep.exe" /e /r /s /spath="%USERPROFILE%\AppData\Local\Temp\OnboardLogs" /stypes="app*4025*20170429*" /stext=" 11:.+((SYSTEM_STATE.+slice.+state.+changed )|(ment ac)|(multiple cpu faults)|(system.+state.+changed )|(\[timeout)|(PRM\|1\|D)|(kpr)|(kdp)|(train.+moving)|(\|lc)|(penalty))"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104-29 --locoid 4025 --swversion DE.1.0.9.0 --startMP 204:232779 --initTime 2017-04-29T04:32:19 --startdatetime 2017-04-29T04:41:15 --delay 1 --endMP 204:158 --enddatetime 2017-04-29T05:20:49 --enforcementcount 0 &gt;&gt;C:\Users\stu\Documents\GitHub\eaglep3-reporting\EC\2017-04-29-refined-times.txt</v>
      </c>
      <c r="AI16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{"issue":{"subject":"","project_id":79,"tracker_id":40,"status_id":1,"priority_id":2,"assigned_to_id":23,"start_date":"2017-04-29","description":"","custom_fields":[{"id":1,"name":"Subdivision","value":"EC"},{"id":4,"name":"Milepost","value":"0.0158"},{"id":17,"name":"Train ID","value":"104-29"},{"id":16,"name":"Locomotive ID","value":"4025"},{"id":130,"name":"Impact","value":""},{"id":150,"name":"Time of Event (Mountain Time)","value":"05:20:49"},{"id":151,"name":"Denver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4025 --day 2017-04-29</v>
      </c>
      <c r="AN16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11:20:49"},{"id":29,"name":"Sharepoint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625</v>
      </c>
      <c r="B17" s="7">
        <v>4028</v>
      </c>
      <c r="C17" s="21" t="s">
        <v>212</v>
      </c>
      <c r="D17" s="21" t="s">
        <v>820</v>
      </c>
      <c r="E17" s="13">
        <v>42854.171863425923</v>
      </c>
      <c r="F17" s="13">
        <v>42854.177349537036</v>
      </c>
      <c r="G17" s="7">
        <v>1</v>
      </c>
      <c r="H17" s="21" t="s">
        <v>468</v>
      </c>
      <c r="I17" s="13">
        <v>42854.202187499999</v>
      </c>
      <c r="J17" s="7">
        <v>0</v>
      </c>
      <c r="K17" s="92" t="str">
        <f t="shared" si="0"/>
        <v>4027/4028</v>
      </c>
      <c r="L17" s="21" t="str">
        <f>VLOOKUP(A17,'Trips&amp;Operators'!$C$1:$G$99999,5,FALSE)</f>
        <v>MAELZER KURT</v>
      </c>
      <c r="M17" s="6">
        <f t="shared" si="1"/>
        <v>2.4837962962919846E-2</v>
      </c>
      <c r="N17" s="7">
        <f t="shared" si="2"/>
        <v>35.766666666604578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-04-29T03:07:29-0600',mode:absolute,to:'2017-04-29T05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7.2800000000000004E-2</v>
      </c>
      <c r="Z17" s="192">
        <f t="shared" si="9"/>
        <v>23.3307</v>
      </c>
      <c r="AA17" s="192">
        <f t="shared" si="10"/>
        <v>23.257899999999999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0105-29</v>
      </c>
      <c r="AE17" s="80" t="str">
        <f t="shared" si="12"/>
        <v>aws s3 cp s3://rtdc.mdm.uploadarchive.raw/RTDC4028/ "%USERPROFILE%\AppData\Local\Temp\OnboardLogs"\RTDC4028\2017-04-29 --exclude "*" --recursive --include "*20170429*" &amp; "%USERPROFILE%\Documents\GitHub\mrs-test-scripts\Headless Mode &amp; Sideloading\WalkAndUnGZ.bat" "%USERPROFILE%\AppData\Local\Temp\OnboardLogs"\RTDC4028\2017-04-29 &amp; 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</v>
      </c>
      <c r="AF17" s="77" t="str">
        <f t="shared" si="13"/>
        <v>"C:\Program Files (x86)\AstroGrep\AstroGrep.exe" /e /r /s /spath="%USERPROFILE%\AppData\Local\Temp\OnboardLogs" /stypes="app*4028*20170429*" /stext=" 10:.+((SYSTEM_STATE.+slice.+state.+changed )|(ment ac)|(multiple cpu faults)|(system.+state.+changed )|(\[timeout)|(PRM\|1\|D)|(kpr)|(kdp)|(train.+moving)|(\|lc)|(penalty))"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105-29 --locoid 4028 --swversion DE.1.0.9.0 --startMP 204:728 --initTime 2017-04-29T04:07:29 --startdatetime 2017-04-29T04:15:23 --delay 1 --endMP 204:233307 --enddatetime 2017-04-29T04:51:09 --enforcementcount 0 &gt;&gt;C:\Users\stu\Documents\GitHub\eaglep3-reporting\EC\2017-04-29-refined-times.txt</v>
      </c>
      <c r="AI17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{"issue":{"subject":"","project_id":79,"tracker_id":40,"status_id":1,"priority_id":2,"assigned_to_id":23,"start_date":"2017-04-29","description":"","custom_fields":[{"id":1,"name":"Subdivision","value":"EC"},{"id":4,"name":"Milepost","value":"23.3307"},{"id":17,"name":"Train ID","value":"105-29"},{"id":16,"name":"Locomotive ID","value":"4028"},{"id":130,"name":"Impact","value":""},{"id":150,"name":"Time of Event (Mountain Time)","value":"04:51:09"},{"id":151,"name":"Denver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4028 --day 2017-04-29</v>
      </c>
      <c r="AN17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10:51:09"},{"id":29,"name":"Sharepoint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635</v>
      </c>
      <c r="B18" s="7">
        <v>4001</v>
      </c>
      <c r="C18" s="21" t="s">
        <v>212</v>
      </c>
      <c r="D18" s="21" t="s">
        <v>821</v>
      </c>
      <c r="E18" s="13">
        <v>42854.211828703701</v>
      </c>
      <c r="F18" s="13">
        <v>42854.216226851851</v>
      </c>
      <c r="G18" s="7">
        <v>0</v>
      </c>
      <c r="H18" s="21" t="s">
        <v>411</v>
      </c>
      <c r="I18" s="13">
        <v>42854.243298611109</v>
      </c>
      <c r="J18" s="7">
        <v>0</v>
      </c>
      <c r="K18" s="92" t="str">
        <f t="shared" si="0"/>
        <v>4001/4002</v>
      </c>
      <c r="L18" s="21" t="str">
        <f>VLOOKUP(A18,'Trips&amp;Operators'!$C$1:$G$99999,5,FALSE)</f>
        <v>MAELZER KURT</v>
      </c>
      <c r="M18" s="6">
        <f t="shared" si="1"/>
        <v>2.7071759257523809E-2</v>
      </c>
      <c r="N18" s="7">
        <f t="shared" si="2"/>
        <v>38.983333330834284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-04-29T04:05:02-0600',mode:absolute,to:'2017-04-29T06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23.267499999999998</v>
      </c>
      <c r="Z18" s="192">
        <f t="shared" si="9"/>
        <v>1.4999999999999999E-2</v>
      </c>
      <c r="AA18" s="192">
        <f t="shared" si="10"/>
        <v>23.252499999999998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0106-29</v>
      </c>
      <c r="AE18" s="80" t="str">
        <f t="shared" si="12"/>
        <v>aws s3 cp s3://rtdc.mdm.uploadarchive.raw/RTDC4001/ "%USERPROFILE%\AppData\Local\Temp\OnboardLogs"\RTDC4001\2017-04-29 --exclude "*" --recursive --include "*20170429*" &amp; "%USERPROFILE%\Documents\GitHub\mrs-test-scripts\Headless Mode &amp; Sideloading\WalkAndUnGZ.bat" "%USERPROFILE%\AppData\Local\Temp\OnboardLogs"\RTDC4001\2017-04-29 &amp; aws s3 cp s3://rtdc.mdm.uploadarchive.raw/RTDC4001/ "%USERPROFILE%\AppData\Local\Temp\OnboardLogs"\RTDC4001\2017-04-30 --exclude "*" --recursive --include "*20170430*" &amp; "%USERPROFILE%\Documents\GitHub\mrs-test-scripts\Headless Mode &amp; Sideloading\WalkAndUnGZ.bat" "%USERPROFILE%\AppData\Local\Temp\OnboardLogs"\RTDC4001\2017-04-30</v>
      </c>
      <c r="AF18" s="77" t="str">
        <f t="shared" si="13"/>
        <v>"C:\Program Files (x86)\AstroGrep\AstroGrep.exe" /e /r /s /spath="%USERPROFILE%\AppData\Local\Temp\OnboardLogs" /stypes="app*4001*20170429*" /stext=" 11:.+((SYSTEM_STATE.+slice.+state.+changed )|(ment ac)|(multiple cpu faults)|(system.+state.+changed )|(\[timeout)|(PRM\|1\|D)|(kpr)|(kdp)|(train.+moving)|(\|lc)|(penalty))"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106-29 --locoid 4001 --swversion DE.1.0.9.0 --startMP 204:232675 --initTime 2017-04-29T05:05:02 --startdatetime 2017-04-29T05:11:22 --delay 0 --endMP 204:150 --enddatetime 2017-04-29T05:50:21 --enforcementcount 0 &gt;&gt;C:\Users\stu\Documents\GitHub\eaglep3-reporting\EC\2017-04-29-refined-times.txt</v>
      </c>
      <c r="AI18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{"issue":{"subject":"","project_id":79,"tracker_id":40,"status_id":1,"priority_id":2,"assigned_to_id":23,"start_date":"2017-04-29","description":"","custom_fields":[{"id":1,"name":"Subdivision","value":"EC"},{"id":4,"name":"Milepost","value":"0.015"},{"id":17,"name":"Train ID","value":"106-29"},{"id":16,"name":"Locomotive ID","value":"4001"},{"id":130,"name":"Impact","value":""},{"id":150,"name":"Time of Event (Mountain Time)","value":"05:50:21"},{"id":151,"name":"Denver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4001 --day 2017-04-29</v>
      </c>
      <c r="AN18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11:50:21"},{"id":29,"name":"Sharepoint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558</v>
      </c>
      <c r="B19" s="7">
        <v>4022</v>
      </c>
      <c r="C19" s="21" t="s">
        <v>212</v>
      </c>
      <c r="D19" s="21" t="s">
        <v>467</v>
      </c>
      <c r="E19" s="13">
        <v>42854.187025462961</v>
      </c>
      <c r="F19" s="13">
        <v>42854.188252314816</v>
      </c>
      <c r="G19" s="7">
        <v>0</v>
      </c>
      <c r="H19" s="21" t="s">
        <v>822</v>
      </c>
      <c r="I19" s="13">
        <v>42854.212754629632</v>
      </c>
      <c r="J19" s="7">
        <v>0</v>
      </c>
      <c r="K19" s="92" t="str">
        <f t="shared" si="0"/>
        <v>4021/4022</v>
      </c>
      <c r="L19" s="21" t="str">
        <f>VLOOKUP(A19,'Trips&amp;Operators'!$C$1:$G$99999,5,FALSE)</f>
        <v>DAVIS WENDY</v>
      </c>
      <c r="M19" s="6">
        <f t="shared" si="1"/>
        <v>2.4502314816345461E-2</v>
      </c>
      <c r="N19" s="7"/>
      <c r="O19" s="7"/>
      <c r="P19" s="7">
        <f>24*60*SUM($M19:$M19)</f>
        <v>35.283333335537463</v>
      </c>
      <c r="Q19" s="22"/>
      <c r="R19" s="190" t="s">
        <v>1023</v>
      </c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-04-29T03:29:19-0600',mode:absolute,to:'2017-04-29T06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192" t="str">
        <f t="shared" si="6"/>
        <v>Y</v>
      </c>
      <c r="X19" s="192">
        <f t="shared" si="7"/>
        <v>1</v>
      </c>
      <c r="Y19" s="192">
        <f t="shared" si="8"/>
        <v>4.53E-2</v>
      </c>
      <c r="Z19" s="192">
        <f t="shared" si="9"/>
        <v>22.9208</v>
      </c>
      <c r="AA19" s="192">
        <f t="shared" si="10"/>
        <v>22.875499999999999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0107-29</v>
      </c>
      <c r="AE19" s="80" t="str">
        <f t="shared" si="12"/>
        <v>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 &amp; 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</v>
      </c>
      <c r="AF19" s="77" t="str">
        <f t="shared" si="13"/>
        <v>"C:\Program Files (x86)\AstroGrep\AstroGrep.exe" /e /r /s /spath="%USERPROFILE%\AppData\Local\Temp\OnboardLogs" /stypes="app*4022*20170429*" /stext=" 11:.+((SYSTEM_STATE.+slice.+state.+changed )|(ment ac)|(multiple cpu faults)|(system.+state.+changed )|(\[timeout)|(PRM\|1\|D)|(kpr)|(kdp)|(train.+moving)|(\|lc)|(penalty))"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107-29 --locoid 4022 --swversion DE.1.0.9.0 --startMP 204:453 --initTime 2017-04-29T04:29:19 --startdatetime 2017-04-29T04:31:05 --delay 0 --endMP 204:229208 --enddatetime 2017-04-29T05:06:22 --enforcementcount 0 &gt;&gt;C:\Users\stu\Documents\GitHub\eaglep3-reporting\EC\2017-04-29-refined-times.txt</v>
      </c>
      <c r="AI19" s="99" t="str">
        <f t="shared" si="20"/>
        <v>echo {"issue":{"subject":"Premature downgrade at DIA 4N","project_id":79,"tracker_id":40,"status_id":1,"priority_id":2,"assigned_to_id":23,"start_date":"2017-04-29","description":"","custom_fields":[{"id":1,"name":"Subdivision","value":"EC"},{"id":4,"name":"Milepost","value":"22.9208"},{"id":17,"name":"Train ID","value":"107-29"},{"id":16,"name":"Locomotive ID","value":"4022"},{"id":130,"name":"Impact","value":""},{"id":150,"name":"Time of Event (Mountain Time)","value":"05:06:22"},{"id":151,"name":"Denver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4022 --day 2017-04-29</v>
      </c>
      <c r="AN19" s="154" t="str">
        <f t="shared" si="22"/>
        <v>echo {"issue":{"subject":"Premature downgrade at DIA 4N","project_id":30,"tracker_id":4,"status_id":1,"priority_id":1,"assigned_to_id":10,"start_date":"2017-04-29","description":"","custom_fields":[{"id":30,"name":"Category","value":"Issue"},{"id":3,"name":"Functional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11:06:22"},{"id":29,"name":"Sharepoint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637</v>
      </c>
      <c r="B20" s="7">
        <v>4021</v>
      </c>
      <c r="C20" s="21" t="s">
        <v>212</v>
      </c>
      <c r="D20" s="21" t="s">
        <v>823</v>
      </c>
      <c r="E20" s="13">
        <v>42854.223657407405</v>
      </c>
      <c r="F20" s="13">
        <v>42854.226527777777</v>
      </c>
      <c r="G20" s="7">
        <v>1</v>
      </c>
      <c r="H20" s="21" t="s">
        <v>411</v>
      </c>
      <c r="I20" s="13">
        <v>42854.254074074073</v>
      </c>
      <c r="J20" s="7">
        <v>0</v>
      </c>
      <c r="K20" s="92" t="str">
        <f t="shared" si="0"/>
        <v>4021/4022</v>
      </c>
      <c r="L20" s="21" t="str">
        <f>VLOOKUP(A20,'Trips&amp;Operators'!$C$1:$G$99999,5,FALSE)</f>
        <v>DAVIS WENDY</v>
      </c>
      <c r="M20" s="6">
        <f t="shared" si="1"/>
        <v>2.7546296296350192E-2</v>
      </c>
      <c r="N20" s="7">
        <f t="shared" ref="N20:N51" si="23">24*60*SUM($M20:$M20)</f>
        <v>39.666666666744277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-04-29T04:22:04-0600',mode:absolute,to:'2017-04-29T07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23.302299999999999</v>
      </c>
      <c r="Z20" s="192">
        <f t="shared" si="9"/>
        <v>1.4999999999999999E-2</v>
      </c>
      <c r="AA20" s="192">
        <f t="shared" si="10"/>
        <v>23.287299999999998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0108-29</v>
      </c>
      <c r="AE20" s="80" t="str">
        <f t="shared" si="12"/>
        <v>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 &amp; aws s3 cp s3://rtdc.mdm.uploadarchive.raw/RTDC4021/ "%USERPROFILE%\AppData\Local\Temp\OnboardLogs"\RTDC4021\2017-04-30 --exclude "*" --recursive --include "*20170430*" &amp; "%USERPROFILE%\Documents\GitHub\mrs-test-scripts\Headless Mode &amp; Sideloading\WalkAndUnGZ.bat" "%USERPROFILE%\AppData\Local\Temp\OnboardLogs"\RTDC4021\2017-04-30</v>
      </c>
      <c r="AF20" s="77" t="str">
        <f t="shared" si="13"/>
        <v>"C:\Program Files (x86)\AstroGrep\AstroGrep.exe" /e /r /s /spath="%USERPROFILE%\AppData\Local\Temp\OnboardLogs" /stypes="app*4021*20170429*" /stext=" 12:.+((SYSTEM_STATE.+slice.+state.+changed )|(ment ac)|(multiple cpu faults)|(system.+state.+changed )|(\[timeout)|(PRM\|1\|D)|(kpr)|(kdp)|(train.+moving)|(\|lc)|(penalty))"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108-29 --locoid 4021 --swversion DE.1.0.9.0 --startMP 204:233023 --initTime 2017-04-29T05:22:04 --startdatetime 2017-04-29T05:26:12 --delay 1 --endMP 204:150 --enddatetime 2017-04-29T06:05:52 --enforcementcount 0 &gt;&gt;C:\Users\stu\Documents\GitHub\eaglep3-reporting\EC\2017-04-29-refined-times.txt</v>
      </c>
      <c r="AI20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{"issue":{"subject":"","project_id":79,"tracker_id":40,"status_id":1,"priority_id":2,"assigned_to_id":23,"start_date":"2017-04-29","description":"","custom_fields":[{"id":1,"name":"Subdivision","value":"EC"},{"id":4,"name":"Milepost","value":"0.015"},{"id":17,"name":"Train ID","value":"108-29"},{"id":16,"name":"Locomotive ID","value":"4021"},{"id":130,"name":"Impact","value":""},{"id":150,"name":"Time of Event (Mountain Time)","value":"06:05:52"},{"id":151,"name":"Denver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4021 --day 2017-04-29</v>
      </c>
      <c r="AN20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12:05:52"},{"id":29,"name":"Sharepoint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633</v>
      </c>
      <c r="B21" s="7">
        <v>4008</v>
      </c>
      <c r="C21" s="21" t="s">
        <v>212</v>
      </c>
      <c r="D21" s="21" t="s">
        <v>438</v>
      </c>
      <c r="E21" s="13">
        <v>42854.195208333331</v>
      </c>
      <c r="F21" s="13">
        <v>42854.198194444441</v>
      </c>
      <c r="G21" s="7">
        <v>1</v>
      </c>
      <c r="H21" s="21" t="s">
        <v>824</v>
      </c>
      <c r="I21" s="13">
        <v>42854.222986111112</v>
      </c>
      <c r="J21" s="7">
        <v>0</v>
      </c>
      <c r="K21" s="92" t="str">
        <f t="shared" si="0"/>
        <v>4007/4008</v>
      </c>
      <c r="L21" s="21" t="str">
        <f>VLOOKUP(A21,'Trips&amp;Operators'!$C$1:$G$99999,5,FALSE)</f>
        <v>SANTIZO D. EDY</v>
      </c>
      <c r="M21" s="6">
        <f t="shared" si="1"/>
        <v>2.4791666670353152E-2</v>
      </c>
      <c r="N21" s="7">
        <f t="shared" si="23"/>
        <v>35.700000005308539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-04-29T03:41:06-0600',mode:absolute,to:'2017-04-29T06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4.6399999999999997E-2</v>
      </c>
      <c r="Z21" s="192">
        <f t="shared" si="9"/>
        <v>23.3322</v>
      </c>
      <c r="AA21" s="192">
        <f t="shared" si="10"/>
        <v>23.285800000000002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0109-29</v>
      </c>
      <c r="AE21" s="80" t="str">
        <f t="shared" si="12"/>
        <v>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 &amp; 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</v>
      </c>
      <c r="AF21" s="77" t="str">
        <f t="shared" si="13"/>
        <v>"C:\Program Files (x86)\AstroGrep\AstroGrep.exe" /e /r /s /spath="%USERPROFILE%\AppData\Local\Temp\OnboardLogs" /stypes="app*4008*20170429*" /stext=" 11:.+((SYSTEM_STATE.+slice.+state.+changed )|(ment ac)|(multiple cpu faults)|(system.+state.+changed )|(\[timeout)|(PRM\|1\|D)|(kpr)|(kdp)|(train.+moving)|(\|lc)|(penalty))"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109-29 --locoid 4008 --swversion DE.1.0.9.0 --startMP 204:464 --initTime 2017-04-29T04:41:06 --startdatetime 2017-04-29T04:45:24 --delay 1 --endMP 204:233322 --enddatetime 2017-04-29T05:21:06 --enforcementcount 0 &gt;&gt;C:\Users\stu\Documents\GitHub\eaglep3-reporting\EC\2017-04-29-refined-times.txt</v>
      </c>
      <c r="AI21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{"issue":{"subject":"","project_id":79,"tracker_id":40,"status_id":1,"priority_id":2,"assigned_to_id":23,"start_date":"2017-04-29","description":"","custom_fields":[{"id":1,"name":"Subdivision","value":"EC"},{"id":4,"name":"Milepost","value":"23.3322"},{"id":17,"name":"Train ID","value":"109-29"},{"id":16,"name":"Locomotive ID","value":"4008"},{"id":130,"name":"Impact","value":""},{"id":150,"name":"Time of Event (Mountain Time)","value":"05:21:06"},{"id":151,"name":"Denver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4008 --day 2017-04-29</v>
      </c>
      <c r="AN21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11:21:06"},{"id":29,"name":"Sharepoint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638</v>
      </c>
      <c r="B22" s="7">
        <v>4007</v>
      </c>
      <c r="C22" s="21" t="s">
        <v>212</v>
      </c>
      <c r="D22" s="21" t="s">
        <v>541</v>
      </c>
      <c r="E22" s="13">
        <v>42854.224722222221</v>
      </c>
      <c r="F22" s="13">
        <v>42854.236979166664</v>
      </c>
      <c r="G22" s="7">
        <v>1</v>
      </c>
      <c r="H22" s="21" t="s">
        <v>530</v>
      </c>
      <c r="I22" s="13">
        <v>42854.263368055559</v>
      </c>
      <c r="J22" s="7">
        <v>0</v>
      </c>
      <c r="K22" s="92" t="str">
        <f t="shared" si="0"/>
        <v>4007/4008</v>
      </c>
      <c r="L22" s="21" t="str">
        <f>VLOOKUP(A22,'Trips&amp;Operators'!$C$1:$G$99999,5,FALSE)</f>
        <v>SANTIZO D. EDY</v>
      </c>
      <c r="M22" s="6">
        <f t="shared" si="1"/>
        <v>2.6388888894871343E-2</v>
      </c>
      <c r="N22" s="7">
        <f t="shared" si="23"/>
        <v>38.000000008614734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-04-29T04:23:36-0600',mode:absolute,to:'2017-04-29T07:19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23.3001</v>
      </c>
      <c r="Z22" s="192">
        <f t="shared" si="9"/>
        <v>1.61E-2</v>
      </c>
      <c r="AA22" s="192">
        <f t="shared" si="10"/>
        <v>23.283999999999999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0110-29</v>
      </c>
      <c r="AE22" s="80" t="str">
        <f t="shared" si="12"/>
        <v>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 &amp; 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</v>
      </c>
      <c r="AF22" s="77" t="str">
        <f t="shared" si="13"/>
        <v>"C:\Program Files (x86)\AstroGrep\AstroGrep.exe" /e /r /s /spath="%USERPROFILE%\AppData\Local\Temp\OnboardLogs" /stypes="app*4007*20170429*" /stext=" 12:.+((SYSTEM_STATE.+slice.+state.+changed )|(ment ac)|(multiple cpu faults)|(system.+state.+changed )|(\[timeout)|(PRM\|1\|D)|(kpr)|(kdp)|(train.+moving)|(\|lc)|(penalty))"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110-29 --locoid 4007 --swversion DE.1.0.9.0 --startMP 204:233001 --initTime 2017-04-29T05:23:36 --startdatetime 2017-04-29T05:41:15 --delay 1 --endMP 204:161 --enddatetime 2017-04-29T06:19:15 --enforcementcount 0 &gt;&gt;C:\Users\stu\Documents\GitHub\eaglep3-reporting\EC\2017-04-29-refined-times.txt</v>
      </c>
      <c r="AI22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{"issue":{"subject":"","project_id":79,"tracker_id":40,"status_id":1,"priority_id":2,"assigned_to_id":23,"start_date":"2017-04-29","description":"","custom_fields":[{"id":1,"name":"Subdivision","value":"EC"},{"id":4,"name":"Milepost","value":"0.0161"},{"id":17,"name":"Train ID","value":"110-29"},{"id":16,"name":"Locomotive ID","value":"4007"},{"id":130,"name":"Impact","value":""},{"id":150,"name":"Time of Event (Mountain Time)","value":"06:19:15"},{"id":151,"name":"Denver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4007 --day 2017-04-29</v>
      </c>
      <c r="AN22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12:19:15"},{"id":29,"name":"Sharepoint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634</v>
      </c>
      <c r="B23" s="7">
        <v>4018</v>
      </c>
      <c r="C23" s="21" t="s">
        <v>212</v>
      </c>
      <c r="D23" s="21" t="s">
        <v>825</v>
      </c>
      <c r="E23" s="13">
        <v>42854.206388888888</v>
      </c>
      <c r="F23" s="13">
        <v>42854.208657407406</v>
      </c>
      <c r="G23" s="7">
        <v>1</v>
      </c>
      <c r="H23" s="21" t="s">
        <v>826</v>
      </c>
      <c r="I23" s="13">
        <v>42854.233506944445</v>
      </c>
      <c r="J23" s="7">
        <v>0</v>
      </c>
      <c r="K23" s="92" t="str">
        <f t="shared" si="0"/>
        <v>4017/4018</v>
      </c>
      <c r="L23" s="21" t="str">
        <f>VLOOKUP(A23,'Trips&amp;Operators'!$C$1:$G$99999,5,FALSE)</f>
        <v>LOZA FIDEL</v>
      </c>
      <c r="M23" s="6">
        <f t="shared" si="1"/>
        <v>2.4849537039699499E-2</v>
      </c>
      <c r="N23" s="7">
        <f t="shared" si="23"/>
        <v>35.783333337167278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-04-29T03:57:12-0600',mode:absolute,to:'2017-04-29T06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7.6499999999999999E-2</v>
      </c>
      <c r="Z23" s="192">
        <f t="shared" si="9"/>
        <v>23.333100000000002</v>
      </c>
      <c r="AA23" s="192">
        <f t="shared" si="10"/>
        <v>23.256600000000002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0111-29</v>
      </c>
      <c r="AE23" s="80" t="str">
        <f t="shared" si="12"/>
        <v>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 &amp; aws s3 cp s3://rtdc.mdm.uploadarchive.raw/RTDC4018/ "%USERPROFILE%\AppData\Local\Temp\OnboardLogs"\RTDC4018\2017-04-30 --exclude "*" --recursive --include "*20170430*" &amp; "%USERPROFILE%\Documents\GitHub\mrs-test-scripts\Headless Mode &amp; Sideloading\WalkAndUnGZ.bat" "%USERPROFILE%\AppData\Local\Temp\OnboardLogs"\RTDC4018\2017-04-30</v>
      </c>
      <c r="AF23" s="77" t="str">
        <f t="shared" si="13"/>
        <v>"C:\Program Files (x86)\AstroGrep\AstroGrep.exe" /e /r /s /spath="%USERPROFILE%\AppData\Local\Temp\OnboardLogs" /stypes="app*4018*20170429*" /stext=" 11:.+((SYSTEM_STATE.+slice.+state.+changed )|(ment ac)|(multiple cpu faults)|(system.+state.+changed )|(\[timeout)|(PRM\|1\|D)|(kpr)|(kdp)|(train.+moving)|(\|lc)|(penalty))"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111-29 --locoid 4018 --swversion DE.1.0.9.0 --startMP 204:765 --initTime 2017-04-29T04:57:12 --startdatetime 2017-04-29T05:00:28 --delay 1 --endMP 204:233331 --enddatetime 2017-04-29T05:36:15 --enforcementcount 0 &gt;&gt;C:\Users\stu\Documents\GitHub\eaglep3-reporting\EC\2017-04-29-refined-times.txt</v>
      </c>
      <c r="AI23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{"issue":{"subject":"","project_id":79,"tracker_id":40,"status_id":1,"priority_id":2,"assigned_to_id":23,"start_date":"2017-04-29","description":"","custom_fields":[{"id":1,"name":"Subdivision","value":"EC"},{"id":4,"name":"Milepost","value":"23.3331"},{"id":17,"name":"Train ID","value":"111-29"},{"id":16,"name":"Locomotive ID","value":"4018"},{"id":130,"name":"Impact","value":""},{"id":150,"name":"Time of Event (Mountain Time)","value":"05:36:15"},{"id":151,"name":"Denver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4018 --day 2017-04-29</v>
      </c>
      <c r="AN23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11:36:15"},{"id":29,"name":"Sharepoint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645</v>
      </c>
      <c r="B24" s="7">
        <v>4017</v>
      </c>
      <c r="C24" s="21" t="s">
        <v>212</v>
      </c>
      <c r="D24" s="21" t="s">
        <v>533</v>
      </c>
      <c r="E24" s="13">
        <v>42854.243993055556</v>
      </c>
      <c r="F24" s="13">
        <v>42854.247442129628</v>
      </c>
      <c r="G24" s="7">
        <v>3</v>
      </c>
      <c r="H24" s="21" t="s">
        <v>827</v>
      </c>
      <c r="I24" s="13">
        <v>42854.273657407408</v>
      </c>
      <c r="J24" s="7">
        <v>0</v>
      </c>
      <c r="K24" s="92" t="str">
        <f t="shared" si="0"/>
        <v>4017/4018</v>
      </c>
      <c r="L24" s="21" t="str">
        <f>VLOOKUP(A24,'Trips&amp;Operators'!$C$1:$G$99999,5,FALSE)</f>
        <v>LOZA FIDEL</v>
      </c>
      <c r="M24" s="6">
        <f t="shared" si="1"/>
        <v>2.6215277779556345E-2</v>
      </c>
      <c r="N24" s="7">
        <f t="shared" si="23"/>
        <v>37.750000002561137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-04-29T04:51:21-0600',mode:absolute,to:'2017-04-29T07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23.300599999999999</v>
      </c>
      <c r="Z24" s="192">
        <f t="shared" si="9"/>
        <v>1.6500000000000001E-2</v>
      </c>
      <c r="AA24" s="192">
        <f t="shared" si="10"/>
        <v>23.284099999999999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0112-29</v>
      </c>
      <c r="AE24" s="80" t="str">
        <f t="shared" si="12"/>
        <v>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 &amp; aws s3 cp s3://rtdc.mdm.uploadarchive.raw/RTDC4017/ "%USERPROFILE%\AppData\Local\Temp\OnboardLogs"\RTDC4017\2017-04-30 --exclude "*" --recursive --include "*20170430*" &amp; "%USERPROFILE%\Documents\GitHub\mrs-test-scripts\Headless Mode &amp; Sideloading\WalkAndUnGZ.bat" "%USERPROFILE%\AppData\Local\Temp\OnboardLogs"\RTDC4017\2017-04-30</v>
      </c>
      <c r="AF24" s="77" t="str">
        <f t="shared" si="13"/>
        <v>"C:\Program Files (x86)\AstroGrep\AstroGrep.exe" /e /r /s /spath="%USERPROFILE%\AppData\Local\Temp\OnboardLogs" /stypes="app*4017*20170429*" /stext=" 12:.+((SYSTEM_STATE.+slice.+state.+changed )|(ment ac)|(multiple cpu faults)|(system.+state.+changed )|(\[timeout)|(PRM\|1\|D)|(kpr)|(kdp)|(train.+moving)|(\|lc)|(penalty))"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112-29 --locoid 4017 --swversion DE.1.0.9.0 --startMP 204:233006 --initTime 2017-04-29T05:51:21 --startdatetime 2017-04-29T05:56:19 --delay 3 --endMP 204:165 --enddatetime 2017-04-29T06:34:04 --enforcementcount 0 &gt;&gt;C:\Users\stu\Documents\GitHub\eaglep3-reporting\EC\2017-04-29-refined-times.txt</v>
      </c>
      <c r="AI24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{"issue":{"subject":"","project_id":79,"tracker_id":40,"status_id":1,"priority_id":2,"assigned_to_id":23,"start_date":"2017-04-29","description":"","custom_fields":[{"id":1,"name":"Subdivision","value":"EC"},{"id":4,"name":"Milepost","value":"0.0165"},{"id":17,"name":"Train ID","value":"112-29"},{"id":16,"name":"Locomotive ID","value":"4017"},{"id":130,"name":"Impact","value":""},{"id":150,"name":"Time of Event (Mountain Time)","value":"06:34:04"},{"id":151,"name":"Denver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4017 --day 2017-04-29</v>
      </c>
      <c r="AN24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12:34:04"},{"id":29,"name":"Sharepoint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636</v>
      </c>
      <c r="B25" s="7">
        <v>4010</v>
      </c>
      <c r="C25" s="21" t="s">
        <v>212</v>
      </c>
      <c r="D25" s="21" t="s">
        <v>494</v>
      </c>
      <c r="E25" s="13">
        <v>42854.215324074074</v>
      </c>
      <c r="F25" s="13">
        <v>42854.218969907408</v>
      </c>
      <c r="G25" s="7">
        <v>1</v>
      </c>
      <c r="H25" s="21" t="s">
        <v>828</v>
      </c>
      <c r="I25" s="13">
        <v>42854.243564814817</v>
      </c>
      <c r="J25" s="7">
        <v>0</v>
      </c>
      <c r="K25" s="92" t="str">
        <f t="shared" si="0"/>
        <v>4009/4010</v>
      </c>
      <c r="L25" s="21" t="str">
        <f>VLOOKUP(A25,'Trips&amp;Operators'!$C$1:$G$99999,5,FALSE)</f>
        <v>COOLAHAN JOHN</v>
      </c>
      <c r="M25" s="6">
        <f t="shared" si="1"/>
        <v>2.4594907408754807E-2</v>
      </c>
      <c r="N25" s="7">
        <f t="shared" si="23"/>
        <v>35.416666668606922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-04-29T04:10:04-0600',mode:absolute,to:'2017-04-29T06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4.3799999999999999E-2</v>
      </c>
      <c r="Z25" s="192">
        <f t="shared" si="9"/>
        <v>23.335899999999999</v>
      </c>
      <c r="AA25" s="192">
        <f t="shared" si="10"/>
        <v>23.292099999999998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0113-29</v>
      </c>
      <c r="AE25" s="80" t="str">
        <f t="shared" si="12"/>
        <v>aws s3 cp s3://rtdc.mdm.uploadarchive.raw/RTDC4010/ "%USERPROFILE%\AppData\Local\Temp\OnboardLogs"\RTDC4010\2017-04-29 --exclude "*" --recursive --include "*20170429*" &amp; "%USERPROFILE%\Documents\GitHub\mrs-test-scripts\Headless Mode &amp; Sideloading\WalkAndUnGZ.bat" "%USERPROFILE%\AppData\Local\Temp\OnboardLogs"\RTDC4010\2017-04-29 &amp; aws s3 cp s3://rtdc.mdm.uploadarchive.raw/RTDC4010/ "%USERPROFILE%\AppData\Local\Temp\OnboardLogs"\RTDC4010\2017-04-30 --exclude "*" --recursive --include "*20170430*" &amp; "%USERPROFILE%\Documents\GitHub\mrs-test-scripts\Headless Mode &amp; Sideloading\WalkAndUnGZ.bat" "%USERPROFILE%\AppData\Local\Temp\OnboardLogs"\RTDC4010\2017-04-30</v>
      </c>
      <c r="AF25" s="77" t="str">
        <f t="shared" si="13"/>
        <v>"C:\Program Files (x86)\AstroGrep\AstroGrep.exe" /e /r /s /spath="%USERPROFILE%\AppData\Local\Temp\OnboardLogs" /stypes="app*4010*20170429*" /stext=" 11:.+((SYSTEM_STATE.+slice.+state.+changed )|(ment ac)|(multiple cpu faults)|(system.+state.+changed )|(\[timeout)|(PRM\|1\|D)|(kpr)|(kdp)|(train.+moving)|(\|lc)|(penalty))"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113-29 --locoid 4010 --swversion DE.1.0.9.0 --startMP 204:438 --initTime 2017-04-29T05:10:04 --startdatetime 2017-04-29T05:15:19 --delay 1 --endMP 204:233359 --enddatetime 2017-04-29T05:50:44 --enforcementcount 0 &gt;&gt;C:\Users\stu\Documents\GitHub\eaglep3-reporting\EC\2017-04-29-refined-times.txt</v>
      </c>
      <c r="AI25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{"issue":{"subject":"","project_id":79,"tracker_id":40,"status_id":1,"priority_id":2,"assigned_to_id":23,"start_date":"2017-04-29","description":"","custom_fields":[{"id":1,"name":"Subdivision","value":"EC"},{"id":4,"name":"Milepost","value":"23.3359"},{"id":17,"name":"Train ID","value":"113-29"},{"id":16,"name":"Locomotive ID","value":"4010"},{"id":130,"name":"Impact","value":""},{"id":150,"name":"Time of Event (Mountain Time)","value":"05:50:44"},{"id":151,"name":"Denver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4010 --day 2017-04-29</v>
      </c>
      <c r="AN25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11:50:44"},{"id":29,"name":"Sharepoint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560</v>
      </c>
      <c r="B26" s="7">
        <v>4009</v>
      </c>
      <c r="C26" s="21" t="s">
        <v>212</v>
      </c>
      <c r="D26" s="21" t="s">
        <v>437</v>
      </c>
      <c r="E26" s="13">
        <v>42854.251527777778</v>
      </c>
      <c r="F26" s="13">
        <v>42854.257870370369</v>
      </c>
      <c r="G26" s="7">
        <v>1</v>
      </c>
      <c r="H26" s="21" t="s">
        <v>487</v>
      </c>
      <c r="I26" s="13">
        <v>42854.285057870373</v>
      </c>
      <c r="J26" s="7">
        <v>0</v>
      </c>
      <c r="K26" s="92" t="str">
        <f t="shared" si="0"/>
        <v>4009/4010</v>
      </c>
      <c r="L26" s="21" t="str">
        <f>VLOOKUP(A26,'Trips&amp;Operators'!$C$1:$G$99999,5,FALSE)</f>
        <v>COOLAHAN JOHN</v>
      </c>
      <c r="M26" s="6">
        <f t="shared" si="1"/>
        <v>2.718750000349246E-2</v>
      </c>
      <c r="N26" s="7">
        <f t="shared" si="23"/>
        <v>39.150000005029142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-04-29T05:02:12-0600',mode:absolute,to:'2017-04-29T07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23.2988</v>
      </c>
      <c r="Z26" s="192">
        <f t="shared" si="9"/>
        <v>1.2999999999999999E-2</v>
      </c>
      <c r="AA26" s="192">
        <f t="shared" si="10"/>
        <v>23.285799999999998</v>
      </c>
      <c r="AB26" s="57" t="str">
        <f>VLOOKUP(A26,Enforcements!$C$7:$K$13,8,0)</f>
        <v>Bulletin (2)</v>
      </c>
      <c r="AC26" s="53" t="str">
        <f>VLOOKUP(A26,Enforcements!$C$7:$E$13,3,0)</f>
        <v>GRADE CROSSING</v>
      </c>
      <c r="AD26" s="54" t="str">
        <f t="shared" si="11"/>
        <v>0114-29</v>
      </c>
      <c r="AE26" s="80" t="str">
        <f t="shared" si="12"/>
        <v>aws s3 cp s3://rtdc.mdm.uploadarchive.raw/RTDC4009/ "%USERPROFILE%\AppData\Local\Temp\OnboardLogs"\RTDC4009\2017-04-29 --exclude "*" --recursive --include "*20170429*" &amp; "%USERPROFILE%\Documents\GitHub\mrs-test-scripts\Headless Mode &amp; Sideloading\WalkAndUnGZ.bat" "%USERPROFILE%\AppData\Local\Temp\OnboardLogs"\RTDC4009\2017-04-29 &amp; aws s3 cp s3://rtdc.mdm.uploadarchive.raw/RTDC4009/ "%USERPROFILE%\AppData\Local\Temp\OnboardLogs"\RTDC4009\2017-04-30 --exclude "*" --recursive --include "*20170430*" &amp; "%USERPROFILE%\Documents\GitHub\mrs-test-scripts\Headless Mode &amp; Sideloading\WalkAndUnGZ.bat" "%USERPROFILE%\AppData\Local\Temp\OnboardLogs"\RTDC4009\2017-04-30</v>
      </c>
      <c r="AF26" s="77" t="str">
        <f t="shared" si="13"/>
        <v>"C:\Program Files (x86)\AstroGrep\AstroGrep.exe" /e /r /s /spath="%USERPROFILE%\AppData\Local\Temp\OnboardLogs" /stypes="app*4009*20170429*" /stext=" 12:.+((SYSTEM_STATE.+slice.+state.+changed )|(ment ac)|(multiple cpu faults)|(system.+state.+changed )|(\[timeout)|(PRM\|1\|D)|(kpr)|(kdp)|(train.+moving)|(\|lc)|(penalty))"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114-29 --locoid 4009 --swversion DE.1.0.9.0 --startMP 204:232988 --initTime 2017-04-29T06:02:12 --startdatetime 2017-04-29T06:11:20 --delay 1 --endMP 204:130 --enddatetime 2017-04-29T06:50:29 --enforcementcount 0 &gt;&gt;C:\Users\stu\Documents\GitHub\eaglep3-reporting\EC\2017-04-29-refined-times.txt</v>
      </c>
      <c r="AI26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{"issue":{"subject":"","project_id":79,"tracker_id":40,"status_id":1,"priority_id":2,"assigned_to_id":23,"start_date":"2017-04-29","description":"","custom_fields":[{"id":1,"name":"Subdivision","value":"EC"},{"id":4,"name":"Milepost","value":"0.013"},{"id":17,"name":"Train ID","value":"114-29"},{"id":16,"name":"Locomotive ID","value":"4009"},{"id":130,"name":"Impact","value":""},{"id":150,"name":"Time of Event (Mountain Time)","value":"06:50:29"},{"id":151,"name":"Denver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4009 --day 2017-04-29</v>
      </c>
      <c r="AN26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12:50:29"},{"id":29,"name":"Sharepoint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639</v>
      </c>
      <c r="B27" s="7">
        <v>4004</v>
      </c>
      <c r="C27" s="21" t="s">
        <v>212</v>
      </c>
      <c r="D27" s="21" t="s">
        <v>829</v>
      </c>
      <c r="E27" s="13">
        <v>42854.226446759261</v>
      </c>
      <c r="F27" s="13">
        <v>42854.229502314818</v>
      </c>
      <c r="G27" s="7">
        <v>1</v>
      </c>
      <c r="H27" s="21" t="s">
        <v>830</v>
      </c>
      <c r="I27" s="13">
        <v>42854.255787037036</v>
      </c>
      <c r="J27" s="7">
        <v>0</v>
      </c>
      <c r="K27" s="92" t="str">
        <f t="shared" si="0"/>
        <v>4003/4004</v>
      </c>
      <c r="L27" s="21" t="str">
        <f>VLOOKUP(A27,'Trips&amp;Operators'!$C$1:$G$99999,5,FALSE)</f>
        <v>MAYBERRY BILL</v>
      </c>
      <c r="M27" s="6">
        <f t="shared" si="1"/>
        <v>2.6284722218406387E-2</v>
      </c>
      <c r="N27" s="7">
        <f t="shared" si="23"/>
        <v>37.849999994505197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-04-29T04:26:05-0600',mode:absolute,to:'2017-04-29T07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7.4800000000000005E-2</v>
      </c>
      <c r="Z27" s="192">
        <f t="shared" si="9"/>
        <v>23.331900000000001</v>
      </c>
      <c r="AA27" s="192">
        <f t="shared" si="10"/>
        <v>23.257100000000001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0115-29</v>
      </c>
      <c r="AE27" s="80" t="str">
        <f t="shared" si="12"/>
        <v>aws s3 cp s3://rtdc.mdm.uploadarchive.raw/RTDC4004/ "%USERPROFILE%\AppData\Local\Temp\OnboardLogs"\RTDC4004\2017-04-29 --exclude "*" --recursive --include "*20170429*" &amp; "%USERPROFILE%\Documents\GitHub\mrs-test-scripts\Headless Mode &amp; Sideloading\WalkAndUnGZ.bat" "%USERPROFILE%\AppData\Local\Temp\OnboardLogs"\RTDC4004\2017-04-29 &amp; aws s3 cp s3://rtdc.mdm.uploadarchive.raw/RTDC4004/ "%USERPROFILE%\AppData\Local\Temp\OnboardLogs"\RTDC4004\2017-04-30 --exclude "*" --recursive --include "*20170430*" &amp; "%USERPROFILE%\Documents\GitHub\mrs-test-scripts\Headless Mode &amp; Sideloading\WalkAndUnGZ.bat" "%USERPROFILE%\AppData\Local\Temp\OnboardLogs"\RTDC4004\2017-04-30</v>
      </c>
      <c r="AF27" s="77" t="str">
        <f t="shared" si="13"/>
        <v>"C:\Program Files (x86)\AstroGrep\AstroGrep.exe" /e /r /s /spath="%USERPROFILE%\AppData\Local\Temp\OnboardLogs" /stypes="app*4004*20170429*" /stext=" 12:.+((SYSTEM_STATE.+slice.+state.+changed )|(ment ac)|(multiple cpu faults)|(system.+state.+changed )|(\[timeout)|(PRM\|1\|D)|(kpr)|(kdp)|(train.+moving)|(\|lc)|(penalty))"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115-29 --locoid 4004 --swversion DE.1.0.9.0 --startMP 204:748 --initTime 2017-04-29T05:26:05 --startdatetime 2017-04-29T05:30:29 --delay 1 --endMP 204:233319 --enddatetime 2017-04-29T06:08:20 --enforcementcount 0 &gt;&gt;C:\Users\stu\Documents\GitHub\eaglep3-reporting\EC\2017-04-29-refined-times.txt</v>
      </c>
      <c r="AI27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{"issue":{"subject":"","project_id":79,"tracker_id":40,"status_id":1,"priority_id":2,"assigned_to_id":23,"start_date":"2017-04-29","description":"","custom_fields":[{"id":1,"name":"Subdivision","value":"EC"},{"id":4,"name":"Milepost","value":"23.3319"},{"id":17,"name":"Train ID","value":"115-29"},{"id":16,"name":"Locomotive ID","value":"4004"},{"id":130,"name":"Impact","value":""},{"id":150,"name":"Time of Event (Mountain Time)","value":"06:08:20"},{"id":151,"name":"Denver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4004 --day 2017-04-29</v>
      </c>
      <c r="AN27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12:08:20"},{"id":29,"name":"Sharepoint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650</v>
      </c>
      <c r="B28" s="7">
        <v>4003</v>
      </c>
      <c r="C28" s="21" t="s">
        <v>212</v>
      </c>
      <c r="D28" s="21" t="s">
        <v>384</v>
      </c>
      <c r="E28" s="13">
        <v>42854.263067129628</v>
      </c>
      <c r="F28" s="13">
        <v>42854.268275462964</v>
      </c>
      <c r="G28" s="7">
        <v>1</v>
      </c>
      <c r="H28" s="21" t="s">
        <v>531</v>
      </c>
      <c r="I28" s="13">
        <v>42854.297037037039</v>
      </c>
      <c r="J28" s="7">
        <v>0</v>
      </c>
      <c r="K28" s="92" t="str">
        <f t="shared" si="0"/>
        <v>4003/4004</v>
      </c>
      <c r="L28" s="21" t="str">
        <f>VLOOKUP(A28,'Trips&amp;Operators'!$C$1:$G$99999,5,FALSE)</f>
        <v>MAYBERRY BILL</v>
      </c>
      <c r="M28" s="6">
        <f t="shared" si="1"/>
        <v>2.8761574074451346E-2</v>
      </c>
      <c r="N28" s="7">
        <f t="shared" si="23"/>
        <v>41.416666667209938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-04-29T05:18:49-0600',mode:absolute,to:'2017-04-29T08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23.2989</v>
      </c>
      <c r="Z28" s="192">
        <f t="shared" si="9"/>
        <v>1.3599999999999999E-2</v>
      </c>
      <c r="AA28" s="192">
        <f t="shared" si="10"/>
        <v>23.285299999999999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0116-29</v>
      </c>
      <c r="AE28" s="80" t="str">
        <f t="shared" si="12"/>
        <v>aws s3 cp s3://rtdc.mdm.uploadarchive.raw/RTDC4003/ "%USERPROFILE%\AppData\Local\Temp\OnboardLogs"\RTDC4003\2017-04-29 --exclude "*" --recursive --include "*20170429*" &amp; "%USERPROFILE%\Documents\GitHub\mrs-test-scripts\Headless Mode &amp; Sideloading\WalkAndUnGZ.bat" "%USERPROFILE%\AppData\Local\Temp\OnboardLogs"\RTDC4003\2017-04-29 &amp; aws s3 cp s3://rtdc.mdm.uploadarchive.raw/RTDC4003/ "%USERPROFILE%\AppData\Local\Temp\OnboardLogs"\RTDC4003\2017-04-30 --exclude "*" --recursive --include "*20170430*" &amp; "%USERPROFILE%\Documents\GitHub\mrs-test-scripts\Headless Mode &amp; Sideloading\WalkAndUnGZ.bat" "%USERPROFILE%\AppData\Local\Temp\OnboardLogs"\RTDC4003\2017-04-30</v>
      </c>
      <c r="AF28" s="77" t="str">
        <f t="shared" si="13"/>
        <v>"C:\Program Files (x86)\AstroGrep\AstroGrep.exe" /e /r /s /spath="%USERPROFILE%\AppData\Local\Temp\OnboardLogs" /stypes="app*4003*20170429*" /stext=" 13:.+((SYSTEM_STATE.+slice.+state.+changed )|(ment ac)|(multiple cpu faults)|(system.+state.+changed )|(\[timeout)|(PRM\|1\|D)|(kpr)|(kdp)|(train.+moving)|(\|lc)|(penalty))"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116-29 --locoid 4003 --swversion DE.1.0.9.0 --startMP 204:232989 --initTime 2017-04-29T06:18:49 --startdatetime 2017-04-29T06:26:19 --delay 1 --endMP 204:136 --enddatetime 2017-04-29T07:07:44 --enforcementcount 0 &gt;&gt;C:\Users\stu\Documents\GitHub\eaglep3-reporting\EC\2017-04-29-refined-times.txt</v>
      </c>
      <c r="AI28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{"issue":{"subject":"","project_id":79,"tracker_id":40,"status_id":1,"priority_id":2,"assigned_to_id":23,"start_date":"2017-04-29","description":"","custom_fields":[{"id":1,"name":"Subdivision","value":"EC"},{"id":4,"name":"Milepost","value":"0.0136"},{"id":17,"name":"Train ID","value":"116-29"},{"id":16,"name":"Locomotive ID","value":"4003"},{"id":130,"name":"Impact","value":""},{"id":150,"name":"Time of Event (Mountain Time)","value":"07:07:44"},{"id":151,"name":"Denver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4003 --day 2017-04-29</v>
      </c>
      <c r="AN28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13:07:44"},{"id":29,"name":"Sharepoint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643</v>
      </c>
      <c r="B29" s="7">
        <v>4026</v>
      </c>
      <c r="C29" s="21" t="s">
        <v>212</v>
      </c>
      <c r="D29" s="21" t="s">
        <v>424</v>
      </c>
      <c r="E29" s="13">
        <v>42854.231840277775</v>
      </c>
      <c r="F29" s="13">
        <v>42854.239872685182</v>
      </c>
      <c r="G29" s="7">
        <v>1</v>
      </c>
      <c r="H29" s="21" t="s">
        <v>436</v>
      </c>
      <c r="I29" s="13">
        <v>42854.264317129629</v>
      </c>
      <c r="J29" s="7">
        <v>0</v>
      </c>
      <c r="K29" s="92" t="str">
        <f t="shared" si="0"/>
        <v>4025/4026</v>
      </c>
      <c r="L29" s="21" t="str">
        <f>VLOOKUP(A29,'Trips&amp;Operators'!$C$1:$G$99999,5,FALSE)</f>
        <v>ROBINSON KADDIBA</v>
      </c>
      <c r="M29" s="6">
        <f t="shared" si="1"/>
        <v>2.4444444446999114E-2</v>
      </c>
      <c r="N29" s="7">
        <f t="shared" si="23"/>
        <v>35.200000003678724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-04-29T04:33:51-0600',mode:absolute,to:'2017-04-29T07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4.6899999999999997E-2</v>
      </c>
      <c r="Z29" s="192">
        <f t="shared" si="9"/>
        <v>23.331399999999999</v>
      </c>
      <c r="AA29" s="192">
        <f t="shared" si="10"/>
        <v>23.284499999999998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0117-29</v>
      </c>
      <c r="AE29" s="80" t="str">
        <f t="shared" si="12"/>
        <v>aws s3 cp s3://rtdc.mdm.uploadarchive.raw/RTDC4026/ "%USERPROFILE%\AppData\Local\Temp\OnboardLogs"\RTDC4026\2017-04-29 --exclude "*" --recursive --include "*20170429*" &amp; "%USERPROFILE%\Documents\GitHub\mrs-test-scripts\Headless Mode &amp; Sideloading\WalkAndUnGZ.bat" "%USERPROFILE%\AppData\Local\Temp\OnboardLogs"\RTDC4026\2017-04-29 &amp; 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</v>
      </c>
      <c r="AF29" s="77" t="str">
        <f t="shared" si="13"/>
        <v>"C:\Program Files (x86)\AstroGrep\AstroGrep.exe" /e /r /s /spath="%USERPROFILE%\AppData\Local\Temp\OnboardLogs" /stypes="app*4026*20170429*" /stext=" 12:.+((SYSTEM_STATE.+slice.+state.+changed )|(ment ac)|(multiple cpu faults)|(system.+state.+changed )|(\[timeout)|(PRM\|1\|D)|(kpr)|(kdp)|(train.+moving)|(\|lc)|(penalty))"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117-29 --locoid 4026 --swversion DE.1.0.9.0 --startMP 204:469 --initTime 2017-04-29T05:33:51 --startdatetime 2017-04-29T05:45:25 --delay 1 --endMP 204:233314 --enddatetime 2017-04-29T06:20:37 --enforcementcount 0 &gt;&gt;C:\Users\stu\Documents\GitHub\eaglep3-reporting\EC\2017-04-29-refined-times.txt</v>
      </c>
      <c r="AI29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{"issue":{"subject":"","project_id":79,"tracker_id":40,"status_id":1,"priority_id":2,"assigned_to_id":23,"start_date":"2017-04-29","description":"","custom_fields":[{"id":1,"name":"Subdivision","value":"EC"},{"id":4,"name":"Milepost","value":"23.3314"},{"id":17,"name":"Train ID","value":"117-29"},{"id":16,"name":"Locomotive ID","value":"4026"},{"id":130,"name":"Impact","value":""},{"id":150,"name":"Time of Event (Mountain Time)","value":"06:20:37"},{"id":151,"name":"Denver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4026 --day 2017-04-29</v>
      </c>
      <c r="AN29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12:20:37"},{"id":29,"name":"Sharepoint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652</v>
      </c>
      <c r="B30" s="7">
        <v>4025</v>
      </c>
      <c r="C30" s="21" t="s">
        <v>212</v>
      </c>
      <c r="D30" s="21" t="s">
        <v>831</v>
      </c>
      <c r="E30" s="13">
        <v>42854.266064814816</v>
      </c>
      <c r="F30" s="13">
        <v>42854.278634259259</v>
      </c>
      <c r="G30" s="7">
        <v>1</v>
      </c>
      <c r="H30" s="21" t="s">
        <v>414</v>
      </c>
      <c r="I30" s="13">
        <v>42854.305925925924</v>
      </c>
      <c r="J30" s="7">
        <v>0</v>
      </c>
      <c r="K30" s="92" t="str">
        <f t="shared" si="0"/>
        <v>4025/4026</v>
      </c>
      <c r="L30" s="21" t="str">
        <f>VLOOKUP(A30,'Trips&amp;Operators'!$C$1:$G$99999,5,FALSE)</f>
        <v>ROBINSON KADDIBA</v>
      </c>
      <c r="M30" s="6">
        <f t="shared" si="1"/>
        <v>2.7291666665405501E-2</v>
      </c>
      <c r="N30" s="7">
        <f t="shared" si="23"/>
        <v>39.299999998183921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-04-29T05:23:08-0600',mode:absolute,to:'2017-04-29T08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192" t="str">
        <f t="shared" si="6"/>
        <v>N</v>
      </c>
      <c r="X30" s="192">
        <f t="shared" ref="X30:X35" si="24">VALUE(LEFT(AD30,4))-VALUE(LEFT(AD29,4))</f>
        <v>1</v>
      </c>
      <c r="Y30" s="192">
        <f t="shared" si="8"/>
        <v>23.299199999999999</v>
      </c>
      <c r="Z30" s="192">
        <f t="shared" si="9"/>
        <v>1.49E-2</v>
      </c>
      <c r="AA30" s="192">
        <f t="shared" si="10"/>
        <v>23.284299999999998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0118-29</v>
      </c>
      <c r="AE30" s="80" t="str">
        <f t="shared" si="12"/>
        <v>aws s3 cp s3://rtdc.mdm.uploadarchive.raw/RTDC4025/ "%USERPROFILE%\AppData\Local\Temp\OnboardLogs"\RTDC4025\2017-04-29 --exclude "*" --recursive --include "*20170429*" &amp; "%USERPROFILE%\Documents\GitHub\mrs-test-scripts\Headless Mode &amp; Sideloading\WalkAndUnGZ.bat" "%USERPROFILE%\AppData\Local\Temp\OnboardLogs"\RTDC4025\2017-04-29 &amp; 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</v>
      </c>
      <c r="AF30" s="77" t="str">
        <f t="shared" si="13"/>
        <v>"C:\Program Files (x86)\AstroGrep\AstroGrep.exe" /e /r /s /spath="%USERPROFILE%\AppData\Local\Temp\OnboardLogs" /stypes="app*4025*20170429*" /stext=" 13:.+((SYSTEM_STATE.+slice.+state.+changed )|(ment ac)|(multiple cpu faults)|(system.+state.+changed )|(\[timeout)|(PRM\|1\|D)|(kpr)|(kdp)|(train.+moving)|(\|lc)|(penalty))"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118-29 --locoid 4025 --swversion DE.1.0.9.0 --startMP 204:232992 --initTime 2017-04-29T06:23:08 --startdatetime 2017-04-29T06:41:14 --delay 1 --endMP 204:149 --enddatetime 2017-04-29T07:20:32 --enforcementcount 0 &gt;&gt;C:\Users\stu\Documents\GitHub\eaglep3-reporting\EC\2017-04-29-refined-times.txt</v>
      </c>
      <c r="AI30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{"issue":{"subject":"","project_id":79,"tracker_id":40,"status_id":1,"priority_id":2,"assigned_to_id":23,"start_date":"2017-04-29","description":"","custom_fields":[{"id":1,"name":"Subdivision","value":"EC"},{"id":4,"name":"Milepost","value":"0.0149"},{"id":17,"name":"Train ID","value":"118-29"},{"id":16,"name":"Locomotive ID","value":"4025"},{"id":130,"name":"Impact","value":""},{"id":150,"name":"Time of Event (Mountain Time)","value":"07:20:32"},{"id":151,"name":"Denver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4025 --day 2017-04-29</v>
      </c>
      <c r="AN30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13:20:32"},{"id":29,"name":"Sharepoint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647</v>
      </c>
      <c r="B31" s="7">
        <v>4028</v>
      </c>
      <c r="C31" s="21" t="s">
        <v>212</v>
      </c>
      <c r="D31" s="21" t="s">
        <v>832</v>
      </c>
      <c r="E31" s="13">
        <v>42854.250416666669</v>
      </c>
      <c r="F31" s="13">
        <v>42854.252152777779</v>
      </c>
      <c r="G31" s="7">
        <v>1</v>
      </c>
      <c r="H31" s="21" t="s">
        <v>544</v>
      </c>
      <c r="I31" s="13">
        <v>42854.277094907404</v>
      </c>
      <c r="J31" s="7">
        <v>0</v>
      </c>
      <c r="K31" s="92" t="str">
        <f t="shared" si="0"/>
        <v>4027/4028</v>
      </c>
      <c r="L31" s="21" t="str">
        <f>VLOOKUP(A31,'Trips&amp;Operators'!$C$1:$G$99999,5,FALSE)</f>
        <v>MAELZER KURT</v>
      </c>
      <c r="M31" s="6">
        <f t="shared" si="1"/>
        <v>2.4942129624832887E-2</v>
      </c>
      <c r="N31" s="7">
        <f t="shared" si="23"/>
        <v>35.916666659759358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-04-29T05:00:36-0600',mode:absolute,to:'2017-04-29T07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192" t="str">
        <f t="shared" si="6"/>
        <v>N</v>
      </c>
      <c r="X31" s="192">
        <f t="shared" si="24"/>
        <v>1</v>
      </c>
      <c r="Y31" s="192">
        <f t="shared" si="8"/>
        <v>7.9000000000000001E-2</v>
      </c>
      <c r="Z31" s="192">
        <f t="shared" si="9"/>
        <v>23.3355</v>
      </c>
      <c r="AA31" s="192">
        <f t="shared" si="10"/>
        <v>23.256499999999999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0119-29</v>
      </c>
      <c r="AE31" s="80" t="str">
        <f t="shared" si="12"/>
        <v>aws s3 cp s3://rtdc.mdm.uploadarchive.raw/RTDC4028/ "%USERPROFILE%\AppData\Local\Temp\OnboardLogs"\RTDC4028\2017-04-29 --exclude "*" --recursive --include "*20170429*" &amp; "%USERPROFILE%\Documents\GitHub\mrs-test-scripts\Headless Mode &amp; Sideloading\WalkAndUnGZ.bat" "%USERPROFILE%\AppData\Local\Temp\OnboardLogs"\RTDC4028\2017-04-29 &amp; 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</v>
      </c>
      <c r="AF31" s="77" t="str">
        <f t="shared" si="13"/>
        <v>"C:\Program Files (x86)\AstroGrep\AstroGrep.exe" /e /r /s /spath="%USERPROFILE%\AppData\Local\Temp\OnboardLogs" /stypes="app*4028*20170429*" /stext=" 12:.+((SYSTEM_STATE.+slice.+state.+changed )|(ment ac)|(multiple cpu faults)|(system.+state.+changed )|(\[timeout)|(PRM\|1\|D)|(kpr)|(kdp)|(train.+moving)|(\|lc)|(penalty))"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119-29 --locoid 4028 --swversion DE.1.0.9.0 --startMP 204:790 --initTime 2017-04-29T06:00:36 --startdatetime 2017-04-29T06:03:06 --delay 1 --endMP 204:233355 --enddatetime 2017-04-29T06:39:01 --enforcementcount 0 &gt;&gt;C:\Users\stu\Documents\GitHub\eaglep3-reporting\EC\2017-04-29-refined-times.txt</v>
      </c>
      <c r="AI31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{"issue":{"subject":"","project_id":79,"tracker_id":40,"status_id":1,"priority_id":2,"assigned_to_id":23,"start_date":"2017-04-29","description":"","custom_fields":[{"id":1,"name":"Subdivision","value":"EC"},{"id":4,"name":"Milepost","value":"23.3355"},{"id":17,"name":"Train ID","value":"119-29"},{"id":16,"name":"Locomotive ID","value":"4028"},{"id":130,"name":"Impact","value":""},{"id":150,"name":"Time of Event (Mountain Time)","value":"06:39:01"},{"id":151,"name":"Denver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4028 --day 2017-04-29</v>
      </c>
      <c r="AN31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12:39:01"},{"id":29,"name":"Sharepoint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646</v>
      </c>
      <c r="B32" s="7">
        <v>4027</v>
      </c>
      <c r="C32" s="21" t="s">
        <v>212</v>
      </c>
      <c r="D32" s="21" t="s">
        <v>496</v>
      </c>
      <c r="E32" s="13">
        <v>42854.283784722225</v>
      </c>
      <c r="F32" s="13">
        <v>42854.289155092592</v>
      </c>
      <c r="G32" s="7">
        <v>1</v>
      </c>
      <c r="H32" s="21" t="s">
        <v>378</v>
      </c>
      <c r="I32" s="13">
        <v>42854.315995370373</v>
      </c>
      <c r="J32" s="7">
        <v>0</v>
      </c>
      <c r="K32" s="92" t="str">
        <f t="shared" si="0"/>
        <v>4027/4028</v>
      </c>
      <c r="L32" s="21" t="str">
        <f>VLOOKUP(A32,'Trips&amp;Operators'!$C$1:$G$99999,5,FALSE)</f>
        <v>MAELZER KURT</v>
      </c>
      <c r="M32" s="6">
        <f t="shared" si="1"/>
        <v>2.6840277780138422E-2</v>
      </c>
      <c r="N32" s="7">
        <f t="shared" si="23"/>
        <v>38.650000003399327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-04-29T05:48:39-0600',mode:absolute,to:'2017-04-29T08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192" t="str">
        <f t="shared" si="6"/>
        <v>N</v>
      </c>
      <c r="X32" s="192">
        <f t="shared" si="24"/>
        <v>1</v>
      </c>
      <c r="Y32" s="192">
        <f t="shared" si="8"/>
        <v>23.303999999999998</v>
      </c>
      <c r="Z32" s="192">
        <f t="shared" si="9"/>
        <v>1.38E-2</v>
      </c>
      <c r="AA32" s="192">
        <f t="shared" si="10"/>
        <v>23.290199999999999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0120-29</v>
      </c>
      <c r="AE32" s="80" t="str">
        <f t="shared" si="12"/>
        <v>aws s3 cp s3://rtdc.mdm.uploadarchive.raw/RTDC4027/ "%USERPROFILE%\AppData\Local\Temp\OnboardLogs"\RTDC4027\2017-04-29 --exclude "*" --recursive --include "*20170429*" &amp; "%USERPROFILE%\Documents\GitHub\mrs-test-scripts\Headless Mode &amp; Sideloading\WalkAndUnGZ.bat" "%USERPROFILE%\AppData\Local\Temp\OnboardLogs"\RTDC4027\2017-04-29 &amp; 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</v>
      </c>
      <c r="AF32" s="77" t="str">
        <f t="shared" si="13"/>
        <v>"C:\Program Files (x86)\AstroGrep\AstroGrep.exe" /e /r /s /spath="%USERPROFILE%\AppData\Local\Temp\OnboardLogs" /stypes="app*4027*20170429*" /stext=" 13:.+((SYSTEM_STATE.+slice.+state.+changed )|(ment ac)|(multiple cpu faults)|(system.+state.+changed )|(\[timeout)|(PRM\|1\|D)|(kpr)|(kdp)|(train.+moving)|(\|lc)|(penalty))"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120-29 --locoid 4027 --swversion DE.1.0.9.0 --startMP 204:233040 --initTime 2017-04-29T06:48:39 --startdatetime 2017-04-29T06:56:23 --delay 1 --endMP 204:138 --enddatetime 2017-04-29T07:35:02 --enforcementcount 0 &gt;&gt;C:\Users\stu\Documents\GitHub\eaglep3-reporting\EC\2017-04-29-refined-times.txt</v>
      </c>
      <c r="AI32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{"issue":{"subject":"","project_id":79,"tracker_id":40,"status_id":1,"priority_id":2,"assigned_to_id":23,"start_date":"2017-04-29","description":"","custom_fields":[{"id":1,"name":"Subdivision","value":"EC"},{"id":4,"name":"Milepost","value":"0.0138"},{"id":17,"name":"Train ID","value":"120-29"},{"id":16,"name":"Locomotive ID","value":"4027"},{"id":130,"name":"Impact","value":""},{"id":150,"name":"Time of Event (Mountain Time)","value":"07:35:02"},{"id":151,"name":"Denver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4027 --day 2017-04-29</v>
      </c>
      <c r="AN32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13:35:02"},{"id":29,"name":"Sharepoint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649</v>
      </c>
      <c r="B33" s="7">
        <v>4022</v>
      </c>
      <c r="C33" s="21" t="s">
        <v>212</v>
      </c>
      <c r="D33" s="21" t="s">
        <v>833</v>
      </c>
      <c r="E33" s="13">
        <v>42854.255949074075</v>
      </c>
      <c r="F33" s="13">
        <v>42854.260682870372</v>
      </c>
      <c r="G33" s="7">
        <v>1</v>
      </c>
      <c r="H33" s="21" t="s">
        <v>834</v>
      </c>
      <c r="I33" s="13">
        <v>42854.286527777775</v>
      </c>
      <c r="J33" s="7">
        <v>0</v>
      </c>
      <c r="K33" s="92" t="str">
        <f t="shared" si="0"/>
        <v>4021/4022</v>
      </c>
      <c r="L33" s="21" t="str">
        <f>VLOOKUP(A33,'Trips&amp;Operators'!$C$1:$G$99999,5,FALSE)</f>
        <v>DAVIS WENDY</v>
      </c>
      <c r="M33" s="6">
        <f t="shared" si="1"/>
        <v>2.5844907402643003E-2</v>
      </c>
      <c r="N33" s="7">
        <f t="shared" si="23"/>
        <v>37.216666659805924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-04-29T05:08:34-0600',mode:absolute,to:'2017-04-29T07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192" t="str">
        <f t="shared" si="6"/>
        <v>N</v>
      </c>
      <c r="X33" s="192">
        <f t="shared" si="24"/>
        <v>1</v>
      </c>
      <c r="Y33" s="192">
        <f t="shared" si="8"/>
        <v>4.2200000000000001E-2</v>
      </c>
      <c r="Z33" s="192">
        <f t="shared" si="9"/>
        <v>23.334099999999999</v>
      </c>
      <c r="AA33" s="192">
        <f t="shared" si="10"/>
        <v>23.291899999999998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0121-29</v>
      </c>
      <c r="AE33" s="80" t="str">
        <f t="shared" si="12"/>
        <v>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 &amp; 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</v>
      </c>
      <c r="AF33" s="77" t="str">
        <f t="shared" si="13"/>
        <v>"C:\Program Files (x86)\AstroGrep\AstroGrep.exe" /e /r /s /spath="%USERPROFILE%\AppData\Local\Temp\OnboardLogs" /stypes="app*4022*20170429*" /stext=" 12:.+((SYSTEM_STATE.+slice.+state.+changed )|(ment ac)|(multiple cpu faults)|(system.+state.+changed )|(\[timeout)|(PRM\|1\|D)|(kpr)|(kdp)|(train.+moving)|(\|lc)|(penalty))"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121-29 --locoid 4022 --swversion DE.1.0.9.0 --startMP 204:422 --initTime 2017-04-29T06:08:34 --startdatetime 2017-04-29T06:15:23 --delay 1 --endMP 204:233341 --enddatetime 2017-04-29T06:52:36 --enforcementcount 0 &gt;&gt;C:\Users\stu\Documents\GitHub\eaglep3-reporting\EC\2017-04-29-refined-times.txt</v>
      </c>
      <c r="AI33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{"issue":{"subject":"","project_id":79,"tracker_id":40,"status_id":1,"priority_id":2,"assigned_to_id":23,"start_date":"2017-04-29","description":"","custom_fields":[{"id":1,"name":"Subdivision","value":"EC"},{"id":4,"name":"Milepost","value":"23.3341"},{"id":17,"name":"Train ID","value":"121-29"},{"id":16,"name":"Locomotive ID","value":"4022"},{"id":130,"name":"Impact","value":""},{"id":150,"name":"Time of Event (Mountain Time)","value":"06:52:36"},{"id":151,"name":"Denver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4022 --day 2017-04-29</v>
      </c>
      <c r="AN33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12:52:36"},{"id":29,"name":"Sharepoint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655</v>
      </c>
      <c r="B34" s="7">
        <v>4021</v>
      </c>
      <c r="C34" s="21" t="s">
        <v>212</v>
      </c>
      <c r="D34" s="21" t="s">
        <v>823</v>
      </c>
      <c r="E34" s="13">
        <v>42854.296701388892</v>
      </c>
      <c r="F34" s="13">
        <v>42854.299502314818</v>
      </c>
      <c r="G34" s="7">
        <v>1</v>
      </c>
      <c r="H34" s="21" t="s">
        <v>835</v>
      </c>
      <c r="I34" s="13">
        <v>42854.327303240738</v>
      </c>
      <c r="J34" s="7">
        <v>0</v>
      </c>
      <c r="K34" s="92" t="str">
        <f t="shared" si="0"/>
        <v>4021/4022</v>
      </c>
      <c r="L34" s="21" t="str">
        <f>VLOOKUP(A34,'Trips&amp;Operators'!$C$1:$G$99999,5,FALSE)</f>
        <v>DAVIS WENDY</v>
      </c>
      <c r="M34" s="6">
        <f t="shared" si="1"/>
        <v>2.7800925920018926E-2</v>
      </c>
      <c r="N34" s="7">
        <f t="shared" si="23"/>
        <v>40.033333324827254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-04-29T06:07:15-0600',mode:absolute,to:'2017-04-29T08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192" t="str">
        <f t="shared" si="6"/>
        <v>N</v>
      </c>
      <c r="X34" s="192">
        <f t="shared" si="24"/>
        <v>1</v>
      </c>
      <c r="Y34" s="192">
        <f t="shared" si="8"/>
        <v>23.302299999999999</v>
      </c>
      <c r="Z34" s="192">
        <f t="shared" si="9"/>
        <v>1.34E-2</v>
      </c>
      <c r="AA34" s="192">
        <f t="shared" si="10"/>
        <v>23.288899999999998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0122-29</v>
      </c>
      <c r="AE34" s="80" t="str">
        <f t="shared" si="12"/>
        <v>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 &amp; aws s3 cp s3://rtdc.mdm.uploadarchive.raw/RTDC4021/ "%USERPROFILE%\AppData\Local\Temp\OnboardLogs"\RTDC4021\2017-04-30 --exclude "*" --recursive --include "*20170430*" &amp; "%USERPROFILE%\Documents\GitHub\mrs-test-scripts\Headless Mode &amp; Sideloading\WalkAndUnGZ.bat" "%USERPROFILE%\AppData\Local\Temp\OnboardLogs"\RTDC4021\2017-04-30</v>
      </c>
      <c r="AF34" s="77" t="str">
        <f t="shared" si="13"/>
        <v>"C:\Program Files (x86)\AstroGrep\AstroGrep.exe" /e /r /s /spath="%USERPROFILE%\AppData\Local\Temp\OnboardLogs" /stypes="app*4021*20170429*" /stext=" 13:.+((SYSTEM_STATE.+slice.+state.+changed )|(ment ac)|(multiple cpu faults)|(system.+state.+changed )|(\[timeout)|(PRM\|1\|D)|(kpr)|(kdp)|(train.+moving)|(\|lc)|(penalty))"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122-29 --locoid 4021 --swversion DE.1.0.9.0 --startMP 204:233023 --initTime 2017-04-29T07:07:15 --startdatetime 2017-04-29T07:11:17 --delay 1 --endMP 204:134 --enddatetime 2017-04-29T07:51:19 --enforcementcount 0 &gt;&gt;C:\Users\stu\Documents\GitHub\eaglep3-reporting\EC\2017-04-29-refined-times.txt</v>
      </c>
      <c r="AI34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{"issue":{"subject":"","project_id":79,"tracker_id":40,"status_id":1,"priority_id":2,"assigned_to_id":23,"start_date":"2017-04-29","description":"","custom_fields":[{"id":1,"name":"Subdivision","value":"EC"},{"id":4,"name":"Milepost","value":"0.0134"},{"id":17,"name":"Train ID","value":"122-29"},{"id":16,"name":"Locomotive ID","value":"4021"},{"id":130,"name":"Impact","value":""},{"id":150,"name":"Time of Event (Mountain Time)","value":"07:51:19"},{"id":151,"name":"Denver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4021 --day 2017-04-29</v>
      </c>
      <c r="AN34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13:51:19"},{"id":29,"name":"Sharepoint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651</v>
      </c>
      <c r="B35" s="7">
        <v>4008</v>
      </c>
      <c r="C35" s="21" t="s">
        <v>212</v>
      </c>
      <c r="D35" s="21" t="s">
        <v>532</v>
      </c>
      <c r="E35" s="13">
        <v>42854.265810185185</v>
      </c>
      <c r="F35" s="13">
        <v>42854.271064814813</v>
      </c>
      <c r="G35" s="7">
        <v>1</v>
      </c>
      <c r="H35" s="21" t="s">
        <v>476</v>
      </c>
      <c r="I35" s="13">
        <v>42854.296412037038</v>
      </c>
      <c r="J35" s="7">
        <v>0</v>
      </c>
      <c r="K35" s="92" t="str">
        <f t="shared" si="0"/>
        <v>4007/4008</v>
      </c>
      <c r="L35" s="21" t="str">
        <f>VLOOKUP(A35,'Trips&amp;Operators'!$C$1:$G$99999,5,FALSE)</f>
        <v>SANTIZO D. EDY</v>
      </c>
      <c r="M35" s="6">
        <f t="shared" si="1"/>
        <v>2.5347222224809229E-2</v>
      </c>
      <c r="N35" s="7">
        <f t="shared" si="23"/>
        <v>36.50000000372529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-04-29T05:22:46-0600',mode:absolute,to:'2017-04-29T08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5" s="192" t="str">
        <f t="shared" si="6"/>
        <v>N</v>
      </c>
      <c r="X35" s="192">
        <f t="shared" si="24"/>
        <v>1</v>
      </c>
      <c r="Y35" s="192">
        <f t="shared" si="8"/>
        <v>4.4699999999999997E-2</v>
      </c>
      <c r="Z35" s="192">
        <f t="shared" si="9"/>
        <v>23.333400000000001</v>
      </c>
      <c r="AA35" s="192">
        <f t="shared" si="10"/>
        <v>23.288700000000002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0123-29</v>
      </c>
      <c r="AE35" s="80" t="str">
        <f t="shared" si="12"/>
        <v>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 &amp; 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</v>
      </c>
      <c r="AF35" s="77" t="str">
        <f t="shared" si="13"/>
        <v>"C:\Program Files (x86)\AstroGrep\AstroGrep.exe" /e /r /s /spath="%USERPROFILE%\AppData\Local\Temp\OnboardLogs" /stypes="app*4008*20170429*" /stext=" 13:.+((SYSTEM_STATE.+slice.+state.+changed )|(ment ac)|(multiple cpu faults)|(system.+state.+changed )|(\[timeout)|(PRM\|1\|D)|(kpr)|(kdp)|(train.+moving)|(\|lc)|(penalty))"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123-29 --locoid 4008 --swversion DE.1.0.9.0 --startMP 204:447 --initTime 2017-04-29T06:22:46 --startdatetime 2017-04-29T06:30:20 --delay 1 --endMP 204:233334 --enddatetime 2017-04-29T07:06:50 --enforcementcount 0 &gt;&gt;C:\Users\stu\Documents\GitHub\eaglep3-reporting\EC\2017-04-29-refined-times.txt</v>
      </c>
      <c r="AI35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{"issue":{"subject":"","project_id":79,"tracker_id":40,"status_id":1,"priority_id":2,"assigned_to_id":23,"start_date":"2017-04-29","description":"","custom_fields":[{"id":1,"name":"Subdivision","value":"EC"},{"id":4,"name":"Milepost","value":"23.3334"},{"id":17,"name":"Train ID","value":"123-29"},{"id":16,"name":"Locomotive ID","value":"4008"},{"id":130,"name":"Impact","value":""},{"id":150,"name":"Time of Event (Mountain Time)","value":"07:06:50"},{"id":151,"name":"Denver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4008 --day 2017-04-29</v>
      </c>
      <c r="AN35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13:06:50"},{"id":29,"name":"Sharepoint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656</v>
      </c>
      <c r="B36" s="7">
        <v>4007</v>
      </c>
      <c r="C36" s="21" t="s">
        <v>212</v>
      </c>
      <c r="D36" s="21" t="s">
        <v>836</v>
      </c>
      <c r="E36" s="13">
        <v>42854.29755787037</v>
      </c>
      <c r="F36" s="13">
        <v>42854.309884259259</v>
      </c>
      <c r="G36" s="7">
        <v>1</v>
      </c>
      <c r="H36" s="21" t="s">
        <v>378</v>
      </c>
      <c r="I36" s="13">
        <v>42854.335821759261</v>
      </c>
      <c r="J36" s="7">
        <v>0</v>
      </c>
      <c r="K36" s="92" t="str">
        <f t="shared" si="0"/>
        <v>4007/4008</v>
      </c>
      <c r="L36" s="21" t="str">
        <f>VLOOKUP(A36,'Trips&amp;Operators'!$C$1:$G$99999,5,FALSE)</f>
        <v>SANTIZO D. EDY</v>
      </c>
      <c r="M36" s="6">
        <f t="shared" si="1"/>
        <v>2.5937500002328306E-2</v>
      </c>
      <c r="N36" s="7">
        <f t="shared" si="23"/>
        <v>37.350000003352761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-04-29T06:08:29-0600',mode:absolute,to:'2017-04-29T09:03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6" s="192" t="str">
        <f t="shared" si="6"/>
        <v>N</v>
      </c>
      <c r="X36" s="192">
        <f t="shared" ref="X36:X67" si="25">VALUE(LEFT(AD36,4))-VALUE(LEFT(AD35,4))</f>
        <v>1</v>
      </c>
      <c r="Y36" s="192">
        <f t="shared" si="8"/>
        <v>23.3032</v>
      </c>
      <c r="Z36" s="192">
        <f t="shared" si="9"/>
        <v>1.38E-2</v>
      </c>
      <c r="AA36" s="192">
        <f t="shared" si="10"/>
        <v>23.289400000000001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0124-29</v>
      </c>
      <c r="AE36" s="80" t="str">
        <f t="shared" si="12"/>
        <v>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 &amp; 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</v>
      </c>
      <c r="AF36" s="77" t="str">
        <f t="shared" si="13"/>
        <v>"C:\Program Files (x86)\AstroGrep\AstroGrep.exe" /e /r /s /spath="%USERPROFILE%\AppData\Local\Temp\OnboardLogs" /stypes="app*4007*20170429*" /stext=" 14:.+((SYSTEM_STATE.+slice.+state.+changed )|(ment ac)|(multiple cpu faults)|(system.+state.+changed )|(\[timeout)|(PRM\|1\|D)|(kpr)|(kdp)|(train.+moving)|(\|lc)|(penalty))"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124-29 --locoid 4007 --swversion DE.1.0.9.0 --startMP 204:233032 --initTime 2017-04-29T07:08:29 --startdatetime 2017-04-29T07:26:14 --delay 1 --endMP 204:138 --enddatetime 2017-04-29T08:03:35 --enforcementcount 0 &gt;&gt;C:\Users\stu\Documents\GitHub\eaglep3-reporting\EC\2017-04-29-refined-times.txt</v>
      </c>
      <c r="AI36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{"issue":{"subject":"","project_id":79,"tracker_id":40,"status_id":1,"priority_id":2,"assigned_to_id":23,"start_date":"2017-04-29","description":"","custom_fields":[{"id":1,"name":"Subdivision","value":"EC"},{"id":4,"name":"Milepost","value":"0.0138"},{"id":17,"name":"Train ID","value":"124-29"},{"id":16,"name":"Locomotive ID","value":"4007"},{"id":130,"name":"Impact","value":""},{"id":150,"name":"Time of Event (Mountain Time)","value":"08:03:35"},{"id":151,"name":"Denver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4007 --day 2017-04-29</v>
      </c>
      <c r="AN36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14:03:35"},{"id":29,"name":"Sharepoint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561</v>
      </c>
      <c r="B37" s="7">
        <v>4018</v>
      </c>
      <c r="C37" s="21" t="s">
        <v>212</v>
      </c>
      <c r="D37" s="21" t="s">
        <v>469</v>
      </c>
      <c r="E37" s="13">
        <v>42854.275740740741</v>
      </c>
      <c r="F37" s="13">
        <v>42854.281435185185</v>
      </c>
      <c r="G37" s="7">
        <v>1</v>
      </c>
      <c r="H37" s="21" t="s">
        <v>837</v>
      </c>
      <c r="I37" s="13">
        <v>42854.306157407409</v>
      </c>
      <c r="J37" s="7">
        <v>0</v>
      </c>
      <c r="K37" s="92" t="str">
        <f t="shared" si="0"/>
        <v>4017/4018</v>
      </c>
      <c r="L37" s="21" t="str">
        <f>VLOOKUP(A37,'Trips&amp;Operators'!$C$1:$G$99999,5,FALSE)</f>
        <v>LOZA FIDEL</v>
      </c>
      <c r="M37" s="6">
        <f t="shared" si="1"/>
        <v>2.4722222224227153E-2</v>
      </c>
      <c r="N37" s="7">
        <f t="shared" si="23"/>
        <v>35.6000000028871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-04-29T05:37:04-0600',mode:absolute,to:'2017-04-29T08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7" s="192" t="str">
        <f t="shared" si="6"/>
        <v>N</v>
      </c>
      <c r="X37" s="192">
        <f t="shared" si="25"/>
        <v>1</v>
      </c>
      <c r="Y37" s="192">
        <f t="shared" si="8"/>
        <v>4.3700000000000003E-2</v>
      </c>
      <c r="Z37" s="192">
        <f t="shared" si="9"/>
        <v>23.339099999999998</v>
      </c>
      <c r="AA37" s="192">
        <f t="shared" si="10"/>
        <v>23.295399999999997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0125-29</v>
      </c>
      <c r="AE37" s="80" t="str">
        <f t="shared" si="12"/>
        <v>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 &amp; aws s3 cp s3://rtdc.mdm.uploadarchive.raw/RTDC4018/ "%USERPROFILE%\AppData\Local\Temp\OnboardLogs"\RTDC4018\2017-04-30 --exclude "*" --recursive --include "*20170430*" &amp; "%USERPROFILE%\Documents\GitHub\mrs-test-scripts\Headless Mode &amp; Sideloading\WalkAndUnGZ.bat" "%USERPROFILE%\AppData\Local\Temp\OnboardLogs"\RTDC4018\2017-04-30</v>
      </c>
      <c r="AF37" s="77" t="str">
        <f t="shared" si="13"/>
        <v>"C:\Program Files (x86)\AstroGrep\AstroGrep.exe" /e /r /s /spath="%USERPROFILE%\AppData\Local\Temp\OnboardLogs" /stypes="app*4018*20170429*" /stext=" 13:.+((SYSTEM_STATE.+slice.+state.+changed )|(ment ac)|(multiple cpu faults)|(system.+state.+changed )|(\[timeout)|(PRM\|1\|D)|(kpr)|(kdp)|(train.+moving)|(\|lc)|(penalty))"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125-29 --locoid 4018 --swversion DE.1.0.9.0 --startMP 204:437 --initTime 2017-04-29T06:37:04 --startdatetime 2017-04-29T06:45:16 --delay 1 --endMP 204:233391 --enddatetime 2017-04-29T07:20:52 --enforcementcount 0 &gt;&gt;C:\Users\stu\Documents\GitHub\eaglep3-reporting\EC\2017-04-29-refined-times.txt</v>
      </c>
      <c r="AI37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{"issue":{"subject":"","project_id":79,"tracker_id":40,"status_id":1,"priority_id":2,"assigned_to_id":23,"start_date":"2017-04-29","description":"","custom_fields":[{"id":1,"name":"Subdivision","value":"EC"},{"id":4,"name":"Milepost","value":"23.3391"},{"id":17,"name":"Train ID","value":"125-29"},{"id":16,"name":"Locomotive ID","value":"4018"},{"id":130,"name":"Impact","value":""},{"id":150,"name":"Time of Event (Mountain Time)","value":"07:20:52"},{"id":151,"name":"Denver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4018 --day 2017-04-29</v>
      </c>
      <c r="AN37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13:20:52"},{"id":29,"name":"Sharepoint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658</v>
      </c>
      <c r="B38" s="7">
        <v>4017</v>
      </c>
      <c r="C38" s="21" t="s">
        <v>212</v>
      </c>
      <c r="D38" s="21" t="s">
        <v>838</v>
      </c>
      <c r="E38" s="13">
        <v>42854.315972222219</v>
      </c>
      <c r="F38" s="13">
        <v>42854.3203587963</v>
      </c>
      <c r="G38" s="7">
        <v>1</v>
      </c>
      <c r="H38" s="21" t="s">
        <v>535</v>
      </c>
      <c r="I38" s="13">
        <v>42854.346400462964</v>
      </c>
      <c r="J38" s="7">
        <v>0</v>
      </c>
      <c r="K38" s="92" t="str">
        <f t="shared" si="0"/>
        <v>4017/4018</v>
      </c>
      <c r="L38" s="21" t="str">
        <f>VLOOKUP(A38,'Trips&amp;Operators'!$C$1:$G$99999,5,FALSE)</f>
        <v>LOZA FIDEL</v>
      </c>
      <c r="M38" s="6">
        <f t="shared" si="1"/>
        <v>2.6041666664241347E-2</v>
      </c>
      <c r="N38" s="7">
        <f t="shared" si="23"/>
        <v>37.49999999650754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-04-29T06:35:00-0600',mode:absolute,to:'2017-04-29T09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8" s="192" t="str">
        <f t="shared" si="6"/>
        <v>N</v>
      </c>
      <c r="X38" s="192">
        <f t="shared" si="25"/>
        <v>1</v>
      </c>
      <c r="Y38" s="192">
        <f t="shared" si="8"/>
        <v>23.305499999999999</v>
      </c>
      <c r="Z38" s="192">
        <f t="shared" si="9"/>
        <v>1.3899999999999999E-2</v>
      </c>
      <c r="AA38" s="192">
        <f t="shared" si="10"/>
        <v>23.291599999999999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0126-29</v>
      </c>
      <c r="AE38" s="80" t="str">
        <f t="shared" si="12"/>
        <v>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 &amp; aws s3 cp s3://rtdc.mdm.uploadarchive.raw/RTDC4017/ "%USERPROFILE%\AppData\Local\Temp\OnboardLogs"\RTDC4017\2017-04-30 --exclude "*" --recursive --include "*20170430*" &amp; "%USERPROFILE%\Documents\GitHub\mrs-test-scripts\Headless Mode &amp; Sideloading\WalkAndUnGZ.bat" "%USERPROFILE%\AppData\Local\Temp\OnboardLogs"\RTDC4017\2017-04-30</v>
      </c>
      <c r="AF38" s="77" t="str">
        <f t="shared" si="13"/>
        <v>"C:\Program Files (x86)\AstroGrep\AstroGrep.exe" /e /r /s /spath="%USERPROFILE%\AppData\Local\Temp\OnboardLogs" /stypes="app*4017*20170429*" /stext=" 14:.+((SYSTEM_STATE.+slice.+state.+changed )|(ment ac)|(multiple cpu faults)|(system.+state.+changed )|(\[timeout)|(PRM\|1\|D)|(kpr)|(kdp)|(train.+moving)|(\|lc)|(penalty))"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126-29 --locoid 4017 --swversion DE.1.0.9.0 --startMP 204:233055 --initTime 2017-04-29T07:35:00 --startdatetime 2017-04-29T07:41:19 --delay 1 --endMP 204:139 --enddatetime 2017-04-29T08:18:49 --enforcementcount 0 &gt;&gt;C:\Users\stu\Documents\GitHub\eaglep3-reporting\EC\2017-04-29-refined-times.txt</v>
      </c>
      <c r="AI38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{"issue":{"subject":"","project_id":79,"tracker_id":40,"status_id":1,"priority_id":2,"assigned_to_id":23,"start_date":"2017-04-29","description":"","custom_fields":[{"id":1,"name":"Subdivision","value":"EC"},{"id":4,"name":"Milepost","value":"0.0139"},{"id":17,"name":"Train ID","value":"126-29"},{"id":16,"name":"Locomotive ID","value":"4017"},{"id":130,"name":"Impact","value":""},{"id":150,"name":"Time of Event (Mountain Time)","value":"08:18:49"},{"id":151,"name":"Denver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4017 --day 2017-04-29</v>
      </c>
      <c r="AN38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14:18:49"},{"id":29,"name":"Sharepoint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654</v>
      </c>
      <c r="B39" s="7">
        <v>4010</v>
      </c>
      <c r="C39" s="21" t="s">
        <v>212</v>
      </c>
      <c r="D39" s="21" t="s">
        <v>205</v>
      </c>
      <c r="E39" s="13">
        <v>42854.287060185183</v>
      </c>
      <c r="F39" s="13">
        <v>42854.291886574072</v>
      </c>
      <c r="G39" s="7">
        <v>1</v>
      </c>
      <c r="H39" s="21" t="s">
        <v>539</v>
      </c>
      <c r="I39" s="13">
        <v>42854.316944444443</v>
      </c>
      <c r="J39" s="7">
        <v>0</v>
      </c>
      <c r="K39" s="92" t="str">
        <f t="shared" si="0"/>
        <v>4009/4010</v>
      </c>
      <c r="L39" s="21" t="str">
        <f>VLOOKUP(A39,'Trips&amp;Operators'!$C$1:$G$99999,5,FALSE)</f>
        <v>COOLAHAN JOHN</v>
      </c>
      <c r="M39" s="6">
        <f t="shared" si="1"/>
        <v>2.5057870370801538E-2</v>
      </c>
      <c r="N39" s="7">
        <f t="shared" si="23"/>
        <v>36.083333333954215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-04-29T05:53:22-0600',mode:absolute,to:'2017-04-29T08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9" s="192" t="str">
        <f t="shared" si="6"/>
        <v>N</v>
      </c>
      <c r="X39" s="192">
        <f t="shared" si="25"/>
        <v>1</v>
      </c>
      <c r="Y39" s="192">
        <f t="shared" si="8"/>
        <v>4.5999999999999999E-2</v>
      </c>
      <c r="Z39" s="192">
        <f t="shared" si="9"/>
        <v>23.333200000000001</v>
      </c>
      <c r="AA39" s="192">
        <f t="shared" si="10"/>
        <v>23.287200000000002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0127-29</v>
      </c>
      <c r="AE39" s="80" t="str">
        <f t="shared" si="12"/>
        <v>aws s3 cp s3://rtdc.mdm.uploadarchive.raw/RTDC4010/ "%USERPROFILE%\AppData\Local\Temp\OnboardLogs"\RTDC4010\2017-04-29 --exclude "*" --recursive --include "*20170429*" &amp; "%USERPROFILE%\Documents\GitHub\mrs-test-scripts\Headless Mode &amp; Sideloading\WalkAndUnGZ.bat" "%USERPROFILE%\AppData\Local\Temp\OnboardLogs"\RTDC4010\2017-04-29 &amp; aws s3 cp s3://rtdc.mdm.uploadarchive.raw/RTDC4010/ "%USERPROFILE%\AppData\Local\Temp\OnboardLogs"\RTDC4010\2017-04-30 --exclude "*" --recursive --include "*20170430*" &amp; "%USERPROFILE%\Documents\GitHub\mrs-test-scripts\Headless Mode &amp; Sideloading\WalkAndUnGZ.bat" "%USERPROFILE%\AppData\Local\Temp\OnboardLogs"\RTDC4010\2017-04-30</v>
      </c>
      <c r="AF39" s="77" t="str">
        <f t="shared" si="13"/>
        <v>"C:\Program Files (x86)\AstroGrep\AstroGrep.exe" /e /r /s /spath="%USERPROFILE%\AppData\Local\Temp\OnboardLogs" /stypes="app*4010*20170429*" /stext=" 13:.+((SYSTEM_STATE.+slice.+state.+changed )|(ment ac)|(multiple cpu faults)|(system.+state.+changed )|(\[timeout)|(PRM\|1\|D)|(kpr)|(kdp)|(train.+moving)|(\|lc)|(penalty))"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127-29 --locoid 4010 --swversion DE.1.0.9.0 --startMP 204:460 --initTime 2017-04-29T06:53:22 --startdatetime 2017-04-29T07:00:19 --delay 1 --endMP 204:233332 --enddatetime 2017-04-29T07:36:24 --enforcementcount 0 &gt;&gt;C:\Users\stu\Documents\GitHub\eaglep3-reporting\EC\2017-04-29-refined-times.txt</v>
      </c>
      <c r="AI39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{"issue":{"subject":"","project_id":79,"tracker_id":40,"status_id":1,"priority_id":2,"assigned_to_id":23,"start_date":"2017-04-29","description":"","custom_fields":[{"id":1,"name":"Subdivision","value":"EC"},{"id":4,"name":"Milepost","value":"23.3332"},{"id":17,"name":"Train ID","value":"127-29"},{"id":16,"name":"Locomotive ID","value":"4010"},{"id":130,"name":"Impact","value":""},{"id":150,"name":"Time of Event (Mountain Time)","value":"07:36:24"},{"id":151,"name":"Denver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4010 --day 2017-04-29</v>
      </c>
      <c r="AN39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13:36:24"},{"id":29,"name":"Sharepoint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661</v>
      </c>
      <c r="B40" s="7">
        <v>4009</v>
      </c>
      <c r="C40" s="21" t="s">
        <v>212</v>
      </c>
      <c r="D40" s="21" t="s">
        <v>839</v>
      </c>
      <c r="E40" s="13">
        <v>42854.327743055554</v>
      </c>
      <c r="F40" s="13">
        <v>42854.330763888887</v>
      </c>
      <c r="G40" s="7">
        <v>1</v>
      </c>
      <c r="H40" s="21" t="s">
        <v>209</v>
      </c>
      <c r="I40" s="13">
        <v>42854.356817129628</v>
      </c>
      <c r="J40" s="7">
        <v>0</v>
      </c>
      <c r="K40" s="92" t="str">
        <f t="shared" si="0"/>
        <v>4009/4010</v>
      </c>
      <c r="L40" s="21" t="str">
        <f>VLOOKUP(A40,'Trips&amp;Operators'!$C$1:$G$99999,5,FALSE)</f>
        <v>COOLAHAN JOHN</v>
      </c>
      <c r="M40" s="6">
        <f t="shared" si="1"/>
        <v>2.6053240741021E-2</v>
      </c>
      <c r="N40" s="7">
        <f t="shared" si="23"/>
        <v>37.51666666707024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-04-29T06:51:57-0600',mode:absolute,to:'2017-04-29T09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0" s="192" t="str">
        <f t="shared" si="6"/>
        <v>N</v>
      </c>
      <c r="X40" s="192">
        <f t="shared" si="25"/>
        <v>1</v>
      </c>
      <c r="Y40" s="192">
        <f t="shared" si="8"/>
        <v>23.3019</v>
      </c>
      <c r="Z40" s="192">
        <f t="shared" si="9"/>
        <v>1.47E-2</v>
      </c>
      <c r="AA40" s="192">
        <f t="shared" si="10"/>
        <v>23.287199999999999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0128-29</v>
      </c>
      <c r="AE40" s="80" t="str">
        <f t="shared" si="12"/>
        <v>aws s3 cp s3://rtdc.mdm.uploadarchive.raw/RTDC4009/ "%USERPROFILE%\AppData\Local\Temp\OnboardLogs"\RTDC4009\2017-04-29 --exclude "*" --recursive --include "*20170429*" &amp; "%USERPROFILE%\Documents\GitHub\mrs-test-scripts\Headless Mode &amp; Sideloading\WalkAndUnGZ.bat" "%USERPROFILE%\AppData\Local\Temp\OnboardLogs"\RTDC4009\2017-04-29 &amp; aws s3 cp s3://rtdc.mdm.uploadarchive.raw/RTDC4009/ "%USERPROFILE%\AppData\Local\Temp\OnboardLogs"\RTDC4009\2017-04-30 --exclude "*" --recursive --include "*20170430*" &amp; "%USERPROFILE%\Documents\GitHub\mrs-test-scripts\Headless Mode &amp; Sideloading\WalkAndUnGZ.bat" "%USERPROFILE%\AppData\Local\Temp\OnboardLogs"\RTDC4009\2017-04-30</v>
      </c>
      <c r="AF40" s="77" t="str">
        <f t="shared" si="13"/>
        <v>"C:\Program Files (x86)\AstroGrep\AstroGrep.exe" /e /r /s /spath="%USERPROFILE%\AppData\Local\Temp\OnboardLogs" /stypes="app*4009*20170429*" /stext=" 14:.+((SYSTEM_STATE.+slice.+state.+changed )|(ment ac)|(multiple cpu faults)|(system.+state.+changed )|(\[timeout)|(PRM\|1\|D)|(kpr)|(kdp)|(train.+moving)|(\|lc)|(penalty))"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128-29 --locoid 4009 --swversion DE.1.0.9.0 --startMP 204:233019 --initTime 2017-04-29T07:51:57 --startdatetime 2017-04-29T07:56:18 --delay 1 --endMP 204:147 --enddatetime 2017-04-29T08:33:49 --enforcementcount 0 &gt;&gt;C:\Users\stu\Documents\GitHub\eaglep3-reporting\EC\2017-04-29-refined-times.txt</v>
      </c>
      <c r="AI40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{"issue":{"subject":"","project_id":79,"tracker_id":40,"status_id":1,"priority_id":2,"assigned_to_id":23,"start_date":"2017-04-29","description":"","custom_fields":[{"id":1,"name":"Subdivision","value":"EC"},{"id":4,"name":"Milepost","value":"0.0147"},{"id":17,"name":"Train ID","value":"128-29"},{"id":16,"name":"Locomotive ID","value":"4009"},{"id":130,"name":"Impact","value":""},{"id":150,"name":"Time of Event (Mountain Time)","value":"08:33:49"},{"id":151,"name":"Denver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4009 --day 2017-04-29</v>
      </c>
      <c r="AN40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14:33:49"},{"id":29,"name":"Sharepoint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562</v>
      </c>
      <c r="B41" s="7">
        <v>4004</v>
      </c>
      <c r="C41" s="21" t="s">
        <v>212</v>
      </c>
      <c r="D41" s="21" t="s">
        <v>532</v>
      </c>
      <c r="E41" s="13">
        <v>42854.298530092594</v>
      </c>
      <c r="F41" s="13">
        <v>42854.30232638889</v>
      </c>
      <c r="G41" s="7">
        <v>1</v>
      </c>
      <c r="H41" s="21" t="s">
        <v>479</v>
      </c>
      <c r="I41" s="13">
        <v>42854.32640046296</v>
      </c>
      <c r="J41" s="7">
        <v>0</v>
      </c>
      <c r="K41" s="92" t="str">
        <f t="shared" si="0"/>
        <v>4003/4004</v>
      </c>
      <c r="L41" s="21" t="str">
        <f>VLOOKUP(A41,'Trips&amp;Operators'!$C$1:$G$99999,5,FALSE)</f>
        <v>MAYBERRY BILL</v>
      </c>
      <c r="M41" s="6">
        <f t="shared" si="1"/>
        <v>2.4074074070085771E-2</v>
      </c>
      <c r="N41" s="7">
        <f t="shared" si="23"/>
        <v>34.666666660923511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-04-29T06:09:53-0600',mode:absolute,to:'2017-04-29T08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1" s="192" t="str">
        <f t="shared" si="6"/>
        <v>N</v>
      </c>
      <c r="X41" s="192">
        <f t="shared" si="25"/>
        <v>1</v>
      </c>
      <c r="Y41" s="192">
        <f t="shared" si="8"/>
        <v>4.4699999999999997E-2</v>
      </c>
      <c r="Z41" s="192">
        <f t="shared" si="9"/>
        <v>23.329899999999999</v>
      </c>
      <c r="AA41" s="192">
        <f t="shared" si="10"/>
        <v>23.2852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0129-29</v>
      </c>
      <c r="AE41" s="80" t="str">
        <f t="shared" si="12"/>
        <v>aws s3 cp s3://rtdc.mdm.uploadarchive.raw/RTDC4004/ "%USERPROFILE%\AppData\Local\Temp\OnboardLogs"\RTDC4004\2017-04-29 --exclude "*" --recursive --include "*20170429*" &amp; "%USERPROFILE%\Documents\GitHub\mrs-test-scripts\Headless Mode &amp; Sideloading\WalkAndUnGZ.bat" "%USERPROFILE%\AppData\Local\Temp\OnboardLogs"\RTDC4004\2017-04-29 &amp; aws s3 cp s3://rtdc.mdm.uploadarchive.raw/RTDC4004/ "%USERPROFILE%\AppData\Local\Temp\OnboardLogs"\RTDC4004\2017-04-30 --exclude "*" --recursive --include "*20170430*" &amp; "%USERPROFILE%\Documents\GitHub\mrs-test-scripts\Headless Mode &amp; Sideloading\WalkAndUnGZ.bat" "%USERPROFILE%\AppData\Local\Temp\OnboardLogs"\RTDC4004\2017-04-30</v>
      </c>
      <c r="AF41" s="77" t="str">
        <f t="shared" si="13"/>
        <v>"C:\Program Files (x86)\AstroGrep\AstroGrep.exe" /e /r /s /spath="%USERPROFILE%\AppData\Local\Temp\OnboardLogs" /stypes="app*4004*20170429*" /stext=" 13:.+((SYSTEM_STATE.+slice.+state.+changed )|(ment ac)|(multiple cpu faults)|(system.+state.+changed )|(\[timeout)|(PRM\|1\|D)|(kpr)|(kdp)|(train.+moving)|(\|lc)|(penalty))"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129-29 --locoid 4004 --swversion DE.1.0.9.0 --startMP 204:447 --initTime 2017-04-29T07:09:53 --startdatetime 2017-04-29T07:15:21 --delay 1 --endMP 204:233299 --enddatetime 2017-04-29T07:50:01 --enforcementcount 0 &gt;&gt;C:\Users\stu\Documents\GitHub\eaglep3-reporting\EC\2017-04-29-refined-times.txt</v>
      </c>
      <c r="AI41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{"issue":{"subject":"","project_id":79,"tracker_id":40,"status_id":1,"priority_id":2,"assigned_to_id":23,"start_date":"2017-04-29","description":"","custom_fields":[{"id":1,"name":"Subdivision","value":"EC"},{"id":4,"name":"Milepost","value":"23.3299"},{"id":17,"name":"Train ID","value":"129-29"},{"id":16,"name":"Locomotive ID","value":"4004"},{"id":130,"name":"Impact","value":""},{"id":150,"name":"Time of Event (Mountain Time)","value":"07:50:01"},{"id":151,"name":"Denver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4004 --day 2017-04-29</v>
      </c>
      <c r="AN41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13:50:01"},{"id":29,"name":"Sharepoint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564</v>
      </c>
      <c r="B42" s="7">
        <v>4003</v>
      </c>
      <c r="C42" s="21" t="s">
        <v>212</v>
      </c>
      <c r="D42" s="21" t="s">
        <v>471</v>
      </c>
      <c r="E42" s="13">
        <v>42854.337465277778</v>
      </c>
      <c r="F42" s="13">
        <v>42854.341331018521</v>
      </c>
      <c r="G42" s="7">
        <v>1</v>
      </c>
      <c r="H42" s="21" t="s">
        <v>546</v>
      </c>
      <c r="I42" s="13">
        <v>42854.368680555555</v>
      </c>
      <c r="J42" s="7">
        <v>0</v>
      </c>
      <c r="K42" s="92" t="str">
        <f t="shared" si="0"/>
        <v>4003/4004</v>
      </c>
      <c r="L42" s="21" t="str">
        <f>VLOOKUP(A42,'Trips&amp;Operators'!$C$1:$G$99999,5,FALSE)</f>
        <v>MAYBERRY BILL</v>
      </c>
      <c r="M42" s="6">
        <f t="shared" si="1"/>
        <v>2.7349537034751847E-2</v>
      </c>
      <c r="N42" s="7">
        <f t="shared" si="23"/>
        <v>39.38333333004266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-04-29T07:05:57-0600',mode:absolute,to:'2017-04-29T09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2" s="192" t="str">
        <f t="shared" si="6"/>
        <v>N</v>
      </c>
      <c r="X42" s="192">
        <f t="shared" si="25"/>
        <v>1</v>
      </c>
      <c r="Y42" s="192">
        <f t="shared" si="8"/>
        <v>23.297799999999999</v>
      </c>
      <c r="Z42" s="192">
        <f t="shared" si="9"/>
        <v>1.7999999999999999E-2</v>
      </c>
      <c r="AA42" s="192">
        <f t="shared" si="10"/>
        <v>23.279799999999998</v>
      </c>
      <c r="AB42" s="57" t="str">
        <f>VLOOKUP(A42,Enforcements!$C$7:$K$13,8,0)</f>
        <v>Bulletin (2)</v>
      </c>
      <c r="AC42" s="53" t="str">
        <f>VLOOKUP(A42,Enforcements!$C$7:$E$13,3,0)</f>
        <v>GRADE CROSSING</v>
      </c>
      <c r="AD42" s="54" t="str">
        <f t="shared" si="11"/>
        <v>0130-29</v>
      </c>
      <c r="AE42" s="80" t="str">
        <f t="shared" si="12"/>
        <v>aws s3 cp s3://rtdc.mdm.uploadarchive.raw/RTDC4003/ "%USERPROFILE%\AppData\Local\Temp\OnboardLogs"\RTDC4003\2017-04-29 --exclude "*" --recursive --include "*20170429*" &amp; "%USERPROFILE%\Documents\GitHub\mrs-test-scripts\Headless Mode &amp; Sideloading\WalkAndUnGZ.bat" "%USERPROFILE%\AppData\Local\Temp\OnboardLogs"\RTDC4003\2017-04-29 &amp; aws s3 cp s3://rtdc.mdm.uploadarchive.raw/RTDC4003/ "%USERPROFILE%\AppData\Local\Temp\OnboardLogs"\RTDC4003\2017-04-30 --exclude "*" --recursive --include "*20170430*" &amp; "%USERPROFILE%\Documents\GitHub\mrs-test-scripts\Headless Mode &amp; Sideloading\WalkAndUnGZ.bat" "%USERPROFILE%\AppData\Local\Temp\OnboardLogs"\RTDC4003\2017-04-30</v>
      </c>
      <c r="AF42" s="77" t="str">
        <f t="shared" si="13"/>
        <v>"C:\Program Files (x86)\AstroGrep\AstroGrep.exe" /e /r /s /spath="%USERPROFILE%\AppData\Local\Temp\OnboardLogs" /stypes="app*4003*20170429*" /stext=" 14:.+((SYSTEM_STATE.+slice.+state.+changed )|(ment ac)|(multiple cpu faults)|(system.+state.+changed )|(\[timeout)|(PRM\|1\|D)|(kpr)|(kdp)|(train.+moving)|(\|lc)|(penalty))"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130-29 --locoid 4003 --swversion DE.1.0.9.0 --startMP 204:232978 --initTime 2017-04-29T08:05:57 --startdatetime 2017-04-29T08:11:31 --delay 1 --endMP 204:180 --enddatetime 2017-04-29T08:50:54 --enforcementcount 0 &gt;&gt;C:\Users\stu\Documents\GitHub\eaglep3-reporting\EC\2017-04-29-refined-times.txt</v>
      </c>
      <c r="AI42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{"issue":{"subject":"","project_id":79,"tracker_id":40,"status_id":1,"priority_id":2,"assigned_to_id":23,"start_date":"2017-04-29","description":"","custom_fields":[{"id":1,"name":"Subdivision","value":"EC"},{"id":4,"name":"Milepost","value":"0.018"},{"id":17,"name":"Train ID","value":"130-29"},{"id":16,"name":"Locomotive ID","value":"4003"},{"id":130,"name":"Impact","value":""},{"id":150,"name":"Time of Event (Mountain Time)","value":"08:50:54"},{"id":151,"name":"Denver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4003 --day 2017-04-29</v>
      </c>
      <c r="AN42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14:50:54"},{"id":29,"name":"Sharepoint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563</v>
      </c>
      <c r="B43" s="7">
        <v>4026</v>
      </c>
      <c r="C43" s="21" t="s">
        <v>212</v>
      </c>
      <c r="D43" s="21" t="s">
        <v>204</v>
      </c>
      <c r="E43" s="13">
        <v>42854.307476851849</v>
      </c>
      <c r="F43" s="13">
        <v>42854.312685185185</v>
      </c>
      <c r="G43" s="7">
        <v>1</v>
      </c>
      <c r="H43" s="21" t="s">
        <v>525</v>
      </c>
      <c r="I43" s="13">
        <v>42854.338587962964</v>
      </c>
      <c r="J43" s="7">
        <v>0</v>
      </c>
      <c r="K43" s="92" t="str">
        <f t="shared" si="0"/>
        <v>4025/4026</v>
      </c>
      <c r="L43" s="21" t="str">
        <f>VLOOKUP(A43,'Trips&amp;Operators'!$C$1:$G$99999,5,FALSE)</f>
        <v>ROBINSON KADDIBA</v>
      </c>
      <c r="M43" s="6">
        <f t="shared" si="1"/>
        <v>2.5902777779265307E-2</v>
      </c>
      <c r="N43" s="7">
        <f t="shared" si="23"/>
        <v>37.300000002142042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-04-29T06:22:46-0600',mode:absolute,to:'2017-04-29T09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3" s="192" t="str">
        <f t="shared" si="6"/>
        <v>N</v>
      </c>
      <c r="X43" s="192">
        <f t="shared" si="25"/>
        <v>1</v>
      </c>
      <c r="Y43" s="192">
        <f t="shared" si="8"/>
        <v>4.5699999999999998E-2</v>
      </c>
      <c r="Z43" s="192">
        <f t="shared" si="9"/>
        <v>23.3323</v>
      </c>
      <c r="AA43" s="192">
        <f t="shared" si="10"/>
        <v>23.2866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0131-29</v>
      </c>
      <c r="AE43" s="80" t="str">
        <f t="shared" si="12"/>
        <v>aws s3 cp s3://rtdc.mdm.uploadarchive.raw/RTDC4026/ "%USERPROFILE%\AppData\Local\Temp\OnboardLogs"\RTDC4026\2017-04-29 --exclude "*" --recursive --include "*20170429*" &amp; "%USERPROFILE%\Documents\GitHub\mrs-test-scripts\Headless Mode &amp; Sideloading\WalkAndUnGZ.bat" "%USERPROFILE%\AppData\Local\Temp\OnboardLogs"\RTDC4026\2017-04-29 &amp; 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</v>
      </c>
      <c r="AF43" s="77" t="str">
        <f t="shared" si="13"/>
        <v>"C:\Program Files (x86)\AstroGrep\AstroGrep.exe" /e /r /s /spath="%USERPROFILE%\AppData\Local\Temp\OnboardLogs" /stypes="app*4026*20170429*" /stext=" 14:.+((SYSTEM_STATE.+slice.+state.+changed )|(ment ac)|(multiple cpu faults)|(system.+state.+changed )|(\[timeout)|(PRM\|1\|D)|(kpr)|(kdp)|(train.+moving)|(\|lc)|(penalty))"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131-29 --locoid 4026 --swversion DE.1.0.9.0 --startMP 204:457 --initTime 2017-04-29T07:22:46 --startdatetime 2017-04-29T07:30:16 --delay 1 --endMP 204:233323 --enddatetime 2017-04-29T08:07:34 --enforcementcount 0 &gt;&gt;C:\Users\stu\Documents\GitHub\eaglep3-reporting\EC\2017-04-29-refined-times.txt</v>
      </c>
      <c r="AI43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{"issue":{"subject":"","project_id":79,"tracker_id":40,"status_id":1,"priority_id":2,"assigned_to_id":23,"start_date":"2017-04-29","description":"","custom_fields":[{"id":1,"name":"Subdivision","value":"EC"},{"id":4,"name":"Milepost","value":"23.3323"},{"id":17,"name":"Train ID","value":"131-29"},{"id":16,"name":"Locomotive ID","value":"4026"},{"id":130,"name":"Impact","value":""},{"id":150,"name":"Time of Event (Mountain Time)","value":"08:07:34"},{"id":151,"name":"Denver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4026 --day 2017-04-29</v>
      </c>
      <c r="AN43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14:07:34"},{"id":29,"name":"Sharepoint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665</v>
      </c>
      <c r="B44" s="7">
        <v>4025</v>
      </c>
      <c r="C44" s="21" t="s">
        <v>212</v>
      </c>
      <c r="D44" s="21" t="s">
        <v>459</v>
      </c>
      <c r="E44" s="13">
        <v>42854.343819444446</v>
      </c>
      <c r="F44" s="13">
        <v>42854.351550925923</v>
      </c>
      <c r="G44" s="7">
        <v>1</v>
      </c>
      <c r="H44" s="21" t="s">
        <v>490</v>
      </c>
      <c r="I44" s="13">
        <v>42854.378159722219</v>
      </c>
      <c r="J44" s="7">
        <v>0</v>
      </c>
      <c r="K44" s="92" t="str">
        <f t="shared" si="0"/>
        <v>4025/4026</v>
      </c>
      <c r="L44" s="21" t="str">
        <f>VLOOKUP(A44,'Trips&amp;Operators'!$C$1:$G$99999,5,FALSE)</f>
        <v>ROBINSON KADDIBA</v>
      </c>
      <c r="M44" s="6">
        <f t="shared" si="1"/>
        <v>2.6608796295477077E-2</v>
      </c>
      <c r="N44" s="7">
        <f t="shared" si="23"/>
        <v>38.316666665486991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-04-29T07:15:06-0600',mode:absolute,to:'2017-04-29T10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192" t="str">
        <f t="shared" si="6"/>
        <v>N</v>
      </c>
      <c r="X44" s="192">
        <f t="shared" si="25"/>
        <v>1</v>
      </c>
      <c r="Y44" s="192">
        <f t="shared" si="8"/>
        <v>23.2987</v>
      </c>
      <c r="Z44" s="192">
        <f t="shared" si="9"/>
        <v>1.32E-2</v>
      </c>
      <c r="AA44" s="192">
        <f t="shared" si="10"/>
        <v>23.285499999999999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0132-29</v>
      </c>
      <c r="AE44" s="80" t="str">
        <f t="shared" si="12"/>
        <v>aws s3 cp s3://rtdc.mdm.uploadarchive.raw/RTDC4025/ "%USERPROFILE%\AppData\Local\Temp\OnboardLogs"\RTDC4025\2017-04-29 --exclude "*" --recursive --include "*20170429*" &amp; "%USERPROFILE%\Documents\GitHub\mrs-test-scripts\Headless Mode &amp; Sideloading\WalkAndUnGZ.bat" "%USERPROFILE%\AppData\Local\Temp\OnboardLogs"\RTDC4025\2017-04-29 &amp; 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</v>
      </c>
      <c r="AF44" s="77" t="str">
        <f t="shared" si="13"/>
        <v>"C:\Program Files (x86)\AstroGrep\AstroGrep.exe" /e /r /s /spath="%USERPROFILE%\AppData\Local\Temp\OnboardLogs" /stypes="app*4025*20170429*" /stext=" 15:.+((SYSTEM_STATE.+slice.+state.+changed )|(ment ac)|(multiple cpu faults)|(system.+state.+changed )|(\[timeout)|(PRM\|1\|D)|(kpr)|(kdp)|(train.+moving)|(\|lc)|(penalty))"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132-29 --locoid 4025 --swversion DE.1.0.9.0 --startMP 204:232987 --initTime 2017-04-29T08:15:06 --startdatetime 2017-04-29T08:26:14 --delay 1 --endMP 204:132 --enddatetime 2017-04-29T09:04:33 --enforcementcount 0 &gt;&gt;C:\Users\stu\Documents\GitHub\eaglep3-reporting\EC\2017-04-29-refined-times.txt</v>
      </c>
      <c r="AI44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{"issue":{"subject":"","project_id":79,"tracker_id":40,"status_id":1,"priority_id":2,"assigned_to_id":23,"start_date":"2017-04-29","description":"","custom_fields":[{"id":1,"name":"Subdivision","value":"EC"},{"id":4,"name":"Milepost","value":"0.0132"},{"id":17,"name":"Train ID","value":"132-29"},{"id":16,"name":"Locomotive ID","value":"4025"},{"id":130,"name":"Impact","value":""},{"id":150,"name":"Time of Event (Mountain Time)","value":"09:04:33"},{"id":151,"name":"Denver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4025 --day 2017-04-29</v>
      </c>
      <c r="AN44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15:04:33"},{"id":29,"name":"Sharepoint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659</v>
      </c>
      <c r="B45" s="7">
        <v>4028</v>
      </c>
      <c r="C45" s="21" t="s">
        <v>212</v>
      </c>
      <c r="D45" s="21" t="s">
        <v>204</v>
      </c>
      <c r="E45" s="13">
        <v>42854.319745370369</v>
      </c>
      <c r="F45" s="13">
        <v>42854.323159722226</v>
      </c>
      <c r="G45" s="7">
        <v>1</v>
      </c>
      <c r="H45" s="21" t="s">
        <v>495</v>
      </c>
      <c r="I45" s="13">
        <v>42854.347812499997</v>
      </c>
      <c r="J45" s="7">
        <v>0</v>
      </c>
      <c r="K45" s="92" t="str">
        <f t="shared" si="0"/>
        <v>4027/4028</v>
      </c>
      <c r="L45" s="21" t="str">
        <f>VLOOKUP(A45,'Trips&amp;Operators'!$C$1:$G$99999,5,FALSE)</f>
        <v>MAELZER KURT</v>
      </c>
      <c r="M45" s="6">
        <f t="shared" si="1"/>
        <v>2.4652777770825196E-2</v>
      </c>
      <c r="N45" s="7">
        <f t="shared" si="23"/>
        <v>35.499999989988282</v>
      </c>
      <c r="O45" s="7"/>
      <c r="P45" s="7"/>
      <c r="Q45" s="22"/>
      <c r="R45" s="190"/>
      <c r="S45" s="196">
        <f t="shared" si="3"/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-04-29T06:40:26-0600',mode:absolute,to:'2017-04-29T09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192" t="str">
        <f t="shared" si="6"/>
        <v>N</v>
      </c>
      <c r="X45" s="192">
        <f t="shared" si="25"/>
        <v>1</v>
      </c>
      <c r="Y45" s="192">
        <f t="shared" si="8"/>
        <v>4.5699999999999998E-2</v>
      </c>
      <c r="Z45" s="192">
        <f t="shared" si="9"/>
        <v>23.332599999999999</v>
      </c>
      <c r="AA45" s="192">
        <f t="shared" si="10"/>
        <v>23.286899999999999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0133-29</v>
      </c>
      <c r="AE45" s="80" t="str">
        <f t="shared" si="12"/>
        <v>aws s3 cp s3://rtdc.mdm.uploadarchive.raw/RTDC4028/ "%USERPROFILE%\AppData\Local\Temp\OnboardLogs"\RTDC4028\2017-04-29 --exclude "*" --recursive --include "*20170429*" &amp; "%USERPROFILE%\Documents\GitHub\mrs-test-scripts\Headless Mode &amp; Sideloading\WalkAndUnGZ.bat" "%USERPROFILE%\AppData\Local\Temp\OnboardLogs"\RTDC4028\2017-04-29 &amp; 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</v>
      </c>
      <c r="AF45" s="77" t="str">
        <f t="shared" si="13"/>
        <v>"C:\Program Files (x86)\AstroGrep\AstroGrep.exe" /e /r /s /spath="%USERPROFILE%\AppData\Local\Temp\OnboardLogs" /stypes="app*4028*20170429*" /stext=" 14:.+((SYSTEM_STATE.+slice.+state.+changed )|(ment ac)|(multiple cpu faults)|(system.+state.+changed )|(\[timeout)|(PRM\|1\|D)|(kpr)|(kdp)|(train.+moving)|(\|lc)|(penalty))"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133-29 --locoid 4028 --swversion DE.1.0.9.0 --startMP 204:457 --initTime 2017-04-29T07:40:26 --startdatetime 2017-04-29T07:45:21 --delay 1 --endMP 204:233326 --enddatetime 2017-04-29T08:20:51 --enforcementcount 0 &gt;&gt;C:\Users\stu\Documents\GitHub\eaglep3-reporting\EC\2017-04-29-refined-times.txt</v>
      </c>
      <c r="AI45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{"issue":{"subject":"","project_id":79,"tracker_id":40,"status_id":1,"priority_id":2,"assigned_to_id":23,"start_date":"2017-04-29","description":"","custom_fields":[{"id":1,"name":"Subdivision","value":"EC"},{"id":4,"name":"Milepost","value":"23.3326"},{"id":17,"name":"Train ID","value":"133-29"},{"id":16,"name":"Locomotive ID","value":"4028"},{"id":130,"name":"Impact","value":""},{"id":150,"name":"Time of Event (Mountain Time)","value":"08:20:51"},{"id":151,"name":"Denver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4028 --day 2017-04-29</v>
      </c>
      <c r="AN45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14:20:51"},{"id":29,"name":"Sharepoint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667</v>
      </c>
      <c r="B46" s="7">
        <v>4027</v>
      </c>
      <c r="C46" s="21" t="s">
        <v>212</v>
      </c>
      <c r="D46" s="21" t="s">
        <v>840</v>
      </c>
      <c r="E46" s="13">
        <v>42854.352418981478</v>
      </c>
      <c r="F46" s="13">
        <v>42854.36204861111</v>
      </c>
      <c r="G46" s="7">
        <v>1</v>
      </c>
      <c r="H46" s="21" t="s">
        <v>197</v>
      </c>
      <c r="I46" s="13">
        <v>42854.389421296299</v>
      </c>
      <c r="J46" s="7">
        <v>0</v>
      </c>
      <c r="K46" s="92" t="str">
        <f t="shared" si="0"/>
        <v>4027/4028</v>
      </c>
      <c r="L46" s="21" t="str">
        <f>VLOOKUP(A46,'Trips&amp;Operators'!$C$1:$G$99999,5,FALSE)</f>
        <v>MAELZER KURT</v>
      </c>
      <c r="M46" s="6">
        <f t="shared" si="1"/>
        <v>2.7372685188311152E-2</v>
      </c>
      <c r="N46" s="7">
        <f t="shared" si="23"/>
        <v>39.416666671168059</v>
      </c>
      <c r="O46" s="7"/>
      <c r="P46" s="7"/>
      <c r="Q46" s="22"/>
      <c r="R46" s="190"/>
      <c r="S46" s="196">
        <f t="shared" si="3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-04-29T07:27:29-0600',mode:absolute,to:'2017-04-29T10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192" t="str">
        <f t="shared" si="6"/>
        <v>N</v>
      </c>
      <c r="X46" s="192">
        <f t="shared" si="25"/>
        <v>1</v>
      </c>
      <c r="Y46" s="192">
        <f t="shared" si="8"/>
        <v>23.3</v>
      </c>
      <c r="Z46" s="192">
        <f t="shared" si="9"/>
        <v>1.52E-2</v>
      </c>
      <c r="AA46" s="192">
        <f t="shared" si="10"/>
        <v>23.284800000000001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0134-29</v>
      </c>
      <c r="AE46" s="80" t="str">
        <f t="shared" si="12"/>
        <v>aws s3 cp s3://rtdc.mdm.uploadarchive.raw/RTDC4027/ "%USERPROFILE%\AppData\Local\Temp\OnboardLogs"\RTDC4027\2017-04-29 --exclude "*" --recursive --include "*20170429*" &amp; "%USERPROFILE%\Documents\GitHub\mrs-test-scripts\Headless Mode &amp; Sideloading\WalkAndUnGZ.bat" "%USERPROFILE%\AppData\Local\Temp\OnboardLogs"\RTDC4027\2017-04-29 &amp; 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</v>
      </c>
      <c r="AF46" s="77" t="str">
        <f t="shared" si="13"/>
        <v>"C:\Program Files (x86)\AstroGrep\AstroGrep.exe" /e /r /s /spath="%USERPROFILE%\AppData\Local\Temp\OnboardLogs" /stypes="app*4027*20170429*" /stext=" 15:.+((SYSTEM_STATE.+slice.+state.+changed )|(ment ac)|(multiple cpu faults)|(system.+state.+changed )|(\[timeout)|(PRM\|1\|D)|(kpr)|(kdp)|(train.+moving)|(\|lc)|(penalty))"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134-29 --locoid 4027 --swversion DE.1.0.9.0 --startMP 204:233000 --initTime 2017-04-29T08:27:29 --startdatetime 2017-04-29T08:41:21 --delay 1 --endMP 204:152 --enddatetime 2017-04-29T09:20:46 --enforcementcount 0 &gt;&gt;C:\Users\stu\Documents\GitHub\eaglep3-reporting\EC\2017-04-29-refined-times.txt</v>
      </c>
      <c r="AI46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{"issue":{"subject":"","project_id":79,"tracker_id":40,"status_id":1,"priority_id":2,"assigned_to_id":23,"start_date":"2017-04-29","description":"","custom_fields":[{"id":1,"name":"Subdivision","value":"EC"},{"id":4,"name":"Milepost","value":"0.0152"},{"id":17,"name":"Train ID","value":"134-29"},{"id":16,"name":"Locomotive ID","value":"4027"},{"id":130,"name":"Impact","value":""},{"id":150,"name":"Time of Event (Mountain Time)","value":"09:20:46"},{"id":151,"name":"Denver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4027 --day 2017-04-29</v>
      </c>
      <c r="AN46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15:20:46"},{"id":29,"name":"Sharepoint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662</v>
      </c>
      <c r="B47" s="7">
        <v>4022</v>
      </c>
      <c r="C47" s="21" t="s">
        <v>212</v>
      </c>
      <c r="D47" s="21" t="s">
        <v>385</v>
      </c>
      <c r="E47" s="13">
        <v>42854.329236111109</v>
      </c>
      <c r="F47" s="13">
        <v>42854.333495370367</v>
      </c>
      <c r="G47" s="7">
        <v>1</v>
      </c>
      <c r="H47" s="21" t="s">
        <v>841</v>
      </c>
      <c r="I47" s="13">
        <v>42854.3590625</v>
      </c>
      <c r="J47" s="7">
        <v>0</v>
      </c>
      <c r="K47" s="92" t="str">
        <f t="shared" si="0"/>
        <v>4021/4022</v>
      </c>
      <c r="L47" s="21" t="str">
        <f>VLOOKUP(A47,'Trips&amp;Operators'!$C$1:$G$99999,5,FALSE)</f>
        <v>DAVIS WENDY</v>
      </c>
      <c r="M47" s="6">
        <f t="shared" si="1"/>
        <v>2.5567129632690921E-2</v>
      </c>
      <c r="N47" s="7">
        <f t="shared" si="23"/>
        <v>36.816666671074927</v>
      </c>
      <c r="O47" s="7"/>
      <c r="P47" s="7"/>
      <c r="Q47" s="22"/>
      <c r="R47" s="190"/>
      <c r="S47" s="196">
        <f t="shared" si="3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-04-29T06:54:06-0600',mode:absolute,to:'2017-04-29T09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7" s="192" t="str">
        <f t="shared" si="6"/>
        <v>N</v>
      </c>
      <c r="X47" s="192">
        <f t="shared" si="25"/>
        <v>1</v>
      </c>
      <c r="Y47" s="192">
        <f t="shared" si="8"/>
        <v>4.4600000000000001E-2</v>
      </c>
      <c r="Z47" s="192">
        <f t="shared" si="9"/>
        <v>23.334199999999999</v>
      </c>
      <c r="AA47" s="192">
        <f t="shared" si="10"/>
        <v>23.2896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0135-29</v>
      </c>
      <c r="AE47" s="80" t="str">
        <f t="shared" si="12"/>
        <v>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 &amp; 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</v>
      </c>
      <c r="AF47" s="77" t="str">
        <f t="shared" si="13"/>
        <v>"C:\Program Files (x86)\AstroGrep\AstroGrep.exe" /e /r /s /spath="%USERPROFILE%\AppData\Local\Temp\OnboardLogs" /stypes="app*4022*20170429*" /stext=" 14:.+((SYSTEM_STATE.+slice.+state.+changed )|(ment ac)|(multiple cpu faults)|(system.+state.+changed )|(\[timeout)|(PRM\|1\|D)|(kpr)|(kdp)|(train.+moving)|(\|lc)|(penalty))"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135-29 --locoid 4022 --swversion DE.1.0.9.0 --startMP 204:446 --initTime 2017-04-29T07:54:06 --startdatetime 2017-04-29T08:00:14 --delay 1 --endMP 204:233342 --enddatetime 2017-04-29T08:37:03 --enforcementcount 0 &gt;&gt;C:\Users\stu\Documents\GitHub\eaglep3-reporting\EC\2017-04-29-refined-times.txt</v>
      </c>
      <c r="AI47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{"issue":{"subject":"","project_id":79,"tracker_id":40,"status_id":1,"priority_id":2,"assigned_to_id":23,"start_date":"2017-04-29","description":"","custom_fields":[{"id":1,"name":"Subdivision","value":"EC"},{"id":4,"name":"Milepost","value":"23.3342"},{"id":17,"name":"Train ID","value":"135-29"},{"id":16,"name":"Locomotive ID","value":"4022"},{"id":130,"name":"Impact","value":""},{"id":150,"name":"Time of Event (Mountain Time)","value":"08:37:03"},{"id":151,"name":"Denver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4022 --day 2017-04-29</v>
      </c>
      <c r="AN47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14:37:03"},{"id":29,"name":"Sharepoint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566</v>
      </c>
      <c r="B48" s="7">
        <v>4021</v>
      </c>
      <c r="C48" s="21" t="s">
        <v>212</v>
      </c>
      <c r="D48" s="21" t="s">
        <v>823</v>
      </c>
      <c r="E48" s="13">
        <v>42854.369421296295</v>
      </c>
      <c r="F48" s="13">
        <v>42854.372384259259</v>
      </c>
      <c r="G48" s="7">
        <v>1</v>
      </c>
      <c r="H48" s="21" t="s">
        <v>378</v>
      </c>
      <c r="I48" s="13">
        <v>42854.399918981479</v>
      </c>
      <c r="J48" s="7">
        <v>0</v>
      </c>
      <c r="K48" s="92" t="str">
        <f t="shared" si="0"/>
        <v>4021/4022</v>
      </c>
      <c r="L48" s="21" t="str">
        <f>VLOOKUP(A48,'Trips&amp;Operators'!$C$1:$G$99999,5,FALSE)</f>
        <v>DAVIS WENDY</v>
      </c>
      <c r="M48" s="6">
        <f t="shared" si="1"/>
        <v>2.753472221957054E-2</v>
      </c>
      <c r="N48" s="7">
        <f t="shared" si="23"/>
        <v>39.649999996181577</v>
      </c>
      <c r="O48" s="7"/>
      <c r="P48" s="7"/>
      <c r="Q48" s="22"/>
      <c r="R48" s="190"/>
      <c r="S48" s="196">
        <f t="shared" si="3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-04-29T07:51:58-0600',mode:absolute,to:'2017-04-29T10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8" s="192" t="str">
        <f t="shared" si="6"/>
        <v>N</v>
      </c>
      <c r="X48" s="192">
        <f t="shared" si="25"/>
        <v>1</v>
      </c>
      <c r="Y48" s="192">
        <f t="shared" si="8"/>
        <v>23.302299999999999</v>
      </c>
      <c r="Z48" s="192">
        <f t="shared" si="9"/>
        <v>1.38E-2</v>
      </c>
      <c r="AA48" s="192">
        <f t="shared" si="10"/>
        <v>23.288499999999999</v>
      </c>
      <c r="AB48" s="57" t="str">
        <f>VLOOKUP(A48,Enforcements!$C$7:$K$13,8,0)</f>
        <v>Bulletin (2)</v>
      </c>
      <c r="AC48" s="53" t="str">
        <f>VLOOKUP(A48,Enforcements!$C$7:$E$13,3,0)</f>
        <v>GRADE CROSSING</v>
      </c>
      <c r="AD48" s="54" t="str">
        <f t="shared" si="11"/>
        <v>0136-29</v>
      </c>
      <c r="AE48" s="80" t="str">
        <f t="shared" si="12"/>
        <v>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 &amp; aws s3 cp s3://rtdc.mdm.uploadarchive.raw/RTDC4021/ "%USERPROFILE%\AppData\Local\Temp\OnboardLogs"\RTDC4021\2017-04-30 --exclude "*" --recursive --include "*20170430*" &amp; "%USERPROFILE%\Documents\GitHub\mrs-test-scripts\Headless Mode &amp; Sideloading\WalkAndUnGZ.bat" "%USERPROFILE%\AppData\Local\Temp\OnboardLogs"\RTDC4021\2017-04-30</v>
      </c>
      <c r="AF48" s="77" t="str">
        <f t="shared" si="13"/>
        <v>"C:\Program Files (x86)\AstroGrep\AstroGrep.exe" /e /r /s /spath="%USERPROFILE%\AppData\Local\Temp\OnboardLogs" /stypes="app*4021*20170429*" /stext=" 15:.+((SYSTEM_STATE.+slice.+state.+changed )|(ment ac)|(multiple cpu faults)|(system.+state.+changed )|(\[timeout)|(PRM\|1\|D)|(kpr)|(kdp)|(train.+moving)|(\|lc)|(penalty))"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136-29 --locoid 4021 --swversion DE.1.0.9.0 --startMP 204:233023 --initTime 2017-04-29T08:51:58 --startdatetime 2017-04-29T08:56:14 --delay 1 --endMP 204:138 --enddatetime 2017-04-29T09:35:53 --enforcementcount 0 &gt;&gt;C:\Users\stu\Documents\GitHub\eaglep3-reporting\EC\2017-04-29-refined-times.txt</v>
      </c>
      <c r="AI48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{"issue":{"subject":"","project_id":79,"tracker_id":40,"status_id":1,"priority_id":2,"assigned_to_id":23,"start_date":"2017-04-29","description":"","custom_fields":[{"id":1,"name":"Subdivision","value":"EC"},{"id":4,"name":"Milepost","value":"0.0138"},{"id":17,"name":"Train ID","value":"136-29"},{"id":16,"name":"Locomotive ID","value":"4021"},{"id":130,"name":"Impact","value":""},{"id":150,"name":"Time of Event (Mountain Time)","value":"09:35:53"},{"id":151,"name":"Denver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4021 --day 2017-04-29</v>
      </c>
      <c r="AN48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15:35:53"},{"id":29,"name":"Sharepoint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663</v>
      </c>
      <c r="B49" s="7">
        <v>4008</v>
      </c>
      <c r="C49" s="21" t="s">
        <v>212</v>
      </c>
      <c r="D49" s="21" t="s">
        <v>369</v>
      </c>
      <c r="E49" s="13">
        <v>42854.336747685185</v>
      </c>
      <c r="F49" s="13">
        <v>42854.343935185185</v>
      </c>
      <c r="G49" s="7">
        <v>1</v>
      </c>
      <c r="H49" s="21" t="s">
        <v>824</v>
      </c>
      <c r="I49" s="13">
        <v>42854.368495370371</v>
      </c>
      <c r="J49" s="7">
        <v>0</v>
      </c>
      <c r="K49" s="92" t="str">
        <f t="shared" si="0"/>
        <v>4007/4008</v>
      </c>
      <c r="L49" s="21" t="str">
        <f>VLOOKUP(A49,'Trips&amp;Operators'!$C$1:$G$99999,5,FALSE)</f>
        <v>SANTIZO D. EDY</v>
      </c>
      <c r="M49" s="6">
        <f t="shared" si="1"/>
        <v>2.4560185185691807E-2</v>
      </c>
      <c r="N49" s="7">
        <f t="shared" si="23"/>
        <v>35.366666667396203</v>
      </c>
      <c r="O49" s="7"/>
      <c r="P49" s="7"/>
      <c r="Q49" s="22"/>
      <c r="R49" s="190"/>
      <c r="S49" s="196">
        <f t="shared" si="3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-04-29T07:04:55-0600',mode:absolute,to:'2017-04-29T09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9" s="192" t="str">
        <f t="shared" si="6"/>
        <v>N</v>
      </c>
      <c r="X49" s="192">
        <f t="shared" si="25"/>
        <v>1</v>
      </c>
      <c r="Y49" s="192">
        <f t="shared" si="8"/>
        <v>4.4900000000000002E-2</v>
      </c>
      <c r="Z49" s="192">
        <f t="shared" si="9"/>
        <v>23.3322</v>
      </c>
      <c r="AA49" s="192">
        <f t="shared" si="10"/>
        <v>23.287300000000002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0137-29</v>
      </c>
      <c r="AE49" s="80" t="str">
        <f t="shared" si="12"/>
        <v>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 &amp; 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</v>
      </c>
      <c r="AF49" s="77" t="str">
        <f t="shared" si="13"/>
        <v>"C:\Program Files (x86)\AstroGrep\AstroGrep.exe" /e /r /s /spath="%USERPROFILE%\AppData\Local\Temp\OnboardLogs" /stypes="app*4008*20170429*" /stext=" 14:.+((SYSTEM_STATE.+slice.+state.+changed )|(ment ac)|(multiple cpu faults)|(system.+state.+changed )|(\[timeout)|(PRM\|1\|D)|(kpr)|(kdp)|(train.+moving)|(\|lc)|(penalty))"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137-29 --locoid 4008 --swversion DE.1.0.9.0 --startMP 204:449 --initTime 2017-04-29T08:04:55 --startdatetime 2017-04-29T08:15:16 --delay 1 --endMP 204:233322 --enddatetime 2017-04-29T08:50:38 --enforcementcount 0 &gt;&gt;C:\Users\stu\Documents\GitHub\eaglep3-reporting\EC\2017-04-29-refined-times.txt</v>
      </c>
      <c r="AI49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{"issue":{"subject":"","project_id":79,"tracker_id":40,"status_id":1,"priority_id":2,"assigned_to_id":23,"start_date":"2017-04-29","description":"","custom_fields":[{"id":1,"name":"Subdivision","value":"EC"},{"id":4,"name":"Milepost","value":"23.3322"},{"id":17,"name":"Train ID","value":"137-29"},{"id":16,"name":"Locomotive ID","value":"4008"},{"id":130,"name":"Impact","value":""},{"id":150,"name":"Time of Event (Mountain Time)","value":"08:50:38"},{"id":151,"name":"Denver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4008 --day 2017-04-29</v>
      </c>
      <c r="AN49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14:50:38"},{"id":29,"name":"Sharepoint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670</v>
      </c>
      <c r="B50" s="7">
        <v>4007</v>
      </c>
      <c r="C50" s="21" t="s">
        <v>212</v>
      </c>
      <c r="D50" s="21" t="s">
        <v>842</v>
      </c>
      <c r="E50" s="13">
        <v>42854.369502314818</v>
      </c>
      <c r="F50" s="13">
        <v>42854.3828125</v>
      </c>
      <c r="G50" s="7">
        <v>0</v>
      </c>
      <c r="H50" s="21" t="s">
        <v>531</v>
      </c>
      <c r="I50" s="13">
        <v>42854.408958333333</v>
      </c>
      <c r="J50" s="7">
        <v>0</v>
      </c>
      <c r="K50" s="92" t="str">
        <f t="shared" si="0"/>
        <v>4007/4008</v>
      </c>
      <c r="L50" s="21" t="str">
        <f>VLOOKUP(A50,'Trips&amp;Operators'!$C$1:$G$99999,5,FALSE)</f>
        <v>SANTIZO D. EDY</v>
      </c>
      <c r="M50" s="6">
        <f t="shared" si="1"/>
        <v>2.6145833333430346E-2</v>
      </c>
      <c r="N50" s="7">
        <f t="shared" si="23"/>
        <v>37.650000000139698</v>
      </c>
      <c r="O50" s="7"/>
      <c r="P50" s="7"/>
      <c r="Q50" s="22"/>
      <c r="R50" s="190"/>
      <c r="S50" s="196">
        <f t="shared" si="3"/>
        <v>1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-04-29T07:52:05-0600',mode:absolute,to:'2017-04-29T10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0" s="192" t="str">
        <f t="shared" si="6"/>
        <v>N</v>
      </c>
      <c r="X50" s="192">
        <f t="shared" si="25"/>
        <v>1</v>
      </c>
      <c r="Y50" s="192">
        <f t="shared" si="8"/>
        <v>23.3005</v>
      </c>
      <c r="Z50" s="192">
        <f t="shared" si="9"/>
        <v>1.3599999999999999E-2</v>
      </c>
      <c r="AA50" s="192">
        <f t="shared" si="10"/>
        <v>23.286899999999999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0138-29</v>
      </c>
      <c r="AE50" s="80" t="str">
        <f t="shared" si="12"/>
        <v>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 &amp; 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</v>
      </c>
      <c r="AF50" s="77" t="str">
        <f t="shared" si="13"/>
        <v>"C:\Program Files (x86)\AstroGrep\AstroGrep.exe" /e /r /s /spath="%USERPROFILE%\AppData\Local\Temp\OnboardLogs" /stypes="app*4007*20170429*" /stext=" 15:.+((SYSTEM_STATE.+slice.+state.+changed )|(ment ac)|(multiple cpu faults)|(system.+state.+changed )|(\[timeout)|(PRM\|1\|D)|(kpr)|(kdp)|(train.+moving)|(\|lc)|(penalty))"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138-29 --locoid 4007 --swversion DE.1.0.9.0 --startMP 204:233005 --initTime 2017-04-29T08:52:05 --startdatetime 2017-04-29T09:11:15 --delay 0 --endMP 204:136 --enddatetime 2017-04-29T09:48:54 --enforcementcount 0 &gt;&gt;C:\Users\stu\Documents\GitHub\eaglep3-reporting\EC\2017-04-29-refined-times.txt</v>
      </c>
      <c r="AI50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{"issue":{"subject":"","project_id":79,"tracker_id":40,"status_id":1,"priority_id":2,"assigned_to_id":23,"start_date":"2017-04-29","description":"","custom_fields":[{"id":1,"name":"Subdivision","value":"EC"},{"id":4,"name":"Milepost","value":"0.0136"},{"id":17,"name":"Train ID","value":"138-29"},{"id":16,"name":"Locomotive ID","value":"4007"},{"id":130,"name":"Impact","value":""},{"id":150,"name":"Time of Event (Mountain Time)","value":"09:48:54"},{"id":151,"name":"Denver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4007 --day 2017-04-29</v>
      </c>
      <c r="AN50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15:48:54"},{"id":29,"name":"Sharepoint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666</v>
      </c>
      <c r="B51" s="7">
        <v>4018</v>
      </c>
      <c r="C51" s="21" t="s">
        <v>212</v>
      </c>
      <c r="D51" s="21" t="s">
        <v>385</v>
      </c>
      <c r="E51" s="13">
        <v>42854.351423611108</v>
      </c>
      <c r="F51" s="13">
        <v>42854.354502314818</v>
      </c>
      <c r="G51" s="7">
        <v>1</v>
      </c>
      <c r="H51" s="21" t="s">
        <v>843</v>
      </c>
      <c r="I51" s="13">
        <v>42854.379270833335</v>
      </c>
      <c r="J51" s="7">
        <v>0</v>
      </c>
      <c r="K51" s="92" t="str">
        <f t="shared" si="0"/>
        <v>4017/4018</v>
      </c>
      <c r="L51" s="21" t="str">
        <f>VLOOKUP(A51,'Trips&amp;Operators'!$C$1:$G$99999,5,FALSE)</f>
        <v>LOZA FIDEL</v>
      </c>
      <c r="M51" s="6">
        <f t="shared" si="1"/>
        <v>2.4768518516793847E-2</v>
      </c>
      <c r="N51" s="7">
        <f t="shared" si="23"/>
        <v>35.66666666418314</v>
      </c>
      <c r="O51" s="7"/>
      <c r="P51" s="7"/>
      <c r="Q51" s="22"/>
      <c r="R51" s="190"/>
      <c r="S51" s="196">
        <f t="shared" si="3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-04-29T07:26:03-0600',mode:absolute,to:'2017-04-29T10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1" s="192" t="str">
        <f t="shared" si="6"/>
        <v>N</v>
      </c>
      <c r="X51" s="192">
        <f t="shared" si="25"/>
        <v>1</v>
      </c>
      <c r="Y51" s="192">
        <f t="shared" si="8"/>
        <v>4.4600000000000001E-2</v>
      </c>
      <c r="Z51" s="192">
        <f t="shared" si="9"/>
        <v>23.339500000000001</v>
      </c>
      <c r="AA51" s="192">
        <f t="shared" si="10"/>
        <v>23.294900000000002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0139-29</v>
      </c>
      <c r="AE51" s="80" t="str">
        <f t="shared" si="12"/>
        <v>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 &amp; aws s3 cp s3://rtdc.mdm.uploadarchive.raw/RTDC4018/ "%USERPROFILE%\AppData\Local\Temp\OnboardLogs"\RTDC4018\2017-04-30 --exclude "*" --recursive --include "*20170430*" &amp; "%USERPROFILE%\Documents\GitHub\mrs-test-scripts\Headless Mode &amp; Sideloading\WalkAndUnGZ.bat" "%USERPROFILE%\AppData\Local\Temp\OnboardLogs"\RTDC4018\2017-04-30</v>
      </c>
      <c r="AF51" s="77" t="str">
        <f t="shared" si="13"/>
        <v>"C:\Program Files (x86)\AstroGrep\AstroGrep.exe" /e /r /s /spath="%USERPROFILE%\AppData\Local\Temp\OnboardLogs" /stypes="app*4018*20170429*" /stext=" 15:.+((SYSTEM_STATE.+slice.+state.+changed )|(ment ac)|(multiple cpu faults)|(system.+state.+changed )|(\[timeout)|(PRM\|1\|D)|(kpr)|(kdp)|(train.+moving)|(\|lc)|(penalty))"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139-29 --locoid 4018 --swversion DE.1.0.9.0 --startMP 204:446 --initTime 2017-04-29T08:26:03 --startdatetime 2017-04-29T08:30:29 --delay 1 --endMP 204:233395 --enddatetime 2017-04-29T09:06:09 --enforcementcount 0 &gt;&gt;C:\Users\stu\Documents\GitHub\eaglep3-reporting\EC\2017-04-29-refined-times.txt</v>
      </c>
      <c r="AI51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{"issue":{"subject":"","project_id":79,"tracker_id":40,"status_id":1,"priority_id":2,"assigned_to_id":23,"start_date":"2017-04-29","description":"","custom_fields":[{"id":1,"name":"Subdivision","value":"EC"},{"id":4,"name":"Milepost","value":"23.3395"},{"id":17,"name":"Train ID","value":"139-29"},{"id":16,"name":"Locomotive ID","value":"4018"},{"id":130,"name":"Impact","value":""},{"id":150,"name":"Time of Event (Mountain Time)","value":"09:06:09"},{"id":151,"name":"Denver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4018 --day 2017-04-29</v>
      </c>
      <c r="AN51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15:06:09"},{"id":29,"name":"Sharepoint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571</v>
      </c>
      <c r="B52" s="7">
        <v>4017</v>
      </c>
      <c r="C52" s="21" t="s">
        <v>212</v>
      </c>
      <c r="D52" s="21" t="s">
        <v>844</v>
      </c>
      <c r="E52" s="13">
        <v>42854.388645833336</v>
      </c>
      <c r="F52" s="13">
        <v>42854.393506944441</v>
      </c>
      <c r="G52" s="7">
        <v>2</v>
      </c>
      <c r="H52" s="21" t="s">
        <v>845</v>
      </c>
      <c r="I52" s="13">
        <v>42854.416759259257</v>
      </c>
      <c r="J52" s="7">
        <v>0</v>
      </c>
      <c r="K52" s="92" t="str">
        <f t="shared" si="0"/>
        <v>4017/4018</v>
      </c>
      <c r="L52" s="21" t="str">
        <f>VLOOKUP(A52,'Trips&amp;Operators'!$C$1:$G$99999,5,FALSE)</f>
        <v>LOZA FIDEL</v>
      </c>
      <c r="M52" s="6">
        <f t="shared" si="1"/>
        <v>2.3252314815181307E-2</v>
      </c>
      <c r="N52" s="7"/>
      <c r="O52" s="7"/>
      <c r="P52" s="7">
        <f>24*60*SUM($M52:$M52)</f>
        <v>33.483333333861083</v>
      </c>
      <c r="Q52" s="22"/>
      <c r="R52" s="190" t="s">
        <v>1025</v>
      </c>
      <c r="S52" s="196">
        <f t="shared" si="3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-04-29T08:19:39-0600',mode:absolute,to:'2017-04-29T11:00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2" s="192" t="str">
        <f t="shared" si="6"/>
        <v>Y</v>
      </c>
      <c r="X52" s="192">
        <f t="shared" si="25"/>
        <v>1</v>
      </c>
      <c r="Y52" s="192">
        <f t="shared" si="8"/>
        <v>23.3111</v>
      </c>
      <c r="Z52" s="192">
        <f t="shared" si="9"/>
        <v>1.4362999999999999</v>
      </c>
      <c r="AA52" s="192">
        <f t="shared" si="10"/>
        <v>21.8748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0140-29</v>
      </c>
      <c r="AE52" s="80" t="str">
        <f t="shared" si="12"/>
        <v>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 &amp; aws s3 cp s3://rtdc.mdm.uploadarchive.raw/RTDC4017/ "%USERPROFILE%\AppData\Local\Temp\OnboardLogs"\RTDC4017\2017-04-30 --exclude "*" --recursive --include "*20170430*" &amp; "%USERPROFILE%\Documents\GitHub\mrs-test-scripts\Headless Mode &amp; Sideloading\WalkAndUnGZ.bat" "%USERPROFILE%\AppData\Local\Temp\OnboardLogs"\RTDC4017\2017-04-30</v>
      </c>
      <c r="AF52" s="77" t="str">
        <f t="shared" si="13"/>
        <v>"C:\Program Files (x86)\AstroGrep\AstroGrep.exe" /e /r /s /spath="%USERPROFILE%\AppData\Local\Temp\OnboardLogs" /stypes="app*4017*20170429*" /stext=" 16:.+((SYSTEM_STATE.+slice.+state.+changed )|(ment ac)|(multiple cpu faults)|(system.+state.+changed )|(\[timeout)|(PRM\|1\|D)|(kpr)|(kdp)|(train.+moving)|(\|lc)|(penalty))"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140-29 --locoid 4017 --swversion DE.1.0.9.0 --startMP 204:233111 --initTime 2017-04-29T09:19:39 --startdatetime 2017-04-29T09:26:39 --delay 2 --endMP 204:14363 --enddatetime 2017-04-29T10:00:08 --enforcementcount 0 &gt;&gt;C:\Users\stu\Documents\GitHub\eaglep3-reporting\EC\2017-04-29-refined-times.txt</v>
      </c>
      <c r="AI52" s="99" t="str">
        <f t="shared" si="20"/>
        <v>echo {"issue":{"subject":"Premature downgrade at Bright 4S","project_id":79,"tracker_id":40,"status_id":1,"priority_id":2,"assigned_to_id":23,"start_date":"2017-04-29","description":"","custom_fields":[{"id":1,"name":"Subdivision","value":"EC"},{"id":4,"name":"Milepost","value":"1.4363"},{"id":17,"name":"Train ID","value":"140-29"},{"id":16,"name":"Locomotive ID","value":"4017"},{"id":130,"name":"Impact","value":""},{"id":150,"name":"Time of Event (Mountain Time)","value":"10:00:08"},{"id":151,"name":"Denver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4017 --day 2017-04-29</v>
      </c>
      <c r="AN52" s="154" t="str">
        <f t="shared" si="22"/>
        <v>echo {"issue":{"subject":"Premature downgrade at Bright 4S","project_id":30,"tracker_id":4,"status_id":1,"priority_id":1,"assigned_to_id":10,"start_date":"2017-04-29","description":"","custom_fields":[{"id":30,"name":"Category","value":"Issue"},{"id":3,"name":"Functional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16:00:08"},{"id":29,"name":"Sharepoint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668</v>
      </c>
      <c r="B53" s="7">
        <v>4010</v>
      </c>
      <c r="C53" s="21" t="s">
        <v>212</v>
      </c>
      <c r="D53" s="21" t="s">
        <v>846</v>
      </c>
      <c r="E53" s="13">
        <v>42854.358576388891</v>
      </c>
      <c r="F53" s="13">
        <v>42854.364768518521</v>
      </c>
      <c r="G53" s="7">
        <v>1</v>
      </c>
      <c r="H53" s="21" t="s">
        <v>847</v>
      </c>
      <c r="I53" s="13">
        <v>42854.38925925926</v>
      </c>
      <c r="J53" s="7">
        <v>0</v>
      </c>
      <c r="K53" s="92" t="str">
        <f t="shared" si="0"/>
        <v>4009/4010</v>
      </c>
      <c r="L53" s="21" t="str">
        <f>VLOOKUP(A53,'Trips&amp;Operators'!$C$1:$G$99999,5,FALSE)</f>
        <v>COOLAHAN JOHN</v>
      </c>
      <c r="M53" s="6">
        <f t="shared" si="1"/>
        <v>2.4490740739565808E-2</v>
      </c>
      <c r="N53" s="7">
        <f>24*60*SUM($M53:$M53)</f>
        <v>35.266666664974764</v>
      </c>
      <c r="O53" s="7"/>
      <c r="P53" s="7"/>
      <c r="Q53" s="22"/>
      <c r="R53" s="190"/>
      <c r="S53" s="196">
        <f t="shared" si="3"/>
        <v>1</v>
      </c>
      <c r="T53" s="190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-04-29T07:36:21-0600',mode:absolute,to:'2017-04-29T10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3" s="192" t="str">
        <f t="shared" si="6"/>
        <v>N</v>
      </c>
      <c r="X53" s="192">
        <f t="shared" si="25"/>
        <v>1</v>
      </c>
      <c r="Y53" s="192">
        <f t="shared" si="8"/>
        <v>4.1300000000000003E-2</v>
      </c>
      <c r="Z53" s="192">
        <f t="shared" si="9"/>
        <v>23.332799999999999</v>
      </c>
      <c r="AA53" s="192">
        <f t="shared" si="10"/>
        <v>23.291499999999999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0141-29</v>
      </c>
      <c r="AE53" s="80" t="str">
        <f t="shared" si="12"/>
        <v>aws s3 cp s3://rtdc.mdm.uploadarchive.raw/RTDC4010/ "%USERPROFILE%\AppData\Local\Temp\OnboardLogs"\RTDC4010\2017-04-29 --exclude "*" --recursive --include "*20170429*" &amp; "%USERPROFILE%\Documents\GitHub\mrs-test-scripts\Headless Mode &amp; Sideloading\WalkAndUnGZ.bat" "%USERPROFILE%\AppData\Local\Temp\OnboardLogs"\RTDC4010\2017-04-29 &amp; aws s3 cp s3://rtdc.mdm.uploadarchive.raw/RTDC4010/ "%USERPROFILE%\AppData\Local\Temp\OnboardLogs"\RTDC4010\2017-04-30 --exclude "*" --recursive --include "*20170430*" &amp; "%USERPROFILE%\Documents\GitHub\mrs-test-scripts\Headless Mode &amp; Sideloading\WalkAndUnGZ.bat" "%USERPROFILE%\AppData\Local\Temp\OnboardLogs"\RTDC4010\2017-04-30</v>
      </c>
      <c r="AF53" s="77" t="str">
        <f t="shared" si="13"/>
        <v>"C:\Program Files (x86)\AstroGrep\AstroGrep.exe" /e /r /s /spath="%USERPROFILE%\AppData\Local\Temp\OnboardLogs" /stypes="app*4010*20170429*" /stext=" 15:.+((SYSTEM_STATE.+slice.+state.+changed )|(ment ac)|(multiple cpu faults)|(system.+state.+changed )|(\[timeout)|(PRM\|1\|D)|(kpr)|(kdp)|(train.+moving)|(\|lc)|(penalty))"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141-29 --locoid 4010 --swversion DE.1.0.9.0 --startMP 204:413 --initTime 2017-04-29T08:36:21 --startdatetime 2017-04-29T08:45:16 --delay 1 --endMP 204:233328 --enddatetime 2017-04-29T09:20:32 --enforcementcount 0 &gt;&gt;C:\Users\stu\Documents\GitHub\eaglep3-reporting\EC\2017-04-29-refined-times.txt</v>
      </c>
      <c r="AI53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{"issue":{"subject":"","project_id":79,"tracker_id":40,"status_id":1,"priority_id":2,"assigned_to_id":23,"start_date":"2017-04-29","description":"","custom_fields":[{"id":1,"name":"Subdivision","value":"EC"},{"id":4,"name":"Milepost","value":"23.3328"},{"id":17,"name":"Train ID","value":"141-29"},{"id":16,"name":"Locomotive ID","value":"4010"},{"id":130,"name":"Impact","value":""},{"id":150,"name":"Time of Event (Mountain Time)","value":"09:20:32"},{"id":151,"name":"Denver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4010 --day 2017-04-29</v>
      </c>
      <c r="AN53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15:20:32"},{"id":29,"name":"Sharepoint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673</v>
      </c>
      <c r="B54" s="7">
        <v>4009</v>
      </c>
      <c r="C54" s="21" t="s">
        <v>212</v>
      </c>
      <c r="D54" s="21" t="s">
        <v>478</v>
      </c>
      <c r="E54" s="13">
        <v>42854.391458333332</v>
      </c>
      <c r="F54" s="13">
        <v>42854.403657407405</v>
      </c>
      <c r="G54" s="7">
        <v>1</v>
      </c>
      <c r="H54" s="21" t="s">
        <v>378</v>
      </c>
      <c r="I54" s="13">
        <v>42854.430347222224</v>
      </c>
      <c r="J54" s="7">
        <v>0</v>
      </c>
      <c r="K54" s="92" t="str">
        <f t="shared" si="0"/>
        <v>4009/4010</v>
      </c>
      <c r="L54" s="21" t="str">
        <f>VLOOKUP(A54,'Trips&amp;Operators'!$C$1:$G$99999,5,FALSE)</f>
        <v>COOLAHAN JOHN</v>
      </c>
      <c r="M54" s="6">
        <f t="shared" si="1"/>
        <v>2.6689814818382729E-2</v>
      </c>
      <c r="N54" s="7">
        <f>24*60*SUM($M54:$M54)</f>
        <v>38.43333333847113</v>
      </c>
      <c r="O54" s="7"/>
      <c r="P54" s="7"/>
      <c r="Q54" s="22"/>
      <c r="R54" s="190"/>
      <c r="S54" s="196">
        <f t="shared" si="3"/>
        <v>1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-04-29T08:23:42-0600',mode:absolute,to:'2017-04-29T11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4" s="192" t="str">
        <f t="shared" si="6"/>
        <v>N</v>
      </c>
      <c r="X54" s="192">
        <f t="shared" si="25"/>
        <v>1</v>
      </c>
      <c r="Y54" s="192">
        <f t="shared" si="8"/>
        <v>23.3003</v>
      </c>
      <c r="Z54" s="192">
        <f t="shared" si="9"/>
        <v>1.38E-2</v>
      </c>
      <c r="AA54" s="192">
        <f t="shared" si="10"/>
        <v>23.2865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0142-29</v>
      </c>
      <c r="AE54" s="80" t="str">
        <f t="shared" si="12"/>
        <v>aws s3 cp s3://rtdc.mdm.uploadarchive.raw/RTDC4009/ "%USERPROFILE%\AppData\Local\Temp\OnboardLogs"\RTDC4009\2017-04-29 --exclude "*" --recursive --include "*20170429*" &amp; "%USERPROFILE%\Documents\GitHub\mrs-test-scripts\Headless Mode &amp; Sideloading\WalkAndUnGZ.bat" "%USERPROFILE%\AppData\Local\Temp\OnboardLogs"\RTDC4009\2017-04-29 &amp; aws s3 cp s3://rtdc.mdm.uploadarchive.raw/RTDC4009/ "%USERPROFILE%\AppData\Local\Temp\OnboardLogs"\RTDC4009\2017-04-30 --exclude "*" --recursive --include "*20170430*" &amp; "%USERPROFILE%\Documents\GitHub\mrs-test-scripts\Headless Mode &amp; Sideloading\WalkAndUnGZ.bat" "%USERPROFILE%\AppData\Local\Temp\OnboardLogs"\RTDC4009\2017-04-30</v>
      </c>
      <c r="AF54" s="77" t="str">
        <f t="shared" si="13"/>
        <v>"C:\Program Files (x86)\AstroGrep\AstroGrep.exe" /e /r /s /spath="%USERPROFILE%\AppData\Local\Temp\OnboardLogs" /stypes="app*4009*20170429*" /stext=" 16:.+((SYSTEM_STATE.+slice.+state.+changed )|(ment ac)|(multiple cpu faults)|(system.+state.+changed )|(\[timeout)|(PRM\|1\|D)|(kpr)|(kdp)|(train.+moving)|(\|lc)|(penalty))"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142-29 --locoid 4009 --swversion DE.1.0.9.0 --startMP 204:233003 --initTime 2017-04-29T09:23:42 --startdatetime 2017-04-29T09:41:16 --delay 1 --endMP 204:138 --enddatetime 2017-04-29T10:19:42 --enforcementcount 0 &gt;&gt;C:\Users\stu\Documents\GitHub\eaglep3-reporting\EC\2017-04-29-refined-times.txt</v>
      </c>
      <c r="AI54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{"issue":{"subject":"","project_id":79,"tracker_id":40,"status_id":1,"priority_id":2,"assigned_to_id":23,"start_date":"2017-04-29","description":"","custom_fields":[{"id":1,"name":"Subdivision","value":"EC"},{"id":4,"name":"Milepost","value":"0.0138"},{"id":17,"name":"Train ID","value":"142-29"},{"id":16,"name":"Locomotive ID","value":"4009"},{"id":130,"name":"Impact","value":""},{"id":150,"name":"Time of Event (Mountain Time)","value":"10:19:42"},{"id":151,"name":"Denver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4009 --day 2017-04-29</v>
      </c>
      <c r="AN54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16:19:42"},{"id":29,"name":"Sharepoint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565</v>
      </c>
      <c r="B55" s="7">
        <v>4004</v>
      </c>
      <c r="C55" s="21" t="s">
        <v>212</v>
      </c>
      <c r="D55" s="21" t="s">
        <v>477</v>
      </c>
      <c r="E55" s="13">
        <v>42854.371967592589</v>
      </c>
      <c r="F55" s="13">
        <v>42854.375289351854</v>
      </c>
      <c r="G55" s="7">
        <v>1</v>
      </c>
      <c r="H55" s="21" t="s">
        <v>848</v>
      </c>
      <c r="I55" s="13">
        <v>42854.400092592594</v>
      </c>
      <c r="J55" s="7">
        <v>0</v>
      </c>
      <c r="K55" s="92" t="str">
        <f t="shared" si="0"/>
        <v>4003/4004</v>
      </c>
      <c r="L55" s="21" t="str">
        <f>VLOOKUP(A55,'Trips&amp;Operators'!$C$1:$G$99999,5,FALSE)</f>
        <v>MAYBERRY BILL</v>
      </c>
      <c r="M55" s="6">
        <f t="shared" si="1"/>
        <v>2.4803240739856847E-2</v>
      </c>
      <c r="N55" s="7">
        <f>24*60*SUM($M55:$M55)</f>
        <v>35.716666665393859</v>
      </c>
      <c r="O55" s="7"/>
      <c r="P55" s="7"/>
      <c r="Q55" s="22"/>
      <c r="R55" s="190"/>
      <c r="S55" s="196">
        <f t="shared" si="3"/>
        <v>1</v>
      </c>
      <c r="T55" s="190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-04-29T07:55:38-0600',mode:absolute,to:'2017-04-29T10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5" s="192" t="str">
        <f t="shared" si="6"/>
        <v>N</v>
      </c>
      <c r="X55" s="192">
        <f t="shared" si="25"/>
        <v>1</v>
      </c>
      <c r="Y55" s="192">
        <f t="shared" si="8"/>
        <v>4.8800000000000003E-2</v>
      </c>
      <c r="Z55" s="192">
        <f t="shared" si="9"/>
        <v>23.3308</v>
      </c>
      <c r="AA55" s="192">
        <f t="shared" si="10"/>
        <v>23.282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0143-29</v>
      </c>
      <c r="AE55" s="80" t="str">
        <f t="shared" si="12"/>
        <v>aws s3 cp s3://rtdc.mdm.uploadarchive.raw/RTDC4004/ "%USERPROFILE%\AppData\Local\Temp\OnboardLogs"\RTDC4004\2017-04-29 --exclude "*" --recursive --include "*20170429*" &amp; "%USERPROFILE%\Documents\GitHub\mrs-test-scripts\Headless Mode &amp; Sideloading\WalkAndUnGZ.bat" "%USERPROFILE%\AppData\Local\Temp\OnboardLogs"\RTDC4004\2017-04-29 &amp; aws s3 cp s3://rtdc.mdm.uploadarchive.raw/RTDC4004/ "%USERPROFILE%\AppData\Local\Temp\OnboardLogs"\RTDC4004\2017-04-30 --exclude "*" --recursive --include "*20170430*" &amp; "%USERPROFILE%\Documents\GitHub\mrs-test-scripts\Headless Mode &amp; Sideloading\WalkAndUnGZ.bat" "%USERPROFILE%\AppData\Local\Temp\OnboardLogs"\RTDC4004\2017-04-30</v>
      </c>
      <c r="AF55" s="77" t="str">
        <f t="shared" si="13"/>
        <v>"C:\Program Files (x86)\AstroGrep\AstroGrep.exe" /e /r /s /spath="%USERPROFILE%\AppData\Local\Temp\OnboardLogs" /stypes="app*4004*20170429*" /stext=" 15:.+((SYSTEM_STATE.+slice.+state.+changed )|(ment ac)|(multiple cpu faults)|(system.+state.+changed )|(\[timeout)|(PRM\|1\|D)|(kpr)|(kdp)|(train.+moving)|(\|lc)|(penalty))"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143-29 --locoid 4004 --swversion DE.1.0.9.0 --startMP 204:488 --initTime 2017-04-29T08:55:38 --startdatetime 2017-04-29T09:00:25 --delay 1 --endMP 204:233308 --enddatetime 2017-04-29T09:36:08 --enforcementcount 0 &gt;&gt;C:\Users\stu\Documents\GitHub\eaglep3-reporting\EC\2017-04-29-refined-times.txt</v>
      </c>
      <c r="AI55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{"issue":{"subject":"","project_id":79,"tracker_id":40,"status_id":1,"priority_id":2,"assigned_to_id":23,"start_date":"2017-04-29","description":"","custom_fields":[{"id":1,"name":"Subdivision","value":"EC"},{"id":4,"name":"Milepost","value":"23.3308"},{"id":17,"name":"Train ID","value":"143-29"},{"id":16,"name":"Locomotive ID","value":"4004"},{"id":130,"name":"Impact","value":""},{"id":150,"name":"Time of Event (Mountain Time)","value":"09:36:08"},{"id":151,"name":"Denver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4004 --day 2017-04-29</v>
      </c>
      <c r="AN55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15:36:08"},{"id":29,"name":"Sharepoint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572</v>
      </c>
      <c r="B56" s="7">
        <v>4003</v>
      </c>
      <c r="C56" s="21" t="s">
        <v>212</v>
      </c>
      <c r="D56" s="21" t="s">
        <v>458</v>
      </c>
      <c r="E56" s="13">
        <v>42854.403078703705</v>
      </c>
      <c r="F56" s="13">
        <v>42854.4140625</v>
      </c>
      <c r="G56" s="7">
        <v>1</v>
      </c>
      <c r="H56" s="21" t="s">
        <v>456</v>
      </c>
      <c r="I56" s="13">
        <v>42854.441516203704</v>
      </c>
      <c r="J56" s="7">
        <v>0</v>
      </c>
      <c r="K56" s="92" t="str">
        <f t="shared" si="0"/>
        <v>4003/4004</v>
      </c>
      <c r="L56" s="21" t="str">
        <f>VLOOKUP(A56,'Trips&amp;Operators'!$C$1:$G$99999,5,FALSE)</f>
        <v>MAYBERRY BILL</v>
      </c>
      <c r="M56" s="6">
        <f t="shared" si="1"/>
        <v>2.7453703703940846E-2</v>
      </c>
      <c r="N56" s="7">
        <f>24*60*SUM($M56:$M56)</f>
        <v>39.533333333674818</v>
      </c>
      <c r="O56" s="7"/>
      <c r="P56" s="7"/>
      <c r="Q56" s="22"/>
      <c r="R56" s="190" t="s">
        <v>1028</v>
      </c>
      <c r="S56" s="196">
        <f t="shared" si="3"/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-04-29T08:40:26-0600',mode:absolute,to:'2017-04-29T11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6" s="192" t="str">
        <f t="shared" si="6"/>
        <v>N</v>
      </c>
      <c r="X56" s="192">
        <f t="shared" si="25"/>
        <v>1</v>
      </c>
      <c r="Y56" s="192">
        <f t="shared" si="8"/>
        <v>23.299800000000001</v>
      </c>
      <c r="Z56" s="192">
        <f t="shared" si="9"/>
        <v>1.5599999999999999E-2</v>
      </c>
      <c r="AA56" s="192">
        <f t="shared" si="10"/>
        <v>23.284200000000002</v>
      </c>
      <c r="AB56" s="57" t="str">
        <f>VLOOKUP(A56,Enforcements!$C$7:$K$13,8,0)</f>
        <v>Bulletin (2)</v>
      </c>
      <c r="AC56" s="53" t="str">
        <f>VLOOKUP(A56,Enforcements!$C$7:$E$13,3,0)</f>
        <v>GRADE CROSSING</v>
      </c>
      <c r="AD56" s="54" t="str">
        <f t="shared" si="11"/>
        <v>0144-29</v>
      </c>
      <c r="AE56" s="80" t="str">
        <f t="shared" si="12"/>
        <v>aws s3 cp s3://rtdc.mdm.uploadarchive.raw/RTDC4003/ "%USERPROFILE%\AppData\Local\Temp\OnboardLogs"\RTDC4003\2017-04-29 --exclude "*" --recursive --include "*20170429*" &amp; "%USERPROFILE%\Documents\GitHub\mrs-test-scripts\Headless Mode &amp; Sideloading\WalkAndUnGZ.bat" "%USERPROFILE%\AppData\Local\Temp\OnboardLogs"\RTDC4003\2017-04-29 &amp; aws s3 cp s3://rtdc.mdm.uploadarchive.raw/RTDC4003/ "%USERPROFILE%\AppData\Local\Temp\OnboardLogs"\RTDC4003\2017-04-30 --exclude "*" --recursive --include "*20170430*" &amp; "%USERPROFILE%\Documents\GitHub\mrs-test-scripts\Headless Mode &amp; Sideloading\WalkAndUnGZ.bat" "%USERPROFILE%\AppData\Local\Temp\OnboardLogs"\RTDC4003\2017-04-30</v>
      </c>
      <c r="AF56" s="77" t="str">
        <f t="shared" si="13"/>
        <v>"C:\Program Files (x86)\AstroGrep\AstroGrep.exe" /e /r /s /spath="%USERPROFILE%\AppData\Local\Temp\OnboardLogs" /stypes="app*4003*20170429*" /stext=" 16:.+((SYSTEM_STATE.+slice.+state.+changed )|(ment ac)|(multiple cpu faults)|(system.+state.+changed )|(\[timeout)|(PRM\|1\|D)|(kpr)|(kdp)|(train.+moving)|(\|lc)|(penalty))"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144-29 --locoid 4003 --swversion DE.1.0.9.0 --startMP 204:232998 --initTime 2017-04-29T09:40:26 --startdatetime 2017-04-29T09:56:15 --delay 1 --endMP 204:156 --enddatetime 2017-04-29T10:35:47 --enforcementcount 0 &gt;&gt;C:\Users\stu\Documents\GitHub\eaglep3-reporting\EC\2017-04-29-refined-times.txt</v>
      </c>
      <c r="AI56" s="99" t="str">
        <f t="shared" si="20"/>
        <v>echo {"issue":{"subject":"Unhealthy at York due to early arrival enforcement at Steele","project_id":79,"tracker_id":40,"status_id":1,"priority_id":2,"assigned_to_id":23,"start_date":"2017-04-29","description":"","custom_fields":[{"id":1,"name":"Subdivision","value":"EC"},{"id":4,"name":"Milepost","value":"0.0156"},{"id":17,"name":"Train ID","value":"144-29"},{"id":16,"name":"Locomotive ID","value":"4003"},{"id":130,"name":"Impact","value":""},{"id":150,"name":"Time of Event (Mountain Time)","value":"10:35:47"},{"id":151,"name":"Denver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4003 --day 2017-04-29</v>
      </c>
      <c r="AN56" s="154" t="str">
        <f t="shared" si="22"/>
        <v>echo {"issue":{"subject":"Unhealthy at York due to early arrival enforcement at Steele","project_id":30,"tracker_id":4,"status_id":1,"priority_id":1,"assigned_to_id":10,"start_date":"2017-04-29","description":"","custom_fields":[{"id":30,"name":"Category","value":"Issue"},{"id":3,"name":"Functional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16:35:47"},{"id":29,"name":"Sharepoint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568</v>
      </c>
      <c r="B57" s="7">
        <v>4026</v>
      </c>
      <c r="C57" s="21" t="s">
        <v>212</v>
      </c>
      <c r="D57" s="21" t="s">
        <v>419</v>
      </c>
      <c r="E57" s="13">
        <v>42854.379502314812</v>
      </c>
      <c r="F57" s="13">
        <v>42854.385625000003</v>
      </c>
      <c r="G57" s="7">
        <v>0</v>
      </c>
      <c r="H57" s="21" t="s">
        <v>849</v>
      </c>
      <c r="I57" s="13">
        <v>42854.408865740741</v>
      </c>
      <c r="J57" s="7">
        <v>0</v>
      </c>
      <c r="K57" s="92" t="str">
        <f t="shared" si="0"/>
        <v>4025/4026</v>
      </c>
      <c r="L57" s="21" t="str">
        <f>VLOOKUP(A57,'Trips&amp;Operators'!$C$1:$G$99999,5,FALSE)</f>
        <v>ROBINSON KADDIBA</v>
      </c>
      <c r="M57" s="6">
        <f t="shared" si="1"/>
        <v>2.3240740738401655E-2</v>
      </c>
      <c r="N57" s="7"/>
      <c r="O57" s="7"/>
      <c r="P57" s="7">
        <f>24*60*SUM($M57:$M57)</f>
        <v>33.466666663298383</v>
      </c>
      <c r="Q57" s="22"/>
      <c r="R57" s="190" t="s">
        <v>555</v>
      </c>
      <c r="S57" s="196">
        <f t="shared" si="3"/>
        <v>1</v>
      </c>
      <c r="T57" s="190" t="str">
        <f t="shared" si="4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-04-29T08:06:29-0600',mode:absolute,to:'2017-04-29T10:48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7" s="192" t="str">
        <f t="shared" si="6"/>
        <v>Y</v>
      </c>
      <c r="X57" s="192">
        <f t="shared" si="25"/>
        <v>1</v>
      </c>
      <c r="Y57" s="192">
        <f t="shared" si="8"/>
        <v>4.6600000000000003E-2</v>
      </c>
      <c r="Z57" s="192">
        <f t="shared" si="9"/>
        <v>22.946999999999999</v>
      </c>
      <c r="AA57" s="192">
        <f t="shared" si="10"/>
        <v>22.900399999999998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0145-29</v>
      </c>
      <c r="AE57" s="80" t="str">
        <f t="shared" si="12"/>
        <v>aws s3 cp s3://rtdc.mdm.uploadarchive.raw/RTDC4026/ "%USERPROFILE%\AppData\Local\Temp\OnboardLogs"\RTDC4026\2017-04-29 --exclude "*" --recursive --include "*20170429*" &amp; "%USERPROFILE%\Documents\GitHub\mrs-test-scripts\Headless Mode &amp; Sideloading\WalkAndUnGZ.bat" "%USERPROFILE%\AppData\Local\Temp\OnboardLogs"\RTDC4026\2017-04-29 &amp; 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</v>
      </c>
      <c r="AF57" s="77" t="str">
        <f t="shared" si="13"/>
        <v>"C:\Program Files (x86)\AstroGrep\AstroGrep.exe" /e /r /s /spath="%USERPROFILE%\AppData\Local\Temp\OnboardLogs" /stypes="app*4026*20170429*" /stext=" 15:.+((SYSTEM_STATE.+slice.+state.+changed )|(ment ac)|(multiple cpu faults)|(system.+state.+changed )|(\[timeout)|(PRM\|1\|D)|(kpr)|(kdp)|(train.+moving)|(\|lc)|(penalty))"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145-29 --locoid 4026 --swversion DE.1.0.9.0 --startMP 204:466 --initTime 2017-04-29T09:06:29 --startdatetime 2017-04-29T09:15:18 --delay 0 --endMP 204:229470 --enddatetime 2017-04-29T09:48:46 --enforcementcount 0 &gt;&gt;C:\Users\stu\Documents\GitHub\eaglep3-reporting\EC\2017-04-29-refined-times.txt</v>
      </c>
      <c r="AI57" s="99" t="str">
        <f t="shared" si="20"/>
        <v>echo {"issue":{"subject":"Wi-MAX data drop","project_id":79,"tracker_id":40,"status_id":1,"priority_id":2,"assigned_to_id":23,"start_date":"2017-04-29","description":"","custom_fields":[{"id":1,"name":"Subdivision","value":"EC"},{"id":4,"name":"Milepost","value":"22.947"},{"id":17,"name":"Train ID","value":"145-29"},{"id":16,"name":"Locomotive ID","value":"4026"},{"id":130,"name":"Impact","value":""},{"id":150,"name":"Time of Event (Mountain Time)","value":"09:48:46"},{"id":151,"name":"Denver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4026 --day 2017-04-29</v>
      </c>
      <c r="AN57" s="154" t="str">
        <f t="shared" si="22"/>
        <v>echo {"issue":{"subject":"Wi-MAX data drop","project_id":30,"tracker_id":4,"status_id":1,"priority_id":1,"assigned_to_id":10,"start_date":"2017-04-29","description":"","custom_fields":[{"id":30,"name":"Category","value":"Issue"},{"id":3,"name":"Functional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15:48:46"},{"id":29,"name":"Sharepoint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676</v>
      </c>
      <c r="B58" s="7">
        <v>4025</v>
      </c>
      <c r="C58" s="21" t="s">
        <v>212</v>
      </c>
      <c r="D58" s="21" t="s">
        <v>842</v>
      </c>
      <c r="E58" s="13">
        <v>42854.417268518519</v>
      </c>
      <c r="F58" s="13">
        <v>42854.424456018518</v>
      </c>
      <c r="G58" s="7">
        <v>1</v>
      </c>
      <c r="H58" s="21" t="s">
        <v>415</v>
      </c>
      <c r="I58" s="13">
        <v>42854.451365740744</v>
      </c>
      <c r="J58" s="7">
        <v>0</v>
      </c>
      <c r="K58" s="92" t="str">
        <f t="shared" si="0"/>
        <v>4025/4026</v>
      </c>
      <c r="L58" s="21" t="str">
        <f>VLOOKUP(A58,'Trips&amp;Operators'!$C$1:$G$99999,5,FALSE)</f>
        <v>ROBINSON KADDIBA</v>
      </c>
      <c r="M58" s="6">
        <f t="shared" si="1"/>
        <v>2.6909722226264421E-2</v>
      </c>
      <c r="N58" s="7">
        <f t="shared" ref="N58:N89" si="26">24*60*SUM($M58:$M58)</f>
        <v>38.750000005820766</v>
      </c>
      <c r="O58" s="7"/>
      <c r="P58" s="7"/>
      <c r="Q58" s="22"/>
      <c r="R58" s="190"/>
      <c r="S58" s="196">
        <f t="shared" si="3"/>
        <v>1</v>
      </c>
      <c r="T58" s="190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-04-29T09:00:52-0600',mode:absolute,to:'2017-04-29T11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8" s="192" t="str">
        <f t="shared" si="6"/>
        <v>N</v>
      </c>
      <c r="X58" s="192">
        <f t="shared" si="25"/>
        <v>1</v>
      </c>
      <c r="Y58" s="192">
        <f t="shared" si="8"/>
        <v>23.3005</v>
      </c>
      <c r="Z58" s="192">
        <f t="shared" si="9"/>
        <v>1.43E-2</v>
      </c>
      <c r="AA58" s="192">
        <f t="shared" si="10"/>
        <v>23.286200000000001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0146-29</v>
      </c>
      <c r="AE58" s="80" t="str">
        <f t="shared" si="12"/>
        <v>aws s3 cp s3://rtdc.mdm.uploadarchive.raw/RTDC4025/ "%USERPROFILE%\AppData\Local\Temp\OnboardLogs"\RTDC4025\2017-04-29 --exclude "*" --recursive --include "*20170429*" &amp; "%USERPROFILE%\Documents\GitHub\mrs-test-scripts\Headless Mode &amp; Sideloading\WalkAndUnGZ.bat" "%USERPROFILE%\AppData\Local\Temp\OnboardLogs"\RTDC4025\2017-04-29 &amp; 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</v>
      </c>
      <c r="AF58" s="77" t="str">
        <f t="shared" si="13"/>
        <v>"C:\Program Files (x86)\AstroGrep\AstroGrep.exe" /e /r /s /spath="%USERPROFILE%\AppData\Local\Temp\OnboardLogs" /stypes="app*4025*20170429*" /stext=" 16:.+((SYSTEM_STATE.+slice.+state.+changed )|(ment ac)|(multiple cpu faults)|(system.+state.+changed )|(\[timeout)|(PRM\|1\|D)|(kpr)|(kdp)|(train.+moving)|(\|lc)|(penalty))"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146-29 --locoid 4025 --swversion DE.1.0.9.0 --startMP 204:233005 --initTime 2017-04-29T10:00:52 --startdatetime 2017-04-29T10:11:13 --delay 1 --endMP 204:143 --enddatetime 2017-04-29T10:49:58 --enforcementcount 0 &gt;&gt;C:\Users\stu\Documents\GitHub\eaglep3-reporting\EC\2017-04-29-refined-times.txt</v>
      </c>
      <c r="AI58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{"issue":{"subject":"","project_id":79,"tracker_id":40,"status_id":1,"priority_id":2,"assigned_to_id":23,"start_date":"2017-04-29","description":"","custom_fields":[{"id":1,"name":"Subdivision","value":"EC"},{"id":4,"name":"Milepost","value":"0.0143"},{"id":17,"name":"Train ID","value":"146-29"},{"id":16,"name":"Locomotive ID","value":"4025"},{"id":130,"name":"Impact","value":""},{"id":150,"name":"Time of Event (Mountain Time)","value":"10:49:58"},{"id":151,"name":"Denver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4025 --day 2017-04-29</v>
      </c>
      <c r="AN58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16:49:58"},{"id":29,"name":"Sharepoint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672</v>
      </c>
      <c r="B59" s="7">
        <v>4028</v>
      </c>
      <c r="C59" s="21" t="s">
        <v>212</v>
      </c>
      <c r="D59" s="21" t="s">
        <v>527</v>
      </c>
      <c r="E59" s="13">
        <v>42854.39099537037</v>
      </c>
      <c r="F59" s="13">
        <v>42854.396111111113</v>
      </c>
      <c r="G59" s="7">
        <v>1</v>
      </c>
      <c r="H59" s="21" t="s">
        <v>850</v>
      </c>
      <c r="I59" s="13">
        <v>42854.421770833331</v>
      </c>
      <c r="J59" s="7">
        <v>0</v>
      </c>
      <c r="K59" s="92" t="str">
        <f t="shared" si="0"/>
        <v>4027/4028</v>
      </c>
      <c r="L59" s="21" t="str">
        <f>VLOOKUP(A59,'Trips&amp;Operators'!$C$1:$G$99999,5,FALSE)</f>
        <v>MAELZER KURT</v>
      </c>
      <c r="M59" s="6">
        <f t="shared" si="1"/>
        <v>2.565972221782431E-2</v>
      </c>
      <c r="N59" s="7">
        <f t="shared" si="26"/>
        <v>36.949999993667006</v>
      </c>
      <c r="O59" s="7"/>
      <c r="P59" s="7"/>
      <c r="Q59" s="22"/>
      <c r="R59" s="190"/>
      <c r="S59" s="196">
        <f t="shared" si="3"/>
        <v>1</v>
      </c>
      <c r="T59" s="190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-04-29T08:23:02-0600',mode:absolute,to:'2017-04-29T11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192" t="str">
        <f t="shared" si="6"/>
        <v>N</v>
      </c>
      <c r="X59" s="192">
        <f t="shared" si="25"/>
        <v>1</v>
      </c>
      <c r="Y59" s="192">
        <f t="shared" si="8"/>
        <v>4.4400000000000002E-2</v>
      </c>
      <c r="Z59" s="192">
        <f t="shared" si="9"/>
        <v>23.331700000000001</v>
      </c>
      <c r="AA59" s="192">
        <f t="shared" si="10"/>
        <v>23.287300000000002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0147-29</v>
      </c>
      <c r="AE59" s="80" t="str">
        <f t="shared" si="12"/>
        <v>aws s3 cp s3://rtdc.mdm.uploadarchive.raw/RTDC4028/ "%USERPROFILE%\AppData\Local\Temp\OnboardLogs"\RTDC4028\2017-04-29 --exclude "*" --recursive --include "*20170429*" &amp; "%USERPROFILE%\Documents\GitHub\mrs-test-scripts\Headless Mode &amp; Sideloading\WalkAndUnGZ.bat" "%USERPROFILE%\AppData\Local\Temp\OnboardLogs"\RTDC4028\2017-04-29 &amp; 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</v>
      </c>
      <c r="AF59" s="77" t="str">
        <f t="shared" si="13"/>
        <v>"C:\Program Files (x86)\AstroGrep\AstroGrep.exe" /e /r /s /spath="%USERPROFILE%\AppData\Local\Temp\OnboardLogs" /stypes="app*4028*20170429*" /stext=" 16:.+((SYSTEM_STATE.+slice.+state.+changed )|(ment ac)|(multiple cpu faults)|(system.+state.+changed )|(\[timeout)|(PRM\|1\|D)|(kpr)|(kdp)|(train.+moving)|(\|lc)|(penalty))"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147-29 --locoid 4028 --swversion DE.1.0.9.0 --startMP 204:444 --initTime 2017-04-29T09:23:02 --startdatetime 2017-04-29T09:30:24 --delay 1 --endMP 204:233317 --enddatetime 2017-04-29T10:07:21 --enforcementcount 0 &gt;&gt;C:\Users\stu\Documents\GitHub\eaglep3-reporting\EC\2017-04-29-refined-times.txt</v>
      </c>
      <c r="AI59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{"issue":{"subject":"","project_id":79,"tracker_id":40,"status_id":1,"priority_id":2,"assigned_to_id":23,"start_date":"2017-04-29","description":"","custom_fields":[{"id":1,"name":"Subdivision","value":"EC"},{"id":4,"name":"Milepost","value":"23.3317"},{"id":17,"name":"Train ID","value":"147-29"},{"id":16,"name":"Locomotive ID","value":"4028"},{"id":130,"name":"Impact","value":""},{"id":150,"name":"Time of Event (Mountain Time)","value":"10:07:21"},{"id":151,"name":"Denver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4028 --day 2017-04-29</v>
      </c>
      <c r="AN59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16:07:21"},{"id":29,"name":"Sharepoint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679</v>
      </c>
      <c r="B60" s="7">
        <v>4027</v>
      </c>
      <c r="C60" s="21" t="s">
        <v>212</v>
      </c>
      <c r="D60" s="21" t="s">
        <v>839</v>
      </c>
      <c r="E60" s="13">
        <v>42854.426307870373</v>
      </c>
      <c r="F60" s="13">
        <v>42854.435023148151</v>
      </c>
      <c r="G60" s="7">
        <v>0</v>
      </c>
      <c r="H60" s="21" t="s">
        <v>530</v>
      </c>
      <c r="I60" s="13">
        <v>42854.46199074074</v>
      </c>
      <c r="J60" s="7">
        <v>0</v>
      </c>
      <c r="K60" s="92" t="str">
        <f t="shared" si="0"/>
        <v>4027/4028</v>
      </c>
      <c r="L60" s="21" t="str">
        <f>VLOOKUP(A60,'Trips&amp;Operators'!$C$1:$G$99999,5,FALSE)</f>
        <v>MAELZER KURT</v>
      </c>
      <c r="M60" s="6">
        <f t="shared" si="1"/>
        <v>2.696759258833481E-2</v>
      </c>
      <c r="N60" s="7">
        <f t="shared" si="26"/>
        <v>38.833333327202126</v>
      </c>
      <c r="O60" s="7"/>
      <c r="P60" s="7"/>
      <c r="Q60" s="22"/>
      <c r="R60" s="190"/>
      <c r="S60" s="196">
        <f t="shared" si="3"/>
        <v>1</v>
      </c>
      <c r="T60" s="190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-04-29T09:13:53-0600',mode:absolute,to:'2017-04-29T12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192" t="str">
        <f t="shared" si="6"/>
        <v>N</v>
      </c>
      <c r="X60" s="192">
        <f t="shared" si="25"/>
        <v>1</v>
      </c>
      <c r="Y60" s="192">
        <f t="shared" si="8"/>
        <v>23.3019</v>
      </c>
      <c r="Z60" s="192">
        <f t="shared" si="9"/>
        <v>1.61E-2</v>
      </c>
      <c r="AA60" s="192">
        <f t="shared" si="10"/>
        <v>23.285799999999998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0148-29</v>
      </c>
      <c r="AE60" s="80" t="str">
        <f t="shared" si="12"/>
        <v>aws s3 cp s3://rtdc.mdm.uploadarchive.raw/RTDC4027/ "%USERPROFILE%\AppData\Local\Temp\OnboardLogs"\RTDC4027\2017-04-29 --exclude "*" --recursive --include "*20170429*" &amp; "%USERPROFILE%\Documents\GitHub\mrs-test-scripts\Headless Mode &amp; Sideloading\WalkAndUnGZ.bat" "%USERPROFILE%\AppData\Local\Temp\OnboardLogs"\RTDC4027\2017-04-29 &amp; 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</v>
      </c>
      <c r="AF60" s="77" t="str">
        <f t="shared" si="13"/>
        <v>"C:\Program Files (x86)\AstroGrep\AstroGrep.exe" /e /r /s /spath="%USERPROFILE%\AppData\Local\Temp\OnboardLogs" /stypes="app*4027*20170429*" /stext=" 17:.+((SYSTEM_STATE.+slice.+state.+changed )|(ment ac)|(multiple cpu faults)|(system.+state.+changed )|(\[timeout)|(PRM\|1\|D)|(kpr)|(kdp)|(train.+moving)|(\|lc)|(penalty))"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148-29 --locoid 4027 --swversion DE.1.0.9.0 --startMP 204:233019 --initTime 2017-04-29T10:13:53 --startdatetime 2017-04-29T10:26:26 --delay 0 --endMP 204:161 --enddatetime 2017-04-29T11:05:16 --enforcementcount 0 &gt;&gt;C:\Users\stu\Documents\GitHub\eaglep3-reporting\EC\2017-04-29-refined-times.txt</v>
      </c>
      <c r="AI60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{"issue":{"subject":"","project_id":79,"tracker_id":40,"status_id":1,"priority_id":2,"assigned_to_id":23,"start_date":"2017-04-29","description":"","custom_fields":[{"id":1,"name":"Subdivision","value":"EC"},{"id":4,"name":"Milepost","value":"0.0161"},{"id":17,"name":"Train ID","value":"148-29"},{"id":16,"name":"Locomotive ID","value":"4027"},{"id":130,"name":"Impact","value":""},{"id":150,"name":"Time of Event (Mountain Time)","value":"11:05:16"},{"id":151,"name":"Denver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4027 --day 2017-04-29</v>
      </c>
      <c r="AN60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17:05:16"},{"id":29,"name":"Sharepoint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674</v>
      </c>
      <c r="B61" s="7">
        <v>4022</v>
      </c>
      <c r="C61" s="21" t="s">
        <v>212</v>
      </c>
      <c r="D61" s="21" t="s">
        <v>469</v>
      </c>
      <c r="E61" s="13">
        <v>42854.402719907404</v>
      </c>
      <c r="F61" s="13">
        <v>42854.406423611108</v>
      </c>
      <c r="G61" s="7">
        <v>1</v>
      </c>
      <c r="H61" s="21" t="s">
        <v>540</v>
      </c>
      <c r="I61" s="13">
        <v>42854.432002314818</v>
      </c>
      <c r="J61" s="7">
        <v>0</v>
      </c>
      <c r="K61" s="92" t="str">
        <f t="shared" si="0"/>
        <v>4021/4022</v>
      </c>
      <c r="L61" s="21" t="str">
        <f>VLOOKUP(A61,'Trips&amp;Operators'!$C$1:$G$99999,5,FALSE)</f>
        <v>DAVIS WENDY</v>
      </c>
      <c r="M61" s="6">
        <f t="shared" si="1"/>
        <v>2.5578703709470574E-2</v>
      </c>
      <c r="N61" s="7">
        <f t="shared" si="26"/>
        <v>36.833333341637626</v>
      </c>
      <c r="O61" s="7"/>
      <c r="P61" s="7"/>
      <c r="Q61" s="22"/>
      <c r="R61" s="190"/>
      <c r="S61" s="196">
        <f t="shared" si="3"/>
        <v>1</v>
      </c>
      <c r="T61" s="190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-04-29T08:39:55-0600',mode:absolute,to:'2017-04-29T11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1" s="192" t="str">
        <f t="shared" si="6"/>
        <v>N</v>
      </c>
      <c r="X61" s="192">
        <f t="shared" si="25"/>
        <v>1</v>
      </c>
      <c r="Y61" s="192">
        <f t="shared" si="8"/>
        <v>4.3700000000000003E-2</v>
      </c>
      <c r="Z61" s="192">
        <f t="shared" si="9"/>
        <v>23.332000000000001</v>
      </c>
      <c r="AA61" s="192">
        <f t="shared" si="10"/>
        <v>23.2883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0149-29</v>
      </c>
      <c r="AE61" s="80" t="str">
        <f t="shared" si="12"/>
        <v>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 &amp; 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</v>
      </c>
      <c r="AF61" s="77" t="str">
        <f t="shared" si="13"/>
        <v>"C:\Program Files (x86)\AstroGrep\AstroGrep.exe" /e /r /s /spath="%USERPROFILE%\AppData\Local\Temp\OnboardLogs" /stypes="app*4022*20170429*" /stext=" 16:.+((SYSTEM_STATE.+slice.+state.+changed )|(ment ac)|(multiple cpu faults)|(system.+state.+changed )|(\[timeout)|(PRM\|1\|D)|(kpr)|(kdp)|(train.+moving)|(\|lc)|(penalty))"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149-29 --locoid 4022 --swversion DE.1.0.9.0 --startMP 204:437 --initTime 2017-04-29T09:39:55 --startdatetime 2017-04-29T09:45:15 --delay 1 --endMP 204:233320 --enddatetime 2017-04-29T10:22:05 --enforcementcount 0 &gt;&gt;C:\Users\stu\Documents\GitHub\eaglep3-reporting\EC\2017-04-29-refined-times.txt</v>
      </c>
      <c r="AI61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{"issue":{"subject":"","project_id":79,"tracker_id":40,"status_id":1,"priority_id":2,"assigned_to_id":23,"start_date":"2017-04-29","description":"","custom_fields":[{"id":1,"name":"Subdivision","value":"EC"},{"id":4,"name":"Milepost","value":"23.332"},{"id":17,"name":"Train ID","value":"149-29"},{"id":16,"name":"Locomotive ID","value":"4022"},{"id":130,"name":"Impact","value":""},{"id":150,"name":"Time of Event (Mountain Time)","value":"10:22:05"},{"id":151,"name":"Denver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4022 --day 2017-04-29</v>
      </c>
      <c r="AN61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16:22:05"},{"id":29,"name":"Sharepoint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574</v>
      </c>
      <c r="B62" s="7">
        <v>4021</v>
      </c>
      <c r="C62" s="21" t="s">
        <v>212</v>
      </c>
      <c r="D62" s="21" t="s">
        <v>842</v>
      </c>
      <c r="E62" s="13">
        <v>42854.442557870374</v>
      </c>
      <c r="F62" s="13">
        <v>42854.445509259262</v>
      </c>
      <c r="G62" s="7">
        <v>1</v>
      </c>
      <c r="H62" s="21" t="s">
        <v>414</v>
      </c>
      <c r="I62" s="13">
        <v>42854.473171296297</v>
      </c>
      <c r="J62" s="7">
        <v>0</v>
      </c>
      <c r="K62" s="92" t="str">
        <f t="shared" si="0"/>
        <v>4021/4022</v>
      </c>
      <c r="L62" s="21" t="str">
        <f>VLOOKUP(A62,'Trips&amp;Operators'!$C$1:$G$99999,5,FALSE)</f>
        <v>DAVIS WENDY</v>
      </c>
      <c r="M62" s="6">
        <f t="shared" si="1"/>
        <v>2.7662037035042886E-2</v>
      </c>
      <c r="N62" s="7">
        <f t="shared" si="26"/>
        <v>39.833333330461755</v>
      </c>
      <c r="O62" s="7"/>
      <c r="P62" s="7"/>
      <c r="Q62" s="22"/>
      <c r="R62" s="190"/>
      <c r="S62" s="196">
        <f t="shared" si="3"/>
        <v>1</v>
      </c>
      <c r="T62" s="190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-04-29T09:37:17-0600',mode:absolute,to:'2017-04-29T12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2" s="192" t="str">
        <f t="shared" si="6"/>
        <v>N</v>
      </c>
      <c r="X62" s="192">
        <f t="shared" si="25"/>
        <v>1</v>
      </c>
      <c r="Y62" s="192">
        <f t="shared" si="8"/>
        <v>23.3005</v>
      </c>
      <c r="Z62" s="192">
        <f t="shared" si="9"/>
        <v>1.49E-2</v>
      </c>
      <c r="AA62" s="192">
        <f t="shared" si="10"/>
        <v>23.285599999999999</v>
      </c>
      <c r="AB62" s="57" t="str">
        <f>VLOOKUP(A62,Enforcements!$C$7:$K$13,8,0)</f>
        <v>Bulletin (2)</v>
      </c>
      <c r="AC62" s="53" t="str">
        <f>VLOOKUP(A62,Enforcements!$C$7:$E$13,3,0)</f>
        <v>GRADE CROSSING</v>
      </c>
      <c r="AD62" s="54" t="str">
        <f t="shared" si="11"/>
        <v>0150-29</v>
      </c>
      <c r="AE62" s="80" t="str">
        <f t="shared" si="12"/>
        <v>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 &amp; aws s3 cp s3://rtdc.mdm.uploadarchive.raw/RTDC4021/ "%USERPROFILE%\AppData\Local\Temp\OnboardLogs"\RTDC4021\2017-04-30 --exclude "*" --recursive --include "*20170430*" &amp; "%USERPROFILE%\Documents\GitHub\mrs-test-scripts\Headless Mode &amp; Sideloading\WalkAndUnGZ.bat" "%USERPROFILE%\AppData\Local\Temp\OnboardLogs"\RTDC4021\2017-04-30</v>
      </c>
      <c r="AF62" s="77" t="str">
        <f t="shared" si="13"/>
        <v>"C:\Program Files (x86)\AstroGrep\AstroGrep.exe" /e /r /s /spath="%USERPROFILE%\AppData\Local\Temp\OnboardLogs" /stypes="app*4021*20170429*" /stext=" 17:.+((SYSTEM_STATE.+slice.+state.+changed )|(ment ac)|(multiple cpu faults)|(system.+state.+changed )|(\[timeout)|(PRM\|1\|D)|(kpr)|(kdp)|(train.+moving)|(\|lc)|(penalty))"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150-29 --locoid 4021 --swversion DE.1.0.9.0 --startMP 204:233005 --initTime 2017-04-29T10:37:17 --startdatetime 2017-04-29T10:41:32 --delay 1 --endMP 204:149 --enddatetime 2017-04-29T11:21:22 --enforcementcount 0 &gt;&gt;C:\Users\stu\Documents\GitHub\eaglep3-reporting\EC\2017-04-29-refined-times.txt</v>
      </c>
      <c r="AI62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{"issue":{"subject":"","project_id":79,"tracker_id":40,"status_id":1,"priority_id":2,"assigned_to_id":23,"start_date":"2017-04-29","description":"","custom_fields":[{"id":1,"name":"Subdivision","value":"EC"},{"id":4,"name":"Milepost","value":"0.0149"},{"id":17,"name":"Train ID","value":"150-29"},{"id":16,"name":"Locomotive ID","value":"4021"},{"id":130,"name":"Impact","value":""},{"id":150,"name":"Time of Event (Mountain Time)","value":"11:21:22"},{"id":151,"name":"Denver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4021 --day 2017-04-29</v>
      </c>
      <c r="AN62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17:21:22"},{"id":29,"name":"Sharepoint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675</v>
      </c>
      <c r="B63" s="7">
        <v>4008</v>
      </c>
      <c r="C63" s="21" t="s">
        <v>212</v>
      </c>
      <c r="D63" s="21" t="s">
        <v>428</v>
      </c>
      <c r="E63" s="13">
        <v>42854.40996527778</v>
      </c>
      <c r="F63" s="13">
        <v>42854.416909722226</v>
      </c>
      <c r="G63" s="7">
        <v>1</v>
      </c>
      <c r="H63" s="21" t="s">
        <v>488</v>
      </c>
      <c r="I63" s="13">
        <v>42854.442395833335</v>
      </c>
      <c r="J63" s="7">
        <v>0</v>
      </c>
      <c r="K63" s="92" t="str">
        <f t="shared" si="0"/>
        <v>4007/4008</v>
      </c>
      <c r="L63" s="21" t="str">
        <f>VLOOKUP(A63,'Trips&amp;Operators'!$C$1:$G$99999,5,FALSE)</f>
        <v>SANTIZO D. EDY</v>
      </c>
      <c r="M63" s="6">
        <f t="shared" si="1"/>
        <v>2.548611110978527E-2</v>
      </c>
      <c r="N63" s="7">
        <f t="shared" si="26"/>
        <v>36.699999998090789</v>
      </c>
      <c r="O63" s="7"/>
      <c r="P63" s="7"/>
      <c r="Q63" s="22"/>
      <c r="R63" s="190"/>
      <c r="S63" s="196">
        <f t="shared" si="3"/>
        <v>1</v>
      </c>
      <c r="T63" s="190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-04-29T08:50:21-0600',mode:absolute,to:'2017-04-29T11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3" s="192" t="str">
        <f t="shared" si="6"/>
        <v>N</v>
      </c>
      <c r="X63" s="192">
        <f t="shared" si="25"/>
        <v>1</v>
      </c>
      <c r="Y63" s="192">
        <f t="shared" si="8"/>
        <v>4.5100000000000001E-2</v>
      </c>
      <c r="Z63" s="192">
        <f t="shared" si="9"/>
        <v>23.331199999999999</v>
      </c>
      <c r="AA63" s="192">
        <f t="shared" si="10"/>
        <v>23.286099999999998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0151-29</v>
      </c>
      <c r="AE63" s="80" t="str">
        <f t="shared" si="12"/>
        <v>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 &amp; 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</v>
      </c>
      <c r="AF63" s="77" t="str">
        <f t="shared" si="13"/>
        <v>"C:\Program Files (x86)\AstroGrep\AstroGrep.exe" /e /r /s /spath="%USERPROFILE%\AppData\Local\Temp\OnboardLogs" /stypes="app*4008*20170429*" /stext=" 16:.+((SYSTEM_STATE.+slice.+state.+changed )|(ment ac)|(multiple cpu faults)|(system.+state.+changed )|(\[timeout)|(PRM\|1\|D)|(kpr)|(kdp)|(train.+moving)|(\|lc)|(penalty))"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151-29 --locoid 4008 --swversion DE.1.0.9.0 --startMP 204:451 --initTime 2017-04-29T09:50:21 --startdatetime 2017-04-29T10:00:21 --delay 1 --endMP 204:233312 --enddatetime 2017-04-29T10:37:03 --enforcementcount 0 &gt;&gt;C:\Users\stu\Documents\GitHub\eaglep3-reporting\EC\2017-04-29-refined-times.txt</v>
      </c>
      <c r="AI63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{"issue":{"subject":"","project_id":79,"tracker_id":40,"status_id":1,"priority_id":2,"assigned_to_id":23,"start_date":"2017-04-29","description":"","custom_fields":[{"id":1,"name":"Subdivision","value":"EC"},{"id":4,"name":"Milepost","value":"23.3312"},{"id":17,"name":"Train ID","value":"151-29"},{"id":16,"name":"Locomotive ID","value":"4008"},{"id":130,"name":"Impact","value":""},{"id":150,"name":"Time of Event (Mountain Time)","value":"10:37:03"},{"id":151,"name":"Denver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4008 --day 2017-04-29</v>
      </c>
      <c r="AN63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16:37:03"},{"id":29,"name":"Sharepoint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684</v>
      </c>
      <c r="B64" s="7">
        <v>4007</v>
      </c>
      <c r="C64" s="21" t="s">
        <v>212</v>
      </c>
      <c r="D64" s="21" t="s">
        <v>458</v>
      </c>
      <c r="E64" s="13">
        <v>42854.44358796296</v>
      </c>
      <c r="F64" s="13">
        <v>42854.455706018518</v>
      </c>
      <c r="G64" s="7">
        <v>1</v>
      </c>
      <c r="H64" s="21" t="s">
        <v>378</v>
      </c>
      <c r="I64" s="13">
        <v>42854.481435185182</v>
      </c>
      <c r="J64" s="7">
        <v>0</v>
      </c>
      <c r="K64" s="92" t="str">
        <f t="shared" si="0"/>
        <v>4007/4008</v>
      </c>
      <c r="L64" s="21" t="str">
        <f>VLOOKUP(A64,'Trips&amp;Operators'!$C$1:$G$99999,5,FALSE)</f>
        <v>SANTIZO D. EDY</v>
      </c>
      <c r="M64" s="6">
        <f t="shared" si="1"/>
        <v>2.5729166663950309E-2</v>
      </c>
      <c r="N64" s="7">
        <f t="shared" si="26"/>
        <v>37.049999996088445</v>
      </c>
      <c r="O64" s="7"/>
      <c r="P64" s="7"/>
      <c r="Q64" s="22"/>
      <c r="R64" s="190"/>
      <c r="S64" s="196">
        <f t="shared" si="3"/>
        <v>1</v>
      </c>
      <c r="T64" s="190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-04-29T09:38:46-0600',mode:absolute,to:'2017-04-29T12:33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4" s="192" t="str">
        <f t="shared" si="6"/>
        <v>N</v>
      </c>
      <c r="X64" s="192">
        <f t="shared" si="25"/>
        <v>1</v>
      </c>
      <c r="Y64" s="192">
        <f t="shared" si="8"/>
        <v>23.299800000000001</v>
      </c>
      <c r="Z64" s="192">
        <f t="shared" si="9"/>
        <v>1.38E-2</v>
      </c>
      <c r="AA64" s="192">
        <f t="shared" si="10"/>
        <v>23.286000000000001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0152-29</v>
      </c>
      <c r="AE64" s="80" t="str">
        <f t="shared" si="12"/>
        <v>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 &amp; 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</v>
      </c>
      <c r="AF64" s="77" t="str">
        <f t="shared" si="13"/>
        <v>"C:\Program Files (x86)\AstroGrep\AstroGrep.exe" /e /r /s /spath="%USERPROFILE%\AppData\Local\Temp\OnboardLogs" /stypes="app*4007*20170429*" /stext=" 17:.+((SYSTEM_STATE.+slice.+state.+changed )|(ment ac)|(multiple cpu faults)|(system.+state.+changed )|(\[timeout)|(PRM\|1\|D)|(kpr)|(kdp)|(train.+moving)|(\|lc)|(penalty))"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152-29 --locoid 4007 --swversion DE.1.0.9.0 --startMP 204:232998 --initTime 2017-04-29T10:38:46 --startdatetime 2017-04-29T10:56:13 --delay 1 --endMP 204:138 --enddatetime 2017-04-29T11:33:16 --enforcementcount 0 &gt;&gt;C:\Users\stu\Documents\GitHub\eaglep3-reporting\EC\2017-04-29-refined-times.txt</v>
      </c>
      <c r="AI64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{"issue":{"subject":"","project_id":79,"tracker_id":40,"status_id":1,"priority_id":2,"assigned_to_id":23,"start_date":"2017-04-29","description":"","custom_fields":[{"id":1,"name":"Subdivision","value":"EC"},{"id":4,"name":"Milepost","value":"0.0138"},{"id":17,"name":"Train ID","value":"152-29"},{"id":16,"name":"Locomotive ID","value":"4007"},{"id":130,"name":"Impact","value":""},{"id":150,"name":"Time of Event (Mountain Time)","value":"11:33:16"},{"id":151,"name":"Denver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4007 --day 2017-04-29</v>
      </c>
      <c r="AN64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17:33:16"},{"id":29,"name":"Sharepoint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677</v>
      </c>
      <c r="B65" s="7">
        <v>4018</v>
      </c>
      <c r="C65" s="21" t="s">
        <v>212</v>
      </c>
      <c r="D65" s="21" t="s">
        <v>208</v>
      </c>
      <c r="E65" s="13">
        <v>42854.423611111109</v>
      </c>
      <c r="F65" s="13">
        <v>42854.427465277775</v>
      </c>
      <c r="G65" s="7">
        <v>1</v>
      </c>
      <c r="H65" s="21" t="s">
        <v>851</v>
      </c>
      <c r="I65" s="13">
        <v>42854.451851851853</v>
      </c>
      <c r="J65" s="7">
        <v>0</v>
      </c>
      <c r="K65" s="92" t="str">
        <f t="shared" si="0"/>
        <v>4017/4018</v>
      </c>
      <c r="L65" s="21" t="str">
        <f>VLOOKUP(A65,'Trips&amp;Operators'!$C$1:$G$99999,5,FALSE)</f>
        <v>LOZA FIDEL</v>
      </c>
      <c r="M65" s="6">
        <f t="shared" si="1"/>
        <v>2.4386574077652767E-2</v>
      </c>
      <c r="N65" s="7">
        <f t="shared" si="26"/>
        <v>35.116666671819985</v>
      </c>
      <c r="O65" s="7"/>
      <c r="P65" s="7"/>
      <c r="Q65" s="22"/>
      <c r="R65" s="190"/>
      <c r="S65" s="196">
        <f t="shared" si="3"/>
        <v>1</v>
      </c>
      <c r="T65" s="190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-04-29T09:10:00-0600',mode:absolute,to:'2017-04-29T11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5" s="192" t="str">
        <f t="shared" si="6"/>
        <v>N</v>
      </c>
      <c r="X65" s="192">
        <f t="shared" si="25"/>
        <v>1</v>
      </c>
      <c r="Y65" s="192">
        <f t="shared" si="8"/>
        <v>4.5499999999999999E-2</v>
      </c>
      <c r="Z65" s="192">
        <f t="shared" si="9"/>
        <v>23.339700000000001</v>
      </c>
      <c r="AA65" s="192">
        <f t="shared" si="10"/>
        <v>23.2942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0153-29</v>
      </c>
      <c r="AE65" s="80" t="str">
        <f t="shared" si="12"/>
        <v>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 &amp; aws s3 cp s3://rtdc.mdm.uploadarchive.raw/RTDC4018/ "%USERPROFILE%\AppData\Local\Temp\OnboardLogs"\RTDC4018\2017-04-30 --exclude "*" --recursive --include "*20170430*" &amp; "%USERPROFILE%\Documents\GitHub\mrs-test-scripts\Headless Mode &amp; Sideloading\WalkAndUnGZ.bat" "%USERPROFILE%\AppData\Local\Temp\OnboardLogs"\RTDC4018\2017-04-30</v>
      </c>
      <c r="AF65" s="77" t="str">
        <f t="shared" si="13"/>
        <v>"C:\Program Files (x86)\AstroGrep\AstroGrep.exe" /e /r /s /spath="%USERPROFILE%\AppData\Local\Temp\OnboardLogs" /stypes="app*4018*20170429*" /stext=" 16:.+((SYSTEM_STATE.+slice.+state.+changed )|(ment ac)|(multiple cpu faults)|(system.+state.+changed )|(\[timeout)|(PRM\|1\|D)|(kpr)|(kdp)|(train.+moving)|(\|lc)|(penalty))"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153-29 --locoid 4018 --swversion DE.1.0.9.0 --startMP 204:455 --initTime 2017-04-29T10:10:00 --startdatetime 2017-04-29T10:15:33 --delay 1 --endMP 204:233397 --enddatetime 2017-04-29T10:50:40 --enforcementcount 0 &gt;&gt;C:\Users\stu\Documents\GitHub\eaglep3-reporting\EC\2017-04-29-refined-times.txt</v>
      </c>
      <c r="AI65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{"issue":{"subject":"","project_id":79,"tracker_id":40,"status_id":1,"priority_id":2,"assigned_to_id":23,"start_date":"2017-04-29","description":"","custom_fields":[{"id":1,"name":"Subdivision","value":"EC"},{"id":4,"name":"Milepost","value":"23.3397"},{"id":17,"name":"Train ID","value":"153-29"},{"id":16,"name":"Locomotive ID","value":"4018"},{"id":130,"name":"Impact","value":""},{"id":150,"name":"Time of Event (Mountain Time)","value":"10:50:40"},{"id":151,"name":"Denver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4018 --day 2017-04-29</v>
      </c>
      <c r="AN65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16:50:40"},{"id":29,"name":"Sharepoint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689</v>
      </c>
      <c r="B66" s="7">
        <v>4017</v>
      </c>
      <c r="C66" s="21" t="s">
        <v>212</v>
      </c>
      <c r="D66" s="21" t="s">
        <v>852</v>
      </c>
      <c r="E66" s="13">
        <v>42854.461111111108</v>
      </c>
      <c r="F66" s="13">
        <v>42854.466180555559</v>
      </c>
      <c r="G66" s="7">
        <v>1</v>
      </c>
      <c r="H66" s="21" t="s">
        <v>209</v>
      </c>
      <c r="I66" s="13">
        <v>42854.492604166669</v>
      </c>
      <c r="J66" s="7">
        <v>0</v>
      </c>
      <c r="K66" s="92" t="str">
        <f t="shared" si="0"/>
        <v>4017/4018</v>
      </c>
      <c r="L66" s="21" t="str">
        <f>VLOOKUP(A66,'Trips&amp;Operators'!$C$1:$G$99999,5,FALSE)</f>
        <v>LOZA FIDEL</v>
      </c>
      <c r="M66" s="6">
        <f t="shared" si="1"/>
        <v>2.6423611110658385E-2</v>
      </c>
      <c r="N66" s="7">
        <f t="shared" si="26"/>
        <v>38.049999999348074</v>
      </c>
      <c r="O66" s="7"/>
      <c r="P66" s="7"/>
      <c r="Q66" s="22"/>
      <c r="R66" s="190"/>
      <c r="S66" s="196">
        <f t="shared" si="3"/>
        <v>1</v>
      </c>
      <c r="T66" s="190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-04-29T10:04:00-0600',mode:absolute,to:'2017-04-29T12:49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6" s="192" t="str">
        <f t="shared" si="6"/>
        <v>N</v>
      </c>
      <c r="X66" s="192">
        <f t="shared" si="25"/>
        <v>1</v>
      </c>
      <c r="Y66" s="192">
        <f t="shared" si="8"/>
        <v>23.308399999999999</v>
      </c>
      <c r="Z66" s="192">
        <f t="shared" si="9"/>
        <v>1.47E-2</v>
      </c>
      <c r="AA66" s="192">
        <f t="shared" si="10"/>
        <v>23.293699999999998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0154-29</v>
      </c>
      <c r="AE66" s="80" t="str">
        <f t="shared" si="12"/>
        <v>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 &amp; aws s3 cp s3://rtdc.mdm.uploadarchive.raw/RTDC4017/ "%USERPROFILE%\AppData\Local\Temp\OnboardLogs"\RTDC4017\2017-04-30 --exclude "*" --recursive --include "*20170430*" &amp; "%USERPROFILE%\Documents\GitHub\mrs-test-scripts\Headless Mode &amp; Sideloading\WalkAndUnGZ.bat" "%USERPROFILE%\AppData\Local\Temp\OnboardLogs"\RTDC4017\2017-04-30</v>
      </c>
      <c r="AF66" s="77" t="str">
        <f t="shared" si="13"/>
        <v>"C:\Program Files (x86)\AstroGrep\AstroGrep.exe" /e /r /s /spath="%USERPROFILE%\AppData\Local\Temp\OnboardLogs" /stypes="app*4017*20170429*" /stext=" 17:.+((SYSTEM_STATE.+slice.+state.+changed )|(ment ac)|(multiple cpu faults)|(system.+state.+changed )|(\[timeout)|(PRM\|1\|D)|(kpr)|(kdp)|(train.+moving)|(\|lc)|(penalty))"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154-29 --locoid 4017 --swversion DE.1.0.9.0 --startMP 204:233084 --initTime 2017-04-29T11:04:00 --startdatetime 2017-04-29T11:11:18 --delay 1 --endMP 204:147 --enddatetime 2017-04-29T11:49:21 --enforcementcount 0 &gt;&gt;C:\Users\stu\Documents\GitHub\eaglep3-reporting\EC\2017-04-29-refined-times.txt</v>
      </c>
      <c r="AI66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{"issue":{"subject":"","project_id":79,"tracker_id":40,"status_id":1,"priority_id":2,"assigned_to_id":23,"start_date":"2017-04-29","description":"","custom_fields":[{"id":1,"name":"Subdivision","value":"EC"},{"id":4,"name":"Milepost","value":"0.0147"},{"id":17,"name":"Train ID","value":"154-29"},{"id":16,"name":"Locomotive ID","value":"4017"},{"id":130,"name":"Impact","value":""},{"id":150,"name":"Time of Event (Mountain Time)","value":"11:49:21"},{"id":151,"name":"Denver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4017 --day 2017-04-29</v>
      </c>
      <c r="AN66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17:49:21"},{"id":29,"name":"Sharepoint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680</v>
      </c>
      <c r="B67" s="7">
        <v>4010</v>
      </c>
      <c r="C67" s="21" t="s">
        <v>212</v>
      </c>
      <c r="D67" s="21" t="s">
        <v>489</v>
      </c>
      <c r="E67" s="13">
        <v>42854.43277777778</v>
      </c>
      <c r="F67" s="13">
        <v>42854.437789351854</v>
      </c>
      <c r="G67" s="7">
        <v>2</v>
      </c>
      <c r="H67" s="21" t="s">
        <v>853</v>
      </c>
      <c r="I67" s="13">
        <v>42854.462476851855</v>
      </c>
      <c r="J67" s="7">
        <v>0</v>
      </c>
      <c r="K67" s="92" t="str">
        <f t="shared" si="0"/>
        <v>4009/4010</v>
      </c>
      <c r="L67" s="21" t="str">
        <f>VLOOKUP(A67,'Trips&amp;Operators'!$C$1:$G$99999,5,FALSE)</f>
        <v>ROMERO CHAD</v>
      </c>
      <c r="M67" s="6">
        <f t="shared" si="1"/>
        <v>2.4687500001164153E-2</v>
      </c>
      <c r="N67" s="7">
        <f t="shared" si="26"/>
        <v>35.550000001676381</v>
      </c>
      <c r="O67" s="7"/>
      <c r="P67" s="7"/>
      <c r="Q67" s="22"/>
      <c r="R67" s="190"/>
      <c r="S67" s="196">
        <f t="shared" si="3"/>
        <v>1</v>
      </c>
      <c r="T67" s="190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-04-29T09:23:12-0600',mode:absolute,to:'2017-04-29T12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7" s="192" t="str">
        <f t="shared" si="6"/>
        <v>N</v>
      </c>
      <c r="X67" s="192">
        <f t="shared" si="25"/>
        <v>1</v>
      </c>
      <c r="Y67" s="192">
        <f t="shared" si="8"/>
        <v>4.3999999999999997E-2</v>
      </c>
      <c r="Z67" s="192">
        <f t="shared" si="9"/>
        <v>23.340599999999998</v>
      </c>
      <c r="AA67" s="192">
        <f t="shared" si="10"/>
        <v>23.296599999999998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0155-29</v>
      </c>
      <c r="AE67" s="80" t="str">
        <f t="shared" si="12"/>
        <v>aws s3 cp s3://rtdc.mdm.uploadarchive.raw/RTDC4010/ "%USERPROFILE%\AppData\Local\Temp\OnboardLogs"\RTDC4010\2017-04-29 --exclude "*" --recursive --include "*20170429*" &amp; "%USERPROFILE%\Documents\GitHub\mrs-test-scripts\Headless Mode &amp; Sideloading\WalkAndUnGZ.bat" "%USERPROFILE%\AppData\Local\Temp\OnboardLogs"\RTDC4010\2017-04-29 &amp; aws s3 cp s3://rtdc.mdm.uploadarchive.raw/RTDC4010/ "%USERPROFILE%\AppData\Local\Temp\OnboardLogs"\RTDC4010\2017-04-30 --exclude "*" --recursive --include "*20170430*" &amp; "%USERPROFILE%\Documents\GitHub\mrs-test-scripts\Headless Mode &amp; Sideloading\WalkAndUnGZ.bat" "%USERPROFILE%\AppData\Local\Temp\OnboardLogs"\RTDC4010\2017-04-30</v>
      </c>
      <c r="AF67" s="77" t="str">
        <f t="shared" si="13"/>
        <v>"C:\Program Files (x86)\AstroGrep\AstroGrep.exe" /e /r /s /spath="%USERPROFILE%\AppData\Local\Temp\OnboardLogs" /stypes="app*4010*20170429*" /stext=" 17:.+((SYSTEM_STATE.+slice.+state.+changed )|(ment ac)|(multiple cpu faults)|(system.+state.+changed )|(\[timeout)|(PRM\|1\|D)|(kpr)|(kdp)|(train.+moving)|(\|lc)|(penalty))"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155-29 --locoid 4010 --swversion DE.1.0.9.0 --startMP 204:440 --initTime 2017-04-29T10:23:12 --startdatetime 2017-04-29T10:30:25 --delay 2 --endMP 204:233406 --enddatetime 2017-04-29T11:05:58 --enforcementcount 0 &gt;&gt;C:\Users\stu\Documents\GitHub\eaglep3-reporting\EC\2017-04-29-refined-times.txt</v>
      </c>
      <c r="AI67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{"issue":{"subject":"","project_id":79,"tracker_id":40,"status_id":1,"priority_id":2,"assigned_to_id":23,"start_date":"2017-04-29","description":"","custom_fields":[{"id":1,"name":"Subdivision","value":"EC"},{"id":4,"name":"Milepost","value":"23.3406"},{"id":17,"name":"Train ID","value":"155-29"},{"id":16,"name":"Locomotive ID","value":"4010"},{"id":130,"name":"Impact","value":""},{"id":150,"name":"Time of Event (Mountain Time)","value":"11:05:58"},{"id":151,"name":"Denver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4010 --day 2017-04-29</v>
      </c>
      <c r="AN67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17:05:58"},{"id":29,"name":"Sharepoint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690</v>
      </c>
      <c r="B68" s="7">
        <v>4009</v>
      </c>
      <c r="C68" s="21" t="s">
        <v>212</v>
      </c>
      <c r="D68" s="21" t="s">
        <v>536</v>
      </c>
      <c r="E68" s="13">
        <v>42854.465300925927</v>
      </c>
      <c r="F68" s="13">
        <v>42854.476550925923</v>
      </c>
      <c r="G68" s="7">
        <v>2</v>
      </c>
      <c r="H68" s="21" t="s">
        <v>854</v>
      </c>
      <c r="I68" s="13">
        <v>42854.50240740741</v>
      </c>
      <c r="J68" s="7">
        <v>0</v>
      </c>
      <c r="K68" s="92" t="str">
        <f t="shared" si="0"/>
        <v>4009/4010</v>
      </c>
      <c r="L68" s="21" t="str">
        <f>VLOOKUP(A68,'Trips&amp;Operators'!$C$1:$G$99999,5,FALSE)</f>
        <v>ROMERO CHAD</v>
      </c>
      <c r="M68" s="6">
        <f t="shared" si="1"/>
        <v>2.5856481486698613E-2</v>
      </c>
      <c r="N68" s="7">
        <f t="shared" si="26"/>
        <v>37.233333340846002</v>
      </c>
      <c r="O68" s="7"/>
      <c r="P68" s="7"/>
      <c r="Q68" s="22"/>
      <c r="R68" s="190"/>
      <c r="S68" s="196">
        <f t="shared" si="3"/>
        <v>1</v>
      </c>
      <c r="T68" s="190" t="str">
        <f t="shared" si="4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-04-29T10:10:02-0600',mode:absolute,to:'2017-04-29T13:03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8" s="192" t="str">
        <f t="shared" si="6"/>
        <v>N</v>
      </c>
      <c r="X68" s="192">
        <f t="shared" ref="X68:X99" si="27">VALUE(LEFT(AD68,4))-VALUE(LEFT(AD67,4))</f>
        <v>1</v>
      </c>
      <c r="Y68" s="192">
        <f t="shared" si="8"/>
        <v>23.306799999999999</v>
      </c>
      <c r="Z68" s="192">
        <f t="shared" si="9"/>
        <v>1.2699999999999999E-2</v>
      </c>
      <c r="AA68" s="192">
        <f t="shared" si="10"/>
        <v>23.2941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0156-29</v>
      </c>
      <c r="AE68" s="80" t="str">
        <f t="shared" si="12"/>
        <v>aws s3 cp s3://rtdc.mdm.uploadarchive.raw/RTDC4009/ "%USERPROFILE%\AppData\Local\Temp\OnboardLogs"\RTDC4009\2017-04-29 --exclude "*" --recursive --include "*20170429*" &amp; "%USERPROFILE%\Documents\GitHub\mrs-test-scripts\Headless Mode &amp; Sideloading\WalkAndUnGZ.bat" "%USERPROFILE%\AppData\Local\Temp\OnboardLogs"\RTDC4009\2017-04-29 &amp; aws s3 cp s3://rtdc.mdm.uploadarchive.raw/RTDC4009/ "%USERPROFILE%\AppData\Local\Temp\OnboardLogs"\RTDC4009\2017-04-30 --exclude "*" --recursive --include "*20170430*" &amp; "%USERPROFILE%\Documents\GitHub\mrs-test-scripts\Headless Mode &amp; Sideloading\WalkAndUnGZ.bat" "%USERPROFILE%\AppData\Local\Temp\OnboardLogs"\RTDC4009\2017-04-30</v>
      </c>
      <c r="AF68" s="77" t="str">
        <f t="shared" si="13"/>
        <v>"C:\Program Files (x86)\AstroGrep\AstroGrep.exe" /e /r /s /spath="%USERPROFILE%\AppData\Local\Temp\OnboardLogs" /stypes="app*4009*20170429*" /stext=" 18:.+((SYSTEM_STATE.+slice.+state.+changed )|(ment ac)|(multiple cpu faults)|(system.+state.+changed )|(\[timeout)|(PRM\|1\|D)|(kpr)|(kdp)|(train.+moving)|(\|lc)|(penalty))"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156-29 --locoid 4009 --swversion DE.1.0.9.0 --startMP 204:233068 --initTime 2017-04-29T11:10:02 --startdatetime 2017-04-29T11:26:14 --delay 2 --endMP 204:127 --enddatetime 2017-04-29T12:03:28 --enforcementcount 0 &gt;&gt;C:\Users\stu\Documents\GitHub\eaglep3-reporting\EC\2017-04-29-refined-times.txt</v>
      </c>
      <c r="AI68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{"issue":{"subject":"","project_id":79,"tracker_id":40,"status_id":1,"priority_id":2,"assigned_to_id":23,"start_date":"2017-04-29","description":"","custom_fields":[{"id":1,"name":"Subdivision","value":"EC"},{"id":4,"name":"Milepost","value":"0.0127"},{"id":17,"name":"Train ID","value":"156-29"},{"id":16,"name":"Locomotive ID","value":"4009"},{"id":130,"name":"Impact","value":""},{"id":150,"name":"Time of Event (Mountain Time)","value":"12:03:28"},{"id":151,"name":"Denver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4009 --day 2017-04-29</v>
      </c>
      <c r="AN68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18:03:28"},{"id":29,"name":"Sharepoint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573</v>
      </c>
      <c r="B69" s="7">
        <v>4004</v>
      </c>
      <c r="C69" s="21" t="s">
        <v>212</v>
      </c>
      <c r="D69" s="21" t="s">
        <v>855</v>
      </c>
      <c r="E69" s="13">
        <v>42854.444733796299</v>
      </c>
      <c r="F69" s="13">
        <v>42854.448148148149</v>
      </c>
      <c r="G69" s="7">
        <v>1</v>
      </c>
      <c r="H69" s="21" t="s">
        <v>856</v>
      </c>
      <c r="I69" s="13">
        <v>42854.472581018519</v>
      </c>
      <c r="J69" s="7">
        <v>0</v>
      </c>
      <c r="K69" s="92" t="str">
        <f t="shared" si="0"/>
        <v>4003/4004</v>
      </c>
      <c r="L69" s="21" t="str">
        <f>VLOOKUP(A69,'Trips&amp;Operators'!$C$1:$G$99999,5,FALSE)</f>
        <v>MAYBERRY BILL</v>
      </c>
      <c r="M69" s="6">
        <f t="shared" si="1"/>
        <v>2.4432870370219462E-2</v>
      </c>
      <c r="N69" s="7">
        <f t="shared" si="26"/>
        <v>35.183333333116025</v>
      </c>
      <c r="O69" s="7"/>
      <c r="P69" s="7"/>
      <c r="Q69" s="22"/>
      <c r="R69" s="190"/>
      <c r="S69" s="196">
        <f t="shared" si="3"/>
        <v>1</v>
      </c>
      <c r="T69" s="190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-04-29T09:40:25-0600',mode:absolute,to:'2017-04-29T12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9" s="192" t="str">
        <f t="shared" si="6"/>
        <v>N</v>
      </c>
      <c r="X69" s="192">
        <f t="shared" si="27"/>
        <v>1</v>
      </c>
      <c r="Y69" s="192">
        <f t="shared" si="8"/>
        <v>4.9799999999999997E-2</v>
      </c>
      <c r="Z69" s="192">
        <f t="shared" si="9"/>
        <v>23.325099999999999</v>
      </c>
      <c r="AA69" s="192">
        <f t="shared" si="10"/>
        <v>23.275299999999998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0157-29</v>
      </c>
      <c r="AE69" s="80" t="str">
        <f t="shared" si="12"/>
        <v>aws s3 cp s3://rtdc.mdm.uploadarchive.raw/RTDC4004/ "%USERPROFILE%\AppData\Local\Temp\OnboardLogs"\RTDC4004\2017-04-29 --exclude "*" --recursive --include "*20170429*" &amp; "%USERPROFILE%\Documents\GitHub\mrs-test-scripts\Headless Mode &amp; Sideloading\WalkAndUnGZ.bat" "%USERPROFILE%\AppData\Local\Temp\OnboardLogs"\RTDC4004\2017-04-29 &amp; aws s3 cp s3://rtdc.mdm.uploadarchive.raw/RTDC4004/ "%USERPROFILE%\AppData\Local\Temp\OnboardLogs"\RTDC4004\2017-04-30 --exclude "*" --recursive --include "*20170430*" &amp; "%USERPROFILE%\Documents\GitHub\mrs-test-scripts\Headless Mode &amp; Sideloading\WalkAndUnGZ.bat" "%USERPROFILE%\AppData\Local\Temp\OnboardLogs"\RTDC4004\2017-04-30</v>
      </c>
      <c r="AF69" s="77" t="str">
        <f t="shared" si="13"/>
        <v>"C:\Program Files (x86)\AstroGrep\AstroGrep.exe" /e /r /s /spath="%USERPROFILE%\AppData\Local\Temp\OnboardLogs" /stypes="app*4004*20170429*" /stext=" 17:.+((SYSTEM_STATE.+slice.+state.+changed )|(ment ac)|(multiple cpu faults)|(system.+state.+changed )|(\[timeout)|(PRM\|1\|D)|(kpr)|(kdp)|(train.+moving)|(\|lc)|(penalty))"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157-29 --locoid 4004 --swversion DE.1.0.9.0 --startMP 204:498 --initTime 2017-04-29T10:40:25 --startdatetime 2017-04-29T10:45:20 --delay 1 --endMP 204:233251 --enddatetime 2017-04-29T11:20:31 --enforcementcount 0 &gt;&gt;C:\Users\stu\Documents\GitHub\eaglep3-reporting\EC\2017-04-29-refined-times.txt</v>
      </c>
      <c r="AI69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{"issue":{"subject":"","project_id":79,"tracker_id":40,"status_id":1,"priority_id":2,"assigned_to_id":23,"start_date":"2017-04-29","description":"","custom_fields":[{"id":1,"name":"Subdivision","value":"EC"},{"id":4,"name":"Milepost","value":"23.3251"},{"id":17,"name":"Train ID","value":"157-29"},{"id":16,"name":"Locomotive ID","value":"4004"},{"id":130,"name":"Impact","value":""},{"id":150,"name":"Time of Event (Mountain Time)","value":"11:20:31"},{"id":151,"name":"Denver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4004 --day 2017-04-29</v>
      </c>
      <c r="AN69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17:20:31"},{"id":29,"name":"Sharepoint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577</v>
      </c>
      <c r="B70" s="7">
        <v>4003</v>
      </c>
      <c r="C70" s="21" t="s">
        <v>212</v>
      </c>
      <c r="D70" s="21" t="s">
        <v>499</v>
      </c>
      <c r="E70" s="13">
        <v>42854.475011574075</v>
      </c>
      <c r="F70" s="13">
        <v>42854.48709490741</v>
      </c>
      <c r="G70" s="7">
        <v>1</v>
      </c>
      <c r="H70" s="21" t="s">
        <v>388</v>
      </c>
      <c r="I70" s="13">
        <v>42854.5156712963</v>
      </c>
      <c r="J70" s="7">
        <v>0</v>
      </c>
      <c r="K70" s="92" t="str">
        <f t="shared" si="0"/>
        <v>4003/4004</v>
      </c>
      <c r="L70" s="21" t="str">
        <f>VLOOKUP(A70,'Trips&amp;Operators'!$C$1:$G$99999,5,FALSE)</f>
        <v>MAYBERRY BILL</v>
      </c>
      <c r="M70" s="6">
        <f t="shared" si="1"/>
        <v>2.8576388889632653E-2</v>
      </c>
      <c r="N70" s="7">
        <f t="shared" si="26"/>
        <v>41.150000001071021</v>
      </c>
      <c r="O70" s="7"/>
      <c r="P70" s="7"/>
      <c r="Q70" s="22"/>
      <c r="R70" s="190"/>
      <c r="S70" s="196">
        <f t="shared" si="3"/>
        <v>1</v>
      </c>
      <c r="T70" s="190" t="str">
        <f t="shared" si="4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-04-29T10:24:01-0600',mode:absolute,to:'2017-04-29T13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0" s="192" t="str">
        <f t="shared" si="6"/>
        <v>N</v>
      </c>
      <c r="X70" s="192">
        <f t="shared" si="27"/>
        <v>1</v>
      </c>
      <c r="Y70" s="192">
        <f t="shared" si="8"/>
        <v>23.297999999999998</v>
      </c>
      <c r="Z70" s="192">
        <f t="shared" si="9"/>
        <v>1.4500000000000001E-2</v>
      </c>
      <c r="AA70" s="192">
        <f t="shared" si="10"/>
        <v>23.283499999999997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0158-29</v>
      </c>
      <c r="AE70" s="80" t="str">
        <f t="shared" si="12"/>
        <v>aws s3 cp s3://rtdc.mdm.uploadarchive.raw/RTDC4003/ "%USERPROFILE%\AppData\Local\Temp\OnboardLogs"\RTDC4003\2017-04-29 --exclude "*" --recursive --include "*20170429*" &amp; "%USERPROFILE%\Documents\GitHub\mrs-test-scripts\Headless Mode &amp; Sideloading\WalkAndUnGZ.bat" "%USERPROFILE%\AppData\Local\Temp\OnboardLogs"\RTDC4003\2017-04-29 &amp; aws s3 cp s3://rtdc.mdm.uploadarchive.raw/RTDC4003/ "%USERPROFILE%\AppData\Local\Temp\OnboardLogs"\RTDC4003\2017-04-30 --exclude "*" --recursive --include "*20170430*" &amp; "%USERPROFILE%\Documents\GitHub\mrs-test-scripts\Headless Mode &amp; Sideloading\WalkAndUnGZ.bat" "%USERPROFILE%\AppData\Local\Temp\OnboardLogs"\RTDC4003\2017-04-30</v>
      </c>
      <c r="AF70" s="77" t="str">
        <f t="shared" si="13"/>
        <v>"C:\Program Files (x86)\AstroGrep\AstroGrep.exe" /e /r /s /spath="%USERPROFILE%\AppData\Local\Temp\OnboardLogs" /stypes="app*4003*20170429*" /stext=" 18:.+((SYSTEM_STATE.+slice.+state.+changed )|(ment ac)|(multiple cpu faults)|(system.+state.+changed )|(\[timeout)|(PRM\|1\|D)|(kpr)|(kdp)|(train.+moving)|(\|lc)|(penalty))"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158-29 --locoid 4003 --swversion DE.1.0.9.0 --startMP 204:232980 --initTime 2017-04-29T11:24:01 --startdatetime 2017-04-29T11:41:25 --delay 1 --endMP 204:145 --enddatetime 2017-04-29T12:22:34 --enforcementcount 0 &gt;&gt;C:\Users\stu\Documents\GitHub\eaglep3-reporting\EC\2017-04-29-refined-times.txt</v>
      </c>
      <c r="AI70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{"issue":{"subject":"","project_id":79,"tracker_id":40,"status_id":1,"priority_id":2,"assigned_to_id":23,"start_date":"2017-04-29","description":"","custom_fields":[{"id":1,"name":"Subdivision","value":"EC"},{"id":4,"name":"Milepost","value":"0.0145"},{"id":17,"name":"Train ID","value":"158-29"},{"id":16,"name":"Locomotive ID","value":"4003"},{"id":130,"name":"Impact","value":""},{"id":150,"name":"Time of Event (Mountain Time)","value":"12:22:34"},{"id":151,"name":"Denver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4003 --day 2017-04-29</v>
      </c>
      <c r="AN70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18:22:34"},{"id":29,"name":"Sharepoint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685</v>
      </c>
      <c r="B71" s="7">
        <v>4026</v>
      </c>
      <c r="C71" s="21" t="s">
        <v>212</v>
      </c>
      <c r="D71" s="21" t="s">
        <v>543</v>
      </c>
      <c r="E71" s="13">
        <v>42854.453946759262</v>
      </c>
      <c r="F71" s="13">
        <v>42854.458587962959</v>
      </c>
      <c r="G71" s="7">
        <v>1</v>
      </c>
      <c r="H71" s="21" t="s">
        <v>857</v>
      </c>
      <c r="I71" s="13">
        <v>42854.483877314815</v>
      </c>
      <c r="J71" s="7">
        <v>0</v>
      </c>
      <c r="K71" s="92" t="str">
        <f t="shared" si="0"/>
        <v>4025/4026</v>
      </c>
      <c r="L71" s="21" t="str">
        <f>VLOOKUP(A71,'Trips&amp;Operators'!$C$1:$G$99999,5,FALSE)</f>
        <v>STEWART MICHAEL</v>
      </c>
      <c r="M71" s="6">
        <f t="shared" si="1"/>
        <v>2.5289351855462883E-2</v>
      </c>
      <c r="N71" s="7">
        <f t="shared" si="26"/>
        <v>36.416666671866551</v>
      </c>
      <c r="O71" s="7"/>
      <c r="P71" s="7"/>
      <c r="Q71" s="22"/>
      <c r="R71" s="190"/>
      <c r="S71" s="196">
        <f t="shared" si="3"/>
        <v>1</v>
      </c>
      <c r="T71" s="190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-04-29T09:53:41-0600',mode:absolute,to:'2017-04-29T12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1" s="192" t="str">
        <f t="shared" si="6"/>
        <v>N</v>
      </c>
      <c r="X71" s="192">
        <f t="shared" si="27"/>
        <v>1</v>
      </c>
      <c r="Y71" s="192">
        <f t="shared" si="8"/>
        <v>4.7500000000000001E-2</v>
      </c>
      <c r="Z71" s="192">
        <f t="shared" si="9"/>
        <v>23.327400000000001</v>
      </c>
      <c r="AA71" s="192">
        <f t="shared" si="10"/>
        <v>23.279900000000001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0159-29</v>
      </c>
      <c r="AE71" s="80" t="str">
        <f t="shared" si="12"/>
        <v>aws s3 cp s3://rtdc.mdm.uploadarchive.raw/RTDC4026/ "%USERPROFILE%\AppData\Local\Temp\OnboardLogs"\RTDC4026\2017-04-29 --exclude "*" --recursive --include "*20170429*" &amp; "%USERPROFILE%\Documents\GitHub\mrs-test-scripts\Headless Mode &amp; Sideloading\WalkAndUnGZ.bat" "%USERPROFILE%\AppData\Local\Temp\OnboardLogs"\RTDC4026\2017-04-29 &amp; 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</v>
      </c>
      <c r="AF71" s="77" t="str">
        <f t="shared" si="13"/>
        <v>"C:\Program Files (x86)\AstroGrep\AstroGrep.exe" /e /r /s /spath="%USERPROFILE%\AppData\Local\Temp\OnboardLogs" /stypes="app*4026*20170429*" /stext=" 17:.+((SYSTEM_STATE.+slice.+state.+changed )|(ment ac)|(multiple cpu faults)|(system.+state.+changed )|(\[timeout)|(PRM\|1\|D)|(kpr)|(kdp)|(train.+moving)|(\|lc)|(penalty))"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159-29 --locoid 4026 --swversion DE.1.0.9.0 --startMP 204:475 --initTime 2017-04-29T10:53:41 --startdatetime 2017-04-29T11:00:22 --delay 1 --endMP 204:233274 --enddatetime 2017-04-29T11:36:47 --enforcementcount 0 &gt;&gt;C:\Users\stu\Documents\GitHub\eaglep3-reporting\EC\2017-04-29-refined-times.txt</v>
      </c>
      <c r="AI71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{"issue":{"subject":"","project_id":79,"tracker_id":40,"status_id":1,"priority_id":2,"assigned_to_id":23,"start_date":"2017-04-29","description":"","custom_fields":[{"id":1,"name":"Subdivision","value":"EC"},{"id":4,"name":"Milepost","value":"23.3274"},{"id":17,"name":"Train ID","value":"159-29"},{"id":16,"name":"Locomotive ID","value":"4026"},{"id":130,"name":"Impact","value":""},{"id":150,"name":"Time of Event (Mountain Time)","value":"11:36:47"},{"id":151,"name":"Denver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4026 --day 2017-04-29</v>
      </c>
      <c r="AN71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17:36:47"},{"id":29,"name":"Sharepoint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698</v>
      </c>
      <c r="B72" s="7">
        <v>4025</v>
      </c>
      <c r="C72" s="21" t="s">
        <v>212</v>
      </c>
      <c r="D72" s="21" t="s">
        <v>529</v>
      </c>
      <c r="E72" s="13">
        <v>42854.493530092594</v>
      </c>
      <c r="F72" s="13">
        <v>42854.497615740744</v>
      </c>
      <c r="G72" s="7">
        <v>2</v>
      </c>
      <c r="H72" s="21" t="s">
        <v>197</v>
      </c>
      <c r="I72" s="13">
        <v>42854.524421296293</v>
      </c>
      <c r="J72" s="7">
        <v>0</v>
      </c>
      <c r="K72" s="92" t="str">
        <f t="shared" si="0"/>
        <v>4025/4026</v>
      </c>
      <c r="L72" s="21" t="str">
        <f>VLOOKUP(A72,'Trips&amp;Operators'!$C$1:$G$99999,5,FALSE)</f>
        <v>STEWART MICHAEL</v>
      </c>
      <c r="M72" s="6">
        <f t="shared" si="1"/>
        <v>2.6805555549799465E-2</v>
      </c>
      <c r="N72" s="7">
        <f t="shared" si="26"/>
        <v>38.599999991711229</v>
      </c>
      <c r="O72" s="7"/>
      <c r="P72" s="7"/>
      <c r="Q72" s="22"/>
      <c r="R72" s="190"/>
      <c r="S72" s="196">
        <f t="shared" si="3"/>
        <v>1</v>
      </c>
      <c r="T72" s="190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-04-29T10:50:41-0600',mode:absolute,to:'2017-04-29T13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2" s="192" t="str">
        <f t="shared" si="6"/>
        <v>N</v>
      </c>
      <c r="X72" s="192">
        <f t="shared" si="27"/>
        <v>1</v>
      </c>
      <c r="Y72" s="192">
        <f t="shared" si="8"/>
        <v>23.2974</v>
      </c>
      <c r="Z72" s="192">
        <f t="shared" si="9"/>
        <v>1.52E-2</v>
      </c>
      <c r="AA72" s="192">
        <f t="shared" si="10"/>
        <v>23.2822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0160-29</v>
      </c>
      <c r="AE72" s="80" t="str">
        <f t="shared" si="12"/>
        <v>aws s3 cp s3://rtdc.mdm.uploadarchive.raw/RTDC4025/ "%USERPROFILE%\AppData\Local\Temp\OnboardLogs"\RTDC4025\2017-04-29 --exclude "*" --recursive --include "*20170429*" &amp; "%USERPROFILE%\Documents\GitHub\mrs-test-scripts\Headless Mode &amp; Sideloading\WalkAndUnGZ.bat" "%USERPROFILE%\AppData\Local\Temp\OnboardLogs"\RTDC4025\2017-04-29 &amp; 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</v>
      </c>
      <c r="AF72" s="77" t="str">
        <f t="shared" si="13"/>
        <v>"C:\Program Files (x86)\AstroGrep\AstroGrep.exe" /e /r /s /spath="%USERPROFILE%\AppData\Local\Temp\OnboardLogs" /stypes="app*4025*20170429*" /stext=" 18:.+((SYSTEM_STATE.+slice.+state.+changed )|(ment ac)|(multiple cpu faults)|(system.+state.+changed )|(\[timeout)|(PRM\|1\|D)|(kpr)|(kdp)|(train.+moving)|(\|lc)|(penalty))"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160-29 --locoid 4025 --swversion DE.1.0.9.0 --startMP 204:232974 --initTime 2017-04-29T11:50:41 --startdatetime 2017-04-29T11:56:34 --delay 2 --endMP 204:152 --enddatetime 2017-04-29T12:35:10 --enforcementcount 0 &gt;&gt;C:\Users\stu\Documents\GitHub\eaglep3-reporting\EC\2017-04-29-refined-times.txt</v>
      </c>
      <c r="AI72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{"issue":{"subject":"","project_id":79,"tracker_id":40,"status_id":1,"priority_id":2,"assigned_to_id":23,"start_date":"2017-04-29","description":"","custom_fields":[{"id":1,"name":"Subdivision","value":"EC"},{"id":4,"name":"Milepost","value":"0.0152"},{"id":17,"name":"Train ID","value":"160-29"},{"id":16,"name":"Locomotive ID","value":"4025"},{"id":130,"name":"Impact","value":""},{"id":150,"name":"Time of Event (Mountain Time)","value":"12:35:10"},{"id":151,"name":"Denver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4025 --day 2017-04-29</v>
      </c>
      <c r="AN72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18:35:10"},{"id":29,"name":"Sharepoint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691</v>
      </c>
      <c r="B73" s="7">
        <v>4028</v>
      </c>
      <c r="C73" s="21" t="s">
        <v>212</v>
      </c>
      <c r="D73" s="21" t="s">
        <v>443</v>
      </c>
      <c r="E73" s="13">
        <v>42854.46665509259</v>
      </c>
      <c r="F73" s="13">
        <v>42854.46947916667</v>
      </c>
      <c r="G73" s="7">
        <v>1</v>
      </c>
      <c r="H73" s="21" t="s">
        <v>545</v>
      </c>
      <c r="I73" s="13">
        <v>42854.495856481481</v>
      </c>
      <c r="J73" s="7">
        <v>0</v>
      </c>
      <c r="K73" s="92" t="str">
        <f t="shared" si="0"/>
        <v>4027/4028</v>
      </c>
      <c r="L73" s="21" t="str">
        <f>VLOOKUP(A73,'Trips&amp;Operators'!$C$1:$G$99999,5,FALSE)</f>
        <v>DAVIS MICHAEL</v>
      </c>
      <c r="M73" s="6">
        <f t="shared" si="1"/>
        <v>2.6377314810815733E-2</v>
      </c>
      <c r="N73" s="7">
        <f t="shared" si="26"/>
        <v>37.983333327574655</v>
      </c>
      <c r="O73" s="7"/>
      <c r="P73" s="7"/>
      <c r="Q73" s="22"/>
      <c r="R73" s="190"/>
      <c r="S73" s="196">
        <f t="shared" si="3"/>
        <v>1</v>
      </c>
      <c r="T73" s="190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-04-29T10:11:59-0600',mode:absolute,to:'2017-04-29T12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192" t="str">
        <f t="shared" si="6"/>
        <v>N</v>
      </c>
      <c r="X73" s="192">
        <f t="shared" si="27"/>
        <v>1</v>
      </c>
      <c r="Y73" s="192">
        <f t="shared" si="8"/>
        <v>4.7100000000000003E-2</v>
      </c>
      <c r="Z73" s="192">
        <f t="shared" si="9"/>
        <v>23.331600000000002</v>
      </c>
      <c r="AA73" s="192">
        <f t="shared" si="10"/>
        <v>23.284500000000001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0161-29</v>
      </c>
      <c r="AE73" s="80" t="str">
        <f t="shared" si="12"/>
        <v>aws s3 cp s3://rtdc.mdm.uploadarchive.raw/RTDC4028/ "%USERPROFILE%\AppData\Local\Temp\OnboardLogs"\RTDC4028\2017-04-29 --exclude "*" --recursive --include "*20170429*" &amp; "%USERPROFILE%\Documents\GitHub\mrs-test-scripts\Headless Mode &amp; Sideloading\WalkAndUnGZ.bat" "%USERPROFILE%\AppData\Local\Temp\OnboardLogs"\RTDC4028\2017-04-29 &amp; 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</v>
      </c>
      <c r="AF73" s="77" t="str">
        <f t="shared" si="13"/>
        <v>"C:\Program Files (x86)\AstroGrep\AstroGrep.exe" /e /r /s /spath="%USERPROFILE%\AppData\Local\Temp\OnboardLogs" /stypes="app*4028*20170429*" /stext=" 17:.+((SYSTEM_STATE.+slice.+state.+changed )|(ment ac)|(multiple cpu faults)|(system.+state.+changed )|(\[timeout)|(PRM\|1\|D)|(kpr)|(kdp)|(train.+moving)|(\|lc)|(penalty))"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161-29 --locoid 4028 --swversion DE.1.0.9.0 --startMP 204:471 --initTime 2017-04-29T11:11:59 --startdatetime 2017-04-29T11:16:03 --delay 1 --endMP 204:233316 --enddatetime 2017-04-29T11:54:02 --enforcementcount 0 &gt;&gt;C:\Users\stu\Documents\GitHub\eaglep3-reporting\EC\2017-04-29-refined-times.txt</v>
      </c>
      <c r="AI73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{"issue":{"subject":"","project_id":79,"tracker_id":40,"status_id":1,"priority_id":2,"assigned_to_id":23,"start_date":"2017-04-29","description":"","custom_fields":[{"id":1,"name":"Subdivision","value":"EC"},{"id":4,"name":"Milepost","value":"23.3316"},{"id":17,"name":"Train ID","value":"161-29"},{"id":16,"name":"Locomotive ID","value":"4028"},{"id":130,"name":"Impact","value":""},{"id":150,"name":"Time of Event (Mountain Time)","value":"11:54:02"},{"id":151,"name":"Denver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4028 --day 2017-04-29</v>
      </c>
      <c r="AN73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17:54:02"},{"id":29,"name":"Sharepoint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702</v>
      </c>
      <c r="B74" s="7">
        <v>4027</v>
      </c>
      <c r="C74" s="21" t="s">
        <v>212</v>
      </c>
      <c r="D74" s="21" t="s">
        <v>541</v>
      </c>
      <c r="E74" s="13">
        <v>42854.504212962966</v>
      </c>
      <c r="F74" s="13">
        <v>42854.508032407408</v>
      </c>
      <c r="G74" s="7">
        <v>1</v>
      </c>
      <c r="H74" s="21" t="s">
        <v>378</v>
      </c>
      <c r="I74" s="13">
        <v>42854.535844907405</v>
      </c>
      <c r="J74" s="7">
        <v>0</v>
      </c>
      <c r="K74" s="92" t="str">
        <f t="shared" si="0"/>
        <v>4027/4028</v>
      </c>
      <c r="L74" s="21" t="str">
        <f>VLOOKUP(A74,'Trips&amp;Operators'!$C$1:$G$99999,5,FALSE)</f>
        <v>DAVIS MICHAEL</v>
      </c>
      <c r="M74" s="6">
        <f t="shared" si="1"/>
        <v>2.7812499996798579E-2</v>
      </c>
      <c r="N74" s="7">
        <f t="shared" si="26"/>
        <v>40.049999995389953</v>
      </c>
      <c r="O74" s="7"/>
      <c r="P74" s="7"/>
      <c r="Q74" s="22"/>
      <c r="R74" s="190"/>
      <c r="S74" s="196">
        <f t="shared" si="3"/>
        <v>1</v>
      </c>
      <c r="T74" s="190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-04-29T11:06:04-0600',mode:absolute,to:'2017-04-29T13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192" t="str">
        <f t="shared" si="6"/>
        <v>N</v>
      </c>
      <c r="X74" s="192">
        <f t="shared" si="27"/>
        <v>1</v>
      </c>
      <c r="Y74" s="192">
        <f t="shared" si="8"/>
        <v>23.3001</v>
      </c>
      <c r="Z74" s="192">
        <f t="shared" si="9"/>
        <v>1.38E-2</v>
      </c>
      <c r="AA74" s="192">
        <f t="shared" si="10"/>
        <v>23.286300000000001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0162-29</v>
      </c>
      <c r="AE74" s="80" t="str">
        <f t="shared" si="12"/>
        <v>aws s3 cp s3://rtdc.mdm.uploadarchive.raw/RTDC4027/ "%USERPROFILE%\AppData\Local\Temp\OnboardLogs"\RTDC4027\2017-04-29 --exclude "*" --recursive --include "*20170429*" &amp; "%USERPROFILE%\Documents\GitHub\mrs-test-scripts\Headless Mode &amp; Sideloading\WalkAndUnGZ.bat" "%USERPROFILE%\AppData\Local\Temp\OnboardLogs"\RTDC4027\2017-04-29 &amp; 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</v>
      </c>
      <c r="AF74" s="77" t="str">
        <f t="shared" si="13"/>
        <v>"C:\Program Files (x86)\AstroGrep\AstroGrep.exe" /e /r /s /spath="%USERPROFILE%\AppData\Local\Temp\OnboardLogs" /stypes="app*4027*20170429*" /stext=" 18:.+((SYSTEM_STATE.+slice.+state.+changed )|(ment ac)|(multiple cpu faults)|(system.+state.+changed )|(\[timeout)|(PRM\|1\|D)|(kpr)|(kdp)|(train.+moving)|(\|lc)|(penalty))"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162-29 --locoid 4027 --swversion DE.1.0.9.0 --startMP 204:233001 --initTime 2017-04-29T12:06:04 --startdatetime 2017-04-29T12:11:34 --delay 1 --endMP 204:138 --enddatetime 2017-04-29T12:51:37 --enforcementcount 0 &gt;&gt;C:\Users\stu\Documents\GitHub\eaglep3-reporting\EC\2017-04-29-refined-times.txt</v>
      </c>
      <c r="AI74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{"issue":{"subject":"","project_id":79,"tracker_id":40,"status_id":1,"priority_id":2,"assigned_to_id":23,"start_date":"2017-04-29","description":"","custom_fields":[{"id":1,"name":"Subdivision","value":"EC"},{"id":4,"name":"Milepost","value":"0.0138"},{"id":17,"name":"Train ID","value":"162-29"},{"id":16,"name":"Locomotive ID","value":"4027"},{"id":130,"name":"Impact","value":""},{"id":150,"name":"Time of Event (Mountain Time)","value":"12:51:37"},{"id":151,"name":"Denver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4027 --day 2017-04-29</v>
      </c>
      <c r="AN74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18:51:37"},{"id":29,"name":"Sharepoint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692</v>
      </c>
      <c r="B75" s="7">
        <v>4022</v>
      </c>
      <c r="C75" s="21" t="s">
        <v>212</v>
      </c>
      <c r="D75" s="21" t="s">
        <v>858</v>
      </c>
      <c r="E75" s="13">
        <v>42854.475740740738</v>
      </c>
      <c r="F75" s="13">
        <v>42854.479351851849</v>
      </c>
      <c r="G75" s="7">
        <v>1</v>
      </c>
      <c r="H75" s="21" t="s">
        <v>848</v>
      </c>
      <c r="I75" s="13">
        <v>42854.504467592589</v>
      </c>
      <c r="J75" s="7">
        <v>0</v>
      </c>
      <c r="K75" s="92" t="str">
        <f t="shared" si="0"/>
        <v>4021/4022</v>
      </c>
      <c r="L75" s="21" t="str">
        <f>VLOOKUP(A75,'Trips&amp;Operators'!$C$1:$G$99999,5,FALSE)</f>
        <v>BRUDER RICHARD</v>
      </c>
      <c r="M75" s="6">
        <f t="shared" si="1"/>
        <v>2.5115740740147885E-2</v>
      </c>
      <c r="N75" s="7">
        <f t="shared" si="26"/>
        <v>36.166666665812954</v>
      </c>
      <c r="O75" s="7"/>
      <c r="P75" s="7"/>
      <c r="Q75" s="22"/>
      <c r="R75" s="190"/>
      <c r="S75" s="196">
        <f t="shared" si="3"/>
        <v>1</v>
      </c>
      <c r="T75" s="190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-04-29T10:25:04-0600',mode:absolute,to:'2017-04-29T13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5" s="192" t="str">
        <f t="shared" si="6"/>
        <v>N</v>
      </c>
      <c r="X75" s="192">
        <f t="shared" si="27"/>
        <v>1</v>
      </c>
      <c r="Y75" s="192">
        <f t="shared" si="8"/>
        <v>4.8000000000000001E-2</v>
      </c>
      <c r="Z75" s="192">
        <f t="shared" si="9"/>
        <v>23.3308</v>
      </c>
      <c r="AA75" s="192">
        <f t="shared" si="10"/>
        <v>23.282800000000002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0163-29</v>
      </c>
      <c r="AE75" s="80" t="str">
        <f t="shared" si="12"/>
        <v>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 &amp; 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</v>
      </c>
      <c r="AF75" s="77" t="str">
        <f t="shared" si="13"/>
        <v>"C:\Program Files (x86)\AstroGrep\AstroGrep.exe" /e /r /s /spath="%USERPROFILE%\AppData\Local\Temp\OnboardLogs" /stypes="app*4022*20170429*" /stext=" 18:.+((SYSTEM_STATE.+slice.+state.+changed )|(ment ac)|(multiple cpu faults)|(system.+state.+changed )|(\[timeout)|(PRM\|1\|D)|(kpr)|(kdp)|(train.+moving)|(\|lc)|(penalty))"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163-29 --locoid 4022 --swversion DE.1.0.9.0 --startMP 204:480 --initTime 2017-04-29T11:25:04 --startdatetime 2017-04-29T11:30:16 --delay 1 --endMP 204:233308 --enddatetime 2017-04-29T12:06:26 --enforcementcount 0 &gt;&gt;C:\Users\stu\Documents\GitHub\eaglep3-reporting\EC\2017-04-29-refined-times.txt</v>
      </c>
      <c r="AI75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{"issue":{"subject":"","project_id":79,"tracker_id":40,"status_id":1,"priority_id":2,"assigned_to_id":23,"start_date":"2017-04-29","description":"","custom_fields":[{"id":1,"name":"Subdivision","value":"EC"},{"id":4,"name":"Milepost","value":"23.3308"},{"id":17,"name":"Train ID","value":"163-29"},{"id":16,"name":"Locomotive ID","value":"4022"},{"id":130,"name":"Impact","value":""},{"id":150,"name":"Time of Event (Mountain Time)","value":"12:06:26"},{"id":151,"name":"Denver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4022 --day 2017-04-29</v>
      </c>
      <c r="AN75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18:06:26"},{"id":29,"name":"Sharepoint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704</v>
      </c>
      <c r="B76" s="7">
        <v>4021</v>
      </c>
      <c r="C76" s="21" t="s">
        <v>212</v>
      </c>
      <c r="D76" s="21" t="s">
        <v>458</v>
      </c>
      <c r="E76" s="13">
        <v>42854.513055555559</v>
      </c>
      <c r="F76" s="13">
        <v>42854.518240740741</v>
      </c>
      <c r="G76" s="7">
        <v>1</v>
      </c>
      <c r="H76" s="21" t="s">
        <v>859</v>
      </c>
      <c r="I76" s="13">
        <v>42854.544398148151</v>
      </c>
      <c r="J76" s="7">
        <v>0</v>
      </c>
      <c r="K76" s="92" t="str">
        <f t="shared" si="0"/>
        <v>4021/4022</v>
      </c>
      <c r="L76" s="21" t="str">
        <f>VLOOKUP(A76,'Trips&amp;Operators'!$C$1:$G$99999,5,FALSE)</f>
        <v>BRUDER RICHARD</v>
      </c>
      <c r="M76" s="6">
        <f t="shared" si="1"/>
        <v>2.6157407410209998E-2</v>
      </c>
      <c r="N76" s="7">
        <f t="shared" si="26"/>
        <v>37.666666670702398</v>
      </c>
      <c r="O76" s="7"/>
      <c r="P76" s="7"/>
      <c r="Q76" s="22"/>
      <c r="R76" s="190"/>
      <c r="S76" s="196">
        <f t="shared" si="3"/>
        <v>1</v>
      </c>
      <c r="T76" s="190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-04-29T11:18:48-0600',mode:absolute,to:'2017-04-29T14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6" s="192" t="str">
        <f t="shared" si="6"/>
        <v>N</v>
      </c>
      <c r="X76" s="192">
        <f t="shared" si="27"/>
        <v>1</v>
      </c>
      <c r="Y76" s="192">
        <f t="shared" si="8"/>
        <v>23.299800000000001</v>
      </c>
      <c r="Z76" s="192">
        <f t="shared" si="9"/>
        <v>1.78E-2</v>
      </c>
      <c r="AA76" s="192">
        <f t="shared" si="10"/>
        <v>23.282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0164-29</v>
      </c>
      <c r="AE76" s="80" t="str">
        <f t="shared" si="12"/>
        <v>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 &amp; aws s3 cp s3://rtdc.mdm.uploadarchive.raw/RTDC4021/ "%USERPROFILE%\AppData\Local\Temp\OnboardLogs"\RTDC4021\2017-04-30 --exclude "*" --recursive --include "*20170430*" &amp; "%USERPROFILE%\Documents\GitHub\mrs-test-scripts\Headless Mode &amp; Sideloading\WalkAndUnGZ.bat" "%USERPROFILE%\AppData\Local\Temp\OnboardLogs"\RTDC4021\2017-04-30</v>
      </c>
      <c r="AF76" s="77" t="str">
        <f t="shared" si="13"/>
        <v>"C:\Program Files (x86)\AstroGrep\AstroGrep.exe" /e /r /s /spath="%USERPROFILE%\AppData\Local\Temp\OnboardLogs" /stypes="app*4021*20170429*" /stext=" 19:.+((SYSTEM_STATE.+slice.+state.+changed )|(ment ac)|(multiple cpu faults)|(system.+state.+changed )|(\[timeout)|(PRM\|1\|D)|(kpr)|(kdp)|(train.+moving)|(\|lc)|(penalty))"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164-29 --locoid 4021 --swversion DE.1.0.9.0 --startMP 204:232998 --initTime 2017-04-29T12:18:48 --startdatetime 2017-04-29T12:26:16 --delay 1 --endMP 204:178 --enddatetime 2017-04-29T13:03:56 --enforcementcount 0 &gt;&gt;C:\Users\stu\Documents\GitHub\eaglep3-reporting\EC\2017-04-29-refined-times.txt</v>
      </c>
      <c r="AI76" s="99" t="str">
        <f t="shared" si="20"/>
        <v>echo {"issue":{"subject":"","project_id":79,"tracker_id":40,"status_id":1,"priority_id":2,"assigned_to_id":23,"start_date":"2017-04-29","description":"","custom_fields":[{"id":1,"name":"Subdivision","value":"EC"},{"id":4,"name":"Milepost","value":"0.0178"},{"id":17,"name":"Train ID","value":"164-29"},{"id":16,"name":"Locomotive ID","value":"4021"},{"id":130,"name":"Impact","value":""},{"id":150,"name":"Time of Event (Mountain Time)","value":"13:03:56"},{"id":151,"name":"Denver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4021 --day 2017-04-29</v>
      </c>
      <c r="AN76" s="154" t="str">
        <f t="shared" si="2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19:03:56"},{"id":29,"name":"Sharepoint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578</v>
      </c>
      <c r="B77" s="7">
        <v>4008</v>
      </c>
      <c r="C77" s="21" t="s">
        <v>212</v>
      </c>
      <c r="D77" s="21" t="s">
        <v>473</v>
      </c>
      <c r="E77" s="13">
        <v>42854.483078703706</v>
      </c>
      <c r="F77" s="13">
        <v>42854.489745370367</v>
      </c>
      <c r="G77" s="7">
        <v>2</v>
      </c>
      <c r="H77" s="21" t="s">
        <v>538</v>
      </c>
      <c r="I77" s="13">
        <v>42854.515497685185</v>
      </c>
      <c r="J77" s="7">
        <v>0</v>
      </c>
      <c r="K77" s="92" t="str">
        <f t="shared" ref="K77:K140" si="28">IF(ISEVEN(B77),(B77-1)&amp;"/"&amp;B77,B77&amp;"/"&amp;(B77+1))</f>
        <v>4007/4008</v>
      </c>
      <c r="L77" s="21" t="str">
        <f>VLOOKUP(A77,'Trips&amp;Operators'!$C$1:$G$99999,5,FALSE)</f>
        <v>BRANDNER MELINDA</v>
      </c>
      <c r="M77" s="6">
        <f t="shared" ref="M77:M140" si="29">I77-F77</f>
        <v>2.5752314817509614E-2</v>
      </c>
      <c r="N77" s="7">
        <f t="shared" si="26"/>
        <v>37.083333337213844</v>
      </c>
      <c r="O77" s="7"/>
      <c r="P77" s="7"/>
      <c r="Q77" s="22"/>
      <c r="R77" s="190"/>
      <c r="S77" s="196">
        <f t="shared" ref="S77:S140" si="30">SUM(U77:U77)/IF(AG77="EC",12,1)</f>
        <v>1</v>
      </c>
      <c r="T77" s="190" t="str">
        <f t="shared" ref="T77:T140" si="31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-29T10:35:38-0600',mode:absolute,to:'2017-04-29T13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7" s="192" t="str">
        <f t="shared" ref="W77:W140" si="33">IF(AA77&lt;IF(AG77="EC",23,5.65),"Y","N")</f>
        <v>N</v>
      </c>
      <c r="X77" s="192">
        <f t="shared" si="27"/>
        <v>1</v>
      </c>
      <c r="Y77" s="192">
        <f t="shared" ref="Y77:Y140" si="34">RIGHT(D77,LEN(D77)-4)/10000</f>
        <v>4.7800000000000002E-2</v>
      </c>
      <c r="Z77" s="192">
        <f t="shared" ref="Z77:Z140" si="35">RIGHT(H77,LEN(H77)-4)/10000</f>
        <v>23.331099999999999</v>
      </c>
      <c r="AA77" s="192">
        <f t="shared" ref="AA77:AA140" si="36">ABS(Z77-Y77)</f>
        <v>23.283300000000001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7">IF(LEN(A77)=6,"0"&amp;A77,A77)</f>
        <v>0165-29</v>
      </c>
      <c r="AE77" s="80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 &amp; 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</v>
      </c>
      <c r="AF77" s="77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/stypes="app*4008*20170429*" /stext=" 18:.+((SYSTEM_STATE.+slice.+state.+changed )|(ment ac)|(multiple cpu faults)|(system.+state.+changed )|(\[timeout)|(PRM\|1\|D)|(kpr)|(kdp)|(train.+moving)|(\|lc)|(penalty))"</v>
      </c>
      <c r="AG77" s="1" t="str">
        <f t="shared" ref="AG77:AG140" si="40">IFERROR(IF(VALUE(LEFT(AD77,2))&lt;=2,"EC",IF(OR(VALUE(LEFT(AD77,2))=8,VALUE(LEFT(AD77,2))=18),"NW","Other")),"Other")</f>
        <v>EC</v>
      </c>
      <c r="AH77" s="81" t="str">
        <f t="shared" ref="AH77:AH139" si="41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165-29 --locoid 4008 --swversion DE.1.0.9.0 --startMP 204:478 --initTime 2017-04-29T11:35:38 --startdatetime 2017-04-29T11:45:14 --delay 2 --endMP 204:233311 --enddatetime 2017-04-29T12:22:19 --enforcementcount 0 &gt;&gt;C:\Users\stu\Documents\GitHub\eaglep3-reporting\EC\2017-04-29-refined-times.txt</v>
      </c>
      <c r="AI77" s="99" t="str">
        <f t="shared" ref="AI77:AI139" si="42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{"issue":{"subject":"","project_id":79,"tracker_id":40,"status_id":1,"priority_id":2,"assigned_to_id":23,"start_date":"2017-04-29","description":"","custom_fields":[{"id":1,"name":"Subdivision","value":"EC"},{"id":4,"name":"Milepost","value":"23.3311"},{"id":17,"name":"Train ID","value":"165-29"},{"id":16,"name":"Locomotive ID","value":"4008"},{"id":130,"name":"Impact","value":""},{"id":150,"name":"Time of Event (Mountain Time)","value":"12:22:19"},{"id":151,"name":"Denver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ref="AM77:AM139" si="43">"start /low /b "&amp;dls3logs&amp;" --loco "&amp;B77&amp;" --day "&amp;TEXT(F77,"YYYY-MM-DD")</f>
        <v>start /low /b %USERPROFILE%\Documents\GitHub\eaglep3\Utilities\DownloadLogsFromS3.py --loco 4008 --day 2017-04-29</v>
      </c>
      <c r="AN77" s="154" t="str">
        <f t="shared" ref="AN77:AN139" si="44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18:22:19"},{"id":29,"name":"Sharepoint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580</v>
      </c>
      <c r="B78" s="7">
        <v>4007</v>
      </c>
      <c r="C78" s="21" t="s">
        <v>212</v>
      </c>
      <c r="D78" s="21" t="s">
        <v>860</v>
      </c>
      <c r="E78" s="13">
        <v>42854.524236111109</v>
      </c>
      <c r="F78" s="13">
        <v>42854.562708333331</v>
      </c>
      <c r="G78" s="7">
        <v>1</v>
      </c>
      <c r="H78" s="21" t="s">
        <v>861</v>
      </c>
      <c r="I78" s="13">
        <v>42854.588819444441</v>
      </c>
      <c r="J78" s="7">
        <v>0</v>
      </c>
      <c r="K78" s="92" t="str">
        <f t="shared" si="28"/>
        <v>4007/4008</v>
      </c>
      <c r="L78" s="21" t="str">
        <f>VLOOKUP(A78,'Trips&amp;Operators'!$C$1:$G$99999,5,FALSE)</f>
        <v>BRANDNER MELINDA</v>
      </c>
      <c r="M78" s="6">
        <f t="shared" si="29"/>
        <v>2.6111111110367347E-2</v>
      </c>
      <c r="N78" s="7">
        <f t="shared" si="26"/>
        <v>37.599999998928979</v>
      </c>
      <c r="O78" s="7"/>
      <c r="P78" s="7"/>
      <c r="Q78" s="22"/>
      <c r="R78" s="190"/>
      <c r="S78" s="196">
        <f t="shared" si="30"/>
        <v>1</v>
      </c>
      <c r="T78" s="190" t="str">
        <f t="shared" si="31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32"/>
        <v>https://d0f6bd738d7f1b3e5a7ca70fe4ff75f0.us-east-1.aws.found.io/app/kibana#/discover/Steve-Slow-Train-Analysis-(2080s-and-2083s)?_g=(refreshInterval:(display:Off,pause:!f,section:0,value:0),time:(from:'2017-04-29T11:34:54-0600',mode:absolute,to:'2017-04-29T15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8" s="192" t="str">
        <f t="shared" si="33"/>
        <v>N</v>
      </c>
      <c r="X78" s="192">
        <f t="shared" si="27"/>
        <v>1</v>
      </c>
      <c r="Y78" s="192">
        <f t="shared" si="34"/>
        <v>23.2986</v>
      </c>
      <c r="Z78" s="192">
        <f t="shared" si="35"/>
        <v>1.41E-2</v>
      </c>
      <c r="AA78" s="192">
        <f t="shared" si="36"/>
        <v>23.284500000000001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7"/>
        <v>0166-29</v>
      </c>
      <c r="AE78" s="80" t="str">
        <f t="shared" si="38"/>
        <v>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 &amp; 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</v>
      </c>
      <c r="AF78" s="77" t="str">
        <f t="shared" si="39"/>
        <v>"C:\Program Files (x86)\AstroGrep\AstroGrep.exe" /e /r /s /spath="%USERPROFILE%\AppData\Local\Temp\OnboardLogs" /stypes="app*4007*20170429*" /stext=" 20:.+((SYSTEM_STATE.+slice.+state.+changed )|(ment ac)|(multiple cpu faults)|(system.+state.+changed )|(\[timeout)|(PRM\|1\|D)|(kpr)|(kdp)|(train.+moving)|(\|lc)|(penalty))"</v>
      </c>
      <c r="AG78" s="1" t="str">
        <f t="shared" si="40"/>
        <v>EC</v>
      </c>
      <c r="AH78" s="81" t="str">
        <f t="shared" si="41"/>
        <v>"%USERPROFILE%\Documents\GitHub\eaglep3\Utilities\RefineRTDCRunTimes.py" --tripid 166-29 --locoid 4007 --swversion DE.1.0.9.0 --startMP 204:232986 --initTime 2017-04-29T12:34:54 --startdatetime 2017-04-29T13:30:18 --delay 1 --endMP 204:141 --enddatetime 2017-04-29T14:07:54 --enforcementcount 0 &gt;&gt;C:\Users\stu\Documents\GitHub\eaglep3-reporting\EC\2017-04-29-refined-times.txt</v>
      </c>
      <c r="AI78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{"issue":{"subject":"","project_id":79,"tracker_id":40,"status_id":1,"priority_id":2,"assigned_to_id":23,"start_date":"2017-04-29","description":"","custom_fields":[{"id":1,"name":"Subdivision","value":"EC"},{"id":4,"name":"Milepost","value":"0.0141"},{"id":17,"name":"Train ID","value":"166-29"},{"id":16,"name":"Locomotive ID","value":"4007"},{"id":130,"name":"Impact","value":""},{"id":150,"name":"Time of Event (Mountain Time)","value":"14:07:54"},{"id":151,"name":"Denver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43"/>
        <v>start /low /b %USERPROFILE%\Documents\GitHub\eaglep3\Utilities\DownloadLogsFromS3.py --loco 4007 --day 2017-04-29</v>
      </c>
      <c r="AN78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20:07:54"},{"id":29,"name":"Sharepoint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699</v>
      </c>
      <c r="B79" s="7">
        <v>4018</v>
      </c>
      <c r="C79" s="21" t="s">
        <v>212</v>
      </c>
      <c r="D79" s="21" t="s">
        <v>205</v>
      </c>
      <c r="E79" s="13">
        <v>42854.497719907406</v>
      </c>
      <c r="F79" s="13">
        <v>42854.500185185185</v>
      </c>
      <c r="G79" s="7">
        <v>1</v>
      </c>
      <c r="H79" s="21" t="s">
        <v>841</v>
      </c>
      <c r="I79" s="13">
        <v>42854.525231481479</v>
      </c>
      <c r="J79" s="7">
        <v>0</v>
      </c>
      <c r="K79" s="92" t="str">
        <f t="shared" si="28"/>
        <v>4017/4018</v>
      </c>
      <c r="L79" s="21" t="str">
        <f>VLOOKUP(A79,'Trips&amp;Operators'!$C$1:$G$99999,5,FALSE)</f>
        <v>LALONDE GREGORY</v>
      </c>
      <c r="M79" s="6">
        <f t="shared" si="29"/>
        <v>2.5046296294021886E-2</v>
      </c>
      <c r="N79" s="7">
        <f t="shared" si="26"/>
        <v>36.066666663391516</v>
      </c>
      <c r="O79" s="7"/>
      <c r="P79" s="7"/>
      <c r="Q79" s="22"/>
      <c r="R79" s="190"/>
      <c r="S79" s="196">
        <f t="shared" si="30"/>
        <v>1</v>
      </c>
      <c r="T79" s="190" t="str">
        <f t="shared" si="31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32"/>
        <v>https://d0f6bd738d7f1b3e5a7ca70fe4ff75f0.us-east-1.aws.found.io/app/kibana#/discover/Steve-Slow-Train-Analysis-(2080s-and-2083s)?_g=(refreshInterval:(display:Off,pause:!f,section:0,value:0),time:(from:'2017-04-29T10:56:43-0600',mode:absolute,to:'2017-04-29T13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9" s="192" t="str">
        <f t="shared" si="33"/>
        <v>N</v>
      </c>
      <c r="X79" s="192">
        <f t="shared" si="27"/>
        <v>1</v>
      </c>
      <c r="Y79" s="192">
        <f t="shared" si="34"/>
        <v>4.5999999999999999E-2</v>
      </c>
      <c r="Z79" s="192">
        <f t="shared" si="35"/>
        <v>23.334199999999999</v>
      </c>
      <c r="AA79" s="192">
        <f t="shared" si="36"/>
        <v>23.2882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7"/>
        <v>0167-29</v>
      </c>
      <c r="AE79" s="80" t="str">
        <f t="shared" si="38"/>
        <v>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 &amp; aws s3 cp s3://rtdc.mdm.uploadarchive.raw/RTDC4018/ "%USERPROFILE%\AppData\Local\Temp\OnboardLogs"\RTDC4018\2017-04-30 --exclude "*" --recursive --include "*20170430*" &amp; "%USERPROFILE%\Documents\GitHub\mrs-test-scripts\Headless Mode &amp; Sideloading\WalkAndUnGZ.bat" "%USERPROFILE%\AppData\Local\Temp\OnboardLogs"\RTDC4018\2017-04-30</v>
      </c>
      <c r="AF79" s="77" t="str">
        <f t="shared" si="39"/>
        <v>"C:\Program Files (x86)\AstroGrep\AstroGrep.exe" /e /r /s /spath="%USERPROFILE%\AppData\Local\Temp\OnboardLogs" /stypes="app*4018*20170429*" /stext=" 18:.+((SYSTEM_STATE.+slice.+state.+changed )|(ment ac)|(multiple cpu faults)|(system.+state.+changed )|(\[timeout)|(PRM\|1\|D)|(kpr)|(kdp)|(train.+moving)|(\|lc)|(penalty))"</v>
      </c>
      <c r="AG79" s="1" t="str">
        <f t="shared" si="40"/>
        <v>EC</v>
      </c>
      <c r="AH79" s="81" t="str">
        <f t="shared" si="41"/>
        <v>"%USERPROFILE%\Documents\GitHub\eaglep3\Utilities\RefineRTDCRunTimes.py" --tripid 167-29 --locoid 4018 --swversion DE.1.0.9.0 --startMP 204:460 --initTime 2017-04-29T11:56:43 --startdatetime 2017-04-29T12:00:16 --delay 1 --endMP 204:233342 --enddatetime 2017-04-29T12:36:20 --enforcementcount 0 &gt;&gt;C:\Users\stu\Documents\GitHub\eaglep3-reporting\EC\2017-04-29-refined-times.txt</v>
      </c>
      <c r="AI79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{"issue":{"subject":"","project_id":79,"tracker_id":40,"status_id":1,"priority_id":2,"assigned_to_id":23,"start_date":"2017-04-29","description":"","custom_fields":[{"id":1,"name":"Subdivision","value":"EC"},{"id":4,"name":"Milepost","value":"23.3342"},{"id":17,"name":"Train ID","value":"167-29"},{"id":16,"name":"Locomotive ID","value":"4018"},{"id":130,"name":"Impact","value":""},{"id":150,"name":"Time of Event (Mountain Time)","value":"12:36:20"},{"id":151,"name":"Denver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3"/>
        <v>start /low /b %USERPROFILE%\Documents\GitHub\eaglep3\Utilities\DownloadLogsFromS3.py --loco 4018 --day 2017-04-29</v>
      </c>
      <c r="AN79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18:36:20"},{"id":29,"name":"Sharepoint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708</v>
      </c>
      <c r="B80" s="7">
        <v>4017</v>
      </c>
      <c r="C80" s="21" t="s">
        <v>212</v>
      </c>
      <c r="D80" s="21" t="s">
        <v>862</v>
      </c>
      <c r="E80" s="13">
        <v>42854.527453703704</v>
      </c>
      <c r="F80" s="13">
        <v>42854.539143518516</v>
      </c>
      <c r="G80" s="7">
        <v>1</v>
      </c>
      <c r="H80" s="21" t="s">
        <v>411</v>
      </c>
      <c r="I80" s="13">
        <v>42854.564942129633</v>
      </c>
      <c r="J80" s="7">
        <v>0</v>
      </c>
      <c r="K80" s="92" t="str">
        <f t="shared" si="28"/>
        <v>4017/4018</v>
      </c>
      <c r="L80" s="21" t="str">
        <f>VLOOKUP(A80,'Trips&amp;Operators'!$C$1:$G$99999,5,FALSE)</f>
        <v>LALONDE GREGORY</v>
      </c>
      <c r="M80" s="6">
        <f t="shared" si="29"/>
        <v>2.5798611117352266E-2</v>
      </c>
      <c r="N80" s="7">
        <f t="shared" si="26"/>
        <v>37.150000008987263</v>
      </c>
      <c r="O80" s="7"/>
      <c r="P80" s="7"/>
      <c r="Q80" s="22"/>
      <c r="R80" s="190"/>
      <c r="S80" s="196">
        <f t="shared" si="30"/>
        <v>1</v>
      </c>
      <c r="T80" s="190" t="str">
        <f t="shared" si="31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32"/>
        <v>https://d0f6bd738d7f1b3e5a7ca70fe4ff75f0.us-east-1.aws.found.io/app/kibana#/discover/Steve-Slow-Train-Analysis-(2080s-and-2083s)?_g=(refreshInterval:(display:Off,pause:!f,section:0,value:0),time:(from:'2017-04-29T11:39:32-0600',mode:absolute,to:'2017-04-29T14:33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0" s="192" t="str">
        <f t="shared" si="33"/>
        <v>N</v>
      </c>
      <c r="X80" s="192">
        <f t="shared" si="27"/>
        <v>1</v>
      </c>
      <c r="Y80" s="192">
        <f t="shared" si="34"/>
        <v>23.303799999999999</v>
      </c>
      <c r="Z80" s="192">
        <f t="shared" si="35"/>
        <v>1.4999999999999999E-2</v>
      </c>
      <c r="AA80" s="192">
        <f t="shared" si="36"/>
        <v>23.288799999999998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7"/>
        <v>0168-29</v>
      </c>
      <c r="AE80" s="80" t="str">
        <f t="shared" si="38"/>
        <v>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 &amp; aws s3 cp s3://rtdc.mdm.uploadarchive.raw/RTDC4017/ "%USERPROFILE%\AppData\Local\Temp\OnboardLogs"\RTDC4017\2017-04-30 --exclude "*" --recursive --include "*20170430*" &amp; "%USERPROFILE%\Documents\GitHub\mrs-test-scripts\Headless Mode &amp; Sideloading\WalkAndUnGZ.bat" "%USERPROFILE%\AppData\Local\Temp\OnboardLogs"\RTDC4017\2017-04-30</v>
      </c>
      <c r="AF80" s="77" t="str">
        <f t="shared" si="39"/>
        <v>"C:\Program Files (x86)\AstroGrep\AstroGrep.exe" /e /r /s /spath="%USERPROFILE%\AppData\Local\Temp\OnboardLogs" /stypes="app*4017*20170429*" /stext=" 19:.+((SYSTEM_STATE.+slice.+state.+changed )|(ment ac)|(multiple cpu faults)|(system.+state.+changed )|(\[timeout)|(PRM\|1\|D)|(kpr)|(kdp)|(train.+moving)|(\|lc)|(penalty))"</v>
      </c>
      <c r="AG80" s="1" t="str">
        <f t="shared" si="40"/>
        <v>EC</v>
      </c>
      <c r="AH80" s="81" t="str">
        <f t="shared" si="41"/>
        <v>"%USERPROFILE%\Documents\GitHub\eaglep3\Utilities\RefineRTDCRunTimes.py" --tripid 168-29 --locoid 4017 --swversion DE.1.0.9.0 --startMP 204:233038 --initTime 2017-04-29T12:39:32 --startdatetime 2017-04-29T12:56:22 --delay 1 --endMP 204:150 --enddatetime 2017-04-29T13:33:31 --enforcementcount 0 &gt;&gt;C:\Users\stu\Documents\GitHub\eaglep3-reporting\EC\2017-04-29-refined-times.txt</v>
      </c>
      <c r="AI80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{"issue":{"subject":"","project_id":79,"tracker_id":40,"status_id":1,"priority_id":2,"assigned_to_id":23,"start_date":"2017-04-29","description":"","custom_fields":[{"id":1,"name":"Subdivision","value":"EC"},{"id":4,"name":"Milepost","value":"0.015"},{"id":17,"name":"Train ID","value":"168-29"},{"id":16,"name":"Locomotive ID","value":"4017"},{"id":130,"name":"Impact","value":""},{"id":150,"name":"Time of Event (Mountain Time)","value":"13:33:31"},{"id":151,"name":"Denver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3"/>
        <v>start /low /b %USERPROFILE%\Documents\GitHub\eaglep3\Utilities\DownloadLogsFromS3.py --loco 4017 --day 2017-04-29</v>
      </c>
      <c r="AN80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19:33:31"},{"id":29,"name":"Sharepoint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701</v>
      </c>
      <c r="B81" s="7">
        <v>4010</v>
      </c>
      <c r="C81" s="21" t="s">
        <v>212</v>
      </c>
      <c r="D81" s="21" t="s">
        <v>846</v>
      </c>
      <c r="E81" s="13">
        <v>42854.504131944443</v>
      </c>
      <c r="F81" s="13">
        <v>42854.510659722226</v>
      </c>
      <c r="G81" s="7">
        <v>1</v>
      </c>
      <c r="H81" s="21" t="s">
        <v>497</v>
      </c>
      <c r="I81" s="13">
        <v>42854.534826388888</v>
      </c>
      <c r="J81" s="7">
        <v>0</v>
      </c>
      <c r="K81" s="92" t="str">
        <f t="shared" si="28"/>
        <v>4009/4010</v>
      </c>
      <c r="L81" s="21" t="str">
        <f>VLOOKUP(A81,'Trips&amp;Operators'!$C$1:$G$99999,5,FALSE)</f>
        <v>ROMERO CHAD</v>
      </c>
      <c r="M81" s="6">
        <f t="shared" si="29"/>
        <v>2.4166666662495118E-2</v>
      </c>
      <c r="N81" s="7">
        <f t="shared" si="26"/>
        <v>34.799999993992969</v>
      </c>
      <c r="O81" s="7"/>
      <c r="P81" s="7"/>
      <c r="Q81" s="22"/>
      <c r="R81" s="190"/>
      <c r="S81" s="196">
        <f t="shared" si="30"/>
        <v>1</v>
      </c>
      <c r="T81" s="190" t="str">
        <f t="shared" si="31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32"/>
        <v>https://d0f6bd738d7f1b3e5a7ca70fe4ff75f0.us-east-1.aws.found.io/app/kibana#/discover/Steve-Slow-Train-Analysis-(2080s-and-2083s)?_g=(refreshInterval:(display:Off,pause:!f,section:0,value:0),time:(from:'2017-04-29T11:05:57-0600',mode:absolute,to:'2017-04-29T13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1" s="192" t="str">
        <f t="shared" si="33"/>
        <v>N</v>
      </c>
      <c r="X81" s="192">
        <f t="shared" si="27"/>
        <v>1</v>
      </c>
      <c r="Y81" s="192">
        <f t="shared" si="34"/>
        <v>4.1300000000000003E-2</v>
      </c>
      <c r="Z81" s="192">
        <f t="shared" si="35"/>
        <v>23.337599999999998</v>
      </c>
      <c r="AA81" s="192">
        <f t="shared" si="36"/>
        <v>23.296299999999999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7"/>
        <v>0169-29</v>
      </c>
      <c r="AE81" s="80" t="str">
        <f t="shared" si="38"/>
        <v>aws s3 cp s3://rtdc.mdm.uploadarchive.raw/RTDC4010/ "%USERPROFILE%\AppData\Local\Temp\OnboardLogs"\RTDC4010\2017-04-29 --exclude "*" --recursive --include "*20170429*" &amp; "%USERPROFILE%\Documents\GitHub\mrs-test-scripts\Headless Mode &amp; Sideloading\WalkAndUnGZ.bat" "%USERPROFILE%\AppData\Local\Temp\OnboardLogs"\RTDC4010\2017-04-29 &amp; aws s3 cp s3://rtdc.mdm.uploadarchive.raw/RTDC4010/ "%USERPROFILE%\AppData\Local\Temp\OnboardLogs"\RTDC4010\2017-04-30 --exclude "*" --recursive --include "*20170430*" &amp; "%USERPROFILE%\Documents\GitHub\mrs-test-scripts\Headless Mode &amp; Sideloading\WalkAndUnGZ.bat" "%USERPROFILE%\AppData\Local\Temp\OnboardLogs"\RTDC4010\2017-04-30</v>
      </c>
      <c r="AF81" s="77" t="str">
        <f t="shared" si="39"/>
        <v>"C:\Program Files (x86)\AstroGrep\AstroGrep.exe" /e /r /s /spath="%USERPROFILE%\AppData\Local\Temp\OnboardLogs" /stypes="app*4010*20170429*" /stext=" 18:.+((SYSTEM_STATE.+slice.+state.+changed )|(ment ac)|(multiple cpu faults)|(system.+state.+changed )|(\[timeout)|(PRM\|1\|D)|(kpr)|(kdp)|(train.+moving)|(\|lc)|(penalty))"</v>
      </c>
      <c r="AG81" s="1" t="str">
        <f t="shared" si="40"/>
        <v>EC</v>
      </c>
      <c r="AH81" s="81" t="str">
        <f t="shared" si="41"/>
        <v>"%USERPROFILE%\Documents\GitHub\eaglep3\Utilities\RefineRTDCRunTimes.py" --tripid 169-29 --locoid 4010 --swversion DE.1.0.9.0 --startMP 204:413 --initTime 2017-04-29T12:05:57 --startdatetime 2017-04-29T12:15:21 --delay 1 --endMP 204:233376 --enddatetime 2017-04-29T12:50:09 --enforcementcount 0 &gt;&gt;C:\Users\stu\Documents\GitHub\eaglep3-reporting\EC\2017-04-29-refined-times.txt</v>
      </c>
      <c r="AI81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{"issue":{"subject":"","project_id":79,"tracker_id":40,"status_id":1,"priority_id":2,"assigned_to_id":23,"start_date":"2017-04-29","description":"","custom_fields":[{"id":1,"name":"Subdivision","value":"EC"},{"id":4,"name":"Milepost","value":"23.3376"},{"id":17,"name":"Train ID","value":"169-29"},{"id":16,"name":"Locomotive ID","value":"4010"},{"id":130,"name":"Impact","value":""},{"id":150,"name":"Time of Event (Mountain Time)","value":"12:50:09"},{"id":151,"name":"Denver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3"/>
        <v>start /low /b %USERPROFILE%\Documents\GitHub\eaglep3\Utilities\DownloadLogsFromS3.py --loco 4010 --day 2017-04-29</v>
      </c>
      <c r="AN81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18:50:09"},{"id":29,"name":"Sharepoint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582</v>
      </c>
      <c r="B82" s="7">
        <v>4009</v>
      </c>
      <c r="C82" s="21" t="s">
        <v>212</v>
      </c>
      <c r="D82" s="21" t="s">
        <v>863</v>
      </c>
      <c r="E82" s="13">
        <v>42854.539652777778</v>
      </c>
      <c r="F82" s="13">
        <v>42854.549525462964</v>
      </c>
      <c r="G82" s="7">
        <v>1</v>
      </c>
      <c r="H82" s="21" t="s">
        <v>864</v>
      </c>
      <c r="I82" s="13">
        <v>42854.575671296298</v>
      </c>
      <c r="J82" s="7">
        <v>0</v>
      </c>
      <c r="K82" s="92" t="str">
        <f t="shared" si="28"/>
        <v>4009/4010</v>
      </c>
      <c r="L82" s="21" t="str">
        <f>VLOOKUP(A82,'Trips&amp;Operators'!$C$1:$G$99999,5,FALSE)</f>
        <v>ROMERO CHAD</v>
      </c>
      <c r="M82" s="6">
        <f t="shared" si="29"/>
        <v>2.6145833333430346E-2</v>
      </c>
      <c r="N82" s="7">
        <f t="shared" si="26"/>
        <v>37.650000000139698</v>
      </c>
      <c r="O82" s="7"/>
      <c r="P82" s="7"/>
      <c r="Q82" s="22"/>
      <c r="R82" s="190"/>
      <c r="S82" s="196">
        <f t="shared" si="30"/>
        <v>1</v>
      </c>
      <c r="T82" s="190" t="str">
        <f t="shared" si="31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32"/>
        <v>https://d0f6bd738d7f1b3e5a7ca70fe4ff75f0.us-east-1.aws.found.io/app/kibana#/discover/Steve-Slow-Train-Analysis-(2080s-and-2083s)?_g=(refreshInterval:(display:Off,pause:!f,section:0,value:0),time:(from:'2017-04-29T11:57:06-0600',mode:absolute,to:'2017-04-29T14:48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2" s="192" t="str">
        <f t="shared" si="33"/>
        <v>N</v>
      </c>
      <c r="X82" s="192">
        <f t="shared" si="27"/>
        <v>1</v>
      </c>
      <c r="Y82" s="192">
        <f t="shared" si="34"/>
        <v>23.305299999999999</v>
      </c>
      <c r="Z82" s="192">
        <f t="shared" si="35"/>
        <v>1.21E-2</v>
      </c>
      <c r="AA82" s="192">
        <f t="shared" si="36"/>
        <v>23.293199999999999</v>
      </c>
      <c r="AB82" s="57" t="str">
        <f>VLOOKUP(A82,Enforcements!$C$7:$K$13,8,0)</f>
        <v>Bulletin (2)</v>
      </c>
      <c r="AC82" s="53" t="str">
        <f>VLOOKUP(A82,Enforcements!$C$7:$E$13,3,0)</f>
        <v>GRADE CROSSING</v>
      </c>
      <c r="AD82" s="54" t="str">
        <f t="shared" si="37"/>
        <v>0170-29</v>
      </c>
      <c r="AE82" s="80" t="str">
        <f t="shared" si="38"/>
        <v>aws s3 cp s3://rtdc.mdm.uploadarchive.raw/RTDC4009/ "%USERPROFILE%\AppData\Local\Temp\OnboardLogs"\RTDC4009\2017-04-29 --exclude "*" --recursive --include "*20170429*" &amp; "%USERPROFILE%\Documents\GitHub\mrs-test-scripts\Headless Mode &amp; Sideloading\WalkAndUnGZ.bat" "%USERPROFILE%\AppData\Local\Temp\OnboardLogs"\RTDC4009\2017-04-29 &amp; aws s3 cp s3://rtdc.mdm.uploadarchive.raw/RTDC4009/ "%USERPROFILE%\AppData\Local\Temp\OnboardLogs"\RTDC4009\2017-04-30 --exclude "*" --recursive --include "*20170430*" &amp; "%USERPROFILE%\Documents\GitHub\mrs-test-scripts\Headless Mode &amp; Sideloading\WalkAndUnGZ.bat" "%USERPROFILE%\AppData\Local\Temp\OnboardLogs"\RTDC4009\2017-04-30</v>
      </c>
      <c r="AF82" s="77" t="str">
        <f t="shared" si="39"/>
        <v>"C:\Program Files (x86)\AstroGrep\AstroGrep.exe" /e /r /s /spath="%USERPROFILE%\AppData\Local\Temp\OnboardLogs" /stypes="app*4009*20170429*" /stext=" 19:.+((SYSTEM_STATE.+slice.+state.+changed )|(ment ac)|(multiple cpu faults)|(system.+state.+changed )|(\[timeout)|(PRM\|1\|D)|(kpr)|(kdp)|(train.+moving)|(\|lc)|(penalty))"</v>
      </c>
      <c r="AG82" s="1" t="str">
        <f t="shared" si="40"/>
        <v>EC</v>
      </c>
      <c r="AH82" s="81" t="str">
        <f t="shared" si="41"/>
        <v>"%USERPROFILE%\Documents\GitHub\eaglep3\Utilities\RefineRTDCRunTimes.py" --tripid 170-29 --locoid 4009 --swversion DE.1.0.9.0 --startMP 204:233053 --initTime 2017-04-29T12:57:06 --startdatetime 2017-04-29T13:11:19 --delay 1 --endMP 204:121 --enddatetime 2017-04-29T13:48:58 --enforcementcount 0 &gt;&gt;C:\Users\stu\Documents\GitHub\eaglep3-reporting\EC\2017-04-29-refined-times.txt</v>
      </c>
      <c r="AI82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{"issue":{"subject":"","project_id":79,"tracker_id":40,"status_id":1,"priority_id":2,"assigned_to_id":23,"start_date":"2017-04-29","description":"","custom_fields":[{"id":1,"name":"Subdivision","value":"EC"},{"id":4,"name":"Milepost","value":"0.0121"},{"id":17,"name":"Train ID","value":"170-29"},{"id":16,"name":"Locomotive ID","value":"4009"},{"id":130,"name":"Impact","value":""},{"id":150,"name":"Time of Event (Mountain Time)","value":"13:48:58"},{"id":151,"name":"Denver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3"/>
        <v>start /low /b %USERPROFILE%\Documents\GitHub\eaglep3\Utilities\DownloadLogsFromS3.py --loco 4009 --day 2017-04-29</v>
      </c>
      <c r="AN82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19:48:58"},{"id":29,"name":"Sharepoint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705</v>
      </c>
      <c r="B83" s="7">
        <v>4004</v>
      </c>
      <c r="C83" s="21" t="s">
        <v>212</v>
      </c>
      <c r="D83" s="21" t="s">
        <v>470</v>
      </c>
      <c r="E83" s="13">
        <v>42854.517800925925</v>
      </c>
      <c r="F83" s="13">
        <v>42854.521134259259</v>
      </c>
      <c r="G83" s="7">
        <v>1</v>
      </c>
      <c r="H83" s="21" t="s">
        <v>865</v>
      </c>
      <c r="I83" s="13">
        <v>42854.546226851853</v>
      </c>
      <c r="J83" s="7">
        <v>0</v>
      </c>
      <c r="K83" s="92" t="str">
        <f t="shared" si="28"/>
        <v>4003/4004</v>
      </c>
      <c r="L83" s="21" t="str">
        <f>VLOOKUP(A83,'Trips&amp;Operators'!$C$1:$G$99999,5,FALSE)</f>
        <v>MCREYNOLDS KYLE</v>
      </c>
      <c r="M83" s="6">
        <f t="shared" si="29"/>
        <v>2.5092592593864538E-2</v>
      </c>
      <c r="N83" s="7">
        <f t="shared" si="26"/>
        <v>36.133333335164934</v>
      </c>
      <c r="O83" s="7"/>
      <c r="P83" s="7"/>
      <c r="Q83" s="22"/>
      <c r="R83" s="190"/>
      <c r="S83" s="196">
        <f t="shared" si="30"/>
        <v>1</v>
      </c>
      <c r="T83" s="190" t="str">
        <f t="shared" si="31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32"/>
        <v>https://d0f6bd738d7f1b3e5a7ca70fe4ff75f0.us-east-1.aws.found.io/app/kibana#/discover/Steve-Slow-Train-Analysis-(2080s-and-2083s)?_g=(refreshInterval:(display:Off,pause:!f,section:0,value:0),time:(from:'2017-04-29T11:25:38-0600',mode:absolute,to:'2017-04-29T14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3" s="192" t="str">
        <f t="shared" si="33"/>
        <v>N</v>
      </c>
      <c r="X83" s="192">
        <f t="shared" si="27"/>
        <v>1</v>
      </c>
      <c r="Y83" s="192">
        <f t="shared" si="34"/>
        <v>4.3499999999999997E-2</v>
      </c>
      <c r="Z83" s="192">
        <f t="shared" si="35"/>
        <v>23.333600000000001</v>
      </c>
      <c r="AA83" s="192">
        <f t="shared" si="36"/>
        <v>23.290099999999999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7"/>
        <v>0171-29</v>
      </c>
      <c r="AE83" s="80" t="str">
        <f t="shared" si="38"/>
        <v>aws s3 cp s3://rtdc.mdm.uploadarchive.raw/RTDC4004/ "%USERPROFILE%\AppData\Local\Temp\OnboardLogs"\RTDC4004\2017-04-29 --exclude "*" --recursive --include "*20170429*" &amp; "%USERPROFILE%\Documents\GitHub\mrs-test-scripts\Headless Mode &amp; Sideloading\WalkAndUnGZ.bat" "%USERPROFILE%\AppData\Local\Temp\OnboardLogs"\RTDC4004\2017-04-29 &amp; aws s3 cp s3://rtdc.mdm.uploadarchive.raw/RTDC4004/ "%USERPROFILE%\AppData\Local\Temp\OnboardLogs"\RTDC4004\2017-04-30 --exclude "*" --recursive --include "*20170430*" &amp; "%USERPROFILE%\Documents\GitHub\mrs-test-scripts\Headless Mode &amp; Sideloading\WalkAndUnGZ.bat" "%USERPROFILE%\AppData\Local\Temp\OnboardLogs"\RTDC4004\2017-04-30</v>
      </c>
      <c r="AF83" s="77" t="str">
        <f t="shared" si="39"/>
        <v>"C:\Program Files (x86)\AstroGrep\AstroGrep.exe" /e /r /s /spath="%USERPROFILE%\AppData\Local\Temp\OnboardLogs" /stypes="app*4004*20170429*" /stext=" 19:.+((SYSTEM_STATE.+slice.+state.+changed )|(ment ac)|(multiple cpu faults)|(system.+state.+changed )|(\[timeout)|(PRM\|1\|D)|(kpr)|(kdp)|(train.+moving)|(\|lc)|(penalty))"</v>
      </c>
      <c r="AG83" s="1" t="str">
        <f t="shared" si="40"/>
        <v>EC</v>
      </c>
      <c r="AH83" s="81" t="str">
        <f t="shared" si="41"/>
        <v>"%USERPROFILE%\Documents\GitHub\eaglep3\Utilities\RefineRTDCRunTimes.py" --tripid 171-29 --locoid 4004 --swversion DE.1.0.9.0 --startMP 204:435 --initTime 2017-04-29T12:25:38 --startdatetime 2017-04-29T12:30:26 --delay 1 --endMP 204:233336 --enddatetime 2017-04-29T13:06:34 --enforcementcount 0 &gt;&gt;C:\Users\stu\Documents\GitHub\eaglep3-reporting\EC\2017-04-29-refined-times.txt</v>
      </c>
      <c r="AI83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{"issue":{"subject":"","project_id":79,"tracker_id":40,"status_id":1,"priority_id":2,"assigned_to_id":23,"start_date":"2017-04-29","description":"","custom_fields":[{"id":1,"name":"Subdivision","value":"EC"},{"id":4,"name":"Milepost","value":"23.3336"},{"id":17,"name":"Train ID","value":"171-29"},{"id":16,"name":"Locomotive ID","value":"4004"},{"id":130,"name":"Impact","value":""},{"id":150,"name":"Time of Event (Mountain Time)","value":"13:06:34"},{"id":151,"name":"Denver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3"/>
        <v>start /low /b %USERPROFILE%\Documents\GitHub\eaglep3\Utilities\DownloadLogsFromS3.py --loco 4004 --day 2017-04-29</v>
      </c>
      <c r="AN83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19:06:34"},{"id":29,"name":"Sharepoint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711</v>
      </c>
      <c r="B84" s="7">
        <v>4003</v>
      </c>
      <c r="C84" s="21" t="s">
        <v>212</v>
      </c>
      <c r="D84" s="21" t="s">
        <v>866</v>
      </c>
      <c r="E84" s="13">
        <v>42854.550324074073</v>
      </c>
      <c r="F84" s="13">
        <v>42854.560069444444</v>
      </c>
      <c r="G84" s="7">
        <v>1</v>
      </c>
      <c r="H84" s="21" t="s">
        <v>530</v>
      </c>
      <c r="I84" s="13">
        <v>42854.586851851855</v>
      </c>
      <c r="J84" s="7">
        <v>0</v>
      </c>
      <c r="K84" s="92" t="str">
        <f t="shared" si="28"/>
        <v>4003/4004</v>
      </c>
      <c r="L84" s="21" t="str">
        <f>VLOOKUP(A84,'Trips&amp;Operators'!$C$1:$G$99999,5,FALSE)</f>
        <v>MCREYNOLDS KYLE</v>
      </c>
      <c r="M84" s="6">
        <f t="shared" si="29"/>
        <v>2.6782407410792075E-2</v>
      </c>
      <c r="N84" s="7">
        <f t="shared" si="26"/>
        <v>38.566666671540588</v>
      </c>
      <c r="O84" s="7"/>
      <c r="P84" s="7"/>
      <c r="Q84" s="22"/>
      <c r="R84" s="190"/>
      <c r="S84" s="196">
        <f t="shared" si="30"/>
        <v>1</v>
      </c>
      <c r="T84" s="190" t="str">
        <f t="shared" si="31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32"/>
        <v>https://d0f6bd738d7f1b3e5a7ca70fe4ff75f0.us-east-1.aws.found.io/app/kibana#/discover/Steve-Slow-Train-Analysis-(2080s-and-2083s)?_g=(refreshInterval:(display:Off,pause:!f,section:0,value:0),time:(from:'2017-04-29T12:12:28-0600',mode:absolute,to:'2017-04-29T15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4" s="192" t="str">
        <f t="shared" si="33"/>
        <v>N</v>
      </c>
      <c r="X84" s="192">
        <f t="shared" si="27"/>
        <v>1</v>
      </c>
      <c r="Y84" s="192">
        <f t="shared" si="34"/>
        <v>23.302700000000002</v>
      </c>
      <c r="Z84" s="192">
        <f t="shared" si="35"/>
        <v>1.61E-2</v>
      </c>
      <c r="AA84" s="192">
        <f t="shared" si="36"/>
        <v>23.2866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7"/>
        <v>0172-29</v>
      </c>
      <c r="AE84" s="80" t="str">
        <f t="shared" si="38"/>
        <v>aws s3 cp s3://rtdc.mdm.uploadarchive.raw/RTDC4003/ "%USERPROFILE%\AppData\Local\Temp\OnboardLogs"\RTDC4003\2017-04-29 --exclude "*" --recursive --include "*20170429*" &amp; "%USERPROFILE%\Documents\GitHub\mrs-test-scripts\Headless Mode &amp; Sideloading\WalkAndUnGZ.bat" "%USERPROFILE%\AppData\Local\Temp\OnboardLogs"\RTDC4003\2017-04-29 &amp; aws s3 cp s3://rtdc.mdm.uploadarchive.raw/RTDC4003/ "%USERPROFILE%\AppData\Local\Temp\OnboardLogs"\RTDC4003\2017-04-30 --exclude "*" --recursive --include "*20170430*" &amp; "%USERPROFILE%\Documents\GitHub\mrs-test-scripts\Headless Mode &amp; Sideloading\WalkAndUnGZ.bat" "%USERPROFILE%\AppData\Local\Temp\OnboardLogs"\RTDC4003\2017-04-30</v>
      </c>
      <c r="AF84" s="77" t="str">
        <f t="shared" si="39"/>
        <v>"C:\Program Files (x86)\AstroGrep\AstroGrep.exe" /e /r /s /spath="%USERPROFILE%\AppData\Local\Temp\OnboardLogs" /stypes="app*4003*20170429*" /stext=" 20:.+((SYSTEM_STATE.+slice.+state.+changed )|(ment ac)|(multiple cpu faults)|(system.+state.+changed )|(\[timeout)|(PRM\|1\|D)|(kpr)|(kdp)|(train.+moving)|(\|lc)|(penalty))"</v>
      </c>
      <c r="AG84" s="1" t="str">
        <f t="shared" si="40"/>
        <v>EC</v>
      </c>
      <c r="AH84" s="81" t="str">
        <f t="shared" si="41"/>
        <v>"%USERPROFILE%\Documents\GitHub\eaglep3\Utilities\RefineRTDCRunTimes.py" --tripid 172-29 --locoid 4003 --swversion DE.1.0.9.0 --startMP 204:233027 --initTime 2017-04-29T13:12:28 --startdatetime 2017-04-29T13:26:30 --delay 1 --endMP 204:161 --enddatetime 2017-04-29T14:05:04 --enforcementcount 0 &gt;&gt;C:\Users\stu\Documents\GitHub\eaglep3-reporting\EC\2017-04-29-refined-times.txt</v>
      </c>
      <c r="AI84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{"issue":{"subject":"","project_id":79,"tracker_id":40,"status_id":1,"priority_id":2,"assigned_to_id":23,"start_date":"2017-04-29","description":"","custom_fields":[{"id":1,"name":"Subdivision","value":"EC"},{"id":4,"name":"Milepost","value":"0.0161"},{"id":17,"name":"Train ID","value":"172-29"},{"id":16,"name":"Locomotive ID","value":"4003"},{"id":130,"name":"Impact","value":""},{"id":150,"name":"Time of Event (Mountain Time)","value":"14:05:04"},{"id":151,"name":"Denver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3"/>
        <v>start /low /b %USERPROFILE%\Documents\GitHub\eaglep3\Utilities\DownloadLogsFromS3.py --loco 4003 --day 2017-04-29</v>
      </c>
      <c r="AN84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20:05:04"},{"id":29,"name":"Sharepoint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707</v>
      </c>
      <c r="B85" s="7">
        <v>4026</v>
      </c>
      <c r="C85" s="21" t="s">
        <v>212</v>
      </c>
      <c r="D85" s="21" t="s">
        <v>438</v>
      </c>
      <c r="E85" s="13">
        <v>42854.526817129627</v>
      </c>
      <c r="F85" s="13">
        <v>42854.531481481485</v>
      </c>
      <c r="G85" s="7">
        <v>2</v>
      </c>
      <c r="H85" s="21" t="s">
        <v>538</v>
      </c>
      <c r="I85" s="13">
        <v>42854.556168981479</v>
      </c>
      <c r="J85" s="7">
        <v>0</v>
      </c>
      <c r="K85" s="92" t="str">
        <f t="shared" si="28"/>
        <v>4025/4026</v>
      </c>
      <c r="L85" s="21" t="str">
        <f>VLOOKUP(A85,'Trips&amp;Operators'!$C$1:$G$99999,5,FALSE)</f>
        <v>STEWART MICHAEL</v>
      </c>
      <c r="M85" s="6">
        <f t="shared" si="29"/>
        <v>2.4687499993888196E-2</v>
      </c>
      <c r="N85" s="7">
        <f t="shared" si="26"/>
        <v>35.549999991199002</v>
      </c>
      <c r="O85" s="7"/>
      <c r="P85" s="7"/>
      <c r="Q85" s="22"/>
      <c r="R85" s="190"/>
      <c r="S85" s="196">
        <f t="shared" si="30"/>
        <v>1</v>
      </c>
      <c r="T85" s="190" t="str">
        <f t="shared" si="31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32"/>
        <v>https://d0f6bd738d7f1b3e5a7ca70fe4ff75f0.us-east-1.aws.found.io/app/kibana#/discover/Steve-Slow-Train-Analysis-(2080s-and-2083s)?_g=(refreshInterval:(display:Off,pause:!f,section:0,value:0),time:(from:'2017-04-29T11:38:37-0600',mode:absolute,to:'2017-04-29T14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5" s="192" t="str">
        <f t="shared" si="33"/>
        <v>N</v>
      </c>
      <c r="X85" s="192">
        <f t="shared" si="27"/>
        <v>1</v>
      </c>
      <c r="Y85" s="192">
        <f t="shared" si="34"/>
        <v>4.6399999999999997E-2</v>
      </c>
      <c r="Z85" s="192">
        <f t="shared" si="35"/>
        <v>23.331099999999999</v>
      </c>
      <c r="AA85" s="192">
        <f t="shared" si="36"/>
        <v>23.284700000000001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7"/>
        <v>0173-29</v>
      </c>
      <c r="AE85" s="80" t="str">
        <f t="shared" si="38"/>
        <v>aws s3 cp s3://rtdc.mdm.uploadarchive.raw/RTDC4026/ "%USERPROFILE%\AppData\Local\Temp\OnboardLogs"\RTDC4026\2017-04-29 --exclude "*" --recursive --include "*20170429*" &amp; "%USERPROFILE%\Documents\GitHub\mrs-test-scripts\Headless Mode &amp; Sideloading\WalkAndUnGZ.bat" "%USERPROFILE%\AppData\Local\Temp\OnboardLogs"\RTDC4026\2017-04-29 &amp; 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</v>
      </c>
      <c r="AF85" s="77" t="str">
        <f t="shared" si="39"/>
        <v>"C:\Program Files (x86)\AstroGrep\AstroGrep.exe" /e /r /s /spath="%USERPROFILE%\AppData\Local\Temp\OnboardLogs" /stypes="app*4026*20170429*" /stext=" 19:.+((SYSTEM_STATE.+slice.+state.+changed )|(ment ac)|(multiple cpu faults)|(system.+state.+changed )|(\[timeout)|(PRM\|1\|D)|(kpr)|(kdp)|(train.+moving)|(\|lc)|(penalty))"</v>
      </c>
      <c r="AG85" s="1" t="str">
        <f t="shared" si="40"/>
        <v>EC</v>
      </c>
      <c r="AH85" s="81" t="str">
        <f t="shared" si="41"/>
        <v>"%USERPROFILE%\Documents\GitHub\eaglep3\Utilities\RefineRTDCRunTimes.py" --tripid 173-29 --locoid 4026 --swversion DE.1.0.9.0 --startMP 204:464 --initTime 2017-04-29T12:38:37 --startdatetime 2017-04-29T12:45:20 --delay 2 --endMP 204:233311 --enddatetime 2017-04-29T13:20:53 --enforcementcount 0 &gt;&gt;C:\Users\stu\Documents\GitHub\eaglep3-reporting\EC\2017-04-29-refined-times.txt</v>
      </c>
      <c r="AI85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{"issue":{"subject":"","project_id":79,"tracker_id":40,"status_id":1,"priority_id":2,"assigned_to_id":23,"start_date":"2017-04-29","description":"","custom_fields":[{"id":1,"name":"Subdivision","value":"EC"},{"id":4,"name":"Milepost","value":"23.3311"},{"id":17,"name":"Train ID","value":"173-29"},{"id":16,"name":"Locomotive ID","value":"4026"},{"id":130,"name":"Impact","value":""},{"id":150,"name":"Time of Event (Mountain Time)","value":"13:20:53"},{"id":151,"name":"Denver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43"/>
        <v>start /low /b %USERPROFILE%\Documents\GitHub\eaglep3\Utilities\DownloadLogsFromS3.py --loco 4026 --day 2017-04-29</v>
      </c>
      <c r="AN85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19:20:53"},{"id":29,"name":"Sharepoint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585</v>
      </c>
      <c r="B86" s="7">
        <v>4025</v>
      </c>
      <c r="C86" s="21" t="s">
        <v>212</v>
      </c>
      <c r="D86" s="21" t="s">
        <v>474</v>
      </c>
      <c r="E86" s="13">
        <v>42854.566157407404</v>
      </c>
      <c r="F86" s="13">
        <v>42854.5703587963</v>
      </c>
      <c r="G86" s="7">
        <v>2</v>
      </c>
      <c r="H86" s="21" t="s">
        <v>475</v>
      </c>
      <c r="I86" s="13">
        <v>42854.598541666666</v>
      </c>
      <c r="J86" s="7">
        <v>0</v>
      </c>
      <c r="K86" s="92" t="str">
        <f t="shared" si="28"/>
        <v>4025/4026</v>
      </c>
      <c r="L86" s="21" t="str">
        <f>VLOOKUP(A86,'Trips&amp;Operators'!$C$1:$G$99999,5,FALSE)</f>
        <v>STEWART MICHAEL</v>
      </c>
      <c r="M86" s="6">
        <f t="shared" si="29"/>
        <v>2.8182870366435964E-2</v>
      </c>
      <c r="N86" s="7">
        <f t="shared" si="26"/>
        <v>40.583333327667788</v>
      </c>
      <c r="O86" s="7"/>
      <c r="P86" s="7"/>
      <c r="Q86" s="22"/>
      <c r="R86" s="190"/>
      <c r="S86" s="196">
        <f t="shared" si="30"/>
        <v>1</v>
      </c>
      <c r="T86" s="190" t="str">
        <f t="shared" si="31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32"/>
        <v>https://d0f6bd738d7f1b3e5a7ca70fe4ff75f0.us-east-1.aws.found.io/app/kibana#/discover/Steve-Slow-Train-Analysis-(2080s-and-2083s)?_g=(refreshInterval:(display:Off,pause:!f,section:0,value:0),time:(from:'2017-04-29T12:35:16-0600',mode:absolute,to:'2017-04-29T15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6" s="192" t="str">
        <f t="shared" si="33"/>
        <v>N</v>
      </c>
      <c r="X86" s="192">
        <f t="shared" si="27"/>
        <v>1</v>
      </c>
      <c r="Y86" s="192">
        <f t="shared" si="34"/>
        <v>23.2973</v>
      </c>
      <c r="Z86" s="192">
        <f t="shared" si="35"/>
        <v>1.7000000000000001E-2</v>
      </c>
      <c r="AA86" s="192">
        <f t="shared" si="36"/>
        <v>23.2803</v>
      </c>
      <c r="AB86" s="57" t="str">
        <f>VLOOKUP(A86,Enforcements!$C$7:$K$13,8,0)</f>
        <v>Bulletin (2)</v>
      </c>
      <c r="AC86" s="53" t="str">
        <f>VLOOKUP(A86,Enforcements!$C$7:$E$13,3,0)</f>
        <v>GRADE CROSSING</v>
      </c>
      <c r="AD86" s="54" t="str">
        <f t="shared" si="37"/>
        <v>0174-29</v>
      </c>
      <c r="AE86" s="80" t="str">
        <f t="shared" si="38"/>
        <v>aws s3 cp s3://rtdc.mdm.uploadarchive.raw/RTDC4025/ "%USERPROFILE%\AppData\Local\Temp\OnboardLogs"\RTDC4025\2017-04-29 --exclude "*" --recursive --include "*20170429*" &amp; "%USERPROFILE%\Documents\GitHub\mrs-test-scripts\Headless Mode &amp; Sideloading\WalkAndUnGZ.bat" "%USERPROFILE%\AppData\Local\Temp\OnboardLogs"\RTDC4025\2017-04-29 &amp; 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</v>
      </c>
      <c r="AF86" s="77" t="str">
        <f t="shared" si="39"/>
        <v>"C:\Program Files (x86)\AstroGrep\AstroGrep.exe" /e /r /s /spath="%USERPROFILE%\AppData\Local\Temp\OnboardLogs" /stypes="app*4025*20170429*" /stext=" 20:.+((SYSTEM_STATE.+slice.+state.+changed )|(ment ac)|(multiple cpu faults)|(system.+state.+changed )|(\[timeout)|(PRM\|1\|D)|(kpr)|(kdp)|(train.+moving)|(\|lc)|(penalty))"</v>
      </c>
      <c r="AG86" s="1" t="str">
        <f t="shared" si="40"/>
        <v>EC</v>
      </c>
      <c r="AH86" s="81" t="str">
        <f t="shared" si="41"/>
        <v>"%USERPROFILE%\Documents\GitHub\eaglep3\Utilities\RefineRTDCRunTimes.py" --tripid 174-29 --locoid 4025 --swversion DE.1.0.9.0 --startMP 204:232973 --initTime 2017-04-29T13:35:16 --startdatetime 2017-04-29T13:41:19 --delay 2 --endMP 204:170 --enddatetime 2017-04-29T14:21:54 --enforcementcount 0 &gt;&gt;C:\Users\stu\Documents\GitHub\eaglep3-reporting\EC\2017-04-29-refined-times.txt</v>
      </c>
      <c r="AI86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{"issue":{"subject":"","project_id":79,"tracker_id":40,"status_id":1,"priority_id":2,"assigned_to_id":23,"start_date":"2017-04-29","description":"","custom_fields":[{"id":1,"name":"Subdivision","value":"EC"},{"id":4,"name":"Milepost","value":"0.017"},{"id":17,"name":"Train ID","value":"174-29"},{"id":16,"name":"Locomotive ID","value":"4025"},{"id":130,"name":"Impact","value":""},{"id":150,"name":"Time of Event (Mountain Time)","value":"14:21:54"},{"id":151,"name":"Denver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43"/>
        <v>start /low /b %USERPROFILE%\Documents\GitHub\eaglep3\Utilities\DownloadLogsFromS3.py --loco 4025 --day 2017-04-29</v>
      </c>
      <c r="AN86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20:21:54"},{"id":29,"name":"Sharepoint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2" t="s">
        <v>709</v>
      </c>
      <c r="B87" s="7">
        <v>4028</v>
      </c>
      <c r="C87" s="21" t="s">
        <v>212</v>
      </c>
      <c r="D87" s="21" t="s">
        <v>428</v>
      </c>
      <c r="E87" s="13">
        <v>42854.539618055554</v>
      </c>
      <c r="F87" s="13">
        <v>42854.541990740741</v>
      </c>
      <c r="G87" s="7">
        <v>1</v>
      </c>
      <c r="H87" s="21" t="s">
        <v>525</v>
      </c>
      <c r="I87" s="13">
        <v>42854.569756944446</v>
      </c>
      <c r="J87" s="7">
        <v>0</v>
      </c>
      <c r="K87" s="92" t="str">
        <f t="shared" si="28"/>
        <v>4027/4028</v>
      </c>
      <c r="L87" s="21" t="str">
        <f>VLOOKUP(A87,'Trips&amp;Operators'!$C$1:$G$99999,5,FALSE)</f>
        <v>DAVIS MICHAEL</v>
      </c>
      <c r="M87" s="6">
        <f t="shared" si="29"/>
        <v>2.7766203704231884E-2</v>
      </c>
      <c r="N87" s="7">
        <f t="shared" si="26"/>
        <v>39.983333334093913</v>
      </c>
      <c r="O87" s="7"/>
      <c r="P87" s="7"/>
      <c r="Q87" s="22"/>
      <c r="R87" s="190"/>
      <c r="S87" s="196">
        <f t="shared" si="30"/>
        <v>1</v>
      </c>
      <c r="T87" s="190" t="str">
        <f t="shared" si="31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32"/>
        <v>https://d0f6bd738d7f1b3e5a7ca70fe4ff75f0.us-east-1.aws.found.io/app/kibana#/discover/Steve-Slow-Train-Analysis-(2080s-and-2083s)?_g=(refreshInterval:(display:Off,pause:!f,section:0,value:0),time:(from:'2017-04-29T11:57:03-0600',mode:absolute,to:'2017-04-29T14:40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7" s="192" t="str">
        <f t="shared" si="33"/>
        <v>N</v>
      </c>
      <c r="X87" s="192">
        <f t="shared" si="27"/>
        <v>1</v>
      </c>
      <c r="Y87" s="192">
        <f t="shared" si="34"/>
        <v>4.5100000000000001E-2</v>
      </c>
      <c r="Z87" s="192">
        <f t="shared" si="35"/>
        <v>23.3323</v>
      </c>
      <c r="AA87" s="192">
        <f t="shared" si="36"/>
        <v>23.287199999999999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7"/>
        <v>0175-29</v>
      </c>
      <c r="AE87" s="80" t="str">
        <f t="shared" si="38"/>
        <v>aws s3 cp s3://rtdc.mdm.uploadarchive.raw/RTDC4028/ "%USERPROFILE%\AppData\Local\Temp\OnboardLogs"\RTDC4028\2017-04-29 --exclude "*" --recursive --include "*20170429*" &amp; "%USERPROFILE%\Documents\GitHub\mrs-test-scripts\Headless Mode &amp; Sideloading\WalkAndUnGZ.bat" "%USERPROFILE%\AppData\Local\Temp\OnboardLogs"\RTDC4028\2017-04-29 &amp; 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</v>
      </c>
      <c r="AF87" s="77" t="str">
        <f t="shared" si="39"/>
        <v>"C:\Program Files (x86)\AstroGrep\AstroGrep.exe" /e /r /s /spath="%USERPROFILE%\AppData\Local\Temp\OnboardLogs" /stypes="app*4028*20170429*" /stext=" 19:.+((SYSTEM_STATE.+slice.+state.+changed )|(ment ac)|(multiple cpu faults)|(system.+state.+changed )|(\[timeout)|(PRM\|1\|D)|(kpr)|(kdp)|(train.+moving)|(\|lc)|(penalty))"</v>
      </c>
      <c r="AG87" s="1" t="str">
        <f t="shared" si="40"/>
        <v>EC</v>
      </c>
      <c r="AH87" s="81" t="str">
        <f t="shared" si="41"/>
        <v>"%USERPROFILE%\Documents\GitHub\eaglep3\Utilities\RefineRTDCRunTimes.py" --tripid 175-29 --locoid 4028 --swversion DE.1.0.9.0 --startMP 204:451 --initTime 2017-04-29T12:57:03 --startdatetime 2017-04-29T13:00:28 --delay 1 --endMP 204:233323 --enddatetime 2017-04-29T13:40:27 --enforcementcount 0 &gt;&gt;C:\Users\stu\Documents\GitHub\eaglep3-reporting\EC\2017-04-29-refined-times.txt</v>
      </c>
      <c r="AI87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{"issue":{"subject":"","project_id":79,"tracker_id":40,"status_id":1,"priority_id":2,"assigned_to_id":23,"start_date":"2017-04-29","description":"","custom_fields":[{"id":1,"name":"Subdivision","value":"EC"},{"id":4,"name":"Milepost","value":"23.3323"},{"id":17,"name":"Train ID","value":"175-29"},{"id":16,"name":"Locomotive ID","value":"4028"},{"id":130,"name":"Impact","value":""},{"id":150,"name":"Time of Event (Mountain Time)","value":"13:40:27"},{"id":151,"name":"Denver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43"/>
        <v>start /low /b %USERPROFILE%\Documents\GitHub\eaglep3\Utilities\DownloadLogsFromS3.py --loco 4028 --day 2017-04-29</v>
      </c>
      <c r="AN87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19:40:27"},{"id":29,"name":"Sharepoint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8" spans="1:91" s="20" customFormat="1" x14ac:dyDescent="0.25">
      <c r="A88" s="32" t="s">
        <v>713</v>
      </c>
      <c r="B88" s="7">
        <v>4027</v>
      </c>
      <c r="C88" s="21" t="s">
        <v>212</v>
      </c>
      <c r="D88" s="21" t="s">
        <v>427</v>
      </c>
      <c r="E88" s="13">
        <v>42854.578194444446</v>
      </c>
      <c r="F88" s="13">
        <v>42854.58079861111</v>
      </c>
      <c r="G88" s="7">
        <v>1</v>
      </c>
      <c r="H88" s="21" t="s">
        <v>854</v>
      </c>
      <c r="I88" s="13">
        <v>42854.609120370369</v>
      </c>
      <c r="J88" s="7">
        <v>0</v>
      </c>
      <c r="K88" s="92" t="str">
        <f t="shared" si="28"/>
        <v>4027/4028</v>
      </c>
      <c r="L88" s="21" t="str">
        <f>VLOOKUP(A88,'Trips&amp;Operators'!$C$1:$G$99999,5,FALSE)</f>
        <v>DAVIS MICHAEL</v>
      </c>
      <c r="M88" s="6">
        <f t="shared" si="29"/>
        <v>2.8321759258687962E-2</v>
      </c>
      <c r="N88" s="7">
        <f t="shared" si="26"/>
        <v>40.783333332510665</v>
      </c>
      <c r="O88" s="7"/>
      <c r="P88" s="7"/>
      <c r="Q88" s="22"/>
      <c r="R88" s="190" t="s">
        <v>1029</v>
      </c>
      <c r="S88" s="196">
        <f t="shared" si="30"/>
        <v>1</v>
      </c>
      <c r="T88" s="190" t="str">
        <f t="shared" si="31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32"/>
        <v>https://d0f6bd738d7f1b3e5a7ca70fe4ff75f0.us-east-1.aws.found.io/app/kibana#/discover/Steve-Slow-Train-Analysis-(2080s-and-2083s)?_g=(refreshInterval:(display:Off,pause:!f,section:0,value:0),time:(from:'2017-04-29T12:52:36-0600',mode:absolute,to:'2017-04-29T15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192" t="str">
        <f t="shared" si="33"/>
        <v>N</v>
      </c>
      <c r="X88" s="192">
        <f t="shared" si="27"/>
        <v>1</v>
      </c>
      <c r="Y88" s="192">
        <f t="shared" si="34"/>
        <v>23.299399999999999</v>
      </c>
      <c r="Z88" s="192">
        <f t="shared" si="35"/>
        <v>1.2699999999999999E-2</v>
      </c>
      <c r="AA88" s="192">
        <f t="shared" si="36"/>
        <v>23.2867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7"/>
        <v>0176-29</v>
      </c>
      <c r="AE88" s="80" t="str">
        <f t="shared" si="38"/>
        <v>aws s3 cp s3://rtdc.mdm.uploadarchive.raw/RTDC4027/ "%USERPROFILE%\AppData\Local\Temp\OnboardLogs"\RTDC4027\2017-04-29 --exclude "*" --recursive --include "*20170429*" &amp; "%USERPROFILE%\Documents\GitHub\mrs-test-scripts\Headless Mode &amp; Sideloading\WalkAndUnGZ.bat" "%USERPROFILE%\AppData\Local\Temp\OnboardLogs"\RTDC4027\2017-04-29 &amp; 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</v>
      </c>
      <c r="AF88" s="77" t="str">
        <f t="shared" si="39"/>
        <v>"C:\Program Files (x86)\AstroGrep\AstroGrep.exe" /e /r /s /spath="%USERPROFILE%\AppData\Local\Temp\OnboardLogs" /stypes="app*4027*20170429*" /stext=" 20:.+((SYSTEM_STATE.+slice.+state.+changed )|(ment ac)|(multiple cpu faults)|(system.+state.+changed )|(\[timeout)|(PRM\|1\|D)|(kpr)|(kdp)|(train.+moving)|(\|lc)|(penalty))"</v>
      </c>
      <c r="AG88" s="1" t="str">
        <f t="shared" si="40"/>
        <v>EC</v>
      </c>
      <c r="AH88" s="81" t="str">
        <f t="shared" si="41"/>
        <v>"%USERPROFILE%\Documents\GitHub\eaglep3\Utilities\RefineRTDCRunTimes.py" --tripid 176-29 --locoid 4027 --swversion DE.1.0.9.0 --startMP 204:232994 --initTime 2017-04-29T13:52:36 --startdatetime 2017-04-29T13:56:21 --delay 1 --endMP 204:127 --enddatetime 2017-04-29T14:37:08 --enforcementcount 0 &gt;&gt;C:\Users\stu\Documents\GitHub\eaglep3-reporting\EC\2017-04-29-refined-times.txt</v>
      </c>
      <c r="AI88" s="99" t="str">
        <f t="shared" si="42"/>
        <v>echo {"issue":{"subject":"Onboard in-route failure showed on screen, system recovered itself","project_id":79,"tracker_id":40,"status_id":1,"priority_id":2,"assigned_to_id":23,"start_date":"2017-04-29","description":"","custom_fields":[{"id":1,"name":"Subdivision","value":"EC"},{"id":4,"name":"Milepost","value":"0.0127"},{"id":17,"name":"Train ID","value":"176-29"},{"id":16,"name":"Locomotive ID","value":"4027"},{"id":130,"name":"Impact","value":""},{"id":150,"name":"Time of Event (Mountain Time)","value":"14:37:08"},{"id":151,"name":"Denver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43"/>
        <v>start /low /b %USERPROFILE%\Documents\GitHub\eaglep3\Utilities\DownloadLogsFromS3.py --loco 4027 --day 2017-04-29</v>
      </c>
      <c r="AN88" s="154" t="str">
        <f t="shared" si="44"/>
        <v>echo {"issue":{"subject":"Onboard in-route failure showed on screen, system recovered itself","project_id":30,"tracker_id":4,"status_id":1,"priority_id":1,"assigned_to_id":10,"start_date":"2017-04-29","description":"","custom_fields":[{"id":30,"name":"Category","value":"Issue"},{"id":3,"name":"Functional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20:37:08"},{"id":29,"name":"Sharepoint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710</v>
      </c>
      <c r="B89" s="7">
        <v>4022</v>
      </c>
      <c r="C89" s="21" t="s">
        <v>212</v>
      </c>
      <c r="D89" s="21" t="s">
        <v>419</v>
      </c>
      <c r="E89" s="13">
        <v>42854.546747685185</v>
      </c>
      <c r="F89" s="13">
        <v>42854.552245370367</v>
      </c>
      <c r="G89" s="7">
        <v>1</v>
      </c>
      <c r="H89" s="21" t="s">
        <v>429</v>
      </c>
      <c r="I89" s="13">
        <v>42854.57675925926</v>
      </c>
      <c r="J89" s="7">
        <v>0</v>
      </c>
      <c r="K89" s="92" t="str">
        <f t="shared" si="28"/>
        <v>4021/4022</v>
      </c>
      <c r="L89" s="21" t="str">
        <f>VLOOKUP(A89,'Trips&amp;Operators'!$C$1:$G$99999,5,FALSE)</f>
        <v>BRUDER RICHARD</v>
      </c>
      <c r="M89" s="6">
        <f t="shared" si="29"/>
        <v>2.4513888893125113E-2</v>
      </c>
      <c r="N89" s="7">
        <f t="shared" si="26"/>
        <v>35.300000006100163</v>
      </c>
      <c r="O89" s="7"/>
      <c r="P89" s="7"/>
      <c r="Q89" s="22"/>
      <c r="R89" s="190"/>
      <c r="S89" s="196">
        <f t="shared" si="30"/>
        <v>1</v>
      </c>
      <c r="T89" s="190" t="str">
        <f t="shared" si="31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32"/>
        <v>https://d0f6bd738d7f1b3e5a7ca70fe4ff75f0.us-east-1.aws.found.io/app/kibana#/discover/Steve-Slow-Train-Analysis-(2080s-and-2083s)?_g=(refreshInterval:(display:Off,pause:!f,section:0,value:0),time:(from:'2017-04-29T12:07:19-0600',mode:absolute,to:'2017-04-29T14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9" s="192" t="str">
        <f t="shared" si="33"/>
        <v>N</v>
      </c>
      <c r="X89" s="192">
        <f t="shared" si="27"/>
        <v>1</v>
      </c>
      <c r="Y89" s="192">
        <f t="shared" si="34"/>
        <v>4.6600000000000003E-2</v>
      </c>
      <c r="Z89" s="192">
        <f t="shared" si="35"/>
        <v>23.330100000000002</v>
      </c>
      <c r="AA89" s="192">
        <f t="shared" si="36"/>
        <v>23.2835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7"/>
        <v>0177-29</v>
      </c>
      <c r="AE89" s="80" t="str">
        <f t="shared" si="38"/>
        <v>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 &amp; 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</v>
      </c>
      <c r="AF89" s="77" t="str">
        <f t="shared" si="39"/>
        <v>"C:\Program Files (x86)\AstroGrep\AstroGrep.exe" /e /r /s /spath="%USERPROFILE%\AppData\Local\Temp\OnboardLogs" /stypes="app*4022*20170429*" /stext=" 19:.+((SYSTEM_STATE.+slice.+state.+changed )|(ment ac)|(multiple cpu faults)|(system.+state.+changed )|(\[timeout)|(PRM\|1\|D)|(kpr)|(kdp)|(train.+moving)|(\|lc)|(penalty))"</v>
      </c>
      <c r="AG89" s="1" t="str">
        <f t="shared" si="40"/>
        <v>EC</v>
      </c>
      <c r="AH89" s="81" t="str">
        <f t="shared" si="41"/>
        <v>"%USERPROFILE%\Documents\GitHub\eaglep3\Utilities\RefineRTDCRunTimes.py" --tripid 177-29 --locoid 4022 --swversion DE.1.0.9.0 --startMP 204:466 --initTime 2017-04-29T13:07:19 --startdatetime 2017-04-29T13:15:14 --delay 1 --endMP 204:233301 --enddatetime 2017-04-29T13:50:32 --enforcementcount 0 &gt;&gt;C:\Users\stu\Documents\GitHub\eaglep3-reporting\EC\2017-04-29-refined-times.txt</v>
      </c>
      <c r="AI89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{"issue":{"subject":"","project_id":79,"tracker_id":40,"status_id":1,"priority_id":2,"assigned_to_id":23,"start_date":"2017-04-29","description":"","custom_fields":[{"id":1,"name":"Subdivision","value":"EC"},{"id":4,"name":"Milepost","value":"23.3301"},{"id":17,"name":"Train ID","value":"177-29"},{"id":16,"name":"Locomotive ID","value":"4022"},{"id":130,"name":"Impact","value":""},{"id":150,"name":"Time of Event (Mountain Time)","value":"13:50:32"},{"id":151,"name":"Denver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3"/>
        <v>start /low /b %USERPROFILE%\Documents\GitHub\eaglep3\Utilities\DownloadLogsFromS3.py --loco 4022 --day 2017-04-29</v>
      </c>
      <c r="AN89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19:50:32"},{"id":29,"name":"Sharepoint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715</v>
      </c>
      <c r="B90" s="7">
        <v>4021</v>
      </c>
      <c r="C90" s="21" t="s">
        <v>212</v>
      </c>
      <c r="D90" s="21" t="s">
        <v>860</v>
      </c>
      <c r="E90" s="13">
        <v>42854.584907407407</v>
      </c>
      <c r="F90" s="13">
        <v>42854.591192129628</v>
      </c>
      <c r="G90" s="7">
        <v>1</v>
      </c>
      <c r="H90" s="21" t="s">
        <v>456</v>
      </c>
      <c r="I90" s="13">
        <v>42854.617384259262</v>
      </c>
      <c r="J90" s="7">
        <v>0</v>
      </c>
      <c r="K90" s="92" t="str">
        <f t="shared" si="28"/>
        <v>4021/4022</v>
      </c>
      <c r="L90" s="21" t="str">
        <f>VLOOKUP(A90,'Trips&amp;Operators'!$C$1:$G$99999,5,FALSE)</f>
        <v>BRUDER RICHARD</v>
      </c>
      <c r="M90" s="6">
        <f t="shared" si="29"/>
        <v>2.6192129633272998E-2</v>
      </c>
      <c r="N90" s="7">
        <f t="shared" ref="N90:N121" si="45">24*60*SUM($M90:$M90)</f>
        <v>37.716666671913117</v>
      </c>
      <c r="O90" s="7"/>
      <c r="P90" s="7"/>
      <c r="Q90" s="22"/>
      <c r="R90" s="190"/>
      <c r="S90" s="196">
        <f t="shared" si="30"/>
        <v>1</v>
      </c>
      <c r="T90" s="190" t="str">
        <f t="shared" si="31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32"/>
        <v>https://d0f6bd738d7f1b3e5a7ca70fe4ff75f0.us-east-1.aws.found.io/app/kibana#/discover/Steve-Slow-Train-Analysis-(2080s-and-2083s)?_g=(refreshInterval:(display:Off,pause:!f,section:0,value:0),time:(from:'2017-04-29T13:02:16-0600',mode:absolute,to:'2017-04-29T15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0" s="192" t="str">
        <f t="shared" si="33"/>
        <v>N</v>
      </c>
      <c r="X90" s="192">
        <f t="shared" si="27"/>
        <v>1</v>
      </c>
      <c r="Y90" s="192">
        <f t="shared" si="34"/>
        <v>23.2986</v>
      </c>
      <c r="Z90" s="192">
        <f t="shared" si="35"/>
        <v>1.5599999999999999E-2</v>
      </c>
      <c r="AA90" s="192">
        <f t="shared" si="36"/>
        <v>23.283000000000001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7"/>
        <v>0178-29</v>
      </c>
      <c r="AE90" s="80" t="str">
        <f t="shared" si="38"/>
        <v>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 &amp; aws s3 cp s3://rtdc.mdm.uploadarchive.raw/RTDC4021/ "%USERPROFILE%\AppData\Local\Temp\OnboardLogs"\RTDC4021\2017-04-30 --exclude "*" --recursive --include "*20170430*" &amp; "%USERPROFILE%\Documents\GitHub\mrs-test-scripts\Headless Mode &amp; Sideloading\WalkAndUnGZ.bat" "%USERPROFILE%\AppData\Local\Temp\OnboardLogs"\RTDC4021\2017-04-30</v>
      </c>
      <c r="AF90" s="77" t="str">
        <f t="shared" si="39"/>
        <v>"C:\Program Files (x86)\AstroGrep\AstroGrep.exe" /e /r /s /spath="%USERPROFILE%\AppData\Local\Temp\OnboardLogs" /stypes="app*4021*20170429*" /stext=" 20:.+((SYSTEM_STATE.+slice.+state.+changed )|(ment ac)|(multiple cpu faults)|(system.+state.+changed )|(\[timeout)|(PRM\|1\|D)|(kpr)|(kdp)|(train.+moving)|(\|lc)|(penalty))"</v>
      </c>
      <c r="AG90" s="1" t="str">
        <f t="shared" si="40"/>
        <v>EC</v>
      </c>
      <c r="AH90" s="81" t="str">
        <f t="shared" si="41"/>
        <v>"%USERPROFILE%\Documents\GitHub\eaglep3\Utilities\RefineRTDCRunTimes.py" --tripid 178-29 --locoid 4021 --swversion DE.1.0.9.0 --startMP 204:232986 --initTime 2017-04-29T14:02:16 --startdatetime 2017-04-29T14:11:19 --delay 1 --endMP 204:156 --enddatetime 2017-04-29T14:49:02 --enforcementcount 0 &gt;&gt;C:\Users\stu\Documents\GitHub\eaglep3-reporting\EC\2017-04-29-refined-times.txt</v>
      </c>
      <c r="AI90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{"issue":{"subject":"","project_id":79,"tracker_id":40,"status_id":1,"priority_id":2,"assigned_to_id":23,"start_date":"2017-04-29","description":"","custom_fields":[{"id":1,"name":"Subdivision","value":"EC"},{"id":4,"name":"Milepost","value":"0.0156"},{"id":17,"name":"Train ID","value":"178-29"},{"id":16,"name":"Locomotive ID","value":"4021"},{"id":130,"name":"Impact","value":""},{"id":150,"name":"Time of Event (Mountain Time)","value":"14:49:02"},{"id":151,"name":"Denver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3"/>
        <v>start /low /b %USERPROFILE%\Documents\GitHub\eaglep3\Utilities\DownloadLogsFromS3.py --loco 4021 --day 2017-04-29</v>
      </c>
      <c r="AN90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20:49:02"},{"id":29,"name":"Sharepoint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584</v>
      </c>
      <c r="B91" s="7">
        <v>4008</v>
      </c>
      <c r="C91" s="21" t="s">
        <v>212</v>
      </c>
      <c r="D91" s="21" t="s">
        <v>385</v>
      </c>
      <c r="E91" s="13">
        <v>42854.559560185182</v>
      </c>
      <c r="F91" s="13">
        <v>42854.562708333331</v>
      </c>
      <c r="G91" s="7">
        <v>1</v>
      </c>
      <c r="H91" s="21" t="s">
        <v>867</v>
      </c>
      <c r="I91" s="13">
        <v>42854.588819444441</v>
      </c>
      <c r="J91" s="7">
        <v>0</v>
      </c>
      <c r="K91" s="92" t="str">
        <f t="shared" si="28"/>
        <v>4007/4008</v>
      </c>
      <c r="L91" s="21" t="str">
        <f>VLOOKUP(A91,'Trips&amp;Operators'!$C$1:$G$99999,5,FALSE)</f>
        <v>BRANDNER MELINDA</v>
      </c>
      <c r="M91" s="6">
        <f t="shared" si="29"/>
        <v>2.6111111110367347E-2</v>
      </c>
      <c r="N91" s="7">
        <f t="shared" si="45"/>
        <v>37.599999998928979</v>
      </c>
      <c r="O91" s="7"/>
      <c r="P91" s="7"/>
      <c r="Q91" s="22"/>
      <c r="R91" s="190"/>
      <c r="S91" s="196">
        <f t="shared" si="30"/>
        <v>1</v>
      </c>
      <c r="T91" s="190" t="str">
        <f t="shared" si="31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32"/>
        <v>https://d0f6bd738d7f1b3e5a7ca70fe4ff75f0.us-east-1.aws.found.io/app/kibana#/discover/Steve-Slow-Train-Analysis-(2080s-and-2083s)?_g=(refreshInterval:(display:Off,pause:!f,section:0,value:0),time:(from:'2017-04-29T12:25:46-0600',mode:absolute,to:'2017-04-29T15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1" s="192" t="str">
        <f t="shared" si="33"/>
        <v>N</v>
      </c>
      <c r="X91" s="192">
        <f t="shared" si="27"/>
        <v>1</v>
      </c>
      <c r="Y91" s="192">
        <f t="shared" si="34"/>
        <v>4.4600000000000001E-2</v>
      </c>
      <c r="Z91" s="192">
        <f t="shared" si="35"/>
        <v>23.3278</v>
      </c>
      <c r="AA91" s="192">
        <f t="shared" si="36"/>
        <v>23.283200000000001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7"/>
        <v>0179-29</v>
      </c>
      <c r="AE91" s="80" t="str">
        <f t="shared" si="38"/>
        <v>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 &amp; 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</v>
      </c>
      <c r="AF91" s="77" t="str">
        <f t="shared" si="39"/>
        <v>"C:\Program Files (x86)\AstroGrep\AstroGrep.exe" /e /r /s /spath="%USERPROFILE%\AppData\Local\Temp\OnboardLogs" /stypes="app*4008*20170429*" /stext=" 20:.+((SYSTEM_STATE.+slice.+state.+changed )|(ment ac)|(multiple cpu faults)|(system.+state.+changed )|(\[timeout)|(PRM\|1\|D)|(kpr)|(kdp)|(train.+moving)|(\|lc)|(penalty))"</v>
      </c>
      <c r="AG91" s="1" t="str">
        <f t="shared" si="40"/>
        <v>EC</v>
      </c>
      <c r="AH91" s="81" t="str">
        <f t="shared" si="41"/>
        <v>"%USERPROFILE%\Documents\GitHub\eaglep3\Utilities\RefineRTDCRunTimes.py" --tripid 179-29 --locoid 4008 --swversion DE.1.0.9.0 --startMP 204:446 --initTime 2017-04-29T13:25:46 --startdatetime 2017-04-29T13:30:18 --delay 1 --endMP 204:233278 --enddatetime 2017-04-29T14:07:54 --enforcementcount 0 &gt;&gt;C:\Users\stu\Documents\GitHub\eaglep3-reporting\EC\2017-04-29-refined-times.txt</v>
      </c>
      <c r="AI91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{"issue":{"subject":"","project_id":79,"tracker_id":40,"status_id":1,"priority_id":2,"assigned_to_id":23,"start_date":"2017-04-29","description":"","custom_fields":[{"id":1,"name":"Subdivision","value":"EC"},{"id":4,"name":"Milepost","value":"23.3278"},{"id":17,"name":"Train ID","value":"179-29"},{"id":16,"name":"Locomotive ID","value":"4008"},{"id":130,"name":"Impact","value":""},{"id":150,"name":"Time of Event (Mountain Time)","value":"14:07:54"},{"id":151,"name":"Denver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43"/>
        <v>start /low /b %USERPROFILE%\Documents\GitHub\eaglep3\Utilities\DownloadLogsFromS3.py --loco 4008 --day 2017-04-29</v>
      </c>
      <c r="AN91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20:07:54"},{"id":29,"name":"Sharepoint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720</v>
      </c>
      <c r="B92" s="7">
        <v>4007</v>
      </c>
      <c r="C92" s="21" t="s">
        <v>212</v>
      </c>
      <c r="D92" s="21" t="s">
        <v>534</v>
      </c>
      <c r="E92" s="13">
        <v>42854.597280092596</v>
      </c>
      <c r="F92" s="13">
        <v>42854.601597222223</v>
      </c>
      <c r="G92" s="7">
        <v>1</v>
      </c>
      <c r="H92" s="21" t="s">
        <v>868</v>
      </c>
      <c r="I92" s="13">
        <v>42854.63003472222</v>
      </c>
      <c r="J92" s="7">
        <v>0</v>
      </c>
      <c r="K92" s="92" t="str">
        <f t="shared" si="28"/>
        <v>4007/4008</v>
      </c>
      <c r="L92" s="21" t="str">
        <f>VLOOKUP(A92,'Trips&amp;Operators'!$C$1:$G$99999,5,FALSE)</f>
        <v>BRANDNER MELINDA</v>
      </c>
      <c r="M92" s="6">
        <f t="shared" si="29"/>
        <v>2.8437499997380655E-2</v>
      </c>
      <c r="N92" s="7">
        <f t="shared" si="45"/>
        <v>40.949999996228144</v>
      </c>
      <c r="O92" s="7"/>
      <c r="P92" s="7"/>
      <c r="Q92" s="22"/>
      <c r="R92" s="190"/>
      <c r="S92" s="196">
        <f t="shared" si="30"/>
        <v>1</v>
      </c>
      <c r="T92" s="190" t="str">
        <f t="shared" si="31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32"/>
        <v>https://d0f6bd738d7f1b3e5a7ca70fe4ff75f0.us-east-1.aws.found.io/app/kibana#/discover/Steve-Slow-Train-Analysis-(2080s-and-2083s)?_g=(refreshInterval:(display:Off,pause:!f,section:0,value:0),time:(from:'2017-04-29T13:20:05-0600',mode:absolute,to:'2017-04-29T16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2" s="192" t="str">
        <f t="shared" si="33"/>
        <v>N</v>
      </c>
      <c r="X92" s="192">
        <f t="shared" si="27"/>
        <v>1</v>
      </c>
      <c r="Y92" s="192">
        <f t="shared" si="34"/>
        <v>23.296600000000002</v>
      </c>
      <c r="Z92" s="192">
        <f t="shared" si="35"/>
        <v>1.23E-2</v>
      </c>
      <c r="AA92" s="192">
        <f t="shared" si="36"/>
        <v>23.284300000000002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7"/>
        <v>0180-29</v>
      </c>
      <c r="AE92" s="80" t="str">
        <f t="shared" si="38"/>
        <v>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 &amp; 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</v>
      </c>
      <c r="AF92" s="77" t="str">
        <f t="shared" si="39"/>
        <v>"C:\Program Files (x86)\AstroGrep\AstroGrep.exe" /e /r /s /spath="%USERPROFILE%\AppData\Local\Temp\OnboardLogs" /stypes="app*4007*20170429*" /stext=" 21:.+((SYSTEM_STATE.+slice.+state.+changed )|(ment ac)|(multiple cpu faults)|(system.+state.+changed )|(\[timeout)|(PRM\|1\|D)|(kpr)|(kdp)|(train.+moving)|(\|lc)|(penalty))"</v>
      </c>
      <c r="AG92" s="1" t="str">
        <f t="shared" si="40"/>
        <v>EC</v>
      </c>
      <c r="AH92" s="81" t="str">
        <f t="shared" si="41"/>
        <v>"%USERPROFILE%\Documents\GitHub\eaglep3\Utilities\RefineRTDCRunTimes.py" --tripid 180-29 --locoid 4007 --swversion DE.1.0.9.0 --startMP 204:232966 --initTime 2017-04-29T14:20:05 --startdatetime 2017-04-29T14:26:18 --delay 1 --endMP 204:123 --enddatetime 2017-04-29T15:07:15 --enforcementcount 0 &gt;&gt;C:\Users\stu\Documents\GitHub\eaglep3-reporting\EC\2017-04-29-refined-times.txt</v>
      </c>
      <c r="AI92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{"issue":{"subject":"","project_id":79,"tracker_id":40,"status_id":1,"priority_id":2,"assigned_to_id":23,"start_date":"2017-04-29","description":"","custom_fields":[{"id":1,"name":"Subdivision","value":"EC"},{"id":4,"name":"Milepost","value":"0.0123"},{"id":17,"name":"Train ID","value":"180-29"},{"id":16,"name":"Locomotive ID","value":"4007"},{"id":130,"name":"Impact","value":""},{"id":150,"name":"Time of Event (Mountain Time)","value":"15:07:15"},{"id":151,"name":"Denver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3"/>
        <v>start /low /b %USERPROFILE%\Documents\GitHub\eaglep3\Utilities\DownloadLogsFromS3.py --loco 4007 --day 2017-04-29</v>
      </c>
      <c r="AN92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21:07:15"},{"id":29,"name":"Sharepoint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1" customFormat="1" x14ac:dyDescent="0.25">
      <c r="A93" s="32" t="s">
        <v>712</v>
      </c>
      <c r="B93" s="7">
        <v>4018</v>
      </c>
      <c r="C93" s="21" t="s">
        <v>212</v>
      </c>
      <c r="D93" s="21" t="s">
        <v>527</v>
      </c>
      <c r="E93" s="13">
        <v>42854.566689814812</v>
      </c>
      <c r="F93" s="13">
        <v>42854.573067129626</v>
      </c>
      <c r="G93" s="7">
        <v>1</v>
      </c>
      <c r="H93" s="21" t="s">
        <v>539</v>
      </c>
      <c r="I93" s="13">
        <v>42854.597361111111</v>
      </c>
      <c r="J93" s="7">
        <v>0</v>
      </c>
      <c r="K93" s="92" t="str">
        <f t="shared" si="28"/>
        <v>4017/4018</v>
      </c>
      <c r="L93" s="21" t="str">
        <f>VLOOKUP(A93,'Trips&amp;Operators'!$C$1:$G$99999,5,FALSE)</f>
        <v>LALONDE GREGORY</v>
      </c>
      <c r="M93" s="6">
        <f t="shared" si="29"/>
        <v>2.4293981485243421E-2</v>
      </c>
      <c r="N93" s="7">
        <f t="shared" si="45"/>
        <v>34.983333338750526</v>
      </c>
      <c r="O93" s="7"/>
      <c r="P93" s="7"/>
      <c r="Q93" s="22"/>
      <c r="R93" s="190"/>
      <c r="S93" s="196">
        <f t="shared" si="30"/>
        <v>1</v>
      </c>
      <c r="T93" s="190" t="str">
        <f t="shared" si="31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32"/>
        <v>https://d0f6bd738d7f1b3e5a7ca70fe4ff75f0.us-east-1.aws.found.io/app/kibana#/discover/Steve-Slow-Train-Analysis-(2080s-and-2083s)?_g=(refreshInterval:(display:Off,pause:!f,section:0,value:0),time:(from:'2017-04-29T12:36:02-0600',mode:absolute,to:'2017-04-29T15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3" s="192" t="str">
        <f t="shared" si="33"/>
        <v>N</v>
      </c>
      <c r="X93" s="192">
        <f t="shared" si="27"/>
        <v>1</v>
      </c>
      <c r="Y93" s="192">
        <f t="shared" si="34"/>
        <v>4.4400000000000002E-2</v>
      </c>
      <c r="Z93" s="192">
        <f t="shared" si="35"/>
        <v>23.333200000000001</v>
      </c>
      <c r="AA93" s="192">
        <f t="shared" si="36"/>
        <v>23.288800000000002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7"/>
        <v>0181-29</v>
      </c>
      <c r="AE93" s="80" t="str">
        <f t="shared" si="38"/>
        <v>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 &amp; aws s3 cp s3://rtdc.mdm.uploadarchive.raw/RTDC4018/ "%USERPROFILE%\AppData\Local\Temp\OnboardLogs"\RTDC4018\2017-04-30 --exclude "*" --recursive --include "*20170430*" &amp; "%USERPROFILE%\Documents\GitHub\mrs-test-scripts\Headless Mode &amp; Sideloading\WalkAndUnGZ.bat" "%USERPROFILE%\AppData\Local\Temp\OnboardLogs"\RTDC4018\2017-04-30</v>
      </c>
      <c r="AF93" s="77" t="str">
        <f t="shared" si="39"/>
        <v>"C:\Program Files (x86)\AstroGrep\AstroGrep.exe" /e /r /s /spath="%USERPROFILE%\AppData\Local\Temp\OnboardLogs" /stypes="app*4018*20170429*" /stext=" 20:.+((SYSTEM_STATE.+slice.+state.+changed )|(ment ac)|(multiple cpu faults)|(system.+state.+changed )|(\[timeout)|(PRM\|1\|D)|(kpr)|(kdp)|(train.+moving)|(\|lc)|(penalty))"</v>
      </c>
      <c r="AG93" s="1" t="str">
        <f t="shared" si="40"/>
        <v>EC</v>
      </c>
      <c r="AH93" s="81" t="str">
        <f t="shared" si="41"/>
        <v>"%USERPROFILE%\Documents\GitHub\eaglep3\Utilities\RefineRTDCRunTimes.py" --tripid 181-29 --locoid 4018 --swversion DE.1.0.9.0 --startMP 204:444 --initTime 2017-04-29T13:36:02 --startdatetime 2017-04-29T13:45:13 --delay 1 --endMP 204:233332 --enddatetime 2017-04-29T14:20:12 --enforcementcount 0 &gt;&gt;C:\Users\stu\Documents\GitHub\eaglep3-reporting\EC\2017-04-29-refined-times.txt</v>
      </c>
      <c r="AI93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{"issue":{"subject":"","project_id":79,"tracker_id":40,"status_id":1,"priority_id":2,"assigned_to_id":23,"start_date":"2017-04-29","description":"","custom_fields":[{"id":1,"name":"Subdivision","value":"EC"},{"id":4,"name":"Milepost","value":"23.3332"},{"id":17,"name":"Train ID","value":"181-29"},{"id":16,"name":"Locomotive ID","value":"4018"},{"id":130,"name":"Impact","value":""},{"id":150,"name":"Time of Event (Mountain Time)","value":"14:20:12"},{"id":151,"name":"Denver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43"/>
        <v>start /low /b %USERPROFILE%\Documents\GitHub\eaglep3\Utilities\DownloadLogsFromS3.py --loco 4018 --day 2017-04-29</v>
      </c>
      <c r="AN93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20:20:12"},{"id":29,"name":"Sharepoint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721</v>
      </c>
      <c r="B94" s="7">
        <v>4017</v>
      </c>
      <c r="C94" s="21" t="s">
        <v>212</v>
      </c>
      <c r="D94" s="21" t="s">
        <v>893</v>
      </c>
      <c r="E94" s="13">
        <v>42854.599247685182</v>
      </c>
      <c r="F94" s="13">
        <v>42854.611979166664</v>
      </c>
      <c r="G94" s="7">
        <v>1</v>
      </c>
      <c r="H94" s="21" t="s">
        <v>198</v>
      </c>
      <c r="I94" s="13">
        <v>42854.638113425928</v>
      </c>
      <c r="J94" s="7">
        <v>0</v>
      </c>
      <c r="K94" s="92" t="str">
        <f t="shared" si="28"/>
        <v>4017/4018</v>
      </c>
      <c r="L94" s="21" t="str">
        <f>VLOOKUP(A94,'Trips&amp;Operators'!$C$1:$G$99999,5,FALSE)</f>
        <v>LALONDE GREGORY</v>
      </c>
      <c r="M94" s="6">
        <f t="shared" si="29"/>
        <v>2.6134259263926651E-2</v>
      </c>
      <c r="N94" s="7">
        <f t="shared" si="45"/>
        <v>37.633333340054378</v>
      </c>
      <c r="O94" s="7"/>
      <c r="P94" s="7"/>
      <c r="Q94" s="22"/>
      <c r="R94" s="190"/>
      <c r="S94" s="196">
        <f t="shared" si="30"/>
        <v>1</v>
      </c>
      <c r="T94" s="190" t="str">
        <f t="shared" si="31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32"/>
        <v>https://d0f6bd738d7f1b3e5a7ca70fe4ff75f0.us-east-1.aws.found.io/app/kibana#/discover/Steve-Slow-Train-Analysis-(2080s-and-2083s)?_g=(refreshInterval:(display:Off,pause:!f,section:0,value:0),time:(from:'2017-04-29T13:22:55-0600',mode:absolute,to:'2017-04-29T16:18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4" s="192" t="str">
        <f t="shared" si="33"/>
        <v>N</v>
      </c>
      <c r="X94" s="192">
        <f t="shared" si="27"/>
        <v>1</v>
      </c>
      <c r="Y94" s="192">
        <f t="shared" si="34"/>
        <v>23.3017</v>
      </c>
      <c r="Z94" s="192">
        <f t="shared" si="35"/>
        <v>1.5800000000000002E-2</v>
      </c>
      <c r="AA94" s="192">
        <f t="shared" si="36"/>
        <v>23.285900000000002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7"/>
        <v>0182-29</v>
      </c>
      <c r="AE94" s="80" t="str">
        <f t="shared" si="38"/>
        <v>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 &amp; aws s3 cp s3://rtdc.mdm.uploadarchive.raw/RTDC4017/ "%USERPROFILE%\AppData\Local\Temp\OnboardLogs"\RTDC4017\2017-04-30 --exclude "*" --recursive --include "*20170430*" &amp; "%USERPROFILE%\Documents\GitHub\mrs-test-scripts\Headless Mode &amp; Sideloading\WalkAndUnGZ.bat" "%USERPROFILE%\AppData\Local\Temp\OnboardLogs"\RTDC4017\2017-04-30</v>
      </c>
      <c r="AF94" s="77" t="str">
        <f t="shared" si="39"/>
        <v>"C:\Program Files (x86)\AstroGrep\AstroGrep.exe" /e /r /s /spath="%USERPROFILE%\AppData\Local\Temp\OnboardLogs" /stypes="app*4017*20170429*" /stext=" 21:.+((SYSTEM_STATE.+slice.+state.+changed )|(ment ac)|(multiple cpu faults)|(system.+state.+changed )|(\[timeout)|(PRM\|1\|D)|(kpr)|(kdp)|(train.+moving)|(\|lc)|(penalty))"</v>
      </c>
      <c r="AG94" s="1" t="str">
        <f t="shared" si="40"/>
        <v>EC</v>
      </c>
      <c r="AH94" s="81" t="str">
        <f t="shared" si="41"/>
        <v>"%USERPROFILE%\Documents\GitHub\eaglep3\Utilities\RefineRTDCRunTimes.py" --tripid 182-29 --locoid 4017 --swversion DE.1.0.9.0 --startMP 204:233017 --initTime 2017-04-29T14:22:55 --startdatetime 2017-04-29T14:41:15 --delay 1 --endMP 204:158 --enddatetime 2017-04-29T15:18:53 --enforcementcount 0 &gt;&gt;C:\Users\stu\Documents\GitHub\eaglep3-reporting\EC\2017-04-29-refined-times.txt</v>
      </c>
      <c r="AI94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{"issue":{"subject":"","project_id":79,"tracker_id":40,"status_id":1,"priority_id":2,"assigned_to_id":23,"start_date":"2017-04-29","description":"","custom_fields":[{"id":1,"name":"Subdivision","value":"EC"},{"id":4,"name":"Milepost","value":"0.0158"},{"id":17,"name":"Train ID","value":"182-29"},{"id":16,"name":"Locomotive ID","value":"4017"},{"id":130,"name":"Impact","value":""},{"id":150,"name":"Time of Event (Mountain Time)","value":"15:18:53"},{"id":151,"name":"Denver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3"/>
        <v>start /low /b %USERPROFILE%\Documents\GitHub\eaglep3\Utilities\DownloadLogsFromS3.py --loco 4017 --day 2017-04-29</v>
      </c>
      <c r="AN94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21:18:53"},{"id":29,"name":"Sharepoint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714</v>
      </c>
      <c r="B95" s="7">
        <v>4010</v>
      </c>
      <c r="C95" s="21" t="s">
        <v>212</v>
      </c>
      <c r="D95" s="21" t="s">
        <v>905</v>
      </c>
      <c r="E95" s="13">
        <v>42854.578402777777</v>
      </c>
      <c r="F95" s="13">
        <v>42854.583564814813</v>
      </c>
      <c r="G95" s="7">
        <v>1</v>
      </c>
      <c r="H95" s="21" t="s">
        <v>906</v>
      </c>
      <c r="I95" s="13">
        <v>42854.608252314814</v>
      </c>
      <c r="J95" s="7">
        <v>0</v>
      </c>
      <c r="K95" s="92" t="str">
        <f t="shared" si="28"/>
        <v>4009/4010</v>
      </c>
      <c r="L95" s="21" t="str">
        <f>VLOOKUP(A95,'Trips&amp;Operators'!$C$1:$G$99999,5,FALSE)</f>
        <v>ROMERO CHAD</v>
      </c>
      <c r="M95" s="6">
        <f t="shared" si="29"/>
        <v>2.4687500001164153E-2</v>
      </c>
      <c r="N95" s="7">
        <f t="shared" si="45"/>
        <v>35.550000001676381</v>
      </c>
      <c r="O95" s="7"/>
      <c r="P95" s="7"/>
      <c r="Q95" s="22"/>
      <c r="R95" s="190"/>
      <c r="S95" s="196">
        <f t="shared" si="30"/>
        <v>1</v>
      </c>
      <c r="T95" s="190" t="str">
        <f t="shared" si="31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32"/>
        <v>https://d0f6bd738d7f1b3e5a7ca70fe4ff75f0.us-east-1.aws.found.io/app/kibana#/discover/Steve-Slow-Train-Analysis-(2080s-and-2083s)?_g=(refreshInterval:(display:Off,pause:!f,section:0,value:0),time:(from:'2017-04-29T12:52:54-0600',mode:absolute,to:'2017-04-29T15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5" s="192" t="str">
        <f t="shared" si="33"/>
        <v>N</v>
      </c>
      <c r="X95" s="192">
        <f t="shared" si="27"/>
        <v>1</v>
      </c>
      <c r="Y95" s="192">
        <f t="shared" si="34"/>
        <v>4.07E-2</v>
      </c>
      <c r="Z95" s="192">
        <f t="shared" si="35"/>
        <v>23.3415</v>
      </c>
      <c r="AA95" s="192">
        <f t="shared" si="36"/>
        <v>23.300799999999999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7"/>
        <v>0183-29</v>
      </c>
      <c r="AE95" s="80" t="str">
        <f t="shared" si="38"/>
        <v>aws s3 cp s3://rtdc.mdm.uploadarchive.raw/RTDC4010/ "%USERPROFILE%\AppData\Local\Temp\OnboardLogs"\RTDC4010\2017-04-29 --exclude "*" --recursive --include "*20170429*" &amp; "%USERPROFILE%\Documents\GitHub\mrs-test-scripts\Headless Mode &amp; Sideloading\WalkAndUnGZ.bat" "%USERPROFILE%\AppData\Local\Temp\OnboardLogs"\RTDC4010\2017-04-29 &amp; aws s3 cp s3://rtdc.mdm.uploadarchive.raw/RTDC4010/ "%USERPROFILE%\AppData\Local\Temp\OnboardLogs"\RTDC4010\2017-04-30 --exclude "*" --recursive --include "*20170430*" &amp; "%USERPROFILE%\Documents\GitHub\mrs-test-scripts\Headless Mode &amp; Sideloading\WalkAndUnGZ.bat" "%USERPROFILE%\AppData\Local\Temp\OnboardLogs"\RTDC4010\2017-04-30</v>
      </c>
      <c r="AF95" s="77" t="str">
        <f t="shared" si="39"/>
        <v>"C:\Program Files (x86)\AstroGrep\AstroGrep.exe" /e /r /s /spath="%USERPROFILE%\AppData\Local\Temp\OnboardLogs" /stypes="app*4010*20170429*" /stext=" 20:.+((SYSTEM_STATE.+slice.+state.+changed )|(ment ac)|(multiple cpu faults)|(system.+state.+changed )|(\[timeout)|(PRM\|1\|D)|(kpr)|(kdp)|(train.+moving)|(\|lc)|(penalty))"</v>
      </c>
      <c r="AG95" s="1" t="str">
        <f t="shared" si="40"/>
        <v>EC</v>
      </c>
      <c r="AH95" s="81" t="str">
        <f t="shared" si="41"/>
        <v>"%USERPROFILE%\Documents\GitHub\eaglep3\Utilities\RefineRTDCRunTimes.py" --tripid 183-29 --locoid 4010 --swversion DE.1.0.9.0 --startMP 204:407 --initTime 2017-04-29T13:52:54 --startdatetime 2017-04-29T14:00:20 --delay 1 --endMP 204:233415 --enddatetime 2017-04-29T14:35:53 --enforcementcount 0 &gt;&gt;C:\Users\stu\Documents\GitHub\eaglep3-reporting\EC\2017-04-29-refined-times.txt</v>
      </c>
      <c r="AI95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{"issue":{"subject":"","project_id":79,"tracker_id":40,"status_id":1,"priority_id":2,"assigned_to_id":23,"start_date":"2017-04-29","description":"","custom_fields":[{"id":1,"name":"Subdivision","value":"EC"},{"id":4,"name":"Milepost","value":"23.3415"},{"id":17,"name":"Train ID","value":"183-29"},{"id":16,"name":"Locomotive ID","value":"4010"},{"id":130,"name":"Impact","value":""},{"id":150,"name":"Time of Event (Mountain Time)","value":"14:35:53"},{"id":151,"name":"Denver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3"/>
        <v>start /low /b %USERPROFILE%\Documents\GitHub\eaglep3\Utilities\DownloadLogsFromS3.py --loco 4010 --day 2017-04-29</v>
      </c>
      <c r="AN95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20:35:53"},{"id":29,"name":"Sharepoint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587</v>
      </c>
      <c r="B96" s="7">
        <v>4009</v>
      </c>
      <c r="C96" s="21" t="s">
        <v>212</v>
      </c>
      <c r="D96" s="21" t="s">
        <v>911</v>
      </c>
      <c r="E96" s="13">
        <v>42854.613310185188</v>
      </c>
      <c r="F96" s="13">
        <v>42854.622488425928</v>
      </c>
      <c r="G96" s="7">
        <v>1</v>
      </c>
      <c r="H96" s="21" t="s">
        <v>912</v>
      </c>
      <c r="I96" s="13">
        <v>42854.648912037039</v>
      </c>
      <c r="J96" s="7">
        <v>0</v>
      </c>
      <c r="K96" s="92" t="str">
        <f t="shared" si="28"/>
        <v>4009/4010</v>
      </c>
      <c r="L96" s="21" t="str">
        <f>VLOOKUP(A96,'Trips&amp;Operators'!$C$1:$G$99999,5,FALSE)</f>
        <v>DELGADO DIANAH</v>
      </c>
      <c r="M96" s="6">
        <f t="shared" si="29"/>
        <v>2.6423611110658385E-2</v>
      </c>
      <c r="N96" s="7">
        <f t="shared" si="45"/>
        <v>38.049999999348074</v>
      </c>
      <c r="O96" s="7"/>
      <c r="P96" s="7"/>
      <c r="Q96" s="22"/>
      <c r="R96" s="190"/>
      <c r="S96" s="196">
        <f t="shared" si="30"/>
        <v>1</v>
      </c>
      <c r="T96" s="190" t="str">
        <f t="shared" si="31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32"/>
        <v>https://d0f6bd738d7f1b3e5a7ca70fe4ff75f0.us-east-1.aws.found.io/app/kibana#/discover/Steve-Slow-Train-Analysis-(2080s-and-2083s)?_g=(refreshInterval:(display:Off,pause:!f,section:0,value:0),time:(from:'2017-04-29T13:43:10-0600',mode:absolute,to:'2017-04-29T16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6" s="192" t="str">
        <f t="shared" si="33"/>
        <v>N</v>
      </c>
      <c r="X96" s="192">
        <f t="shared" si="27"/>
        <v>1</v>
      </c>
      <c r="Y96" s="192">
        <f t="shared" si="34"/>
        <v>23.31</v>
      </c>
      <c r="Z96" s="192">
        <f t="shared" si="35"/>
        <v>7.6E-3</v>
      </c>
      <c r="AA96" s="192">
        <f t="shared" si="36"/>
        <v>23.302399999999999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7"/>
        <v>0184-29</v>
      </c>
      <c r="AE96" s="80" t="str">
        <f t="shared" si="38"/>
        <v>aws s3 cp s3://rtdc.mdm.uploadarchive.raw/RTDC4009/ "%USERPROFILE%\AppData\Local\Temp\OnboardLogs"\RTDC4009\2017-04-29 --exclude "*" --recursive --include "*20170429*" &amp; "%USERPROFILE%\Documents\GitHub\mrs-test-scripts\Headless Mode &amp; Sideloading\WalkAndUnGZ.bat" "%USERPROFILE%\AppData\Local\Temp\OnboardLogs"\RTDC4009\2017-04-29 &amp; aws s3 cp s3://rtdc.mdm.uploadarchive.raw/RTDC4009/ "%USERPROFILE%\AppData\Local\Temp\OnboardLogs"\RTDC4009\2017-04-30 --exclude "*" --recursive --include "*20170430*" &amp; "%USERPROFILE%\Documents\GitHub\mrs-test-scripts\Headless Mode &amp; Sideloading\WalkAndUnGZ.bat" "%USERPROFILE%\AppData\Local\Temp\OnboardLogs"\RTDC4009\2017-04-30</v>
      </c>
      <c r="AF96" s="77" t="str">
        <f t="shared" si="39"/>
        <v>"C:\Program Files (x86)\AstroGrep\AstroGrep.exe" /e /r /s /spath="%USERPROFILE%\AppData\Local\Temp\OnboardLogs" /stypes="app*4009*20170429*" /stext=" 21:.+((SYSTEM_STATE.+slice.+state.+changed )|(ment ac)|(multiple cpu faults)|(system.+state.+changed )|(\[timeout)|(PRM\|1\|D)|(kpr)|(kdp)|(train.+moving)|(\|lc)|(penalty))"</v>
      </c>
      <c r="AG96" s="1" t="str">
        <f t="shared" si="40"/>
        <v>EC</v>
      </c>
      <c r="AH96" s="81" t="str">
        <f t="shared" si="41"/>
        <v>"%USERPROFILE%\Documents\GitHub\eaglep3\Utilities\RefineRTDCRunTimes.py" --tripid 184-29 --locoid 4009 --swversion DE.1.0.9.0 --startMP 204:233100 --initTime 2017-04-29T14:43:10 --startdatetime 2017-04-29T14:56:23 --delay 1 --endMP 204:76 --enddatetime 2017-04-29T15:34:26 --enforcementcount 0 &gt;&gt;C:\Users\stu\Documents\GitHub\eaglep3-reporting\EC\2017-04-29-refined-times.txt</v>
      </c>
      <c r="AI96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{"issue":{"subject":"","project_id":79,"tracker_id":40,"status_id":1,"priority_id":2,"assigned_to_id":23,"start_date":"2017-04-29","description":"","custom_fields":[{"id":1,"name":"Subdivision","value":"EC"},{"id":4,"name":"Milepost","value":"0.0076"},{"id":17,"name":"Train ID","value":"184-29"},{"id":16,"name":"Locomotive ID","value":"4009"},{"id":130,"name":"Impact","value":""},{"id":150,"name":"Time of Event (Mountain Time)","value":"15:34:26"},{"id":151,"name":"Denver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3"/>
        <v>start /low /b %USERPROFILE%\Documents\GitHub\eaglep3\Utilities\DownloadLogsFromS3.py --loco 4009 --day 2017-04-29</v>
      </c>
      <c r="AN96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21:34:26"},{"id":29,"name":"Sharepoint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716</v>
      </c>
      <c r="B97" s="7">
        <v>4004</v>
      </c>
      <c r="C97" s="21" t="s">
        <v>212</v>
      </c>
      <c r="D97" s="21" t="s">
        <v>477</v>
      </c>
      <c r="E97" s="13">
        <v>42854.588900462964</v>
      </c>
      <c r="F97" s="13">
        <v>42854.593969907408</v>
      </c>
      <c r="G97" s="7">
        <v>1</v>
      </c>
      <c r="H97" s="21" t="s">
        <v>913</v>
      </c>
      <c r="I97" s="13">
        <v>42854.618877314817</v>
      </c>
      <c r="J97" s="7">
        <v>0</v>
      </c>
      <c r="K97" s="92" t="str">
        <f t="shared" si="28"/>
        <v>4003/4004</v>
      </c>
      <c r="L97" s="21" t="str">
        <f>VLOOKUP(A97,'Trips&amp;Operators'!$C$1:$G$99999,5,FALSE)</f>
        <v>MCREYNOLDS KYLE</v>
      </c>
      <c r="M97" s="6">
        <f t="shared" si="29"/>
        <v>2.4907407409045845E-2</v>
      </c>
      <c r="N97" s="7">
        <f t="shared" si="45"/>
        <v>35.866666669026017</v>
      </c>
      <c r="O97" s="7"/>
      <c r="P97" s="7"/>
      <c r="Q97" s="22"/>
      <c r="R97" s="190"/>
      <c r="S97" s="196">
        <f t="shared" si="30"/>
        <v>1</v>
      </c>
      <c r="T97" s="190" t="str">
        <f t="shared" si="31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32"/>
        <v>https://d0f6bd738d7f1b3e5a7ca70fe4ff75f0.us-east-1.aws.found.io/app/kibana#/discover/Steve-Slow-Train-Analysis-(2080s-and-2083s)?_g=(refreshInterval:(display:Off,pause:!f,section:0,value:0),time:(from:'2017-04-29T13:08:01-0600',mode:absolute,to:'2017-04-29T15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7" s="192" t="str">
        <f t="shared" si="33"/>
        <v>N</v>
      </c>
      <c r="X97" s="192">
        <f t="shared" si="27"/>
        <v>1</v>
      </c>
      <c r="Y97" s="192">
        <f t="shared" si="34"/>
        <v>4.8800000000000003E-2</v>
      </c>
      <c r="Z97" s="192">
        <f t="shared" si="35"/>
        <v>23.335699999999999</v>
      </c>
      <c r="AA97" s="192">
        <f t="shared" si="36"/>
        <v>23.286899999999999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7"/>
        <v>0185-29</v>
      </c>
      <c r="AE97" s="80" t="str">
        <f t="shared" si="38"/>
        <v>aws s3 cp s3://rtdc.mdm.uploadarchive.raw/RTDC4004/ "%USERPROFILE%\AppData\Local\Temp\OnboardLogs"\RTDC4004\2017-04-29 --exclude "*" --recursive --include "*20170429*" &amp; "%USERPROFILE%\Documents\GitHub\mrs-test-scripts\Headless Mode &amp; Sideloading\WalkAndUnGZ.bat" "%USERPROFILE%\AppData\Local\Temp\OnboardLogs"\RTDC4004\2017-04-29 &amp; aws s3 cp s3://rtdc.mdm.uploadarchive.raw/RTDC4004/ "%USERPROFILE%\AppData\Local\Temp\OnboardLogs"\RTDC4004\2017-04-30 --exclude "*" --recursive --include "*20170430*" &amp; "%USERPROFILE%\Documents\GitHub\mrs-test-scripts\Headless Mode &amp; Sideloading\WalkAndUnGZ.bat" "%USERPROFILE%\AppData\Local\Temp\OnboardLogs"\RTDC4004\2017-04-30</v>
      </c>
      <c r="AF97" s="77" t="str">
        <f t="shared" si="39"/>
        <v>"C:\Program Files (x86)\AstroGrep\AstroGrep.exe" /e /r /s /spath="%USERPROFILE%\AppData\Local\Temp\OnboardLogs" /stypes="app*4004*20170429*" /stext=" 20:.+((SYSTEM_STATE.+slice.+state.+changed )|(ment ac)|(multiple cpu faults)|(system.+state.+changed )|(\[timeout)|(PRM\|1\|D)|(kpr)|(kdp)|(train.+moving)|(\|lc)|(penalty))"</v>
      </c>
      <c r="AG97" s="1" t="str">
        <f t="shared" si="40"/>
        <v>EC</v>
      </c>
      <c r="AH97" s="81" t="str">
        <f t="shared" si="41"/>
        <v>"%USERPROFILE%\Documents\GitHub\eaglep3\Utilities\RefineRTDCRunTimes.py" --tripid 185-29 --locoid 4004 --swversion DE.1.0.9.0 --startMP 204:488 --initTime 2017-04-29T14:08:01 --startdatetime 2017-04-29T14:15:19 --delay 1 --endMP 204:233357 --enddatetime 2017-04-29T14:51:11 --enforcementcount 0 &gt;&gt;C:\Users\stu\Documents\GitHub\eaglep3-reporting\EC\2017-04-29-refined-times.txt</v>
      </c>
      <c r="AI97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{"issue":{"subject":"","project_id":79,"tracker_id":40,"status_id":1,"priority_id":2,"assigned_to_id":23,"start_date":"2017-04-29","description":"","custom_fields":[{"id":1,"name":"Subdivision","value":"EC"},{"id":4,"name":"Milepost","value":"23.3357"},{"id":17,"name":"Train ID","value":"185-29"},{"id":16,"name":"Locomotive ID","value":"4004"},{"id":130,"name":"Impact","value":""},{"id":150,"name":"Time of Event (Mountain Time)","value":"14:51:11"},{"id":151,"name":"Denver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3"/>
        <v>start /low /b %USERPROFILE%\Documents\GitHub\eaglep3\Utilities\DownloadLogsFromS3.py --loco 4004 --day 2017-04-29</v>
      </c>
      <c r="AN97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20:51:11"},{"id":29,"name":"Sharepoint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586</v>
      </c>
      <c r="B98" s="7">
        <v>4003</v>
      </c>
      <c r="C98" s="21" t="s">
        <v>212</v>
      </c>
      <c r="D98" s="21" t="s">
        <v>838</v>
      </c>
      <c r="E98" s="13">
        <v>42854.623124999998</v>
      </c>
      <c r="F98" s="13">
        <v>42854.633055555554</v>
      </c>
      <c r="G98" s="7">
        <v>1</v>
      </c>
      <c r="H98" s="21" t="s">
        <v>456</v>
      </c>
      <c r="I98" s="13">
        <v>42854.661446759259</v>
      </c>
      <c r="J98" s="7">
        <v>0</v>
      </c>
      <c r="K98" s="92" t="str">
        <f t="shared" si="28"/>
        <v>4003/4004</v>
      </c>
      <c r="L98" s="21" t="str">
        <f>VLOOKUP(A98,'Trips&amp;Operators'!$C$1:$G$99999,5,FALSE)</f>
        <v>MCREYNOLDS KYLE</v>
      </c>
      <c r="M98" s="6">
        <f t="shared" si="29"/>
        <v>2.8391203704813961E-2</v>
      </c>
      <c r="N98" s="7">
        <f t="shared" si="45"/>
        <v>40.883333334932104</v>
      </c>
      <c r="O98" s="7"/>
      <c r="P98" s="7"/>
      <c r="Q98" s="22"/>
      <c r="R98" s="190"/>
      <c r="S98" s="196">
        <f t="shared" si="30"/>
        <v>1</v>
      </c>
      <c r="T98" s="190" t="str">
        <f t="shared" si="31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32"/>
        <v>https://d0f6bd738d7f1b3e5a7ca70fe4ff75f0.us-east-1.aws.found.io/app/kibana#/discover/Steve-Slow-Train-Analysis-(2080s-and-2083s)?_g=(refreshInterval:(display:Off,pause:!f,section:0,value:0),time:(from:'2017-04-29T13:57:18-0600',mode:absolute,to:'2017-04-29T16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8" s="192" t="str">
        <f t="shared" si="33"/>
        <v>N</v>
      </c>
      <c r="X98" s="192">
        <f t="shared" si="27"/>
        <v>1</v>
      </c>
      <c r="Y98" s="192">
        <f t="shared" si="34"/>
        <v>23.305499999999999</v>
      </c>
      <c r="Z98" s="192">
        <f t="shared" si="35"/>
        <v>1.5599999999999999E-2</v>
      </c>
      <c r="AA98" s="192">
        <f t="shared" si="36"/>
        <v>23.289899999999999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7"/>
        <v>0186-29</v>
      </c>
      <c r="AE98" s="80" t="str">
        <f t="shared" si="38"/>
        <v>aws s3 cp s3://rtdc.mdm.uploadarchive.raw/RTDC4003/ "%USERPROFILE%\AppData\Local\Temp\OnboardLogs"\RTDC4003\2017-04-29 --exclude "*" --recursive --include "*20170429*" &amp; "%USERPROFILE%\Documents\GitHub\mrs-test-scripts\Headless Mode &amp; Sideloading\WalkAndUnGZ.bat" "%USERPROFILE%\AppData\Local\Temp\OnboardLogs"\RTDC4003\2017-04-29 &amp; aws s3 cp s3://rtdc.mdm.uploadarchive.raw/RTDC4003/ "%USERPROFILE%\AppData\Local\Temp\OnboardLogs"\RTDC4003\2017-04-30 --exclude "*" --recursive --include "*20170430*" &amp; "%USERPROFILE%\Documents\GitHub\mrs-test-scripts\Headless Mode &amp; Sideloading\WalkAndUnGZ.bat" "%USERPROFILE%\AppData\Local\Temp\OnboardLogs"\RTDC4003\2017-04-30</v>
      </c>
      <c r="AF98" s="77" t="str">
        <f t="shared" si="39"/>
        <v>"C:\Program Files (x86)\AstroGrep\AstroGrep.exe" /e /r /s /spath="%USERPROFILE%\AppData\Local\Temp\OnboardLogs" /stypes="app*4003*20170429*" /stext=" 21:.+((SYSTEM_STATE.+slice.+state.+changed )|(ment ac)|(multiple cpu faults)|(system.+state.+changed )|(\[timeout)|(PRM\|1\|D)|(kpr)|(kdp)|(train.+moving)|(\|lc)|(penalty))"</v>
      </c>
      <c r="AG98" s="1" t="str">
        <f t="shared" si="40"/>
        <v>EC</v>
      </c>
      <c r="AH98" s="81" t="str">
        <f t="shared" si="41"/>
        <v>"%USERPROFILE%\Documents\GitHub\eaglep3\Utilities\RefineRTDCRunTimes.py" --tripid 186-29 --locoid 4003 --swversion DE.1.0.9.0 --startMP 204:233055 --initTime 2017-04-29T14:57:18 --startdatetime 2017-04-29T15:11:36 --delay 1 --endMP 204:156 --enddatetime 2017-04-29T15:52:29 --enforcementcount 0 &gt;&gt;C:\Users\stu\Documents\GitHub\eaglep3-reporting\EC\2017-04-29-refined-times.txt</v>
      </c>
      <c r="AI98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{"issue":{"subject":"","project_id":79,"tracker_id":40,"status_id":1,"priority_id":2,"assigned_to_id":23,"start_date":"2017-04-29","description":"","custom_fields":[{"id":1,"name":"Subdivision","value":"EC"},{"id":4,"name":"Milepost","value":"0.0156"},{"id":17,"name":"Train ID","value":"186-29"},{"id":16,"name":"Locomotive ID","value":"4003"},{"id":130,"name":"Impact","value":""},{"id":150,"name":"Time of Event (Mountain Time)","value":"15:52:29"},{"id":151,"name":"Denver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3"/>
        <v>start /low /b %USERPROFILE%\Documents\GitHub\eaglep3\Utilities\DownloadLogsFromS3.py --loco 4003 --day 2017-04-29</v>
      </c>
      <c r="AN98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21:52:29"},{"id":29,"name":"Sharepoint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722</v>
      </c>
      <c r="B99" s="7">
        <v>4026</v>
      </c>
      <c r="C99" s="21" t="s">
        <v>212</v>
      </c>
      <c r="D99" s="21" t="s">
        <v>385</v>
      </c>
      <c r="E99" s="13">
        <v>42854.601273148146</v>
      </c>
      <c r="F99" s="13">
        <v>42854.604398148149</v>
      </c>
      <c r="G99" s="7">
        <v>2</v>
      </c>
      <c r="H99" s="21" t="s">
        <v>466</v>
      </c>
      <c r="I99" s="13">
        <v>42854.629074074073</v>
      </c>
      <c r="J99" s="7">
        <v>0</v>
      </c>
      <c r="K99" s="92" t="str">
        <f t="shared" si="28"/>
        <v>4025/4026</v>
      </c>
      <c r="L99" s="21" t="str">
        <f>VLOOKUP(A99,'Trips&amp;Operators'!$C$1:$G$99999,5,FALSE)</f>
        <v>STEWART MICHAEL</v>
      </c>
      <c r="M99" s="6">
        <f t="shared" si="29"/>
        <v>2.4675925924384501E-2</v>
      </c>
      <c r="N99" s="7">
        <f t="shared" si="45"/>
        <v>35.533333331113681</v>
      </c>
      <c r="O99" s="7"/>
      <c r="P99" s="7"/>
      <c r="Q99" s="22"/>
      <c r="R99" s="190"/>
      <c r="S99" s="196">
        <f t="shared" si="30"/>
        <v>1</v>
      </c>
      <c r="T99" s="190" t="str">
        <f t="shared" si="31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32"/>
        <v>https://d0f6bd738d7f1b3e5a7ca70fe4ff75f0.us-east-1.aws.found.io/app/kibana#/discover/Steve-Slow-Train-Analysis-(2080s-and-2083s)?_g=(refreshInterval:(display:Off,pause:!f,section:0,value:0),time:(from:'2017-04-29T13:25:50-0600',mode:absolute,to:'2017-04-29T16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9" s="192" t="str">
        <f t="shared" si="33"/>
        <v>N</v>
      </c>
      <c r="X99" s="192">
        <f t="shared" si="27"/>
        <v>1</v>
      </c>
      <c r="Y99" s="192">
        <f t="shared" si="34"/>
        <v>4.4600000000000001E-2</v>
      </c>
      <c r="Z99" s="192">
        <f t="shared" si="35"/>
        <v>23.330400000000001</v>
      </c>
      <c r="AA99" s="192">
        <f t="shared" si="36"/>
        <v>23.285800000000002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7"/>
        <v>0187-29</v>
      </c>
      <c r="AE99" s="80" t="str">
        <f t="shared" si="38"/>
        <v>aws s3 cp s3://rtdc.mdm.uploadarchive.raw/RTDC4026/ "%USERPROFILE%\AppData\Local\Temp\OnboardLogs"\RTDC4026\2017-04-29 --exclude "*" --recursive --include "*20170429*" &amp; "%USERPROFILE%\Documents\GitHub\mrs-test-scripts\Headless Mode &amp; Sideloading\WalkAndUnGZ.bat" "%USERPROFILE%\AppData\Local\Temp\OnboardLogs"\RTDC4026\2017-04-29 &amp; 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</v>
      </c>
      <c r="AF99" s="77" t="str">
        <f t="shared" si="39"/>
        <v>"C:\Program Files (x86)\AstroGrep\AstroGrep.exe" /e /r /s /spath="%USERPROFILE%\AppData\Local\Temp\OnboardLogs" /stypes="app*4026*20170429*" /stext=" 21:.+((SYSTEM_STATE.+slice.+state.+changed )|(ment ac)|(multiple cpu faults)|(system.+state.+changed )|(\[timeout)|(PRM\|1\|D)|(kpr)|(kdp)|(train.+moving)|(\|lc)|(penalty))"</v>
      </c>
      <c r="AG99" s="1" t="str">
        <f t="shared" si="40"/>
        <v>EC</v>
      </c>
      <c r="AH99" s="81" t="str">
        <f t="shared" si="41"/>
        <v>"%USERPROFILE%\Documents\GitHub\eaglep3\Utilities\RefineRTDCRunTimes.py" --tripid 187-29 --locoid 4026 --swversion DE.1.0.9.0 --startMP 204:446 --initTime 2017-04-29T14:25:50 --startdatetime 2017-04-29T14:30:20 --delay 2 --endMP 204:233304 --enddatetime 2017-04-29T15:05:52 --enforcementcount 0 &gt;&gt;C:\Users\stu\Documents\GitHub\eaglep3-reporting\EC\2017-04-29-refined-times.txt</v>
      </c>
      <c r="AI99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{"issue":{"subject":"","project_id":79,"tracker_id":40,"status_id":1,"priority_id":2,"assigned_to_id":23,"start_date":"2017-04-29","description":"","custom_fields":[{"id":1,"name":"Subdivision","value":"EC"},{"id":4,"name":"Milepost","value":"23.3304"},{"id":17,"name":"Train ID","value":"187-29"},{"id":16,"name":"Locomotive ID","value":"4026"},{"id":130,"name":"Impact","value":""},{"id":150,"name":"Time of Event (Mountain Time)","value":"15:05:52"},{"id":151,"name":"Denver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5" t="str">
        <f t="shared" si="43"/>
        <v>start /low /b %USERPROFILE%\Documents\GitHub\eaglep3\Utilities\DownloadLogsFromS3.py --loco 4026 --day 2017-04-29</v>
      </c>
      <c r="AN99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0" spans="1:91" s="20" customFormat="1" x14ac:dyDescent="0.25">
      <c r="A100" s="32" t="s">
        <v>732</v>
      </c>
      <c r="B100" s="7">
        <v>4025</v>
      </c>
      <c r="C100" s="21" t="s">
        <v>212</v>
      </c>
      <c r="D100" s="21" t="s">
        <v>914</v>
      </c>
      <c r="E100" s="13">
        <v>42854.640868055554</v>
      </c>
      <c r="F100" s="13">
        <v>42854.643275462964</v>
      </c>
      <c r="G100" s="7">
        <v>1</v>
      </c>
      <c r="H100" s="21" t="s">
        <v>197</v>
      </c>
      <c r="I100" s="13">
        <v>42854.670243055552</v>
      </c>
      <c r="J100" s="7">
        <v>0</v>
      </c>
      <c r="K100" s="92" t="str">
        <f t="shared" si="28"/>
        <v>4025/4026</v>
      </c>
      <c r="L100" s="21" t="str">
        <f>VLOOKUP(A100,'Trips&amp;Operators'!$C$1:$G$99999,5,FALSE)</f>
        <v>STEWART MICHAEL</v>
      </c>
      <c r="M100" s="6">
        <f t="shared" si="29"/>
        <v>2.696759258833481E-2</v>
      </c>
      <c r="N100" s="7">
        <f t="shared" si="45"/>
        <v>38.833333327202126</v>
      </c>
      <c r="O100" s="7"/>
      <c r="P100" s="7"/>
      <c r="Q100" s="22"/>
      <c r="R100" s="190"/>
      <c r="S100" s="196">
        <f t="shared" si="30"/>
        <v>1</v>
      </c>
      <c r="T100" s="190" t="str">
        <f t="shared" si="31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32"/>
        <v>https://d0f6bd738d7f1b3e5a7ca70fe4ff75f0.us-east-1.aws.found.io/app/kibana#/discover/Steve-Slow-Train-Analysis-(2080s-and-2083s)?_g=(refreshInterval:(display:Off,pause:!f,section:0,value:0),time:(from:'2017-04-29T14:22:51-0600',mode:absolute,to:'2017-04-29T17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0" s="192" t="str">
        <f t="shared" si="33"/>
        <v>N</v>
      </c>
      <c r="X100" s="192">
        <f t="shared" ref="X100:X136" si="46">VALUE(LEFT(AD100,4))-VALUE(LEFT(AD99,4))</f>
        <v>1</v>
      </c>
      <c r="Y100" s="192">
        <f t="shared" si="34"/>
        <v>23.297599999999999</v>
      </c>
      <c r="Z100" s="192">
        <f t="shared" si="35"/>
        <v>1.52E-2</v>
      </c>
      <c r="AA100" s="192">
        <f t="shared" si="36"/>
        <v>23.282399999999999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7"/>
        <v>0188-29</v>
      </c>
      <c r="AE100" s="80" t="str">
        <f t="shared" si="38"/>
        <v>aws s3 cp s3://rtdc.mdm.uploadarchive.raw/RTDC4025/ "%USERPROFILE%\AppData\Local\Temp\OnboardLogs"\RTDC4025\2017-04-29 --exclude "*" --recursive --include "*20170429*" &amp; "%USERPROFILE%\Documents\GitHub\mrs-test-scripts\Headless Mode &amp; Sideloading\WalkAndUnGZ.bat" "%USERPROFILE%\AppData\Local\Temp\OnboardLogs"\RTDC4025\2017-04-29 &amp; 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</v>
      </c>
      <c r="AF100" s="77" t="str">
        <f t="shared" si="39"/>
        <v>"C:\Program Files (x86)\AstroGrep\AstroGrep.exe" /e /r /s /spath="%USERPROFILE%\AppData\Local\Temp\OnboardLogs" /stypes="app*4025*20170429*" /stext=" 22:.+((SYSTEM_STATE.+slice.+state.+changed )|(ment ac)|(multiple cpu faults)|(system.+state.+changed )|(\[timeout)|(PRM\|1\|D)|(kpr)|(kdp)|(train.+moving)|(\|lc)|(penalty))"</v>
      </c>
      <c r="AG100" s="1" t="str">
        <f t="shared" si="40"/>
        <v>EC</v>
      </c>
      <c r="AH100" s="81" t="str">
        <f t="shared" si="41"/>
        <v>"%USERPROFILE%\Documents\GitHub\eaglep3\Utilities\RefineRTDCRunTimes.py" --tripid 188-29 --locoid 4025 --swversion DE.1.0.9.0 --startMP 204:232976 --initTime 2017-04-29T15:22:51 --startdatetime 2017-04-29T15:26:19 --delay 1 --endMP 204:152 --enddatetime 2017-04-29T16:05:09 --enforcementcount 0 &gt;&gt;C:\Users\stu\Documents\GitHub\eaglep3-reporting\EC\2017-04-29-refined-times.txt</v>
      </c>
      <c r="AI100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{"issue":{"subject":"","project_id":79,"tracker_id":40,"status_id":1,"priority_id":2,"assigned_to_id":23,"start_date":"2017-04-29","description":"","custom_fields":[{"id":1,"name":"Subdivision","value":"EC"},{"id":4,"name":"Milepost","value":"0.0152"},{"id":17,"name":"Train ID","value":"188-29"},{"id":16,"name":"Locomotive ID","value":"4025"},{"id":130,"name":"Impact","value":""},{"id":150,"name":"Time of Event (Mountain Time)","value":"16:05:09"},{"id":151,"name":"Denver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3"/>
        <v>start /low /b %USERPROFILE%\Documents\GitHub\eaglep3\Utilities\DownloadLogsFromS3.py --loco 4025 --day 2017-04-29</v>
      </c>
      <c r="AN100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22:05:09"},{"id":29,"name":"Sharepoint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723</v>
      </c>
      <c r="B101" s="7">
        <v>4002</v>
      </c>
      <c r="C101" s="21" t="s">
        <v>212</v>
      </c>
      <c r="D101" s="21" t="s">
        <v>915</v>
      </c>
      <c r="E101" s="13">
        <v>42854.606874999998</v>
      </c>
      <c r="F101" s="13">
        <v>42854.61509259259</v>
      </c>
      <c r="G101" s="7">
        <v>1</v>
      </c>
      <c r="H101" s="21" t="s">
        <v>847</v>
      </c>
      <c r="I101" s="13">
        <v>42854.641238425924</v>
      </c>
      <c r="J101" s="7">
        <v>0</v>
      </c>
      <c r="K101" s="92" t="str">
        <f t="shared" si="28"/>
        <v>4001/4002</v>
      </c>
      <c r="L101" s="21" t="str">
        <f>VLOOKUP(A101,'Trips&amp;Operators'!$C$1:$G$99999,5,FALSE)</f>
        <v>DAVIS MICHAEL</v>
      </c>
      <c r="M101" s="6">
        <f t="shared" si="29"/>
        <v>2.6145833333430346E-2</v>
      </c>
      <c r="N101" s="7">
        <f t="shared" si="45"/>
        <v>37.650000000139698</v>
      </c>
      <c r="O101" s="7"/>
      <c r="P101" s="7"/>
      <c r="Q101" s="22"/>
      <c r="R101" s="190"/>
      <c r="S101" s="196">
        <f t="shared" si="30"/>
        <v>1</v>
      </c>
      <c r="T101" s="190" t="str">
        <f t="shared" si="31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32"/>
        <v>https://d0f6bd738d7f1b3e5a7ca70fe4ff75f0.us-east-1.aws.found.io/app/kibana#/discover/Steve-Slow-Train-Analysis-(2080s-and-2083s)?_g=(refreshInterval:(display:Off,pause:!f,section:0,value:0),time:(from:'2017-04-29T13:33:54-0600',mode:absolute,to:'2017-04-29T16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1" s="192" t="str">
        <f t="shared" si="33"/>
        <v>N</v>
      </c>
      <c r="X101" s="192">
        <f t="shared" si="46"/>
        <v>1</v>
      </c>
      <c r="Y101" s="192">
        <f t="shared" si="34"/>
        <v>0.14829999999999999</v>
      </c>
      <c r="Z101" s="192">
        <f t="shared" si="35"/>
        <v>23.332799999999999</v>
      </c>
      <c r="AA101" s="192">
        <f t="shared" si="36"/>
        <v>23.1845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7"/>
        <v>0189-29</v>
      </c>
      <c r="AE101" s="80" t="str">
        <f t="shared" si="38"/>
        <v>aws s3 cp s3://rtdc.mdm.uploadarchive.raw/RTDC4002/ "%USERPROFILE%\AppData\Local\Temp\OnboardLogs"\RTDC4002\2017-04-29 --exclude "*" --recursive --include "*20170429*" &amp; "%USERPROFILE%\Documents\GitHub\mrs-test-scripts\Headless Mode &amp; Sideloading\WalkAndUnGZ.bat" "%USERPROFILE%\AppData\Local\Temp\OnboardLogs"\RTDC4002\2017-04-29 &amp; aws s3 cp s3://rtdc.mdm.uploadarchive.raw/RTDC4002/ "%USERPROFILE%\AppData\Local\Temp\OnboardLogs"\RTDC4002\2017-04-30 --exclude "*" --recursive --include "*20170430*" &amp; "%USERPROFILE%\Documents\GitHub\mrs-test-scripts\Headless Mode &amp; Sideloading\WalkAndUnGZ.bat" "%USERPROFILE%\AppData\Local\Temp\OnboardLogs"\RTDC4002\2017-04-30</v>
      </c>
      <c r="AF101" s="77" t="str">
        <f t="shared" si="39"/>
        <v>"C:\Program Files (x86)\AstroGrep\AstroGrep.exe" /e /r /s /spath="%USERPROFILE%\AppData\Local\Temp\OnboardLogs" /stypes="app*4002*20170429*" /stext=" 21:.+((SYSTEM_STATE.+slice.+state.+changed )|(ment ac)|(multiple cpu faults)|(system.+state.+changed )|(\[timeout)|(PRM\|1\|D)|(kpr)|(kdp)|(train.+moving)|(\|lc)|(penalty))"</v>
      </c>
      <c r="AG101" s="1" t="str">
        <f t="shared" si="40"/>
        <v>EC</v>
      </c>
      <c r="AH101" s="81" t="str">
        <f t="shared" si="41"/>
        <v>"%USERPROFILE%\Documents\GitHub\eaglep3\Utilities\RefineRTDCRunTimes.py" --tripid 189-29 --locoid 4002 --swversion DE.1.0.9.0 --startMP 204:1483 --initTime 2017-04-29T14:33:54 --startdatetime 2017-04-29T14:45:44 --delay 1 --endMP 204:233328 --enddatetime 2017-04-29T15:23:23 --enforcementcount 0 &gt;&gt;C:\Users\stu\Documents\GitHub\eaglep3-reporting\EC\2017-04-29-refined-times.txt</v>
      </c>
      <c r="AI101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{"issue":{"subject":"","project_id":79,"tracker_id":40,"status_id":1,"priority_id":2,"assigned_to_id":23,"start_date":"2017-04-29","description":"","custom_fields":[{"id":1,"name":"Subdivision","value":"EC"},{"id":4,"name":"Milepost","value":"23.3328"},{"id":17,"name":"Train ID","value":"189-29"},{"id":16,"name":"Locomotive ID","value":"4002"},{"id":130,"name":"Impact","value":""},{"id":150,"name":"Time of Event (Mountain Time)","value":"15:23:23"},{"id":151,"name":"Denver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3"/>
        <v>start /low /b %USERPROFILE%\Documents\GitHub\eaglep3\Utilities\DownloadLogsFromS3.py --loco 4002 --day 2017-04-29</v>
      </c>
      <c r="AN101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21:23:23"},{"id":29,"name":"Sharepoint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734</v>
      </c>
      <c r="B102" s="7">
        <v>4001</v>
      </c>
      <c r="C102" s="21" t="s">
        <v>212</v>
      </c>
      <c r="D102" s="21" t="s">
        <v>831</v>
      </c>
      <c r="E102" s="13">
        <v>42854.650729166664</v>
      </c>
      <c r="F102" s="13">
        <v>42854.653958333336</v>
      </c>
      <c r="G102" s="7">
        <v>2</v>
      </c>
      <c r="H102" s="21" t="s">
        <v>861</v>
      </c>
      <c r="I102" s="13">
        <v>42854.681562500002</v>
      </c>
      <c r="J102" s="7">
        <v>0</v>
      </c>
      <c r="K102" s="92" t="str">
        <f t="shared" si="28"/>
        <v>4001/4002</v>
      </c>
      <c r="L102" s="21" t="str">
        <f>VLOOKUP(A102,'Trips&amp;Operators'!$C$1:$G$99999,5,FALSE)</f>
        <v>DAVIS MICHAEL</v>
      </c>
      <c r="M102" s="6">
        <f t="shared" si="29"/>
        <v>2.7604166665696539E-2</v>
      </c>
      <c r="N102" s="7">
        <f t="shared" si="45"/>
        <v>39.749999998603016</v>
      </c>
      <c r="O102" s="7"/>
      <c r="P102" s="7"/>
      <c r="Q102" s="22"/>
      <c r="R102" s="190"/>
      <c r="S102" s="196">
        <f t="shared" si="30"/>
        <v>1</v>
      </c>
      <c r="T102" s="190" t="str">
        <f t="shared" si="31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32"/>
        <v>https://d0f6bd738d7f1b3e5a7ca70fe4ff75f0.us-east-1.aws.found.io/app/kibana#/discover/Steve-Slow-Train-Analysis-(2080s-and-2083s)?_g=(refreshInterval:(display:Off,pause:!f,section:0,value:0),time:(from:'2017-04-29T14:37:03-0600',mode:absolute,to:'2017-04-29T17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2" s="192" t="str">
        <f t="shared" si="33"/>
        <v>N</v>
      </c>
      <c r="X102" s="192">
        <f t="shared" si="46"/>
        <v>1</v>
      </c>
      <c r="Y102" s="192">
        <f t="shared" si="34"/>
        <v>23.299199999999999</v>
      </c>
      <c r="Z102" s="192">
        <f t="shared" si="35"/>
        <v>1.41E-2</v>
      </c>
      <c r="AA102" s="192">
        <f t="shared" si="36"/>
        <v>23.2851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7"/>
        <v>0190-29</v>
      </c>
      <c r="AE102" s="80" t="str">
        <f t="shared" si="38"/>
        <v>aws s3 cp s3://rtdc.mdm.uploadarchive.raw/RTDC4001/ "%USERPROFILE%\AppData\Local\Temp\OnboardLogs"\RTDC4001\2017-04-29 --exclude "*" --recursive --include "*20170429*" &amp; "%USERPROFILE%\Documents\GitHub\mrs-test-scripts\Headless Mode &amp; Sideloading\WalkAndUnGZ.bat" "%USERPROFILE%\AppData\Local\Temp\OnboardLogs"\RTDC4001\2017-04-29 &amp; aws s3 cp s3://rtdc.mdm.uploadarchive.raw/RTDC4001/ "%USERPROFILE%\AppData\Local\Temp\OnboardLogs"\RTDC4001\2017-04-30 --exclude "*" --recursive --include "*20170430*" &amp; "%USERPROFILE%\Documents\GitHub\mrs-test-scripts\Headless Mode &amp; Sideloading\WalkAndUnGZ.bat" "%USERPROFILE%\AppData\Local\Temp\OnboardLogs"\RTDC4001\2017-04-30</v>
      </c>
      <c r="AF102" s="77" t="str">
        <f t="shared" si="39"/>
        <v>"C:\Program Files (x86)\AstroGrep\AstroGrep.exe" /e /r /s /spath="%USERPROFILE%\AppData\Local\Temp\OnboardLogs" /stypes="app*4001*20170429*" /stext=" 22:.+((SYSTEM_STATE.+slice.+state.+changed )|(ment ac)|(multiple cpu faults)|(system.+state.+changed )|(\[timeout)|(PRM\|1\|D)|(kpr)|(kdp)|(train.+moving)|(\|lc)|(penalty))"</v>
      </c>
      <c r="AG102" s="1" t="str">
        <f t="shared" si="40"/>
        <v>EC</v>
      </c>
      <c r="AH102" s="81" t="str">
        <f t="shared" si="41"/>
        <v>"%USERPROFILE%\Documents\GitHub\eaglep3\Utilities\RefineRTDCRunTimes.py" --tripid 190-29 --locoid 4001 --swversion DE.1.0.9.0 --startMP 204:232992 --initTime 2017-04-29T15:37:03 --startdatetime 2017-04-29T15:41:42 --delay 2 --endMP 204:141 --enddatetime 2017-04-29T16:21:27 --enforcementcount 0 &gt;&gt;C:\Users\stu\Documents\GitHub\eaglep3-reporting\EC\2017-04-29-refined-times.txt</v>
      </c>
      <c r="AI102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{"issue":{"subject":"","project_id":79,"tracker_id":40,"status_id":1,"priority_id":2,"assigned_to_id":23,"start_date":"2017-04-29","description":"","custom_fields":[{"id":1,"name":"Subdivision","value":"EC"},{"id":4,"name":"Milepost","value":"0.0141"},{"id":17,"name":"Train ID","value":"190-29"},{"id":16,"name":"Locomotive ID","value":"4001"},{"id":130,"name":"Impact","value":""},{"id":150,"name":"Time of Event (Mountain Time)","value":"16:21:27"},{"id":151,"name":"Denver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3"/>
        <v>start /low /b %USERPROFILE%\Documents\GitHub\eaglep3\Utilities\DownloadLogsFromS3.py --loco 4001 --day 2017-04-29</v>
      </c>
      <c r="AN102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22:21:27"},{"id":29,"name":"Sharepoint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728</v>
      </c>
      <c r="B103" s="7">
        <v>4022</v>
      </c>
      <c r="C103" s="21" t="s">
        <v>212</v>
      </c>
      <c r="D103" s="21" t="s">
        <v>428</v>
      </c>
      <c r="E103" s="13">
        <v>42854.620011574072</v>
      </c>
      <c r="F103" s="13">
        <v>42854.625162037039</v>
      </c>
      <c r="G103" s="7">
        <v>1</v>
      </c>
      <c r="H103" s="21" t="s">
        <v>488</v>
      </c>
      <c r="I103" s="13">
        <v>42854.649953703702</v>
      </c>
      <c r="J103" s="7">
        <v>0</v>
      </c>
      <c r="K103" s="92" t="str">
        <f t="shared" si="28"/>
        <v>4021/4022</v>
      </c>
      <c r="L103" s="21" t="str">
        <f>VLOOKUP(A103,'Trips&amp;Operators'!$C$1:$G$99999,5,FALSE)</f>
        <v>BRUDER RICHARD</v>
      </c>
      <c r="M103" s="6">
        <f t="shared" si="29"/>
        <v>2.4791666663077194E-2</v>
      </c>
      <c r="N103" s="7">
        <f t="shared" si="45"/>
        <v>35.69999999483116</v>
      </c>
      <c r="O103" s="7"/>
      <c r="P103" s="7"/>
      <c r="Q103" s="22"/>
      <c r="R103" s="190"/>
      <c r="S103" s="196">
        <f t="shared" si="30"/>
        <v>1</v>
      </c>
      <c r="T103" s="190" t="str">
        <f t="shared" si="31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32"/>
        <v>https://d0f6bd738d7f1b3e5a7ca70fe4ff75f0.us-east-1.aws.found.io/app/kibana#/discover/Steve-Slow-Train-Analysis-(2080s-and-2083s)?_g=(refreshInterval:(display:Off,pause:!f,section:0,value:0),time:(from:'2017-04-29T13:52:49-0600',mode:absolute,to:'2017-04-29T16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3" s="192" t="str">
        <f t="shared" si="33"/>
        <v>N</v>
      </c>
      <c r="X103" s="192">
        <f t="shared" si="46"/>
        <v>1</v>
      </c>
      <c r="Y103" s="192">
        <f t="shared" si="34"/>
        <v>4.5100000000000001E-2</v>
      </c>
      <c r="Z103" s="192">
        <f t="shared" si="35"/>
        <v>23.331199999999999</v>
      </c>
      <c r="AA103" s="192">
        <f t="shared" si="36"/>
        <v>23.286099999999998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7"/>
        <v>0191-29</v>
      </c>
      <c r="AE103" s="80" t="str">
        <f t="shared" si="38"/>
        <v>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 &amp; 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</v>
      </c>
      <c r="AF103" s="77" t="str">
        <f t="shared" si="39"/>
        <v>"C:\Program Files (x86)\AstroGrep\AstroGrep.exe" /e /r /s /spath="%USERPROFILE%\AppData\Local\Temp\OnboardLogs" /stypes="app*4022*20170429*" /stext=" 21:.+((SYSTEM_STATE.+slice.+state.+changed )|(ment ac)|(multiple cpu faults)|(system.+state.+changed )|(\[timeout)|(PRM\|1\|D)|(kpr)|(kdp)|(train.+moving)|(\|lc)|(penalty))"</v>
      </c>
      <c r="AG103" s="1" t="str">
        <f t="shared" si="40"/>
        <v>EC</v>
      </c>
      <c r="AH103" s="81" t="str">
        <f t="shared" si="41"/>
        <v>"%USERPROFILE%\Documents\GitHub\eaglep3\Utilities\RefineRTDCRunTimes.py" --tripid 191-29 --locoid 4022 --swversion DE.1.0.9.0 --startMP 204:451 --initTime 2017-04-29T14:52:49 --startdatetime 2017-04-29T15:00:14 --delay 1 --endMP 204:233312 --enddatetime 2017-04-29T15:35:56 --enforcementcount 0 &gt;&gt;C:\Users\stu\Documents\GitHub\eaglep3-reporting\EC\2017-04-29-refined-times.txt</v>
      </c>
      <c r="AI103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{"issue":{"subject":"","project_id":79,"tracker_id":40,"status_id":1,"priority_id":2,"assigned_to_id":23,"start_date":"2017-04-29","description":"","custom_fields":[{"id":1,"name":"Subdivision","value":"EC"},{"id":4,"name":"Milepost","value":"23.3312"},{"id":17,"name":"Train ID","value":"191-29"},{"id":16,"name":"Locomotive ID","value":"4022"},{"id":130,"name":"Impact","value":""},{"id":150,"name":"Time of Event (Mountain Time)","value":"15:35:56"},{"id":151,"name":"Denver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3"/>
        <v>start /low /b %USERPROFILE%\Documents\GitHub\eaglep3\Utilities\DownloadLogsFromS3.py --loco 4022 --day 2017-04-29</v>
      </c>
      <c r="AN103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21:35:56"},{"id":29,"name":"Sharepoint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735</v>
      </c>
      <c r="B104" s="7">
        <v>4021</v>
      </c>
      <c r="C104" s="21" t="s">
        <v>212</v>
      </c>
      <c r="D104" s="21" t="s">
        <v>493</v>
      </c>
      <c r="E104" s="13">
        <v>42854.65896990741</v>
      </c>
      <c r="F104" s="13">
        <v>42854.6640625</v>
      </c>
      <c r="G104" s="7">
        <v>1</v>
      </c>
      <c r="H104" s="21" t="s">
        <v>198</v>
      </c>
      <c r="I104" s="13">
        <v>42854.690474537034</v>
      </c>
      <c r="J104" s="7">
        <v>0</v>
      </c>
      <c r="K104" s="92" t="str">
        <f t="shared" si="28"/>
        <v>4021/4022</v>
      </c>
      <c r="L104" s="21" t="str">
        <f>VLOOKUP(A104,'Trips&amp;Operators'!$C$1:$G$99999,5,FALSE)</f>
        <v>BRUDER RICHARD</v>
      </c>
      <c r="M104" s="6">
        <f t="shared" si="29"/>
        <v>2.6412037033878732E-2</v>
      </c>
      <c r="N104" s="7">
        <f t="shared" si="45"/>
        <v>38.033333328785375</v>
      </c>
      <c r="O104" s="7"/>
      <c r="P104" s="7"/>
      <c r="Q104" s="22"/>
      <c r="R104" s="190"/>
      <c r="S104" s="196">
        <f t="shared" si="30"/>
        <v>1</v>
      </c>
      <c r="T104" s="190" t="str">
        <f t="shared" si="31"/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32"/>
        <v>https://d0f6bd738d7f1b3e5a7ca70fe4ff75f0.us-east-1.aws.found.io/app/kibana#/discover/Steve-Slow-Train-Analysis-(2080s-and-2083s)?_g=(refreshInterval:(display:Off,pause:!f,section:0,value:0),time:(from:'2017-04-29T14:48:55-0600',mode:absolute,to:'2017-04-29T17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4" s="192" t="str">
        <f t="shared" si="33"/>
        <v>N</v>
      </c>
      <c r="X104" s="192">
        <f t="shared" si="46"/>
        <v>1</v>
      </c>
      <c r="Y104" s="192">
        <f t="shared" si="34"/>
        <v>23.299600000000002</v>
      </c>
      <c r="Z104" s="192">
        <f t="shared" si="35"/>
        <v>1.5800000000000002E-2</v>
      </c>
      <c r="AA104" s="192">
        <f t="shared" si="36"/>
        <v>23.283800000000003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7"/>
        <v>0192-29</v>
      </c>
      <c r="AE104" s="80" t="str">
        <f t="shared" si="38"/>
        <v>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 &amp; aws s3 cp s3://rtdc.mdm.uploadarchive.raw/RTDC4021/ "%USERPROFILE%\AppData\Local\Temp\OnboardLogs"\RTDC4021\2017-04-30 --exclude "*" --recursive --include "*20170430*" &amp; "%USERPROFILE%\Documents\GitHub\mrs-test-scripts\Headless Mode &amp; Sideloading\WalkAndUnGZ.bat" "%USERPROFILE%\AppData\Local\Temp\OnboardLogs"\RTDC4021\2017-04-30</v>
      </c>
      <c r="AF104" s="77" t="str">
        <f t="shared" si="39"/>
        <v>"C:\Program Files (x86)\AstroGrep\AstroGrep.exe" /e /r /s /spath="%USERPROFILE%\AppData\Local\Temp\OnboardLogs" /stypes="app*4021*20170429*" /stext=" 22:.+((SYSTEM_STATE.+slice.+state.+changed )|(ment ac)|(multiple cpu faults)|(system.+state.+changed )|(\[timeout)|(PRM\|1\|D)|(kpr)|(kdp)|(train.+moving)|(\|lc)|(penalty))"</v>
      </c>
      <c r="AG104" s="1" t="str">
        <f t="shared" si="40"/>
        <v>EC</v>
      </c>
      <c r="AH104" s="81" t="str">
        <f t="shared" si="41"/>
        <v>"%USERPROFILE%\Documents\GitHub\eaglep3\Utilities\RefineRTDCRunTimes.py" --tripid 192-29 --locoid 4021 --swversion DE.1.0.9.0 --startMP 204:232996 --initTime 2017-04-29T15:48:55 --startdatetime 2017-04-29T15:56:15 --delay 1 --endMP 204:158 --enddatetime 2017-04-29T16:34:17 --enforcementcount 0 &gt;&gt;C:\Users\stu\Documents\GitHub\eaglep3-reporting\EC\2017-04-29-refined-times.txt</v>
      </c>
      <c r="AI104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{"issue":{"subject":"","project_id":79,"tracker_id":40,"status_id":1,"priority_id":2,"assigned_to_id":23,"start_date":"2017-04-29","description":"","custom_fields":[{"id":1,"name":"Subdivision","value":"EC"},{"id":4,"name":"Milepost","value":"0.0158"},{"id":17,"name":"Train ID","value":"192-29"},{"id":16,"name":"Locomotive ID","value":"4021"},{"id":130,"name":"Impact","value":""},{"id":150,"name":"Time of Event (Mountain Time)","value":"16:34:17"},{"id":151,"name":"Denver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3"/>
        <v>start /low /b %USERPROFILE%\Documents\GitHub\eaglep3\Utilities\DownloadLogsFromS3.py --loco 4021 --day 2017-04-29</v>
      </c>
      <c r="AN104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22:34:17"},{"id":29,"name":"Sharepoint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729</v>
      </c>
      <c r="B105" s="7">
        <v>4008</v>
      </c>
      <c r="C105" s="21" t="s">
        <v>212</v>
      </c>
      <c r="D105" s="21" t="s">
        <v>472</v>
      </c>
      <c r="E105" s="13">
        <v>42854.631874999999</v>
      </c>
      <c r="F105" s="13">
        <v>42854.635601851849</v>
      </c>
      <c r="G105" s="7">
        <v>1</v>
      </c>
      <c r="H105" s="21" t="s">
        <v>539</v>
      </c>
      <c r="I105" s="13">
        <v>42854.661041666666</v>
      </c>
      <c r="J105" s="7">
        <v>0</v>
      </c>
      <c r="K105" s="92" t="str">
        <f t="shared" si="28"/>
        <v>4007/4008</v>
      </c>
      <c r="L105" s="21" t="str">
        <f>VLOOKUP(A105,'Trips&amp;Operators'!$C$1:$G$99999,5,FALSE)</f>
        <v>BRANDNER MELINDA</v>
      </c>
      <c r="M105" s="6">
        <f t="shared" si="29"/>
        <v>2.5439814817218576E-2</v>
      </c>
      <c r="N105" s="7">
        <f t="shared" si="45"/>
        <v>36.633333336794749</v>
      </c>
      <c r="O105" s="7"/>
      <c r="P105" s="7"/>
      <c r="Q105" s="22"/>
      <c r="R105" s="190"/>
      <c r="S105" s="196">
        <f t="shared" si="30"/>
        <v>1</v>
      </c>
      <c r="T105" s="190" t="str">
        <f t="shared" si="31"/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32"/>
        <v>https://d0f6bd738d7f1b3e5a7ca70fe4ff75f0.us-east-1.aws.found.io/app/kibana#/discover/Steve-Slow-Train-Analysis-(2080s-and-2083s)?_g=(refreshInterval:(display:Off,pause:!f,section:0,value:0),time:(from:'2017-04-29T14:09:54-0600',mode:absolute,to:'2017-04-29T16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5" s="192" t="str">
        <f t="shared" si="33"/>
        <v>N</v>
      </c>
      <c r="X105" s="192">
        <f t="shared" si="46"/>
        <v>1</v>
      </c>
      <c r="Y105" s="192">
        <f t="shared" si="34"/>
        <v>4.3299999999999998E-2</v>
      </c>
      <c r="Z105" s="192">
        <f t="shared" si="35"/>
        <v>23.333200000000001</v>
      </c>
      <c r="AA105" s="192">
        <f t="shared" si="36"/>
        <v>23.289900000000003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7"/>
        <v>0193-29</v>
      </c>
      <c r="AE105" s="80" t="str">
        <f t="shared" si="38"/>
        <v>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 &amp; 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</v>
      </c>
      <c r="AF105" s="77" t="str">
        <f t="shared" si="39"/>
        <v>"C:\Program Files (x86)\AstroGrep\AstroGrep.exe" /e /r /s /spath="%USERPROFILE%\AppData\Local\Temp\OnboardLogs" /stypes="app*4008*20170429*" /stext=" 21:.+((SYSTEM_STATE.+slice.+state.+changed )|(ment ac)|(multiple cpu faults)|(system.+state.+changed )|(\[timeout)|(PRM\|1\|D)|(kpr)|(kdp)|(train.+moving)|(\|lc)|(penalty))"</v>
      </c>
      <c r="AG105" s="1" t="str">
        <f t="shared" si="40"/>
        <v>EC</v>
      </c>
      <c r="AH105" s="81" t="str">
        <f t="shared" si="41"/>
        <v>"%USERPROFILE%\Documents\GitHub\eaglep3\Utilities\RefineRTDCRunTimes.py" --tripid 193-29 --locoid 4008 --swversion DE.1.0.9.0 --startMP 204:433 --initTime 2017-04-29T15:09:54 --startdatetime 2017-04-29T15:15:16 --delay 1 --endMP 204:233332 --enddatetime 2017-04-29T15:51:54 --enforcementcount 0 &gt;&gt;C:\Users\stu\Documents\GitHub\eaglep3-reporting\EC\2017-04-29-refined-times.txt</v>
      </c>
      <c r="AI105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{"issue":{"subject":"","project_id":79,"tracker_id":40,"status_id":1,"priority_id":2,"assigned_to_id":23,"start_date":"2017-04-29","description":"","custom_fields":[{"id":1,"name":"Subdivision","value":"EC"},{"id":4,"name":"Milepost","value":"23.3332"},{"id":17,"name":"Train ID","value":"193-29"},{"id":16,"name":"Locomotive ID","value":"4008"},{"id":130,"name":"Impact","value":""},{"id":150,"name":"Time of Event (Mountain Time)","value":"15:51:54"},{"id":151,"name":"Denver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3"/>
        <v>start /low /b %USERPROFILE%\Documents\GitHub\eaglep3\Utilities\DownloadLogsFromS3.py --loco 4008 --day 2017-04-29</v>
      </c>
      <c r="AN105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21:51:54"},{"id":29,"name":"Sharepoint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589</v>
      </c>
      <c r="B106" s="7">
        <v>4007</v>
      </c>
      <c r="C106" s="21" t="s">
        <v>212</v>
      </c>
      <c r="D106" s="21" t="s">
        <v>842</v>
      </c>
      <c r="E106" s="13">
        <v>42854.670405092591</v>
      </c>
      <c r="F106" s="13">
        <v>42854.67465277778</v>
      </c>
      <c r="G106" s="7">
        <v>1</v>
      </c>
      <c r="H106" s="21" t="s">
        <v>920</v>
      </c>
      <c r="I106" s="13">
        <v>42854.702291666668</v>
      </c>
      <c r="J106" s="7">
        <v>0</v>
      </c>
      <c r="K106" s="92" t="str">
        <f t="shared" si="28"/>
        <v>4007/4008</v>
      </c>
      <c r="L106" s="21" t="str">
        <f>VLOOKUP(A106,'Trips&amp;Operators'!$C$1:$G$99999,5,FALSE)</f>
        <v>BRANDNER MELINDA</v>
      </c>
      <c r="M106" s="6">
        <f t="shared" si="29"/>
        <v>2.7638888888759539E-2</v>
      </c>
      <c r="N106" s="7">
        <f t="shared" si="45"/>
        <v>39.799999999813735</v>
      </c>
      <c r="O106" s="7"/>
      <c r="P106" s="7"/>
      <c r="Q106" s="22"/>
      <c r="R106" s="190"/>
      <c r="S106" s="196">
        <f t="shared" si="30"/>
        <v>1</v>
      </c>
      <c r="T106" s="190" t="str">
        <f t="shared" si="31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32"/>
        <v>https://d0f6bd738d7f1b3e5a7ca70fe4ff75f0.us-east-1.aws.found.io/app/kibana#/discover/Steve-Slow-Train-Analysis-(2080s-and-2083s)?_g=(refreshInterval:(display:Off,pause:!f,section:0,value:0),time:(from:'2017-04-29T15:05:23-0600',mode:absolute,to:'2017-04-29T17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6" s="192" t="str">
        <f t="shared" si="33"/>
        <v>N</v>
      </c>
      <c r="X106" s="192">
        <f t="shared" si="46"/>
        <v>1</v>
      </c>
      <c r="Y106" s="192">
        <f t="shared" si="34"/>
        <v>23.3005</v>
      </c>
      <c r="Z106" s="192">
        <f t="shared" si="35"/>
        <v>1.6299999999999999E-2</v>
      </c>
      <c r="AA106" s="192">
        <f t="shared" si="36"/>
        <v>23.284199999999998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7"/>
        <v>0194-29</v>
      </c>
      <c r="AE106" s="80" t="str">
        <f t="shared" si="38"/>
        <v>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 &amp; 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</v>
      </c>
      <c r="AF106" s="77" t="str">
        <f t="shared" si="39"/>
        <v>"C:\Program Files (x86)\AstroGrep\AstroGrep.exe" /e /r /s /spath="%USERPROFILE%\AppData\Local\Temp\OnboardLogs" /stypes="app*4007*20170429*" /stext=" 22:.+((SYSTEM_STATE.+slice.+state.+changed )|(ment ac)|(multiple cpu faults)|(system.+state.+changed )|(\[timeout)|(PRM\|1\|D)|(kpr)|(kdp)|(train.+moving)|(\|lc)|(penalty))"</v>
      </c>
      <c r="AG106" s="1" t="str">
        <f t="shared" si="40"/>
        <v>EC</v>
      </c>
      <c r="AH106" s="81" t="str">
        <f t="shared" si="41"/>
        <v>"%USERPROFILE%\Documents\GitHub\eaglep3\Utilities\RefineRTDCRunTimes.py" --tripid 194-29 --locoid 4007 --swversion DE.1.0.9.0 --startMP 204:233005 --initTime 2017-04-29T16:05:23 --startdatetime 2017-04-29T16:11:30 --delay 1 --endMP 204:163 --enddatetime 2017-04-29T16:51:18 --enforcementcount 0 &gt;&gt;C:\Users\stu\Documents\GitHub\eaglep3-reporting\EC\2017-04-29-refined-times.txt</v>
      </c>
      <c r="AI106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{"issue":{"subject":"","project_id":79,"tracker_id":40,"status_id":1,"priority_id":2,"assigned_to_id":23,"start_date":"2017-04-29","description":"","custom_fields":[{"id":1,"name":"Subdivision","value":"EC"},{"id":4,"name":"Milepost","value":"0.0163"},{"id":17,"name":"Train ID","value":"194-29"},{"id":16,"name":"Locomotive ID","value":"4007"},{"id":130,"name":"Impact","value":""},{"id":150,"name":"Time of Event (Mountain Time)","value":"16:51:18"},{"id":151,"name":"Denver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3"/>
        <v>start /low /b %USERPROFILE%\Documents\GitHub\eaglep3\Utilities\DownloadLogsFromS3.py --loco 4007 --day 2017-04-29</v>
      </c>
      <c r="AN106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22:51:18"},{"id":29,"name":"Sharepoint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731</v>
      </c>
      <c r="B107" s="7">
        <v>4018</v>
      </c>
      <c r="C107" s="21" t="s">
        <v>212</v>
      </c>
      <c r="D107" s="21" t="s">
        <v>428</v>
      </c>
      <c r="E107" s="13">
        <v>42854.640196759261</v>
      </c>
      <c r="F107" s="13">
        <v>42854.645995370367</v>
      </c>
      <c r="G107" s="7">
        <v>1</v>
      </c>
      <c r="H107" s="21" t="s">
        <v>841</v>
      </c>
      <c r="I107" s="13">
        <v>42854.670520833337</v>
      </c>
      <c r="J107" s="7">
        <v>0</v>
      </c>
      <c r="K107" s="92" t="str">
        <f t="shared" si="28"/>
        <v>4017/4018</v>
      </c>
      <c r="L107" s="21" t="str">
        <f>VLOOKUP(A107,'Trips&amp;Operators'!$C$1:$G$99999,5,FALSE)</f>
        <v>LALONDE GREGORY</v>
      </c>
      <c r="M107" s="6">
        <f t="shared" si="29"/>
        <v>2.4525462969904765E-2</v>
      </c>
      <c r="N107" s="7">
        <f t="shared" si="45"/>
        <v>35.316666676662862</v>
      </c>
      <c r="O107" s="7"/>
      <c r="P107" s="7"/>
      <c r="Q107" s="22"/>
      <c r="R107" s="190"/>
      <c r="S107" s="196">
        <f t="shared" si="30"/>
        <v>1</v>
      </c>
      <c r="T107" s="190" t="str">
        <f t="shared" si="31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32"/>
        <v>https://d0f6bd738d7f1b3e5a7ca70fe4ff75f0.us-east-1.aws.found.io/app/kibana#/discover/Steve-Slow-Train-Analysis-(2080s-and-2083s)?_g=(refreshInterval:(display:Off,pause:!f,section:0,value:0),time:(from:'2017-04-29T14:21:53-0600',mode:absolute,to:'2017-04-29T17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7" s="192" t="str">
        <f t="shared" si="33"/>
        <v>N</v>
      </c>
      <c r="X107" s="192">
        <f t="shared" si="46"/>
        <v>1</v>
      </c>
      <c r="Y107" s="192">
        <f t="shared" si="34"/>
        <v>4.5100000000000001E-2</v>
      </c>
      <c r="Z107" s="192">
        <f t="shared" si="35"/>
        <v>23.334199999999999</v>
      </c>
      <c r="AA107" s="192">
        <f t="shared" si="36"/>
        <v>23.289099999999998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7"/>
        <v>0195-29</v>
      </c>
      <c r="AE107" s="80" t="str">
        <f t="shared" si="38"/>
        <v>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 &amp; aws s3 cp s3://rtdc.mdm.uploadarchive.raw/RTDC4018/ "%USERPROFILE%\AppData\Local\Temp\OnboardLogs"\RTDC4018\2017-04-30 --exclude "*" --recursive --include "*20170430*" &amp; "%USERPROFILE%\Documents\GitHub\mrs-test-scripts\Headless Mode &amp; Sideloading\WalkAndUnGZ.bat" "%USERPROFILE%\AppData\Local\Temp\OnboardLogs"\RTDC4018\2017-04-30</v>
      </c>
      <c r="AF107" s="77" t="str">
        <f t="shared" si="39"/>
        <v>"C:\Program Files (x86)\AstroGrep\AstroGrep.exe" /e /r /s /spath="%USERPROFILE%\AppData\Local\Temp\OnboardLogs" /stypes="app*4018*20170429*" /stext=" 22:.+((SYSTEM_STATE.+slice.+state.+changed )|(ment ac)|(multiple cpu faults)|(system.+state.+changed )|(\[timeout)|(PRM\|1\|D)|(kpr)|(kdp)|(train.+moving)|(\|lc)|(penalty))"</v>
      </c>
      <c r="AG107" s="1" t="str">
        <f t="shared" si="40"/>
        <v>EC</v>
      </c>
      <c r="AH107" s="81" t="str">
        <f t="shared" si="41"/>
        <v>"%USERPROFILE%\Documents\GitHub\eaglep3\Utilities\RefineRTDCRunTimes.py" --tripid 195-29 --locoid 4018 --swversion DE.1.0.9.0 --startMP 204:451 --initTime 2017-04-29T15:21:53 --startdatetime 2017-04-29T15:30:14 --delay 1 --endMP 204:233342 --enddatetime 2017-04-29T16:05:33 --enforcementcount 0 &gt;&gt;C:\Users\stu\Documents\GitHub\eaglep3-reporting\EC\2017-04-29-refined-times.txt</v>
      </c>
      <c r="AI107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{"issue":{"subject":"","project_id":79,"tracker_id":40,"status_id":1,"priority_id":2,"assigned_to_id":23,"start_date":"2017-04-29","description":"","custom_fields":[{"id":1,"name":"Subdivision","value":"EC"},{"id":4,"name":"Milepost","value":"23.3342"},{"id":17,"name":"Train ID","value":"195-29"},{"id":16,"name":"Locomotive ID","value":"4018"},{"id":130,"name":"Impact","value":""},{"id":150,"name":"Time of Event (Mountain Time)","value":"16:05:33"},{"id":151,"name":"Denver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3"/>
        <v>start /low /b %USERPROFILE%\Documents\GitHub\eaglep3\Utilities\DownloadLogsFromS3.py --loco 4018 --day 2017-04-29</v>
      </c>
      <c r="AN107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22:05:33"},{"id":29,"name":"Sharepoint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737</v>
      </c>
      <c r="B108" s="7">
        <v>4017</v>
      </c>
      <c r="C108" s="21" t="s">
        <v>212</v>
      </c>
      <c r="D108" s="21" t="s">
        <v>498</v>
      </c>
      <c r="E108" s="13">
        <v>42854.672974537039</v>
      </c>
      <c r="F108" s="13">
        <v>42854.684988425928</v>
      </c>
      <c r="G108" s="7">
        <v>1</v>
      </c>
      <c r="H108" s="21" t="s">
        <v>388</v>
      </c>
      <c r="I108" s="13">
        <v>42854.710613425923</v>
      </c>
      <c r="J108" s="7">
        <v>0</v>
      </c>
      <c r="K108" s="92" t="str">
        <f t="shared" si="28"/>
        <v>4017/4018</v>
      </c>
      <c r="L108" s="21" t="str">
        <f>VLOOKUP(A108,'Trips&amp;Operators'!$C$1:$G$99999,5,FALSE)</f>
        <v>LALONDE GREGORY</v>
      </c>
      <c r="M108" s="6">
        <f t="shared" si="29"/>
        <v>2.5624999994761311E-2</v>
      </c>
      <c r="N108" s="7">
        <f t="shared" si="45"/>
        <v>36.899999992456287</v>
      </c>
      <c r="O108" s="7"/>
      <c r="P108" s="7"/>
      <c r="Q108" s="22"/>
      <c r="R108" s="190"/>
      <c r="S108" s="196">
        <f t="shared" si="30"/>
        <v>1</v>
      </c>
      <c r="T108" s="190" t="str">
        <f t="shared" si="31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32"/>
        <v>https://d0f6bd738d7f1b3e5a7ca70fe4ff75f0.us-east-1.aws.found.io/app/kibana#/discover/Steve-Slow-Train-Analysis-(2080s-and-2083s)?_g=(refreshInterval:(display:Off,pause:!f,section:0,value:0),time:(from:'2017-04-29T15:09:05-0600',mode:absolute,to:'2017-04-29T18:03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8" s="192" t="str">
        <f t="shared" si="33"/>
        <v>N</v>
      </c>
      <c r="X108" s="192">
        <f t="shared" si="46"/>
        <v>1</v>
      </c>
      <c r="Y108" s="192">
        <f t="shared" si="34"/>
        <v>23.3034</v>
      </c>
      <c r="Z108" s="192">
        <f t="shared" si="35"/>
        <v>1.4500000000000001E-2</v>
      </c>
      <c r="AA108" s="192">
        <f t="shared" si="36"/>
        <v>23.288899999999998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7"/>
        <v>0196-29</v>
      </c>
      <c r="AE108" s="80" t="str">
        <f t="shared" si="38"/>
        <v>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 &amp; aws s3 cp s3://rtdc.mdm.uploadarchive.raw/RTDC4017/ "%USERPROFILE%\AppData\Local\Temp\OnboardLogs"\RTDC4017\2017-04-30 --exclude "*" --recursive --include "*20170430*" &amp; "%USERPROFILE%\Documents\GitHub\mrs-test-scripts\Headless Mode &amp; Sideloading\WalkAndUnGZ.bat" "%USERPROFILE%\AppData\Local\Temp\OnboardLogs"\RTDC4017\2017-04-30</v>
      </c>
      <c r="AF108" s="77" t="str">
        <f t="shared" si="39"/>
        <v>"C:\Program Files (x86)\AstroGrep\AstroGrep.exe" /e /r /s /spath="%USERPROFILE%\AppData\Local\Temp\OnboardLogs" /stypes="app*4017*20170429*" /stext=" 23:.+((SYSTEM_STATE.+slice.+state.+changed )|(ment ac)|(multiple cpu faults)|(system.+state.+changed )|(\[timeout)|(PRM\|1\|D)|(kpr)|(kdp)|(train.+moving)|(\|lc)|(penalty))"</v>
      </c>
      <c r="AG108" s="1" t="str">
        <f t="shared" si="40"/>
        <v>EC</v>
      </c>
      <c r="AH108" s="81" t="str">
        <f t="shared" si="41"/>
        <v>"%USERPROFILE%\Documents\GitHub\eaglep3\Utilities\RefineRTDCRunTimes.py" --tripid 196-29 --locoid 4017 --swversion DE.1.0.9.0 --startMP 204:233034 --initTime 2017-04-29T16:09:05 --startdatetime 2017-04-29T16:26:23 --delay 1 --endMP 204:145 --enddatetime 2017-04-29T17:03:17 --enforcementcount 0 &gt;&gt;C:\Users\stu\Documents\GitHub\eaglep3-reporting\EC\2017-04-29-refined-times.txt</v>
      </c>
      <c r="AI108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{"issue":{"subject":"","project_id":79,"tracker_id":40,"status_id":1,"priority_id":2,"assigned_to_id":23,"start_date":"2017-04-29","description":"","custom_fields":[{"id":1,"name":"Subdivision","value":"EC"},{"id":4,"name":"Milepost","value":"0.0145"},{"id":17,"name":"Train ID","value":"196-29"},{"id":16,"name":"Locomotive ID","value":"4017"},{"id":130,"name":"Impact","value":""},{"id":150,"name":"Time of Event (Mountain Time)","value":"17:03:17"},{"id":151,"name":"Denver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3"/>
        <v>start /low /b %USERPROFILE%\Documents\GitHub\eaglep3\Utilities\DownloadLogsFromS3.py --loco 4017 --day 2017-04-29</v>
      </c>
      <c r="AN108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23:03:17"},{"id":29,"name":"Sharepoint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588</v>
      </c>
      <c r="B109" s="7">
        <v>4010</v>
      </c>
      <c r="C109" s="21" t="s">
        <v>212</v>
      </c>
      <c r="D109" s="21" t="s">
        <v>921</v>
      </c>
      <c r="E109" s="13">
        <v>42854.650949074072</v>
      </c>
      <c r="F109" s="13">
        <v>42854.656435185185</v>
      </c>
      <c r="G109" s="7">
        <v>1</v>
      </c>
      <c r="H109" s="21" t="s">
        <v>913</v>
      </c>
      <c r="I109" s="13">
        <v>42854.681423611109</v>
      </c>
      <c r="J109" s="7">
        <v>0</v>
      </c>
      <c r="K109" s="92" t="str">
        <f t="shared" si="28"/>
        <v>4009/4010</v>
      </c>
      <c r="L109" s="21" t="str">
        <f>VLOOKUP(A109,'Trips&amp;Operators'!$C$1:$G$99999,5,FALSE)</f>
        <v>ROMERO CHAD</v>
      </c>
      <c r="M109" s="6">
        <f t="shared" si="29"/>
        <v>2.4988425924675539E-2</v>
      </c>
      <c r="N109" s="7">
        <f t="shared" si="45"/>
        <v>35.983333331532776</v>
      </c>
      <c r="O109" s="7"/>
      <c r="P109" s="7"/>
      <c r="Q109" s="22"/>
      <c r="R109" s="190" t="s">
        <v>1030</v>
      </c>
      <c r="S109" s="196">
        <f t="shared" si="30"/>
        <v>1</v>
      </c>
      <c r="T109" s="190" t="str">
        <f t="shared" si="31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32"/>
        <v>https://d0f6bd738d7f1b3e5a7ca70fe4ff75f0.us-east-1.aws.found.io/app/kibana#/discover/Steve-Slow-Train-Analysis-(2080s-and-2083s)?_g=(refreshInterval:(display:Off,pause:!f,section:0,value:0),time:(from:'2017-04-29T14:37:22-0600',mode:absolute,to:'2017-04-29T17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9" s="192" t="str">
        <f t="shared" si="33"/>
        <v>N</v>
      </c>
      <c r="X109" s="192">
        <f t="shared" si="46"/>
        <v>1</v>
      </c>
      <c r="Y109" s="192">
        <f t="shared" si="34"/>
        <v>3.73E-2</v>
      </c>
      <c r="Z109" s="192">
        <f t="shared" si="35"/>
        <v>23.335699999999999</v>
      </c>
      <c r="AA109" s="192">
        <f t="shared" si="36"/>
        <v>23.298400000000001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7"/>
        <v>0197-29</v>
      </c>
      <c r="AE109" s="80" t="str">
        <f t="shared" si="38"/>
        <v>aws s3 cp s3://rtdc.mdm.uploadarchive.raw/RTDC4010/ "%USERPROFILE%\AppData\Local\Temp\OnboardLogs"\RTDC4010\2017-04-29 --exclude "*" --recursive --include "*20170429*" &amp; "%USERPROFILE%\Documents\GitHub\mrs-test-scripts\Headless Mode &amp; Sideloading\WalkAndUnGZ.bat" "%USERPROFILE%\AppData\Local\Temp\OnboardLogs"\RTDC4010\2017-04-29 &amp; aws s3 cp s3://rtdc.mdm.uploadarchive.raw/RTDC4010/ "%USERPROFILE%\AppData\Local\Temp\OnboardLogs"\RTDC4010\2017-04-30 --exclude "*" --recursive --include "*20170430*" &amp; "%USERPROFILE%\Documents\GitHub\mrs-test-scripts\Headless Mode &amp; Sideloading\WalkAndUnGZ.bat" "%USERPROFILE%\AppData\Local\Temp\OnboardLogs"\RTDC4010\2017-04-30</v>
      </c>
      <c r="AF109" s="77" t="str">
        <f t="shared" si="39"/>
        <v>"C:\Program Files (x86)\AstroGrep\AstroGrep.exe" /e /r /s /spath="%USERPROFILE%\AppData\Local\Temp\OnboardLogs" /stypes="app*4010*20170429*" /stext=" 22:.+((SYSTEM_STATE.+slice.+state.+changed )|(ment ac)|(multiple cpu faults)|(system.+state.+changed )|(\[timeout)|(PRM\|1\|D)|(kpr)|(kdp)|(train.+moving)|(\|lc)|(penalty))"</v>
      </c>
      <c r="AG109" s="1" t="str">
        <f t="shared" si="40"/>
        <v>EC</v>
      </c>
      <c r="AH109" s="81" t="str">
        <f t="shared" si="41"/>
        <v>"%USERPROFILE%\Documents\GitHub\eaglep3\Utilities\RefineRTDCRunTimes.py" --tripid 197-29 --locoid 4010 --swversion DE.1.0.9.0 --startMP 204:373 --initTime 2017-04-29T15:37:22 --startdatetime 2017-04-29T15:45:16 --delay 1 --endMP 204:233357 --enddatetime 2017-04-29T16:21:15 --enforcementcount 0 &gt;&gt;C:\Users\stu\Documents\GitHub\eaglep3-reporting\EC\2017-04-29-refined-times.txt</v>
      </c>
      <c r="AI109" s="99" t="str">
        <f t="shared" si="42"/>
        <v>echo {"issue":{"subject":"Selected wrong track, but corrected","project_id":79,"tracker_id":40,"status_id":1,"priority_id":2,"assigned_to_id":23,"start_date":"2017-04-29","description":"","custom_fields":[{"id":1,"name":"Subdivision","value":"EC"},{"id":4,"name":"Milepost","value":"23.3357"},{"id":17,"name":"Train ID","value":"197-29"},{"id":16,"name":"Locomotive ID","value":"4010"},{"id":130,"name":"Impact","value":""},{"id":150,"name":"Time of Event (Mountain Time)","value":"16:21:15"},{"id":151,"name":"Denver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3"/>
        <v>start /low /b %USERPROFILE%\Documents\GitHub\eaglep3\Utilities\DownloadLogsFromS3.py --loco 4010 --day 2017-04-29</v>
      </c>
      <c r="AN109" s="154" t="str">
        <f t="shared" si="44"/>
        <v>echo {"issue":{"subject":"Selected wrong track, but corrected","project_id":30,"tracker_id":4,"status_id":1,"priority_id":1,"assigned_to_id":10,"start_date":"2017-04-29","description":"","custom_fields":[{"id":30,"name":"Category","value":"Issue"},{"id":3,"name":"Functional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22:21:15"},{"id":29,"name":"Sharepoint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740</v>
      </c>
      <c r="B110" s="7">
        <v>4009</v>
      </c>
      <c r="C110" s="21" t="s">
        <v>212</v>
      </c>
      <c r="D110" s="21" t="s">
        <v>537</v>
      </c>
      <c r="E110" s="13">
        <v>42854.683148148149</v>
      </c>
      <c r="F110" s="13">
        <v>42854.695347222223</v>
      </c>
      <c r="G110" s="7">
        <v>1</v>
      </c>
      <c r="H110" s="21" t="s">
        <v>411</v>
      </c>
      <c r="I110" s="13">
        <v>42854.720694444448</v>
      </c>
      <c r="J110" s="7">
        <v>0</v>
      </c>
      <c r="K110" s="92" t="str">
        <f t="shared" si="28"/>
        <v>4009/4010</v>
      </c>
      <c r="L110" s="21" t="str">
        <f>VLOOKUP(A110,'Trips&amp;Operators'!$C$1:$G$99999,5,FALSE)</f>
        <v>ROMERO CHAD</v>
      </c>
      <c r="M110" s="6">
        <f t="shared" si="29"/>
        <v>2.5347222224809229E-2</v>
      </c>
      <c r="N110" s="7">
        <f t="shared" si="45"/>
        <v>36.50000000372529</v>
      </c>
      <c r="O110" s="7"/>
      <c r="P110" s="7"/>
      <c r="Q110" s="22"/>
      <c r="R110" s="190"/>
      <c r="S110" s="196">
        <f t="shared" si="30"/>
        <v>1</v>
      </c>
      <c r="T110" s="190" t="str">
        <f t="shared" si="31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32"/>
        <v>https://d0f6bd738d7f1b3e5a7ca70fe4ff75f0.us-east-1.aws.found.io/app/kibana#/discover/Steve-Slow-Train-Analysis-(2080s-and-2083s)?_g=(refreshInterval:(display:Off,pause:!f,section:0,value:0),time:(from:'2017-04-29T15:23:44-0600',mode:absolute,to:'2017-04-29T18:17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0" s="192" t="str">
        <f t="shared" si="33"/>
        <v>N</v>
      </c>
      <c r="X110" s="192">
        <f t="shared" si="46"/>
        <v>1</v>
      </c>
      <c r="Y110" s="192">
        <f t="shared" si="34"/>
        <v>23.302800000000001</v>
      </c>
      <c r="Z110" s="192">
        <f t="shared" si="35"/>
        <v>1.4999999999999999E-2</v>
      </c>
      <c r="AA110" s="192">
        <f t="shared" si="36"/>
        <v>23.287800000000001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7"/>
        <v>0198-29</v>
      </c>
      <c r="AE110" s="80" t="str">
        <f t="shared" si="38"/>
        <v>aws s3 cp s3://rtdc.mdm.uploadarchive.raw/RTDC4009/ "%USERPROFILE%\AppData\Local\Temp\OnboardLogs"\RTDC4009\2017-04-29 --exclude "*" --recursive --include "*20170429*" &amp; "%USERPROFILE%\Documents\GitHub\mrs-test-scripts\Headless Mode &amp; Sideloading\WalkAndUnGZ.bat" "%USERPROFILE%\AppData\Local\Temp\OnboardLogs"\RTDC4009\2017-04-29 &amp; aws s3 cp s3://rtdc.mdm.uploadarchive.raw/RTDC4009/ "%USERPROFILE%\AppData\Local\Temp\OnboardLogs"\RTDC4009\2017-04-30 --exclude "*" --recursive --include "*20170430*" &amp; "%USERPROFILE%\Documents\GitHub\mrs-test-scripts\Headless Mode &amp; Sideloading\WalkAndUnGZ.bat" "%USERPROFILE%\AppData\Local\Temp\OnboardLogs"\RTDC4009\2017-04-30</v>
      </c>
      <c r="AF110" s="77" t="str">
        <f t="shared" si="39"/>
        <v>"C:\Program Files (x86)\AstroGrep\AstroGrep.exe" /e /r /s /spath="%USERPROFILE%\AppData\Local\Temp\OnboardLogs" /stypes="app*4009*20170429*" /stext=" 23:.+((SYSTEM_STATE.+slice.+state.+changed )|(ment ac)|(multiple cpu faults)|(system.+state.+changed )|(\[timeout)|(PRM\|1\|D)|(kpr)|(kdp)|(train.+moving)|(\|lc)|(penalty))"</v>
      </c>
      <c r="AG110" s="1" t="str">
        <f t="shared" si="40"/>
        <v>EC</v>
      </c>
      <c r="AH110" s="81" t="str">
        <f t="shared" si="41"/>
        <v>"%USERPROFILE%\Documents\GitHub\eaglep3\Utilities\RefineRTDCRunTimes.py" --tripid 198-29 --locoid 4009 --swversion DE.1.0.9.0 --startMP 204:233028 --initTime 2017-04-29T16:23:44 --startdatetime 2017-04-29T16:41:18 --delay 1 --endMP 204:150 --enddatetime 2017-04-29T17:17:48 --enforcementcount 0 &gt;&gt;C:\Users\stu\Documents\GitHub\eaglep3-reporting\EC\2017-04-29-refined-times.txt</v>
      </c>
      <c r="AI110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{"issue":{"subject":"","project_id":79,"tracker_id":40,"status_id":1,"priority_id":2,"assigned_to_id":23,"start_date":"2017-04-29","description":"","custom_fields":[{"id":1,"name":"Subdivision","value":"EC"},{"id":4,"name":"Milepost","value":"0.015"},{"id":17,"name":"Train ID","value":"198-29"},{"id":16,"name":"Locomotive ID","value":"4009"},{"id":130,"name":"Impact","value":""},{"id":150,"name":"Time of Event (Mountain Time)","value":"17:17:48"},{"id":151,"name":"Denver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3"/>
        <v>start /low /b %USERPROFILE%\Documents\GitHub\eaglep3\Utilities\DownloadLogsFromS3.py --loco 4009 --day 2017-04-29</v>
      </c>
      <c r="AN110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23:17:48"},{"id":29,"name":"Sharepoint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736</v>
      </c>
      <c r="B111" s="7">
        <v>4004</v>
      </c>
      <c r="C111" s="21" t="s">
        <v>212</v>
      </c>
      <c r="D111" s="21" t="s">
        <v>469</v>
      </c>
      <c r="E111" s="13">
        <v>42854.663344907407</v>
      </c>
      <c r="F111" s="13">
        <v>42854.666851851849</v>
      </c>
      <c r="G111" s="7">
        <v>1</v>
      </c>
      <c r="H111" s="21" t="s">
        <v>922</v>
      </c>
      <c r="I111" s="13">
        <v>42854.691678240742</v>
      </c>
      <c r="J111" s="7">
        <v>0</v>
      </c>
      <c r="K111" s="92" t="str">
        <f t="shared" si="28"/>
        <v>4003/4004</v>
      </c>
      <c r="L111" s="21" t="str">
        <f>VLOOKUP(A111,'Trips&amp;Operators'!$C$1:$G$99999,5,FALSE)</f>
        <v>MCREYNOLDS KYLE</v>
      </c>
      <c r="M111" s="6">
        <f t="shared" si="29"/>
        <v>2.4826388893416151E-2</v>
      </c>
      <c r="N111" s="7">
        <f t="shared" si="45"/>
        <v>35.750000006519258</v>
      </c>
      <c r="O111" s="7"/>
      <c r="P111" s="7"/>
      <c r="Q111" s="22"/>
      <c r="R111" s="190"/>
      <c r="S111" s="196">
        <f t="shared" si="30"/>
        <v>1</v>
      </c>
      <c r="T111" s="190" t="str">
        <f t="shared" si="31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32"/>
        <v>https://d0f6bd738d7f1b3e5a7ca70fe4ff75f0.us-east-1.aws.found.io/app/kibana#/discover/Steve-Slow-Train-Analysis-(2080s-and-2083s)?_g=(refreshInterval:(display:Off,pause:!f,section:0,value:0),time:(from:'2017-04-29T14:55:13-0600',mode:absolute,to:'2017-04-29T17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1" s="192" t="str">
        <f t="shared" si="33"/>
        <v>N</v>
      </c>
      <c r="X111" s="192">
        <f t="shared" si="46"/>
        <v>1</v>
      </c>
      <c r="Y111" s="192">
        <f t="shared" si="34"/>
        <v>4.3700000000000003E-2</v>
      </c>
      <c r="Z111" s="192">
        <f t="shared" si="35"/>
        <v>23.3353</v>
      </c>
      <c r="AA111" s="192">
        <f t="shared" si="36"/>
        <v>23.291599999999999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7"/>
        <v>0199-29</v>
      </c>
      <c r="AE111" s="80" t="str">
        <f t="shared" si="38"/>
        <v>aws s3 cp s3://rtdc.mdm.uploadarchive.raw/RTDC4004/ "%USERPROFILE%\AppData\Local\Temp\OnboardLogs"\RTDC4004\2017-04-29 --exclude "*" --recursive --include "*20170429*" &amp; "%USERPROFILE%\Documents\GitHub\mrs-test-scripts\Headless Mode &amp; Sideloading\WalkAndUnGZ.bat" "%USERPROFILE%\AppData\Local\Temp\OnboardLogs"\RTDC4004\2017-04-29 &amp; aws s3 cp s3://rtdc.mdm.uploadarchive.raw/RTDC4004/ "%USERPROFILE%\AppData\Local\Temp\OnboardLogs"\RTDC4004\2017-04-30 --exclude "*" --recursive --include "*20170430*" &amp; "%USERPROFILE%\Documents\GitHub\mrs-test-scripts\Headless Mode &amp; Sideloading\WalkAndUnGZ.bat" "%USERPROFILE%\AppData\Local\Temp\OnboardLogs"\RTDC4004\2017-04-30</v>
      </c>
      <c r="AF111" s="77" t="str">
        <f t="shared" si="39"/>
        <v>"C:\Program Files (x86)\AstroGrep\AstroGrep.exe" /e /r /s /spath="%USERPROFILE%\AppData\Local\Temp\OnboardLogs" /stypes="app*4004*20170429*" /stext=" 22:.+((SYSTEM_STATE.+slice.+state.+changed )|(ment ac)|(multiple cpu faults)|(system.+state.+changed )|(\[timeout)|(PRM\|1\|D)|(kpr)|(kdp)|(train.+moving)|(\|lc)|(penalty))"</v>
      </c>
      <c r="AG111" s="1" t="str">
        <f t="shared" si="40"/>
        <v>EC</v>
      </c>
      <c r="AH111" s="81" t="str">
        <f t="shared" si="41"/>
        <v>"%USERPROFILE%\Documents\GitHub\eaglep3\Utilities\RefineRTDCRunTimes.py" --tripid 199-29 --locoid 4004 --swversion DE.1.0.9.0 --startMP 204:437 --initTime 2017-04-29T15:55:13 --startdatetime 2017-04-29T16:00:16 --delay 1 --endMP 204:233353 --enddatetime 2017-04-29T16:36:01 --enforcementcount 0 &gt;&gt;C:\Users\stu\Documents\GitHub\eaglep3-reporting\EC\2017-04-29-refined-times.txt</v>
      </c>
      <c r="AI111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{"issue":{"subject":"","project_id":79,"tracker_id":40,"status_id":1,"priority_id":2,"assigned_to_id":23,"start_date":"2017-04-29","description":"","custom_fields":[{"id":1,"name":"Subdivision","value":"EC"},{"id":4,"name":"Milepost","value":"23.3353"},{"id":17,"name":"Train ID","value":"199-29"},{"id":16,"name":"Locomotive ID","value":"4004"},{"id":130,"name":"Impact","value":""},{"id":150,"name":"Time of Event (Mountain Time)","value":"16:36:01"},{"id":151,"name":"Denver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3"/>
        <v>start /low /b %USERPROFILE%\Documents\GitHub\eaglep3\Utilities\DownloadLogsFromS3.py --loco 4004 --day 2017-04-29</v>
      </c>
      <c r="AN111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22:36:01"},{"id":29,"name":"Sharepoint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744</v>
      </c>
      <c r="B112" s="7">
        <v>4003</v>
      </c>
      <c r="C112" s="21" t="s">
        <v>212</v>
      </c>
      <c r="D112" s="21" t="s">
        <v>537</v>
      </c>
      <c r="E112" s="13">
        <v>42854.698368055557</v>
      </c>
      <c r="F112" s="13">
        <v>42854.705775462964</v>
      </c>
      <c r="G112" s="7">
        <v>1</v>
      </c>
      <c r="H112" s="21" t="s">
        <v>389</v>
      </c>
      <c r="I112" s="13">
        <v>42854.73232638889</v>
      </c>
      <c r="J112" s="7">
        <v>0</v>
      </c>
      <c r="K112" s="92" t="str">
        <f t="shared" si="28"/>
        <v>4003/4004</v>
      </c>
      <c r="L112" s="21" t="str">
        <f>VLOOKUP(A112,'Trips&amp;Operators'!$C$1:$G$99999,5,FALSE)</f>
        <v>MCREYNOLDS KYLE</v>
      </c>
      <c r="M112" s="6">
        <f t="shared" si="29"/>
        <v>2.6550925926130731E-2</v>
      </c>
      <c r="N112" s="7">
        <f t="shared" si="45"/>
        <v>38.233333333628252</v>
      </c>
      <c r="O112" s="7"/>
      <c r="P112" s="7"/>
      <c r="Q112" s="22"/>
      <c r="R112" s="190"/>
      <c r="S112" s="196">
        <f t="shared" si="30"/>
        <v>1</v>
      </c>
      <c r="T112" s="190" t="str">
        <f t="shared" si="31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32"/>
        <v>https://d0f6bd738d7f1b3e5a7ca70fe4ff75f0.us-east-1.aws.found.io/app/kibana#/discover/Steve-Slow-Train-Analysis-(2080s-and-2083s)?_g=(refreshInterval:(display:Off,pause:!f,section:0,value:0),time:(from:'2017-04-29T15:45:39-0600',mode:absolute,to:'2017-04-29T18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2" s="192" t="str">
        <f t="shared" si="33"/>
        <v>N</v>
      </c>
      <c r="X112" s="192">
        <f t="shared" si="46"/>
        <v>1</v>
      </c>
      <c r="Y112" s="192">
        <f t="shared" si="34"/>
        <v>23.302800000000001</v>
      </c>
      <c r="Z112" s="192">
        <f t="shared" si="35"/>
        <v>1.6E-2</v>
      </c>
      <c r="AA112" s="192">
        <f t="shared" si="36"/>
        <v>23.286800000000003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7"/>
        <v>0200-29</v>
      </c>
      <c r="AE112" s="80" t="str">
        <f t="shared" si="38"/>
        <v>aws s3 cp s3://rtdc.mdm.uploadarchive.raw/RTDC4003/ "%USERPROFILE%\AppData\Local\Temp\OnboardLogs"\RTDC4003\2017-04-29 --exclude "*" --recursive --include "*20170429*" &amp; "%USERPROFILE%\Documents\GitHub\mrs-test-scripts\Headless Mode &amp; Sideloading\WalkAndUnGZ.bat" "%USERPROFILE%\AppData\Local\Temp\OnboardLogs"\RTDC4003\2017-04-29 &amp; aws s3 cp s3://rtdc.mdm.uploadarchive.raw/RTDC4003/ "%USERPROFILE%\AppData\Local\Temp\OnboardLogs"\RTDC4003\2017-04-30 --exclude "*" --recursive --include "*20170430*" &amp; "%USERPROFILE%\Documents\GitHub\mrs-test-scripts\Headless Mode &amp; Sideloading\WalkAndUnGZ.bat" "%USERPROFILE%\AppData\Local\Temp\OnboardLogs"\RTDC4003\2017-04-30</v>
      </c>
      <c r="AF112" s="77" t="str">
        <f t="shared" si="39"/>
        <v>"C:\Program Files (x86)\AstroGrep\AstroGrep.exe" /e /r /s /spath="%USERPROFILE%\AppData\Local\Temp\OnboardLogs" /stypes="app*4003*20170429*" /stext=" 23:.+((SYSTEM_STATE.+slice.+state.+changed )|(ment ac)|(multiple cpu faults)|(system.+state.+changed )|(\[timeout)|(PRM\|1\|D)|(kpr)|(kdp)|(train.+moving)|(\|lc)|(penalty))"</v>
      </c>
      <c r="AG112" s="1" t="str">
        <f t="shared" si="40"/>
        <v>EC</v>
      </c>
      <c r="AH112" s="81" t="str">
        <f t="shared" si="41"/>
        <v>"%USERPROFILE%\Documents\GitHub\eaglep3\Utilities\RefineRTDCRunTimes.py" --tripid 200-29 --locoid 4003 --swversion DE.1.0.9.0 --startMP 204:233028 --initTime 2017-04-29T16:45:39 --startdatetime 2017-04-29T16:56:19 --delay 1 --endMP 204:160 --enddatetime 2017-04-29T17:34:33 --enforcementcount 0 &gt;&gt;C:\Users\stu\Documents\GitHub\eaglep3-reporting\EC\2017-04-29-refined-times.txt</v>
      </c>
      <c r="AI112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{"issue":{"subject":"","project_id":79,"tracker_id":40,"status_id":1,"priority_id":2,"assigned_to_id":23,"start_date":"2017-04-29","description":"","custom_fields":[{"id":1,"name":"Subdivision","value":"EC"},{"id":4,"name":"Milepost","value":"0.016"},{"id":17,"name":"Train ID","value":"200-29"},{"id":16,"name":"Locomotive ID","value":"4003"},{"id":130,"name":"Impact","value":""},{"id":150,"name":"Time of Event (Mountain Time)","value":"17:34:33"},{"id":151,"name":"Denver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3"/>
        <v>start /low /b %USERPROFILE%\Documents\GitHub\eaglep3\Utilities\DownloadLogsFromS3.py --loco 4003 --day 2017-04-29</v>
      </c>
      <c r="AN112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23:34:33"},{"id":29,"name":"Sharepoint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738</v>
      </c>
      <c r="B113" s="7">
        <v>4026</v>
      </c>
      <c r="C113" s="21" t="s">
        <v>212</v>
      </c>
      <c r="D113" s="21" t="s">
        <v>443</v>
      </c>
      <c r="E113" s="13">
        <v>42854.672708333332</v>
      </c>
      <c r="F113" s="13">
        <v>42854.677453703705</v>
      </c>
      <c r="G113" s="7">
        <v>1</v>
      </c>
      <c r="H113" s="21" t="s">
        <v>468</v>
      </c>
      <c r="I113" s="13">
        <v>42854.702141203707</v>
      </c>
      <c r="J113" s="7">
        <v>0</v>
      </c>
      <c r="K113" s="92" t="str">
        <f t="shared" si="28"/>
        <v>4025/4026</v>
      </c>
      <c r="L113" s="21" t="str">
        <f>VLOOKUP(A113,'Trips&amp;Operators'!$C$1:$G$99999,5,FALSE)</f>
        <v>STEWART MICHAEL</v>
      </c>
      <c r="M113" s="6">
        <f t="shared" si="29"/>
        <v>2.4687500001164153E-2</v>
      </c>
      <c r="N113" s="7">
        <f t="shared" si="45"/>
        <v>35.550000001676381</v>
      </c>
      <c r="O113" s="7"/>
      <c r="P113" s="7"/>
      <c r="Q113" s="22"/>
      <c r="R113" s="190"/>
      <c r="S113" s="196">
        <f t="shared" si="30"/>
        <v>1</v>
      </c>
      <c r="T113" s="190" t="str">
        <f t="shared" si="31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32"/>
        <v>https://d0f6bd738d7f1b3e5a7ca70fe4ff75f0.us-east-1.aws.found.io/app/kibana#/discover/Steve-Slow-Train-Analysis-(2080s-and-2083s)?_g=(refreshInterval:(display:Off,pause:!f,section:0,value:0),time:(from:'2017-04-29T15:08:42-0600',mode:absolute,to:'2017-04-29T17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3" s="192" t="str">
        <f t="shared" si="33"/>
        <v>N</v>
      </c>
      <c r="X113" s="192">
        <f t="shared" si="46"/>
        <v>1</v>
      </c>
      <c r="Y113" s="192">
        <f t="shared" si="34"/>
        <v>4.7100000000000003E-2</v>
      </c>
      <c r="Z113" s="192">
        <f t="shared" si="35"/>
        <v>23.3307</v>
      </c>
      <c r="AA113" s="192">
        <f t="shared" si="36"/>
        <v>23.2836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7"/>
        <v>0201-29</v>
      </c>
      <c r="AE113" s="80" t="str">
        <f t="shared" si="38"/>
        <v>aws s3 cp s3://rtdc.mdm.uploadarchive.raw/RTDC4026/ "%USERPROFILE%\AppData\Local\Temp\OnboardLogs"\RTDC4026\2017-04-29 --exclude "*" --recursive --include "*20170429*" &amp; "%USERPROFILE%\Documents\GitHub\mrs-test-scripts\Headless Mode &amp; Sideloading\WalkAndUnGZ.bat" "%USERPROFILE%\AppData\Local\Temp\OnboardLogs"\RTDC4026\2017-04-29 &amp; 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</v>
      </c>
      <c r="AF113" s="77" t="str">
        <f t="shared" si="39"/>
        <v>"C:\Program Files (x86)\AstroGrep\AstroGrep.exe" /e /r /s /spath="%USERPROFILE%\AppData\Local\Temp\OnboardLogs" /stypes="app*4026*20170429*" /stext=" 22:.+((SYSTEM_STATE.+slice.+state.+changed )|(ment ac)|(multiple cpu faults)|(system.+state.+changed )|(\[timeout)|(PRM\|1\|D)|(kpr)|(kdp)|(train.+moving)|(\|lc)|(penalty))"</v>
      </c>
      <c r="AG113" s="1" t="str">
        <f t="shared" si="40"/>
        <v>EC</v>
      </c>
      <c r="AH113" s="81" t="str">
        <f t="shared" si="41"/>
        <v>"%USERPROFILE%\Documents\GitHub\eaglep3\Utilities\RefineRTDCRunTimes.py" --tripid 201-29 --locoid 4026 --swversion DE.1.0.9.0 --startMP 204:471 --initTime 2017-04-29T16:08:42 --startdatetime 2017-04-29T16:15:32 --delay 1 --endMP 204:233307 --enddatetime 2017-04-29T16:51:05 --enforcementcount 0 &gt;&gt;C:\Users\stu\Documents\GitHub\eaglep3-reporting\EC\2017-04-29-refined-times.txt</v>
      </c>
      <c r="AI113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{"issue":{"subject":"","project_id":79,"tracker_id":40,"status_id":1,"priority_id":2,"assigned_to_id":23,"start_date":"2017-04-29","description":"","custom_fields":[{"id":1,"name":"Subdivision","value":"EC"},{"id":4,"name":"Milepost","value":"23.3307"},{"id":17,"name":"Train ID","value":"201-29"},{"id":16,"name":"Locomotive ID","value":"4026"},{"id":130,"name":"Impact","value":""},{"id":150,"name":"Time of Event (Mountain Time)","value":"16:51:05"},{"id":151,"name":"Denver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3"/>
        <v>start /low /b %USERPROFILE%\Documents\GitHub\eaglep3\Utilities\DownloadLogsFromS3.py --loco 4026 --day 2017-04-29</v>
      </c>
      <c r="AN113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22:51:05"},{"id":29,"name":"Sharepoint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747</v>
      </c>
      <c r="B114" s="7">
        <v>4025</v>
      </c>
      <c r="C114" s="21" t="s">
        <v>212</v>
      </c>
      <c r="D114" s="21" t="s">
        <v>474</v>
      </c>
      <c r="E114" s="13">
        <v>42854.711944444447</v>
      </c>
      <c r="F114" s="13">
        <v>42854.716145833336</v>
      </c>
      <c r="G114" s="7">
        <v>1</v>
      </c>
      <c r="H114" s="21" t="s">
        <v>475</v>
      </c>
      <c r="I114" s="13">
        <v>42854.74422453704</v>
      </c>
      <c r="J114" s="7">
        <v>0</v>
      </c>
      <c r="K114" s="92" t="str">
        <f t="shared" si="28"/>
        <v>4025/4026</v>
      </c>
      <c r="L114" s="21" t="str">
        <f>VLOOKUP(A114,'Trips&amp;Operators'!$C$1:$G$99999,5,FALSE)</f>
        <v>STEWART MICHAEL</v>
      </c>
      <c r="M114" s="6">
        <f t="shared" si="29"/>
        <v>2.8078703704522923E-2</v>
      </c>
      <c r="N114" s="7">
        <f t="shared" si="45"/>
        <v>40.433333334513009</v>
      </c>
      <c r="O114" s="7"/>
      <c r="P114" s="7"/>
      <c r="Q114" s="22"/>
      <c r="R114" s="190"/>
      <c r="S114" s="196">
        <f t="shared" si="30"/>
        <v>1</v>
      </c>
      <c r="T114" s="190" t="str">
        <f t="shared" si="31"/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32"/>
        <v>https://d0f6bd738d7f1b3e5a7ca70fe4ff75f0.us-east-1.aws.found.io/app/kibana#/discover/Steve-Slow-Train-Analysis-(2080s-and-2083s)?_g=(refreshInterval:(display:Off,pause:!f,section:0,value:0),time:(from:'2017-04-29T16:05:12-0600',mode:absolute,to:'2017-04-29T18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4" s="192" t="str">
        <f t="shared" si="33"/>
        <v>N</v>
      </c>
      <c r="X114" s="192">
        <f t="shared" si="46"/>
        <v>1</v>
      </c>
      <c r="Y114" s="192">
        <f t="shared" si="34"/>
        <v>23.2973</v>
      </c>
      <c r="Z114" s="192">
        <f t="shared" si="35"/>
        <v>1.7000000000000001E-2</v>
      </c>
      <c r="AA114" s="192">
        <f t="shared" si="36"/>
        <v>23.2803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7"/>
        <v>0202-29</v>
      </c>
      <c r="AE114" s="80" t="str">
        <f t="shared" si="38"/>
        <v>aws s3 cp s3://rtdc.mdm.uploadarchive.raw/RTDC4025/ "%USERPROFILE%\AppData\Local\Temp\OnboardLogs"\RTDC4025\2017-04-29 --exclude "*" --recursive --include "*20170429*" &amp; "%USERPROFILE%\Documents\GitHub\mrs-test-scripts\Headless Mode &amp; Sideloading\WalkAndUnGZ.bat" "%USERPROFILE%\AppData\Local\Temp\OnboardLogs"\RTDC4025\2017-04-29 &amp; 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</v>
      </c>
      <c r="AF114" s="77" t="str">
        <f t="shared" si="39"/>
        <v>"C:\Program Files (x86)\AstroGrep\AstroGrep.exe" /e /r /s /spath="%USERPROFILE%\AppData\Local\Temp\OnboardLogs" /stypes="app*4025*20170429*" /stext=" 23:.+((SYSTEM_STATE.+slice.+state.+changed )|(ment ac)|(multiple cpu faults)|(system.+state.+changed )|(\[timeout)|(PRM\|1\|D)|(kpr)|(kdp)|(train.+moving)|(\|lc)|(penalty))"</v>
      </c>
      <c r="AG114" s="1" t="str">
        <f t="shared" si="40"/>
        <v>EC</v>
      </c>
      <c r="AH114" s="81" t="str">
        <f t="shared" si="41"/>
        <v>"%USERPROFILE%\Documents\GitHub\eaglep3\Utilities\RefineRTDCRunTimes.py" --tripid 202-29 --locoid 4025 --swversion DE.1.0.9.0 --startMP 204:232973 --initTime 2017-04-29T17:05:12 --startdatetime 2017-04-29T17:11:15 --delay 1 --endMP 204:170 --enddatetime 2017-04-29T17:51:41 --enforcementcount 0 &gt;&gt;C:\Users\stu\Documents\GitHub\eaglep3-reporting\EC\2017-04-29-refined-times.txt</v>
      </c>
      <c r="AI114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{"issue":{"subject":"","project_id":79,"tracker_id":40,"status_id":1,"priority_id":2,"assigned_to_id":23,"start_date":"2017-04-29","description":"","custom_fields":[{"id":1,"name":"Subdivision","value":"EC"},{"id":4,"name":"Milepost","value":"0.017"},{"id":17,"name":"Train ID","value":"202-29"},{"id":16,"name":"Locomotive ID","value":"4025"},{"id":130,"name":"Impact","value":""},{"id":150,"name":"Time of Event (Mountain Time)","value":"17:51:41"},{"id":151,"name":"Denver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3"/>
        <v>start /low /b %USERPROFILE%\Documents\GitHub\eaglep3\Utilities\DownloadLogsFromS3.py --loco 4025 --day 2017-04-29</v>
      </c>
      <c r="AN114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23:51:41"},{"id":29,"name":"Sharepoint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741</v>
      </c>
      <c r="B115" s="7">
        <v>4002</v>
      </c>
      <c r="C115" s="21" t="s">
        <v>212</v>
      </c>
      <c r="D115" s="21" t="s">
        <v>428</v>
      </c>
      <c r="E115" s="13">
        <v>42854.684259259258</v>
      </c>
      <c r="F115" s="13">
        <v>42854.687789351854</v>
      </c>
      <c r="G115" s="7">
        <v>1</v>
      </c>
      <c r="H115" s="21" t="s">
        <v>528</v>
      </c>
      <c r="I115" s="13">
        <v>42854.713599537034</v>
      </c>
      <c r="J115" s="7">
        <v>0</v>
      </c>
      <c r="K115" s="92" t="str">
        <f t="shared" si="28"/>
        <v>4001/4002</v>
      </c>
      <c r="L115" s="21" t="str">
        <f>VLOOKUP(A115,'Trips&amp;Operators'!$C$1:$G$99999,5,FALSE)</f>
        <v>DAVIS MICHAEL</v>
      </c>
      <c r="M115" s="6">
        <f t="shared" si="29"/>
        <v>2.5810185179580003E-2</v>
      </c>
      <c r="N115" s="7">
        <f t="shared" si="45"/>
        <v>37.166666658595204</v>
      </c>
      <c r="O115" s="7"/>
      <c r="P115" s="7"/>
      <c r="Q115" s="22"/>
      <c r="R115" s="190"/>
      <c r="S115" s="196">
        <f t="shared" si="30"/>
        <v>1</v>
      </c>
      <c r="T115" s="190" t="str">
        <f t="shared" si="31"/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32"/>
        <v>https://d0f6bd738d7f1b3e5a7ca70fe4ff75f0.us-east-1.aws.found.io/app/kibana#/discover/Steve-Slow-Train-Analysis-(2080s-and-2083s)?_g=(refreshInterval:(display:Off,pause:!f,section:0,value:0),time:(from:'2017-04-29T15:25:20-0600',mode:absolute,to:'2017-04-29T18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5" s="192" t="str">
        <f t="shared" si="33"/>
        <v>N</v>
      </c>
      <c r="X115" s="192">
        <f t="shared" si="46"/>
        <v>1</v>
      </c>
      <c r="Y115" s="192">
        <f t="shared" si="34"/>
        <v>4.5100000000000001E-2</v>
      </c>
      <c r="Z115" s="192">
        <f t="shared" si="35"/>
        <v>23.330200000000001</v>
      </c>
      <c r="AA115" s="192">
        <f t="shared" si="36"/>
        <v>23.2851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7"/>
        <v>0203-29</v>
      </c>
      <c r="AE115" s="80" t="str">
        <f t="shared" si="38"/>
        <v>aws s3 cp s3://rtdc.mdm.uploadarchive.raw/RTDC4002/ "%USERPROFILE%\AppData\Local\Temp\OnboardLogs"\RTDC4002\2017-04-29 --exclude "*" --recursive --include "*20170429*" &amp; "%USERPROFILE%\Documents\GitHub\mrs-test-scripts\Headless Mode &amp; Sideloading\WalkAndUnGZ.bat" "%USERPROFILE%\AppData\Local\Temp\OnboardLogs"\RTDC4002\2017-04-29 &amp; aws s3 cp s3://rtdc.mdm.uploadarchive.raw/RTDC4002/ "%USERPROFILE%\AppData\Local\Temp\OnboardLogs"\RTDC4002\2017-04-30 --exclude "*" --recursive --include "*20170430*" &amp; "%USERPROFILE%\Documents\GitHub\mrs-test-scripts\Headless Mode &amp; Sideloading\WalkAndUnGZ.bat" "%USERPROFILE%\AppData\Local\Temp\OnboardLogs"\RTDC4002\2017-04-30</v>
      </c>
      <c r="AF115" s="77" t="str">
        <f t="shared" si="39"/>
        <v>"C:\Program Files (x86)\AstroGrep\AstroGrep.exe" /e /r /s /spath="%USERPROFILE%\AppData\Local\Temp\OnboardLogs" /stypes="app*4002*20170429*" /stext=" 23:.+((SYSTEM_STATE.+slice.+state.+changed )|(ment ac)|(multiple cpu faults)|(system.+state.+changed )|(\[timeout)|(PRM\|1\|D)|(kpr)|(kdp)|(train.+moving)|(\|lc)|(penalty))"</v>
      </c>
      <c r="AG115" s="1" t="str">
        <f t="shared" si="40"/>
        <v>EC</v>
      </c>
      <c r="AH115" s="81" t="str">
        <f t="shared" si="41"/>
        <v>"%USERPROFILE%\Documents\GitHub\eaglep3\Utilities\RefineRTDCRunTimes.py" --tripid 203-29 --locoid 4002 --swversion DE.1.0.9.0 --startMP 204:451 --initTime 2017-04-29T16:25:20 --startdatetime 2017-04-29T16:30:25 --delay 1 --endMP 204:233302 --enddatetime 2017-04-29T17:07:35 --enforcementcount 0 &gt;&gt;C:\Users\stu\Documents\GitHub\eaglep3-reporting\EC\2017-04-29-refined-times.txt</v>
      </c>
      <c r="AI115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{"issue":{"subject":"","project_id":79,"tracker_id":40,"status_id":1,"priority_id":2,"assigned_to_id":23,"start_date":"2017-04-29","description":"","custom_fields":[{"id":1,"name":"Subdivision","value":"EC"},{"id":4,"name":"Milepost","value":"23.3302"},{"id":17,"name":"Train ID","value":"203-29"},{"id":16,"name":"Locomotive ID","value":"4002"},{"id":130,"name":"Impact","value":""},{"id":150,"name":"Time of Event (Mountain Time)","value":"17:07:35"},{"id":151,"name":"Denver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3"/>
        <v>start /low /b %USERPROFILE%\Documents\GitHub\eaglep3\Utilities\DownloadLogsFromS3.py --loco 4002 --day 2017-04-29</v>
      </c>
      <c r="AN115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23:07:35"},{"id":29,"name":"Sharepoint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751</v>
      </c>
      <c r="B116" s="7">
        <v>4001</v>
      </c>
      <c r="C116" s="21" t="s">
        <v>212</v>
      </c>
      <c r="D116" s="21" t="s">
        <v>524</v>
      </c>
      <c r="E116" s="13">
        <v>42854.723865740743</v>
      </c>
      <c r="F116" s="13">
        <v>42854.726817129631</v>
      </c>
      <c r="G116" s="7">
        <v>1</v>
      </c>
      <c r="H116" s="21" t="s">
        <v>531</v>
      </c>
      <c r="I116" s="13">
        <v>42854.754791666666</v>
      </c>
      <c r="J116" s="7">
        <v>0</v>
      </c>
      <c r="K116" s="92" t="str">
        <f t="shared" si="28"/>
        <v>4001/4002</v>
      </c>
      <c r="L116" s="21" t="str">
        <f>VLOOKUP(A116,'Trips&amp;Operators'!$C$1:$G$99999,5,FALSE)</f>
        <v>DAVIS MICHAEL</v>
      </c>
      <c r="M116" s="6">
        <f t="shared" si="29"/>
        <v>2.7974537035333924E-2</v>
      </c>
      <c r="N116" s="7">
        <f t="shared" si="45"/>
        <v>40.283333330880851</v>
      </c>
      <c r="O116" s="7"/>
      <c r="P116" s="7"/>
      <c r="Q116" s="22"/>
      <c r="R116" s="190"/>
      <c r="S116" s="196">
        <f t="shared" si="30"/>
        <v>1</v>
      </c>
      <c r="T116" s="190" t="str">
        <f t="shared" si="31"/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32"/>
        <v>https://d0f6bd738d7f1b3e5a7ca70fe4ff75f0.us-east-1.aws.found.io/app/kibana#/discover/Steve-Slow-Train-Analysis-(2080s-and-2083s)?_g=(refreshInterval:(display:Off,pause:!f,section:0,value:0),time:(from:'2017-04-29T16:22:22-0600',mode:absolute,to:'2017-04-29T19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6" s="192" t="str">
        <f t="shared" si="33"/>
        <v>N</v>
      </c>
      <c r="X116" s="192">
        <f t="shared" si="46"/>
        <v>1</v>
      </c>
      <c r="Y116" s="192">
        <f t="shared" si="34"/>
        <v>23.296800000000001</v>
      </c>
      <c r="Z116" s="192">
        <f t="shared" si="35"/>
        <v>1.3599999999999999E-2</v>
      </c>
      <c r="AA116" s="192">
        <f t="shared" si="36"/>
        <v>23.283200000000001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7"/>
        <v>0204-29</v>
      </c>
      <c r="AE116" s="80" t="str">
        <f t="shared" si="38"/>
        <v>aws s3 cp s3://rtdc.mdm.uploadarchive.raw/RTDC4001/ "%USERPROFILE%\AppData\Local\Temp\OnboardLogs"\RTDC4001\2017-04-29 --exclude "*" --recursive --include "*20170429*" &amp; "%USERPROFILE%\Documents\GitHub\mrs-test-scripts\Headless Mode &amp; Sideloading\WalkAndUnGZ.bat" "%USERPROFILE%\AppData\Local\Temp\OnboardLogs"\RTDC4001\2017-04-29 &amp; aws s3 cp s3://rtdc.mdm.uploadarchive.raw/RTDC4001/ "%USERPROFILE%\AppData\Local\Temp\OnboardLogs"\RTDC4001\2017-04-30 --exclude "*" --recursive --include "*20170430*" &amp; "%USERPROFILE%\Documents\GitHub\mrs-test-scripts\Headless Mode &amp; Sideloading\WalkAndUnGZ.bat" "%USERPROFILE%\AppData\Local\Temp\OnboardLogs"\RTDC4001\2017-04-30</v>
      </c>
      <c r="AF116" s="77" t="str">
        <f t="shared" si="39"/>
        <v>"C:\Program Files (x86)\AstroGrep\AstroGrep.exe" /e /r /s /spath="%USERPROFILE%\AppData\Local\Temp\OnboardLogs" /stypes="app*4001*20170430*" /stext=" 00:.+((SYSTEM_STATE.+slice.+state.+changed )|(ment ac)|(multiple cpu faults)|(system.+state.+changed )|(\[timeout)|(PRM\|1\|D)|(kpr)|(kdp)|(train.+moving)|(\|lc)|(penalty))"</v>
      </c>
      <c r="AG116" s="1" t="str">
        <f t="shared" si="40"/>
        <v>EC</v>
      </c>
      <c r="AH116" s="81" t="str">
        <f t="shared" si="41"/>
        <v>"%USERPROFILE%\Documents\GitHub\eaglep3\Utilities\RefineRTDCRunTimes.py" --tripid 204-29 --locoid 4001 --swversion DE.1.0.9.0 --startMP 204:232968 --initTime 2017-04-29T17:22:22 --startdatetime 2017-04-29T17:26:37 --delay 1 --endMP 204:136 --enddatetime 2017-04-29T18:06:54 --enforcementcount 0 &gt;&gt;C:\Users\stu\Documents\GitHub\eaglep3-reporting\EC\2017-04-29-refined-times.txt</v>
      </c>
      <c r="AI116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{"issue":{"subject":"","project_id":79,"tracker_id":40,"status_id":1,"priority_id":2,"assigned_to_id":23,"start_date":"2017-04-29","description":"","custom_fields":[{"id":1,"name":"Subdivision","value":"EC"},{"id":4,"name":"Milepost","value":"0.0136"},{"id":17,"name":"Train ID","value":"204-29"},{"id":16,"name":"Locomotive ID","value":"4001"},{"id":130,"name":"Impact","value":""},{"id":150,"name":"Time of Event (Mountain Time)","value":"18:06:54"},{"id":151,"name":"Denver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3"/>
        <v>start /low /b %USERPROFILE%\Documents\GitHub\eaglep3\Utilities\DownloadLogsFromS3.py --loco 4001 --day 2017-04-29</v>
      </c>
      <c r="AN116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00:06:54"},{"id":29,"name":"Sharepoint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x14ac:dyDescent="0.25">
      <c r="A117" s="32" t="s">
        <v>742</v>
      </c>
      <c r="B117" s="7">
        <v>4022</v>
      </c>
      <c r="C117" s="21" t="s">
        <v>212</v>
      </c>
      <c r="D117" s="21" t="s">
        <v>527</v>
      </c>
      <c r="E117" s="13">
        <v>42854.692557870374</v>
      </c>
      <c r="F117" s="13">
        <v>42854.698078703703</v>
      </c>
      <c r="G117" s="7">
        <v>1</v>
      </c>
      <c r="H117" s="21" t="s">
        <v>435</v>
      </c>
      <c r="I117" s="13">
        <v>42854.722615740742</v>
      </c>
      <c r="J117" s="7">
        <v>0</v>
      </c>
      <c r="K117" s="92" t="str">
        <f t="shared" si="28"/>
        <v>4021/4022</v>
      </c>
      <c r="L117" s="21" t="str">
        <f>VLOOKUP(A117,'Trips&amp;Operators'!$C$1:$G$99999,5,FALSE)</f>
        <v>BRUDER RICHARD</v>
      </c>
      <c r="M117" s="6">
        <f t="shared" si="29"/>
        <v>2.453703703940846E-2</v>
      </c>
      <c r="N117" s="7">
        <f t="shared" si="45"/>
        <v>35.333333336748183</v>
      </c>
      <c r="O117" s="7"/>
      <c r="P117" s="7"/>
      <c r="Q117" s="22"/>
      <c r="R117" s="190"/>
      <c r="S117" s="196">
        <f t="shared" si="30"/>
        <v>1</v>
      </c>
      <c r="T117" s="190" t="str">
        <f t="shared" si="31"/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32"/>
        <v>https://d0f6bd738d7f1b3e5a7ca70fe4ff75f0.us-east-1.aws.found.io/app/kibana#/discover/Steve-Slow-Train-Analysis-(2080s-and-2083s)?_g=(refreshInterval:(display:Off,pause:!f,section:0,value:0),time:(from:'2017-04-29T15:37:17-0600',mode:absolute,to:'2017-04-29T18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7" s="192" t="str">
        <f t="shared" si="33"/>
        <v>N</v>
      </c>
      <c r="X117" s="192">
        <f t="shared" si="46"/>
        <v>1</v>
      </c>
      <c r="Y117" s="192">
        <f t="shared" si="34"/>
        <v>4.4400000000000002E-2</v>
      </c>
      <c r="Z117" s="192">
        <f t="shared" si="35"/>
        <v>23.329699999999999</v>
      </c>
      <c r="AA117" s="192">
        <f t="shared" si="36"/>
        <v>23.285299999999999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7"/>
        <v>0205-29</v>
      </c>
      <c r="AE117" s="80" t="str">
        <f t="shared" si="38"/>
        <v>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 &amp; 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</v>
      </c>
      <c r="AF117" s="77" t="str">
        <f t="shared" si="39"/>
        <v>"C:\Program Files (x86)\AstroGrep\AstroGrep.exe" /e /r /s /spath="%USERPROFILE%\AppData\Local\Temp\OnboardLogs" /stypes="app*4022*20170429*" /stext=" 23:.+((SYSTEM_STATE.+slice.+state.+changed )|(ment ac)|(multiple cpu faults)|(system.+state.+changed )|(\[timeout)|(PRM\|1\|D)|(kpr)|(kdp)|(train.+moving)|(\|lc)|(penalty))"</v>
      </c>
      <c r="AG117" s="1" t="str">
        <f t="shared" si="40"/>
        <v>EC</v>
      </c>
      <c r="AH117" s="81" t="str">
        <f t="shared" si="41"/>
        <v>"%USERPROFILE%\Documents\GitHub\eaglep3\Utilities\RefineRTDCRunTimes.py" --tripid 205-29 --locoid 4022 --swversion DE.1.0.9.0 --startMP 204:444 --initTime 2017-04-29T16:37:17 --startdatetime 2017-04-29T16:45:14 --delay 1 --endMP 204:233297 --enddatetime 2017-04-29T17:20:34 --enforcementcount 0 &gt;&gt;C:\Users\stu\Documents\GitHub\eaglep3-reporting\EC\2017-04-29-refined-times.txt</v>
      </c>
      <c r="AI117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{"issue":{"subject":"","project_id":79,"tracker_id":40,"status_id":1,"priority_id":2,"assigned_to_id":23,"start_date":"2017-04-29","description":"","custom_fields":[{"id":1,"name":"Subdivision","value":"EC"},{"id":4,"name":"Milepost","value":"23.3297"},{"id":17,"name":"Train ID","value":"205-29"},{"id":16,"name":"Locomotive ID","value":"4022"},{"id":130,"name":"Impact","value":""},{"id":150,"name":"Time of Event (Mountain Time)","value":"17:20:34"},{"id":151,"name":"Denver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20"/>
      <c r="AK117" s="47"/>
      <c r="AL117" s="47"/>
      <c r="AM117" s="145" t="str">
        <f t="shared" si="43"/>
        <v>start /low /b %USERPROFILE%\Documents\GitHub\eaglep3\Utilities\DownloadLogsFromS3.py --loco 4022 --day 2017-04-29</v>
      </c>
      <c r="AN117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23:20:34"},{"id":29,"name":"Sharepoint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8" spans="1:91" s="20" customFormat="1" x14ac:dyDescent="0.25">
      <c r="A118" s="32" t="s">
        <v>752</v>
      </c>
      <c r="B118" s="7">
        <v>4021</v>
      </c>
      <c r="C118" s="21" t="s">
        <v>212</v>
      </c>
      <c r="D118" s="21" t="s">
        <v>375</v>
      </c>
      <c r="E118" s="13">
        <v>42854.733067129629</v>
      </c>
      <c r="F118" s="13">
        <v>42854.737025462964</v>
      </c>
      <c r="G118" s="7">
        <v>1</v>
      </c>
      <c r="H118" s="21" t="s">
        <v>411</v>
      </c>
      <c r="I118" s="13">
        <v>42854.762974537036</v>
      </c>
      <c r="J118" s="7">
        <v>0</v>
      </c>
      <c r="K118" s="92" t="str">
        <f t="shared" si="28"/>
        <v>4021/4022</v>
      </c>
      <c r="L118" s="21" t="str">
        <f>VLOOKUP(A118,'Trips&amp;Operators'!$C$1:$G$99999,5,FALSE)</f>
        <v>BRUDER RICHARD</v>
      </c>
      <c r="M118" s="6">
        <f t="shared" si="29"/>
        <v>2.5949074071832001E-2</v>
      </c>
      <c r="N118" s="7">
        <f t="shared" si="45"/>
        <v>37.366666663438082</v>
      </c>
      <c r="O118" s="7"/>
      <c r="P118" s="7"/>
      <c r="Q118" s="22"/>
      <c r="R118" s="190"/>
      <c r="S118" s="196">
        <f t="shared" si="30"/>
        <v>1</v>
      </c>
      <c r="T118" s="190" t="str">
        <f t="shared" si="31"/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32"/>
        <v>https://d0f6bd738d7f1b3e5a7ca70fe4ff75f0.us-east-1.aws.found.io/app/kibana#/discover/Steve-Slow-Train-Analysis-(2080s-and-2083s)?_g=(refreshInterval:(display:Off,pause:!f,section:0,value:0),time:(from:'2017-04-29T16:35:37-0600',mode:absolute,to:'2017-04-29T19:18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8" s="192" t="str">
        <f t="shared" si="33"/>
        <v>N</v>
      </c>
      <c r="X118" s="192">
        <f t="shared" si="46"/>
        <v>1</v>
      </c>
      <c r="Y118" s="192">
        <f t="shared" si="34"/>
        <v>23.297699999999999</v>
      </c>
      <c r="Z118" s="192">
        <f t="shared" si="35"/>
        <v>1.4999999999999999E-2</v>
      </c>
      <c r="AA118" s="192">
        <f t="shared" si="36"/>
        <v>23.282699999999998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7"/>
        <v>0206-29</v>
      </c>
      <c r="AE118" s="80" t="str">
        <f t="shared" si="38"/>
        <v>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 &amp; aws s3 cp s3://rtdc.mdm.uploadarchive.raw/RTDC4021/ "%USERPROFILE%\AppData\Local\Temp\OnboardLogs"\RTDC4021\2017-04-30 --exclude "*" --recursive --include "*20170430*" &amp; "%USERPROFILE%\Documents\GitHub\mrs-test-scripts\Headless Mode &amp; Sideloading\WalkAndUnGZ.bat" "%USERPROFILE%\AppData\Local\Temp\OnboardLogs"\RTDC4021\2017-04-30</v>
      </c>
      <c r="AF118" s="77" t="str">
        <f t="shared" si="39"/>
        <v>"C:\Program Files (x86)\AstroGrep\AstroGrep.exe" /e /r /s /spath="%USERPROFILE%\AppData\Local\Temp\OnboardLogs" /stypes="app*4021*20170430*" /stext=" 00:.+((SYSTEM_STATE.+slice.+state.+changed )|(ment ac)|(multiple cpu faults)|(system.+state.+changed )|(\[timeout)|(PRM\|1\|D)|(kpr)|(kdp)|(train.+moving)|(\|lc)|(penalty))"</v>
      </c>
      <c r="AG118" s="1" t="str">
        <f t="shared" si="40"/>
        <v>EC</v>
      </c>
      <c r="AH118" s="81" t="str">
        <f t="shared" si="41"/>
        <v>"%USERPROFILE%\Documents\GitHub\eaglep3\Utilities\RefineRTDCRunTimes.py" --tripid 206-29 --locoid 4021 --swversion DE.1.0.9.0 --startMP 204:232977 --initTime 2017-04-29T17:35:37 --startdatetime 2017-04-29T17:41:19 --delay 1 --endMP 204:150 --enddatetime 2017-04-29T18:18:41 --enforcementcount 0 &gt;&gt;C:\Users\stu\Documents\GitHub\eaglep3-reporting\EC\2017-04-29-refined-times.txt</v>
      </c>
      <c r="AI118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{"issue":{"subject":"","project_id":79,"tracker_id":40,"status_id":1,"priority_id":2,"assigned_to_id":23,"start_date":"2017-04-29","description":"","custom_fields":[{"id":1,"name":"Subdivision","value":"EC"},{"id":4,"name":"Milepost","value":"0.015"},{"id":17,"name":"Train ID","value":"206-29"},{"id":16,"name":"Locomotive ID","value":"4021"},{"id":130,"name":"Impact","value":""},{"id":150,"name":"Time of Event (Mountain Time)","value":"18:18:41"},{"id":151,"name":"Denver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3"/>
        <v>start /low /b %USERPROFILE%\Documents\GitHub\eaglep3\Utilities\DownloadLogsFromS3.py --loco 4021 --day 2017-04-29</v>
      </c>
      <c r="AN118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00:18:41"},{"id":29,"name":"Sharepoint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745</v>
      </c>
      <c r="B119" s="7">
        <v>4008</v>
      </c>
      <c r="C119" s="21" t="s">
        <v>212</v>
      </c>
      <c r="D119" s="21" t="s">
        <v>543</v>
      </c>
      <c r="E119" s="13">
        <v>42854.704699074071</v>
      </c>
      <c r="F119" s="13">
        <v>42854.708726851852</v>
      </c>
      <c r="G119" s="7">
        <v>1</v>
      </c>
      <c r="H119" s="21" t="s">
        <v>528</v>
      </c>
      <c r="I119" s="13">
        <v>42854.734988425924</v>
      </c>
      <c r="J119" s="7">
        <v>0</v>
      </c>
      <c r="K119" s="92" t="str">
        <f t="shared" si="28"/>
        <v>4007/4008</v>
      </c>
      <c r="L119" s="21" t="str">
        <f>VLOOKUP(A119,'Trips&amp;Operators'!$C$1:$G$99999,5,FALSE)</f>
        <v>BRANDNER MELINDA</v>
      </c>
      <c r="M119" s="6">
        <f t="shared" si="29"/>
        <v>2.626157407212304E-2</v>
      </c>
      <c r="N119" s="7">
        <f t="shared" si="45"/>
        <v>37.816666663857177</v>
      </c>
      <c r="O119" s="7"/>
      <c r="P119" s="7"/>
      <c r="Q119" s="22"/>
      <c r="R119" s="190"/>
      <c r="S119" s="196">
        <f t="shared" si="30"/>
        <v>1</v>
      </c>
      <c r="T119" s="190" t="str">
        <f t="shared" si="31"/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32"/>
        <v>https://d0f6bd738d7f1b3e5a7ca70fe4ff75f0.us-east-1.aws.found.io/app/kibana#/discover/Steve-Slow-Train-Analysis-(2080s-and-2083s)?_g=(refreshInterval:(display:Off,pause:!f,section:0,value:0),time:(from:'2017-04-29T15:54:46-0600',mode:absolute,to:'2017-04-29T18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9" s="192" t="str">
        <f t="shared" si="33"/>
        <v>N</v>
      </c>
      <c r="X119" s="192">
        <f t="shared" si="46"/>
        <v>1</v>
      </c>
      <c r="Y119" s="192">
        <f t="shared" si="34"/>
        <v>4.7500000000000001E-2</v>
      </c>
      <c r="Z119" s="192">
        <f t="shared" si="35"/>
        <v>23.330200000000001</v>
      </c>
      <c r="AA119" s="192">
        <f t="shared" si="36"/>
        <v>23.282700000000002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7"/>
        <v>0207-29</v>
      </c>
      <c r="AE119" s="80" t="str">
        <f t="shared" si="38"/>
        <v>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 &amp; 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</v>
      </c>
      <c r="AF119" s="77" t="str">
        <f t="shared" si="39"/>
        <v>"C:\Program Files (x86)\AstroGrep\AstroGrep.exe" /e /r /s /spath="%USERPROFILE%\AppData\Local\Temp\OnboardLogs" /stypes="app*4008*20170429*" /stext=" 23:.+((SYSTEM_STATE.+slice.+state.+changed )|(ment ac)|(multiple cpu faults)|(system.+state.+changed )|(\[timeout)|(PRM\|1\|D)|(kpr)|(kdp)|(train.+moving)|(\|lc)|(penalty))"</v>
      </c>
      <c r="AG119" s="1" t="str">
        <f t="shared" si="40"/>
        <v>EC</v>
      </c>
      <c r="AH119" s="81" t="str">
        <f t="shared" si="41"/>
        <v>"%USERPROFILE%\Documents\GitHub\eaglep3\Utilities\RefineRTDCRunTimes.py" --tripid 207-29 --locoid 4008 --swversion DE.1.0.9.0 --startMP 204:475 --initTime 2017-04-29T16:54:46 --startdatetime 2017-04-29T17:00:34 --delay 1 --endMP 204:233302 --enddatetime 2017-04-29T17:38:23 --enforcementcount 0 &gt;&gt;C:\Users\stu\Documents\GitHub\eaglep3-reporting\EC\2017-04-29-refined-times.txt</v>
      </c>
      <c r="AI119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{"issue":{"subject":"","project_id":79,"tracker_id":40,"status_id":1,"priority_id":2,"assigned_to_id":23,"start_date":"2017-04-29","description":"","custom_fields":[{"id":1,"name":"Subdivision","value":"EC"},{"id":4,"name":"Milepost","value":"23.3302"},{"id":17,"name":"Train ID","value":"207-29"},{"id":16,"name":"Locomotive ID","value":"4008"},{"id":130,"name":"Impact","value":""},{"id":150,"name":"Time of Event (Mountain Time)","value":"17:38:23"},{"id":151,"name":"Denver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3"/>
        <v>start /low /b %USERPROFILE%\Documents\GitHub\eaglep3\Utilities\DownloadLogsFromS3.py --loco 4008 --day 2017-04-29</v>
      </c>
      <c r="AN119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23:38:23"},{"id":29,"name":"Sharepoint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590</v>
      </c>
      <c r="B120" s="7">
        <v>4007</v>
      </c>
      <c r="C120" s="21" t="s">
        <v>212</v>
      </c>
      <c r="D120" s="21" t="s">
        <v>493</v>
      </c>
      <c r="E120" s="13">
        <v>42854.742384259262</v>
      </c>
      <c r="F120" s="13">
        <v>42854.747511574074</v>
      </c>
      <c r="G120" s="7">
        <v>1</v>
      </c>
      <c r="H120" s="21" t="s">
        <v>923</v>
      </c>
      <c r="I120" s="13">
        <v>42854.775000000001</v>
      </c>
      <c r="J120" s="7">
        <v>0</v>
      </c>
      <c r="K120" s="92" t="str">
        <f t="shared" si="28"/>
        <v>4007/4008</v>
      </c>
      <c r="L120" s="21" t="str">
        <f>VLOOKUP(A120,'Trips&amp;Operators'!$C$1:$G$99999,5,FALSE)</f>
        <v>BRANDNER MELINDA</v>
      </c>
      <c r="M120" s="6">
        <f t="shared" si="29"/>
        <v>2.7488425927003846E-2</v>
      </c>
      <c r="N120" s="7">
        <f t="shared" si="45"/>
        <v>39.583333334885538</v>
      </c>
      <c r="O120" s="7"/>
      <c r="P120" s="7"/>
      <c r="Q120" s="22"/>
      <c r="R120" s="190"/>
      <c r="S120" s="196">
        <f t="shared" si="30"/>
        <v>1</v>
      </c>
      <c r="T120" s="190" t="str">
        <f t="shared" si="31"/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32"/>
        <v>https://d0f6bd738d7f1b3e5a7ca70fe4ff75f0.us-east-1.aws.found.io/app/kibana#/discover/Steve-Slow-Train-Analysis-(2080s-and-2083s)?_g=(refreshInterval:(display:Off,pause:!f,section:0,value:0),time:(from:'2017-04-29T16:49:02-0600',mode:absolute,to:'2017-04-29T19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0" s="192" t="str">
        <f t="shared" si="33"/>
        <v>N</v>
      </c>
      <c r="X120" s="192">
        <f t="shared" si="46"/>
        <v>1</v>
      </c>
      <c r="Y120" s="192">
        <f t="shared" si="34"/>
        <v>23.299600000000002</v>
      </c>
      <c r="Z120" s="192">
        <f t="shared" si="35"/>
        <v>9.5600000000000004E-2</v>
      </c>
      <c r="AA120" s="192">
        <f t="shared" si="36"/>
        <v>23.204000000000001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7"/>
        <v>0208-29</v>
      </c>
      <c r="AE120" s="80" t="str">
        <f t="shared" si="38"/>
        <v>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 &amp; 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</v>
      </c>
      <c r="AF120" s="77" t="str">
        <f t="shared" si="39"/>
        <v>"C:\Program Files (x86)\AstroGrep\AstroGrep.exe" /e /r /s /spath="%USERPROFILE%\AppData\Local\Temp\OnboardLogs" /stypes="app*4007*20170430*" /stext=" 00:.+((SYSTEM_STATE.+slice.+state.+changed )|(ment ac)|(multiple cpu faults)|(system.+state.+changed )|(\[timeout)|(PRM\|1\|D)|(kpr)|(kdp)|(train.+moving)|(\|lc)|(penalty))"</v>
      </c>
      <c r="AG120" s="1" t="str">
        <f t="shared" si="40"/>
        <v>EC</v>
      </c>
      <c r="AH120" s="81" t="str">
        <f t="shared" si="41"/>
        <v>"%USERPROFILE%\Documents\GitHub\eaglep3\Utilities\RefineRTDCRunTimes.py" --tripid 208-29 --locoid 4007 --swversion DE.1.0.9.0 --startMP 204:232996 --initTime 2017-04-29T17:49:02 --startdatetime 2017-04-29T17:56:25 --delay 1 --endMP 204:956 --enddatetime 2017-04-29T18:36:00 --enforcementcount 0 &gt;&gt;C:\Users\stu\Documents\GitHub\eaglep3-reporting\EC\2017-04-29-refined-times.txt</v>
      </c>
      <c r="AI120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{"issue":{"subject":"","project_id":79,"tracker_id":40,"status_id":1,"priority_id":2,"assigned_to_id":23,"start_date":"2017-04-29","description":"","custom_fields":[{"id":1,"name":"Subdivision","value":"EC"},{"id":4,"name":"Milepost","value":"0.0956"},{"id":17,"name":"Train ID","value":"208-29"},{"id":16,"name":"Locomotive ID","value":"4007"},{"id":130,"name":"Impact","value":""},{"id":150,"name":"Time of Event (Mountain Time)","value":"18:36:00"},{"id":151,"name":"Denver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3"/>
        <v>start /low /b %USERPROFILE%\Documents\GitHub\eaglep3\Utilities\DownloadLogsFromS3.py --loco 4007 --day 2017-04-29</v>
      </c>
      <c r="AN120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00:36:00"},{"id":29,"name":"Sharepoint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748</v>
      </c>
      <c r="B121" s="7">
        <v>4018</v>
      </c>
      <c r="C121" s="21" t="s">
        <v>212</v>
      </c>
      <c r="D121" s="21" t="s">
        <v>924</v>
      </c>
      <c r="E121" s="13">
        <v>42854.713958333334</v>
      </c>
      <c r="F121" s="13">
        <v>42854.718912037039</v>
      </c>
      <c r="G121" s="7">
        <v>1</v>
      </c>
      <c r="H121" s="21" t="s">
        <v>834</v>
      </c>
      <c r="I121" s="13">
        <v>42854.743194444447</v>
      </c>
      <c r="J121" s="7">
        <v>0</v>
      </c>
      <c r="K121" s="92" t="str">
        <f t="shared" si="28"/>
        <v>4017/4018</v>
      </c>
      <c r="L121" s="21" t="str">
        <f>VLOOKUP(A121,'Trips&amp;Operators'!$C$1:$G$99999,5,FALSE)</f>
        <v>LALONDE GREGORY</v>
      </c>
      <c r="M121" s="6">
        <f t="shared" si="29"/>
        <v>2.4282407408463769E-2</v>
      </c>
      <c r="N121" s="7">
        <f t="shared" si="45"/>
        <v>34.966666668187827</v>
      </c>
      <c r="O121" s="7"/>
      <c r="P121" s="7"/>
      <c r="Q121" s="22"/>
      <c r="R121" s="190"/>
      <c r="S121" s="196">
        <f t="shared" si="30"/>
        <v>1</v>
      </c>
      <c r="T121" s="190" t="str">
        <f t="shared" si="31"/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32"/>
        <v>https://d0f6bd738d7f1b3e5a7ca70fe4ff75f0.us-east-1.aws.found.io/app/kibana#/discover/Steve-Slow-Train-Analysis-(2080s-and-2083s)?_g=(refreshInterval:(display:Off,pause:!f,section:0,value:0),time:(from:'2017-04-29T16:08:06-0600',mode:absolute,to:'2017-04-29T18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1" s="192" t="str">
        <f t="shared" si="33"/>
        <v>N</v>
      </c>
      <c r="X121" s="192">
        <f t="shared" si="46"/>
        <v>1</v>
      </c>
      <c r="Y121" s="192">
        <f t="shared" si="34"/>
        <v>4.24E-2</v>
      </c>
      <c r="Z121" s="192">
        <f t="shared" si="35"/>
        <v>23.334099999999999</v>
      </c>
      <c r="AA121" s="192">
        <f t="shared" si="36"/>
        <v>23.291699999999999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7"/>
        <v>0209-29</v>
      </c>
      <c r="AE121" s="80" t="str">
        <f t="shared" si="38"/>
        <v>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 &amp; aws s3 cp s3://rtdc.mdm.uploadarchive.raw/RTDC4018/ "%USERPROFILE%\AppData\Local\Temp\OnboardLogs"\RTDC4018\2017-04-30 --exclude "*" --recursive --include "*20170430*" &amp; "%USERPROFILE%\Documents\GitHub\mrs-test-scripts\Headless Mode &amp; Sideloading\WalkAndUnGZ.bat" "%USERPROFILE%\AppData\Local\Temp\OnboardLogs"\RTDC4018\2017-04-30</v>
      </c>
      <c r="AF121" s="77" t="str">
        <f t="shared" si="39"/>
        <v>"C:\Program Files (x86)\AstroGrep\AstroGrep.exe" /e /r /s /spath="%USERPROFILE%\AppData\Local\Temp\OnboardLogs" /stypes="app*4018*20170429*" /stext=" 23:.+((SYSTEM_STATE.+slice.+state.+changed )|(ment ac)|(multiple cpu faults)|(system.+state.+changed )|(\[timeout)|(PRM\|1\|D)|(kpr)|(kdp)|(train.+moving)|(\|lc)|(penalty))"</v>
      </c>
      <c r="AG121" s="1" t="str">
        <f t="shared" si="40"/>
        <v>EC</v>
      </c>
      <c r="AH121" s="81" t="str">
        <f t="shared" si="41"/>
        <v>"%USERPROFILE%\Documents\GitHub\eaglep3\Utilities\RefineRTDCRunTimes.py" --tripid 209-29 --locoid 4018 --swversion DE.1.0.9.0 --startMP 204:424 --initTime 2017-04-29T17:08:06 --startdatetime 2017-04-29T17:15:14 --delay 1 --endMP 204:233341 --enddatetime 2017-04-29T17:50:12 --enforcementcount 0 &gt;&gt;C:\Users\stu\Documents\GitHub\eaglep3-reporting\EC\2017-04-29-refined-times.txt</v>
      </c>
      <c r="AI121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{"issue":{"subject":"","project_id":79,"tracker_id":40,"status_id":1,"priority_id":2,"assigned_to_id":23,"start_date":"2017-04-29","description":"","custom_fields":[{"id":1,"name":"Subdivision","value":"EC"},{"id":4,"name":"Milepost","value":"23.3341"},{"id":17,"name":"Train ID","value":"209-29"},{"id":16,"name":"Locomotive ID","value":"4018"},{"id":130,"name":"Impact","value":""},{"id":150,"name":"Time of Event (Mountain Time)","value":"17:50:12"},{"id":151,"name":"Denver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3"/>
        <v>start /low /b %USERPROFILE%\Documents\GitHub\eaglep3\Utilities\DownloadLogsFromS3.py --loco 4018 --day 2017-04-29</v>
      </c>
      <c r="AN121" s="154" t="str">
        <f t="shared" si="44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23:50:12"},{"id":29,"name":"Sharepoint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756</v>
      </c>
      <c r="B122" s="7">
        <v>4017</v>
      </c>
      <c r="C122" s="21" t="s">
        <v>212</v>
      </c>
      <c r="D122" s="21" t="s">
        <v>839</v>
      </c>
      <c r="E122" s="13">
        <v>42854.747650462959</v>
      </c>
      <c r="F122" s="13">
        <v>42854.757939814815</v>
      </c>
      <c r="G122" s="7">
        <v>1</v>
      </c>
      <c r="H122" s="21" t="s">
        <v>535</v>
      </c>
      <c r="I122" s="13">
        <v>42854.783402777779</v>
      </c>
      <c r="J122" s="7">
        <v>0</v>
      </c>
      <c r="K122" s="92" t="str">
        <f t="shared" si="28"/>
        <v>4017/4018</v>
      </c>
      <c r="L122" s="21" t="str">
        <f>VLOOKUP(A122,'Trips&amp;Operators'!$C$1:$G$99999,5,FALSE)</f>
        <v>LALONDE GREGORY</v>
      </c>
      <c r="M122" s="6">
        <f t="shared" si="29"/>
        <v>2.5462962963501923E-2</v>
      </c>
      <c r="N122" s="7">
        <f t="shared" ref="N122:N153" si="47">24*60*SUM($M122:$M122)</f>
        <v>36.666666667442769</v>
      </c>
      <c r="O122" s="7"/>
      <c r="P122" s="7"/>
      <c r="Q122" s="22"/>
      <c r="R122" s="190"/>
      <c r="S122" s="196">
        <f t="shared" si="30"/>
        <v>1</v>
      </c>
      <c r="T122" s="190" t="str">
        <f t="shared" si="31"/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32"/>
        <v>https://d0f6bd738d7f1b3e5a7ca70fe4ff75f0.us-east-1.aws.found.io/app/kibana#/discover/Steve-Slow-Train-Analysis-(2080s-and-2083s)?_g=(refreshInterval:(display:Off,pause:!f,section:0,value:0),time:(from:'2017-04-29T16:56:37-0600',mode:absolute,to:'2017-04-29T19:48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2" s="192" t="str">
        <f t="shared" si="33"/>
        <v>N</v>
      </c>
      <c r="X122" s="192">
        <f t="shared" si="46"/>
        <v>1</v>
      </c>
      <c r="Y122" s="192">
        <f t="shared" si="34"/>
        <v>23.3019</v>
      </c>
      <c r="Z122" s="192">
        <f t="shared" si="35"/>
        <v>1.3899999999999999E-2</v>
      </c>
      <c r="AA122" s="192">
        <f t="shared" si="36"/>
        <v>23.288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7"/>
        <v>0210-29</v>
      </c>
      <c r="AE122" s="80" t="str">
        <f t="shared" si="38"/>
        <v>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 &amp; aws s3 cp s3://rtdc.mdm.uploadarchive.raw/RTDC4017/ "%USERPROFILE%\AppData\Local\Temp\OnboardLogs"\RTDC4017\2017-04-30 --exclude "*" --recursive --include "*20170430*" &amp; "%USERPROFILE%\Documents\GitHub\mrs-test-scripts\Headless Mode &amp; Sideloading\WalkAndUnGZ.bat" "%USERPROFILE%\AppData\Local\Temp\OnboardLogs"\RTDC4017\2017-04-30</v>
      </c>
      <c r="AF122" s="77" t="str">
        <f t="shared" si="39"/>
        <v>"C:\Program Files (x86)\AstroGrep\AstroGrep.exe" /e /r /s /spath="%USERPROFILE%\AppData\Local\Temp\OnboardLogs" /stypes="app*4017*20170430*" /stext=" 00:.+((SYSTEM_STATE.+slice.+state.+changed )|(ment ac)|(multiple cpu faults)|(system.+state.+changed )|(\[timeout)|(PRM\|1\|D)|(kpr)|(kdp)|(train.+moving)|(\|lc)|(penalty))"</v>
      </c>
      <c r="AG122" s="1" t="str">
        <f t="shared" si="40"/>
        <v>EC</v>
      </c>
      <c r="AH122" s="81" t="str">
        <f t="shared" si="41"/>
        <v>"%USERPROFILE%\Documents\GitHub\eaglep3\Utilities\RefineRTDCRunTimes.py" --tripid 210-29 --locoid 4017 --swversion DE.1.0.9.0 --startMP 204:233019 --initTime 2017-04-29T17:56:37 --startdatetime 2017-04-29T18:11:26 --delay 1 --endMP 204:139 --enddatetime 2017-04-29T18:48:06 --enforcementcount 0 &gt;&gt;C:\Users\stu\Documents\GitHub\eaglep3-reporting\EC\2017-04-29-refined-times.txt</v>
      </c>
      <c r="AI122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{"issue":{"subject":"","project_id":79,"tracker_id":40,"status_id":1,"priority_id":2,"assigned_to_id":23,"start_date":"2017-04-29","description":"","custom_fields":[{"id":1,"name":"Subdivision","value":"EC"},{"id":4,"name":"Milepost","value":"0.0139"},{"id":17,"name":"Train ID","value":"210-29"},{"id":16,"name":"Locomotive ID","value":"4017"},{"id":130,"name":"Impact","value":""},{"id":150,"name":"Time of Event (Mountain Time)","value":"18:48:06"},{"id":151,"name":"Denver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3"/>
        <v>start /low /b %USERPROFILE%\Documents\GitHub\eaglep3\Utilities\DownloadLogsFromS3.py --loco 4017 --day 2017-04-29</v>
      </c>
      <c r="AN122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00:48:06"},{"id":29,"name":"Sharepoint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750</v>
      </c>
      <c r="B123" s="7">
        <v>4010</v>
      </c>
      <c r="C123" s="21" t="s">
        <v>212</v>
      </c>
      <c r="D123" s="21" t="s">
        <v>208</v>
      </c>
      <c r="E123" s="13">
        <v>42854.723171296297</v>
      </c>
      <c r="F123" s="13">
        <v>42854.729328703703</v>
      </c>
      <c r="G123" s="7">
        <v>1</v>
      </c>
      <c r="H123" s="21" t="s">
        <v>547</v>
      </c>
      <c r="I123" s="13">
        <v>42854.753912037035</v>
      </c>
      <c r="J123" s="7">
        <v>0</v>
      </c>
      <c r="K123" s="92" t="str">
        <f t="shared" si="28"/>
        <v>4009/4010</v>
      </c>
      <c r="L123" s="21" t="str">
        <f>VLOOKUP(A123,'Trips&amp;Operators'!$C$1:$G$99999,5,FALSE)</f>
        <v>ROMERO CHAD</v>
      </c>
      <c r="M123" s="6">
        <f t="shared" si="29"/>
        <v>2.4583333331975155E-2</v>
      </c>
      <c r="N123" s="7">
        <f t="shared" si="47"/>
        <v>35.399999998044223</v>
      </c>
      <c r="O123" s="7"/>
      <c r="P123" s="7"/>
      <c r="Q123" s="22"/>
      <c r="R123" s="190"/>
      <c r="S123" s="196">
        <f t="shared" si="30"/>
        <v>1</v>
      </c>
      <c r="T123" s="190" t="str">
        <f t="shared" si="31"/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32"/>
        <v>https://d0f6bd738d7f1b3e5a7ca70fe4ff75f0.us-east-1.aws.found.io/app/kibana#/discover/Steve-Slow-Train-Analysis-(2080s-and-2083s)?_g=(refreshInterval:(display:Off,pause:!f,section:0,value:0),time:(from:'2017-04-29T16:21:22-0600',mode:absolute,to:'2017-04-29T19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3" s="192" t="str">
        <f t="shared" si="33"/>
        <v>N</v>
      </c>
      <c r="X123" s="192">
        <f t="shared" si="46"/>
        <v>1</v>
      </c>
      <c r="Y123" s="192">
        <f t="shared" si="34"/>
        <v>4.5499999999999999E-2</v>
      </c>
      <c r="Z123" s="192">
        <f t="shared" si="35"/>
        <v>23.334900000000001</v>
      </c>
      <c r="AA123" s="192">
        <f t="shared" si="36"/>
        <v>23.289400000000001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7"/>
        <v>0211-29</v>
      </c>
      <c r="AE123" s="80" t="str">
        <f t="shared" si="38"/>
        <v>aws s3 cp s3://rtdc.mdm.uploadarchive.raw/RTDC4010/ "%USERPROFILE%\AppData\Local\Temp\OnboardLogs"\RTDC4010\2017-04-29 --exclude "*" --recursive --include "*20170429*" &amp; "%USERPROFILE%\Documents\GitHub\mrs-test-scripts\Headless Mode &amp; Sideloading\WalkAndUnGZ.bat" "%USERPROFILE%\AppData\Local\Temp\OnboardLogs"\RTDC4010\2017-04-29 &amp; aws s3 cp s3://rtdc.mdm.uploadarchive.raw/RTDC4010/ "%USERPROFILE%\AppData\Local\Temp\OnboardLogs"\RTDC4010\2017-04-30 --exclude "*" --recursive --include "*20170430*" &amp; "%USERPROFILE%\Documents\GitHub\mrs-test-scripts\Headless Mode &amp; Sideloading\WalkAndUnGZ.bat" "%USERPROFILE%\AppData\Local\Temp\OnboardLogs"\RTDC4010\2017-04-30</v>
      </c>
      <c r="AF123" s="77" t="str">
        <f t="shared" si="39"/>
        <v>"C:\Program Files (x86)\AstroGrep\AstroGrep.exe" /e /r /s /spath="%USERPROFILE%\AppData\Local\Temp\OnboardLogs" /stypes="app*4010*20170430*" /stext=" 00:.+((SYSTEM_STATE.+slice.+state.+changed )|(ment ac)|(multiple cpu faults)|(system.+state.+changed )|(\[timeout)|(PRM\|1\|D)|(kpr)|(kdp)|(train.+moving)|(\|lc)|(penalty))"</v>
      </c>
      <c r="AG123" s="1" t="str">
        <f t="shared" si="40"/>
        <v>EC</v>
      </c>
      <c r="AH123" s="81" t="str">
        <f t="shared" si="41"/>
        <v>"%USERPROFILE%\Documents\GitHub\eaglep3\Utilities\RefineRTDCRunTimes.py" --tripid 211-29 --locoid 4010 --swversion DE.1.0.9.0 --startMP 204:455 --initTime 2017-04-29T17:21:22 --startdatetime 2017-04-29T17:30:14 --delay 1 --endMP 204:233349 --enddatetime 2017-04-29T18:05:38 --enforcementcount 0 &gt;&gt;C:\Users\stu\Documents\GitHub\eaglep3-reporting\EC\2017-04-29-refined-times.txt</v>
      </c>
      <c r="AI123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{"issue":{"subject":"","project_id":79,"tracker_id":40,"status_id":1,"priority_id":2,"assigned_to_id":23,"start_date":"2017-04-29","description":"","custom_fields":[{"id":1,"name":"Subdivision","value":"EC"},{"id":4,"name":"Milepost","value":"23.3349"},{"id":17,"name":"Train ID","value":"211-29"},{"id":16,"name":"Locomotive ID","value":"4010"},{"id":130,"name":"Impact","value":""},{"id":150,"name":"Time of Event (Mountain Time)","value":"18:05:38"},{"id":151,"name":"Denver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3"/>
        <v>start /low /b %USERPROFILE%\Documents\GitHub\eaglep3\Utilities\DownloadLogsFromS3.py --loco 4010 --day 2017-04-29</v>
      </c>
      <c r="AN123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00:05:38"},{"id":29,"name":"Sharepoint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758</v>
      </c>
      <c r="B124" s="7">
        <v>4009</v>
      </c>
      <c r="C124" s="21" t="s">
        <v>212</v>
      </c>
      <c r="D124" s="21" t="s">
        <v>839</v>
      </c>
      <c r="E124" s="13">
        <v>42854.758298611108</v>
      </c>
      <c r="F124" s="13">
        <v>42854.76835648148</v>
      </c>
      <c r="G124" s="7">
        <v>1</v>
      </c>
      <c r="H124" s="21" t="s">
        <v>388</v>
      </c>
      <c r="I124" s="13">
        <v>42854.793680555558</v>
      </c>
      <c r="J124" s="7">
        <v>0</v>
      </c>
      <c r="K124" s="92" t="str">
        <f t="shared" si="28"/>
        <v>4009/4010</v>
      </c>
      <c r="L124" s="21" t="str">
        <f>VLOOKUP(A124,'Trips&amp;Operators'!$C$1:$G$99999,5,FALSE)</f>
        <v>ROMERO CHAD</v>
      </c>
      <c r="M124" s="6">
        <f t="shared" si="29"/>
        <v>2.5324074078525882E-2</v>
      </c>
      <c r="N124" s="7">
        <f t="shared" si="47"/>
        <v>36.46666667307727</v>
      </c>
      <c r="O124" s="7"/>
      <c r="P124" s="7"/>
      <c r="Q124" s="22"/>
      <c r="R124" s="190"/>
      <c r="S124" s="196">
        <f t="shared" si="30"/>
        <v>1</v>
      </c>
      <c r="T124" s="190" t="str">
        <f t="shared" si="31"/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32"/>
        <v>https://d0f6bd738d7f1b3e5a7ca70fe4ff75f0.us-east-1.aws.found.io/app/kibana#/discover/Steve-Slow-Train-Analysis-(2080s-and-2083s)?_g=(refreshInterval:(display:Off,pause:!f,section:0,value:0),time:(from:'2017-04-29T17:11:57-0600',mode:absolute,to:'2017-04-29T20:02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4" s="192" t="str">
        <f t="shared" si="33"/>
        <v>N</v>
      </c>
      <c r="X124" s="192">
        <f t="shared" si="46"/>
        <v>1</v>
      </c>
      <c r="Y124" s="192">
        <f t="shared" si="34"/>
        <v>23.3019</v>
      </c>
      <c r="Z124" s="192">
        <f t="shared" si="35"/>
        <v>1.4500000000000001E-2</v>
      </c>
      <c r="AA124" s="192">
        <f t="shared" si="36"/>
        <v>23.287399999999998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7"/>
        <v>0212-29</v>
      </c>
      <c r="AE124" s="80" t="str">
        <f t="shared" si="38"/>
        <v>aws s3 cp s3://rtdc.mdm.uploadarchive.raw/RTDC4009/ "%USERPROFILE%\AppData\Local\Temp\OnboardLogs"\RTDC4009\2017-04-29 --exclude "*" --recursive --include "*20170429*" &amp; "%USERPROFILE%\Documents\GitHub\mrs-test-scripts\Headless Mode &amp; Sideloading\WalkAndUnGZ.bat" "%USERPROFILE%\AppData\Local\Temp\OnboardLogs"\RTDC4009\2017-04-29 &amp; aws s3 cp s3://rtdc.mdm.uploadarchive.raw/RTDC4009/ "%USERPROFILE%\AppData\Local\Temp\OnboardLogs"\RTDC4009\2017-04-30 --exclude "*" --recursive --include "*20170430*" &amp; "%USERPROFILE%\Documents\GitHub\mrs-test-scripts\Headless Mode &amp; Sideloading\WalkAndUnGZ.bat" "%USERPROFILE%\AppData\Local\Temp\OnboardLogs"\RTDC4009\2017-04-30</v>
      </c>
      <c r="AF124" s="77" t="str">
        <f t="shared" si="39"/>
        <v>"C:\Program Files (x86)\AstroGrep\AstroGrep.exe" /e /r /s /spath="%USERPROFILE%\AppData\Local\Temp\OnboardLogs" /stypes="app*4009*20170430*" /stext=" 01:.+((SYSTEM_STATE.+slice.+state.+changed )|(ment ac)|(multiple cpu faults)|(system.+state.+changed )|(\[timeout)|(PRM\|1\|D)|(kpr)|(kdp)|(train.+moving)|(\|lc)|(penalty))"</v>
      </c>
      <c r="AG124" s="1" t="str">
        <f t="shared" si="40"/>
        <v>EC</v>
      </c>
      <c r="AH124" s="81" t="str">
        <f t="shared" si="41"/>
        <v>"%USERPROFILE%\Documents\GitHub\eaglep3\Utilities\RefineRTDCRunTimes.py" --tripid 212-29 --locoid 4009 --swversion DE.1.0.9.0 --startMP 204:233019 --initTime 2017-04-29T18:11:57 --startdatetime 2017-04-29T18:26:26 --delay 1 --endMP 204:145 --enddatetime 2017-04-29T19:02:54 --enforcementcount 0 &gt;&gt;C:\Users\stu\Documents\GitHub\eaglep3-reporting\EC\2017-04-29-refined-times.txt</v>
      </c>
      <c r="AI124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{"issue":{"subject":"","project_id":79,"tracker_id":40,"status_id":1,"priority_id":2,"assigned_to_id":23,"start_date":"2017-04-29","description":"","custom_fields":[{"id":1,"name":"Subdivision","value":"EC"},{"id":4,"name":"Milepost","value":"0.0145"},{"id":17,"name":"Train ID","value":"212-29"},{"id":16,"name":"Locomotive ID","value":"4009"},{"id":130,"name":"Impact","value":""},{"id":150,"name":"Time of Event (Mountain Time)","value":"19:02:54"},{"id":151,"name":"Denver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3"/>
        <v>start /low /b %USERPROFILE%\Documents\GitHub\eaglep3\Utilities\DownloadLogsFromS3.py --loco 4009 --day 2017-04-29</v>
      </c>
      <c r="AN124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01:02:54"},{"id":29,"name":"Sharepoint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754</v>
      </c>
      <c r="B125" s="7">
        <v>4004</v>
      </c>
      <c r="C125" s="21" t="s">
        <v>212</v>
      </c>
      <c r="D125" s="21" t="s">
        <v>438</v>
      </c>
      <c r="E125" s="13">
        <v>42854.735474537039</v>
      </c>
      <c r="F125" s="13">
        <v>42854.73978009259</v>
      </c>
      <c r="G125" s="7">
        <v>1</v>
      </c>
      <c r="H125" s="21" t="s">
        <v>925</v>
      </c>
      <c r="I125" s="13">
        <v>42854.764652777776</v>
      </c>
      <c r="J125" s="7">
        <v>0</v>
      </c>
      <c r="K125" s="92" t="str">
        <f t="shared" si="28"/>
        <v>4003/4004</v>
      </c>
      <c r="L125" s="21" t="str">
        <f>VLOOKUP(A125,'Trips&amp;Operators'!$C$1:$G$99999,5,FALSE)</f>
        <v>SMITH MICHAEL</v>
      </c>
      <c r="M125" s="6">
        <f t="shared" si="29"/>
        <v>2.4872685185982846E-2</v>
      </c>
      <c r="N125" s="7">
        <f t="shared" si="47"/>
        <v>35.816666667815298</v>
      </c>
      <c r="O125" s="7"/>
      <c r="P125" s="7"/>
      <c r="Q125" s="22"/>
      <c r="R125" s="190"/>
      <c r="S125" s="196">
        <f t="shared" si="30"/>
        <v>1</v>
      </c>
      <c r="T125" s="190" t="str">
        <f t="shared" si="31"/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32"/>
        <v>https://d0f6bd738d7f1b3e5a7ca70fe4ff75f0.us-east-1.aws.found.io/app/kibana#/discover/Steve-Slow-Train-Analysis-(2080s-and-2083s)?_g=(refreshInterval:(display:Off,pause:!f,section:0,value:0),time:(from:'2017-04-29T16:39:05-0600',mode:absolute,to:'2017-04-29T19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5" s="192" t="str">
        <f t="shared" si="33"/>
        <v>N</v>
      </c>
      <c r="X125" s="192">
        <f t="shared" si="46"/>
        <v>1</v>
      </c>
      <c r="Y125" s="192">
        <f t="shared" si="34"/>
        <v>4.6399999999999997E-2</v>
      </c>
      <c r="Z125" s="192">
        <f t="shared" si="35"/>
        <v>23.325900000000001</v>
      </c>
      <c r="AA125" s="192">
        <f t="shared" si="36"/>
        <v>23.279500000000002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7"/>
        <v>0213-29</v>
      </c>
      <c r="AE125" s="80" t="str">
        <f t="shared" si="38"/>
        <v>aws s3 cp s3://rtdc.mdm.uploadarchive.raw/RTDC4004/ "%USERPROFILE%\AppData\Local\Temp\OnboardLogs"\RTDC4004\2017-04-29 --exclude "*" --recursive --include "*20170429*" &amp; "%USERPROFILE%\Documents\GitHub\mrs-test-scripts\Headless Mode &amp; Sideloading\WalkAndUnGZ.bat" "%USERPROFILE%\AppData\Local\Temp\OnboardLogs"\RTDC4004\2017-04-29 &amp; aws s3 cp s3://rtdc.mdm.uploadarchive.raw/RTDC4004/ "%USERPROFILE%\AppData\Local\Temp\OnboardLogs"\RTDC4004\2017-04-30 --exclude "*" --recursive --include "*20170430*" &amp; "%USERPROFILE%\Documents\GitHub\mrs-test-scripts\Headless Mode &amp; Sideloading\WalkAndUnGZ.bat" "%USERPROFILE%\AppData\Local\Temp\OnboardLogs"\RTDC4004\2017-04-30</v>
      </c>
      <c r="AF125" s="77" t="str">
        <f t="shared" si="39"/>
        <v>"C:\Program Files (x86)\AstroGrep\AstroGrep.exe" /e /r /s /spath="%USERPROFILE%\AppData\Local\Temp\OnboardLogs" /stypes="app*4004*20170430*" /stext=" 00:.+((SYSTEM_STATE.+slice.+state.+changed )|(ment ac)|(multiple cpu faults)|(system.+state.+changed )|(\[timeout)|(PRM\|1\|D)|(kpr)|(kdp)|(train.+moving)|(\|lc)|(penalty))"</v>
      </c>
      <c r="AG125" s="1" t="str">
        <f t="shared" si="40"/>
        <v>EC</v>
      </c>
      <c r="AH125" s="81" t="str">
        <f t="shared" si="41"/>
        <v>"%USERPROFILE%\Documents\GitHub\eaglep3\Utilities\RefineRTDCRunTimes.py" --tripid 213-29 --locoid 4004 --swversion DE.1.0.9.0 --startMP 204:464 --initTime 2017-04-29T17:39:05 --startdatetime 2017-04-29T17:45:17 --delay 1 --endMP 204:233259 --enddatetime 2017-04-29T18:21:06 --enforcementcount 0 &gt;&gt;C:\Users\stu\Documents\GitHub\eaglep3-reporting\EC\2017-04-29-refined-times.txt</v>
      </c>
      <c r="AI125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{"issue":{"subject":"","project_id":79,"tracker_id":40,"status_id":1,"priority_id":2,"assigned_to_id":23,"start_date":"2017-04-29","description":"","custom_fields":[{"id":1,"name":"Subdivision","value":"EC"},{"id":4,"name":"Milepost","value":"23.3259"},{"id":17,"name":"Train ID","value":"213-29"},{"id":16,"name":"Locomotive ID","value":"4004"},{"id":130,"name":"Impact","value":""},{"id":150,"name":"Time of Event (Mountain Time)","value":"18:21:06"},{"id":151,"name":"Denver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3"/>
        <v>start /low /b %USERPROFILE%\Documents\GitHub\eaglep3\Utilities\DownloadLogsFromS3.py --loco 4004 --day 2017-04-29</v>
      </c>
      <c r="AN125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00:21:06"},{"id":29,"name":"Sharepoint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761</v>
      </c>
      <c r="B126" s="7">
        <v>4003</v>
      </c>
      <c r="C126" s="21" t="s">
        <v>212</v>
      </c>
      <c r="D126" s="21" t="s">
        <v>926</v>
      </c>
      <c r="E126" s="13">
        <v>42854.770266203705</v>
      </c>
      <c r="F126" s="13">
        <v>42854.778703703705</v>
      </c>
      <c r="G126" s="7">
        <v>1</v>
      </c>
      <c r="H126" s="21" t="s">
        <v>197</v>
      </c>
      <c r="I126" s="13">
        <v>42854.804895833331</v>
      </c>
      <c r="J126" s="7">
        <v>0</v>
      </c>
      <c r="K126" s="92" t="str">
        <f t="shared" si="28"/>
        <v>4003/4004</v>
      </c>
      <c r="L126" s="21" t="str">
        <f>VLOOKUP(A126,'Trips&amp;Operators'!$C$1:$G$99999,5,FALSE)</f>
        <v>SMITH MICHAEL</v>
      </c>
      <c r="M126" s="6">
        <f t="shared" si="29"/>
        <v>2.619212962599704E-2</v>
      </c>
      <c r="N126" s="7">
        <f t="shared" si="47"/>
        <v>37.716666661435738</v>
      </c>
      <c r="O126" s="7"/>
      <c r="P126" s="7"/>
      <c r="Q126" s="22"/>
      <c r="R126" s="190"/>
      <c r="S126" s="196">
        <f t="shared" si="30"/>
        <v>1</v>
      </c>
      <c r="T126" s="190" t="str">
        <f t="shared" si="31"/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32"/>
        <v>https://d0f6bd738d7f1b3e5a7ca70fe4ff75f0.us-east-1.aws.found.io/app/kibana#/discover/Steve-Slow-Train-Analysis-(2080s-and-2083s)?_g=(refreshInterval:(display:Off,pause:!f,section:0,value:0),time:(from:'2017-04-29T17:29:11-0600',mode:absolute,to:'2017-04-29T20:19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6" s="192" t="str">
        <f t="shared" si="33"/>
        <v>N</v>
      </c>
      <c r="X126" s="192">
        <f t="shared" si="46"/>
        <v>1</v>
      </c>
      <c r="Y126" s="192">
        <f t="shared" si="34"/>
        <v>23.296299999999999</v>
      </c>
      <c r="Z126" s="192">
        <f t="shared" si="35"/>
        <v>1.52E-2</v>
      </c>
      <c r="AA126" s="192">
        <f t="shared" si="36"/>
        <v>23.281099999999999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7"/>
        <v>0214-29</v>
      </c>
      <c r="AE126" s="80" t="str">
        <f t="shared" si="38"/>
        <v>aws s3 cp s3://rtdc.mdm.uploadarchive.raw/RTDC4003/ "%USERPROFILE%\AppData\Local\Temp\OnboardLogs"\RTDC4003\2017-04-29 --exclude "*" --recursive --include "*20170429*" &amp; "%USERPROFILE%\Documents\GitHub\mrs-test-scripts\Headless Mode &amp; Sideloading\WalkAndUnGZ.bat" "%USERPROFILE%\AppData\Local\Temp\OnboardLogs"\RTDC4003\2017-04-29 &amp; aws s3 cp s3://rtdc.mdm.uploadarchive.raw/RTDC4003/ "%USERPROFILE%\AppData\Local\Temp\OnboardLogs"\RTDC4003\2017-04-30 --exclude "*" --recursive --include "*20170430*" &amp; "%USERPROFILE%\Documents\GitHub\mrs-test-scripts\Headless Mode &amp; Sideloading\WalkAndUnGZ.bat" "%USERPROFILE%\AppData\Local\Temp\OnboardLogs"\RTDC4003\2017-04-30</v>
      </c>
      <c r="AF126" s="77" t="str">
        <f t="shared" si="39"/>
        <v>"C:\Program Files (x86)\AstroGrep\AstroGrep.exe" /e /r /s /spath="%USERPROFILE%\AppData\Local\Temp\OnboardLogs" /stypes="app*4003*20170430*" /stext=" 01:.+((SYSTEM_STATE.+slice.+state.+changed )|(ment ac)|(multiple cpu faults)|(system.+state.+changed )|(\[timeout)|(PRM\|1\|D)|(kpr)|(kdp)|(train.+moving)|(\|lc)|(penalty))"</v>
      </c>
      <c r="AG126" s="1" t="str">
        <f t="shared" si="40"/>
        <v>EC</v>
      </c>
      <c r="AH126" s="81" t="str">
        <f t="shared" si="41"/>
        <v>"%USERPROFILE%\Documents\GitHub\eaglep3\Utilities\RefineRTDCRunTimes.py" --tripid 214-29 --locoid 4003 --swversion DE.1.0.9.0 --startMP 204:232963 --initTime 2017-04-29T18:29:11 --startdatetime 2017-04-29T18:41:20 --delay 1 --endMP 204:152 --enddatetime 2017-04-29T19:19:03 --enforcementcount 0 &gt;&gt;C:\Users\stu\Documents\GitHub\eaglep3-reporting\EC\2017-04-29-refined-times.txt</v>
      </c>
      <c r="AI126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{"issue":{"subject":"","project_id":79,"tracker_id":40,"status_id":1,"priority_id":2,"assigned_to_id":23,"start_date":"2017-04-29","description":"","custom_fields":[{"id":1,"name":"Subdivision","value":"EC"},{"id":4,"name":"Milepost","value":"0.0152"},{"id":17,"name":"Train ID","value":"214-29"},{"id":16,"name":"Locomotive ID","value":"4003"},{"id":130,"name":"Impact","value":""},{"id":150,"name":"Time of Event (Mountain Time)","value":"19:19:03"},{"id":151,"name":"Denver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3"/>
        <v>start /low /b %USERPROFILE%\Documents\GitHub\eaglep3\Utilities\DownloadLogsFromS3.py --loco 4003 --day 2017-04-29</v>
      </c>
      <c r="AN126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01:19:03"},{"id":29,"name":"Sharepoint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755</v>
      </c>
      <c r="B127" s="7">
        <v>4026</v>
      </c>
      <c r="C127" s="21" t="s">
        <v>212</v>
      </c>
      <c r="D127" s="21" t="s">
        <v>924</v>
      </c>
      <c r="E127" s="13">
        <v>42854.746111111112</v>
      </c>
      <c r="F127" s="13">
        <v>42854.750208333331</v>
      </c>
      <c r="G127" s="7">
        <v>1</v>
      </c>
      <c r="H127" s="21" t="s">
        <v>927</v>
      </c>
      <c r="I127" s="13">
        <v>42854.774907407409</v>
      </c>
      <c r="J127" s="7">
        <v>0</v>
      </c>
      <c r="K127" s="92" t="str">
        <f t="shared" si="28"/>
        <v>4025/4026</v>
      </c>
      <c r="L127" s="21" t="str">
        <f>VLOOKUP(A127,'Trips&amp;Operators'!$C$1:$G$99999,5,FALSE)</f>
        <v>MCREYNOLDS KYLE</v>
      </c>
      <c r="M127" s="6">
        <f t="shared" si="29"/>
        <v>2.4699074077943806E-2</v>
      </c>
      <c r="N127" s="7">
        <f t="shared" si="47"/>
        <v>35.56666667223908</v>
      </c>
      <c r="O127" s="7"/>
      <c r="P127" s="7"/>
      <c r="Q127" s="22"/>
      <c r="R127" s="190"/>
      <c r="S127" s="196">
        <f t="shared" si="30"/>
        <v>1</v>
      </c>
      <c r="T127" s="190" t="str">
        <f t="shared" si="31"/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32"/>
        <v>https://d0f6bd738d7f1b3e5a7ca70fe4ff75f0.us-east-1.aws.found.io/app/kibana#/discover/Steve-Slow-Train-Analysis-(2080s-and-2083s)?_g=(refreshInterval:(display:Off,pause:!f,section:0,value:0),time:(from:'2017-04-29T16:54:24-0600',mode:absolute,to:'2017-04-29T19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7" s="192" t="str">
        <f t="shared" si="33"/>
        <v>N</v>
      </c>
      <c r="X127" s="192">
        <f t="shared" si="46"/>
        <v>1</v>
      </c>
      <c r="Y127" s="192">
        <f t="shared" si="34"/>
        <v>4.24E-2</v>
      </c>
      <c r="Z127" s="192">
        <f t="shared" si="35"/>
        <v>23.3325</v>
      </c>
      <c r="AA127" s="192">
        <f t="shared" si="36"/>
        <v>23.290099999999999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7"/>
        <v>0215-29</v>
      </c>
      <c r="AE127" s="80" t="str">
        <f t="shared" si="38"/>
        <v>aws s3 cp s3://rtdc.mdm.uploadarchive.raw/RTDC4026/ "%USERPROFILE%\AppData\Local\Temp\OnboardLogs"\RTDC4026\2017-04-29 --exclude "*" --recursive --include "*20170429*" &amp; "%USERPROFILE%\Documents\GitHub\mrs-test-scripts\Headless Mode &amp; Sideloading\WalkAndUnGZ.bat" "%USERPROFILE%\AppData\Local\Temp\OnboardLogs"\RTDC4026\2017-04-29 &amp; 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</v>
      </c>
      <c r="AF127" s="77" t="str">
        <f t="shared" si="39"/>
        <v>"C:\Program Files (x86)\AstroGrep\AstroGrep.exe" /e /r /s /spath="%USERPROFILE%\AppData\Local\Temp\OnboardLogs" /stypes="app*4026*20170430*" /stext=" 00:.+((SYSTEM_STATE.+slice.+state.+changed )|(ment ac)|(multiple cpu faults)|(system.+state.+changed )|(\[timeout)|(PRM\|1\|D)|(kpr)|(kdp)|(train.+moving)|(\|lc)|(penalty))"</v>
      </c>
      <c r="AG127" s="1" t="str">
        <f t="shared" si="40"/>
        <v>EC</v>
      </c>
      <c r="AH127" s="81" t="str">
        <f t="shared" si="41"/>
        <v>"%USERPROFILE%\Documents\GitHub\eaglep3\Utilities\RefineRTDCRunTimes.py" --tripid 215-29 --locoid 4026 --swversion DE.1.0.9.0 --startMP 204:424 --initTime 2017-04-29T17:54:24 --startdatetime 2017-04-29T18:00:18 --delay 1 --endMP 204:233325 --enddatetime 2017-04-29T18:35:52 --enforcementcount 0 &gt;&gt;C:\Users\stu\Documents\GitHub\eaglep3-reporting\EC\2017-04-29-refined-times.txt</v>
      </c>
      <c r="AI127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{"issue":{"subject":"","project_id":79,"tracker_id":40,"status_id":1,"priority_id":2,"assigned_to_id":23,"start_date":"2017-04-29","description":"","custom_fields":[{"id":1,"name":"Subdivision","value":"EC"},{"id":4,"name":"Milepost","value":"23.3325"},{"id":17,"name":"Train ID","value":"215-29"},{"id":16,"name":"Locomotive ID","value":"4026"},{"id":130,"name":"Impact","value":""},{"id":150,"name":"Time of Event (Mountain Time)","value":"18:35:52"},{"id":151,"name":"Denver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3"/>
        <v>start /low /b %USERPROFILE%\Documents\GitHub\eaglep3\Utilities\DownloadLogsFromS3.py --loco 4026 --day 2017-04-29</v>
      </c>
      <c r="AN127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00:35:52"},{"id":29,"name":"Sharepoint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764</v>
      </c>
      <c r="B128" s="7">
        <v>4025</v>
      </c>
      <c r="C128" s="21" t="s">
        <v>212</v>
      </c>
      <c r="D128" s="21" t="s">
        <v>866</v>
      </c>
      <c r="E128" s="13">
        <v>42854.779513888891</v>
      </c>
      <c r="F128" s="13">
        <v>42854.7891087963</v>
      </c>
      <c r="G128" s="7">
        <v>1</v>
      </c>
      <c r="H128" s="21" t="s">
        <v>414</v>
      </c>
      <c r="I128" s="13">
        <v>42854.815810185188</v>
      </c>
      <c r="J128" s="7">
        <v>0</v>
      </c>
      <c r="K128" s="92" t="str">
        <f t="shared" si="28"/>
        <v>4025/4026</v>
      </c>
      <c r="L128" s="21" t="str">
        <f>VLOOKUP(A128,'Trips&amp;Operators'!$C$1:$G$99999,5,FALSE)</f>
        <v>MCREYNOLDS KYLE</v>
      </c>
      <c r="M128" s="6">
        <f t="shared" si="29"/>
        <v>2.6701388887886424E-2</v>
      </c>
      <c r="N128" s="7">
        <f t="shared" si="47"/>
        <v>38.44999999855645</v>
      </c>
      <c r="O128" s="7"/>
      <c r="P128" s="7"/>
      <c r="Q128" s="22"/>
      <c r="R128" s="190"/>
      <c r="S128" s="196">
        <f t="shared" si="30"/>
        <v>1</v>
      </c>
      <c r="T128" s="190" t="str">
        <f t="shared" si="31"/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32"/>
        <v>https://d0f6bd738d7f1b3e5a7ca70fe4ff75f0.us-east-1.aws.found.io/app/kibana#/discover/Steve-Slow-Train-Analysis-(2080s-and-2083s)?_g=(refreshInterval:(display:Off,pause:!f,section:0,value:0),time:(from:'2017-04-29T17:42:30-0600',mode:absolute,to:'2017-04-29T20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8" s="192" t="str">
        <f t="shared" si="33"/>
        <v>N</v>
      </c>
      <c r="X128" s="192">
        <f t="shared" si="46"/>
        <v>1</v>
      </c>
      <c r="Y128" s="192">
        <f t="shared" si="34"/>
        <v>23.302700000000002</v>
      </c>
      <c r="Z128" s="192">
        <f t="shared" si="35"/>
        <v>1.49E-2</v>
      </c>
      <c r="AA128" s="192">
        <f t="shared" si="36"/>
        <v>23.287800000000001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7"/>
        <v>0216-29</v>
      </c>
      <c r="AE128" s="80" t="str">
        <f t="shared" si="38"/>
        <v>aws s3 cp s3://rtdc.mdm.uploadarchive.raw/RTDC4025/ "%USERPROFILE%\AppData\Local\Temp\OnboardLogs"\RTDC4025\2017-04-29 --exclude "*" --recursive --include "*20170429*" &amp; "%USERPROFILE%\Documents\GitHub\mrs-test-scripts\Headless Mode &amp; Sideloading\WalkAndUnGZ.bat" "%USERPROFILE%\AppData\Local\Temp\OnboardLogs"\RTDC4025\2017-04-29 &amp; 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</v>
      </c>
      <c r="AF128" s="77" t="str">
        <f t="shared" si="39"/>
        <v>"C:\Program Files (x86)\AstroGrep\AstroGrep.exe" /e /r /s /spath="%USERPROFILE%\AppData\Local\Temp\OnboardLogs" /stypes="app*4025*20170430*" /stext=" 01:.+((SYSTEM_STATE.+slice.+state.+changed )|(ment ac)|(multiple cpu faults)|(system.+state.+changed )|(\[timeout)|(PRM\|1\|D)|(kpr)|(kdp)|(train.+moving)|(\|lc)|(penalty))"</v>
      </c>
      <c r="AG128" s="1" t="str">
        <f t="shared" si="40"/>
        <v>EC</v>
      </c>
      <c r="AH128" s="81" t="str">
        <f t="shared" si="41"/>
        <v>"%USERPROFILE%\Documents\GitHub\eaglep3\Utilities\RefineRTDCRunTimes.py" --tripid 216-29 --locoid 4025 --swversion DE.1.0.9.0 --startMP 204:233027 --initTime 2017-04-29T18:42:30 --startdatetime 2017-04-29T18:56:19 --delay 1 --endMP 204:149 --enddatetime 2017-04-29T19:34:46 --enforcementcount 0 &gt;&gt;C:\Users\stu\Documents\GitHub\eaglep3-reporting\EC\2017-04-29-refined-times.txt</v>
      </c>
      <c r="AI128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{"issue":{"subject":"","project_id":79,"tracker_id":40,"status_id":1,"priority_id":2,"assigned_to_id":23,"start_date":"2017-04-29","description":"","custom_fields":[{"id":1,"name":"Subdivision","value":"EC"},{"id":4,"name":"Milepost","value":"0.0149"},{"id":17,"name":"Train ID","value":"216-29"},{"id":16,"name":"Locomotive ID","value":"4025"},{"id":130,"name":"Impact","value":""},{"id":150,"name":"Time of Event (Mountain Time)","value":"19:34:46"},{"id":151,"name":"Denver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3"/>
        <v>start /low /b %USERPROFILE%\Documents\GitHub\eaglep3\Utilities\DownloadLogsFromS3.py --loco 4025 --day 2017-04-29</v>
      </c>
      <c r="AN128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01:34:46"},{"id":29,"name":"Sharepoint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757</v>
      </c>
      <c r="B129" s="7">
        <v>4002</v>
      </c>
      <c r="C129" s="21" t="s">
        <v>212</v>
      </c>
      <c r="D129" s="21" t="s">
        <v>204</v>
      </c>
      <c r="E129" s="13">
        <v>42854.756990740738</v>
      </c>
      <c r="F129" s="13">
        <v>42854.760868055557</v>
      </c>
      <c r="G129" s="7">
        <v>1</v>
      </c>
      <c r="H129" s="21" t="s">
        <v>928</v>
      </c>
      <c r="I129" s="13">
        <v>42854.784930555557</v>
      </c>
      <c r="J129" s="7">
        <v>0</v>
      </c>
      <c r="K129" s="92" t="str">
        <f t="shared" si="28"/>
        <v>4001/4002</v>
      </c>
      <c r="L129" s="21" t="str">
        <f>VLOOKUP(A129,'Trips&amp;Operators'!$C$1:$G$99999,5,FALSE)</f>
        <v>STAMBAUGH JAMES</v>
      </c>
      <c r="M129" s="6">
        <f t="shared" si="29"/>
        <v>2.4062500000582077E-2</v>
      </c>
      <c r="N129" s="7">
        <f t="shared" si="47"/>
        <v>34.65000000083819</v>
      </c>
      <c r="O129" s="7"/>
      <c r="P129" s="7"/>
      <c r="Q129" s="22"/>
      <c r="R129" s="190"/>
      <c r="S129" s="196">
        <f t="shared" si="30"/>
        <v>1</v>
      </c>
      <c r="T129" s="190" t="str">
        <f t="shared" si="31"/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32"/>
        <v>https://d0f6bd738d7f1b3e5a7ca70fe4ff75f0.us-east-1.aws.found.io/app/kibana#/discover/Steve-Slow-Train-Analysis-(2080s-and-2083s)?_g=(refreshInterval:(display:Off,pause:!f,section:0,value:0),time:(from:'2017-04-29T17:10:04-0600',mode:absolute,to:'2017-04-29T19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9" s="192" t="str">
        <f t="shared" si="33"/>
        <v>N</v>
      </c>
      <c r="X129" s="192">
        <f t="shared" si="46"/>
        <v>1</v>
      </c>
      <c r="Y129" s="192">
        <f t="shared" si="34"/>
        <v>4.5699999999999998E-2</v>
      </c>
      <c r="Z129" s="192">
        <f t="shared" si="35"/>
        <v>23.3401</v>
      </c>
      <c r="AA129" s="192">
        <f t="shared" si="36"/>
        <v>23.2944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7"/>
        <v>0217-29</v>
      </c>
      <c r="AE129" s="80" t="str">
        <f t="shared" si="38"/>
        <v>aws s3 cp s3://rtdc.mdm.uploadarchive.raw/RTDC4002/ "%USERPROFILE%\AppData\Local\Temp\OnboardLogs"\RTDC4002\2017-04-29 --exclude "*" --recursive --include "*20170429*" &amp; "%USERPROFILE%\Documents\GitHub\mrs-test-scripts\Headless Mode &amp; Sideloading\WalkAndUnGZ.bat" "%USERPROFILE%\AppData\Local\Temp\OnboardLogs"\RTDC4002\2017-04-29 &amp; aws s3 cp s3://rtdc.mdm.uploadarchive.raw/RTDC4002/ "%USERPROFILE%\AppData\Local\Temp\OnboardLogs"\RTDC4002\2017-04-30 --exclude "*" --recursive --include "*20170430*" &amp; "%USERPROFILE%\Documents\GitHub\mrs-test-scripts\Headless Mode &amp; Sideloading\WalkAndUnGZ.bat" "%USERPROFILE%\AppData\Local\Temp\OnboardLogs"\RTDC4002\2017-04-30</v>
      </c>
      <c r="AF129" s="77" t="str">
        <f t="shared" si="39"/>
        <v>"C:\Program Files (x86)\AstroGrep\AstroGrep.exe" /e /r /s /spath="%USERPROFILE%\AppData\Local\Temp\OnboardLogs" /stypes="app*4002*20170430*" /stext=" 00:.+((SYSTEM_STATE.+slice.+state.+changed )|(ment ac)|(multiple cpu faults)|(system.+state.+changed )|(\[timeout)|(PRM\|1\|D)|(kpr)|(kdp)|(train.+moving)|(\|lc)|(penalty))"</v>
      </c>
      <c r="AG129" s="1" t="str">
        <f t="shared" si="40"/>
        <v>EC</v>
      </c>
      <c r="AH129" s="81" t="str">
        <f t="shared" si="41"/>
        <v>"%USERPROFILE%\Documents\GitHub\eaglep3\Utilities\RefineRTDCRunTimes.py" --tripid 217-29 --locoid 4002 --swversion DE.1.0.9.0 --startMP 204:457 --initTime 2017-04-29T18:10:04 --startdatetime 2017-04-29T18:15:39 --delay 1 --endMP 204:233401 --enddatetime 2017-04-29T18:50:18 --enforcementcount 0 &gt;&gt;C:\Users\stu\Documents\GitHub\eaglep3-reporting\EC\2017-04-29-refined-times.txt</v>
      </c>
      <c r="AI129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{"issue":{"subject":"","project_id":79,"tracker_id":40,"status_id":1,"priority_id":2,"assigned_to_id":23,"start_date":"2017-04-29","description":"","custom_fields":[{"id":1,"name":"Subdivision","value":"EC"},{"id":4,"name":"Milepost","value":"23.3401"},{"id":17,"name":"Train ID","value":"217-29"},{"id":16,"name":"Locomotive ID","value":"4002"},{"id":130,"name":"Impact","value":""},{"id":150,"name":"Time of Event (Mountain Time)","value":"18:50:18"},{"id":151,"name":"Denver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3"/>
        <v>start /low /b %USERPROFILE%\Documents\GitHub\eaglep3\Utilities\DownloadLogsFromS3.py --loco 4002 --day 2017-04-29</v>
      </c>
      <c r="AN129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00:50:18"},{"id":29,"name":"Sharepoint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591</v>
      </c>
      <c r="B130" s="7">
        <v>4001</v>
      </c>
      <c r="C130" s="21" t="s">
        <v>212</v>
      </c>
      <c r="D130" s="21" t="s">
        <v>929</v>
      </c>
      <c r="E130" s="13">
        <v>42854.791400462964</v>
      </c>
      <c r="F130" s="13">
        <v>42854.799826388888</v>
      </c>
      <c r="G130" s="7">
        <v>2</v>
      </c>
      <c r="H130" s="21" t="s">
        <v>930</v>
      </c>
      <c r="I130" s="13">
        <v>42854.82539351852</v>
      </c>
      <c r="J130" s="7">
        <v>0</v>
      </c>
      <c r="K130" s="92" t="str">
        <f t="shared" si="28"/>
        <v>4001/4002</v>
      </c>
      <c r="L130" s="21" t="str">
        <f>VLOOKUP(A130,'Trips&amp;Operators'!$C$1:$G$99999,5,FALSE)</f>
        <v>STAMBAUGH JAMES</v>
      </c>
      <c r="M130" s="6">
        <f t="shared" si="29"/>
        <v>2.5567129632690921E-2</v>
      </c>
      <c r="N130" s="7">
        <f t="shared" si="47"/>
        <v>36.816666671074927</v>
      </c>
      <c r="O130" s="7"/>
      <c r="P130" s="7"/>
      <c r="Q130" s="22"/>
      <c r="R130" s="190"/>
      <c r="S130" s="196">
        <f t="shared" si="30"/>
        <v>1</v>
      </c>
      <c r="T130" s="190" t="str">
        <f t="shared" si="31"/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32"/>
        <v>https://d0f6bd738d7f1b3e5a7ca70fe4ff75f0.us-east-1.aws.found.io/app/kibana#/discover/Steve-Slow-Train-Analysis-(2080s-and-2083s)?_g=(refreshInterval:(display:Off,pause:!f,section:0,value:0),time:(from:'2017-04-29T17:59:37-0600',mode:absolute,to:'2017-04-29T20:48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0" s="192" t="str">
        <f t="shared" si="33"/>
        <v>N</v>
      </c>
      <c r="X130" s="192">
        <f t="shared" si="46"/>
        <v>1</v>
      </c>
      <c r="Y130" s="192">
        <f t="shared" si="34"/>
        <v>23.3109</v>
      </c>
      <c r="Z130" s="192">
        <f t="shared" si="35"/>
        <v>8.8000000000000005E-3</v>
      </c>
      <c r="AA130" s="192">
        <f t="shared" si="36"/>
        <v>23.302099999999999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7"/>
        <v>0218-29</v>
      </c>
      <c r="AE130" s="80" t="str">
        <f t="shared" si="38"/>
        <v>aws s3 cp s3://rtdc.mdm.uploadarchive.raw/RTDC4001/ "%USERPROFILE%\AppData\Local\Temp\OnboardLogs"\RTDC4001\2017-04-29 --exclude "*" --recursive --include "*20170429*" &amp; "%USERPROFILE%\Documents\GitHub\mrs-test-scripts\Headless Mode &amp; Sideloading\WalkAndUnGZ.bat" "%USERPROFILE%\AppData\Local\Temp\OnboardLogs"\RTDC4001\2017-04-29 &amp; aws s3 cp s3://rtdc.mdm.uploadarchive.raw/RTDC4001/ "%USERPROFILE%\AppData\Local\Temp\OnboardLogs"\RTDC4001\2017-04-30 --exclude "*" --recursive --include "*20170430*" &amp; "%USERPROFILE%\Documents\GitHub\mrs-test-scripts\Headless Mode &amp; Sideloading\WalkAndUnGZ.bat" "%USERPROFILE%\AppData\Local\Temp\OnboardLogs"\RTDC4001\2017-04-30</v>
      </c>
      <c r="AF130" s="77" t="str">
        <f t="shared" si="39"/>
        <v>"C:\Program Files (x86)\AstroGrep\AstroGrep.exe" /e /r /s /spath="%USERPROFILE%\AppData\Local\Temp\OnboardLogs" /stypes="app*4001*20170430*" /stext=" 01:.+((SYSTEM_STATE.+slice.+state.+changed )|(ment ac)|(multiple cpu faults)|(system.+state.+changed )|(\[timeout)|(PRM\|1\|D)|(kpr)|(kdp)|(train.+moving)|(\|lc)|(penalty))"</v>
      </c>
      <c r="AG130" s="1" t="str">
        <f t="shared" si="40"/>
        <v>EC</v>
      </c>
      <c r="AH130" s="81" t="str">
        <f t="shared" si="41"/>
        <v>"%USERPROFILE%\Documents\GitHub\eaglep3\Utilities\RefineRTDCRunTimes.py" --tripid 218-29 --locoid 4001 --swversion DE.1.0.9.0 --startMP 204:233109 --initTime 2017-04-29T18:59:37 --startdatetime 2017-04-29T19:11:45 --delay 2 --endMP 204:88 --enddatetime 2017-04-29T19:48:34 --enforcementcount 0 &gt;&gt;C:\Users\stu\Documents\GitHub\eaglep3-reporting\EC\2017-04-29-refined-times.txt</v>
      </c>
      <c r="AI130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{"issue":{"subject":"","project_id":79,"tracker_id":40,"status_id":1,"priority_id":2,"assigned_to_id":23,"start_date":"2017-04-29","description":"","custom_fields":[{"id":1,"name":"Subdivision","value":"EC"},{"id":4,"name":"Milepost","value":"0.0088"},{"id":17,"name":"Train ID","value":"218-29"},{"id":16,"name":"Locomotive ID","value":"4001"},{"id":130,"name":"Impact","value":""},{"id":150,"name":"Time of Event (Mountain Time)","value":"19:48:34"},{"id":151,"name":"Denver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3"/>
        <v>start /low /b %USERPROFILE%\Documents\GitHub\eaglep3\Utilities\DownloadLogsFromS3.py --loco 4001 --day 2017-04-29</v>
      </c>
      <c r="AN130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01:48:34"},{"id":29,"name":"Sharepoint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760</v>
      </c>
      <c r="B131" s="7">
        <v>4022</v>
      </c>
      <c r="C131" s="21" t="s">
        <v>212</v>
      </c>
      <c r="D131" s="21" t="s">
        <v>931</v>
      </c>
      <c r="E131" s="13">
        <v>42854.765023148146</v>
      </c>
      <c r="F131" s="13">
        <v>42854.771006944444</v>
      </c>
      <c r="G131" s="7">
        <v>2</v>
      </c>
      <c r="H131" s="21" t="s">
        <v>932</v>
      </c>
      <c r="I131" s="13">
        <v>42854.797025462962</v>
      </c>
      <c r="J131" s="7">
        <v>0</v>
      </c>
      <c r="K131" s="92" t="str">
        <f t="shared" si="28"/>
        <v>4021/4022</v>
      </c>
      <c r="L131" s="21" t="str">
        <f>VLOOKUP(A131,'Trips&amp;Operators'!$C$1:$G$99999,5,FALSE)</f>
        <v>SWANSON BRYCE</v>
      </c>
      <c r="M131" s="6">
        <f t="shared" si="29"/>
        <v>2.6018518517958E-2</v>
      </c>
      <c r="N131" s="7">
        <f t="shared" si="47"/>
        <v>37.46666666585952</v>
      </c>
      <c r="O131" s="7"/>
      <c r="P131" s="7"/>
      <c r="Q131" s="22"/>
      <c r="R131" s="190"/>
      <c r="S131" s="196">
        <f t="shared" si="30"/>
        <v>1</v>
      </c>
      <c r="T131" s="190" t="str">
        <f t="shared" si="31"/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32"/>
        <v>https://d0f6bd738d7f1b3e5a7ca70fe4ff75f0.us-east-1.aws.found.io/app/kibana#/discover/Steve-Slow-Train-Analysis-(2080s-and-2083s)?_g=(refreshInterval:(display:Off,pause:!f,section:0,value:0),time:(from:'2017-04-29T17:21:38-0600',mode:absolute,to:'2017-04-29T20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1" s="192" t="str">
        <f t="shared" si="33"/>
        <v>N</v>
      </c>
      <c r="X131" s="192">
        <f t="shared" si="46"/>
        <v>1</v>
      </c>
      <c r="Y131" s="192">
        <f t="shared" si="34"/>
        <v>4.4200000000000003E-2</v>
      </c>
      <c r="Z131" s="192">
        <f t="shared" si="35"/>
        <v>23.341200000000001</v>
      </c>
      <c r="AA131" s="192">
        <f t="shared" si="36"/>
        <v>23.297000000000001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7"/>
        <v>0219-29</v>
      </c>
      <c r="AE131" s="80" t="str">
        <f t="shared" si="38"/>
        <v>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 &amp; 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</v>
      </c>
      <c r="AF131" s="77" t="str">
        <f t="shared" si="39"/>
        <v>"C:\Program Files (x86)\AstroGrep\AstroGrep.exe" /e /r /s /spath="%USERPROFILE%\AppData\Local\Temp\OnboardLogs" /stypes="app*4022*20170430*" /stext=" 01:.+((SYSTEM_STATE.+slice.+state.+changed )|(ment ac)|(multiple cpu faults)|(system.+state.+changed )|(\[timeout)|(PRM\|1\|D)|(kpr)|(kdp)|(train.+moving)|(\|lc)|(penalty))"</v>
      </c>
      <c r="AG131" s="1" t="str">
        <f t="shared" si="40"/>
        <v>EC</v>
      </c>
      <c r="AH131" s="81" t="str">
        <f t="shared" si="41"/>
        <v>"%USERPROFILE%\Documents\GitHub\eaglep3\Utilities\RefineRTDCRunTimes.py" --tripid 219-29 --locoid 4022 --swversion DE.1.0.9.0 --startMP 204:442 --initTime 2017-04-29T18:21:38 --startdatetime 2017-04-29T18:30:15 --delay 2 --endMP 204:233412 --enddatetime 2017-04-29T19:07:43 --enforcementcount 0 &gt;&gt;C:\Users\stu\Documents\GitHub\eaglep3-reporting\EC\2017-04-29-refined-times.txt</v>
      </c>
      <c r="AI131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{"issue":{"subject":"","project_id":79,"tracker_id":40,"status_id":1,"priority_id":2,"assigned_to_id":23,"start_date":"2017-04-29","description":"","custom_fields":[{"id":1,"name":"Subdivision","value":"EC"},{"id":4,"name":"Milepost","value":"23.3412"},{"id":17,"name":"Train ID","value":"219-29"},{"id":16,"name":"Locomotive ID","value":"4022"},{"id":130,"name":"Impact","value":""},{"id":150,"name":"Time of Event (Mountain Time)","value":"19:07:43"},{"id":151,"name":"Denver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3"/>
        <v>start /low /b %USERPROFILE%\Documents\GitHub\eaglep3\Utilities\DownloadLogsFromS3.py --loco 4022 --day 2017-04-29</v>
      </c>
      <c r="AN131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01:07:43"},{"id":29,"name":"Sharepoint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769</v>
      </c>
      <c r="B132" s="7">
        <v>4021</v>
      </c>
      <c r="C132" s="21" t="s">
        <v>212</v>
      </c>
      <c r="D132" s="21" t="s">
        <v>933</v>
      </c>
      <c r="E132" s="13">
        <v>42854.798993055556</v>
      </c>
      <c r="F132" s="13">
        <v>42854.809907407405</v>
      </c>
      <c r="G132" s="7">
        <v>2</v>
      </c>
      <c r="H132" s="21" t="s">
        <v>198</v>
      </c>
      <c r="I132" s="13">
        <v>42854.83792824074</v>
      </c>
      <c r="J132" s="7">
        <v>0</v>
      </c>
      <c r="K132" s="92" t="str">
        <f t="shared" si="28"/>
        <v>4021/4022</v>
      </c>
      <c r="L132" s="21" t="str">
        <f>VLOOKUP(A132,'Trips&amp;Operators'!$C$1:$G$99999,5,FALSE)</f>
        <v>SWANSON BRYCE</v>
      </c>
      <c r="M132" s="6">
        <f t="shared" si="29"/>
        <v>2.8020833335176576E-2</v>
      </c>
      <c r="N132" s="7">
        <f t="shared" si="47"/>
        <v>40.350000002654269</v>
      </c>
      <c r="O132" s="7"/>
      <c r="P132" s="7"/>
      <c r="Q132" s="22"/>
      <c r="R132" s="190"/>
      <c r="S132" s="196">
        <f t="shared" si="30"/>
        <v>1</v>
      </c>
      <c r="T132" s="190" t="str">
        <f t="shared" si="31"/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32"/>
        <v>https://d0f6bd738d7f1b3e5a7ca70fe4ff75f0.us-east-1.aws.found.io/app/kibana#/discover/Steve-Slow-Train-Analysis-(2080s-and-2083s)?_g=(refreshInterval:(display:Off,pause:!f,section:0,value:0),time:(from:'2017-04-29T18:10:33-0600',mode:absolute,to:'2017-04-29T21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192" t="str">
        <f t="shared" si="33"/>
        <v>N</v>
      </c>
      <c r="X132" s="192">
        <f t="shared" si="46"/>
        <v>1</v>
      </c>
      <c r="Y132" s="192">
        <f t="shared" si="34"/>
        <v>23.309100000000001</v>
      </c>
      <c r="Z132" s="192">
        <f t="shared" si="35"/>
        <v>1.5800000000000002E-2</v>
      </c>
      <c r="AA132" s="192">
        <f t="shared" si="36"/>
        <v>23.293300000000002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7"/>
        <v>0220-29</v>
      </c>
      <c r="AE132" s="80" t="str">
        <f t="shared" si="38"/>
        <v>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 &amp; aws s3 cp s3://rtdc.mdm.uploadarchive.raw/RTDC4021/ "%USERPROFILE%\AppData\Local\Temp\OnboardLogs"\RTDC4021\2017-04-30 --exclude "*" --recursive --include "*20170430*" &amp; "%USERPROFILE%\Documents\GitHub\mrs-test-scripts\Headless Mode &amp; Sideloading\WalkAndUnGZ.bat" "%USERPROFILE%\AppData\Local\Temp\OnboardLogs"\RTDC4021\2017-04-30</v>
      </c>
      <c r="AF132" s="77" t="str">
        <f t="shared" si="39"/>
        <v>"C:\Program Files (x86)\AstroGrep\AstroGrep.exe" /e /r /s /spath="%USERPROFILE%\AppData\Local\Temp\OnboardLogs" /stypes="app*4021*20170430*" /stext=" 02:.+((SYSTEM_STATE.+slice.+state.+changed )|(ment ac)|(multiple cpu faults)|(system.+state.+changed )|(\[timeout)|(PRM\|1\|D)|(kpr)|(kdp)|(train.+moving)|(\|lc)|(penalty))"</v>
      </c>
      <c r="AG132" s="1" t="str">
        <f t="shared" si="40"/>
        <v>EC</v>
      </c>
      <c r="AH132" s="81" t="str">
        <f t="shared" si="41"/>
        <v>"%USERPROFILE%\Documents\GitHub\eaglep3\Utilities\RefineRTDCRunTimes.py" --tripid 220-29 --locoid 4021 --swversion DE.1.0.9.0 --startMP 204:233091 --initTime 2017-04-29T19:10:33 --startdatetime 2017-04-29T19:26:16 --delay 2 --endMP 204:158 --enddatetime 2017-04-29T20:06:37 --enforcementcount 0 &gt;&gt;C:\Users\stu\Documents\GitHub\eaglep3-reporting\EC\2017-04-29-refined-times.txt</v>
      </c>
      <c r="AI132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{"issue":{"subject":"","project_id":79,"tracker_id":40,"status_id":1,"priority_id":2,"assigned_to_id":23,"start_date":"2017-04-29","description":"","custom_fields":[{"id":1,"name":"Subdivision","value":"EC"},{"id":4,"name":"Milepost","value":"0.0158"},{"id":17,"name":"Train ID","value":"220-29"},{"id":16,"name":"Locomotive ID","value":"4021"},{"id":130,"name":"Impact","value":""},{"id":150,"name":"Time of Event (Mountain Time)","value":"20:06:37"},{"id":151,"name":"Denver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3"/>
        <v>start /low /b %USERPROFILE%\Documents\GitHub\eaglep3\Utilities\DownloadLogsFromS3.py --loco 4021 --day 2017-04-29</v>
      </c>
      <c r="AN132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02:06:37"},{"id":29,"name":"Sharepoint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765</v>
      </c>
      <c r="B133" s="7">
        <v>4018</v>
      </c>
      <c r="C133" s="21" t="s">
        <v>212</v>
      </c>
      <c r="D133" s="21" t="s">
        <v>473</v>
      </c>
      <c r="E133" s="13">
        <v>42854.78601851852</v>
      </c>
      <c r="F133" s="13">
        <v>42854.791909722226</v>
      </c>
      <c r="G133" s="7">
        <v>1</v>
      </c>
      <c r="H133" s="21" t="s">
        <v>934</v>
      </c>
      <c r="I133" s="13">
        <v>42854.816793981481</v>
      </c>
      <c r="J133" s="7">
        <v>0</v>
      </c>
      <c r="K133" s="92" t="str">
        <f t="shared" si="28"/>
        <v>4017/4018</v>
      </c>
      <c r="L133" s="21" t="str">
        <f>VLOOKUP(A133,'Trips&amp;Operators'!$C$1:$G$99999,5,FALSE)</f>
        <v>MAGEE KENYA</v>
      </c>
      <c r="M133" s="6">
        <f t="shared" si="29"/>
        <v>2.488425925548654E-2</v>
      </c>
      <c r="N133" s="7">
        <f t="shared" si="47"/>
        <v>35.833333327900618</v>
      </c>
      <c r="O133" s="7"/>
      <c r="P133" s="7"/>
      <c r="Q133" s="22"/>
      <c r="R133" s="190"/>
      <c r="S133" s="196">
        <f t="shared" si="30"/>
        <v>1</v>
      </c>
      <c r="T133" s="190" t="str">
        <f t="shared" si="31"/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32"/>
        <v>https://d0f6bd738d7f1b3e5a7ca70fe4ff75f0.us-east-1.aws.found.io/app/kibana#/discover/Steve-Slow-Train-Analysis-(2080s-and-2083s)?_g=(refreshInterval:(display:Off,pause:!f,section:0,value:0),time:(from:'2017-04-29T17:51:52-0600',mode:absolute,to:'2017-04-29T20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3" s="192" t="str">
        <f t="shared" si="33"/>
        <v>N</v>
      </c>
      <c r="X133" s="192">
        <f t="shared" si="46"/>
        <v>1</v>
      </c>
      <c r="Y133" s="192">
        <f t="shared" si="34"/>
        <v>4.7800000000000002E-2</v>
      </c>
      <c r="Z133" s="192">
        <f t="shared" si="35"/>
        <v>23.3324</v>
      </c>
      <c r="AA133" s="192">
        <f t="shared" si="36"/>
        <v>23.284600000000001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7"/>
        <v>0221-29</v>
      </c>
      <c r="AE133" s="80" t="str">
        <f t="shared" si="38"/>
        <v>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 &amp; aws s3 cp s3://rtdc.mdm.uploadarchive.raw/RTDC4018/ "%USERPROFILE%\AppData\Local\Temp\OnboardLogs"\RTDC4018\2017-04-30 --exclude "*" --recursive --include "*20170430*" &amp; "%USERPROFILE%\Documents\GitHub\mrs-test-scripts\Headless Mode &amp; Sideloading\WalkAndUnGZ.bat" "%USERPROFILE%\AppData\Local\Temp\OnboardLogs"\RTDC4018\2017-04-30</v>
      </c>
      <c r="AF133" s="77" t="str">
        <f t="shared" si="39"/>
        <v>"C:\Program Files (x86)\AstroGrep\AstroGrep.exe" /e /r /s /spath="%USERPROFILE%\AppData\Local\Temp\OnboardLogs" /stypes="app*4018*20170430*" /stext=" 01:.+((SYSTEM_STATE.+slice.+state.+changed )|(ment ac)|(multiple cpu faults)|(system.+state.+changed )|(\[timeout)|(PRM\|1\|D)|(kpr)|(kdp)|(train.+moving)|(\|lc)|(penalty))"</v>
      </c>
      <c r="AG133" s="1" t="str">
        <f t="shared" si="40"/>
        <v>EC</v>
      </c>
      <c r="AH133" s="81" t="str">
        <f t="shared" si="41"/>
        <v>"%USERPROFILE%\Documents\GitHub\eaglep3\Utilities\RefineRTDCRunTimes.py" --tripid 221-29 --locoid 4018 --swversion DE.1.0.9.0 --startMP 204:478 --initTime 2017-04-29T18:51:52 --startdatetime 2017-04-29T19:00:21 --delay 1 --endMP 204:233324 --enddatetime 2017-04-29T19:36:11 --enforcementcount 0 &gt;&gt;C:\Users\stu\Documents\GitHub\eaglep3-reporting\EC\2017-04-29-refined-times.txt</v>
      </c>
      <c r="AI133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{"issue":{"subject":"","project_id":79,"tracker_id":40,"status_id":1,"priority_id":2,"assigned_to_id":23,"start_date":"2017-04-29","description":"","custom_fields":[{"id":1,"name":"Subdivision","value":"EC"},{"id":4,"name":"Milepost","value":"23.3324"},{"id":17,"name":"Train ID","value":"221-29"},{"id":16,"name":"Locomotive ID","value":"4018"},{"id":130,"name":"Impact","value":""},{"id":150,"name":"Time of Event (Mountain Time)","value":"19:36:11"},{"id":151,"name":"Denver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3"/>
        <v>start /low /b %USERPROFILE%\Documents\GitHub\eaglep3\Utilities\DownloadLogsFromS3.py --loco 4018 --day 2017-04-29</v>
      </c>
      <c r="AN133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01:36:11"},{"id":29,"name":"Sharepoint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775</v>
      </c>
      <c r="B134" s="7">
        <v>4017</v>
      </c>
      <c r="C134" s="21" t="s">
        <v>212</v>
      </c>
      <c r="D134" s="21" t="s">
        <v>427</v>
      </c>
      <c r="E134" s="13">
        <v>42854.826666666668</v>
      </c>
      <c r="F134" s="13">
        <v>42854.830752314818</v>
      </c>
      <c r="G134" s="7">
        <v>1</v>
      </c>
      <c r="H134" s="21" t="s">
        <v>414</v>
      </c>
      <c r="I134" s="13">
        <v>42854.857604166667</v>
      </c>
      <c r="J134" s="7">
        <v>0</v>
      </c>
      <c r="K134" s="92" t="str">
        <f t="shared" si="28"/>
        <v>4017/4018</v>
      </c>
      <c r="L134" s="21" t="str">
        <f>VLOOKUP(A134,'Trips&amp;Operators'!$C$1:$G$99999,5,FALSE)</f>
        <v>MAGEE KENYA</v>
      </c>
      <c r="M134" s="6">
        <f t="shared" si="29"/>
        <v>2.6851851849642117E-2</v>
      </c>
      <c r="N134" s="7">
        <f t="shared" si="47"/>
        <v>38.666666663484648</v>
      </c>
      <c r="O134" s="7"/>
      <c r="P134" s="7"/>
      <c r="Q134" s="22"/>
      <c r="R134" s="190"/>
      <c r="S134" s="196">
        <f t="shared" si="30"/>
        <v>1</v>
      </c>
      <c r="T134" s="190" t="str">
        <f t="shared" si="31"/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32"/>
        <v>https://d0f6bd738d7f1b3e5a7ca70fe4ff75f0.us-east-1.aws.found.io/app/kibana#/discover/Steve-Slow-Train-Analysis-(2080s-and-2083s)?_g=(refreshInterval:(display:Off,pause:!f,section:0,value:0),time:(from:'2017-04-29T18:50:24-0600',mode:absolute,to:'2017-04-29T21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4" s="192" t="str">
        <f t="shared" si="33"/>
        <v>N</v>
      </c>
      <c r="X134" s="192">
        <f t="shared" si="46"/>
        <v>1</v>
      </c>
      <c r="Y134" s="192">
        <f t="shared" si="34"/>
        <v>23.299399999999999</v>
      </c>
      <c r="Z134" s="192">
        <f t="shared" si="35"/>
        <v>1.49E-2</v>
      </c>
      <c r="AA134" s="192">
        <f t="shared" si="36"/>
        <v>23.284499999999998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7"/>
        <v>0222-29</v>
      </c>
      <c r="AE134" s="80" t="str">
        <f t="shared" si="38"/>
        <v>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 &amp; aws s3 cp s3://rtdc.mdm.uploadarchive.raw/RTDC4017/ "%USERPROFILE%\AppData\Local\Temp\OnboardLogs"\RTDC4017\2017-04-30 --exclude "*" --recursive --include "*20170430*" &amp; "%USERPROFILE%\Documents\GitHub\mrs-test-scripts\Headless Mode &amp; Sideloading\WalkAndUnGZ.bat" "%USERPROFILE%\AppData\Local\Temp\OnboardLogs"\RTDC4017\2017-04-30</v>
      </c>
      <c r="AF134" s="77" t="str">
        <f t="shared" si="39"/>
        <v>"C:\Program Files (x86)\AstroGrep\AstroGrep.exe" /e /r /s /spath="%USERPROFILE%\AppData\Local\Temp\OnboardLogs" /stypes="app*4017*20170430*" /stext=" 02:.+((SYSTEM_STATE.+slice.+state.+changed )|(ment ac)|(multiple cpu faults)|(system.+state.+changed )|(\[timeout)|(PRM\|1\|D)|(kpr)|(kdp)|(train.+moving)|(\|lc)|(penalty))"</v>
      </c>
      <c r="AG134" s="1" t="str">
        <f t="shared" si="40"/>
        <v>EC</v>
      </c>
      <c r="AH134" s="81" t="str">
        <f t="shared" si="41"/>
        <v>"%USERPROFILE%\Documents\GitHub\eaglep3\Utilities\RefineRTDCRunTimes.py" --tripid 222-29 --locoid 4017 --swversion DE.1.0.9.0 --startMP 204:232994 --initTime 2017-04-29T19:50:24 --startdatetime 2017-04-29T19:56:17 --delay 1 --endMP 204:149 --enddatetime 2017-04-29T20:34:57 --enforcementcount 0 &gt;&gt;C:\Users\stu\Documents\GitHub\eaglep3-reporting\EC\2017-04-29-refined-times.txt</v>
      </c>
      <c r="AI134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{"issue":{"subject":"","project_id":79,"tracker_id":40,"status_id":1,"priority_id":2,"assigned_to_id":23,"start_date":"2017-04-29","description":"","custom_fields":[{"id":1,"name":"Subdivision","value":"EC"},{"id":4,"name":"Milepost","value":"0.0149"},{"id":17,"name":"Train ID","value":"222-29"},{"id":16,"name":"Locomotive ID","value":"4017"},{"id":130,"name":"Impact","value":""},{"id":150,"name":"Time of Event (Mountain Time)","value":"20:34:57"},{"id":151,"name":"Denver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3"/>
        <v>start /low /b %USERPROFILE%\Documents\GitHub\eaglep3\Utilities\DownloadLogsFromS3.py --loco 4017 --day 2017-04-29</v>
      </c>
      <c r="AN134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02:34:57"},{"id":29,"name":"Sharepoint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772</v>
      </c>
      <c r="B135" s="7">
        <v>4004</v>
      </c>
      <c r="C135" s="21" t="s">
        <v>212</v>
      </c>
      <c r="D135" s="21" t="s">
        <v>443</v>
      </c>
      <c r="E135" s="13">
        <v>42854.807071759256</v>
      </c>
      <c r="F135" s="13">
        <v>42854.812719907408</v>
      </c>
      <c r="G135" s="7">
        <v>1</v>
      </c>
      <c r="H135" s="21" t="s">
        <v>848</v>
      </c>
      <c r="I135" s="13">
        <v>42854.837511574071</v>
      </c>
      <c r="J135" s="7">
        <v>0</v>
      </c>
      <c r="K135" s="92" t="str">
        <f t="shared" si="28"/>
        <v>4003/4004</v>
      </c>
      <c r="L135" s="21" t="str">
        <f>VLOOKUP(A135,'Trips&amp;Operators'!$C$1:$G$99999,5,FALSE)</f>
        <v>SMITH MICHAEL</v>
      </c>
      <c r="M135" s="6">
        <f t="shared" si="29"/>
        <v>2.4791666663077194E-2</v>
      </c>
      <c r="N135" s="7">
        <f t="shared" si="47"/>
        <v>35.69999999483116</v>
      </c>
      <c r="O135" s="7"/>
      <c r="P135" s="7"/>
      <c r="Q135" s="22"/>
      <c r="R135" s="190"/>
      <c r="S135" s="196">
        <f t="shared" si="30"/>
        <v>1</v>
      </c>
      <c r="T135" s="190" t="str">
        <f t="shared" si="31"/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32"/>
        <v>https://d0f6bd738d7f1b3e5a7ca70fe4ff75f0.us-east-1.aws.found.io/app/kibana#/discover/Steve-Slow-Train-Analysis-(2080s-and-2083s)?_g=(refreshInterval:(display:Off,pause:!f,section:0,value:0),time:(from:'2017-04-29T18:22:11-0600',mode:absolute,to:'2017-04-29T21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5" s="192" t="str">
        <f t="shared" si="33"/>
        <v>N</v>
      </c>
      <c r="X135" s="192">
        <f t="shared" si="46"/>
        <v>1</v>
      </c>
      <c r="Y135" s="192">
        <f t="shared" si="34"/>
        <v>4.7100000000000003E-2</v>
      </c>
      <c r="Z135" s="192">
        <f t="shared" si="35"/>
        <v>23.3308</v>
      </c>
      <c r="AA135" s="192">
        <f t="shared" si="36"/>
        <v>23.2837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7"/>
        <v>0223-29</v>
      </c>
      <c r="AE135" s="80" t="str">
        <f t="shared" si="38"/>
        <v>aws s3 cp s3://rtdc.mdm.uploadarchive.raw/RTDC4004/ "%USERPROFILE%\AppData\Local\Temp\OnboardLogs"\RTDC4004\2017-04-29 --exclude "*" --recursive --include "*20170429*" &amp; "%USERPROFILE%\Documents\GitHub\mrs-test-scripts\Headless Mode &amp; Sideloading\WalkAndUnGZ.bat" "%USERPROFILE%\AppData\Local\Temp\OnboardLogs"\RTDC4004\2017-04-29 &amp; aws s3 cp s3://rtdc.mdm.uploadarchive.raw/RTDC4004/ "%USERPROFILE%\AppData\Local\Temp\OnboardLogs"\RTDC4004\2017-04-30 --exclude "*" --recursive --include "*20170430*" &amp; "%USERPROFILE%\Documents\GitHub\mrs-test-scripts\Headless Mode &amp; Sideloading\WalkAndUnGZ.bat" "%USERPROFILE%\AppData\Local\Temp\OnboardLogs"\RTDC4004\2017-04-30</v>
      </c>
      <c r="AF135" s="77" t="str">
        <f t="shared" si="39"/>
        <v>"C:\Program Files (x86)\AstroGrep\AstroGrep.exe" /e /r /s /spath="%USERPROFILE%\AppData\Local\Temp\OnboardLogs" /stypes="app*4004*20170430*" /stext=" 02:.+((SYSTEM_STATE.+slice.+state.+changed )|(ment ac)|(multiple cpu faults)|(system.+state.+changed )|(\[timeout)|(PRM\|1\|D)|(kpr)|(kdp)|(train.+moving)|(\|lc)|(penalty))"</v>
      </c>
      <c r="AG135" s="1" t="str">
        <f t="shared" si="40"/>
        <v>EC</v>
      </c>
      <c r="AH135" s="81" t="str">
        <f t="shared" si="41"/>
        <v>"%USERPROFILE%\Documents\GitHub\eaglep3\Utilities\RefineRTDCRunTimes.py" --tripid 223-29 --locoid 4004 --swversion DE.1.0.9.0 --startMP 204:471 --initTime 2017-04-29T19:22:11 --startdatetime 2017-04-29T19:30:19 --delay 1 --endMP 204:233308 --enddatetime 2017-04-29T20:06:01 --enforcementcount 0 &gt;&gt;C:\Users\stu\Documents\GitHub\eaglep3-reporting\EC\2017-04-29-refined-times.txt</v>
      </c>
      <c r="AI135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{"issue":{"subject":"","project_id":79,"tracker_id":40,"status_id":1,"priority_id":2,"assigned_to_id":23,"start_date":"2017-04-29","description":"","custom_fields":[{"id":1,"name":"Subdivision","value":"EC"},{"id":4,"name":"Milepost","value":"23.3308"},{"id":17,"name":"Train ID","value":"223-29"},{"id":16,"name":"Locomotive ID","value":"4004"},{"id":130,"name":"Impact","value":""},{"id":150,"name":"Time of Event (Mountain Time)","value":"20:06:01"},{"id":151,"name":"Denver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3"/>
        <v>start /low /b %USERPROFILE%\Documents\GitHub\eaglep3\Utilities\DownloadLogsFromS3.py --loco 4004 --day 2017-04-29</v>
      </c>
      <c r="AN135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02:06:01"},{"id":29,"name":"Sharepoint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777</v>
      </c>
      <c r="B136" s="7">
        <v>4003</v>
      </c>
      <c r="C136" s="21" t="s">
        <v>212</v>
      </c>
      <c r="D136" s="21" t="s">
        <v>427</v>
      </c>
      <c r="E136" s="13">
        <v>42854.844560185185</v>
      </c>
      <c r="F136" s="13">
        <v>42854.851701388892</v>
      </c>
      <c r="G136" s="7">
        <v>1</v>
      </c>
      <c r="H136" s="21" t="s">
        <v>861</v>
      </c>
      <c r="I136" s="13">
        <v>42854.878333333334</v>
      </c>
      <c r="J136" s="7">
        <v>0</v>
      </c>
      <c r="K136" s="92" t="str">
        <f t="shared" si="28"/>
        <v>4003/4004</v>
      </c>
      <c r="L136" s="21" t="str">
        <f>VLOOKUP(A136,'Trips&amp;Operators'!$C$1:$G$99999,5,FALSE)</f>
        <v>SMITH MICHAEL</v>
      </c>
      <c r="M136" s="6">
        <f t="shared" si="29"/>
        <v>2.6631944441760425E-2</v>
      </c>
      <c r="N136" s="7">
        <f t="shared" si="47"/>
        <v>38.349999996135011</v>
      </c>
      <c r="O136" s="7"/>
      <c r="P136" s="7"/>
      <c r="Q136" s="22"/>
      <c r="R136" s="190"/>
      <c r="S136" s="196">
        <f t="shared" si="30"/>
        <v>1</v>
      </c>
      <c r="T136" s="190" t="str">
        <f t="shared" si="31"/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32"/>
        <v>https://d0f6bd738d7f1b3e5a7ca70fe4ff75f0.us-east-1.aws.found.io/app/kibana#/discover/Steve-Slow-Train-Analysis-(2080s-and-2083s)?_g=(refreshInterval:(display:Off,pause:!f,section:0,value:0),time:(from:'2017-04-29T19:16:10-0600',mode:absolute,to:'2017-04-29T22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6" s="192" t="str">
        <f t="shared" si="33"/>
        <v>N</v>
      </c>
      <c r="X136" s="192">
        <f t="shared" si="46"/>
        <v>1</v>
      </c>
      <c r="Y136" s="192">
        <f t="shared" si="34"/>
        <v>23.299399999999999</v>
      </c>
      <c r="Z136" s="192">
        <f t="shared" si="35"/>
        <v>1.41E-2</v>
      </c>
      <c r="AA136" s="192">
        <f t="shared" si="36"/>
        <v>23.285299999999999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7"/>
        <v>0224-29</v>
      </c>
      <c r="AE136" s="80" t="str">
        <f t="shared" si="38"/>
        <v>aws s3 cp s3://rtdc.mdm.uploadarchive.raw/RTDC4003/ "%USERPROFILE%\AppData\Local\Temp\OnboardLogs"\RTDC4003\2017-04-29 --exclude "*" --recursive --include "*20170429*" &amp; "%USERPROFILE%\Documents\GitHub\mrs-test-scripts\Headless Mode &amp; Sideloading\WalkAndUnGZ.bat" "%USERPROFILE%\AppData\Local\Temp\OnboardLogs"\RTDC4003\2017-04-29 &amp; aws s3 cp s3://rtdc.mdm.uploadarchive.raw/RTDC4003/ "%USERPROFILE%\AppData\Local\Temp\OnboardLogs"\RTDC4003\2017-04-30 --exclude "*" --recursive --include "*20170430*" &amp; "%USERPROFILE%\Documents\GitHub\mrs-test-scripts\Headless Mode &amp; Sideloading\WalkAndUnGZ.bat" "%USERPROFILE%\AppData\Local\Temp\OnboardLogs"\RTDC4003\2017-04-30</v>
      </c>
      <c r="AF136" s="77" t="str">
        <f t="shared" si="39"/>
        <v>"C:\Program Files (x86)\AstroGrep\AstroGrep.exe" /e /r /s /spath="%USERPROFILE%\AppData\Local\Temp\OnboardLogs" /stypes="app*4003*20170430*" /stext=" 03:.+((SYSTEM_STATE.+slice.+state.+changed )|(ment ac)|(multiple cpu faults)|(system.+state.+changed )|(\[timeout)|(PRM\|1\|D)|(kpr)|(kdp)|(train.+moving)|(\|lc)|(penalty))"</v>
      </c>
      <c r="AG136" s="1" t="str">
        <f t="shared" si="40"/>
        <v>EC</v>
      </c>
      <c r="AH136" s="81" t="str">
        <f t="shared" si="41"/>
        <v>"%USERPROFILE%\Documents\GitHub\eaglep3\Utilities\RefineRTDCRunTimes.py" --tripid 224-29 --locoid 4003 --swversion DE.1.0.9.0 --startMP 204:232994 --initTime 2017-04-29T20:16:10 --startdatetime 2017-04-29T20:26:27 --delay 1 --endMP 204:141 --enddatetime 2017-04-29T21:04:48 --enforcementcount 0 &gt;&gt;C:\Users\stu\Documents\GitHub\eaglep3-reporting\EC\2017-04-29-refined-times.txt</v>
      </c>
      <c r="AI136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{"issue":{"subject":"","project_id":79,"tracker_id":40,"status_id":1,"priority_id":2,"assigned_to_id":23,"start_date":"2017-04-29","description":"","custom_fields":[{"id":1,"name":"Subdivision","value":"EC"},{"id":4,"name":"Milepost","value":"0.0141"},{"id":17,"name":"Train ID","value":"224-29"},{"id":16,"name":"Locomotive ID","value":"4003"},{"id":130,"name":"Impact","value":""},{"id":150,"name":"Time of Event (Mountain Time)","value":"21:04:48"},{"id":151,"name":"Denver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3"/>
        <v>start /low /b %USERPROFILE%\Documents\GitHub\eaglep3\Utilities\DownloadLogsFromS3.py --loco 4003 --day 2017-04-29</v>
      </c>
      <c r="AN136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03:04:48"},{"id":29,"name":"Sharepoint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592</v>
      </c>
      <c r="B137" s="7">
        <v>4002</v>
      </c>
      <c r="C137" s="21" t="s">
        <v>212</v>
      </c>
      <c r="D137" s="21" t="s">
        <v>935</v>
      </c>
      <c r="E137" s="13">
        <v>42854.827164351853</v>
      </c>
      <c r="F137" s="13">
        <v>42854.833749999998</v>
      </c>
      <c r="G137" s="7">
        <v>1</v>
      </c>
      <c r="H137" s="21" t="s">
        <v>865</v>
      </c>
      <c r="I137" s="13">
        <v>42854.857870370368</v>
      </c>
      <c r="J137" s="7">
        <v>0</v>
      </c>
      <c r="K137" s="92" t="str">
        <f t="shared" si="28"/>
        <v>4001/4002</v>
      </c>
      <c r="L137" s="21" t="str">
        <f>VLOOKUP(A137,'Trips&amp;Operators'!$C$1:$G$99999,5,FALSE)</f>
        <v>STAMBAUGH JAMES</v>
      </c>
      <c r="M137" s="6">
        <f t="shared" si="29"/>
        <v>2.4120370369928423E-2</v>
      </c>
      <c r="N137" s="7">
        <f t="shared" si="47"/>
        <v>34.73333333269693</v>
      </c>
      <c r="O137" s="7"/>
      <c r="P137" s="7"/>
      <c r="Q137" s="22"/>
      <c r="R137" s="190"/>
      <c r="S137" s="196">
        <f t="shared" si="30"/>
        <v>1</v>
      </c>
      <c r="T137" s="190" t="str">
        <f t="shared" si="31"/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32"/>
        <v>https://d0f6bd738d7f1b3e5a7ca70fe4ff75f0.us-east-1.aws.found.io/app/kibana#/discover/Steve-Slow-Train-Analysis-(2080s-and-2083s)?_g=(refreshInterval:(display:Off,pause:!f,section:0,value:0),time:(from:'2017-04-29T18:51:07-0600',mode:absolute,to:'2017-04-29T21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7" s="192" t="str">
        <f t="shared" si="33"/>
        <v>N</v>
      </c>
      <c r="X137" s="192">
        <f t="shared" ref="X137:X144" si="48">VALUE(LEFT(AD137,4))-VALUE(LEFT(AD136,4))</f>
        <v>1</v>
      </c>
      <c r="Y137" s="192">
        <f t="shared" si="34"/>
        <v>4.1799999999999997E-2</v>
      </c>
      <c r="Z137" s="192">
        <f t="shared" si="35"/>
        <v>23.333600000000001</v>
      </c>
      <c r="AA137" s="192">
        <f t="shared" si="36"/>
        <v>23.291800000000002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7"/>
        <v>0225-29</v>
      </c>
      <c r="AE137" s="80" t="str">
        <f t="shared" si="38"/>
        <v>aws s3 cp s3://rtdc.mdm.uploadarchive.raw/RTDC4002/ "%USERPROFILE%\AppData\Local\Temp\OnboardLogs"\RTDC4002\2017-04-29 --exclude "*" --recursive --include "*20170429*" &amp; "%USERPROFILE%\Documents\GitHub\mrs-test-scripts\Headless Mode &amp; Sideloading\WalkAndUnGZ.bat" "%USERPROFILE%\AppData\Local\Temp\OnboardLogs"\RTDC4002\2017-04-29 &amp; aws s3 cp s3://rtdc.mdm.uploadarchive.raw/RTDC4002/ "%USERPROFILE%\AppData\Local\Temp\OnboardLogs"\RTDC4002\2017-04-30 --exclude "*" --recursive --include "*20170430*" &amp; "%USERPROFILE%\Documents\GitHub\mrs-test-scripts\Headless Mode &amp; Sideloading\WalkAndUnGZ.bat" "%USERPROFILE%\AppData\Local\Temp\OnboardLogs"\RTDC4002\2017-04-30</v>
      </c>
      <c r="AF137" s="77" t="str">
        <f t="shared" si="39"/>
        <v>"C:\Program Files (x86)\AstroGrep\AstroGrep.exe" /e /r /s /spath="%USERPROFILE%\AppData\Local\Temp\OnboardLogs" /stypes="app*4002*20170430*" /stext=" 02:.+((SYSTEM_STATE.+slice.+state.+changed )|(ment ac)|(multiple cpu faults)|(system.+state.+changed )|(\[timeout)|(PRM\|1\|D)|(kpr)|(kdp)|(train.+moving)|(\|lc)|(penalty))"</v>
      </c>
      <c r="AG137" s="1" t="str">
        <f t="shared" si="40"/>
        <v>EC</v>
      </c>
      <c r="AH137" s="81" t="str">
        <f t="shared" si="41"/>
        <v>"%USERPROFILE%\Documents\GitHub\eaglep3\Utilities\RefineRTDCRunTimes.py" --tripid 225-29 --locoid 4002 --swversion DE.1.0.9.0 --startMP 204:418 --initTime 2017-04-29T19:51:07 --startdatetime 2017-04-29T20:00:36 --delay 1 --endMP 204:233336 --enddatetime 2017-04-29T20:35:20 --enforcementcount 0 &gt;&gt;C:\Users\stu\Documents\GitHub\eaglep3-reporting\EC\2017-04-29-refined-times.txt</v>
      </c>
      <c r="AI137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{"issue":{"subject":"","project_id":79,"tracker_id":40,"status_id":1,"priority_id":2,"assigned_to_id":23,"start_date":"2017-04-29","description":"","custom_fields":[{"id":1,"name":"Subdivision","value":"EC"},{"id":4,"name":"Milepost","value":"23.3336"},{"id":17,"name":"Train ID","value":"225-29"},{"id":16,"name":"Locomotive ID","value":"4002"},{"id":130,"name":"Impact","value":""},{"id":150,"name":"Time of Event (Mountain Time)","value":"20:35:20"},{"id":151,"name":"Denver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3"/>
        <v>start /low /b %USERPROFILE%\Documents\GitHub\eaglep3\Utilities\DownloadLogsFromS3.py --loco 4002 --day 2017-04-29</v>
      </c>
      <c r="AN137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02:35:20"},{"id":29,"name":"Sharepoint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782</v>
      </c>
      <c r="B138" s="7">
        <v>4001</v>
      </c>
      <c r="C138" s="21" t="s">
        <v>212</v>
      </c>
      <c r="D138" s="21" t="s">
        <v>936</v>
      </c>
      <c r="E138" s="13">
        <v>42854.87190972222</v>
      </c>
      <c r="F138" s="13">
        <v>42854.873333333337</v>
      </c>
      <c r="G138" s="7">
        <v>1</v>
      </c>
      <c r="H138" s="21" t="s">
        <v>854</v>
      </c>
      <c r="I138" s="13">
        <v>42854.899293981478</v>
      </c>
      <c r="J138" s="7">
        <v>0</v>
      </c>
      <c r="K138" s="92" t="str">
        <f t="shared" si="28"/>
        <v>4001/4002</v>
      </c>
      <c r="L138" s="21" t="str">
        <f>VLOOKUP(A138,'Trips&amp;Operators'!$C$1:$G$99999,5,FALSE)</f>
        <v>STAMBAUGH JAMES</v>
      </c>
      <c r="M138" s="6">
        <f t="shared" si="29"/>
        <v>2.5960648141335696E-2</v>
      </c>
      <c r="N138" s="7">
        <f t="shared" si="47"/>
        <v>37.383333323523402</v>
      </c>
      <c r="O138" s="7"/>
      <c r="P138" s="7"/>
      <c r="Q138" s="22"/>
      <c r="R138" s="190"/>
      <c r="S138" s="196">
        <f t="shared" si="30"/>
        <v>1</v>
      </c>
      <c r="T138" s="190" t="str">
        <f t="shared" si="31"/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32"/>
        <v>https://d0f6bd738d7f1b3e5a7ca70fe4ff75f0.us-east-1.aws.found.io/app/kibana#/discover/Steve-Slow-Train-Analysis-(2080s-and-2083s)?_g=(refreshInterval:(display:Off,pause:!f,section:0,value:0),time:(from:'2017-04-29T19:55:33-0600',mode:absolute,to:'2017-04-29T22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8" s="192" t="str">
        <f t="shared" si="33"/>
        <v>N</v>
      </c>
      <c r="X138" s="192">
        <f t="shared" si="48"/>
        <v>1</v>
      </c>
      <c r="Y138" s="192">
        <f t="shared" si="34"/>
        <v>23.309000000000001</v>
      </c>
      <c r="Z138" s="192">
        <f t="shared" si="35"/>
        <v>1.2699999999999999E-2</v>
      </c>
      <c r="AA138" s="192">
        <f t="shared" si="36"/>
        <v>23.296300000000002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7"/>
        <v>0226-29</v>
      </c>
      <c r="AE138" s="80" t="str">
        <f t="shared" si="38"/>
        <v>aws s3 cp s3://rtdc.mdm.uploadarchive.raw/RTDC4001/ "%USERPROFILE%\AppData\Local\Temp\OnboardLogs"\RTDC4001\2017-04-29 --exclude "*" --recursive --include "*20170429*" &amp; "%USERPROFILE%\Documents\GitHub\mrs-test-scripts\Headless Mode &amp; Sideloading\WalkAndUnGZ.bat" "%USERPROFILE%\AppData\Local\Temp\OnboardLogs"\RTDC4001\2017-04-29 &amp; aws s3 cp s3://rtdc.mdm.uploadarchive.raw/RTDC4001/ "%USERPROFILE%\AppData\Local\Temp\OnboardLogs"\RTDC4001\2017-04-30 --exclude "*" --recursive --include "*20170430*" &amp; "%USERPROFILE%\Documents\GitHub\mrs-test-scripts\Headless Mode &amp; Sideloading\WalkAndUnGZ.bat" "%USERPROFILE%\AppData\Local\Temp\OnboardLogs"\RTDC4001\2017-04-30</v>
      </c>
      <c r="AF138" s="77" t="str">
        <f t="shared" si="39"/>
        <v>"C:\Program Files (x86)\AstroGrep\AstroGrep.exe" /e /r /s /spath="%USERPROFILE%\AppData\Local\Temp\OnboardLogs" /stypes="app*4001*20170430*" /stext=" 03:.+((SYSTEM_STATE.+slice.+state.+changed )|(ment ac)|(multiple cpu faults)|(system.+state.+changed )|(\[timeout)|(PRM\|1\|D)|(kpr)|(kdp)|(train.+moving)|(\|lc)|(penalty))"</v>
      </c>
      <c r="AG138" s="1" t="str">
        <f t="shared" si="40"/>
        <v>EC</v>
      </c>
      <c r="AH138" s="81" t="str">
        <f t="shared" si="41"/>
        <v>"%USERPROFILE%\Documents\GitHub\eaglep3\Utilities\RefineRTDCRunTimes.py" --tripid 226-29 --locoid 4001 --swversion DE.1.0.9.0 --startMP 204:233090 --initTime 2017-04-29T20:55:33 --startdatetime 2017-04-29T20:57:36 --delay 1 --endMP 204:127 --enddatetime 2017-04-29T21:34:59 --enforcementcount 0 &gt;&gt;C:\Users\stu\Documents\GitHub\eaglep3-reporting\EC\2017-04-29-refined-times.txt</v>
      </c>
      <c r="AI138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{"issue":{"subject":"","project_id":79,"tracker_id":40,"status_id":1,"priority_id":2,"assigned_to_id":23,"start_date":"2017-04-29","description":"","custom_fields":[{"id":1,"name":"Subdivision","value":"EC"},{"id":4,"name":"Milepost","value":"0.0127"},{"id":17,"name":"Train ID","value":"226-29"},{"id":16,"name":"Locomotive ID","value":"4001"},{"id":130,"name":"Impact","value":""},{"id":150,"name":"Time of Event (Mountain Time)","value":"21:34:59"},{"id":151,"name":"Denver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3"/>
        <v>start /low /b %USERPROFILE%\Documents\GitHub\eaglep3\Utilities\DownloadLogsFromS3.py --loco 4001 --day 2017-04-29</v>
      </c>
      <c r="AN138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03:34:59"},{"id":29,"name":"Sharepoint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776</v>
      </c>
      <c r="B139" s="7">
        <v>4022</v>
      </c>
      <c r="C139" s="21" t="s">
        <v>212</v>
      </c>
      <c r="D139" s="21" t="s">
        <v>473</v>
      </c>
      <c r="E139" s="13">
        <v>42854.840636574074</v>
      </c>
      <c r="F139" s="13">
        <v>42854.854444444441</v>
      </c>
      <c r="G139" s="7">
        <v>1</v>
      </c>
      <c r="H139" s="21" t="s">
        <v>938</v>
      </c>
      <c r="I139" s="13">
        <v>42854.880787037036</v>
      </c>
      <c r="J139" s="7">
        <v>0</v>
      </c>
      <c r="K139" s="92" t="str">
        <f t="shared" si="28"/>
        <v>4021/4022</v>
      </c>
      <c r="L139" s="21" t="str">
        <f>VLOOKUP(A139,'Trips&amp;Operators'!$C$1:$G$99999,5,FALSE)</f>
        <v>SWANSON BRYCE</v>
      </c>
      <c r="M139" s="6">
        <f t="shared" si="29"/>
        <v>2.6342592595028691E-2</v>
      </c>
      <c r="N139" s="7">
        <f t="shared" si="47"/>
        <v>37.933333336841315</v>
      </c>
      <c r="O139" s="7"/>
      <c r="P139" s="7"/>
      <c r="Q139" s="22"/>
      <c r="R139" s="190"/>
      <c r="S139" s="196">
        <f t="shared" si="30"/>
        <v>1</v>
      </c>
      <c r="T139" s="190" t="str">
        <f t="shared" si="31"/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32"/>
        <v>https://d0f6bd738d7f1b3e5a7ca70fe4ff75f0.us-east-1.aws.found.io/app/kibana#/discover/Steve-Slow-Train-Analysis-(2080s-and-2083s)?_g=(refreshInterval:(display:Off,pause:!f,section:0,value:0),time:(from:'2017-04-29T19:10:31-0600',mode:absolute,to:'2017-04-29T22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9" s="192" t="str">
        <f t="shared" si="33"/>
        <v>N</v>
      </c>
      <c r="X139" s="192">
        <f t="shared" si="48"/>
        <v>1</v>
      </c>
      <c r="Y139" s="192">
        <f t="shared" si="34"/>
        <v>4.7800000000000002E-2</v>
      </c>
      <c r="Z139" s="192">
        <f t="shared" si="35"/>
        <v>23.337800000000001</v>
      </c>
      <c r="AA139" s="192">
        <f t="shared" si="36"/>
        <v>23.290000000000003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7"/>
        <v>0227-29</v>
      </c>
      <c r="AE139" s="80" t="str">
        <f t="shared" si="38"/>
        <v>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 &amp; 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</v>
      </c>
      <c r="AF139" s="77" t="str">
        <f t="shared" si="39"/>
        <v>"C:\Program Files (x86)\AstroGrep\AstroGrep.exe" /e /r /s /spath="%USERPROFILE%\AppData\Local\Temp\OnboardLogs" /stypes="app*4022*20170430*" /stext=" 03:.+((SYSTEM_STATE.+slice.+state.+changed )|(ment ac)|(multiple cpu faults)|(system.+state.+changed )|(\[timeout)|(PRM\|1\|D)|(kpr)|(kdp)|(train.+moving)|(\|lc)|(penalty))"</v>
      </c>
      <c r="AG139" s="1" t="str">
        <f t="shared" si="40"/>
        <v>EC</v>
      </c>
      <c r="AH139" s="81" t="str">
        <f t="shared" si="41"/>
        <v>"%USERPROFILE%\Documents\GitHub\eaglep3\Utilities\RefineRTDCRunTimes.py" --tripid 227-29 --locoid 4022 --swversion DE.1.0.9.0 --startMP 204:478 --initTime 2017-04-29T20:10:31 --startdatetime 2017-04-29T20:30:24 --delay 1 --endMP 204:233378 --enddatetime 2017-04-29T21:08:20 --enforcementcount 0 &gt;&gt;C:\Users\stu\Documents\GitHub\eaglep3-reporting\EC\2017-04-29-refined-times.txt</v>
      </c>
      <c r="AI139" s="99" t="str">
        <f t="shared" si="42"/>
        <v>echo {"issue":{"subject":"","project_id":79,"tracker_id":40,"status_id":1,"priority_id":2,"assigned_to_id":23,"start_date":"2017-04-29","description":"","custom_fields":[{"id":1,"name":"Subdivision","value":"EC"},{"id":4,"name":"Milepost","value":"23.3378"},{"id":17,"name":"Train ID","value":"227-29"},{"id":16,"name":"Locomotive ID","value":"4022"},{"id":130,"name":"Impact","value":""},{"id":150,"name":"Time of Event (Mountain Time)","value":"21:08:20"},{"id":151,"name":"Denver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3"/>
        <v>start /low /b %USERPROFILE%\Documents\GitHub\eaglep3\Utilities\DownloadLogsFromS3.py --loco 4022 --day 2017-04-29</v>
      </c>
      <c r="AN139" s="154" t="str">
        <f t="shared" si="44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03:08:20"},{"id":29,"name":"Sharepoint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787</v>
      </c>
      <c r="B140" s="7">
        <v>4021</v>
      </c>
      <c r="C140" s="21" t="s">
        <v>212</v>
      </c>
      <c r="D140" s="21" t="s">
        <v>939</v>
      </c>
      <c r="E140" s="13">
        <v>42854.890613425923</v>
      </c>
      <c r="F140" s="13">
        <v>42854.893229166664</v>
      </c>
      <c r="G140" s="7">
        <v>1</v>
      </c>
      <c r="H140" s="21" t="s">
        <v>940</v>
      </c>
      <c r="I140" s="13">
        <v>42854.923009259262</v>
      </c>
      <c r="J140" s="7">
        <v>0</v>
      </c>
      <c r="K140" s="92" t="str">
        <f t="shared" si="28"/>
        <v>4021/4022</v>
      </c>
      <c r="L140" s="21" t="str">
        <f>VLOOKUP(A140,'Trips&amp;Operators'!$C$1:$G$99999,5,FALSE)</f>
        <v>SWANSON BRYCE</v>
      </c>
      <c r="M140" s="6">
        <f t="shared" si="29"/>
        <v>2.9780092598230112E-2</v>
      </c>
      <c r="N140" s="7">
        <f t="shared" si="47"/>
        <v>42.883333341451362</v>
      </c>
      <c r="O140" s="7"/>
      <c r="P140" s="7"/>
      <c r="Q140" s="22"/>
      <c r="R140" s="190"/>
      <c r="S140" s="196">
        <f t="shared" si="30"/>
        <v>1</v>
      </c>
      <c r="T140" s="190" t="str">
        <f t="shared" si="31"/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32"/>
        <v>https://d0f6bd738d7f1b3e5a7ca70fe4ff75f0.us-east-1.aws.found.io/app/kibana#/discover/Steve-Slow-Train-Analysis-(2080s-and-2083s)?_g=(refreshInterval:(display:Off,pause:!f,section:0,value:0),time:(from:'2017-04-29T20:22:29-0600',mode:absolute,to:'2017-04-29T23:09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0" s="192" t="str">
        <f t="shared" si="33"/>
        <v>N</v>
      </c>
      <c r="X140" s="192">
        <f t="shared" si="48"/>
        <v>1</v>
      </c>
      <c r="Y140" s="192">
        <f t="shared" si="34"/>
        <v>23.306000000000001</v>
      </c>
      <c r="Z140" s="192">
        <f t="shared" si="35"/>
        <v>1.29E-2</v>
      </c>
      <c r="AA140" s="192">
        <f t="shared" si="36"/>
        <v>23.293100000000003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7"/>
        <v>0228-29</v>
      </c>
      <c r="AE140" s="80" t="str">
        <f t="shared" si="38"/>
        <v>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 &amp; aws s3 cp s3://rtdc.mdm.uploadarchive.raw/RTDC4021/ "%USERPROFILE%\AppData\Local\Temp\OnboardLogs"\RTDC4021\2017-04-30 --exclude "*" --recursive --include "*20170430*" &amp; "%USERPROFILE%\Documents\GitHub\mrs-test-scripts\Headless Mode &amp; Sideloading\WalkAndUnGZ.bat" "%USERPROFILE%\AppData\Local\Temp\OnboardLogs"\RTDC4021\2017-04-30</v>
      </c>
      <c r="AF140" s="77" t="str">
        <f t="shared" si="39"/>
        <v>"C:\Program Files (x86)\AstroGrep\AstroGrep.exe" /e /r /s /spath="%USERPROFILE%\AppData\Local\Temp\OnboardLogs" /stypes="app*4021*20170430*" /stext=" 04:.+((SYSTEM_STATE.+slice.+state.+changed )|(ment ac)|(multiple cpu faults)|(system.+state.+changed )|(\[timeout)|(PRM\|1\|D)|(kpr)|(kdp)|(train.+moving)|(\|lc)|(penalty))"</v>
      </c>
      <c r="AG140" s="1" t="str">
        <f t="shared" si="40"/>
        <v>EC</v>
      </c>
      <c r="AH140" s="81" t="str">
        <f t="shared" ref="AH140:AH203" si="49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228-29 --locoid 4021 --swversion DE.1.0.9.0 --startMP 204:233060 --initTime 2017-04-29T21:22:29 --startdatetime 2017-04-29T21:26:15 --delay 1 --endMP 204:129 --enddatetime 2017-04-29T22:09:08 --enforcementcount 0 &gt;&gt;C:\Users\stu\Documents\GitHub\eaglep3-reporting\EC\2017-04-29-refined-times.txt</v>
      </c>
      <c r="AI140" s="99" t="str">
        <f t="shared" ref="AI140:AI203" si="50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{"issue":{"subject":"","project_id":79,"tracker_id":40,"status_id":1,"priority_id":2,"assigned_to_id":23,"start_date":"2017-04-29","description":"","custom_fields":[{"id":1,"name":"Subdivision","value":"EC"},{"id":4,"name":"Milepost","value":"0.0129"},{"id":17,"name":"Train ID","value":"228-29"},{"id":16,"name":"Locomotive ID","value":"4021"},{"id":130,"name":"Impact","value":""},{"id":150,"name":"Time of Event (Mountain Time)","value":"22:09:08"},{"id":151,"name":"Denver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ref="AM140:AM203" si="51">"start /low /b "&amp;dls3logs&amp;" --loco "&amp;B140&amp;" --day "&amp;TEXT(F140,"YYYY-MM-DD")</f>
        <v>start /low /b %USERPROFILE%\Documents\GitHub\eaglep3\Utilities\DownloadLogsFromS3.py --loco 4021 --day 2017-04-29</v>
      </c>
      <c r="AN140" s="154" t="str">
        <f t="shared" ref="AN140:AN203" si="52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04:09:08"},{"id":29,"name":"Sharepoint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784</v>
      </c>
      <c r="B141" s="7">
        <v>4018</v>
      </c>
      <c r="C141" s="21" t="s">
        <v>212</v>
      </c>
      <c r="D141" s="21" t="s">
        <v>369</v>
      </c>
      <c r="E141" s="13">
        <v>42854.870879629627</v>
      </c>
      <c r="F141" s="13">
        <v>42854.875254629631</v>
      </c>
      <c r="G141" s="7">
        <v>2</v>
      </c>
      <c r="H141" s="21" t="s">
        <v>497</v>
      </c>
      <c r="I141" s="13">
        <v>42854.900011574071</v>
      </c>
      <c r="J141" s="7">
        <v>0</v>
      </c>
      <c r="K141" s="92" t="str">
        <f t="shared" ref="K141:K204" si="53">IF(ISEVEN(B141),(B141-1)&amp;"/"&amp;B141,B141&amp;"/"&amp;(B141+1))</f>
        <v>4017/4018</v>
      </c>
      <c r="L141" s="21" t="str">
        <f>VLOOKUP(A141,'Trips&amp;Operators'!$C$1:$G$99999,5,FALSE)</f>
        <v>MAGEE KENYA</v>
      </c>
      <c r="M141" s="6">
        <f t="shared" ref="M141:M204" si="54">I141-F141</f>
        <v>2.4756944440014195E-2</v>
      </c>
      <c r="N141" s="7">
        <f t="shared" si="47"/>
        <v>35.64999999362044</v>
      </c>
      <c r="O141" s="7"/>
      <c r="P141" s="7"/>
      <c r="Q141" s="22"/>
      <c r="R141" s="190"/>
      <c r="S141" s="196">
        <f t="shared" ref="S141:S204" si="55">SUM(U141:U141)/IF(AG141="EC",12,1)</f>
        <v>1</v>
      </c>
      <c r="T141" s="190" t="str">
        <f t="shared" ref="T141:T204" si="56">IF(ISEVEN(LEFT(AD141,4)),"Southbound","NorthBound")</f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5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-29T19:54:04-0600',mode:absolute,to:'2017-04-29T22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1" s="192" t="str">
        <f t="shared" ref="W141:W204" si="58">IF(AA141&lt;IF(AG141="EC",23,5.65),"Y","N")</f>
        <v>N</v>
      </c>
      <c r="X141" s="192">
        <f t="shared" si="48"/>
        <v>1</v>
      </c>
      <c r="Y141" s="192">
        <f t="shared" ref="Y141:Y204" si="59">RIGHT(D141,LEN(D141)-4)/10000</f>
        <v>4.4900000000000002E-2</v>
      </c>
      <c r="Z141" s="192">
        <f t="shared" ref="Z141:Z204" si="60">RIGHT(H141,LEN(H141)-4)/10000</f>
        <v>23.337599999999998</v>
      </c>
      <c r="AA141" s="192">
        <f t="shared" ref="AA141:AA204" si="61">ABS(Z141-Y141)</f>
        <v>23.2927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2">IF(LEN(A141)=6,"0"&amp;A141,A141)</f>
        <v>0229-29</v>
      </c>
      <c r="AE141" s="80" t="str">
        <f t="shared" ref="AE141:AE204" si="6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 &amp; aws s3 cp s3://rtdc.mdm.uploadarchive.raw/RTDC4018/ "%USERPROFILE%\AppData\Local\Temp\OnboardLogs"\RTDC4018\2017-04-30 --exclude "*" --recursive --include "*20170430*" &amp; "%USERPROFILE%\Documents\GitHub\mrs-test-scripts\Headless Mode &amp; Sideloading\WalkAndUnGZ.bat" "%USERPROFILE%\AppData\Local\Temp\OnboardLogs"\RTDC4018\2017-04-30</v>
      </c>
      <c r="AF141" s="77" t="str">
        <f t="shared" ref="AF141:AF204" si="6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/stypes="app*4018*20170430*" /stext=" 03:.+((SYSTEM_STATE.+slice.+state.+changed )|(ment ac)|(multiple cpu faults)|(system.+state.+changed )|(\[timeout)|(PRM\|1\|D)|(kpr)|(kdp)|(train.+moving)|(\|lc)|(penalty))"</v>
      </c>
      <c r="AG141" s="1" t="str">
        <f t="shared" ref="AG141:AG204" si="65">IFERROR(IF(VALUE(LEFT(AD141,2))&lt;=2,"EC",IF(OR(VALUE(LEFT(AD141,2))=8,VALUE(LEFT(AD141,2))=18),"NW","Other")),"Other")</f>
        <v>EC</v>
      </c>
      <c r="AH141" s="81" t="str">
        <f t="shared" si="49"/>
        <v>"%USERPROFILE%\Documents\GitHub\eaglep3\Utilities\RefineRTDCRunTimes.py" --tripid 229-29 --locoid 4018 --swversion DE.1.0.9.0 --startMP 204:449 --initTime 2017-04-29T20:54:04 --startdatetime 2017-04-29T21:00:22 --delay 2 --endMP 204:233376 --enddatetime 2017-04-29T21:36:01 --enforcementcount 0 &gt;&gt;C:\Users\stu\Documents\GitHub\eaglep3-reporting\EC\2017-04-29-refined-times.txt</v>
      </c>
      <c r="AI141" s="99" t="str">
        <f t="shared" si="50"/>
        <v>echo {"issue":{"subject":"","project_id":79,"tracker_id":40,"status_id":1,"priority_id":2,"assigned_to_id":23,"start_date":"2017-04-29","description":"","custom_fields":[{"id":1,"name":"Subdivision","value":"EC"},{"id":4,"name":"Milepost","value":"23.3376"},{"id":17,"name":"Train ID","value":"229-29"},{"id":16,"name":"Locomotive ID","value":"4018"},{"id":130,"name":"Impact","value":""},{"id":150,"name":"Time of Event (Mountain Time)","value":"21:36:01"},{"id":151,"name":"Denver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51"/>
        <v>start /low /b %USERPROFILE%\Documents\GitHub\eaglep3\Utilities\DownloadLogsFromS3.py --loco 4018 --day 2017-04-29</v>
      </c>
      <c r="AN141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03:36:01"},{"id":29,"name":"Sharepoint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790</v>
      </c>
      <c r="B142" s="7">
        <v>4017</v>
      </c>
      <c r="C142" s="21" t="s">
        <v>212</v>
      </c>
      <c r="D142" s="21" t="s">
        <v>478</v>
      </c>
      <c r="E142" s="13">
        <v>42854.91238425926</v>
      </c>
      <c r="F142" s="13">
        <v>42854.914618055554</v>
      </c>
      <c r="G142" s="7">
        <v>2</v>
      </c>
      <c r="H142" s="21" t="s">
        <v>414</v>
      </c>
      <c r="I142" s="13">
        <v>42854.940983796296</v>
      </c>
      <c r="J142" s="7">
        <v>0</v>
      </c>
      <c r="K142" s="92" t="str">
        <f t="shared" si="53"/>
        <v>4017/4018</v>
      </c>
      <c r="L142" s="21" t="str">
        <f>VLOOKUP(A142,'Trips&amp;Operators'!$C$1:$G$99999,5,FALSE)</f>
        <v>MAGEE KENYA</v>
      </c>
      <c r="M142" s="6">
        <f t="shared" si="54"/>
        <v>2.6365740741312038E-2</v>
      </c>
      <c r="N142" s="7">
        <f t="shared" si="47"/>
        <v>37.966666667489335</v>
      </c>
      <c r="O142" s="7"/>
      <c r="P142" s="7"/>
      <c r="Q142" s="22"/>
      <c r="R142" s="190"/>
      <c r="S142" s="196">
        <f t="shared" si="55"/>
        <v>1</v>
      </c>
      <c r="T142" s="190" t="str">
        <f t="shared" si="56"/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57"/>
        <v>https://d0f6bd738d7f1b3e5a7ca70fe4ff75f0.us-east-1.aws.found.io/app/kibana#/discover/Steve-Slow-Train-Analysis-(2080s-and-2083s)?_g=(refreshInterval:(display:Off,pause:!f,section:0,value:0),time:(from:'2017-04-29T20:53:50-0600',mode:absolute,to:'2017-04-29T23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2" s="192" t="str">
        <f t="shared" si="58"/>
        <v>N</v>
      </c>
      <c r="X142" s="192">
        <f t="shared" si="48"/>
        <v>1</v>
      </c>
      <c r="Y142" s="192">
        <f t="shared" si="59"/>
        <v>23.3003</v>
      </c>
      <c r="Z142" s="192">
        <f t="shared" si="60"/>
        <v>1.49E-2</v>
      </c>
      <c r="AA142" s="192">
        <f t="shared" si="61"/>
        <v>23.285399999999999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2"/>
        <v>0230-29</v>
      </c>
      <c r="AE142" s="80" t="str">
        <f t="shared" si="63"/>
        <v>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 &amp; aws s3 cp s3://rtdc.mdm.uploadarchive.raw/RTDC4017/ "%USERPROFILE%\AppData\Local\Temp\OnboardLogs"\RTDC4017\2017-04-30 --exclude "*" --recursive --include "*20170430*" &amp; "%USERPROFILE%\Documents\GitHub\mrs-test-scripts\Headless Mode &amp; Sideloading\WalkAndUnGZ.bat" "%USERPROFILE%\AppData\Local\Temp\OnboardLogs"\RTDC4017\2017-04-30</v>
      </c>
      <c r="AF142" s="77" t="str">
        <f t="shared" si="64"/>
        <v>"C:\Program Files (x86)\AstroGrep\AstroGrep.exe" /e /r /s /spath="%USERPROFILE%\AppData\Local\Temp\OnboardLogs" /stypes="app*4017*20170430*" /stext=" 04:.+((SYSTEM_STATE.+slice.+state.+changed )|(ment ac)|(multiple cpu faults)|(system.+state.+changed )|(\[timeout)|(PRM\|1\|D)|(kpr)|(kdp)|(train.+moving)|(\|lc)|(penalty))"</v>
      </c>
      <c r="AG142" s="1" t="str">
        <f t="shared" si="65"/>
        <v>EC</v>
      </c>
      <c r="AH142" s="81" t="str">
        <f t="shared" si="49"/>
        <v>"%USERPROFILE%\Documents\GitHub\eaglep3\Utilities\RefineRTDCRunTimes.py" --tripid 230-29 --locoid 4017 --swversion DE.1.0.9.0 --startMP 204:233003 --initTime 2017-04-29T21:53:50 --startdatetime 2017-04-29T21:57:03 --delay 2 --endMP 204:149 --enddatetime 2017-04-29T22:35:01 --enforcementcount 0 &gt;&gt;C:\Users\stu\Documents\GitHub\eaglep3-reporting\EC\2017-04-29-refined-times.txt</v>
      </c>
      <c r="AI142" s="99" t="str">
        <f t="shared" si="50"/>
        <v>echo {"issue":{"subject":"","project_id":79,"tracker_id":40,"status_id":1,"priority_id":2,"assigned_to_id":23,"start_date":"2017-04-29","description":"","custom_fields":[{"id":1,"name":"Subdivision","value":"EC"},{"id":4,"name":"Milepost","value":"0.0149"},{"id":17,"name":"Train ID","value":"230-29"},{"id":16,"name":"Locomotive ID","value":"4017"},{"id":130,"name":"Impact","value":""},{"id":150,"name":"Time of Event (Mountain Time)","value":"22:35:01"},{"id":151,"name":"Denver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51"/>
        <v>start /low /b %USERPROFILE%\Documents\GitHub\eaglep3\Utilities\DownloadLogsFromS3.py --loco 4017 --day 2017-04-29</v>
      </c>
      <c r="AN142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04:35:01"},{"id":29,"name":"Sharepoint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785</v>
      </c>
      <c r="B143" s="7">
        <v>4004</v>
      </c>
      <c r="C143" s="21" t="s">
        <v>212</v>
      </c>
      <c r="D143" s="21" t="s">
        <v>467</v>
      </c>
      <c r="E143" s="13">
        <v>42854.884351851855</v>
      </c>
      <c r="F143" s="13">
        <v>42854.89607638889</v>
      </c>
      <c r="G143" s="7">
        <v>1</v>
      </c>
      <c r="H143" s="21" t="s">
        <v>941</v>
      </c>
      <c r="I143" s="13">
        <v>42854.921342592592</v>
      </c>
      <c r="J143" s="7">
        <v>0</v>
      </c>
      <c r="K143" s="92" t="str">
        <f t="shared" si="53"/>
        <v>4003/4004</v>
      </c>
      <c r="L143" s="21" t="str">
        <f>VLOOKUP(A143,'Trips&amp;Operators'!$C$1:$G$99999,5,FALSE)</f>
        <v>SMITH MICHAEL</v>
      </c>
      <c r="M143" s="6">
        <f t="shared" si="54"/>
        <v>2.5266203701903578E-2</v>
      </c>
      <c r="N143" s="7">
        <f t="shared" si="47"/>
        <v>36.383333330741152</v>
      </c>
      <c r="O143" s="7"/>
      <c r="P143" s="7"/>
      <c r="Q143" s="22"/>
      <c r="R143" s="190"/>
      <c r="S143" s="196">
        <f t="shared" si="55"/>
        <v>1</v>
      </c>
      <c r="T143" s="190" t="str">
        <f t="shared" si="56"/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57"/>
        <v>https://d0f6bd738d7f1b3e5a7ca70fe4ff75f0.us-east-1.aws.found.io/app/kibana#/discover/Steve-Slow-Train-Analysis-(2080s-and-2083s)?_g=(refreshInterval:(display:Off,pause:!f,section:0,value:0),time:(from:'2017-04-29T20:13:28-0600',mode:absolute,to:'2017-04-29T23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3" s="192" t="str">
        <f t="shared" si="58"/>
        <v>N</v>
      </c>
      <c r="X143" s="192">
        <f t="shared" si="48"/>
        <v>1</v>
      </c>
      <c r="Y143" s="192">
        <f t="shared" si="59"/>
        <v>4.53E-2</v>
      </c>
      <c r="Z143" s="192">
        <f t="shared" si="60"/>
        <v>23.323399999999999</v>
      </c>
      <c r="AA143" s="192">
        <f t="shared" si="61"/>
        <v>23.278099999999998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2"/>
        <v>0231-29</v>
      </c>
      <c r="AE143" s="80" t="str">
        <f t="shared" si="63"/>
        <v>aws s3 cp s3://rtdc.mdm.uploadarchive.raw/RTDC4004/ "%USERPROFILE%\AppData\Local\Temp\OnboardLogs"\RTDC4004\2017-04-29 --exclude "*" --recursive --include "*20170429*" &amp; "%USERPROFILE%\Documents\GitHub\mrs-test-scripts\Headless Mode &amp; Sideloading\WalkAndUnGZ.bat" "%USERPROFILE%\AppData\Local\Temp\OnboardLogs"\RTDC4004\2017-04-29 &amp; aws s3 cp s3://rtdc.mdm.uploadarchive.raw/RTDC4004/ "%USERPROFILE%\AppData\Local\Temp\OnboardLogs"\RTDC4004\2017-04-30 --exclude "*" --recursive --include "*20170430*" &amp; "%USERPROFILE%\Documents\GitHub\mrs-test-scripts\Headless Mode &amp; Sideloading\WalkAndUnGZ.bat" "%USERPROFILE%\AppData\Local\Temp\OnboardLogs"\RTDC4004\2017-04-30</v>
      </c>
      <c r="AF143" s="77" t="str">
        <f t="shared" si="64"/>
        <v>"C:\Program Files (x86)\AstroGrep\AstroGrep.exe" /e /r /s /spath="%USERPROFILE%\AppData\Local\Temp\OnboardLogs" /stypes="app*4004*20170430*" /stext=" 04:.+((SYSTEM_STATE.+slice.+state.+changed )|(ment ac)|(multiple cpu faults)|(system.+state.+changed )|(\[timeout)|(PRM\|1\|D)|(kpr)|(kdp)|(train.+moving)|(\|lc)|(penalty))"</v>
      </c>
      <c r="AG143" s="1" t="str">
        <f t="shared" si="65"/>
        <v>EC</v>
      </c>
      <c r="AH143" s="81" t="str">
        <f t="shared" si="49"/>
        <v>"%USERPROFILE%\Documents\GitHub\eaglep3\Utilities\RefineRTDCRunTimes.py" --tripid 231-29 --locoid 4004 --swversion DE.1.0.9.0 --startMP 204:453 --initTime 2017-04-29T21:13:28 --startdatetime 2017-04-29T21:30:21 --delay 1 --endMP 204:233234 --enddatetime 2017-04-29T22:06:44 --enforcementcount 0 &gt;&gt;C:\Users\stu\Documents\GitHub\eaglep3-reporting\EC\2017-04-29-refined-times.txt</v>
      </c>
      <c r="AI143" s="99" t="str">
        <f t="shared" si="50"/>
        <v>echo {"issue":{"subject":"","project_id":79,"tracker_id":40,"status_id":1,"priority_id":2,"assigned_to_id":23,"start_date":"2017-04-29","description":"","custom_fields":[{"id":1,"name":"Subdivision","value":"EC"},{"id":4,"name":"Milepost","value":"23.3234"},{"id":17,"name":"Train ID","value":"231-29"},{"id":16,"name":"Locomotive ID","value":"4004"},{"id":130,"name":"Impact","value":""},{"id":150,"name":"Time of Event (Mountain Time)","value":"22:06:44"},{"id":151,"name":"Denver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51"/>
        <v>start /low /b %USERPROFILE%\Documents\GitHub\eaglep3\Utilities\DownloadLogsFromS3.py --loco 4004 --day 2017-04-29</v>
      </c>
      <c r="AN143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04:06:44"},{"id":29,"name":"Sharepoint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791</v>
      </c>
      <c r="B144" s="7">
        <v>4003</v>
      </c>
      <c r="C144" s="21" t="s">
        <v>212</v>
      </c>
      <c r="D144" s="21" t="s">
        <v>942</v>
      </c>
      <c r="E144" s="13">
        <v>42854.929189814815</v>
      </c>
      <c r="F144" s="13">
        <v>42854.935046296298</v>
      </c>
      <c r="G144" s="7">
        <v>1</v>
      </c>
      <c r="H144" s="21" t="s">
        <v>456</v>
      </c>
      <c r="I144" s="13">
        <v>42854.96292824074</v>
      </c>
      <c r="J144" s="7">
        <v>0</v>
      </c>
      <c r="K144" s="92" t="str">
        <f t="shared" si="53"/>
        <v>4003/4004</v>
      </c>
      <c r="L144" s="21" t="str">
        <f>VLOOKUP(A144,'Trips&amp;Operators'!$C$1:$G$99999,5,FALSE)</f>
        <v>SMITH MICHAEL</v>
      </c>
      <c r="M144" s="6">
        <f t="shared" si="54"/>
        <v>2.7881944442924578E-2</v>
      </c>
      <c r="N144" s="7">
        <f t="shared" si="47"/>
        <v>40.149999997811392</v>
      </c>
      <c r="O144" s="7"/>
      <c r="P144" s="7"/>
      <c r="Q144" s="22"/>
      <c r="R144" s="190"/>
      <c r="S144" s="196">
        <f t="shared" si="55"/>
        <v>1</v>
      </c>
      <c r="T144" s="190" t="str">
        <f t="shared" si="56"/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57"/>
        <v>https://d0f6bd738d7f1b3e5a7ca70fe4ff75f0.us-east-1.aws.found.io/app/kibana#/discover/Steve-Slow-Train-Analysis-(2080s-and-2083s)?_g=(refreshInterval:(display:Off,pause:!f,section:0,value:0),time:(from:'2017-04-29T21:18:02-0600',mode:absolute,to:'2017-04-30T00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4" s="192" t="str">
        <f t="shared" si="58"/>
        <v>N</v>
      </c>
      <c r="X144" s="192">
        <f t="shared" si="48"/>
        <v>1</v>
      </c>
      <c r="Y144" s="192">
        <f t="shared" si="59"/>
        <v>23.290400000000002</v>
      </c>
      <c r="Z144" s="192">
        <f t="shared" si="60"/>
        <v>1.5599999999999999E-2</v>
      </c>
      <c r="AA144" s="192">
        <f t="shared" si="61"/>
        <v>23.274800000000003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2"/>
        <v>0232-29</v>
      </c>
      <c r="AE144" s="80" t="str">
        <f t="shared" si="63"/>
        <v>aws s3 cp s3://rtdc.mdm.uploadarchive.raw/RTDC4003/ "%USERPROFILE%\AppData\Local\Temp\OnboardLogs"\RTDC4003\2017-04-29 --exclude "*" --recursive --include "*20170429*" &amp; "%USERPROFILE%\Documents\GitHub\mrs-test-scripts\Headless Mode &amp; Sideloading\WalkAndUnGZ.bat" "%USERPROFILE%\AppData\Local\Temp\OnboardLogs"\RTDC4003\2017-04-29 &amp; aws s3 cp s3://rtdc.mdm.uploadarchive.raw/RTDC4003/ "%USERPROFILE%\AppData\Local\Temp\OnboardLogs"\RTDC4003\2017-04-30 --exclude "*" --recursive --include "*20170430*" &amp; "%USERPROFILE%\Documents\GitHub\mrs-test-scripts\Headless Mode &amp; Sideloading\WalkAndUnGZ.bat" "%USERPROFILE%\AppData\Local\Temp\OnboardLogs"\RTDC4003\2017-04-30</v>
      </c>
      <c r="AF144" s="77" t="str">
        <f t="shared" si="64"/>
        <v>"C:\Program Files (x86)\AstroGrep\AstroGrep.exe" /e /r /s /spath="%USERPROFILE%\AppData\Local\Temp\OnboardLogs" /stypes="app*4003*20170430*" /stext=" 05:.+((SYSTEM_STATE.+slice.+state.+changed )|(ment ac)|(multiple cpu faults)|(system.+state.+changed )|(\[timeout)|(PRM\|1\|D)|(kpr)|(kdp)|(train.+moving)|(\|lc)|(penalty))"</v>
      </c>
      <c r="AG144" s="1" t="str">
        <f t="shared" si="65"/>
        <v>EC</v>
      </c>
      <c r="AH144" s="81" t="str">
        <f t="shared" si="49"/>
        <v>"%USERPROFILE%\Documents\GitHub\eaglep3\Utilities\RefineRTDCRunTimes.py" --tripid 232-29 --locoid 4003 --swversion DE.1.0.9.0 --startMP 204:232904 --initTime 2017-04-29T22:18:02 --startdatetime 2017-04-29T22:26:28 --delay 1 --endMP 204:156 --enddatetime 2017-04-29T23:06:37 --enforcementcount 0 &gt;&gt;C:\Users\stu\Documents\GitHub\eaglep3-reporting\EC\2017-04-29-refined-times.txt</v>
      </c>
      <c r="AI144" s="99" t="str">
        <f t="shared" si="50"/>
        <v>echo {"issue":{"subject":"","project_id":79,"tracker_id":40,"status_id":1,"priority_id":2,"assigned_to_id":23,"start_date":"2017-04-29","description":"","custom_fields":[{"id":1,"name":"Subdivision","value":"EC"},{"id":4,"name":"Milepost","value":"0.0156"},{"id":17,"name":"Train ID","value":"232-29"},{"id":16,"name":"Locomotive ID","value":"4003"},{"id":130,"name":"Impact","value":""},{"id":150,"name":"Time of Event (Mountain Time)","value":"23:06:37"},{"id":151,"name":"Denver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51"/>
        <v>start /low /b %USERPROFILE%\Documents\GitHub\eaglep3\Utilities\DownloadLogsFromS3.py --loco 4003 --day 2017-04-29</v>
      </c>
      <c r="AN144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05:06:37"},{"id":29,"name":"Sharepoint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789</v>
      </c>
      <c r="B145" s="7">
        <v>4002</v>
      </c>
      <c r="C145" s="21" t="s">
        <v>212</v>
      </c>
      <c r="D145" s="21" t="s">
        <v>489</v>
      </c>
      <c r="E145" s="13">
        <v>42854.902488425927</v>
      </c>
      <c r="F145" s="13">
        <v>42854.917037037034</v>
      </c>
      <c r="G145" s="7">
        <v>2</v>
      </c>
      <c r="H145" s="21" t="s">
        <v>943</v>
      </c>
      <c r="I145" s="13">
        <v>42854.941354166665</v>
      </c>
      <c r="J145" s="7">
        <v>0</v>
      </c>
      <c r="K145" s="92" t="str">
        <f t="shared" si="53"/>
        <v>4001/4002</v>
      </c>
      <c r="L145" s="21" t="str">
        <f>VLOOKUP(A145,'Trips&amp;Operators'!$C$1:$G$99999,5,FALSE)</f>
        <v>STAMBAUGH JAMES</v>
      </c>
      <c r="M145" s="6">
        <f t="shared" si="54"/>
        <v>2.4317129631526768E-2</v>
      </c>
      <c r="N145" s="7">
        <f t="shared" si="47"/>
        <v>35.016666669398546</v>
      </c>
      <c r="O145" s="7"/>
      <c r="P145" s="7"/>
      <c r="Q145" s="22"/>
      <c r="R145" s="190"/>
      <c r="S145" s="196">
        <f t="shared" si="55"/>
        <v>1</v>
      </c>
      <c r="T145" s="190" t="str">
        <f t="shared" si="56"/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57"/>
        <v>https://d0f6bd738d7f1b3e5a7ca70fe4ff75f0.us-east-1.aws.found.io/app/kibana#/discover/Steve-Slow-Train-Analysis-(2080s-and-2083s)?_g=(refreshInterval:(display:Off,pause:!f,section:0,value:0),time:(from:'2017-04-29T20:39:35-0600',mode:absolute,to:'2017-04-29T23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5" s="192" t="str">
        <f t="shared" si="58"/>
        <v>N</v>
      </c>
      <c r="X145" s="192">
        <f t="shared" ref="X145:X176" si="66">VALUE(LEFT(AD145,4))-VALUE(LEFT(AD144,4))</f>
        <v>1</v>
      </c>
      <c r="Y145" s="192">
        <f t="shared" si="59"/>
        <v>4.3999999999999997E-2</v>
      </c>
      <c r="Z145" s="192">
        <f t="shared" si="60"/>
        <v>23.341799999999999</v>
      </c>
      <c r="AA145" s="192">
        <f t="shared" si="61"/>
        <v>23.297799999999999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2"/>
        <v>0233-29</v>
      </c>
      <c r="AE145" s="80" t="str">
        <f t="shared" si="63"/>
        <v>aws s3 cp s3://rtdc.mdm.uploadarchive.raw/RTDC4002/ "%USERPROFILE%\AppData\Local\Temp\OnboardLogs"\RTDC4002\2017-04-29 --exclude "*" --recursive --include "*20170429*" &amp; "%USERPROFILE%\Documents\GitHub\mrs-test-scripts\Headless Mode &amp; Sideloading\WalkAndUnGZ.bat" "%USERPROFILE%\AppData\Local\Temp\OnboardLogs"\RTDC4002\2017-04-29 &amp; aws s3 cp s3://rtdc.mdm.uploadarchive.raw/RTDC4002/ "%USERPROFILE%\AppData\Local\Temp\OnboardLogs"\RTDC4002\2017-04-30 --exclude "*" --recursive --include "*20170430*" &amp; "%USERPROFILE%\Documents\GitHub\mrs-test-scripts\Headless Mode &amp; Sideloading\WalkAndUnGZ.bat" "%USERPROFILE%\AppData\Local\Temp\OnboardLogs"\RTDC4002\2017-04-30</v>
      </c>
      <c r="AF145" s="77" t="str">
        <f t="shared" si="64"/>
        <v>"C:\Program Files (x86)\AstroGrep\AstroGrep.exe" /e /r /s /spath="%USERPROFILE%\AppData\Local\Temp\OnboardLogs" /stypes="app*4002*20170430*" /stext=" 04:.+((SYSTEM_STATE.+slice.+state.+changed )|(ment ac)|(multiple cpu faults)|(system.+state.+changed )|(\[timeout)|(PRM\|1\|D)|(kpr)|(kdp)|(train.+moving)|(\|lc)|(penalty))"</v>
      </c>
      <c r="AG145" s="1" t="str">
        <f t="shared" si="65"/>
        <v>EC</v>
      </c>
      <c r="AH145" s="81" t="str">
        <f t="shared" si="49"/>
        <v>"%USERPROFILE%\Documents\GitHub\eaglep3\Utilities\RefineRTDCRunTimes.py" --tripid 233-29 --locoid 4002 --swversion DE.1.0.9.0 --startMP 204:440 --initTime 2017-04-29T21:39:35 --startdatetime 2017-04-29T22:00:32 --delay 2 --endMP 204:233418 --enddatetime 2017-04-29T22:35:33 --enforcementcount 0 &gt;&gt;C:\Users\stu\Documents\GitHub\eaglep3-reporting\EC\2017-04-29-refined-times.txt</v>
      </c>
      <c r="AI145" s="99" t="str">
        <f t="shared" si="50"/>
        <v>echo {"issue":{"subject":"","project_id":79,"tracker_id":40,"status_id":1,"priority_id":2,"assigned_to_id":23,"start_date":"2017-04-29","description":"","custom_fields":[{"id":1,"name":"Subdivision","value":"EC"},{"id":4,"name":"Milepost","value":"23.3418"},{"id":17,"name":"Train ID","value":"233-29"},{"id":16,"name":"Locomotive ID","value":"4002"},{"id":130,"name":"Impact","value":""},{"id":150,"name":"Time of Event (Mountain Time)","value":"22:35:33"},{"id":151,"name":"Denver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51"/>
        <v>start /low /b %USERPROFILE%\Documents\GitHub\eaglep3\Utilities\DownloadLogsFromS3.py --loco 4002 --day 2017-04-29</v>
      </c>
      <c r="AN145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04:35:33"},{"id":29,"name":"Sharepoint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794</v>
      </c>
      <c r="B146" s="7">
        <v>4001</v>
      </c>
      <c r="C146" s="21" t="s">
        <v>212</v>
      </c>
      <c r="D146" s="21" t="s">
        <v>937</v>
      </c>
      <c r="E146" s="13">
        <v>42854.953888888886</v>
      </c>
      <c r="F146" s="13">
        <v>42854.95590277778</v>
      </c>
      <c r="G146" s="7">
        <v>1</v>
      </c>
      <c r="H146" s="21" t="s">
        <v>944</v>
      </c>
      <c r="I146" s="13">
        <v>42854.982557870368</v>
      </c>
      <c r="J146" s="7">
        <v>0</v>
      </c>
      <c r="K146" s="92" t="str">
        <f t="shared" si="53"/>
        <v>4001/4002</v>
      </c>
      <c r="L146" s="21" t="str">
        <f>VLOOKUP(A146,'Trips&amp;Operators'!$C$1:$G$99999,5,FALSE)</f>
        <v>STAMBAUGH JAMES</v>
      </c>
      <c r="M146" s="6">
        <f t="shared" si="54"/>
        <v>2.6655092588043772E-2</v>
      </c>
      <c r="N146" s="7">
        <f t="shared" si="47"/>
        <v>38.383333326783031</v>
      </c>
      <c r="O146" s="7"/>
      <c r="P146" s="7"/>
      <c r="Q146" s="22"/>
      <c r="R146" s="190"/>
      <c r="S146" s="196">
        <f t="shared" si="55"/>
        <v>1</v>
      </c>
      <c r="T146" s="190" t="str">
        <f t="shared" si="56"/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57"/>
        <v>https://d0f6bd738d7f1b3e5a7ca70fe4ff75f0.us-east-1.aws.found.io/app/kibana#/discover/Steve-Slow-Train-Analysis-(2080s-and-2083s)?_g=(refreshInterval:(display:Off,pause:!f,section:0,value:0),time:(from:'2017-04-29T21:53:36-0600',mode:absolute,to:'2017-04-30T00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6" s="192" t="str">
        <f t="shared" si="58"/>
        <v>N</v>
      </c>
      <c r="X146" s="192">
        <f t="shared" si="66"/>
        <v>1</v>
      </c>
      <c r="Y146" s="192">
        <f t="shared" si="59"/>
        <v>23.309200000000001</v>
      </c>
      <c r="Z146" s="192">
        <f t="shared" si="60"/>
        <v>1.2500000000000001E-2</v>
      </c>
      <c r="AA146" s="192">
        <f t="shared" si="61"/>
        <v>23.296700000000001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2"/>
        <v>0234-29</v>
      </c>
      <c r="AE146" s="80" t="str">
        <f t="shared" si="63"/>
        <v>aws s3 cp s3://rtdc.mdm.uploadarchive.raw/RTDC4001/ "%USERPROFILE%\AppData\Local\Temp\OnboardLogs"\RTDC4001\2017-04-29 --exclude "*" --recursive --include "*20170429*" &amp; "%USERPROFILE%\Documents\GitHub\mrs-test-scripts\Headless Mode &amp; Sideloading\WalkAndUnGZ.bat" "%USERPROFILE%\AppData\Local\Temp\OnboardLogs"\RTDC4001\2017-04-29 &amp; aws s3 cp s3://rtdc.mdm.uploadarchive.raw/RTDC4001/ "%USERPROFILE%\AppData\Local\Temp\OnboardLogs"\RTDC4001\2017-04-30 --exclude "*" --recursive --include "*20170430*" &amp; "%USERPROFILE%\Documents\GitHub\mrs-test-scripts\Headless Mode &amp; Sideloading\WalkAndUnGZ.bat" "%USERPROFILE%\AppData\Local\Temp\OnboardLogs"\RTDC4001\2017-04-30</v>
      </c>
      <c r="AF146" s="77" t="str">
        <f t="shared" si="64"/>
        <v>"C:\Program Files (x86)\AstroGrep\AstroGrep.exe" /e /r /s /spath="%USERPROFILE%\AppData\Local\Temp\OnboardLogs" /stypes="app*4001*20170430*" /stext=" 05:.+((SYSTEM_STATE.+slice.+state.+changed )|(ment ac)|(multiple cpu faults)|(system.+state.+changed )|(\[timeout)|(PRM\|1\|D)|(kpr)|(kdp)|(train.+moving)|(\|lc)|(penalty))"</v>
      </c>
      <c r="AG146" s="1" t="str">
        <f t="shared" si="65"/>
        <v>EC</v>
      </c>
      <c r="AH146" s="81" t="str">
        <f t="shared" si="49"/>
        <v>"%USERPROFILE%\Documents\GitHub\eaglep3\Utilities\RefineRTDCRunTimes.py" --tripid 234-29 --locoid 4001 --swversion DE.1.0.9.0 --startMP 204:233092 --initTime 2017-04-29T22:53:36 --startdatetime 2017-04-29T22:56:30 --delay 1 --endMP 204:125 --enddatetime 2017-04-29T23:34:53 --enforcementcount 0 &gt;&gt;C:\Users\stu\Documents\GitHub\eaglep3-reporting\EC\2017-04-29-refined-times.txt</v>
      </c>
      <c r="AI146" s="99" t="str">
        <f t="shared" si="50"/>
        <v>echo {"issue":{"subject":"","project_id":79,"tracker_id":40,"status_id":1,"priority_id":2,"assigned_to_id":23,"start_date":"2017-04-29","description":"","custom_fields":[{"id":1,"name":"Subdivision","value":"EC"},{"id":4,"name":"Milepost","value":"0.0125"},{"id":17,"name":"Train ID","value":"234-29"},{"id":16,"name":"Locomotive ID","value":"4001"},{"id":130,"name":"Impact","value":""},{"id":150,"name":"Time of Event (Mountain Time)","value":"23:34:53"},{"id":151,"name":"Denver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51"/>
        <v>start /low /b %USERPROFILE%\Documents\GitHub\eaglep3\Utilities\DownloadLogsFromS3.py --loco 4001 --day 2017-04-29</v>
      </c>
      <c r="AN146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05:34:53"},{"id":29,"name":"Sharepoint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792</v>
      </c>
      <c r="B147" s="7">
        <v>4022</v>
      </c>
      <c r="C147" s="21" t="s">
        <v>212</v>
      </c>
      <c r="D147" s="21" t="s">
        <v>467</v>
      </c>
      <c r="E147" s="13">
        <v>42854.928472222222</v>
      </c>
      <c r="F147" s="13">
        <v>42854.937800925924</v>
      </c>
      <c r="G147" s="7">
        <v>4</v>
      </c>
      <c r="H147" s="21" t="s">
        <v>837</v>
      </c>
      <c r="I147" s="13">
        <v>42854.963495370372</v>
      </c>
      <c r="J147" s="7">
        <v>0</v>
      </c>
      <c r="K147" s="92" t="str">
        <f t="shared" si="53"/>
        <v>4021/4022</v>
      </c>
      <c r="L147" s="21" t="str">
        <f>VLOOKUP(A147,'Trips&amp;Operators'!$C$1:$G$99999,5,FALSE)</f>
        <v>SWANSON BRYCE</v>
      </c>
      <c r="M147" s="6">
        <f t="shared" si="54"/>
        <v>2.5694444448163267E-2</v>
      </c>
      <c r="N147" s="7">
        <f t="shared" si="47"/>
        <v>37.000000005355105</v>
      </c>
      <c r="O147" s="7"/>
      <c r="P147" s="7"/>
      <c r="Q147" s="22"/>
      <c r="R147" s="190"/>
      <c r="S147" s="196">
        <f t="shared" si="55"/>
        <v>1</v>
      </c>
      <c r="T147" s="190" t="str">
        <f t="shared" si="56"/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57"/>
        <v>https://d0f6bd738d7f1b3e5a7ca70fe4ff75f0.us-east-1.aws.found.io/app/kibana#/discover/Steve-Slow-Train-Analysis-(2080s-and-2083s)?_g=(refreshInterval:(display:Off,pause:!f,section:0,value:0),time:(from:'2017-04-29T21:17:00-0600',mode:absolute,to:'2017-04-30T00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7" s="192" t="str">
        <f t="shared" si="58"/>
        <v>N</v>
      </c>
      <c r="X147" s="192">
        <f t="shared" si="66"/>
        <v>1</v>
      </c>
      <c r="Y147" s="192">
        <f t="shared" si="59"/>
        <v>4.53E-2</v>
      </c>
      <c r="Z147" s="192">
        <f t="shared" si="60"/>
        <v>23.339099999999998</v>
      </c>
      <c r="AA147" s="192">
        <f t="shared" si="61"/>
        <v>23.293799999999997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2"/>
        <v>0235-29</v>
      </c>
      <c r="AE147" s="80" t="str">
        <f t="shared" si="63"/>
        <v>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 &amp; 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</v>
      </c>
      <c r="AF147" s="77" t="str">
        <f t="shared" si="64"/>
        <v>"C:\Program Files (x86)\AstroGrep\AstroGrep.exe" /e /r /s /spath="%USERPROFILE%\AppData\Local\Temp\OnboardLogs" /stypes="app*4022*20170430*" /stext=" 05:.+((SYSTEM_STATE.+slice.+state.+changed )|(ment ac)|(multiple cpu faults)|(system.+state.+changed )|(\[timeout)|(PRM\|1\|D)|(kpr)|(kdp)|(train.+moving)|(\|lc)|(penalty))"</v>
      </c>
      <c r="AG147" s="1" t="str">
        <f t="shared" si="65"/>
        <v>EC</v>
      </c>
      <c r="AH147" s="81" t="str">
        <f t="shared" si="49"/>
        <v>"%USERPROFILE%\Documents\GitHub\eaglep3\Utilities\RefineRTDCRunTimes.py" --tripid 235-29 --locoid 4022 --swversion DE.1.0.9.0 --startMP 204:453 --initTime 2017-04-29T22:17:00 --startdatetime 2017-04-29T22:30:26 --delay 4 --endMP 204:233391 --enddatetime 2017-04-29T23:07:26 --enforcementcount 0 &gt;&gt;C:\Users\stu\Documents\GitHub\eaglep3-reporting\EC\2017-04-29-refined-times.txt</v>
      </c>
      <c r="AI147" s="99" t="str">
        <f t="shared" si="50"/>
        <v>echo {"issue":{"subject":"","project_id":79,"tracker_id":40,"status_id":1,"priority_id":2,"assigned_to_id":23,"start_date":"2017-04-29","description":"","custom_fields":[{"id":1,"name":"Subdivision","value":"EC"},{"id":4,"name":"Milepost","value":"23.3391"},{"id":17,"name":"Train ID","value":"235-29"},{"id":16,"name":"Locomotive ID","value":"4022"},{"id":130,"name":"Impact","value":""},{"id":150,"name":"Time of Event (Mountain Time)","value":"23:07:26"},{"id":151,"name":"Denver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51"/>
        <v>start /low /b %USERPROFILE%\Documents\GitHub\eaglep3\Utilities\DownloadLogsFromS3.py --loco 4022 --day 2017-04-29</v>
      </c>
      <c r="AN147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05:07:26"},{"id":29,"name":"Sharepoint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2" t="s">
        <v>796</v>
      </c>
      <c r="B148" s="7">
        <v>4021</v>
      </c>
      <c r="C148" s="21" t="s">
        <v>212</v>
      </c>
      <c r="D148" s="21" t="s">
        <v>945</v>
      </c>
      <c r="E148" s="13">
        <v>42854.971666666665</v>
      </c>
      <c r="F148" s="13">
        <v>42854.976585648146</v>
      </c>
      <c r="G148" s="7">
        <v>1</v>
      </c>
      <c r="H148" s="21" t="s">
        <v>861</v>
      </c>
      <c r="I148" s="13">
        <v>42855.005162037036</v>
      </c>
      <c r="J148" s="7">
        <v>0</v>
      </c>
      <c r="K148" s="92" t="str">
        <f t="shared" si="53"/>
        <v>4021/4022</v>
      </c>
      <c r="L148" s="21" t="str">
        <f>VLOOKUP(A148,'Trips&amp;Operators'!$C$1:$G$99999,5,FALSE)</f>
        <v>SWANSON BRYCE</v>
      </c>
      <c r="M148" s="6">
        <f t="shared" si="54"/>
        <v>2.8576388889632653E-2</v>
      </c>
      <c r="N148" s="7">
        <f t="shared" si="47"/>
        <v>41.150000001071021</v>
      </c>
      <c r="O148" s="7"/>
      <c r="P148" s="7"/>
      <c r="Q148" s="22"/>
      <c r="R148" s="190"/>
      <c r="S148" s="196">
        <f t="shared" si="55"/>
        <v>1</v>
      </c>
      <c r="T148" s="190" t="str">
        <f t="shared" si="56"/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57"/>
        <v>https://d0f6bd738d7f1b3e5a7ca70fe4ff75f0.us-east-1.aws.found.io/app/kibana#/discover/Steve-Slow-Train-Analysis-(2080s-and-2083s)?_g=(refreshInterval:(display:Off,pause:!f,section:0,value:0),time:(from:'2017-04-29T22:19:12-0600',mode:absolute,to:'2017-04-30T01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8" s="192" t="str">
        <f t="shared" si="58"/>
        <v>N</v>
      </c>
      <c r="X148" s="192">
        <f t="shared" si="66"/>
        <v>1</v>
      </c>
      <c r="Y148" s="192">
        <f t="shared" si="59"/>
        <v>23.3094</v>
      </c>
      <c r="Z148" s="192">
        <f t="shared" si="60"/>
        <v>1.41E-2</v>
      </c>
      <c r="AA148" s="192">
        <f t="shared" si="61"/>
        <v>23.295300000000001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2"/>
        <v>0236-29</v>
      </c>
      <c r="AE148" s="80" t="str">
        <f t="shared" si="63"/>
        <v>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 &amp; aws s3 cp s3://rtdc.mdm.uploadarchive.raw/RTDC4021/ "%USERPROFILE%\AppData\Local\Temp\OnboardLogs"\RTDC4021\2017-04-30 --exclude "*" --recursive --include "*20170430*" &amp; "%USERPROFILE%\Documents\GitHub\mrs-test-scripts\Headless Mode &amp; Sideloading\WalkAndUnGZ.bat" "%USERPROFILE%\AppData\Local\Temp\OnboardLogs"\RTDC4021\2017-04-30</v>
      </c>
      <c r="AF148" s="77" t="str">
        <f t="shared" si="64"/>
        <v>"C:\Program Files (x86)\AstroGrep\AstroGrep.exe" /e /r /s /spath="%USERPROFILE%\AppData\Local\Temp\OnboardLogs" /stypes="app*4021*20170430*" /stext=" 06:.+((SYSTEM_STATE.+slice.+state.+changed )|(ment ac)|(multiple cpu faults)|(system.+state.+changed )|(\[timeout)|(PRM\|1\|D)|(kpr)|(kdp)|(train.+moving)|(\|lc)|(penalty))"</v>
      </c>
      <c r="AG148" s="1" t="str">
        <f t="shared" si="65"/>
        <v>EC</v>
      </c>
      <c r="AH148" s="81" t="str">
        <f t="shared" si="49"/>
        <v>"%USERPROFILE%\Documents\GitHub\eaglep3\Utilities\RefineRTDCRunTimes.py" --tripid 236-29 --locoid 4021 --swversion DE.1.0.9.0 --startMP 204:233094 --initTime 2017-04-29T23:19:12 --startdatetime 2017-04-29T23:26:17 --delay 1 --endMP 204:141 --enddatetime 2017-04-30T00:07:26 --enforcementcount 0 &gt;&gt;C:\Users\stu\Documents\GitHub\eaglep3-reporting\EC\2017-04-29-refined-times.txt</v>
      </c>
      <c r="AI148" s="99" t="str">
        <f t="shared" si="50"/>
        <v>echo {"issue":{"subject":"","project_id":79,"tracker_id":40,"status_id":1,"priority_id":2,"assigned_to_id":23,"start_date":"2017-04-30","description":"","custom_fields":[{"id":1,"name":"Subdivision","value":"EC"},{"id":4,"name":"Milepost","value":"0.0141"},{"id":17,"name":"Train ID","value":"236-29"},{"id":16,"name":"Locomotive ID","value":"4021"},{"id":130,"name":"Impact","value":""},{"id":150,"name":"Time of Event (Mountain Time)","value":"00:07:26"},{"id":151,"name":"Denver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7"/>
      <c r="AL148" s="47"/>
      <c r="AM148" s="145" t="str">
        <f t="shared" si="51"/>
        <v>start /low /b %USERPROFILE%\Documents\GitHub\eaglep3\Utilities\DownloadLogsFromS3.py --loco 4021 --day 2017-04-29</v>
      </c>
      <c r="AN148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06:07:26"},{"id":29,"name":"Sharepoint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s="20" customFormat="1" x14ac:dyDescent="0.25">
      <c r="A149" s="32" t="s">
        <v>597</v>
      </c>
      <c r="B149" s="7">
        <v>4018</v>
      </c>
      <c r="C149" s="21" t="s">
        <v>212</v>
      </c>
      <c r="D149" s="21" t="s">
        <v>419</v>
      </c>
      <c r="E149" s="13">
        <v>42854.951388888891</v>
      </c>
      <c r="F149" s="13">
        <v>42854.958587962959</v>
      </c>
      <c r="G149" s="7">
        <v>2</v>
      </c>
      <c r="H149" s="21" t="s">
        <v>946</v>
      </c>
      <c r="I149" s="13">
        <v>42854.983553240738</v>
      </c>
      <c r="J149" s="7">
        <v>0</v>
      </c>
      <c r="K149" s="92" t="str">
        <f t="shared" si="53"/>
        <v>4017/4018</v>
      </c>
      <c r="L149" s="21" t="str">
        <f>VLOOKUP(A149,'Trips&amp;Operators'!$C$1:$G$99999,5,FALSE)</f>
        <v>MAGEE KENYA</v>
      </c>
      <c r="M149" s="6">
        <f t="shared" si="54"/>
        <v>2.4965277778392192E-2</v>
      </c>
      <c r="N149" s="7">
        <f t="shared" si="47"/>
        <v>35.950000000884756</v>
      </c>
      <c r="O149" s="7"/>
      <c r="P149" s="7"/>
      <c r="Q149" s="22"/>
      <c r="R149" s="190"/>
      <c r="S149" s="196">
        <f t="shared" si="55"/>
        <v>1</v>
      </c>
      <c r="T149" s="190" t="str">
        <f t="shared" si="56"/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57"/>
        <v>https://d0f6bd738d7f1b3e5a7ca70fe4ff75f0.us-east-1.aws.found.io/app/kibana#/discover/Steve-Slow-Train-Analysis-(2080s-and-2083s)?_g=(refreshInterval:(display:Off,pause:!f,section:0,value:0),time:(from:'2017-04-29T21:50:00-0600',mode:absolute,to:'2017-04-30T00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9" s="192" t="str">
        <f t="shared" si="58"/>
        <v>N</v>
      </c>
      <c r="X149" s="192">
        <f t="shared" si="66"/>
        <v>1</v>
      </c>
      <c r="Y149" s="192">
        <f t="shared" si="59"/>
        <v>4.6600000000000003E-2</v>
      </c>
      <c r="Z149" s="192">
        <f t="shared" si="60"/>
        <v>23.3217</v>
      </c>
      <c r="AA149" s="192">
        <f t="shared" si="61"/>
        <v>23.275099999999998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2"/>
        <v>0237-29</v>
      </c>
      <c r="AE149" s="80" t="str">
        <f t="shared" si="63"/>
        <v>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 &amp; aws s3 cp s3://rtdc.mdm.uploadarchive.raw/RTDC4018/ "%USERPROFILE%\AppData\Local\Temp\OnboardLogs"\RTDC4018\2017-04-30 --exclude "*" --recursive --include "*20170430*" &amp; "%USERPROFILE%\Documents\GitHub\mrs-test-scripts\Headless Mode &amp; Sideloading\WalkAndUnGZ.bat" "%USERPROFILE%\AppData\Local\Temp\OnboardLogs"\RTDC4018\2017-04-30</v>
      </c>
      <c r="AF149" s="77" t="str">
        <f t="shared" si="64"/>
        <v>"C:\Program Files (x86)\AstroGrep\AstroGrep.exe" /e /r /s /spath="%USERPROFILE%\AppData\Local\Temp\OnboardLogs" /stypes="app*4018*20170430*" /stext=" 05:.+((SYSTEM_STATE.+slice.+state.+changed )|(ment ac)|(multiple cpu faults)|(system.+state.+changed )|(\[timeout)|(PRM\|1\|D)|(kpr)|(kdp)|(train.+moving)|(\|lc)|(penalty))"</v>
      </c>
      <c r="AG149" s="1" t="str">
        <f t="shared" si="65"/>
        <v>EC</v>
      </c>
      <c r="AH149" s="81" t="str">
        <f t="shared" si="49"/>
        <v>"%USERPROFILE%\Documents\GitHub\eaglep3\Utilities\RefineRTDCRunTimes.py" --tripid 237-29 --locoid 4018 --swversion DE.1.0.9.0 --startMP 204:466 --initTime 2017-04-29T22:50:00 --startdatetime 2017-04-29T23:00:22 --delay 2 --endMP 204:233217 --enddatetime 2017-04-29T23:36:19 --enforcementcount 0 &gt;&gt;C:\Users\stu\Documents\GitHub\eaglep3-reporting\EC\2017-04-29-refined-times.txt</v>
      </c>
      <c r="AI149" s="99" t="str">
        <f t="shared" si="50"/>
        <v>echo {"issue":{"subject":"","project_id":79,"tracker_id":40,"status_id":1,"priority_id":2,"assigned_to_id":23,"start_date":"2017-04-29","description":"","custom_fields":[{"id":1,"name":"Subdivision","value":"EC"},{"id":4,"name":"Milepost","value":"23.3217"},{"id":17,"name":"Train ID","value":"237-29"},{"id":16,"name":"Locomotive ID","value":"4018"},{"id":130,"name":"Impact","value":""},{"id":150,"name":"Time of Event (Mountain Time)","value":"23:36:19"},{"id":151,"name":"Denver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51"/>
        <v>start /low /b %USERPROFILE%\Documents\GitHub\eaglep3\Utilities\DownloadLogsFromS3.py --loco 4018 --day 2017-04-29</v>
      </c>
      <c r="AN149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05:36:19"},{"id":29,"name":"Sharepoint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798</v>
      </c>
      <c r="B150" s="7">
        <v>4017</v>
      </c>
      <c r="C150" s="21" t="s">
        <v>212</v>
      </c>
      <c r="D150" s="21" t="s">
        <v>947</v>
      </c>
      <c r="E150" s="13">
        <v>42854.994872685187</v>
      </c>
      <c r="F150" s="13">
        <v>42854.997407407405</v>
      </c>
      <c r="G150" s="7">
        <v>1</v>
      </c>
      <c r="H150" s="21" t="s">
        <v>411</v>
      </c>
      <c r="I150" s="13">
        <v>42855.024560185186</v>
      </c>
      <c r="J150" s="7">
        <v>0</v>
      </c>
      <c r="K150" s="92" t="str">
        <f t="shared" si="53"/>
        <v>4017/4018</v>
      </c>
      <c r="L150" s="21" t="str">
        <f>VLOOKUP(A150,'Trips&amp;Operators'!$C$1:$G$99999,5,FALSE)</f>
        <v>MAGEE KENYA</v>
      </c>
      <c r="M150" s="6">
        <f t="shared" si="54"/>
        <v>2.715277778042946E-2</v>
      </c>
      <c r="N150" s="7">
        <f t="shared" si="47"/>
        <v>39.100000003818423</v>
      </c>
      <c r="O150" s="7"/>
      <c r="P150" s="7"/>
      <c r="Q150" s="22"/>
      <c r="R150" s="190"/>
      <c r="S150" s="196">
        <f t="shared" si="55"/>
        <v>1</v>
      </c>
      <c r="T150" s="190" t="str">
        <f t="shared" si="56"/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57"/>
        <v>https://d0f6bd738d7f1b3e5a7ca70fe4ff75f0.us-east-1.aws.found.io/app/kibana#/discover/Steve-Slow-Train-Analysis-(2080s-and-2083s)?_g=(refreshInterval:(display:Off,pause:!f,section:0,value:0),time:(from:'2017-04-29T22:52:37-0600',mode:absolute,to:'2017-04-30T01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0" s="192" t="str">
        <f t="shared" si="58"/>
        <v>N</v>
      </c>
      <c r="X150" s="192">
        <f t="shared" si="66"/>
        <v>1</v>
      </c>
      <c r="Y150" s="192">
        <f t="shared" si="59"/>
        <v>23.293399999999998</v>
      </c>
      <c r="Z150" s="192">
        <f t="shared" si="60"/>
        <v>1.4999999999999999E-2</v>
      </c>
      <c r="AA150" s="192">
        <f t="shared" si="61"/>
        <v>23.278399999999998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62"/>
        <v>0238-29</v>
      </c>
      <c r="AE150" s="80" t="str">
        <f t="shared" si="63"/>
        <v>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 &amp; aws s3 cp s3://rtdc.mdm.uploadarchive.raw/RTDC4017/ "%USERPROFILE%\AppData\Local\Temp\OnboardLogs"\RTDC4017\2017-04-30 --exclude "*" --recursive --include "*20170430*" &amp; "%USERPROFILE%\Documents\GitHub\mrs-test-scripts\Headless Mode &amp; Sideloading\WalkAndUnGZ.bat" "%USERPROFILE%\AppData\Local\Temp\OnboardLogs"\RTDC4017\2017-04-30</v>
      </c>
      <c r="AF150" s="77" t="str">
        <f t="shared" si="64"/>
        <v>"C:\Program Files (x86)\AstroGrep\AstroGrep.exe" /e /r /s /spath="%USERPROFILE%\AppData\Local\Temp\OnboardLogs" /stypes="app*4017*20170430*" /stext=" 06:.+((SYSTEM_STATE.+slice.+state.+changed )|(ment ac)|(multiple cpu faults)|(system.+state.+changed )|(\[timeout)|(PRM\|1\|D)|(kpr)|(kdp)|(train.+moving)|(\|lc)|(penalty))"</v>
      </c>
      <c r="AG150" s="1" t="str">
        <f t="shared" si="65"/>
        <v>EC</v>
      </c>
      <c r="AH150" s="81" t="str">
        <f t="shared" si="49"/>
        <v>"%USERPROFILE%\Documents\GitHub\eaglep3\Utilities\RefineRTDCRunTimes.py" --tripid 238-29 --locoid 4017 --swversion DE.1.0.9.0 --startMP 204:232934 --initTime 2017-04-29T23:52:37 --startdatetime 2017-04-29T23:56:16 --delay 1 --endMP 204:150 --enddatetime 2017-04-30T00:35:22 --enforcementcount 0 &gt;&gt;C:\Users\stu\Documents\GitHub\eaglep3-reporting\EC\2017-04-29-refined-times.txt</v>
      </c>
      <c r="AI150" s="99" t="str">
        <f t="shared" si="50"/>
        <v>echo {"issue":{"subject":"","project_id":79,"tracker_id":40,"status_id":1,"priority_id":2,"assigned_to_id":23,"start_date":"2017-04-30","description":"","custom_fields":[{"id":1,"name":"Subdivision","value":"EC"},{"id":4,"name":"Milepost","value":"0.015"},{"id":17,"name":"Train ID","value":"238-29"},{"id":16,"name":"Locomotive ID","value":"4017"},{"id":130,"name":"Impact","value":""},{"id":150,"name":"Time of Event (Mountain Time)","value":"00:35:22"},{"id":151,"name":"Denver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51"/>
        <v>start /low /b %USERPROFILE%\Documents\GitHub\eaglep3\Utilities\DownloadLogsFromS3.py --loco 4017 --day 2017-04-29</v>
      </c>
      <c r="AN150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06:35:22"},{"id":29,"name":"Sharepoint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795</v>
      </c>
      <c r="B151" s="7">
        <v>4004</v>
      </c>
      <c r="C151" s="21" t="s">
        <v>212</v>
      </c>
      <c r="D151" s="21" t="s">
        <v>385</v>
      </c>
      <c r="E151" s="13">
        <v>42854.965428240743</v>
      </c>
      <c r="F151" s="13">
        <v>42854.979432870372</v>
      </c>
      <c r="G151" s="7">
        <v>1</v>
      </c>
      <c r="H151" s="21" t="s">
        <v>948</v>
      </c>
      <c r="I151" s="13">
        <v>42855.004351851851</v>
      </c>
      <c r="J151" s="7">
        <v>0</v>
      </c>
      <c r="K151" s="92" t="str">
        <f t="shared" si="53"/>
        <v>4003/4004</v>
      </c>
      <c r="L151" s="21" t="str">
        <f>VLOOKUP(A151,'Trips&amp;Operators'!$C$1:$G$99999,5,FALSE)</f>
        <v>SMITH MICHAEL</v>
      </c>
      <c r="M151" s="6">
        <f t="shared" si="54"/>
        <v>2.491898147854954E-2</v>
      </c>
      <c r="N151" s="7">
        <f t="shared" si="47"/>
        <v>35.883333329111338</v>
      </c>
      <c r="O151" s="7"/>
      <c r="P151" s="7"/>
      <c r="Q151" s="22"/>
      <c r="R151" s="190"/>
      <c r="S151" s="196">
        <f t="shared" si="55"/>
        <v>1</v>
      </c>
      <c r="T151" s="190" t="str">
        <f t="shared" si="56"/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57"/>
        <v>https://d0f6bd738d7f1b3e5a7ca70fe4ff75f0.us-east-1.aws.found.io/app/kibana#/discover/Steve-Slow-Train-Analysis-(2080s-and-2083s)?_g=(refreshInterval:(display:Off,pause:!f,section:0,value:0),time:(from:'2017-04-29T22:10:13-0600',mode:absolute,to:'2017-04-30T01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1" s="192" t="str">
        <f t="shared" si="58"/>
        <v>N</v>
      </c>
      <c r="X151" s="192">
        <f t="shared" si="66"/>
        <v>1</v>
      </c>
      <c r="Y151" s="192">
        <f t="shared" si="59"/>
        <v>4.4600000000000001E-2</v>
      </c>
      <c r="Z151" s="192">
        <f t="shared" si="60"/>
        <v>23.334</v>
      </c>
      <c r="AA151" s="192">
        <f t="shared" si="61"/>
        <v>23.289400000000001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2"/>
        <v>0239-29</v>
      </c>
      <c r="AE151" s="80" t="str">
        <f t="shared" si="63"/>
        <v>aws s3 cp s3://rtdc.mdm.uploadarchive.raw/RTDC4004/ "%USERPROFILE%\AppData\Local\Temp\OnboardLogs"\RTDC4004\2017-04-29 --exclude "*" --recursive --include "*20170429*" &amp; "%USERPROFILE%\Documents\GitHub\mrs-test-scripts\Headless Mode &amp; Sideloading\WalkAndUnGZ.bat" "%USERPROFILE%\AppData\Local\Temp\OnboardLogs"\RTDC4004\2017-04-29 &amp; aws s3 cp s3://rtdc.mdm.uploadarchive.raw/RTDC4004/ "%USERPROFILE%\AppData\Local\Temp\OnboardLogs"\RTDC4004\2017-04-30 --exclude "*" --recursive --include "*20170430*" &amp; "%USERPROFILE%\Documents\GitHub\mrs-test-scripts\Headless Mode &amp; Sideloading\WalkAndUnGZ.bat" "%USERPROFILE%\AppData\Local\Temp\OnboardLogs"\RTDC4004\2017-04-30</v>
      </c>
      <c r="AF151" s="77" t="str">
        <f t="shared" si="64"/>
        <v>"C:\Program Files (x86)\AstroGrep\AstroGrep.exe" /e /r /s /spath="%USERPROFILE%\AppData\Local\Temp\OnboardLogs" /stypes="app*4004*20170430*" /stext=" 06:.+((SYSTEM_STATE.+slice.+state.+changed )|(ment ac)|(multiple cpu faults)|(system.+state.+changed )|(\[timeout)|(PRM\|1\|D)|(kpr)|(kdp)|(train.+moving)|(\|lc)|(penalty))"</v>
      </c>
      <c r="AG151" s="1" t="str">
        <f t="shared" si="65"/>
        <v>EC</v>
      </c>
      <c r="AH151" s="81" t="str">
        <f t="shared" si="49"/>
        <v>"%USERPROFILE%\Documents\GitHub\eaglep3\Utilities\RefineRTDCRunTimes.py" --tripid 239-29 --locoid 4004 --swversion DE.1.0.9.0 --startMP 204:446 --initTime 2017-04-29T23:10:13 --startdatetime 2017-04-29T23:30:23 --delay 1 --endMP 204:233340 --enddatetime 2017-04-30T00:06:16 --enforcementcount 0 &gt;&gt;C:\Users\stu\Documents\GitHub\eaglep3-reporting\EC\2017-04-29-refined-times.txt</v>
      </c>
      <c r="AI151" s="99" t="str">
        <f t="shared" si="50"/>
        <v>echo {"issue":{"subject":"","project_id":79,"tracker_id":40,"status_id":1,"priority_id":2,"assigned_to_id":23,"start_date":"2017-04-30","description":"","custom_fields":[{"id":1,"name":"Subdivision","value":"EC"},{"id":4,"name":"Milepost","value":"23.334"},{"id":17,"name":"Train ID","value":"239-29"},{"id":16,"name":"Locomotive ID","value":"4004"},{"id":130,"name":"Impact","value":""},{"id":150,"name":"Time of Event (Mountain Time)","value":"00:06:16"},{"id":151,"name":"Denver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51"/>
        <v>start /low /b %USERPROFILE%\Documents\GitHub\eaglep3\Utilities\DownloadLogsFromS3.py --loco 4004 --day 2017-04-29</v>
      </c>
      <c r="AN151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06:06:16"},{"id":29,"name":"Sharepoint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800</v>
      </c>
      <c r="B152" s="7">
        <v>4003</v>
      </c>
      <c r="C152" s="21" t="s">
        <v>212</v>
      </c>
      <c r="D152" s="21" t="s">
        <v>442</v>
      </c>
      <c r="E152" s="13">
        <v>42855.007280092592</v>
      </c>
      <c r="F152" s="13">
        <v>42855.018252314818</v>
      </c>
      <c r="G152" s="7">
        <v>1</v>
      </c>
      <c r="H152" s="21" t="s">
        <v>411</v>
      </c>
      <c r="I152" s="13">
        <v>42855.045972222222</v>
      </c>
      <c r="J152" s="7">
        <v>0</v>
      </c>
      <c r="K152" s="92" t="str">
        <f t="shared" si="53"/>
        <v>4003/4004</v>
      </c>
      <c r="L152" s="21" t="str">
        <f>VLOOKUP(A152,'Trips&amp;Operators'!$C$1:$G$99999,5,FALSE)</f>
        <v>SMITH MICHAEL</v>
      </c>
      <c r="M152" s="6">
        <f t="shared" si="54"/>
        <v>2.7719907404389232E-2</v>
      </c>
      <c r="N152" s="7">
        <f t="shared" si="47"/>
        <v>39.916666662320495</v>
      </c>
      <c r="O152" s="7"/>
      <c r="P152" s="7"/>
      <c r="Q152" s="22"/>
      <c r="R152" s="190"/>
      <c r="S152" s="196">
        <f t="shared" si="55"/>
        <v>1</v>
      </c>
      <c r="T152" s="190" t="str">
        <f t="shared" si="56"/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57"/>
        <v>https://d0f6bd738d7f1b3e5a7ca70fe4ff75f0.us-east-1.aws.found.io/app/kibana#/discover/Steve-Slow-Train-Analysis-(2080s-and-2083s)?_g=(refreshInterval:(display:Off,pause:!f,section:0,value:0),time:(from:'2017-04-29T23:10:29-0600',mode:absolute,to:'2017-04-30T02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2" s="192" t="str">
        <f t="shared" si="58"/>
        <v>N</v>
      </c>
      <c r="X152" s="192">
        <f t="shared" si="66"/>
        <v>1</v>
      </c>
      <c r="Y152" s="192">
        <f t="shared" si="59"/>
        <v>23.299099999999999</v>
      </c>
      <c r="Z152" s="192">
        <f t="shared" si="60"/>
        <v>1.4999999999999999E-2</v>
      </c>
      <c r="AA152" s="192">
        <f t="shared" si="61"/>
        <v>23.284099999999999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2"/>
        <v>0240-29</v>
      </c>
      <c r="AE152" s="80" t="str">
        <f t="shared" si="63"/>
        <v>aws s3 cp s3://rtdc.mdm.uploadarchive.raw/RTDC4003/ "%USERPROFILE%\AppData\Local\Temp\OnboardLogs"\RTDC4003\2017-04-30 --exclude "*" --recursive --include "*20170430*" &amp; "%USERPROFILE%\Documents\GitHub\mrs-test-scripts\Headless Mode &amp; Sideloading\WalkAndUnGZ.bat" "%USERPROFILE%\AppData\Local\Temp\OnboardLogs"\RTDC4003\2017-04-30 &amp; aws s3 cp s3://rtdc.mdm.uploadarchive.raw/RTDC4003/ "%USERPROFILE%\AppData\Local\Temp\OnboardLogs"\RTDC4003\2017-05-01 --exclude "*" --recursive --include "*20170501*" &amp; "%USERPROFILE%\Documents\GitHub\mrs-test-scripts\Headless Mode &amp; Sideloading\WalkAndUnGZ.bat" "%USERPROFILE%\AppData\Local\Temp\OnboardLogs"\RTDC4003\2017-05-01</v>
      </c>
      <c r="AF152" s="77" t="str">
        <f t="shared" si="64"/>
        <v>"C:\Program Files (x86)\AstroGrep\AstroGrep.exe" /e /r /s /spath="%USERPROFILE%\AppData\Local\Temp\OnboardLogs" /stypes="app*4003*20170430*" /stext=" 07:.+((SYSTEM_STATE.+slice.+state.+changed )|(ment ac)|(multiple cpu faults)|(system.+state.+changed )|(\[timeout)|(PRM\|1\|D)|(kpr)|(kdp)|(train.+moving)|(\|lc)|(penalty))"</v>
      </c>
      <c r="AG152" s="1" t="str">
        <f t="shared" si="65"/>
        <v>EC</v>
      </c>
      <c r="AH152" s="81" t="str">
        <f t="shared" si="49"/>
        <v>"%USERPROFILE%\Documents\GitHub\eaglep3\Utilities\RefineRTDCRunTimes.py" --tripid 240-29 --locoid 4003 --swversion DE.1.0.9.0 --startMP 204:232991 --initTime 2017-04-30T00:10:29 --startdatetime 2017-04-30T00:26:17 --delay 1 --endMP 204:150 --enddatetime 2017-04-30T01:06:12 --enforcementcount 0 &gt;&gt;C:\Users\stu\Documents\GitHub\eaglep3-reporting\EC\2017-04-29-refined-times.txt</v>
      </c>
      <c r="AI152" s="99" t="str">
        <f t="shared" si="50"/>
        <v>echo {"issue":{"subject":"","project_id":79,"tracker_id":40,"status_id":1,"priority_id":2,"assigned_to_id":23,"start_date":"2017-04-30","description":"","custom_fields":[{"id":1,"name":"Subdivision","value":"EC"},{"id":4,"name":"Milepost","value":"0.015"},{"id":17,"name":"Train ID","value":"240-29"},{"id":16,"name":"Locomotive ID","value":"4003"},{"id":130,"name":"Impact","value":""},{"id":150,"name":"Time of Event (Mountain Time)","value":"01:06:12"},{"id":151,"name":"Denver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51"/>
        <v>start /low /b %USERPROFILE%\Documents\GitHub\eaglep3\Utilities\DownloadLogsFromS3.py --loco 4003 --day 2017-04-30</v>
      </c>
      <c r="AN152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07:06:12"},{"id":29,"name":"Sharepoint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797</v>
      </c>
      <c r="B153" s="7">
        <v>4002</v>
      </c>
      <c r="C153" s="21" t="s">
        <v>212</v>
      </c>
      <c r="D153" s="21" t="s">
        <v>469</v>
      </c>
      <c r="E153" s="13">
        <v>42854.983888888892</v>
      </c>
      <c r="F153" s="13">
        <v>42855.000405092593</v>
      </c>
      <c r="G153" s="7">
        <v>1</v>
      </c>
      <c r="H153" s="21" t="s">
        <v>843</v>
      </c>
      <c r="I153" s="13">
        <v>42855.024537037039</v>
      </c>
      <c r="J153" s="7">
        <v>0</v>
      </c>
      <c r="K153" s="92" t="str">
        <f t="shared" si="53"/>
        <v>4001/4002</v>
      </c>
      <c r="L153" s="21" t="str">
        <f>VLOOKUP(A153,'Trips&amp;Operators'!$C$1:$G$99999,5,FALSE)</f>
        <v>STAMBAUGH JAMES</v>
      </c>
      <c r="M153" s="6">
        <f t="shared" si="54"/>
        <v>2.4131944446708076E-2</v>
      </c>
      <c r="N153" s="7">
        <f t="shared" si="47"/>
        <v>34.750000003259629</v>
      </c>
      <c r="O153" s="7"/>
      <c r="P153" s="7"/>
      <c r="Q153" s="22"/>
      <c r="R153" s="190"/>
      <c r="S153" s="196">
        <f t="shared" si="55"/>
        <v>1</v>
      </c>
      <c r="T153" s="190" t="str">
        <f t="shared" si="56"/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57"/>
        <v>https://d0f6bd738d7f1b3e5a7ca70fe4ff75f0.us-east-1.aws.found.io/app/kibana#/discover/Steve-Slow-Train-Analysis-(2080s-and-2083s)?_g=(refreshInterval:(display:Off,pause:!f,section:0,value:0),time:(from:'2017-04-29T22:36:48-0600',mode:absolute,to:'2017-04-30T01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3" s="192" t="str">
        <f t="shared" si="58"/>
        <v>N</v>
      </c>
      <c r="X153" s="192">
        <f t="shared" si="66"/>
        <v>1</v>
      </c>
      <c r="Y153" s="192">
        <f t="shared" si="59"/>
        <v>4.3700000000000003E-2</v>
      </c>
      <c r="Z153" s="192">
        <f t="shared" si="60"/>
        <v>23.339500000000001</v>
      </c>
      <c r="AA153" s="192">
        <f t="shared" si="61"/>
        <v>23.2958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2"/>
        <v>0241-29</v>
      </c>
      <c r="AE153" s="80" t="str">
        <f t="shared" si="63"/>
        <v>aws s3 cp s3://rtdc.mdm.uploadarchive.raw/RTDC4002/ "%USERPROFILE%\AppData\Local\Temp\OnboardLogs"\RTDC4002\2017-04-30 --exclude "*" --recursive --include "*20170430*" &amp; "%USERPROFILE%\Documents\GitHub\mrs-test-scripts\Headless Mode &amp; Sideloading\WalkAndUnGZ.bat" "%USERPROFILE%\AppData\Local\Temp\OnboardLogs"\RTDC4002\2017-04-30 &amp; aws s3 cp s3://rtdc.mdm.uploadarchive.raw/RTDC4002/ "%USERPROFILE%\AppData\Local\Temp\OnboardLogs"\RTDC4002\2017-05-01 --exclude "*" --recursive --include "*20170501*" &amp; "%USERPROFILE%\Documents\GitHub\mrs-test-scripts\Headless Mode &amp; Sideloading\WalkAndUnGZ.bat" "%USERPROFILE%\AppData\Local\Temp\OnboardLogs"\RTDC4002\2017-05-01</v>
      </c>
      <c r="AF153" s="77" t="str">
        <f t="shared" si="64"/>
        <v>"C:\Program Files (x86)\AstroGrep\AstroGrep.exe" /e /r /s /spath="%USERPROFILE%\AppData\Local\Temp\OnboardLogs" /stypes="app*4002*20170430*" /stext=" 06:.+((SYSTEM_STATE.+slice.+state.+changed )|(ment ac)|(multiple cpu faults)|(system.+state.+changed )|(\[timeout)|(PRM\|1\|D)|(kpr)|(kdp)|(train.+moving)|(\|lc)|(penalty))"</v>
      </c>
      <c r="AG153" s="1" t="str">
        <f t="shared" si="65"/>
        <v>EC</v>
      </c>
      <c r="AH153" s="81" t="str">
        <f t="shared" si="49"/>
        <v>"%USERPROFILE%\Documents\GitHub\eaglep3\Utilities\RefineRTDCRunTimes.py" --tripid 241-29 --locoid 4002 --swversion DE.1.0.9.0 --startMP 204:437 --initTime 2017-04-29T23:36:48 --startdatetime 2017-04-30T00:00:35 --delay 1 --endMP 204:233395 --enddatetime 2017-04-30T00:35:20 --enforcementcount 0 &gt;&gt;C:\Users\stu\Documents\GitHub\eaglep3-reporting\EC\2017-04-29-refined-times.txt</v>
      </c>
      <c r="AI153" s="99" t="str">
        <f t="shared" si="50"/>
        <v>echo {"issue":{"subject":"","project_id":79,"tracker_id":40,"status_id":1,"priority_id":2,"assigned_to_id":23,"start_date":"2017-04-30","description":"","custom_fields":[{"id":1,"name":"Subdivision","value":"EC"},{"id":4,"name":"Milepost","value":"23.3395"},{"id":17,"name":"Train ID","value":"241-29"},{"id":16,"name":"Locomotive ID","value":"4002"},{"id":130,"name":"Impact","value":""},{"id":150,"name":"Time of Event (Mountain Time)","value":"00:35:20"},{"id":151,"name":"Denver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51"/>
        <v>start /low /b %USERPROFILE%\Documents\GitHub\eaglep3\Utilities\DownloadLogsFromS3.py --loco 4002 --day 2017-04-30</v>
      </c>
      <c r="AN153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06:35:20"},{"id":29,"name":"Sharepoint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801</v>
      </c>
      <c r="B154" s="7">
        <v>4001</v>
      </c>
      <c r="C154" s="21" t="s">
        <v>212</v>
      </c>
      <c r="D154" s="21" t="s">
        <v>937</v>
      </c>
      <c r="E154" s="13">
        <v>42855.031006944446</v>
      </c>
      <c r="F154" s="13">
        <v>42855.039293981485</v>
      </c>
      <c r="G154" s="7">
        <v>1</v>
      </c>
      <c r="H154" s="21" t="s">
        <v>415</v>
      </c>
      <c r="I154" s="13">
        <v>42855.065150462964</v>
      </c>
      <c r="J154" s="7">
        <v>0</v>
      </c>
      <c r="K154" s="92" t="str">
        <f t="shared" si="53"/>
        <v>4001/4002</v>
      </c>
      <c r="L154" s="21" t="str">
        <f>VLOOKUP(A154,'Trips&amp;Operators'!$C$1:$G$99999,5,FALSE)</f>
        <v>STAMBAUGH JAMES</v>
      </c>
      <c r="M154" s="6">
        <f t="shared" si="54"/>
        <v>2.5856481479422655E-2</v>
      </c>
      <c r="N154" s="7">
        <f t="shared" ref="N154:N185" si="67">24*60*SUM($M154:$M154)</f>
        <v>37.233333330368623</v>
      </c>
      <c r="O154" s="7"/>
      <c r="P154" s="7"/>
      <c r="Q154" s="22"/>
      <c r="R154" s="190"/>
      <c r="S154" s="196">
        <f t="shared" si="55"/>
        <v>1</v>
      </c>
      <c r="T154" s="190" t="str">
        <f t="shared" si="56"/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57"/>
        <v>https://d0f6bd738d7f1b3e5a7ca70fe4ff75f0.us-east-1.aws.found.io/app/kibana#/discover/Steve-Slow-Train-Analysis-(2080s-and-2083s)?_g=(refreshInterval:(display:Off,pause:!f,section:0,value:0),time:(from:'2017-04-29T23:44:39-0600',mode:absolute,to:'2017-04-30T02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4" s="192" t="str">
        <f t="shared" si="58"/>
        <v>N</v>
      </c>
      <c r="X154" s="192">
        <f t="shared" si="66"/>
        <v>1</v>
      </c>
      <c r="Y154" s="192">
        <f t="shared" si="59"/>
        <v>23.309200000000001</v>
      </c>
      <c r="Z154" s="192">
        <f t="shared" si="60"/>
        <v>1.43E-2</v>
      </c>
      <c r="AA154" s="192">
        <f t="shared" si="61"/>
        <v>23.294900000000002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2"/>
        <v>0242-29</v>
      </c>
      <c r="AE154" s="80" t="str">
        <f t="shared" si="63"/>
        <v>aws s3 cp s3://rtdc.mdm.uploadarchive.raw/RTDC4001/ "%USERPROFILE%\AppData\Local\Temp\OnboardLogs"\RTDC4001\2017-04-30 --exclude "*" --recursive --include "*20170430*" &amp; "%USERPROFILE%\Documents\GitHub\mrs-test-scripts\Headless Mode &amp; Sideloading\WalkAndUnGZ.bat" "%USERPROFILE%\AppData\Local\Temp\OnboardLogs"\RTDC4001\2017-04-30 &amp; aws s3 cp s3://rtdc.mdm.uploadarchive.raw/RTDC4001/ "%USERPROFILE%\AppData\Local\Temp\OnboardLogs"\RTDC4001\2017-05-01 --exclude "*" --recursive --include "*20170501*" &amp; "%USERPROFILE%\Documents\GitHub\mrs-test-scripts\Headless Mode &amp; Sideloading\WalkAndUnGZ.bat" "%USERPROFILE%\AppData\Local\Temp\OnboardLogs"\RTDC4001\2017-05-01</v>
      </c>
      <c r="AF154" s="77" t="str">
        <f t="shared" si="64"/>
        <v>"C:\Program Files (x86)\AstroGrep\AstroGrep.exe" /e /r /s /spath="%USERPROFILE%\AppData\Local\Temp\OnboardLogs" /stypes="app*4001*20170430*" /stext=" 07:.+((SYSTEM_STATE.+slice.+state.+changed )|(ment ac)|(multiple cpu faults)|(system.+state.+changed )|(\[timeout)|(PRM\|1\|D)|(kpr)|(kdp)|(train.+moving)|(\|lc)|(penalty))"</v>
      </c>
      <c r="AG154" s="1" t="str">
        <f t="shared" si="65"/>
        <v>EC</v>
      </c>
      <c r="AH154" s="81" t="str">
        <f t="shared" si="49"/>
        <v>"%USERPROFILE%\Documents\GitHub\eaglep3\Utilities\RefineRTDCRunTimes.py" --tripid 242-29 --locoid 4001 --swversion DE.1.0.9.0 --startMP 204:233092 --initTime 2017-04-30T00:44:39 --startdatetime 2017-04-30T00:56:35 --delay 1 --endMP 204:143 --enddatetime 2017-04-30T01:33:49 --enforcementcount 0 &gt;&gt;C:\Users\stu\Documents\GitHub\eaglep3-reporting\EC\2017-04-29-refined-times.txt</v>
      </c>
      <c r="AI154" s="99" t="str">
        <f t="shared" si="50"/>
        <v>echo {"issue":{"subject":"","project_id":79,"tracker_id":40,"status_id":1,"priority_id":2,"assigned_to_id":23,"start_date":"2017-04-30","description":"","custom_fields":[{"id":1,"name":"Subdivision","value":"EC"},{"id":4,"name":"Milepost","value":"0.0143"},{"id":17,"name":"Train ID","value":"242-29"},{"id":16,"name":"Locomotive ID","value":"4001"},{"id":130,"name":"Impact","value":""},{"id":150,"name":"Time of Event (Mountain Time)","value":"01:33:49"},{"id":151,"name":"Denver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51"/>
        <v>start /low /b %USERPROFILE%\Documents\GitHub\eaglep3\Utilities\DownloadLogsFromS3.py --loco 4001 --day 2017-04-30</v>
      </c>
      <c r="AN154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07:33:49"},{"id":29,"name":"Sharepoint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799</v>
      </c>
      <c r="B155" s="7">
        <v>4022</v>
      </c>
      <c r="C155" s="21" t="s">
        <v>212</v>
      </c>
      <c r="D155" s="21" t="s">
        <v>392</v>
      </c>
      <c r="E155" s="13">
        <v>42855.006261574075</v>
      </c>
      <c r="F155" s="13">
        <v>42855.021018518521</v>
      </c>
      <c r="G155" s="7">
        <v>1</v>
      </c>
      <c r="H155" s="21" t="s">
        <v>526</v>
      </c>
      <c r="I155" s="13">
        <v>42855.047233796293</v>
      </c>
      <c r="J155" s="7">
        <v>0</v>
      </c>
      <c r="K155" s="92" t="str">
        <f t="shared" si="53"/>
        <v>4021/4022</v>
      </c>
      <c r="L155" s="21" t="str">
        <f>VLOOKUP(A155,'Trips&amp;Operators'!$C$1:$G$99999,5,FALSE)</f>
        <v>SWANSON BRYCE</v>
      </c>
      <c r="M155" s="6">
        <f t="shared" si="54"/>
        <v>2.6215277772280388E-2</v>
      </c>
      <c r="N155" s="7">
        <f t="shared" si="67"/>
        <v>37.749999992083758</v>
      </c>
      <c r="O155" s="7"/>
      <c r="P155" s="7"/>
      <c r="Q155" s="22"/>
      <c r="R155" s="190"/>
      <c r="S155" s="196">
        <f t="shared" si="55"/>
        <v>1</v>
      </c>
      <c r="T155" s="190" t="str">
        <f t="shared" si="56"/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57"/>
        <v>https://d0f6bd738d7f1b3e5a7ca70fe4ff75f0.us-east-1.aws.found.io/app/kibana#/discover/Steve-Slow-Train-Analysis-(2080s-and-2083s)?_g=(refreshInterval:(display:Off,pause:!f,section:0,value:0),time:(from:'2017-04-29T23:09:01-0600',mode:absolute,to:'2017-04-30T02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5" s="192" t="str">
        <f t="shared" si="58"/>
        <v>N</v>
      </c>
      <c r="X155" s="192">
        <f t="shared" si="66"/>
        <v>1</v>
      </c>
      <c r="Y155" s="192">
        <f t="shared" si="59"/>
        <v>4.58E-2</v>
      </c>
      <c r="Z155" s="192">
        <f t="shared" si="60"/>
        <v>23.327999999999999</v>
      </c>
      <c r="AA155" s="192">
        <f t="shared" si="61"/>
        <v>23.2822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2"/>
        <v>0243-29</v>
      </c>
      <c r="AE155" s="80" t="str">
        <f t="shared" si="63"/>
        <v>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 &amp; aws s3 cp s3://rtdc.mdm.uploadarchive.raw/RTDC4022/ "%USERPROFILE%\AppData\Local\Temp\OnboardLogs"\RTDC4022\2017-05-01 --exclude "*" --recursive --include "*20170501*" &amp; "%USERPROFILE%\Documents\GitHub\mrs-test-scripts\Headless Mode &amp; Sideloading\WalkAndUnGZ.bat" "%USERPROFILE%\AppData\Local\Temp\OnboardLogs"\RTDC4022\2017-05-01</v>
      </c>
      <c r="AF155" s="77" t="str">
        <f t="shared" si="64"/>
        <v>"C:\Program Files (x86)\AstroGrep\AstroGrep.exe" /e /r /s /spath="%USERPROFILE%\AppData\Local\Temp\OnboardLogs" /stypes="app*4022*20170430*" /stext=" 07:.+((SYSTEM_STATE.+slice.+state.+changed )|(ment ac)|(multiple cpu faults)|(system.+state.+changed )|(\[timeout)|(PRM\|1\|D)|(kpr)|(kdp)|(train.+moving)|(\|lc)|(penalty))"</v>
      </c>
      <c r="AG155" s="1" t="str">
        <f t="shared" si="65"/>
        <v>EC</v>
      </c>
      <c r="AH155" s="81" t="str">
        <f t="shared" si="49"/>
        <v>"%USERPROFILE%\Documents\GitHub\eaglep3\Utilities\RefineRTDCRunTimes.py" --tripid 243-29 --locoid 4022 --swversion DE.1.0.9.0 --startMP 204:458 --initTime 2017-04-30T00:09:01 --startdatetime 2017-04-30T00:30:16 --delay 1 --endMP 204:233280 --enddatetime 2017-04-30T01:08:01 --enforcementcount 0 &gt;&gt;C:\Users\stu\Documents\GitHub\eaglep3-reporting\EC\2017-04-29-refined-times.txt</v>
      </c>
      <c r="AI155" s="99" t="str">
        <f t="shared" si="50"/>
        <v>echo {"issue":{"subject":"","project_id":79,"tracker_id":40,"status_id":1,"priority_id":2,"assigned_to_id":23,"start_date":"2017-04-30","description":"","custom_fields":[{"id":1,"name":"Subdivision","value":"EC"},{"id":4,"name":"Milepost","value":"23.328"},{"id":17,"name":"Train ID","value":"243-29"},{"id":16,"name":"Locomotive ID","value":"4022"},{"id":130,"name":"Impact","value":""},{"id":150,"name":"Time of Event (Mountain Time)","value":"01:08:01"},{"id":151,"name":"Denver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51"/>
        <v>start /low /b %USERPROFILE%\Documents\GitHub\eaglep3\Utilities\DownloadLogsFromS3.py --loco 4022 --day 2017-04-30</v>
      </c>
      <c r="AN155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07:08:01"},{"id":29,"name":"Sharepoint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804</v>
      </c>
      <c r="B156" s="7">
        <v>4021</v>
      </c>
      <c r="C156" s="21" t="s">
        <v>212</v>
      </c>
      <c r="D156" s="21" t="s">
        <v>933</v>
      </c>
      <c r="E156" s="13">
        <v>42855.054502314815</v>
      </c>
      <c r="F156" s="13">
        <v>42855.059988425928</v>
      </c>
      <c r="G156" s="7">
        <v>1</v>
      </c>
      <c r="H156" s="21" t="s">
        <v>389</v>
      </c>
      <c r="I156" s="13">
        <v>42855.087916666664</v>
      </c>
      <c r="J156" s="7">
        <v>0</v>
      </c>
      <c r="K156" s="92" t="str">
        <f t="shared" si="53"/>
        <v>4021/4022</v>
      </c>
      <c r="L156" s="21" t="str">
        <f>VLOOKUP(A156,'Trips&amp;Operators'!$C$1:$G$99999,5,FALSE)</f>
        <v>SWANSON BRYCE</v>
      </c>
      <c r="M156" s="6">
        <f t="shared" si="54"/>
        <v>2.7928240735491272E-2</v>
      </c>
      <c r="N156" s="7">
        <f t="shared" si="67"/>
        <v>40.216666659107432</v>
      </c>
      <c r="O156" s="7"/>
      <c r="P156" s="7"/>
      <c r="Q156" s="22"/>
      <c r="R156" s="190"/>
      <c r="S156" s="196">
        <f t="shared" si="55"/>
        <v>1</v>
      </c>
      <c r="T156" s="190" t="str">
        <f t="shared" si="56"/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57"/>
        <v>https://d0f6bd738d7f1b3e5a7ca70fe4ff75f0.us-east-1.aws.found.io/app/kibana#/discover/Steve-Slow-Train-Analysis-(2080s-and-2083s)?_g=(refreshInterval:(display:Off,pause:!f,section:0,value:0),time:(from:'2017-04-30T00:18:29-0600',mode:absolute,to:'2017-04-30T03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6" s="192" t="str">
        <f t="shared" si="58"/>
        <v>N</v>
      </c>
      <c r="X156" s="192">
        <f t="shared" si="66"/>
        <v>1</v>
      </c>
      <c r="Y156" s="192">
        <f t="shared" si="59"/>
        <v>23.309100000000001</v>
      </c>
      <c r="Z156" s="192">
        <f t="shared" si="60"/>
        <v>1.6E-2</v>
      </c>
      <c r="AA156" s="192">
        <f t="shared" si="61"/>
        <v>23.293100000000003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2"/>
        <v>0244-29</v>
      </c>
      <c r="AE156" s="80" t="str">
        <f t="shared" si="63"/>
        <v>aws s3 cp s3://rtdc.mdm.uploadarchive.raw/RTDC4021/ "%USERPROFILE%\AppData\Local\Temp\OnboardLogs"\RTDC4021\2017-04-30 --exclude "*" --recursive --include "*20170430*" &amp; "%USERPROFILE%\Documents\GitHub\mrs-test-scripts\Headless Mode &amp; Sideloading\WalkAndUnGZ.bat" "%USERPROFILE%\AppData\Local\Temp\OnboardLogs"\RTDC4021\2017-04-30 &amp; aws s3 cp s3://rtdc.mdm.uploadarchive.raw/RTDC4021/ "%USERPROFILE%\AppData\Local\Temp\OnboardLogs"\RTDC4021\2017-05-01 --exclude "*" --recursive --include "*20170501*" &amp; "%USERPROFILE%\Documents\GitHub\mrs-test-scripts\Headless Mode &amp; Sideloading\WalkAndUnGZ.bat" "%USERPROFILE%\AppData\Local\Temp\OnboardLogs"\RTDC4021\2017-05-01</v>
      </c>
      <c r="AF156" s="77" t="str">
        <f t="shared" si="64"/>
        <v>"C:\Program Files (x86)\AstroGrep\AstroGrep.exe" /e /r /s /spath="%USERPROFILE%\AppData\Local\Temp\OnboardLogs" /stypes="app*4021*20170430*" /stext=" 08:.+((SYSTEM_STATE.+slice.+state.+changed )|(ment ac)|(multiple cpu faults)|(system.+state.+changed )|(\[timeout)|(PRM\|1\|D)|(kpr)|(kdp)|(train.+moving)|(\|lc)|(penalty))"</v>
      </c>
      <c r="AG156" s="1" t="str">
        <f t="shared" si="65"/>
        <v>EC</v>
      </c>
      <c r="AH156" s="81" t="str">
        <f t="shared" si="49"/>
        <v>"%USERPROFILE%\Documents\GitHub\eaglep3\Utilities\RefineRTDCRunTimes.py" --tripid 244-29 --locoid 4021 --swversion DE.1.0.9.0 --startMP 204:233091 --initTime 2017-04-30T01:18:29 --startdatetime 2017-04-30T01:26:23 --delay 1 --endMP 204:160 --enddatetime 2017-04-30T02:06:36 --enforcementcount 0 &gt;&gt;C:\Users\stu\Documents\GitHub\eaglep3-reporting\EC\2017-04-29-refined-times.txt</v>
      </c>
      <c r="AI156" s="99" t="str">
        <f t="shared" si="50"/>
        <v>echo {"issue":{"subject":"","project_id":79,"tracker_id":40,"status_id":1,"priority_id":2,"assigned_to_id":23,"start_date":"2017-04-30","description":"","custom_fields":[{"id":1,"name":"Subdivision","value":"EC"},{"id":4,"name":"Milepost","value":"0.016"},{"id":17,"name":"Train ID","value":"244-29"},{"id":16,"name":"Locomotive ID","value":"4021"},{"id":130,"name":"Impact","value":""},{"id":150,"name":"Time of Event (Mountain Time)","value":"02:06:36"},{"id":151,"name":"Denver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51"/>
        <v>start /low /b %USERPROFILE%\Documents\GitHub\eaglep3\Utilities\DownloadLogsFromS3.py --loco 4021 --day 2017-04-30</v>
      </c>
      <c r="AN156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08:06:36"},{"id":29,"name":"Sharepoint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802</v>
      </c>
      <c r="B157" s="7">
        <v>4018</v>
      </c>
      <c r="C157" s="21" t="s">
        <v>212</v>
      </c>
      <c r="D157" s="21" t="s">
        <v>383</v>
      </c>
      <c r="E157" s="13">
        <v>42855.035949074074</v>
      </c>
      <c r="F157" s="13">
        <v>42855.041898148149</v>
      </c>
      <c r="G157" s="7">
        <v>1</v>
      </c>
      <c r="H157" s="21" t="s">
        <v>949</v>
      </c>
      <c r="I157" s="13">
        <v>42855.066516203704</v>
      </c>
      <c r="J157" s="7">
        <v>0</v>
      </c>
      <c r="K157" s="92" t="str">
        <f t="shared" si="53"/>
        <v>4017/4018</v>
      </c>
      <c r="L157" s="21" t="str">
        <f>VLOOKUP(A157,'Trips&amp;Operators'!$C$1:$G$99999,5,FALSE)</f>
        <v>MAGEE KENYA</v>
      </c>
      <c r="M157" s="6">
        <f t="shared" si="54"/>
        <v>2.4618055555038154E-2</v>
      </c>
      <c r="N157" s="7">
        <f t="shared" si="67"/>
        <v>35.449999999254942</v>
      </c>
      <c r="O157" s="7"/>
      <c r="P157" s="7"/>
      <c r="Q157" s="22"/>
      <c r="R157" s="190"/>
      <c r="S157" s="196">
        <f t="shared" si="55"/>
        <v>1</v>
      </c>
      <c r="T157" s="190" t="str">
        <f t="shared" si="56"/>
        <v>NorthBound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57"/>
        <v>https://d0f6bd738d7f1b3e5a7ca70fe4ff75f0.us-east-1.aws.found.io/app/kibana#/discover/Steve-Slow-Train-Analysis-(2080s-and-2083s)?_g=(refreshInterval:(display:Off,pause:!f,section:0,value:0),time:(from:'2017-04-29T23:51:46-0600',mode:absolute,to:'2017-04-30T02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7" s="192" t="str">
        <f t="shared" si="58"/>
        <v>N</v>
      </c>
      <c r="X157" s="192">
        <f t="shared" si="66"/>
        <v>1</v>
      </c>
      <c r="Y157" s="192">
        <f t="shared" si="59"/>
        <v>4.6199999999999998E-2</v>
      </c>
      <c r="Z157" s="192">
        <f t="shared" si="60"/>
        <v>23.345099999999999</v>
      </c>
      <c r="AA157" s="192">
        <f t="shared" si="61"/>
        <v>23.2989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2"/>
        <v>0245-29</v>
      </c>
      <c r="AE157" s="80" t="str">
        <f t="shared" si="63"/>
        <v>aws s3 cp s3://rtdc.mdm.uploadarchive.raw/RTDC4018/ "%USERPROFILE%\AppData\Local\Temp\OnboardLogs"\RTDC4018\2017-04-30 --exclude "*" --recursive --include "*20170430*" &amp; "%USERPROFILE%\Documents\GitHub\mrs-test-scripts\Headless Mode &amp; Sideloading\WalkAndUnGZ.bat" "%USERPROFILE%\AppData\Local\Temp\OnboardLogs"\RTDC4018\2017-04-30 &amp; 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</v>
      </c>
      <c r="AF157" s="77" t="str">
        <f t="shared" si="64"/>
        <v>"C:\Program Files (x86)\AstroGrep\AstroGrep.exe" /e /r /s /spath="%USERPROFILE%\AppData\Local\Temp\OnboardLogs" /stypes="app*4018*20170430*" /stext=" 07:.+((SYSTEM_STATE.+slice.+state.+changed )|(ment ac)|(multiple cpu faults)|(system.+state.+changed )|(\[timeout)|(PRM\|1\|D)|(kpr)|(kdp)|(train.+moving)|(\|lc)|(penalty))"</v>
      </c>
      <c r="AG157" s="1" t="str">
        <f t="shared" si="65"/>
        <v>EC</v>
      </c>
      <c r="AH157" s="81" t="str">
        <f t="shared" si="49"/>
        <v>"%USERPROFILE%\Documents\GitHub\eaglep3\Utilities\RefineRTDCRunTimes.py" --tripid 245-29 --locoid 4018 --swversion DE.1.0.9.0 --startMP 204:462 --initTime 2017-04-30T00:51:46 --startdatetime 2017-04-30T01:00:20 --delay 1 --endMP 204:233451 --enddatetime 2017-04-30T01:35:47 --enforcementcount 0 &gt;&gt;C:\Users\stu\Documents\GitHub\eaglep3-reporting\EC\2017-04-29-refined-times.txt</v>
      </c>
      <c r="AI157" s="99" t="str">
        <f t="shared" si="50"/>
        <v>echo {"issue":{"subject":"","project_id":79,"tracker_id":40,"status_id":1,"priority_id":2,"assigned_to_id":23,"start_date":"2017-04-30","description":"","custom_fields":[{"id":1,"name":"Subdivision","value":"EC"},{"id":4,"name":"Milepost","value":"23.3451"},{"id":17,"name":"Train ID","value":"245-29"},{"id":16,"name":"Locomotive ID","value":"4018"},{"id":130,"name":"Impact","value":""},{"id":150,"name":"Time of Event (Mountain Time)","value":"01:35:47"},{"id":151,"name":"Denver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51"/>
        <v>start /low /b %USERPROFILE%\Documents\GitHub\eaglep3\Utilities\DownloadLogsFromS3.py --loco 4018 --day 2017-04-30</v>
      </c>
      <c r="AN157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07:35:47"},{"id":29,"name":"Sharepoint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2" t="s">
        <v>806</v>
      </c>
      <c r="B158" s="7">
        <v>4017</v>
      </c>
      <c r="C158" s="21" t="s">
        <v>212</v>
      </c>
      <c r="D158" s="21" t="s">
        <v>950</v>
      </c>
      <c r="E158" s="13">
        <v>42855.077233796299</v>
      </c>
      <c r="F158" s="13">
        <v>42855.080729166664</v>
      </c>
      <c r="G158" s="7">
        <v>1</v>
      </c>
      <c r="H158" s="21" t="s">
        <v>203</v>
      </c>
      <c r="I158" s="13">
        <v>42855.10800925926</v>
      </c>
      <c r="J158" s="7">
        <v>0</v>
      </c>
      <c r="K158" s="92" t="str">
        <f t="shared" si="53"/>
        <v>4017/4018</v>
      </c>
      <c r="L158" s="21" t="str">
        <f>VLOOKUP(A158,'Trips&amp;Operators'!$C$1:$G$99999,5,FALSE)</f>
        <v>MAGEE KENYA</v>
      </c>
      <c r="M158" s="6">
        <f t="shared" si="54"/>
        <v>2.7280092595901806E-2</v>
      </c>
      <c r="N158" s="7">
        <f t="shared" si="67"/>
        <v>39.283333338098601</v>
      </c>
      <c r="O158" s="7"/>
      <c r="P158" s="7"/>
      <c r="Q158" s="22"/>
      <c r="R158" s="190"/>
      <c r="S158" s="196">
        <f t="shared" si="55"/>
        <v>1</v>
      </c>
      <c r="T158" s="190" t="str">
        <f t="shared" si="56"/>
        <v>Southbound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57"/>
        <v>https://d0f6bd738d7f1b3e5a7ca70fe4ff75f0.us-east-1.aws.found.io/app/kibana#/discover/Steve-Slow-Train-Analysis-(2080s-and-2083s)?_g=(refreshInterval:(display:Off,pause:!f,section:0,value:0),time:(from:'2017-04-30T00:51:13-0600',mode:absolute,to:'2017-04-30T03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8" s="192" t="str">
        <f t="shared" si="58"/>
        <v>N</v>
      </c>
      <c r="X158" s="192">
        <f t="shared" si="66"/>
        <v>1</v>
      </c>
      <c r="Y158" s="192">
        <f t="shared" si="59"/>
        <v>23.3078</v>
      </c>
      <c r="Z158" s="192">
        <f t="shared" si="60"/>
        <v>1.54E-2</v>
      </c>
      <c r="AA158" s="192">
        <f t="shared" si="61"/>
        <v>23.292400000000001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2"/>
        <v>0246-29</v>
      </c>
      <c r="AE158" s="80" t="str">
        <f t="shared" si="63"/>
        <v>aws s3 cp s3://rtdc.mdm.uploadarchive.raw/RTDC4017/ "%USERPROFILE%\AppData\Local\Temp\OnboardLogs"\RTDC4017\2017-04-30 --exclude "*" --recursive --include "*20170430*" &amp; "%USERPROFILE%\Documents\GitHub\mrs-test-scripts\Headless Mode &amp; Sideloading\WalkAndUnGZ.bat" "%USERPROFILE%\AppData\Local\Temp\OnboardLogs"\RTDC4017\2017-04-30 &amp; 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</v>
      </c>
      <c r="AF158" s="77" t="str">
        <f t="shared" si="64"/>
        <v>"C:\Program Files (x86)\AstroGrep\AstroGrep.exe" /e /r /s /spath="%USERPROFILE%\AppData\Local\Temp\OnboardLogs" /stypes="app*4017*20170430*" /stext=" 08:.+((SYSTEM_STATE.+slice.+state.+changed )|(ment ac)|(multiple cpu faults)|(system.+state.+changed )|(\[timeout)|(PRM\|1\|D)|(kpr)|(kdp)|(train.+moving)|(\|lc)|(penalty))"</v>
      </c>
      <c r="AG158" s="1" t="str">
        <f t="shared" si="65"/>
        <v>EC</v>
      </c>
      <c r="AH158" s="81" t="str">
        <f t="shared" si="49"/>
        <v>"%USERPROFILE%\Documents\GitHub\eaglep3\Utilities\RefineRTDCRunTimes.py" --tripid 246-29 --locoid 4017 --swversion DE.1.0.9.0 --startMP 204:233078 --initTime 2017-04-30T01:51:13 --startdatetime 2017-04-30T01:56:15 --delay 1 --endMP 204:154 --enddatetime 2017-04-30T02:35:32 --enforcementcount 0 &gt;&gt;C:\Users\stu\Documents\GitHub\eaglep3-reporting\EC\2017-04-29-refined-times.txt</v>
      </c>
      <c r="AI158" s="99" t="str">
        <f t="shared" si="50"/>
        <v>echo {"issue":{"subject":"","project_id":79,"tracker_id":40,"status_id":1,"priority_id":2,"assigned_to_id":23,"start_date":"2017-04-30","description":"","custom_fields":[{"id":1,"name":"Subdivision","value":"EC"},{"id":4,"name":"Milepost","value":"0.0154"},{"id":17,"name":"Train ID","value":"246-29"},{"id":16,"name":"Locomotive ID","value":"4017"},{"id":130,"name":"Impact","value":""},{"id":150,"name":"Time of Event (Mountain Time)","value":"02:35:32"},{"id":151,"name":"Denver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51"/>
        <v>start /low /b %USERPROFILE%\Documents\GitHub\eaglep3\Utilities\DownloadLogsFromS3.py --loco 4017 --day 2017-04-30</v>
      </c>
      <c r="AN158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08:35:32"},{"id":29,"name":"Sharepoint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2" t="s">
        <v>644</v>
      </c>
      <c r="B159" s="7">
        <v>4045</v>
      </c>
      <c r="C159" s="21" t="s">
        <v>212</v>
      </c>
      <c r="D159" s="21" t="s">
        <v>552</v>
      </c>
      <c r="E159" s="13">
        <v>42854.237719907411</v>
      </c>
      <c r="F159" s="13">
        <v>42854.239328703705</v>
      </c>
      <c r="G159" s="7">
        <v>1</v>
      </c>
      <c r="H159" s="21" t="s">
        <v>869</v>
      </c>
      <c r="I159" s="13">
        <v>42854.249050925922</v>
      </c>
      <c r="J159" s="7">
        <v>0</v>
      </c>
      <c r="K159" s="92" t="str">
        <f t="shared" si="53"/>
        <v>4045/4046</v>
      </c>
      <c r="L159" s="21" t="str">
        <f>VLOOKUP(A159,'Trips&amp;Operators'!$C$1:$G$99999,5,FALSE)</f>
        <v>ARVIDSON DANIEL</v>
      </c>
      <c r="M159" s="6">
        <f t="shared" si="54"/>
        <v>9.7222222175332718E-3</v>
      </c>
      <c r="N159" s="7">
        <f t="shared" si="67"/>
        <v>13.999999993247911</v>
      </c>
      <c r="O159" s="7"/>
      <c r="P159" s="7"/>
      <c r="Q159" s="22"/>
      <c r="R159" s="190"/>
      <c r="S159" s="196">
        <f t="shared" si="55"/>
        <v>1</v>
      </c>
      <c r="T159" s="190" t="str">
        <f t="shared" si="56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 t="shared" si="57"/>
        <v>https://d0f6bd738d7f1b3e5a7ca70fe4ff75f0.us-east-1.aws.found.io/app/kibana#/discover/Steve-Slow-Train-Analysis-(2080s-and-2083s)?_g=(refreshInterval:(display:Off,pause:!f,section:0,value:0),time:(from:'2017-04-29T04:42:19-0600',mode:absolute,to:'2017-04-29T06:58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9" s="192" t="str">
        <f t="shared" si="58"/>
        <v>N</v>
      </c>
      <c r="X159" s="192">
        <f t="shared" si="66"/>
        <v>1554</v>
      </c>
      <c r="Y159" s="192">
        <f t="shared" si="59"/>
        <v>5.8608000000000002</v>
      </c>
      <c r="Z159" s="192">
        <f t="shared" si="60"/>
        <v>6.4699999999999994E-2</v>
      </c>
      <c r="AA159" s="192">
        <f t="shared" si="61"/>
        <v>5.7961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2"/>
        <v>1800-29</v>
      </c>
      <c r="AE159" s="80" t="str">
        <f t="shared" si="63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159" s="77" t="str">
        <f t="shared" si="64"/>
        <v>"C:\Program Files (x86)\AstroGrep\AstroGrep.exe" /e /r /s /spath="%USERPROFILE%\AppData\Local\Temp\OnboardLogs" /stypes="app*4045*20170429*" /stext=" 11:.+((SYSTEM_STATE.+slice.+state.+changed )|(ment ac)|(multiple cpu faults)|(system.+state.+changed )|(\[timeout)|(PRM\|1\|D)|(kpr)|(kdp)|(train.+moving)|(\|lc)|(penalty))"</v>
      </c>
      <c r="AG159" s="1" t="str">
        <f t="shared" si="65"/>
        <v>NW</v>
      </c>
      <c r="AH159" s="81" t="str">
        <f t="shared" si="49"/>
        <v>"%USERPROFILE%\Documents\GitHub\eaglep3\Utilities\RefineRTDCRunTimes.py" --tripid 1800-29 --locoid 4045 --swversion DE.1.0.9.0 --startMP 300:58608 --initTime 2017-04-29T05:42:19 --startdatetime 2017-04-29T05:44:38 --delay 1 --endMP 204:647 --enddatetime 2017-04-29T05:58:38 --enforcementcount 0 &gt;&gt;C:\Users\stu\Documents\GitHub\eaglep3-reporting\EC\2017-04-29-refined-times.txt</v>
      </c>
      <c r="AI159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{"issue":{"subject":"","project_id":79,"tracker_id":40,"status_id":1,"priority_id":2,"assigned_to_id":23,"start_date":"2017-04-29","description":"","custom_fields":[{"id":1,"name":"Subdivision","value":"NW"},{"id":4,"name":"Milepost","value":"0.0647"},{"id":17,"name":"Train ID","value":"1800-29"},{"id":16,"name":"Locomotive ID","value":"4045"},{"id":130,"name":"Impact","value":""},{"id":150,"name":"Time of Event (Mountain Time)","value":"05:58:38"},{"id":151,"name":"Denver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51"/>
        <v>start /low /b %USERPROFILE%\Documents\GitHub\eaglep3\Utilities\DownloadLogsFromS3.py --loco 4045 --day 2017-04-29</v>
      </c>
      <c r="AN159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11:58:38"},{"id":29,"name":"Sharepoint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559</v>
      </c>
      <c r="B160" s="7">
        <v>4046</v>
      </c>
      <c r="C160" s="21" t="s">
        <v>212</v>
      </c>
      <c r="D160" s="21" t="s">
        <v>870</v>
      </c>
      <c r="E160" s="13">
        <v>42854.262986111113</v>
      </c>
      <c r="F160" s="13">
        <v>42854.26489583333</v>
      </c>
      <c r="G160" s="7">
        <v>1</v>
      </c>
      <c r="H160" s="21" t="s">
        <v>871</v>
      </c>
      <c r="I160" s="13">
        <v>42854.274930555555</v>
      </c>
      <c r="J160" s="7">
        <v>0</v>
      </c>
      <c r="K160" s="92" t="str">
        <f t="shared" si="53"/>
        <v>4045/4046</v>
      </c>
      <c r="L160" s="21" t="str">
        <f>VLOOKUP(A160,'Trips&amp;Operators'!$C$1:$G$99999,5,FALSE)</f>
        <v>ARVIDSON DANIEL</v>
      </c>
      <c r="M160" s="6">
        <f t="shared" si="54"/>
        <v>1.0034722225100268E-2</v>
      </c>
      <c r="N160" s="7">
        <f t="shared" si="67"/>
        <v>14.450000004144385</v>
      </c>
      <c r="O160" s="7"/>
      <c r="P160" s="7"/>
      <c r="Q160" s="22"/>
      <c r="R160" s="190"/>
      <c r="S160" s="196">
        <f t="shared" si="55"/>
        <v>1</v>
      </c>
      <c r="T160" s="190" t="str">
        <f t="shared" si="56"/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57"/>
        <v>https://d0f6bd738d7f1b3e5a7ca70fe4ff75f0.us-east-1.aws.found.io/app/kibana#/discover/Steve-Slow-Train-Analysis-(2080s-and-2083s)?_g=(refreshInterval:(display:Off,pause:!f,section:0,value:0),time:(from:'2017-04-29T05:18:42-0600',mode:absolute,to:'2017-04-29T07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0" s="192" t="str">
        <f t="shared" si="58"/>
        <v>N</v>
      </c>
      <c r="X160" s="192">
        <f t="shared" si="66"/>
        <v>1</v>
      </c>
      <c r="Y160" s="192">
        <f t="shared" si="59"/>
        <v>9.2299999999999993E-2</v>
      </c>
      <c r="Z160" s="192">
        <f t="shared" si="60"/>
        <v>5.8929</v>
      </c>
      <c r="AA160" s="192">
        <f t="shared" si="61"/>
        <v>5.8006000000000002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2"/>
        <v>1801-29</v>
      </c>
      <c r="AE160" s="80" t="str">
        <f t="shared" si="63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160" s="77" t="str">
        <f t="shared" si="64"/>
        <v>"C:\Program Files (x86)\AstroGrep\AstroGrep.exe" /e /r /s /spath="%USERPROFILE%\AppData\Local\Temp\OnboardLogs" /stypes="app*4046*20170429*" /stext=" 12:.+((SYSTEM_STATE.+slice.+state.+changed )|(ment ac)|(multiple cpu faults)|(system.+state.+changed )|(\[timeout)|(PRM\|1\|D)|(kpr)|(kdp)|(train.+moving)|(\|lc)|(penalty))"</v>
      </c>
      <c r="AG160" s="1" t="str">
        <f t="shared" si="65"/>
        <v>NW</v>
      </c>
      <c r="AH160" s="81" t="str">
        <f t="shared" si="49"/>
        <v>"%USERPROFILE%\Documents\GitHub\eaglep3\Utilities\RefineRTDCRunTimes.py" --tripid 1801-29 --locoid 4046 --swversion DE.1.0.9.0 --startMP 204:923 --initTime 2017-04-29T06:18:42 --startdatetime 2017-04-29T06:21:27 --delay 1 --endMP 300:58929 --enddatetime 2017-04-29T06:35:54 --enforcementcount 0 &gt;&gt;C:\Users\stu\Documents\GitHub\eaglep3-reporting\EC\2017-04-29-refined-times.txt</v>
      </c>
      <c r="AI160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{"issue":{"subject":"","project_id":79,"tracker_id":40,"status_id":1,"priority_id":2,"assigned_to_id":23,"start_date":"2017-04-29","description":"","custom_fields":[{"id":1,"name":"Subdivision","value":"NW"},{"id":4,"name":"Milepost","value":"5.8929"},{"id":17,"name":"Train ID","value":"1801-29"},{"id":16,"name":"Locomotive ID","value":"4046"},{"id":130,"name":"Impact","value":""},{"id":150,"name":"Time of Event (Mountain Time)","value":"06:35:54"},{"id":151,"name":"Denver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51"/>
        <v>start /low /b %USERPROFILE%\Documents\GitHub\eaglep3\Utilities\DownloadLogsFromS3.py --loco 4046 --day 2017-04-29</v>
      </c>
      <c r="AN160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12:35:54"},{"id":29,"name":"Sharepoint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2" t="s">
        <v>653</v>
      </c>
      <c r="B161" s="7">
        <v>4045</v>
      </c>
      <c r="C161" s="21" t="s">
        <v>212</v>
      </c>
      <c r="D161" s="21" t="s">
        <v>872</v>
      </c>
      <c r="E161" s="13">
        <v>42854.27616898148</v>
      </c>
      <c r="F161" s="13">
        <v>42854.277754629627</v>
      </c>
      <c r="G161" s="7">
        <v>1</v>
      </c>
      <c r="H161" s="21" t="s">
        <v>549</v>
      </c>
      <c r="I161" s="13">
        <v>42854.288344907407</v>
      </c>
      <c r="J161" s="7">
        <v>0</v>
      </c>
      <c r="K161" s="92" t="str">
        <f t="shared" si="53"/>
        <v>4045/4046</v>
      </c>
      <c r="L161" s="21" t="str">
        <f>VLOOKUP(A161,'Trips&amp;Operators'!$C$1:$G$99999,5,FALSE)</f>
        <v>ARVIDSON DANIEL</v>
      </c>
      <c r="M161" s="6">
        <f t="shared" si="54"/>
        <v>1.0590277779556345E-2</v>
      </c>
      <c r="N161" s="7">
        <f t="shared" si="67"/>
        <v>15.250000002561137</v>
      </c>
      <c r="O161" s="7"/>
      <c r="P161" s="7"/>
      <c r="Q161" s="22"/>
      <c r="R161" s="190"/>
      <c r="S161" s="196">
        <f t="shared" si="55"/>
        <v>1</v>
      </c>
      <c r="T161" s="190" t="str">
        <f t="shared" si="56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57"/>
        <v>https://d0f6bd738d7f1b3e5a7ca70fe4ff75f0.us-east-1.aws.found.io/app/kibana#/discover/Steve-Slow-Train-Analysis-(2080s-and-2083s)?_g=(refreshInterval:(display:Off,pause:!f,section:0,value:0),time:(from:'2017-04-29T05:37:41-0600',mode:absolute,to:'2017-04-29T07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1" s="192" t="str">
        <f t="shared" si="58"/>
        <v>N</v>
      </c>
      <c r="X161" s="192">
        <f t="shared" si="66"/>
        <v>1</v>
      </c>
      <c r="Y161" s="192">
        <f t="shared" si="59"/>
        <v>5.8619000000000003</v>
      </c>
      <c r="Z161" s="192">
        <f t="shared" si="60"/>
        <v>6.4299999999999996E-2</v>
      </c>
      <c r="AA161" s="192">
        <f t="shared" si="61"/>
        <v>5.7976000000000001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2"/>
        <v>1802-29</v>
      </c>
      <c r="AE161" s="80" t="str">
        <f t="shared" si="63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161" s="77" t="str">
        <f t="shared" si="64"/>
        <v>"C:\Program Files (x86)\AstroGrep\AstroGrep.exe" /e /r /s /spath="%USERPROFILE%\AppData\Local\Temp\OnboardLogs" /stypes="app*4045*20170429*" /stext=" 12:.+((SYSTEM_STATE.+slice.+state.+changed )|(ment ac)|(multiple cpu faults)|(system.+state.+changed )|(\[timeout)|(PRM\|1\|D)|(kpr)|(kdp)|(train.+moving)|(\|lc)|(penalty))"</v>
      </c>
      <c r="AG161" s="1" t="str">
        <f t="shared" si="65"/>
        <v>NW</v>
      </c>
      <c r="AH161" s="81" t="str">
        <f t="shared" si="49"/>
        <v>"%USERPROFILE%\Documents\GitHub\eaglep3\Utilities\RefineRTDCRunTimes.py" --tripid 1802-29 --locoid 4045 --swversion DE.1.0.9.0 --startMP 300:58619 --initTime 2017-04-29T06:37:41 --startdatetime 2017-04-29T06:39:58 --delay 1 --endMP 204:643 --enddatetime 2017-04-29T06:55:13 --enforcementcount 0 &gt;&gt;C:\Users\stu\Documents\GitHub\eaglep3-reporting\EC\2017-04-29-refined-times.txt</v>
      </c>
      <c r="AI161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{"issue":{"subject":"","project_id":79,"tracker_id":40,"status_id":1,"priority_id":2,"assigned_to_id":23,"start_date":"2017-04-29","description":"","custom_fields":[{"id":1,"name":"Subdivision","value":"NW"},{"id":4,"name":"Milepost","value":"0.0643"},{"id":17,"name":"Train ID","value":"1802-29"},{"id":16,"name":"Locomotive ID","value":"4045"},{"id":130,"name":"Impact","value":""},{"id":150,"name":"Time of Event (Mountain Time)","value":"06:55:13"},{"id":151,"name":"Denver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51"/>
        <v>start /low /b %USERPROFILE%\Documents\GitHub\eaglep3\Utilities\DownloadLogsFromS3.py --loco 4045 --day 2017-04-29</v>
      </c>
      <c r="AN161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12:55:13"},{"id":29,"name":"Sharepoint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s="20" customFormat="1" x14ac:dyDescent="0.25">
      <c r="A162" s="32" t="s">
        <v>657</v>
      </c>
      <c r="B162" s="7">
        <v>4046</v>
      </c>
      <c r="C162" s="21" t="s">
        <v>212</v>
      </c>
      <c r="D162" s="21" t="s">
        <v>873</v>
      </c>
      <c r="E162" s="13">
        <v>42854.302002314813</v>
      </c>
      <c r="F162" s="13">
        <v>42854.306701388887</v>
      </c>
      <c r="G162" s="7">
        <v>1</v>
      </c>
      <c r="H162" s="21" t="s">
        <v>874</v>
      </c>
      <c r="I162" s="13">
        <v>42854.316724537035</v>
      </c>
      <c r="J162" s="7">
        <v>0</v>
      </c>
      <c r="K162" s="92" t="str">
        <f t="shared" si="53"/>
        <v>4045/4046</v>
      </c>
      <c r="L162" s="21" t="str">
        <f>VLOOKUP(A162,'Trips&amp;Operators'!$C$1:$G$99999,5,FALSE)</f>
        <v>ARVIDSON DANIEL</v>
      </c>
      <c r="M162" s="6">
        <f t="shared" si="54"/>
        <v>1.0023148148320615E-2</v>
      </c>
      <c r="N162" s="7">
        <f t="shared" si="67"/>
        <v>14.433333333581686</v>
      </c>
      <c r="O162" s="7"/>
      <c r="P162" s="7"/>
      <c r="Q162" s="22"/>
      <c r="R162" s="190"/>
      <c r="S162" s="196">
        <f t="shared" si="55"/>
        <v>1</v>
      </c>
      <c r="T162" s="190" t="str">
        <f t="shared" si="56"/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57"/>
        <v>https://d0f6bd738d7f1b3e5a7ca70fe4ff75f0.us-east-1.aws.found.io/app/kibana#/discover/Steve-Slow-Train-Analysis-(2080s-and-2083s)?_g=(refreshInterval:(display:Off,pause:!f,section:0,value:0),time:(from:'2017-04-29T06:14:53-0600',mode:absolute,to:'2017-04-29T08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2" s="192" t="str">
        <f t="shared" si="58"/>
        <v>N</v>
      </c>
      <c r="X162" s="192">
        <f t="shared" si="66"/>
        <v>1</v>
      </c>
      <c r="Y162" s="192">
        <f t="shared" si="59"/>
        <v>9.5000000000000001E-2</v>
      </c>
      <c r="Z162" s="192">
        <f t="shared" si="60"/>
        <v>5.8933</v>
      </c>
      <c r="AA162" s="192">
        <f t="shared" si="61"/>
        <v>5.7983000000000002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2"/>
        <v>1803-29</v>
      </c>
      <c r="AE162" s="80" t="str">
        <f t="shared" si="63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162" s="77" t="str">
        <f t="shared" si="64"/>
        <v>"C:\Program Files (x86)\AstroGrep\AstroGrep.exe" /e /r /s /spath="%USERPROFILE%\AppData\Local\Temp\OnboardLogs" /stypes="app*4046*20170429*" /stext=" 13:.+((SYSTEM_STATE.+slice.+state.+changed )|(ment ac)|(multiple cpu faults)|(system.+state.+changed )|(\[timeout)|(PRM\|1\|D)|(kpr)|(kdp)|(train.+moving)|(\|lc)|(penalty))"</v>
      </c>
      <c r="AG162" s="1" t="str">
        <f t="shared" si="65"/>
        <v>NW</v>
      </c>
      <c r="AH162" s="81" t="str">
        <f t="shared" si="49"/>
        <v>"%USERPROFILE%\Documents\GitHub\eaglep3\Utilities\RefineRTDCRunTimes.py" --tripid 1803-29 --locoid 4046 --swversion DE.1.0.9.0 --startMP 204:950 --initTime 2017-04-29T07:14:53 --startdatetime 2017-04-29T07:21:39 --delay 1 --endMP 300:58933 --enddatetime 2017-04-29T07:36:05 --enforcementcount 0 &gt;&gt;C:\Users\stu\Documents\GitHub\eaglep3-reporting\EC\2017-04-29-refined-times.txt</v>
      </c>
      <c r="AI162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{"issue":{"subject":"","project_id":79,"tracker_id":40,"status_id":1,"priority_id":2,"assigned_to_id":23,"start_date":"2017-04-29","description":"","custom_fields":[{"id":1,"name":"Subdivision","value":"NW"},{"id":4,"name":"Milepost","value":"5.8933"},{"id":17,"name":"Train ID","value":"1803-29"},{"id":16,"name":"Locomotive ID","value":"4046"},{"id":130,"name":"Impact","value":""},{"id":150,"name":"Time of Event (Mountain Time)","value":"07:36:05"},{"id":151,"name":"Denver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51"/>
        <v>start /low /b %USERPROFILE%\Documents\GitHub\eaglep3\Utilities\DownloadLogsFromS3.py --loco 4046 --day 2017-04-29</v>
      </c>
      <c r="AN162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660</v>
      </c>
      <c r="B163" s="7">
        <v>4045</v>
      </c>
      <c r="C163" s="21" t="s">
        <v>212</v>
      </c>
      <c r="D163" s="21" t="s">
        <v>872</v>
      </c>
      <c r="E163" s="13">
        <v>42854.31958333333</v>
      </c>
      <c r="F163" s="13">
        <v>42854.321215277778</v>
      </c>
      <c r="G163" s="7">
        <v>1</v>
      </c>
      <c r="H163" s="21" t="s">
        <v>875</v>
      </c>
      <c r="I163" s="13">
        <v>42854.330821759257</v>
      </c>
      <c r="J163" s="7">
        <v>0</v>
      </c>
      <c r="K163" s="92" t="str">
        <f t="shared" si="53"/>
        <v>4045/4046</v>
      </c>
      <c r="L163" s="21" t="str">
        <f>VLOOKUP(A163,'Trips&amp;Operators'!$C$1:$G$99999,5,FALSE)</f>
        <v>ARVIDSON DANIEL</v>
      </c>
      <c r="M163" s="6">
        <f t="shared" si="54"/>
        <v>9.6064814788405783E-3</v>
      </c>
      <c r="N163" s="7">
        <f t="shared" si="67"/>
        <v>13.833333329530433</v>
      </c>
      <c r="O163" s="7"/>
      <c r="P163" s="7"/>
      <c r="Q163" s="22"/>
      <c r="R163" s="190"/>
      <c r="S163" s="196">
        <f t="shared" si="55"/>
        <v>1</v>
      </c>
      <c r="T163" s="190" t="str">
        <f t="shared" si="56"/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57"/>
        <v>https://d0f6bd738d7f1b3e5a7ca70fe4ff75f0.us-east-1.aws.found.io/app/kibana#/discover/Steve-Slow-Train-Analysis-(2080s-and-2083s)?_g=(refreshInterval:(display:Off,pause:!f,section:0,value:0),time:(from:'2017-04-29T06:40:12-0600',mode:absolute,to:'2017-04-29T08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3" s="192" t="str">
        <f t="shared" si="58"/>
        <v>N</v>
      </c>
      <c r="X163" s="192">
        <f t="shared" si="66"/>
        <v>1</v>
      </c>
      <c r="Y163" s="192">
        <f t="shared" si="59"/>
        <v>5.8619000000000003</v>
      </c>
      <c r="Z163" s="192">
        <f t="shared" si="60"/>
        <v>6.2199999999999998E-2</v>
      </c>
      <c r="AA163" s="192">
        <f t="shared" si="61"/>
        <v>5.7997000000000005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2"/>
        <v>1804-29</v>
      </c>
      <c r="AE163" s="80" t="str">
        <f t="shared" si="63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163" s="77" t="str">
        <f t="shared" si="64"/>
        <v>"C:\Program Files (x86)\AstroGrep\AstroGrep.exe" /e /r /s /spath="%USERPROFILE%\AppData\Local\Temp\OnboardLogs" /stypes="app*4045*20170429*" /stext=" 13:.+((SYSTEM_STATE.+slice.+state.+changed )|(ment ac)|(multiple cpu faults)|(system.+state.+changed )|(\[timeout)|(PRM\|1\|D)|(kpr)|(kdp)|(train.+moving)|(\|lc)|(penalty))"</v>
      </c>
      <c r="AG163" s="1" t="str">
        <f t="shared" si="65"/>
        <v>NW</v>
      </c>
      <c r="AH163" s="81" t="str">
        <f t="shared" si="49"/>
        <v>"%USERPROFILE%\Documents\GitHub\eaglep3\Utilities\RefineRTDCRunTimes.py" --tripid 1804-29 --locoid 4045 --swversion DE.1.0.9.0 --startMP 300:58619 --initTime 2017-04-29T07:40:12 --startdatetime 2017-04-29T07:42:33 --delay 1 --endMP 204:622 --enddatetime 2017-04-29T07:56:23 --enforcementcount 0 &gt;&gt;C:\Users\stu\Documents\GitHub\eaglep3-reporting\EC\2017-04-29-refined-times.txt</v>
      </c>
      <c r="AI163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{"issue":{"subject":"","project_id":79,"tracker_id":40,"status_id":1,"priority_id":2,"assigned_to_id":23,"start_date":"2017-04-29","description":"","custom_fields":[{"id":1,"name":"Subdivision","value":"NW"},{"id":4,"name":"Milepost","value":"0.0622"},{"id":17,"name":"Train ID","value":"1804-29"},{"id":16,"name":"Locomotive ID","value":"4045"},{"id":130,"name":"Impact","value":""},{"id":150,"name":"Time of Event (Mountain Time)","value":"07:56:23"},{"id":151,"name":"Denver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51"/>
        <v>start /low /b %USERPROFILE%\Documents\GitHub\eaglep3\Utilities\DownloadLogsFromS3.py --loco 4045 --day 2017-04-29</v>
      </c>
      <c r="AN163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13:56:23"},{"id":29,"name":"Sharepoint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2" t="s">
        <v>664</v>
      </c>
      <c r="B164" s="7">
        <v>4046</v>
      </c>
      <c r="C164" s="21" t="s">
        <v>212</v>
      </c>
      <c r="D164" s="21" t="s">
        <v>876</v>
      </c>
      <c r="E164" s="13">
        <v>42854.342245370368</v>
      </c>
      <c r="F164" s="13">
        <v>42854.348171296297</v>
      </c>
      <c r="G164" s="7">
        <v>2</v>
      </c>
      <c r="H164" s="21" t="s">
        <v>553</v>
      </c>
      <c r="I164" s="13">
        <v>42854.35769675926</v>
      </c>
      <c r="J164" s="7">
        <v>0</v>
      </c>
      <c r="K164" s="92" t="str">
        <f t="shared" si="53"/>
        <v>4045/4046</v>
      </c>
      <c r="L164" s="21" t="str">
        <f>VLOOKUP(A164,'Trips&amp;Operators'!$C$1:$G$99999,5,FALSE)</f>
        <v>ARVIDSON DANIEL</v>
      </c>
      <c r="M164" s="6">
        <f t="shared" si="54"/>
        <v>9.5254629632108845E-3</v>
      </c>
      <c r="N164" s="7">
        <f t="shared" si="67"/>
        <v>13.716666667023674</v>
      </c>
      <c r="O164" s="7"/>
      <c r="P164" s="7"/>
      <c r="Q164" s="22"/>
      <c r="R164" s="190"/>
      <c r="S164" s="196">
        <f t="shared" si="55"/>
        <v>1</v>
      </c>
      <c r="T164" s="190" t="str">
        <f t="shared" si="56"/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57"/>
        <v>https://d0f6bd738d7f1b3e5a7ca70fe4ff75f0.us-east-1.aws.found.io/app/kibana#/discover/Steve-Slow-Train-Analysis-(2080s-and-2083s)?_g=(refreshInterval:(display:Off,pause:!f,section:0,value:0),time:(from:'2017-04-29T07:12:50-0600',mode:absolute,to:'2017-04-29T09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4" s="192" t="str">
        <f t="shared" si="58"/>
        <v>N</v>
      </c>
      <c r="X164" s="192">
        <f t="shared" si="66"/>
        <v>1</v>
      </c>
      <c r="Y164" s="192">
        <f t="shared" si="59"/>
        <v>9.2200000000000004E-2</v>
      </c>
      <c r="Z164" s="192">
        <f t="shared" si="60"/>
        <v>5.8930999999999996</v>
      </c>
      <c r="AA164" s="192">
        <f t="shared" si="61"/>
        <v>5.8008999999999995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2"/>
        <v>1805-29</v>
      </c>
      <c r="AE164" s="80" t="str">
        <f t="shared" si="63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164" s="77" t="str">
        <f t="shared" si="64"/>
        <v>"C:\Program Files (x86)\AstroGrep\AstroGrep.exe" /e /r /s /spath="%USERPROFILE%\AppData\Local\Temp\OnboardLogs" /stypes="app*4046*20170429*" /stext=" 14:.+((SYSTEM_STATE.+slice.+state.+changed )|(ment ac)|(multiple cpu faults)|(system.+state.+changed )|(\[timeout)|(PRM\|1\|D)|(kpr)|(kdp)|(train.+moving)|(\|lc)|(penalty))"</v>
      </c>
      <c r="AG164" s="1" t="str">
        <f t="shared" si="65"/>
        <v>NW</v>
      </c>
      <c r="AH164" s="81" t="str">
        <f t="shared" si="49"/>
        <v>"%USERPROFILE%\Documents\GitHub\eaglep3\Utilities\RefineRTDCRunTimes.py" --tripid 1805-29 --locoid 4046 --swversion DE.1.0.9.0 --startMP 204:922 --initTime 2017-04-29T08:12:50 --startdatetime 2017-04-29T08:21:22 --delay 2 --endMP 300:58931 --enddatetime 2017-04-29T08:35:05 --enforcementcount 0 &gt;&gt;C:\Users\stu\Documents\GitHub\eaglep3-reporting\EC\2017-04-29-refined-times.txt</v>
      </c>
      <c r="AI164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{"issue":{"subject":"","project_id":79,"tracker_id":40,"status_id":1,"priority_id":2,"assigned_to_id":23,"start_date":"2017-04-29","description":"","custom_fields":[{"id":1,"name":"Subdivision","value":"NW"},{"id":4,"name":"Milepost","value":"5.8931"},{"id":17,"name":"Train ID","value":"1805-29"},{"id":16,"name":"Locomotive ID","value":"4046"},{"id":130,"name":"Impact","value":""},{"id":150,"name":"Time of Event (Mountain Time)","value":"08:35:05"},{"id":151,"name":"Denver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51"/>
        <v>start /low /b %USERPROFILE%\Documents\GitHub\eaglep3\Utilities\DownloadLogsFromS3.py --loco 4046 --day 2017-04-29</v>
      </c>
      <c r="AN164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14:35:05"},{"id":29,"name":"Sharepoint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669</v>
      </c>
      <c r="B165" s="7">
        <v>4045</v>
      </c>
      <c r="C165" s="21" t="s">
        <v>212</v>
      </c>
      <c r="D165" s="21" t="s">
        <v>877</v>
      </c>
      <c r="E165" s="13">
        <v>42854.3594212963</v>
      </c>
      <c r="F165" s="13">
        <v>42854.390150462961</v>
      </c>
      <c r="G165" s="7">
        <v>1</v>
      </c>
      <c r="H165" s="21" t="s">
        <v>869</v>
      </c>
      <c r="I165" s="13">
        <v>42854.399259259262</v>
      </c>
      <c r="J165" s="7">
        <v>0</v>
      </c>
      <c r="K165" s="92" t="str">
        <f t="shared" si="53"/>
        <v>4045/4046</v>
      </c>
      <c r="L165" s="21" t="str">
        <f>VLOOKUP(A165,'Trips&amp;Operators'!$C$1:$G$99999,5,FALSE)</f>
        <v>ARVIDSON DANIEL</v>
      </c>
      <c r="M165" s="6">
        <f t="shared" si="54"/>
        <v>9.1087963010068052E-3</v>
      </c>
      <c r="N165" s="7">
        <f t="shared" si="67"/>
        <v>13.116666673449799</v>
      </c>
      <c r="O165" s="7"/>
      <c r="P165" s="7"/>
      <c r="Q165" s="22"/>
      <c r="R165" s="190"/>
      <c r="S165" s="196">
        <f t="shared" si="55"/>
        <v>1</v>
      </c>
      <c r="T165" s="190" t="str">
        <f t="shared" si="56"/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57"/>
        <v>https://d0f6bd738d7f1b3e5a7ca70fe4ff75f0.us-east-1.aws.found.io/app/kibana#/discover/Steve-Slow-Train-Analysis-(2080s-and-2083s)?_g=(refreshInterval:(display:Off,pause:!f,section:0,value:0),time:(from:'2017-04-29T07:37:34-0600',mode:absolute,to:'2017-04-29T10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5" s="192" t="str">
        <f t="shared" si="58"/>
        <v>N</v>
      </c>
      <c r="X165" s="192">
        <f t="shared" si="66"/>
        <v>1</v>
      </c>
      <c r="Y165" s="192">
        <f t="shared" si="59"/>
        <v>5.8616999999999999</v>
      </c>
      <c r="Z165" s="192">
        <f t="shared" si="60"/>
        <v>6.4699999999999994E-2</v>
      </c>
      <c r="AA165" s="192">
        <f t="shared" si="61"/>
        <v>5.7969999999999997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2"/>
        <v>1806-29</v>
      </c>
      <c r="AE165" s="80" t="str">
        <f t="shared" si="63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165" s="77" t="str">
        <f t="shared" si="64"/>
        <v>"C:\Program Files (x86)\AstroGrep\AstroGrep.exe" /e /r /s /spath="%USERPROFILE%\AppData\Local\Temp\OnboardLogs" /stypes="app*4045*20170429*" /stext=" 15:.+((SYSTEM_STATE.+slice.+state.+changed )|(ment ac)|(multiple cpu faults)|(system.+state.+changed )|(\[timeout)|(PRM\|1\|D)|(kpr)|(kdp)|(train.+moving)|(\|lc)|(penalty))"</v>
      </c>
      <c r="AG165" s="1" t="str">
        <f t="shared" si="65"/>
        <v>NW</v>
      </c>
      <c r="AH165" s="81" t="str">
        <f t="shared" si="49"/>
        <v>"%USERPROFILE%\Documents\GitHub\eaglep3\Utilities\RefineRTDCRunTimes.py" --tripid 1806-29 --locoid 4045 --swversion DE.1.0.9.0 --startMP 300:58617 --initTime 2017-04-29T08:37:34 --startdatetime 2017-04-29T09:21:49 --delay 1 --endMP 204:647 --enddatetime 2017-04-29T09:34:56 --enforcementcount 0 &gt;&gt;C:\Users\stu\Documents\GitHub\eaglep3-reporting\EC\2017-04-29-refined-times.txt</v>
      </c>
      <c r="AI165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{"issue":{"subject":"","project_id":79,"tracker_id":40,"status_id":1,"priority_id":2,"assigned_to_id":23,"start_date":"2017-04-29","description":"","custom_fields":[{"id":1,"name":"Subdivision","value":"NW"},{"id":4,"name":"Milepost","value":"0.0647"},{"id":17,"name":"Train ID","value":"1806-29"},{"id":16,"name":"Locomotive ID","value":"4045"},{"id":130,"name":"Impact","value":""},{"id":150,"name":"Time of Event (Mountain Time)","value":"09:34:56"},{"id":151,"name":"Denver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51"/>
        <v>start /low /b %USERPROFILE%\Documents\GitHub\eaglep3\Utilities\DownloadLogsFromS3.py --loco 4045 --day 2017-04-29</v>
      </c>
      <c r="AN165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15:34:56"},{"id":29,"name":"Sharepoint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671</v>
      </c>
      <c r="B166" s="7">
        <v>4046</v>
      </c>
      <c r="C166" s="21" t="s">
        <v>212</v>
      </c>
      <c r="D166" s="21" t="s">
        <v>878</v>
      </c>
      <c r="E166" s="13">
        <v>42854.384930555556</v>
      </c>
      <c r="F166" s="13">
        <v>42854.390150462961</v>
      </c>
      <c r="G166" s="7">
        <v>1</v>
      </c>
      <c r="H166" s="21" t="s">
        <v>480</v>
      </c>
      <c r="I166" s="13">
        <v>42854.399259259262</v>
      </c>
      <c r="J166" s="7">
        <v>0</v>
      </c>
      <c r="K166" s="92" t="str">
        <f t="shared" si="53"/>
        <v>4045/4046</v>
      </c>
      <c r="L166" s="21" t="str">
        <f>VLOOKUP(A166,'Trips&amp;Operators'!$C$1:$G$99999,5,FALSE)</f>
        <v>ARVIDSON DANIEL</v>
      </c>
      <c r="M166" s="6">
        <f t="shared" si="54"/>
        <v>9.1087963010068052E-3</v>
      </c>
      <c r="N166" s="7">
        <f t="shared" si="67"/>
        <v>13.116666673449799</v>
      </c>
      <c r="O166" s="7"/>
      <c r="P166" s="7"/>
      <c r="Q166" s="22"/>
      <c r="R166" s="190"/>
      <c r="S166" s="196">
        <f t="shared" si="55"/>
        <v>1</v>
      </c>
      <c r="T166" s="190" t="str">
        <f t="shared" si="56"/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57"/>
        <v>https://d0f6bd738d7f1b3e5a7ca70fe4ff75f0.us-east-1.aws.found.io/app/kibana#/discover/Steve-Slow-Train-Analysis-(2080s-and-2083s)?_g=(refreshInterval:(display:Off,pause:!f,section:0,value:0),time:(from:'2017-04-29T08:14:18-0600',mode:absolute,to:'2017-04-29T10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6" s="192" t="str">
        <f t="shared" si="58"/>
        <v>N</v>
      </c>
      <c r="X166" s="192">
        <f t="shared" si="66"/>
        <v>1</v>
      </c>
      <c r="Y166" s="192">
        <f t="shared" si="59"/>
        <v>9.5100000000000004E-2</v>
      </c>
      <c r="Z166" s="192">
        <f t="shared" si="60"/>
        <v>5.8940999999999999</v>
      </c>
      <c r="AA166" s="192">
        <f t="shared" si="61"/>
        <v>5.7989999999999995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2"/>
        <v>1807-29</v>
      </c>
      <c r="AE166" s="80" t="str">
        <f t="shared" si="63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166" s="77" t="str">
        <f t="shared" si="64"/>
        <v>"C:\Program Files (x86)\AstroGrep\AstroGrep.exe" /e /r /s /spath="%USERPROFILE%\AppData\Local\Temp\OnboardLogs" /stypes="app*4046*20170429*" /stext=" 15:.+((SYSTEM_STATE.+slice.+state.+changed )|(ment ac)|(multiple cpu faults)|(system.+state.+changed )|(\[timeout)|(PRM\|1\|D)|(kpr)|(kdp)|(train.+moving)|(\|lc)|(penalty))"</v>
      </c>
      <c r="AG166" s="1" t="str">
        <f t="shared" si="65"/>
        <v>NW</v>
      </c>
      <c r="AH166" s="81" t="str">
        <f t="shared" si="49"/>
        <v>"%USERPROFILE%\Documents\GitHub\eaglep3\Utilities\RefineRTDCRunTimes.py" --tripid 1807-29 --locoid 4046 --swversion DE.1.0.9.0 --startMP 204:951 --initTime 2017-04-29T09:14:18 --startdatetime 2017-04-29T09:21:49 --delay 1 --endMP 300:58941 --enddatetime 2017-04-29T09:34:56 --enforcementcount 0 &gt;&gt;C:\Users\stu\Documents\GitHub\eaglep3-reporting\EC\2017-04-29-refined-times.txt</v>
      </c>
      <c r="AI166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{"issue":{"subject":"","project_id":79,"tracker_id":40,"status_id":1,"priority_id":2,"assigned_to_id":23,"start_date":"2017-04-29","description":"","custom_fields":[{"id":1,"name":"Subdivision","value":"NW"},{"id":4,"name":"Milepost","value":"5.8941"},{"id":17,"name":"Train ID","value":"1807-29"},{"id":16,"name":"Locomotive ID","value":"4046"},{"id":130,"name":"Impact","value":""},{"id":150,"name":"Time of Event (Mountain Time)","value":"09:34:56"},{"id":151,"name":"Denver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51"/>
        <v>start /low /b %USERPROFILE%\Documents\GitHub\eaglep3\Utilities\DownloadLogsFromS3.py --loco 4046 --day 2017-04-29</v>
      </c>
      <c r="AN166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15:34:56"},{"id":29,"name":"Sharepoint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2" t="s">
        <v>567</v>
      </c>
      <c r="B167" s="7">
        <v>4045</v>
      </c>
      <c r="C167" s="21" t="s">
        <v>212</v>
      </c>
      <c r="D167" s="21" t="s">
        <v>431</v>
      </c>
      <c r="E167" s="13">
        <v>42854.400497685187</v>
      </c>
      <c r="F167" s="13">
        <v>42854.402766203704</v>
      </c>
      <c r="G167" s="7">
        <v>1</v>
      </c>
      <c r="H167" s="21" t="s">
        <v>879</v>
      </c>
      <c r="I167" s="13">
        <v>42854.415844907409</v>
      </c>
      <c r="J167" s="7">
        <v>0</v>
      </c>
      <c r="K167" s="92" t="str">
        <f t="shared" si="53"/>
        <v>4045/4046</v>
      </c>
      <c r="L167" s="21" t="str">
        <f>VLOOKUP(A167,'Trips&amp;Operators'!$C$1:$G$99999,5,FALSE)</f>
        <v>ARVIDSON DANIEL</v>
      </c>
      <c r="M167" s="6">
        <f t="shared" si="54"/>
        <v>1.3078703705104999E-2</v>
      </c>
      <c r="N167" s="7">
        <f t="shared" si="67"/>
        <v>18.833333335351199</v>
      </c>
      <c r="O167" s="7"/>
      <c r="P167" s="7"/>
      <c r="Q167" s="22"/>
      <c r="R167" s="190"/>
      <c r="S167" s="196">
        <f t="shared" si="55"/>
        <v>1</v>
      </c>
      <c r="T167" s="190" t="str">
        <f t="shared" si="56"/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57"/>
        <v>https://d0f6bd738d7f1b3e5a7ca70fe4ff75f0.us-east-1.aws.found.io/app/kibana#/discover/Steve-Slow-Train-Analysis-(2080s-and-2083s)?_g=(refreshInterval:(display:Off,pause:!f,section:0,value:0),time:(from:'2017-04-29T08:36:43-0600',mode:absolute,to:'2017-04-29T10:58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7" s="192" t="str">
        <f t="shared" si="58"/>
        <v>N</v>
      </c>
      <c r="X167" s="192">
        <f t="shared" si="66"/>
        <v>1</v>
      </c>
      <c r="Y167" s="192">
        <f t="shared" si="59"/>
        <v>5.8635999999999999</v>
      </c>
      <c r="Z167" s="192">
        <f t="shared" si="60"/>
        <v>7.0499999999999993E-2</v>
      </c>
      <c r="AA167" s="192">
        <f t="shared" si="61"/>
        <v>5.7930999999999999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2"/>
        <v>1808-29</v>
      </c>
      <c r="AE167" s="80" t="str">
        <f t="shared" si="63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167" s="77" t="str">
        <f t="shared" si="64"/>
        <v>"C:\Program Files (x86)\AstroGrep\AstroGrep.exe" /e /r /s /spath="%USERPROFILE%\AppData\Local\Temp\OnboardLogs" /stypes="app*4045*20170429*" /stext=" 15:.+((SYSTEM_STATE.+slice.+state.+changed )|(ment ac)|(multiple cpu faults)|(system.+state.+changed )|(\[timeout)|(PRM\|1\|D)|(kpr)|(kdp)|(train.+moving)|(\|lc)|(penalty))"</v>
      </c>
      <c r="AG167" s="1" t="str">
        <f t="shared" si="65"/>
        <v>NW</v>
      </c>
      <c r="AH167" s="81" t="str">
        <f t="shared" si="49"/>
        <v>"%USERPROFILE%\Documents\GitHub\eaglep3\Utilities\RefineRTDCRunTimes.py" --tripid 1808-29 --locoid 4045 --swversion DE.1.0.9.0 --startMP 300:58636 --initTime 2017-04-29T09:36:43 --startdatetime 2017-04-29T09:39:59 --delay 1 --endMP 204:705 --enddatetime 2017-04-29T09:58:49 --enforcementcount 0 &gt;&gt;C:\Users\stu\Documents\GitHub\eaglep3-reporting\EC\2017-04-29-refined-times.txt</v>
      </c>
      <c r="AI167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{"issue":{"subject":"","project_id":79,"tracker_id":40,"status_id":1,"priority_id":2,"assigned_to_id":23,"start_date":"2017-04-29","description":"","custom_fields":[{"id":1,"name":"Subdivision","value":"NW"},{"id":4,"name":"Milepost","value":"0.0705"},{"id":17,"name":"Train ID","value":"1808-29"},{"id":16,"name":"Locomotive ID","value":"4045"},{"id":130,"name":"Impact","value":""},{"id":150,"name":"Time of Event (Mountain Time)","value":"09:58:49"},{"id":151,"name":"Denver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51"/>
        <v>start /low /b %USERPROFILE%\Documents\GitHub\eaglep3\Utilities\DownloadLogsFromS3.py --loco 4045 --day 2017-04-29</v>
      </c>
      <c r="AN167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15:58:49"},{"id":29,"name":"Sharepoint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678</v>
      </c>
      <c r="B168" s="7">
        <v>4046</v>
      </c>
      <c r="C168" s="21" t="s">
        <v>212</v>
      </c>
      <c r="D168" s="21" t="s">
        <v>501</v>
      </c>
      <c r="E168" s="13">
        <v>42854.42392361111</v>
      </c>
      <c r="F168" s="13">
        <v>42854.431851851848</v>
      </c>
      <c r="G168" s="7">
        <v>1</v>
      </c>
      <c r="H168" s="21" t="s">
        <v>880</v>
      </c>
      <c r="I168" s="13">
        <v>42854.441250000003</v>
      </c>
      <c r="J168" s="7">
        <v>0</v>
      </c>
      <c r="K168" s="92" t="str">
        <f t="shared" si="53"/>
        <v>4045/4046</v>
      </c>
      <c r="L168" s="21" t="str">
        <f>VLOOKUP(A168,'Trips&amp;Operators'!$C$1:$G$99999,5,FALSE)</f>
        <v>ARVIDSON DANIEL</v>
      </c>
      <c r="M168" s="6">
        <f t="shared" si="54"/>
        <v>9.3981481550144963E-3</v>
      </c>
      <c r="N168" s="7">
        <f t="shared" si="67"/>
        <v>13.533333343220875</v>
      </c>
      <c r="O168" s="7"/>
      <c r="P168" s="7"/>
      <c r="Q168" s="22"/>
      <c r="R168" s="190"/>
      <c r="S168" s="196">
        <f t="shared" si="55"/>
        <v>1</v>
      </c>
      <c r="T168" s="190" t="str">
        <f t="shared" si="56"/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57"/>
        <v>https://d0f6bd738d7f1b3e5a7ca70fe4ff75f0.us-east-1.aws.found.io/app/kibana#/discover/Steve-Slow-Train-Analysis-(2080s-and-2083s)?_g=(refreshInterval:(display:Off,pause:!f,section:0,value:0),time:(from:'2017-04-29T09:10:27-0600',mode:absolute,to:'2017-04-29T11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8" s="192" t="str">
        <f t="shared" si="58"/>
        <v>N</v>
      </c>
      <c r="X168" s="192">
        <f t="shared" si="66"/>
        <v>1</v>
      </c>
      <c r="Y168" s="192">
        <f t="shared" si="59"/>
        <v>9.7900000000000001E-2</v>
      </c>
      <c r="Z168" s="192">
        <f t="shared" si="60"/>
        <v>5.8944000000000001</v>
      </c>
      <c r="AA168" s="192">
        <f t="shared" si="61"/>
        <v>5.7965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2"/>
        <v>1809-29</v>
      </c>
      <c r="AE168" s="80" t="str">
        <f t="shared" si="63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168" s="77" t="str">
        <f t="shared" si="64"/>
        <v>"C:\Program Files (x86)\AstroGrep\AstroGrep.exe" /e /r /s /spath="%USERPROFILE%\AppData\Local\Temp\OnboardLogs" /stypes="app*4046*20170429*" /stext=" 16:.+((SYSTEM_STATE.+slice.+state.+changed )|(ment ac)|(multiple cpu faults)|(system.+state.+changed )|(\[timeout)|(PRM\|1\|D)|(kpr)|(kdp)|(train.+moving)|(\|lc)|(penalty))"</v>
      </c>
      <c r="AG168" s="1" t="str">
        <f t="shared" si="65"/>
        <v>NW</v>
      </c>
      <c r="AH168" s="81" t="str">
        <f t="shared" si="49"/>
        <v>"%USERPROFILE%\Documents\GitHub\eaglep3\Utilities\RefineRTDCRunTimes.py" --tripid 1809-29 --locoid 4046 --swversion DE.1.0.9.0 --startMP 204:979 --initTime 2017-04-29T10:10:27 --startdatetime 2017-04-29T10:21:52 --delay 1 --endMP 300:58944 --enddatetime 2017-04-29T10:35:24 --enforcementcount 0 &gt;&gt;C:\Users\stu\Documents\GitHub\eaglep3-reporting\EC\2017-04-29-refined-times.txt</v>
      </c>
      <c r="AI168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{"issue":{"subject":"","project_id":79,"tracker_id":40,"status_id":1,"priority_id":2,"assigned_to_id":23,"start_date":"2017-04-29","description":"","custom_fields":[{"id":1,"name":"Subdivision","value":"NW"},{"id":4,"name":"Milepost","value":"5.8944"},{"id":17,"name":"Train ID","value":"1809-29"},{"id":16,"name":"Locomotive ID","value":"4046"},{"id":130,"name":"Impact","value":""},{"id":150,"name":"Time of Event (Mountain Time)","value":"10:35:24"},{"id":151,"name":"Denver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51"/>
        <v>start /low /b %USERPROFILE%\Documents\GitHub\eaglep3\Utilities\DownloadLogsFromS3.py --loco 4046 --day 2017-04-29</v>
      </c>
      <c r="AN168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16:35:24"},{"id":29,"name":"Sharepoint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683</v>
      </c>
      <c r="B169" s="7">
        <v>4045</v>
      </c>
      <c r="C169" s="21" t="s">
        <v>212</v>
      </c>
      <c r="D169" s="21" t="s">
        <v>881</v>
      </c>
      <c r="E169" s="13">
        <v>42854.442812499998</v>
      </c>
      <c r="F169" s="13">
        <v>42854.44425925926</v>
      </c>
      <c r="G169" s="7">
        <v>1</v>
      </c>
      <c r="H169" s="21" t="s">
        <v>882</v>
      </c>
      <c r="I169" s="13">
        <v>42854.455266203702</v>
      </c>
      <c r="J169" s="7">
        <v>0</v>
      </c>
      <c r="K169" s="92" t="str">
        <f t="shared" si="53"/>
        <v>4045/4046</v>
      </c>
      <c r="L169" s="21" t="str">
        <f>VLOOKUP(A169,'Trips&amp;Operators'!$C$1:$G$99999,5,FALSE)</f>
        <v>ARVIDSON DANIEL</v>
      </c>
      <c r="M169" s="6">
        <f t="shared" si="54"/>
        <v>1.1006944441760425E-2</v>
      </c>
      <c r="N169" s="7">
        <f t="shared" si="67"/>
        <v>15.849999996135011</v>
      </c>
      <c r="O169" s="7"/>
      <c r="P169" s="7"/>
      <c r="Q169" s="22"/>
      <c r="R169" s="190"/>
      <c r="S169" s="196">
        <f t="shared" si="55"/>
        <v>1</v>
      </c>
      <c r="T169" s="190" t="str">
        <f t="shared" si="56"/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57"/>
        <v>https://d0f6bd738d7f1b3e5a7ca70fe4ff75f0.us-east-1.aws.found.io/app/kibana#/discover/Steve-Slow-Train-Analysis-(2080s-and-2083s)?_g=(refreshInterval:(display:Off,pause:!f,section:0,value:0),time:(from:'2017-04-29T09:37:39-0600',mode:absolute,to:'2017-04-29T11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9" s="192" t="str">
        <f t="shared" si="58"/>
        <v>N</v>
      </c>
      <c r="X169" s="192">
        <f t="shared" si="66"/>
        <v>1</v>
      </c>
      <c r="Y169" s="192">
        <f t="shared" si="59"/>
        <v>5.8632</v>
      </c>
      <c r="Z169" s="192">
        <f t="shared" si="60"/>
        <v>6.6600000000000006E-2</v>
      </c>
      <c r="AA169" s="192">
        <f t="shared" si="61"/>
        <v>5.7965999999999998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2"/>
        <v>1810-29</v>
      </c>
      <c r="AE169" s="80" t="str">
        <f t="shared" si="63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169" s="77" t="str">
        <f t="shared" si="64"/>
        <v>"C:\Program Files (x86)\AstroGrep\AstroGrep.exe" /e /r /s /spath="%USERPROFILE%\AppData\Local\Temp\OnboardLogs" /stypes="app*4045*20170429*" /stext=" 16:.+((SYSTEM_STATE.+slice.+state.+changed )|(ment ac)|(multiple cpu faults)|(system.+state.+changed )|(\[timeout)|(PRM\|1\|D)|(kpr)|(kdp)|(train.+moving)|(\|lc)|(penalty))"</v>
      </c>
      <c r="AG169" s="1" t="str">
        <f t="shared" si="65"/>
        <v>NW</v>
      </c>
      <c r="AH169" s="81" t="str">
        <f t="shared" si="49"/>
        <v>"%USERPROFILE%\Documents\GitHub\eaglep3\Utilities\RefineRTDCRunTimes.py" --tripid 1810-29 --locoid 4045 --swversion DE.1.0.9.0 --startMP 300:58632 --initTime 2017-04-29T10:37:39 --startdatetime 2017-04-29T10:39:44 --delay 1 --endMP 204:666 --enddatetime 2017-04-29T10:55:35 --enforcementcount 0 &gt;&gt;C:\Users\stu\Documents\GitHub\eaglep3-reporting\EC\2017-04-29-refined-times.txt</v>
      </c>
      <c r="AI169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{"issue":{"subject":"","project_id":79,"tracker_id":40,"status_id":1,"priority_id":2,"assigned_to_id":23,"start_date":"2017-04-29","description":"","custom_fields":[{"id":1,"name":"Subdivision","value":"NW"},{"id":4,"name":"Milepost","value":"0.0666"},{"id":17,"name":"Train ID","value":"1810-29"},{"id":16,"name":"Locomotive ID","value":"4045"},{"id":130,"name":"Impact","value":""},{"id":150,"name":"Time of Event (Mountain Time)","value":"10:55:35"},{"id":151,"name":"Denver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51"/>
        <v>start /low /b %USERPROFILE%\Documents\GitHub\eaglep3\Utilities\DownloadLogsFromS3.py --loco 4045 --day 2017-04-29</v>
      </c>
      <c r="AN169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16:55:35"},{"id":29,"name":"Sharepoint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576</v>
      </c>
      <c r="B170" s="7">
        <v>4046</v>
      </c>
      <c r="C170" s="21" t="s">
        <v>212</v>
      </c>
      <c r="D170" s="21" t="s">
        <v>883</v>
      </c>
      <c r="E170" s="13">
        <v>42854.468101851853</v>
      </c>
      <c r="F170" s="13">
        <v>42854.47320601852</v>
      </c>
      <c r="G170" s="7">
        <v>1</v>
      </c>
      <c r="H170" s="21" t="s">
        <v>884</v>
      </c>
      <c r="I170" s="13">
        <v>42854.482465277775</v>
      </c>
      <c r="J170" s="7">
        <v>0</v>
      </c>
      <c r="K170" s="92" t="str">
        <f t="shared" si="53"/>
        <v>4045/4046</v>
      </c>
      <c r="L170" s="21" t="str">
        <f>VLOOKUP(A170,'Trips&amp;Operators'!$C$1:$G$99999,5,FALSE)</f>
        <v>ARVIDSON DANIEL</v>
      </c>
      <c r="M170" s="6">
        <f t="shared" si="54"/>
        <v>9.2592592554865405E-3</v>
      </c>
      <c r="N170" s="7">
        <f t="shared" si="67"/>
        <v>13.333333327900618</v>
      </c>
      <c r="O170" s="7"/>
      <c r="P170" s="7"/>
      <c r="Q170" s="22"/>
      <c r="R170" s="190"/>
      <c r="S170" s="196">
        <f t="shared" si="55"/>
        <v>1</v>
      </c>
      <c r="T170" s="190" t="str">
        <f t="shared" si="56"/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57"/>
        <v>https://d0f6bd738d7f1b3e5a7ca70fe4ff75f0.us-east-1.aws.found.io/app/kibana#/discover/Steve-Slow-Train-Analysis-(2080s-and-2083s)?_g=(refreshInterval:(display:Off,pause:!f,section:0,value:0),time:(from:'2017-04-29T10:14:04-0600',mode:absolute,to:'2017-04-29T12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0" s="192" t="str">
        <f t="shared" si="58"/>
        <v>N</v>
      </c>
      <c r="X170" s="192">
        <f t="shared" si="66"/>
        <v>1</v>
      </c>
      <c r="Y170" s="192">
        <f t="shared" si="59"/>
        <v>9.6000000000000002E-2</v>
      </c>
      <c r="Z170" s="192">
        <f t="shared" si="60"/>
        <v>5.8943000000000003</v>
      </c>
      <c r="AA170" s="192">
        <f t="shared" si="61"/>
        <v>5.7983000000000002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2"/>
        <v>1811-29</v>
      </c>
      <c r="AE170" s="80" t="str">
        <f t="shared" si="63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170" s="77" t="str">
        <f t="shared" si="64"/>
        <v>"C:\Program Files (x86)\AstroGrep\AstroGrep.exe" /e /r /s /spath="%USERPROFILE%\AppData\Local\Temp\OnboardLogs" /stypes="app*4046*20170429*" /stext=" 17:.+((SYSTEM_STATE.+slice.+state.+changed )|(ment ac)|(multiple cpu faults)|(system.+state.+changed )|(\[timeout)|(PRM\|1\|D)|(kpr)|(kdp)|(train.+moving)|(\|lc)|(penalty))"</v>
      </c>
      <c r="AG170" s="1" t="str">
        <f t="shared" si="65"/>
        <v>NW</v>
      </c>
      <c r="AH170" s="81" t="str">
        <f t="shared" si="49"/>
        <v>"%USERPROFILE%\Documents\GitHub\eaglep3\Utilities\RefineRTDCRunTimes.py" --tripid 1811-29 --locoid 4046 --swversion DE.1.0.9.0 --startMP 204:960 --initTime 2017-04-29T11:14:04 --startdatetime 2017-04-29T11:21:25 --delay 1 --endMP 300:58943 --enddatetime 2017-04-29T11:34:45 --enforcementcount 0 &gt;&gt;C:\Users\stu\Documents\GitHub\eaglep3-reporting\EC\2017-04-29-refined-times.txt</v>
      </c>
      <c r="AI170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{"issue":{"subject":"","project_id":79,"tracker_id":40,"status_id":1,"priority_id":2,"assigned_to_id":23,"start_date":"2017-04-29","description":"","custom_fields":[{"id":1,"name":"Subdivision","value":"NW"},{"id":4,"name":"Milepost","value":"5.8943"},{"id":17,"name":"Train ID","value":"1811-29"},{"id":16,"name":"Locomotive ID","value":"4046"},{"id":130,"name":"Impact","value":""},{"id":150,"name":"Time of Event (Mountain Time)","value":"11:34:45"},{"id":151,"name":"Denver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51"/>
        <v>start /low /b %USERPROFILE%\Documents\GitHub\eaglep3\Utilities\DownloadLogsFromS3.py --loco 4046 --day 2017-04-29</v>
      </c>
      <c r="AN170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17:34:45"},{"id":29,"name":"Sharepoint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s="20" customFormat="1" x14ac:dyDescent="0.25">
      <c r="A171" s="32" t="s">
        <v>696</v>
      </c>
      <c r="B171" s="7">
        <v>4045</v>
      </c>
      <c r="C171" s="21" t="s">
        <v>212</v>
      </c>
      <c r="D171" s="21" t="s">
        <v>885</v>
      </c>
      <c r="E171" s="13">
        <v>42854.48364583333</v>
      </c>
      <c r="F171" s="13">
        <v>42854.484988425924</v>
      </c>
      <c r="G171" s="7">
        <v>1</v>
      </c>
      <c r="H171" s="21" t="s">
        <v>886</v>
      </c>
      <c r="I171" s="13">
        <v>42854.497175925928</v>
      </c>
      <c r="J171" s="7">
        <v>0</v>
      </c>
      <c r="K171" s="92" t="str">
        <f t="shared" si="53"/>
        <v>4045/4046</v>
      </c>
      <c r="L171" s="21" t="str">
        <f>VLOOKUP(A171,'Trips&amp;Operators'!$C$1:$G$99999,5,FALSE)</f>
        <v>ARVIDSON DANIEL</v>
      </c>
      <c r="M171" s="6">
        <f t="shared" si="54"/>
        <v>1.2187500004074536E-2</v>
      </c>
      <c r="N171" s="7">
        <f t="shared" si="67"/>
        <v>17.550000005867332</v>
      </c>
      <c r="O171" s="7"/>
      <c r="P171" s="7"/>
      <c r="Q171" s="22"/>
      <c r="R171" s="190"/>
      <c r="S171" s="196">
        <f t="shared" si="55"/>
        <v>1</v>
      </c>
      <c r="T171" s="190" t="str">
        <f t="shared" si="56"/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57"/>
        <v>https://d0f6bd738d7f1b3e5a7ca70fe4ff75f0.us-east-1.aws.found.io/app/kibana#/discover/Steve-Slow-Train-Analysis-(2080s-and-2083s)?_g=(refreshInterval:(display:Off,pause:!f,section:0,value:0),time:(from:'2017-04-29T10:36:27-0600',mode:absolute,to:'2017-04-29T12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1" s="192" t="str">
        <f t="shared" si="58"/>
        <v>N</v>
      </c>
      <c r="X171" s="192">
        <f t="shared" si="66"/>
        <v>1</v>
      </c>
      <c r="Y171" s="192">
        <f t="shared" si="59"/>
        <v>5.8630000000000004</v>
      </c>
      <c r="Z171" s="192">
        <f t="shared" si="60"/>
        <v>6.3299999999999995E-2</v>
      </c>
      <c r="AA171" s="192">
        <f t="shared" si="61"/>
        <v>5.7997000000000005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2"/>
        <v>1812-29</v>
      </c>
      <c r="AE171" s="80" t="str">
        <f t="shared" si="63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171" s="77" t="str">
        <f t="shared" si="64"/>
        <v>"C:\Program Files (x86)\AstroGrep\AstroGrep.exe" /e /r /s /spath="%USERPROFILE%\AppData\Local\Temp\OnboardLogs" /stypes="app*4045*20170429*" /stext=" 17:.+((SYSTEM_STATE.+slice.+state.+changed )|(ment ac)|(multiple cpu faults)|(system.+state.+changed )|(\[timeout)|(PRM\|1\|D)|(kpr)|(kdp)|(train.+moving)|(\|lc)|(penalty))"</v>
      </c>
      <c r="AG171" s="1" t="str">
        <f t="shared" si="65"/>
        <v>NW</v>
      </c>
      <c r="AH171" s="81" t="str">
        <f t="shared" si="49"/>
        <v>"%USERPROFILE%\Documents\GitHub\eaglep3\Utilities\RefineRTDCRunTimes.py" --tripid 1812-29 --locoid 4045 --swversion DE.1.0.9.0 --startMP 300:58630 --initTime 2017-04-29T11:36:27 --startdatetime 2017-04-29T11:38:23 --delay 1 --endMP 204:633 --enddatetime 2017-04-29T11:55:56 --enforcementcount 0 &gt;&gt;C:\Users\stu\Documents\GitHub\eaglep3-reporting\EC\2017-04-29-refined-times.txt</v>
      </c>
      <c r="AI171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{"issue":{"subject":"","project_id":79,"tracker_id":40,"status_id":1,"priority_id":2,"assigned_to_id":23,"start_date":"2017-04-29","description":"","custom_fields":[{"id":1,"name":"Subdivision","value":"NW"},{"id":4,"name":"Milepost","value":"0.0633"},{"id":17,"name":"Train ID","value":"1812-29"},{"id":16,"name":"Locomotive ID","value":"4045"},{"id":130,"name":"Impact","value":""},{"id":150,"name":"Time of Event (Mountain Time)","value":"11:55:56"},{"id":151,"name":"Denver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51"/>
        <v>start /low /b %USERPROFILE%\Documents\GitHub\eaglep3\Utilities\DownloadLogsFromS3.py --loco 4045 --day 2017-04-29</v>
      </c>
      <c r="AN171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17:55:56"},{"id":29,"name":"Sharepoint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703</v>
      </c>
      <c r="B172" s="7">
        <v>4046</v>
      </c>
      <c r="C172" s="21" t="s">
        <v>212</v>
      </c>
      <c r="D172" s="21" t="s">
        <v>887</v>
      </c>
      <c r="E172" s="13">
        <v>42854.510358796295</v>
      </c>
      <c r="F172" s="13">
        <v>42854.514826388891</v>
      </c>
      <c r="G172" s="7">
        <v>1</v>
      </c>
      <c r="H172" s="21" t="s">
        <v>500</v>
      </c>
      <c r="I172" s="13">
        <v>42854.524386574078</v>
      </c>
      <c r="J172" s="7">
        <v>0</v>
      </c>
      <c r="K172" s="92" t="str">
        <f t="shared" si="53"/>
        <v>4045/4046</v>
      </c>
      <c r="L172" s="21" t="str">
        <f>VLOOKUP(A172,'Trips&amp;Operators'!$C$1:$G$99999,5,FALSE)</f>
        <v>ARVIDSON DANIEL</v>
      </c>
      <c r="M172" s="6">
        <f t="shared" si="54"/>
        <v>9.560185186273884E-3</v>
      </c>
      <c r="N172" s="7">
        <f t="shared" si="67"/>
        <v>13.766666668234393</v>
      </c>
      <c r="O172" s="7"/>
      <c r="P172" s="7"/>
      <c r="Q172" s="22"/>
      <c r="R172" s="190"/>
      <c r="S172" s="196">
        <f t="shared" si="55"/>
        <v>1</v>
      </c>
      <c r="T172" s="190" t="str">
        <f t="shared" si="56"/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57"/>
        <v>https://d0f6bd738d7f1b3e5a7ca70fe4ff75f0.us-east-1.aws.found.io/app/kibana#/discover/Steve-Slow-Train-Analysis-(2080s-and-2083s)?_g=(refreshInterval:(display:Off,pause:!f,section:0,value:0),time:(from:'2017-04-29T11:14:55-0600',mode:absolute,to:'2017-04-29T13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2" s="192" t="str">
        <f t="shared" si="58"/>
        <v>N</v>
      </c>
      <c r="X172" s="192">
        <f t="shared" si="66"/>
        <v>1</v>
      </c>
      <c r="Y172" s="192">
        <f t="shared" si="59"/>
        <v>9.4600000000000004E-2</v>
      </c>
      <c r="Z172" s="192">
        <f t="shared" si="60"/>
        <v>5.8952</v>
      </c>
      <c r="AA172" s="192">
        <f t="shared" si="61"/>
        <v>5.8006000000000002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2"/>
        <v>1813-29</v>
      </c>
      <c r="AE172" s="80" t="str">
        <f t="shared" si="63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172" s="77" t="str">
        <f t="shared" si="64"/>
        <v>"C:\Program Files (x86)\AstroGrep\AstroGrep.exe" /e /r /s /spath="%USERPROFILE%\AppData\Local\Temp\OnboardLogs" /stypes="app*4046*20170429*" /stext=" 18:.+((SYSTEM_STATE.+slice.+state.+changed )|(ment ac)|(multiple cpu faults)|(system.+state.+changed )|(\[timeout)|(PRM\|1\|D)|(kpr)|(kdp)|(train.+moving)|(\|lc)|(penalty))"</v>
      </c>
      <c r="AG172" s="1" t="str">
        <f t="shared" si="65"/>
        <v>NW</v>
      </c>
      <c r="AH172" s="81" t="str">
        <f t="shared" si="49"/>
        <v>"%USERPROFILE%\Documents\GitHub\eaglep3\Utilities\RefineRTDCRunTimes.py" --tripid 1813-29 --locoid 4046 --swversion DE.1.0.9.0 --startMP 204:946 --initTime 2017-04-29T12:14:55 --startdatetime 2017-04-29T12:21:21 --delay 1 --endMP 300:58952 --enddatetime 2017-04-29T12:35:07 --enforcementcount 0 &gt;&gt;C:\Users\stu\Documents\GitHub\eaglep3-reporting\EC\2017-04-29-refined-times.txt</v>
      </c>
      <c r="AI172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{"issue":{"subject":"","project_id":79,"tracker_id":40,"status_id":1,"priority_id":2,"assigned_to_id":23,"start_date":"2017-04-29","description":"","custom_fields":[{"id":1,"name":"Subdivision","value":"NW"},{"id":4,"name":"Milepost","value":"5.8952"},{"id":17,"name":"Train ID","value":"1813-29"},{"id":16,"name":"Locomotive ID","value":"4046"},{"id":130,"name":"Impact","value":""},{"id":150,"name":"Time of Event (Mountain Time)","value":"12:35:07"},{"id":151,"name":"Denver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51"/>
        <v>start /low /b %USERPROFILE%\Documents\GitHub\eaglep3\Utilities\DownloadLogsFromS3.py --loco 4046 --day 2017-04-29</v>
      </c>
      <c r="AN172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18:35:07"},{"id":29,"name":"Sharepoint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706</v>
      </c>
      <c r="B173" s="7">
        <v>4045</v>
      </c>
      <c r="C173" s="21" t="s">
        <v>212</v>
      </c>
      <c r="D173" s="21" t="s">
        <v>431</v>
      </c>
      <c r="E173" s="13">
        <v>42854.526053240741</v>
      </c>
      <c r="F173" s="13">
        <v>42854.527453703704</v>
      </c>
      <c r="G173" s="7">
        <v>1</v>
      </c>
      <c r="H173" s="21" t="s">
        <v>888</v>
      </c>
      <c r="I173" s="13">
        <v>42854.538437499999</v>
      </c>
      <c r="J173" s="7">
        <v>0</v>
      </c>
      <c r="K173" s="92" t="str">
        <f t="shared" si="53"/>
        <v>4045/4046</v>
      </c>
      <c r="L173" s="21" t="str">
        <f>VLOOKUP(A173,'Trips&amp;Operators'!$C$1:$G$99999,5,FALSE)</f>
        <v>ARVIDSON DANIEL</v>
      </c>
      <c r="M173" s="6">
        <f t="shared" si="54"/>
        <v>1.0983796295477077E-2</v>
      </c>
      <c r="N173" s="7">
        <f t="shared" si="67"/>
        <v>15.816666665486991</v>
      </c>
      <c r="O173" s="7"/>
      <c r="P173" s="7"/>
      <c r="Q173" s="22"/>
      <c r="R173" s="190"/>
      <c r="S173" s="196">
        <f t="shared" si="55"/>
        <v>1</v>
      </c>
      <c r="T173" s="190" t="str">
        <f t="shared" si="56"/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57"/>
        <v>https://d0f6bd738d7f1b3e5a7ca70fe4ff75f0.us-east-1.aws.found.io/app/kibana#/discover/Steve-Slow-Train-Analysis-(2080s-and-2083s)?_g=(refreshInterval:(display:Off,pause:!f,section:0,value:0),time:(from:'2017-04-29T11:37:31-0600',mode:absolute,to:'2017-04-29T13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3" s="192" t="str">
        <f t="shared" si="58"/>
        <v>N</v>
      </c>
      <c r="X173" s="192">
        <f t="shared" si="66"/>
        <v>1</v>
      </c>
      <c r="Y173" s="192">
        <f t="shared" si="59"/>
        <v>5.8635999999999999</v>
      </c>
      <c r="Z173" s="192">
        <f t="shared" si="60"/>
        <v>6.7100000000000007E-2</v>
      </c>
      <c r="AA173" s="192">
        <f t="shared" si="61"/>
        <v>5.7965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2"/>
        <v>1814-29</v>
      </c>
      <c r="AE173" s="80" t="str">
        <f t="shared" si="63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173" s="77" t="str">
        <f t="shared" si="64"/>
        <v>"C:\Program Files (x86)\AstroGrep\AstroGrep.exe" /e /r /s /spath="%USERPROFILE%\AppData\Local\Temp\OnboardLogs" /stypes="app*4045*20170429*" /stext=" 18:.+((SYSTEM_STATE.+slice.+state.+changed )|(ment ac)|(multiple cpu faults)|(system.+state.+changed )|(\[timeout)|(PRM\|1\|D)|(kpr)|(kdp)|(train.+moving)|(\|lc)|(penalty))"</v>
      </c>
      <c r="AG173" s="1" t="str">
        <f t="shared" si="65"/>
        <v>NW</v>
      </c>
      <c r="AH173" s="81" t="str">
        <f t="shared" si="49"/>
        <v>"%USERPROFILE%\Documents\GitHub\eaglep3\Utilities\RefineRTDCRunTimes.py" --tripid 1814-29 --locoid 4045 --swversion DE.1.0.9.0 --startMP 300:58636 --initTime 2017-04-29T12:37:31 --startdatetime 2017-04-29T12:39:32 --delay 1 --endMP 204:671 --enddatetime 2017-04-29T12:55:21 --enforcementcount 0 &gt;&gt;C:\Users\stu\Documents\GitHub\eaglep3-reporting\EC\2017-04-29-refined-times.txt</v>
      </c>
      <c r="AI173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{"issue":{"subject":"","project_id":79,"tracker_id":40,"status_id":1,"priority_id":2,"assigned_to_id":23,"start_date":"2017-04-29","description":"","custom_fields":[{"id":1,"name":"Subdivision","value":"NW"},{"id":4,"name":"Milepost","value":"0.0671"},{"id":17,"name":"Train ID","value":"1814-29"},{"id":16,"name":"Locomotive ID","value":"4045"},{"id":130,"name":"Impact","value":""},{"id":150,"name":"Time of Event (Mountain Time)","value":"12:55:21"},{"id":151,"name":"Denver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51"/>
        <v>start /low /b %USERPROFILE%\Documents\GitHub\eaglep3\Utilities\DownloadLogsFromS3.py --loco 4045 --day 2017-04-29</v>
      </c>
      <c r="AN173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18:55:21"},{"id":29,"name":"Sharepoint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581</v>
      </c>
      <c r="B174" s="7">
        <v>4046</v>
      </c>
      <c r="C174" s="21" t="s">
        <v>212</v>
      </c>
      <c r="D174" s="21" t="s">
        <v>551</v>
      </c>
      <c r="E174" s="13">
        <v>42854.550983796296</v>
      </c>
      <c r="F174" s="13">
        <v>42854.556574074071</v>
      </c>
      <c r="G174" s="7">
        <v>1</v>
      </c>
      <c r="H174" s="21" t="s">
        <v>480</v>
      </c>
      <c r="I174" s="13">
        <v>42854.567071759258</v>
      </c>
      <c r="J174" s="7">
        <v>0</v>
      </c>
      <c r="K174" s="92" t="str">
        <f t="shared" si="53"/>
        <v>4045/4046</v>
      </c>
      <c r="L174" s="21" t="str">
        <f>VLOOKUP(A174,'Trips&amp;Operators'!$C$1:$G$99999,5,FALSE)</f>
        <v>ARVIDSON DANIEL</v>
      </c>
      <c r="M174" s="6">
        <f t="shared" si="54"/>
        <v>1.0497685187146999E-2</v>
      </c>
      <c r="N174" s="7">
        <f t="shared" si="67"/>
        <v>15.116666669491678</v>
      </c>
      <c r="O174" s="7"/>
      <c r="P174" s="7"/>
      <c r="Q174" s="22"/>
      <c r="R174" s="190"/>
      <c r="S174" s="196">
        <f t="shared" si="55"/>
        <v>1</v>
      </c>
      <c r="T174" s="190" t="str">
        <f t="shared" si="56"/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57"/>
        <v>https://d0f6bd738d7f1b3e5a7ca70fe4ff75f0.us-east-1.aws.found.io/app/kibana#/discover/Steve-Slow-Train-Analysis-(2080s-and-2083s)?_g=(refreshInterval:(display:Off,pause:!f,section:0,value:0),time:(from:'2017-04-29T12:13:25-0600',mode:absolute,to:'2017-04-29T14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4" s="192" t="str">
        <f t="shared" si="58"/>
        <v>N</v>
      </c>
      <c r="X174" s="192">
        <f t="shared" si="66"/>
        <v>1</v>
      </c>
      <c r="Y174" s="192">
        <f t="shared" si="59"/>
        <v>9.5500000000000002E-2</v>
      </c>
      <c r="Z174" s="192">
        <f t="shared" si="60"/>
        <v>5.8940999999999999</v>
      </c>
      <c r="AA174" s="192">
        <f t="shared" si="61"/>
        <v>5.7985999999999995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2"/>
        <v>1815-29</v>
      </c>
      <c r="AE174" s="80" t="str">
        <f t="shared" si="63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174" s="77" t="str">
        <f t="shared" si="64"/>
        <v>"C:\Program Files (x86)\AstroGrep\AstroGrep.exe" /e /r /s /spath="%USERPROFILE%\AppData\Local\Temp\OnboardLogs" /stypes="app*4046*20170429*" /stext=" 19:.+((SYSTEM_STATE.+slice.+state.+changed )|(ment ac)|(multiple cpu faults)|(system.+state.+changed )|(\[timeout)|(PRM\|1\|D)|(kpr)|(kdp)|(train.+moving)|(\|lc)|(penalty))"</v>
      </c>
      <c r="AG174" s="1" t="str">
        <f t="shared" si="65"/>
        <v>NW</v>
      </c>
      <c r="AH174" s="81" t="str">
        <f t="shared" si="49"/>
        <v>"%USERPROFILE%\Documents\GitHub\eaglep3\Utilities\RefineRTDCRunTimes.py" --tripid 1815-29 --locoid 4046 --swversion DE.1.0.9.0 --startMP 204:955 --initTime 2017-04-29T13:13:25 --startdatetime 2017-04-29T13:21:28 --delay 1 --endMP 300:58941 --enddatetime 2017-04-29T13:36:35 --enforcementcount 0 &gt;&gt;C:\Users\stu\Documents\GitHub\eaglep3-reporting\EC\2017-04-29-refined-times.txt</v>
      </c>
      <c r="AI174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{"issue":{"subject":"","project_id":79,"tracker_id":40,"status_id":1,"priority_id":2,"assigned_to_id":23,"start_date":"2017-04-29","description":"","custom_fields":[{"id":1,"name":"Subdivision","value":"NW"},{"id":4,"name":"Milepost","value":"5.8941"},{"id":17,"name":"Train ID","value":"1815-29"},{"id":16,"name":"Locomotive ID","value":"4046"},{"id":130,"name":"Impact","value":""},{"id":150,"name":"Time of Event (Mountain Time)","value":"13:36:35"},{"id":151,"name":"Denver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51"/>
        <v>start /low /b %USERPROFILE%\Documents\GitHub\eaglep3\Utilities\DownloadLogsFromS3.py --loco 4046 --day 2017-04-29</v>
      </c>
      <c r="AN174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19:36:35"},{"id":29,"name":"Sharepoint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583</v>
      </c>
      <c r="B175" s="7">
        <v>4045</v>
      </c>
      <c r="C175" s="21" t="s">
        <v>212</v>
      </c>
      <c r="D175" s="21" t="s">
        <v>889</v>
      </c>
      <c r="E175" s="13">
        <v>42854.569699074076</v>
      </c>
      <c r="F175" s="13">
        <v>42854.571250000001</v>
      </c>
      <c r="G175" s="7">
        <v>1</v>
      </c>
      <c r="H175" s="21" t="s">
        <v>890</v>
      </c>
      <c r="I175" s="13">
        <v>42854.580243055556</v>
      </c>
      <c r="J175" s="7">
        <v>0</v>
      </c>
      <c r="K175" s="92" t="str">
        <f t="shared" si="53"/>
        <v>4045/4046</v>
      </c>
      <c r="L175" s="21" t="str">
        <f>VLOOKUP(A175,'Trips&amp;Operators'!$C$1:$G$99999,5,FALSE)</f>
        <v>ARVIDSON DANIEL</v>
      </c>
      <c r="M175" s="6">
        <f t="shared" si="54"/>
        <v>8.9930555550381541E-3</v>
      </c>
      <c r="N175" s="7">
        <f t="shared" si="67"/>
        <v>12.949999999254942</v>
      </c>
      <c r="O175" s="7"/>
      <c r="P175" s="7"/>
      <c r="Q175" s="22"/>
      <c r="R175" s="190"/>
      <c r="S175" s="196">
        <f t="shared" si="55"/>
        <v>1</v>
      </c>
      <c r="T175" s="190" t="str">
        <f t="shared" si="56"/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57"/>
        <v>https://d0f6bd738d7f1b3e5a7ca70fe4ff75f0.us-east-1.aws.found.io/app/kibana#/discover/Steve-Slow-Train-Analysis-(2080s-and-2083s)?_g=(refreshInterval:(display:Off,pause:!f,section:0,value:0),time:(from:'2017-04-29T12:40:22-0600',mode:absolute,to:'2017-04-29T14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5" s="192" t="str">
        <f t="shared" si="58"/>
        <v>N</v>
      </c>
      <c r="X175" s="192">
        <f t="shared" si="66"/>
        <v>1</v>
      </c>
      <c r="Y175" s="192">
        <f t="shared" si="59"/>
        <v>5.8625999999999996</v>
      </c>
      <c r="Z175" s="192">
        <f t="shared" si="60"/>
        <v>7.3599999999999999E-2</v>
      </c>
      <c r="AA175" s="192">
        <f t="shared" si="61"/>
        <v>5.7889999999999997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2"/>
        <v>1816-29</v>
      </c>
      <c r="AE175" s="80" t="str">
        <f t="shared" si="63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175" s="77" t="str">
        <f t="shared" si="64"/>
        <v>"C:\Program Files (x86)\AstroGrep\AstroGrep.exe" /e /r /s /spath="%USERPROFILE%\AppData\Local\Temp\OnboardLogs" /stypes="app*4045*20170429*" /stext=" 19:.+((SYSTEM_STATE.+slice.+state.+changed )|(ment ac)|(multiple cpu faults)|(system.+state.+changed )|(\[timeout)|(PRM\|1\|D)|(kpr)|(kdp)|(train.+moving)|(\|lc)|(penalty))"</v>
      </c>
      <c r="AG175" s="1" t="str">
        <f t="shared" si="65"/>
        <v>NW</v>
      </c>
      <c r="AH175" s="81" t="str">
        <f t="shared" si="49"/>
        <v>"%USERPROFILE%\Documents\GitHub\eaglep3\Utilities\RefineRTDCRunTimes.py" --tripid 1816-29 --locoid 4045 --swversion DE.1.0.9.0 --startMP 300:58626 --initTime 2017-04-29T13:40:22 --startdatetime 2017-04-29T13:42:36 --delay 1 --endMP 204:736 --enddatetime 2017-04-29T13:55:33 --enforcementcount 0 &gt;&gt;C:\Users\stu\Documents\GitHub\eaglep3-reporting\EC\2017-04-29-refined-times.txt</v>
      </c>
      <c r="AI175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{"issue":{"subject":"","project_id":79,"tracker_id":40,"status_id":1,"priority_id":2,"assigned_to_id":23,"start_date":"2017-04-29","description":"","custom_fields":[{"id":1,"name":"Subdivision","value":"NW"},{"id":4,"name":"Milepost","value":"0.0736"},{"id":17,"name":"Train ID","value":"1816-29"},{"id":16,"name":"Locomotive ID","value":"4045"},{"id":130,"name":"Impact","value":""},{"id":150,"name":"Time of Event (Mountain Time)","value":"13:55:33"},{"id":151,"name":"Denver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51"/>
        <v>start /low /b %USERPROFILE%\Documents\GitHub\eaglep3\Utilities\DownloadLogsFromS3.py --loco 4045 --day 2017-04-29</v>
      </c>
      <c r="AN175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19:55:33"},{"id":29,"name":"Sharepoint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717</v>
      </c>
      <c r="B176" s="7">
        <v>4046</v>
      </c>
      <c r="C176" s="21" t="s">
        <v>212</v>
      </c>
      <c r="D176" s="21" t="s">
        <v>891</v>
      </c>
      <c r="E176" s="13">
        <v>42854.594155092593</v>
      </c>
      <c r="F176" s="13">
        <v>42854.598101851851</v>
      </c>
      <c r="G176" s="7">
        <v>1</v>
      </c>
      <c r="H176" s="21" t="s">
        <v>439</v>
      </c>
      <c r="I176" s="13">
        <v>42854.60732638889</v>
      </c>
      <c r="J176" s="7">
        <v>0</v>
      </c>
      <c r="K176" s="92" t="str">
        <f t="shared" si="53"/>
        <v>4045/4046</v>
      </c>
      <c r="L176" s="21" t="str">
        <f>VLOOKUP(A176,'Trips&amp;Operators'!$C$1:$G$99999,5,FALSE)</f>
        <v>HELVIE ADAM</v>
      </c>
      <c r="M176" s="6">
        <f t="shared" si="54"/>
        <v>9.2245370396994986E-3</v>
      </c>
      <c r="N176" s="7">
        <f t="shared" si="67"/>
        <v>13.283333337167278</v>
      </c>
      <c r="O176" s="7"/>
      <c r="P176" s="7"/>
      <c r="Q176" s="22"/>
      <c r="R176" s="190"/>
      <c r="S176" s="196">
        <f t="shared" si="55"/>
        <v>1</v>
      </c>
      <c r="T176" s="190" t="str">
        <f t="shared" si="56"/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57"/>
        <v>https://d0f6bd738d7f1b3e5a7ca70fe4ff75f0.us-east-1.aws.found.io/app/kibana#/discover/Steve-Slow-Train-Analysis-(2080s-and-2083s)?_g=(refreshInterval:(display:Off,pause:!f,section:0,value:0),time:(from:'2017-04-29T13:15:35-0600',mode:absolute,to:'2017-04-29T15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6" s="192" t="str">
        <f t="shared" si="58"/>
        <v>N</v>
      </c>
      <c r="X176" s="192">
        <f t="shared" si="66"/>
        <v>1</v>
      </c>
      <c r="Y176" s="192">
        <f t="shared" si="59"/>
        <v>0.10299999999999999</v>
      </c>
      <c r="Z176" s="192">
        <f t="shared" si="60"/>
        <v>5.8936999999999999</v>
      </c>
      <c r="AA176" s="192">
        <f t="shared" si="61"/>
        <v>5.7907000000000002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2"/>
        <v>1817-29</v>
      </c>
      <c r="AE176" s="80" t="str">
        <f t="shared" si="63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176" s="77" t="str">
        <f t="shared" si="64"/>
        <v>"C:\Program Files (x86)\AstroGrep\AstroGrep.exe" /e /r /s /spath="%USERPROFILE%\AppData\Local\Temp\OnboardLogs" /stypes="app*4046*20170429*" /stext=" 20:.+((SYSTEM_STATE.+slice.+state.+changed )|(ment ac)|(multiple cpu faults)|(system.+state.+changed )|(\[timeout)|(PRM\|1\|D)|(kpr)|(kdp)|(train.+moving)|(\|lc)|(penalty))"</v>
      </c>
      <c r="AG176" s="1" t="str">
        <f t="shared" si="65"/>
        <v>NW</v>
      </c>
      <c r="AH176" s="81" t="str">
        <f t="shared" si="49"/>
        <v>"%USERPROFILE%\Documents\GitHub\eaglep3\Utilities\RefineRTDCRunTimes.py" --tripid 1817-29 --locoid 4046 --swversion DE.1.0.9.0 --startMP 204:1030 --initTime 2017-04-29T14:15:35 --startdatetime 2017-04-29T14:21:16 --delay 1 --endMP 300:58937 --enddatetime 2017-04-29T14:34:33 --enforcementcount 0 &gt;&gt;C:\Users\stu\Documents\GitHub\eaglep3-reporting\EC\2017-04-29-refined-times.txt</v>
      </c>
      <c r="AI176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{"issue":{"subject":"","project_id":79,"tracker_id":40,"status_id":1,"priority_id":2,"assigned_to_id":23,"start_date":"2017-04-29","description":"","custom_fields":[{"id":1,"name":"Subdivision","value":"NW"},{"id":4,"name":"Milepost","value":"5.8937"},{"id":17,"name":"Train ID","value":"1817-29"},{"id":16,"name":"Locomotive ID","value":"4046"},{"id":130,"name":"Impact","value":""},{"id":150,"name":"Time of Event (Mountain Time)","value":"14:34:33"},{"id":151,"name":"Denver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51"/>
        <v>start /low /b %USERPROFILE%\Documents\GitHub\eaglep3\Utilities\DownloadLogsFromS3.py --loco 4046 --day 2017-04-29</v>
      </c>
      <c r="AN176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20:34:33"},{"id":29,"name":"Sharepoint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724</v>
      </c>
      <c r="B177" s="7">
        <v>4045</v>
      </c>
      <c r="C177" s="21" t="s">
        <v>212</v>
      </c>
      <c r="D177" s="21" t="s">
        <v>889</v>
      </c>
      <c r="E177" s="13">
        <v>42854.61136574074</v>
      </c>
      <c r="F177" s="13">
        <v>42854.612708333334</v>
      </c>
      <c r="G177" s="7">
        <v>1</v>
      </c>
      <c r="H177" s="21" t="s">
        <v>817</v>
      </c>
      <c r="I177" s="13">
        <v>42854.621249999997</v>
      </c>
      <c r="J177" s="7">
        <v>0</v>
      </c>
      <c r="K177" s="92" t="str">
        <f t="shared" si="53"/>
        <v>4045/4046</v>
      </c>
      <c r="L177" s="21" t="str">
        <f>VLOOKUP(A177,'Trips&amp;Operators'!$C$1:$G$99999,5,FALSE)</f>
        <v>HELVIE ADAM</v>
      </c>
      <c r="M177" s="6">
        <f t="shared" si="54"/>
        <v>8.5416666624951176E-3</v>
      </c>
      <c r="N177" s="7">
        <f t="shared" si="67"/>
        <v>12.299999993992969</v>
      </c>
      <c r="O177" s="7"/>
      <c r="P177" s="7"/>
      <c r="Q177" s="22"/>
      <c r="R177" s="190"/>
      <c r="S177" s="196">
        <f t="shared" si="55"/>
        <v>1</v>
      </c>
      <c r="T177" s="190" t="str">
        <f t="shared" si="56"/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57"/>
        <v>https://d0f6bd738d7f1b3e5a7ca70fe4ff75f0.us-east-1.aws.found.io/app/kibana#/discover/Steve-Slow-Train-Analysis-(2080s-and-2083s)?_g=(refreshInterval:(display:Off,pause:!f,section:0,value:0),time:(from:'2017-04-29T13:40:22-0600',mode:absolute,to:'2017-04-29T15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7" s="192" t="str">
        <f t="shared" si="58"/>
        <v>N</v>
      </c>
      <c r="X177" s="192">
        <f t="shared" ref="X177:X208" si="68">VALUE(LEFT(AD177,4))-VALUE(LEFT(AD176,4))</f>
        <v>1</v>
      </c>
      <c r="Y177" s="192">
        <f t="shared" si="59"/>
        <v>5.8625999999999996</v>
      </c>
      <c r="Z177" s="192">
        <f t="shared" si="60"/>
        <v>7.5499999999999998E-2</v>
      </c>
      <c r="AA177" s="192">
        <f t="shared" si="61"/>
        <v>5.7870999999999997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2"/>
        <v>1818-29</v>
      </c>
      <c r="AE177" s="80" t="str">
        <f t="shared" si="63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177" s="77" t="str">
        <f t="shared" si="64"/>
        <v>"C:\Program Files (x86)\AstroGrep\AstroGrep.exe" /e /r /s /spath="%USERPROFILE%\AppData\Local\Temp\OnboardLogs" /stypes="app*4045*20170429*" /stext=" 20:.+((SYSTEM_STATE.+slice.+state.+changed )|(ment ac)|(multiple cpu faults)|(system.+state.+changed )|(\[timeout)|(PRM\|1\|D)|(kpr)|(kdp)|(train.+moving)|(\|lc)|(penalty))"</v>
      </c>
      <c r="AG177" s="1" t="str">
        <f t="shared" si="65"/>
        <v>NW</v>
      </c>
      <c r="AH177" s="81" t="str">
        <f t="shared" si="49"/>
        <v>"%USERPROFILE%\Documents\GitHub\eaglep3\Utilities\RefineRTDCRunTimes.py" --tripid 1818-29 --locoid 4045 --swversion DE.1.0.9.0 --startMP 300:58626 --initTime 2017-04-29T14:40:22 --startdatetime 2017-04-29T14:42:18 --delay 1 --endMP 204:755 --enddatetime 2017-04-29T14:54:36 --enforcementcount 0 &gt;&gt;C:\Users\stu\Documents\GitHub\eaglep3-reporting\EC\2017-04-29-refined-times.txt</v>
      </c>
      <c r="AI177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{"issue":{"subject":"","project_id":79,"tracker_id":40,"status_id":1,"priority_id":2,"assigned_to_id":23,"start_date":"2017-04-29","description":"","custom_fields":[{"id":1,"name":"Subdivision","value":"NW"},{"id":4,"name":"Milepost","value":"0.0755"},{"id":17,"name":"Train ID","value":"1818-29"},{"id":16,"name":"Locomotive ID","value":"4045"},{"id":130,"name":"Impact","value":""},{"id":150,"name":"Time of Event (Mountain Time)","value":"14:54:36"},{"id":151,"name":"Denver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51"/>
        <v>start /low /b %USERPROFILE%\Documents\GitHub\eaglep3\Utilities\DownloadLogsFromS3.py --loco 4045 --day 2017-04-29</v>
      </c>
      <c r="AN177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20:54:36"},{"id":29,"name":"Sharepoint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730</v>
      </c>
      <c r="B178" s="7">
        <v>4046</v>
      </c>
      <c r="C178" s="21" t="s">
        <v>212</v>
      </c>
      <c r="D178" s="21" t="s">
        <v>892</v>
      </c>
      <c r="E178" s="13">
        <v>42854.638020833336</v>
      </c>
      <c r="F178" s="13">
        <v>42854.639872685184</v>
      </c>
      <c r="G178" s="7">
        <v>1</v>
      </c>
      <c r="H178" s="21" t="s">
        <v>880</v>
      </c>
      <c r="I178" s="13">
        <v>42854.648657407408</v>
      </c>
      <c r="J178" s="7">
        <v>0</v>
      </c>
      <c r="K178" s="92" t="str">
        <f t="shared" si="53"/>
        <v>4045/4046</v>
      </c>
      <c r="L178" s="21" t="str">
        <f>VLOOKUP(A178,'Trips&amp;Operators'!$C$1:$G$99999,5,FALSE)</f>
        <v>HELVIE ADAM</v>
      </c>
      <c r="M178" s="6">
        <f t="shared" si="54"/>
        <v>8.7847222239361145E-3</v>
      </c>
      <c r="N178" s="7">
        <f t="shared" si="67"/>
        <v>12.650000002468005</v>
      </c>
      <c r="O178" s="7"/>
      <c r="P178" s="7"/>
      <c r="Q178" s="22"/>
      <c r="R178" s="190"/>
      <c r="S178" s="196">
        <f t="shared" si="55"/>
        <v>1</v>
      </c>
      <c r="T178" s="190" t="str">
        <f t="shared" si="56"/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57"/>
        <v>https://d0f6bd738d7f1b3e5a7ca70fe4ff75f0.us-east-1.aws.found.io/app/kibana#/discover/Steve-Slow-Train-Analysis-(2080s-and-2083s)?_g=(refreshInterval:(display:Off,pause:!f,section:0,value:0),time:(from:'2017-04-29T14:18:45-0600',mode:absolute,to:'2017-04-29T16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8" s="192" t="str">
        <f t="shared" si="58"/>
        <v>N</v>
      </c>
      <c r="X178" s="192">
        <f t="shared" si="68"/>
        <v>1</v>
      </c>
      <c r="Y178" s="192">
        <f t="shared" si="59"/>
        <v>0.1037</v>
      </c>
      <c r="Z178" s="192">
        <f t="shared" si="60"/>
        <v>5.8944000000000001</v>
      </c>
      <c r="AA178" s="192">
        <f t="shared" si="61"/>
        <v>5.7907000000000002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2"/>
        <v>1819-29</v>
      </c>
      <c r="AE178" s="80" t="str">
        <f t="shared" si="63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178" s="77" t="str">
        <f t="shared" si="64"/>
        <v>"C:\Program Files (x86)\AstroGrep\AstroGrep.exe" /e /r /s /spath="%USERPROFILE%\AppData\Local\Temp\OnboardLogs" /stypes="app*4046*20170429*" /stext=" 21:.+((SYSTEM_STATE.+slice.+state.+changed )|(ment ac)|(multiple cpu faults)|(system.+state.+changed )|(\[timeout)|(PRM\|1\|D)|(kpr)|(kdp)|(train.+moving)|(\|lc)|(penalty))"</v>
      </c>
      <c r="AG178" s="1" t="str">
        <f t="shared" si="65"/>
        <v>NW</v>
      </c>
      <c r="AH178" s="81" t="str">
        <f t="shared" si="49"/>
        <v>"%USERPROFILE%\Documents\GitHub\eaglep3\Utilities\RefineRTDCRunTimes.py" --tripid 1819-29 --locoid 4046 --swversion DE.1.0.9.0 --startMP 204:1037 --initTime 2017-04-29T15:18:45 --startdatetime 2017-04-29T15:21:25 --delay 1 --endMP 300:58944 --enddatetime 2017-04-29T15:34:04 --enforcementcount 0 &gt;&gt;C:\Users\stu\Documents\GitHub\eaglep3-reporting\EC\2017-04-29-refined-times.txt</v>
      </c>
      <c r="AI178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{"issue":{"subject":"","project_id":79,"tracker_id":40,"status_id":1,"priority_id":2,"assigned_to_id":23,"start_date":"2017-04-29","description":"","custom_fields":[{"id":1,"name":"Subdivision","value":"NW"},{"id":4,"name":"Milepost","value":"5.8944"},{"id":17,"name":"Train ID","value":"1819-29"},{"id":16,"name":"Locomotive ID","value":"4046"},{"id":130,"name":"Impact","value":""},{"id":150,"name":"Time of Event (Mountain Time)","value":"15:34:04"},{"id":151,"name":"Denver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51"/>
        <v>start /low /b %USERPROFILE%\Documents\GitHub\eaglep3\Utilities\DownloadLogsFromS3.py --loco 4046 --day 2017-04-29</v>
      </c>
      <c r="AN178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21:34:04"},{"id":29,"name":"Sharepoint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s="20" customFormat="1" x14ac:dyDescent="0.25">
      <c r="A179" s="32" t="s">
        <v>733</v>
      </c>
      <c r="B179" s="7">
        <v>4045</v>
      </c>
      <c r="C179" s="21" t="s">
        <v>212</v>
      </c>
      <c r="D179" s="21" t="s">
        <v>881</v>
      </c>
      <c r="E179" s="13">
        <v>42854.650046296294</v>
      </c>
      <c r="F179" s="13">
        <v>42854.652731481481</v>
      </c>
      <c r="G179" s="7">
        <v>1</v>
      </c>
      <c r="H179" s="21" t="s">
        <v>894</v>
      </c>
      <c r="I179" s="13">
        <v>42854.662638888891</v>
      </c>
      <c r="J179" s="7">
        <v>0</v>
      </c>
      <c r="K179" s="92" t="str">
        <f t="shared" si="53"/>
        <v>4045/4046</v>
      </c>
      <c r="L179" s="21" t="str">
        <f>VLOOKUP(A179,'Trips&amp;Operators'!$C$1:$G$99999,5,FALSE)</f>
        <v>HELVIE ADAM</v>
      </c>
      <c r="M179" s="6">
        <f t="shared" si="54"/>
        <v>9.9074074096279219E-3</v>
      </c>
      <c r="N179" s="7">
        <f t="shared" si="67"/>
        <v>14.266666669864208</v>
      </c>
      <c r="O179" s="7"/>
      <c r="P179" s="7"/>
      <c r="Q179" s="22"/>
      <c r="R179" s="190"/>
      <c r="S179" s="196">
        <f t="shared" si="55"/>
        <v>1</v>
      </c>
      <c r="T179" s="190" t="str">
        <f t="shared" si="56"/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57"/>
        <v>https://d0f6bd738d7f1b3e5a7ca70fe4ff75f0.us-east-1.aws.found.io/app/kibana#/discover/Steve-Slow-Train-Analysis-(2080s-and-2083s)?_g=(refreshInterval:(display:Off,pause:!f,section:0,value:0),time:(from:'2017-04-29T14:36:04-0600',mode:absolute,to:'2017-04-29T16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9" s="192" t="str">
        <f t="shared" si="58"/>
        <v>N</v>
      </c>
      <c r="X179" s="192">
        <f t="shared" si="68"/>
        <v>1</v>
      </c>
      <c r="Y179" s="192">
        <f t="shared" si="59"/>
        <v>5.8632</v>
      </c>
      <c r="Z179" s="192">
        <f t="shared" si="60"/>
        <v>7.4999999999999997E-2</v>
      </c>
      <c r="AA179" s="192">
        <f t="shared" si="61"/>
        <v>5.7881999999999998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2"/>
        <v>1820-29</v>
      </c>
      <c r="AE179" s="80" t="str">
        <f t="shared" si="63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179" s="77" t="str">
        <f t="shared" si="64"/>
        <v>"C:\Program Files (x86)\AstroGrep\AstroGrep.exe" /e /r /s /spath="%USERPROFILE%\AppData\Local\Temp\OnboardLogs" /stypes="app*4045*20170429*" /stext=" 21:.+((SYSTEM_STATE.+slice.+state.+changed )|(ment ac)|(multiple cpu faults)|(system.+state.+changed )|(\[timeout)|(PRM\|1\|D)|(kpr)|(kdp)|(train.+moving)|(\|lc)|(penalty))"</v>
      </c>
      <c r="AG179" s="1" t="str">
        <f t="shared" si="65"/>
        <v>NW</v>
      </c>
      <c r="AH179" s="81" t="str">
        <f t="shared" si="49"/>
        <v>"%USERPROFILE%\Documents\GitHub\eaglep3\Utilities\RefineRTDCRunTimes.py" --tripid 1820-29 --locoid 4045 --swversion DE.1.0.9.0 --startMP 300:58632 --initTime 2017-04-29T15:36:04 --startdatetime 2017-04-29T15:39:56 --delay 1 --endMP 204:750 --enddatetime 2017-04-29T15:54:12 --enforcementcount 0 &gt;&gt;C:\Users\stu\Documents\GitHub\eaglep3-reporting\EC\2017-04-29-refined-times.txt</v>
      </c>
      <c r="AI179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{"issue":{"subject":"","project_id":79,"tracker_id":40,"status_id":1,"priority_id":2,"assigned_to_id":23,"start_date":"2017-04-29","description":"","custom_fields":[{"id":1,"name":"Subdivision","value":"NW"},{"id":4,"name":"Milepost","value":"0.075"},{"id":17,"name":"Train ID","value":"1820-29"},{"id":16,"name":"Locomotive ID","value":"4045"},{"id":130,"name":"Impact","value":""},{"id":150,"name":"Time of Event (Mountain Time)","value":"15:54:12"},{"id":151,"name":"Denver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5" t="str">
        <f t="shared" si="51"/>
        <v>start /low /b %USERPROFILE%\Documents\GitHub\eaglep3\Utilities\DownloadLogsFromS3.py --loco 4045 --day 2017-04-29</v>
      </c>
      <c r="AN179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21:54:12"},{"id":29,"name":"Sharepoint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739</v>
      </c>
      <c r="B180" s="7">
        <v>4046</v>
      </c>
      <c r="C180" s="21" t="s">
        <v>212</v>
      </c>
      <c r="D180" s="21" t="s">
        <v>895</v>
      </c>
      <c r="E180" s="13">
        <v>42854.679363425923</v>
      </c>
      <c r="F180" s="13">
        <v>42854.681585648148</v>
      </c>
      <c r="G180" s="7">
        <v>1</v>
      </c>
      <c r="H180" s="21" t="s">
        <v>439</v>
      </c>
      <c r="I180" s="13">
        <v>42854.690497685187</v>
      </c>
      <c r="J180" s="7">
        <v>0</v>
      </c>
      <c r="K180" s="92" t="str">
        <f t="shared" si="53"/>
        <v>4045/4046</v>
      </c>
      <c r="L180" s="21" t="str">
        <f>VLOOKUP(A180,'Trips&amp;Operators'!$C$1:$G$99999,5,FALSE)</f>
        <v>HELVIE ADAM</v>
      </c>
      <c r="M180" s="6">
        <f t="shared" si="54"/>
        <v>8.9120370394084603E-3</v>
      </c>
      <c r="N180" s="7">
        <f t="shared" si="67"/>
        <v>12.833333336748183</v>
      </c>
      <c r="O180" s="7"/>
      <c r="P180" s="7"/>
      <c r="Q180" s="22"/>
      <c r="R180" s="190"/>
      <c r="S180" s="196">
        <f t="shared" si="55"/>
        <v>1</v>
      </c>
      <c r="T180" s="190" t="str">
        <f t="shared" si="56"/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57"/>
        <v>https://d0f6bd738d7f1b3e5a7ca70fe4ff75f0.us-east-1.aws.found.io/app/kibana#/discover/Steve-Slow-Train-Analysis-(2080s-and-2083s)?_g=(refreshInterval:(display:Off,pause:!f,section:0,value:0),time:(from:'2017-04-29T15:18:17-0600',mode:absolute,to:'2017-04-29T17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0" s="192" t="str">
        <f t="shared" si="58"/>
        <v>N</v>
      </c>
      <c r="X180" s="192">
        <f t="shared" si="68"/>
        <v>1</v>
      </c>
      <c r="Y180" s="192">
        <f t="shared" si="59"/>
        <v>0.1048</v>
      </c>
      <c r="Z180" s="192">
        <f t="shared" si="60"/>
        <v>5.8936999999999999</v>
      </c>
      <c r="AA180" s="192">
        <f t="shared" si="61"/>
        <v>5.7888999999999999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2"/>
        <v>1821-29</v>
      </c>
      <c r="AE180" s="80" t="str">
        <f t="shared" si="63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180" s="77" t="str">
        <f t="shared" si="64"/>
        <v>"C:\Program Files (x86)\AstroGrep\AstroGrep.exe" /e /r /s /spath="%USERPROFILE%\AppData\Local\Temp\OnboardLogs" /stypes="app*4046*20170429*" /stext=" 22:.+((SYSTEM_STATE.+slice.+state.+changed )|(ment ac)|(multiple cpu faults)|(system.+state.+changed )|(\[timeout)|(PRM\|1\|D)|(kpr)|(kdp)|(train.+moving)|(\|lc)|(penalty))"</v>
      </c>
      <c r="AG180" s="1" t="str">
        <f t="shared" si="65"/>
        <v>NW</v>
      </c>
      <c r="AH180" s="81" t="str">
        <f t="shared" si="49"/>
        <v>"%USERPROFILE%\Documents\GitHub\eaglep3\Utilities\RefineRTDCRunTimes.py" --tripid 1821-29 --locoid 4046 --swversion DE.1.0.9.0 --startMP 204:1048 --initTime 2017-04-29T16:18:17 --startdatetime 2017-04-29T16:21:29 --delay 1 --endMP 300:58937 --enddatetime 2017-04-29T16:34:19 --enforcementcount 0 &gt;&gt;C:\Users\stu\Documents\GitHub\eaglep3-reporting\EC\2017-04-29-refined-times.txt</v>
      </c>
      <c r="AI180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{"issue":{"subject":"","project_id":79,"tracker_id":40,"status_id":1,"priority_id":2,"assigned_to_id":23,"start_date":"2017-04-29","description":"","custom_fields":[{"id":1,"name":"Subdivision","value":"NW"},{"id":4,"name":"Milepost","value":"5.8937"},{"id":17,"name":"Train ID","value":"1821-29"},{"id":16,"name":"Locomotive ID","value":"4046"},{"id":130,"name":"Impact","value":""},{"id":150,"name":"Time of Event (Mountain Time)","value":"16:34:19"},{"id":151,"name":"Denver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51"/>
        <v>start /low /b %USERPROFILE%\Documents\GitHub\eaglep3\Utilities\DownloadLogsFromS3.py --loco 4046 --day 2017-04-29</v>
      </c>
      <c r="AN180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22:34:19"},{"id":29,"name":"Sharepoint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743</v>
      </c>
      <c r="B181" s="7">
        <v>4045</v>
      </c>
      <c r="C181" s="21" t="s">
        <v>212</v>
      </c>
      <c r="D181" s="21" t="s">
        <v>872</v>
      </c>
      <c r="E181" s="13">
        <v>42854.693136574075</v>
      </c>
      <c r="F181" s="13">
        <v>42854.694560185184</v>
      </c>
      <c r="G181" s="7">
        <v>1</v>
      </c>
      <c r="H181" s="21" t="s">
        <v>896</v>
      </c>
      <c r="I181" s="13">
        <v>42854.704386574071</v>
      </c>
      <c r="J181" s="7">
        <v>0</v>
      </c>
      <c r="K181" s="92" t="str">
        <f t="shared" si="53"/>
        <v>4045/4046</v>
      </c>
      <c r="L181" s="21" t="str">
        <f>VLOOKUP(A181,'Trips&amp;Operators'!$C$1:$G$99999,5,FALSE)</f>
        <v>HELVIE ADAM</v>
      </c>
      <c r="M181" s="6">
        <f t="shared" si="54"/>
        <v>9.8263888867222704E-3</v>
      </c>
      <c r="N181" s="7">
        <f t="shared" si="67"/>
        <v>14.149999996880069</v>
      </c>
      <c r="O181" s="7"/>
      <c r="P181" s="7"/>
      <c r="Q181" s="22"/>
      <c r="R181" s="190"/>
      <c r="S181" s="196">
        <f t="shared" si="55"/>
        <v>1</v>
      </c>
      <c r="T181" s="190" t="str">
        <f t="shared" si="56"/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57"/>
        <v>https://d0f6bd738d7f1b3e5a7ca70fe4ff75f0.us-east-1.aws.found.io/app/kibana#/discover/Steve-Slow-Train-Analysis-(2080s-and-2083s)?_g=(refreshInterval:(display:Off,pause:!f,section:0,value:0),time:(from:'2017-04-29T15:38:07-0600',mode:absolute,to:'2017-04-29T17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1" s="192" t="str">
        <f t="shared" si="58"/>
        <v>N</v>
      </c>
      <c r="X181" s="192">
        <f t="shared" si="68"/>
        <v>1</v>
      </c>
      <c r="Y181" s="192">
        <f t="shared" si="59"/>
        <v>5.8619000000000003</v>
      </c>
      <c r="Z181" s="192">
        <f t="shared" si="60"/>
        <v>7.4300000000000005E-2</v>
      </c>
      <c r="AA181" s="192">
        <f t="shared" si="61"/>
        <v>5.7876000000000003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2"/>
        <v>1822-29</v>
      </c>
      <c r="AE181" s="80" t="str">
        <f t="shared" si="63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181" s="77" t="str">
        <f t="shared" si="64"/>
        <v>"C:\Program Files (x86)\AstroGrep\AstroGrep.exe" /e /r /s /spath="%USERPROFILE%\AppData\Local\Temp\OnboardLogs" /stypes="app*4045*20170429*" /stext=" 22:.+((SYSTEM_STATE.+slice.+state.+changed )|(ment ac)|(multiple cpu faults)|(system.+state.+changed )|(\[timeout)|(PRM\|1\|D)|(kpr)|(kdp)|(train.+moving)|(\|lc)|(penalty))"</v>
      </c>
      <c r="AG181" s="1" t="str">
        <f t="shared" si="65"/>
        <v>NW</v>
      </c>
      <c r="AH181" s="81" t="str">
        <f t="shared" si="49"/>
        <v>"%USERPROFILE%\Documents\GitHub\eaglep3\Utilities\RefineRTDCRunTimes.py" --tripid 1822-29 --locoid 4045 --swversion DE.1.0.9.0 --startMP 300:58619 --initTime 2017-04-29T16:38:07 --startdatetime 2017-04-29T16:40:10 --delay 1 --endMP 204:743 --enddatetime 2017-04-29T16:54:19 --enforcementcount 0 &gt;&gt;C:\Users\stu\Documents\GitHub\eaglep3-reporting\EC\2017-04-29-refined-times.txt</v>
      </c>
      <c r="AI181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{"issue":{"subject":"","project_id":79,"tracker_id":40,"status_id":1,"priority_id":2,"assigned_to_id":23,"start_date":"2017-04-29","description":"","custom_fields":[{"id":1,"name":"Subdivision","value":"NW"},{"id":4,"name":"Milepost","value":"0.0743"},{"id":17,"name":"Train ID","value":"1822-29"},{"id":16,"name":"Locomotive ID","value":"4045"},{"id":130,"name":"Impact","value":""},{"id":150,"name":"Time of Event (Mountain Time)","value":"16:54:19"},{"id":151,"name":"Denver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51"/>
        <v>start /low /b %USERPROFILE%\Documents\GitHub\eaglep3\Utilities\DownloadLogsFromS3.py --loco 4045 --day 2017-04-29</v>
      </c>
      <c r="AN181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22:54:19"},{"id":29,"name":"Sharepoint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s="20" customFormat="1" x14ac:dyDescent="0.25">
      <c r="A182" s="32" t="s">
        <v>749</v>
      </c>
      <c r="B182" s="7">
        <v>4046</v>
      </c>
      <c r="C182" s="21" t="s">
        <v>212</v>
      </c>
      <c r="D182" s="21" t="s">
        <v>897</v>
      </c>
      <c r="E182" s="13">
        <v>42854.719930555555</v>
      </c>
      <c r="F182" s="13">
        <v>42854.723298611112</v>
      </c>
      <c r="G182" s="7">
        <v>1</v>
      </c>
      <c r="H182" s="21" t="s">
        <v>480</v>
      </c>
      <c r="I182" s="13">
        <v>42854.73233796296</v>
      </c>
      <c r="J182" s="7">
        <v>0</v>
      </c>
      <c r="K182" s="92" t="str">
        <f t="shared" si="53"/>
        <v>4045/4046</v>
      </c>
      <c r="L182" s="21" t="str">
        <f>VLOOKUP(A182,'Trips&amp;Operators'!$C$1:$G$99999,5,FALSE)</f>
        <v>HELVIE ADAM</v>
      </c>
      <c r="M182" s="6">
        <f t="shared" si="54"/>
        <v>9.0393518476048484E-3</v>
      </c>
      <c r="N182" s="7">
        <f t="shared" si="67"/>
        <v>13.016666660550982</v>
      </c>
      <c r="O182" s="7"/>
      <c r="P182" s="7"/>
      <c r="Q182" s="22"/>
      <c r="R182" s="190"/>
      <c r="S182" s="196">
        <f t="shared" si="55"/>
        <v>1</v>
      </c>
      <c r="T182" s="190" t="str">
        <f t="shared" si="56"/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57"/>
        <v>https://d0f6bd738d7f1b3e5a7ca70fe4ff75f0.us-east-1.aws.found.io/app/kibana#/discover/Steve-Slow-Train-Analysis-(2080s-and-2083s)?_g=(refreshInterval:(display:Off,pause:!f,section:0,value:0),time:(from:'2017-04-29T16:16:42-0600',mode:absolute,to:'2017-04-29T18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2" s="192" t="str">
        <f t="shared" si="58"/>
        <v>N</v>
      </c>
      <c r="X182" s="192">
        <f t="shared" si="68"/>
        <v>1</v>
      </c>
      <c r="Y182" s="192">
        <f t="shared" si="59"/>
        <v>0.10340000000000001</v>
      </c>
      <c r="Z182" s="192">
        <f t="shared" si="60"/>
        <v>5.8940999999999999</v>
      </c>
      <c r="AA182" s="192">
        <f t="shared" si="61"/>
        <v>5.7907000000000002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2"/>
        <v>1823-29</v>
      </c>
      <c r="AE182" s="80" t="str">
        <f t="shared" si="63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182" s="77" t="str">
        <f t="shared" si="64"/>
        <v>"C:\Program Files (x86)\AstroGrep\AstroGrep.exe" /e /r /s /spath="%USERPROFILE%\AppData\Local\Temp\OnboardLogs" /stypes="app*4046*20170429*" /stext=" 23:.+((SYSTEM_STATE.+slice.+state.+changed )|(ment ac)|(multiple cpu faults)|(system.+state.+changed )|(\[timeout)|(PRM\|1\|D)|(kpr)|(kdp)|(train.+moving)|(\|lc)|(penalty))"</v>
      </c>
      <c r="AG182" s="1" t="str">
        <f t="shared" si="65"/>
        <v>NW</v>
      </c>
      <c r="AH182" s="81" t="str">
        <f t="shared" si="49"/>
        <v>"%USERPROFILE%\Documents\GitHub\eaglep3\Utilities\RefineRTDCRunTimes.py" --tripid 1823-29 --locoid 4046 --swversion DE.1.0.9.0 --startMP 204:1034 --initTime 2017-04-29T17:16:42 --startdatetime 2017-04-29T17:21:33 --delay 1 --endMP 300:58941 --enddatetime 2017-04-29T17:34:34 --enforcementcount 0 &gt;&gt;C:\Users\stu\Documents\GitHub\eaglep3-reporting\EC\2017-04-29-refined-times.txt</v>
      </c>
      <c r="AI182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{"issue":{"subject":"","project_id":79,"tracker_id":40,"status_id":1,"priority_id":2,"assigned_to_id":23,"start_date":"2017-04-29","description":"","custom_fields":[{"id":1,"name":"Subdivision","value":"NW"},{"id":4,"name":"Milepost","value":"5.8941"},{"id":17,"name":"Train ID","value":"1823-29"},{"id":16,"name":"Locomotive ID","value":"4046"},{"id":130,"name":"Impact","value":""},{"id":150,"name":"Time of Event (Mountain Time)","value":"17:34:34"},{"id":151,"name":"Denver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5" t="str">
        <f t="shared" si="51"/>
        <v>start /low /b %USERPROFILE%\Documents\GitHub\eaglep3\Utilities\DownloadLogsFromS3.py --loco 4046 --day 2017-04-29</v>
      </c>
      <c r="AN182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23:34:34"},{"id":29,"name":"Sharepoint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753</v>
      </c>
      <c r="B183" s="7">
        <v>4045</v>
      </c>
      <c r="C183" s="21" t="s">
        <v>212</v>
      </c>
      <c r="D183" s="21" t="s">
        <v>898</v>
      </c>
      <c r="E183" s="13">
        <v>42854.734780092593</v>
      </c>
      <c r="F183" s="13">
        <v>42854.736631944441</v>
      </c>
      <c r="G183" s="7">
        <v>1</v>
      </c>
      <c r="H183" s="21" t="s">
        <v>894</v>
      </c>
      <c r="I183" s="13">
        <v>42854.746076388888</v>
      </c>
      <c r="J183" s="7">
        <v>0</v>
      </c>
      <c r="K183" s="92" t="str">
        <f t="shared" si="53"/>
        <v>4045/4046</v>
      </c>
      <c r="L183" s="21" t="str">
        <f>VLOOKUP(A183,'Trips&amp;Operators'!$C$1:$G$99999,5,FALSE)</f>
        <v>HELVIE ADAM</v>
      </c>
      <c r="M183" s="6">
        <f t="shared" si="54"/>
        <v>9.4444444475811906E-3</v>
      </c>
      <c r="N183" s="7">
        <f t="shared" si="67"/>
        <v>13.600000004516914</v>
      </c>
      <c r="O183" s="7"/>
      <c r="P183" s="7"/>
      <c r="Q183" s="22"/>
      <c r="R183" s="190"/>
      <c r="S183" s="196">
        <f t="shared" si="55"/>
        <v>1</v>
      </c>
      <c r="T183" s="190" t="str">
        <f t="shared" si="56"/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57"/>
        <v>https://d0f6bd738d7f1b3e5a7ca70fe4ff75f0.us-east-1.aws.found.io/app/kibana#/discover/Steve-Slow-Train-Analysis-(2080s-and-2083s)?_g=(refreshInterval:(display:Off,pause:!f,section:0,value:0),time:(from:'2017-04-29T16:38:05-0600',mode:absolute,to:'2017-04-29T18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3" s="192" t="str">
        <f t="shared" si="58"/>
        <v>N</v>
      </c>
      <c r="X183" s="192">
        <f t="shared" si="68"/>
        <v>1</v>
      </c>
      <c r="Y183" s="192">
        <f t="shared" si="59"/>
        <v>5.8624000000000001</v>
      </c>
      <c r="Z183" s="192">
        <f t="shared" si="60"/>
        <v>7.4999999999999997E-2</v>
      </c>
      <c r="AA183" s="192">
        <f t="shared" si="61"/>
        <v>5.7873999999999999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2"/>
        <v>1824-29</v>
      </c>
      <c r="AE183" s="80" t="str">
        <f t="shared" si="63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183" s="77" t="str">
        <f t="shared" si="64"/>
        <v>"C:\Program Files (x86)\AstroGrep\AstroGrep.exe" /e /r /s /spath="%USERPROFILE%\AppData\Local\Temp\OnboardLogs" /stypes="app*4045*20170429*" /stext=" 23:.+((SYSTEM_STATE.+slice.+state.+changed )|(ment ac)|(multiple cpu faults)|(system.+state.+changed )|(\[timeout)|(PRM\|1\|D)|(kpr)|(kdp)|(train.+moving)|(\|lc)|(penalty))"</v>
      </c>
      <c r="AG183" s="1" t="str">
        <f t="shared" si="65"/>
        <v>NW</v>
      </c>
      <c r="AH183" s="81" t="str">
        <f t="shared" si="49"/>
        <v>"%USERPROFILE%\Documents\GitHub\eaglep3\Utilities\RefineRTDCRunTimes.py" --tripid 1824-29 --locoid 4045 --swversion DE.1.0.9.0 --startMP 300:58624 --initTime 2017-04-29T17:38:05 --startdatetime 2017-04-29T17:40:45 --delay 1 --endMP 204:750 --enddatetime 2017-04-29T17:54:21 --enforcementcount 0 &gt;&gt;C:\Users\stu\Documents\GitHub\eaglep3-reporting\EC\2017-04-29-refined-times.txt</v>
      </c>
      <c r="AI183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{"issue":{"subject":"","project_id":79,"tracker_id":40,"status_id":1,"priority_id":2,"assigned_to_id":23,"start_date":"2017-04-29","description":"","custom_fields":[{"id":1,"name":"Subdivision","value":"NW"},{"id":4,"name":"Milepost","value":"0.075"},{"id":17,"name":"Train ID","value":"1824-29"},{"id":16,"name":"Locomotive ID","value":"4045"},{"id":130,"name":"Impact","value":""},{"id":150,"name":"Time of Event (Mountain Time)","value":"17:54:21"},{"id":151,"name":"Denver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51"/>
        <v>start /low /b %USERPROFILE%\Documents\GitHub\eaglep3\Utilities\DownloadLogsFromS3.py --loco 4045 --day 2017-04-29</v>
      </c>
      <c r="AN183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23:54:21"},{"id":29,"name":"Sharepoint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759</v>
      </c>
      <c r="B184" s="7">
        <v>4046</v>
      </c>
      <c r="C184" s="21" t="s">
        <v>212</v>
      </c>
      <c r="D184" s="21" t="s">
        <v>897</v>
      </c>
      <c r="E184" s="13">
        <v>42854.763310185182</v>
      </c>
      <c r="F184" s="13">
        <v>42854.765057870369</v>
      </c>
      <c r="G184" s="7">
        <v>1</v>
      </c>
      <c r="H184" s="21" t="s">
        <v>550</v>
      </c>
      <c r="I184" s="13">
        <v>42854.774097222224</v>
      </c>
      <c r="J184" s="7">
        <v>0</v>
      </c>
      <c r="K184" s="92" t="str">
        <f t="shared" si="53"/>
        <v>4045/4046</v>
      </c>
      <c r="L184" s="21" t="str">
        <f>VLOOKUP(A184,'Trips&amp;Operators'!$C$1:$G$99999,5,FALSE)</f>
        <v>HELVIE ADAM</v>
      </c>
      <c r="M184" s="6">
        <f t="shared" si="54"/>
        <v>9.0393518548808061E-3</v>
      </c>
      <c r="N184" s="7">
        <f t="shared" si="67"/>
        <v>13.016666671028361</v>
      </c>
      <c r="O184" s="7"/>
      <c r="P184" s="7"/>
      <c r="Q184" s="22"/>
      <c r="R184" s="190"/>
      <c r="S184" s="196">
        <f t="shared" si="55"/>
        <v>1</v>
      </c>
      <c r="T184" s="190" t="str">
        <f t="shared" si="56"/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57"/>
        <v>https://d0f6bd738d7f1b3e5a7ca70fe4ff75f0.us-east-1.aws.found.io/app/kibana#/discover/Steve-Slow-Train-Analysis-(2080s-and-2083s)?_g=(refreshInterval:(display:Off,pause:!f,section:0,value:0),time:(from:'2017-04-29T17:19:10-0600',mode:absolute,to:'2017-04-29T19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4" s="192" t="str">
        <f t="shared" si="58"/>
        <v>N</v>
      </c>
      <c r="X184" s="192">
        <f t="shared" si="68"/>
        <v>1</v>
      </c>
      <c r="Y184" s="192">
        <f t="shared" si="59"/>
        <v>0.10340000000000001</v>
      </c>
      <c r="Z184" s="192">
        <f t="shared" si="60"/>
        <v>5.8939000000000004</v>
      </c>
      <c r="AA184" s="192">
        <f t="shared" si="61"/>
        <v>5.7905000000000006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2"/>
        <v>1825-29</v>
      </c>
      <c r="AE184" s="80" t="str">
        <f t="shared" si="63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184" s="77" t="str">
        <f t="shared" si="64"/>
        <v>"C:\Program Files (x86)\AstroGrep\AstroGrep.exe" /e /r /s /spath="%USERPROFILE%\AppData\Local\Temp\OnboardLogs" /stypes="app*4046*20170430*" /stext=" 00:.+((SYSTEM_STATE.+slice.+state.+changed )|(ment ac)|(multiple cpu faults)|(system.+state.+changed )|(\[timeout)|(PRM\|1\|D)|(kpr)|(kdp)|(train.+moving)|(\|lc)|(penalty))"</v>
      </c>
      <c r="AG184" s="1" t="str">
        <f t="shared" si="65"/>
        <v>NW</v>
      </c>
      <c r="AH184" s="81" t="str">
        <f t="shared" si="49"/>
        <v>"%USERPROFILE%\Documents\GitHub\eaglep3\Utilities\RefineRTDCRunTimes.py" --tripid 1825-29 --locoid 4046 --swversion DE.1.0.9.0 --startMP 204:1034 --initTime 2017-04-29T18:19:10 --startdatetime 2017-04-29T18:21:41 --delay 1 --endMP 300:58939 --enddatetime 2017-04-29T18:34:42 --enforcementcount 0 &gt;&gt;C:\Users\stu\Documents\GitHub\eaglep3-reporting\EC\2017-04-29-refined-times.txt</v>
      </c>
      <c r="AI184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{"issue":{"subject":"","project_id":79,"tracker_id":40,"status_id":1,"priority_id":2,"assigned_to_id":23,"start_date":"2017-04-29","description":"","custom_fields":[{"id":1,"name":"Subdivision","value":"NW"},{"id":4,"name":"Milepost","value":"5.8939"},{"id":17,"name":"Train ID","value":"1825-29"},{"id":16,"name":"Locomotive ID","value":"4046"},{"id":130,"name":"Impact","value":""},{"id":150,"name":"Time of Event (Mountain Time)","value":"18:34:42"},{"id":151,"name":"Denver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51"/>
        <v>start /low /b %USERPROFILE%\Documents\GitHub\eaglep3\Utilities\DownloadLogsFromS3.py --loco 4046 --day 2017-04-29</v>
      </c>
      <c r="AN184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00:34:42"},{"id":29,"name":"Sharepoint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762</v>
      </c>
      <c r="B185" s="7">
        <v>4045</v>
      </c>
      <c r="C185" s="21" t="s">
        <v>212</v>
      </c>
      <c r="D185" s="21" t="s">
        <v>899</v>
      </c>
      <c r="E185" s="13">
        <v>42854.775775462964</v>
      </c>
      <c r="F185" s="13">
        <v>42854.778344907405</v>
      </c>
      <c r="G185" s="7">
        <v>1</v>
      </c>
      <c r="H185" s="21" t="s">
        <v>900</v>
      </c>
      <c r="I185" s="13">
        <v>42854.79011574074</v>
      </c>
      <c r="J185" s="7">
        <v>0</v>
      </c>
      <c r="K185" s="92" t="str">
        <f t="shared" si="53"/>
        <v>4045/4046</v>
      </c>
      <c r="L185" s="21" t="str">
        <f>VLOOKUP(A185,'Trips&amp;Operators'!$C$1:$G$99999,5,FALSE)</f>
        <v>HELVIE ADAM</v>
      </c>
      <c r="M185" s="6">
        <f t="shared" si="54"/>
        <v>1.1770833334594499E-2</v>
      </c>
      <c r="N185" s="7">
        <f t="shared" si="67"/>
        <v>16.950000001816079</v>
      </c>
      <c r="O185" s="7"/>
      <c r="P185" s="7"/>
      <c r="Q185" s="22"/>
      <c r="R185" s="190"/>
      <c r="S185" s="196">
        <f t="shared" si="55"/>
        <v>1</v>
      </c>
      <c r="T185" s="190" t="str">
        <f t="shared" si="56"/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57"/>
        <v>https://d0f6bd738d7f1b3e5a7ca70fe4ff75f0.us-east-1.aws.found.io/app/kibana#/discover/Steve-Slow-Train-Analysis-(2080s-and-2083s)?_g=(refreshInterval:(display:Off,pause:!f,section:0,value:0),time:(from:'2017-04-29T17:37:07-0600',mode:absolute,to:'2017-04-29T19:57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5" s="192" t="str">
        <f t="shared" si="58"/>
        <v>N</v>
      </c>
      <c r="X185" s="192">
        <f t="shared" si="68"/>
        <v>1</v>
      </c>
      <c r="Y185" s="192">
        <f t="shared" si="59"/>
        <v>5.8615000000000004</v>
      </c>
      <c r="Z185" s="192">
        <f t="shared" si="60"/>
        <v>7.5700000000000003E-2</v>
      </c>
      <c r="AA185" s="192">
        <f t="shared" si="61"/>
        <v>5.7858000000000001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2"/>
        <v>1826-29</v>
      </c>
      <c r="AE185" s="80" t="str">
        <f t="shared" si="63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185" s="77" t="str">
        <f t="shared" si="64"/>
        <v>"C:\Program Files (x86)\AstroGrep\AstroGrep.exe" /e /r /s /spath="%USERPROFILE%\AppData\Local\Temp\OnboardLogs" /stypes="app*4045*20170430*" /stext=" 00:.+((SYSTEM_STATE.+slice.+state.+changed )|(ment ac)|(multiple cpu faults)|(system.+state.+changed )|(\[timeout)|(PRM\|1\|D)|(kpr)|(kdp)|(train.+moving)|(\|lc)|(penalty))"</v>
      </c>
      <c r="AG185" s="1" t="str">
        <f t="shared" si="65"/>
        <v>NW</v>
      </c>
      <c r="AH185" s="81" t="str">
        <f t="shared" si="49"/>
        <v>"%USERPROFILE%\Documents\GitHub\eaglep3\Utilities\RefineRTDCRunTimes.py" --tripid 1826-29 --locoid 4045 --swversion DE.1.0.9.0 --startMP 300:58615 --initTime 2017-04-29T18:37:07 --startdatetime 2017-04-29T18:40:49 --delay 1 --endMP 204:757 --enddatetime 2017-04-29T18:57:46 --enforcementcount 0 &gt;&gt;C:\Users\stu\Documents\GitHub\eaglep3-reporting\EC\2017-04-29-refined-times.txt</v>
      </c>
      <c r="AI185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{"issue":{"subject":"","project_id":79,"tracker_id":40,"status_id":1,"priority_id":2,"assigned_to_id":23,"start_date":"2017-04-29","description":"","custom_fields":[{"id":1,"name":"Subdivision","value":"NW"},{"id":4,"name":"Milepost","value":"0.0757"},{"id":17,"name":"Train ID","value":"1826-29"},{"id":16,"name":"Locomotive ID","value":"4045"},{"id":130,"name":"Impact","value":""},{"id":150,"name":"Time of Event (Mountain Time)","value":"18:57:46"},{"id":151,"name":"Denver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51"/>
        <v>start /low /b %USERPROFILE%\Documents\GitHub\eaglep3\Utilities\DownloadLogsFromS3.py --loco 4045 --day 2017-04-29</v>
      </c>
      <c r="AN185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00:57:46"},{"id":29,"name":"Sharepoint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771</v>
      </c>
      <c r="B186" s="7">
        <v>4046</v>
      </c>
      <c r="C186" s="21" t="s">
        <v>212</v>
      </c>
      <c r="D186" s="21" t="s">
        <v>901</v>
      </c>
      <c r="E186" s="13">
        <v>42854.80369212963</v>
      </c>
      <c r="F186" s="13">
        <v>42854.806435185186</v>
      </c>
      <c r="G186" s="7">
        <v>1</v>
      </c>
      <c r="H186" s="21" t="s">
        <v>550</v>
      </c>
      <c r="I186" s="13">
        <v>42854.815381944441</v>
      </c>
      <c r="J186" s="7">
        <v>0</v>
      </c>
      <c r="K186" s="92" t="str">
        <f t="shared" si="53"/>
        <v>4045/4046</v>
      </c>
      <c r="L186" s="21" t="str">
        <f>VLOOKUP(A186,'Trips&amp;Operators'!$C$1:$G$99999,5,FALSE)</f>
        <v>HELVIE ADAM</v>
      </c>
      <c r="M186" s="6">
        <f t="shared" si="54"/>
        <v>8.9467592551955022E-3</v>
      </c>
      <c r="N186" s="7">
        <f t="shared" ref="N186:N220" si="69">24*60*SUM($M186:$M186)</f>
        <v>12.883333327481523</v>
      </c>
      <c r="O186" s="7"/>
      <c r="P186" s="7"/>
      <c r="Q186" s="22"/>
      <c r="R186" s="190"/>
      <c r="S186" s="196">
        <f t="shared" si="55"/>
        <v>1</v>
      </c>
      <c r="T186" s="190" t="str">
        <f t="shared" si="56"/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57"/>
        <v>https://d0f6bd738d7f1b3e5a7ca70fe4ff75f0.us-east-1.aws.found.io/app/kibana#/discover/Steve-Slow-Train-Analysis-(2080s-and-2083s)?_g=(refreshInterval:(display:Off,pause:!f,section:0,value:0),time:(from:'2017-04-29T18:17:19-0600',mode:absolute,to:'2017-04-29T20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6" s="192" t="str">
        <f t="shared" si="58"/>
        <v>N</v>
      </c>
      <c r="X186" s="192">
        <f t="shared" si="68"/>
        <v>1</v>
      </c>
      <c r="Y186" s="192">
        <f t="shared" si="59"/>
        <v>0.1042</v>
      </c>
      <c r="Z186" s="192">
        <f t="shared" si="60"/>
        <v>5.8939000000000004</v>
      </c>
      <c r="AA186" s="192">
        <f t="shared" si="61"/>
        <v>5.7897000000000007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2"/>
        <v>1827-29</v>
      </c>
      <c r="AE186" s="80" t="str">
        <f t="shared" si="63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186" s="77" t="str">
        <f t="shared" si="64"/>
        <v>"C:\Program Files (x86)\AstroGrep\AstroGrep.exe" /e /r /s /spath="%USERPROFILE%\AppData\Local\Temp\OnboardLogs" /stypes="app*4046*20170430*" /stext=" 01:.+((SYSTEM_STATE.+slice.+state.+changed )|(ment ac)|(multiple cpu faults)|(system.+state.+changed )|(\[timeout)|(PRM\|1\|D)|(kpr)|(kdp)|(train.+moving)|(\|lc)|(penalty))"</v>
      </c>
      <c r="AG186" s="1" t="str">
        <f t="shared" si="65"/>
        <v>NW</v>
      </c>
      <c r="AH186" s="81" t="str">
        <f t="shared" si="49"/>
        <v>"%USERPROFILE%\Documents\GitHub\eaglep3\Utilities\RefineRTDCRunTimes.py" --tripid 1827-29 --locoid 4046 --swversion DE.1.0.9.0 --startMP 204:1042 --initTime 2017-04-29T19:17:19 --startdatetime 2017-04-29T19:21:16 --delay 1 --endMP 300:58939 --enddatetime 2017-04-29T19:34:09 --enforcementcount 0 &gt;&gt;C:\Users\stu\Documents\GitHub\eaglep3-reporting\EC\2017-04-29-refined-times.txt</v>
      </c>
      <c r="AI186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{"issue":{"subject":"","project_id":79,"tracker_id":40,"status_id":1,"priority_id":2,"assigned_to_id":23,"start_date":"2017-04-29","description":"","custom_fields":[{"id":1,"name":"Subdivision","value":"NW"},{"id":4,"name":"Milepost","value":"5.8939"},{"id":17,"name":"Train ID","value":"1827-29"},{"id":16,"name":"Locomotive ID","value":"4046"},{"id":130,"name":"Impact","value":""},{"id":150,"name":"Time of Event (Mountain Time)","value":"19:34:09"},{"id":151,"name":"Denver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51"/>
        <v>start /low /b %USERPROFILE%\Documents\GitHub\eaglep3\Utilities\DownloadLogsFromS3.py --loco 4046 --day 2017-04-29</v>
      </c>
      <c r="AN186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01:34:09"},{"id":29,"name":"Sharepoint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773</v>
      </c>
      <c r="B187" s="7">
        <v>4045</v>
      </c>
      <c r="C187" s="21" t="s">
        <v>212</v>
      </c>
      <c r="D187" s="21" t="s">
        <v>872</v>
      </c>
      <c r="E187" s="13">
        <v>42854.816874999997</v>
      </c>
      <c r="F187" s="13">
        <v>42854.81994212963</v>
      </c>
      <c r="G187" s="7">
        <v>0</v>
      </c>
      <c r="H187" s="21" t="s">
        <v>902</v>
      </c>
      <c r="I187" s="13">
        <v>42854.830138888887</v>
      </c>
      <c r="J187" s="7">
        <v>0</v>
      </c>
      <c r="K187" s="92" t="str">
        <f t="shared" si="53"/>
        <v>4045/4046</v>
      </c>
      <c r="L187" s="21" t="str">
        <f>VLOOKUP(A187,'Trips&amp;Operators'!$C$1:$G$99999,5,FALSE)</f>
        <v>HELVIE ADAM</v>
      </c>
      <c r="M187" s="6">
        <f t="shared" si="54"/>
        <v>1.0196759256359655E-2</v>
      </c>
      <c r="N187" s="7">
        <f t="shared" si="69"/>
        <v>14.683333329157904</v>
      </c>
      <c r="O187" s="7"/>
      <c r="P187" s="7"/>
      <c r="Q187" s="22"/>
      <c r="R187" s="190"/>
      <c r="S187" s="196">
        <f t="shared" si="55"/>
        <v>1</v>
      </c>
      <c r="T187" s="190" t="str">
        <f t="shared" si="56"/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57"/>
        <v>https://d0f6bd738d7f1b3e5a7ca70fe4ff75f0.us-east-1.aws.found.io/app/kibana#/discover/Steve-Slow-Train-Analysis-(2080s-and-2083s)?_g=(refreshInterval:(display:Off,pause:!f,section:0,value:0),time:(from:'2017-04-29T18:36:18-0600',mode:absolute,to:'2017-04-29T20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7" s="192" t="str">
        <f t="shared" si="58"/>
        <v>N</v>
      </c>
      <c r="X187" s="192">
        <f t="shared" si="68"/>
        <v>1</v>
      </c>
      <c r="Y187" s="192">
        <f t="shared" si="59"/>
        <v>5.8619000000000003</v>
      </c>
      <c r="Z187" s="192">
        <f t="shared" si="60"/>
        <v>7.3300000000000004E-2</v>
      </c>
      <c r="AA187" s="192">
        <f t="shared" si="61"/>
        <v>5.7886000000000006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2"/>
        <v>1828-29</v>
      </c>
      <c r="AE187" s="80" t="str">
        <f t="shared" si="63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187" s="77" t="str">
        <f t="shared" si="64"/>
        <v>"C:\Program Files (x86)\AstroGrep\AstroGrep.exe" /e /r /s /spath="%USERPROFILE%\AppData\Local\Temp\OnboardLogs" /stypes="app*4045*20170430*" /stext=" 01:.+((SYSTEM_STATE.+slice.+state.+changed )|(ment ac)|(multiple cpu faults)|(system.+state.+changed )|(\[timeout)|(PRM\|1\|D)|(kpr)|(kdp)|(train.+moving)|(\|lc)|(penalty))"</v>
      </c>
      <c r="AG187" s="1" t="str">
        <f t="shared" si="65"/>
        <v>NW</v>
      </c>
      <c r="AH187" s="81" t="str">
        <f t="shared" si="49"/>
        <v>"%USERPROFILE%\Documents\GitHub\eaglep3\Utilities\RefineRTDCRunTimes.py" --tripid 1828-29 --locoid 4045 --swversion DE.1.0.9.0 --startMP 300:58619 --initTime 2017-04-29T19:36:18 --startdatetime 2017-04-29T19:40:43 --delay 0 --endMP 204:733 --enddatetime 2017-04-29T19:55:24 --enforcementcount 0 &gt;&gt;C:\Users\stu\Documents\GitHub\eaglep3-reporting\EC\2017-04-29-refined-times.txt</v>
      </c>
      <c r="AI187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{"issue":{"subject":"","project_id":79,"tracker_id":40,"status_id":1,"priority_id":2,"assigned_to_id":23,"start_date":"2017-04-29","description":"","custom_fields":[{"id":1,"name":"Subdivision","value":"NW"},{"id":4,"name":"Milepost","value":"0.0733"},{"id":17,"name":"Train ID","value":"1828-29"},{"id":16,"name":"Locomotive ID","value":"4045"},{"id":130,"name":"Impact","value":""},{"id":150,"name":"Time of Event (Mountain Time)","value":"19:55:24"},{"id":151,"name":"Denver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51"/>
        <v>start /low /b %USERPROFILE%\Documents\GitHub\eaglep3\Utilities\DownloadLogsFromS3.py --loco 4045 --day 2017-04-29</v>
      </c>
      <c r="AN187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01:55:24"},{"id":29,"name":"Sharepoint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778</v>
      </c>
      <c r="B188" s="7">
        <v>4046</v>
      </c>
      <c r="C188" s="21" t="s">
        <v>212</v>
      </c>
      <c r="D188" s="21" t="s">
        <v>903</v>
      </c>
      <c r="E188" s="13">
        <v>42854.846956018519</v>
      </c>
      <c r="F188" s="13">
        <v>42854.848645833335</v>
      </c>
      <c r="G188" s="7">
        <v>1</v>
      </c>
      <c r="H188" s="21" t="s">
        <v>904</v>
      </c>
      <c r="I188" s="13">
        <v>42854.857407407406</v>
      </c>
      <c r="J188" s="7">
        <v>0</v>
      </c>
      <c r="K188" s="92" t="str">
        <f t="shared" si="53"/>
        <v>4045/4046</v>
      </c>
      <c r="L188" s="21" t="str">
        <f>VLOOKUP(A188,'Trips&amp;Operators'!$C$1:$G$99999,5,FALSE)</f>
        <v>HELVIE ADAM</v>
      </c>
      <c r="M188" s="6">
        <f t="shared" si="54"/>
        <v>8.7615740703768097E-3</v>
      </c>
      <c r="N188" s="7">
        <f t="shared" si="69"/>
        <v>12.616666661342606</v>
      </c>
      <c r="O188" s="7"/>
      <c r="P188" s="7"/>
      <c r="Q188" s="22"/>
      <c r="R188" s="190"/>
      <c r="S188" s="196">
        <f t="shared" si="55"/>
        <v>1</v>
      </c>
      <c r="T188" s="190" t="str">
        <f t="shared" si="56"/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57"/>
        <v>https://d0f6bd738d7f1b3e5a7ca70fe4ff75f0.us-east-1.aws.found.io/app/kibana#/discover/Steve-Slow-Train-Analysis-(2080s-and-2083s)?_g=(refreshInterval:(display:Off,pause:!f,section:0,value:0),time:(from:'2017-04-29T19:19:37-0600',mode:absolute,to:'2017-04-29T21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8" s="192" t="str">
        <f t="shared" si="58"/>
        <v>N</v>
      </c>
      <c r="X188" s="192">
        <f t="shared" si="68"/>
        <v>1</v>
      </c>
      <c r="Y188" s="192">
        <f t="shared" si="59"/>
        <v>0.10349999999999999</v>
      </c>
      <c r="Z188" s="192">
        <f t="shared" si="60"/>
        <v>5.8935000000000004</v>
      </c>
      <c r="AA188" s="192">
        <f t="shared" si="61"/>
        <v>5.79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2"/>
        <v>1829-29</v>
      </c>
      <c r="AE188" s="80" t="str">
        <f t="shared" si="63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188" s="77" t="str">
        <f t="shared" si="64"/>
        <v>"C:\Program Files (x86)\AstroGrep\AstroGrep.exe" /e /r /s /spath="%USERPROFILE%\AppData\Local\Temp\OnboardLogs" /stypes="app*4046*20170430*" /stext=" 02:.+((SYSTEM_STATE.+slice.+state.+changed )|(ment ac)|(multiple cpu faults)|(system.+state.+changed )|(\[timeout)|(PRM\|1\|D)|(kpr)|(kdp)|(train.+moving)|(\|lc)|(penalty))"</v>
      </c>
      <c r="AG188" s="1" t="str">
        <f t="shared" si="65"/>
        <v>NW</v>
      </c>
      <c r="AH188" s="81" t="str">
        <f t="shared" si="49"/>
        <v>"%USERPROFILE%\Documents\GitHub\eaglep3\Utilities\RefineRTDCRunTimes.py" --tripid 1829-29 --locoid 4046 --swversion DE.1.0.9.0 --startMP 204:1035 --initTime 2017-04-29T20:19:37 --startdatetime 2017-04-29T20:22:03 --delay 1 --endMP 300:58935 --enddatetime 2017-04-29T20:34:40 --enforcementcount 0 &gt;&gt;C:\Users\stu\Documents\GitHub\eaglep3-reporting\EC\2017-04-29-refined-times.txt</v>
      </c>
      <c r="AI188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{"issue":{"subject":"","project_id":79,"tracker_id":40,"status_id":1,"priority_id":2,"assigned_to_id":23,"start_date":"2017-04-29","description":"","custom_fields":[{"id":1,"name":"Subdivision","value":"NW"},{"id":4,"name":"Milepost","value":"5.8935"},{"id":17,"name":"Train ID","value":"1829-29"},{"id":16,"name":"Locomotive ID","value":"4046"},{"id":130,"name":"Impact","value":""},{"id":150,"name":"Time of Event (Mountain Time)","value":"20:34:40"},{"id":151,"name":"Denver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51"/>
        <v>start /low /b %USERPROFILE%\Documents\GitHub\eaglep3\Utilities\DownloadLogsFromS3.py --loco 4046 --day 2017-04-29</v>
      </c>
      <c r="AN188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02:34:40"},{"id":29,"name":"Sharepoint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779</v>
      </c>
      <c r="B189" s="7">
        <v>4045</v>
      </c>
      <c r="C189" s="21" t="s">
        <v>212</v>
      </c>
      <c r="D189" s="21" t="s">
        <v>907</v>
      </c>
      <c r="E189" s="13">
        <v>42854.858599537038</v>
      </c>
      <c r="F189" s="13">
        <v>42854.86173611111</v>
      </c>
      <c r="G189" s="7">
        <v>1</v>
      </c>
      <c r="H189" s="21" t="s">
        <v>896</v>
      </c>
      <c r="I189" s="13">
        <v>42854.871157407404</v>
      </c>
      <c r="J189" s="7">
        <v>0</v>
      </c>
      <c r="K189" s="92" t="str">
        <f t="shared" si="53"/>
        <v>4045/4046</v>
      </c>
      <c r="L189" s="21" t="str">
        <f>VLOOKUP(A189,'Trips&amp;Operators'!$C$1:$G$99999,5,FALSE)</f>
        <v>HELVIE ADAM</v>
      </c>
      <c r="M189" s="6">
        <f t="shared" si="54"/>
        <v>9.4212962940218858E-3</v>
      </c>
      <c r="N189" s="7">
        <f t="shared" si="69"/>
        <v>13.566666663391516</v>
      </c>
      <c r="O189" s="7"/>
      <c r="P189" s="7"/>
      <c r="Q189" s="22"/>
      <c r="R189" s="190"/>
      <c r="S189" s="196">
        <f t="shared" si="55"/>
        <v>1</v>
      </c>
      <c r="T189" s="190" t="str">
        <f t="shared" si="56"/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57"/>
        <v>https://d0f6bd738d7f1b3e5a7ca70fe4ff75f0.us-east-1.aws.found.io/app/kibana#/discover/Steve-Slow-Train-Analysis-(2080s-and-2083s)?_g=(refreshInterval:(display:Off,pause:!f,section:0,value:0),time:(from:'2017-04-29T19:36:23-0600',mode:absolute,to:'2017-04-29T21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9" s="192" t="str">
        <f t="shared" si="58"/>
        <v>N</v>
      </c>
      <c r="X189" s="192">
        <f t="shared" si="68"/>
        <v>1</v>
      </c>
      <c r="Y189" s="192">
        <f t="shared" si="59"/>
        <v>5.8628</v>
      </c>
      <c r="Z189" s="192">
        <f t="shared" si="60"/>
        <v>7.4300000000000005E-2</v>
      </c>
      <c r="AA189" s="192">
        <f t="shared" si="61"/>
        <v>5.7885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2"/>
        <v>1830-29</v>
      </c>
      <c r="AE189" s="80" t="str">
        <f t="shared" si="63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189" s="77" t="str">
        <f t="shared" si="64"/>
        <v>"C:\Program Files (x86)\AstroGrep\AstroGrep.exe" /e /r /s /spath="%USERPROFILE%\AppData\Local\Temp\OnboardLogs" /stypes="app*4045*20170430*" /stext=" 02:.+((SYSTEM_STATE.+slice.+state.+changed )|(ment ac)|(multiple cpu faults)|(system.+state.+changed )|(\[timeout)|(PRM\|1\|D)|(kpr)|(kdp)|(train.+moving)|(\|lc)|(penalty))"</v>
      </c>
      <c r="AG189" s="1" t="str">
        <f t="shared" si="65"/>
        <v>NW</v>
      </c>
      <c r="AH189" s="81" t="str">
        <f t="shared" si="49"/>
        <v>"%USERPROFILE%\Documents\GitHub\eaglep3\Utilities\RefineRTDCRunTimes.py" --tripid 1830-29 --locoid 4045 --swversion DE.1.0.9.0 --startMP 300:58628 --initTime 2017-04-29T20:36:23 --startdatetime 2017-04-29T20:40:54 --delay 1 --endMP 204:743 --enddatetime 2017-04-29T20:54:28 --enforcementcount 0 &gt;&gt;C:\Users\stu\Documents\GitHub\eaglep3-reporting\EC\2017-04-29-refined-times.txt</v>
      </c>
      <c r="AI189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{"issue":{"subject":"","project_id":79,"tracker_id":40,"status_id":1,"priority_id":2,"assigned_to_id":23,"start_date":"2017-04-29","description":"","custom_fields":[{"id":1,"name":"Subdivision","value":"NW"},{"id":4,"name":"Milepost","value":"0.0743"},{"id":17,"name":"Train ID","value":"1830-29"},{"id":16,"name":"Locomotive ID","value":"4045"},{"id":130,"name":"Impact","value":""},{"id":150,"name":"Time of Event (Mountain Time)","value":"20:54:28"},{"id":151,"name":"Denver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51"/>
        <v>start /low /b %USERPROFILE%\Documents\GitHub\eaglep3\Utilities\DownloadLogsFromS3.py --loco 4045 --day 2017-04-29</v>
      </c>
      <c r="AN189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02:54:28"},{"id":29,"name":"Sharepoint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786</v>
      </c>
      <c r="B190" s="7">
        <v>4046</v>
      </c>
      <c r="C190" s="21" t="s">
        <v>212</v>
      </c>
      <c r="D190" s="21" t="s">
        <v>908</v>
      </c>
      <c r="E190" s="13">
        <v>42854.888182870367</v>
      </c>
      <c r="F190" s="13">
        <v>42854.889837962961</v>
      </c>
      <c r="G190" s="7">
        <v>1</v>
      </c>
      <c r="H190" s="21" t="s">
        <v>550</v>
      </c>
      <c r="I190" s="13">
        <v>42854.899085648147</v>
      </c>
      <c r="J190" s="7">
        <v>0</v>
      </c>
      <c r="K190" s="92" t="str">
        <f t="shared" si="53"/>
        <v>4045/4046</v>
      </c>
      <c r="L190" s="21" t="str">
        <f>VLOOKUP(A190,'Trips&amp;Operators'!$C$1:$G$99999,5,FALSE)</f>
        <v>HELVIE ADAM</v>
      </c>
      <c r="M190" s="6">
        <f t="shared" si="54"/>
        <v>9.2476851859828457E-3</v>
      </c>
      <c r="N190" s="7">
        <f t="shared" si="69"/>
        <v>13.316666667815298</v>
      </c>
      <c r="O190" s="7"/>
      <c r="P190" s="7"/>
      <c r="Q190" s="22"/>
      <c r="R190" s="190"/>
      <c r="S190" s="196">
        <f t="shared" si="55"/>
        <v>1</v>
      </c>
      <c r="T190" s="190" t="str">
        <f t="shared" si="56"/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57"/>
        <v>https://d0f6bd738d7f1b3e5a7ca70fe4ff75f0.us-east-1.aws.found.io/app/kibana#/discover/Steve-Slow-Train-Analysis-(2080s-and-2083s)?_g=(refreshInterval:(display:Off,pause:!f,section:0,value:0),time:(from:'2017-04-29T20:18:59-0600',mode:absolute,to:'2017-04-29T22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0" s="192" t="str">
        <f t="shared" si="58"/>
        <v>N</v>
      </c>
      <c r="X190" s="192">
        <f t="shared" si="68"/>
        <v>1</v>
      </c>
      <c r="Y190" s="192">
        <f t="shared" si="59"/>
        <v>0.1041</v>
      </c>
      <c r="Z190" s="192">
        <f t="shared" si="60"/>
        <v>5.8939000000000004</v>
      </c>
      <c r="AA190" s="192">
        <f t="shared" si="61"/>
        <v>5.7898000000000005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2"/>
        <v>1831-29</v>
      </c>
      <c r="AE190" s="80" t="str">
        <f t="shared" si="63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190" s="77" t="str">
        <f t="shared" si="64"/>
        <v>"C:\Program Files (x86)\AstroGrep\AstroGrep.exe" /e /r /s /spath="%USERPROFILE%\AppData\Local\Temp\OnboardLogs" /stypes="app*4046*20170430*" /stext=" 03:.+((SYSTEM_STATE.+slice.+state.+changed )|(ment ac)|(multiple cpu faults)|(system.+state.+changed )|(\[timeout)|(PRM\|1\|D)|(kpr)|(kdp)|(train.+moving)|(\|lc)|(penalty))"</v>
      </c>
      <c r="AG190" s="1" t="str">
        <f t="shared" si="65"/>
        <v>NW</v>
      </c>
      <c r="AH190" s="81" t="str">
        <f t="shared" si="49"/>
        <v>"%USERPROFILE%\Documents\GitHub\eaglep3\Utilities\RefineRTDCRunTimes.py" --tripid 1831-29 --locoid 4046 --swversion DE.1.0.9.0 --startMP 204:1041 --initTime 2017-04-29T21:18:59 --startdatetime 2017-04-29T21:21:22 --delay 1 --endMP 300:58939 --enddatetime 2017-04-29T21:34:41 --enforcementcount 0 &gt;&gt;C:\Users\stu\Documents\GitHub\eaglep3-reporting\EC\2017-04-29-refined-times.txt</v>
      </c>
      <c r="AI190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{"issue":{"subject":"","project_id":79,"tracker_id":40,"status_id":1,"priority_id":2,"assigned_to_id":23,"start_date":"2017-04-29","description":"","custom_fields":[{"id":1,"name":"Subdivision","value":"NW"},{"id":4,"name":"Milepost","value":"5.8939"},{"id":17,"name":"Train ID","value":"1831-29"},{"id":16,"name":"Locomotive ID","value":"4046"},{"id":130,"name":"Impact","value":""},{"id":150,"name":"Time of Event (Mountain Time)","value":"21:34:41"},{"id":151,"name":"Denver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51"/>
        <v>start /low /b %USERPROFILE%\Documents\GitHub\eaglep3\Utilities\DownloadLogsFromS3.py --loco 4046 --day 2017-04-29</v>
      </c>
      <c r="AN190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03:34:41"},{"id":29,"name":"Sharepoint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788</v>
      </c>
      <c r="B191" s="7">
        <v>4045</v>
      </c>
      <c r="C191" s="21" t="s">
        <v>212</v>
      </c>
      <c r="D191" s="21" t="s">
        <v>907</v>
      </c>
      <c r="E191" s="13">
        <v>42854.900439814817</v>
      </c>
      <c r="F191" s="13">
        <v>42854.903402777774</v>
      </c>
      <c r="G191" s="7">
        <v>1</v>
      </c>
      <c r="H191" s="21" t="s">
        <v>909</v>
      </c>
      <c r="I191" s="13">
        <v>42854.912615740737</v>
      </c>
      <c r="J191" s="7">
        <v>0</v>
      </c>
      <c r="K191" s="92" t="str">
        <f t="shared" si="53"/>
        <v>4045/4046</v>
      </c>
      <c r="L191" s="21" t="str">
        <f>VLOOKUP(A191,'Trips&amp;Operators'!$C$1:$G$99999,5,FALSE)</f>
        <v>HELVIE ADAM</v>
      </c>
      <c r="M191" s="6">
        <f t="shared" si="54"/>
        <v>9.2129629629198462E-3</v>
      </c>
      <c r="N191" s="7">
        <f t="shared" si="69"/>
        <v>13.266666666604578</v>
      </c>
      <c r="O191" s="7"/>
      <c r="P191" s="7"/>
      <c r="Q191" s="22"/>
      <c r="R191" s="190"/>
      <c r="S191" s="196">
        <f t="shared" si="55"/>
        <v>1</v>
      </c>
      <c r="T191" s="190" t="str">
        <f t="shared" si="56"/>
        <v>Southbound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57"/>
        <v>https://d0f6bd738d7f1b3e5a7ca70fe4ff75f0.us-east-1.aws.found.io/app/kibana#/discover/Steve-Slow-Train-Analysis-(2080s-and-2083s)?_g=(refreshInterval:(display:Off,pause:!f,section:0,value:0),time:(from:'2017-04-29T20:36:38-0600',mode:absolute,to:'2017-04-29T22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1" s="192" t="str">
        <f t="shared" si="58"/>
        <v>N</v>
      </c>
      <c r="X191" s="192">
        <f t="shared" si="68"/>
        <v>1</v>
      </c>
      <c r="Y191" s="192">
        <f t="shared" si="59"/>
        <v>5.8628</v>
      </c>
      <c r="Z191" s="192">
        <f t="shared" si="60"/>
        <v>7.8E-2</v>
      </c>
      <c r="AA191" s="192">
        <f t="shared" si="61"/>
        <v>5.7847999999999997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2"/>
        <v>1832-29</v>
      </c>
      <c r="AE191" s="80" t="str">
        <f t="shared" si="63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191" s="77" t="str">
        <f t="shared" si="64"/>
        <v>"C:\Program Files (x86)\AstroGrep\AstroGrep.exe" /e /r /s /spath="%USERPROFILE%\AppData\Local\Temp\OnboardLogs" /stypes="app*4045*20170430*" /stext=" 03:.+((SYSTEM_STATE.+slice.+state.+changed )|(ment ac)|(multiple cpu faults)|(system.+state.+changed )|(\[timeout)|(PRM\|1\|D)|(kpr)|(kdp)|(train.+moving)|(\|lc)|(penalty))"</v>
      </c>
      <c r="AG191" s="1" t="str">
        <f t="shared" si="65"/>
        <v>NW</v>
      </c>
      <c r="AH191" s="81" t="str">
        <f t="shared" si="49"/>
        <v>"%USERPROFILE%\Documents\GitHub\eaglep3\Utilities\RefineRTDCRunTimes.py" --tripid 1832-29 --locoid 4045 --swversion DE.1.0.9.0 --startMP 300:58628 --initTime 2017-04-29T21:36:38 --startdatetime 2017-04-29T21:40:54 --delay 1 --endMP 204:780 --enddatetime 2017-04-29T21:54:10 --enforcementcount 0 &gt;&gt;C:\Users\stu\Documents\GitHub\eaglep3-reporting\EC\2017-04-29-refined-times.txt</v>
      </c>
      <c r="AI191" s="99" t="str">
        <f t="shared" si="50"/>
        <v>echo {"issue":{"subject":"","project_id":79,"tracker_id":40,"status_id":1,"priority_id":2,"assigned_to_id":23,"start_date":"2017-04-29","description":"","custom_fields":[{"id":1,"name":"Subdivision","value":"NW"},{"id":4,"name":"Milepost","value":"0.078"},{"id":17,"name":"Train ID","value":"1832-29"},{"id":16,"name":"Locomotive ID","value":"4045"},{"id":130,"name":"Impact","value":""},{"id":150,"name":"Time of Event (Mountain Time)","value":"21:54:10"},{"id":151,"name":"Denver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51"/>
        <v>start /low /b %USERPROFILE%\Documents\GitHub\eaglep3\Utilities\DownloadLogsFromS3.py --loco 4045 --day 2017-04-29</v>
      </c>
      <c r="AN191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03:54:10"},{"id":29,"name":"Sharepoint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s="20" customFormat="1" x14ac:dyDescent="0.25">
      <c r="A192" s="32" t="s">
        <v>596</v>
      </c>
      <c r="B192" s="7">
        <v>4046</v>
      </c>
      <c r="C192" s="21" t="s">
        <v>212</v>
      </c>
      <c r="D192" s="21" t="s">
        <v>910</v>
      </c>
      <c r="E192" s="13">
        <v>42854.931562500002</v>
      </c>
      <c r="F192" s="13">
        <v>42854.932858796295</v>
      </c>
      <c r="G192" s="7">
        <v>1</v>
      </c>
      <c r="H192" s="21" t="s">
        <v>904</v>
      </c>
      <c r="I192" s="13">
        <v>42854.941678240742</v>
      </c>
      <c r="J192" s="7">
        <v>0</v>
      </c>
      <c r="K192" s="92" t="str">
        <f t="shared" si="53"/>
        <v>4045/4046</v>
      </c>
      <c r="L192" s="21" t="str">
        <f>VLOOKUP(A192,'Trips&amp;Operators'!$C$1:$G$99999,5,FALSE)</f>
        <v>HELVIE ADAM</v>
      </c>
      <c r="M192" s="6">
        <f t="shared" si="54"/>
        <v>8.819444446999114E-3</v>
      </c>
      <c r="N192" s="7">
        <f t="shared" si="69"/>
        <v>12.700000003678724</v>
      </c>
      <c r="O192" s="7"/>
      <c r="P192" s="7"/>
      <c r="Q192" s="22"/>
      <c r="R192" s="190" t="s">
        <v>1032</v>
      </c>
      <c r="S192" s="196">
        <f t="shared" si="55"/>
        <v>1</v>
      </c>
      <c r="T192" s="190" t="str">
        <f t="shared" si="56"/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57"/>
        <v>https://d0f6bd738d7f1b3e5a7ca70fe4ff75f0.us-east-1.aws.found.io/app/kibana#/discover/Steve-Slow-Train-Analysis-(2080s-and-2083s)?_g=(refreshInterval:(display:Off,pause:!f,section:0,value:0),time:(from:'2017-04-29T21:21:27-0600',mode:absolute,to:'2017-04-29T23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2" s="192" t="str">
        <f t="shared" si="58"/>
        <v>N</v>
      </c>
      <c r="X192" s="192">
        <f t="shared" si="68"/>
        <v>1</v>
      </c>
      <c r="Y192" s="192">
        <f t="shared" si="59"/>
        <v>0.11070000000000001</v>
      </c>
      <c r="Z192" s="192">
        <f t="shared" si="60"/>
        <v>5.8935000000000004</v>
      </c>
      <c r="AA192" s="192">
        <f t="shared" si="61"/>
        <v>5.7828000000000008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2"/>
        <v>1833-29</v>
      </c>
      <c r="AE192" s="80" t="str">
        <f t="shared" si="63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192" s="77" t="str">
        <f t="shared" si="64"/>
        <v>"C:\Program Files (x86)\AstroGrep\AstroGrep.exe" /e /r /s /spath="%USERPROFILE%\AppData\Local\Temp\OnboardLogs" /stypes="app*4046*20170430*" /stext=" 04:.+((SYSTEM_STATE.+slice.+state.+changed )|(ment ac)|(multiple cpu faults)|(system.+state.+changed )|(\[timeout)|(PRM\|1\|D)|(kpr)|(kdp)|(train.+moving)|(\|lc)|(penalty))"</v>
      </c>
      <c r="AG192" s="1" t="str">
        <f t="shared" si="65"/>
        <v>NW</v>
      </c>
      <c r="AH192" s="81" t="str">
        <f t="shared" si="49"/>
        <v>"%USERPROFILE%\Documents\GitHub\eaglep3\Utilities\RefineRTDCRunTimes.py" --tripid 1833-29 --locoid 4046 --swversion DE.1.0.9.0 --startMP 204:1107 --initTime 2017-04-29T22:21:27 --startdatetime 2017-04-29T22:23:19 --delay 1 --endMP 300:58935 --enddatetime 2017-04-29T22:36:01 --enforcementcount 0 &gt;&gt;C:\Users\stu\Documents\GitHub\eaglep3-reporting\EC\2017-04-29-refined-times.txt</v>
      </c>
      <c r="AI192" s="99" t="str">
        <f t="shared" si="50"/>
        <v>echo {"issue":{"subject":"CCROC/crew/equipment mismatch","project_id":79,"tracker_id":40,"status_id":1,"priority_id":2,"assigned_to_id":23,"start_date":"2017-04-29","description":"","custom_fields":[{"id":1,"name":"Subdivision","value":"NW"},{"id":4,"name":"Milepost","value":"5.8935"},{"id":17,"name":"Train ID","value":"1833-29"},{"id":16,"name":"Locomotive ID","value":"4046"},{"id":130,"name":"Impact","value":""},{"id":150,"name":"Time of Event (Mountain Time)","value":"22:36:01"},{"id":151,"name":"Denver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5" t="str">
        <f t="shared" si="51"/>
        <v>start /low /b %USERPROFILE%\Documents\GitHub\eaglep3\Utilities\DownloadLogsFromS3.py --loco 4046 --day 2017-04-29</v>
      </c>
      <c r="AN192" s="154" t="str">
        <f t="shared" si="52"/>
        <v>echo {"issue":{"subject":"CCROC/crew/equipment mismatch","project_id":30,"tracker_id":4,"status_id":1,"priority_id":1,"assigned_to_id":10,"start_date":"2017-04-30","description":"","custom_fields":[{"id":30,"name":"Category","value":"Issue"},{"id":3,"name":"Functional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04:36:01"},{"id":29,"name":"Sharepoint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615</v>
      </c>
      <c r="B193" s="7">
        <v>4009</v>
      </c>
      <c r="C193" s="21" t="s">
        <v>212</v>
      </c>
      <c r="D193" s="21" t="s">
        <v>951</v>
      </c>
      <c r="E193" s="13">
        <v>42854.116493055553</v>
      </c>
      <c r="F193" s="13">
        <v>42854.121180555558</v>
      </c>
      <c r="G193" s="7">
        <v>6</v>
      </c>
      <c r="H193" s="21" t="s">
        <v>209</v>
      </c>
      <c r="I193" s="13">
        <v>42854.12777777778</v>
      </c>
      <c r="J193" s="7">
        <v>0</v>
      </c>
      <c r="K193" s="92" t="str">
        <f t="shared" si="53"/>
        <v>4009/4010</v>
      </c>
      <c r="L193" s="21" t="str">
        <f>VLOOKUP(A193,'Trips&amp;Operators'!$C$1:$G$99999,5,FALSE)</f>
        <v>COOLAHAN JOHN</v>
      </c>
      <c r="M193" s="6">
        <f t="shared" si="54"/>
        <v>6.5972222218988463E-3</v>
      </c>
      <c r="N193" s="7">
        <f t="shared" si="69"/>
        <v>9.4999999995343387</v>
      </c>
      <c r="O193" s="7"/>
      <c r="P193" s="7"/>
      <c r="Q193" s="22"/>
      <c r="R193" s="190"/>
      <c r="S193" s="196">
        <f t="shared" si="55"/>
        <v>1</v>
      </c>
      <c r="T193" s="190" t="str">
        <f t="shared" si="56"/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57"/>
        <v>https://d0f6bd738d7f1b3e5a7ca70fe4ff75f0.us-east-1.aws.found.io/app/kibana#/discover/Steve-Slow-Train-Analysis-(2080s-and-2083s)?_g=(refreshInterval:(display:Off,pause:!f,section:0,value:0),time:(from:'2017-04-29T01:47:45-0600',mode:absolute,to:'2017-04-29T04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3" s="192" t="str">
        <f t="shared" si="58"/>
        <v>Y</v>
      </c>
      <c r="X193" s="192">
        <f t="shared" si="68"/>
        <v>-1531</v>
      </c>
      <c r="Y193" s="192">
        <f t="shared" si="59"/>
        <v>2.3538000000000001</v>
      </c>
      <c r="Z193" s="192">
        <f t="shared" si="60"/>
        <v>1.47E-2</v>
      </c>
      <c r="AA193" s="192">
        <f t="shared" si="61"/>
        <v>2.3391000000000002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2"/>
        <v>0302-29</v>
      </c>
      <c r="AE193" s="80" t="str">
        <f t="shared" si="63"/>
        <v>aws s3 cp s3://rtdc.mdm.uploadarchive.raw/RTDC4009/ "%USERPROFILE%\AppData\Local\Temp\OnboardLogs"\RTDC4009\2017-04-29 --exclude "*" --recursive --include "*20170429*" &amp; "%USERPROFILE%\Documents\GitHub\mrs-test-scripts\Headless Mode &amp; Sideloading\WalkAndUnGZ.bat" "%USERPROFILE%\AppData\Local\Temp\OnboardLogs"\RTDC4009\2017-04-29 &amp; aws s3 cp s3://rtdc.mdm.uploadarchive.raw/RTDC4009/ "%USERPROFILE%\AppData\Local\Temp\OnboardLogs"\RTDC4009\2017-04-30 --exclude "*" --recursive --include "*20170430*" &amp; "%USERPROFILE%\Documents\GitHub\mrs-test-scripts\Headless Mode &amp; Sideloading\WalkAndUnGZ.bat" "%USERPROFILE%\AppData\Local\Temp\OnboardLogs"\RTDC4009\2017-04-30</v>
      </c>
      <c r="AF193" s="77" t="str">
        <f t="shared" si="64"/>
        <v>"C:\Program Files (x86)\AstroGrep\AstroGrep.exe" /e /r /s /spath="%USERPROFILE%\AppData\Local\Temp\OnboardLogs" /stypes="app*4009*20170429*" /stext=" 09:.+((SYSTEM_STATE.+slice.+state.+changed )|(ment ac)|(multiple cpu faults)|(system.+state.+changed )|(\[timeout)|(PRM\|1\|D)|(kpr)|(kdp)|(train.+moving)|(\|lc)|(penalty))"</v>
      </c>
      <c r="AG193" s="1" t="str">
        <f t="shared" si="65"/>
        <v>Other</v>
      </c>
      <c r="AH193" s="81" t="str">
        <f t="shared" si="49"/>
        <v>"%USERPROFILE%\Documents\GitHub\eaglep3\Utilities\RefineRTDCRunTimes.py" --tripid 302-29 --locoid 4009 --swversion DE.1.0.9.0 --startMP 300:23538 --initTime 2017-04-29T02:47:45 --startdatetime 2017-04-29T02:54:30 --delay 6 --endMP 204:147 --enddatetime 2017-04-29T03:04:00 --enforcementcount 0 &gt;&gt;C:\Users\stu\Documents\GitHub\eaglep3-reporting\EC\2017-04-29-refined-times.txt</v>
      </c>
      <c r="AI193" s="99" t="str">
        <f t="shared" si="50"/>
        <v>echo {"issue":{"subject":"","project_id":79,"tracker_id":40,"status_id":1,"priority_id":2,"assigned_to_id":23,"start_date":"2017-04-29","description":"","custom_fields":[{"id":1,"name":"Subdivision","value":"Other"},{"id":4,"name":"Milepost","value":"0.0147"},{"id":17,"name":"Train ID","value":"302-29"},{"id":16,"name":"Locomotive ID","value":"4009"},{"id":130,"name":"Impact","value":""},{"id":150,"name":"Time of Event (Mountain Time)","value":"03:04:00"},{"id":151,"name":"Denver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5" t="str">
        <f t="shared" si="51"/>
        <v>start /low /b %USERPROFILE%\Documents\GitHub\eaglep3\Utilities\DownloadLogsFromS3.py --loco 4009 --day 2017-04-29</v>
      </c>
      <c r="AN193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09:04:00"},{"id":29,"name":"Sharepoint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617</v>
      </c>
      <c r="B194" s="7">
        <v>4025</v>
      </c>
      <c r="C194" s="21" t="s">
        <v>212</v>
      </c>
      <c r="D194" s="21" t="s">
        <v>952</v>
      </c>
      <c r="E194" s="13">
        <v>42854.13658564815</v>
      </c>
      <c r="F194" s="13">
        <v>42854.139108796298</v>
      </c>
      <c r="G194" s="7">
        <v>3</v>
      </c>
      <c r="H194" s="21" t="s">
        <v>209</v>
      </c>
      <c r="I194" s="13">
        <v>42854.145648148151</v>
      </c>
      <c r="J194" s="7">
        <v>0</v>
      </c>
      <c r="K194" s="92" t="str">
        <f t="shared" si="53"/>
        <v>4025/4026</v>
      </c>
      <c r="L194" s="21" t="str">
        <f>VLOOKUP(A194,'Trips&amp;Operators'!$C$1:$G$99999,5,FALSE)</f>
        <v>ROBINSON KADDIBA</v>
      </c>
      <c r="M194" s="6">
        <f t="shared" si="54"/>
        <v>6.5393518525524996E-3</v>
      </c>
      <c r="N194" s="7">
        <f t="shared" si="69"/>
        <v>9.4166666676755995</v>
      </c>
      <c r="O194" s="7"/>
      <c r="P194" s="7"/>
      <c r="Q194" s="22"/>
      <c r="R194" s="190"/>
      <c r="S194" s="196">
        <f t="shared" si="55"/>
        <v>1</v>
      </c>
      <c r="T194" s="190" t="str">
        <f t="shared" si="56"/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57"/>
        <v>https://d0f6bd738d7f1b3e5a7ca70fe4ff75f0.us-east-1.aws.found.io/app/kibana#/discover/Steve-Slow-Train-Analysis-(2080s-and-2083s)?_g=(refreshInterval:(display:Off,pause:!f,section:0,value:0),time:(from:'2017-04-29T02:16:41-0600',mode:absolute,to:'2017-04-29T04:29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4" s="192" t="str">
        <f t="shared" si="58"/>
        <v>Y</v>
      </c>
      <c r="X194" s="192">
        <f t="shared" si="68"/>
        <v>2</v>
      </c>
      <c r="Y194" s="192">
        <f t="shared" si="59"/>
        <v>2.3773</v>
      </c>
      <c r="Z194" s="192">
        <f t="shared" si="60"/>
        <v>1.47E-2</v>
      </c>
      <c r="AA194" s="192">
        <f t="shared" si="61"/>
        <v>2.3626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2"/>
        <v>0304-29</v>
      </c>
      <c r="AE194" s="80" t="str">
        <f t="shared" si="63"/>
        <v>aws s3 cp s3://rtdc.mdm.uploadarchive.raw/RTDC4025/ "%USERPROFILE%\AppData\Local\Temp\OnboardLogs"\RTDC4025\2017-04-29 --exclude "*" --recursive --include "*20170429*" &amp; "%USERPROFILE%\Documents\GitHub\mrs-test-scripts\Headless Mode &amp; Sideloading\WalkAndUnGZ.bat" "%USERPROFILE%\AppData\Local\Temp\OnboardLogs"\RTDC4025\2017-04-29 &amp; 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</v>
      </c>
      <c r="AF194" s="77" t="str">
        <f t="shared" si="64"/>
        <v>"C:\Program Files (x86)\AstroGrep\AstroGrep.exe" /e /r /s /spath="%USERPROFILE%\AppData\Local\Temp\OnboardLogs" /stypes="app*4025*20170429*" /stext=" 09:.+((SYSTEM_STATE.+slice.+state.+changed )|(ment ac)|(multiple cpu faults)|(system.+state.+changed )|(\[timeout)|(PRM\|1\|D)|(kpr)|(kdp)|(train.+moving)|(\|lc)|(penalty))"</v>
      </c>
      <c r="AG194" s="1" t="str">
        <f t="shared" si="65"/>
        <v>Other</v>
      </c>
      <c r="AH194" s="81" t="str">
        <f t="shared" si="49"/>
        <v>"%USERPROFILE%\Documents\GitHub\eaglep3\Utilities\RefineRTDCRunTimes.py" --tripid 304-29 --locoid 4025 --swversion DE.1.0.9.0 --startMP 300:23773 --initTime 2017-04-29T03:16:41 --startdatetime 2017-04-29T03:20:19 --delay 3 --endMP 204:147 --enddatetime 2017-04-29T03:29:44 --enforcementcount 0 &gt;&gt;C:\Users\stu\Documents\GitHub\eaglep3-reporting\EC\2017-04-29-refined-times.txt</v>
      </c>
      <c r="AI194" s="99" t="str">
        <f t="shared" si="50"/>
        <v>echo {"issue":{"subject":"","project_id":79,"tracker_id":40,"status_id":1,"priority_id":2,"assigned_to_id":23,"start_date":"2017-04-29","description":"","custom_fields":[{"id":1,"name":"Subdivision","value":"Other"},{"id":4,"name":"Milepost","value":"0.0147"},{"id":17,"name":"Train ID","value":"304-29"},{"id":16,"name":"Locomotive ID","value":"4025"},{"id":130,"name":"Impact","value":""},{"id":150,"name":"Time of Event (Mountain Time)","value":"03:29:44"},{"id":151,"name":"Denver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51"/>
        <v>start /low /b %USERPROFILE%\Documents\GitHub\eaglep3\Utilities\DownloadLogsFromS3.py --loco 4025 --day 2017-04-29</v>
      </c>
      <c r="AN194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09:29:44"},{"id":29,"name":"Sharepoint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768</v>
      </c>
      <c r="B195" s="7">
        <v>4010</v>
      </c>
      <c r="C195" s="21" t="s">
        <v>212</v>
      </c>
      <c r="D195" s="21" t="s">
        <v>542</v>
      </c>
      <c r="E195" s="13">
        <v>42854.795416666668</v>
      </c>
      <c r="F195" s="13">
        <v>42854.797523148147</v>
      </c>
      <c r="G195" s="7">
        <v>1</v>
      </c>
      <c r="H195" s="21" t="s">
        <v>430</v>
      </c>
      <c r="I195" s="13">
        <v>42854.803946759261</v>
      </c>
      <c r="J195" s="7">
        <v>0</v>
      </c>
      <c r="K195" s="92" t="str">
        <f t="shared" si="53"/>
        <v>4009/4010</v>
      </c>
      <c r="L195" s="21" t="str">
        <f>VLOOKUP(A195,'Trips&amp;Operators'!$C$1:$G$99999,5,FALSE)</f>
        <v>ROMERO CHAD</v>
      </c>
      <c r="M195" s="6">
        <f t="shared" si="54"/>
        <v>6.4236111138598062E-3</v>
      </c>
      <c r="N195" s="7">
        <f t="shared" si="69"/>
        <v>9.2500000039581209</v>
      </c>
      <c r="O195" s="7"/>
      <c r="P195" s="7"/>
      <c r="Q195" s="22"/>
      <c r="R195" s="190"/>
      <c r="S195" s="196">
        <f t="shared" si="55"/>
        <v>1</v>
      </c>
      <c r="T195" s="190" t="str">
        <f t="shared" si="56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57"/>
        <v>https://d0f6bd738d7f1b3e5a7ca70fe4ff75f0.us-east-1.aws.found.io/app/kibana#/discover/Steve-Slow-Train-Analysis-(2080s-and-2083s)?_g=(refreshInterval:(display:Off,pause:!f,section:0,value:0),time:(from:'2017-04-29T18:05:24-0600',mode:absolute,to:'2017-04-29T20:17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5" s="192" t="str">
        <f t="shared" si="58"/>
        <v>Y</v>
      </c>
      <c r="X195" s="192">
        <f t="shared" si="68"/>
        <v>1</v>
      </c>
      <c r="Y195" s="192">
        <f t="shared" si="59"/>
        <v>4.2900000000000001E-2</v>
      </c>
      <c r="Z195" s="192">
        <f t="shared" si="60"/>
        <v>2.3346</v>
      </c>
      <c r="AA195" s="192">
        <f t="shared" si="61"/>
        <v>2.2917000000000001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2"/>
        <v>0305-29</v>
      </c>
      <c r="AE195" s="80" t="str">
        <f t="shared" si="63"/>
        <v>aws s3 cp s3://rtdc.mdm.uploadarchive.raw/RTDC4010/ "%USERPROFILE%\AppData\Local\Temp\OnboardLogs"\RTDC4010\2017-04-29 --exclude "*" --recursive --include "*20170429*" &amp; "%USERPROFILE%\Documents\GitHub\mrs-test-scripts\Headless Mode &amp; Sideloading\WalkAndUnGZ.bat" "%USERPROFILE%\AppData\Local\Temp\OnboardLogs"\RTDC4010\2017-04-29 &amp; aws s3 cp s3://rtdc.mdm.uploadarchive.raw/RTDC4010/ "%USERPROFILE%\AppData\Local\Temp\OnboardLogs"\RTDC4010\2017-04-30 --exclude "*" --recursive --include "*20170430*" &amp; "%USERPROFILE%\Documents\GitHub\mrs-test-scripts\Headless Mode &amp; Sideloading\WalkAndUnGZ.bat" "%USERPROFILE%\AppData\Local\Temp\OnboardLogs"\RTDC4010\2017-04-30</v>
      </c>
      <c r="AF195" s="77" t="str">
        <f t="shared" si="64"/>
        <v>"C:\Program Files (x86)\AstroGrep\AstroGrep.exe" /e /r /s /spath="%USERPROFILE%\AppData\Local\Temp\OnboardLogs" /stypes="app*4010*20170430*" /stext=" 01:.+((SYSTEM_STATE.+slice.+state.+changed )|(ment ac)|(multiple cpu faults)|(system.+state.+changed )|(\[timeout)|(PRM\|1\|D)|(kpr)|(kdp)|(train.+moving)|(\|lc)|(penalty))"</v>
      </c>
      <c r="AG195" s="1" t="str">
        <f t="shared" si="65"/>
        <v>Other</v>
      </c>
      <c r="AH195" s="81" t="str">
        <f t="shared" si="49"/>
        <v>"%USERPROFILE%\Documents\GitHub\eaglep3\Utilities\RefineRTDCRunTimes.py" --tripid 305-29 --locoid 4010 --swversion DE.1.0.9.0 --startMP 204:429 --initTime 2017-04-29T19:05:24 --startdatetime 2017-04-29T19:08:26 --delay 1 --endMP 300:23346 --enddatetime 2017-04-29T19:17:41 --enforcementcount 0 &gt;&gt;C:\Users\stu\Documents\GitHub\eaglep3-reporting\EC\2017-04-29-refined-times.txt</v>
      </c>
      <c r="AI195" s="99" t="str">
        <f t="shared" si="50"/>
        <v>echo {"issue":{"subject":"","project_id":79,"tracker_id":40,"status_id":1,"priority_id":2,"assigned_to_id":23,"start_date":"2017-04-29","description":"","custom_fields":[{"id":1,"name":"Subdivision","value":"Other"},{"id":4,"name":"Milepost","value":"2.3346"},{"id":17,"name":"Train ID","value":"305-29"},{"id":16,"name":"Locomotive ID","value":"4010"},{"id":130,"name":"Impact","value":""},{"id":150,"name":"Time of Event (Mountain Time)","value":"19:17:41"},{"id":151,"name":"Denver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51"/>
        <v>start /low /b %USERPROFILE%\Documents\GitHub\eaglep3\Utilities\DownloadLogsFromS3.py --loco 4010 --day 2017-04-29</v>
      </c>
      <c r="AN195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01:17:41"},{"id":29,"name":"Sharepoint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621</v>
      </c>
      <c r="B196" s="7">
        <v>4001</v>
      </c>
      <c r="C196" s="21" t="s">
        <v>212</v>
      </c>
      <c r="D196" s="21" t="s">
        <v>953</v>
      </c>
      <c r="E196" s="13">
        <v>42854.15834490741</v>
      </c>
      <c r="F196" s="13">
        <v>42854.161689814813</v>
      </c>
      <c r="G196" s="7">
        <v>4</v>
      </c>
      <c r="H196" s="21" t="s">
        <v>415</v>
      </c>
      <c r="I196" s="13">
        <v>42854.168437499997</v>
      </c>
      <c r="J196" s="7">
        <v>0</v>
      </c>
      <c r="K196" s="92" t="str">
        <f t="shared" si="53"/>
        <v>4001/4002</v>
      </c>
      <c r="L196" s="21" t="str">
        <f>VLOOKUP(A196,'Trips&amp;Operators'!$C$1:$G$99999,5,FALSE)</f>
        <v>MAELZER KURT</v>
      </c>
      <c r="M196" s="6">
        <f t="shared" si="54"/>
        <v>6.7476851836545393E-3</v>
      </c>
      <c r="N196" s="7">
        <f t="shared" si="69"/>
        <v>9.7166666644625366</v>
      </c>
      <c r="O196" s="7"/>
      <c r="P196" s="7"/>
      <c r="Q196" s="22"/>
      <c r="R196" s="190"/>
      <c r="S196" s="196">
        <f t="shared" si="55"/>
        <v>1</v>
      </c>
      <c r="T196" s="190" t="str">
        <f t="shared" si="56"/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57"/>
        <v>https://d0f6bd738d7f1b3e5a7ca70fe4ff75f0.us-east-1.aws.found.io/app/kibana#/discover/Steve-Slow-Train-Analysis-(2080s-and-2083s)?_g=(refreshInterval:(display:Off,pause:!f,section:0,value:0),time:(from:'2017-04-29T02:48:01-0600',mode:absolute,to:'2017-04-29T05:02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6" s="192" t="str">
        <f t="shared" si="58"/>
        <v>Y</v>
      </c>
      <c r="X196" s="192">
        <f t="shared" si="68"/>
        <v>1</v>
      </c>
      <c r="Y196" s="192">
        <f t="shared" si="59"/>
        <v>2.3018999999999998</v>
      </c>
      <c r="Z196" s="192">
        <f t="shared" si="60"/>
        <v>1.43E-2</v>
      </c>
      <c r="AA196" s="192">
        <f t="shared" si="61"/>
        <v>2.2875999999999999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2"/>
        <v>0306-29</v>
      </c>
      <c r="AE196" s="80" t="str">
        <f t="shared" si="63"/>
        <v>aws s3 cp s3://rtdc.mdm.uploadarchive.raw/RTDC4001/ "%USERPROFILE%\AppData\Local\Temp\OnboardLogs"\RTDC4001\2017-04-29 --exclude "*" --recursive --include "*20170429*" &amp; "%USERPROFILE%\Documents\GitHub\mrs-test-scripts\Headless Mode &amp; Sideloading\WalkAndUnGZ.bat" "%USERPROFILE%\AppData\Local\Temp\OnboardLogs"\RTDC4001\2017-04-29 &amp; aws s3 cp s3://rtdc.mdm.uploadarchive.raw/RTDC4001/ "%USERPROFILE%\AppData\Local\Temp\OnboardLogs"\RTDC4001\2017-04-30 --exclude "*" --recursive --include "*20170430*" &amp; "%USERPROFILE%\Documents\GitHub\mrs-test-scripts\Headless Mode &amp; Sideloading\WalkAndUnGZ.bat" "%USERPROFILE%\AppData\Local\Temp\OnboardLogs"\RTDC4001\2017-04-30</v>
      </c>
      <c r="AF196" s="77" t="str">
        <f t="shared" si="64"/>
        <v>"C:\Program Files (x86)\AstroGrep\AstroGrep.exe" /e /r /s /spath="%USERPROFILE%\AppData\Local\Temp\OnboardLogs" /stypes="app*4001*20170429*" /stext=" 10:.+((SYSTEM_STATE.+slice.+state.+changed )|(ment ac)|(multiple cpu faults)|(system.+state.+changed )|(\[timeout)|(PRM\|1\|D)|(kpr)|(kdp)|(train.+moving)|(\|lc)|(penalty))"</v>
      </c>
      <c r="AG196" s="1" t="str">
        <f t="shared" si="65"/>
        <v>Other</v>
      </c>
      <c r="AH196" s="81" t="str">
        <f t="shared" si="49"/>
        <v>"%USERPROFILE%\Documents\GitHub\eaglep3\Utilities\RefineRTDCRunTimes.py" --tripid 306-29 --locoid 4001 --swversion DE.1.0.9.0 --startMP 300:23019 --initTime 2017-04-29T03:48:01 --startdatetime 2017-04-29T03:52:50 --delay 4 --endMP 204:143 --enddatetime 2017-04-29T04:02:33 --enforcementcount 0 &gt;&gt;C:\Users\stu\Documents\GitHub\eaglep3-reporting\EC\2017-04-29-refined-times.txt</v>
      </c>
      <c r="AI196" s="99" t="str">
        <f t="shared" si="50"/>
        <v>echo {"issue":{"subject":"","project_id":79,"tracker_id":40,"status_id":1,"priority_id":2,"assigned_to_id":23,"start_date":"2017-04-29","description":"","custom_fields":[{"id":1,"name":"Subdivision","value":"Other"},{"id":4,"name":"Milepost","value":"0.0143"},{"id":17,"name":"Train ID","value":"306-29"},{"id":16,"name":"Locomotive ID","value":"4001"},{"id":130,"name":"Impact","value":""},{"id":150,"name":"Time of Event (Mountain Time)","value":"04:02:33"},{"id":151,"name":"Denver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51"/>
        <v>start /low /b %USERPROFILE%\Documents\GitHub\eaglep3\Utilities\DownloadLogsFromS3.py --loco 4001 --day 2017-04-29</v>
      </c>
      <c r="AN196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10:02:33"},{"id":29,"name":"Sharepoint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626</v>
      </c>
      <c r="B197" s="7">
        <v>4021</v>
      </c>
      <c r="C197" s="21" t="s">
        <v>212</v>
      </c>
      <c r="D197" s="21" t="s">
        <v>954</v>
      </c>
      <c r="E197" s="13">
        <v>42854.173298611109</v>
      </c>
      <c r="F197" s="13">
        <v>42854.177152777775</v>
      </c>
      <c r="G197" s="7">
        <v>5</v>
      </c>
      <c r="H197" s="21" t="s">
        <v>197</v>
      </c>
      <c r="I197" s="13">
        <v>42854.183368055557</v>
      </c>
      <c r="J197" s="7">
        <v>0</v>
      </c>
      <c r="K197" s="92" t="str">
        <f t="shared" si="53"/>
        <v>4021/4022</v>
      </c>
      <c r="L197" s="21" t="str">
        <f>VLOOKUP(A197,'Trips&amp;Operators'!$C$1:$G$99999,5,FALSE)</f>
        <v>DAVIS WENDY</v>
      </c>
      <c r="M197" s="6">
        <f t="shared" si="54"/>
        <v>6.2152777827577665E-3</v>
      </c>
      <c r="N197" s="7">
        <f t="shared" si="69"/>
        <v>8.9500000071711838</v>
      </c>
      <c r="O197" s="7"/>
      <c r="P197" s="7"/>
      <c r="Q197" s="22"/>
      <c r="R197" s="190"/>
      <c r="S197" s="196">
        <f t="shared" si="55"/>
        <v>1</v>
      </c>
      <c r="T197" s="190" t="str">
        <f t="shared" si="56"/>
        <v>Southbound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57"/>
        <v>https://d0f6bd738d7f1b3e5a7ca70fe4ff75f0.us-east-1.aws.found.io/app/kibana#/discover/Steve-Slow-Train-Analysis-(2080s-and-2083s)?_g=(refreshInterval:(display:Off,pause:!f,section:0,value:0),time:(from:'2017-04-29T03:09:33-0600',mode:absolute,to:'2017-04-29T05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7" s="192" t="str">
        <f t="shared" si="58"/>
        <v>Y</v>
      </c>
      <c r="X197" s="192">
        <f t="shared" si="68"/>
        <v>2</v>
      </c>
      <c r="Y197" s="192">
        <f t="shared" si="59"/>
        <v>2.3513999999999999</v>
      </c>
      <c r="Z197" s="192">
        <f t="shared" si="60"/>
        <v>1.52E-2</v>
      </c>
      <c r="AA197" s="192">
        <f t="shared" si="61"/>
        <v>2.3361999999999998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2"/>
        <v>0308-29</v>
      </c>
      <c r="AE197" s="80" t="str">
        <f t="shared" si="63"/>
        <v>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 &amp; aws s3 cp s3://rtdc.mdm.uploadarchive.raw/RTDC4021/ "%USERPROFILE%\AppData\Local\Temp\OnboardLogs"\RTDC4021\2017-04-30 --exclude "*" --recursive --include "*20170430*" &amp; "%USERPROFILE%\Documents\GitHub\mrs-test-scripts\Headless Mode &amp; Sideloading\WalkAndUnGZ.bat" "%USERPROFILE%\AppData\Local\Temp\OnboardLogs"\RTDC4021\2017-04-30</v>
      </c>
      <c r="AF197" s="77" t="str">
        <f t="shared" si="64"/>
        <v>"C:\Program Files (x86)\AstroGrep\AstroGrep.exe" /e /r /s /spath="%USERPROFILE%\AppData\Local\Temp\OnboardLogs" /stypes="app*4021*20170429*" /stext=" 10:.+((SYSTEM_STATE.+slice.+state.+changed )|(ment ac)|(multiple cpu faults)|(system.+state.+changed )|(\[timeout)|(PRM\|1\|D)|(kpr)|(kdp)|(train.+moving)|(\|lc)|(penalty))"</v>
      </c>
      <c r="AG197" s="1" t="str">
        <f t="shared" si="65"/>
        <v>Other</v>
      </c>
      <c r="AH197" s="81" t="str">
        <f t="shared" si="49"/>
        <v>"%USERPROFILE%\Documents\GitHub\eaglep3\Utilities\RefineRTDCRunTimes.py" --tripid 308-29 --locoid 4021 --swversion DE.1.0.9.0 --startMP 300:23514 --initTime 2017-04-29T04:09:33 --startdatetime 2017-04-29T04:15:06 --delay 5 --endMP 204:152 --enddatetime 2017-04-29T04:24:03 --enforcementcount 0 &gt;&gt;C:\Users\stu\Documents\GitHub\eaglep3-reporting\EC\2017-04-29-refined-times.txt</v>
      </c>
      <c r="AI197" s="99" t="str">
        <f t="shared" si="50"/>
        <v>echo {"issue":{"subject":"","project_id":79,"tracker_id":40,"status_id":1,"priority_id":2,"assigned_to_id":23,"start_date":"2017-04-29","description":"","custom_fields":[{"id":1,"name":"Subdivision","value":"Other"},{"id":4,"name":"Milepost","value":"0.0152"},{"id":17,"name":"Train ID","value":"308-29"},{"id":16,"name":"Locomotive ID","value":"4021"},{"id":130,"name":"Impact","value":""},{"id":150,"name":"Time of Event (Mountain Time)","value":"04:24:03"},{"id":151,"name":"Denver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51"/>
        <v>start /low /b %USERPROFILE%\Documents\GitHub\eaglep3\Utilities\DownloadLogsFromS3.py --loco 4021 --day 2017-04-29</v>
      </c>
      <c r="AN197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10:24:03"},{"id":29,"name":"Sharepoint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803</v>
      </c>
      <c r="B198" s="7">
        <v>4004</v>
      </c>
      <c r="C198" s="21" t="s">
        <v>212</v>
      </c>
      <c r="D198" s="21" t="s">
        <v>467</v>
      </c>
      <c r="E198" s="13">
        <v>42855.047962962963</v>
      </c>
      <c r="F198" s="13">
        <v>42855.050127314818</v>
      </c>
      <c r="G198" s="7">
        <v>1</v>
      </c>
      <c r="H198" s="21" t="s">
        <v>955</v>
      </c>
      <c r="I198" s="13">
        <v>42855.060520833336</v>
      </c>
      <c r="J198" s="7">
        <v>0</v>
      </c>
      <c r="K198" s="92" t="str">
        <f t="shared" si="53"/>
        <v>4003/4004</v>
      </c>
      <c r="L198" s="21" t="str">
        <f>VLOOKUP(A198,'Trips&amp;Operators'!$C$1:$G$99999,5,FALSE)</f>
        <v>SMITH MICHAEL</v>
      </c>
      <c r="M198" s="6">
        <f t="shared" si="54"/>
        <v>1.0393518517958E-2</v>
      </c>
      <c r="N198" s="7">
        <f t="shared" si="69"/>
        <v>14.96666666585952</v>
      </c>
      <c r="O198" s="7"/>
      <c r="P198" s="7"/>
      <c r="Q198" s="22"/>
      <c r="R198" s="190"/>
      <c r="S198" s="196">
        <f t="shared" si="55"/>
        <v>1</v>
      </c>
      <c r="T198" s="190" t="str">
        <f t="shared" si="56"/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57"/>
        <v>https://d0f6bd738d7f1b3e5a7ca70fe4ff75f0.us-east-1.aws.found.io/app/kibana#/discover/Steve-Slow-Train-Analysis-(2080s-and-2083s)?_g=(refreshInterval:(display:Off,pause:!f,section:0,value:0),time:(from:'2017-04-30T00:09:04-0600',mode:absolute,to:'2017-04-30T02:27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8" s="192" t="str">
        <f t="shared" si="58"/>
        <v>Y</v>
      </c>
      <c r="X198" s="192">
        <f t="shared" si="68"/>
        <v>1</v>
      </c>
      <c r="Y198" s="192">
        <f t="shared" si="59"/>
        <v>4.53E-2</v>
      </c>
      <c r="Z198" s="192">
        <f t="shared" si="60"/>
        <v>2.3294999999999999</v>
      </c>
      <c r="AA198" s="192">
        <f t="shared" si="61"/>
        <v>2.2841999999999998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2"/>
        <v>0309-29</v>
      </c>
      <c r="AE198" s="80" t="str">
        <f t="shared" si="63"/>
        <v>aws s3 cp s3://rtdc.mdm.uploadarchive.raw/RTDC4004/ "%USERPROFILE%\AppData\Local\Temp\OnboardLogs"\RTDC4004\2017-04-30 --exclude "*" --recursive --include "*20170430*" &amp; "%USERPROFILE%\Documents\GitHub\mrs-test-scripts\Headless Mode &amp; Sideloading\WalkAndUnGZ.bat" "%USERPROFILE%\AppData\Local\Temp\OnboardLogs"\RTDC4004\2017-04-30 &amp; aws s3 cp s3://rtdc.mdm.uploadarchive.raw/RTDC4004/ "%USERPROFILE%\AppData\Local\Temp\OnboardLogs"\RTDC4004\2017-05-01 --exclude "*" --recursive --include "*20170501*" &amp; "%USERPROFILE%\Documents\GitHub\mrs-test-scripts\Headless Mode &amp; Sideloading\WalkAndUnGZ.bat" "%USERPROFILE%\AppData\Local\Temp\OnboardLogs"\RTDC4004\2017-05-01</v>
      </c>
      <c r="AF198" s="77" t="str">
        <f t="shared" si="64"/>
        <v>"C:\Program Files (x86)\AstroGrep\AstroGrep.exe" /e /r /s /spath="%USERPROFILE%\AppData\Local\Temp\OnboardLogs" /stypes="app*4004*20170430*" /stext=" 07:.+((SYSTEM_STATE.+slice.+state.+changed )|(ment ac)|(multiple cpu faults)|(system.+state.+changed )|(\[timeout)|(PRM\|1\|D)|(kpr)|(kdp)|(train.+moving)|(\|lc)|(penalty))"</v>
      </c>
      <c r="AG198" s="1" t="str">
        <f t="shared" si="65"/>
        <v>Other</v>
      </c>
      <c r="AH198" s="81" t="str">
        <f t="shared" si="49"/>
        <v>"%USERPROFILE%\Documents\GitHub\eaglep3\Utilities\RefineRTDCRunTimes.py" --tripid 309-29 --locoid 4004 --swversion DE.1.0.9.0 --startMP 204:453 --initTime 2017-04-30T01:09:04 --startdatetime 2017-04-30T01:12:11 --delay 1 --endMP 300:23295 --enddatetime 2017-04-30T01:27:09 --enforcementcount 0 &gt;&gt;C:\Users\stu\Documents\GitHub\eaglep3-reporting\EC\2017-04-29-refined-times.txt</v>
      </c>
      <c r="AI198" s="99" t="str">
        <f t="shared" si="50"/>
        <v>echo {"issue":{"subject":"","project_id":79,"tracker_id":40,"status_id":1,"priority_id":2,"assigned_to_id":23,"start_date":"2017-04-30","description":"","custom_fields":[{"id":1,"name":"Subdivision","value":"Other"},{"id":4,"name":"Milepost","value":"2.3295"},{"id":17,"name":"Train ID","value":"309-29"},{"id":16,"name":"Locomotive ID","value":"4004"},{"id":130,"name":"Impact","value":""},{"id":150,"name":"Time of Event (Mountain Time)","value":"01:27:09"},{"id":151,"name":"Denver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51"/>
        <v>start /low /b %USERPROFILE%\Documents\GitHub\eaglep3\Utilities\DownloadLogsFromS3.py --loco 4004 --day 2017-04-30</v>
      </c>
      <c r="AN198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07:27:09"},{"id":29,"name":"Sharepoint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629</v>
      </c>
      <c r="B199" s="7">
        <v>4007</v>
      </c>
      <c r="C199" s="21" t="s">
        <v>212</v>
      </c>
      <c r="D199" s="21" t="s">
        <v>956</v>
      </c>
      <c r="E199" s="13">
        <v>42854.185613425929</v>
      </c>
      <c r="F199" s="13">
        <v>42854.189409722225</v>
      </c>
      <c r="G199" s="7">
        <v>5</v>
      </c>
      <c r="H199" s="21" t="s">
        <v>530</v>
      </c>
      <c r="I199" s="13">
        <v>42854.193379629629</v>
      </c>
      <c r="J199" s="7">
        <v>0</v>
      </c>
      <c r="K199" s="92" t="str">
        <f t="shared" si="53"/>
        <v>4007/4008</v>
      </c>
      <c r="L199" s="21" t="str">
        <f>VLOOKUP(A199,'Trips&amp;Operators'!$C$1:$G$99999,5,FALSE)</f>
        <v>SANTIZO D. EDY</v>
      </c>
      <c r="M199" s="6">
        <f t="shared" si="54"/>
        <v>3.9699074040981941E-3</v>
      </c>
      <c r="N199" s="7">
        <f t="shared" si="69"/>
        <v>5.7166666619013995</v>
      </c>
      <c r="O199" s="7"/>
      <c r="P199" s="7"/>
      <c r="Q199" s="22"/>
      <c r="R199" s="190"/>
      <c r="S199" s="196">
        <f t="shared" si="55"/>
        <v>1</v>
      </c>
      <c r="T199" s="190" t="str">
        <f t="shared" si="56"/>
        <v>Southbound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57"/>
        <v>https://d0f6bd738d7f1b3e5a7ca70fe4ff75f0.us-east-1.aws.found.io/app/kibana#/discover/Steve-Slow-Train-Analysis-(2080s-and-2083s)?_g=(refreshInterval:(display:Off,pause:!f,section:0,value:0),time:(from:'2017-04-29T03:27:17-0600',mode:absolute,to:'2017-04-29T05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9" s="192" t="str">
        <f t="shared" si="58"/>
        <v>Y</v>
      </c>
      <c r="X199" s="192">
        <f t="shared" si="68"/>
        <v>1</v>
      </c>
      <c r="Y199" s="192">
        <f t="shared" si="59"/>
        <v>1.9480999999999999</v>
      </c>
      <c r="Z199" s="192">
        <f t="shared" si="60"/>
        <v>1.61E-2</v>
      </c>
      <c r="AA199" s="192">
        <f t="shared" si="61"/>
        <v>1.9319999999999999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2"/>
        <v>0310-29</v>
      </c>
      <c r="AE199" s="80" t="str">
        <f t="shared" si="63"/>
        <v>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 &amp; 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</v>
      </c>
      <c r="AF199" s="77" t="str">
        <f t="shared" si="64"/>
        <v>"C:\Program Files (x86)\AstroGrep\AstroGrep.exe" /e /r /s /spath="%USERPROFILE%\AppData\Local\Temp\OnboardLogs" /stypes="app*4007*20170429*" /stext=" 10:.+((SYSTEM_STATE.+slice.+state.+changed )|(ment ac)|(multiple cpu faults)|(system.+state.+changed )|(\[timeout)|(PRM\|1\|D)|(kpr)|(kdp)|(train.+moving)|(\|lc)|(penalty))"</v>
      </c>
      <c r="AG199" s="1" t="str">
        <f t="shared" si="65"/>
        <v>Other</v>
      </c>
      <c r="AH199" s="81" t="str">
        <f t="shared" si="49"/>
        <v>"%USERPROFILE%\Documents\GitHub\eaglep3\Utilities\RefineRTDCRunTimes.py" --tripid 310-29 --locoid 4007 --swversion DE.1.0.9.0 --startMP 300:19481 --initTime 2017-04-29T04:27:17 --startdatetime 2017-04-29T04:32:45 --delay 5 --endMP 204:161 --enddatetime 2017-04-29T04:38:28 --enforcementcount 0 &gt;&gt;C:\Users\stu\Documents\GitHub\eaglep3-reporting\EC\2017-04-29-refined-times.txt</v>
      </c>
      <c r="AI199" s="99" t="str">
        <f t="shared" si="50"/>
        <v>echo {"issue":{"subject":"","project_id":79,"tracker_id":40,"status_id":1,"priority_id":2,"assigned_to_id":23,"start_date":"2017-04-29","description":"","custom_fields":[{"id":1,"name":"Subdivision","value":"Other"},{"id":4,"name":"Milepost","value":"0.0161"},{"id":17,"name":"Train ID","value":"310-29"},{"id":16,"name":"Locomotive ID","value":"4007"},{"id":130,"name":"Impact","value":""},{"id":150,"name":"Time of Event (Mountain Time)","value":"04:38:28"},{"id":151,"name":"Denver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51"/>
        <v>start /low /b %USERPROFILE%\Documents\GitHub\eaglep3\Utilities\DownloadLogsFromS3.py --loco 4007 --day 2017-04-29</v>
      </c>
      <c r="AN199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10:38:28"},{"id":29,"name":"Sharepoint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805</v>
      </c>
      <c r="B200" s="7">
        <v>4002</v>
      </c>
      <c r="C200" s="21" t="s">
        <v>212</v>
      </c>
      <c r="D200" s="21" t="s">
        <v>409</v>
      </c>
      <c r="E200" s="13">
        <v>42855.066655092596</v>
      </c>
      <c r="F200" s="13">
        <v>42855.067604166667</v>
      </c>
      <c r="G200" s="7">
        <v>1</v>
      </c>
      <c r="H200" s="21" t="s">
        <v>957</v>
      </c>
      <c r="I200" s="13">
        <v>25568.708333333332</v>
      </c>
      <c r="J200" s="7">
        <v>0</v>
      </c>
      <c r="K200" s="92" t="str">
        <f t="shared" si="53"/>
        <v>4001/4002</v>
      </c>
      <c r="L200" s="21" t="str">
        <f>VLOOKUP(A200,'Trips&amp;Operators'!$C$1:$G$99999,5,FALSE)</f>
        <v>STAMBAUGH JAMES</v>
      </c>
      <c r="M200" s="6">
        <f t="shared" si="54"/>
        <v>-17286.359270833334</v>
      </c>
      <c r="N200" s="7">
        <f t="shared" si="69"/>
        <v>-24892357.350000001</v>
      </c>
      <c r="O200" s="7"/>
      <c r="P200" s="7"/>
      <c r="Q200" s="22"/>
      <c r="R200" s="190"/>
      <c r="S200" s="196">
        <f t="shared" si="55"/>
        <v>1</v>
      </c>
      <c r="T200" s="190" t="str">
        <f t="shared" si="56"/>
        <v>NorthBound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57"/>
        <v>https://d0f6bd738d7f1b3e5a7ca70fe4ff75f0.us-east-1.aws.found.io/app/kibana#/discover/Steve-Slow-Train-Analysis-(2080s-and-2083s)?_g=(refreshInterval:(display:Off,pause:!f,section:0,value:0),time:(from:'2017-04-30T00:35:59-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0" s="192" t="str">
        <f t="shared" si="58"/>
        <v>Y</v>
      </c>
      <c r="X200" s="192">
        <f t="shared" si="68"/>
        <v>1</v>
      </c>
      <c r="Y200" s="192">
        <f t="shared" si="59"/>
        <v>4.6699999999999998E-2</v>
      </c>
      <c r="Z200" s="192">
        <f t="shared" si="60"/>
        <v>2.3308</v>
      </c>
      <c r="AA200" s="192">
        <f t="shared" si="61"/>
        <v>2.2841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2"/>
        <v>0311-29</v>
      </c>
      <c r="AE200" s="80" t="str">
        <f t="shared" si="63"/>
        <v>aws s3 cp s3://rtdc.mdm.uploadarchive.raw/RTDC4002/ "%USERPROFILE%\AppData\Local\Temp\OnboardLogs"\RTDC4002\2017-04-30 --exclude "*" --recursive --include "*20170430*" &amp; "%USERPROFILE%\Documents\GitHub\mrs-test-scripts\Headless Mode &amp; Sideloading\WalkAndUnGZ.bat" "%USERPROFILE%\AppData\Local\Temp\OnboardLogs"\RTDC4002\2017-04-30 &amp; aws s3 cp s3://rtdc.mdm.uploadarchive.raw/RTDC4002/ "%USERPROFILE%\AppData\Local\Temp\OnboardLogs"\RTDC4002\2017-05-01 --exclude "*" --recursive --include "*20170501*" &amp; "%USERPROFILE%\Documents\GitHub\mrs-test-scripts\Headless Mode &amp; Sideloading\WalkAndUnGZ.bat" "%USERPROFILE%\AppData\Local\Temp\OnboardLogs"\RTDC4002\2017-05-01</v>
      </c>
      <c r="AF200" s="77" t="str">
        <f t="shared" si="64"/>
        <v>"C:\Program Files (x86)\AstroGrep\AstroGrep.exe" /e /r /s /spath="%USERPROFILE%\AppData\Local\Temp\OnboardLogs" /stypes="app*4002*19691231*" /stext=" 23:.+((SYSTEM_STATE.+slice.+state.+changed )|(ment ac)|(multiple cpu faults)|(system.+state.+changed )|(\[timeout)|(PRM\|1\|D)|(kpr)|(kdp)|(train.+moving)|(\|lc)|(penalty))"</v>
      </c>
      <c r="AG200" s="1" t="str">
        <f t="shared" si="65"/>
        <v>Other</v>
      </c>
      <c r="AH200" s="81" t="str">
        <f t="shared" si="49"/>
        <v>"%USERPROFILE%\Documents\GitHub\eaglep3\Utilities\RefineRTDCRunTimes.py" --tripid 311-29 --locoid 4002 --swversion DE.1.0.9.0 --startMP 204:467 --initTime 2017-04-30T01:35:59 --startdatetime 2017-04-30T01:37:21 --delay 1 --endMP 300:23308 --enddatetime 1969-12-31T17:00:00 --enforcementcount 0 &gt;&gt;C:\Users\stu\Documents\GitHub\eaglep3-reporting\EC\2017-04-29-refined-times.txt</v>
      </c>
      <c r="AI200" s="99" t="str">
        <f t="shared" si="50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ID","value":"311-29"},{"id":16,"name":"Locomotive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51"/>
        <v>start /low /b %USERPROFILE%\Documents\GitHub\eaglep3\Utilities\DownloadLogsFromS3.py --loco 4002 --day 2017-04-30</v>
      </c>
      <c r="AN200" s="154" t="str">
        <f t="shared" si="52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612</v>
      </c>
      <c r="B201" s="7">
        <v>4064</v>
      </c>
      <c r="C201" s="21" t="s">
        <v>212</v>
      </c>
      <c r="D201" s="21" t="s">
        <v>444</v>
      </c>
      <c r="E201" s="13">
        <v>42854.090960648151</v>
      </c>
      <c r="F201" s="13">
        <v>42854.092905092592</v>
      </c>
      <c r="G201" s="7">
        <v>1</v>
      </c>
      <c r="H201" s="21" t="s">
        <v>958</v>
      </c>
      <c r="I201" s="13">
        <v>42854.101226851853</v>
      </c>
      <c r="J201" s="7">
        <v>0</v>
      </c>
      <c r="K201" s="92" t="str">
        <f t="shared" si="53"/>
        <v>4063/4064</v>
      </c>
      <c r="L201" s="21" t="str">
        <f>VLOOKUP(A201,'Trips&amp;Operators'!$C$1:$G$99999,5,FALSE)</f>
        <v>SWANSON BRYCE</v>
      </c>
      <c r="M201" s="6">
        <f t="shared" si="54"/>
        <v>8.3217592618893832E-3</v>
      </c>
      <c r="N201" s="7">
        <f t="shared" si="69"/>
        <v>11.983333337120712</v>
      </c>
      <c r="O201" s="7"/>
      <c r="P201" s="7"/>
      <c r="Q201" s="22"/>
      <c r="R201" s="190"/>
      <c r="S201" s="196">
        <f t="shared" si="55"/>
        <v>1</v>
      </c>
      <c r="T201" s="190" t="str">
        <f t="shared" si="56"/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57"/>
        <v>https://d0f6bd738d7f1b3e5a7ca70fe4ff75f0.us-east-1.aws.found.io/app/kibana#/discover/Steve-Slow-Train-Analysis-(2080s-and-2083s)?_g=(refreshInterval:(display:Off,pause:!f,section:0,value:0),time:(from:'2017-04-29T01:10:59-0600',mode:absolute,to:'2017-04-29T03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1" s="192" t="str">
        <f t="shared" si="58"/>
        <v>Y</v>
      </c>
      <c r="X201" s="192">
        <f t="shared" si="68"/>
        <v>2</v>
      </c>
      <c r="Y201" s="192">
        <f t="shared" si="59"/>
        <v>4.3099999999999999E-2</v>
      </c>
      <c r="Z201" s="192">
        <f t="shared" si="60"/>
        <v>2.3313999999999999</v>
      </c>
      <c r="AA201" s="192">
        <f t="shared" si="61"/>
        <v>2.2883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2"/>
        <v>0313-28</v>
      </c>
      <c r="AE201" s="80" t="str">
        <f t="shared" si="63"/>
        <v>aws s3 cp s3://rtdc.mdm.uploadarchive.raw/RTDC4064/ "%USERPROFILE%\AppData\Local\Temp\OnboardLogs"\RTDC4064\2017-04-29 --exclude "*" --recursive --include "*20170429*" &amp; "%USERPROFILE%\Documents\GitHub\mrs-test-scripts\Headless Mode &amp; Sideloading\WalkAndUnGZ.bat" "%USERPROFILE%\AppData\Local\Temp\OnboardLogs"\RTDC4064\2017-04-29 &amp; aws s3 cp s3://rtdc.mdm.uploadarchive.raw/RTDC4064/ "%USERPROFILE%\AppData\Local\Temp\OnboardLogs"\RTDC4064\2017-04-30 --exclude "*" --recursive --include "*20170430*" &amp; "%USERPROFILE%\Documents\GitHub\mrs-test-scripts\Headless Mode &amp; Sideloading\WalkAndUnGZ.bat" "%USERPROFILE%\AppData\Local\Temp\OnboardLogs"\RTDC4064\2017-04-30</v>
      </c>
      <c r="AF201" s="77" t="str">
        <f t="shared" si="64"/>
        <v>"C:\Program Files (x86)\AstroGrep\AstroGrep.exe" /e /r /s /spath="%USERPROFILE%\AppData\Local\Temp\OnboardLogs" /stypes="app*4064*20170429*" /stext=" 08:.+((SYSTEM_STATE.+slice.+state.+changed )|(ment ac)|(multiple cpu faults)|(system.+state.+changed )|(\[timeout)|(PRM\|1\|D)|(kpr)|(kdp)|(train.+moving)|(\|lc)|(penalty))"</v>
      </c>
      <c r="AG201" s="1" t="str">
        <f t="shared" si="65"/>
        <v>Other</v>
      </c>
      <c r="AH201" s="81" t="str">
        <f t="shared" si="49"/>
        <v>"%USERPROFILE%\Documents\GitHub\eaglep3\Utilities\RefineRTDCRunTimes.py" --tripid 313-28 --locoid 4064 --swversion DE.1.0.9.0 --startMP 204:431 --initTime 2017-04-29T02:10:59 --startdatetime 2017-04-29T02:13:47 --delay 1 --endMP 300:23314 --enddatetime 2017-04-29T02:25:46 --enforcementcount 0 &gt;&gt;C:\Users\stu\Documents\GitHub\eaglep3-reporting\EC\2017-04-29-refined-times.txt</v>
      </c>
      <c r="AI201" s="99" t="str">
        <f t="shared" si="50"/>
        <v>echo {"issue":{"subject":"","project_id":79,"tracker_id":40,"status_id":1,"priority_id":2,"assigned_to_id":23,"start_date":"2017-04-29","description":"","custom_fields":[{"id":1,"name":"Subdivision","value":"Other"},{"id":4,"name":"Milepost","value":"2.3314"},{"id":17,"name":"Train ID","value":"313-28"},{"id":16,"name":"Locomotive ID","value":"4064"},{"id":130,"name":"Impact","value":""},{"id":150,"name":"Time of Event (Mountain Time)","value":"02:25:46"},{"id":151,"name":"Denver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51"/>
        <v>start /low /b %USERPROFILE%\Documents\GitHub\eaglep3\Utilities\DownloadLogsFromS3.py --loco 4064 --day 2017-04-29</v>
      </c>
      <c r="AN201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08:25:46"},{"id":29,"name":"Sharepoint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807</v>
      </c>
      <c r="B202" s="7">
        <v>4022</v>
      </c>
      <c r="C202" s="21" t="s">
        <v>212</v>
      </c>
      <c r="D202" s="21" t="s">
        <v>443</v>
      </c>
      <c r="E202" s="13">
        <v>42855.090300925927</v>
      </c>
      <c r="F202" s="13">
        <v>42855.092268518521</v>
      </c>
      <c r="G202" s="7">
        <v>1</v>
      </c>
      <c r="H202" s="21" t="s">
        <v>430</v>
      </c>
      <c r="I202" s="13">
        <v>42855.100023148145</v>
      </c>
      <c r="J202" s="7">
        <v>0</v>
      </c>
      <c r="K202" s="92" t="str">
        <f t="shared" si="53"/>
        <v>4021/4022</v>
      </c>
      <c r="L202" s="21" t="str">
        <f>VLOOKUP(A202,'Trips&amp;Operators'!$C$1:$G$99999,5,FALSE)</f>
        <v>SWANSON BRYCE</v>
      </c>
      <c r="M202" s="6">
        <f t="shared" si="54"/>
        <v>7.7546296233776957E-3</v>
      </c>
      <c r="N202" s="7">
        <f t="shared" si="69"/>
        <v>11.166666657663882</v>
      </c>
      <c r="O202" s="7"/>
      <c r="P202" s="7"/>
      <c r="Q202" s="22"/>
      <c r="R202" s="190"/>
      <c r="S202" s="196">
        <f t="shared" si="55"/>
        <v>1</v>
      </c>
      <c r="T202" s="190" t="str">
        <f t="shared" si="56"/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57"/>
        <v>https://d0f6bd738d7f1b3e5a7ca70fe4ff75f0.us-east-1.aws.found.io/app/kibana#/discover/Steve-Slow-Train-Analysis-(2080s-and-2083s)?_g=(refreshInterval:(display:Off,pause:!f,section:0,value:0),time:(from:'2017-04-30T01:10:02-0600',mode:absolute,to:'2017-04-30T03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2" s="192" t="str">
        <f t="shared" si="58"/>
        <v>Y</v>
      </c>
      <c r="X202" s="192">
        <f t="shared" si="68"/>
        <v>0</v>
      </c>
      <c r="Y202" s="192">
        <f t="shared" si="59"/>
        <v>4.7100000000000003E-2</v>
      </c>
      <c r="Z202" s="192">
        <f t="shared" si="60"/>
        <v>2.3346</v>
      </c>
      <c r="AA202" s="192">
        <f t="shared" si="61"/>
        <v>2.2875000000000001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2"/>
        <v>0313-29</v>
      </c>
      <c r="AE202" s="80" t="str">
        <f t="shared" si="63"/>
        <v>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 &amp; aws s3 cp s3://rtdc.mdm.uploadarchive.raw/RTDC4022/ "%USERPROFILE%\AppData\Local\Temp\OnboardLogs"\RTDC4022\2017-05-01 --exclude "*" --recursive --include "*20170501*" &amp; "%USERPROFILE%\Documents\GitHub\mrs-test-scripts\Headless Mode &amp; Sideloading\WalkAndUnGZ.bat" "%USERPROFILE%\AppData\Local\Temp\OnboardLogs"\RTDC4022\2017-05-01</v>
      </c>
      <c r="AF202" s="77" t="str">
        <f t="shared" si="64"/>
        <v>"C:\Program Files (x86)\AstroGrep\AstroGrep.exe" /e /r /s /spath="%USERPROFILE%\AppData\Local\Temp\OnboardLogs" /stypes="app*4022*20170430*" /stext=" 08:.+((SYSTEM_STATE.+slice.+state.+changed )|(ment ac)|(multiple cpu faults)|(system.+state.+changed )|(\[timeout)|(PRM\|1\|D)|(kpr)|(kdp)|(train.+moving)|(\|lc)|(penalty))"</v>
      </c>
      <c r="AG202" s="1" t="str">
        <f t="shared" si="65"/>
        <v>Other</v>
      </c>
      <c r="AH202" s="81" t="str">
        <f t="shared" si="49"/>
        <v>"%USERPROFILE%\Documents\GitHub\eaglep3\Utilities\RefineRTDCRunTimes.py" --tripid 313-29 --locoid 4022 --swversion DE.1.0.9.0 --startMP 204:471 --initTime 2017-04-30T02:10:02 --startdatetime 2017-04-30T02:12:52 --delay 1 --endMP 300:23346 --enddatetime 2017-04-30T02:24:02 --enforcementcount 0 &gt;&gt;C:\Users\stu\Documents\GitHub\eaglep3-reporting\EC\2017-04-29-refined-times.txt</v>
      </c>
      <c r="AI202" s="99" t="str">
        <f t="shared" si="50"/>
        <v>echo {"issue":{"subject":"","project_id":79,"tracker_id":40,"status_id":1,"priority_id":2,"assigned_to_id":23,"start_date":"2017-04-30","description":"","custom_fields":[{"id":1,"name":"Subdivision","value":"Other"},{"id":4,"name":"Milepost","value":"2.3346"},{"id":17,"name":"Train ID","value":"313-29"},{"id":16,"name":"Locomotive ID","value":"4022"},{"id":130,"name":"Impact","value":""},{"id":150,"name":"Time of Event (Mountain Time)","value":"02:24:02"},{"id":151,"name":"Denver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51"/>
        <v>start /low /b %USERPROFILE%\Documents\GitHub\eaglep3\Utilities\DownloadLogsFromS3.py --loco 4022 --day 2017-04-30</v>
      </c>
      <c r="AN202" s="154" t="str">
        <f t="shared" si="52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08:24:02"},{"id":29,"name":"Sharepoint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614</v>
      </c>
      <c r="B203" s="7">
        <v>4042</v>
      </c>
      <c r="C203" s="21" t="s">
        <v>212</v>
      </c>
      <c r="D203" s="21" t="s">
        <v>532</v>
      </c>
      <c r="E203" s="13">
        <v>42854.111678240741</v>
      </c>
      <c r="F203" s="13">
        <v>42854.113506944443</v>
      </c>
      <c r="G203" s="7">
        <v>1</v>
      </c>
      <c r="H203" s="21" t="s">
        <v>959</v>
      </c>
      <c r="I203" s="13">
        <v>42854.119513888887</v>
      </c>
      <c r="J203" s="7">
        <v>0</v>
      </c>
      <c r="K203" s="92" t="str">
        <f t="shared" si="53"/>
        <v>4041/4042</v>
      </c>
      <c r="L203" s="21" t="str">
        <f>VLOOKUP(A203,'Trips&amp;Operators'!$C$1:$G$99999,5,FALSE)</f>
        <v>SAFIEF AEIMEN</v>
      </c>
      <c r="M203" s="6">
        <f t="shared" si="54"/>
        <v>6.0069444443797693E-3</v>
      </c>
      <c r="N203" s="7">
        <f t="shared" si="69"/>
        <v>8.6499999999068677</v>
      </c>
      <c r="O203" s="7"/>
      <c r="P203" s="7"/>
      <c r="Q203" s="22"/>
      <c r="R203" s="190"/>
      <c r="S203" s="196">
        <f t="shared" si="55"/>
        <v>1</v>
      </c>
      <c r="T203" s="190" t="str">
        <f t="shared" si="56"/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57"/>
        <v>https://d0f6bd738d7f1b3e5a7ca70fe4ff75f0.us-east-1.aws.found.io/app/kibana#/discover/Steve-Slow-Train-Analysis-(2080s-and-2083s)?_g=(refreshInterval:(display:Off,pause:!f,section:0,value:0),time:(from:'2017-04-29T01:40:49-0600',mode:absolute,to:'2017-04-29T03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3" s="192" t="str">
        <f t="shared" si="58"/>
        <v>Y</v>
      </c>
      <c r="X203" s="192">
        <f t="shared" si="68"/>
        <v>2</v>
      </c>
      <c r="Y203" s="192">
        <f t="shared" si="59"/>
        <v>4.4699999999999997E-2</v>
      </c>
      <c r="Z203" s="192">
        <f t="shared" si="60"/>
        <v>2.3090999999999999</v>
      </c>
      <c r="AA203" s="192">
        <f t="shared" si="61"/>
        <v>2.2643999999999997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2"/>
        <v>0315-28</v>
      </c>
      <c r="AE203" s="80" t="str">
        <f t="shared" si="63"/>
        <v>aws s3 cp s3://rtdc.mdm.uploadarchive.raw/RTDC4042/ "%USERPROFILE%\AppData\Local\Temp\OnboardLogs"\RTDC4042\2017-04-29 --exclude "*" --recursive --include "*20170429*" &amp; "%USERPROFILE%\Documents\GitHub\mrs-test-scripts\Headless Mode &amp; Sideloading\WalkAndUnGZ.bat" "%USERPROFILE%\AppData\Local\Temp\OnboardLogs"\RTDC4042\2017-04-29 &amp; aws s3 cp s3://rtdc.mdm.uploadarchive.raw/RTDC4042/ "%USERPROFILE%\AppData\Local\Temp\OnboardLogs"\RTDC4042\2017-04-30 --exclude "*" --recursive --include "*20170430*" &amp; "%USERPROFILE%\Documents\GitHub\mrs-test-scripts\Headless Mode &amp; Sideloading\WalkAndUnGZ.bat" "%USERPROFILE%\AppData\Local\Temp\OnboardLogs"\RTDC4042\2017-04-30</v>
      </c>
      <c r="AF203" s="77" t="str">
        <f t="shared" si="64"/>
        <v>"C:\Program Files (x86)\AstroGrep\AstroGrep.exe" /e /r /s /spath="%USERPROFILE%\AppData\Local\Temp\OnboardLogs" /stypes="app*4042*20170429*" /stext=" 08:.+((SYSTEM_STATE.+slice.+state.+changed )|(ment ac)|(multiple cpu faults)|(system.+state.+changed )|(\[timeout)|(PRM\|1\|D)|(kpr)|(kdp)|(train.+moving)|(\|lc)|(penalty))"</v>
      </c>
      <c r="AG203" s="1" t="str">
        <f t="shared" si="65"/>
        <v>Other</v>
      </c>
      <c r="AH203" s="81" t="str">
        <f t="shared" si="49"/>
        <v>"%USERPROFILE%\Documents\GitHub\eaglep3\Utilities\RefineRTDCRunTimes.py" --tripid 315-28 --locoid 4042 --swversion DE.1.0.9.0 --startMP 204:447 --initTime 2017-04-29T02:40:49 --startdatetime 2017-04-29T02:43:27 --delay 1 --endMP 300:23091 --enddatetime 2017-04-29T02:52:06 --enforcementcount 0 &gt;&gt;C:\Users\stu\Documents\GitHub\eaglep3-reporting\EC\2017-04-29-refined-times.txt</v>
      </c>
      <c r="AI203" s="99" t="str">
        <f t="shared" si="50"/>
        <v>echo {"issue":{"subject":"","project_id":79,"tracker_id":40,"status_id":1,"priority_id":2,"assigned_to_id":23,"start_date":"2017-04-29","description":"","custom_fields":[{"id":1,"name":"Subdivision","value":"Other"},{"id":4,"name":"Milepost","value":"2.3091"},{"id":17,"name":"Train ID","value":"315-28"},{"id":16,"name":"Locomotive ID","value":"4042"},{"id":130,"name":"Impact","value":""},{"id":150,"name":"Time of Event (Mountain Time)","value":"02:52:06"},{"id":151,"name":"Denver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51"/>
        <v>start /low /b %USERPROFILE%\Documents\GitHub\eaglep3\Utilities\DownloadLogsFromS3.py --loco 4042 --day 2017-04-29</v>
      </c>
      <c r="AN203" s="154" t="str">
        <f t="shared" si="52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08:52:06"},{"id":29,"name":"Sharepoint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808</v>
      </c>
      <c r="B204" s="7">
        <v>4018</v>
      </c>
      <c r="C204" s="21" t="s">
        <v>212</v>
      </c>
      <c r="D204" s="21" t="s">
        <v>409</v>
      </c>
      <c r="E204" s="13">
        <v>42855.109710648147</v>
      </c>
      <c r="F204" s="13">
        <v>42855.114062499997</v>
      </c>
      <c r="G204" s="7">
        <v>1</v>
      </c>
      <c r="H204" s="21" t="s">
        <v>430</v>
      </c>
      <c r="I204" s="13">
        <v>42855.12431712963</v>
      </c>
      <c r="J204" s="7">
        <v>0</v>
      </c>
      <c r="K204" s="92" t="str">
        <f t="shared" si="53"/>
        <v>4017/4018</v>
      </c>
      <c r="L204" s="21" t="str">
        <f>VLOOKUP(A204,'Trips&amp;Operators'!$C$1:$G$99999,5,FALSE)</f>
        <v>MAGEE KENYA</v>
      </c>
      <c r="M204" s="6">
        <f t="shared" si="54"/>
        <v>1.025462963298196E-2</v>
      </c>
      <c r="N204" s="7">
        <f t="shared" si="69"/>
        <v>14.766666671494022</v>
      </c>
      <c r="O204" s="7"/>
      <c r="P204" s="7"/>
      <c r="Q204" s="22"/>
      <c r="R204" s="190"/>
      <c r="S204" s="196">
        <f t="shared" si="55"/>
        <v>1</v>
      </c>
      <c r="T204" s="190" t="str">
        <f t="shared" si="56"/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57"/>
        <v>https://d0f6bd738d7f1b3e5a7ca70fe4ff75f0.us-east-1.aws.found.io/app/kibana#/discover/Steve-Slow-Train-Analysis-(2080s-and-2083s)?_g=(refreshInterval:(display:Off,pause:!f,section:0,value:0),time:(from:'2017-04-30T01:37:59-0600',mode:absolute,to:'2017-04-30T03:59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4" s="192" t="str">
        <f t="shared" si="58"/>
        <v>Y</v>
      </c>
      <c r="X204" s="192">
        <f t="shared" si="68"/>
        <v>0</v>
      </c>
      <c r="Y204" s="192">
        <f t="shared" si="59"/>
        <v>4.6699999999999998E-2</v>
      </c>
      <c r="Z204" s="192">
        <f t="shared" si="60"/>
        <v>2.3346</v>
      </c>
      <c r="AA204" s="192">
        <f t="shared" si="61"/>
        <v>2.2879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2"/>
        <v>0315-29</v>
      </c>
      <c r="AE204" s="80" t="str">
        <f t="shared" si="63"/>
        <v>aws s3 cp s3://rtdc.mdm.uploadarchive.raw/RTDC4018/ "%USERPROFILE%\AppData\Local\Temp\OnboardLogs"\RTDC4018\2017-04-30 --exclude "*" --recursive --include "*20170430*" &amp; "%USERPROFILE%\Documents\GitHub\mrs-test-scripts\Headless Mode &amp; Sideloading\WalkAndUnGZ.bat" "%USERPROFILE%\AppData\Local\Temp\OnboardLogs"\RTDC4018\2017-04-30 &amp; 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</v>
      </c>
      <c r="AF204" s="77" t="str">
        <f t="shared" si="64"/>
        <v>"C:\Program Files (x86)\AstroGrep\AstroGrep.exe" /e /r /s /spath="%USERPROFILE%\AppData\Local\Temp\OnboardLogs" /stypes="app*4018*20170430*" /stext=" 08:.+((SYSTEM_STATE.+slice.+state.+changed )|(ment ac)|(multiple cpu faults)|(system.+state.+changed )|(\[timeout)|(PRM\|1\|D)|(kpr)|(kdp)|(train.+moving)|(\|lc)|(penalty))"</v>
      </c>
      <c r="AG204" s="1" t="str">
        <f t="shared" si="65"/>
        <v>Other</v>
      </c>
      <c r="AH204" s="81" t="str">
        <f t="shared" ref="AH204:AH237" si="70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315-29 --locoid 4018 --swversion DE.1.0.9.0 --startMP 204:467 --initTime 2017-04-30T02:37:59 --startdatetime 2017-04-30T02:44:15 --delay 1 --endMP 300:23346 --enddatetime 2017-04-30T02:59:01 --enforcementcount 0 &gt;&gt;C:\Users\stu\Documents\GitHub\eaglep3-reporting\EC\2017-04-29-refined-times.txt</v>
      </c>
      <c r="AI204" s="99" t="str">
        <f t="shared" ref="AI204:AI237" si="71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{"issue":{"subject":"","project_id":79,"tracker_id":40,"status_id":1,"priority_id":2,"assigned_to_id":23,"start_date":"2017-04-30","description":"","custom_fields":[{"id":1,"name":"Subdivision","value":"Other"},{"id":4,"name":"Milepost","value":"2.3346"},{"id":17,"name":"Train ID","value":"315-29"},{"id":16,"name":"Locomotive ID","value":"4018"},{"id":130,"name":"Impact","value":""},{"id":150,"name":"Time of Event (Mountain Time)","value":"02:59:01"},{"id":151,"name":"Denver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ref="AM204:AM237" si="72">"start /low /b "&amp;dls3logs&amp;" --loco "&amp;B204&amp;" --day "&amp;TEXT(F204,"YYYY-MM-DD")</f>
        <v>start /low /b %USERPROFILE%\Documents\GitHub\eaglep3\Utilities\DownloadLogsFromS3.py --loco 4018 --day 2017-04-30</v>
      </c>
      <c r="AN204" s="154" t="str">
        <f t="shared" ref="AN204:AN237" si="73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08:59:01"},{"id":29,"name":"Sharepoint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s="20" customFormat="1" x14ac:dyDescent="0.25">
      <c r="A205" s="32" t="s">
        <v>642</v>
      </c>
      <c r="B205" s="7">
        <v>4046</v>
      </c>
      <c r="C205" s="21" t="s">
        <v>212</v>
      </c>
      <c r="D205" s="21" t="s">
        <v>916</v>
      </c>
      <c r="E205" s="13">
        <v>42854.226064814815</v>
      </c>
      <c r="F205" s="13">
        <v>42854.231215277781</v>
      </c>
      <c r="G205" s="7">
        <v>7</v>
      </c>
      <c r="H205" s="21" t="s">
        <v>871</v>
      </c>
      <c r="I205" s="13">
        <v>42854.236851851849</v>
      </c>
      <c r="J205" s="7">
        <v>0</v>
      </c>
      <c r="K205" s="92" t="str">
        <f t="shared" ref="K205:K237" si="74">IF(ISEVEN(B205),(B205-1)&amp;"/"&amp;B205,B205&amp;"/"&amp;(B205+1))</f>
        <v>4045/4046</v>
      </c>
      <c r="L205" s="21" t="str">
        <f>VLOOKUP(A205,'Trips&amp;Operators'!$C$1:$G$99999,5,FALSE)</f>
        <v>ARVIDSON DANIEL</v>
      </c>
      <c r="M205" s="6">
        <f t="shared" ref="M205:M237" si="75">I205-F205</f>
        <v>5.6365740674664266E-3</v>
      </c>
      <c r="N205" s="7">
        <f t="shared" si="69"/>
        <v>8.1166666571516544</v>
      </c>
      <c r="O205" s="7"/>
      <c r="P205" s="7"/>
      <c r="Q205" s="22"/>
      <c r="R205" s="190"/>
      <c r="S205" s="196">
        <f t="shared" ref="S205:S237" si="76">SUM(U205:U205)/IF(AG205="EC",12,1)</f>
        <v>0</v>
      </c>
      <c r="T205" s="190" t="str">
        <f t="shared" ref="T205:T237" si="77"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91" t="str">
        <f t="shared" ref="V205:V237" si="7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-29T04:25:32-0600',mode:absolute,to:'2017-04-29T06:41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5" s="192" t="str">
        <f t="shared" ref="W205:W237" si="79">IF(AA205&lt;IF(AG205="EC",23,5.65),"Y","N")</f>
        <v>Y</v>
      </c>
      <c r="X205" s="192">
        <f t="shared" si="68"/>
        <v>1586</v>
      </c>
      <c r="Y205" s="192">
        <f t="shared" ref="Y205:Y237" si="80">RIGHT(D205,LEN(D205)-4)/10000</f>
        <v>3.0527000000000002</v>
      </c>
      <c r="Z205" s="192">
        <f t="shared" ref="Z205:Z237" si="81">RIGHT(H205,LEN(H205)-4)/10000</f>
        <v>5.8929</v>
      </c>
      <c r="AA205" s="192">
        <f t="shared" ref="AA205:AA268" si="82">ABS(Z205-Y205)</f>
        <v>2.8401999999999998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37" si="83">IF(LEN(A205)=6,"0"&amp;A205,A205)</f>
        <v>1901-29</v>
      </c>
      <c r="AE205" s="80" t="str">
        <f t="shared" ref="AE205:AE237" si="8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205" s="77" t="str">
        <f t="shared" ref="AF205:AF237" si="8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/stypes="app*4046*20170429*" /stext=" 11:.+((SYSTEM_STATE.+slice.+state.+changed )|(ment ac)|(multiple cpu faults)|(system.+state.+changed )|(\[timeout)|(PRM\|1\|D)|(kpr)|(kdp)|(train.+moving)|(\|lc)|(penalty))"</v>
      </c>
      <c r="AG205" s="1" t="str">
        <f t="shared" ref="AG205:AG237" si="86">IFERROR(IF(VALUE(LEFT(AD205,2))&lt;=2,"EC",IF(OR(VALUE(LEFT(AD205,2))=8,VALUE(LEFT(AD205,2))=18),"NW","Other")),"Other")</f>
        <v>Other</v>
      </c>
      <c r="AH205" s="81" t="str">
        <f t="shared" si="70"/>
        <v>"%USERPROFILE%\Documents\GitHub\eaglep3\Utilities\RefineRTDCRunTimes.py" --tripid 1901-29 --locoid 4046 --swversion DE.1.0.9.0 --startMP 300:30527 --initTime 2017-04-29T05:25:32 --startdatetime 2017-04-29T05:32:57 --delay 7 --endMP 300:58929 --enddatetime 2017-04-29T05:41:04 --enforcementcount 0 &gt;&gt;C:\Users\stu\Documents\GitHub\eaglep3-reporting\EC\2017-04-29-refined-times.txt</v>
      </c>
      <c r="AI205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{"issue":{"subject":"","project_id":79,"tracker_id":40,"status_id":1,"priority_id":2,"assigned_to_id":23,"start_date":"2017-04-29","description":"","custom_fields":[{"id":1,"name":"Subdivision","value":"Other"},{"id":4,"name":"Milepost","value":"5.8929"},{"id":17,"name":"Train ID","value":"1901-29"},{"id":16,"name":"Locomotive ID","value":"4046"},{"id":130,"name":"Impact","value":""},{"id":150,"name":"Time of Event (Mountain Time)","value":"05:41:04"},{"id":151,"name":"Denver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5" t="str">
        <f t="shared" si="72"/>
        <v>start /low /b %USERPROFILE%\Documents\GitHub\eaglep3\Utilities\DownloadLogsFromS3.py --loco 4046 --day 2017-04-29</v>
      </c>
      <c r="AN205" s="154" t="str">
        <f t="shared" si="7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11:41:04"},{"id":29,"name":"Sharepoint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793</v>
      </c>
      <c r="B206" s="7">
        <v>4045</v>
      </c>
      <c r="C206" s="21" t="s">
        <v>212</v>
      </c>
      <c r="D206" s="21" t="s">
        <v>917</v>
      </c>
      <c r="E206" s="13">
        <v>42854.943425925929</v>
      </c>
      <c r="F206" s="13">
        <v>42854.95171296296</v>
      </c>
      <c r="G206" s="7">
        <v>0</v>
      </c>
      <c r="H206" s="21" t="s">
        <v>918</v>
      </c>
      <c r="I206" s="13">
        <v>42854.953460648147</v>
      </c>
      <c r="J206" s="7">
        <v>0</v>
      </c>
      <c r="K206" s="92" t="str">
        <f t="shared" si="74"/>
        <v>4045/4046</v>
      </c>
      <c r="L206" s="21" t="str">
        <f>VLOOKUP(A206,'Trips&amp;Operators'!$C$1:$G$99999,5,FALSE)</f>
        <v>HELVIE ADAM</v>
      </c>
      <c r="M206" s="6">
        <f t="shared" si="75"/>
        <v>1.747685186273884E-3</v>
      </c>
      <c r="N206" s="7">
        <f t="shared" si="69"/>
        <v>2.516666668234393</v>
      </c>
      <c r="O206" s="7"/>
      <c r="P206" s="7"/>
      <c r="Q206" s="22"/>
      <c r="R206" s="190"/>
      <c r="S206" s="196">
        <f t="shared" si="76"/>
        <v>0</v>
      </c>
      <c r="T206" s="190" t="str">
        <f t="shared" si="77"/>
        <v>Southbound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91" t="str">
        <f t="shared" si="78"/>
        <v>https://d0f6bd738d7f1b3e5a7ca70fe4ff75f0.us-east-1.aws.found.io/app/kibana#/discover/Steve-Slow-Train-Analysis-(2080s-and-2083s)?_g=(refreshInterval:(display:Off,pause:!f,section:0,value:0),time:(from:'2017-04-29T21:38:32-0600',mode:absolute,to:'2017-04-29T23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6" s="192" t="str">
        <f t="shared" si="79"/>
        <v>Y</v>
      </c>
      <c r="X206" s="192">
        <f t="shared" si="68"/>
        <v>1</v>
      </c>
      <c r="Y206" s="192">
        <f t="shared" si="80"/>
        <v>5.8611000000000004</v>
      </c>
      <c r="Z206" s="192">
        <f t="shared" si="81"/>
        <v>2.1755</v>
      </c>
      <c r="AA206" s="192">
        <f t="shared" si="82"/>
        <v>3.6856000000000004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83"/>
        <v>1902-29</v>
      </c>
      <c r="AE206" s="80" t="str">
        <f t="shared" si="84"/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AF206" s="77" t="str">
        <f t="shared" si="85"/>
        <v>"C:\Program Files (x86)\AstroGrep\AstroGrep.exe" /e /r /s /spath="%USERPROFILE%\AppData\Local\Temp\OnboardLogs" /stypes="app*4045*20170430*" /stext=" 04:.+((SYSTEM_STATE.+slice.+state.+changed )|(ment ac)|(multiple cpu faults)|(system.+state.+changed )|(\[timeout)|(PRM\|1\|D)|(kpr)|(kdp)|(train.+moving)|(\|lc)|(penalty))"</v>
      </c>
      <c r="AG206" s="1" t="str">
        <f t="shared" si="86"/>
        <v>Other</v>
      </c>
      <c r="AH206" s="81" t="str">
        <f t="shared" si="70"/>
        <v>"%USERPROFILE%\Documents\GitHub\eaglep3\Utilities\RefineRTDCRunTimes.py" --tripid 1902-29 --locoid 4045 --swversion DE.1.0.9.0 --startMP 300:58611 --initTime 2017-04-29T22:38:32 --startdatetime 2017-04-29T22:50:28 --delay 0 --endMP 300:21755 --enddatetime 2017-04-29T22:52:59 --enforcementcount 0 &gt;&gt;C:\Users\stu\Documents\GitHub\eaglep3-reporting\EC\2017-04-29-refined-times.txt</v>
      </c>
      <c r="AI206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{"issue":{"subject":"","project_id":79,"tracker_id":40,"status_id":1,"priority_id":2,"assigned_to_id":23,"start_date":"2017-04-29","description":"","custom_fields":[{"id":1,"name":"Subdivision","value":"Other"},{"id":4,"name":"Milepost","value":"2.1755"},{"id":17,"name":"Train ID","value":"1902-29"},{"id":16,"name":"Locomotive ID","value":"4045"},{"id":130,"name":"Impact","value":""},{"id":150,"name":"Time of Event (Mountain Time)","value":"22:52:59"},{"id":151,"name":"Denver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72"/>
        <v>start /low /b %USERPROFILE%\Documents\GitHub\eaglep3\Utilities\DownloadLogsFromS3.py --loco 4045 --day 2017-04-29</v>
      </c>
      <c r="AN206" s="154" t="str">
        <f t="shared" si="73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04:52:59"},{"id":29,"name":"Sharepoint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793</v>
      </c>
      <c r="B207" s="7">
        <v>4046</v>
      </c>
      <c r="C207" s="21" t="s">
        <v>212</v>
      </c>
      <c r="D207" s="21" t="s">
        <v>919</v>
      </c>
      <c r="E207" s="13">
        <v>42854.950324074074</v>
      </c>
      <c r="F207" s="13">
        <v>42854.95171296296</v>
      </c>
      <c r="G207" s="7">
        <v>1</v>
      </c>
      <c r="H207" s="21" t="s">
        <v>460</v>
      </c>
      <c r="I207" s="13">
        <v>42854.953460648147</v>
      </c>
      <c r="J207" s="7">
        <v>0</v>
      </c>
      <c r="K207" s="92" t="str">
        <f t="shared" si="74"/>
        <v>4045/4046</v>
      </c>
      <c r="L207" s="21" t="str">
        <f>VLOOKUP(A207,'Trips&amp;Operators'!$C$1:$G$99999,5,FALSE)</f>
        <v>HELVIE ADAM</v>
      </c>
      <c r="M207" s="6">
        <f t="shared" si="75"/>
        <v>1.747685186273884E-3</v>
      </c>
      <c r="N207" s="7">
        <f t="shared" si="69"/>
        <v>2.516666668234393</v>
      </c>
      <c r="O207" s="7"/>
      <c r="P207" s="7"/>
      <c r="Q207" s="22"/>
      <c r="R207" s="190"/>
      <c r="S207" s="196">
        <f t="shared" si="76"/>
        <v>0</v>
      </c>
      <c r="T207" s="190" t="str">
        <f t="shared" si="77"/>
        <v>Southbound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1" t="str">
        <f t="shared" si="78"/>
        <v>https://d0f6bd738d7f1b3e5a7ca70fe4ff75f0.us-east-1.aws.found.io/app/kibana#/discover/Steve-Slow-Train-Analysis-(2080s-and-2083s)?_g=(refreshInterval:(display:Off,pause:!f,section:0,value:0),time:(from:'2017-04-29T21:48:28-0600',mode:absolute,to:'2017-04-29T23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7" s="192" t="str">
        <f t="shared" si="79"/>
        <v>Y</v>
      </c>
      <c r="X207" s="192">
        <f t="shared" si="68"/>
        <v>0</v>
      </c>
      <c r="Y207" s="192">
        <f t="shared" si="80"/>
        <v>2.2075</v>
      </c>
      <c r="Z207" s="192">
        <f t="shared" si="81"/>
        <v>2.3302</v>
      </c>
      <c r="AA207" s="192">
        <f t="shared" si="82"/>
        <v>0.12270000000000003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83"/>
        <v>1902-29</v>
      </c>
      <c r="AE207" s="80" t="str">
        <f t="shared" si="84"/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AF207" s="77" t="str">
        <f t="shared" si="85"/>
        <v>"C:\Program Files (x86)\AstroGrep\AstroGrep.exe" /e /r /s /spath="%USERPROFILE%\AppData\Local\Temp\OnboardLogs" /stypes="app*4046*20170430*" /stext=" 04:.+((SYSTEM_STATE.+slice.+state.+changed )|(ment ac)|(multiple cpu faults)|(system.+state.+changed )|(\[timeout)|(PRM\|1\|D)|(kpr)|(kdp)|(train.+moving)|(\|lc)|(penalty))"</v>
      </c>
      <c r="AG207" s="1" t="str">
        <f t="shared" si="86"/>
        <v>Other</v>
      </c>
      <c r="AH207" s="81" t="str">
        <f t="shared" si="70"/>
        <v>"%USERPROFILE%\Documents\GitHub\eaglep3\Utilities\RefineRTDCRunTimes.py" --tripid 1902-29 --locoid 4046 --swversion DE.1.0.9.0 --startMP 300:22075 --initTime 2017-04-29T22:48:28 --startdatetime 2017-04-29T22:50:28 --delay 1 --endMP 300:23302 --enddatetime 2017-04-29T22:52:59 --enforcementcount 0 &gt;&gt;C:\Users\stu\Documents\GitHub\eaglep3-reporting\EC\2017-04-29-refined-times.txt</v>
      </c>
      <c r="AI207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{"issue":{"subject":"","project_id":79,"tracker_id":40,"status_id":1,"priority_id":2,"assigned_to_id":23,"start_date":"2017-04-29","description":"","custom_fields":[{"id":1,"name":"Subdivision","value":"Other"},{"id":4,"name":"Milepost","value":"2.3302"},{"id":17,"name":"Train ID","value":"1902-29"},{"id":16,"name":"Locomotive ID","value":"4046"},{"id":130,"name":"Impact","value":""},{"id":150,"name":"Time of Event (Mountain Time)","value":"22:52:59"},{"id":151,"name":"Denver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72"/>
        <v>start /low /b %USERPROFILE%\Documents\GitHub\eaglep3\Utilities\DownloadLogsFromS3.py --loco 4046 --day 2017-04-29</v>
      </c>
      <c r="AN207" s="154" t="str">
        <f t="shared" si="73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04:52:59"},{"id":29,"name":"Sharepoint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611</v>
      </c>
      <c r="B208" s="7">
        <v>4055</v>
      </c>
      <c r="C208" s="21" t="s">
        <v>212</v>
      </c>
      <c r="D208" s="21" t="s">
        <v>375</v>
      </c>
      <c r="E208" s="13">
        <v>42854.122025462966</v>
      </c>
      <c r="F208" s="13">
        <v>42854.162233796298</v>
      </c>
      <c r="G208" s="7">
        <v>1</v>
      </c>
      <c r="H208" s="21" t="s">
        <v>960</v>
      </c>
      <c r="I208" s="13">
        <v>42854.167372685188</v>
      </c>
      <c r="J208" s="7">
        <v>0</v>
      </c>
      <c r="K208" s="92" t="str">
        <f t="shared" si="74"/>
        <v>4055/4056</v>
      </c>
      <c r="L208" s="21" t="str">
        <f>VLOOKUP(A208,'Trips&amp;Operators'!$C$1:$G$99999,5,FALSE)</f>
        <v>BEAM ROSS</v>
      </c>
      <c r="M208" s="6">
        <f t="shared" si="75"/>
        <v>5.1388888896326534E-3</v>
      </c>
      <c r="N208" s="7">
        <f t="shared" si="69"/>
        <v>7.400000001071021</v>
      </c>
      <c r="O208" s="7"/>
      <c r="P208" s="7"/>
      <c r="Q208" s="22"/>
      <c r="R208" s="190"/>
      <c r="S208" s="196">
        <f t="shared" si="76"/>
        <v>0</v>
      </c>
      <c r="T208" s="190" t="str">
        <f t="shared" si="77"/>
        <v>NorthBound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1" t="str">
        <f t="shared" si="78"/>
        <v>https://d0f6bd738d7f1b3e5a7ca70fe4ff75f0.us-east-1.aws.found.io/app/kibana#/discover/Steve-Slow-Train-Analysis-(2080s-and-2083s)?_g=(refreshInterval:(display:Off,pause:!f,section:0,value:0),time:(from:'2017-04-29T01:55:43-0600',mode:absolute,to:'2017-04-29T05:01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8" s="192" t="str">
        <f t="shared" si="79"/>
        <v>N</v>
      </c>
      <c r="X208" s="192">
        <f t="shared" si="68"/>
        <v>2153</v>
      </c>
      <c r="Y208" s="192">
        <f t="shared" si="80"/>
        <v>23.297699999999999</v>
      </c>
      <c r="Z208" s="192">
        <f t="shared" si="81"/>
        <v>8.8300000000000003E-2</v>
      </c>
      <c r="AA208" s="192">
        <f t="shared" si="82"/>
        <v>23.209399999999999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83"/>
        <v>4055-29</v>
      </c>
      <c r="AE208" s="80" t="str">
        <f t="shared" si="84"/>
        <v>aws s3 cp s3://rtdc.mdm.uploadarchive.raw/RTDC4055/ "%USERPROFILE%\AppData\Local\Temp\OnboardLogs"\RTDC4055\2017-04-29 --exclude "*" --recursive --include "*20170429*" &amp; "%USERPROFILE%\Documents\GitHub\mrs-test-scripts\Headless Mode &amp; Sideloading\WalkAndUnGZ.bat" "%USERPROFILE%\AppData\Local\Temp\OnboardLogs"\RTDC4055\2017-04-29 &amp; aws s3 cp s3://rtdc.mdm.uploadarchive.raw/RTDC4055/ "%USERPROFILE%\AppData\Local\Temp\OnboardLogs"\RTDC4055\2017-04-30 --exclude "*" --recursive --include "*20170430*" &amp; "%USERPROFILE%\Documents\GitHub\mrs-test-scripts\Headless Mode &amp; Sideloading\WalkAndUnGZ.bat" "%USERPROFILE%\AppData\Local\Temp\OnboardLogs"\RTDC4055\2017-04-30</v>
      </c>
      <c r="AF208" s="77" t="str">
        <f t="shared" si="85"/>
        <v>"C:\Program Files (x86)\AstroGrep\AstroGrep.exe" /e /r /s /spath="%USERPROFILE%\AppData\Local\Temp\OnboardLogs" /stypes="app*4055*20170429*" /stext=" 10:.+((SYSTEM_STATE.+slice.+state.+changed )|(ment ac)|(multiple cpu faults)|(system.+state.+changed )|(\[timeout)|(PRM\|1\|D)|(kpr)|(kdp)|(train.+moving)|(\|lc)|(penalty))"</v>
      </c>
      <c r="AG208" s="1" t="str">
        <f t="shared" si="86"/>
        <v>Other</v>
      </c>
      <c r="AH208" s="81" t="str">
        <f t="shared" si="70"/>
        <v>"%USERPROFILE%\Documents\GitHub\eaglep3\Utilities\RefineRTDCRunTimes.py" --tripid 4055-29 --locoid 4055 --swversion DE.1.0.9.0 --startMP 204:232977 --initTime 2017-04-29T02:55:43 --startdatetime 2017-04-29T03:53:37 --delay 1 --endMP 204:883 --enddatetime 2017-04-29T04:01:01 --enforcementcount 0 &gt;&gt;C:\Users\stu\Documents\GitHub\eaglep3-reporting\EC\2017-04-29-refined-times.txt</v>
      </c>
      <c r="AI208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{"issue":{"subject":"","project_id":79,"tracker_id":40,"status_id":1,"priority_id":2,"assigned_to_id":23,"start_date":"2017-04-29","description":"","custom_fields":[{"id":1,"name":"Subdivision","value":"Other"},{"id":4,"name":"Milepost","value":"0.0883"},{"id":17,"name":"Train ID","value":"4055-29"},{"id":16,"name":"Locomotive ID","value":"4055"},{"id":130,"name":"Impact","value":""},{"id":150,"name":"Time of Event (Mountain Time)","value":"04:01:01"},{"id":151,"name":"Denver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72"/>
        <v>start /low /b %USERPROFILE%\Documents\GitHub\eaglep3\Utilities\DownloadLogsFromS3.py --loco 4055 --day 2017-04-29</v>
      </c>
      <c r="AN208" s="154" t="str">
        <f t="shared" si="7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10:01:01"},{"id":29,"name":"Sharepoint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91" x14ac:dyDescent="0.25">
      <c r="A209" s="32" t="s">
        <v>611</v>
      </c>
      <c r="B209" s="7">
        <v>4055</v>
      </c>
      <c r="C209" s="21" t="s">
        <v>212</v>
      </c>
      <c r="D209" s="21" t="s">
        <v>961</v>
      </c>
      <c r="E209" s="13">
        <v>42854.085185185184</v>
      </c>
      <c r="F209" s="13">
        <v>42854.08803240741</v>
      </c>
      <c r="G209" s="7">
        <v>4</v>
      </c>
      <c r="H209" s="21" t="s">
        <v>962</v>
      </c>
      <c r="I209" s="13">
        <v>42854.092569444445</v>
      </c>
      <c r="J209" s="7">
        <v>0</v>
      </c>
      <c r="K209" s="92" t="str">
        <f t="shared" si="74"/>
        <v>4055/4056</v>
      </c>
      <c r="L209" s="21" t="str">
        <f>VLOOKUP(A209,'Trips&amp;Operators'!$C$1:$G$99999,5,FALSE)</f>
        <v>BEAM ROSS</v>
      </c>
      <c r="M209" s="6">
        <f t="shared" si="75"/>
        <v>4.537037035333924E-3</v>
      </c>
      <c r="N209" s="7">
        <f t="shared" si="69"/>
        <v>6.5333333308808506</v>
      </c>
      <c r="O209" s="7"/>
      <c r="P209" s="7"/>
      <c r="Q209" s="22"/>
      <c r="R209" s="190"/>
      <c r="S209" s="196">
        <f t="shared" si="76"/>
        <v>0</v>
      </c>
      <c r="T209" s="190" t="str">
        <f t="shared" si="77"/>
        <v>NorthBound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1" t="str">
        <f t="shared" si="78"/>
        <v>https://d0f6bd738d7f1b3e5a7ca70fe4ff75f0.us-east-1.aws.found.io/app/kibana#/discover/Steve-Slow-Train-Analysis-(2080s-and-2083s)?_g=(refreshInterval:(display:Off,pause:!f,section:0,value:0),time:(from:'2017-04-29T01:02:40-0600',mode:absolute,to:'2017-04-29T03:13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9" s="192" t="str">
        <f t="shared" si="79"/>
        <v>Y</v>
      </c>
      <c r="X209" s="192">
        <f t="shared" ref="X209:X237" si="87">VALUE(LEFT(AD209,4))-VALUE(LEFT(AD208,4))</f>
        <v>0</v>
      </c>
      <c r="Y209" s="192">
        <f t="shared" si="80"/>
        <v>2.0581</v>
      </c>
      <c r="Z209" s="192">
        <f t="shared" si="81"/>
        <v>9.7299999999999998E-2</v>
      </c>
      <c r="AA209" s="192">
        <f t="shared" si="82"/>
        <v>1.9608000000000001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83"/>
        <v>4055-29</v>
      </c>
      <c r="AE209" s="80" t="str">
        <f t="shared" si="84"/>
        <v>aws s3 cp s3://rtdc.mdm.uploadarchive.raw/RTDC4055/ "%USERPROFILE%\AppData\Local\Temp\OnboardLogs"\RTDC4055\2017-04-29 --exclude "*" --recursive --include "*20170429*" &amp; "%USERPROFILE%\Documents\GitHub\mrs-test-scripts\Headless Mode &amp; Sideloading\WalkAndUnGZ.bat" "%USERPROFILE%\AppData\Local\Temp\OnboardLogs"\RTDC4055\2017-04-29 &amp; aws s3 cp s3://rtdc.mdm.uploadarchive.raw/RTDC4055/ "%USERPROFILE%\AppData\Local\Temp\OnboardLogs"\RTDC4055\2017-04-30 --exclude "*" --recursive --include "*20170430*" &amp; "%USERPROFILE%\Documents\GitHub\mrs-test-scripts\Headless Mode &amp; Sideloading\WalkAndUnGZ.bat" "%USERPROFILE%\AppData\Local\Temp\OnboardLogs"\RTDC4055\2017-04-30</v>
      </c>
      <c r="AF209" s="77" t="str">
        <f t="shared" si="85"/>
        <v>"C:\Program Files (x86)\AstroGrep\AstroGrep.exe" /e /r /s /spath="%USERPROFILE%\AppData\Local\Temp\OnboardLogs" /stypes="app*4055*20170429*" /stext=" 08:.+((SYSTEM_STATE.+slice.+state.+changed )|(ment ac)|(multiple cpu faults)|(system.+state.+changed )|(\[timeout)|(PRM\|1\|D)|(kpr)|(kdp)|(train.+moving)|(\|lc)|(penalty))"</v>
      </c>
      <c r="AG209" s="1" t="str">
        <f t="shared" si="86"/>
        <v>Other</v>
      </c>
      <c r="AH209" s="81" t="str">
        <f t="shared" si="70"/>
        <v>"%USERPROFILE%\Documents\GitHub\eaglep3\Utilities\RefineRTDCRunTimes.py" --tripid 4055-29 --locoid 4055 --swversion DE.1.0.9.0 --startMP 300:20581 --initTime 2017-04-29T02:02:40 --startdatetime 2017-04-29T02:06:46 --delay 4 --endMP 204:973 --enddatetime 2017-04-29T02:13:18 --enforcementcount 0 &gt;&gt;C:\Users\stu\Documents\GitHub\eaglep3-reporting\EC\2017-04-29-refined-times.txt</v>
      </c>
      <c r="AI209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{"issue":{"subject":"","project_id":79,"tracker_id":40,"status_id":1,"priority_id":2,"assigned_to_id":23,"start_date":"2017-04-29","description":"","custom_fields":[{"id":1,"name":"Subdivision","value":"Other"},{"id":4,"name":"Milepost","value":"0.0973"},{"id":17,"name":"Train ID","value":"4055-29"},{"id":16,"name":"Locomotive ID","value":"4055"},{"id":130,"name":"Impact","value":""},{"id":150,"name":"Time of Event (Mountain Time)","value":"02:13:18"},{"id":151,"name":"Denver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72"/>
        <v>start /low /b %USERPROFILE%\Documents\GitHub\eaglep3\Utilities\DownloadLogsFromS3.py --loco 4055 --day 2017-04-29</v>
      </c>
      <c r="AN209" s="154" t="str">
        <f t="shared" si="7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08:13:18"},{"id":29,"name":"Sharepoint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91" x14ac:dyDescent="0.25">
      <c r="A210" s="32" t="s">
        <v>611</v>
      </c>
      <c r="B210" s="7">
        <v>4055</v>
      </c>
      <c r="C210" s="21" t="s">
        <v>212</v>
      </c>
      <c r="D210" s="21" t="s">
        <v>963</v>
      </c>
      <c r="E210" s="13">
        <v>42854.161076388889</v>
      </c>
      <c r="F210" s="13">
        <v>42854.162233796298</v>
      </c>
      <c r="G210" s="7">
        <v>0</v>
      </c>
      <c r="H210" s="21" t="s">
        <v>964</v>
      </c>
      <c r="I210" s="13">
        <v>42854.167372685188</v>
      </c>
      <c r="J210" s="7">
        <v>0</v>
      </c>
      <c r="K210" s="92" t="str">
        <f t="shared" si="74"/>
        <v>4055/4056</v>
      </c>
      <c r="L210" s="21" t="str">
        <f>VLOOKUP(A210,'Trips&amp;Operators'!$C$1:$G$99999,5,FALSE)</f>
        <v>BEAM ROSS</v>
      </c>
      <c r="M210" s="6">
        <f t="shared" si="75"/>
        <v>5.1388888896326534E-3</v>
      </c>
      <c r="N210" s="7">
        <f t="shared" si="69"/>
        <v>7.400000001071021</v>
      </c>
      <c r="O210" s="7"/>
      <c r="P210" s="7"/>
      <c r="Q210" s="22"/>
      <c r="R210" s="190"/>
      <c r="S210" s="196">
        <f t="shared" si="76"/>
        <v>0</v>
      </c>
      <c r="T210" s="190" t="str">
        <f t="shared" si="77"/>
        <v>NorthBound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1" t="str">
        <f t="shared" si="78"/>
        <v>https://d0f6bd738d7f1b3e5a7ca70fe4ff75f0.us-east-1.aws.found.io/app/kibana#/discover/Steve-Slow-Train-Analysis-(2080s-and-2083s)?_g=(refreshInterval:(display:Off,pause:!f,section:0,value:0),time:(from:'2017-04-29T02:51:57-0600',mode:absolute,to:'2017-04-29T05:01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0" s="192" t="str">
        <f t="shared" si="79"/>
        <v>Y</v>
      </c>
      <c r="X210" s="192">
        <f t="shared" si="87"/>
        <v>0</v>
      </c>
      <c r="Y210" s="192">
        <f t="shared" si="80"/>
        <v>5.8638000000000003</v>
      </c>
      <c r="Z210" s="192">
        <f t="shared" si="81"/>
        <v>2.1539000000000001</v>
      </c>
      <c r="AA210" s="192">
        <f t="shared" si="82"/>
        <v>3.7099000000000002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83"/>
        <v>4055-29</v>
      </c>
      <c r="AE210" s="80" t="str">
        <f t="shared" si="84"/>
        <v>aws s3 cp s3://rtdc.mdm.uploadarchive.raw/RTDC4055/ "%USERPROFILE%\AppData\Local\Temp\OnboardLogs"\RTDC4055\2017-04-29 --exclude "*" --recursive --include "*20170429*" &amp; "%USERPROFILE%\Documents\GitHub\mrs-test-scripts\Headless Mode &amp; Sideloading\WalkAndUnGZ.bat" "%USERPROFILE%\AppData\Local\Temp\OnboardLogs"\RTDC4055\2017-04-29 &amp; aws s3 cp s3://rtdc.mdm.uploadarchive.raw/RTDC4055/ "%USERPROFILE%\AppData\Local\Temp\OnboardLogs"\RTDC4055\2017-04-30 --exclude "*" --recursive --include "*20170430*" &amp; "%USERPROFILE%\Documents\GitHub\mrs-test-scripts\Headless Mode &amp; Sideloading\WalkAndUnGZ.bat" "%USERPROFILE%\AppData\Local\Temp\OnboardLogs"\RTDC4055\2017-04-30</v>
      </c>
      <c r="AF210" s="77" t="str">
        <f t="shared" si="85"/>
        <v>"C:\Program Files (x86)\AstroGrep\AstroGrep.exe" /e /r /s /spath="%USERPROFILE%\AppData\Local\Temp\OnboardLogs" /stypes="app*4055*20170429*" /stext=" 10:.+((SYSTEM_STATE.+slice.+state.+changed )|(ment ac)|(multiple cpu faults)|(system.+state.+changed )|(\[timeout)|(PRM\|1\|D)|(kpr)|(kdp)|(train.+moving)|(\|lc)|(penalty))"</v>
      </c>
      <c r="AG210" s="1" t="str">
        <f t="shared" si="86"/>
        <v>Other</v>
      </c>
      <c r="AH210" s="81" t="str">
        <f t="shared" si="70"/>
        <v>"%USERPROFILE%\Documents\GitHub\eaglep3\Utilities\RefineRTDCRunTimes.py" --tripid 4055-29 --locoid 4055 --swversion DE.1.0.9.0 --startMP 300:58638 --initTime 2017-04-29T03:51:57 --startdatetime 2017-04-29T03:53:37 --delay 0 --endMP 300:21539 --enddatetime 2017-04-29T04:01:01 --enforcementcount 0 &gt;&gt;C:\Users\stu\Documents\GitHub\eaglep3-reporting\EC\2017-04-29-refined-times.txt</v>
      </c>
      <c r="AI210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{"issue":{"subject":"","project_id":79,"tracker_id":40,"status_id":1,"priority_id":2,"assigned_to_id":23,"start_date":"2017-04-29","description":"","custom_fields":[{"id":1,"name":"Subdivision","value":"Other"},{"id":4,"name":"Milepost","value":"2.1539"},{"id":17,"name":"Train ID","value":"4055-29"},{"id":16,"name":"Locomotive ID","value":"4055"},{"id":130,"name":"Impact","value":""},{"id":150,"name":"Time of Event (Mountain Time)","value":"04:01:01"},{"id":151,"name":"Denver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72"/>
        <v>start /low /b %USERPROFILE%\Documents\GitHub\eaglep3\Utilities\DownloadLogsFromS3.py --loco 4055 --day 2017-04-29</v>
      </c>
      <c r="AN210" s="154" t="str">
        <f t="shared" si="7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10:01:01"},{"id":29,"name":"Sharepoint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91" x14ac:dyDescent="0.25">
      <c r="A211" s="32" t="s">
        <v>557</v>
      </c>
      <c r="B211" s="7">
        <v>4056</v>
      </c>
      <c r="C211" s="21" t="s">
        <v>212</v>
      </c>
      <c r="D211" s="21" t="s">
        <v>965</v>
      </c>
      <c r="E211" s="13">
        <v>42854.150370370371</v>
      </c>
      <c r="F211" s="13">
        <v>42854.169872685183</v>
      </c>
      <c r="G211" s="7">
        <v>0</v>
      </c>
      <c r="H211" s="21" t="s">
        <v>966</v>
      </c>
      <c r="I211" s="13">
        <v>42854.172453703701</v>
      </c>
      <c r="J211" s="7">
        <v>0</v>
      </c>
      <c r="K211" s="92" t="str">
        <f t="shared" si="74"/>
        <v>4055/4056</v>
      </c>
      <c r="L211" s="21" t="str">
        <f>VLOOKUP(A211,'Trips&amp;Operators'!$C$1:$G$99999,5,FALSE)</f>
        <v>BEAM ROSS</v>
      </c>
      <c r="M211" s="6">
        <f t="shared" si="75"/>
        <v>2.5810185179580003E-3</v>
      </c>
      <c r="N211" s="7">
        <f t="shared" si="69"/>
        <v>3.7166666658595204</v>
      </c>
      <c r="O211" s="7"/>
      <c r="P211" s="7"/>
      <c r="Q211" s="22"/>
      <c r="R211" s="190"/>
      <c r="S211" s="196">
        <f t="shared" si="76"/>
        <v>0</v>
      </c>
      <c r="T211" s="190" t="str">
        <f t="shared" si="77"/>
        <v>Southbound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1" t="str">
        <f t="shared" si="78"/>
        <v>https://d0f6bd738d7f1b3e5a7ca70fe4ff75f0.us-east-1.aws.found.io/app/kibana#/discover/Steve-Slow-Train-Analysis-(2080s-and-2083s)?_g=(refreshInterval:(display:Off,pause:!f,section:0,value:0),time:(from:'2017-04-29T02:36:32-0600',mode:absolute,to:'2017-04-29T05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1" s="192" t="str">
        <f t="shared" si="79"/>
        <v>N</v>
      </c>
      <c r="X211" s="192">
        <f t="shared" si="87"/>
        <v>1</v>
      </c>
      <c r="Y211" s="192">
        <f t="shared" si="80"/>
        <v>0.1172</v>
      </c>
      <c r="Z211" s="192">
        <f t="shared" si="81"/>
        <v>5.8960999999999997</v>
      </c>
      <c r="AA211" s="192">
        <f t="shared" si="82"/>
        <v>5.7788999999999993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83"/>
        <v>4056-29</v>
      </c>
      <c r="AE211" s="80" t="str">
        <f t="shared" si="84"/>
        <v>aws s3 cp s3://rtdc.mdm.uploadarchive.raw/RTDC4056/ "%USERPROFILE%\AppData\Local\Temp\OnboardLogs"\RTDC4056\2017-04-29 --exclude "*" --recursive --include "*20170429*" &amp; "%USERPROFILE%\Documents\GitHub\mrs-test-scripts\Headless Mode &amp; Sideloading\WalkAndUnGZ.bat" "%USERPROFILE%\AppData\Local\Temp\OnboardLogs"\RTDC4056\2017-04-29 &amp; aws s3 cp s3://rtdc.mdm.uploadarchive.raw/RTDC4056/ "%USERPROFILE%\AppData\Local\Temp\OnboardLogs"\RTDC4056\2017-04-30 --exclude "*" --recursive --include "*20170430*" &amp; "%USERPROFILE%\Documents\GitHub\mrs-test-scripts\Headless Mode &amp; Sideloading\WalkAndUnGZ.bat" "%USERPROFILE%\AppData\Local\Temp\OnboardLogs"\RTDC4056\2017-04-30</v>
      </c>
      <c r="AF211" s="77" t="str">
        <f t="shared" si="85"/>
        <v>"C:\Program Files (x86)\AstroGrep\AstroGrep.exe" /e /r /s /spath="%USERPROFILE%\AppData\Local\Temp\OnboardLogs" /stypes="app*4056*20170429*" /stext=" 10:.+((SYSTEM_STATE.+slice.+state.+changed )|(ment ac)|(multiple cpu faults)|(system.+state.+changed )|(\[timeout)|(PRM\|1\|D)|(kpr)|(kdp)|(train.+moving)|(\|lc)|(penalty))"</v>
      </c>
      <c r="AG211" s="1" t="str">
        <f t="shared" si="86"/>
        <v>Other</v>
      </c>
      <c r="AH211" s="81" t="str">
        <f t="shared" si="70"/>
        <v>"%USERPROFILE%\Documents\GitHub\eaglep3\Utilities\RefineRTDCRunTimes.py" --tripid 4056-29 --locoid 4056 --swversion DE.1.0.9.0 --startMP 204:1172 --initTime 2017-04-29T03:36:32 --startdatetime 2017-04-29T04:04:37 --delay 0 --endMP 300:58961 --enddatetime 2017-04-29T04:08:20 --enforcementcount 0 &gt;&gt;C:\Users\stu\Documents\GitHub\eaglep3-reporting\EC\2017-04-29-refined-times.txt</v>
      </c>
      <c r="AI211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{"issue":{"subject":"","project_id":79,"tracker_id":40,"status_id":1,"priority_id":2,"assigned_to_id":23,"start_date":"2017-04-29","description":"","custom_fields":[{"id":1,"name":"Subdivision","value":"Other"},{"id":4,"name":"Milepost","value":"5.8961"},{"id":17,"name":"Train ID","value":"4056-29"},{"id":16,"name":"Locomotive ID","value":"4056"},{"id":130,"name":"Impact","value":""},{"id":150,"name":"Time of Event (Mountain Time)","value":"04:08:20"},{"id":151,"name":"Denver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72"/>
        <v>start /low /b %USERPROFILE%\Documents\GitHub\eaglep3\Utilities\DownloadLogsFromS3.py --loco 4056 --day 2017-04-29</v>
      </c>
      <c r="AN211" s="154" t="str">
        <f t="shared" si="7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10:08:20"},{"id":29,"name":"Sharepoint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91" s="20" customFormat="1" x14ac:dyDescent="0.25">
      <c r="A212" s="32" t="s">
        <v>557</v>
      </c>
      <c r="B212" s="7">
        <v>4056</v>
      </c>
      <c r="C212" s="21" t="s">
        <v>212</v>
      </c>
      <c r="D212" s="21" t="s">
        <v>967</v>
      </c>
      <c r="E212" s="13">
        <v>42854.094699074078</v>
      </c>
      <c r="F212" s="13">
        <v>42854.097812499997</v>
      </c>
      <c r="G212" s="7">
        <v>1</v>
      </c>
      <c r="H212" s="21" t="s">
        <v>410</v>
      </c>
      <c r="I212" s="13">
        <v>42854.120520833334</v>
      </c>
      <c r="J212" s="7">
        <v>0</v>
      </c>
      <c r="K212" s="92" t="str">
        <f t="shared" si="74"/>
        <v>4055/4056</v>
      </c>
      <c r="L212" s="21" t="str">
        <f>VLOOKUP(A212,'Trips&amp;Operators'!$C$1:$G$99999,5,FALSE)</f>
        <v>BEAM ROSS</v>
      </c>
      <c r="M212" s="6">
        <f t="shared" si="75"/>
        <v>2.2708333337504882E-2</v>
      </c>
      <c r="N212" s="7">
        <f t="shared" si="69"/>
        <v>32.700000006007031</v>
      </c>
      <c r="O212" s="7"/>
      <c r="P212" s="7"/>
      <c r="Q212" s="22"/>
      <c r="R212" s="190"/>
      <c r="S212" s="196">
        <f t="shared" si="76"/>
        <v>0</v>
      </c>
      <c r="T212" s="190" t="str">
        <f t="shared" si="77"/>
        <v>Southbound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1" t="str">
        <f t="shared" si="78"/>
        <v>https://d0f6bd738d7f1b3e5a7ca70fe4ff75f0.us-east-1.aws.found.io/app/kibana#/discover/Steve-Slow-Train-Analysis-(2080s-and-2083s)?_g=(refreshInterval:(display:Off,pause:!f,section:0,value:0),time:(from:'2017-04-29T01:16:22-0600',mode:absolute,to:'2017-04-29T03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2" s="192" t="str">
        <f t="shared" si="79"/>
        <v>N</v>
      </c>
      <c r="X212" s="192">
        <f t="shared" si="87"/>
        <v>0</v>
      </c>
      <c r="Y212" s="192">
        <f t="shared" si="80"/>
        <v>0.127</v>
      </c>
      <c r="Z212" s="192">
        <f t="shared" si="81"/>
        <v>23.3291</v>
      </c>
      <c r="AA212" s="192">
        <f t="shared" si="82"/>
        <v>23.202100000000002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83"/>
        <v>4056-29</v>
      </c>
      <c r="AE212" s="80" t="str">
        <f t="shared" si="84"/>
        <v>aws s3 cp s3://rtdc.mdm.uploadarchive.raw/RTDC4056/ "%USERPROFILE%\AppData\Local\Temp\OnboardLogs"\RTDC4056\2017-04-29 --exclude "*" --recursive --include "*20170429*" &amp; "%USERPROFILE%\Documents\GitHub\mrs-test-scripts\Headless Mode &amp; Sideloading\WalkAndUnGZ.bat" "%USERPROFILE%\AppData\Local\Temp\OnboardLogs"\RTDC4056\2017-04-29 &amp; aws s3 cp s3://rtdc.mdm.uploadarchive.raw/RTDC4056/ "%USERPROFILE%\AppData\Local\Temp\OnboardLogs"\RTDC4056\2017-04-30 --exclude "*" --recursive --include "*20170430*" &amp; "%USERPROFILE%\Documents\GitHub\mrs-test-scripts\Headless Mode &amp; Sideloading\WalkAndUnGZ.bat" "%USERPROFILE%\AppData\Local\Temp\OnboardLogs"\RTDC4056\2017-04-30</v>
      </c>
      <c r="AF212" s="77" t="str">
        <f t="shared" si="85"/>
        <v>"C:\Program Files (x86)\AstroGrep\AstroGrep.exe" /e /r /s /spath="%USERPROFILE%\AppData\Local\Temp\OnboardLogs" /stypes="app*4056*20170429*" /stext=" 08:.+((SYSTEM_STATE.+slice.+state.+changed )|(ment ac)|(multiple cpu faults)|(system.+state.+changed )|(\[timeout)|(PRM\|1\|D)|(kpr)|(kdp)|(train.+moving)|(\|lc)|(penalty))"</v>
      </c>
      <c r="AG212" s="1" t="str">
        <f t="shared" si="86"/>
        <v>Other</v>
      </c>
      <c r="AH212" s="81" t="str">
        <f t="shared" si="70"/>
        <v>"%USERPROFILE%\Documents\GitHub\eaglep3\Utilities\RefineRTDCRunTimes.py" --tripid 4056-29 --locoid 4056 --swversion DE.1.0.9.0 --startMP 204:1270 --initTime 2017-04-29T02:16:22 --startdatetime 2017-04-29T02:20:51 --delay 1 --endMP 204:233291 --enddatetime 2017-04-29T02:53:33 --enforcementcount 0 &gt;&gt;C:\Users\stu\Documents\GitHub\eaglep3-reporting\EC\2017-04-29-refined-times.txt</v>
      </c>
      <c r="AI212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{"issue":{"subject":"","project_id":79,"tracker_id":40,"status_id":1,"priority_id":2,"assigned_to_id":23,"start_date":"2017-04-29","description":"","custom_fields":[{"id":1,"name":"Subdivision","value":"Other"},{"id":4,"name":"Milepost","value":"23.3291"},{"id":17,"name":"Train ID","value":"4056-29"},{"id":16,"name":"Locomotive ID","value":"4056"},{"id":130,"name":"Impact","value":""},{"id":150,"name":"Time of Event (Mountain Time)","value":"02:53:33"},{"id":151,"name":"Denver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2" s="47"/>
      <c r="AL212" s="47"/>
      <c r="AM212" s="145" t="str">
        <f t="shared" si="72"/>
        <v>start /low /b %USERPROFILE%\Documents\GitHub\eaglep3\Utilities\DownloadLogsFromS3.py --loco 4056 --day 2017-04-29</v>
      </c>
      <c r="AN212" s="154" t="str">
        <f t="shared" si="7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08:53:33"},{"id":29,"name":"Sharepoint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2" t="s">
        <v>557</v>
      </c>
      <c r="B213" s="7">
        <v>4056</v>
      </c>
      <c r="C213" s="21" t="s">
        <v>212</v>
      </c>
      <c r="D213" s="21" t="s">
        <v>968</v>
      </c>
      <c r="E213" s="13">
        <v>42854.168321759258</v>
      </c>
      <c r="F213" s="13">
        <v>42854.169872685183</v>
      </c>
      <c r="G213" s="7">
        <v>0</v>
      </c>
      <c r="H213" s="21" t="s">
        <v>969</v>
      </c>
      <c r="I213" s="13">
        <v>42854.172453703701</v>
      </c>
      <c r="J213" s="7">
        <v>0</v>
      </c>
      <c r="K213" s="92" t="str">
        <f t="shared" si="74"/>
        <v>4055/4056</v>
      </c>
      <c r="L213" s="21" t="str">
        <f>VLOOKUP(A213,'Trips&amp;Operators'!$C$1:$G$99999,5,FALSE)</f>
        <v>BEAM ROSS</v>
      </c>
      <c r="M213" s="6">
        <f t="shared" si="75"/>
        <v>2.5810185179580003E-3</v>
      </c>
      <c r="N213" s="7">
        <f t="shared" si="69"/>
        <v>3.7166666658595204</v>
      </c>
      <c r="O213" s="7"/>
      <c r="P213" s="7"/>
      <c r="Q213" s="22"/>
      <c r="R213" s="190"/>
      <c r="S213" s="196">
        <f t="shared" si="76"/>
        <v>0</v>
      </c>
      <c r="T213" s="190" t="str">
        <f t="shared" si="77"/>
        <v>Southbound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1" t="str">
        <f t="shared" si="78"/>
        <v>https://d0f6bd738d7f1b3e5a7ca70fe4ff75f0.us-east-1.aws.found.io/app/kibana#/discover/Steve-Slow-Train-Analysis-(2080s-and-2083s)?_g=(refreshInterval:(display:Off,pause:!f,section:0,value:0),time:(from:'2017-04-29T03:02:23-0600',mode:absolute,to:'2017-04-29T05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3" s="192" t="str">
        <f t="shared" si="79"/>
        <v>Y</v>
      </c>
      <c r="X213" s="192">
        <f t="shared" si="87"/>
        <v>0</v>
      </c>
      <c r="Y213" s="192">
        <f t="shared" si="80"/>
        <v>2.1850000000000001</v>
      </c>
      <c r="Z213" s="192">
        <f t="shared" si="81"/>
        <v>2.4218000000000002</v>
      </c>
      <c r="AA213" s="192">
        <f t="shared" si="82"/>
        <v>0.23680000000000012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83"/>
        <v>4056-29</v>
      </c>
      <c r="AE213" s="80" t="str">
        <f t="shared" si="84"/>
        <v>aws s3 cp s3://rtdc.mdm.uploadarchive.raw/RTDC4056/ "%USERPROFILE%\AppData\Local\Temp\OnboardLogs"\RTDC4056\2017-04-29 --exclude "*" --recursive --include "*20170429*" &amp; "%USERPROFILE%\Documents\GitHub\mrs-test-scripts\Headless Mode &amp; Sideloading\WalkAndUnGZ.bat" "%USERPROFILE%\AppData\Local\Temp\OnboardLogs"\RTDC4056\2017-04-29 &amp; aws s3 cp s3://rtdc.mdm.uploadarchive.raw/RTDC4056/ "%USERPROFILE%\AppData\Local\Temp\OnboardLogs"\RTDC4056\2017-04-30 --exclude "*" --recursive --include "*20170430*" &amp; "%USERPROFILE%\Documents\GitHub\mrs-test-scripts\Headless Mode &amp; Sideloading\WalkAndUnGZ.bat" "%USERPROFILE%\AppData\Local\Temp\OnboardLogs"\RTDC4056\2017-04-30</v>
      </c>
      <c r="AF213" s="77" t="str">
        <f t="shared" si="85"/>
        <v>"C:\Program Files (x86)\AstroGrep\AstroGrep.exe" /e /r /s /spath="%USERPROFILE%\AppData\Local\Temp\OnboardLogs" /stypes="app*4056*20170429*" /stext=" 10:.+((SYSTEM_STATE.+slice.+state.+changed )|(ment ac)|(multiple cpu faults)|(system.+state.+changed )|(\[timeout)|(PRM\|1\|D)|(kpr)|(kdp)|(train.+moving)|(\|lc)|(penalty))"</v>
      </c>
      <c r="AG213" s="1" t="str">
        <f t="shared" si="86"/>
        <v>Other</v>
      </c>
      <c r="AH213" s="81" t="str">
        <f t="shared" si="70"/>
        <v>"%USERPROFILE%\Documents\GitHub\eaglep3\Utilities\RefineRTDCRunTimes.py" --tripid 4056-29 --locoid 4056 --swversion DE.1.0.9.0 --startMP 300:21850 --initTime 2017-04-29T04:02:23 --startdatetime 2017-04-29T04:04:37 --delay 0 --endMP 300:24218 --enddatetime 2017-04-29T04:08:20 --enforcementcount 0 &gt;&gt;C:\Users\stu\Documents\GitHub\eaglep3-reporting\EC\2017-04-29-refined-times.txt</v>
      </c>
      <c r="AI213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{"issue":{"subject":"","project_id":79,"tracker_id":40,"status_id":1,"priority_id":2,"assigned_to_id":23,"start_date":"2017-04-29","description":"","custom_fields":[{"id":1,"name":"Subdivision","value":"Other"},{"id":4,"name":"Milepost","value":"2.4218"},{"id":17,"name":"Train ID","value":"4056-29"},{"id":16,"name":"Locomotive ID","value":"4056"},{"id":130,"name":"Impact","value":""},{"id":150,"name":"Time of Event (Mountain Time)","value":"04:08:20"},{"id":151,"name":"Denver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72"/>
        <v>start /low /b %USERPROFILE%\Documents\GitHub\eaglep3\Utilities\DownloadLogsFromS3.py --loco 4056 --day 2017-04-29</v>
      </c>
      <c r="AN213" s="154" t="str">
        <f t="shared" si="7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10:08:20"},{"id":29,"name":"Sharepoint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91" x14ac:dyDescent="0.25">
      <c r="A214" s="32" t="s">
        <v>697</v>
      </c>
      <c r="B214" s="7">
        <v>4040</v>
      </c>
      <c r="C214" s="21" t="s">
        <v>212</v>
      </c>
      <c r="D214" s="21" t="s">
        <v>970</v>
      </c>
      <c r="E214" s="13">
        <v>42854.486331018517</v>
      </c>
      <c r="F214" s="13">
        <v>42854.497141203705</v>
      </c>
      <c r="G214" s="7">
        <v>1</v>
      </c>
      <c r="H214" s="21" t="s">
        <v>971</v>
      </c>
      <c r="I214" s="13">
        <v>42854.502881944441</v>
      </c>
      <c r="J214" s="7">
        <v>0</v>
      </c>
      <c r="K214" s="92" t="str">
        <f t="shared" si="74"/>
        <v>4039/4040</v>
      </c>
      <c r="L214" s="21" t="str">
        <f>VLOOKUP(A214,'Trips&amp;Operators'!$C$1:$G$99999,5,FALSE)</f>
        <v>DAVIS WENDY</v>
      </c>
      <c r="M214" s="6">
        <f t="shared" si="75"/>
        <v>5.7407407366554253E-3</v>
      </c>
      <c r="N214" s="7">
        <f t="shared" si="69"/>
        <v>8.2666666607838124</v>
      </c>
      <c r="O214" s="7"/>
      <c r="P214" s="7"/>
      <c r="Q214" s="22"/>
      <c r="R214" s="190"/>
      <c r="S214" s="196">
        <f t="shared" si="76"/>
        <v>0</v>
      </c>
      <c r="T214" s="190" t="e">
        <f t="shared" si="77"/>
        <v>#VALUE!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1" t="str">
        <f t="shared" si="78"/>
        <v>https://d0f6bd738d7f1b3e5a7ca70fe4ff75f0.us-east-1.aws.found.io/app/kibana#/discover/Steve-Slow-Train-Analysis-(2080s-and-2083s)?_g=(refreshInterval:(display:Off,pause:!f,section:0,value:0),time:(from:'2017-04-29T10:40:19-0600',mode:absolute,to:'2017-04-29T13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4" s="192" t="str">
        <f t="shared" si="79"/>
        <v>Y</v>
      </c>
      <c r="X214" s="192" t="e">
        <f t="shared" si="87"/>
        <v>#VALUE!</v>
      </c>
      <c r="Y214" s="192">
        <f t="shared" si="80"/>
        <v>0.15490000000000001</v>
      </c>
      <c r="Z214" s="192">
        <f t="shared" si="81"/>
        <v>2.4485000000000001</v>
      </c>
      <c r="AA214" s="192">
        <f t="shared" si="82"/>
        <v>2.2936000000000001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83"/>
        <v>50-29</v>
      </c>
      <c r="AE214" s="80" t="str">
        <f t="shared" si="84"/>
        <v>aws s3 cp s3://rtdc.mdm.uploadarchive.raw/RTDC4040/ "%USERPROFILE%\AppData\Local\Temp\OnboardLogs"\RTDC4040\2017-04-29 --exclude "*" --recursive --include "*20170429*" &amp; "%USERPROFILE%\Documents\GitHub\mrs-test-scripts\Headless Mode &amp; Sideloading\WalkAndUnGZ.bat" "%USERPROFILE%\AppData\Local\Temp\OnboardLogs"\RTDC4040\2017-04-29 &amp; aws s3 cp s3://rtdc.mdm.uploadarchive.raw/RTDC4040/ "%USERPROFILE%\AppData\Local\Temp\OnboardLogs"\RTDC4040\2017-04-30 --exclude "*" --recursive --include "*20170430*" &amp; "%USERPROFILE%\Documents\GitHub\mrs-test-scripts\Headless Mode &amp; Sideloading\WalkAndUnGZ.bat" "%USERPROFILE%\AppData\Local\Temp\OnboardLogs"\RTDC4040\2017-04-30</v>
      </c>
      <c r="AF214" s="77" t="str">
        <f t="shared" si="85"/>
        <v>"C:\Program Files (x86)\AstroGrep\AstroGrep.exe" /e /r /s /spath="%USERPROFILE%\AppData\Local\Temp\OnboardLogs" /stypes="app*4040*20170429*" /stext=" 18:.+((SYSTEM_STATE.+slice.+state.+changed )|(ment ac)|(multiple cpu faults)|(system.+state.+changed )|(\[timeout)|(PRM\|1\|D)|(kpr)|(kdp)|(train.+moving)|(\|lc)|(penalty))"</v>
      </c>
      <c r="AG214" s="1" t="str">
        <f t="shared" si="86"/>
        <v>Other</v>
      </c>
      <c r="AH214" s="81" t="str">
        <f t="shared" si="70"/>
        <v>"%USERPROFILE%\Documents\GitHub\eaglep3\Utilities\RefineRTDCRunTimes.py" --tripid 50-29 --locoid 4040 --swversion DE.1.0.9.0 --startMP 204:1549 --initTime 2017-04-29T11:40:19 --startdatetime 2017-04-29T11:55:53 --delay 1 --endMP 300:24485 --enddatetime 2017-04-29T12:04:09 --enforcementcount 0 &gt;&gt;C:\Users\stu\Documents\GitHub\eaglep3-reporting\EC\2017-04-29-refined-times.txt</v>
      </c>
      <c r="AI214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{"issue":{"subject":"","project_id":79,"tracker_id":40,"status_id":1,"priority_id":2,"assigned_to_id":23,"start_date":"2017-04-29","description":"","custom_fields":[{"id":1,"name":"Subdivision","value":"Other"},{"id":4,"name":"Milepost","value":"2.4485"},{"id":17,"name":"Train ID","value":"50-29"},{"id":16,"name":"Locomotive ID","value":"4040"},{"id":130,"name":"Impact","value":""},{"id":150,"name":"Time of Event (Mountain Time)","value":"12:04:09"},{"id":151,"name":"Denver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72"/>
        <v>start /low /b %USERPROFILE%\Documents\GitHub\eaglep3\Utilities\DownloadLogsFromS3.py --loco 4040 --day 2017-04-29</v>
      </c>
      <c r="AN214" s="154" t="str">
        <f t="shared" si="7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18:04:09"},{"id":29,"name":"Sharepoint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91" x14ac:dyDescent="0.25">
      <c r="A215" s="32" t="s">
        <v>697</v>
      </c>
      <c r="B215" s="7">
        <v>4040</v>
      </c>
      <c r="C215" s="21" t="s">
        <v>212</v>
      </c>
      <c r="D215" s="21" t="s">
        <v>971</v>
      </c>
      <c r="E215" s="13">
        <v>42854.486331018517</v>
      </c>
      <c r="F215" s="13">
        <v>42854.497141203705</v>
      </c>
      <c r="G215" s="7">
        <v>26</v>
      </c>
      <c r="H215" s="21" t="s">
        <v>971</v>
      </c>
      <c r="I215" s="13">
        <v>42854.502881944441</v>
      </c>
      <c r="J215" s="7">
        <v>0</v>
      </c>
      <c r="K215" s="92" t="str">
        <f t="shared" si="74"/>
        <v>4039/4040</v>
      </c>
      <c r="L215" s="21" t="str">
        <f>VLOOKUP(A215,'Trips&amp;Operators'!$C$1:$G$99999,5,FALSE)</f>
        <v>DAVIS WENDY</v>
      </c>
      <c r="M215" s="6">
        <f t="shared" si="75"/>
        <v>5.7407407366554253E-3</v>
      </c>
      <c r="N215" s="7">
        <f t="shared" si="69"/>
        <v>8.2666666607838124</v>
      </c>
      <c r="O215" s="7"/>
      <c r="P215" s="7"/>
      <c r="Q215" s="22"/>
      <c r="R215" s="190"/>
      <c r="S215" s="196">
        <f t="shared" si="76"/>
        <v>0</v>
      </c>
      <c r="T215" s="190" t="e">
        <f t="shared" si="77"/>
        <v>#VALUE!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1" t="str">
        <f t="shared" si="78"/>
        <v>https://d0f6bd738d7f1b3e5a7ca70fe4ff75f0.us-east-1.aws.found.io/app/kibana#/discover/Steve-Slow-Train-Analysis-(2080s-and-2083s)?_g=(refreshInterval:(display:Off,pause:!f,section:0,value:0),time:(from:'2017-04-29T10:40:19-0600',mode:absolute,to:'2017-04-29T13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5" s="192" t="str">
        <f t="shared" si="79"/>
        <v>Y</v>
      </c>
      <c r="X215" s="192" t="e">
        <f t="shared" si="87"/>
        <v>#VALUE!</v>
      </c>
      <c r="Y215" s="192">
        <f t="shared" si="80"/>
        <v>2.4485000000000001</v>
      </c>
      <c r="Z215" s="192">
        <f t="shared" si="81"/>
        <v>2.4485000000000001</v>
      </c>
      <c r="AA215" s="192">
        <f t="shared" si="82"/>
        <v>0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83"/>
        <v>50-29</v>
      </c>
      <c r="AE215" s="80" t="str">
        <f t="shared" si="84"/>
        <v>aws s3 cp s3://rtdc.mdm.uploadarchive.raw/RTDC4040/ "%USERPROFILE%\AppData\Local\Temp\OnboardLogs"\RTDC4040\2017-04-29 --exclude "*" --recursive --include "*20170429*" &amp; "%USERPROFILE%\Documents\GitHub\mrs-test-scripts\Headless Mode &amp; Sideloading\WalkAndUnGZ.bat" "%USERPROFILE%\AppData\Local\Temp\OnboardLogs"\RTDC4040\2017-04-29 &amp; aws s3 cp s3://rtdc.mdm.uploadarchive.raw/RTDC4040/ "%USERPROFILE%\AppData\Local\Temp\OnboardLogs"\RTDC4040\2017-04-30 --exclude "*" --recursive --include "*20170430*" &amp; "%USERPROFILE%\Documents\GitHub\mrs-test-scripts\Headless Mode &amp; Sideloading\WalkAndUnGZ.bat" "%USERPROFILE%\AppData\Local\Temp\OnboardLogs"\RTDC4040\2017-04-30</v>
      </c>
      <c r="AF215" s="77" t="str">
        <f t="shared" si="85"/>
        <v>"C:\Program Files (x86)\AstroGrep\AstroGrep.exe" /e /r /s /spath="%USERPROFILE%\AppData\Local\Temp\OnboardLogs" /stypes="app*4040*20170429*" /stext=" 18:.+((SYSTEM_STATE.+slice.+state.+changed )|(ment ac)|(multiple cpu faults)|(system.+state.+changed )|(\[timeout)|(PRM\|1\|D)|(kpr)|(kdp)|(train.+moving)|(\|lc)|(penalty))"</v>
      </c>
      <c r="AG215" s="1" t="str">
        <f t="shared" si="86"/>
        <v>Other</v>
      </c>
      <c r="AH215" s="81" t="str">
        <f t="shared" si="70"/>
        <v>"%USERPROFILE%\Documents\GitHub\eaglep3\Utilities\RefineRTDCRunTimes.py" --tripid 50-29 --locoid 4040 --swversion DE.1.0.9.0 --startMP 300:24485 --initTime 2017-04-29T11:40:19 --startdatetime 2017-04-29T11:55:53 --delay 26 --endMP 300:24485 --enddatetime 2017-04-29T12:04:09 --enforcementcount 0 &gt;&gt;C:\Users\stu\Documents\GitHub\eaglep3-reporting\EC\2017-04-29-refined-times.txt</v>
      </c>
      <c r="AI215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{"issue":{"subject":"","project_id":79,"tracker_id":40,"status_id":1,"priority_id":2,"assigned_to_id":23,"start_date":"2017-04-29","description":"","custom_fields":[{"id":1,"name":"Subdivision","value":"Other"},{"id":4,"name":"Milepost","value":"2.4485"},{"id":17,"name":"Train ID","value":"50-29"},{"id":16,"name":"Locomotive ID","value":"4040"},{"id":130,"name":"Impact","value":""},{"id":150,"name":"Time of Event (Mountain Time)","value":"12:04:09"},{"id":151,"name":"Denver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72"/>
        <v>start /low /b %USERPROFILE%\Documents\GitHub\eaglep3\Utilities\DownloadLogsFromS3.py --loco 4040 --day 2017-04-29</v>
      </c>
      <c r="AN215" s="154" t="str">
        <f t="shared" si="7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18:04:09"},{"id":29,"name":"Sharepoint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91" x14ac:dyDescent="0.25">
      <c r="A216" s="32" t="s">
        <v>648</v>
      </c>
      <c r="B216" s="7">
        <v>4001</v>
      </c>
      <c r="C216" s="21" t="s">
        <v>212</v>
      </c>
      <c r="D216" s="21" t="s">
        <v>972</v>
      </c>
      <c r="E216" s="13">
        <v>42854.256296296298</v>
      </c>
      <c r="F216" s="13">
        <v>42854.257708333331</v>
      </c>
      <c r="G216" s="7">
        <v>1</v>
      </c>
      <c r="H216" s="21" t="s">
        <v>973</v>
      </c>
      <c r="I216" s="13">
        <v>42854.258900462963</v>
      </c>
      <c r="J216" s="7">
        <v>0</v>
      </c>
      <c r="K216" s="92" t="str">
        <f t="shared" si="74"/>
        <v>4001/4002</v>
      </c>
      <c r="L216" s="21" t="str">
        <f>VLOOKUP(A216,'Trips&amp;Operators'!$C$1:$G$99999,5,FALSE)</f>
        <v>DE LA ROSA ALEX</v>
      </c>
      <c r="M216" s="6">
        <f t="shared" si="75"/>
        <v>1.1921296318178065E-3</v>
      </c>
      <c r="N216" s="7">
        <f t="shared" si="69"/>
        <v>1.7166666698176414</v>
      </c>
      <c r="O216" s="7"/>
      <c r="P216" s="7"/>
      <c r="Q216" s="22"/>
      <c r="R216" s="190"/>
      <c r="S216" s="196">
        <f t="shared" si="76"/>
        <v>0</v>
      </c>
      <c r="T216" s="190" t="e">
        <f t="shared" si="77"/>
        <v>#VALUE!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 t="shared" si="78"/>
        <v>https://d0f6bd738d7f1b3e5a7ca70fe4ff75f0.us-east-1.aws.found.io/app/kibana#/discover/Steve-Slow-Train-Analysis-(2080s-and-2083s)?_g=(refreshInterval:(display:Off,pause:!f,section:0,value:0),time:(from:'2017-04-29T05:09:04-0600',mode:absolute,to:'2017-04-29T07:12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6" s="192" t="str">
        <f t="shared" si="79"/>
        <v>Y</v>
      </c>
      <c r="X216" s="192" t="e">
        <f t="shared" si="87"/>
        <v>#VALUE!</v>
      </c>
      <c r="Y216" s="192">
        <f t="shared" si="80"/>
        <v>0.33019999999999999</v>
      </c>
      <c r="Z216" s="192">
        <f t="shared" si="81"/>
        <v>0.11650000000000001</v>
      </c>
      <c r="AA216" s="192">
        <f t="shared" si="82"/>
        <v>0.2137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83"/>
        <v>51-29</v>
      </c>
      <c r="AE216" s="80" t="str">
        <f t="shared" si="84"/>
        <v>aws s3 cp s3://rtdc.mdm.uploadarchive.raw/RTDC4001/ "%USERPROFILE%\AppData\Local\Temp\OnboardLogs"\RTDC4001\2017-04-29 --exclude "*" --recursive --include "*20170429*" &amp; "%USERPROFILE%\Documents\GitHub\mrs-test-scripts\Headless Mode &amp; Sideloading\WalkAndUnGZ.bat" "%USERPROFILE%\AppData\Local\Temp\OnboardLogs"\RTDC4001\2017-04-29 &amp; aws s3 cp s3://rtdc.mdm.uploadarchive.raw/RTDC4001/ "%USERPROFILE%\AppData\Local\Temp\OnboardLogs"\RTDC4001\2017-04-30 --exclude "*" --recursive --include "*20170430*" &amp; "%USERPROFILE%\Documents\GitHub\mrs-test-scripts\Headless Mode &amp; Sideloading\WalkAndUnGZ.bat" "%USERPROFILE%\AppData\Local\Temp\OnboardLogs"\RTDC4001\2017-04-30</v>
      </c>
      <c r="AF216" s="77" t="str">
        <f t="shared" si="85"/>
        <v>"C:\Program Files (x86)\AstroGrep\AstroGrep.exe" /e /r /s /spath="%USERPROFILE%\AppData\Local\Temp\OnboardLogs" /stypes="app*4001*20170429*" /stext=" 12:.+((SYSTEM_STATE.+slice.+state.+changed )|(ment ac)|(multiple cpu faults)|(system.+state.+changed )|(\[timeout)|(PRM\|1\|D)|(kpr)|(kdp)|(train.+moving)|(\|lc)|(penalty))"</v>
      </c>
      <c r="AG216" s="1" t="str">
        <f t="shared" si="86"/>
        <v>Other</v>
      </c>
      <c r="AH216" s="81" t="str">
        <f t="shared" si="70"/>
        <v>"%USERPROFILE%\Documents\GitHub\eaglep3\Utilities\RefineRTDCRunTimes.py" --tripid 51-29 --locoid 4001 --swversion DE.1.0.9.0 --startMP 204:3302 --initTime 2017-04-29T06:09:04 --startdatetime 2017-04-29T06:11:06 --delay 1 --endMP 204:1165 --enddatetime 2017-04-29T06:12:49 --enforcementcount 0 &gt;&gt;C:\Users\stu\Documents\GitHub\eaglep3-reporting\EC\2017-04-29-refined-times.txt</v>
      </c>
      <c r="AI216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{"issue":{"subject":"","project_id":79,"tracker_id":40,"status_id":1,"priority_id":2,"assigned_to_id":23,"start_date":"2017-04-29","description":"","custom_fields":[{"id":1,"name":"Subdivision","value":"Other"},{"id":4,"name":"Milepost","value":"0.1165"},{"id":17,"name":"Train ID","value":"51-29"},{"id":16,"name":"Locomotive ID","value":"4001"},{"id":130,"name":"Impact","value":""},{"id":150,"name":"Time of Event (Mountain Time)","value":"06:12:49"},{"id":151,"name":"Denver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72"/>
        <v>start /low /b %USERPROFILE%\Documents\GitHub\eaglep3\Utilities\DownloadLogsFromS3.py --loco 4001 --day 2017-04-29</v>
      </c>
      <c r="AN216" s="154" t="str">
        <f t="shared" si="7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12:12:49"},{"id":29,"name":"Sharepoint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91" x14ac:dyDescent="0.25">
      <c r="A217" s="32" t="s">
        <v>648</v>
      </c>
      <c r="B217" s="7">
        <v>4002</v>
      </c>
      <c r="C217" s="21" t="s">
        <v>212</v>
      </c>
      <c r="D217" s="21" t="s">
        <v>443</v>
      </c>
      <c r="E217" s="13">
        <v>42854.252106481479</v>
      </c>
      <c r="F217" s="13">
        <v>42854.257708333331</v>
      </c>
      <c r="G217" s="7">
        <v>2</v>
      </c>
      <c r="H217" s="21" t="s">
        <v>974</v>
      </c>
      <c r="I217" s="13">
        <v>42854.258900462963</v>
      </c>
      <c r="J217" s="7">
        <v>0</v>
      </c>
      <c r="K217" s="92" t="str">
        <f t="shared" si="74"/>
        <v>4001/4002</v>
      </c>
      <c r="L217" s="21" t="str">
        <f>VLOOKUP(A217,'Trips&amp;Operators'!$C$1:$G$99999,5,FALSE)</f>
        <v>DE LA ROSA ALEX</v>
      </c>
      <c r="M217" s="6">
        <f t="shared" si="75"/>
        <v>1.1921296318178065E-3</v>
      </c>
      <c r="N217" s="7">
        <f t="shared" si="69"/>
        <v>1.7166666698176414</v>
      </c>
      <c r="O217" s="7"/>
      <c r="P217" s="7"/>
      <c r="Q217" s="22"/>
      <c r="R217" s="190"/>
      <c r="S217" s="196">
        <f t="shared" si="76"/>
        <v>0</v>
      </c>
      <c r="T217" s="190" t="e">
        <f t="shared" si="77"/>
        <v>#VALUE!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1" t="str">
        <f t="shared" si="78"/>
        <v>https://d0f6bd738d7f1b3e5a7ca70fe4ff75f0.us-east-1.aws.found.io/app/kibana#/discover/Steve-Slow-Train-Analysis-(2080s-and-2083s)?_g=(refreshInterval:(display:Off,pause:!f,section:0,value:0),time:(from:'2017-04-29T05:03:02-0600',mode:absolute,to:'2017-04-29T07:12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7" s="192" t="str">
        <f t="shared" si="79"/>
        <v>Y</v>
      </c>
      <c r="X217" s="192" t="e">
        <f t="shared" si="87"/>
        <v>#VALUE!</v>
      </c>
      <c r="Y217" s="192">
        <f t="shared" si="80"/>
        <v>4.7100000000000003E-2</v>
      </c>
      <c r="Z217" s="192">
        <f t="shared" si="81"/>
        <v>0.3609</v>
      </c>
      <c r="AA217" s="192">
        <f t="shared" si="82"/>
        <v>0.31379999999999997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83"/>
        <v>51-29</v>
      </c>
      <c r="AE217" s="80" t="str">
        <f t="shared" si="84"/>
        <v>aws s3 cp s3://rtdc.mdm.uploadarchive.raw/RTDC4002/ "%USERPROFILE%\AppData\Local\Temp\OnboardLogs"\RTDC4002\2017-04-29 --exclude "*" --recursive --include "*20170429*" &amp; "%USERPROFILE%\Documents\GitHub\mrs-test-scripts\Headless Mode &amp; Sideloading\WalkAndUnGZ.bat" "%USERPROFILE%\AppData\Local\Temp\OnboardLogs"\RTDC4002\2017-04-29 &amp; aws s3 cp s3://rtdc.mdm.uploadarchive.raw/RTDC4002/ "%USERPROFILE%\AppData\Local\Temp\OnboardLogs"\RTDC4002\2017-04-30 --exclude "*" --recursive --include "*20170430*" &amp; "%USERPROFILE%\Documents\GitHub\mrs-test-scripts\Headless Mode &amp; Sideloading\WalkAndUnGZ.bat" "%USERPROFILE%\AppData\Local\Temp\OnboardLogs"\RTDC4002\2017-04-30</v>
      </c>
      <c r="AF217" s="77" t="str">
        <f t="shared" si="85"/>
        <v>"C:\Program Files (x86)\AstroGrep\AstroGrep.exe" /e /r /s /spath="%USERPROFILE%\AppData\Local\Temp\OnboardLogs" /stypes="app*4002*20170429*" /stext=" 12:.+((SYSTEM_STATE.+slice.+state.+changed )|(ment ac)|(multiple cpu faults)|(system.+state.+changed )|(\[timeout)|(PRM\|1\|D)|(kpr)|(kdp)|(train.+moving)|(\|lc)|(penalty))"</v>
      </c>
      <c r="AG217" s="1" t="str">
        <f t="shared" si="86"/>
        <v>Other</v>
      </c>
      <c r="AH217" s="81" t="str">
        <f t="shared" si="70"/>
        <v>"%USERPROFILE%\Documents\GitHub\eaglep3\Utilities\RefineRTDCRunTimes.py" --tripid 51-29 --locoid 4002 --swversion DE.1.0.9.0 --startMP 204:471 --initTime 2017-04-29T06:03:02 --startdatetime 2017-04-29T06:11:06 --delay 2 --endMP 204:3609 --enddatetime 2017-04-29T06:12:49 --enforcementcount 0 &gt;&gt;C:\Users\stu\Documents\GitHub\eaglep3-reporting\EC\2017-04-29-refined-times.txt</v>
      </c>
      <c r="AI217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{"issue":{"subject":"","project_id":79,"tracker_id":40,"status_id":1,"priority_id":2,"assigned_to_id":23,"start_date":"2017-04-29","description":"","custom_fields":[{"id":1,"name":"Subdivision","value":"Other"},{"id":4,"name":"Milepost","value":"0.3609"},{"id":17,"name":"Train ID","value":"51-29"},{"id":16,"name":"Locomotive ID","value":"4002"},{"id":130,"name":"Impact","value":""},{"id":150,"name":"Time of Event (Mountain Time)","value":"06:12:49"},{"id":151,"name":"Denver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72"/>
        <v>start /low /b %USERPROFILE%\Documents\GitHub\eaglep3\Utilities\DownloadLogsFromS3.py --loco 4002 --day 2017-04-29</v>
      </c>
      <c r="AN217" s="154" t="str">
        <f t="shared" si="7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12:12:49"},{"id":29,"name":"Sharepoint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91" x14ac:dyDescent="0.25">
      <c r="A218" s="32" t="s">
        <v>700</v>
      </c>
      <c r="B218" s="7">
        <v>4056</v>
      </c>
      <c r="C218" s="21" t="s">
        <v>212</v>
      </c>
      <c r="D218" s="21" t="s">
        <v>975</v>
      </c>
      <c r="E218" s="13">
        <v>42854.503518518519</v>
      </c>
      <c r="F218" s="13">
        <v>42854.505543981482</v>
      </c>
      <c r="G218" s="7">
        <v>2</v>
      </c>
      <c r="H218" s="21" t="s">
        <v>976</v>
      </c>
      <c r="I218" s="13">
        <v>42854.510578703703</v>
      </c>
      <c r="J218" s="7">
        <v>0</v>
      </c>
      <c r="K218" s="92" t="str">
        <f t="shared" si="74"/>
        <v>4055/4056</v>
      </c>
      <c r="L218" s="21" t="str">
        <f>VLOOKUP(A218,'Trips&amp;Operators'!$C$1:$G$99999,5,FALSE)</f>
        <v>LOZA FIDEL</v>
      </c>
      <c r="M218" s="6">
        <f t="shared" si="75"/>
        <v>5.0347222204436548E-3</v>
      </c>
      <c r="N218" s="7">
        <f t="shared" si="69"/>
        <v>7.2499999974388629</v>
      </c>
      <c r="O218" s="7"/>
      <c r="P218" s="7"/>
      <c r="Q218" s="22"/>
      <c r="R218" s="190"/>
      <c r="S218" s="196">
        <f t="shared" si="76"/>
        <v>0</v>
      </c>
      <c r="T218" s="190" t="e">
        <f t="shared" si="77"/>
        <v>#VALUE!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1" t="str">
        <f t="shared" si="78"/>
        <v>https://d0f6bd738d7f1b3e5a7ca70fe4ff75f0.us-east-1.aws.found.io/app/kibana#/discover/Steve-Slow-Train-Analysis-(2080s-and-2083s)?_g=(refreshInterval:(display:Off,pause:!f,section:0,value:0),time:(from:'2017-04-29T11:05:04-0600',mode:absolute,to:'2017-04-29T13:15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8" s="192" t="str">
        <f t="shared" si="79"/>
        <v>Y</v>
      </c>
      <c r="X218" s="192" t="e">
        <f t="shared" si="87"/>
        <v>#VALUE!</v>
      </c>
      <c r="Y218" s="192">
        <f t="shared" si="80"/>
        <v>0.1231</v>
      </c>
      <c r="Z218" s="192">
        <f t="shared" si="81"/>
        <v>2.4262999999999999</v>
      </c>
      <c r="AA218" s="192">
        <f t="shared" si="82"/>
        <v>2.3031999999999999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83"/>
        <v>52-29</v>
      </c>
      <c r="AE218" s="80" t="str">
        <f t="shared" si="84"/>
        <v>aws s3 cp s3://rtdc.mdm.uploadarchive.raw/RTDC4056/ "%USERPROFILE%\AppData\Local\Temp\OnboardLogs"\RTDC4056\2017-04-29 --exclude "*" --recursive --include "*20170429*" &amp; "%USERPROFILE%\Documents\GitHub\mrs-test-scripts\Headless Mode &amp; Sideloading\WalkAndUnGZ.bat" "%USERPROFILE%\AppData\Local\Temp\OnboardLogs"\RTDC4056\2017-04-29 &amp; aws s3 cp s3://rtdc.mdm.uploadarchive.raw/RTDC4056/ "%USERPROFILE%\AppData\Local\Temp\OnboardLogs"\RTDC4056\2017-04-30 --exclude "*" --recursive --include "*20170430*" &amp; "%USERPROFILE%\Documents\GitHub\mrs-test-scripts\Headless Mode &amp; Sideloading\WalkAndUnGZ.bat" "%USERPROFILE%\AppData\Local\Temp\OnboardLogs"\RTDC4056\2017-04-30</v>
      </c>
      <c r="AF218" s="77" t="str">
        <f t="shared" si="85"/>
        <v>"C:\Program Files (x86)\AstroGrep\AstroGrep.exe" /e /r /s /spath="%USERPROFILE%\AppData\Local\Temp\OnboardLogs" /stypes="app*4056*20170429*" /stext=" 18:.+((SYSTEM_STATE.+slice.+state.+changed )|(ment ac)|(multiple cpu faults)|(system.+state.+changed )|(\[timeout)|(PRM\|1\|D)|(kpr)|(kdp)|(train.+moving)|(\|lc)|(penalty))"</v>
      </c>
      <c r="AG218" s="1" t="str">
        <f t="shared" si="86"/>
        <v>Other</v>
      </c>
      <c r="AH218" s="81" t="str">
        <f t="shared" si="70"/>
        <v>"%USERPROFILE%\Documents\GitHub\eaglep3\Utilities\RefineRTDCRunTimes.py" --tripid 52-29 --locoid 4056 --swversion DE.1.0.9.0 --startMP 204:1231 --initTime 2017-04-29T12:05:04 --startdatetime 2017-04-29T12:07:59 --delay 2 --endMP 300:24263 --enddatetime 2017-04-29T12:15:14 --enforcementcount 0 &gt;&gt;C:\Users\stu\Documents\GitHub\eaglep3-reporting\EC\2017-04-29-refined-times.txt</v>
      </c>
      <c r="AI218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{"issue":{"subject":"","project_id":79,"tracker_id":40,"status_id":1,"priority_id":2,"assigned_to_id":23,"start_date":"2017-04-29","description":"","custom_fields":[{"id":1,"name":"Subdivision","value":"Other"},{"id":4,"name":"Milepost","value":"2.4263"},{"id":17,"name":"Train ID","value":"52-29"},{"id":16,"name":"Locomotive ID","value":"4056"},{"id":130,"name":"Impact","value":""},{"id":150,"name":"Time of Event (Mountain Time)","value":"12:15:14"},{"id":151,"name":"Denver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72"/>
        <v>start /low /b %USERPROFILE%\Documents\GitHub\eaglep3\Utilities\DownloadLogsFromS3.py --loco 4056 --day 2017-04-29</v>
      </c>
      <c r="AN218" s="154" t="str">
        <f t="shared" si="7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18:15:14"},{"id":29,"name":"Sharepoint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91" x14ac:dyDescent="0.25">
      <c r="A219" s="32" t="s">
        <v>575</v>
      </c>
      <c r="B219" s="7">
        <v>4055</v>
      </c>
      <c r="C219" s="21" t="s">
        <v>212</v>
      </c>
      <c r="D219" s="21" t="s">
        <v>977</v>
      </c>
      <c r="E219" s="13">
        <v>42854.455648148149</v>
      </c>
      <c r="F219" s="13">
        <v>42854.464247685188</v>
      </c>
      <c r="G219" s="7">
        <v>12</v>
      </c>
      <c r="H219" s="21" t="s">
        <v>978</v>
      </c>
      <c r="I219" s="13">
        <v>42854.469953703701</v>
      </c>
      <c r="J219" s="7">
        <v>0</v>
      </c>
      <c r="K219" s="92" t="str">
        <f t="shared" si="74"/>
        <v>4055/4056</v>
      </c>
      <c r="L219" s="21" t="str">
        <f>VLOOKUP(A219,'Trips&amp;Operators'!$C$1:$G$99999,5,FALSE)</f>
        <v>BRUDER RICHARD</v>
      </c>
      <c r="M219" s="6">
        <f t="shared" si="75"/>
        <v>5.7060185135924257E-3</v>
      </c>
      <c r="N219" s="7">
        <f t="shared" si="69"/>
        <v>8.2166666595730931</v>
      </c>
      <c r="O219" s="7"/>
      <c r="P219" s="7"/>
      <c r="Q219" s="22"/>
      <c r="R219" s="190"/>
      <c r="S219" s="196">
        <f t="shared" si="76"/>
        <v>0</v>
      </c>
      <c r="T219" s="190" t="e">
        <f t="shared" si="77"/>
        <v>#VALUE!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 t="shared" si="78"/>
        <v>https://d0f6bd738d7f1b3e5a7ca70fe4ff75f0.us-east-1.aws.found.io/app/kibana#/discover/Steve-Slow-Train-Analysis-(2080s-and-2083s)?_g=(refreshInterval:(display:Off,pause:!f,section:0,value:0),time:(from:'2017-04-29T09:56:08-0600',mode:absolute,to:'2017-04-29T12:16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9" s="192" t="str">
        <f t="shared" si="79"/>
        <v>Y</v>
      </c>
      <c r="X219" s="192" t="e">
        <f t="shared" si="87"/>
        <v>#VALUE!</v>
      </c>
      <c r="Y219" s="192">
        <f t="shared" si="80"/>
        <v>2.3269000000000002</v>
      </c>
      <c r="Z219" s="192">
        <f t="shared" si="81"/>
        <v>9.1700000000000004E-2</v>
      </c>
      <c r="AA219" s="192">
        <f t="shared" si="82"/>
        <v>2.2352000000000003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83"/>
        <v>53-29</v>
      </c>
      <c r="AE219" s="80" t="str">
        <f t="shared" si="84"/>
        <v>aws s3 cp s3://rtdc.mdm.uploadarchive.raw/RTDC4055/ "%USERPROFILE%\AppData\Local\Temp\OnboardLogs"\RTDC4055\2017-04-29 --exclude "*" --recursive --include "*20170429*" &amp; "%USERPROFILE%\Documents\GitHub\mrs-test-scripts\Headless Mode &amp; Sideloading\WalkAndUnGZ.bat" "%USERPROFILE%\AppData\Local\Temp\OnboardLogs"\RTDC4055\2017-04-29 &amp; aws s3 cp s3://rtdc.mdm.uploadarchive.raw/RTDC4055/ "%USERPROFILE%\AppData\Local\Temp\OnboardLogs"\RTDC4055\2017-04-30 --exclude "*" --recursive --include "*20170430*" &amp; "%USERPROFILE%\Documents\GitHub\mrs-test-scripts\Headless Mode &amp; Sideloading\WalkAndUnGZ.bat" "%USERPROFILE%\AppData\Local\Temp\OnboardLogs"\RTDC4055\2017-04-30</v>
      </c>
      <c r="AF219" s="77" t="str">
        <f t="shared" si="85"/>
        <v>"C:\Program Files (x86)\AstroGrep\AstroGrep.exe" /e /r /s /spath="%USERPROFILE%\AppData\Local\Temp\OnboardLogs" /stypes="app*4055*20170429*" /stext=" 17:.+((SYSTEM_STATE.+slice.+state.+changed )|(ment ac)|(multiple cpu faults)|(system.+state.+changed )|(\[timeout)|(PRM\|1\|D)|(kpr)|(kdp)|(train.+moving)|(\|lc)|(penalty))"</v>
      </c>
      <c r="AG219" s="1" t="str">
        <f t="shared" si="86"/>
        <v>Other</v>
      </c>
      <c r="AH219" s="81" t="str">
        <f t="shared" si="70"/>
        <v>"%USERPROFILE%\Documents\GitHub\eaglep3\Utilities\RefineRTDCRunTimes.py" --tripid 53-29 --locoid 4055 --swversion DE.1.0.9.0 --startMP 300:23269 --initTime 2017-04-29T10:56:08 --startdatetime 2017-04-29T11:08:31 --delay 12 --endMP 204:917 --enddatetime 2017-04-29T11:16:44 --enforcementcount 0 &gt;&gt;C:\Users\stu\Documents\GitHub\eaglep3-reporting\EC\2017-04-29-refined-times.txt</v>
      </c>
      <c r="AI219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{"issue":{"subject":"","project_id":79,"tracker_id":40,"status_id":1,"priority_id":2,"assigned_to_id":23,"start_date":"2017-04-29","description":"","custom_fields":[{"id":1,"name":"Subdivision","value":"Other"},{"id":4,"name":"Milepost","value":"0.0917"},{"id":17,"name":"Train ID","value":"53-29"},{"id":16,"name":"Locomotive ID","value":"4055"},{"id":130,"name":"Impact","value":""},{"id":150,"name":"Time of Event (Mountain Time)","value":"11:16:44"},{"id":151,"name":"Denver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72"/>
        <v>start /low /b %USERPROFILE%\Documents\GitHub\eaglep3\Utilities\DownloadLogsFromS3.py --loco 4055 --day 2017-04-29</v>
      </c>
      <c r="AN219" s="154" t="str">
        <f t="shared" si="7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17:16:44"},{"id":29,"name":"Sharepoint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91" x14ac:dyDescent="0.25">
      <c r="A220" s="32" t="s">
        <v>693</v>
      </c>
      <c r="B220" s="7">
        <v>4039</v>
      </c>
      <c r="C220" s="21" t="s">
        <v>212</v>
      </c>
      <c r="D220" s="21" t="s">
        <v>979</v>
      </c>
      <c r="E220" s="13">
        <v>42854.475104166668</v>
      </c>
      <c r="F220" s="13">
        <v>42854.478935185187</v>
      </c>
      <c r="G220" s="7">
        <v>5</v>
      </c>
      <c r="H220" s="21" t="s">
        <v>980</v>
      </c>
      <c r="I220" s="13">
        <v>42854.484340277777</v>
      </c>
      <c r="J220" s="7">
        <v>0</v>
      </c>
      <c r="K220" s="92" t="str">
        <f t="shared" si="74"/>
        <v>4039/4040</v>
      </c>
      <c r="L220" s="21" t="str">
        <f>VLOOKUP(A220,'Trips&amp;Operators'!$C$1:$G$99999,5,FALSE)</f>
        <v>LALONDE GREGORY</v>
      </c>
      <c r="M220" s="6">
        <f t="shared" si="75"/>
        <v>5.4050925900810398E-3</v>
      </c>
      <c r="N220" s="7">
        <f t="shared" si="69"/>
        <v>7.7833333297166973</v>
      </c>
      <c r="O220" s="7"/>
      <c r="P220" s="7"/>
      <c r="Q220" s="22"/>
      <c r="R220" s="190"/>
      <c r="S220" s="196">
        <f t="shared" si="76"/>
        <v>0</v>
      </c>
      <c r="T220" s="190" t="e">
        <f t="shared" si="77"/>
        <v>#VALUE!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 t="shared" si="78"/>
        <v>https://d0f6bd738d7f1b3e5a7ca70fe4ff75f0.us-east-1.aws.found.io/app/kibana#/discover/Steve-Slow-Train-Analysis-(2080s-and-2083s)?_g=(refreshInterval:(display:Off,pause:!f,section:0,value:0),time:(from:'2017-04-29T10:24:09-0600',mode:absolute,to:'2017-04-29T12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0" s="192" t="str">
        <f t="shared" si="79"/>
        <v>Y</v>
      </c>
      <c r="X220" s="192" t="e">
        <f t="shared" si="87"/>
        <v>#VALUE!</v>
      </c>
      <c r="Y220" s="192">
        <f t="shared" si="80"/>
        <v>2.3344999999999998</v>
      </c>
      <c r="Z220" s="192">
        <f t="shared" si="81"/>
        <v>0.12330000000000001</v>
      </c>
      <c r="AA220" s="192">
        <f t="shared" si="82"/>
        <v>2.2111999999999998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83"/>
        <v>55-29</v>
      </c>
      <c r="AE220" s="80" t="str">
        <f t="shared" si="84"/>
        <v>aws s3 cp s3://rtdc.mdm.uploadarchive.raw/RTDC4039/ "%USERPROFILE%\AppData\Local\Temp\OnboardLogs"\RTDC4039\2017-04-29 --exclude "*" --recursive --include "*20170429*" &amp; "%USERPROFILE%\Documents\GitHub\mrs-test-scripts\Headless Mode &amp; Sideloading\WalkAndUnGZ.bat" "%USERPROFILE%\AppData\Local\Temp\OnboardLogs"\RTDC4039\2017-04-29 &amp; aws s3 cp s3://rtdc.mdm.uploadarchive.raw/RTDC4039/ "%USERPROFILE%\AppData\Local\Temp\OnboardLogs"\RTDC4039\2017-04-30 --exclude "*" --recursive --include "*20170430*" &amp; "%USERPROFILE%\Documents\GitHub\mrs-test-scripts\Headless Mode &amp; Sideloading\WalkAndUnGZ.bat" "%USERPROFILE%\AppData\Local\Temp\OnboardLogs"\RTDC4039\2017-04-30</v>
      </c>
      <c r="AF220" s="77" t="str">
        <f t="shared" si="85"/>
        <v>"C:\Program Files (x86)\AstroGrep\AstroGrep.exe" /e /r /s /spath="%USERPROFILE%\AppData\Local\Temp\OnboardLogs" /stypes="app*4039*20170429*" /stext=" 17:.+((SYSTEM_STATE.+slice.+state.+changed )|(ment ac)|(multiple cpu faults)|(system.+state.+changed )|(\[timeout)|(PRM\|1\|D)|(kpr)|(kdp)|(train.+moving)|(\|lc)|(penalty))"</v>
      </c>
      <c r="AG220" s="1" t="str">
        <f t="shared" si="86"/>
        <v>Other</v>
      </c>
      <c r="AH220" s="81" t="str">
        <f t="shared" si="70"/>
        <v>"%USERPROFILE%\Documents\GitHub\eaglep3\Utilities\RefineRTDCRunTimes.py" --tripid 55-29 --locoid 4039 --swversion DE.1.0.9.0 --startMP 300:23345 --initTime 2017-04-29T11:24:09 --startdatetime 2017-04-29T11:29:40 --delay 5 --endMP 204:1233 --enddatetime 2017-04-29T11:37:27 --enforcementcount 0 &gt;&gt;C:\Users\stu\Documents\GitHub\eaglep3-reporting\EC\2017-04-29-refined-times.txt</v>
      </c>
      <c r="AI220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{"issue":{"subject":"","project_id":79,"tracker_id":40,"status_id":1,"priority_id":2,"assigned_to_id":23,"start_date":"2017-04-29","description":"","custom_fields":[{"id":1,"name":"Subdivision","value":"Other"},{"id":4,"name":"Milepost","value":"0.1233"},{"id":17,"name":"Train ID","value":"55-29"},{"id":16,"name":"Locomotive ID","value":"4039"},{"id":130,"name":"Impact","value":""},{"id":150,"name":"Time of Event (Mountain Time)","value":"11:37:27"},{"id":151,"name":"Denver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72"/>
        <v>start /low /b %USERPROFILE%\Documents\GitHub\eaglep3\Utilities\DownloadLogsFromS3.py --loco 4039 --day 2017-04-29</v>
      </c>
      <c r="AN220" s="154" t="str">
        <f t="shared" si="7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17:37:27"},{"id":29,"name":"Sharepoint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91" x14ac:dyDescent="0.25">
      <c r="A221" s="32" t="s">
        <v>725</v>
      </c>
      <c r="B221" s="7">
        <v>4027</v>
      </c>
      <c r="C221" s="21" t="s">
        <v>212</v>
      </c>
      <c r="D221" s="21" t="s">
        <v>981</v>
      </c>
      <c r="E221" s="13">
        <v>42854.668807870374</v>
      </c>
      <c r="F221" s="13">
        <v>42854.622916666667</v>
      </c>
      <c r="G221" s="7">
        <v>1</v>
      </c>
      <c r="H221" s="21" t="s">
        <v>548</v>
      </c>
      <c r="I221" s="13">
        <v>42854.623611111114</v>
      </c>
      <c r="J221" s="7">
        <v>0</v>
      </c>
      <c r="K221" s="92" t="str">
        <f t="shared" si="74"/>
        <v>4027/4028</v>
      </c>
      <c r="L221" s="21" t="str">
        <f>VLOOKUP(A221,'Trips&amp;Operators'!$C$1:$G$99999,5,FALSE)</f>
        <v>LOPES KIMBERLY</v>
      </c>
      <c r="M221" s="6">
        <f t="shared" si="75"/>
        <v>6.944444467080757E-4</v>
      </c>
      <c r="N221" s="7"/>
      <c r="O221" s="7"/>
      <c r="P221" s="7">
        <f>24*60*SUM($M221:$M221)</f>
        <v>1.000000003259629</v>
      </c>
      <c r="Q221" s="22"/>
      <c r="R221" s="190" t="s">
        <v>556</v>
      </c>
      <c r="S221" s="196">
        <f t="shared" si="76"/>
        <v>0</v>
      </c>
      <c r="T221" s="190" t="e">
        <f t="shared" si="77"/>
        <v>#VALUE!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 t="shared" si="78"/>
        <v>https://d0f6bd738d7f1b3e5a7ca70fe4ff75f0.us-east-1.aws.found.io/app/kibana#/discover/Steve-Slow-Train-Analysis-(2080s-and-2083s)?_g=(refreshInterval:(display:Off,pause:!f,section:0,value:0),time:(from:'2017-04-29T15:03:05-0600',mode:absolute,to:'2017-04-29T15:58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1" s="192" t="str">
        <f t="shared" si="79"/>
        <v>Y</v>
      </c>
      <c r="X221" s="192" t="e">
        <f t="shared" si="87"/>
        <v>#VALUE!</v>
      </c>
      <c r="Y221" s="192">
        <f t="shared" si="80"/>
        <v>0.1154</v>
      </c>
      <c r="Z221" s="192">
        <f t="shared" si="81"/>
        <v>0.1171</v>
      </c>
      <c r="AA221" s="192">
        <f t="shared" si="82"/>
        <v>1.6999999999999932E-3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83"/>
        <v>59-29</v>
      </c>
      <c r="AE221" s="80" t="str">
        <f t="shared" si="84"/>
        <v>aws s3 cp s3://rtdc.mdm.uploadarchive.raw/RTDC4027/ "%USERPROFILE%\AppData\Local\Temp\OnboardLogs"\RTDC4027\2017-04-29 --exclude "*" --recursive --include "*20170429*" &amp; "%USERPROFILE%\Documents\GitHub\mrs-test-scripts\Headless Mode &amp; Sideloading\WalkAndUnGZ.bat" "%USERPROFILE%\AppData\Local\Temp\OnboardLogs"\RTDC4027\2017-04-29 &amp; 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</v>
      </c>
      <c r="AF221" s="77" t="str">
        <f t="shared" si="85"/>
        <v>"C:\Program Files (x86)\AstroGrep\AstroGrep.exe" /e /r /s /spath="%USERPROFILE%\AppData\Local\Temp\OnboardLogs" /stypes="app*4027*20170429*" /stext=" 20:.+((SYSTEM_STATE.+slice.+state.+changed )|(ment ac)|(multiple cpu faults)|(system.+state.+changed )|(\[timeout)|(PRM\|1\|D)|(kpr)|(kdp)|(train.+moving)|(\|lc)|(penalty))"</v>
      </c>
      <c r="AG221" s="1" t="str">
        <f t="shared" si="86"/>
        <v>Other</v>
      </c>
      <c r="AH221" s="81" t="str">
        <f t="shared" si="70"/>
        <v>"%USERPROFILE%\Documents\GitHub\eaglep3\Utilities\RefineRTDCRunTimes.py" --tripid 59-29 --locoid 4027 --swversion DE.1.0.9.0 --startMP 204:1154 --initTime 2017-04-29T16:03:05 --startdatetime 2017-04-29T14:57:00 --delay 1 --endMP 204:1171 --enddatetime 2017-04-29T14:58:00 --enforcementcount 0 &gt;&gt;C:\Users\stu\Documents\GitHub\eaglep3-reporting\EC\2017-04-29-refined-times.txt</v>
      </c>
      <c r="AI221" s="99" t="str">
        <f t="shared" si="71"/>
        <v>echo {"issue":{"subject":"Onboard in-route failure","project_id":79,"tracker_id":40,"status_id":1,"priority_id":2,"assigned_to_id":23,"start_date":"2017-04-29","description":"","custom_fields":[{"id":1,"name":"Subdivision","value":"Other"},{"id":4,"name":"Milepost","value":"0.1171"},{"id":17,"name":"Train ID","value":"59-29"},{"id":16,"name":"Locomotive ID","value":"4027"},{"id":130,"name":"Impact","value":""},{"id":150,"name":"Time of Event (Mountain Time)","value":"14:58:00"},{"id":151,"name":"Denver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72"/>
        <v>start /low /b %USERPROFILE%\Documents\GitHub\eaglep3\Utilities\DownloadLogsFromS3.py --loco 4027 --day 2017-04-29</v>
      </c>
      <c r="AN221" s="154" t="str">
        <f t="shared" si="73"/>
        <v>echo {"issue":{"subject":"Onboard in-route failure","project_id":30,"tracker_id":4,"status_id":1,"priority_id":1,"assigned_to_id":10,"start_date":"2017-04-29","description":"","custom_fields":[{"id":30,"name":"Category","value":"Issue"},{"id":3,"name":"Functional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20:58:00"},{"id":29,"name":"Sharepoint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91" x14ac:dyDescent="0.25">
      <c r="A222" s="32" t="s">
        <v>725</v>
      </c>
      <c r="B222" s="7">
        <v>4028</v>
      </c>
      <c r="C222" s="21" t="s">
        <v>212</v>
      </c>
      <c r="D222" s="21" t="s">
        <v>419</v>
      </c>
      <c r="E222" s="13">
        <v>42854.612233796295</v>
      </c>
      <c r="F222" s="13">
        <v>25568.708333333332</v>
      </c>
      <c r="G222" s="7">
        <v>1</v>
      </c>
      <c r="H222" s="21" t="s">
        <v>982</v>
      </c>
      <c r="I222" s="13">
        <v>25568.708333333332</v>
      </c>
      <c r="J222" s="7">
        <v>0</v>
      </c>
      <c r="K222" s="92" t="str">
        <f t="shared" si="74"/>
        <v>4027/4028</v>
      </c>
      <c r="L222" s="21" t="str">
        <f>VLOOKUP(A222,'Trips&amp;Operators'!$C$1:$G$99999,5,FALSE)</f>
        <v>LOPES KIMBERLY</v>
      </c>
      <c r="M222" s="6">
        <f t="shared" si="75"/>
        <v>0</v>
      </c>
      <c r="N222" s="7">
        <f t="shared" ref="N222:N237" si="88">24*60*SUM($M222:$M222)</f>
        <v>0</v>
      </c>
      <c r="O222" s="7"/>
      <c r="P222" s="7"/>
      <c r="Q222" s="22"/>
      <c r="R222" s="190"/>
      <c r="S222" s="196">
        <f t="shared" si="76"/>
        <v>0</v>
      </c>
      <c r="T222" s="190" t="e">
        <f t="shared" si="77"/>
        <v>#VALUE!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 t="shared" si="78"/>
        <v>https://d0f6bd738d7f1b3e5a7ca70fe4ff75f0.us-east-1.aws.found.io/app/kibana#/discover/Steve-Slow-Train-Analysis-(2080s-and-2083s)?_g=(refreshInterval:(display:Off,pause:!f,section:0,value:0),time:(from:'2017-04-29T13:41:37-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2" s="192" t="str">
        <f t="shared" si="79"/>
        <v>Y</v>
      </c>
      <c r="X222" s="192" t="e">
        <f t="shared" si="87"/>
        <v>#VALUE!</v>
      </c>
      <c r="Y222" s="192">
        <f t="shared" si="80"/>
        <v>4.6600000000000003E-2</v>
      </c>
      <c r="Z222" s="192">
        <f t="shared" si="81"/>
        <v>0.3538</v>
      </c>
      <c r="AA222" s="192">
        <f t="shared" si="82"/>
        <v>0.30720000000000003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83"/>
        <v>59-29</v>
      </c>
      <c r="AE222" s="80" t="str">
        <f t="shared" si="84"/>
        <v>aws s3 cp s3://rtdc.mdm.uploadarchive.raw/RTDC4028/ "%USERPROFILE%\AppData\Local\Temp\OnboardLogs"\RTDC4028\1969-12-31 --exclude "*" --recursive --include "*19691231*" &amp; "%USERPROFILE%\Documents\GitHub\mrs-test-scripts\Headless Mode &amp; Sideloading\WalkAndUnGZ.bat" "%USERPROFILE%\AppData\Local\Temp\OnboardLogs"\RTDC4028\1969-12-31 &amp; aws s3 cp s3://rtdc.mdm.uploadarchive.raw/RTDC4028/ "%USERPROFILE%\AppData\Local\Temp\OnboardLogs"\RTDC4028\1970-01-01 --exclude "*" --recursive --include "*19700101*" &amp; "%USERPROFILE%\Documents\GitHub\mrs-test-scripts\Headless Mode &amp; Sideloading\WalkAndUnGZ.bat" "%USERPROFILE%\AppData\Local\Temp\OnboardLogs"\RTDC4028\1970-01-01</v>
      </c>
      <c r="AF222" s="77" t="str">
        <f t="shared" si="85"/>
        <v>"C:\Program Files (x86)\AstroGrep\AstroGrep.exe" /e /r /s /spath="%USERPROFILE%\AppData\Local\Temp\OnboardLogs" /stypes="app*4028*19691231*" /stext=" 23:.+((SYSTEM_STATE.+slice.+state.+changed )|(ment ac)|(multiple cpu faults)|(system.+state.+changed )|(\[timeout)|(PRM\|1\|D)|(kpr)|(kdp)|(train.+moving)|(\|lc)|(penalty))"</v>
      </c>
      <c r="AG222" s="1" t="str">
        <f t="shared" si="86"/>
        <v>Other</v>
      </c>
      <c r="AH222" s="81" t="str">
        <f t="shared" si="70"/>
        <v>"%USERPROFILE%\Documents\GitHub\eaglep3\Utilities\RefineRTDCRunTimes.py" --tripid 59-29 --locoid 4028 --swversion DE.1.0.9.0 --startMP 204:466 --initTime 2017-04-29T14:41:37 --startdatetime 1969-12-31T17:00:00 --delay 1 --endMP 204:3538 --enddatetime 1969-12-31T17:00:00 --enforcementcount 0 &gt;&gt;C:\Users\stu\Documents\GitHub\eaglep3-reporting\EC\2017-04-29-refined-times.txt</v>
      </c>
      <c r="AI222" s="99" t="str">
        <f t="shared" si="71"/>
        <v>echo {"issue":{"subject":"","project_id":79,"tracker_id":40,"status_id":1,"priority_id":2,"assigned_to_id":23,"start_date":"1969-12-31","description":"","custom_fields":[{"id":1,"name":"Subdivision","value":"Other"},{"id":4,"name":"Milepost","value":"0.3538"},{"id":17,"name":"Train ID","value":"59-29"},{"id":16,"name":"Locomotive ID","value":"4028"},{"id":130,"name":"Impact","value":""},{"id":150,"name":"Time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72"/>
        <v>start /low /b %USERPROFILE%\Documents\GitHub\eaglep3\Utilities\DownloadLogsFromS3.py --loco 4028 --day 1969-12-31</v>
      </c>
      <c r="AN222" s="154" t="str">
        <f t="shared" si="7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91" x14ac:dyDescent="0.25">
      <c r="A223" s="32" t="s">
        <v>746</v>
      </c>
      <c r="B223" s="7">
        <v>4028</v>
      </c>
      <c r="C223" s="21" t="s">
        <v>212</v>
      </c>
      <c r="D223" s="21" t="s">
        <v>983</v>
      </c>
      <c r="E223" s="13">
        <v>42854.710636574076</v>
      </c>
      <c r="F223" s="13">
        <v>42854.732812499999</v>
      </c>
      <c r="G223" s="7">
        <v>3</v>
      </c>
      <c r="H223" s="21" t="s">
        <v>430</v>
      </c>
      <c r="I223" s="13">
        <v>42854.739930555559</v>
      </c>
      <c r="J223" s="7">
        <v>0</v>
      </c>
      <c r="K223" s="92" t="str">
        <f t="shared" si="74"/>
        <v>4027/4028</v>
      </c>
      <c r="L223" s="21" t="str">
        <f>VLOOKUP(A223,'Trips&amp;Operators'!$C$1:$G$99999,5,FALSE)</f>
        <v>WHITED DUSTIN</v>
      </c>
      <c r="M223" s="6">
        <f t="shared" si="75"/>
        <v>7.1180555605678819E-3</v>
      </c>
      <c r="N223" s="7">
        <f t="shared" si="88"/>
        <v>10.25000000721775</v>
      </c>
      <c r="O223" s="7"/>
      <c r="P223" s="7"/>
      <c r="Q223" s="22"/>
      <c r="R223" s="190"/>
      <c r="S223" s="196">
        <f t="shared" si="76"/>
        <v>0</v>
      </c>
      <c r="T223" s="190" t="e">
        <f t="shared" si="77"/>
        <v>#VALUE!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78"/>
        <v>https://d0f6bd738d7f1b3e5a7ca70fe4ff75f0.us-east-1.aws.found.io/app/kibana#/discover/Steve-Slow-Train-Analysis-(2080s-and-2083s)?_g=(refreshInterval:(display:Off,pause:!f,section:0,value:0),time:(from:'2017-04-29T16:03:19-0600',mode:absolute,to:'2017-04-29T18:45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3" s="192" t="str">
        <f t="shared" si="79"/>
        <v>Y</v>
      </c>
      <c r="X223" s="192" t="e">
        <f t="shared" si="87"/>
        <v>#VALUE!</v>
      </c>
      <c r="Y223" s="192">
        <f t="shared" si="80"/>
        <v>0.14729999999999999</v>
      </c>
      <c r="Z223" s="192">
        <f t="shared" si="81"/>
        <v>2.3346</v>
      </c>
      <c r="AA223" s="192">
        <f t="shared" si="82"/>
        <v>2.1873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83"/>
        <v>63-29</v>
      </c>
      <c r="AE223" s="80" t="str">
        <f t="shared" si="84"/>
        <v>aws s3 cp s3://rtdc.mdm.uploadarchive.raw/RTDC4028/ "%USERPROFILE%\AppData\Local\Temp\OnboardLogs"\RTDC4028\2017-04-29 --exclude "*" --recursive --include "*20170429*" &amp; "%USERPROFILE%\Documents\GitHub\mrs-test-scripts\Headless Mode &amp; Sideloading\WalkAndUnGZ.bat" "%USERPROFILE%\AppData\Local\Temp\OnboardLogs"\RTDC4028\2017-04-29 &amp; 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</v>
      </c>
      <c r="AF223" s="77" t="str">
        <f t="shared" si="85"/>
        <v>"C:\Program Files (x86)\AstroGrep\AstroGrep.exe" /e /r /s /spath="%USERPROFILE%\AppData\Local\Temp\OnboardLogs" /stypes="app*4028*20170429*" /stext=" 23:.+((SYSTEM_STATE.+slice.+state.+changed )|(ment ac)|(multiple cpu faults)|(system.+state.+changed )|(\[timeout)|(PRM\|1\|D)|(kpr)|(kdp)|(train.+moving)|(\|lc)|(penalty))"</v>
      </c>
      <c r="AG223" s="1" t="str">
        <f t="shared" si="86"/>
        <v>Other</v>
      </c>
      <c r="AH223" s="81" t="str">
        <f t="shared" si="70"/>
        <v>"%USERPROFILE%\Documents\GitHub\eaglep3\Utilities\RefineRTDCRunTimes.py" --tripid 63-29 --locoid 4028 --swversion DE.1.0.9.0 --startMP 204:1473 --initTime 2017-04-29T17:03:19 --startdatetime 2017-04-29T17:35:15 --delay 3 --endMP 300:23346 --enddatetime 2017-04-29T17:45:30 --enforcementcount 0 &gt;&gt;C:\Users\stu\Documents\GitHub\eaglep3-reporting\EC\2017-04-29-refined-times.txt</v>
      </c>
      <c r="AI223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{"issue":{"subject":"","project_id":79,"tracker_id":40,"status_id":1,"priority_id":2,"assigned_to_id":23,"start_date":"2017-04-29","description":"","custom_fields":[{"id":1,"name":"Subdivision","value":"Other"},{"id":4,"name":"Milepost","value":"2.3346"},{"id":17,"name":"Train ID","value":"63-29"},{"id":16,"name":"Locomotive ID","value":"4028"},{"id":130,"name":"Impact","value":""},{"id":150,"name":"Time of Event (Mountain Time)","value":"17:45:30"},{"id":151,"name":"Denver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72"/>
        <v>start /low /b %USERPROFILE%\Documents\GitHub\eaglep3\Utilities\DownloadLogsFromS3.py --loco 4028 --day 2017-04-29</v>
      </c>
      <c r="AN223" s="154" t="str">
        <f t="shared" si="7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23:45:30"},{"id":29,"name":"Sharepoint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91" x14ac:dyDescent="0.25">
      <c r="A224" s="32" t="s">
        <v>763</v>
      </c>
      <c r="B224" s="7">
        <v>4011</v>
      </c>
      <c r="C224" s="21" t="s">
        <v>212</v>
      </c>
      <c r="D224" s="21" t="s">
        <v>984</v>
      </c>
      <c r="E224" s="13">
        <v>42854.778425925928</v>
      </c>
      <c r="F224" s="13">
        <v>42854.782824074071</v>
      </c>
      <c r="G224" s="7">
        <v>6</v>
      </c>
      <c r="H224" s="21" t="s">
        <v>985</v>
      </c>
      <c r="I224" s="13">
        <v>42854.788472222222</v>
      </c>
      <c r="J224" s="7">
        <v>0</v>
      </c>
      <c r="K224" s="92" t="str">
        <f t="shared" si="74"/>
        <v>4011/4012</v>
      </c>
      <c r="L224" s="21" t="str">
        <f>VLOOKUP(A224,'Trips&amp;Operators'!$C$1:$G$99999,5,FALSE)</f>
        <v>SAFIEF AEIMEN</v>
      </c>
      <c r="M224" s="6">
        <f t="shared" si="75"/>
        <v>5.6481481515220366E-3</v>
      </c>
      <c r="N224" s="7">
        <f t="shared" si="88"/>
        <v>8.1333333381917328</v>
      </c>
      <c r="O224" s="7"/>
      <c r="P224" s="7"/>
      <c r="Q224" s="22"/>
      <c r="R224" s="190"/>
      <c r="S224" s="196">
        <f t="shared" si="76"/>
        <v>0</v>
      </c>
      <c r="T224" s="190" t="e">
        <f t="shared" si="77"/>
        <v>#VALUE!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78"/>
        <v>https://d0f6bd738d7f1b3e5a7ca70fe4ff75f0.us-east-1.aws.found.io/app/kibana#/discover/Steve-Slow-Train-Analysis-(2080s-and-2083s)?_g=(refreshInterval:(display:Off,pause:!f,section:0,value:0),time:(from:'2017-04-29T17:40:56-0600',mode:absolute,to:'2017-04-29T19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4" s="192" t="str">
        <f t="shared" si="79"/>
        <v>Y</v>
      </c>
      <c r="X224" s="192" t="e">
        <f t="shared" si="87"/>
        <v>#VALUE!</v>
      </c>
      <c r="Y224" s="192">
        <f t="shared" si="80"/>
        <v>2.1897000000000002</v>
      </c>
      <c r="Z224" s="192">
        <f t="shared" si="81"/>
        <v>8.9300000000000004E-2</v>
      </c>
      <c r="AA224" s="192">
        <f t="shared" si="82"/>
        <v>2.1004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83"/>
        <v>72-29</v>
      </c>
      <c r="AE224" s="80" t="str">
        <f t="shared" si="84"/>
        <v>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 &amp; aws s3 cp s3://rtdc.mdm.uploadarchive.raw/RTDC4011/ "%USERPROFILE%\AppData\Local\Temp\OnboardLogs"\RTDC4011\2017-04-30 --exclude "*" --recursive --include "*20170430*" &amp; "%USERPROFILE%\Documents\GitHub\mrs-test-scripts\Headless Mode &amp; Sideloading\WalkAndUnGZ.bat" "%USERPROFILE%\AppData\Local\Temp\OnboardLogs"\RTDC4011\2017-04-30</v>
      </c>
      <c r="AF224" s="77" t="str">
        <f t="shared" si="85"/>
        <v>"C:\Program Files (x86)\AstroGrep\AstroGrep.exe" /e /r /s /spath="%USERPROFILE%\AppData\Local\Temp\OnboardLogs" /stypes="app*4011*20170430*" /stext=" 00:.+((SYSTEM_STATE.+slice.+state.+changed )|(ment ac)|(multiple cpu faults)|(system.+state.+changed )|(\[timeout)|(PRM\|1\|D)|(kpr)|(kdp)|(train.+moving)|(\|lc)|(penalty))"</v>
      </c>
      <c r="AG224" s="1" t="str">
        <f t="shared" si="86"/>
        <v>Other</v>
      </c>
      <c r="AH224" s="81" t="str">
        <f t="shared" si="70"/>
        <v>"%USERPROFILE%\Documents\GitHub\eaglep3\Utilities\RefineRTDCRunTimes.py" --tripid 72-29 --locoid 4011 --swversion DE.1.0.9.0 --startMP 300:21897 --initTime 2017-04-29T18:40:56 --startdatetime 2017-04-29T18:47:16 --delay 6 --endMP 204:893 --enddatetime 2017-04-29T18:55:24 --enforcementcount 0 &gt;&gt;C:\Users\stu\Documents\GitHub\eaglep3-reporting\EC\2017-04-29-refined-times.txt</v>
      </c>
      <c r="AI224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{"issue":{"subject":"","project_id":79,"tracker_id":40,"status_id":1,"priority_id":2,"assigned_to_id":23,"start_date":"2017-04-29","description":"","custom_fields":[{"id":1,"name":"Subdivision","value":"Other"},{"id":4,"name":"Milepost","value":"0.0893"},{"id":17,"name":"Train ID","value":"72-29"},{"id":16,"name":"Locomotive ID","value":"4011"},{"id":130,"name":"Impact","value":""},{"id":150,"name":"Time of Event (Mountain Time)","value":"18:55:24"},{"id":151,"name":"Denver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72"/>
        <v>start /low /b %USERPROFILE%\Documents\GitHub\eaglep3\Utilities\DownloadLogsFromS3.py --loco 4011 --day 2017-04-29</v>
      </c>
      <c r="AN224" s="154" t="str">
        <f t="shared" si="73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00:55:24"},{"id":29,"name":"Sharepoint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766</v>
      </c>
      <c r="B225" s="7">
        <v>4008</v>
      </c>
      <c r="C225" s="21" t="s">
        <v>212</v>
      </c>
      <c r="D225" s="21" t="s">
        <v>986</v>
      </c>
      <c r="E225" s="13">
        <v>42854.788761574076</v>
      </c>
      <c r="F225" s="13">
        <v>42854.794745370367</v>
      </c>
      <c r="G225" s="7">
        <v>1</v>
      </c>
      <c r="H225" s="21" t="s">
        <v>987</v>
      </c>
      <c r="I225" s="13">
        <v>42854.803113425929</v>
      </c>
      <c r="J225" s="7">
        <v>0</v>
      </c>
      <c r="K225" s="92" t="str">
        <f t="shared" si="74"/>
        <v>4007/4008</v>
      </c>
      <c r="L225" s="21" t="str">
        <f>VLOOKUP(A225,'Trips&amp;Operators'!$C$1:$G$99999,5,FALSE)</f>
        <v>PERKINS DARREN</v>
      </c>
      <c r="M225" s="6">
        <f t="shared" si="75"/>
        <v>8.3680555617320351E-3</v>
      </c>
      <c r="N225" s="7">
        <f t="shared" si="88"/>
        <v>12.050000008894131</v>
      </c>
      <c r="O225" s="7"/>
      <c r="P225" s="7"/>
      <c r="Q225" s="22"/>
      <c r="R225" s="190"/>
      <c r="S225" s="196">
        <f t="shared" si="76"/>
        <v>0</v>
      </c>
      <c r="T225" s="190" t="e">
        <f t="shared" si="77"/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78"/>
        <v>https://d0f6bd738d7f1b3e5a7ca70fe4ff75f0.us-east-1.aws.found.io/app/kibana#/discover/Steve-Slow-Train-Analysis-(2080s-and-2083s)?_g=(refreshInterval:(display:Off,pause:!f,section:0,value:0),time:(from:'2017-04-29T17:55:49-0600',mode:absolute,to:'2017-04-29T20:16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5" s="192" t="str">
        <f t="shared" si="79"/>
        <v>Y</v>
      </c>
      <c r="X225" s="192" t="e">
        <f t="shared" si="87"/>
        <v>#VALUE!</v>
      </c>
      <c r="Y225" s="192">
        <f t="shared" si="80"/>
        <v>0.12820000000000001</v>
      </c>
      <c r="Z225" s="192">
        <f t="shared" si="81"/>
        <v>2.3311999999999999</v>
      </c>
      <c r="AA225" s="192">
        <f t="shared" si="82"/>
        <v>2.2029999999999998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83"/>
        <v>73-29</v>
      </c>
      <c r="AE225" s="80" t="str">
        <f t="shared" si="84"/>
        <v>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 &amp; 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</v>
      </c>
      <c r="AF225" s="77" t="str">
        <f t="shared" si="85"/>
        <v>"C:\Program Files (x86)\AstroGrep\AstroGrep.exe" /e /r /s /spath="%USERPROFILE%\AppData\Local\Temp\OnboardLogs" /stypes="app*4008*20170430*" /stext=" 01:.+((SYSTEM_STATE.+slice.+state.+changed )|(ment ac)|(multiple cpu faults)|(system.+state.+changed )|(\[timeout)|(PRM\|1\|D)|(kpr)|(kdp)|(train.+moving)|(\|lc)|(penalty))"</v>
      </c>
      <c r="AG225" s="1" t="str">
        <f t="shared" si="86"/>
        <v>Other</v>
      </c>
      <c r="AH225" s="81" t="str">
        <f t="shared" si="70"/>
        <v>"%USERPROFILE%\Documents\GitHub\eaglep3\Utilities\RefineRTDCRunTimes.py" --tripid 73-29 --locoid 4008 --swversion DE.1.0.9.0 --startMP 204:1282 --initTime 2017-04-29T18:55:49 --startdatetime 2017-04-29T19:04:26 --delay 1 --endMP 300:23312 --enddatetime 2017-04-29T19:16:29 --enforcementcount 0 &gt;&gt;C:\Users\stu\Documents\GitHub\eaglep3-reporting\EC\2017-04-29-refined-times.txt</v>
      </c>
      <c r="AI225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{"issue":{"subject":"","project_id":79,"tracker_id":40,"status_id":1,"priority_id":2,"assigned_to_id":23,"start_date":"2017-04-29","description":"","custom_fields":[{"id":1,"name":"Subdivision","value":"Other"},{"id":4,"name":"Milepost","value":"2.3312"},{"id":17,"name":"Train ID","value":"73-29"},{"id":16,"name":"Locomotive ID","value":"4008"},{"id":130,"name":"Impact","value":""},{"id":150,"name":"Time of Event (Mountain Time)","value":"19:16:29"},{"id":151,"name":"Denver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72"/>
        <v>start /low /b %USERPROFILE%\Documents\GitHub\eaglep3\Utilities\DownloadLogsFromS3.py --loco 4008 --day 2017-04-29</v>
      </c>
      <c r="AN225" s="154" t="str">
        <f t="shared" si="73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01:16:29"},{"id":29,"name":"Sharepoint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770</v>
      </c>
      <c r="B226" s="7">
        <v>4011</v>
      </c>
      <c r="C226" s="21" t="s">
        <v>212</v>
      </c>
      <c r="D226" s="21" t="s">
        <v>988</v>
      </c>
      <c r="E226" s="13">
        <v>42854.802199074074</v>
      </c>
      <c r="F226" s="13">
        <v>42854.804259259261</v>
      </c>
      <c r="G226" s="7">
        <v>2</v>
      </c>
      <c r="H226" s="21" t="s">
        <v>962</v>
      </c>
      <c r="I226" s="13">
        <v>42854.806006944447</v>
      </c>
      <c r="J226" s="7">
        <v>0</v>
      </c>
      <c r="K226" s="92" t="str">
        <f t="shared" si="74"/>
        <v>4011/4012</v>
      </c>
      <c r="L226" s="21" t="str">
        <f>VLOOKUP(A226,'Trips&amp;Operators'!$C$1:$G$99999,5,FALSE)</f>
        <v>SAFIEF AEIMEN</v>
      </c>
      <c r="M226" s="6">
        <f t="shared" si="75"/>
        <v>1.747685186273884E-3</v>
      </c>
      <c r="N226" s="7">
        <f t="shared" si="88"/>
        <v>2.516666668234393</v>
      </c>
      <c r="O226" s="7"/>
      <c r="P226" s="7"/>
      <c r="Q226" s="22"/>
      <c r="R226" s="190"/>
      <c r="S226" s="196">
        <f t="shared" si="76"/>
        <v>0</v>
      </c>
      <c r="T226" s="190" t="e">
        <f t="shared" si="77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78"/>
        <v>https://d0f6bd738d7f1b3e5a7ca70fe4ff75f0.us-east-1.aws.found.io/app/kibana#/discover/Steve-Slow-Train-Analysis-(2080s-and-2083s)?_g=(refreshInterval:(display:Off,pause:!f,section:0,value:0),time:(from:'2017-04-29T18:15:10-0600',mode:absolute,to:'2017-04-29T20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6" s="192" t="str">
        <f t="shared" si="79"/>
        <v>Y</v>
      </c>
      <c r="X226" s="192" t="e">
        <f t="shared" si="87"/>
        <v>#VALUE!</v>
      </c>
      <c r="Y226" s="192">
        <f t="shared" si="80"/>
        <v>0.5292</v>
      </c>
      <c r="Z226" s="192">
        <f t="shared" si="81"/>
        <v>9.7299999999999998E-2</v>
      </c>
      <c r="AA226" s="192">
        <f t="shared" si="82"/>
        <v>0.43190000000000001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83"/>
        <v>74-29</v>
      </c>
      <c r="AE226" s="80" t="str">
        <f t="shared" si="84"/>
        <v>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 &amp; aws s3 cp s3://rtdc.mdm.uploadarchive.raw/RTDC4011/ "%USERPROFILE%\AppData\Local\Temp\OnboardLogs"\RTDC4011\2017-04-30 --exclude "*" --recursive --include "*20170430*" &amp; "%USERPROFILE%\Documents\GitHub\mrs-test-scripts\Headless Mode &amp; Sideloading\WalkAndUnGZ.bat" "%USERPROFILE%\AppData\Local\Temp\OnboardLogs"\RTDC4011\2017-04-30</v>
      </c>
      <c r="AF226" s="77" t="str">
        <f t="shared" si="85"/>
        <v>"C:\Program Files (x86)\AstroGrep\AstroGrep.exe" /e /r /s /spath="%USERPROFILE%\AppData\Local\Temp\OnboardLogs" /stypes="app*4011*20170430*" /stext=" 01:.+((SYSTEM_STATE.+slice.+state.+changed )|(ment ac)|(multiple cpu faults)|(system.+state.+changed )|(\[timeout)|(PRM\|1\|D)|(kpr)|(kdp)|(train.+moving)|(\|lc)|(penalty))"</v>
      </c>
      <c r="AG226" s="1" t="str">
        <f t="shared" si="86"/>
        <v>Other</v>
      </c>
      <c r="AH226" s="81" t="str">
        <f t="shared" si="70"/>
        <v>"%USERPROFILE%\Documents\GitHub\eaglep3\Utilities\RefineRTDCRunTimes.py" --tripid 74-29 --locoid 4011 --swversion DE.1.0.9.0 --startMP 300:5292 --initTime 2017-04-29T19:15:10 --startdatetime 2017-04-29T19:18:08 --delay 2 --endMP 204:973 --enddatetime 2017-04-29T19:20:39 --enforcementcount 0 &gt;&gt;C:\Users\stu\Documents\GitHub\eaglep3-reporting\EC\2017-04-29-refined-times.txt</v>
      </c>
      <c r="AI226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{"issue":{"subject":"","project_id":79,"tracker_id":40,"status_id":1,"priority_id":2,"assigned_to_id":23,"start_date":"2017-04-29","description":"","custom_fields":[{"id":1,"name":"Subdivision","value":"Other"},{"id":4,"name":"Milepost","value":"0.0973"},{"id":17,"name":"Train ID","value":"74-29"},{"id":16,"name":"Locomotive ID","value":"4011"},{"id":130,"name":"Impact","value":""},{"id":150,"name":"Time of Event (Mountain Time)","value":"19:20:39"},{"id":151,"name":"Denver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72"/>
        <v>start /low /b %USERPROFILE%\Documents\GitHub\eaglep3\Utilities\DownloadLogsFromS3.py --loco 4011 --day 2017-04-29</v>
      </c>
      <c r="AN226" s="154" t="str">
        <f t="shared" si="73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01:20:39"},{"id":29,"name":"Sharepoint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767</v>
      </c>
      <c r="B227" s="7">
        <v>4012</v>
      </c>
      <c r="C227" s="21" t="s">
        <v>212</v>
      </c>
      <c r="D227" s="21" t="s">
        <v>989</v>
      </c>
      <c r="E227" s="13">
        <v>42854.789456018516</v>
      </c>
      <c r="F227" s="13">
        <v>42854.799803240741</v>
      </c>
      <c r="G227" s="7">
        <v>1</v>
      </c>
      <c r="H227" s="21" t="s">
        <v>990</v>
      </c>
      <c r="I227" s="13">
        <v>42854.801134259258</v>
      </c>
      <c r="J227" s="7">
        <v>0</v>
      </c>
      <c r="K227" s="92" t="str">
        <f t="shared" si="74"/>
        <v>4011/4012</v>
      </c>
      <c r="L227" s="21" t="str">
        <f>VLOOKUP(A227,'Trips&amp;Operators'!$C$1:$G$99999,5,FALSE)</f>
        <v>SAFIEF AEIMEN</v>
      </c>
      <c r="M227" s="6">
        <f t="shared" si="75"/>
        <v>1.3310185167938471E-3</v>
      </c>
      <c r="N227" s="7">
        <f t="shared" si="88"/>
        <v>1.9166666641831398</v>
      </c>
      <c r="O227" s="7"/>
      <c r="P227" s="7"/>
      <c r="Q227" s="22"/>
      <c r="R227" s="190"/>
      <c r="S227" s="196">
        <f t="shared" si="76"/>
        <v>0</v>
      </c>
      <c r="T227" s="190" t="e">
        <f t="shared" si="77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78"/>
        <v>https://d0f6bd738d7f1b3e5a7ca70fe4ff75f0.us-east-1.aws.found.io/app/kibana#/discover/Steve-Slow-Train-Analysis-(2080s-and-2083s)?_g=(refreshInterval:(display:Off,pause:!f,section:0,value:0),time:(from:'2017-04-29T17:56:49-0600',mode:absolute,to:'2017-04-29T20:13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7" s="192" t="str">
        <f t="shared" si="79"/>
        <v>Y</v>
      </c>
      <c r="X227" s="192" t="e">
        <f t="shared" si="87"/>
        <v>#VALUE!</v>
      </c>
      <c r="Y227" s="192">
        <f t="shared" si="80"/>
        <v>0.1205</v>
      </c>
      <c r="Z227" s="192">
        <f t="shared" si="81"/>
        <v>0.55630000000000002</v>
      </c>
      <c r="AA227" s="192">
        <f t="shared" si="82"/>
        <v>0.43580000000000002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83"/>
        <v>75-29</v>
      </c>
      <c r="AE227" s="80" t="str">
        <f t="shared" si="84"/>
        <v>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 &amp; aws s3 cp s3://rtdc.mdm.uploadarchive.raw/RTDC4012/ "%USERPROFILE%\AppData\Local\Temp\OnboardLogs"\RTDC4012\2017-04-30 --exclude "*" --recursive --include "*20170430*" &amp; "%USERPROFILE%\Documents\GitHub\mrs-test-scripts\Headless Mode &amp; Sideloading\WalkAndUnGZ.bat" "%USERPROFILE%\AppData\Local\Temp\OnboardLogs"\RTDC4012\2017-04-30</v>
      </c>
      <c r="AF227" s="77" t="str">
        <f t="shared" si="85"/>
        <v>"C:\Program Files (x86)\AstroGrep\AstroGrep.exe" /e /r /s /spath="%USERPROFILE%\AppData\Local\Temp\OnboardLogs" /stypes="app*4012*20170430*" /stext=" 01:.+((SYSTEM_STATE.+slice.+state.+changed )|(ment ac)|(multiple cpu faults)|(system.+state.+changed )|(\[timeout)|(PRM\|1\|D)|(kpr)|(kdp)|(train.+moving)|(\|lc)|(penalty))"</v>
      </c>
      <c r="AG227" s="1" t="str">
        <f t="shared" si="86"/>
        <v>Other</v>
      </c>
      <c r="AH227" s="81" t="str">
        <f t="shared" si="70"/>
        <v>"%USERPROFILE%\Documents\GitHub\eaglep3\Utilities\RefineRTDCRunTimes.py" --tripid 75-29 --locoid 4012 --swversion DE.1.0.9.0 --startMP 204:1205 --initTime 2017-04-29T18:56:49 --startdatetime 2017-04-29T19:11:43 --delay 1 --endMP 300:5563 --enddatetime 2017-04-29T19:13:38 --enforcementcount 0 &gt;&gt;C:\Users\stu\Documents\GitHub\eaglep3-reporting\EC\2017-04-29-refined-times.txt</v>
      </c>
      <c r="AI227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{"issue":{"subject":"","project_id":79,"tracker_id":40,"status_id":1,"priority_id":2,"assigned_to_id":23,"start_date":"2017-04-29","description":"","custom_fields":[{"id":1,"name":"Subdivision","value":"Other"},{"id":4,"name":"Milepost","value":"0.5563"},{"id":17,"name":"Train ID","value":"75-29"},{"id":16,"name":"Locomotive ID","value":"4012"},{"id":130,"name":"Impact","value":""},{"id":150,"name":"Time of Event (Mountain Time)","value":"19:13:38"},{"id":151,"name":"Denver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72"/>
        <v>start /low /b %USERPROFILE%\Documents\GitHub\eaglep3\Utilities\DownloadLogsFromS3.py --loco 4012 --day 2017-04-29</v>
      </c>
      <c r="AN227" s="154" t="str">
        <f t="shared" si="73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01:13:38"},{"id":29,"name":"Sharepoint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598</v>
      </c>
      <c r="B228" s="7">
        <v>4061</v>
      </c>
      <c r="C228" s="21" t="s">
        <v>212</v>
      </c>
      <c r="D228" s="21" t="s">
        <v>991</v>
      </c>
      <c r="E228" s="13">
        <v>42854.994537037041</v>
      </c>
      <c r="F228" s="13">
        <v>42855.0003125</v>
      </c>
      <c r="G228" s="7">
        <v>1</v>
      </c>
      <c r="H228" s="21" t="s">
        <v>475</v>
      </c>
      <c r="I228" s="13">
        <v>42855.040196759262</v>
      </c>
      <c r="J228" s="7">
        <v>0</v>
      </c>
      <c r="K228" s="92" t="str">
        <f t="shared" si="74"/>
        <v>4061/4062</v>
      </c>
      <c r="L228" s="21" t="str">
        <f>VLOOKUP(A228,'Trips&amp;Operators'!$C$1:$G$99999,5,FALSE)</f>
        <v>DUNCAN SHEILA</v>
      </c>
      <c r="M228" s="6">
        <f t="shared" si="75"/>
        <v>3.9884259262180422E-2</v>
      </c>
      <c r="N228" s="7">
        <f t="shared" si="88"/>
        <v>57.433333337539807</v>
      </c>
      <c r="O228" s="7"/>
      <c r="P228" s="7"/>
      <c r="Q228" s="22"/>
      <c r="R228" s="190"/>
      <c r="S228" s="196">
        <f t="shared" si="76"/>
        <v>0</v>
      </c>
      <c r="T228" s="190" t="e">
        <f t="shared" si="77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78"/>
        <v>https://d0f6bd738d7f1b3e5a7ca70fe4ff75f0.us-east-1.aws.found.io/app/kibana#/discover/Steve-Slow-Train-Analysis-(2080s-and-2083s)?_g=(refreshInterval:(display:Off,pause:!f,section:0,value:0),time:(from:'2017-04-29T22:52:08-0600',mode:absolute,to:'2017-04-30T01:57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8" s="192" t="str">
        <f t="shared" si="79"/>
        <v>N</v>
      </c>
      <c r="X228" s="192" t="e">
        <f t="shared" si="87"/>
        <v>#VALUE!</v>
      </c>
      <c r="Y228" s="192">
        <f t="shared" si="80"/>
        <v>23.264099999999999</v>
      </c>
      <c r="Z228" s="192">
        <f t="shared" si="81"/>
        <v>1.7000000000000001E-2</v>
      </c>
      <c r="AA228" s="192">
        <f t="shared" si="82"/>
        <v>23.2471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83"/>
        <v>80-29</v>
      </c>
      <c r="AE228" s="80" t="str">
        <f t="shared" si="84"/>
        <v>aws s3 cp s3://rtdc.mdm.uploadarchive.raw/RTDC4061/ "%USERPROFILE%\AppData\Local\Temp\OnboardLogs"\RTDC4061\2017-04-30 --exclude "*" --recursive --include "*20170430*" &amp; "%USERPROFILE%\Documents\GitHub\mrs-test-scripts\Headless Mode &amp; Sideloading\WalkAndUnGZ.bat" "%USERPROFILE%\AppData\Local\Temp\OnboardLogs"\RTDC4061\2017-04-30 &amp; aws s3 cp s3://rtdc.mdm.uploadarchive.raw/RTDC4061/ "%USERPROFILE%\AppData\Local\Temp\OnboardLogs"\RTDC4061\2017-05-01 --exclude "*" --recursive --include "*20170501*" &amp; "%USERPROFILE%\Documents\GitHub\mrs-test-scripts\Headless Mode &amp; Sideloading\WalkAndUnGZ.bat" "%USERPROFILE%\AppData\Local\Temp\OnboardLogs"\RTDC4061\2017-05-01</v>
      </c>
      <c r="AF228" s="77" t="str">
        <f t="shared" si="85"/>
        <v>"C:\Program Files (x86)\AstroGrep\AstroGrep.exe" /e /r /s /spath="%USERPROFILE%\AppData\Local\Temp\OnboardLogs" /stypes="app*4061*20170430*" /stext=" 06:.+((SYSTEM_STATE.+slice.+state.+changed )|(ment ac)|(multiple cpu faults)|(system.+state.+changed )|(\[timeout)|(PRM\|1\|D)|(kpr)|(kdp)|(train.+moving)|(\|lc)|(penalty))"</v>
      </c>
      <c r="AG228" s="1" t="str">
        <f t="shared" si="86"/>
        <v>Other</v>
      </c>
      <c r="AH228" s="81" t="str">
        <f t="shared" si="70"/>
        <v>"%USERPROFILE%\Documents\GitHub\eaglep3\Utilities\RefineRTDCRunTimes.py" --tripid 80-29 --locoid 4061 --swversion DE.1.0.9.0 --startMP 204:232641 --initTime 2017-04-29T23:52:08 --startdatetime 2017-04-30T00:00:27 --delay 1 --endMP 204:170 --enddatetime 2017-04-30T00:57:53 --enforcementcount 0 &gt;&gt;C:\Users\stu\Documents\GitHub\eaglep3-reporting\EC\2017-04-29-refined-times.txt</v>
      </c>
      <c r="AI228" s="99" t="str">
        <f t="shared" si="71"/>
        <v>echo {"issue":{"subject":"","project_id":79,"tracker_id":40,"status_id":1,"priority_id":2,"assigned_to_id":23,"start_date":"2017-04-30","description":"","custom_fields":[{"id":1,"name":"Subdivision","value":"Other"},{"id":4,"name":"Milepost","value":"0.017"},{"id":17,"name":"Train ID","value":"80-29"},{"id":16,"name":"Locomotive ID","value":"4061"},{"id":130,"name":"Impact","value":""},{"id":150,"name":"Time of Event (Mountain Time)","value":"00:57:53"},{"id":151,"name":"Denver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72"/>
        <v>start /low /b %USERPROFILE%\Documents\GitHub\eaglep3\Utilities\DownloadLogsFromS3.py --loco 4061 --day 2017-04-30</v>
      </c>
      <c r="AN228" s="154" t="str">
        <f t="shared" si="73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06:57:53"},{"id":29,"name":"Sharepoint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598</v>
      </c>
      <c r="B229" s="7">
        <v>4061</v>
      </c>
      <c r="C229" s="21" t="s">
        <v>212</v>
      </c>
      <c r="D229" s="21" t="s">
        <v>992</v>
      </c>
      <c r="E229" s="13">
        <v>42855.08388888889</v>
      </c>
      <c r="F229" s="13">
        <v>42855.085300925923</v>
      </c>
      <c r="G229" s="7">
        <v>1</v>
      </c>
      <c r="H229" s="21" t="s">
        <v>414</v>
      </c>
      <c r="I229" s="13">
        <v>42855.113981481481</v>
      </c>
      <c r="J229" s="7">
        <v>0</v>
      </c>
      <c r="K229" s="92" t="str">
        <f t="shared" si="74"/>
        <v>4061/4062</v>
      </c>
      <c r="L229" s="21" t="str">
        <f>VLOOKUP(A229,'Trips&amp;Operators'!$C$1:$G$99999,5,FALSE)</f>
        <v>DUNCAN SHEILA</v>
      </c>
      <c r="M229" s="6">
        <f t="shared" si="75"/>
        <v>2.8680555558821652E-2</v>
      </c>
      <c r="N229" s="7">
        <f t="shared" si="88"/>
        <v>41.300000004703179</v>
      </c>
      <c r="O229" s="7"/>
      <c r="P229" s="7"/>
      <c r="Q229" s="22"/>
      <c r="R229" s="190"/>
      <c r="S229" s="196">
        <f t="shared" si="76"/>
        <v>0</v>
      </c>
      <c r="T229" s="190" t="e">
        <f t="shared" si="77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78"/>
        <v>https://d0f6bd738d7f1b3e5a7ca70fe4ff75f0.us-east-1.aws.found.io/app/kibana#/discover/Steve-Slow-Train-Analysis-(2080s-and-2083s)?_g=(refreshInterval:(display:Off,pause:!f,section:0,value:0),time:(from:'2017-04-30T01:00:48-0600',mode:absolute,to:'2017-04-30T03:44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9" s="192" t="str">
        <f t="shared" si="79"/>
        <v>N</v>
      </c>
      <c r="X229" s="192" t="e">
        <f t="shared" si="87"/>
        <v>#VALUE!</v>
      </c>
      <c r="Y229" s="192">
        <f t="shared" si="80"/>
        <v>23.265799999999999</v>
      </c>
      <c r="Z229" s="192">
        <f t="shared" si="81"/>
        <v>1.49E-2</v>
      </c>
      <c r="AA229" s="192">
        <f t="shared" si="82"/>
        <v>23.250899999999998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83"/>
        <v>80-29</v>
      </c>
      <c r="AE229" s="80" t="str">
        <f t="shared" si="84"/>
        <v>aws s3 cp s3://rtdc.mdm.uploadarchive.raw/RTDC4061/ "%USERPROFILE%\AppData\Local\Temp\OnboardLogs"\RTDC4061\2017-04-30 --exclude "*" --recursive --include "*20170430*" &amp; "%USERPROFILE%\Documents\GitHub\mrs-test-scripts\Headless Mode &amp; Sideloading\WalkAndUnGZ.bat" "%USERPROFILE%\AppData\Local\Temp\OnboardLogs"\RTDC4061\2017-04-30 &amp; aws s3 cp s3://rtdc.mdm.uploadarchive.raw/RTDC4061/ "%USERPROFILE%\AppData\Local\Temp\OnboardLogs"\RTDC4061\2017-05-01 --exclude "*" --recursive --include "*20170501*" &amp; "%USERPROFILE%\Documents\GitHub\mrs-test-scripts\Headless Mode &amp; Sideloading\WalkAndUnGZ.bat" "%USERPROFILE%\AppData\Local\Temp\OnboardLogs"\RTDC4061\2017-05-01</v>
      </c>
      <c r="AF229" s="77" t="str">
        <f t="shared" si="85"/>
        <v>"C:\Program Files (x86)\AstroGrep\AstroGrep.exe" /e /r /s /spath="%USERPROFILE%\AppData\Local\Temp\OnboardLogs" /stypes="app*4061*20170430*" /stext=" 08:.+((SYSTEM_STATE.+slice.+state.+changed )|(ment ac)|(multiple cpu faults)|(system.+state.+changed )|(\[timeout)|(PRM\|1\|D)|(kpr)|(kdp)|(train.+moving)|(\|lc)|(penalty))"</v>
      </c>
      <c r="AG229" s="1" t="str">
        <f t="shared" si="86"/>
        <v>Other</v>
      </c>
      <c r="AH229" s="81" t="str">
        <f t="shared" si="70"/>
        <v>"%USERPROFILE%\Documents\GitHub\eaglep3\Utilities\RefineRTDCRunTimes.py" --tripid 80-29 --locoid 4061 --swversion DE.1.0.9.0 --startMP 204:232658 --initTime 2017-04-30T02:00:48 --startdatetime 2017-04-30T02:02:50 --delay 1 --endMP 204:149 --enddatetime 2017-04-30T02:44:08 --enforcementcount 0 &gt;&gt;C:\Users\stu\Documents\GitHub\eaglep3-reporting\EC\2017-04-29-refined-times.txt</v>
      </c>
      <c r="AI229" s="99" t="str">
        <f t="shared" si="71"/>
        <v>echo {"issue":{"subject":"","project_id":79,"tracker_id":40,"status_id":1,"priority_id":2,"assigned_to_id":23,"start_date":"2017-04-30","description":"","custom_fields":[{"id":1,"name":"Subdivision","value":"Other"},{"id":4,"name":"Milepost","value":"0.0149"},{"id":17,"name":"Train ID","value":"80-29"},{"id":16,"name":"Locomotive ID","value":"4061"},{"id":130,"name":"Impact","value":""},{"id":150,"name":"Time of Event (Mountain Time)","value":"02:44:08"},{"id":151,"name":"Denver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72"/>
        <v>start /low /b %USERPROFILE%\Documents\GitHub\eaglep3\Utilities\DownloadLogsFromS3.py --loco 4061 --day 2017-04-30</v>
      </c>
      <c r="AN229" s="154" t="str">
        <f t="shared" si="73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08:44:08"},{"id":29,"name":"Sharepoint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598</v>
      </c>
      <c r="B230" s="7">
        <v>4061</v>
      </c>
      <c r="C230" s="21" t="s">
        <v>212</v>
      </c>
      <c r="D230" s="21" t="s">
        <v>993</v>
      </c>
      <c r="E230" s="13">
        <v>42854.918530092589</v>
      </c>
      <c r="F230" s="13">
        <v>42854.920636574076</v>
      </c>
      <c r="G230" s="7">
        <v>2</v>
      </c>
      <c r="H230" s="21" t="s">
        <v>861</v>
      </c>
      <c r="I230" s="13">
        <v>42854.95045138889</v>
      </c>
      <c r="J230" s="7">
        <v>0</v>
      </c>
      <c r="K230" s="92" t="str">
        <f t="shared" si="74"/>
        <v>4061/4062</v>
      </c>
      <c r="L230" s="21" t="str">
        <f>VLOOKUP(A230,'Trips&amp;Operators'!$C$1:$G$99999,5,FALSE)</f>
        <v>DUNCAN SHEILA</v>
      </c>
      <c r="M230" s="6">
        <f t="shared" si="75"/>
        <v>2.9814814814017154E-2</v>
      </c>
      <c r="N230" s="7">
        <f t="shared" si="88"/>
        <v>42.933333332184702</v>
      </c>
      <c r="O230" s="7"/>
      <c r="P230" s="7"/>
      <c r="Q230" s="22"/>
      <c r="R230" s="190"/>
      <c r="S230" s="196">
        <f t="shared" si="76"/>
        <v>0</v>
      </c>
      <c r="T230" s="190" t="e">
        <f t="shared" si="77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78"/>
        <v>https://d0f6bd738d7f1b3e5a7ca70fe4ff75f0.us-east-1.aws.found.io/app/kibana#/discover/Steve-Slow-Train-Analysis-(2080s-and-2083s)?_g=(refreshInterval:(display:Off,pause:!f,section:0,value:0),time:(from:'2017-04-29T21:02:41-0600',mode:absolute,to:'2017-04-29T23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0" s="192" t="str">
        <f t="shared" si="79"/>
        <v>N</v>
      </c>
      <c r="X230" s="192" t="e">
        <f t="shared" si="87"/>
        <v>#VALUE!</v>
      </c>
      <c r="Y230" s="192">
        <f t="shared" si="80"/>
        <v>23.266400000000001</v>
      </c>
      <c r="Z230" s="192">
        <f t="shared" si="81"/>
        <v>1.41E-2</v>
      </c>
      <c r="AA230" s="192">
        <f t="shared" si="82"/>
        <v>23.252300000000002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83"/>
        <v>80-29</v>
      </c>
      <c r="AE230" s="80" t="str">
        <f t="shared" si="84"/>
        <v>aws s3 cp s3://rtdc.mdm.uploadarchive.raw/RTDC4061/ "%USERPROFILE%\AppData\Local\Temp\OnboardLogs"\RTDC4061\2017-04-29 --exclude "*" --recursive --include "*20170429*" &amp; "%USERPROFILE%\Documents\GitHub\mrs-test-scripts\Headless Mode &amp; Sideloading\WalkAndUnGZ.bat" "%USERPROFILE%\AppData\Local\Temp\OnboardLogs"\RTDC4061\2017-04-29 &amp; aws s3 cp s3://rtdc.mdm.uploadarchive.raw/RTDC4061/ "%USERPROFILE%\AppData\Local\Temp\OnboardLogs"\RTDC4061\2017-04-30 --exclude "*" --recursive --include "*20170430*" &amp; "%USERPROFILE%\Documents\GitHub\mrs-test-scripts\Headless Mode &amp; Sideloading\WalkAndUnGZ.bat" "%USERPROFILE%\AppData\Local\Temp\OnboardLogs"\RTDC4061\2017-04-30</v>
      </c>
      <c r="AF230" s="77" t="str">
        <f t="shared" si="85"/>
        <v>"C:\Program Files (x86)\AstroGrep\AstroGrep.exe" /e /r /s /spath="%USERPROFILE%\AppData\Local\Temp\OnboardLogs" /stypes="app*4061*20170430*" /stext=" 04:.+((SYSTEM_STATE.+slice.+state.+changed )|(ment ac)|(multiple cpu faults)|(system.+state.+changed )|(\[timeout)|(PRM\|1\|D)|(kpr)|(kdp)|(train.+moving)|(\|lc)|(penalty))"</v>
      </c>
      <c r="AG230" s="1" t="str">
        <f t="shared" si="86"/>
        <v>Other</v>
      </c>
      <c r="AH230" s="81" t="str">
        <f t="shared" si="70"/>
        <v>"%USERPROFILE%\Documents\GitHub\eaglep3\Utilities\RefineRTDCRunTimes.py" --tripid 80-29 --locoid 4061 --swversion DE.1.0.9.0 --startMP 204:232664 --initTime 2017-04-29T22:02:41 --startdatetime 2017-04-29T22:05:43 --delay 2 --endMP 204:141 --enddatetime 2017-04-29T22:48:39 --enforcementcount 0 &gt;&gt;C:\Users\stu\Documents\GitHub\eaglep3-reporting\EC\2017-04-29-refined-times.txt</v>
      </c>
      <c r="AI230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{"issue":{"subject":"","project_id":79,"tracker_id":40,"status_id":1,"priority_id":2,"assigned_to_id":23,"start_date":"2017-04-29","description":"","custom_fields":[{"id":1,"name":"Subdivision","value":"Other"},{"id":4,"name":"Milepost","value":"0.0141"},{"id":17,"name":"Train ID","value":"80-29"},{"id":16,"name":"Locomotive ID","value":"4061"},{"id":130,"name":"Impact","value":""},{"id":150,"name":"Time of Event (Mountain Time)","value":"22:48:39"},{"id":151,"name":"Denver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72"/>
        <v>start /low /b %USERPROFILE%\Documents\GitHub\eaglep3\Utilities\DownloadLogsFromS3.py --loco 4061 --day 2017-04-29</v>
      </c>
      <c r="AN230" s="154" t="str">
        <f t="shared" si="73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04:48:39"},{"id":29,"name":"Sharepoint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598</v>
      </c>
      <c r="B231" s="7">
        <v>4061</v>
      </c>
      <c r="C231" s="21" t="s">
        <v>212</v>
      </c>
      <c r="D231" s="21" t="s">
        <v>994</v>
      </c>
      <c r="E231" s="13">
        <v>42854.858425925922</v>
      </c>
      <c r="F231" s="13">
        <v>42854.861018518517</v>
      </c>
      <c r="G231" s="7">
        <v>3</v>
      </c>
      <c r="H231" s="21" t="s">
        <v>995</v>
      </c>
      <c r="I231" s="13">
        <v>42854.867314814815</v>
      </c>
      <c r="J231" s="7">
        <v>0</v>
      </c>
      <c r="K231" s="92" t="str">
        <f t="shared" si="74"/>
        <v>4061/4062</v>
      </c>
      <c r="L231" s="21" t="str">
        <f>VLOOKUP(A231,'Trips&amp;Operators'!$C$1:$G$99999,5,FALSE)</f>
        <v>DUNCAN SHEILA</v>
      </c>
      <c r="M231" s="6">
        <f t="shared" si="75"/>
        <v>6.2962962983874604E-3</v>
      </c>
      <c r="N231" s="7">
        <f t="shared" si="88"/>
        <v>9.066666669677943</v>
      </c>
      <c r="O231" s="7"/>
      <c r="P231" s="7"/>
      <c r="Q231" s="22"/>
      <c r="R231" s="190"/>
      <c r="S231" s="196">
        <f t="shared" si="76"/>
        <v>0</v>
      </c>
      <c r="T231" s="190" t="e">
        <f t="shared" si="77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78"/>
        <v>https://d0f6bd738d7f1b3e5a7ca70fe4ff75f0.us-east-1.aws.found.io/app/kibana#/discover/Steve-Slow-Train-Analysis-(2080s-and-2083s)?_g=(refreshInterval:(display:Off,pause:!f,section:0,value:0),time:(from:'2017-04-29T19:36:08-0600',mode:absolute,to:'2017-04-29T21:48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1" s="192" t="str">
        <f t="shared" si="79"/>
        <v>Y</v>
      </c>
      <c r="X231" s="192" t="e">
        <f t="shared" si="87"/>
        <v>#VALUE!</v>
      </c>
      <c r="Y231" s="192">
        <f t="shared" si="80"/>
        <v>2.3451</v>
      </c>
      <c r="Z231" s="192">
        <f t="shared" si="81"/>
        <v>8.5599999999999996E-2</v>
      </c>
      <c r="AA231" s="192">
        <f t="shared" si="82"/>
        <v>2.2595000000000001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83"/>
        <v>80-29</v>
      </c>
      <c r="AE231" s="80" t="str">
        <f t="shared" si="84"/>
        <v>aws s3 cp s3://rtdc.mdm.uploadarchive.raw/RTDC4061/ "%USERPROFILE%\AppData\Local\Temp\OnboardLogs"\RTDC4061\2017-04-29 --exclude "*" --recursive --include "*20170429*" &amp; "%USERPROFILE%\Documents\GitHub\mrs-test-scripts\Headless Mode &amp; Sideloading\WalkAndUnGZ.bat" "%USERPROFILE%\AppData\Local\Temp\OnboardLogs"\RTDC4061\2017-04-29 &amp; aws s3 cp s3://rtdc.mdm.uploadarchive.raw/RTDC4061/ "%USERPROFILE%\AppData\Local\Temp\OnboardLogs"\RTDC4061\2017-04-30 --exclude "*" --recursive --include "*20170430*" &amp; "%USERPROFILE%\Documents\GitHub\mrs-test-scripts\Headless Mode &amp; Sideloading\WalkAndUnGZ.bat" "%USERPROFILE%\AppData\Local\Temp\OnboardLogs"\RTDC4061\2017-04-30</v>
      </c>
      <c r="AF231" s="77" t="str">
        <f t="shared" si="85"/>
        <v>"C:\Program Files (x86)\AstroGrep\AstroGrep.exe" /e /r /s /spath="%USERPROFILE%\AppData\Local\Temp\OnboardLogs" /stypes="app*4061*20170430*" /stext=" 02:.+((SYSTEM_STATE.+slice.+state.+changed )|(ment ac)|(multiple cpu faults)|(system.+state.+changed )|(\[timeout)|(PRM\|1\|D)|(kpr)|(kdp)|(train.+moving)|(\|lc)|(penalty))"</v>
      </c>
      <c r="AG231" s="1" t="str">
        <f t="shared" si="86"/>
        <v>Other</v>
      </c>
      <c r="AH231" s="81" t="str">
        <f t="shared" si="70"/>
        <v>"%USERPROFILE%\Documents\GitHub\eaglep3\Utilities\RefineRTDCRunTimes.py" --tripid 80-29 --locoid 4061 --swversion DE.1.0.9.0 --startMP 300:23451 --initTime 2017-04-29T20:36:08 --startdatetime 2017-04-29T20:39:52 --delay 3 --endMP 204:856 --enddatetime 2017-04-29T20:48:56 --enforcementcount 0 &gt;&gt;C:\Users\stu\Documents\GitHub\eaglep3-reporting\EC\2017-04-29-refined-times.txt</v>
      </c>
      <c r="AI231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{"issue":{"subject":"","project_id":79,"tracker_id":40,"status_id":1,"priority_id":2,"assigned_to_id":23,"start_date":"2017-04-29","description":"","custom_fields":[{"id":1,"name":"Subdivision","value":"Other"},{"id":4,"name":"Milepost","value":"0.0856"},{"id":17,"name":"Train ID","value":"80-29"},{"id":16,"name":"Locomotive ID","value":"4061"},{"id":130,"name":"Impact","value":""},{"id":150,"name":"Time of Event (Mountain Time)","value":"20:48:56"},{"id":151,"name":"Denver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72"/>
        <v>start /low /b %USERPROFILE%\Documents\GitHub\eaglep3\Utilities\DownloadLogsFromS3.py --loco 4061 --day 2017-04-29</v>
      </c>
      <c r="AN231" s="154" t="str">
        <f t="shared" si="73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02:48:56"},{"id":29,"name":"Sharepoint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595</v>
      </c>
      <c r="B232" s="7">
        <v>4060</v>
      </c>
      <c r="C232" s="21" t="s">
        <v>212</v>
      </c>
      <c r="D232" s="21" t="s">
        <v>996</v>
      </c>
      <c r="E232" s="13">
        <v>42854.870289351849</v>
      </c>
      <c r="F232" s="13">
        <v>42854.920636574076</v>
      </c>
      <c r="G232" s="7">
        <v>4</v>
      </c>
      <c r="H232" s="21" t="s">
        <v>848</v>
      </c>
      <c r="I232" s="13">
        <v>42854.95045138889</v>
      </c>
      <c r="J232" s="7">
        <v>0</v>
      </c>
      <c r="K232" s="92" t="str">
        <f t="shared" si="74"/>
        <v>4059/4060</v>
      </c>
      <c r="L232" s="21" t="str">
        <f>VLOOKUP(A232,'Trips&amp;Operators'!$C$1:$G$99999,5,FALSE)</f>
        <v>DUNCAN SHEILA</v>
      </c>
      <c r="M232" s="6">
        <f t="shared" si="75"/>
        <v>2.9814814814017154E-2</v>
      </c>
      <c r="N232" s="7">
        <f t="shared" si="88"/>
        <v>42.933333332184702</v>
      </c>
      <c r="O232" s="7"/>
      <c r="P232" s="7"/>
      <c r="Q232" s="22"/>
      <c r="R232" s="190"/>
      <c r="S232" s="196">
        <f t="shared" si="76"/>
        <v>0</v>
      </c>
      <c r="T232" s="190" t="e">
        <f t="shared" si="77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78"/>
        <v>https://d0f6bd738d7f1b3e5a7ca70fe4ff75f0.us-east-1.aws.found.io/app/kibana#/discover/Steve-Slow-Train-Analysis-(2080s-and-2083s)?_g=(refreshInterval:(display:Off,pause:!f,section:0,value:0),time:(from:'2017-04-29T19:53:13-0600',mode:absolute,to:'2017-04-29T23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2" s="192" t="str">
        <f t="shared" si="79"/>
        <v>N</v>
      </c>
      <c r="X232" s="192" t="e">
        <f t="shared" si="87"/>
        <v>#VALUE!</v>
      </c>
      <c r="Y232" s="192">
        <f t="shared" si="80"/>
        <v>0.1489</v>
      </c>
      <c r="Z232" s="192">
        <f t="shared" si="81"/>
        <v>23.3308</v>
      </c>
      <c r="AA232" s="192">
        <f t="shared" si="82"/>
        <v>23.181899999999999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83"/>
        <v>81-29</v>
      </c>
      <c r="AE232" s="80" t="str">
        <f t="shared" si="84"/>
        <v>aws s3 cp s3://rtdc.mdm.uploadarchive.raw/RTDC4060/ "%USERPROFILE%\AppData\Local\Temp\OnboardLogs"\RTDC4060\2017-04-29 --exclude "*" --recursive --include "*20170429*" &amp; "%USERPROFILE%\Documents\GitHub\mrs-test-scripts\Headless Mode &amp; Sideloading\WalkAndUnGZ.bat" "%USERPROFILE%\AppData\Local\Temp\OnboardLogs"\RTDC4060\2017-04-29 &amp; aws s3 cp s3://rtdc.mdm.uploadarchive.raw/RTDC4060/ "%USERPROFILE%\AppData\Local\Temp\OnboardLogs"\RTDC4060\2017-04-30 --exclude "*" --recursive --include "*20170430*" &amp; "%USERPROFILE%\Documents\GitHub\mrs-test-scripts\Headless Mode &amp; Sideloading\WalkAndUnGZ.bat" "%USERPROFILE%\AppData\Local\Temp\OnboardLogs"\RTDC4060\2017-04-30</v>
      </c>
      <c r="AF232" s="77" t="str">
        <f t="shared" si="85"/>
        <v>"C:\Program Files (x86)\AstroGrep\AstroGrep.exe" /e /r /s /spath="%USERPROFILE%\AppData\Local\Temp\OnboardLogs" /stypes="app*4060*20170430*" /stext=" 04:.+((SYSTEM_STATE.+slice.+state.+changed )|(ment ac)|(multiple cpu faults)|(system.+state.+changed )|(\[timeout)|(PRM\|1\|D)|(kpr)|(kdp)|(train.+moving)|(\|lc)|(penalty))"</v>
      </c>
      <c r="AG232" s="1" t="str">
        <f t="shared" si="86"/>
        <v>Other</v>
      </c>
      <c r="AH232" s="81" t="str">
        <f t="shared" si="70"/>
        <v>"%USERPROFILE%\Documents\GitHub\eaglep3\Utilities\RefineRTDCRunTimes.py" --tripid 81-29 --locoid 4060 --swversion DE.1.0.9.0 --startMP 204:1489 --initTime 2017-04-29T20:53:13 --startdatetime 2017-04-29T22:05:43 --delay 4 --endMP 204:233308 --enddatetime 2017-04-29T22:48:39 --enforcementcount 0 &gt;&gt;C:\Users\stu\Documents\GitHub\eaglep3-reporting\EC\2017-04-29-refined-times.txt</v>
      </c>
      <c r="AI232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{"issue":{"subject":"","project_id":79,"tracker_id":40,"status_id":1,"priority_id":2,"assigned_to_id":23,"start_date":"2017-04-29","description":"","custom_fields":[{"id":1,"name":"Subdivision","value":"Other"},{"id":4,"name":"Milepost","value":"23.3308"},{"id":17,"name":"Train ID","value":"81-29"},{"id":16,"name":"Locomotive ID","value":"4060"},{"id":130,"name":"Impact","value":""},{"id":150,"name":"Time of Event (Mountain Time)","value":"22:48:39"},{"id":151,"name":"Denver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72"/>
        <v>start /low /b %USERPROFILE%\Documents\GitHub\eaglep3\Utilities\DownloadLogsFromS3.py --loco 4060 --day 2017-04-29</v>
      </c>
      <c r="AN232" s="154" t="str">
        <f t="shared" si="73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04:48:39"},{"id":29,"name":"Sharepoint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s="20" customFormat="1" x14ac:dyDescent="0.25">
      <c r="A233" s="32" t="s">
        <v>595</v>
      </c>
      <c r="B233" s="7">
        <v>4060</v>
      </c>
      <c r="C233" s="21" t="s">
        <v>212</v>
      </c>
      <c r="D233" s="21" t="s">
        <v>997</v>
      </c>
      <c r="E233" s="13">
        <v>42855.041921296295</v>
      </c>
      <c r="F233" s="13">
        <v>42855.044768518521</v>
      </c>
      <c r="G233" s="7">
        <v>1</v>
      </c>
      <c r="H233" s="21" t="s">
        <v>457</v>
      </c>
      <c r="I233" s="13">
        <v>42855.074953703705</v>
      </c>
      <c r="J233" s="7">
        <v>0</v>
      </c>
      <c r="K233" s="92" t="str">
        <f t="shared" si="74"/>
        <v>4059/4060</v>
      </c>
      <c r="L233" s="21" t="str">
        <f>VLOOKUP(A233,'Trips&amp;Operators'!$C$1:$G$99999,5,FALSE)</f>
        <v>DUNCAN SHEILA</v>
      </c>
      <c r="M233" s="6">
        <f t="shared" si="75"/>
        <v>3.0185185183654539E-2</v>
      </c>
      <c r="N233" s="7">
        <f t="shared" si="88"/>
        <v>43.466666664462537</v>
      </c>
      <c r="O233" s="7"/>
      <c r="P233" s="7"/>
      <c r="Q233" s="22"/>
      <c r="R233" s="190"/>
      <c r="S233" s="196">
        <f t="shared" si="76"/>
        <v>0</v>
      </c>
      <c r="T233" s="190" t="e">
        <f t="shared" si="77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78"/>
        <v>https://d0f6bd738d7f1b3e5a7ca70fe4ff75f0.us-east-1.aws.found.io/app/kibana#/discover/Steve-Slow-Train-Analysis-(2080s-and-2083s)?_g=(refreshInterval:(display:Off,pause:!f,section:0,value:0),time:(from:'2017-04-30T00:00:22-0600',mode:absolute,to:'2017-04-30T02:47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3" s="192" t="str">
        <f t="shared" si="79"/>
        <v>N</v>
      </c>
      <c r="X233" s="192" t="e">
        <f t="shared" si="87"/>
        <v>#VALUE!</v>
      </c>
      <c r="Y233" s="192">
        <f t="shared" si="80"/>
        <v>7.0400000000000004E-2</v>
      </c>
      <c r="Z233" s="192">
        <f t="shared" si="81"/>
        <v>23.329799999999999</v>
      </c>
      <c r="AA233" s="192">
        <f t="shared" si="82"/>
        <v>23.259399999999999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83"/>
        <v>81-29</v>
      </c>
      <c r="AE233" s="80" t="str">
        <f t="shared" si="84"/>
        <v>aws s3 cp s3://rtdc.mdm.uploadarchive.raw/RTDC4060/ "%USERPROFILE%\AppData\Local\Temp\OnboardLogs"\RTDC4060\2017-04-30 --exclude "*" --recursive --include "*20170430*" &amp; "%USERPROFILE%\Documents\GitHub\mrs-test-scripts\Headless Mode &amp; Sideloading\WalkAndUnGZ.bat" "%USERPROFILE%\AppData\Local\Temp\OnboardLogs"\RTDC4060\2017-04-30 &amp; aws s3 cp s3://rtdc.mdm.uploadarchive.raw/RTDC4060/ "%USERPROFILE%\AppData\Local\Temp\OnboardLogs"\RTDC4060\2017-05-01 --exclude "*" --recursive --include "*20170501*" &amp; "%USERPROFILE%\Documents\GitHub\mrs-test-scripts\Headless Mode &amp; Sideloading\WalkAndUnGZ.bat" "%USERPROFILE%\AppData\Local\Temp\OnboardLogs"\RTDC4060\2017-05-01</v>
      </c>
      <c r="AF233" s="77" t="str">
        <f t="shared" si="85"/>
        <v>"C:\Program Files (x86)\AstroGrep\AstroGrep.exe" /e /r /s /spath="%USERPROFILE%\AppData\Local\Temp\OnboardLogs" /stypes="app*4060*20170430*" /stext=" 07:.+((SYSTEM_STATE.+slice.+state.+changed )|(ment ac)|(multiple cpu faults)|(system.+state.+changed )|(\[timeout)|(PRM\|1\|D)|(kpr)|(kdp)|(train.+moving)|(\|lc)|(penalty))"</v>
      </c>
      <c r="AG233" s="1" t="str">
        <f t="shared" si="86"/>
        <v>Other</v>
      </c>
      <c r="AH233" s="81" t="str">
        <f t="shared" si="70"/>
        <v>"%USERPROFILE%\Documents\GitHub\eaglep3\Utilities\RefineRTDCRunTimes.py" --tripid 81-29 --locoid 4060 --swversion DE.1.0.9.0 --startMP 204:704 --initTime 2017-04-30T01:00:22 --startdatetime 2017-04-30T01:04:28 --delay 1 --endMP 204:233298 --enddatetime 2017-04-30T01:47:56 --enforcementcount 0 &gt;&gt;C:\Users\stu\Documents\GitHub\eaglep3-reporting\EC\2017-04-29-refined-times.txt</v>
      </c>
      <c r="AI233" s="99" t="str">
        <f t="shared" si="71"/>
        <v>echo {"issue":{"subject":"","project_id":79,"tracker_id":40,"status_id":1,"priority_id":2,"assigned_to_id":23,"start_date":"2017-04-30","description":"","custom_fields":[{"id":1,"name":"Subdivision","value":"Other"},{"id":4,"name":"Milepost","value":"23.3298"},{"id":17,"name":"Train ID","value":"81-29"},{"id":16,"name":"Locomotive ID","value":"4060"},{"id":130,"name":"Impact","value":""},{"id":150,"name":"Time of Event (Mountain Time)","value":"01:47:56"},{"id":151,"name":"Denver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3" s="47"/>
      <c r="AL233" s="47"/>
      <c r="AM233" s="145" t="str">
        <f t="shared" si="72"/>
        <v>start /low /b %USERPROFILE%\Documents\GitHub\eaglep3\Utilities\DownloadLogsFromS3.py --loco 4060 --day 2017-04-30</v>
      </c>
      <c r="AN233" s="154" t="str">
        <f t="shared" si="73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07:47:56"},{"id":29,"name":"Sharepoint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595</v>
      </c>
      <c r="B234" s="7">
        <v>4060</v>
      </c>
      <c r="C234" s="21" t="s">
        <v>212</v>
      </c>
      <c r="D234" s="21" t="s">
        <v>491</v>
      </c>
      <c r="E234" s="13">
        <v>42854.960104166668</v>
      </c>
      <c r="F234" s="13">
        <v>42854.962997685187</v>
      </c>
      <c r="G234" s="7">
        <v>1</v>
      </c>
      <c r="H234" s="21" t="s">
        <v>492</v>
      </c>
      <c r="I234" s="13">
        <v>42854.991435185184</v>
      </c>
      <c r="J234" s="7">
        <v>0</v>
      </c>
      <c r="K234" s="92" t="str">
        <f t="shared" si="74"/>
        <v>4059/4060</v>
      </c>
      <c r="L234" s="21" t="str">
        <f>VLOOKUP(A234,'Trips&amp;Operators'!$C$1:$G$99999,5,FALSE)</f>
        <v>DUNCAN SHEILA</v>
      </c>
      <c r="M234" s="6">
        <f t="shared" si="75"/>
        <v>2.8437499997380655E-2</v>
      </c>
      <c r="N234" s="7">
        <f t="shared" si="88"/>
        <v>40.949999996228144</v>
      </c>
      <c r="O234" s="7"/>
      <c r="P234" s="7"/>
      <c r="Q234" s="22"/>
      <c r="R234" s="190"/>
      <c r="S234" s="196">
        <f t="shared" si="76"/>
        <v>0</v>
      </c>
      <c r="T234" s="190" t="e">
        <f t="shared" si="77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78"/>
        <v>https://d0f6bd738d7f1b3e5a7ca70fe4ff75f0.us-east-1.aws.found.io/app/kibana#/discover/Steve-Slow-Train-Analysis-(2080s-and-2083s)?_g=(refreshInterval:(display:Off,pause:!f,section:0,value:0),time:(from:'2017-04-29T22:02:33-0600',mode:absolute,to:'2017-04-30T00:47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4" s="192" t="str">
        <f t="shared" si="79"/>
        <v>N</v>
      </c>
      <c r="X234" s="192" t="e">
        <f t="shared" si="87"/>
        <v>#VALUE!</v>
      </c>
      <c r="Y234" s="192">
        <f t="shared" si="80"/>
        <v>7.7499999999999999E-2</v>
      </c>
      <c r="Z234" s="192">
        <f t="shared" si="81"/>
        <v>23.328399999999998</v>
      </c>
      <c r="AA234" s="192">
        <f t="shared" si="82"/>
        <v>23.250899999999998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83"/>
        <v>81-29</v>
      </c>
      <c r="AE234" s="80" t="str">
        <f t="shared" si="84"/>
        <v>aws s3 cp s3://rtdc.mdm.uploadarchive.raw/RTDC4060/ "%USERPROFILE%\AppData\Local\Temp\OnboardLogs"\RTDC4060\2017-04-29 --exclude "*" --recursive --include "*20170429*" &amp; "%USERPROFILE%\Documents\GitHub\mrs-test-scripts\Headless Mode &amp; Sideloading\WalkAndUnGZ.bat" "%USERPROFILE%\AppData\Local\Temp\OnboardLogs"\RTDC4060\2017-04-29 &amp; aws s3 cp s3://rtdc.mdm.uploadarchive.raw/RTDC4060/ "%USERPROFILE%\AppData\Local\Temp\OnboardLogs"\RTDC4060\2017-04-30 --exclude "*" --recursive --include "*20170430*" &amp; "%USERPROFILE%\Documents\GitHub\mrs-test-scripts\Headless Mode &amp; Sideloading\WalkAndUnGZ.bat" "%USERPROFILE%\AppData\Local\Temp\OnboardLogs"\RTDC4060\2017-04-30</v>
      </c>
      <c r="AF234" s="77" t="str">
        <f t="shared" si="85"/>
        <v>"C:\Program Files (x86)\AstroGrep\AstroGrep.exe" /e /r /s /spath="%USERPROFILE%\AppData\Local\Temp\OnboardLogs" /stypes="app*4060*20170430*" /stext=" 05:.+((SYSTEM_STATE.+slice.+state.+changed )|(ment ac)|(multiple cpu faults)|(system.+state.+changed )|(\[timeout)|(PRM\|1\|D)|(kpr)|(kdp)|(train.+moving)|(\|lc)|(penalty))"</v>
      </c>
      <c r="AG234" s="1" t="str">
        <f t="shared" si="86"/>
        <v>Other</v>
      </c>
      <c r="AH234" s="81" t="str">
        <f t="shared" si="70"/>
        <v>"%USERPROFILE%\Documents\GitHub\eaglep3\Utilities\RefineRTDCRunTimes.py" --tripid 81-29 --locoid 4060 --swversion DE.1.0.9.0 --startMP 204:775 --initTime 2017-04-29T23:02:33 --startdatetime 2017-04-29T23:06:43 --delay 1 --endMP 204:233284 --enddatetime 2017-04-29T23:47:40 --enforcementcount 0 &gt;&gt;C:\Users\stu\Documents\GitHub\eaglep3-reporting\EC\2017-04-29-refined-times.txt</v>
      </c>
      <c r="AI234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{"issue":{"subject":"","project_id":79,"tracker_id":40,"status_id":1,"priority_id":2,"assigned_to_id":23,"start_date":"2017-04-29","description":"","custom_fields":[{"id":1,"name":"Subdivision","value":"Other"},{"id":4,"name":"Milepost","value":"23.3284"},{"id":17,"name":"Train ID","value":"81-29"},{"id":16,"name":"Locomotive ID","value":"4060"},{"id":130,"name":"Impact","value":""},{"id":150,"name":"Time of Event (Mountain Time)","value":"23:47:40"},{"id":151,"name":"Denver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72"/>
        <v>start /low /b %USERPROFILE%\Documents\GitHub\eaglep3\Utilities\DownloadLogsFromS3.py --loco 4060 --day 2017-04-29</v>
      </c>
      <c r="AN234" s="154" t="str">
        <f t="shared" si="73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05:47:40"},{"id":29,"name":"Sharepoint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593</v>
      </c>
      <c r="B235" s="7">
        <v>4055</v>
      </c>
      <c r="C235" s="21" t="s">
        <v>212</v>
      </c>
      <c r="D235" s="21" t="s">
        <v>998</v>
      </c>
      <c r="E235" s="13">
        <v>42854.861087962963</v>
      </c>
      <c r="F235" s="13">
        <v>42854.868067129632</v>
      </c>
      <c r="G235" s="7">
        <v>9</v>
      </c>
      <c r="H235" s="21" t="s">
        <v>999</v>
      </c>
      <c r="I235" s="13">
        <v>42854.868206018517</v>
      </c>
      <c r="J235" s="7">
        <v>0</v>
      </c>
      <c r="K235" s="92" t="str">
        <f t="shared" si="74"/>
        <v>4055/4056</v>
      </c>
      <c r="L235" s="21" t="str">
        <f>VLOOKUP(A235,'Trips&amp;Operators'!$C$1:$G$99999,5,FALSE)</f>
        <v>HOLCOMB KAMDEN</v>
      </c>
      <c r="M235" s="6">
        <f t="shared" si="75"/>
        <v>1.3888888497604057E-4</v>
      </c>
      <c r="N235" s="7">
        <f t="shared" si="88"/>
        <v>0.19999999436549842</v>
      </c>
      <c r="O235" s="7"/>
      <c r="P235" s="7"/>
      <c r="Q235" s="22"/>
      <c r="R235" s="190" t="s">
        <v>1031</v>
      </c>
      <c r="S235" s="196">
        <f t="shared" si="76"/>
        <v>0</v>
      </c>
      <c r="T235" s="190" t="e">
        <f t="shared" si="77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78"/>
        <v>https://d0f6bd738d7f1b3e5a7ca70fe4ff75f0.us-east-1.aws.found.io/app/kibana#/discover/Steve-Slow-Train-Analysis-(2080s-and-2083s)?_g=(refreshInterval:(display:Off,pause:!f,section:0,value:0),time:(from:'2017-04-29T19:39:58-0600',mode:absolute,to:'2017-04-29T21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5" s="192" t="str">
        <f t="shared" si="79"/>
        <v>Y</v>
      </c>
      <c r="X235" s="192" t="e">
        <f t="shared" si="87"/>
        <v>#VALUE!</v>
      </c>
      <c r="Y235" s="192">
        <f t="shared" si="80"/>
        <v>2.4415</v>
      </c>
      <c r="Z235" s="192">
        <f t="shared" si="81"/>
        <v>2.3906000000000001</v>
      </c>
      <c r="AA235" s="192">
        <f t="shared" si="82"/>
        <v>5.0899999999999945E-2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83"/>
        <v>88-29</v>
      </c>
      <c r="AE235" s="80" t="str">
        <f t="shared" si="84"/>
        <v>aws s3 cp s3://rtdc.mdm.uploadarchive.raw/RTDC4055/ "%USERPROFILE%\AppData\Local\Temp\OnboardLogs"\RTDC4055\2017-04-29 --exclude "*" --recursive --include "*20170429*" &amp; "%USERPROFILE%\Documents\GitHub\mrs-test-scripts\Headless Mode &amp; Sideloading\WalkAndUnGZ.bat" "%USERPROFILE%\AppData\Local\Temp\OnboardLogs"\RTDC4055\2017-04-29 &amp; aws s3 cp s3://rtdc.mdm.uploadarchive.raw/RTDC4055/ "%USERPROFILE%\AppData\Local\Temp\OnboardLogs"\RTDC4055\2017-04-30 --exclude "*" --recursive --include "*20170430*" &amp; "%USERPROFILE%\Documents\GitHub\mrs-test-scripts\Headless Mode &amp; Sideloading\WalkAndUnGZ.bat" "%USERPROFILE%\AppData\Local\Temp\OnboardLogs"\RTDC4055\2017-04-30</v>
      </c>
      <c r="AF235" s="77" t="str">
        <f t="shared" si="85"/>
        <v>"C:\Program Files (x86)\AstroGrep\AstroGrep.exe" /e /r /s /spath="%USERPROFILE%\AppData\Local\Temp\OnboardLogs" /stypes="app*4055*20170430*" /stext=" 02:.+((SYSTEM_STATE.+slice.+state.+changed )|(ment ac)|(multiple cpu faults)|(system.+state.+changed )|(\[timeout)|(PRM\|1\|D)|(kpr)|(kdp)|(train.+moving)|(\|lc)|(penalty))"</v>
      </c>
      <c r="AG235" s="1" t="str">
        <f t="shared" si="86"/>
        <v>Other</v>
      </c>
      <c r="AH235" s="81" t="str">
        <f t="shared" si="70"/>
        <v>"%USERPROFILE%\Documents\GitHub\eaglep3\Utilities\RefineRTDCRunTimes.py" --tripid 88-29 --locoid 4055 --swversion DE.1.0.9.0 --startMP 300:24415 --initTime 2017-04-29T20:39:58 --startdatetime 2017-04-29T20:50:01 --delay 9 --endMP 300:23906 --enddatetime 2017-04-29T20:50:13 --enforcementcount 0 &gt;&gt;C:\Users\stu\Documents\GitHub\eaglep3-reporting\EC\2017-04-29-refined-times.txt</v>
      </c>
      <c r="AI235" s="99" t="str">
        <f t="shared" si="71"/>
        <v>echo {"issue":{"subject":"Selected wrong track (should have selected CRMF YD)","project_id":79,"tracker_id":40,"status_id":1,"priority_id":2,"assigned_to_id":23,"start_date":"2017-04-29","description":"","custom_fields":[{"id":1,"name":"Subdivision","value":"Other"},{"id":4,"name":"Milepost","value":"2.3906"},{"id":17,"name":"Train ID","value":"88-29"},{"id":16,"name":"Locomotive ID","value":"4055"},{"id":130,"name":"Impact","value":""},{"id":150,"name":"Time of Event (Mountain Time)","value":"20:50:13"},{"id":151,"name":"Denver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72"/>
        <v>start /low /b %USERPROFILE%\Documents\GitHub\eaglep3\Utilities\DownloadLogsFromS3.py --loco 4055 --day 2017-04-29</v>
      </c>
      <c r="AN235" s="154" t="str">
        <f t="shared" si="73"/>
        <v>echo {"issue":{"subject":"Selected wrong track (should have selected CRMF YD)","project_id":30,"tracker_id":4,"status_id":1,"priority_id":1,"assigned_to_id":10,"start_date":"2017-04-30","description":"","custom_fields":[{"id":30,"name":"Category","value":"Issue"},{"id":3,"name":"Functional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02:50:13"},{"id":29,"name":"Sharepoint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603</v>
      </c>
      <c r="B236" s="7">
        <v>4060</v>
      </c>
      <c r="C236" s="21" t="s">
        <v>212</v>
      </c>
      <c r="D236" s="21" t="s">
        <v>1000</v>
      </c>
      <c r="E236" s="13">
        <v>42854.102673611109</v>
      </c>
      <c r="F236" s="13">
        <v>42854.104560185187</v>
      </c>
      <c r="G236" s="7">
        <v>1</v>
      </c>
      <c r="H236" s="21" t="s">
        <v>430</v>
      </c>
      <c r="I236" s="13">
        <v>42854.112928240742</v>
      </c>
      <c r="J236" s="7">
        <v>0</v>
      </c>
      <c r="K236" s="92" t="str">
        <f t="shared" si="74"/>
        <v>4059/4060</v>
      </c>
      <c r="L236" s="21" t="str">
        <f>VLOOKUP(A236,'Trips&amp;Operators'!$C$1:$G$99999,5,FALSE)</f>
        <v>MAGEE KENYA</v>
      </c>
      <c r="M236" s="6">
        <f t="shared" si="75"/>
        <v>8.3680555544560775E-3</v>
      </c>
      <c r="N236" s="7">
        <f t="shared" si="88"/>
        <v>12.049999998416752</v>
      </c>
      <c r="O236" s="7"/>
      <c r="P236" s="7"/>
      <c r="Q236" s="22"/>
      <c r="R236" s="190"/>
      <c r="S236" s="196">
        <f t="shared" si="76"/>
        <v>0</v>
      </c>
      <c r="T236" s="190" t="e">
        <f t="shared" si="77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78"/>
        <v>https://d0f6bd738d7f1b3e5a7ca70fe4ff75f0.us-east-1.aws.found.io/app/kibana#/discover/Steve-Slow-Train-Analysis-(2080s-and-2083s)?_g=(refreshInterval:(display:Off,pause:!f,section:0,value:0),time:(from:'2017-04-29T01:27:51-0600',mode:absolute,to:'2017-04-29T03:42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6" s="192" t="str">
        <f t="shared" si="79"/>
        <v>Y</v>
      </c>
      <c r="X236" s="192" t="e">
        <f t="shared" si="87"/>
        <v>#VALUE!</v>
      </c>
      <c r="Y236" s="192">
        <f t="shared" si="80"/>
        <v>8.3900000000000002E-2</v>
      </c>
      <c r="Z236" s="192">
        <f t="shared" si="81"/>
        <v>2.3346</v>
      </c>
      <c r="AA236" s="192">
        <f t="shared" si="82"/>
        <v>2.2507000000000001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83"/>
        <v>89-28</v>
      </c>
      <c r="AE236" s="80" t="str">
        <f t="shared" si="84"/>
        <v>aws s3 cp s3://rtdc.mdm.uploadarchive.raw/RTDC4060/ "%USERPROFILE%\AppData\Local\Temp\OnboardLogs"\RTDC4060\2017-04-29 --exclude "*" --recursive --include "*20170429*" &amp; "%USERPROFILE%\Documents\GitHub\mrs-test-scripts\Headless Mode &amp; Sideloading\WalkAndUnGZ.bat" "%USERPROFILE%\AppData\Local\Temp\OnboardLogs"\RTDC4060\2017-04-29 &amp; aws s3 cp s3://rtdc.mdm.uploadarchive.raw/RTDC4060/ "%USERPROFILE%\AppData\Local\Temp\OnboardLogs"\RTDC4060\2017-04-30 --exclude "*" --recursive --include "*20170430*" &amp; "%USERPROFILE%\Documents\GitHub\mrs-test-scripts\Headless Mode &amp; Sideloading\WalkAndUnGZ.bat" "%USERPROFILE%\AppData\Local\Temp\OnboardLogs"\RTDC4060\2017-04-30</v>
      </c>
      <c r="AF236" s="77" t="str">
        <f t="shared" si="85"/>
        <v>"C:\Program Files (x86)\AstroGrep\AstroGrep.exe" /e /r /s /spath="%USERPROFILE%\AppData\Local\Temp\OnboardLogs" /stypes="app*4060*20170429*" /stext=" 08:.+((SYSTEM_STATE.+slice.+state.+changed )|(ment ac)|(multiple cpu faults)|(system.+state.+changed )|(\[timeout)|(PRM\|1\|D)|(kpr)|(kdp)|(train.+moving)|(\|lc)|(penalty))"</v>
      </c>
      <c r="AG236" s="1" t="str">
        <f t="shared" si="86"/>
        <v>Other</v>
      </c>
      <c r="AH236" s="81" t="str">
        <f t="shared" si="70"/>
        <v>"%USERPROFILE%\Documents\GitHub\eaglep3\Utilities\RefineRTDCRunTimes.py" --tripid 89-28 --locoid 4060 --swversion DE.1.0.9.0 --startMP 204:839 --initTime 2017-04-29T02:27:51 --startdatetime 2017-04-29T02:30:34 --delay 1 --endMP 300:23346 --enddatetime 2017-04-29T02:42:37 --enforcementcount 0 &gt;&gt;C:\Users\stu\Documents\GitHub\eaglep3-reporting\EC\2017-04-29-refined-times.txt</v>
      </c>
      <c r="AI236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{"issue":{"subject":"","project_id":79,"tracker_id":40,"status_id":1,"priority_id":2,"assigned_to_id":23,"start_date":"2017-04-29","description":"","custom_fields":[{"id":1,"name":"Subdivision","value":"Other"},{"id":4,"name":"Milepost","value":"2.3346"},{"id":17,"name":"Train ID","value":"89-28"},{"id":16,"name":"Locomotive ID","value":"4060"},{"id":130,"name":"Impact","value":""},{"id":150,"name":"Time of Event (Mountain Time)","value":"02:42:37"},{"id":151,"name":"Denver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72"/>
        <v>start /low /b %USERPROFILE%\Documents\GitHub\eaglep3\Utilities\DownloadLogsFromS3.py --loco 4060 --day 2017-04-29</v>
      </c>
      <c r="AN236" s="154" t="str">
        <f t="shared" si="7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08:42:37"},{"id":29,"name":"Sharepoint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783</v>
      </c>
      <c r="B237" s="7">
        <v>4056</v>
      </c>
      <c r="C237" s="21" t="s">
        <v>212</v>
      </c>
      <c r="D237" s="21" t="s">
        <v>1001</v>
      </c>
      <c r="E237" s="13">
        <v>42854.870243055557</v>
      </c>
      <c r="F237" s="13">
        <v>42854.871898148151</v>
      </c>
      <c r="G237" s="7">
        <v>1</v>
      </c>
      <c r="H237" s="21" t="s">
        <v>955</v>
      </c>
      <c r="I237" s="13">
        <v>42854.885752314818</v>
      </c>
      <c r="J237" s="7">
        <v>0</v>
      </c>
      <c r="K237" s="92" t="str">
        <f t="shared" si="74"/>
        <v>4055/4056</v>
      </c>
      <c r="L237" s="21" t="str">
        <f>VLOOKUP(A237,'Trips&amp;Operators'!$C$1:$G$99999,5,FALSE)</f>
        <v>HOLCOMB KAMDEN</v>
      </c>
      <c r="M237" s="6">
        <f t="shared" si="75"/>
        <v>1.3854166667442769E-2</v>
      </c>
      <c r="N237" s="7">
        <f t="shared" si="88"/>
        <v>19.950000001117587</v>
      </c>
      <c r="O237" s="7"/>
      <c r="P237" s="7"/>
      <c r="Q237" s="22"/>
      <c r="R237" s="190"/>
      <c r="S237" s="196">
        <f t="shared" si="76"/>
        <v>0</v>
      </c>
      <c r="T237" s="190" t="e">
        <f t="shared" si="77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78"/>
        <v>https://d0f6bd738d7f1b3e5a7ca70fe4ff75f0.us-east-1.aws.found.io/app/kibana#/discover/Steve-Slow-Train-Analysis-(2080s-and-2083s)?_g=(refreshInterval:(display:Off,pause:!f,section:0,value:0),time:(from:'2017-04-29T19:53:09-0600',mode:absolute,to:'2017-04-29T22:15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7" s="192" t="str">
        <f t="shared" si="79"/>
        <v>Y</v>
      </c>
      <c r="X237" s="192" t="e">
        <f t="shared" si="87"/>
        <v>#VALUE!</v>
      </c>
      <c r="Y237" s="192">
        <f t="shared" si="80"/>
        <v>2.2096</v>
      </c>
      <c r="Z237" s="192">
        <f t="shared" si="81"/>
        <v>2.3294999999999999</v>
      </c>
      <c r="AA237" s="192">
        <f t="shared" si="82"/>
        <v>0.1198999999999999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83"/>
        <v>89-29</v>
      </c>
      <c r="AE237" s="80" t="str">
        <f t="shared" si="84"/>
        <v>aws s3 cp s3://rtdc.mdm.uploadarchive.raw/RTDC4056/ "%USERPROFILE%\AppData\Local\Temp\OnboardLogs"\RTDC4056\2017-04-29 --exclude "*" --recursive --include "*20170429*" &amp; "%USERPROFILE%\Documents\GitHub\mrs-test-scripts\Headless Mode &amp; Sideloading\WalkAndUnGZ.bat" "%USERPROFILE%\AppData\Local\Temp\OnboardLogs"\RTDC4056\2017-04-29 &amp; aws s3 cp s3://rtdc.mdm.uploadarchive.raw/RTDC4056/ "%USERPROFILE%\AppData\Local\Temp\OnboardLogs"\RTDC4056\2017-04-30 --exclude "*" --recursive --include "*20170430*" &amp; "%USERPROFILE%\Documents\GitHub\mrs-test-scripts\Headless Mode &amp; Sideloading\WalkAndUnGZ.bat" "%USERPROFILE%\AppData\Local\Temp\OnboardLogs"\RTDC4056\2017-04-30</v>
      </c>
      <c r="AF237" s="77" t="str">
        <f t="shared" si="85"/>
        <v>"C:\Program Files (x86)\AstroGrep\AstroGrep.exe" /e /r /s /spath="%USERPROFILE%\AppData\Local\Temp\OnboardLogs" /stypes="app*4056*20170430*" /stext=" 03:.+((SYSTEM_STATE.+slice.+state.+changed )|(ment ac)|(multiple cpu faults)|(system.+state.+changed )|(\[timeout)|(PRM\|1\|D)|(kpr)|(kdp)|(train.+moving)|(\|lc)|(penalty))"</v>
      </c>
      <c r="AG237" s="1" t="str">
        <f t="shared" si="86"/>
        <v>Other</v>
      </c>
      <c r="AH237" s="81" t="str">
        <f t="shared" si="70"/>
        <v>"%USERPROFILE%\Documents\GitHub\eaglep3\Utilities\RefineRTDCRunTimes.py" --tripid 89-29 --locoid 4056 --swversion DE.1.0.9.0 --startMP 300:22096 --initTime 2017-04-29T20:53:09 --startdatetime 2017-04-29T20:55:32 --delay 1 --endMP 300:23295 --enddatetime 2017-04-29T21:15:29 --enforcementcount 0 &gt;&gt;C:\Users\stu\Documents\GitHub\eaglep3-reporting\EC\2017-04-29-refined-times.txt</v>
      </c>
      <c r="AI237" s="99" t="str">
        <f t="shared" si="71"/>
        <v>echo {"issue":{"subject":"","project_id":79,"tracker_id":40,"status_id":1,"priority_id":2,"assigned_to_id":23,"start_date":"2017-04-29","description":"","custom_fields":[{"id":1,"name":"Subdivision","value":"Other"},{"id":4,"name":"Milepost","value":"2.3295"},{"id":17,"name":"Train ID","value":"89-29"},{"id":16,"name":"Locomotive ID","value":"4056"},{"id":130,"name":"Impact","value":""},{"id":150,"name":"Time of Event (Mountain Time)","value":"21:15:29"},{"id":151,"name":"Denver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72"/>
        <v>start /low /b %USERPROFILE%\Documents\GitHub\eaglep3\Utilities\DownloadLogsFromS3.py --loco 4056 --day 2017-04-29</v>
      </c>
      <c r="AN237" s="154" t="str">
        <f t="shared" si="73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03:15:29"},{"id":29,"name":"Sharepoint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</sheetData>
  <autoFilter ref="A12:AG268">
    <sortState ref="A13:AG270">
      <sortCondition ref="AG13:AG239"/>
      <sortCondition ref="AD13:AD239"/>
    </sortState>
  </autoFilter>
  <sortState ref="A13:AH200">
    <sortCondition ref="AG13:AG200"/>
    <sortCondition ref="AD13:AD200"/>
  </sortState>
  <mergeCells count="1">
    <mergeCell ref="A11:P11"/>
  </mergeCells>
  <conditionalFormatting sqref="W11:W12 W275:X1048576 W13:X237">
    <cfRule type="cellIs" dxfId="10" priority="401" operator="equal">
      <formula>"Y"</formula>
    </cfRule>
  </conditionalFormatting>
  <conditionalFormatting sqref="X275:X1048576 X13:X237">
    <cfRule type="cellIs" dxfId="9" priority="384" operator="greaterThan">
      <formula>1</formula>
    </cfRule>
  </conditionalFormatting>
  <conditionalFormatting sqref="X275:X1048576 X12:X237">
    <cfRule type="cellIs" dxfId="8" priority="381" operator="equal">
      <formula>0</formula>
    </cfRule>
  </conditionalFormatting>
  <conditionalFormatting sqref="A13:S237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AK13:AK237</xm:sqref>
        </x14:dataValidation>
        <x14:dataValidation type="list" allowBlank="1" showInputMessage="1" showErrorMessage="1">
          <x14:formula1>
            <xm:f>'Redmine List Values'!$C$2:$C$15</xm:f>
          </x14:formula1>
          <xm:sqref>AL13:AL237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5"/>
  <sheetViews>
    <sheetView tabSelected="1" topLeftCell="A2" zoomScaleNormal="100" workbookViewId="0">
      <selection activeCell="P18" sqref="P18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COUNTIF($O$7:$O$293,"=Y")</f>
        <v>6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COUNTA($O$7:$O$293)-O2</f>
        <v>36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- 2017-04-29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200</v>
      </c>
    </row>
    <row r="7" spans="1:32" s="1" customFormat="1" x14ac:dyDescent="0.25">
      <c r="A7" s="31">
        <v>42854.27988425926</v>
      </c>
      <c r="B7" s="30" t="s">
        <v>386</v>
      </c>
      <c r="C7" s="30" t="s">
        <v>560</v>
      </c>
      <c r="D7" s="30" t="s">
        <v>49</v>
      </c>
      <c r="E7" s="30" t="s">
        <v>191</v>
      </c>
      <c r="F7" s="42">
        <v>0</v>
      </c>
      <c r="G7" s="42">
        <v>121</v>
      </c>
      <c r="H7" s="42">
        <v>27355</v>
      </c>
      <c r="I7" s="42">
        <v>27262</v>
      </c>
      <c r="J7" s="30" t="s">
        <v>192</v>
      </c>
      <c r="K7" s="42">
        <v>27350</v>
      </c>
      <c r="L7" s="134" t="s">
        <v>51</v>
      </c>
      <c r="M7" s="135">
        <f t="shared" ref="M7:M48" si="0">CONVERT((I7-K7)/10000,"mi","ft")*IF(L7="Increasing Mileposts (1)",-1,1)</f>
        <v>-46.463999999999999</v>
      </c>
      <c r="N7" s="136" t="str">
        <f>VLOOKUP(C7,'Trips&amp;Operators'!$C$1:$G$99999,5,FALSE)</f>
        <v>COOLAHAN JOHN</v>
      </c>
      <c r="O7" s="207" t="s">
        <v>184</v>
      </c>
      <c r="P7" s="137" t="s">
        <v>445</v>
      </c>
      <c r="Q7" s="30"/>
      <c r="R7" s="84" t="str">
        <f>IF(VLOOKUP(C7,'Train Runs'!$A$13:$AE$9944,1,1)=C7,VLOOKUP(C7,'Train Runs'!$A$13:$AE$9944,31,1),NA())</f>
        <v>aws s3 cp s3://rtdc.mdm.uploadarchive.raw/RTDC4009/ "%USERPROFILE%\AppData\Local\Temp\OnboardLogs"\RTDC4009\2017-04-29 --exclude "*" --recursive --include "*20170429*" &amp; "%USERPROFILE%\Documents\GitHub\mrs-test-scripts\Headless Mode &amp; Sideloading\WalkAndUnGZ.bat" "%USERPROFILE%\AppData\Local\Temp\OnboardLogs"\RTDC4009\2017-04-29 &amp; aws s3 cp s3://rtdc.mdm.uploadarchive.raw/RTDC4009/ "%USERPROFILE%\AppData\Local\Temp\OnboardLogs"\RTDC4009\2017-04-30 --exclude "*" --recursive --include "*20170430*" &amp; "%USERPROFILE%\Documents\GitHub\mrs-test-scripts\Headless Mode &amp; Sideloading\WalkAndUnGZ.bat" "%USERPROFILE%\AppData\Local\Temp\OnboardLogs"\RTDC4009\2017-04-30</v>
      </c>
      <c r="S7" s="87" t="str">
        <f>VLOOKUP(C7,'Train Runs'!$A$13:$AE$9944,22,0)</f>
        <v>https://d0f6bd738d7f1b3e5a7ca70fe4ff75f0.us-east-1.aws.found.io/app/kibana#/discover/Steve-Slow-Train-Analysis-(2080s-and-2083s)?_g=(refreshInterval:(display:Off,pause:!f,section:0,value:0),time:(from:'2017-04-29T05:02:12-0600',mode:absolute,to:'2017-04-29T07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7" s="89" t="str">
        <f t="shared" ref="T7:T4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/stypes="*4009*201704291*" /stext=" 12:.+((SYSTEM_STATE.+slice.+state.+changed )|(ment ac)|(multiple cpu faults)|(system.+state.+changed )|(\[timeout)|(PRM\|1\|D)|(kpr)|(kdp)|(train.+moving)|(\|lc)|(penalty))"</v>
      </c>
      <c r="U7" s="9" t="str">
        <f t="shared" ref="U7:U48" si="2">MID(B7,13,4)</f>
        <v>4009</v>
      </c>
      <c r="V7" s="31">
        <f t="shared" ref="V7:V48" si="3">A7-utc_offset/24</f>
        <v>42854.52988425926</v>
      </c>
      <c r="W7" s="45" t="str">
        <f t="shared" ref="W7:W48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48" si="5">IF(AND(E7="TRACK WARRANT AUTHORITY",G7&lt;10),"OMIT","KEEP")</f>
        <v>KEEP</v>
      </c>
      <c r="Y7" s="99" t="str">
        <f t="shared" ref="Y7:Y4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arrival","project_id":79,"tracker_id":40,"status_id":1,"priority_id":2,"assigned_to_id":23,"start_date":"2017-04-29","description":"","custom_fields":[{"id":1,"name":"Subdivision","value":"EC"},{"id":4,"name":"Milepost","value":"2.735"},{"id":17,"name":"Train ID","value":"114-29"},{"id":16,"name":"Locomotive ID","value":"4009"},{"id":130,"name":"Impact","value":""},{"id":150,"name":"Time of Event (Mountain Time)","value":"06:43:02"},{"id":151,"name":"Denver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4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"%USERPROFILE%\AppData\Local\Temp\OnboardLogs"\RTDC4009\*4009*201704291*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"%USERPROFILE%\AppData\Local\Temp\OnboardLogs"\RTDC4009\*4009*201704291* &gt;&gt; 2017-04-29-SliceDisagreementCheck.txt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4009 --day 2017-04-29</v>
      </c>
    </row>
    <row r="8" spans="1:32" s="1" customFormat="1" x14ac:dyDescent="0.25">
      <c r="A8" s="31">
        <v>42854.36347222222</v>
      </c>
      <c r="B8" s="30" t="s">
        <v>394</v>
      </c>
      <c r="C8" s="30" t="s">
        <v>564</v>
      </c>
      <c r="D8" s="30" t="s">
        <v>49</v>
      </c>
      <c r="E8" s="30" t="s">
        <v>191</v>
      </c>
      <c r="F8" s="42">
        <v>0</v>
      </c>
      <c r="G8" s="42">
        <v>127</v>
      </c>
      <c r="H8" s="42">
        <v>27353</v>
      </c>
      <c r="I8" s="42">
        <v>27203</v>
      </c>
      <c r="J8" s="30" t="s">
        <v>192</v>
      </c>
      <c r="K8" s="42">
        <v>27350</v>
      </c>
      <c r="L8" s="134" t="s">
        <v>51</v>
      </c>
      <c r="M8" s="135">
        <f t="shared" si="0"/>
        <v>-77.616</v>
      </c>
      <c r="N8" s="136" t="str">
        <f>VLOOKUP(C8,'Trips&amp;Operators'!$C$1:$G$99999,5,FALSE)</f>
        <v>MAYBERRY BILL</v>
      </c>
      <c r="O8" s="207" t="s">
        <v>184</v>
      </c>
      <c r="P8" s="137" t="s">
        <v>445</v>
      </c>
      <c r="Q8" s="30"/>
      <c r="R8" s="84" t="str">
        <f>IF(VLOOKUP(C8,'Train Runs'!$A$13:$AE$9944,1,1)=C8,VLOOKUP(C8,'Train Runs'!$A$13:$AE$9944,31,1),NA())</f>
        <v>aws s3 cp s3://rtdc.mdm.uploadarchive.raw/RTDC4003/ "%USERPROFILE%\AppData\Local\Temp\OnboardLogs"\RTDC4003\2017-04-29 --exclude "*" --recursive --include "*20170429*" &amp; "%USERPROFILE%\Documents\GitHub\mrs-test-scripts\Headless Mode &amp; Sideloading\WalkAndUnGZ.bat" "%USERPROFILE%\AppData\Local\Temp\OnboardLogs"\RTDC4003\2017-04-29 &amp; aws s3 cp s3://rtdc.mdm.uploadarchive.raw/RTDC4003/ "%USERPROFILE%\AppData\Local\Temp\OnboardLogs"\RTDC4003\2017-04-30 --exclude "*" --recursive --include "*20170430*" &amp; "%USERPROFILE%\Documents\GitHub\mrs-test-scripts\Headless Mode &amp; Sideloading\WalkAndUnGZ.bat" "%USERPROFILE%\AppData\Local\Temp\OnboardLogs"\RTDC4003\2017-04-30</v>
      </c>
      <c r="S8" s="87" t="str">
        <f>VLOOKUP(C8,'Train Runs'!$A$13:$AE$9944,22,0)</f>
        <v>https://d0f6bd738d7f1b3e5a7ca70fe4ff75f0.us-east-1.aws.found.io/app/kibana#/discover/Steve-Slow-Train-Analysis-(2080s-and-2083s)?_g=(refreshInterval:(display:Off,pause:!f,section:0,value:0),time:(from:'2017-04-29T07:05:57-0600',mode:absolute,to:'2017-04-29T09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8" s="89" t="str">
        <f t="shared" si="1"/>
        <v>"C:\Program Files (x86)\AstroGrep\AstroGrep.exe" /e /r /s /spath="%USERPROFILE%\AppData\Local\Temp\OnboardLogs" /stypes="*4003*201704291*" /stext=" 14:.+((SYSTEM_STATE.+slice.+state.+changed )|(ment ac)|(multiple cpu faults)|(system.+state.+changed )|(\[timeout)|(PRM\|1\|D)|(kpr)|(kdp)|(train.+moving)|(\|lc)|(penalty))"</v>
      </c>
      <c r="U8" s="9" t="str">
        <f t="shared" si="2"/>
        <v>4003</v>
      </c>
      <c r="V8" s="31">
        <f t="shared" si="3"/>
        <v>42854.61347222222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arrival","project_id":79,"tracker_id":40,"status_id":1,"priority_id":2,"assigned_to_id":23,"start_date":"2017-04-29","description":"","custom_fields":[{"id":1,"name":"Subdivision","value":"EC"},{"id":4,"name":"Milepost","value":"2.735"},{"id":17,"name":"Train ID","value":"130-29"},{"id":16,"name":"Locomotive ID","value":"4003"},{"id":130,"name":"Impact","value":""},{"id":150,"name":"Time of Event (Mountain Time)","value":"08:43:24"},{"id":151,"name":"Denver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-hSE -A400 "Enforcement Action" "%USERPROFILE%\AppData\Local\Temp\OnboardLogs"\RTDC4003\*4003*201704291*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"%USERPROFILE%\AppData\Local\Temp\OnboardLogs"\RTDC4003\*4003*201704291* &gt;&gt; 2017-04-29-SliceDisagreementCheck.txt</v>
      </c>
      <c r="AE8" s="148" t="str">
        <f t="shared" ref="AE8:AE48" si="9">"start /low /b "&amp;dls3logs&amp;" --loco "&amp;U8&amp;" --day "&amp;TEXT(V8,"YYYY-MM-DD")</f>
        <v>start /low /b %USERPROFILE%\Documents\GitHub\eaglep3\Utilities\DownloadLogsFromS3.py --loco 4003 --day 2017-04-29</v>
      </c>
    </row>
    <row r="9" spans="1:32" s="1" customFormat="1" x14ac:dyDescent="0.25">
      <c r="A9" s="31">
        <v>42854.467685185184</v>
      </c>
      <c r="B9" s="30" t="s">
        <v>357</v>
      </c>
      <c r="C9" s="30" t="s">
        <v>574</v>
      </c>
      <c r="D9" s="30" t="s">
        <v>49</v>
      </c>
      <c r="E9" s="30" t="s">
        <v>191</v>
      </c>
      <c r="F9" s="42">
        <v>0</v>
      </c>
      <c r="G9" s="42">
        <v>164</v>
      </c>
      <c r="H9" s="42">
        <v>27358</v>
      </c>
      <c r="I9" s="42">
        <v>27185</v>
      </c>
      <c r="J9" s="30" t="s">
        <v>192</v>
      </c>
      <c r="K9" s="42">
        <v>27350</v>
      </c>
      <c r="L9" s="134" t="s">
        <v>51</v>
      </c>
      <c r="M9" s="135">
        <f t="shared" si="0"/>
        <v>-87.12</v>
      </c>
      <c r="N9" s="136" t="str">
        <f>VLOOKUP(C9,'Trips&amp;Operators'!$C$1:$G$99999,5,FALSE)</f>
        <v>DAVIS WENDY</v>
      </c>
      <c r="O9" s="207" t="s">
        <v>184</v>
      </c>
      <c r="P9" s="137" t="s">
        <v>445</v>
      </c>
      <c r="Q9" s="30"/>
      <c r="R9" s="84" t="str">
        <f>IF(VLOOKUP(C9,'Train Runs'!$A$13:$AE$9944,1,1)=C9,VLOOKUP(C9,'Train Runs'!$A$13:$AE$9944,31,1),NA())</f>
        <v>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 &amp; aws s3 cp s3://rtdc.mdm.uploadarchive.raw/RTDC4021/ "%USERPROFILE%\AppData\Local\Temp\OnboardLogs"\RTDC4021\2017-04-30 --exclude "*" --recursive --include "*20170430*" &amp; "%USERPROFILE%\Documents\GitHub\mrs-test-scripts\Headless Mode &amp; Sideloading\WalkAndUnGZ.bat" "%USERPROFILE%\AppData\Local\Temp\OnboardLogs"\RTDC4021\2017-04-30</v>
      </c>
      <c r="S9" s="87" t="str">
        <f>VLOOKUP(C9,'Train Runs'!$A$13:$AE$9944,22,0)</f>
        <v>https://d0f6bd738d7f1b3e5a7ca70fe4ff75f0.us-east-1.aws.found.io/app/kibana#/discover/Steve-Slow-Train-Analysis-(2080s-and-2083s)?_g=(refreshInterval:(display:Off,pause:!f,section:0,value:0),time:(from:'2017-04-29T09:37:17-0600',mode:absolute,to:'2017-04-29T12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9" s="89" t="str">
        <f t="shared" si="1"/>
        <v>"C:\Program Files (x86)\AstroGrep\AstroGrep.exe" /e /r /s /spath="%USERPROFILE%\AppData\Local\Temp\OnboardLogs" /stypes="*4021*201704291*" /stext=" 17:.+((SYSTEM_STATE.+slice.+state.+changed )|(ment ac)|(multiple cpu faults)|(system.+state.+changed )|(\[timeout)|(PRM\|1\|D)|(kpr)|(kdp)|(train.+moving)|(\|lc)|(penalty))"</v>
      </c>
      <c r="U9" s="9" t="str">
        <f t="shared" si="2"/>
        <v>4021</v>
      </c>
      <c r="V9" s="31">
        <f t="shared" si="3"/>
        <v>42854.717685185184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arrival","project_id":79,"tracker_id":40,"status_id":1,"priority_id":2,"assigned_to_id":23,"start_date":"2017-04-29","description":"","custom_fields":[{"id":1,"name":"Subdivision","value":"EC"},{"id":4,"name":"Milepost","value":"2.735"},{"id":17,"name":"Train ID","value":"150-29"},{"id":16,"name":"Locomotive ID","value":"4021"},{"id":130,"name":"Impact","value":""},{"id":150,"name":"Time of Event (Mountain Time)","value":"11:13:28"},{"id":151,"name":"Denver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-hSE -A400 "Enforcement Action" "%USERPROFILE%\AppData\Local\Temp\OnboardLogs"\RTDC4021\*4021*201704291*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"%USERPROFILE%\AppData\Local\Temp\OnboardLogs"\RTDC4021\*4021*201704291* &gt;&gt; 2017-04-29-SliceDisagreementCheck.txt</v>
      </c>
      <c r="AE9" s="148" t="str">
        <f t="shared" si="9"/>
        <v>start /low /b %USERPROFILE%\Documents\GitHub\eaglep3\Utilities\DownloadLogsFromS3.py --loco 4021 --day 2017-04-29</v>
      </c>
    </row>
    <row r="10" spans="1:32" s="1" customFormat="1" x14ac:dyDescent="0.25">
      <c r="A10" s="31">
        <v>42854.570104166669</v>
      </c>
      <c r="B10" s="30" t="s">
        <v>386</v>
      </c>
      <c r="C10" s="30" t="s">
        <v>582</v>
      </c>
      <c r="D10" s="30" t="s">
        <v>49</v>
      </c>
      <c r="E10" s="30" t="s">
        <v>191</v>
      </c>
      <c r="F10" s="42">
        <v>0</v>
      </c>
      <c r="G10" s="42">
        <v>216</v>
      </c>
      <c r="H10" s="42">
        <v>31021</v>
      </c>
      <c r="I10" s="42">
        <v>30810</v>
      </c>
      <c r="J10" s="30" t="s">
        <v>192</v>
      </c>
      <c r="K10" s="42">
        <v>30970</v>
      </c>
      <c r="L10" s="134" t="s">
        <v>51</v>
      </c>
      <c r="M10" s="135">
        <f t="shared" si="0"/>
        <v>-84.48</v>
      </c>
      <c r="N10" s="136" t="str">
        <f>VLOOKUP(C10,'Trips&amp;Operators'!$C$1:$G$99999,5,FALSE)</f>
        <v>ROMERO CHAD</v>
      </c>
      <c r="O10" s="207" t="s">
        <v>184</v>
      </c>
      <c r="P10" s="137" t="s">
        <v>445</v>
      </c>
      <c r="Q10" s="30"/>
      <c r="R10" s="84" t="str">
        <f>IF(VLOOKUP(C10,'Train Runs'!$A$13:$AE$9944,1,1)=C10,VLOOKUP(C10,'Train Runs'!$A$13:$AE$9944,31,1),NA())</f>
        <v>aws s3 cp s3://rtdc.mdm.uploadarchive.raw/RTDC4009/ "%USERPROFILE%\AppData\Local\Temp\OnboardLogs"\RTDC4009\2017-04-29 --exclude "*" --recursive --include "*20170429*" &amp; "%USERPROFILE%\Documents\GitHub\mrs-test-scripts\Headless Mode &amp; Sideloading\WalkAndUnGZ.bat" "%USERPROFILE%\AppData\Local\Temp\OnboardLogs"\RTDC4009\2017-04-29 &amp; aws s3 cp s3://rtdc.mdm.uploadarchive.raw/RTDC4009/ "%USERPROFILE%\AppData\Local\Temp\OnboardLogs"\RTDC4009\2017-04-30 --exclude "*" --recursive --include "*20170430*" &amp; "%USERPROFILE%\Documents\GitHub\mrs-test-scripts\Headless Mode &amp; Sideloading\WalkAndUnGZ.bat" "%USERPROFILE%\AppData\Local\Temp\OnboardLogs"\RTDC4009\2017-04-30</v>
      </c>
      <c r="S10" s="87" t="str">
        <f>VLOOKUP(C10,'Train Runs'!$A$13:$AE$9944,22,0)</f>
        <v>https://d0f6bd738d7f1b3e5a7ca70fe4ff75f0.us-east-1.aws.found.io/app/kibana#/discover/Steve-Slow-Train-Analysis-(2080s-and-2083s)?_g=(refreshInterval:(display:Off,pause:!f,section:0,value:0),time:(from:'2017-04-29T11:57:06-0600',mode:absolute,to:'2017-04-29T14:48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89" t="str">
        <f t="shared" si="1"/>
        <v>"C:\Program Files (x86)\AstroGrep\AstroGrep.exe" /e /r /s /spath="%USERPROFILE%\AppData\Local\Temp\OnboardLogs" /stypes="*4009*201704291*" /stext=" 19:.+((SYSTEM_STATE.+slice.+state.+changed )|(ment ac)|(multiple cpu faults)|(system.+state.+changed )|(\[timeout)|(PRM\|1\|D)|(kpr)|(kdp)|(train.+moving)|(\|lc)|(penalty))"</v>
      </c>
      <c r="U10" s="9" t="str">
        <f t="shared" si="2"/>
        <v>4009</v>
      </c>
      <c r="V10" s="31">
        <f t="shared" si="3"/>
        <v>42854.820104166669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arrival","project_id":79,"tracker_id":40,"status_id":1,"priority_id":2,"assigned_to_id":23,"start_date":"2017-04-29","description":"","custom_fields":[{"id":1,"name":"Subdivision","value":"EC"},{"id":4,"name":"Milepost","value":"3.097"},{"id":17,"name":"Train ID","value":"170-29"},{"id":16,"name":"Locomotive ID","value":"4009"},{"id":130,"name":"Impact","value":""},{"id":150,"name":"Time of Event (Mountain Time)","value":"13:40:57"},{"id":151,"name":"Denver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-hSE -A400 "Enforcement Action" "%USERPROFILE%\AppData\Local\Temp\OnboardLogs"\RTDC4009\*4009*201704291*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"%USERPROFILE%\AppData\Local\Temp\OnboardLogs"\RTDC4009\*4009*201704291* &gt;&gt; 2017-04-29-SliceDisagreementCheck.txt</v>
      </c>
      <c r="AE10" s="148" t="str">
        <f t="shared" si="9"/>
        <v>start /low /b %USERPROFILE%\Documents\GitHub\eaglep3\Utilities\DownloadLogsFromS3.py --loco 4009 --day 2017-04-29</v>
      </c>
    </row>
    <row r="11" spans="1:32" s="1" customFormat="1" x14ac:dyDescent="0.25">
      <c r="A11" s="31">
        <v>42854.591412037036</v>
      </c>
      <c r="B11" s="30" t="s">
        <v>417</v>
      </c>
      <c r="C11" s="30" t="s">
        <v>585</v>
      </c>
      <c r="D11" s="30" t="s">
        <v>49</v>
      </c>
      <c r="E11" s="30" t="s">
        <v>191</v>
      </c>
      <c r="F11" s="42">
        <v>200</v>
      </c>
      <c r="G11" s="42">
        <v>254</v>
      </c>
      <c r="H11" s="42">
        <v>31650</v>
      </c>
      <c r="I11" s="42">
        <v>31062</v>
      </c>
      <c r="J11" s="30" t="s">
        <v>192</v>
      </c>
      <c r="K11" s="42">
        <v>30970</v>
      </c>
      <c r="L11" s="134" t="s">
        <v>51</v>
      </c>
      <c r="M11" s="135">
        <f t="shared" si="0"/>
        <v>48.576000000000001</v>
      </c>
      <c r="N11" s="136" t="str">
        <f>VLOOKUP(C11,'Trips&amp;Operators'!$C$1:$G$99999,5,FALSE)</f>
        <v>STEWART MICHAEL</v>
      </c>
      <c r="O11" s="207" t="s">
        <v>184</v>
      </c>
      <c r="P11" s="137" t="s">
        <v>445</v>
      </c>
      <c r="Q11" s="30"/>
      <c r="R11" s="84" t="str">
        <f>IF(VLOOKUP(C11,'Train Runs'!$A$13:$AE$9944,1,1)=C11,VLOOKUP(C11,'Train Runs'!$A$13:$AE$9944,31,1),NA())</f>
        <v>aws s3 cp s3://rtdc.mdm.uploadarchive.raw/RTDC4025/ "%USERPROFILE%\AppData\Local\Temp\OnboardLogs"\RTDC4025\2017-04-29 --exclude "*" --recursive --include "*20170429*" &amp; "%USERPROFILE%\Documents\GitHub\mrs-test-scripts\Headless Mode &amp; Sideloading\WalkAndUnGZ.bat" "%USERPROFILE%\AppData\Local\Temp\OnboardLogs"\RTDC4025\2017-04-29 &amp; 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</v>
      </c>
      <c r="S11" s="87" t="str">
        <f>VLOOKUP(C11,'Train Runs'!$A$13:$AE$9944,22,0)</f>
        <v>https://d0f6bd738d7f1b3e5a7ca70fe4ff75f0.us-east-1.aws.found.io/app/kibana#/discover/Steve-Slow-Train-Analysis-(2080s-and-2083s)?_g=(refreshInterval:(display:Off,pause:!f,section:0,value:0),time:(from:'2017-04-29T12:35:16-0600',mode:absolute,to:'2017-04-29T15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1" s="89" t="str">
        <f t="shared" si="1"/>
        <v>"C:\Program Files (x86)\AstroGrep\AstroGrep.exe" /e /r /s /spath="%USERPROFILE%\AppData\Local\Temp\OnboardLogs" /stypes="*4025*201704292*" /stext=" 20:.+((SYSTEM_STATE.+slice.+state.+changed )|(ment ac)|(multiple cpu faults)|(system.+state.+changed )|(\[timeout)|(PRM\|1\|D)|(kpr)|(kdp)|(train.+moving)|(\|lc)|(penalty))"</v>
      </c>
      <c r="U11" s="9" t="str">
        <f t="shared" si="2"/>
        <v>4025</v>
      </c>
      <c r="V11" s="31">
        <f t="shared" si="3"/>
        <v>42854.841412037036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arrival","project_id":79,"tracker_id":40,"status_id":1,"priority_id":2,"assigned_to_id":23,"start_date":"2017-04-29","description":"","custom_fields":[{"id":1,"name":"Subdivision","value":"EC"},{"id":4,"name":"Milepost","value":"3.097"},{"id":17,"name":"Train ID","value":"174-29"},{"id":16,"name":"Locomotive ID","value":"4025"},{"id":130,"name":"Impact","value":""},{"id":150,"name":"Time of Event (Mountain Time)","value":"14:11:38"},{"id":151,"name":"Denver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-hSE -A400 "Enforcement Action" "%USERPROFILE%\AppData\Local\Temp\OnboardLogs"\RTDC4025\*4025*201704292*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"%USERPROFILE%\AppData\Local\Temp\OnboardLogs"\RTDC4025\*4025*201704292* &gt;&gt; 2017-04-29-SliceDisagreementCheck.txt</v>
      </c>
      <c r="AE11" s="148" t="str">
        <f t="shared" si="9"/>
        <v>start /low /b %USERPROFILE%\Documents\GitHub\eaglep3\Utilities\DownloadLogsFromS3.py --loco 4025 --day 2017-04-29</v>
      </c>
    </row>
    <row r="12" spans="1:32" s="1" customFormat="1" x14ac:dyDescent="0.25">
      <c r="A12" s="31">
        <v>42854.434756944444</v>
      </c>
      <c r="B12" s="30" t="s">
        <v>394</v>
      </c>
      <c r="C12" s="30" t="s">
        <v>572</v>
      </c>
      <c r="D12" s="30" t="s">
        <v>49</v>
      </c>
      <c r="E12" s="30" t="s">
        <v>191</v>
      </c>
      <c r="F12" s="42">
        <v>240</v>
      </c>
      <c r="G12" s="42">
        <v>369</v>
      </c>
      <c r="H12" s="42">
        <v>35779</v>
      </c>
      <c r="I12" s="42">
        <v>34772</v>
      </c>
      <c r="J12" s="30" t="s">
        <v>192</v>
      </c>
      <c r="K12" s="42">
        <v>33257</v>
      </c>
      <c r="L12" s="134" t="s">
        <v>51</v>
      </c>
      <c r="M12" s="135">
        <f t="shared" si="0"/>
        <v>799.92</v>
      </c>
      <c r="N12" s="136" t="str">
        <f>VLOOKUP(C12,'Trips&amp;Operators'!$C$1:$G$99999,5,FALSE)</f>
        <v>MAYBERRY BILL</v>
      </c>
      <c r="O12" s="207" t="s">
        <v>184</v>
      </c>
      <c r="P12" s="137" t="s">
        <v>445</v>
      </c>
      <c r="Q12" s="30"/>
      <c r="R12" s="84" t="str">
        <f>IF(VLOOKUP(C12,'Train Runs'!$A$13:$AE$9944,1,1)=C12,VLOOKUP(C12,'Train Runs'!$A$13:$AE$9944,31,1),NA())</f>
        <v>aws s3 cp s3://rtdc.mdm.uploadarchive.raw/RTDC4003/ "%USERPROFILE%\AppData\Local\Temp\OnboardLogs"\RTDC4003\2017-04-29 --exclude "*" --recursive --include "*20170429*" &amp; "%USERPROFILE%\Documents\GitHub\mrs-test-scripts\Headless Mode &amp; Sideloading\WalkAndUnGZ.bat" "%USERPROFILE%\AppData\Local\Temp\OnboardLogs"\RTDC4003\2017-04-29 &amp; aws s3 cp s3://rtdc.mdm.uploadarchive.raw/RTDC4003/ "%USERPROFILE%\AppData\Local\Temp\OnboardLogs"\RTDC4003\2017-04-30 --exclude "*" --recursive --include "*20170430*" &amp; "%USERPROFILE%\Documents\GitHub\mrs-test-scripts\Headless Mode &amp; Sideloading\WalkAndUnGZ.bat" "%USERPROFILE%\AppData\Local\Temp\OnboardLogs"\RTDC4003\2017-04-30</v>
      </c>
      <c r="S12" s="87" t="str">
        <f>VLOOKUP(C12,'Train Runs'!$A$13:$AE$9944,22,0)</f>
        <v>https://d0f6bd738d7f1b3e5a7ca70fe4ff75f0.us-east-1.aws.found.io/app/kibana#/discover/Steve-Slow-Train-Analysis-(2080s-and-2083s)?_g=(refreshInterval:(display:Off,pause:!f,section:0,value:0),time:(from:'2017-04-29T08:40:26-0600',mode:absolute,to:'2017-04-29T11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2" s="89" t="str">
        <f t="shared" si="1"/>
        <v>"C:\Program Files (x86)\AstroGrep\AstroGrep.exe" /e /r /s /spath="%USERPROFILE%\AppData\Local\Temp\OnboardLogs" /stypes="*4003*201704291*" /stext=" 16:.+((SYSTEM_STATE.+slice.+state.+changed )|(ment ac)|(multiple cpu faults)|(system.+state.+changed )|(\[timeout)|(PRM\|1\|D)|(kpr)|(kdp)|(train.+moving)|(\|lc)|(penalty))"</v>
      </c>
      <c r="U12" s="9" t="str">
        <f t="shared" si="2"/>
        <v>4003</v>
      </c>
      <c r="V12" s="31">
        <f t="shared" si="3"/>
        <v>42854.684756944444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arrival","project_id":79,"tracker_id":40,"status_id":1,"priority_id":2,"assigned_to_id":23,"start_date":"2017-04-29","description":"","custom_fields":[{"id":1,"name":"Subdivision","value":"EC"},{"id":4,"name":"Milepost","value":"3.3257"},{"id":17,"name":"Train ID","value":"144-29"},{"id":16,"name":"Locomotive ID","value":"4003"},{"id":130,"name":"Impact","value":""},{"id":150,"name":"Time of Event (Mountain Time)","value":"10:26:03"},{"id":151,"name":"Denver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-hSE -A400 "Enforcement Action" "%USERPROFILE%\AppData\Local\Temp\OnboardLogs"\RTDC4003\*4003*201704291*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"%USERPROFILE%\AppData\Local\Temp\OnboardLogs"\RTDC4003\*4003*201704291* &gt;&gt; 2017-04-29-SliceDisagreementCheck.txt</v>
      </c>
      <c r="AE12" s="148" t="str">
        <f t="shared" si="9"/>
        <v>start /low /b %USERPROFILE%\Documents\GitHub\eaglep3\Utilities\DownloadLogsFromS3.py --loco 4003 --day 2017-04-29</v>
      </c>
    </row>
    <row r="13" spans="1:32" s="1" customFormat="1" x14ac:dyDescent="0.25">
      <c r="A13" s="31">
        <v>42854.39130787037</v>
      </c>
      <c r="B13" s="30" t="s">
        <v>357</v>
      </c>
      <c r="C13" s="30" t="s">
        <v>566</v>
      </c>
      <c r="D13" s="30" t="s">
        <v>49</v>
      </c>
      <c r="E13" s="30" t="s">
        <v>191</v>
      </c>
      <c r="F13" s="42">
        <v>490</v>
      </c>
      <c r="G13" s="42">
        <v>549</v>
      </c>
      <c r="H13" s="42">
        <v>44276</v>
      </c>
      <c r="I13" s="42">
        <v>42465</v>
      </c>
      <c r="J13" s="30" t="s">
        <v>192</v>
      </c>
      <c r="K13" s="42">
        <v>42961</v>
      </c>
      <c r="L13" s="134" t="s">
        <v>51</v>
      </c>
      <c r="M13" s="135">
        <f t="shared" si="0"/>
        <v>-261.88799999999998</v>
      </c>
      <c r="N13" s="136" t="str">
        <f>VLOOKUP(C13,'Trips&amp;Operators'!$C$1:$G$99999,5,FALSE)</f>
        <v>DAVIS WENDY</v>
      </c>
      <c r="O13" s="207" t="s">
        <v>184</v>
      </c>
      <c r="P13" s="137" t="s">
        <v>445</v>
      </c>
      <c r="Q13" s="30"/>
      <c r="R13" s="84" t="str">
        <f>IF(VLOOKUP(C13,'Train Runs'!$A$13:$AE$9944,1,1)=C13,VLOOKUP(C13,'Train Runs'!$A$13:$AE$9944,31,1),NA())</f>
        <v>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 &amp; aws s3 cp s3://rtdc.mdm.uploadarchive.raw/RTDC4021/ "%USERPROFILE%\AppData\Local\Temp\OnboardLogs"\RTDC4021\2017-04-30 --exclude "*" --recursive --include "*20170430*" &amp; "%USERPROFILE%\Documents\GitHub\mrs-test-scripts\Headless Mode &amp; Sideloading\WalkAndUnGZ.bat" "%USERPROFILE%\AppData\Local\Temp\OnboardLogs"\RTDC4021\2017-04-30</v>
      </c>
      <c r="S13" s="87" t="str">
        <f>VLOOKUP(C13,'Train Runs'!$A$13:$AE$9944,22,0)</f>
        <v>https://d0f6bd738d7f1b3e5a7ca70fe4ff75f0.us-east-1.aws.found.io/app/kibana#/discover/Steve-Slow-Train-Analysis-(2080s-and-2083s)?_g=(refreshInterval:(display:Off,pause:!f,section:0,value:0),time:(from:'2017-04-29T07:51:58-0600',mode:absolute,to:'2017-04-29T10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3" s="89" t="str">
        <f t="shared" si="1"/>
        <v>"C:\Program Files (x86)\AstroGrep\AstroGrep.exe" /e /r /s /spath="%USERPROFILE%\AppData\Local\Temp\OnboardLogs" /stypes="*4021*201704291*" /stext=" 15:.+((SYSTEM_STATE.+slice.+state.+changed )|(ment ac)|(multiple cpu faults)|(system.+state.+changed )|(\[timeout)|(PRM\|1\|D)|(kpr)|(kdp)|(train.+moving)|(\|lc)|(penalty))"</v>
      </c>
      <c r="U13" s="9" t="str">
        <f t="shared" si="2"/>
        <v>4021</v>
      </c>
      <c r="V13" s="31">
        <f t="shared" si="3"/>
        <v>42854.64130787037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arrival","project_id":79,"tracker_id":40,"status_id":1,"priority_id":2,"assigned_to_id":23,"start_date":"2017-04-29","description":"","custom_fields":[{"id":1,"name":"Subdivision","value":"EC"},{"id":4,"name":"Milepost","value":"4.2961"},{"id":17,"name":"Train ID","value":"136-29"},{"id":16,"name":"Locomotive ID","value":"4021"},{"id":130,"name":"Impact","value":""},{"id":150,"name":"Time of Event (Mountain Time)","value":"09:23:29"},{"id":151,"name":"Denver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-hSE -A400 "Enforcement Action" "%USERPROFILE%\AppData\Local\Temp\OnboardLogs"\RTDC4021\*4021*201704291*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"%USERPROFILE%\AppData\Local\Temp\OnboardLogs"\RTDC4021\*4021*201704291* &gt;&gt; 2017-04-29-SliceDisagreementCheck.txt</v>
      </c>
      <c r="AE13" s="148" t="str">
        <f t="shared" si="9"/>
        <v>start /low /b %USERPROFILE%\Documents\GitHub\eaglep3\Utilities\DownloadLogsFromS3.py --loco 4021 --day 2017-04-29</v>
      </c>
    </row>
    <row r="14" spans="1:32" x14ac:dyDescent="0.25">
      <c r="A14" s="31">
        <v>42854.500231481485</v>
      </c>
      <c r="B14" s="30" t="s">
        <v>394</v>
      </c>
      <c r="C14" s="30" t="s">
        <v>577</v>
      </c>
      <c r="D14" s="30" t="s">
        <v>49</v>
      </c>
      <c r="E14" s="30" t="s">
        <v>191</v>
      </c>
      <c r="F14" s="42">
        <v>360</v>
      </c>
      <c r="G14" s="42">
        <v>410</v>
      </c>
      <c r="H14" s="42">
        <v>110180</v>
      </c>
      <c r="I14" s="42">
        <v>109048</v>
      </c>
      <c r="J14" s="30" t="s">
        <v>192</v>
      </c>
      <c r="K14" s="42">
        <v>109135</v>
      </c>
      <c r="L14" s="134" t="s">
        <v>51</v>
      </c>
      <c r="M14" s="135">
        <f t="shared" si="0"/>
        <v>-45.936</v>
      </c>
      <c r="N14" s="136" t="str">
        <f>VLOOKUP(C14,'Trips&amp;Operators'!$C$1:$G$99999,5,FALSE)</f>
        <v>MAYBERRY BILL</v>
      </c>
      <c r="O14" s="207" t="s">
        <v>184</v>
      </c>
      <c r="P14" s="137" t="s">
        <v>445</v>
      </c>
      <c r="Q14" s="30"/>
      <c r="R14" s="84" t="str">
        <f>IF(VLOOKUP(C14,'Train Runs'!$A$13:$AE$9944,1,1)=C14,VLOOKUP(C14,'Train Runs'!$A$13:$AE$9944,31,1),NA())</f>
        <v>aws s3 cp s3://rtdc.mdm.uploadarchive.raw/RTDC4003/ "%USERPROFILE%\AppData\Local\Temp\OnboardLogs"\RTDC4003\2017-04-29 --exclude "*" --recursive --include "*20170429*" &amp; "%USERPROFILE%\Documents\GitHub\mrs-test-scripts\Headless Mode &amp; Sideloading\WalkAndUnGZ.bat" "%USERPROFILE%\AppData\Local\Temp\OnboardLogs"\RTDC4003\2017-04-29 &amp; aws s3 cp s3://rtdc.mdm.uploadarchive.raw/RTDC4003/ "%USERPROFILE%\AppData\Local\Temp\OnboardLogs"\RTDC4003\2017-04-30 --exclude "*" --recursive --include "*20170430*" &amp; "%USERPROFILE%\Documents\GitHub\mrs-test-scripts\Headless Mode &amp; Sideloading\WalkAndUnGZ.bat" "%USERPROFILE%\AppData\Local\Temp\OnboardLogs"\RTDC4003\2017-04-30</v>
      </c>
      <c r="S14" s="87" t="str">
        <f>VLOOKUP(C14,'Train Runs'!$A$13:$AE$9944,22,0)</f>
        <v>https://d0f6bd738d7f1b3e5a7ca70fe4ff75f0.us-east-1.aws.found.io/app/kibana#/discover/Steve-Slow-Train-Analysis-(2080s-and-2083s)?_g=(refreshInterval:(display:Off,pause:!f,section:0,value:0),time:(from:'2017-04-29T10:24:01-0600',mode:absolute,to:'2017-04-29T13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4" s="89" t="str">
        <f t="shared" si="1"/>
        <v>"C:\Program Files (x86)\AstroGrep\AstroGrep.exe" /e /r /s /spath="%USERPROFILE%\AppData\Local\Temp\OnboardLogs" /stypes="*4003*201704291*" /stext=" 18:.+((SYSTEM_STATE.+slice.+state.+changed )|(ment ac)|(multiple cpu faults)|(system.+state.+changed )|(\[timeout)|(PRM\|1\|D)|(kpr)|(kdp)|(train.+moving)|(\|lc)|(penalty))"</v>
      </c>
      <c r="U14" s="9" t="str">
        <f t="shared" si="2"/>
        <v>4003</v>
      </c>
      <c r="V14" s="31">
        <f t="shared" si="3"/>
        <v>42854.750231481485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arrival","project_id":79,"tracker_id":40,"status_id":1,"priority_id":2,"assigned_to_id":23,"start_date":"2017-04-29","description":"","custom_fields":[{"id":1,"name":"Subdivision","value":"EC"},{"id":4,"name":"Milepost","value":"10.9135"},{"id":17,"name":"Train ID","value":"158-29"},{"id":16,"name":"Locomotive ID","value":"4003"},{"id":130,"name":"Impact","value":""},{"id":150,"name":"Time of Event (Mountain Time)","value":"12:00:20"},{"id":151,"name":"Denver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-hSE -A400 "Enforcement Action" "%USERPROFILE%\AppData\Local\Temp\OnboardLogs"\RTDC4003\*4003*201704291*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"%USERPROFILE%\AppData\Local\Temp\OnboardLogs"\RTDC4003\*4003*201704291* &gt;&gt; 2017-04-29-SliceDisagreementCheck.txt</v>
      </c>
      <c r="AE14" s="148" t="str">
        <f t="shared" si="9"/>
        <v>start /low /b %USERPROFILE%\Documents\GitHub\eaglep3\Utilities\DownloadLogsFromS3.py --loco 4003 --day 2017-04-29</v>
      </c>
      <c r="AF14" s="1"/>
    </row>
    <row r="15" spans="1:32" x14ac:dyDescent="0.25">
      <c r="A15" s="31">
        <v>42854.540949074071</v>
      </c>
      <c r="B15" s="30" t="s">
        <v>579</v>
      </c>
      <c r="C15" s="30" t="s">
        <v>580</v>
      </c>
      <c r="D15" s="30" t="s">
        <v>49</v>
      </c>
      <c r="E15" s="30" t="s">
        <v>191</v>
      </c>
      <c r="F15" s="42">
        <v>390</v>
      </c>
      <c r="G15" s="42">
        <v>442</v>
      </c>
      <c r="H15" s="42">
        <v>110338</v>
      </c>
      <c r="I15" s="42">
        <v>108974</v>
      </c>
      <c r="J15" s="30" t="s">
        <v>192</v>
      </c>
      <c r="K15" s="42">
        <v>109135</v>
      </c>
      <c r="L15" s="134" t="s">
        <v>51</v>
      </c>
      <c r="M15" s="135">
        <f t="shared" si="0"/>
        <v>-85.007999999999996</v>
      </c>
      <c r="N15" s="136" t="str">
        <f>VLOOKUP(C15,'Trips&amp;Operators'!$C$1:$G$99999,5,FALSE)</f>
        <v>BRANDNER MELINDA</v>
      </c>
      <c r="O15" s="207" t="s">
        <v>184</v>
      </c>
      <c r="P15" s="137" t="s">
        <v>445</v>
      </c>
      <c r="Q15" s="30"/>
      <c r="R15" s="84" t="str">
        <f>IF(VLOOKUP(C15,'Train Runs'!$A$13:$AE$9944,1,1)=C15,VLOOKUP(C15,'Train Runs'!$A$13:$AE$9944,31,1),NA())</f>
        <v>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 &amp; 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</v>
      </c>
      <c r="S15" s="87" t="str">
        <f>VLOOKUP(C15,'Train Runs'!$A$13:$AE$9944,22,0)</f>
        <v>https://d0f6bd738d7f1b3e5a7ca70fe4ff75f0.us-east-1.aws.found.io/app/kibana#/discover/Steve-Slow-Train-Analysis-(2080s-and-2083s)?_g=(refreshInterval:(display:Off,pause:!f,section:0,value:0),time:(from:'2017-04-29T11:34:54-0600',mode:absolute,to:'2017-04-29T15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5" s="89" t="str">
        <f t="shared" si="1"/>
        <v>"C:\Program Files (x86)\AstroGrep\AstroGrep.exe" /e /r /s /spath="%USERPROFILE%\AppData\Local\Temp\OnboardLogs" /stypes="*4007*201704291*" /stext=" 18:.+((SYSTEM_STATE.+slice.+state.+changed )|(ment ac)|(multiple cpu faults)|(system.+state.+changed )|(\[timeout)|(PRM\|1\|D)|(kpr)|(kdp)|(train.+moving)|(\|lc)|(penalty))"</v>
      </c>
      <c r="U15" s="9" t="str">
        <f t="shared" si="2"/>
        <v>4007</v>
      </c>
      <c r="V15" s="31">
        <f t="shared" si="3"/>
        <v>42854.790949074071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arrival","project_id":79,"tracker_id":40,"status_id":1,"priority_id":2,"assigned_to_id":23,"start_date":"2017-04-29","description":"","custom_fields":[{"id":1,"name":"Subdivision","value":"EC"},{"id":4,"name":"Milepost","value":"10.9135"},{"id":17,"name":"Train ID","value":"166-29"},{"id":16,"name":"Locomotive ID","value":"4007"},{"id":130,"name":"Impact","value":""},{"id":150,"name":"Time of Event (Mountain Time)","value":"12:58:58"},{"id":151,"name":"Denver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-hSE -A400 "Enforcement Action" "%USERPROFILE%\AppData\Local\Temp\OnboardLogs"\RTDC4007\*4007*201704291*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"%USERPROFILE%\AppData\Local\Temp\OnboardLogs"\RTDC4007\*4007*201704291* &gt;&gt; 2017-04-29-SliceDisagreementCheck.txt</v>
      </c>
      <c r="AE15" s="148" t="str">
        <f t="shared" si="9"/>
        <v>start /low /b %USERPROFILE%\Documents\GitHub\eaglep3\Utilities\DownloadLogsFromS3.py --loco 4007 --day 2017-04-29</v>
      </c>
      <c r="AF15" s="1"/>
    </row>
    <row r="16" spans="1:32" x14ac:dyDescent="0.25">
      <c r="A16" s="31">
        <v>42854.450659722221</v>
      </c>
      <c r="B16" s="30" t="s">
        <v>393</v>
      </c>
      <c r="C16" s="30" t="s">
        <v>573</v>
      </c>
      <c r="D16" s="30" t="s">
        <v>49</v>
      </c>
      <c r="E16" s="30" t="s">
        <v>210</v>
      </c>
      <c r="F16" s="42">
        <v>400</v>
      </c>
      <c r="G16" s="42">
        <v>586</v>
      </c>
      <c r="H16" s="42">
        <v>14454</v>
      </c>
      <c r="I16" s="42">
        <v>17658</v>
      </c>
      <c r="J16" s="30" t="s">
        <v>211</v>
      </c>
      <c r="K16" s="42">
        <v>17867</v>
      </c>
      <c r="L16" s="134" t="s">
        <v>50</v>
      </c>
      <c r="M16" s="135">
        <f t="shared" si="0"/>
        <v>110.352</v>
      </c>
      <c r="N16" s="136" t="str">
        <f>VLOOKUP(C16,'Trips&amp;Operators'!$C$1:$G$99999,5,FALSE)</f>
        <v>MAYBERRY BILL</v>
      </c>
      <c r="O16" s="207" t="s">
        <v>184</v>
      </c>
      <c r="P16" s="137"/>
      <c r="Q16" s="30"/>
      <c r="R16" s="84" t="str">
        <f>IF(VLOOKUP(C16,'Train Runs'!$A$13:$AE$9944,1,1)=C16,VLOOKUP(C16,'Train Runs'!$A$13:$AE$9944,31,1),NA())</f>
        <v>aws s3 cp s3://rtdc.mdm.uploadarchive.raw/RTDC4004/ "%USERPROFILE%\AppData\Local\Temp\OnboardLogs"\RTDC4004\2017-04-29 --exclude "*" --recursive --include "*20170429*" &amp; "%USERPROFILE%\Documents\GitHub\mrs-test-scripts\Headless Mode &amp; Sideloading\WalkAndUnGZ.bat" "%USERPROFILE%\AppData\Local\Temp\OnboardLogs"\RTDC4004\2017-04-29 &amp; aws s3 cp s3://rtdc.mdm.uploadarchive.raw/RTDC4004/ "%USERPROFILE%\AppData\Local\Temp\OnboardLogs"\RTDC4004\2017-04-30 --exclude "*" --recursive --include "*20170430*" &amp; "%USERPROFILE%\Documents\GitHub\mrs-test-scripts\Headless Mode &amp; Sideloading\WalkAndUnGZ.bat" "%USERPROFILE%\AppData\Local\Temp\OnboardLogs"\RTDC4004\2017-04-30</v>
      </c>
      <c r="S16" s="87" t="str">
        <f>VLOOKUP(C16,'Train Runs'!$A$13:$AE$9944,22,0)</f>
        <v>https://d0f6bd738d7f1b3e5a7ca70fe4ff75f0.us-east-1.aws.found.io/app/kibana#/discover/Steve-Slow-Train-Analysis-(2080s-and-2083s)?_g=(refreshInterval:(display:Off,pause:!f,section:0,value:0),time:(from:'2017-04-29T09:40:25-0600',mode:absolute,to:'2017-04-29T12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6" s="89" t="str">
        <f t="shared" si="1"/>
        <v>"C:\Program Files (x86)\AstroGrep\AstroGrep.exe" /e /r /s /spath="%USERPROFILE%\AppData\Local\Temp\OnboardLogs" /stypes="*4004*201704291*" /stext=" 16:.+((SYSTEM_STATE.+slice.+state.+changed )|(ment ac)|(multiple cpu faults)|(system.+state.+changed )|(\[timeout)|(PRM\|1\|D)|(kpr)|(kdp)|(train.+moving)|(\|lc)|(penalty))"</v>
      </c>
      <c r="U16" s="9" t="str">
        <f t="shared" si="2"/>
        <v>4004</v>
      </c>
      <c r="V16" s="31">
        <f t="shared" si="3"/>
        <v>42854.700659722221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{"issue":{"subject":"","project_id":79,"tracker_id":40,"status_id":1,"priority_id":2,"assigned_to_id":23,"start_date":"2017-04-29","description":"","custom_fields":[{"id":1,"name":"Subdivision","value":"EC"},{"id":4,"name":"Milepost","value":"1.7867"},{"id":17,"name":"Train ID","value":"157-29"},{"id":16,"name":"Locomotive ID","value":"4004"},{"id":130,"name":"Impact","value":""},{"id":150,"name":"Time of Event (Mountain Time)","value":"10:48:57"},{"id":151,"name":"Denver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-hSE -A400 "Enforcement Action" "%USERPROFILE%\AppData\Local\Temp\OnboardLogs"\RTDC4004\*4004*201704291*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"%USERPROFILE%\AppData\Local\Temp\OnboardLogs"\RTDC4004\*4004*201704291* &gt;&gt; 2017-04-29-SliceDisagreementCheck.txt</v>
      </c>
      <c r="AE16" s="148" t="str">
        <f t="shared" si="9"/>
        <v>start /low /b %USERPROFILE%\Documents\GitHub\eaglep3\Utilities\DownloadLogsFromS3.py --loco 4004 --day 2017-04-29</v>
      </c>
      <c r="AF16" s="1"/>
    </row>
    <row r="17" spans="1:32" x14ac:dyDescent="0.25">
      <c r="A17" s="31">
        <v>42854.389108796298</v>
      </c>
      <c r="B17" s="30" t="s">
        <v>393</v>
      </c>
      <c r="C17" s="30" t="s">
        <v>565</v>
      </c>
      <c r="D17" s="30" t="s">
        <v>49</v>
      </c>
      <c r="E17" s="30" t="s">
        <v>210</v>
      </c>
      <c r="F17" s="42">
        <v>400</v>
      </c>
      <c r="G17" s="42">
        <v>562</v>
      </c>
      <c r="H17" s="42">
        <v>115471</v>
      </c>
      <c r="I17" s="42">
        <v>117277</v>
      </c>
      <c r="J17" s="30" t="s">
        <v>211</v>
      </c>
      <c r="K17" s="42">
        <v>116838</v>
      </c>
      <c r="L17" s="134" t="s">
        <v>50</v>
      </c>
      <c r="M17" s="135">
        <f t="shared" si="0"/>
        <v>-231.792</v>
      </c>
      <c r="N17" s="136" t="str">
        <f>VLOOKUP(C17,'Trips&amp;Operators'!$C$1:$G$99999,5,FALSE)</f>
        <v>MAYBERRY BILL</v>
      </c>
      <c r="O17" s="207" t="s">
        <v>184</v>
      </c>
      <c r="P17" s="137"/>
      <c r="Q17" s="30"/>
      <c r="R17" s="84" t="str">
        <f>IF(VLOOKUP(C17,'Train Runs'!$A$13:$AE$9944,1,1)=C17,VLOOKUP(C17,'Train Runs'!$A$13:$AE$9944,31,1),NA())</f>
        <v>aws s3 cp s3://rtdc.mdm.uploadarchive.raw/RTDC4004/ "%USERPROFILE%\AppData\Local\Temp\OnboardLogs"\RTDC4004\2017-04-29 --exclude "*" --recursive --include "*20170429*" &amp; "%USERPROFILE%\Documents\GitHub\mrs-test-scripts\Headless Mode &amp; Sideloading\WalkAndUnGZ.bat" "%USERPROFILE%\AppData\Local\Temp\OnboardLogs"\RTDC4004\2017-04-29 &amp; aws s3 cp s3://rtdc.mdm.uploadarchive.raw/RTDC4004/ "%USERPROFILE%\AppData\Local\Temp\OnboardLogs"\RTDC4004\2017-04-30 --exclude "*" --recursive --include "*20170430*" &amp; "%USERPROFILE%\Documents\GitHub\mrs-test-scripts\Headless Mode &amp; Sideloading\WalkAndUnGZ.bat" "%USERPROFILE%\AppData\Local\Temp\OnboardLogs"\RTDC4004\2017-04-30</v>
      </c>
      <c r="S17" s="87" t="str">
        <f>VLOOKUP(C17,'Train Runs'!$A$13:$AE$9944,22,0)</f>
        <v>https://d0f6bd738d7f1b3e5a7ca70fe4ff75f0.us-east-1.aws.found.io/app/kibana#/discover/Steve-Slow-Train-Analysis-(2080s-and-2083s)?_g=(refreshInterval:(display:Off,pause:!f,section:0,value:0),time:(from:'2017-04-29T07:55:38-0600',mode:absolute,to:'2017-04-29T10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7" s="89" t="str">
        <f t="shared" si="1"/>
        <v>"C:\Program Files (x86)\AstroGrep\AstroGrep.exe" /e /r /s /spath="%USERPROFILE%\AppData\Local\Temp\OnboardLogs" /stypes="*4004*201704291*" /stext=" 15:.+((SYSTEM_STATE.+slice.+state.+changed )|(ment ac)|(multiple cpu faults)|(system.+state.+changed )|(\[timeout)|(PRM\|1\|D)|(kpr)|(kdp)|(train.+moving)|(\|lc)|(penalty))"</v>
      </c>
      <c r="U17" s="9" t="str">
        <f t="shared" si="2"/>
        <v>4004</v>
      </c>
      <c r="V17" s="31">
        <f t="shared" si="3"/>
        <v>42854.639108796298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{"issue":{"subject":"","project_id":79,"tracker_id":40,"status_id":1,"priority_id":2,"assigned_to_id":23,"start_date":"2017-04-29","description":"","custom_fields":[{"id":1,"name":"Subdivision","value":"EC"},{"id":4,"name":"Milepost","value":"11.6838"},{"id":17,"name":"Train ID","value":"143-29"},{"id":16,"name":"Locomotive ID","value":"4004"},{"id":130,"name":"Impact","value":""},{"id":150,"name":"Time of Event (Mountain Time)","value":"09:20:19"},{"id":151,"name":"Denver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-hSE -A400 "Enforcement Action" "%USERPROFILE%\AppData\Local\Temp\OnboardLogs"\RTDC4004\*4004*201704291*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"%USERPROFILE%\AppData\Local\Temp\OnboardLogs"\RTDC4004\*4004*201704291* &gt;&gt; 2017-04-29-SliceDisagreementCheck.txt</v>
      </c>
      <c r="AE17" s="148" t="str">
        <f t="shared" si="9"/>
        <v>start /low /b %USERPROFILE%\Documents\GitHub\eaglep3\Utilities\DownloadLogsFromS3.py --loco 4004 --day 2017-04-29</v>
      </c>
      <c r="AF17" s="1"/>
    </row>
    <row r="18" spans="1:32" x14ac:dyDescent="0.25">
      <c r="A18" s="31">
        <v>42854.33320601852</v>
      </c>
      <c r="B18" s="30" t="s">
        <v>416</v>
      </c>
      <c r="C18" s="30" t="s">
        <v>563</v>
      </c>
      <c r="D18" s="30" t="s">
        <v>98</v>
      </c>
      <c r="E18" s="30" t="s">
        <v>210</v>
      </c>
      <c r="F18" s="42">
        <v>600</v>
      </c>
      <c r="G18" s="42">
        <v>650</v>
      </c>
      <c r="H18" s="42">
        <v>186296</v>
      </c>
      <c r="I18" s="42">
        <v>189518</v>
      </c>
      <c r="J18" s="30" t="s">
        <v>211</v>
      </c>
      <c r="K18" s="42">
        <v>183829</v>
      </c>
      <c r="L18" s="134" t="s">
        <v>50</v>
      </c>
      <c r="M18" s="135">
        <f t="shared" si="0"/>
        <v>-3003.7919999999999</v>
      </c>
      <c r="N18" s="136" t="str">
        <f>VLOOKUP(C18,'Trips&amp;Operators'!$C$1:$G$99999,5,FALSE)</f>
        <v>ROBINSON KADDIBA</v>
      </c>
      <c r="O18" s="207" t="s">
        <v>184</v>
      </c>
      <c r="P18" s="137"/>
      <c r="Q18" s="30"/>
      <c r="R18" s="84" t="str">
        <f>IF(VLOOKUP(C18,'Train Runs'!$A$13:$AE$9944,1,1)=C18,VLOOKUP(C18,'Train Runs'!$A$13:$AE$9944,31,1),NA())</f>
        <v>aws s3 cp s3://rtdc.mdm.uploadarchive.raw/RTDC4026/ "%USERPROFILE%\AppData\Local\Temp\OnboardLogs"\RTDC4026\2017-04-29 --exclude "*" --recursive --include "*20170429*" &amp; "%USERPROFILE%\Documents\GitHub\mrs-test-scripts\Headless Mode &amp; Sideloading\WalkAndUnGZ.bat" "%USERPROFILE%\AppData\Local\Temp\OnboardLogs"\RTDC4026\2017-04-29 &amp; 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</v>
      </c>
      <c r="S18" s="87" t="str">
        <f>VLOOKUP(C18,'Train Runs'!$A$13:$AE$9944,22,0)</f>
        <v>https://d0f6bd738d7f1b3e5a7ca70fe4ff75f0.us-east-1.aws.found.io/app/kibana#/discover/Steve-Slow-Train-Analysis-(2080s-and-2083s)?_g=(refreshInterval:(display:Off,pause:!f,section:0,value:0),time:(from:'2017-04-29T06:22:46-0600',mode:absolute,to:'2017-04-29T09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8" s="89" t="str">
        <f t="shared" si="1"/>
        <v>"C:\Program Files (x86)\AstroGrep\AstroGrep.exe" /e /r /s /spath="%USERPROFILE%\AppData\Local\Temp\OnboardLogs" /stypes="*4026*201704291*" /stext=" 13:.+((SYSTEM_STATE.+slice.+state.+changed )|(ment ac)|(multiple cpu faults)|(system.+state.+changed )|(\[timeout)|(PRM\|1\|D)|(kpr)|(kdp)|(train.+moving)|(\|lc)|(penalty))"</v>
      </c>
      <c r="U18" s="9" t="str">
        <f t="shared" si="2"/>
        <v>4026</v>
      </c>
      <c r="V18" s="31">
        <f t="shared" si="3"/>
        <v>42854.58320601852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{"issue":{"subject":"","project_id":79,"tracker_id":40,"status_id":1,"priority_id":2,"assigned_to_id":23,"start_date":"2017-04-29","description":"","custom_fields":[{"id":1,"name":"Subdivision","value":"EC"},{"id":4,"name":"Milepost","value":"18.3829"},{"id":17,"name":"Train ID","value":"131-29"},{"id":16,"name":"Locomotive ID","value":"4026"},{"id":130,"name":"Impact","value":""},{"id":150,"name":"Time of Event (Mountain Time)","value":"07:59:49"},{"id":151,"name":"Denver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-hSE -A400 "Enforcement Action" "%USERPROFILE%\AppData\Local\Temp\OnboardLogs"\RTDC4026\*4026*201704291*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"%USERPROFILE%\AppData\Local\Temp\OnboardLogs"\RTDC4026\*4026*201704291* &gt;&gt; 2017-04-29-SliceDisagreementCheck.txt</v>
      </c>
      <c r="AE18" s="148" t="str">
        <f t="shared" si="9"/>
        <v>start /low /b %USERPROFILE%\Documents\GitHub\eaglep3\Utilities\DownloadLogsFromS3.py --loco 4026 --day 2017-04-29</v>
      </c>
      <c r="AF18" s="1"/>
    </row>
    <row r="19" spans="1:32" x14ac:dyDescent="0.25">
      <c r="A19" s="31">
        <v>42854.510439814818</v>
      </c>
      <c r="B19" s="30" t="s">
        <v>433</v>
      </c>
      <c r="C19" s="30" t="s">
        <v>578</v>
      </c>
      <c r="D19" s="30" t="s">
        <v>98</v>
      </c>
      <c r="E19" s="30" t="s">
        <v>210</v>
      </c>
      <c r="F19" s="42">
        <v>600</v>
      </c>
      <c r="G19" s="42">
        <v>652</v>
      </c>
      <c r="H19" s="42">
        <v>186986</v>
      </c>
      <c r="I19" s="42">
        <v>189709</v>
      </c>
      <c r="J19" s="30" t="s">
        <v>211</v>
      </c>
      <c r="K19" s="42">
        <v>183829</v>
      </c>
      <c r="L19" s="134" t="s">
        <v>50</v>
      </c>
      <c r="M19" s="135">
        <f t="shared" si="0"/>
        <v>-3104.64</v>
      </c>
      <c r="N19" s="136" t="str">
        <f>VLOOKUP(C19,'Trips&amp;Operators'!$C$1:$G$99999,5,FALSE)</f>
        <v>BRANDNER MELINDA</v>
      </c>
      <c r="O19" s="207" t="s">
        <v>184</v>
      </c>
      <c r="P19" s="137"/>
      <c r="Q19" s="30"/>
      <c r="R19" s="84" t="str">
        <f>IF(VLOOKUP(C19,'Train Runs'!$A$13:$AE$9944,1,1)=C19,VLOOKUP(C19,'Train Runs'!$A$13:$AE$9944,31,1),NA())</f>
        <v>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 &amp; 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</v>
      </c>
      <c r="S19" s="87" t="str">
        <f>VLOOKUP(C19,'Train Runs'!$A$13:$AE$9944,22,0)</f>
        <v>https://d0f6bd738d7f1b3e5a7ca70fe4ff75f0.us-east-1.aws.found.io/app/kibana#/discover/Steve-Slow-Train-Analysis-(2080s-and-2083s)?_g=(refreshInterval:(display:Off,pause:!f,section:0,value:0),time:(from:'2017-04-29T10:35:38-0600',mode:absolute,to:'2017-04-29T13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9" s="89" t="str">
        <f t="shared" si="1"/>
        <v>"C:\Program Files (x86)\AstroGrep\AstroGrep.exe" /e /r /s /spath="%USERPROFILE%\AppData\Local\Temp\OnboardLogs" /stypes="*4008*201704291*" /stext=" 18:.+((SYSTEM_STATE.+slice.+state.+changed )|(ment ac)|(multiple cpu faults)|(system.+state.+changed )|(\[timeout)|(PRM\|1\|D)|(kpr)|(kdp)|(train.+moving)|(\|lc)|(penalty))"</v>
      </c>
      <c r="U19" s="9" t="str">
        <f t="shared" si="2"/>
        <v>4008</v>
      </c>
      <c r="V19" s="31">
        <f t="shared" si="3"/>
        <v>42854.760439814818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{"issue":{"subject":"","project_id":79,"tracker_id":40,"status_id":1,"priority_id":2,"assigned_to_id":23,"start_date":"2017-04-29","description":"","custom_fields":[{"id":1,"name":"Subdivision","value":"EC"},{"id":4,"name":"Milepost","value":"18.3829"},{"id":17,"name":"Train ID","value":"165-29"},{"id":16,"name":"Locomotive ID","value":"4008"},{"id":130,"name":"Impact","value":""},{"id":150,"name":"Time of Event (Mountain Time)","value":"12:15:02"},{"id":151,"name":"Denver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-hSE -A400 "Enforcement Action" "%USERPROFILE%\AppData\Local\Temp\OnboardLogs"\RTDC4008\*4008*201704291*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"%USERPROFILE%\AppData\Local\Temp\OnboardLogs"\RTDC4008\*4008*201704291* &gt;&gt; 2017-04-29-SliceDisagreementCheck.txt</v>
      </c>
      <c r="AE19" s="148" t="str">
        <f t="shared" si="9"/>
        <v>start /low /b %USERPROFILE%\Documents\GitHub\eaglep3\Utilities\DownloadLogsFromS3.py --loco 4008 --day 2017-04-29</v>
      </c>
      <c r="AF19" s="1"/>
    </row>
    <row r="20" spans="1:32" x14ac:dyDescent="0.25">
      <c r="A20" s="31">
        <v>42854.678819444445</v>
      </c>
      <c r="B20" s="30" t="s">
        <v>382</v>
      </c>
      <c r="C20" s="30" t="s">
        <v>588</v>
      </c>
      <c r="D20" s="30" t="s">
        <v>49</v>
      </c>
      <c r="E20" s="30" t="s">
        <v>210</v>
      </c>
      <c r="F20" s="42">
        <v>550</v>
      </c>
      <c r="G20" s="42">
        <v>779</v>
      </c>
      <c r="H20" s="42">
        <v>217986</v>
      </c>
      <c r="I20" s="42">
        <v>221895</v>
      </c>
      <c r="J20" s="30" t="s">
        <v>211</v>
      </c>
      <c r="K20" s="42">
        <v>222090</v>
      </c>
      <c r="L20" s="134" t="s">
        <v>50</v>
      </c>
      <c r="M20" s="135">
        <f t="shared" si="0"/>
        <v>102.96</v>
      </c>
      <c r="N20" s="136" t="str">
        <f>VLOOKUP(C20,'Trips&amp;Operators'!$C$1:$G$99999,5,FALSE)</f>
        <v>ROMERO CHAD</v>
      </c>
      <c r="O20" s="207" t="s">
        <v>184</v>
      </c>
      <c r="P20" s="137"/>
      <c r="Q20" s="30"/>
      <c r="R20" s="84" t="e">
        <f>IF(VLOOKUP(C20,'Train Runs'!$A$13:$AE$9944,1,1)=C20,VLOOKUP(C20,'Train Runs'!$A$13:$AE$9944,31,1),NA())</f>
        <v>#N/A</v>
      </c>
      <c r="S20" s="87" t="str">
        <f>VLOOKUP(C20,'Train Runs'!$A$13:$AE$9944,22,0)</f>
        <v>https://d0f6bd738d7f1b3e5a7ca70fe4ff75f0.us-east-1.aws.found.io/app/kibana#/discover/Steve-Slow-Train-Analysis-(2080s-and-2083s)?_g=(refreshInterval:(display:Off,pause:!f,section:0,value:0),time:(from:'2017-04-29T14:37:22-0600',mode:absolute,to:'2017-04-29T17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0" s="89" t="str">
        <f t="shared" si="1"/>
        <v>"C:\Program Files (x86)\AstroGrep\AstroGrep.exe" /e /r /s /spath="%USERPROFILE%\AppData\Local\Temp\OnboardLogs" /stypes="*4010*201704292*" /stext=" 22:.+((SYSTEM_STATE.+slice.+state.+changed )|(ment ac)|(multiple cpu faults)|(system.+state.+changed )|(\[timeout)|(PRM\|1\|D)|(kpr)|(kdp)|(train.+moving)|(\|lc)|(penalty))"</v>
      </c>
      <c r="U20" s="9" t="str">
        <f t="shared" si="2"/>
        <v>4010</v>
      </c>
      <c r="V20" s="31">
        <f t="shared" si="3"/>
        <v>42854.928819444445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{"issue":{"subject":"","project_id":79,"tracker_id":40,"status_id":1,"priority_id":2,"assigned_to_id":23,"start_date":"2017-04-29","description":"","custom_fields":[{"id":1,"name":"Subdivision","value":"EC"},{"id":4,"name":"Milepost","value":"22.209"},{"id":17,"name":"Train ID","value":"197-29"},{"id":16,"name":"Locomotive ID","value":"4010"},{"id":130,"name":"Impact","value":""},{"id":150,"name":"Time of Event (Mountain Time)","value":"16:17:30"},{"id":151,"name":"Denver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-hSE -A400 "Enforcement Action" "%USERPROFILE%\AppData\Local\Temp\OnboardLogs"\RTDC4010\*4010*201704292*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"%USERPROFILE%\AppData\Local\Temp\OnboardLogs"\RTDC4010\*4010*201704292* &gt;&gt; 2017-04-29-SliceDisagreementCheck.txt</v>
      </c>
      <c r="AE20" s="148" t="str">
        <f t="shared" si="9"/>
        <v>start /low /b %USERPROFILE%\Documents\GitHub\eaglep3\Utilities\DownloadLogsFromS3.py --loco 4010 --day 2017-04-29</v>
      </c>
      <c r="AF20" s="1"/>
    </row>
    <row r="21" spans="1:32" x14ac:dyDescent="0.25">
      <c r="A21" s="31">
        <v>42854.416759259257</v>
      </c>
      <c r="B21" s="30" t="s">
        <v>463</v>
      </c>
      <c r="C21" s="30" t="s">
        <v>571</v>
      </c>
      <c r="D21" s="30" t="s">
        <v>49</v>
      </c>
      <c r="E21" s="30" t="s">
        <v>421</v>
      </c>
      <c r="F21" s="42">
        <v>0</v>
      </c>
      <c r="G21" s="42">
        <v>452</v>
      </c>
      <c r="H21" s="42">
        <v>17264</v>
      </c>
      <c r="I21" s="42">
        <v>14339</v>
      </c>
      <c r="J21" s="30" t="s">
        <v>422</v>
      </c>
      <c r="K21" s="42">
        <v>17100</v>
      </c>
      <c r="L21" s="134" t="s">
        <v>51</v>
      </c>
      <c r="M21" s="135">
        <f t="shared" si="0"/>
        <v>-1457.808</v>
      </c>
      <c r="N21" s="136" t="str">
        <f>VLOOKUP(C21,'Trips&amp;Operators'!$C$1:$G$99999,5,FALSE)</f>
        <v>LOZA FIDEL</v>
      </c>
      <c r="O21" s="207" t="s">
        <v>418</v>
      </c>
      <c r="P21" s="137" t="s">
        <v>1025</v>
      </c>
      <c r="Q21" s="30"/>
      <c r="R21" s="84" t="str">
        <f>IF(VLOOKUP(C21,'Train Runs'!$A$13:$AE$9944,1,1)=C21,VLOOKUP(C21,'Train Runs'!$A$13:$AE$9944,31,1),NA())</f>
        <v>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 &amp; aws s3 cp s3://rtdc.mdm.uploadarchive.raw/RTDC4017/ "%USERPROFILE%\AppData\Local\Temp\OnboardLogs"\RTDC4017\2017-04-30 --exclude "*" --recursive --include "*20170430*" &amp; "%USERPROFILE%\Documents\GitHub\mrs-test-scripts\Headless Mode &amp; Sideloading\WalkAndUnGZ.bat" "%USERPROFILE%\AppData\Local\Temp\OnboardLogs"\RTDC4017\2017-04-30</v>
      </c>
      <c r="S21" s="87" t="str">
        <f>VLOOKUP(C21,'Train Runs'!$A$13:$AE$9944,22,0)</f>
        <v>https://d0f6bd738d7f1b3e5a7ca70fe4ff75f0.us-east-1.aws.found.io/app/kibana#/discover/Steve-Slow-Train-Analysis-(2080s-and-2083s)?_g=(refreshInterval:(display:Off,pause:!f,section:0,value:0),time:(from:'2017-04-29T08:19:39-0600',mode:absolute,to:'2017-04-29T11:00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1" s="89" t="str">
        <f t="shared" si="1"/>
        <v>"C:\Program Files (x86)\AstroGrep\AstroGrep.exe" /e /r /s /spath="%USERPROFILE%\AppData\Local\Temp\OnboardLogs" /stypes="*4017*201704291*" /stext=" 16:.+((SYSTEM_STATE.+slice.+state.+changed )|(ment ac)|(multiple cpu faults)|(system.+state.+changed )|(\[timeout)|(PRM\|1\|D)|(kpr)|(kdp)|(train.+moving)|(\|lc)|(penalty))"</v>
      </c>
      <c r="U21" s="9" t="str">
        <f t="shared" si="2"/>
        <v>4017</v>
      </c>
      <c r="V21" s="31">
        <f t="shared" si="3"/>
        <v>42854.666759259257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{"issue":{"subject":"Premature downgrade at Bright 4S","project_id":79,"tracker_id":40,"status_id":1,"priority_id":2,"assigned_to_id":23,"start_date":"2017-04-29","description":"09:59:46 - Bright 4S dropped from PROCEED CAB to STOP, do logs indicate anything unusual during this time?","custom_fields":[{"id":1,"name":"Subdivision","value":"EC"},{"id":4,"name":"Milepost","value":"1.71"},{"id":17,"name":"Train ID","value":"140-29"},{"id":16,"name":"Locomotive ID","value":"4017"},{"id":130,"name":"Impact","value":"Enforcement"},{"id":150,"name":"Time of Event (Mountain Time)","value":"10:00:08"},{"id":151,"name":"Denver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1" s="162" t="s">
        <v>1026</v>
      </c>
      <c r="AA21" s="47" t="s">
        <v>124</v>
      </c>
      <c r="AB21" s="47" t="s">
        <v>129</v>
      </c>
      <c r="AC21" s="118" t="str">
        <f t="shared" si="7"/>
        <v>grep -hSE -A400 "Enforcement Action" "%USERPROFILE%\AppData\Local\Temp\OnboardLogs"\RTDC4017\*4017*201704291*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"%USERPROFILE%\AppData\Local\Temp\OnboardLogs"\RTDC4017\*4017*201704291* &gt;&gt; 2017-04-29-SliceDisagreementCheck.txt</v>
      </c>
      <c r="AE21" s="148" t="str">
        <f t="shared" si="9"/>
        <v>start /low /b %USERPROFILE%\Documents\GitHub\eaglep3\Utilities\DownloadLogsFromS3.py --loco 4017 --day 2017-04-29</v>
      </c>
      <c r="AF21" s="1"/>
    </row>
    <row r="22" spans="1:32" x14ac:dyDescent="0.25">
      <c r="A22" s="31">
        <v>42854.647210648145</v>
      </c>
      <c r="B22" s="30" t="s">
        <v>394</v>
      </c>
      <c r="C22" s="30" t="s">
        <v>586</v>
      </c>
      <c r="D22" s="30" t="s">
        <v>49</v>
      </c>
      <c r="E22" s="30" t="s">
        <v>421</v>
      </c>
      <c r="F22" s="42">
        <v>0</v>
      </c>
      <c r="G22" s="42">
        <v>541</v>
      </c>
      <c r="H22" s="42">
        <v>90242</v>
      </c>
      <c r="I22" s="42">
        <v>88662</v>
      </c>
      <c r="J22" s="30" t="s">
        <v>422</v>
      </c>
      <c r="K22" s="42">
        <v>87902</v>
      </c>
      <c r="L22" s="134" t="s">
        <v>51</v>
      </c>
      <c r="M22" s="135">
        <f t="shared" si="0"/>
        <v>401.28</v>
      </c>
      <c r="N22" s="136" t="str">
        <f>VLOOKUP(C22,'Trips&amp;Operators'!$C$1:$G$99999,5,FALSE)</f>
        <v>MCREYNOLDS KYLE</v>
      </c>
      <c r="O22" s="207" t="s">
        <v>418</v>
      </c>
      <c r="P22" s="137" t="s">
        <v>555</v>
      </c>
      <c r="Q22" s="30"/>
      <c r="R22" s="84" t="e">
        <f>IF(VLOOKUP(C22,'Train Runs'!$A$13:$AE$9944,1,1)=C22,VLOOKUP(C22,'Train Runs'!$A$13:$AE$9944,31,1),NA())</f>
        <v>#N/A</v>
      </c>
      <c r="S22" s="87" t="str">
        <f>VLOOKUP(C22,'Train Runs'!$A$13:$AE$9944,22,0)</f>
        <v>https://d0f6bd738d7f1b3e5a7ca70fe4ff75f0.us-east-1.aws.found.io/app/kibana#/discover/Steve-Slow-Train-Analysis-(2080s-and-2083s)?_g=(refreshInterval:(display:Off,pause:!f,section:0,value:0),time:(from:'2017-04-29T13:57:18-0600',mode:absolute,to:'2017-04-29T16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2" s="89" t="str">
        <f t="shared" si="1"/>
        <v>"C:\Program Files (x86)\AstroGrep\AstroGrep.exe" /e /r /s /spath="%USERPROFILE%\AppData\Local\Temp\OnboardLogs" /stypes="*4003*201704292*" /stext=" 21:.+((SYSTEM_STATE.+slice.+state.+changed )|(ment ac)|(multiple cpu faults)|(system.+state.+changed )|(\[timeout)|(PRM\|1\|D)|(kpr)|(kdp)|(train.+moving)|(\|lc)|(penalty))"</v>
      </c>
      <c r="U22" s="9" t="str">
        <f t="shared" si="2"/>
        <v>4003</v>
      </c>
      <c r="V22" s="31">
        <f t="shared" si="3"/>
        <v>42854.897210648145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{"issue":{"subject":"Wi-MAX data drop","project_id":79,"tracker_id":40,"status_id":1,"priority_id":2,"assigned_to_id":23,"start_date":"2017-04-29","description":"","custom_fields":[{"id":1,"name":"Subdivision","value":"EC"},{"id":4,"name":"Milepost","value":"8.7902"},{"id":17,"name":"Train ID","value":"186-29"},{"id":16,"name":"Locomotive ID","value":"4003"},{"id":130,"name":"Impact","value":""},{"id":150,"name":"Time of Event (Mountain Time)","value":"15:31:59"},{"id":151,"name":"Denver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-hSE -A400 "Enforcement Action" "%USERPROFILE%\AppData\Local\Temp\OnboardLogs"\RTDC4003\*4003*201704292*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"%USERPROFILE%\AppData\Local\Temp\OnboardLogs"\RTDC4003\*4003*201704292* &gt;&gt; 2017-04-29-SliceDisagreementCheck.txt</v>
      </c>
      <c r="AE22" s="148" t="str">
        <f t="shared" si="9"/>
        <v>start /low /b %USERPROFILE%\Documents\GitHub\eaglep3\Utilities\DownloadLogsFromS3.py --loco 4003 --day 2017-04-29</v>
      </c>
      <c r="AF22" s="1"/>
    </row>
    <row r="23" spans="1:32" x14ac:dyDescent="0.25">
      <c r="A23" s="31">
        <v>42854.298217592594</v>
      </c>
      <c r="B23" s="30" t="s">
        <v>432</v>
      </c>
      <c r="C23" s="30" t="s">
        <v>561</v>
      </c>
      <c r="D23" s="30" t="s">
        <v>49</v>
      </c>
      <c r="E23" s="30" t="s">
        <v>421</v>
      </c>
      <c r="F23" s="42">
        <v>0</v>
      </c>
      <c r="G23" s="42">
        <v>774</v>
      </c>
      <c r="H23" s="42">
        <v>145091</v>
      </c>
      <c r="I23" s="42">
        <v>149029</v>
      </c>
      <c r="J23" s="30" t="s">
        <v>422</v>
      </c>
      <c r="K23" s="42">
        <v>149694</v>
      </c>
      <c r="L23" s="134" t="s">
        <v>50</v>
      </c>
      <c r="M23" s="135">
        <f t="shared" si="0"/>
        <v>351.12</v>
      </c>
      <c r="N23" s="136" t="str">
        <f>VLOOKUP(C23,'Trips&amp;Operators'!$C$1:$G$99999,5,FALSE)</f>
        <v>LOZA FIDEL</v>
      </c>
      <c r="O23" s="207" t="s">
        <v>418</v>
      </c>
      <c r="P23" s="137" t="s">
        <v>555</v>
      </c>
      <c r="Q23" s="30"/>
      <c r="R23" s="84" t="str">
        <f>IF(VLOOKUP(C23,'Train Runs'!$A$13:$AE$9944,1,1)=C23,VLOOKUP(C23,'Train Runs'!$A$13:$AE$9944,31,1),NA())</f>
        <v>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 &amp; aws s3 cp s3://rtdc.mdm.uploadarchive.raw/RTDC4018/ "%USERPROFILE%\AppData\Local\Temp\OnboardLogs"\RTDC4018\2017-04-30 --exclude "*" --recursive --include "*20170430*" &amp; "%USERPROFILE%\Documents\GitHub\mrs-test-scripts\Headless Mode &amp; Sideloading\WalkAndUnGZ.bat" "%USERPROFILE%\AppData\Local\Temp\OnboardLogs"\RTDC4018\2017-04-30</v>
      </c>
      <c r="S23" s="87" t="str">
        <f>VLOOKUP(C23,'Train Runs'!$A$13:$AE$9944,22,0)</f>
        <v>https://d0f6bd738d7f1b3e5a7ca70fe4ff75f0.us-east-1.aws.found.io/app/kibana#/discover/Steve-Slow-Train-Analysis-(2080s-and-2083s)?_g=(refreshInterval:(display:Off,pause:!f,section:0,value:0),time:(from:'2017-04-29T05:37:04-0600',mode:absolute,to:'2017-04-29T08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3" s="89" t="str">
        <f t="shared" si="1"/>
        <v>"C:\Program Files (x86)\AstroGrep\AstroGrep.exe" /e /r /s /spath="%USERPROFILE%\AppData\Local\Temp\OnboardLogs" /stypes="*4018*201704291*" /stext=" 13:.+((SYSTEM_STATE.+slice.+state.+changed )|(ment ac)|(multiple cpu faults)|(system.+state.+changed )|(\[timeout)|(PRM\|1\|D)|(kpr)|(kdp)|(train.+moving)|(\|lc)|(penalty))"</v>
      </c>
      <c r="U23" s="9" t="str">
        <f t="shared" si="2"/>
        <v>4018</v>
      </c>
      <c r="V23" s="31">
        <f t="shared" si="3"/>
        <v>42854.548217592594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{"issue":{"subject":"Wi-MAX data drop","project_id":79,"tracker_id":40,"status_id":1,"priority_id":2,"assigned_to_id":23,"start_date":"2017-04-29","description":"","custom_fields":[{"id":1,"name":"Subdivision","value":"EC"},{"id":4,"name":"Milepost","value":"14.9694"},{"id":17,"name":"Train ID","value":"125-29"},{"id":16,"name":"Locomotive ID","value":"4018"},{"id":130,"name":"Impact","value":""},{"id":150,"name":"Time of Event (Mountain Time)","value":"07:09:26"},{"id":151,"name":"Denver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-hSE -A400 "Enforcement Action" "%USERPROFILE%\AppData\Local\Temp\OnboardLogs"\RTDC4018\*4018*201704291*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"%USERPROFILE%\AppData\Local\Temp\OnboardLogs"\RTDC4018\*4018*201704291* &gt;&gt; 2017-04-29-SliceDisagreementCheck.txt</v>
      </c>
      <c r="AE23" s="148" t="str">
        <f t="shared" si="9"/>
        <v>start /low /b %USERPROFILE%\Documents\GitHub\eaglep3\Utilities\DownloadLogsFromS3.py --loco 4018 --day 2017-04-29</v>
      </c>
      <c r="AF23" s="1"/>
    </row>
    <row r="24" spans="1:32" x14ac:dyDescent="0.25">
      <c r="A24" s="31">
        <v>42854.344571759262</v>
      </c>
      <c r="B24" s="30" t="s">
        <v>394</v>
      </c>
      <c r="C24" s="30" t="s">
        <v>564</v>
      </c>
      <c r="D24" s="30" t="s">
        <v>49</v>
      </c>
      <c r="E24" s="30" t="s">
        <v>421</v>
      </c>
      <c r="F24" s="42">
        <v>0</v>
      </c>
      <c r="G24" s="42">
        <v>655</v>
      </c>
      <c r="H24" s="42">
        <v>208221</v>
      </c>
      <c r="I24" s="42">
        <v>205824</v>
      </c>
      <c r="J24" s="30" t="s">
        <v>422</v>
      </c>
      <c r="K24" s="42">
        <v>204340</v>
      </c>
      <c r="L24" s="134" t="s">
        <v>51</v>
      </c>
      <c r="M24" s="135">
        <f t="shared" si="0"/>
        <v>783.55200000000002</v>
      </c>
      <c r="N24" s="136" t="str">
        <f>VLOOKUP(C24,'Trips&amp;Operators'!$C$1:$G$99999,5,FALSE)</f>
        <v>MAYBERRY BILL</v>
      </c>
      <c r="O24" s="207" t="s">
        <v>418</v>
      </c>
      <c r="P24" s="137" t="s">
        <v>555</v>
      </c>
      <c r="Q24" s="30"/>
      <c r="R24" s="84" t="str">
        <f>IF(VLOOKUP(C24,'Train Runs'!$A$13:$AE$9944,1,1)=C24,VLOOKUP(C24,'Train Runs'!$A$13:$AE$9944,31,1),NA())</f>
        <v>aws s3 cp s3://rtdc.mdm.uploadarchive.raw/RTDC4003/ "%USERPROFILE%\AppData\Local\Temp\OnboardLogs"\RTDC4003\2017-04-29 --exclude "*" --recursive --include "*20170429*" &amp; "%USERPROFILE%\Documents\GitHub\mrs-test-scripts\Headless Mode &amp; Sideloading\WalkAndUnGZ.bat" "%USERPROFILE%\AppData\Local\Temp\OnboardLogs"\RTDC4003\2017-04-29 &amp; aws s3 cp s3://rtdc.mdm.uploadarchive.raw/RTDC4003/ "%USERPROFILE%\AppData\Local\Temp\OnboardLogs"\RTDC4003\2017-04-30 --exclude "*" --recursive --include "*20170430*" &amp; "%USERPROFILE%\Documents\GitHub\mrs-test-scripts\Headless Mode &amp; Sideloading\WalkAndUnGZ.bat" "%USERPROFILE%\AppData\Local\Temp\OnboardLogs"\RTDC4003\2017-04-30</v>
      </c>
      <c r="S24" s="87" t="str">
        <f>VLOOKUP(C24,'Train Runs'!$A$13:$AE$9944,22,0)</f>
        <v>https://d0f6bd738d7f1b3e5a7ca70fe4ff75f0.us-east-1.aws.found.io/app/kibana#/discover/Steve-Slow-Train-Analysis-(2080s-and-2083s)?_g=(refreshInterval:(display:Off,pause:!f,section:0,value:0),time:(from:'2017-04-29T07:05:57-0600',mode:absolute,to:'2017-04-29T09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4" s="89" t="str">
        <f t="shared" si="1"/>
        <v>"C:\Program Files (x86)\AstroGrep\AstroGrep.exe" /e /r /s /spath="%USERPROFILE%\AppData\Local\Temp\OnboardLogs" /stypes="*4003*201704291*" /stext=" 14:.+((SYSTEM_STATE.+slice.+state.+changed )|(ment ac)|(multiple cpu faults)|(system.+state.+changed )|(\[timeout)|(PRM\|1\|D)|(kpr)|(kdp)|(train.+moving)|(\|lc)|(penalty))"</v>
      </c>
      <c r="U24" s="9" t="str">
        <f t="shared" si="2"/>
        <v>4003</v>
      </c>
      <c r="V24" s="31">
        <f t="shared" si="3"/>
        <v>42854.594571759262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{"issue":{"subject":"Wi-MAX data drop","project_id":79,"tracker_id":40,"status_id":1,"priority_id":2,"assigned_to_id":23,"start_date":"2017-04-29","description":"","custom_fields":[{"id":1,"name":"Subdivision","value":"EC"},{"id":4,"name":"Milepost","value":"20.434"},{"id":17,"name":"Train ID","value":"130-29"},{"id":16,"name":"Locomotive ID","value":"4003"},{"id":130,"name":"Impact","value":""},{"id":150,"name":"Time of Event (Mountain Time)","value":"08:16:11"},{"id":151,"name":"Denver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-hSE -A400 "Enforcement Action" "%USERPROFILE%\AppData\Local\Temp\OnboardLogs"\RTDC4003\*4003*201704291*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"%USERPROFILE%\AppData\Local\Temp\OnboardLogs"\RTDC4003\*4003*201704291* &gt;&gt; 2017-04-29-SliceDisagreementCheck.txt</v>
      </c>
      <c r="AE24" s="148" t="str">
        <f t="shared" si="9"/>
        <v>start /low /b %USERPROFILE%\Documents\GitHub\eaglep3\Utilities\DownloadLogsFromS3.py --loco 4003 --day 2017-04-29</v>
      </c>
      <c r="AF24" s="1"/>
    </row>
    <row r="25" spans="1:32" x14ac:dyDescent="0.25">
      <c r="A25" s="31">
        <v>42854.212754629632</v>
      </c>
      <c r="B25" s="30" t="s">
        <v>358</v>
      </c>
      <c r="C25" s="30" t="s">
        <v>558</v>
      </c>
      <c r="D25" s="30" t="s">
        <v>98</v>
      </c>
      <c r="E25" s="30" t="s">
        <v>421</v>
      </c>
      <c r="F25" s="42">
        <v>0</v>
      </c>
      <c r="G25" s="42">
        <v>215</v>
      </c>
      <c r="H25" s="42">
        <v>228603</v>
      </c>
      <c r="I25" s="42">
        <v>229160</v>
      </c>
      <c r="J25" s="30" t="s">
        <v>422</v>
      </c>
      <c r="K25" s="42">
        <v>228572</v>
      </c>
      <c r="L25" s="134" t="s">
        <v>50</v>
      </c>
      <c r="M25" s="135">
        <f t="shared" si="0"/>
        <v>-310.464</v>
      </c>
      <c r="N25" s="136" t="str">
        <f>VLOOKUP(C25,'Trips&amp;Operators'!$C$1:$G$99999,5,FALSE)</f>
        <v>DAVIS WENDY</v>
      </c>
      <c r="O25" s="207" t="s">
        <v>418</v>
      </c>
      <c r="P25" s="137" t="s">
        <v>1023</v>
      </c>
      <c r="Q25" s="30"/>
      <c r="R25" s="84" t="str">
        <f>IF(VLOOKUP(C25,'Train Runs'!$A$13:$AE$9944,1,1)=C25,VLOOKUP(C25,'Train Runs'!$A$13:$AE$9944,31,1),NA())</f>
        <v>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 &amp; 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</v>
      </c>
      <c r="S25" s="87" t="str">
        <f>VLOOKUP(C25,'Train Runs'!$A$13:$AE$9944,22,0)</f>
        <v>https://d0f6bd738d7f1b3e5a7ca70fe4ff75f0.us-east-1.aws.found.io/app/kibana#/discover/Steve-Slow-Train-Analysis-(2080s-and-2083s)?_g=(refreshInterval:(display:Off,pause:!f,section:0,value:0),time:(from:'2017-04-29T03:29:19-0600',mode:absolute,to:'2017-04-29T06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5" s="89" t="str">
        <f t="shared" si="1"/>
        <v>"C:\Program Files (x86)\AstroGrep\AstroGrep.exe" /e /r /s /spath="%USERPROFILE%\AppData\Local\Temp\OnboardLogs" /stypes="*4022*201704291*" /stext=" 11:.+((SYSTEM_STATE.+slice.+state.+changed )|(ment ac)|(multiple cpu faults)|(system.+state.+changed )|(\[timeout)|(PRM\|1\|D)|(kpr)|(kdp)|(train.+moving)|(\|lc)|(penalty))"</v>
      </c>
      <c r="U25" s="9" t="str">
        <f t="shared" si="2"/>
        <v>4022</v>
      </c>
      <c r="V25" s="31">
        <f t="shared" si="3"/>
        <v>42854.462754629632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{"issue":{"subject":"Premature downgrade at DIA 4N","project_id":79,"tracker_id":40,"status_id":1,"priority_id":2,"assigned_to_id":23,"start_date":"2017-04-29","description":"05:06:07 - DIA 4N dropped from PROCEED CAB to STOP, train was approaching signal (~20 ft away). Do logs show anything unusual at this time?","custom_fields":[{"id":1,"name":"Subdivision","value":"EC"},{"id":4,"name":"Milepost","value":"22.8572"},{"id":17,"name":"Train ID","value":"107-29"},{"id":16,"name":"Locomotive ID","value":"4022"},{"id":130,"name":"Impact","value":"Enforcement"},{"id":150,"name":"Time of Event (Mountain Time)","value":"05:06:22"},{"id":151,"name":"Denver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5" s="162" t="s">
        <v>1024</v>
      </c>
      <c r="AA25" s="47" t="s">
        <v>124</v>
      </c>
      <c r="AB25" s="47" t="s">
        <v>129</v>
      </c>
      <c r="AC25" s="118" t="str">
        <f t="shared" si="7"/>
        <v>grep -hSE -A400 "Enforcement Action" "%USERPROFILE%\AppData\Local\Temp\OnboardLogs"\RTDC4022\*4022*201704291*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"%USERPROFILE%\AppData\Local\Temp\OnboardLogs"\RTDC4022\*4022*201704291* &gt;&gt; 2017-04-29-SliceDisagreementCheck.txt</v>
      </c>
      <c r="AE25" s="148" t="str">
        <f t="shared" si="9"/>
        <v>start /low /b %USERPROFILE%\Documents\GitHub\eaglep3\Utilities\DownloadLogsFromS3.py --loco 4022 --day 2017-04-29</v>
      </c>
      <c r="AF25" s="1"/>
    </row>
    <row r="26" spans="1:32" x14ac:dyDescent="0.25">
      <c r="A26" s="31">
        <v>42854.408865740741</v>
      </c>
      <c r="B26" s="30" t="s">
        <v>416</v>
      </c>
      <c r="C26" s="30" t="s">
        <v>568</v>
      </c>
      <c r="D26" s="30" t="s">
        <v>49</v>
      </c>
      <c r="E26" s="30" t="s">
        <v>569</v>
      </c>
      <c r="F26" s="42">
        <v>0</v>
      </c>
      <c r="G26" s="42">
        <v>305</v>
      </c>
      <c r="H26" s="42">
        <v>228519</v>
      </c>
      <c r="I26" s="42">
        <v>229485</v>
      </c>
      <c r="J26" s="30" t="s">
        <v>570</v>
      </c>
      <c r="K26" s="42">
        <v>228572</v>
      </c>
      <c r="L26" s="134" t="s">
        <v>50</v>
      </c>
      <c r="M26" s="135">
        <f t="shared" si="0"/>
        <v>-482.06400000000002</v>
      </c>
      <c r="N26" s="136" t="str">
        <f>VLOOKUP(C26,'Trips&amp;Operators'!$C$1:$G$99999,5,FALSE)</f>
        <v>ROBINSON KADDIBA</v>
      </c>
      <c r="O26" s="207" t="s">
        <v>418</v>
      </c>
      <c r="P26" s="137" t="s">
        <v>555</v>
      </c>
      <c r="Q26" s="30"/>
      <c r="R26" s="84" t="str">
        <f>IF(VLOOKUP(C26,'Train Runs'!$A$13:$AE$9944,1,1)=C26,VLOOKUP(C26,'Train Runs'!$A$13:$AE$9944,31,1),NA())</f>
        <v>aws s3 cp s3://rtdc.mdm.uploadarchive.raw/RTDC4026/ "%USERPROFILE%\AppData\Local\Temp\OnboardLogs"\RTDC4026\2017-04-29 --exclude "*" --recursive --include "*20170429*" &amp; "%USERPROFILE%\Documents\GitHub\mrs-test-scripts\Headless Mode &amp; Sideloading\WalkAndUnGZ.bat" "%USERPROFILE%\AppData\Local\Temp\OnboardLogs"\RTDC4026\2017-04-29 &amp; 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</v>
      </c>
      <c r="S26" s="87" t="str">
        <f>VLOOKUP(C26,'Train Runs'!$A$13:$AE$9944,22,0)</f>
        <v>https://d0f6bd738d7f1b3e5a7ca70fe4ff75f0.us-east-1.aws.found.io/app/kibana#/discover/Steve-Slow-Train-Analysis-(2080s-and-2083s)?_g=(refreshInterval:(display:Off,pause:!f,section:0,value:0),time:(from:'2017-04-29T08:06:29-0600',mode:absolute,to:'2017-04-29T10:48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6" s="89" t="str">
        <f t="shared" si="1"/>
        <v>"C:\Program Files (x86)\AstroGrep\AstroGrep.exe" /e /r /s /spath="%USERPROFILE%\AppData\Local\Temp\OnboardLogs" /stypes="*4026*201704291*" /stext=" 15:.+((SYSTEM_STATE.+slice.+state.+changed )|(ment ac)|(multiple cpu faults)|(system.+state.+changed )|(\[timeout)|(PRM\|1\|D)|(kpr)|(kdp)|(train.+moving)|(\|lc)|(penalty))"</v>
      </c>
      <c r="U26" s="9" t="str">
        <f t="shared" si="2"/>
        <v>4026</v>
      </c>
      <c r="V26" s="31">
        <f t="shared" si="3"/>
        <v>42854.658865740741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{"issue":{"subject":"Wi-MAX data drop","project_id":79,"tracker_id":40,"status_id":1,"priority_id":2,"assigned_to_id":23,"start_date":"2017-04-29","description":"http://stevetu21.github.io/eaglep3/load_kml.html?kml=http://rtdc.gmaps-snips.s3.amazonaws.com/b880b6e7-160b-4808-be5f-40755810c3d8.kml","custom_fields":[{"id":1,"name":"Subdivision","value":"EC"},{"id":4,"name":"Milepost","value":"22.8572"},{"id":17,"name":"Train ID","value":"145-29"},{"id":16,"name":"Locomotive ID","value":"4026"},{"id":130,"name":"Impact","value":"Enforcement"},{"id":150,"name":"Time of Event (Mountain Time)","value":"09:48:46"},{"id":151,"name":"Denver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6" t="s">
        <v>1027</v>
      </c>
      <c r="AA26" s="47" t="s">
        <v>124</v>
      </c>
      <c r="AB26" s="47" t="s">
        <v>137</v>
      </c>
      <c r="AC26" s="118" t="str">
        <f t="shared" si="7"/>
        <v>grep -hSE -A400 "Enforcement Action" "%USERPROFILE%\AppData\Local\Temp\OnboardLogs"\RTDC4026\*4026*201704291*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"%USERPROFILE%\AppData\Local\Temp\OnboardLogs"\RTDC4026\*4026*201704291* &gt;&gt; 2017-04-29-SliceDisagreementCheck.txt</v>
      </c>
      <c r="AE26" s="148" t="str">
        <f t="shared" si="9"/>
        <v>start /low /b %USERPROFILE%\Documents\GitHub\eaglep3\Utilities\DownloadLogsFromS3.py --loco 4026 --day 2017-04-29</v>
      </c>
      <c r="AF26" s="1"/>
    </row>
    <row r="27" spans="1:32" x14ac:dyDescent="0.25">
      <c r="A27" s="31">
        <v>42854.368680555555</v>
      </c>
      <c r="B27" s="30" t="s">
        <v>394</v>
      </c>
      <c r="C27" s="30" t="s">
        <v>564</v>
      </c>
      <c r="D27" s="30" t="s">
        <v>49</v>
      </c>
      <c r="E27" s="30" t="s">
        <v>185</v>
      </c>
      <c r="F27" s="42">
        <v>0</v>
      </c>
      <c r="G27" s="42">
        <v>63</v>
      </c>
      <c r="H27" s="42">
        <v>212</v>
      </c>
      <c r="I27" s="42">
        <v>149</v>
      </c>
      <c r="J27" s="30" t="s">
        <v>186</v>
      </c>
      <c r="K27" s="42">
        <v>1</v>
      </c>
      <c r="L27" s="134" t="s">
        <v>51</v>
      </c>
      <c r="M27" s="135">
        <f t="shared" si="0"/>
        <v>78.144000000000005</v>
      </c>
      <c r="N27" s="136" t="str">
        <f>VLOOKUP(C27,'Trips&amp;Operators'!$C$1:$G$99999,5,FALSE)</f>
        <v>MAYBERRY BILL</v>
      </c>
      <c r="O27" s="207" t="s">
        <v>184</v>
      </c>
      <c r="P27" s="137"/>
      <c r="Q27" s="30"/>
      <c r="R27" s="84" t="str">
        <f>IF(VLOOKUP(C27,'Train Runs'!$A$13:$AE$9944,1,1)=C27,VLOOKUP(C27,'Train Runs'!$A$13:$AE$9944,31,1),NA())</f>
        <v>aws s3 cp s3://rtdc.mdm.uploadarchive.raw/RTDC4003/ "%USERPROFILE%\AppData\Local\Temp\OnboardLogs"\RTDC4003\2017-04-29 --exclude "*" --recursive --include "*20170429*" &amp; "%USERPROFILE%\Documents\GitHub\mrs-test-scripts\Headless Mode &amp; Sideloading\WalkAndUnGZ.bat" "%USERPROFILE%\AppData\Local\Temp\OnboardLogs"\RTDC4003\2017-04-29 &amp; aws s3 cp s3://rtdc.mdm.uploadarchive.raw/RTDC4003/ "%USERPROFILE%\AppData\Local\Temp\OnboardLogs"\RTDC4003\2017-04-30 --exclude "*" --recursive --include "*20170430*" &amp; "%USERPROFILE%\Documents\GitHub\mrs-test-scripts\Headless Mode &amp; Sideloading\WalkAndUnGZ.bat" "%USERPROFILE%\AppData\Local\Temp\OnboardLogs"\RTDC4003\2017-04-30</v>
      </c>
      <c r="S27" s="87" t="str">
        <f>VLOOKUP(C27,'Train Runs'!$A$13:$AE$9944,22,0)</f>
        <v>https://d0f6bd738d7f1b3e5a7ca70fe4ff75f0.us-east-1.aws.found.io/app/kibana#/discover/Steve-Slow-Train-Analysis-(2080s-and-2083s)?_g=(refreshInterval:(display:Off,pause:!f,section:0,value:0),time:(from:'2017-04-29T07:05:57-0600',mode:absolute,to:'2017-04-29T09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7" s="89" t="str">
        <f t="shared" si="1"/>
        <v>"C:\Program Files (x86)\AstroGrep\AstroGrep.exe" /e /r /s /spath="%USERPROFILE%\AppData\Local\Temp\OnboardLogs" /stypes="*4003*201704291*" /stext=" 14:.+((SYSTEM_STATE.+slice.+state.+changed )|(ment ac)|(multiple cpu faults)|(system.+state.+changed )|(\[timeout)|(PRM\|1\|D)|(kpr)|(kdp)|(train.+moving)|(\|lc)|(penalty))"</v>
      </c>
      <c r="U27" s="9" t="str">
        <f t="shared" si="2"/>
        <v>4003</v>
      </c>
      <c r="V27" s="31">
        <f t="shared" si="3"/>
        <v>42854.618680555555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{"issue":{"subject":"","project_id":79,"tracker_id":40,"status_id":1,"priority_id":2,"assigned_to_id":23,"start_date":"2017-04-29","description":"","custom_fields":[{"id":1,"name":"Subdivision","value":"EC"},{"id":4,"name":"Milepost","value":"0.0001"},{"id":17,"name":"Train ID","value":"130-29"},{"id":16,"name":"Locomotive ID","value":"4003"},{"id":130,"name":"Impact","value":""},{"id":150,"name":"Time of Event (Mountain Time)","value":"08:50:54"},{"id":151,"name":"Denver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-hSE -A400 "Enforcement Action" "%USERPROFILE%\AppData\Local\Temp\OnboardLogs"\RTDC4003\*4003*201704291*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"%USERPROFILE%\AppData\Local\Temp\OnboardLogs"\RTDC4003\*4003*201704291* &gt;&gt; 2017-04-29-SliceDisagreementCheck.txt</v>
      </c>
      <c r="AE27" s="148" t="str">
        <f t="shared" si="9"/>
        <v>start /low /b %USERPROFILE%\Documents\GitHub\eaglep3\Utilities\DownloadLogsFromS3.py --loco 4003 --day 2017-04-29</v>
      </c>
      <c r="AF27" s="1"/>
    </row>
    <row r="28" spans="1:32" x14ac:dyDescent="0.25">
      <c r="A28" s="31">
        <v>42854.47315972222</v>
      </c>
      <c r="B28" s="30" t="s">
        <v>357</v>
      </c>
      <c r="C28" s="30" t="s">
        <v>574</v>
      </c>
      <c r="D28" s="30" t="s">
        <v>49</v>
      </c>
      <c r="E28" s="30" t="s">
        <v>185</v>
      </c>
      <c r="F28" s="42">
        <v>0</v>
      </c>
      <c r="G28" s="42">
        <v>51</v>
      </c>
      <c r="H28" s="42">
        <v>167</v>
      </c>
      <c r="I28" s="42">
        <v>119</v>
      </c>
      <c r="J28" s="30" t="s">
        <v>186</v>
      </c>
      <c r="K28" s="42">
        <v>1</v>
      </c>
      <c r="L28" s="134" t="s">
        <v>51</v>
      </c>
      <c r="M28" s="135">
        <f t="shared" si="0"/>
        <v>62.304000000000002</v>
      </c>
      <c r="N28" s="136" t="str">
        <f>VLOOKUP(C28,'Trips&amp;Operators'!$C$1:$G$99999,5,FALSE)</f>
        <v>DAVIS WENDY</v>
      </c>
      <c r="O28" s="207" t="s">
        <v>184</v>
      </c>
      <c r="P28" s="137"/>
      <c r="Q28" s="30"/>
      <c r="R28" s="84" t="str">
        <f>IF(VLOOKUP(C28,'Train Runs'!$A$13:$AE$9944,1,1)=C28,VLOOKUP(C28,'Train Runs'!$A$13:$AE$9944,31,1),NA())</f>
        <v>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 &amp; aws s3 cp s3://rtdc.mdm.uploadarchive.raw/RTDC4021/ "%USERPROFILE%\AppData\Local\Temp\OnboardLogs"\RTDC4021\2017-04-30 --exclude "*" --recursive --include "*20170430*" &amp; "%USERPROFILE%\Documents\GitHub\mrs-test-scripts\Headless Mode &amp; Sideloading\WalkAndUnGZ.bat" "%USERPROFILE%\AppData\Local\Temp\OnboardLogs"\RTDC4021\2017-04-30</v>
      </c>
      <c r="S28" s="87" t="str">
        <f>VLOOKUP(C28,'Train Runs'!$A$13:$AE$9944,22,0)</f>
        <v>https://d0f6bd738d7f1b3e5a7ca70fe4ff75f0.us-east-1.aws.found.io/app/kibana#/discover/Steve-Slow-Train-Analysis-(2080s-and-2083s)?_g=(refreshInterval:(display:Off,pause:!f,section:0,value:0),time:(from:'2017-04-29T09:37:17-0600',mode:absolute,to:'2017-04-29T12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8" s="89" t="str">
        <f t="shared" si="1"/>
        <v>"C:\Program Files (x86)\AstroGrep\AstroGrep.exe" /e /r /s /spath="%USERPROFILE%\AppData\Local\Temp\OnboardLogs" /stypes="*4021*201704291*" /stext=" 17:.+((SYSTEM_STATE.+slice.+state.+changed )|(ment ac)|(multiple cpu faults)|(system.+state.+changed )|(\[timeout)|(PRM\|1\|D)|(kpr)|(kdp)|(train.+moving)|(\|lc)|(penalty))"</v>
      </c>
      <c r="U28" s="9" t="str">
        <f t="shared" si="2"/>
        <v>4021</v>
      </c>
      <c r="V28" s="31">
        <f t="shared" si="3"/>
        <v>42854.72315972222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{"issue":{"subject":"","project_id":79,"tracker_id":40,"status_id":1,"priority_id":2,"assigned_to_id":23,"start_date":"2017-04-29","description":"","custom_fields":[{"id":1,"name":"Subdivision","value":"EC"},{"id":4,"name":"Milepost","value":"0.0001"},{"id":17,"name":"Train ID","value":"150-29"},{"id":16,"name":"Locomotive ID","value":"4021"},{"id":130,"name":"Impact","value":""},{"id":150,"name":"Time of Event (Mountain Time)","value":"11:21:21"},{"id":151,"name":"Denver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-hSE -A400 "Enforcement Action" "%USERPROFILE%\AppData\Local\Temp\OnboardLogs"\RTDC4021\*4021*201704291*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"%USERPROFILE%\AppData\Local\Temp\OnboardLogs"\RTDC4021\*4021*201704291* &gt;&gt; 2017-04-29-SliceDisagreementCheck.txt</v>
      </c>
      <c r="AE28" s="148" t="str">
        <f t="shared" si="9"/>
        <v>start /low /b %USERPROFILE%\Documents\GitHub\eaglep3\Utilities\DownloadLogsFromS3.py --loco 4021 --day 2017-04-29</v>
      </c>
      <c r="AF28" s="1"/>
    </row>
    <row r="29" spans="1:32" x14ac:dyDescent="0.25">
      <c r="A29" s="31">
        <v>42854.556550925925</v>
      </c>
      <c r="B29" s="30" t="s">
        <v>579</v>
      </c>
      <c r="C29" s="30" t="s">
        <v>580</v>
      </c>
      <c r="D29" s="30" t="s">
        <v>49</v>
      </c>
      <c r="E29" s="30" t="s">
        <v>185</v>
      </c>
      <c r="F29" s="42">
        <v>0</v>
      </c>
      <c r="G29" s="42">
        <v>55</v>
      </c>
      <c r="H29" s="42">
        <v>189</v>
      </c>
      <c r="I29" s="42">
        <v>110</v>
      </c>
      <c r="J29" s="30" t="s">
        <v>186</v>
      </c>
      <c r="K29" s="42">
        <v>1</v>
      </c>
      <c r="L29" s="134" t="s">
        <v>51</v>
      </c>
      <c r="M29" s="135">
        <f t="shared" si="0"/>
        <v>57.552</v>
      </c>
      <c r="N29" s="136" t="str">
        <f>VLOOKUP(C29,'Trips&amp;Operators'!$C$1:$G$99999,5,FALSE)</f>
        <v>BRANDNER MELINDA</v>
      </c>
      <c r="O29" s="207" t="s">
        <v>184</v>
      </c>
      <c r="P29" s="137"/>
      <c r="Q29" s="30"/>
      <c r="R29" s="84" t="str">
        <f>IF(VLOOKUP(C29,'Train Runs'!$A$13:$AE$9944,1,1)=C29,VLOOKUP(C29,'Train Runs'!$A$13:$AE$9944,31,1),NA())</f>
        <v>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 &amp; 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</v>
      </c>
      <c r="S29" s="87" t="str">
        <f>VLOOKUP(C29,'Train Runs'!$A$13:$AE$9944,22,0)</f>
        <v>https://d0f6bd738d7f1b3e5a7ca70fe4ff75f0.us-east-1.aws.found.io/app/kibana#/discover/Steve-Slow-Train-Analysis-(2080s-and-2083s)?_g=(refreshInterval:(display:Off,pause:!f,section:0,value:0),time:(from:'2017-04-29T11:34:54-0600',mode:absolute,to:'2017-04-29T15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9" s="89" t="str">
        <f t="shared" si="1"/>
        <v>"C:\Program Files (x86)\AstroGrep\AstroGrep.exe" /e /r /s /spath="%USERPROFILE%\AppData\Local\Temp\OnboardLogs" /stypes="*4007*201704291*" /stext=" 19:.+((SYSTEM_STATE.+slice.+state.+changed )|(ment ac)|(multiple cpu faults)|(system.+state.+changed )|(\[timeout)|(PRM\|1\|D)|(kpr)|(kdp)|(train.+moving)|(\|lc)|(penalty))"</v>
      </c>
      <c r="U29" s="9" t="str">
        <f t="shared" si="2"/>
        <v>4007</v>
      </c>
      <c r="V29" s="31">
        <f t="shared" si="3"/>
        <v>42854.806550925925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{"issue":{"subject":"","project_id":79,"tracker_id":40,"status_id":1,"priority_id":2,"assigned_to_id":23,"start_date":"2017-04-29","description":"","custom_fields":[{"id":1,"name":"Subdivision","value":"EC"},{"id":4,"name":"Milepost","value":"0.0001"},{"id":17,"name":"Train ID","value":"166-29"},{"id":16,"name":"Locomotive ID","value":"4007"},{"id":130,"name":"Impact","value":""},{"id":150,"name":"Time of Event (Mountain Time)","value":"13:21:26"},{"id":151,"name":"Denver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-hSE -A400 "Enforcement Action" "%USERPROFILE%\AppData\Local\Temp\OnboardLogs"\RTDC4007\*4007*201704291*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"%USERPROFILE%\AppData\Local\Temp\OnboardLogs"\RTDC4007\*4007*201704291* &gt;&gt; 2017-04-29-SliceDisagreementCheck.txt</v>
      </c>
      <c r="AE29" s="148" t="str">
        <f t="shared" si="9"/>
        <v>start /low /b %USERPROFILE%\Documents\GitHub\eaglep3\Utilities\DownloadLogsFromS3.py --loco 4007 --day 2017-04-29</v>
      </c>
      <c r="AF29" s="1"/>
    </row>
    <row r="30" spans="1:32" x14ac:dyDescent="0.25">
      <c r="A30" s="31">
        <v>42854.648900462962</v>
      </c>
      <c r="B30" s="30" t="s">
        <v>386</v>
      </c>
      <c r="C30" s="30" t="s">
        <v>587</v>
      </c>
      <c r="D30" s="30" t="s">
        <v>49</v>
      </c>
      <c r="E30" s="30" t="s">
        <v>185</v>
      </c>
      <c r="F30" s="42">
        <v>0</v>
      </c>
      <c r="G30" s="42">
        <v>51</v>
      </c>
      <c r="H30" s="42">
        <v>78</v>
      </c>
      <c r="I30" s="42">
        <v>34</v>
      </c>
      <c r="J30" s="30" t="s">
        <v>186</v>
      </c>
      <c r="K30" s="42">
        <v>1</v>
      </c>
      <c r="L30" s="134" t="s">
        <v>51</v>
      </c>
      <c r="M30" s="135">
        <f t="shared" si="0"/>
        <v>17.423999999999999</v>
      </c>
      <c r="N30" s="136" t="str">
        <f>VLOOKUP(C30,'Trips&amp;Operators'!$C$1:$G$99999,5,FALSE)</f>
        <v>DELGADO DIANAH</v>
      </c>
      <c r="O30" s="207" t="s">
        <v>184</v>
      </c>
      <c r="P30" s="137"/>
      <c r="Q30" s="30"/>
      <c r="R30" s="84" t="e">
        <f>IF(VLOOKUP(C30,'Train Runs'!$A$13:$AE$9944,1,1)=C30,VLOOKUP(C30,'Train Runs'!$A$13:$AE$9944,31,1),NA())</f>
        <v>#N/A</v>
      </c>
      <c r="S30" s="87" t="str">
        <f>VLOOKUP(C30,'Train Runs'!$A$13:$AE$9944,22,0)</f>
        <v>https://d0f6bd738d7f1b3e5a7ca70fe4ff75f0.us-east-1.aws.found.io/app/kibana#/discover/Steve-Slow-Train-Analysis-(2080s-and-2083s)?_g=(refreshInterval:(display:Off,pause:!f,section:0,value:0),time:(from:'2017-04-29T13:43:10-0600',mode:absolute,to:'2017-04-29T16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0" s="89" t="str">
        <f t="shared" si="1"/>
        <v>"C:\Program Files (x86)\AstroGrep\AstroGrep.exe" /e /r /s /spath="%USERPROFILE%\AppData\Local\Temp\OnboardLogs" /stypes="*4009*201704292*" /stext=" 21:.+((SYSTEM_STATE.+slice.+state.+changed )|(ment ac)|(multiple cpu faults)|(system.+state.+changed )|(\[timeout)|(PRM\|1\|D)|(kpr)|(kdp)|(train.+moving)|(\|lc)|(penalty))"</v>
      </c>
      <c r="U30" s="9" t="str">
        <f t="shared" si="2"/>
        <v>4009</v>
      </c>
      <c r="V30" s="31">
        <f t="shared" si="3"/>
        <v>42854.898900462962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{"issue":{"subject":"","project_id":79,"tracker_id":40,"status_id":1,"priority_id":2,"assigned_to_id":23,"start_date":"2017-04-29","description":"","custom_fields":[{"id":1,"name":"Subdivision","value":"EC"},{"id":4,"name":"Milepost","value":"0.0001"},{"id":17,"name":"Train ID","value":"184-29"},{"id":16,"name":"Locomotive ID","value":"4009"},{"id":130,"name":"Impact","value":""},{"id":150,"name":"Time of Event (Mountain Time)","value":"15:34:25"},{"id":151,"name":"Denver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-hSE -A400 "Enforcement Action" "%USERPROFILE%\AppData\Local\Temp\OnboardLogs"\RTDC4009\*4009*201704292*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"%USERPROFILE%\AppData\Local\Temp\OnboardLogs"\RTDC4009\*4009*201704292* &gt;&gt; 2017-04-29-SliceDisagreementCheck.txt</v>
      </c>
      <c r="AE30" s="148" t="str">
        <f t="shared" si="9"/>
        <v>start /low /b %USERPROFILE%\Documents\GitHub\eaglep3\Utilities\DownloadLogsFromS3.py --loco 4009 --day 2017-04-29</v>
      </c>
      <c r="AF30" s="1"/>
    </row>
    <row r="31" spans="1:32" x14ac:dyDescent="0.25">
      <c r="A31" s="31">
        <v>42854.702291666668</v>
      </c>
      <c r="B31" s="30" t="s">
        <v>579</v>
      </c>
      <c r="C31" s="30" t="s">
        <v>589</v>
      </c>
      <c r="D31" s="30" t="s">
        <v>49</v>
      </c>
      <c r="E31" s="30" t="s">
        <v>185</v>
      </c>
      <c r="F31" s="42">
        <v>0</v>
      </c>
      <c r="G31" s="42">
        <v>51</v>
      </c>
      <c r="H31" s="42">
        <v>200</v>
      </c>
      <c r="I31" s="42">
        <v>130</v>
      </c>
      <c r="J31" s="30" t="s">
        <v>186</v>
      </c>
      <c r="K31" s="42">
        <v>1</v>
      </c>
      <c r="L31" s="134" t="s">
        <v>51</v>
      </c>
      <c r="M31" s="135">
        <f t="shared" si="0"/>
        <v>68.111999999999995</v>
      </c>
      <c r="N31" s="136" t="str">
        <f>VLOOKUP(C31,'Trips&amp;Operators'!$C$1:$G$99999,5,FALSE)</f>
        <v>BRANDNER MELINDA</v>
      </c>
      <c r="O31" s="207" t="s">
        <v>184</v>
      </c>
      <c r="P31" s="137"/>
      <c r="Q31" s="30"/>
      <c r="R31" s="84" t="e">
        <f>IF(VLOOKUP(C31,'Train Runs'!$A$13:$AE$9944,1,1)=C31,VLOOKUP(C31,'Train Runs'!$A$13:$AE$9944,31,1),NA())</f>
        <v>#N/A</v>
      </c>
      <c r="S31" s="87" t="str">
        <f>VLOOKUP(C31,'Train Runs'!$A$13:$AE$9944,22,0)</f>
        <v>https://d0f6bd738d7f1b3e5a7ca70fe4ff75f0.us-east-1.aws.found.io/app/kibana#/discover/Steve-Slow-Train-Analysis-(2080s-and-2083s)?_g=(refreshInterval:(display:Off,pause:!f,section:0,value:0),time:(from:'2017-04-29T15:05:23-0600',mode:absolute,to:'2017-04-29T17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1" s="89" t="str">
        <f t="shared" si="1"/>
        <v>"C:\Program Files (x86)\AstroGrep\AstroGrep.exe" /e /r /s /spath="%USERPROFILE%\AppData\Local\Temp\OnboardLogs" /stypes="*4007*201704292*" /stext=" 22:.+((SYSTEM_STATE.+slice.+state.+changed )|(ment ac)|(multiple cpu faults)|(system.+state.+changed )|(\[timeout)|(PRM\|1\|D)|(kpr)|(kdp)|(train.+moving)|(\|lc)|(penalty))"</v>
      </c>
      <c r="U31" s="9" t="str">
        <f t="shared" si="2"/>
        <v>4007</v>
      </c>
      <c r="V31" s="31">
        <f t="shared" si="3"/>
        <v>42854.952291666668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{"issue":{"subject":"","project_id":79,"tracker_id":40,"status_id":1,"priority_id":2,"assigned_to_id":23,"start_date":"2017-04-29","description":"","custom_fields":[{"id":1,"name":"Subdivision","value":"EC"},{"id":4,"name":"Milepost","value":"0.0001"},{"id":17,"name":"Train ID","value":"194-29"},{"id":16,"name":"Locomotive ID","value":"4007"},{"id":130,"name":"Impact","value":""},{"id":150,"name":"Time of Event (Mountain Time)","value":"16:51:18"},{"id":151,"name":"Denver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-hSE -A400 "Enforcement Action" "%USERPROFILE%\AppData\Local\Temp\OnboardLogs"\RTDC4007\*4007*201704292*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"%USERPROFILE%\AppData\Local\Temp\OnboardLogs"\RTDC4007\*4007*201704292* &gt;&gt; 2017-04-29-SliceDisagreementCheck.txt</v>
      </c>
      <c r="AE31" s="148" t="str">
        <f t="shared" si="9"/>
        <v>start /low /b %USERPROFILE%\Documents\GitHub\eaglep3\Utilities\DownloadLogsFromS3.py --loco 4007 --day 2017-04-29</v>
      </c>
      <c r="AF31" s="1"/>
    </row>
    <row r="32" spans="1:32" x14ac:dyDescent="0.25">
      <c r="A32" s="31">
        <v>42854.82540509259</v>
      </c>
      <c r="B32" s="30" t="s">
        <v>462</v>
      </c>
      <c r="C32" s="30" t="s">
        <v>591</v>
      </c>
      <c r="D32" s="30" t="s">
        <v>49</v>
      </c>
      <c r="E32" s="30" t="s">
        <v>185</v>
      </c>
      <c r="F32" s="42">
        <v>0</v>
      </c>
      <c r="G32" s="42">
        <v>38</v>
      </c>
      <c r="H32" s="42">
        <v>85</v>
      </c>
      <c r="I32" s="42">
        <v>57</v>
      </c>
      <c r="J32" s="30" t="s">
        <v>186</v>
      </c>
      <c r="K32" s="42">
        <v>1</v>
      </c>
      <c r="L32" s="134" t="s">
        <v>51</v>
      </c>
      <c r="M32" s="135">
        <f t="shared" si="0"/>
        <v>29.568000000000001</v>
      </c>
      <c r="N32" s="136" t="str">
        <f>VLOOKUP(C32,'Trips&amp;Operators'!$C$1:$G$99999,5,FALSE)</f>
        <v>STAMBAUGH JAMES</v>
      </c>
      <c r="O32" s="207" t="s">
        <v>184</v>
      </c>
      <c r="P32" s="137"/>
      <c r="Q32" s="30"/>
      <c r="R32" s="84" t="e">
        <f>IF(VLOOKUP(C32,'Train Runs'!$A$13:$AE$9944,1,1)=C32,VLOOKUP(C32,'Train Runs'!$A$13:$AE$9944,31,1),NA())</f>
        <v>#N/A</v>
      </c>
      <c r="S32" s="87" t="str">
        <f>VLOOKUP(C32,'Train Runs'!$A$13:$AE$9944,22,0)</f>
        <v>https://d0f6bd738d7f1b3e5a7ca70fe4ff75f0.us-east-1.aws.found.io/app/kibana#/discover/Steve-Slow-Train-Analysis-(2080s-and-2083s)?_g=(refreshInterval:(display:Off,pause:!f,section:0,value:0),time:(from:'2017-04-29T17:59:37-0600',mode:absolute,to:'2017-04-29T20:48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2" s="89" t="str">
        <f t="shared" si="1"/>
        <v>"C:\Program Files (x86)\AstroGrep\AstroGrep.exe" /e /r /s /spath="%USERPROFILE%\AppData\Local\Temp\OnboardLogs" /stypes="*4001*201704300*" /stext=" 01:.+((SYSTEM_STATE.+slice.+state.+changed )|(ment ac)|(multiple cpu faults)|(system.+state.+changed )|(\[timeout)|(PRM\|1\|D)|(kpr)|(kdp)|(train.+moving)|(\|lc)|(penalty))"</v>
      </c>
      <c r="U32" s="9" t="str">
        <f t="shared" si="2"/>
        <v>4001</v>
      </c>
      <c r="V32" s="31">
        <f t="shared" si="3"/>
        <v>42855.07540509259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{"issue":{"subject":"","project_id":79,"tracker_id":40,"status_id":1,"priority_id":2,"assigned_to_id":23,"start_date":"2017-04-29","description":"","custom_fields":[{"id":1,"name":"Subdivision","value":"EC"},{"id":4,"name":"Milepost","value":"0.0001"},{"id":17,"name":"Train ID","value":"218-29"},{"id":16,"name":"Locomotive ID","value":"4001"},{"id":130,"name":"Impact","value":""},{"id":150,"name":"Time of Event (Mountain Time)","value":"19:48:35"},{"id":151,"name":"Denver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-hSE -A400 "Enforcement Action" "%USERPROFILE%\AppData\Local\Temp\OnboardLogs"\RTDC4001\*4001*201704300*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"%USERPROFILE%\AppData\Local\Temp\OnboardLogs"\RTDC4001\*4001*201704300* &gt;&gt; 2017-04-29-SliceDisagreementCheck.txt</v>
      </c>
      <c r="AE32" s="148" t="str">
        <f t="shared" si="9"/>
        <v>start /low /b %USERPROFILE%\Documents\GitHub\eaglep3\Utilities\DownloadLogsFromS3.py --loco 4001 --day 2017-04-30</v>
      </c>
      <c r="AF32" s="1"/>
    </row>
    <row r="33" spans="1:32" x14ac:dyDescent="0.25">
      <c r="A33" s="31">
        <v>42854.775000000001</v>
      </c>
      <c r="B33" s="30" t="s">
        <v>579</v>
      </c>
      <c r="C33" s="30" t="s">
        <v>590</v>
      </c>
      <c r="D33" s="30" t="s">
        <v>49</v>
      </c>
      <c r="E33" s="30" t="s">
        <v>185</v>
      </c>
      <c r="F33" s="42">
        <v>0</v>
      </c>
      <c r="G33" s="42">
        <v>48</v>
      </c>
      <c r="H33" s="42">
        <v>999</v>
      </c>
      <c r="I33" s="42">
        <v>928</v>
      </c>
      <c r="J33" s="30" t="s">
        <v>186</v>
      </c>
      <c r="K33" s="42">
        <v>839</v>
      </c>
      <c r="L33" s="134" t="s">
        <v>51</v>
      </c>
      <c r="M33" s="135">
        <f t="shared" si="0"/>
        <v>46.991999999999997</v>
      </c>
      <c r="N33" s="136" t="str">
        <f>VLOOKUP(C33,'Trips&amp;Operators'!$C$1:$G$99999,5,FALSE)</f>
        <v>BRANDNER MELINDA</v>
      </c>
      <c r="O33" s="207" t="s">
        <v>184</v>
      </c>
      <c r="P33" s="137"/>
      <c r="Q33" s="30"/>
      <c r="R33" s="84" t="e">
        <f>IF(VLOOKUP(C33,'Train Runs'!$A$13:$AE$9944,1,1)=C33,VLOOKUP(C33,'Train Runs'!$A$13:$AE$9944,31,1),NA())</f>
        <v>#N/A</v>
      </c>
      <c r="S33" s="87" t="str">
        <f>VLOOKUP(C33,'Train Runs'!$A$13:$AE$9944,22,0)</f>
        <v>https://d0f6bd738d7f1b3e5a7ca70fe4ff75f0.us-east-1.aws.found.io/app/kibana#/discover/Steve-Slow-Train-Analysis-(2080s-and-2083s)?_g=(refreshInterval:(display:Off,pause:!f,section:0,value:0),time:(from:'2017-04-29T16:49:02-0600',mode:absolute,to:'2017-04-29T19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3" s="89" t="str">
        <f t="shared" si="1"/>
        <v>"C:\Program Files (x86)\AstroGrep\AstroGrep.exe" /e /r /s /spath="%USERPROFILE%\AppData\Local\Temp\OnboardLogs" /stypes="*4007*201704300*" /stext=" 00:.+((SYSTEM_STATE.+slice.+state.+changed )|(ment ac)|(multiple cpu faults)|(system.+state.+changed )|(\[timeout)|(PRM\|1\|D)|(kpr)|(kdp)|(train.+moving)|(\|lc)|(penalty))"</v>
      </c>
      <c r="U33" s="9" t="str">
        <f t="shared" si="2"/>
        <v>4007</v>
      </c>
      <c r="V33" s="31">
        <f t="shared" si="3"/>
        <v>42855.025000000001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{"issue":{"subject":"","project_id":79,"tracker_id":40,"status_id":1,"priority_id":2,"assigned_to_id":23,"start_date":"2017-04-29","description":"","custom_fields":[{"id":1,"name":"Subdivision","value":"EC"},{"id":4,"name":"Milepost","value":"0.0839"},{"id":17,"name":"Train ID","value":"208-29"},{"id":16,"name":"Locomotive ID","value":"4007"},{"id":130,"name":"Impact","value":""},{"id":150,"name":"Time of Event (Mountain Time)","value":"18:36:00"},{"id":151,"name":"Denver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-hSE -A400 "Enforcement Action" "%USERPROFILE%\AppData\Local\Temp\OnboardLogs"\RTDC4007\*4007*201704300*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"%USERPROFILE%\AppData\Local\Temp\OnboardLogs"\RTDC4007\*4007*201704300* &gt;&gt; 2017-04-29-SliceDisagreementCheck.txt</v>
      </c>
      <c r="AE33" s="148" t="str">
        <f t="shared" si="9"/>
        <v>start /low /b %USERPROFILE%\Documents\GitHub\eaglep3\Utilities\DownloadLogsFromS3.py --loco 4007 --day 2017-04-30</v>
      </c>
      <c r="AF33" s="1"/>
    </row>
    <row r="34" spans="1:32" x14ac:dyDescent="0.25">
      <c r="A34" s="31">
        <v>42854.326412037037</v>
      </c>
      <c r="B34" s="30" t="s">
        <v>393</v>
      </c>
      <c r="C34" s="30" t="s">
        <v>562</v>
      </c>
      <c r="D34" s="30" t="s">
        <v>49</v>
      </c>
      <c r="E34" s="30" t="s">
        <v>185</v>
      </c>
      <c r="F34" s="42">
        <v>0</v>
      </c>
      <c r="G34" s="42">
        <v>148</v>
      </c>
      <c r="H34" s="42">
        <v>232863</v>
      </c>
      <c r="I34" s="42">
        <v>233097</v>
      </c>
      <c r="J34" s="30" t="s">
        <v>186</v>
      </c>
      <c r="K34" s="42">
        <v>233491</v>
      </c>
      <c r="L34" s="134" t="s">
        <v>50</v>
      </c>
      <c r="M34" s="135">
        <f t="shared" si="0"/>
        <v>208.03200000000001</v>
      </c>
      <c r="N34" s="136" t="str">
        <f>VLOOKUP(C34,'Trips&amp;Operators'!$C$1:$G$99999,5,FALSE)</f>
        <v>MAYBERRY BILL</v>
      </c>
      <c r="O34" s="207" t="s">
        <v>184</v>
      </c>
      <c r="P34" s="137"/>
      <c r="Q34" s="30"/>
      <c r="R34" s="84" t="str">
        <f>IF(VLOOKUP(C34,'Train Runs'!$A$13:$AE$9944,1,1)=C34,VLOOKUP(C34,'Train Runs'!$A$13:$AE$9944,31,1),NA())</f>
        <v>aws s3 cp s3://rtdc.mdm.uploadarchive.raw/RTDC4004/ "%USERPROFILE%\AppData\Local\Temp\OnboardLogs"\RTDC4004\2017-04-29 --exclude "*" --recursive --include "*20170429*" &amp; "%USERPROFILE%\Documents\GitHub\mrs-test-scripts\Headless Mode &amp; Sideloading\WalkAndUnGZ.bat" "%USERPROFILE%\AppData\Local\Temp\OnboardLogs"\RTDC4004\2017-04-29 &amp; aws s3 cp s3://rtdc.mdm.uploadarchive.raw/RTDC4004/ "%USERPROFILE%\AppData\Local\Temp\OnboardLogs"\RTDC4004\2017-04-30 --exclude "*" --recursive --include "*20170430*" &amp; "%USERPROFILE%\Documents\GitHub\mrs-test-scripts\Headless Mode &amp; Sideloading\WalkAndUnGZ.bat" "%USERPROFILE%\AppData\Local\Temp\OnboardLogs"\RTDC4004\2017-04-30</v>
      </c>
      <c r="S34" s="87" t="str">
        <f>VLOOKUP(C34,'Train Runs'!$A$13:$AE$9944,22,0)</f>
        <v>https://d0f6bd738d7f1b3e5a7ca70fe4ff75f0.us-east-1.aws.found.io/app/kibana#/discover/Steve-Slow-Train-Analysis-(2080s-and-2083s)?_g=(refreshInterval:(display:Off,pause:!f,section:0,value:0),time:(from:'2017-04-29T06:09:53-0600',mode:absolute,to:'2017-04-29T08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4" s="89" t="str">
        <f t="shared" si="1"/>
        <v>"C:\Program Files (x86)\AstroGrep\AstroGrep.exe" /e /r /s /spath="%USERPROFILE%\AppData\Local\Temp\OnboardLogs" /stypes="*4004*201704291*" /stext=" 13:.+((SYSTEM_STATE.+slice.+state.+changed )|(ment ac)|(multiple cpu faults)|(system.+state.+changed )|(\[timeout)|(PRM\|1\|D)|(kpr)|(kdp)|(train.+moving)|(\|lc)|(penalty))"</v>
      </c>
      <c r="U34" s="9" t="str">
        <f t="shared" si="2"/>
        <v>4004</v>
      </c>
      <c r="V34" s="31">
        <f t="shared" si="3"/>
        <v>42854.576412037037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{"issue":{"subject":"","project_id":79,"tracker_id":40,"status_id":1,"priority_id":2,"assigned_to_id":23,"start_date":"2017-04-29","description":"","custom_fields":[{"id":1,"name":"Subdivision","value":"EC"},{"id":4,"name":"Milepost","value":"23.3491"},{"id":17,"name":"Train ID","value":"129-29"},{"id":16,"name":"Locomotive ID","value":"4004"},{"id":130,"name":"Impact","value":""},{"id":150,"name":"Time of Event (Mountain Time)","value":"07:50:02"},{"id":151,"name":"Denver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-hSE -A400 "Enforcement Action" "%USERPROFILE%\AppData\Local\Temp\OnboardLogs"\RTDC4004\*4004*201704291*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"%USERPROFILE%\AppData\Local\Temp\OnboardLogs"\RTDC4004\*4004*201704291* &gt;&gt; 2017-04-29-SliceDisagreementCheck.txt</v>
      </c>
      <c r="AE34" s="148" t="str">
        <f t="shared" si="9"/>
        <v>start /low /b %USERPROFILE%\Documents\GitHub\eaglep3\Utilities\DownloadLogsFromS3.py --loco 4004 --day 2017-04-29</v>
      </c>
      <c r="AF34" s="1"/>
    </row>
    <row r="35" spans="1:32" x14ac:dyDescent="0.25">
      <c r="A35" s="31">
        <v>42854.588819444441</v>
      </c>
      <c r="B35" s="30" t="s">
        <v>433</v>
      </c>
      <c r="C35" s="30" t="s">
        <v>584</v>
      </c>
      <c r="D35" s="30" t="s">
        <v>49</v>
      </c>
      <c r="E35" s="30" t="s">
        <v>185</v>
      </c>
      <c r="F35" s="42">
        <v>0</v>
      </c>
      <c r="G35" s="42">
        <v>65</v>
      </c>
      <c r="H35" s="42">
        <v>233255</v>
      </c>
      <c r="I35" s="42">
        <v>233312</v>
      </c>
      <c r="J35" s="30" t="s">
        <v>186</v>
      </c>
      <c r="K35" s="42">
        <v>233491</v>
      </c>
      <c r="L35" s="134" t="s">
        <v>50</v>
      </c>
      <c r="M35" s="135">
        <f t="shared" si="0"/>
        <v>94.512</v>
      </c>
      <c r="N35" s="136" t="str">
        <f>VLOOKUP(C35,'Trips&amp;Operators'!$C$1:$G$99999,5,FALSE)</f>
        <v>BRANDNER MELINDA</v>
      </c>
      <c r="O35" s="207" t="s">
        <v>184</v>
      </c>
      <c r="P35" s="137"/>
      <c r="Q35" s="30"/>
      <c r="R35" s="84" t="str">
        <f>IF(VLOOKUP(C35,'Train Runs'!$A$13:$AE$9944,1,1)=C35,VLOOKUP(C35,'Train Runs'!$A$13:$AE$9944,31,1),NA())</f>
        <v>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 &amp; 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</v>
      </c>
      <c r="S35" s="87" t="str">
        <f>VLOOKUP(C35,'Train Runs'!$A$13:$AE$9944,22,0)</f>
        <v>https://d0f6bd738d7f1b3e5a7ca70fe4ff75f0.us-east-1.aws.found.io/app/kibana#/discover/Steve-Slow-Train-Analysis-(2080s-and-2083s)?_g=(refreshInterval:(display:Off,pause:!f,section:0,value:0),time:(from:'2017-04-29T12:25:46-0600',mode:absolute,to:'2017-04-29T15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5" s="89" t="str">
        <f t="shared" si="1"/>
        <v>"C:\Program Files (x86)\AstroGrep\AstroGrep.exe" /e /r /s /spath="%USERPROFILE%\AppData\Local\Temp\OnboardLogs" /stypes="*4008*201704292*" /stext=" 20:.+((SYSTEM_STATE.+slice.+state.+changed )|(ment ac)|(multiple cpu faults)|(system.+state.+changed )|(\[timeout)|(PRM\|1\|D)|(kpr)|(kdp)|(train.+moving)|(\|lc)|(penalty))"</v>
      </c>
      <c r="U35" s="9" t="str">
        <f t="shared" si="2"/>
        <v>4008</v>
      </c>
      <c r="V35" s="31">
        <f t="shared" si="3"/>
        <v>42854.838819444441</v>
      </c>
      <c r="W35" s="45" t="str">
        <f t="shared" si="4"/>
        <v>EC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{"issue":{"subject":"","project_id":79,"tracker_id":40,"status_id":1,"priority_id":2,"assigned_to_id":23,"start_date":"2017-04-29","description":"","custom_fields":[{"id":1,"name":"Subdivision","value":"EC"},{"id":4,"name":"Milepost","value":"23.3491"},{"id":17,"name":"Train ID","value":"179-29"},{"id":16,"name":"Locomotive ID","value":"4008"},{"id":130,"name":"Impact","value":""},{"id":150,"name":"Time of Event (Mountain Time)","value":"14:07:54"},{"id":151,"name":"Denver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-hSE -A400 "Enforcement Action" "%USERPROFILE%\AppData\Local\Temp\OnboardLogs"\RTDC4008\*4008*201704292*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"%USERPROFILE%\AppData\Local\Temp\OnboardLogs"\RTDC4008\*4008*201704292* &gt;&gt; 2017-04-29-SliceDisagreementCheck.txt</v>
      </c>
      <c r="AE35" s="148" t="str">
        <f t="shared" si="9"/>
        <v>start /low /b %USERPROFILE%\Documents\GitHub\eaglep3\Utilities\DownloadLogsFromS3.py --loco 4008 --day 2017-04-29</v>
      </c>
      <c r="AF35" s="1"/>
    </row>
    <row r="36" spans="1:32" x14ac:dyDescent="0.25">
      <c r="A36" s="31">
        <v>42854.857881944445</v>
      </c>
      <c r="B36" s="30" t="s">
        <v>461</v>
      </c>
      <c r="C36" s="30" t="s">
        <v>592</v>
      </c>
      <c r="D36" s="30" t="s">
        <v>49</v>
      </c>
      <c r="E36" s="30" t="s">
        <v>185</v>
      </c>
      <c r="F36" s="42">
        <v>0</v>
      </c>
      <c r="G36" s="42">
        <v>51</v>
      </c>
      <c r="H36" s="42">
        <v>233389</v>
      </c>
      <c r="I36" s="42">
        <v>233437</v>
      </c>
      <c r="J36" s="30" t="s">
        <v>186</v>
      </c>
      <c r="K36" s="42">
        <v>233491</v>
      </c>
      <c r="L36" s="134" t="s">
        <v>50</v>
      </c>
      <c r="M36" s="135">
        <f t="shared" si="0"/>
        <v>28.512</v>
      </c>
      <c r="N36" s="136" t="str">
        <f>VLOOKUP(C36,'Trips&amp;Operators'!$C$1:$G$99999,5,FALSE)</f>
        <v>STAMBAUGH JAMES</v>
      </c>
      <c r="O36" s="207" t="s">
        <v>184</v>
      </c>
      <c r="P36" s="137"/>
      <c r="Q36" s="30"/>
      <c r="R36" s="84" t="e">
        <f>IF(VLOOKUP(C36,'Train Runs'!$A$13:$AE$9944,1,1)=C36,VLOOKUP(C36,'Train Runs'!$A$13:$AE$9944,31,1),NA())</f>
        <v>#N/A</v>
      </c>
      <c r="S36" s="87" t="str">
        <f>VLOOKUP(C36,'Train Runs'!$A$13:$AE$9944,22,0)</f>
        <v>https://d0f6bd738d7f1b3e5a7ca70fe4ff75f0.us-east-1.aws.found.io/app/kibana#/discover/Steve-Slow-Train-Analysis-(2080s-and-2083s)?_g=(refreshInterval:(display:Off,pause:!f,section:0,value:0),time:(from:'2017-04-29T18:51:07-0600',mode:absolute,to:'2017-04-29T21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6" s="89" t="str">
        <f t="shared" si="1"/>
        <v>"C:\Program Files (x86)\AstroGrep\AstroGrep.exe" /e /r /s /spath="%USERPROFILE%\AppData\Local\Temp\OnboardLogs" /stypes="*4002*201704300*" /stext=" 02:.+((SYSTEM_STATE.+slice.+state.+changed )|(ment ac)|(multiple cpu faults)|(system.+state.+changed )|(\[timeout)|(PRM\|1\|D)|(kpr)|(kdp)|(train.+moving)|(\|lc)|(penalty))"</v>
      </c>
      <c r="U36" s="9" t="str">
        <f t="shared" si="2"/>
        <v>4002</v>
      </c>
      <c r="V36" s="31">
        <f t="shared" si="3"/>
        <v>42855.107881944445</v>
      </c>
      <c r="W36" s="45" t="str">
        <f t="shared" si="4"/>
        <v>EC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{"issue":{"subject":"","project_id":79,"tracker_id":40,"status_id":1,"priority_id":2,"assigned_to_id":23,"start_date":"2017-04-29","description":"","custom_fields":[{"id":1,"name":"Subdivision","value":"EC"},{"id":4,"name":"Milepost","value":"23.3491"},{"id":17,"name":"Train ID","value":"225-29"},{"id":16,"name":"Locomotive ID","value":"4002"},{"id":130,"name":"Impact","value":""},{"id":150,"name":"Time of Event (Mountain Time)","value":"20:35:21"},{"id":151,"name":"Denver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-hSE -A400 "Enforcement Action" "%USERPROFILE%\AppData\Local\Temp\OnboardLogs"\RTDC4002\*4002*201704300*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"%USERPROFILE%\AppData\Local\Temp\OnboardLogs"\RTDC4002\*4002*201704300* &gt;&gt; 2017-04-29-SliceDisagreementCheck.txt</v>
      </c>
      <c r="AE36" s="148" t="str">
        <f t="shared" si="9"/>
        <v>start /low /b %USERPROFILE%\Documents\GitHub\eaglep3\Utilities\DownloadLogsFromS3.py --loco 4002 --day 2017-04-30</v>
      </c>
      <c r="AF36" s="1"/>
    </row>
    <row r="37" spans="1:32" x14ac:dyDescent="0.25">
      <c r="A37" s="31">
        <v>42854.983564814815</v>
      </c>
      <c r="B37" s="30" t="s">
        <v>432</v>
      </c>
      <c r="C37" s="30" t="s">
        <v>597</v>
      </c>
      <c r="D37" s="30" t="s">
        <v>49</v>
      </c>
      <c r="E37" s="30" t="s">
        <v>185</v>
      </c>
      <c r="F37" s="42">
        <v>0</v>
      </c>
      <c r="G37" s="42">
        <v>82</v>
      </c>
      <c r="H37" s="42">
        <v>233191</v>
      </c>
      <c r="I37" s="42">
        <v>233291</v>
      </c>
      <c r="J37" s="30" t="s">
        <v>186</v>
      </c>
      <c r="K37" s="42">
        <v>233491</v>
      </c>
      <c r="L37" s="134" t="s">
        <v>50</v>
      </c>
      <c r="M37" s="135">
        <f t="shared" si="0"/>
        <v>105.6</v>
      </c>
      <c r="N37" s="136" t="str">
        <f>VLOOKUP(C37,'Trips&amp;Operators'!$C$1:$G$99999,5,FALSE)</f>
        <v>MAGEE KENYA</v>
      </c>
      <c r="O37" s="207" t="s">
        <v>184</v>
      </c>
      <c r="P37" s="137"/>
      <c r="Q37" s="30"/>
      <c r="R37" s="84" t="e">
        <f>IF(VLOOKUP(C37,'Train Runs'!$A$13:$AE$9944,1,1)=C37,VLOOKUP(C37,'Train Runs'!$A$13:$AE$9944,31,1),NA())</f>
        <v>#N/A</v>
      </c>
      <c r="S37" s="87" t="str">
        <f>VLOOKUP(C37,'Train Runs'!$A$13:$AE$9944,22,0)</f>
        <v>https://d0f6bd738d7f1b3e5a7ca70fe4ff75f0.us-east-1.aws.found.io/app/kibana#/discover/Steve-Slow-Train-Analysis-(2080s-and-2083s)?_g=(refreshInterval:(display:Off,pause:!f,section:0,value:0),time:(from:'2017-04-29T21:50:00-0600',mode:absolute,to:'2017-04-30T00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7" s="89" t="str">
        <f t="shared" si="1"/>
        <v>"C:\Program Files (x86)\AstroGrep\AstroGrep.exe" /e /r /s /spath="%USERPROFILE%\AppData\Local\Temp\OnboardLogs" /stypes="*4018*201704300*" /stext=" 05:.+((SYSTEM_STATE.+slice.+state.+changed )|(ment ac)|(multiple cpu faults)|(system.+state.+changed )|(\[timeout)|(PRM\|1\|D)|(kpr)|(kdp)|(train.+moving)|(\|lc)|(penalty))"</v>
      </c>
      <c r="U37" s="9" t="str">
        <f t="shared" si="2"/>
        <v>4018</v>
      </c>
      <c r="V37" s="31">
        <f t="shared" si="3"/>
        <v>42855.233564814815</v>
      </c>
      <c r="W37" s="45" t="str">
        <f t="shared" si="4"/>
        <v>EC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{"issue":{"subject":"","project_id":79,"tracker_id":40,"status_id":1,"priority_id":2,"assigned_to_id":23,"start_date":"2017-04-29","description":"","custom_fields":[{"id":1,"name":"Subdivision","value":"EC"},{"id":4,"name":"Milepost","value":"23.3491"},{"id":17,"name":"Train ID","value":"237-29"},{"id":16,"name":"Locomotive ID","value":"4018"},{"id":130,"name":"Impact","value":""},{"id":150,"name":"Time of Event (Mountain Time)","value":"23:36:20"},{"id":151,"name":"Denver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-hSE -A400 "Enforcement Action" "%USERPROFILE%\AppData\Local\Temp\OnboardLogs"\RTDC4018\*4018*201704300*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"%USERPROFILE%\AppData\Local\Temp\OnboardLogs"\RTDC4018\*4018*201704300* &gt;&gt; 2017-04-29-SliceDisagreementCheck.txt</v>
      </c>
      <c r="AE37" s="148" t="str">
        <f t="shared" si="9"/>
        <v>start /low /b %USERPROFILE%\Documents\GitHub\eaglep3\Utilities\DownloadLogsFromS3.py --loco 4018 --day 2017-04-30</v>
      </c>
      <c r="AF37" s="1"/>
    </row>
    <row r="38" spans="1:32" x14ac:dyDescent="0.25">
      <c r="A38" s="31">
        <v>42854.268877314818</v>
      </c>
      <c r="B38" s="30" t="s">
        <v>356</v>
      </c>
      <c r="C38" s="30" t="s">
        <v>559</v>
      </c>
      <c r="D38" s="30" t="s">
        <v>98</v>
      </c>
      <c r="E38" s="30" t="s">
        <v>210</v>
      </c>
      <c r="F38" s="42">
        <v>300</v>
      </c>
      <c r="G38" s="42">
        <v>352</v>
      </c>
      <c r="H38" s="42">
        <v>23877</v>
      </c>
      <c r="I38" s="42">
        <v>25121</v>
      </c>
      <c r="J38" s="30" t="s">
        <v>211</v>
      </c>
      <c r="K38" s="42">
        <v>21299</v>
      </c>
      <c r="L38" s="134" t="s">
        <v>50</v>
      </c>
      <c r="M38" s="135">
        <f t="shared" si="0"/>
        <v>-2018.0160000000001</v>
      </c>
      <c r="N38" s="136" t="str">
        <f>VLOOKUP(C38,'Trips&amp;Operators'!$C$1:$G$99999,5,FALSE)</f>
        <v>ARVIDSON DANIEL</v>
      </c>
      <c r="O38" s="207" t="s">
        <v>184</v>
      </c>
      <c r="P38" s="137"/>
      <c r="Q38" s="30"/>
      <c r="R38" s="84" t="e">
        <f>IF(VLOOKUP(C38,'Train Runs'!$A$13:$AE$9944,1,1)=C38,VLOOKUP(C38,'Train Runs'!$A$13:$AE$9944,31,1),NA())</f>
        <v>#N/A</v>
      </c>
      <c r="S38" s="87" t="str">
        <f>VLOOKUP(C38,'Train Runs'!$A$13:$AE$9944,22,0)</f>
        <v>https://d0f6bd738d7f1b3e5a7ca70fe4ff75f0.us-east-1.aws.found.io/app/kibana#/discover/Steve-Slow-Train-Analysis-(2080s-and-2083s)?_g=(refreshInterval:(display:Off,pause:!f,section:0,value:0),time:(from:'2017-04-29T05:18:42-0600',mode:absolute,to:'2017-04-29T07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8" s="89" t="str">
        <f t="shared" si="1"/>
        <v>"C:\Program Files (x86)\AstroGrep\AstroGrep.exe" /e /r /s /spath="%USERPROFILE%\AppData\Local\Temp\OnboardLogs" /stypes="*4046*201704291*" /stext=" 12:.+((SYSTEM_STATE.+slice.+state.+changed )|(ment ac)|(multiple cpu faults)|(system.+state.+changed )|(\[timeout)|(PRM\|1\|D)|(kpr)|(kdp)|(train.+moving)|(\|lc)|(penalty))"</v>
      </c>
      <c r="U38" s="9" t="str">
        <f t="shared" si="2"/>
        <v>4046</v>
      </c>
      <c r="V38" s="31">
        <f t="shared" si="3"/>
        <v>42854.518877314818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{"issue":{"subject":"","project_id":79,"tracker_id":40,"status_id":1,"priority_id":2,"assigned_to_id":23,"start_date":"2017-04-29","description":"","custom_fields":[{"id":1,"name":"Subdivision","value":"NW"},{"id":4,"name":"Milepost","value":"2.1299"},{"id":17,"name":"Train ID","value":"1801-29"},{"id":16,"name":"Locomotive ID","value":"4046"},{"id":130,"name":"Impact","value":""},{"id":150,"name":"Time of Event (Mountain Time)","value":"06:27:11"},{"id":151,"name":"Denver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-hSE -A400 "Enforcement Action" "%USERPROFILE%\AppData\Local\Temp\OnboardLogs"\RTDC4046\*4046*201704291*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"%USERPROFILE%\AppData\Local\Temp\OnboardLogs"\RTDC4046\*4046*201704291* &gt;&gt; 2017-04-29-SliceDisagreementCheck.txt</v>
      </c>
      <c r="AE38" s="148" t="str">
        <f t="shared" si="9"/>
        <v>start /low /b %USERPROFILE%\Documents\GitHub\eaglep3\Utilities\DownloadLogsFromS3.py --loco 4046 --day 2017-04-29</v>
      </c>
      <c r="AF38" s="1"/>
    </row>
    <row r="39" spans="1:32" x14ac:dyDescent="0.25">
      <c r="A39" s="31">
        <v>42854.408402777779</v>
      </c>
      <c r="B39" s="30" t="s">
        <v>387</v>
      </c>
      <c r="C39" s="30" t="s">
        <v>567</v>
      </c>
      <c r="D39" s="30" t="s">
        <v>98</v>
      </c>
      <c r="E39" s="30" t="s">
        <v>210</v>
      </c>
      <c r="F39" s="42">
        <v>600</v>
      </c>
      <c r="G39" s="42">
        <v>651</v>
      </c>
      <c r="H39" s="42">
        <v>31024</v>
      </c>
      <c r="I39" s="42">
        <v>28321</v>
      </c>
      <c r="J39" s="30" t="s">
        <v>211</v>
      </c>
      <c r="K39" s="42">
        <v>37577</v>
      </c>
      <c r="L39" s="134" t="s">
        <v>51</v>
      </c>
      <c r="M39" s="135">
        <f t="shared" si="0"/>
        <v>-4887.1679999999997</v>
      </c>
      <c r="N39" s="136" t="str">
        <f>VLOOKUP(C39,'Trips&amp;Operators'!$C$1:$G$99999,5,FALSE)</f>
        <v>ARVIDSON DANIEL</v>
      </c>
      <c r="O39" s="207" t="s">
        <v>184</v>
      </c>
      <c r="P39" s="137"/>
      <c r="Q39" s="30"/>
      <c r="R39" s="84" t="str">
        <f>IF(VLOOKUP(C39,'Train Runs'!$A$13:$AE$9944,1,1)=C39,VLOOKUP(C39,'Train Runs'!$A$13:$AE$9944,31,1),NA())</f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S39" s="87" t="str">
        <f>VLOOKUP(C39,'Train Runs'!$A$13:$AE$9944,22,0)</f>
        <v>https://d0f6bd738d7f1b3e5a7ca70fe4ff75f0.us-east-1.aws.found.io/app/kibana#/discover/Steve-Slow-Train-Analysis-(2080s-and-2083s)?_g=(refreshInterval:(display:Off,pause:!f,section:0,value:0),time:(from:'2017-04-29T08:36:43-0600',mode:absolute,to:'2017-04-29T10:58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9" s="89" t="str">
        <f t="shared" si="1"/>
        <v>"C:\Program Files (x86)\AstroGrep\AstroGrep.exe" /e /r /s /spath="%USERPROFILE%\AppData\Local\Temp\OnboardLogs" /stypes="*4045*201704291*" /stext=" 15:.+((SYSTEM_STATE.+slice.+state.+changed )|(ment ac)|(multiple cpu faults)|(system.+state.+changed )|(\[timeout)|(PRM\|1\|D)|(kpr)|(kdp)|(train.+moving)|(\|lc)|(penalty))"</v>
      </c>
      <c r="U39" s="9" t="str">
        <f t="shared" si="2"/>
        <v>4045</v>
      </c>
      <c r="V39" s="31">
        <f t="shared" si="3"/>
        <v>42854.658402777779</v>
      </c>
      <c r="W39" s="45" t="str">
        <f t="shared" si="4"/>
        <v>NW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{"issue":{"subject":"","project_id":79,"tracker_id":40,"status_id":1,"priority_id":2,"assigned_to_id":23,"start_date":"2017-04-29","description":"","custom_fields":[{"id":1,"name":"Subdivision","value":"NW"},{"id":4,"name":"Milepost","value":"3.7577"},{"id":17,"name":"Train ID","value":"1808-29"},{"id":16,"name":"Locomotive ID","value":"4045"},{"id":130,"name":"Impact","value":""},{"id":150,"name":"Time of Event (Mountain Time)","value":"09:48:06"},{"id":151,"name":"Denver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-hSE -A400 "Enforcement Action" "%USERPROFILE%\AppData\Local\Temp\OnboardLogs"\RTDC4045\*4045*201704291*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"%USERPROFILE%\AppData\Local\Temp\OnboardLogs"\RTDC4045\*4045*201704291* &gt;&gt; 2017-04-29-SliceDisagreementCheck.txt</v>
      </c>
      <c r="AE39" s="148" t="str">
        <f t="shared" si="9"/>
        <v>start /low /b %USERPROFILE%\Documents\GitHub\eaglep3\Utilities\DownloadLogsFromS3.py --loco 4045 --day 2017-04-29</v>
      </c>
      <c r="AF39" s="1"/>
    </row>
    <row r="40" spans="1:32" x14ac:dyDescent="0.25">
      <c r="A40" s="31">
        <v>42854.562881944446</v>
      </c>
      <c r="B40" s="30" t="s">
        <v>356</v>
      </c>
      <c r="C40" s="30" t="s">
        <v>581</v>
      </c>
      <c r="D40" s="30" t="s">
        <v>98</v>
      </c>
      <c r="E40" s="30" t="s">
        <v>210</v>
      </c>
      <c r="F40" s="42">
        <v>400</v>
      </c>
      <c r="G40" s="42">
        <v>453</v>
      </c>
      <c r="H40" s="42">
        <v>43851</v>
      </c>
      <c r="I40" s="42">
        <v>45427</v>
      </c>
      <c r="J40" s="30" t="s">
        <v>211</v>
      </c>
      <c r="K40" s="42">
        <v>41797</v>
      </c>
      <c r="L40" s="134" t="s">
        <v>50</v>
      </c>
      <c r="M40" s="135">
        <f t="shared" si="0"/>
        <v>-1916.64</v>
      </c>
      <c r="N40" s="136" t="str">
        <f>VLOOKUP(C40,'Trips&amp;Operators'!$C$1:$G$99999,5,FALSE)</f>
        <v>ARVIDSON DANIEL</v>
      </c>
      <c r="O40" s="207" t="s">
        <v>184</v>
      </c>
      <c r="P40" s="137"/>
      <c r="Q40" s="30"/>
      <c r="R40" s="84" t="str">
        <f>IF(VLOOKUP(C40,'Train Runs'!$A$13:$AE$9944,1,1)=C40,VLOOKUP(C40,'Train Runs'!$A$13:$AE$9944,31,1),NA())</f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S40" s="87" t="str">
        <f>VLOOKUP(C40,'Train Runs'!$A$13:$AE$9944,22,0)</f>
        <v>https://d0f6bd738d7f1b3e5a7ca70fe4ff75f0.us-east-1.aws.found.io/app/kibana#/discover/Steve-Slow-Train-Analysis-(2080s-and-2083s)?_g=(refreshInterval:(display:Off,pause:!f,section:0,value:0),time:(from:'2017-04-29T12:13:25-0600',mode:absolute,to:'2017-04-29T14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0" s="89" t="str">
        <f t="shared" si="1"/>
        <v>"C:\Program Files (x86)\AstroGrep\AstroGrep.exe" /e /r /s /spath="%USERPROFILE%\AppData\Local\Temp\OnboardLogs" /stypes="*4046*201704291*" /stext=" 19:.+((SYSTEM_STATE.+slice.+state.+changed )|(ment ac)|(multiple cpu faults)|(system.+state.+changed )|(\[timeout)|(PRM\|1\|D)|(kpr)|(kdp)|(train.+moving)|(\|lc)|(penalty))"</v>
      </c>
      <c r="U40" s="9" t="str">
        <f t="shared" si="2"/>
        <v>4046</v>
      </c>
      <c r="V40" s="31">
        <f t="shared" si="3"/>
        <v>42854.812881944446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{"issue":{"subject":"","project_id":79,"tracker_id":40,"status_id":1,"priority_id":2,"assigned_to_id":23,"start_date":"2017-04-29","description":"","custom_fields":[{"id":1,"name":"Subdivision","value":"NW"},{"id":4,"name":"Milepost","value":"4.1797"},{"id":17,"name":"Train ID","value":"1815-29"},{"id":16,"name":"Locomotive ID","value":"4046"},{"id":130,"name":"Impact","value":""},{"id":150,"name":"Time of Event (Mountain Time)","value":"13:30:33"},{"id":151,"name":"Denver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-hSE -A400 "Enforcement Action" "%USERPROFILE%\AppData\Local\Temp\OnboardLogs"\RTDC4046\*4046*201704291*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"%USERPROFILE%\AppData\Local\Temp\OnboardLogs"\RTDC4046\*4046*201704291* &gt;&gt; 2017-04-29-SliceDisagreementCheck.txt</v>
      </c>
      <c r="AE40" s="148" t="str">
        <f t="shared" si="9"/>
        <v>start /low /b %USERPROFILE%\Documents\GitHub\eaglep3\Utilities\DownloadLogsFromS3.py --loco 4046 --day 2017-04-29</v>
      </c>
      <c r="AF40" s="1"/>
    </row>
    <row r="41" spans="1:32" x14ac:dyDescent="0.25">
      <c r="A41" s="31">
        <v>42854.580243055556</v>
      </c>
      <c r="B41" s="30" t="s">
        <v>387</v>
      </c>
      <c r="C41" s="30" t="s">
        <v>583</v>
      </c>
      <c r="D41" s="30" t="s">
        <v>49</v>
      </c>
      <c r="E41" s="30" t="s">
        <v>185</v>
      </c>
      <c r="F41" s="42">
        <v>0</v>
      </c>
      <c r="G41" s="42">
        <v>64</v>
      </c>
      <c r="H41" s="42">
        <v>775</v>
      </c>
      <c r="I41" s="42">
        <v>705</v>
      </c>
      <c r="J41" s="30" t="s">
        <v>186</v>
      </c>
      <c r="K41" s="42">
        <v>575</v>
      </c>
      <c r="L41" s="134" t="s">
        <v>51</v>
      </c>
      <c r="M41" s="135">
        <f t="shared" si="0"/>
        <v>68.64</v>
      </c>
      <c r="N41" s="136" t="str">
        <f>VLOOKUP(C41,'Trips&amp;Operators'!$C$1:$G$99999,5,FALSE)</f>
        <v>ARVIDSON DANIEL</v>
      </c>
      <c r="O41" s="207" t="s">
        <v>184</v>
      </c>
      <c r="P41" s="137"/>
      <c r="Q41" s="30"/>
      <c r="R41" s="84" t="str">
        <f>IF(VLOOKUP(C41,'Train Runs'!$A$13:$AE$9944,1,1)=C41,VLOOKUP(C41,'Train Runs'!$A$13:$AE$9944,31,1),NA())</f>
        <v>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 &amp; 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</v>
      </c>
      <c r="S41" s="87" t="str">
        <f>VLOOKUP(C41,'Train Runs'!$A$13:$AE$9944,22,0)</f>
        <v>https://d0f6bd738d7f1b3e5a7ca70fe4ff75f0.us-east-1.aws.found.io/app/kibana#/discover/Steve-Slow-Train-Analysis-(2080s-and-2083s)?_g=(refreshInterval:(display:Off,pause:!f,section:0,value:0),time:(from:'2017-04-29T12:40:22-0600',mode:absolute,to:'2017-04-29T14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1" s="89" t="str">
        <f t="shared" si="1"/>
        <v>"C:\Program Files (x86)\AstroGrep\AstroGrep.exe" /e /r /s /spath="%USERPROFILE%\AppData\Local\Temp\OnboardLogs" /stypes="*4045*201704291*" /stext=" 19:.+((SYSTEM_STATE.+slice.+state.+changed )|(ment ac)|(multiple cpu faults)|(system.+state.+changed )|(\[timeout)|(PRM\|1\|D)|(kpr)|(kdp)|(train.+moving)|(\|lc)|(penalty))"</v>
      </c>
      <c r="U41" s="9" t="str">
        <f t="shared" si="2"/>
        <v>4045</v>
      </c>
      <c r="V41" s="31">
        <f t="shared" si="3"/>
        <v>42854.830243055556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{"issue":{"subject":"","project_id":79,"tracker_id":40,"status_id":1,"priority_id":2,"assigned_to_id":23,"start_date":"2017-04-29","description":"","custom_fields":[{"id":1,"name":"Subdivision","value":"NW"},{"id":4,"name":"Milepost","value":"0.0575"},{"id":17,"name":"Train ID","value":"1816-29"},{"id":16,"name":"Locomotive ID","value":"4045"},{"id":130,"name":"Impact","value":""},{"id":150,"name":"Time of Event (Mountain Time)","value":"13:55:33"},{"id":151,"name":"Denver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-hSE -A400 "Enforcement Action" "%USERPROFILE%\AppData\Local\Temp\OnboardLogs"\RTDC4045\*4045*201704291*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"%USERPROFILE%\AppData\Local\Temp\OnboardLogs"\RTDC4045\*4045*201704291* &gt;&gt; 2017-04-29-SliceDisagreementCheck.txt</v>
      </c>
      <c r="AE41" s="148" t="str">
        <f t="shared" si="9"/>
        <v>start /low /b %USERPROFILE%\Documents\GitHub\eaglep3\Utilities\DownloadLogsFromS3.py --loco 4045 --day 2017-04-29</v>
      </c>
      <c r="AF41" s="1"/>
    </row>
    <row r="42" spans="1:32" x14ac:dyDescent="0.25">
      <c r="A42" s="31">
        <v>42854.482465277775</v>
      </c>
      <c r="B42" s="30" t="s">
        <v>356</v>
      </c>
      <c r="C42" s="30" t="s">
        <v>576</v>
      </c>
      <c r="D42" s="30" t="s">
        <v>49</v>
      </c>
      <c r="E42" s="30" t="s">
        <v>185</v>
      </c>
      <c r="F42" s="42">
        <v>0</v>
      </c>
      <c r="G42" s="42">
        <v>44</v>
      </c>
      <c r="H42" s="42">
        <v>58935</v>
      </c>
      <c r="I42" s="42">
        <v>58975</v>
      </c>
      <c r="J42" s="30" t="s">
        <v>186</v>
      </c>
      <c r="K42" s="42">
        <v>59048</v>
      </c>
      <c r="L42" s="134" t="s">
        <v>50</v>
      </c>
      <c r="M42" s="135">
        <f t="shared" si="0"/>
        <v>38.543999999999997</v>
      </c>
      <c r="N42" s="136" t="str">
        <f>VLOOKUP(C42,'Trips&amp;Operators'!$C$1:$G$99999,5,FALSE)</f>
        <v>ARVIDSON DANIEL</v>
      </c>
      <c r="O42" s="207" t="s">
        <v>184</v>
      </c>
      <c r="P42" s="137"/>
      <c r="Q42" s="30"/>
      <c r="R42" s="84" t="str">
        <f>IF(VLOOKUP(C42,'Train Runs'!$A$13:$AE$9944,1,1)=C42,VLOOKUP(C42,'Train Runs'!$A$13:$AE$9944,31,1),NA())</f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S42" s="87" t="str">
        <f>VLOOKUP(C42,'Train Runs'!$A$13:$AE$9944,22,0)</f>
        <v>https://d0f6bd738d7f1b3e5a7ca70fe4ff75f0.us-east-1.aws.found.io/app/kibana#/discover/Steve-Slow-Train-Analysis-(2080s-and-2083s)?_g=(refreshInterval:(display:Off,pause:!f,section:0,value:0),time:(from:'2017-04-29T10:14:04-0600',mode:absolute,to:'2017-04-29T12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2" s="89" t="str">
        <f t="shared" si="1"/>
        <v>"C:\Program Files (x86)\AstroGrep\AstroGrep.exe" /e /r /s /spath="%USERPROFILE%\AppData\Local\Temp\OnboardLogs" /stypes="*4046*201704291*" /stext=" 17:.+((SYSTEM_STATE.+slice.+state.+changed )|(ment ac)|(multiple cpu faults)|(system.+state.+changed )|(\[timeout)|(PRM\|1\|D)|(kpr)|(kdp)|(train.+moving)|(\|lc)|(penalty))"</v>
      </c>
      <c r="U42" s="9" t="str">
        <f t="shared" si="2"/>
        <v>4046</v>
      </c>
      <c r="V42" s="31">
        <f t="shared" si="3"/>
        <v>42854.732465277775</v>
      </c>
      <c r="W42" s="45" t="str">
        <f t="shared" si="4"/>
        <v>NW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{"issue":{"subject":"","project_id":79,"tracker_id":40,"status_id":1,"priority_id":2,"assigned_to_id":23,"start_date":"2017-04-29","description":"","custom_fields":[{"id":1,"name":"Subdivision","value":"NW"},{"id":4,"name":"Milepost","value":"5.9048"},{"id":17,"name":"Train ID","value":"1811-29"},{"id":16,"name":"Locomotive ID","value":"4046"},{"id":130,"name":"Impact","value":""},{"id":150,"name":"Time of Event (Mountain Time)","value":"11:34:45"},{"id":151,"name":"Denver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-hSE -A400 "Enforcement Action" "%USERPROFILE%\AppData\Local\Temp\OnboardLogs"\RTDC4046\*4046*201704291*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"%USERPROFILE%\AppData\Local\Temp\OnboardLogs"\RTDC4046\*4046*201704291* &gt;&gt; 2017-04-29-SliceDisagreementCheck.txt</v>
      </c>
      <c r="AE42" s="148" t="str">
        <f t="shared" si="9"/>
        <v>start /low /b %USERPROFILE%\Documents\GitHub\eaglep3\Utilities\DownloadLogsFromS3.py --loco 4046 --day 2017-04-29</v>
      </c>
      <c r="AF42" s="1"/>
    </row>
    <row r="43" spans="1:32" x14ac:dyDescent="0.25">
      <c r="A43" s="31">
        <v>42854.941678240742</v>
      </c>
      <c r="B43" s="30" t="s">
        <v>356</v>
      </c>
      <c r="C43" s="30" t="s">
        <v>596</v>
      </c>
      <c r="D43" s="30" t="s">
        <v>49</v>
      </c>
      <c r="E43" s="30" t="s">
        <v>185</v>
      </c>
      <c r="F43" s="42">
        <v>0</v>
      </c>
      <c r="G43" s="42">
        <v>146</v>
      </c>
      <c r="H43" s="42">
        <v>58351</v>
      </c>
      <c r="I43" s="42">
        <v>58543</v>
      </c>
      <c r="J43" s="30" t="s">
        <v>186</v>
      </c>
      <c r="K43" s="42">
        <v>59058</v>
      </c>
      <c r="L43" s="134" t="s">
        <v>50</v>
      </c>
      <c r="M43" s="135">
        <f t="shared" si="0"/>
        <v>271.92</v>
      </c>
      <c r="N43" s="136" t="str">
        <f>VLOOKUP(C43,'Trips&amp;Operators'!$C$1:$G$99999,5,FALSE)</f>
        <v>HELVIE ADAM</v>
      </c>
      <c r="O43" s="207" t="s">
        <v>184</v>
      </c>
      <c r="P43" s="137"/>
      <c r="Q43" s="30"/>
      <c r="R43" s="84" t="str">
        <f>IF(VLOOKUP(C43,'Train Runs'!$A$13:$AE$9944,1,1)=C43,VLOOKUP(C43,'Train Runs'!$A$13:$AE$9944,31,1),NA())</f>
        <v>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 &amp; 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</v>
      </c>
      <c r="S43" s="87" t="str">
        <f>VLOOKUP(C43,'Train Runs'!$A$13:$AE$9944,22,0)</f>
        <v>https://d0f6bd738d7f1b3e5a7ca70fe4ff75f0.us-east-1.aws.found.io/app/kibana#/discover/Steve-Slow-Train-Analysis-(2080s-and-2083s)?_g=(refreshInterval:(display:Off,pause:!f,section:0,value:0),time:(from:'2017-04-29T21:21:27-0600',mode:absolute,to:'2017-04-29T23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3" s="89" t="str">
        <f t="shared" si="1"/>
        <v>"C:\Program Files (x86)\AstroGrep\AstroGrep.exe" /e /r /s /spath="%USERPROFILE%\AppData\Local\Temp\OnboardLogs" /stypes="*4046*201704300*" /stext=" 04:.+((SYSTEM_STATE.+slice.+state.+changed )|(ment ac)|(multiple cpu faults)|(system.+state.+changed )|(\[timeout)|(PRM\|1\|D)|(kpr)|(kdp)|(train.+moving)|(\|lc)|(penalty))"</v>
      </c>
      <c r="U43" s="9" t="str">
        <f t="shared" si="2"/>
        <v>4046</v>
      </c>
      <c r="V43" s="31">
        <f t="shared" si="3"/>
        <v>42855.191678240742</v>
      </c>
      <c r="W43" s="45" t="str">
        <f t="shared" si="4"/>
        <v>NW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{"issue":{"subject":"","project_id":79,"tracker_id":40,"status_id":1,"priority_id":2,"assigned_to_id":23,"start_date":"2017-04-29","description":"","custom_fields":[{"id":1,"name":"Subdivision","value":"NW"},{"id":4,"name":"Milepost","value":"5.9058"},{"id":17,"name":"Train ID","value":"1833-29"},{"id":16,"name":"Locomotive ID","value":"4046"},{"id":130,"name":"Impact","value":""},{"id":150,"name":"Time of Event (Mountain Time)","value":"22:36:01"},{"id":151,"name":"Denver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-hSE -A400 "Enforcement Action" "%USERPROFILE%\AppData\Local\Temp\OnboardLogs"\RTDC4046\*4046*201704300*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"%USERPROFILE%\AppData\Local\Temp\OnboardLogs"\RTDC4046\*4046*201704300* &gt;&gt; 2017-04-29-SliceDisagreementCheck.txt</v>
      </c>
      <c r="AE43" s="148" t="str">
        <f t="shared" si="9"/>
        <v>start /low /b %USERPROFILE%\Documents\GitHub\eaglep3\Utilities\DownloadLogsFromS3.py --loco 4046 --day 2017-04-30</v>
      </c>
      <c r="AF43" s="1"/>
    </row>
    <row r="44" spans="1:32" x14ac:dyDescent="0.25">
      <c r="A44" s="31">
        <v>42854.86891203704</v>
      </c>
      <c r="B44" s="30" t="s">
        <v>505</v>
      </c>
      <c r="C44" s="30" t="s">
        <v>593</v>
      </c>
      <c r="D44" s="30" t="s">
        <v>98</v>
      </c>
      <c r="E44" s="30" t="s">
        <v>421</v>
      </c>
      <c r="F44" s="42">
        <v>0</v>
      </c>
      <c r="G44" s="42">
        <v>95</v>
      </c>
      <c r="H44" s="42">
        <v>0</v>
      </c>
      <c r="I44" s="42">
        <v>0</v>
      </c>
      <c r="J44" s="30" t="s">
        <v>422</v>
      </c>
      <c r="K44" s="42">
        <v>0</v>
      </c>
      <c r="L44" s="134" t="s">
        <v>51</v>
      </c>
      <c r="M44" s="135">
        <f t="shared" si="0"/>
        <v>0</v>
      </c>
      <c r="N44" s="136" t="str">
        <f>VLOOKUP(C44,'Trips&amp;Operators'!$C$1:$G$99999,5,FALSE)</f>
        <v>HOLCOMB KAMDEN</v>
      </c>
      <c r="O44" s="207" t="s">
        <v>184</v>
      </c>
      <c r="P44" s="137"/>
      <c r="Q44" s="30"/>
      <c r="R44" s="84" t="str">
        <f>IF(VLOOKUP(C44,'Train Runs'!$A$13:$AE$9944,1,1)=C44,VLOOKUP(C44,'Train Runs'!$A$13:$AE$9944,31,1),NA())</f>
        <v>aws s3 cp s3://rtdc.mdm.uploadarchive.raw/RTDC4055/ "%USERPROFILE%\AppData\Local\Temp\OnboardLogs"\RTDC4055\2017-04-29 --exclude "*" --recursive --include "*20170429*" &amp; "%USERPROFILE%\Documents\GitHub\mrs-test-scripts\Headless Mode &amp; Sideloading\WalkAndUnGZ.bat" "%USERPROFILE%\AppData\Local\Temp\OnboardLogs"\RTDC4055\2017-04-29 &amp; aws s3 cp s3://rtdc.mdm.uploadarchive.raw/RTDC4055/ "%USERPROFILE%\AppData\Local\Temp\OnboardLogs"\RTDC4055\2017-04-30 --exclude "*" --recursive --include "*20170430*" &amp; "%USERPROFILE%\Documents\GitHub\mrs-test-scripts\Headless Mode &amp; Sideloading\WalkAndUnGZ.bat" "%USERPROFILE%\AppData\Local\Temp\OnboardLogs"\RTDC4055\2017-04-30</v>
      </c>
      <c r="S44" s="87" t="str">
        <f>VLOOKUP(C44,'Train Runs'!$A$13:$AE$9944,22,0)</f>
        <v>https://d0f6bd738d7f1b3e5a7ca70fe4ff75f0.us-east-1.aws.found.io/app/kibana#/discover/Steve-Slow-Train-Analysis-(2080s-and-2083s)?_g=(refreshInterval:(display:Off,pause:!f,section:0,value:0),time:(from:'2017-04-29T19:39:58-0600',mode:absolute,to:'2017-04-29T21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44" s="89" t="str">
        <f t="shared" si="1"/>
        <v>"C:\Program Files (x86)\AstroGrep\AstroGrep.exe" /e /r /s /spath="%USERPROFILE%\AppData\Local\Temp\OnboardLogs" /stypes="*4055*201704300*" /stext=" 02:.+((SYSTEM_STATE.+slice.+state.+changed )|(ment ac)|(multiple cpu faults)|(system.+state.+changed )|(\[timeout)|(PRM\|1\|D)|(kpr)|(kdp)|(train.+moving)|(\|lc)|(penalty))"</v>
      </c>
      <c r="U44" s="9" t="str">
        <f t="shared" si="2"/>
        <v>4055</v>
      </c>
      <c r="V44" s="31">
        <f t="shared" si="3"/>
        <v>42855.11891203704</v>
      </c>
      <c r="W44" s="45" t="str">
        <f t="shared" si="4"/>
        <v>Other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{"issue":{"subject":"","project_id":79,"tracker_id":40,"status_id":1,"priority_id":2,"assigned_to_id":23,"start_date":"2017-04-29","description":"","custom_fields":[{"id":1,"name":"Subdivision","value":"Other"},{"id":4,"name":"Milepost","value":"0"},{"id":17,"name":"Train ID","value":"88-29"},{"id":16,"name":"Locomotive ID","value":"4055"},{"id":130,"name":"Impact","value":""},{"id":150,"name":"Time of Event (Mountain Time)","value":"20:51:14"},{"id":151,"name":"Denver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-hSE -A400 "Enforcement Action" "%USERPROFILE%\AppData\Local\Temp\OnboardLogs"\RTDC4055\*4055*201704300*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"%USERPROFILE%\AppData\Local\Temp\OnboardLogs"\RTDC4055\*4055*201704300* &gt;&gt; 2017-04-29-SliceDisagreementCheck.txt</v>
      </c>
      <c r="AE44" s="148" t="str">
        <f t="shared" si="9"/>
        <v>start /low /b %USERPROFILE%\Documents\GitHub\eaglep3\Utilities\DownloadLogsFromS3.py --loco 4055 --day 2017-04-30</v>
      </c>
      <c r="AF44" s="1"/>
    </row>
    <row r="45" spans="1:32" x14ac:dyDescent="0.25">
      <c r="A45" s="31">
        <v>42854.885891203703</v>
      </c>
      <c r="B45" s="30" t="s">
        <v>594</v>
      </c>
      <c r="C45" s="30" t="s">
        <v>595</v>
      </c>
      <c r="D45" s="30" t="s">
        <v>98</v>
      </c>
      <c r="E45" s="30" t="s">
        <v>421</v>
      </c>
      <c r="F45" s="42">
        <v>0</v>
      </c>
      <c r="G45" s="42">
        <v>31</v>
      </c>
      <c r="H45" s="42">
        <v>1749</v>
      </c>
      <c r="I45" s="42">
        <v>1839</v>
      </c>
      <c r="J45" s="30" t="s">
        <v>422</v>
      </c>
      <c r="K45" s="42">
        <v>1725</v>
      </c>
      <c r="L45" s="134" t="s">
        <v>50</v>
      </c>
      <c r="M45" s="135">
        <f t="shared" si="0"/>
        <v>-60.192</v>
      </c>
      <c r="N45" s="136" t="str">
        <f>VLOOKUP(C45,'Trips&amp;Operators'!$C$1:$G$99999,5,FALSE)</f>
        <v>DUNCAN SHEILA</v>
      </c>
      <c r="O45" s="207" t="s">
        <v>184</v>
      </c>
      <c r="P45" s="137"/>
      <c r="Q45" s="30"/>
      <c r="R45" s="84" t="str">
        <f>IF(VLOOKUP(C45,'Train Runs'!$A$13:$AE$9944,1,1)=C45,VLOOKUP(C45,'Train Runs'!$A$13:$AE$9944,31,1),NA())</f>
        <v>aws s3 cp s3://rtdc.mdm.uploadarchive.raw/RTDC4060/ "%USERPROFILE%\AppData\Local\Temp\OnboardLogs"\RTDC4060\2017-04-29 --exclude "*" --recursive --include "*20170429*" &amp; "%USERPROFILE%\Documents\GitHub\mrs-test-scripts\Headless Mode &amp; Sideloading\WalkAndUnGZ.bat" "%USERPROFILE%\AppData\Local\Temp\OnboardLogs"\RTDC4060\2017-04-29 &amp; aws s3 cp s3://rtdc.mdm.uploadarchive.raw/RTDC4060/ "%USERPROFILE%\AppData\Local\Temp\OnboardLogs"\RTDC4060\2017-04-30 --exclude "*" --recursive --include "*20170430*" &amp; "%USERPROFILE%\Documents\GitHub\mrs-test-scripts\Headless Mode &amp; Sideloading\WalkAndUnGZ.bat" "%USERPROFILE%\AppData\Local\Temp\OnboardLogs"\RTDC4060\2017-04-30</v>
      </c>
      <c r="S45" s="87" t="str">
        <f>VLOOKUP(C45,'Train Runs'!$A$13:$AE$9944,22,0)</f>
        <v>https://d0f6bd738d7f1b3e5a7ca70fe4ff75f0.us-east-1.aws.found.io/app/kibana#/discover/Steve-Slow-Train-Analysis-(2080s-and-2083s)?_g=(refreshInterval:(display:Off,pause:!f,section:0,value:0),time:(from:'2017-04-29T19:53:13-0600',mode:absolute,to:'2017-04-29T23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45" s="89" t="str">
        <f t="shared" si="1"/>
        <v>"C:\Program Files (x86)\AstroGrep\AstroGrep.exe" /e /r /s /spath="%USERPROFILE%\AppData\Local\Temp\OnboardLogs" /stypes="*4060*201704300*" /stext=" 03:.+((SYSTEM_STATE.+slice.+state.+changed )|(ment ac)|(multiple cpu faults)|(system.+state.+changed )|(\[timeout)|(PRM\|1\|D)|(kpr)|(kdp)|(train.+moving)|(\|lc)|(penalty))"</v>
      </c>
      <c r="U45" s="9" t="str">
        <f t="shared" si="2"/>
        <v>4060</v>
      </c>
      <c r="V45" s="31">
        <f t="shared" si="3"/>
        <v>42855.135891203703</v>
      </c>
      <c r="W45" s="45" t="str">
        <f t="shared" si="4"/>
        <v>Other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{"issue":{"subject":"","project_id":79,"tracker_id":40,"status_id":1,"priority_id":2,"assigned_to_id":23,"start_date":"2017-04-29","description":"","custom_fields":[{"id":1,"name":"Subdivision","value":"Other"},{"id":4,"name":"Milepost","value":"0.1725"},{"id":17,"name":"Train ID","value":"81-29"},{"id":16,"name":"Locomotive ID","value":"4060"},{"id":130,"name":"Impact","value":""},{"id":150,"name":"Time of Event (Mountain Time)","value":"21:15:41"},{"id":151,"name":"Denver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-hSE -A400 "Enforcement Action" "%USERPROFILE%\AppData\Local\Temp\OnboardLogs"\RTDC4060\*4060*201704300*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"%USERPROFILE%\AppData\Local\Temp\OnboardLogs"\RTDC4060\*4060*201704300* &gt;&gt; 2017-04-29-SliceDisagreementCheck.txt</v>
      </c>
      <c r="AE45" s="148" t="str">
        <f t="shared" si="9"/>
        <v>start /low /b %USERPROFILE%\Documents\GitHub\eaglep3\Utilities\DownloadLogsFromS3.py --loco 4060 --day 2017-04-30</v>
      </c>
      <c r="AF45" s="1"/>
    </row>
    <row r="46" spans="1:32" x14ac:dyDescent="0.25">
      <c r="A46" s="31">
        <v>42855.023460648146</v>
      </c>
      <c r="B46" s="30" t="s">
        <v>503</v>
      </c>
      <c r="C46" s="30" t="s">
        <v>598</v>
      </c>
      <c r="D46" s="30" t="s">
        <v>49</v>
      </c>
      <c r="E46" s="30" t="s">
        <v>569</v>
      </c>
      <c r="F46" s="42">
        <v>0</v>
      </c>
      <c r="G46" s="42">
        <v>399</v>
      </c>
      <c r="H46" s="42">
        <v>59422</v>
      </c>
      <c r="I46" s="42">
        <v>58164</v>
      </c>
      <c r="J46" s="30" t="s">
        <v>570</v>
      </c>
      <c r="K46" s="42">
        <v>57801</v>
      </c>
      <c r="L46" s="134" t="s">
        <v>51</v>
      </c>
      <c r="M46" s="135">
        <f t="shared" si="0"/>
        <v>191.66399999999999</v>
      </c>
      <c r="N46" s="136" t="str">
        <f>VLOOKUP(C46,'Trips&amp;Operators'!$C$1:$G$99999,5,FALSE)</f>
        <v>DUNCAN SHEILA</v>
      </c>
      <c r="O46" s="207" t="s">
        <v>184</v>
      </c>
      <c r="P46" s="137"/>
      <c r="Q46" s="30"/>
      <c r="R46" s="84" t="str">
        <f>IF(VLOOKUP(C46,'Train Runs'!$A$13:$AE$9944,1,1)=C46,VLOOKUP(C46,'Train Runs'!$A$13:$AE$9944,31,1),NA())</f>
        <v>aws s3 cp s3://rtdc.mdm.uploadarchive.raw/RTDC4061/ "%USERPROFILE%\AppData\Local\Temp\OnboardLogs"\RTDC4061\2017-04-29 --exclude "*" --recursive --include "*20170429*" &amp; "%USERPROFILE%\Documents\GitHub\mrs-test-scripts\Headless Mode &amp; Sideloading\WalkAndUnGZ.bat" "%USERPROFILE%\AppData\Local\Temp\OnboardLogs"\RTDC4061\2017-04-29 &amp; aws s3 cp s3://rtdc.mdm.uploadarchive.raw/RTDC4061/ "%USERPROFILE%\AppData\Local\Temp\OnboardLogs"\RTDC4061\2017-04-30 --exclude "*" --recursive --include "*20170430*" &amp; "%USERPROFILE%\Documents\GitHub\mrs-test-scripts\Headless Mode &amp; Sideloading\WalkAndUnGZ.bat" "%USERPROFILE%\AppData\Local\Temp\OnboardLogs"\RTDC4061\2017-04-30</v>
      </c>
      <c r="S46" s="87" t="str">
        <f>VLOOKUP(C46,'Train Runs'!$A$13:$AE$9944,22,0)</f>
        <v>https://d0f6bd738d7f1b3e5a7ca70fe4ff75f0.us-east-1.aws.found.io/app/kibana#/discover/Steve-Slow-Train-Analysis-(2080s-and-2083s)?_g=(refreshInterval:(display:Off,pause:!f,section:0,value:0),time:(from:'2017-04-29T22:52:08-0600',mode:absolute,to:'2017-04-30T01:57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6" s="89" t="str">
        <f t="shared" si="1"/>
        <v>"C:\Program Files (x86)\AstroGrep\AstroGrep.exe" /e /r /s /spath="%USERPROFILE%\AppData\Local\Temp\OnboardLogs" /stypes="*4061*201704300*" /stext=" 06:.+((SYSTEM_STATE.+slice.+state.+changed )|(ment ac)|(multiple cpu faults)|(system.+state.+changed )|(\[timeout)|(PRM\|1\|D)|(kpr)|(kdp)|(train.+moving)|(\|lc)|(penalty))"</v>
      </c>
      <c r="U46" s="9" t="str">
        <f t="shared" si="2"/>
        <v>4061</v>
      </c>
      <c r="V46" s="31">
        <f t="shared" si="3"/>
        <v>42855.273460648146</v>
      </c>
      <c r="W46" s="45" t="str">
        <f t="shared" si="4"/>
        <v>Other</v>
      </c>
      <c r="X46" s="45" t="str">
        <f t="shared" si="5"/>
        <v>KEEP</v>
      </c>
      <c r="Y46" s="99" t="str">
        <f t="shared" si="6"/>
        <v>echo {"issue":{"subject":"","project_id":79,"tracker_id":40,"status_id":1,"priority_id":2,"assigned_to_id":23,"start_date":"2017-04-30","description":"","custom_fields":[{"id":1,"name":"Subdivision","value":"Other"},{"id":4,"name":"Milepost","value":"5.7801"},{"id":17,"name":"Train ID","value":"80-29"},{"id":16,"name":"Locomotive ID","value":"4061"},{"id":130,"name":"Impact","value":""},{"id":150,"name":"Time of Event (Mountain Time)","value":"00:33:47"},{"id":151,"name":"Denver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7"/>
        <v>grep -hSE -A400 "Enforcement Action" "%USERPROFILE%\AppData\Local\Temp\OnboardLogs"\RTDC4061\*4061*201704300*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"%USERPROFILE%\AppData\Local\Temp\OnboardLogs"\RTDC4061\*4061*201704300* &gt;&gt; 2017-04-29-SliceDisagreementCheck.txt</v>
      </c>
      <c r="AE46" s="148" t="str">
        <f t="shared" si="9"/>
        <v>start /low /b %USERPROFILE%\Documents\GitHub\eaglep3\Utilities\DownloadLogsFromS3.py --loco 4061 --day 2017-04-30</v>
      </c>
      <c r="AF46" s="1"/>
    </row>
    <row r="47" spans="1:32" x14ac:dyDescent="0.25">
      <c r="A47" s="31">
        <v>42854.469953703701</v>
      </c>
      <c r="B47" s="30" t="s">
        <v>505</v>
      </c>
      <c r="C47" s="30" t="s">
        <v>575</v>
      </c>
      <c r="D47" s="30" t="s">
        <v>49</v>
      </c>
      <c r="E47" s="30" t="s">
        <v>185</v>
      </c>
      <c r="F47" s="42">
        <v>0</v>
      </c>
      <c r="G47" s="42">
        <v>35</v>
      </c>
      <c r="H47" s="42">
        <v>910</v>
      </c>
      <c r="I47" s="42">
        <v>885</v>
      </c>
      <c r="J47" s="30" t="s">
        <v>186</v>
      </c>
      <c r="K47" s="42">
        <v>826</v>
      </c>
      <c r="L47" s="134" t="s">
        <v>51</v>
      </c>
      <c r="M47" s="135">
        <f t="shared" si="0"/>
        <v>31.152000000000001</v>
      </c>
      <c r="N47" s="136" t="str">
        <f>VLOOKUP(C47,'Trips&amp;Operators'!$C$1:$G$99999,5,FALSE)</f>
        <v>BRUDER RICHARD</v>
      </c>
      <c r="O47" s="207" t="s">
        <v>184</v>
      </c>
      <c r="P47" s="137"/>
      <c r="Q47" s="30"/>
      <c r="R47" s="84" t="str">
        <f>IF(VLOOKUP(C47,'Train Runs'!$A$13:$AE$9944,1,1)=C47,VLOOKUP(C47,'Train Runs'!$A$13:$AE$9944,31,1),NA())</f>
        <v>aws s3 cp s3://rtdc.mdm.uploadarchive.raw/RTDC4055/ "%USERPROFILE%\AppData\Local\Temp\OnboardLogs"\RTDC4055\2017-04-29 --exclude "*" --recursive --include "*20170429*" &amp; "%USERPROFILE%\Documents\GitHub\mrs-test-scripts\Headless Mode &amp; Sideloading\WalkAndUnGZ.bat" "%USERPROFILE%\AppData\Local\Temp\OnboardLogs"\RTDC4055\2017-04-29 &amp; aws s3 cp s3://rtdc.mdm.uploadarchive.raw/RTDC4055/ "%USERPROFILE%\AppData\Local\Temp\OnboardLogs"\RTDC4055\2017-04-30 --exclude "*" --recursive --include "*20170430*" &amp; "%USERPROFILE%\Documents\GitHub\mrs-test-scripts\Headless Mode &amp; Sideloading\WalkAndUnGZ.bat" "%USERPROFILE%\AppData\Local\Temp\OnboardLogs"\RTDC4055\2017-04-30</v>
      </c>
      <c r="S47" s="87" t="str">
        <f>VLOOKUP(C47,'Train Runs'!$A$13:$AE$9944,22,0)</f>
        <v>https://d0f6bd738d7f1b3e5a7ca70fe4ff75f0.us-east-1.aws.found.io/app/kibana#/discover/Steve-Slow-Train-Analysis-(2080s-and-2083s)?_g=(refreshInterval:(display:Off,pause:!f,section:0,value:0),time:(from:'2017-04-29T09:56:08-0600',mode:absolute,to:'2017-04-29T12:16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47" s="89" t="str">
        <f t="shared" si="1"/>
        <v>"C:\Program Files (x86)\AstroGrep\AstroGrep.exe" /e /r /s /spath="%USERPROFILE%\AppData\Local\Temp\OnboardLogs" /stypes="*4055*201704291*" /stext=" 17:.+((SYSTEM_STATE.+slice.+state.+changed )|(ment ac)|(multiple cpu faults)|(system.+state.+changed )|(\[timeout)|(PRM\|1\|D)|(kpr)|(kdp)|(train.+moving)|(\|lc)|(penalty))"</v>
      </c>
      <c r="U47" s="9" t="str">
        <f t="shared" si="2"/>
        <v>4055</v>
      </c>
      <c r="V47" s="31">
        <f t="shared" si="3"/>
        <v>42854.719953703701</v>
      </c>
      <c r="W47" s="45" t="str">
        <f t="shared" si="4"/>
        <v>Other</v>
      </c>
      <c r="X47" s="45" t="str">
        <f t="shared" si="5"/>
        <v>KEEP</v>
      </c>
      <c r="Y47" s="99" t="str">
        <f t="shared" si="6"/>
        <v>echo {"issue":{"subject":"","project_id":79,"tracker_id":40,"status_id":1,"priority_id":2,"assigned_to_id":23,"start_date":"2017-04-29","description":"","custom_fields":[{"id":1,"name":"Subdivision","value":"Other"},{"id":4,"name":"Milepost","value":"0.0826"},{"id":17,"name":"Train ID","value":"53-29"},{"id":16,"name":"Locomotive ID","value":"4055"},{"id":130,"name":"Impact","value":""},{"id":150,"name":"Time of Event (Mountain Time)","value":"11:16:44"},{"id":151,"name":"Denver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7"/>
        <v>grep -hSE -A400 "Enforcement Action" "%USERPROFILE%\AppData\Local\Temp\OnboardLogs"\RTDC4055\*4055*201704291*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"%USERPROFILE%\AppData\Local\Temp\OnboardLogs"\RTDC4055\*4055*201704291* &gt;&gt; 2017-04-29-SliceDisagreementCheck.txt</v>
      </c>
      <c r="AE47" s="148" t="str">
        <f t="shared" si="9"/>
        <v>start /low /b %USERPROFILE%\Documents\GitHub\eaglep3\Utilities\DownloadLogsFromS3.py --loco 4055 --day 2017-04-29</v>
      </c>
      <c r="AF47" s="1"/>
    </row>
    <row r="48" spans="1:32" x14ac:dyDescent="0.25">
      <c r="A48" s="31">
        <v>42854.160046296296</v>
      </c>
      <c r="B48" s="30" t="s">
        <v>506</v>
      </c>
      <c r="C48" s="30" t="s">
        <v>557</v>
      </c>
      <c r="D48" s="30" t="s">
        <v>49</v>
      </c>
      <c r="E48" s="30" t="s">
        <v>185</v>
      </c>
      <c r="F48" s="42">
        <v>0</v>
      </c>
      <c r="G48" s="42">
        <v>20</v>
      </c>
      <c r="H48" s="42">
        <v>58984</v>
      </c>
      <c r="I48" s="42">
        <v>58992</v>
      </c>
      <c r="J48" s="30" t="s">
        <v>186</v>
      </c>
      <c r="K48" s="42">
        <v>59058</v>
      </c>
      <c r="L48" s="134" t="s">
        <v>50</v>
      </c>
      <c r="M48" s="135">
        <f t="shared" si="0"/>
        <v>34.847999999999999</v>
      </c>
      <c r="N48" s="136" t="str">
        <f>VLOOKUP(C48,'Trips&amp;Operators'!$C$1:$G$99999,5,FALSE)</f>
        <v>BEAM ROSS</v>
      </c>
      <c r="O48" s="207" t="s">
        <v>184</v>
      </c>
      <c r="P48" s="137"/>
      <c r="Q48" s="30"/>
      <c r="R48" s="84" t="str">
        <f>IF(VLOOKUP(C48,'Train Runs'!$A$13:$AE$9944,1,1)=C48,VLOOKUP(C48,'Train Runs'!$A$13:$AE$9944,31,1),NA())</f>
        <v>aws s3 cp s3://rtdc.mdm.uploadarchive.raw/RTDC4056/ "%USERPROFILE%\AppData\Local\Temp\OnboardLogs"\RTDC4056\2017-04-29 --exclude "*" --recursive --include "*20170429*" &amp; "%USERPROFILE%\Documents\GitHub\mrs-test-scripts\Headless Mode &amp; Sideloading\WalkAndUnGZ.bat" "%USERPROFILE%\AppData\Local\Temp\OnboardLogs"\RTDC4056\2017-04-29 &amp; aws s3 cp s3://rtdc.mdm.uploadarchive.raw/RTDC4056/ "%USERPROFILE%\AppData\Local\Temp\OnboardLogs"\RTDC4056\2017-04-30 --exclude "*" --recursive --include "*20170430*" &amp; "%USERPROFILE%\Documents\GitHub\mrs-test-scripts\Headless Mode &amp; Sideloading\WalkAndUnGZ.bat" "%USERPROFILE%\AppData\Local\Temp\OnboardLogs"\RTDC4056\2017-04-30</v>
      </c>
      <c r="S48" s="87" t="str">
        <f>VLOOKUP(C48,'Train Runs'!$A$13:$AE$9944,22,0)</f>
        <v>https://d0f6bd738d7f1b3e5a7ca70fe4ff75f0.us-east-1.aws.found.io/app/kibana#/discover/Steve-Slow-Train-Analysis-(2080s-and-2083s)?_g=(refreshInterval:(display:Off,pause:!f,section:0,value:0),time:(from:'2017-04-29T02:36:32-0600',mode:absolute,to:'2017-04-29T05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48" s="89" t="str">
        <f t="shared" si="1"/>
        <v>"C:\Program Files (x86)\AstroGrep\AstroGrep.exe" /e /r /s /spath="%USERPROFILE%\AppData\Local\Temp\OnboardLogs" /stypes="*4056*201704290*" /stext=" 09:.+((SYSTEM_STATE.+slice.+state.+changed )|(ment ac)|(multiple cpu faults)|(system.+state.+changed )|(\[timeout)|(PRM\|1\|D)|(kpr)|(kdp)|(train.+moving)|(\|lc)|(penalty))"</v>
      </c>
      <c r="U48" s="9" t="str">
        <f t="shared" si="2"/>
        <v>4056</v>
      </c>
      <c r="V48" s="31">
        <f t="shared" si="3"/>
        <v>42854.410046296296</v>
      </c>
      <c r="W48" s="45" t="str">
        <f t="shared" si="4"/>
        <v>Other</v>
      </c>
      <c r="X48" s="45" t="str">
        <f t="shared" si="5"/>
        <v>KEEP</v>
      </c>
      <c r="Y48" s="99" t="str">
        <f t="shared" si="6"/>
        <v>echo {"issue":{"subject":"","project_id":79,"tracker_id":40,"status_id":1,"priority_id":2,"assigned_to_id":23,"start_date":"2017-04-29","description":"","custom_fields":[{"id":1,"name":"Subdivision","value":"Other"},{"id":4,"name":"Milepost","value":"5.9058"},{"id":17,"name":"Train ID","value":"4056-29"},{"id":16,"name":"Locomotive ID","value":"4056"},{"id":130,"name":"Impact","value":""},{"id":150,"name":"Time of Event (Mountain Time)","value":"03:50:28"},{"id":151,"name":"Denver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7"/>
        <v>grep -hSE -A400 "Enforcement Action" "%USERPROFILE%\AppData\Local\Temp\OnboardLogs"\RTDC4056\*4056*201704290*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"%USERPROFILE%\AppData\Local\Temp\OnboardLogs"\RTDC4056\*4056*201704290* &gt;&gt; 2017-04-29-SliceDisagreementCheck.txt</v>
      </c>
      <c r="AE48" s="148" t="str">
        <f t="shared" si="9"/>
        <v>start /low /b %USERPROFILE%\Documents\GitHub\eaglep3\Utilities\DownloadLogsFromS3.py --loco 4056 --day 2017-04-29</v>
      </c>
      <c r="AF48" s="1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</sheetData>
  <autoFilter ref="A6:AC65">
    <sortState ref="A7:AC66">
      <sortCondition ref="W7:W49"/>
      <sortCondition ref="E7:E49"/>
      <sortCondition ref="K7:K49"/>
      <sortCondition ref="F7:F49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6:O1048576 O7:O4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8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AA7:AA48</xm:sqref>
        </x14:dataValidation>
        <x14:dataValidation type="list" allowBlank="1" showInputMessage="1" showErrorMessage="1">
          <x14:formula1>
            <xm:f>'Redmine List Values'!$C$2:$C$15</xm:f>
          </x14:formula1>
          <xm:sqref>AB7:AB48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3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2017-04-29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-29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" s="30" t="e">
        <f>VLOOKUP(B3,'Train Runs'!$A$13:$A$99941,1,FALSE)</f>
        <v>#N/A</v>
      </c>
    </row>
    <row r="4" spans="1:10" x14ac:dyDescent="0.25">
      <c r="A4" s="190"/>
      <c r="B4" s="42" t="str">
        <f>A4&amp;"-"&amp;IF(DAY(Variables!$A$2)&lt;10,0,"")&amp;DAY(Variables!$A$2)</f>
        <v>-29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" s="30" t="e">
        <f>VLOOKUP(B4,'Train Runs'!$A$13:$A$99941,1,FALSE)</f>
        <v>#N/A</v>
      </c>
    </row>
    <row r="5" spans="1:10" x14ac:dyDescent="0.25">
      <c r="A5" s="190"/>
      <c r="B5" s="42" t="str">
        <f>A5&amp;"-"&amp;IF(DAY(Variables!$A$2)&lt;10,0,"")&amp;DAY(Variables!$A$2)</f>
        <v>-29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" s="30" t="e">
        <f>VLOOKUP(B5,'Train Runs'!$A$13:$A$99941,1,FALSE)</f>
        <v>#N/A</v>
      </c>
    </row>
    <row r="6" spans="1:10" x14ac:dyDescent="0.25">
      <c r="A6" s="190"/>
      <c r="B6" s="42" t="str">
        <f>A6&amp;"-"&amp;IF(DAY(Variables!$A$2)&lt;10,0,"")&amp;DAY(Variables!$A$2)</f>
        <v>-29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" s="30" t="e">
        <f>VLOOKUP(B6,'Train Runs'!$A$13:$A$99941,1,FALSE)</f>
        <v>#N/A</v>
      </c>
    </row>
    <row r="7" spans="1:10" x14ac:dyDescent="0.25">
      <c r="A7" s="190"/>
      <c r="B7" s="42" t="str">
        <f>A7&amp;"-"&amp;IF(DAY(Variables!$A$2)&lt;10,0,"")&amp;DAY(Variables!$A$2)</f>
        <v>-29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" s="30" t="e">
        <f>VLOOKUP(B7,'Train Runs'!$A$13:$A$99941,1,FALSE)</f>
        <v>#N/A</v>
      </c>
    </row>
    <row r="8" spans="1:10" x14ac:dyDescent="0.25">
      <c r="A8" s="190"/>
      <c r="B8" s="42" t="str">
        <f>A8&amp;"-"&amp;IF(DAY(Variables!$A$2)&lt;10,0,"")&amp;DAY(Variables!$A$2)</f>
        <v>-29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" s="30" t="e">
        <f>VLOOKUP(B8,'Train Runs'!$A$13:$A$99941,1,FALSE)</f>
        <v>#N/A</v>
      </c>
    </row>
    <row r="9" spans="1:10" x14ac:dyDescent="0.25">
      <c r="A9" s="190"/>
      <c r="B9" s="42" t="str">
        <f>A9&amp;"-"&amp;IF(DAY(Variables!$A$2)&lt;10,0,"")&amp;DAY(Variables!$A$2)</f>
        <v>-29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" s="30" t="e">
        <f>VLOOKUP(B9,'Train Runs'!$A$13:$A$99941,1,FALSE)</f>
        <v>#N/A</v>
      </c>
    </row>
    <row r="10" spans="1:10" x14ac:dyDescent="0.25">
      <c r="A10" s="190"/>
      <c r="B10" s="42" t="str">
        <f>A10&amp;"-"&amp;IF(DAY(Variables!$A$2)&lt;10,0,"")&amp;DAY(Variables!$A$2)</f>
        <v>-29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" s="30" t="e">
        <f>VLOOKUP(B10,'Train Runs'!$A$13:$A$99941,1,FALSE)</f>
        <v>#N/A</v>
      </c>
    </row>
    <row r="11" spans="1:10" x14ac:dyDescent="0.25">
      <c r="A11" s="190"/>
      <c r="B11" s="42" t="str">
        <f>A11&amp;"-"&amp;IF(DAY(Variables!$A$2)&lt;10,0,"")&amp;DAY(Variables!$A$2)</f>
        <v>-29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" s="30" t="e">
        <f>VLOOKUP(B11,'Train Runs'!$A$13:$A$99941,1,FALSE)</f>
        <v>#N/A</v>
      </c>
    </row>
    <row r="12" spans="1:10" x14ac:dyDescent="0.25">
      <c r="A12" s="190"/>
      <c r="B12" s="42" t="str">
        <f>A12&amp;"-"&amp;IF(DAY(Variables!$A$2)&lt;10,0,"")&amp;DAY(Variables!$A$2)</f>
        <v>-29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" s="30" t="e">
        <f>VLOOKUP(B12,'Train Runs'!$A$13:$A$99941,1,FALSE)</f>
        <v>#N/A</v>
      </c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 t="str">
        <f>A74&amp;"-"&amp;IF(DAY(Variables!$A$2)&lt;10,0,"")&amp;DAY(Variables!$A$2)</f>
        <v>-29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ref="I74:I8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4" s="30" t="e">
        <f>VLOOKUP(B74,'Train Runs'!$A$13:$A$99941,1,FALSE)</f>
        <v>#N/A</v>
      </c>
    </row>
    <row r="75" spans="1:10" x14ac:dyDescent="0.25">
      <c r="A75" s="190"/>
      <c r="B75" s="42" t="str">
        <f>A75&amp;"-"&amp;IF(DAY(Variables!$A$2)&lt;10,0,"")&amp;DAY(Variables!$A$2)</f>
        <v>-29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5" s="30" t="e">
        <f>VLOOKUP(B75,'Train Runs'!$A$13:$A$99941,1,FALSE)</f>
        <v>#N/A</v>
      </c>
    </row>
    <row r="76" spans="1:10" x14ac:dyDescent="0.25">
      <c r="A76" s="190"/>
      <c r="B76" s="42" t="str">
        <f>A76&amp;"-"&amp;IF(DAY(Variables!$A$2)&lt;10,0,"")&amp;DAY(Variables!$A$2)</f>
        <v>-29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6" s="30" t="e">
        <f>VLOOKUP(B76,'Train Runs'!$A$13:$A$99941,1,FALSE)</f>
        <v>#N/A</v>
      </c>
    </row>
    <row r="77" spans="1:10" x14ac:dyDescent="0.25">
      <c r="A77" s="190"/>
      <c r="B77" s="42" t="str">
        <f>A77&amp;"-"&amp;IF(DAY(Variables!$A$2)&lt;10,0,"")&amp;DAY(Variables!$A$2)</f>
        <v>-29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7" s="30" t="e">
        <f>VLOOKUP(B77,'Train Runs'!$A$13:$A$99941,1,FALSE)</f>
        <v>#N/A</v>
      </c>
    </row>
    <row r="78" spans="1:10" x14ac:dyDescent="0.25">
      <c r="A78" s="190"/>
      <c r="B78" s="42" t="str">
        <f>A78&amp;"-"&amp;IF(DAY(Variables!$A$2)&lt;10,0,"")&amp;DAY(Variables!$A$2)</f>
        <v>-29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8" s="30" t="e">
        <f>VLOOKUP(B78,'Train Runs'!$A$13:$A$99941,1,FALSE)</f>
        <v>#N/A</v>
      </c>
    </row>
    <row r="79" spans="1:10" x14ac:dyDescent="0.25">
      <c r="A79" s="190"/>
      <c r="B79" s="42" t="str">
        <f>A79&amp;"-"&amp;IF(DAY(Variables!$A$2)&lt;10,0,"")&amp;DAY(Variables!$A$2)</f>
        <v>-29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9" s="30" t="e">
        <f>VLOOKUP(B79,'Train Runs'!$A$13:$A$99941,1,FALSE)</f>
        <v>#N/A</v>
      </c>
    </row>
    <row r="80" spans="1:10" x14ac:dyDescent="0.25">
      <c r="A80" s="190"/>
      <c r="B80" s="42" t="str">
        <f>A80&amp;"-"&amp;IF(DAY(Variables!$A$2)&lt;10,0,"")&amp;DAY(Variables!$A$2)</f>
        <v>-29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0" s="30" t="e">
        <f>VLOOKUP(B80,'Train Runs'!$A$13:$A$99941,1,FALSE)</f>
        <v>#N/A</v>
      </c>
    </row>
    <row r="81" spans="1:10" x14ac:dyDescent="0.25">
      <c r="A81" s="190"/>
      <c r="B81" s="42" t="str">
        <f>A81&amp;"-"&amp;IF(DAY(Variables!$A$2)&lt;10,0,"")&amp;DAY(Variables!$A$2)</f>
        <v>-29</v>
      </c>
      <c r="C81" s="138"/>
      <c r="D81" s="156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1" s="30" t="e">
        <f>VLOOKUP(B81,'Train Runs'!$A$13:$A$99941,1,FALSE)</f>
        <v>#N/A</v>
      </c>
    </row>
    <row r="82" spans="1:10" x14ac:dyDescent="0.25">
      <c r="A82" s="190"/>
      <c r="B82" s="42" t="str">
        <f>A82&amp;"-"&amp;IF(DAY(Variables!$A$2)&lt;10,0,"")&amp;DAY(Variables!$A$2)</f>
        <v>-29</v>
      </c>
      <c r="C82" s="138"/>
      <c r="D82" s="156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2" s="30" t="e">
        <f>VLOOKUP(B82,'Train Runs'!$A$13:$A$99941,1,FALSE)</f>
        <v>#N/A</v>
      </c>
    </row>
    <row r="83" spans="1:10" x14ac:dyDescent="0.25">
      <c r="A83" s="190"/>
      <c r="B83" s="42" t="str">
        <f>A83&amp;"-"&amp;IF(DAY(Variables!$A$2)&lt;10,0,"")&amp;DAY(Variables!$A$2)</f>
        <v>-29</v>
      </c>
      <c r="C83" s="138"/>
      <c r="D83" s="156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3" s="30" t="e">
        <f>VLOOKUP(B83,'Train Runs'!$A$13:$A$99941,1,FALSE)</f>
        <v>#N/A</v>
      </c>
    </row>
  </sheetData>
  <autoFilter ref="A2:J83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42854.032083333332</v>
      </c>
      <c r="B2" s="20" t="s">
        <v>361</v>
      </c>
      <c r="C2" s="20" t="s">
        <v>599</v>
      </c>
      <c r="D2" s="141">
        <v>2000000</v>
      </c>
      <c r="E2" s="20" t="s">
        <v>354</v>
      </c>
      <c r="F2" s="20" t="s">
        <v>193</v>
      </c>
      <c r="G2" s="8" t="str">
        <f>E2&amp;" "&amp;F2</f>
        <v>STAMBAUGH JAMES</v>
      </c>
    </row>
    <row r="3" spans="1:7" x14ac:dyDescent="0.25">
      <c r="A3" s="8">
        <v>42854.04886574074</v>
      </c>
      <c r="B3" s="20" t="s">
        <v>600</v>
      </c>
      <c r="C3" s="20" t="s">
        <v>601</v>
      </c>
      <c r="D3" s="141">
        <v>1740000</v>
      </c>
      <c r="E3" s="20" t="s">
        <v>373</v>
      </c>
      <c r="F3" s="20" t="s">
        <v>374</v>
      </c>
      <c r="G3" s="8" t="str">
        <f t="shared" ref="G3:G66" si="0">E3&amp;" "&amp;F3</f>
        <v>STORY SAMANTHA</v>
      </c>
    </row>
    <row r="4" spans="1:7" x14ac:dyDescent="0.25">
      <c r="A4" s="8">
        <v>42854.053865740738</v>
      </c>
      <c r="B4" s="20" t="s">
        <v>440</v>
      </c>
      <c r="C4" s="20" t="s">
        <v>602</v>
      </c>
      <c r="D4" s="141">
        <v>2150000</v>
      </c>
      <c r="E4" s="20" t="s">
        <v>350</v>
      </c>
      <c r="F4" s="20" t="s">
        <v>351</v>
      </c>
      <c r="G4" s="8" t="str">
        <f t="shared" si="0"/>
        <v>SWANSON BRYCE</v>
      </c>
    </row>
    <row r="5" spans="1:7" x14ac:dyDescent="0.25">
      <c r="A5" s="8">
        <v>42854.056875000002</v>
      </c>
      <c r="B5" s="20" t="s">
        <v>503</v>
      </c>
      <c r="C5" s="20" t="s">
        <v>603</v>
      </c>
      <c r="D5" s="141">
        <v>2610000</v>
      </c>
      <c r="E5" s="20" t="s">
        <v>604</v>
      </c>
      <c r="F5" s="20" t="s">
        <v>605</v>
      </c>
      <c r="G5" s="8" t="str">
        <f t="shared" si="0"/>
        <v>MAGEE KENYA</v>
      </c>
    </row>
    <row r="6" spans="1:7" x14ac:dyDescent="0.25">
      <c r="A6" s="8">
        <v>42854.063715277778</v>
      </c>
      <c r="B6" s="20" t="s">
        <v>503</v>
      </c>
      <c r="C6" s="20" t="s">
        <v>603</v>
      </c>
      <c r="D6" s="141">
        <v>2610000</v>
      </c>
      <c r="E6" s="20" t="s">
        <v>604</v>
      </c>
      <c r="F6" s="20" t="s">
        <v>605</v>
      </c>
      <c r="G6" s="8" t="str">
        <f t="shared" si="0"/>
        <v>MAGEE KENYA</v>
      </c>
    </row>
    <row r="7" spans="1:7" x14ac:dyDescent="0.25">
      <c r="A7" s="8">
        <v>42854.068784722222</v>
      </c>
      <c r="B7" s="20" t="s">
        <v>199</v>
      </c>
      <c r="C7" s="20" t="s">
        <v>606</v>
      </c>
      <c r="D7" s="141">
        <v>2000000</v>
      </c>
      <c r="E7" s="20" t="s">
        <v>354</v>
      </c>
      <c r="F7" s="20" t="s">
        <v>193</v>
      </c>
      <c r="G7" s="8" t="str">
        <f t="shared" si="0"/>
        <v>STAMBAUGH JAMES</v>
      </c>
    </row>
    <row r="8" spans="1:7" x14ac:dyDescent="0.25">
      <c r="A8" s="8">
        <v>42854.071030092593</v>
      </c>
      <c r="B8" s="20" t="s">
        <v>607</v>
      </c>
      <c r="C8" s="20" t="s">
        <v>608</v>
      </c>
      <c r="D8" s="141">
        <v>2630000</v>
      </c>
      <c r="E8" s="20" t="s">
        <v>609</v>
      </c>
      <c r="F8" s="20" t="s">
        <v>610</v>
      </c>
      <c r="G8" s="8" t="str">
        <f t="shared" si="0"/>
        <v>SAFIEF AEIMEN</v>
      </c>
    </row>
    <row r="9" spans="1:7" ht="15.75" thickBot="1" x14ac:dyDescent="0.3">
      <c r="A9" s="24">
        <v>42854.085717592592</v>
      </c>
      <c r="B9" s="20" t="s">
        <v>505</v>
      </c>
      <c r="C9" s="20" t="s">
        <v>611</v>
      </c>
      <c r="D9" s="141">
        <v>1340000</v>
      </c>
      <c r="E9" s="20" t="s">
        <v>511</v>
      </c>
      <c r="F9" s="20" t="s">
        <v>512</v>
      </c>
      <c r="G9" s="8" t="str">
        <f t="shared" si="0"/>
        <v>BEAM ROSS</v>
      </c>
    </row>
    <row r="10" spans="1:7" x14ac:dyDescent="0.25">
      <c r="A10" s="8">
        <v>42854.091550925928</v>
      </c>
      <c r="B10" s="20" t="s">
        <v>441</v>
      </c>
      <c r="C10" s="20" t="s">
        <v>612</v>
      </c>
      <c r="D10" s="141">
        <v>2150000</v>
      </c>
      <c r="E10" s="20" t="s">
        <v>350</v>
      </c>
      <c r="F10" s="20" t="s">
        <v>351</v>
      </c>
      <c r="G10" s="8" t="str">
        <f t="shared" si="0"/>
        <v>SWANSON BRYCE</v>
      </c>
    </row>
    <row r="11" spans="1:7" x14ac:dyDescent="0.25">
      <c r="A11" s="8">
        <v>42854.09516203704</v>
      </c>
      <c r="B11" s="20" t="s">
        <v>506</v>
      </c>
      <c r="C11" s="20" t="s">
        <v>557</v>
      </c>
      <c r="D11" s="141">
        <v>1340000</v>
      </c>
      <c r="E11" s="20" t="s">
        <v>511</v>
      </c>
      <c r="F11" s="20" t="s">
        <v>512</v>
      </c>
      <c r="G11" s="8" t="str">
        <f t="shared" si="0"/>
        <v>BEAM ROSS</v>
      </c>
    </row>
    <row r="12" spans="1:7" x14ac:dyDescent="0.25">
      <c r="A12" s="8">
        <v>42854.102939814817</v>
      </c>
      <c r="B12" s="20" t="s">
        <v>594</v>
      </c>
      <c r="C12" s="20" t="s">
        <v>603</v>
      </c>
      <c r="D12" s="141">
        <v>2610000</v>
      </c>
      <c r="E12" s="20" t="s">
        <v>604</v>
      </c>
      <c r="F12" s="20" t="s">
        <v>605</v>
      </c>
      <c r="G12" s="8" t="str">
        <f t="shared" si="0"/>
        <v>MAGEE KENYA</v>
      </c>
    </row>
    <row r="13" spans="1:7" x14ac:dyDescent="0.25">
      <c r="A13" s="8">
        <v>42854.11215277778</v>
      </c>
      <c r="B13" s="20" t="s">
        <v>613</v>
      </c>
      <c r="C13" s="20" t="s">
        <v>614</v>
      </c>
      <c r="D13" s="141">
        <v>2630000</v>
      </c>
      <c r="E13" s="20" t="s">
        <v>609</v>
      </c>
      <c r="F13" s="20" t="s">
        <v>610</v>
      </c>
      <c r="G13" s="8" t="str">
        <f t="shared" si="0"/>
        <v>SAFIEF AEIMEN</v>
      </c>
    </row>
    <row r="14" spans="1:7" x14ac:dyDescent="0.25">
      <c r="A14" s="8">
        <v>42854.118472222224</v>
      </c>
      <c r="B14" s="20" t="s">
        <v>386</v>
      </c>
      <c r="C14" s="20" t="s">
        <v>615</v>
      </c>
      <c r="D14" s="141">
        <v>1290000</v>
      </c>
      <c r="E14" s="20" t="s">
        <v>507</v>
      </c>
      <c r="F14" s="20" t="s">
        <v>508</v>
      </c>
      <c r="G14" s="8" t="str">
        <f t="shared" si="0"/>
        <v>COOLAHAN JOHN</v>
      </c>
    </row>
    <row r="15" spans="1:7" x14ac:dyDescent="0.25">
      <c r="A15" s="8">
        <v>42854.122523148151</v>
      </c>
      <c r="B15" s="20" t="s">
        <v>505</v>
      </c>
      <c r="C15" s="20" t="s">
        <v>611</v>
      </c>
      <c r="D15" s="141">
        <v>1340000</v>
      </c>
      <c r="E15" s="20" t="s">
        <v>511</v>
      </c>
      <c r="F15" s="20" t="s">
        <v>512</v>
      </c>
      <c r="G15" s="8" t="str">
        <f t="shared" si="0"/>
        <v>BEAM ROSS</v>
      </c>
    </row>
    <row r="16" spans="1:7" x14ac:dyDescent="0.25">
      <c r="A16" s="8">
        <v>42854.130601851852</v>
      </c>
      <c r="B16" s="20" t="s">
        <v>432</v>
      </c>
      <c r="C16" s="20" t="s">
        <v>616</v>
      </c>
      <c r="D16" s="141">
        <v>1290000</v>
      </c>
      <c r="E16" s="20" t="s">
        <v>507</v>
      </c>
      <c r="F16" s="20" t="s">
        <v>508</v>
      </c>
      <c r="G16" s="8" t="str">
        <f t="shared" si="0"/>
        <v>COOLAHAN JOHN</v>
      </c>
    </row>
    <row r="17" spans="1:7" x14ac:dyDescent="0.25">
      <c r="A17" s="8">
        <v>42854.137083333335</v>
      </c>
      <c r="B17" s="20" t="s">
        <v>417</v>
      </c>
      <c r="C17" s="20" t="s">
        <v>617</v>
      </c>
      <c r="D17" s="141">
        <v>2140000</v>
      </c>
      <c r="E17" s="20" t="s">
        <v>618</v>
      </c>
      <c r="F17" s="20" t="s">
        <v>619</v>
      </c>
      <c r="G17" s="8" t="str">
        <f t="shared" si="0"/>
        <v>ROBINSON KADDIBA</v>
      </c>
    </row>
    <row r="18" spans="1:7" x14ac:dyDescent="0.25">
      <c r="A18" s="8">
        <v>42854.150543981479</v>
      </c>
      <c r="B18" s="20" t="s">
        <v>506</v>
      </c>
      <c r="C18" s="20" t="s">
        <v>557</v>
      </c>
      <c r="D18" s="141">
        <v>1340000</v>
      </c>
      <c r="E18" s="20" t="s">
        <v>511</v>
      </c>
      <c r="F18" s="20" t="s">
        <v>512</v>
      </c>
      <c r="G18" s="8" t="str">
        <f t="shared" si="0"/>
        <v>BEAM ROSS</v>
      </c>
    </row>
    <row r="19" spans="1:7" x14ac:dyDescent="0.25">
      <c r="A19" s="8">
        <v>42854.152430555558</v>
      </c>
      <c r="B19" s="20" t="s">
        <v>393</v>
      </c>
      <c r="C19" s="20" t="s">
        <v>620</v>
      </c>
      <c r="D19" s="141">
        <v>2140000</v>
      </c>
      <c r="E19" s="20" t="s">
        <v>618</v>
      </c>
      <c r="F19" s="20" t="s">
        <v>619</v>
      </c>
      <c r="G19" s="8" t="str">
        <f t="shared" si="0"/>
        <v>ROBINSON KADDIBA</v>
      </c>
    </row>
    <row r="20" spans="1:7" x14ac:dyDescent="0.25">
      <c r="A20" s="8">
        <v>42854.158807870372</v>
      </c>
      <c r="B20" s="20" t="s">
        <v>462</v>
      </c>
      <c r="C20" s="20" t="s">
        <v>621</v>
      </c>
      <c r="D20" s="141">
        <v>2010000</v>
      </c>
      <c r="E20" s="20" t="s">
        <v>622</v>
      </c>
      <c r="F20" s="20" t="s">
        <v>623</v>
      </c>
      <c r="G20" s="8" t="str">
        <f t="shared" si="0"/>
        <v>MAELZER KURT</v>
      </c>
    </row>
    <row r="21" spans="1:7" x14ac:dyDescent="0.25">
      <c r="A21" s="8">
        <v>42854.161249999997</v>
      </c>
      <c r="B21" s="20" t="s">
        <v>505</v>
      </c>
      <c r="C21" s="20" t="s">
        <v>611</v>
      </c>
      <c r="D21" s="141">
        <v>1340000</v>
      </c>
      <c r="E21" s="20" t="s">
        <v>511</v>
      </c>
      <c r="F21" s="20" t="s">
        <v>512</v>
      </c>
      <c r="G21" s="8" t="str">
        <f t="shared" si="0"/>
        <v>BEAM ROSS</v>
      </c>
    </row>
    <row r="22" spans="1:7" x14ac:dyDescent="0.25">
      <c r="A22" s="26">
        <v>42854.168495370373</v>
      </c>
      <c r="B22" s="20" t="s">
        <v>506</v>
      </c>
      <c r="C22" s="20" t="s">
        <v>557</v>
      </c>
      <c r="D22" s="141">
        <v>1340000</v>
      </c>
      <c r="E22" s="20" t="s">
        <v>511</v>
      </c>
      <c r="F22" s="20" t="s">
        <v>512</v>
      </c>
      <c r="G22" s="8" t="str">
        <f t="shared" si="0"/>
        <v>BEAM ROSS</v>
      </c>
    </row>
    <row r="23" spans="1:7" x14ac:dyDescent="0.25">
      <c r="A23" s="8">
        <v>42854.171655092592</v>
      </c>
      <c r="B23" s="20" t="s">
        <v>386</v>
      </c>
      <c r="C23" s="20" t="s">
        <v>624</v>
      </c>
      <c r="D23" s="141">
        <v>1290000</v>
      </c>
      <c r="E23" s="20" t="s">
        <v>507</v>
      </c>
      <c r="F23" s="20" t="s">
        <v>508</v>
      </c>
      <c r="G23" s="8" t="str">
        <f t="shared" si="0"/>
        <v>COOLAHAN JOHN</v>
      </c>
    </row>
    <row r="24" spans="1:7" x14ac:dyDescent="0.25">
      <c r="A24" s="8">
        <v>42854.172337962962</v>
      </c>
      <c r="B24" s="20" t="s">
        <v>352</v>
      </c>
      <c r="C24" s="20" t="s">
        <v>625</v>
      </c>
      <c r="D24" s="141">
        <v>2010000</v>
      </c>
      <c r="E24" s="20" t="s">
        <v>622</v>
      </c>
      <c r="F24" s="20" t="s">
        <v>623</v>
      </c>
      <c r="G24" s="8" t="str">
        <f t="shared" si="0"/>
        <v>MAELZER KURT</v>
      </c>
    </row>
    <row r="25" spans="1:7" x14ac:dyDescent="0.25">
      <c r="A25" s="8">
        <v>42854.17396990741</v>
      </c>
      <c r="B25" s="20" t="s">
        <v>357</v>
      </c>
      <c r="C25" s="20" t="s">
        <v>626</v>
      </c>
      <c r="D25" s="141">
        <v>1990000</v>
      </c>
      <c r="E25" s="20" t="s">
        <v>627</v>
      </c>
      <c r="F25" s="20" t="s">
        <v>628</v>
      </c>
      <c r="G25" s="8" t="str">
        <f t="shared" si="0"/>
        <v>DAVIS WENDY</v>
      </c>
    </row>
    <row r="26" spans="1:7" x14ac:dyDescent="0.25">
      <c r="A26" s="8">
        <v>42854.18540509259</v>
      </c>
      <c r="B26" s="20" t="s">
        <v>358</v>
      </c>
      <c r="C26" s="20" t="s">
        <v>558</v>
      </c>
      <c r="D26" s="141">
        <v>1990000</v>
      </c>
      <c r="E26" s="20" t="s">
        <v>627</v>
      </c>
      <c r="F26" s="20" t="s">
        <v>628</v>
      </c>
      <c r="G26" s="8" t="str">
        <f t="shared" si="0"/>
        <v>DAVIS WENDY</v>
      </c>
    </row>
    <row r="27" spans="1:7" x14ac:dyDescent="0.25">
      <c r="A27" s="8">
        <v>42854.186122685183</v>
      </c>
      <c r="B27" s="20" t="s">
        <v>579</v>
      </c>
      <c r="C27" s="20" t="s">
        <v>629</v>
      </c>
      <c r="D27" s="141">
        <v>1360000</v>
      </c>
      <c r="E27" s="20" t="s">
        <v>630</v>
      </c>
      <c r="F27" s="20" t="s">
        <v>631</v>
      </c>
      <c r="G27" s="8" t="str">
        <f t="shared" si="0"/>
        <v>SANTIZO D. EDY</v>
      </c>
    </row>
    <row r="28" spans="1:7" x14ac:dyDescent="0.25">
      <c r="A28" s="8">
        <v>42854.187326388892</v>
      </c>
      <c r="B28" s="20" t="s">
        <v>358</v>
      </c>
      <c r="C28" s="20" t="s">
        <v>558</v>
      </c>
      <c r="D28" s="141">
        <v>1990000</v>
      </c>
      <c r="E28" s="20" t="s">
        <v>627</v>
      </c>
      <c r="F28" s="20" t="s">
        <v>628</v>
      </c>
      <c r="G28" s="8" t="str">
        <f t="shared" si="0"/>
        <v>DAVIS WENDY</v>
      </c>
    </row>
    <row r="29" spans="1:7" x14ac:dyDescent="0.25">
      <c r="A29" s="8">
        <v>42854.189560185187</v>
      </c>
      <c r="B29" s="20" t="s">
        <v>417</v>
      </c>
      <c r="C29" s="20" t="s">
        <v>632</v>
      </c>
      <c r="D29" s="141">
        <v>2140000</v>
      </c>
      <c r="E29" s="20" t="s">
        <v>618</v>
      </c>
      <c r="F29" s="20" t="s">
        <v>619</v>
      </c>
      <c r="G29" s="8" t="str">
        <f t="shared" si="0"/>
        <v>ROBINSON KADDIBA</v>
      </c>
    </row>
    <row r="30" spans="1:7" x14ac:dyDescent="0.25">
      <c r="A30" s="8">
        <v>42854.195775462962</v>
      </c>
      <c r="B30" s="20" t="s">
        <v>433</v>
      </c>
      <c r="C30" s="20" t="s">
        <v>633</v>
      </c>
      <c r="D30" s="141">
        <v>1360000</v>
      </c>
      <c r="E30" s="20" t="s">
        <v>630</v>
      </c>
      <c r="F30" s="20" t="s">
        <v>631</v>
      </c>
      <c r="G30" s="8" t="str">
        <f t="shared" si="0"/>
        <v>SANTIZO D. EDY</v>
      </c>
    </row>
    <row r="31" spans="1:7" x14ac:dyDescent="0.25">
      <c r="A31" s="8">
        <v>42854.207048611112</v>
      </c>
      <c r="B31" s="20" t="s">
        <v>432</v>
      </c>
      <c r="C31" s="20" t="s">
        <v>634</v>
      </c>
      <c r="D31" s="141">
        <v>890000</v>
      </c>
      <c r="E31" s="20" t="s">
        <v>464</v>
      </c>
      <c r="F31" s="20" t="s">
        <v>465</v>
      </c>
      <c r="G31" s="8" t="str">
        <f t="shared" si="0"/>
        <v>LOZA FIDEL</v>
      </c>
    </row>
    <row r="32" spans="1:7" x14ac:dyDescent="0.25">
      <c r="A32" s="8">
        <v>42854.212083333332</v>
      </c>
      <c r="B32" s="20" t="s">
        <v>462</v>
      </c>
      <c r="C32" s="20" t="s">
        <v>635</v>
      </c>
      <c r="D32" s="141">
        <v>2010000</v>
      </c>
      <c r="E32" s="20" t="s">
        <v>622</v>
      </c>
      <c r="F32" s="20" t="s">
        <v>623</v>
      </c>
      <c r="G32" s="8" t="str">
        <f t="shared" si="0"/>
        <v>MAELZER KURT</v>
      </c>
    </row>
    <row r="33" spans="1:7" x14ac:dyDescent="0.25">
      <c r="A33" s="8">
        <v>42854.216307870367</v>
      </c>
      <c r="B33" s="20" t="s">
        <v>382</v>
      </c>
      <c r="C33" s="20" t="s">
        <v>636</v>
      </c>
      <c r="D33" s="141">
        <v>1290000</v>
      </c>
      <c r="E33" s="20" t="s">
        <v>507</v>
      </c>
      <c r="F33" s="20" t="s">
        <v>508</v>
      </c>
      <c r="G33" s="8" t="str">
        <f t="shared" si="0"/>
        <v>COOLAHAN JOHN</v>
      </c>
    </row>
    <row r="34" spans="1:7" x14ac:dyDescent="0.25">
      <c r="A34" s="8">
        <v>42854.224039351851</v>
      </c>
      <c r="B34" s="20" t="s">
        <v>357</v>
      </c>
      <c r="C34" s="20" t="s">
        <v>637</v>
      </c>
      <c r="D34" s="141">
        <v>1990000</v>
      </c>
      <c r="E34" s="20" t="s">
        <v>627</v>
      </c>
      <c r="F34" s="20" t="s">
        <v>628</v>
      </c>
      <c r="G34" s="8" t="str">
        <f t="shared" si="0"/>
        <v>DAVIS WENDY</v>
      </c>
    </row>
    <row r="35" spans="1:7" x14ac:dyDescent="0.25">
      <c r="A35" s="8">
        <v>42854.225104166668</v>
      </c>
      <c r="B35" s="20" t="s">
        <v>579</v>
      </c>
      <c r="C35" s="20" t="s">
        <v>638</v>
      </c>
      <c r="D35" s="141">
        <v>1360000</v>
      </c>
      <c r="E35" s="20" t="s">
        <v>630</v>
      </c>
      <c r="F35" s="20" t="s">
        <v>631</v>
      </c>
      <c r="G35" s="8" t="str">
        <f t="shared" si="0"/>
        <v>SANTIZO D. EDY</v>
      </c>
    </row>
    <row r="36" spans="1:7" x14ac:dyDescent="0.25">
      <c r="A36" s="8">
        <v>42854.226099537038</v>
      </c>
      <c r="B36" s="20" t="s">
        <v>393</v>
      </c>
      <c r="C36" s="20" t="s">
        <v>639</v>
      </c>
      <c r="D36" s="141">
        <v>1520000</v>
      </c>
      <c r="E36" s="20" t="s">
        <v>640</v>
      </c>
      <c r="F36" s="20" t="s">
        <v>641</v>
      </c>
      <c r="G36" s="8" t="str">
        <f t="shared" si="0"/>
        <v>MAYBERRY BILL</v>
      </c>
    </row>
    <row r="37" spans="1:7" x14ac:dyDescent="0.25">
      <c r="A37" s="8">
        <v>42854.226770833331</v>
      </c>
      <c r="B37" s="20" t="s">
        <v>356</v>
      </c>
      <c r="C37" s="20" t="s">
        <v>642</v>
      </c>
      <c r="D37" s="141">
        <v>2260000</v>
      </c>
      <c r="E37" s="20" t="s">
        <v>481</v>
      </c>
      <c r="F37" s="20" t="s">
        <v>482</v>
      </c>
      <c r="G37" s="8" t="str">
        <f t="shared" si="0"/>
        <v>ARVIDSON DANIEL</v>
      </c>
    </row>
    <row r="38" spans="1:7" x14ac:dyDescent="0.25">
      <c r="A38" s="8">
        <v>42854.226886574077</v>
      </c>
      <c r="B38" s="20" t="s">
        <v>393</v>
      </c>
      <c r="C38" s="20" t="s">
        <v>639</v>
      </c>
      <c r="D38" s="141">
        <v>1520000</v>
      </c>
      <c r="E38" s="20" t="s">
        <v>640</v>
      </c>
      <c r="F38" s="20" t="s">
        <v>641</v>
      </c>
      <c r="G38" s="8" t="str">
        <f t="shared" si="0"/>
        <v>MAYBERRY BILL</v>
      </c>
    </row>
    <row r="39" spans="1:7" x14ac:dyDescent="0.25">
      <c r="A39" s="8">
        <v>42854.227708333332</v>
      </c>
      <c r="B39" s="20" t="s">
        <v>416</v>
      </c>
      <c r="C39" s="20" t="s">
        <v>643</v>
      </c>
      <c r="D39" s="141">
        <v>2140000</v>
      </c>
      <c r="E39" s="20" t="s">
        <v>618</v>
      </c>
      <c r="F39" s="20" t="s">
        <v>619</v>
      </c>
      <c r="G39" s="8" t="str">
        <f t="shared" si="0"/>
        <v>ROBINSON KADDIBA</v>
      </c>
    </row>
    <row r="40" spans="1:7" x14ac:dyDescent="0.25">
      <c r="A40" s="8">
        <v>42854.22855324074</v>
      </c>
      <c r="B40" s="25" t="s">
        <v>416</v>
      </c>
      <c r="C40" s="20" t="s">
        <v>643</v>
      </c>
      <c r="D40" s="141">
        <v>2140000</v>
      </c>
      <c r="E40" s="20" t="s">
        <v>618</v>
      </c>
      <c r="F40" s="20" t="s">
        <v>619</v>
      </c>
      <c r="G40" s="8" t="str">
        <f t="shared" si="0"/>
        <v>ROBINSON KADDIBA</v>
      </c>
    </row>
    <row r="41" spans="1:7" x14ac:dyDescent="0.25">
      <c r="A41" s="8">
        <v>42854.230891203704</v>
      </c>
      <c r="B41" s="20" t="s">
        <v>416</v>
      </c>
      <c r="C41" s="20" t="s">
        <v>643</v>
      </c>
      <c r="D41" s="141">
        <v>2140000</v>
      </c>
      <c r="E41" s="20" t="s">
        <v>618</v>
      </c>
      <c r="F41" s="20" t="s">
        <v>619</v>
      </c>
      <c r="G41" s="8" t="str">
        <f t="shared" si="0"/>
        <v>ROBINSON KADDIBA</v>
      </c>
    </row>
    <row r="42" spans="1:7" x14ac:dyDescent="0.25">
      <c r="A42" s="8">
        <v>42854.232349537036</v>
      </c>
      <c r="B42" s="20" t="s">
        <v>416</v>
      </c>
      <c r="C42" s="20" t="s">
        <v>643</v>
      </c>
      <c r="D42" s="141">
        <v>2140000</v>
      </c>
      <c r="E42" s="20" t="s">
        <v>618</v>
      </c>
      <c r="F42" s="20" t="s">
        <v>619</v>
      </c>
      <c r="G42" s="8" t="str">
        <f t="shared" si="0"/>
        <v>ROBINSON KADDIBA</v>
      </c>
    </row>
    <row r="43" spans="1:7" x14ac:dyDescent="0.25">
      <c r="A43" s="8">
        <v>42854.238159722219</v>
      </c>
      <c r="B43" s="20" t="s">
        <v>387</v>
      </c>
      <c r="C43" s="20" t="s">
        <v>644</v>
      </c>
      <c r="D43" s="141">
        <v>2260000</v>
      </c>
      <c r="E43" s="20" t="s">
        <v>481</v>
      </c>
      <c r="F43" s="20" t="s">
        <v>482</v>
      </c>
      <c r="G43" s="8" t="str">
        <f t="shared" si="0"/>
        <v>ARVIDSON DANIEL</v>
      </c>
    </row>
    <row r="44" spans="1:7" x14ac:dyDescent="0.25">
      <c r="A44" s="8">
        <v>42854.244895833333</v>
      </c>
      <c r="B44" s="20" t="s">
        <v>463</v>
      </c>
      <c r="C44" s="20" t="s">
        <v>645</v>
      </c>
      <c r="D44" s="141">
        <v>890000</v>
      </c>
      <c r="E44" s="20" t="s">
        <v>464</v>
      </c>
      <c r="F44" s="20" t="s">
        <v>465</v>
      </c>
      <c r="G44" s="8" t="str">
        <f t="shared" si="0"/>
        <v>LOZA FIDEL</v>
      </c>
    </row>
    <row r="45" spans="1:7" x14ac:dyDescent="0.25">
      <c r="A45" s="8">
        <v>42854.24726851852</v>
      </c>
      <c r="B45" s="20" t="s">
        <v>352</v>
      </c>
      <c r="C45" s="20" t="s">
        <v>646</v>
      </c>
      <c r="D45" s="141">
        <v>2010000</v>
      </c>
      <c r="E45" s="20" t="s">
        <v>622</v>
      </c>
      <c r="F45" s="20" t="s">
        <v>623</v>
      </c>
      <c r="G45" s="8" t="str">
        <f t="shared" si="0"/>
        <v>MAELZER KURT</v>
      </c>
    </row>
    <row r="46" spans="1:7" x14ac:dyDescent="0.25">
      <c r="A46" s="8">
        <v>42854.247777777775</v>
      </c>
      <c r="B46" s="20" t="s">
        <v>352</v>
      </c>
      <c r="C46" s="20" t="s">
        <v>647</v>
      </c>
      <c r="D46" s="141">
        <v>2010000</v>
      </c>
      <c r="E46" s="20" t="s">
        <v>622</v>
      </c>
      <c r="F46" s="20" t="s">
        <v>623</v>
      </c>
      <c r="G46" s="8" t="str">
        <f t="shared" si="0"/>
        <v>MAELZER KURT</v>
      </c>
    </row>
    <row r="47" spans="1:7" x14ac:dyDescent="0.25">
      <c r="A47" s="8">
        <v>42854.250694444447</v>
      </c>
      <c r="B47" s="20" t="s">
        <v>352</v>
      </c>
      <c r="C47" s="20" t="s">
        <v>647</v>
      </c>
      <c r="D47" s="141">
        <v>2010000</v>
      </c>
      <c r="E47" s="20" t="s">
        <v>622</v>
      </c>
      <c r="F47" s="20" t="s">
        <v>623</v>
      </c>
      <c r="G47" s="8" t="str">
        <f t="shared" si="0"/>
        <v>MAELZER KURT</v>
      </c>
    </row>
    <row r="48" spans="1:7" x14ac:dyDescent="0.25">
      <c r="A48" s="8">
        <v>42854.252106481479</v>
      </c>
      <c r="B48" s="20" t="s">
        <v>386</v>
      </c>
      <c r="C48" s="20" t="s">
        <v>560</v>
      </c>
      <c r="D48" s="141">
        <v>1290000</v>
      </c>
      <c r="E48" s="20" t="s">
        <v>507</v>
      </c>
      <c r="F48" s="20" t="s">
        <v>508</v>
      </c>
      <c r="G48" s="8" t="str">
        <f t="shared" si="0"/>
        <v>COOLAHAN JOHN</v>
      </c>
    </row>
    <row r="49" spans="1:7" x14ac:dyDescent="0.25">
      <c r="A49" s="8">
        <v>42854.25335648148</v>
      </c>
      <c r="B49" s="20" t="s">
        <v>461</v>
      </c>
      <c r="C49" s="20" t="s">
        <v>648</v>
      </c>
      <c r="D49" s="141">
        <v>1780000</v>
      </c>
      <c r="E49" s="20" t="s">
        <v>515</v>
      </c>
      <c r="F49" s="20" t="s">
        <v>516</v>
      </c>
      <c r="G49" s="8" t="str">
        <f t="shared" si="0"/>
        <v>DE LA ROSA ALEX</v>
      </c>
    </row>
    <row r="50" spans="1:7" x14ac:dyDescent="0.25">
      <c r="A50" s="8">
        <v>42854.256377314814</v>
      </c>
      <c r="B50" s="20" t="s">
        <v>358</v>
      </c>
      <c r="C50" s="20" t="s">
        <v>649</v>
      </c>
      <c r="D50" s="141">
        <v>1990000</v>
      </c>
      <c r="E50" s="20" t="s">
        <v>627</v>
      </c>
      <c r="F50" s="20" t="s">
        <v>628</v>
      </c>
      <c r="G50" s="8" t="str">
        <f t="shared" si="0"/>
        <v>DAVIS WENDY</v>
      </c>
    </row>
    <row r="51" spans="1:7" x14ac:dyDescent="0.25">
      <c r="A51" s="8">
        <v>42854.256666666668</v>
      </c>
      <c r="B51" s="20" t="s">
        <v>462</v>
      </c>
      <c r="C51" s="20" t="s">
        <v>648</v>
      </c>
      <c r="D51" s="141">
        <v>1780000</v>
      </c>
      <c r="E51" s="20" t="s">
        <v>515</v>
      </c>
      <c r="F51" s="20" t="s">
        <v>516</v>
      </c>
      <c r="G51" s="8" t="str">
        <f t="shared" si="0"/>
        <v>DE LA ROSA ALEX</v>
      </c>
    </row>
    <row r="52" spans="1:7" x14ac:dyDescent="0.25">
      <c r="A52" s="8">
        <v>42854.263368055559</v>
      </c>
      <c r="B52" s="20" t="s">
        <v>356</v>
      </c>
      <c r="C52" s="20" t="s">
        <v>559</v>
      </c>
      <c r="D52" s="141">
        <v>2260000</v>
      </c>
      <c r="E52" s="20" t="s">
        <v>481</v>
      </c>
      <c r="F52" s="20" t="s">
        <v>482</v>
      </c>
      <c r="G52" s="8" t="str">
        <f t="shared" si="0"/>
        <v>ARVIDSON DANIEL</v>
      </c>
    </row>
    <row r="53" spans="1:7" x14ac:dyDescent="0.25">
      <c r="A53" s="8">
        <v>42854.263912037037</v>
      </c>
      <c r="B53" s="20" t="s">
        <v>394</v>
      </c>
      <c r="C53" s="20" t="s">
        <v>650</v>
      </c>
      <c r="D53" s="141">
        <v>1520000</v>
      </c>
      <c r="E53" s="20" t="s">
        <v>640</v>
      </c>
      <c r="F53" s="20" t="s">
        <v>641</v>
      </c>
      <c r="G53" s="8" t="str">
        <f t="shared" si="0"/>
        <v>MAYBERRY BILL</v>
      </c>
    </row>
    <row r="54" spans="1:7" x14ac:dyDescent="0.25">
      <c r="A54" s="8">
        <v>42854.266157407408</v>
      </c>
      <c r="B54" s="20" t="s">
        <v>433</v>
      </c>
      <c r="C54" s="20" t="s">
        <v>651</v>
      </c>
      <c r="D54" s="141">
        <v>1360000</v>
      </c>
      <c r="E54" s="20" t="s">
        <v>630</v>
      </c>
      <c r="F54" s="20" t="s">
        <v>631</v>
      </c>
      <c r="G54" s="8" t="str">
        <f t="shared" si="0"/>
        <v>SANTIZO D. EDY</v>
      </c>
    </row>
    <row r="55" spans="1:7" x14ac:dyDescent="0.25">
      <c r="A55" s="8">
        <v>42854.266435185185</v>
      </c>
      <c r="B55" s="20" t="s">
        <v>417</v>
      </c>
      <c r="C55" s="20" t="s">
        <v>652</v>
      </c>
      <c r="D55" s="141">
        <v>2140000</v>
      </c>
      <c r="E55" s="20" t="s">
        <v>618</v>
      </c>
      <c r="F55" s="20" t="s">
        <v>619</v>
      </c>
      <c r="G55" s="8" t="str">
        <f t="shared" si="0"/>
        <v>ROBINSON KADDIBA</v>
      </c>
    </row>
    <row r="56" spans="1:7" x14ac:dyDescent="0.25">
      <c r="A56" s="8">
        <v>42854.276087962964</v>
      </c>
      <c r="B56" s="20" t="s">
        <v>432</v>
      </c>
      <c r="C56" s="20" t="s">
        <v>561</v>
      </c>
      <c r="D56" s="141">
        <v>890000</v>
      </c>
      <c r="E56" s="20" t="s">
        <v>464</v>
      </c>
      <c r="F56" s="20" t="s">
        <v>465</v>
      </c>
      <c r="G56" s="8" t="str">
        <f t="shared" si="0"/>
        <v>LOZA FIDEL</v>
      </c>
    </row>
    <row r="57" spans="1:7" x14ac:dyDescent="0.25">
      <c r="A57" s="8">
        <v>42854.276678240742</v>
      </c>
      <c r="B57" s="20" t="s">
        <v>387</v>
      </c>
      <c r="C57" s="20" t="s">
        <v>653</v>
      </c>
      <c r="D57" s="141">
        <v>2260000</v>
      </c>
      <c r="E57" s="20" t="s">
        <v>481</v>
      </c>
      <c r="F57" s="20" t="s">
        <v>482</v>
      </c>
      <c r="G57" s="8" t="str">
        <f t="shared" si="0"/>
        <v>ARVIDSON DANIEL</v>
      </c>
    </row>
    <row r="58" spans="1:7" x14ac:dyDescent="0.25">
      <c r="A58" s="8">
        <v>42854.284189814818</v>
      </c>
      <c r="B58" s="20" t="s">
        <v>353</v>
      </c>
      <c r="C58" s="20" t="s">
        <v>646</v>
      </c>
      <c r="D58" s="141">
        <v>2010000</v>
      </c>
      <c r="E58" s="20" t="s">
        <v>622</v>
      </c>
      <c r="F58" s="20" t="s">
        <v>623</v>
      </c>
      <c r="G58" s="8" t="str">
        <f t="shared" si="0"/>
        <v>MAELZER KURT</v>
      </c>
    </row>
    <row r="59" spans="1:7" x14ac:dyDescent="0.25">
      <c r="A59" s="8">
        <v>42854.287708333337</v>
      </c>
      <c r="B59" s="20" t="s">
        <v>382</v>
      </c>
      <c r="C59" s="20" t="s">
        <v>654</v>
      </c>
      <c r="D59" s="141">
        <v>1290000</v>
      </c>
      <c r="E59" s="20" t="s">
        <v>507</v>
      </c>
      <c r="F59" s="20" t="s">
        <v>508</v>
      </c>
      <c r="G59" s="8" t="str">
        <f t="shared" si="0"/>
        <v>COOLAHAN JOHN</v>
      </c>
    </row>
    <row r="60" spans="1:7" x14ac:dyDescent="0.25">
      <c r="A60" s="8">
        <v>42854.297094907408</v>
      </c>
      <c r="B60" s="20" t="s">
        <v>357</v>
      </c>
      <c r="C60" s="20" t="s">
        <v>655</v>
      </c>
      <c r="D60" s="141">
        <v>1990000</v>
      </c>
      <c r="E60" s="20" t="s">
        <v>627</v>
      </c>
      <c r="F60" s="20" t="s">
        <v>628</v>
      </c>
      <c r="G60" s="8" t="str">
        <f t="shared" si="0"/>
        <v>DAVIS WENDY</v>
      </c>
    </row>
    <row r="61" spans="1:7" x14ac:dyDescent="0.25">
      <c r="A61" s="8">
        <v>42854.297881944447</v>
      </c>
      <c r="B61" s="20" t="s">
        <v>579</v>
      </c>
      <c r="C61" s="20" t="s">
        <v>656</v>
      </c>
      <c r="D61" s="141">
        <v>1360000</v>
      </c>
      <c r="E61" s="20" t="s">
        <v>630</v>
      </c>
      <c r="F61" s="20" t="s">
        <v>631</v>
      </c>
      <c r="G61" s="8" t="str">
        <f t="shared" si="0"/>
        <v>SANTIZO D. EDY</v>
      </c>
    </row>
    <row r="62" spans="1:7" x14ac:dyDescent="0.25">
      <c r="A62" s="8">
        <v>42854.299050925925</v>
      </c>
      <c r="B62" s="20" t="s">
        <v>393</v>
      </c>
      <c r="C62" s="20" t="s">
        <v>562</v>
      </c>
      <c r="D62" s="141">
        <v>1520000</v>
      </c>
      <c r="E62" s="20" t="s">
        <v>640</v>
      </c>
      <c r="F62" s="20" t="s">
        <v>641</v>
      </c>
      <c r="G62" s="8" t="str">
        <f t="shared" si="0"/>
        <v>MAYBERRY BILL</v>
      </c>
    </row>
    <row r="63" spans="1:7" x14ac:dyDescent="0.25">
      <c r="A63" s="8">
        <v>42854.302673611113</v>
      </c>
      <c r="B63" s="20" t="s">
        <v>356</v>
      </c>
      <c r="C63" s="20" t="s">
        <v>657</v>
      </c>
      <c r="D63" s="141">
        <v>2260000</v>
      </c>
      <c r="E63" s="20" t="s">
        <v>481</v>
      </c>
      <c r="F63" s="20" t="s">
        <v>482</v>
      </c>
      <c r="G63" s="8" t="str">
        <f t="shared" si="0"/>
        <v>ARVIDSON DANIEL</v>
      </c>
    </row>
    <row r="64" spans="1:7" x14ac:dyDescent="0.25">
      <c r="A64" s="26">
        <v>42854.308020833334</v>
      </c>
      <c r="B64" s="20" t="s">
        <v>416</v>
      </c>
      <c r="C64" s="20" t="s">
        <v>563</v>
      </c>
      <c r="D64" s="141">
        <v>2140000</v>
      </c>
      <c r="E64" s="20" t="s">
        <v>618</v>
      </c>
      <c r="F64" s="20" t="s">
        <v>619</v>
      </c>
      <c r="G64" s="8" t="str">
        <f t="shared" si="0"/>
        <v>ROBINSON KADDIBA</v>
      </c>
    </row>
    <row r="65" spans="1:7" x14ac:dyDescent="0.25">
      <c r="A65" s="8">
        <v>42854.316527777781</v>
      </c>
      <c r="B65" s="20" t="s">
        <v>463</v>
      </c>
      <c r="C65" s="20" t="s">
        <v>658</v>
      </c>
      <c r="D65" s="141">
        <v>890000</v>
      </c>
      <c r="E65" s="20" t="s">
        <v>464</v>
      </c>
      <c r="F65" s="20" t="s">
        <v>465</v>
      </c>
      <c r="G65" s="8" t="str">
        <f t="shared" si="0"/>
        <v>LOZA FIDEL</v>
      </c>
    </row>
    <row r="66" spans="1:7" x14ac:dyDescent="0.25">
      <c r="A66" s="8">
        <v>42854.320023148146</v>
      </c>
      <c r="B66" s="20" t="s">
        <v>352</v>
      </c>
      <c r="C66" s="20" t="s">
        <v>659</v>
      </c>
      <c r="D66" s="141">
        <v>2010000</v>
      </c>
      <c r="E66" s="20" t="s">
        <v>622</v>
      </c>
      <c r="F66" s="20" t="s">
        <v>623</v>
      </c>
      <c r="G66" s="8" t="str">
        <f t="shared" si="0"/>
        <v>MAELZER KURT</v>
      </c>
    </row>
    <row r="67" spans="1:7" x14ac:dyDescent="0.25">
      <c r="A67" s="8">
        <v>42854.320138888892</v>
      </c>
      <c r="B67" s="20" t="s">
        <v>387</v>
      </c>
      <c r="C67" s="20" t="s">
        <v>660</v>
      </c>
      <c r="D67" s="141">
        <v>2260000</v>
      </c>
      <c r="E67" s="20" t="s">
        <v>481</v>
      </c>
      <c r="F67" s="20" t="s">
        <v>482</v>
      </c>
      <c r="G67" s="8" t="str">
        <f t="shared" ref="G67:G130" si="1">E67&amp;" "&amp;F67</f>
        <v>ARVIDSON DANIEL</v>
      </c>
    </row>
    <row r="68" spans="1:7" x14ac:dyDescent="0.25">
      <c r="A68" s="8">
        <v>42854.328125</v>
      </c>
      <c r="B68" s="20" t="s">
        <v>386</v>
      </c>
      <c r="C68" s="20" t="s">
        <v>661</v>
      </c>
      <c r="D68" s="141">
        <v>1290000</v>
      </c>
      <c r="E68" s="20" t="s">
        <v>507</v>
      </c>
      <c r="F68" s="20" t="s">
        <v>508</v>
      </c>
      <c r="G68" s="8" t="str">
        <f t="shared" si="1"/>
        <v>COOLAHAN JOHN</v>
      </c>
    </row>
    <row r="69" spans="1:7" x14ac:dyDescent="0.25">
      <c r="A69" s="8">
        <v>42854.329583333332</v>
      </c>
      <c r="B69" s="20" t="s">
        <v>358</v>
      </c>
      <c r="C69" s="20" t="s">
        <v>662</v>
      </c>
      <c r="D69" s="141">
        <v>1990000</v>
      </c>
      <c r="E69" s="20" t="s">
        <v>627</v>
      </c>
      <c r="F69" s="20" t="s">
        <v>628</v>
      </c>
      <c r="G69" s="8" t="str">
        <f t="shared" si="1"/>
        <v>DAVIS WENDY</v>
      </c>
    </row>
    <row r="70" spans="1:7" x14ac:dyDescent="0.25">
      <c r="A70" s="8">
        <v>42854.337083333332</v>
      </c>
      <c r="B70" s="20" t="s">
        <v>433</v>
      </c>
      <c r="C70" s="20" t="s">
        <v>663</v>
      </c>
      <c r="D70" s="141">
        <v>1360000</v>
      </c>
      <c r="E70" s="20" t="s">
        <v>630</v>
      </c>
      <c r="F70" s="20" t="s">
        <v>631</v>
      </c>
      <c r="G70" s="8" t="str">
        <f t="shared" si="1"/>
        <v>SANTIZO D. EDY</v>
      </c>
    </row>
    <row r="71" spans="1:7" x14ac:dyDescent="0.25">
      <c r="A71" s="8">
        <v>42854.337893518517</v>
      </c>
      <c r="B71" s="20" t="s">
        <v>394</v>
      </c>
      <c r="C71" s="20" t="s">
        <v>564</v>
      </c>
      <c r="D71" s="141">
        <v>1520000</v>
      </c>
      <c r="E71" s="20" t="s">
        <v>640</v>
      </c>
      <c r="F71" s="20" t="s">
        <v>641</v>
      </c>
      <c r="G71" s="8" t="str">
        <f t="shared" si="1"/>
        <v>MAYBERRY BILL</v>
      </c>
    </row>
    <row r="72" spans="1:7" x14ac:dyDescent="0.25">
      <c r="A72" s="8">
        <v>42854.342650462961</v>
      </c>
      <c r="B72" s="20" t="s">
        <v>356</v>
      </c>
      <c r="C72" s="20" t="s">
        <v>664</v>
      </c>
      <c r="D72" s="141">
        <v>2260000</v>
      </c>
      <c r="E72" s="20" t="s">
        <v>481</v>
      </c>
      <c r="F72" s="20" t="s">
        <v>482</v>
      </c>
      <c r="G72" s="8" t="str">
        <f t="shared" si="1"/>
        <v>ARVIDSON DANIEL</v>
      </c>
    </row>
    <row r="73" spans="1:7" x14ac:dyDescent="0.25">
      <c r="A73" s="8">
        <v>42854.344270833331</v>
      </c>
      <c r="B73" s="20" t="s">
        <v>417</v>
      </c>
      <c r="C73" s="20" t="s">
        <v>665</v>
      </c>
      <c r="D73" s="141">
        <v>2140000</v>
      </c>
      <c r="E73" s="20" t="s">
        <v>618</v>
      </c>
      <c r="F73" s="20" t="s">
        <v>619</v>
      </c>
      <c r="G73" s="8" t="str">
        <f t="shared" si="1"/>
        <v>ROBINSON KADDIBA</v>
      </c>
    </row>
    <row r="74" spans="1:7" x14ac:dyDescent="0.25">
      <c r="A74" s="8">
        <v>42854.351782407408</v>
      </c>
      <c r="B74" s="20" t="s">
        <v>432</v>
      </c>
      <c r="C74" s="20" t="s">
        <v>666</v>
      </c>
      <c r="D74" s="141">
        <v>890000</v>
      </c>
      <c r="E74" s="20" t="s">
        <v>464</v>
      </c>
      <c r="F74" s="20" t="s">
        <v>465</v>
      </c>
      <c r="G74" s="8" t="str">
        <f t="shared" si="1"/>
        <v>LOZA FIDEL</v>
      </c>
    </row>
    <row r="75" spans="1:7" x14ac:dyDescent="0.25">
      <c r="A75" s="8">
        <v>42854.353032407409</v>
      </c>
      <c r="B75" s="20" t="s">
        <v>353</v>
      </c>
      <c r="C75" s="20" t="s">
        <v>667</v>
      </c>
      <c r="D75" s="141">
        <v>2010000</v>
      </c>
      <c r="E75" s="20" t="s">
        <v>622</v>
      </c>
      <c r="F75" s="20" t="s">
        <v>623</v>
      </c>
      <c r="G75" s="8" t="str">
        <f t="shared" si="1"/>
        <v>MAELZER KURT</v>
      </c>
    </row>
    <row r="76" spans="1:7" x14ac:dyDescent="0.25">
      <c r="A76" s="8">
        <v>42854.359074074076</v>
      </c>
      <c r="B76" s="20" t="s">
        <v>382</v>
      </c>
      <c r="C76" s="20" t="s">
        <v>668</v>
      </c>
      <c r="D76" s="141">
        <v>1290000</v>
      </c>
      <c r="E76" s="20" t="s">
        <v>507</v>
      </c>
      <c r="F76" s="20" t="s">
        <v>508</v>
      </c>
      <c r="G76" s="8" t="str">
        <f t="shared" si="1"/>
        <v>COOLAHAN JOHN</v>
      </c>
    </row>
    <row r="77" spans="1:7" x14ac:dyDescent="0.25">
      <c r="A77" s="8">
        <v>42854.359907407408</v>
      </c>
      <c r="B77" s="20" t="s">
        <v>387</v>
      </c>
      <c r="C77" s="20" t="s">
        <v>669</v>
      </c>
      <c r="D77" s="141">
        <v>2260000</v>
      </c>
      <c r="E77" s="20" t="s">
        <v>481</v>
      </c>
      <c r="F77" s="20" t="s">
        <v>482</v>
      </c>
      <c r="G77" s="8" t="str">
        <f t="shared" si="1"/>
        <v>ARVIDSON DANIEL</v>
      </c>
    </row>
    <row r="78" spans="1:7" x14ac:dyDescent="0.25">
      <c r="A78" s="8">
        <v>42854.369791666664</v>
      </c>
      <c r="B78" s="20" t="s">
        <v>357</v>
      </c>
      <c r="C78" s="20" t="s">
        <v>566</v>
      </c>
      <c r="D78" s="141">
        <v>1990000</v>
      </c>
      <c r="E78" s="20" t="s">
        <v>627</v>
      </c>
      <c r="F78" s="20" t="s">
        <v>628</v>
      </c>
      <c r="G78" s="8" t="str">
        <f t="shared" si="1"/>
        <v>DAVIS WENDY</v>
      </c>
    </row>
    <row r="79" spans="1:7" x14ac:dyDescent="0.25">
      <c r="A79" s="8">
        <v>42854.369803240741</v>
      </c>
      <c r="B79" s="20" t="s">
        <v>579</v>
      </c>
      <c r="C79" s="20" t="s">
        <v>670</v>
      </c>
      <c r="D79" s="141">
        <v>1360000</v>
      </c>
      <c r="E79" s="20" t="s">
        <v>630</v>
      </c>
      <c r="F79" s="20" t="s">
        <v>631</v>
      </c>
      <c r="G79" s="8" t="str">
        <f t="shared" si="1"/>
        <v>SANTIZO D. EDY</v>
      </c>
    </row>
    <row r="80" spans="1:7" x14ac:dyDescent="0.25">
      <c r="A80" s="8">
        <v>42854.372349537036</v>
      </c>
      <c r="B80" s="20" t="s">
        <v>393</v>
      </c>
      <c r="C80" s="20" t="s">
        <v>565</v>
      </c>
      <c r="D80" s="141">
        <v>1520000</v>
      </c>
      <c r="E80" s="20" t="s">
        <v>640</v>
      </c>
      <c r="F80" s="20" t="s">
        <v>641</v>
      </c>
      <c r="G80" s="8" t="str">
        <f t="shared" si="1"/>
        <v>MAYBERRY BILL</v>
      </c>
    </row>
    <row r="81" spans="1:7" x14ac:dyDescent="0.25">
      <c r="A81" s="8">
        <v>42854.379861111112</v>
      </c>
      <c r="B81" s="20" t="s">
        <v>416</v>
      </c>
      <c r="C81" s="20" t="s">
        <v>568</v>
      </c>
      <c r="D81" s="141">
        <v>2140000</v>
      </c>
      <c r="E81" s="20" t="s">
        <v>618</v>
      </c>
      <c r="F81" s="20" t="s">
        <v>619</v>
      </c>
      <c r="G81" s="8" t="str">
        <f t="shared" si="1"/>
        <v>ROBINSON KADDIBA</v>
      </c>
    </row>
    <row r="82" spans="1:7" x14ac:dyDescent="0.25">
      <c r="A82" s="8">
        <v>42854.384502314817</v>
      </c>
      <c r="B82" s="20" t="s">
        <v>356</v>
      </c>
      <c r="C82" s="20" t="s">
        <v>669</v>
      </c>
      <c r="D82" s="141">
        <v>2260000</v>
      </c>
      <c r="E82" s="20" t="s">
        <v>481</v>
      </c>
      <c r="F82" s="20" t="s">
        <v>482</v>
      </c>
      <c r="G82" s="8" t="str">
        <f t="shared" si="1"/>
        <v>ARVIDSON DANIEL</v>
      </c>
    </row>
    <row r="83" spans="1:7" x14ac:dyDescent="0.25">
      <c r="A83" s="8">
        <v>42854.385370370372</v>
      </c>
      <c r="B83" s="20" t="s">
        <v>356</v>
      </c>
      <c r="C83" s="20" t="s">
        <v>671</v>
      </c>
      <c r="D83" s="141">
        <v>2260000</v>
      </c>
      <c r="E83" s="20" t="s">
        <v>481</v>
      </c>
      <c r="F83" s="20" t="s">
        <v>482</v>
      </c>
      <c r="G83" s="8" t="str">
        <f t="shared" si="1"/>
        <v>ARVIDSON DANIEL</v>
      </c>
    </row>
    <row r="84" spans="1:7" x14ac:dyDescent="0.25">
      <c r="A84" s="8">
        <v>42854.389386574076</v>
      </c>
      <c r="B84" s="20" t="s">
        <v>463</v>
      </c>
      <c r="C84" s="20" t="s">
        <v>571</v>
      </c>
      <c r="D84" s="141">
        <v>890000</v>
      </c>
      <c r="E84" s="20" t="s">
        <v>464</v>
      </c>
      <c r="F84" s="20" t="s">
        <v>465</v>
      </c>
      <c r="G84" s="8" t="str">
        <f t="shared" si="1"/>
        <v>LOZA FIDEL</v>
      </c>
    </row>
    <row r="85" spans="1:7" x14ac:dyDescent="0.25">
      <c r="A85" s="8">
        <v>42854.391250000001</v>
      </c>
      <c r="B85" s="20" t="s">
        <v>352</v>
      </c>
      <c r="C85" s="20" t="s">
        <v>672</v>
      </c>
      <c r="D85" s="141">
        <v>2010000</v>
      </c>
      <c r="E85" s="20" t="s">
        <v>622</v>
      </c>
      <c r="F85" s="20" t="s">
        <v>623</v>
      </c>
      <c r="G85" s="8" t="str">
        <f t="shared" si="1"/>
        <v>MAELZER KURT</v>
      </c>
    </row>
    <row r="86" spans="1:7" x14ac:dyDescent="0.25">
      <c r="A86" s="8">
        <v>42854.391840277778</v>
      </c>
      <c r="B86" s="20" t="s">
        <v>386</v>
      </c>
      <c r="C86" s="20" t="s">
        <v>673</v>
      </c>
      <c r="D86" s="141">
        <v>1290000</v>
      </c>
      <c r="E86" s="20" t="s">
        <v>507</v>
      </c>
      <c r="F86" s="20" t="s">
        <v>508</v>
      </c>
      <c r="G86" s="8" t="str">
        <f t="shared" si="1"/>
        <v>COOLAHAN JOHN</v>
      </c>
    </row>
    <row r="87" spans="1:7" x14ac:dyDescent="0.25">
      <c r="A87" s="8">
        <v>42854.400833333333</v>
      </c>
      <c r="B87" s="20" t="s">
        <v>387</v>
      </c>
      <c r="C87" s="20" t="s">
        <v>567</v>
      </c>
      <c r="D87" s="141">
        <v>2260000</v>
      </c>
      <c r="E87" s="20" t="s">
        <v>481</v>
      </c>
      <c r="F87" s="20" t="s">
        <v>482</v>
      </c>
      <c r="G87" s="8" t="str">
        <f t="shared" si="1"/>
        <v>ARVIDSON DANIEL</v>
      </c>
    </row>
    <row r="88" spans="1:7" x14ac:dyDescent="0.25">
      <c r="A88" s="8">
        <v>42854.403078703705</v>
      </c>
      <c r="B88" s="20" t="s">
        <v>358</v>
      </c>
      <c r="C88" s="20" t="s">
        <v>674</v>
      </c>
      <c r="D88" s="141">
        <v>1990000</v>
      </c>
      <c r="E88" s="20" t="s">
        <v>627</v>
      </c>
      <c r="F88" s="20" t="s">
        <v>628</v>
      </c>
      <c r="G88" s="8" t="str">
        <f t="shared" si="1"/>
        <v>DAVIS WENDY</v>
      </c>
    </row>
    <row r="89" spans="1:7" x14ac:dyDescent="0.25">
      <c r="A89" s="8">
        <v>42854.403541666667</v>
      </c>
      <c r="B89" s="20" t="s">
        <v>394</v>
      </c>
      <c r="C89" s="20" t="s">
        <v>572</v>
      </c>
      <c r="D89" s="141">
        <v>1520000</v>
      </c>
      <c r="E89" s="20" t="s">
        <v>640</v>
      </c>
      <c r="F89" s="20" t="s">
        <v>641</v>
      </c>
      <c r="G89" s="8" t="str">
        <f t="shared" si="1"/>
        <v>MAYBERRY BILL</v>
      </c>
    </row>
    <row r="90" spans="1:7" x14ac:dyDescent="0.25">
      <c r="A90" s="8">
        <v>42854.410243055558</v>
      </c>
      <c r="B90" s="20" t="s">
        <v>433</v>
      </c>
      <c r="C90" s="20" t="s">
        <v>675</v>
      </c>
      <c r="D90" s="141">
        <v>1360000</v>
      </c>
      <c r="E90" s="20" t="s">
        <v>630</v>
      </c>
      <c r="F90" s="20" t="s">
        <v>631</v>
      </c>
      <c r="G90" s="8" t="str">
        <f t="shared" si="1"/>
        <v>SANTIZO D. EDY</v>
      </c>
    </row>
    <row r="91" spans="1:7" x14ac:dyDescent="0.25">
      <c r="A91" s="8">
        <v>42854.417662037034</v>
      </c>
      <c r="B91" s="20" t="s">
        <v>417</v>
      </c>
      <c r="C91" s="20" t="s">
        <v>676</v>
      </c>
      <c r="D91" s="141">
        <v>2140000</v>
      </c>
      <c r="E91" s="20" t="s">
        <v>618</v>
      </c>
      <c r="F91" s="20" t="s">
        <v>619</v>
      </c>
      <c r="G91" s="8" t="str">
        <f t="shared" si="1"/>
        <v>ROBINSON KADDIBA</v>
      </c>
    </row>
    <row r="92" spans="1:7" x14ac:dyDescent="0.25">
      <c r="A92" s="8">
        <v>42854.423958333333</v>
      </c>
      <c r="B92" s="20" t="s">
        <v>432</v>
      </c>
      <c r="C92" s="20" t="s">
        <v>677</v>
      </c>
      <c r="D92" s="141">
        <v>890000</v>
      </c>
      <c r="E92" s="20" t="s">
        <v>464</v>
      </c>
      <c r="F92" s="20" t="s">
        <v>465</v>
      </c>
      <c r="G92" s="8" t="str">
        <f t="shared" si="1"/>
        <v>LOZA FIDEL</v>
      </c>
    </row>
    <row r="93" spans="1:7" x14ac:dyDescent="0.25">
      <c r="A93" s="8">
        <v>42854.424363425926</v>
      </c>
      <c r="B93" s="20" t="s">
        <v>356</v>
      </c>
      <c r="C93" s="20" t="s">
        <v>678</v>
      </c>
      <c r="D93" s="141">
        <v>2260000</v>
      </c>
      <c r="E93" s="20" t="s">
        <v>481</v>
      </c>
      <c r="F93" s="20" t="s">
        <v>482</v>
      </c>
      <c r="G93" s="8" t="str">
        <f t="shared" si="1"/>
        <v>ARVIDSON DANIEL</v>
      </c>
    </row>
    <row r="94" spans="1:7" x14ac:dyDescent="0.25">
      <c r="A94" s="8">
        <v>42854.42659722222</v>
      </c>
      <c r="B94" s="20" t="s">
        <v>353</v>
      </c>
      <c r="C94" s="20" t="s">
        <v>679</v>
      </c>
      <c r="D94" s="141">
        <v>2010000</v>
      </c>
      <c r="E94" s="20" t="s">
        <v>622</v>
      </c>
      <c r="F94" s="20" t="s">
        <v>623</v>
      </c>
      <c r="G94" s="8" t="str">
        <f t="shared" si="1"/>
        <v>MAELZER KURT</v>
      </c>
    </row>
    <row r="95" spans="1:7" x14ac:dyDescent="0.25">
      <c r="A95" s="8">
        <v>42854.43377314815</v>
      </c>
      <c r="B95" s="20" t="s">
        <v>382</v>
      </c>
      <c r="C95" s="20" t="s">
        <v>680</v>
      </c>
      <c r="D95" s="141">
        <v>2470000</v>
      </c>
      <c r="E95" s="20" t="s">
        <v>681</v>
      </c>
      <c r="F95" s="20" t="s">
        <v>682</v>
      </c>
      <c r="G95" s="8" t="str">
        <f t="shared" si="1"/>
        <v>ROMERO CHAD</v>
      </c>
    </row>
    <row r="96" spans="1:7" x14ac:dyDescent="0.25">
      <c r="A96" s="8">
        <v>42854.44290509259</v>
      </c>
      <c r="B96" s="20" t="s">
        <v>357</v>
      </c>
      <c r="C96" s="20" t="s">
        <v>574</v>
      </c>
      <c r="D96" s="141">
        <v>1990000</v>
      </c>
      <c r="E96" s="20" t="s">
        <v>627</v>
      </c>
      <c r="F96" s="20" t="s">
        <v>628</v>
      </c>
      <c r="G96" s="8" t="str">
        <f t="shared" si="1"/>
        <v>DAVIS WENDY</v>
      </c>
    </row>
    <row r="97" spans="1:7" x14ac:dyDescent="0.25">
      <c r="A97" s="8">
        <v>42854.443148148152</v>
      </c>
      <c r="B97" s="20" t="s">
        <v>387</v>
      </c>
      <c r="C97" s="20" t="s">
        <v>683</v>
      </c>
      <c r="D97" s="141">
        <v>2260000</v>
      </c>
      <c r="E97" s="20" t="s">
        <v>481</v>
      </c>
      <c r="F97" s="20" t="s">
        <v>482</v>
      </c>
      <c r="G97" s="8" t="str">
        <f t="shared" si="1"/>
        <v>ARVIDSON DANIEL</v>
      </c>
    </row>
    <row r="98" spans="1:7" x14ac:dyDescent="0.25">
      <c r="A98" s="8">
        <v>42854.443877314814</v>
      </c>
      <c r="B98" s="20" t="s">
        <v>579</v>
      </c>
      <c r="C98" s="20" t="s">
        <v>684</v>
      </c>
      <c r="D98" s="141">
        <v>1360000</v>
      </c>
      <c r="E98" s="20" t="s">
        <v>630</v>
      </c>
      <c r="F98" s="20" t="s">
        <v>631</v>
      </c>
      <c r="G98" s="8" t="str">
        <f t="shared" si="1"/>
        <v>SANTIZO D. EDY</v>
      </c>
    </row>
    <row r="99" spans="1:7" x14ac:dyDescent="0.25">
      <c r="A99" s="8">
        <v>42854.445127314815</v>
      </c>
      <c r="B99" s="20" t="s">
        <v>393</v>
      </c>
      <c r="C99" s="20" t="s">
        <v>573</v>
      </c>
      <c r="D99" s="141">
        <v>1520000</v>
      </c>
      <c r="E99" s="20" t="s">
        <v>640</v>
      </c>
      <c r="F99" s="20" t="s">
        <v>641</v>
      </c>
      <c r="G99" s="8" t="str">
        <f t="shared" si="1"/>
        <v>MAYBERRY BILL</v>
      </c>
    </row>
    <row r="100" spans="1:7" x14ac:dyDescent="0.25">
      <c r="A100" s="8">
        <v>42854.454756944448</v>
      </c>
      <c r="B100" s="20" t="s">
        <v>416</v>
      </c>
      <c r="C100" s="20" t="s">
        <v>685</v>
      </c>
      <c r="D100" s="141">
        <v>880000</v>
      </c>
      <c r="E100" s="20" t="s">
        <v>686</v>
      </c>
      <c r="F100" s="20" t="s">
        <v>196</v>
      </c>
      <c r="G100" s="8" t="str">
        <f t="shared" si="1"/>
        <v>STEWART MICHAEL</v>
      </c>
    </row>
    <row r="101" spans="1:7" x14ac:dyDescent="0.25">
      <c r="A101" s="8">
        <v>42854.458229166667</v>
      </c>
      <c r="B101" s="20" t="s">
        <v>505</v>
      </c>
      <c r="C101" s="20" t="s">
        <v>575</v>
      </c>
      <c r="D101" s="141">
        <v>1770000</v>
      </c>
      <c r="E101" s="20" t="s">
        <v>687</v>
      </c>
      <c r="F101" s="20" t="s">
        <v>688</v>
      </c>
      <c r="G101" s="8" t="str">
        <f t="shared" si="1"/>
        <v>BRUDER RICHARD</v>
      </c>
    </row>
    <row r="102" spans="1:7" x14ac:dyDescent="0.25">
      <c r="A102" s="8">
        <v>42854.461446759262</v>
      </c>
      <c r="B102" s="20" t="s">
        <v>463</v>
      </c>
      <c r="C102" s="20" t="s">
        <v>689</v>
      </c>
      <c r="D102" s="141">
        <v>890000</v>
      </c>
      <c r="E102" s="20" t="s">
        <v>464</v>
      </c>
      <c r="F102" s="20" t="s">
        <v>465</v>
      </c>
      <c r="G102" s="8" t="str">
        <f t="shared" si="1"/>
        <v>LOZA FIDEL</v>
      </c>
    </row>
    <row r="103" spans="1:7" x14ac:dyDescent="0.25">
      <c r="A103" s="8">
        <v>42854.466134259259</v>
      </c>
      <c r="B103" s="20" t="s">
        <v>386</v>
      </c>
      <c r="C103" s="20" t="s">
        <v>690</v>
      </c>
      <c r="D103" s="141">
        <v>2470000</v>
      </c>
      <c r="E103" s="20" t="s">
        <v>681</v>
      </c>
      <c r="F103" s="20" t="s">
        <v>682</v>
      </c>
      <c r="G103" s="8" t="str">
        <f t="shared" si="1"/>
        <v>ROMERO CHAD</v>
      </c>
    </row>
    <row r="104" spans="1:7" x14ac:dyDescent="0.25">
      <c r="A104" s="8">
        <v>42854.46733796296</v>
      </c>
      <c r="B104" s="20" t="s">
        <v>352</v>
      </c>
      <c r="C104" s="20" t="s">
        <v>691</v>
      </c>
      <c r="D104" s="141">
        <v>920000</v>
      </c>
      <c r="E104" s="20" t="s">
        <v>627</v>
      </c>
      <c r="F104" s="20" t="s">
        <v>196</v>
      </c>
      <c r="G104" s="8" t="str">
        <f t="shared" si="1"/>
        <v>DAVIS MICHAEL</v>
      </c>
    </row>
    <row r="105" spans="1:7" x14ac:dyDescent="0.25">
      <c r="A105" s="8">
        <v>42854.468865740739</v>
      </c>
      <c r="B105" s="20" t="s">
        <v>356</v>
      </c>
      <c r="C105" s="20" t="s">
        <v>576</v>
      </c>
      <c r="D105" s="141">
        <v>2260000</v>
      </c>
      <c r="E105" s="20" t="s">
        <v>481</v>
      </c>
      <c r="F105" s="20" t="s">
        <v>482</v>
      </c>
      <c r="G105" s="8" t="str">
        <f t="shared" si="1"/>
        <v>ARVIDSON DANIEL</v>
      </c>
    </row>
    <row r="106" spans="1:7" x14ac:dyDescent="0.25">
      <c r="A106" s="8">
        <v>42854.475358796299</v>
      </c>
      <c r="B106" s="20" t="s">
        <v>394</v>
      </c>
      <c r="C106" s="20" t="s">
        <v>577</v>
      </c>
      <c r="D106" s="141">
        <v>1520000</v>
      </c>
      <c r="E106" s="20" t="s">
        <v>640</v>
      </c>
      <c r="F106" s="20" t="s">
        <v>641</v>
      </c>
      <c r="G106" s="8" t="str">
        <f t="shared" si="1"/>
        <v>MAYBERRY BILL</v>
      </c>
    </row>
    <row r="107" spans="1:7" x14ac:dyDescent="0.25">
      <c r="A107" s="8">
        <v>42854.476377314815</v>
      </c>
      <c r="B107" s="20" t="s">
        <v>358</v>
      </c>
      <c r="C107" s="20" t="s">
        <v>692</v>
      </c>
      <c r="D107" s="141">
        <v>1770000</v>
      </c>
      <c r="E107" s="20" t="s">
        <v>687</v>
      </c>
      <c r="F107" s="20" t="s">
        <v>688</v>
      </c>
      <c r="G107" s="8" t="str">
        <f t="shared" si="1"/>
        <v>BRUDER RICHARD</v>
      </c>
    </row>
    <row r="108" spans="1:7" x14ac:dyDescent="0.25">
      <c r="A108" s="8">
        <v>42854.4766087963</v>
      </c>
      <c r="B108" s="20" t="s">
        <v>425</v>
      </c>
      <c r="C108" s="20" t="s">
        <v>693</v>
      </c>
      <c r="D108" s="141">
        <v>2530000</v>
      </c>
      <c r="E108" s="20" t="s">
        <v>694</v>
      </c>
      <c r="F108" s="20" t="s">
        <v>695</v>
      </c>
      <c r="G108" s="8" t="str">
        <f t="shared" si="1"/>
        <v>LALONDE GREGORY</v>
      </c>
    </row>
    <row r="109" spans="1:7" x14ac:dyDescent="0.25">
      <c r="A109" s="8">
        <v>42854.483981481484</v>
      </c>
      <c r="B109" s="20" t="s">
        <v>433</v>
      </c>
      <c r="C109" s="20" t="s">
        <v>578</v>
      </c>
      <c r="D109" s="141">
        <v>2360000</v>
      </c>
      <c r="E109" s="20" t="s">
        <v>509</v>
      </c>
      <c r="F109" s="20" t="s">
        <v>510</v>
      </c>
      <c r="G109" s="8" t="str">
        <f t="shared" si="1"/>
        <v>BRANDNER MELINDA</v>
      </c>
    </row>
    <row r="110" spans="1:7" x14ac:dyDescent="0.25">
      <c r="A110" s="8">
        <v>42854.48400462963</v>
      </c>
      <c r="B110" s="20" t="s">
        <v>387</v>
      </c>
      <c r="C110" s="20" t="s">
        <v>696</v>
      </c>
      <c r="D110" s="141">
        <v>2260000</v>
      </c>
      <c r="E110" s="20" t="s">
        <v>481</v>
      </c>
      <c r="F110" s="20" t="s">
        <v>482</v>
      </c>
      <c r="G110" s="8" t="str">
        <f t="shared" si="1"/>
        <v>ARVIDSON DANIEL</v>
      </c>
    </row>
    <row r="111" spans="1:7" x14ac:dyDescent="0.25">
      <c r="A111" s="8">
        <v>42854.48709490741</v>
      </c>
      <c r="B111" s="20" t="s">
        <v>426</v>
      </c>
      <c r="C111" s="20" t="s">
        <v>697</v>
      </c>
      <c r="D111" s="141">
        <v>1990000</v>
      </c>
      <c r="E111" s="20" t="s">
        <v>627</v>
      </c>
      <c r="F111" s="20" t="s">
        <v>628</v>
      </c>
      <c r="G111" s="8" t="str">
        <f t="shared" si="1"/>
        <v>DAVIS WENDY</v>
      </c>
    </row>
    <row r="112" spans="1:7" x14ac:dyDescent="0.25">
      <c r="A112" s="8">
        <v>42854.494513888887</v>
      </c>
      <c r="B112" s="20" t="s">
        <v>417</v>
      </c>
      <c r="C112" s="20" t="s">
        <v>698</v>
      </c>
      <c r="D112" s="141">
        <v>880000</v>
      </c>
      <c r="E112" s="20" t="s">
        <v>686</v>
      </c>
      <c r="F112" s="20" t="s">
        <v>196</v>
      </c>
      <c r="G112" s="8" t="str">
        <f t="shared" si="1"/>
        <v>STEWART MICHAEL</v>
      </c>
    </row>
    <row r="113" spans="1:7" x14ac:dyDescent="0.25">
      <c r="A113" s="8">
        <v>42854.498252314814</v>
      </c>
      <c r="B113" s="20" t="s">
        <v>432</v>
      </c>
      <c r="C113" s="20" t="s">
        <v>699</v>
      </c>
      <c r="D113" s="141">
        <v>2530000</v>
      </c>
      <c r="E113" s="20" t="s">
        <v>694</v>
      </c>
      <c r="F113" s="20" t="s">
        <v>695</v>
      </c>
      <c r="G113" s="8" t="str">
        <f t="shared" si="1"/>
        <v>LALONDE GREGORY</v>
      </c>
    </row>
    <row r="114" spans="1:7" x14ac:dyDescent="0.25">
      <c r="A114" s="8">
        <v>42854.504421296297</v>
      </c>
      <c r="B114" s="20" t="s">
        <v>506</v>
      </c>
      <c r="C114" s="20" t="s">
        <v>700</v>
      </c>
      <c r="D114" s="141">
        <v>890000</v>
      </c>
      <c r="E114" s="20" t="s">
        <v>464</v>
      </c>
      <c r="F114" s="20" t="s">
        <v>465</v>
      </c>
      <c r="G114" s="8" t="str">
        <f t="shared" si="1"/>
        <v>LOZA FIDEL</v>
      </c>
    </row>
    <row r="115" spans="1:7" x14ac:dyDescent="0.25">
      <c r="A115" s="8">
        <v>42854.504652777781</v>
      </c>
      <c r="B115" s="20" t="s">
        <v>382</v>
      </c>
      <c r="C115" s="20" t="s">
        <v>701</v>
      </c>
      <c r="D115" s="141">
        <v>2470000</v>
      </c>
      <c r="E115" s="20" t="s">
        <v>681</v>
      </c>
      <c r="F115" s="20" t="s">
        <v>682</v>
      </c>
      <c r="G115" s="8" t="str">
        <f t="shared" si="1"/>
        <v>ROMERO CHAD</v>
      </c>
    </row>
    <row r="116" spans="1:7" x14ac:dyDescent="0.25">
      <c r="A116" s="8">
        <v>42854.504826388889</v>
      </c>
      <c r="B116" s="20" t="s">
        <v>353</v>
      </c>
      <c r="C116" s="20" t="s">
        <v>702</v>
      </c>
      <c r="D116" s="141">
        <v>920000</v>
      </c>
      <c r="E116" s="20" t="s">
        <v>627</v>
      </c>
      <c r="F116" s="20" t="s">
        <v>196</v>
      </c>
      <c r="G116" s="8" t="str">
        <f t="shared" si="1"/>
        <v>DAVIS MICHAEL</v>
      </c>
    </row>
    <row r="117" spans="1:7" x14ac:dyDescent="0.25">
      <c r="A117" s="8">
        <v>42854.510925925926</v>
      </c>
      <c r="B117" s="20" t="s">
        <v>356</v>
      </c>
      <c r="C117" s="20" t="s">
        <v>703</v>
      </c>
      <c r="D117" s="141">
        <v>2260000</v>
      </c>
      <c r="E117" s="20" t="s">
        <v>481</v>
      </c>
      <c r="F117" s="20" t="s">
        <v>482</v>
      </c>
      <c r="G117" s="8" t="str">
        <f t="shared" si="1"/>
        <v>ARVIDSON DANIEL</v>
      </c>
    </row>
    <row r="118" spans="1:7" x14ac:dyDescent="0.25">
      <c r="A118" s="8">
        <v>42854.513680555552</v>
      </c>
      <c r="B118" s="20" t="s">
        <v>357</v>
      </c>
      <c r="C118" s="20" t="s">
        <v>704</v>
      </c>
      <c r="D118" s="141">
        <v>1770000</v>
      </c>
      <c r="E118" s="20" t="s">
        <v>687</v>
      </c>
      <c r="F118" s="20" t="s">
        <v>688</v>
      </c>
      <c r="G118" s="8" t="str">
        <f t="shared" si="1"/>
        <v>BRUDER RICHARD</v>
      </c>
    </row>
    <row r="119" spans="1:7" x14ac:dyDescent="0.25">
      <c r="A119" s="8">
        <v>42854.518541666665</v>
      </c>
      <c r="B119" s="20" t="s">
        <v>393</v>
      </c>
      <c r="C119" s="20" t="s">
        <v>705</v>
      </c>
      <c r="D119" s="141">
        <v>2540000</v>
      </c>
      <c r="E119" s="20" t="s">
        <v>513</v>
      </c>
      <c r="F119" s="20" t="s">
        <v>514</v>
      </c>
      <c r="G119" s="8" t="str">
        <f t="shared" si="1"/>
        <v>MCREYNOLDS KYLE</v>
      </c>
    </row>
    <row r="120" spans="1:7" x14ac:dyDescent="0.25">
      <c r="A120" s="8">
        <v>42854.524895833332</v>
      </c>
      <c r="B120" s="20" t="s">
        <v>579</v>
      </c>
      <c r="C120" s="20" t="s">
        <v>580</v>
      </c>
      <c r="D120" s="141">
        <v>2360000</v>
      </c>
      <c r="E120" s="20" t="s">
        <v>509</v>
      </c>
      <c r="F120" s="20" t="s">
        <v>510</v>
      </c>
      <c r="G120" s="8" t="str">
        <f t="shared" si="1"/>
        <v>BRANDNER MELINDA</v>
      </c>
    </row>
    <row r="121" spans="1:7" x14ac:dyDescent="0.25">
      <c r="A121" s="8">
        <v>42854.526423611111</v>
      </c>
      <c r="B121" s="20" t="s">
        <v>387</v>
      </c>
      <c r="C121" s="20" t="s">
        <v>706</v>
      </c>
      <c r="D121" s="141">
        <v>2260000</v>
      </c>
      <c r="E121" s="20" t="s">
        <v>481</v>
      </c>
      <c r="F121" s="20" t="s">
        <v>482</v>
      </c>
      <c r="G121" s="8" t="str">
        <f t="shared" si="1"/>
        <v>ARVIDSON DANIEL</v>
      </c>
    </row>
    <row r="122" spans="1:7" x14ac:dyDescent="0.25">
      <c r="A122" s="8">
        <v>42854.52753472222</v>
      </c>
      <c r="B122" s="25" t="s">
        <v>416</v>
      </c>
      <c r="C122" s="20" t="s">
        <v>707</v>
      </c>
      <c r="D122" s="141">
        <v>880000</v>
      </c>
      <c r="E122" s="20" t="s">
        <v>686</v>
      </c>
      <c r="F122" s="20" t="s">
        <v>196</v>
      </c>
      <c r="G122" s="8" t="str">
        <f t="shared" si="1"/>
        <v>STEWART MICHAEL</v>
      </c>
    </row>
    <row r="123" spans="1:7" x14ac:dyDescent="0.25">
      <c r="A123" s="8">
        <v>42854.527881944443</v>
      </c>
      <c r="B123" s="20" t="s">
        <v>463</v>
      </c>
      <c r="C123" s="20" t="s">
        <v>708</v>
      </c>
      <c r="D123" s="141">
        <v>2530000</v>
      </c>
      <c r="E123" s="20" t="s">
        <v>694</v>
      </c>
      <c r="F123" s="20" t="s">
        <v>695</v>
      </c>
      <c r="G123" s="8" t="str">
        <f t="shared" si="1"/>
        <v>LALONDE GREGORY</v>
      </c>
    </row>
    <row r="124" spans="1:7" x14ac:dyDescent="0.25">
      <c r="A124" s="8">
        <v>42854.54</v>
      </c>
      <c r="B124" s="20" t="s">
        <v>352</v>
      </c>
      <c r="C124" s="20" t="s">
        <v>709</v>
      </c>
      <c r="D124" s="141">
        <v>920000</v>
      </c>
      <c r="E124" s="20" t="s">
        <v>627</v>
      </c>
      <c r="F124" s="20" t="s">
        <v>196</v>
      </c>
      <c r="G124" s="8" t="str">
        <f t="shared" si="1"/>
        <v>DAVIS MICHAEL</v>
      </c>
    </row>
    <row r="125" spans="1:7" x14ac:dyDescent="0.25">
      <c r="A125" s="8">
        <v>42854.540023148147</v>
      </c>
      <c r="B125" s="20" t="s">
        <v>386</v>
      </c>
      <c r="C125" s="20" t="s">
        <v>582</v>
      </c>
      <c r="D125" s="141">
        <v>2470000</v>
      </c>
      <c r="E125" s="20" t="s">
        <v>681</v>
      </c>
      <c r="F125" s="20" t="s">
        <v>682</v>
      </c>
      <c r="G125" s="8" t="str">
        <f t="shared" si="1"/>
        <v>ROMERO CHAD</v>
      </c>
    </row>
    <row r="126" spans="1:7" x14ac:dyDescent="0.25">
      <c r="A126" s="8">
        <v>42854.547314814816</v>
      </c>
      <c r="B126" s="20" t="s">
        <v>358</v>
      </c>
      <c r="C126" s="20" t="s">
        <v>710</v>
      </c>
      <c r="D126" s="141">
        <v>1770000</v>
      </c>
      <c r="E126" s="20" t="s">
        <v>687</v>
      </c>
      <c r="F126" s="20" t="s">
        <v>688</v>
      </c>
      <c r="G126" s="8" t="str">
        <f t="shared" si="1"/>
        <v>BRUDER RICHARD</v>
      </c>
    </row>
    <row r="127" spans="1:7" x14ac:dyDescent="0.25">
      <c r="A127" s="8">
        <v>42854.550983796296</v>
      </c>
      <c r="B127" s="20" t="s">
        <v>394</v>
      </c>
      <c r="C127" s="20" t="s">
        <v>711</v>
      </c>
      <c r="D127" s="141">
        <v>2540000</v>
      </c>
      <c r="E127" s="20" t="s">
        <v>513</v>
      </c>
      <c r="F127" s="20" t="s">
        <v>514</v>
      </c>
      <c r="G127" s="8" t="str">
        <f t="shared" si="1"/>
        <v>MCREYNOLDS KYLE</v>
      </c>
    </row>
    <row r="128" spans="1:7" x14ac:dyDescent="0.25">
      <c r="A128" s="8">
        <v>42854.551412037035</v>
      </c>
      <c r="B128" s="20" t="s">
        <v>356</v>
      </c>
      <c r="C128" s="20" t="s">
        <v>581</v>
      </c>
      <c r="D128" s="141">
        <v>2260000</v>
      </c>
      <c r="E128" s="20" t="s">
        <v>481</v>
      </c>
      <c r="F128" s="20" t="s">
        <v>482</v>
      </c>
      <c r="G128" s="8" t="str">
        <f t="shared" si="1"/>
        <v>ARVIDSON DANIEL</v>
      </c>
    </row>
    <row r="129" spans="1:7" x14ac:dyDescent="0.25">
      <c r="A129" s="8">
        <v>42854.559062499997</v>
      </c>
      <c r="B129" s="20" t="s">
        <v>433</v>
      </c>
      <c r="C129" s="20" t="s">
        <v>580</v>
      </c>
      <c r="D129" s="141">
        <v>2360000</v>
      </c>
      <c r="E129" s="20" t="s">
        <v>509</v>
      </c>
      <c r="F129" s="20" t="s">
        <v>510</v>
      </c>
      <c r="G129" s="8" t="str">
        <f t="shared" si="1"/>
        <v>BRANDNER MELINDA</v>
      </c>
    </row>
    <row r="130" spans="1:7" x14ac:dyDescent="0.25">
      <c r="A130" s="8">
        <v>42854.559918981482</v>
      </c>
      <c r="B130" s="20" t="s">
        <v>433</v>
      </c>
      <c r="C130" s="20" t="s">
        <v>584</v>
      </c>
      <c r="D130" s="141">
        <v>2360000</v>
      </c>
      <c r="E130" s="20" t="s">
        <v>509</v>
      </c>
      <c r="F130" s="20" t="s">
        <v>510</v>
      </c>
      <c r="G130" s="8" t="str">
        <f t="shared" si="1"/>
        <v>BRANDNER MELINDA</v>
      </c>
    </row>
    <row r="131" spans="1:7" x14ac:dyDescent="0.25">
      <c r="A131" s="8">
        <v>42854.566990740743</v>
      </c>
      <c r="B131" s="20" t="s">
        <v>432</v>
      </c>
      <c r="C131" s="20" t="s">
        <v>712</v>
      </c>
      <c r="D131" s="141">
        <v>2530000</v>
      </c>
      <c r="E131" s="20" t="s">
        <v>694</v>
      </c>
      <c r="F131" s="20" t="s">
        <v>695</v>
      </c>
      <c r="G131" s="8" t="str">
        <f t="shared" ref="G131:G194" si="2">E131&amp;" "&amp;F131</f>
        <v>LALONDE GREGORY</v>
      </c>
    </row>
    <row r="132" spans="1:7" x14ac:dyDescent="0.25">
      <c r="A132" s="8">
        <v>42854.567094907405</v>
      </c>
      <c r="B132" s="20" t="s">
        <v>417</v>
      </c>
      <c r="C132" s="20" t="s">
        <v>585</v>
      </c>
      <c r="D132" s="141">
        <v>880000</v>
      </c>
      <c r="E132" s="20" t="s">
        <v>686</v>
      </c>
      <c r="F132" s="20" t="s">
        <v>196</v>
      </c>
      <c r="G132" s="8" t="str">
        <f t="shared" si="2"/>
        <v>STEWART MICHAEL</v>
      </c>
    </row>
    <row r="133" spans="1:7" x14ac:dyDescent="0.25">
      <c r="A133" s="8">
        <v>42854.570150462961</v>
      </c>
      <c r="B133" s="20" t="s">
        <v>387</v>
      </c>
      <c r="C133" s="20" t="s">
        <v>583</v>
      </c>
      <c r="D133" s="141">
        <v>2260000</v>
      </c>
      <c r="E133" s="20" t="s">
        <v>481</v>
      </c>
      <c r="F133" s="20" t="s">
        <v>482</v>
      </c>
      <c r="G133" s="8" t="str">
        <f t="shared" si="2"/>
        <v>ARVIDSON DANIEL</v>
      </c>
    </row>
    <row r="134" spans="1:7" x14ac:dyDescent="0.25">
      <c r="A134" s="8">
        <v>42854.578715277778</v>
      </c>
      <c r="B134" s="20" t="s">
        <v>353</v>
      </c>
      <c r="C134" s="20" t="s">
        <v>713</v>
      </c>
      <c r="D134" s="141">
        <v>920000</v>
      </c>
      <c r="E134" s="20" t="s">
        <v>627</v>
      </c>
      <c r="F134" s="20" t="s">
        <v>196</v>
      </c>
      <c r="G134" s="8" t="str">
        <f t="shared" si="2"/>
        <v>DAVIS MICHAEL</v>
      </c>
    </row>
    <row r="135" spans="1:7" x14ac:dyDescent="0.25">
      <c r="A135" s="8">
        <v>42854.578958333332</v>
      </c>
      <c r="B135" s="20" t="s">
        <v>382</v>
      </c>
      <c r="C135" s="20" t="s">
        <v>714</v>
      </c>
      <c r="D135" s="141">
        <v>2470000</v>
      </c>
      <c r="E135" s="20" t="s">
        <v>681</v>
      </c>
      <c r="F135" s="20" t="s">
        <v>682</v>
      </c>
      <c r="G135" s="8" t="str">
        <f t="shared" si="2"/>
        <v>ROMERO CHAD</v>
      </c>
    </row>
    <row r="136" spans="1:7" x14ac:dyDescent="0.25">
      <c r="A136" s="8">
        <v>42854.585335648146</v>
      </c>
      <c r="B136" s="20" t="s">
        <v>357</v>
      </c>
      <c r="C136" s="20" t="s">
        <v>715</v>
      </c>
      <c r="D136" s="141">
        <v>1770000</v>
      </c>
      <c r="E136" s="20" t="s">
        <v>687</v>
      </c>
      <c r="F136" s="20" t="s">
        <v>688</v>
      </c>
      <c r="G136" s="8" t="str">
        <f t="shared" si="2"/>
        <v>BRUDER RICHARD</v>
      </c>
    </row>
    <row r="137" spans="1:7" x14ac:dyDescent="0.25">
      <c r="A137" s="8">
        <v>42854.58935185185</v>
      </c>
      <c r="B137" s="20" t="s">
        <v>393</v>
      </c>
      <c r="C137" s="20" t="s">
        <v>716</v>
      </c>
      <c r="D137" s="141">
        <v>2540000</v>
      </c>
      <c r="E137" s="20" t="s">
        <v>513</v>
      </c>
      <c r="F137" s="20" t="s">
        <v>514</v>
      </c>
      <c r="G137" s="8" t="str">
        <f t="shared" si="2"/>
        <v>MCREYNOLDS KYLE</v>
      </c>
    </row>
    <row r="138" spans="1:7" x14ac:dyDescent="0.25">
      <c r="A138" s="8">
        <v>42854.595104166663</v>
      </c>
      <c r="B138" s="20" t="s">
        <v>356</v>
      </c>
      <c r="C138" s="20" t="s">
        <v>717</v>
      </c>
      <c r="D138" s="141">
        <v>1540000</v>
      </c>
      <c r="E138" s="20" t="s">
        <v>718</v>
      </c>
      <c r="F138" s="20" t="s">
        <v>719</v>
      </c>
      <c r="G138" s="8" t="str">
        <f t="shared" si="2"/>
        <v>HELVIE ADAM</v>
      </c>
    </row>
    <row r="139" spans="1:7" x14ac:dyDescent="0.25">
      <c r="A139" s="8">
        <v>42854.597777777781</v>
      </c>
      <c r="B139" s="20" t="s">
        <v>579</v>
      </c>
      <c r="C139" s="20" t="s">
        <v>720</v>
      </c>
      <c r="D139" s="141">
        <v>2360000</v>
      </c>
      <c r="E139" s="20" t="s">
        <v>509</v>
      </c>
      <c r="F139" s="20" t="s">
        <v>510</v>
      </c>
      <c r="G139" s="8" t="str">
        <f t="shared" si="2"/>
        <v>BRANDNER MELINDA</v>
      </c>
    </row>
    <row r="140" spans="1:7" x14ac:dyDescent="0.25">
      <c r="A140" s="8">
        <v>42854.599699074075</v>
      </c>
      <c r="B140" s="20" t="s">
        <v>463</v>
      </c>
      <c r="C140" s="20" t="s">
        <v>721</v>
      </c>
      <c r="D140" s="141">
        <v>2530000</v>
      </c>
      <c r="E140" s="20" t="s">
        <v>694</v>
      </c>
      <c r="F140" s="20" t="s">
        <v>695</v>
      </c>
      <c r="G140" s="8" t="str">
        <f t="shared" si="2"/>
        <v>LALONDE GREGORY</v>
      </c>
    </row>
    <row r="141" spans="1:7" x14ac:dyDescent="0.25">
      <c r="A141" s="8">
        <v>42854.602106481485</v>
      </c>
      <c r="B141" s="20" t="s">
        <v>416</v>
      </c>
      <c r="C141" s="20" t="s">
        <v>722</v>
      </c>
      <c r="D141" s="141">
        <v>880000</v>
      </c>
      <c r="E141" s="20" t="s">
        <v>686</v>
      </c>
      <c r="F141" s="20" t="s">
        <v>196</v>
      </c>
      <c r="G141" s="8" t="str">
        <f t="shared" si="2"/>
        <v>STEWART MICHAEL</v>
      </c>
    </row>
    <row r="142" spans="1:7" x14ac:dyDescent="0.25">
      <c r="A142" s="8">
        <v>42854.607523148145</v>
      </c>
      <c r="B142" s="20" t="s">
        <v>461</v>
      </c>
      <c r="C142" s="20" t="s">
        <v>723</v>
      </c>
      <c r="D142" s="141">
        <v>920000</v>
      </c>
      <c r="E142" s="20" t="s">
        <v>627</v>
      </c>
      <c r="F142" s="20" t="s">
        <v>196</v>
      </c>
      <c r="G142" s="8" t="str">
        <f t="shared" si="2"/>
        <v>DAVIS MICHAEL</v>
      </c>
    </row>
    <row r="143" spans="1:7" x14ac:dyDescent="0.25">
      <c r="A143" s="8">
        <v>42854.611898148149</v>
      </c>
      <c r="B143" s="20" t="s">
        <v>387</v>
      </c>
      <c r="C143" s="20" t="s">
        <v>724</v>
      </c>
      <c r="D143" s="141">
        <v>1540000</v>
      </c>
      <c r="E143" s="20" t="s">
        <v>718</v>
      </c>
      <c r="F143" s="20" t="s">
        <v>719</v>
      </c>
      <c r="G143" s="8" t="str">
        <f t="shared" si="2"/>
        <v>HELVIE ADAM</v>
      </c>
    </row>
    <row r="144" spans="1:7" x14ac:dyDescent="0.25">
      <c r="A144" s="8">
        <v>42854.612685185188</v>
      </c>
      <c r="B144" s="20" t="s">
        <v>352</v>
      </c>
      <c r="C144" s="20" t="s">
        <v>725</v>
      </c>
      <c r="D144" s="141">
        <v>2440000</v>
      </c>
      <c r="E144" s="20" t="s">
        <v>726</v>
      </c>
      <c r="F144" s="20" t="s">
        <v>727</v>
      </c>
      <c r="G144" s="8" t="str">
        <f t="shared" si="2"/>
        <v>LOPES KIMBERLY</v>
      </c>
    </row>
    <row r="145" spans="1:7" x14ac:dyDescent="0.25">
      <c r="A145" s="8">
        <v>42854.613969907405</v>
      </c>
      <c r="B145" s="20" t="s">
        <v>386</v>
      </c>
      <c r="C145" s="20" t="s">
        <v>587</v>
      </c>
      <c r="D145" s="141">
        <v>2370000</v>
      </c>
      <c r="E145" s="20" t="s">
        <v>483</v>
      </c>
      <c r="F145" s="20" t="s">
        <v>484</v>
      </c>
      <c r="G145" s="8" t="str">
        <f t="shared" si="2"/>
        <v>DELGADO DIANAH</v>
      </c>
    </row>
    <row r="146" spans="1:7" x14ac:dyDescent="0.25">
      <c r="A146" s="8">
        <v>42854.620057870372</v>
      </c>
      <c r="B146" s="20" t="s">
        <v>353</v>
      </c>
      <c r="C146" s="20" t="s">
        <v>725</v>
      </c>
      <c r="D146" s="141">
        <v>2440000</v>
      </c>
      <c r="E146" s="20" t="s">
        <v>726</v>
      </c>
      <c r="F146" s="20" t="s">
        <v>727</v>
      </c>
      <c r="G146" s="8" t="str">
        <f t="shared" si="2"/>
        <v>LOPES KIMBERLY</v>
      </c>
    </row>
    <row r="147" spans="1:7" x14ac:dyDescent="0.25">
      <c r="A147" s="8">
        <v>42854.620648148149</v>
      </c>
      <c r="B147" s="20" t="s">
        <v>358</v>
      </c>
      <c r="C147" s="20" t="s">
        <v>728</v>
      </c>
      <c r="D147" s="141">
        <v>1770000</v>
      </c>
      <c r="E147" s="20" t="s">
        <v>687</v>
      </c>
      <c r="F147" s="20" t="s">
        <v>688</v>
      </c>
      <c r="G147" s="8" t="str">
        <f t="shared" si="2"/>
        <v>BRUDER RICHARD</v>
      </c>
    </row>
    <row r="148" spans="1:7" x14ac:dyDescent="0.25">
      <c r="A148" s="8">
        <v>42854.623576388891</v>
      </c>
      <c r="B148" s="20" t="s">
        <v>394</v>
      </c>
      <c r="C148" s="20" t="s">
        <v>586</v>
      </c>
      <c r="D148" s="141">
        <v>2540000</v>
      </c>
      <c r="E148" s="20" t="s">
        <v>513</v>
      </c>
      <c r="F148" s="20" t="s">
        <v>514</v>
      </c>
      <c r="G148" s="8" t="str">
        <f t="shared" si="2"/>
        <v>MCREYNOLDS KYLE</v>
      </c>
    </row>
    <row r="149" spans="1:7" x14ac:dyDescent="0.25">
      <c r="A149" s="8">
        <v>42854.632245370369</v>
      </c>
      <c r="B149" s="20" t="s">
        <v>433</v>
      </c>
      <c r="C149" s="20" t="s">
        <v>729</v>
      </c>
      <c r="D149" s="141">
        <v>2360000</v>
      </c>
      <c r="E149" s="20" t="s">
        <v>509</v>
      </c>
      <c r="F149" s="20" t="s">
        <v>510</v>
      </c>
      <c r="G149" s="8" t="str">
        <f t="shared" si="2"/>
        <v>BRANDNER MELINDA</v>
      </c>
    </row>
    <row r="150" spans="1:7" x14ac:dyDescent="0.25">
      <c r="A150" s="8">
        <v>42854.638761574075</v>
      </c>
      <c r="B150" s="20" t="s">
        <v>356</v>
      </c>
      <c r="C150" s="20" t="s">
        <v>730</v>
      </c>
      <c r="D150" s="141">
        <v>1540000</v>
      </c>
      <c r="E150" s="20" t="s">
        <v>718</v>
      </c>
      <c r="F150" s="20" t="s">
        <v>719</v>
      </c>
      <c r="G150" s="8" t="str">
        <f t="shared" si="2"/>
        <v>HELVIE ADAM</v>
      </c>
    </row>
    <row r="151" spans="1:7" x14ac:dyDescent="0.25">
      <c r="A151" s="8">
        <v>42854.640486111108</v>
      </c>
      <c r="B151" s="20" t="s">
        <v>432</v>
      </c>
      <c r="C151" s="20" t="s">
        <v>731</v>
      </c>
      <c r="D151" s="141">
        <v>2530000</v>
      </c>
      <c r="E151" s="20" t="s">
        <v>694</v>
      </c>
      <c r="F151" s="20" t="s">
        <v>695</v>
      </c>
      <c r="G151" s="8" t="str">
        <f t="shared" si="2"/>
        <v>LALONDE GREGORY</v>
      </c>
    </row>
    <row r="152" spans="1:7" x14ac:dyDescent="0.25">
      <c r="A152" s="8">
        <v>42854.641365740739</v>
      </c>
      <c r="B152" s="20" t="s">
        <v>417</v>
      </c>
      <c r="C152" s="20" t="s">
        <v>732</v>
      </c>
      <c r="D152" s="141">
        <v>880000</v>
      </c>
      <c r="E152" s="20" t="s">
        <v>686</v>
      </c>
      <c r="F152" s="20" t="s">
        <v>196</v>
      </c>
      <c r="G152" s="8" t="str">
        <f t="shared" si="2"/>
        <v>STEWART MICHAEL</v>
      </c>
    </row>
    <row r="153" spans="1:7" x14ac:dyDescent="0.25">
      <c r="A153" s="8">
        <v>42854.650439814817</v>
      </c>
      <c r="B153" s="20" t="s">
        <v>387</v>
      </c>
      <c r="C153" s="20" t="s">
        <v>733</v>
      </c>
      <c r="D153" s="141">
        <v>1540000</v>
      </c>
      <c r="E153" s="20" t="s">
        <v>718</v>
      </c>
      <c r="F153" s="20" t="s">
        <v>719</v>
      </c>
      <c r="G153" s="8" t="str">
        <f t="shared" si="2"/>
        <v>HELVIE ADAM</v>
      </c>
    </row>
    <row r="154" spans="1:7" x14ac:dyDescent="0.25">
      <c r="A154" s="8">
        <v>42854.651516203703</v>
      </c>
      <c r="B154" s="20" t="s">
        <v>462</v>
      </c>
      <c r="C154" s="20" t="s">
        <v>734</v>
      </c>
      <c r="D154" s="141">
        <v>920000</v>
      </c>
      <c r="E154" s="20" t="s">
        <v>627</v>
      </c>
      <c r="F154" s="20" t="s">
        <v>196</v>
      </c>
      <c r="G154" s="8" t="str">
        <f t="shared" si="2"/>
        <v>DAVIS MICHAEL</v>
      </c>
    </row>
    <row r="155" spans="1:7" x14ac:dyDescent="0.25">
      <c r="A155" s="8">
        <v>42854.651562500003</v>
      </c>
      <c r="B155" s="20" t="s">
        <v>382</v>
      </c>
      <c r="C155" s="20" t="s">
        <v>588</v>
      </c>
      <c r="D155" s="141">
        <v>2470000</v>
      </c>
      <c r="E155" s="20" t="s">
        <v>681</v>
      </c>
      <c r="F155" s="20" t="s">
        <v>682</v>
      </c>
      <c r="G155" s="8" t="str">
        <f t="shared" si="2"/>
        <v>ROMERO CHAD</v>
      </c>
    </row>
    <row r="156" spans="1:7" x14ac:dyDescent="0.25">
      <c r="A156" s="8">
        <v>42854.659409722219</v>
      </c>
      <c r="B156" s="20" t="s">
        <v>357</v>
      </c>
      <c r="C156" s="20" t="s">
        <v>735</v>
      </c>
      <c r="D156" s="141">
        <v>1770000</v>
      </c>
      <c r="E156" s="20" t="s">
        <v>687</v>
      </c>
      <c r="F156" s="20" t="s">
        <v>688</v>
      </c>
      <c r="G156" s="8" t="str">
        <f t="shared" si="2"/>
        <v>BRUDER RICHARD</v>
      </c>
    </row>
    <row r="157" spans="1:7" x14ac:dyDescent="0.25">
      <c r="A157" s="8">
        <v>42854.66369212963</v>
      </c>
      <c r="B157" s="20" t="s">
        <v>393</v>
      </c>
      <c r="C157" s="20" t="s">
        <v>736</v>
      </c>
      <c r="D157" s="141">
        <v>2540000</v>
      </c>
      <c r="E157" s="20" t="s">
        <v>513</v>
      </c>
      <c r="F157" s="20" t="s">
        <v>514</v>
      </c>
      <c r="G157" s="8" t="str">
        <f t="shared" si="2"/>
        <v>MCREYNOLDS KYLE</v>
      </c>
    </row>
    <row r="158" spans="1:7" x14ac:dyDescent="0.25">
      <c r="A158" s="8">
        <v>42854.668113425927</v>
      </c>
      <c r="B158" s="20" t="s">
        <v>353</v>
      </c>
      <c r="C158" s="20" t="s">
        <v>725</v>
      </c>
      <c r="D158" s="141">
        <v>2440000</v>
      </c>
      <c r="E158" s="20" t="s">
        <v>726</v>
      </c>
      <c r="F158" s="20" t="s">
        <v>727</v>
      </c>
      <c r="G158" s="8" t="str">
        <f t="shared" si="2"/>
        <v>LOPES KIMBERLY</v>
      </c>
    </row>
    <row r="159" spans="1:7" x14ac:dyDescent="0.25">
      <c r="A159" s="8">
        <v>42854.669074074074</v>
      </c>
      <c r="B159" s="20" t="s">
        <v>353</v>
      </c>
      <c r="C159" s="20" t="s">
        <v>725</v>
      </c>
      <c r="D159" s="141">
        <v>2440000</v>
      </c>
      <c r="E159" s="20" t="s">
        <v>726</v>
      </c>
      <c r="F159" s="20" t="s">
        <v>727</v>
      </c>
      <c r="G159" s="8" t="str">
        <f t="shared" si="2"/>
        <v>LOPES KIMBERLY</v>
      </c>
    </row>
    <row r="160" spans="1:7" x14ac:dyDescent="0.25">
      <c r="A160" s="8">
        <v>42854.671111111114</v>
      </c>
      <c r="B160" s="20" t="s">
        <v>579</v>
      </c>
      <c r="C160" s="20" t="s">
        <v>589</v>
      </c>
      <c r="D160" s="141">
        <v>2360000</v>
      </c>
      <c r="E160" s="20" t="s">
        <v>509</v>
      </c>
      <c r="F160" s="20" t="s">
        <v>510</v>
      </c>
      <c r="G160" s="8" t="str">
        <f t="shared" si="2"/>
        <v>BRANDNER MELINDA</v>
      </c>
    </row>
    <row r="161" spans="1:7" x14ac:dyDescent="0.25">
      <c r="A161" s="8">
        <v>42854.67324074074</v>
      </c>
      <c r="B161" s="20" t="s">
        <v>463</v>
      </c>
      <c r="C161" s="20" t="s">
        <v>737</v>
      </c>
      <c r="D161" s="141">
        <v>2530000</v>
      </c>
      <c r="E161" s="20" t="s">
        <v>694</v>
      </c>
      <c r="F161" s="20" t="s">
        <v>695</v>
      </c>
      <c r="G161" s="8" t="str">
        <f t="shared" si="2"/>
        <v>LALONDE GREGORY</v>
      </c>
    </row>
    <row r="162" spans="1:7" x14ac:dyDescent="0.25">
      <c r="A162" s="8">
        <v>42854.673437500001</v>
      </c>
      <c r="B162" s="20" t="s">
        <v>416</v>
      </c>
      <c r="C162" s="20" t="s">
        <v>738</v>
      </c>
      <c r="D162" s="141">
        <v>880000</v>
      </c>
      <c r="E162" s="20" t="s">
        <v>686</v>
      </c>
      <c r="F162" s="20" t="s">
        <v>196</v>
      </c>
      <c r="G162" s="8" t="str">
        <f t="shared" si="2"/>
        <v>STEWART MICHAEL</v>
      </c>
    </row>
    <row r="163" spans="1:7" x14ac:dyDescent="0.25">
      <c r="A163" s="8">
        <v>42854.679907407408</v>
      </c>
      <c r="B163" s="20" t="s">
        <v>356</v>
      </c>
      <c r="C163" s="20" t="s">
        <v>739</v>
      </c>
      <c r="D163" s="141">
        <v>1540000</v>
      </c>
      <c r="E163" s="20" t="s">
        <v>718</v>
      </c>
      <c r="F163" s="20" t="s">
        <v>719</v>
      </c>
      <c r="G163" s="8" t="str">
        <f t="shared" si="2"/>
        <v>HELVIE ADAM</v>
      </c>
    </row>
    <row r="164" spans="1:7" x14ac:dyDescent="0.25">
      <c r="A164" s="8">
        <v>42854.68378472222</v>
      </c>
      <c r="B164" s="20" t="s">
        <v>386</v>
      </c>
      <c r="C164" s="20" t="s">
        <v>740</v>
      </c>
      <c r="D164" s="141">
        <v>2470000</v>
      </c>
      <c r="E164" s="20" t="s">
        <v>681</v>
      </c>
      <c r="F164" s="20" t="s">
        <v>682</v>
      </c>
      <c r="G164" s="8" t="str">
        <f t="shared" si="2"/>
        <v>ROMERO CHAD</v>
      </c>
    </row>
    <row r="165" spans="1:7" x14ac:dyDescent="0.25">
      <c r="A165" s="8">
        <v>42854.684641203705</v>
      </c>
      <c r="B165" s="20" t="s">
        <v>461</v>
      </c>
      <c r="C165" s="20" t="s">
        <v>741</v>
      </c>
      <c r="D165" s="141">
        <v>920000</v>
      </c>
      <c r="E165" s="20" t="s">
        <v>627</v>
      </c>
      <c r="F165" s="20" t="s">
        <v>196</v>
      </c>
      <c r="G165" s="8" t="str">
        <f t="shared" si="2"/>
        <v>DAVIS MICHAEL</v>
      </c>
    </row>
    <row r="166" spans="1:7" x14ac:dyDescent="0.25">
      <c r="A166" s="8">
        <v>42854.693159722221</v>
      </c>
      <c r="B166" s="20" t="s">
        <v>358</v>
      </c>
      <c r="C166" s="20" t="s">
        <v>742</v>
      </c>
      <c r="D166" s="141">
        <v>1770000</v>
      </c>
      <c r="E166" s="20" t="s">
        <v>687</v>
      </c>
      <c r="F166" s="20" t="s">
        <v>688</v>
      </c>
      <c r="G166" s="8" t="str">
        <f t="shared" si="2"/>
        <v>BRUDER RICHARD</v>
      </c>
    </row>
    <row r="167" spans="1:7" x14ac:dyDescent="0.25">
      <c r="A167" s="8">
        <v>42854.693425925929</v>
      </c>
      <c r="B167" s="20" t="s">
        <v>387</v>
      </c>
      <c r="C167" s="20" t="s">
        <v>743</v>
      </c>
      <c r="D167" s="141">
        <v>1540000</v>
      </c>
      <c r="E167" s="20" t="s">
        <v>718</v>
      </c>
      <c r="F167" s="20" t="s">
        <v>719</v>
      </c>
      <c r="G167" s="8" t="str">
        <f t="shared" si="2"/>
        <v>HELVIE ADAM</v>
      </c>
    </row>
    <row r="168" spans="1:7" x14ac:dyDescent="0.25">
      <c r="A168" s="8">
        <v>42854.698807870373</v>
      </c>
      <c r="B168" s="20" t="s">
        <v>394</v>
      </c>
      <c r="C168" s="20" t="s">
        <v>744</v>
      </c>
      <c r="D168" s="141">
        <v>2540000</v>
      </c>
      <c r="E168" s="20" t="s">
        <v>513</v>
      </c>
      <c r="F168" s="20" t="s">
        <v>514</v>
      </c>
      <c r="G168" s="8" t="str">
        <f t="shared" si="2"/>
        <v>MCREYNOLDS KYLE</v>
      </c>
    </row>
    <row r="169" spans="1:7" x14ac:dyDescent="0.25">
      <c r="A169" s="8">
        <v>42854.705150462964</v>
      </c>
      <c r="B169" s="20" t="s">
        <v>433</v>
      </c>
      <c r="C169" s="20" t="s">
        <v>745</v>
      </c>
      <c r="D169" s="141">
        <v>2360000</v>
      </c>
      <c r="E169" s="20" t="s">
        <v>509</v>
      </c>
      <c r="F169" s="20" t="s">
        <v>510</v>
      </c>
      <c r="G169" s="8" t="str">
        <f t="shared" si="2"/>
        <v>BRANDNER MELINDA</v>
      </c>
    </row>
    <row r="170" spans="1:7" x14ac:dyDescent="0.25">
      <c r="A170" s="8">
        <v>42854.711493055554</v>
      </c>
      <c r="B170" s="20" t="s">
        <v>352</v>
      </c>
      <c r="C170" s="20" t="s">
        <v>746</v>
      </c>
      <c r="D170" s="141">
        <v>2480000</v>
      </c>
      <c r="E170" s="20" t="s">
        <v>485</v>
      </c>
      <c r="F170" s="20" t="s">
        <v>486</v>
      </c>
      <c r="G170" s="8" t="str">
        <f t="shared" si="2"/>
        <v>WHITED DUSTIN</v>
      </c>
    </row>
    <row r="171" spans="1:7" x14ac:dyDescent="0.25">
      <c r="A171" s="8">
        <v>42854.712314814817</v>
      </c>
      <c r="B171" s="20" t="s">
        <v>417</v>
      </c>
      <c r="C171" s="20" t="s">
        <v>747</v>
      </c>
      <c r="D171" s="141">
        <v>880000</v>
      </c>
      <c r="E171" s="20" t="s">
        <v>686</v>
      </c>
      <c r="F171" s="20" t="s">
        <v>196</v>
      </c>
      <c r="G171" s="8" t="str">
        <f t="shared" si="2"/>
        <v>STEWART MICHAEL</v>
      </c>
    </row>
    <row r="172" spans="1:7" x14ac:dyDescent="0.25">
      <c r="A172" s="8">
        <v>42854.714282407411</v>
      </c>
      <c r="B172" s="20" t="s">
        <v>432</v>
      </c>
      <c r="C172" s="20" t="s">
        <v>748</v>
      </c>
      <c r="D172" s="141">
        <v>2530000</v>
      </c>
      <c r="E172" s="20" t="s">
        <v>694</v>
      </c>
      <c r="F172" s="20" t="s">
        <v>695</v>
      </c>
      <c r="G172" s="8" t="str">
        <f t="shared" si="2"/>
        <v>LALONDE GREGORY</v>
      </c>
    </row>
    <row r="173" spans="1:7" x14ac:dyDescent="0.25">
      <c r="A173" s="8">
        <v>42854.720590277779</v>
      </c>
      <c r="B173" s="20" t="s">
        <v>356</v>
      </c>
      <c r="C173" s="20" t="s">
        <v>749</v>
      </c>
      <c r="D173" s="141">
        <v>1540000</v>
      </c>
      <c r="E173" s="20" t="s">
        <v>718</v>
      </c>
      <c r="F173" s="20" t="s">
        <v>719</v>
      </c>
      <c r="G173" s="8" t="str">
        <f t="shared" si="2"/>
        <v>HELVIE ADAM</v>
      </c>
    </row>
    <row r="174" spans="1:7" x14ac:dyDescent="0.25">
      <c r="A174" s="8">
        <v>42854.723819444444</v>
      </c>
      <c r="B174" s="20" t="s">
        <v>382</v>
      </c>
      <c r="C174" s="20" t="s">
        <v>750</v>
      </c>
      <c r="D174" s="141">
        <v>2470000</v>
      </c>
      <c r="E174" s="20" t="s">
        <v>681</v>
      </c>
      <c r="F174" s="20" t="s">
        <v>682</v>
      </c>
      <c r="G174" s="8" t="str">
        <f t="shared" si="2"/>
        <v>ROMERO CHAD</v>
      </c>
    </row>
    <row r="175" spans="1:7" x14ac:dyDescent="0.25">
      <c r="A175" s="8">
        <v>42854.72451388889</v>
      </c>
      <c r="B175" s="20" t="s">
        <v>462</v>
      </c>
      <c r="C175" s="20" t="s">
        <v>751</v>
      </c>
      <c r="D175" s="141">
        <v>920000</v>
      </c>
      <c r="E175" s="20" t="s">
        <v>627</v>
      </c>
      <c r="F175" s="20" t="s">
        <v>196</v>
      </c>
      <c r="G175" s="8" t="str">
        <f t="shared" si="2"/>
        <v>DAVIS MICHAEL</v>
      </c>
    </row>
    <row r="176" spans="1:7" x14ac:dyDescent="0.25">
      <c r="A176" s="8">
        <v>42854.733437499999</v>
      </c>
      <c r="B176" s="20" t="s">
        <v>357</v>
      </c>
      <c r="C176" s="20" t="s">
        <v>752</v>
      </c>
      <c r="D176" s="141">
        <v>1770000</v>
      </c>
      <c r="E176" s="20" t="s">
        <v>687</v>
      </c>
      <c r="F176" s="20" t="s">
        <v>688</v>
      </c>
      <c r="G176" s="8" t="str">
        <f t="shared" si="2"/>
        <v>BRUDER RICHARD</v>
      </c>
    </row>
    <row r="177" spans="1:7" x14ac:dyDescent="0.25">
      <c r="A177" s="8">
        <v>42854.735127314816</v>
      </c>
      <c r="B177" s="20" t="s">
        <v>387</v>
      </c>
      <c r="C177" s="20" t="s">
        <v>753</v>
      </c>
      <c r="D177" s="141">
        <v>1540000</v>
      </c>
      <c r="E177" s="20" t="s">
        <v>718</v>
      </c>
      <c r="F177" s="20" t="s">
        <v>719</v>
      </c>
      <c r="G177" s="8" t="str">
        <f t="shared" si="2"/>
        <v>HELVIE ADAM</v>
      </c>
    </row>
    <row r="178" spans="1:7" x14ac:dyDescent="0.25">
      <c r="A178" s="8">
        <v>42854.736215277779</v>
      </c>
      <c r="B178" s="20" t="s">
        <v>393</v>
      </c>
      <c r="C178" s="20" t="s">
        <v>754</v>
      </c>
      <c r="D178" s="141">
        <v>2230000</v>
      </c>
      <c r="E178" s="20" t="s">
        <v>359</v>
      </c>
      <c r="F178" s="20" t="s">
        <v>196</v>
      </c>
      <c r="G178" s="8" t="str">
        <f t="shared" si="2"/>
        <v>SMITH MICHAEL</v>
      </c>
    </row>
    <row r="179" spans="1:7" x14ac:dyDescent="0.25">
      <c r="A179" s="8">
        <v>42854.742777777778</v>
      </c>
      <c r="B179" s="20" t="s">
        <v>579</v>
      </c>
      <c r="C179" s="20" t="s">
        <v>590</v>
      </c>
      <c r="D179" s="141">
        <v>2360000</v>
      </c>
      <c r="E179" s="20" t="s">
        <v>509</v>
      </c>
      <c r="F179" s="20" t="s">
        <v>510</v>
      </c>
      <c r="G179" s="8" t="str">
        <f t="shared" si="2"/>
        <v>BRANDNER MELINDA</v>
      </c>
    </row>
    <row r="180" spans="1:7" x14ac:dyDescent="0.25">
      <c r="A180" s="8">
        <v>42854.746701388889</v>
      </c>
      <c r="B180" s="20" t="s">
        <v>416</v>
      </c>
      <c r="C180" s="20" t="s">
        <v>755</v>
      </c>
      <c r="D180" s="141">
        <v>2540000</v>
      </c>
      <c r="E180" s="20" t="s">
        <v>513</v>
      </c>
      <c r="F180" s="20" t="s">
        <v>514</v>
      </c>
      <c r="G180" s="8" t="str">
        <f t="shared" si="2"/>
        <v>MCREYNOLDS KYLE</v>
      </c>
    </row>
    <row r="181" spans="1:7" x14ac:dyDescent="0.25">
      <c r="A181" s="8">
        <v>42854.748483796298</v>
      </c>
      <c r="B181" s="20" t="s">
        <v>463</v>
      </c>
      <c r="C181" s="20" t="s">
        <v>756</v>
      </c>
      <c r="D181" s="141">
        <v>2530000</v>
      </c>
      <c r="E181" s="20" t="s">
        <v>694</v>
      </c>
      <c r="F181" s="20" t="s">
        <v>695</v>
      </c>
      <c r="G181" s="8" t="str">
        <f t="shared" si="2"/>
        <v>LALONDE GREGORY</v>
      </c>
    </row>
    <row r="182" spans="1:7" x14ac:dyDescent="0.25">
      <c r="A182" s="8">
        <v>42854.757453703707</v>
      </c>
      <c r="B182" s="20" t="s">
        <v>461</v>
      </c>
      <c r="C182" s="20" t="s">
        <v>757</v>
      </c>
      <c r="D182" s="141">
        <v>2000000</v>
      </c>
      <c r="E182" s="20" t="s">
        <v>354</v>
      </c>
      <c r="F182" s="20" t="s">
        <v>193</v>
      </c>
      <c r="G182" s="8" t="str">
        <f t="shared" si="2"/>
        <v>STAMBAUGH JAMES</v>
      </c>
    </row>
    <row r="183" spans="1:7" x14ac:dyDescent="0.25">
      <c r="A183" s="8">
        <v>42854.758692129632</v>
      </c>
      <c r="B183" s="20" t="s">
        <v>386</v>
      </c>
      <c r="C183" s="20" t="s">
        <v>758</v>
      </c>
      <c r="D183" s="141">
        <v>2470000</v>
      </c>
      <c r="E183" s="20" t="s">
        <v>681</v>
      </c>
      <c r="F183" s="20" t="s">
        <v>682</v>
      </c>
      <c r="G183" s="8" t="str">
        <f t="shared" si="2"/>
        <v>ROMERO CHAD</v>
      </c>
    </row>
    <row r="184" spans="1:7" x14ac:dyDescent="0.25">
      <c r="A184" s="8">
        <v>42854.763703703706</v>
      </c>
      <c r="B184" s="20" t="s">
        <v>356</v>
      </c>
      <c r="C184" s="20" t="s">
        <v>759</v>
      </c>
      <c r="D184" s="141">
        <v>1540000</v>
      </c>
      <c r="E184" s="20" t="s">
        <v>718</v>
      </c>
      <c r="F184" s="20" t="s">
        <v>719</v>
      </c>
      <c r="G184" s="8" t="str">
        <f t="shared" si="2"/>
        <v>HELVIE ADAM</v>
      </c>
    </row>
    <row r="185" spans="1:7" x14ac:dyDescent="0.25">
      <c r="A185" s="8">
        <v>42854.765821759262</v>
      </c>
      <c r="B185" s="20" t="s">
        <v>358</v>
      </c>
      <c r="C185" s="20" t="s">
        <v>760</v>
      </c>
      <c r="D185" s="141">
        <v>2150000</v>
      </c>
      <c r="E185" s="20" t="s">
        <v>350</v>
      </c>
      <c r="F185" s="20" t="s">
        <v>351</v>
      </c>
      <c r="G185" s="8" t="str">
        <f t="shared" si="2"/>
        <v>SWANSON BRYCE</v>
      </c>
    </row>
    <row r="186" spans="1:7" x14ac:dyDescent="0.25">
      <c r="A186" s="8">
        <v>42854.770833333336</v>
      </c>
      <c r="B186" s="20" t="s">
        <v>394</v>
      </c>
      <c r="C186" s="20" t="s">
        <v>761</v>
      </c>
      <c r="D186" s="141">
        <v>2230000</v>
      </c>
      <c r="E186" s="20" t="s">
        <v>359</v>
      </c>
      <c r="F186" s="20" t="s">
        <v>196</v>
      </c>
      <c r="G186" s="8" t="str">
        <f t="shared" si="2"/>
        <v>SMITH MICHAEL</v>
      </c>
    </row>
    <row r="187" spans="1:7" x14ac:dyDescent="0.25">
      <c r="A187" s="8">
        <v>42854.776226851849</v>
      </c>
      <c r="B187" s="20" t="s">
        <v>387</v>
      </c>
      <c r="C187" s="20" t="s">
        <v>762</v>
      </c>
      <c r="D187" s="141">
        <v>1540000</v>
      </c>
      <c r="E187" s="20" t="s">
        <v>718</v>
      </c>
      <c r="F187" s="20" t="s">
        <v>719</v>
      </c>
      <c r="G187" s="8" t="str">
        <f t="shared" si="2"/>
        <v>HELVIE ADAM</v>
      </c>
    </row>
    <row r="188" spans="1:7" x14ac:dyDescent="0.25">
      <c r="A188" s="8">
        <v>42854.780046296299</v>
      </c>
      <c r="B188" s="20" t="s">
        <v>446</v>
      </c>
      <c r="C188" s="20" t="s">
        <v>763</v>
      </c>
      <c r="D188" s="141">
        <v>2630000</v>
      </c>
      <c r="E188" s="20" t="s">
        <v>609</v>
      </c>
      <c r="F188" s="20" t="s">
        <v>610</v>
      </c>
      <c r="G188" s="8" t="str">
        <f t="shared" si="2"/>
        <v>SAFIEF AEIMEN</v>
      </c>
    </row>
    <row r="189" spans="1:7" x14ac:dyDescent="0.25">
      <c r="A189" s="8">
        <v>42854.780127314814</v>
      </c>
      <c r="B189" s="20" t="s">
        <v>417</v>
      </c>
      <c r="C189" s="20" t="s">
        <v>764</v>
      </c>
      <c r="D189" s="141">
        <v>2540000</v>
      </c>
      <c r="E189" s="20" t="s">
        <v>513</v>
      </c>
      <c r="F189" s="20" t="s">
        <v>514</v>
      </c>
      <c r="G189" s="8" t="str">
        <f t="shared" si="2"/>
        <v>MCREYNOLDS KYLE</v>
      </c>
    </row>
    <row r="190" spans="1:7" x14ac:dyDescent="0.25">
      <c r="A190" s="8">
        <v>42854.786527777775</v>
      </c>
      <c r="B190" s="20" t="s">
        <v>432</v>
      </c>
      <c r="C190" s="20" t="s">
        <v>765</v>
      </c>
      <c r="D190" s="141">
        <v>2610000</v>
      </c>
      <c r="E190" s="20" t="s">
        <v>604</v>
      </c>
      <c r="F190" s="20" t="s">
        <v>605</v>
      </c>
      <c r="G190" s="8" t="str">
        <f t="shared" si="2"/>
        <v>MAGEE KENYA</v>
      </c>
    </row>
    <row r="191" spans="1:7" x14ac:dyDescent="0.25">
      <c r="A191" s="8">
        <v>42854.789293981485</v>
      </c>
      <c r="B191" s="20" t="s">
        <v>433</v>
      </c>
      <c r="C191" s="20" t="s">
        <v>766</v>
      </c>
      <c r="D191" s="141">
        <v>2620000</v>
      </c>
      <c r="E191" s="20" t="s">
        <v>447</v>
      </c>
      <c r="F191" s="20" t="s">
        <v>448</v>
      </c>
      <c r="G191" s="8" t="str">
        <f t="shared" si="2"/>
        <v>PERKINS DARREN</v>
      </c>
    </row>
    <row r="192" spans="1:7" x14ac:dyDescent="0.25">
      <c r="A192" s="8">
        <v>42854.790138888886</v>
      </c>
      <c r="B192" s="20" t="s">
        <v>360</v>
      </c>
      <c r="C192" s="20" t="s">
        <v>767</v>
      </c>
      <c r="D192" s="141">
        <v>2630000</v>
      </c>
      <c r="E192" s="20" t="s">
        <v>609</v>
      </c>
      <c r="F192" s="20" t="s">
        <v>610</v>
      </c>
      <c r="G192" s="8" t="str">
        <f t="shared" si="2"/>
        <v>SAFIEF AEIMEN</v>
      </c>
    </row>
    <row r="193" spans="1:7" x14ac:dyDescent="0.25">
      <c r="A193" s="8">
        <v>42854.792337962965</v>
      </c>
      <c r="B193" s="20" t="s">
        <v>462</v>
      </c>
      <c r="C193" s="20" t="s">
        <v>591</v>
      </c>
      <c r="D193" s="141">
        <v>2000000</v>
      </c>
      <c r="E193" s="20" t="s">
        <v>354</v>
      </c>
      <c r="F193" s="20" t="s">
        <v>193</v>
      </c>
      <c r="G193" s="8" t="str">
        <f t="shared" si="2"/>
        <v>STAMBAUGH JAMES</v>
      </c>
    </row>
    <row r="194" spans="1:7" x14ac:dyDescent="0.25">
      <c r="A194" s="8">
        <v>42854.795891203707</v>
      </c>
      <c r="B194" s="20" t="s">
        <v>382</v>
      </c>
      <c r="C194" s="20" t="s">
        <v>768</v>
      </c>
      <c r="D194" s="141">
        <v>2470000</v>
      </c>
      <c r="E194" s="20" t="s">
        <v>681</v>
      </c>
      <c r="F194" s="20" t="s">
        <v>682</v>
      </c>
      <c r="G194" s="8" t="str">
        <f t="shared" si="2"/>
        <v>ROMERO CHAD</v>
      </c>
    </row>
    <row r="195" spans="1:7" x14ac:dyDescent="0.25">
      <c r="A195" s="8">
        <v>42854.799930555557</v>
      </c>
      <c r="B195" s="20" t="s">
        <v>357</v>
      </c>
      <c r="C195" s="20" t="s">
        <v>769</v>
      </c>
      <c r="D195" s="141">
        <v>2150000</v>
      </c>
      <c r="E195" s="20" t="s">
        <v>350</v>
      </c>
      <c r="F195" s="20" t="s">
        <v>351</v>
      </c>
      <c r="G195" s="8" t="str">
        <f t="shared" ref="G195:G258" si="3">E195&amp;" "&amp;F195</f>
        <v>SWANSON BRYCE</v>
      </c>
    </row>
    <row r="196" spans="1:7" x14ac:dyDescent="0.25">
      <c r="A196" s="8">
        <v>42854.803113425929</v>
      </c>
      <c r="B196" s="20" t="s">
        <v>446</v>
      </c>
      <c r="C196" s="20" t="s">
        <v>770</v>
      </c>
      <c r="D196" s="141">
        <v>2630000</v>
      </c>
      <c r="E196" s="20" t="s">
        <v>609</v>
      </c>
      <c r="F196" s="20" t="s">
        <v>610</v>
      </c>
      <c r="G196" s="8" t="str">
        <f t="shared" si="3"/>
        <v>SAFIEF AEIMEN</v>
      </c>
    </row>
    <row r="197" spans="1:7" x14ac:dyDescent="0.25">
      <c r="A197" s="8">
        <v>42854.804224537038</v>
      </c>
      <c r="B197" s="20" t="s">
        <v>356</v>
      </c>
      <c r="C197" s="20" t="s">
        <v>771</v>
      </c>
      <c r="D197" s="141">
        <v>1540000</v>
      </c>
      <c r="E197" s="20" t="s">
        <v>718</v>
      </c>
      <c r="F197" s="20" t="s">
        <v>719</v>
      </c>
      <c r="G197" s="8" t="str">
        <f t="shared" si="3"/>
        <v>HELVIE ADAM</v>
      </c>
    </row>
    <row r="198" spans="1:7" x14ac:dyDescent="0.25">
      <c r="A198" s="8">
        <v>42854.80746527778</v>
      </c>
      <c r="B198" s="20" t="s">
        <v>393</v>
      </c>
      <c r="C198" s="20" t="s">
        <v>772</v>
      </c>
      <c r="D198" s="141">
        <v>2230000</v>
      </c>
      <c r="E198" s="20" t="s">
        <v>359</v>
      </c>
      <c r="F198" s="20" t="s">
        <v>196</v>
      </c>
      <c r="G198" s="8" t="str">
        <f t="shared" si="3"/>
        <v>SMITH MICHAEL</v>
      </c>
    </row>
    <row r="199" spans="1:7" x14ac:dyDescent="0.25">
      <c r="A199" s="8">
        <v>42854.817199074074</v>
      </c>
      <c r="B199" s="20" t="s">
        <v>387</v>
      </c>
      <c r="C199" s="20" t="s">
        <v>773</v>
      </c>
      <c r="D199" s="141">
        <v>1540000</v>
      </c>
      <c r="E199" s="20" t="s">
        <v>718</v>
      </c>
      <c r="F199" s="20" t="s">
        <v>719</v>
      </c>
      <c r="G199" s="8" t="str">
        <f t="shared" si="3"/>
        <v>HELVIE ADAM</v>
      </c>
    </row>
    <row r="200" spans="1:7" x14ac:dyDescent="0.25">
      <c r="A200" s="8">
        <v>42854.818067129629</v>
      </c>
      <c r="B200" s="20" t="s">
        <v>416</v>
      </c>
      <c r="C200" s="20" t="s">
        <v>774</v>
      </c>
      <c r="D200" s="141">
        <v>2540000</v>
      </c>
      <c r="E200" s="20" t="s">
        <v>513</v>
      </c>
      <c r="F200" s="20" t="s">
        <v>514</v>
      </c>
      <c r="G200" s="8" t="str">
        <f t="shared" si="3"/>
        <v>MCREYNOLDS KYLE</v>
      </c>
    </row>
    <row r="201" spans="1:7" x14ac:dyDescent="0.25">
      <c r="A201" s="8">
        <v>42854.827141203707</v>
      </c>
      <c r="B201" s="20" t="s">
        <v>463</v>
      </c>
      <c r="C201" s="20" t="s">
        <v>775</v>
      </c>
      <c r="D201" s="141">
        <v>2610000</v>
      </c>
      <c r="E201" s="20" t="s">
        <v>604</v>
      </c>
      <c r="F201" s="20" t="s">
        <v>605</v>
      </c>
      <c r="G201" s="8" t="str">
        <f t="shared" si="3"/>
        <v>MAGEE KENYA</v>
      </c>
    </row>
    <row r="202" spans="1:7" x14ac:dyDescent="0.25">
      <c r="A202" s="26">
        <v>42854.827499999999</v>
      </c>
      <c r="B202" s="20" t="s">
        <v>461</v>
      </c>
      <c r="C202" s="20" t="s">
        <v>592</v>
      </c>
      <c r="D202" s="141">
        <v>2000000</v>
      </c>
      <c r="E202" s="20" t="s">
        <v>354</v>
      </c>
      <c r="F202" s="20" t="s">
        <v>193</v>
      </c>
      <c r="G202" s="8" t="str">
        <f t="shared" si="3"/>
        <v>STAMBAUGH JAMES</v>
      </c>
    </row>
    <row r="203" spans="1:7" x14ac:dyDescent="0.25">
      <c r="A203" s="8">
        <v>42854.841006944444</v>
      </c>
      <c r="B203" s="20" t="s">
        <v>358</v>
      </c>
      <c r="C203" s="20" t="s">
        <v>776</v>
      </c>
      <c r="D203" s="141">
        <v>2150000</v>
      </c>
      <c r="E203" s="20" t="s">
        <v>350</v>
      </c>
      <c r="F203" s="20" t="s">
        <v>351</v>
      </c>
      <c r="G203" s="8" t="str">
        <f t="shared" si="3"/>
        <v>SWANSON BRYCE</v>
      </c>
    </row>
    <row r="204" spans="1:7" x14ac:dyDescent="0.25">
      <c r="A204" s="8">
        <v>42854.84516203704</v>
      </c>
      <c r="B204" s="20" t="s">
        <v>394</v>
      </c>
      <c r="C204" s="20" t="s">
        <v>777</v>
      </c>
      <c r="D204" s="141">
        <v>2230000</v>
      </c>
      <c r="E204" s="20" t="s">
        <v>359</v>
      </c>
      <c r="F204" s="20" t="s">
        <v>196</v>
      </c>
      <c r="G204" s="8" t="str">
        <f t="shared" si="3"/>
        <v>SMITH MICHAEL</v>
      </c>
    </row>
    <row r="205" spans="1:7" x14ac:dyDescent="0.25">
      <c r="A205" s="8">
        <v>42854.847418981481</v>
      </c>
      <c r="B205" s="20" t="s">
        <v>356</v>
      </c>
      <c r="C205" s="20" t="s">
        <v>778</v>
      </c>
      <c r="D205" s="141">
        <v>1540000</v>
      </c>
      <c r="E205" s="20" t="s">
        <v>718</v>
      </c>
      <c r="F205" s="20" t="s">
        <v>719</v>
      </c>
      <c r="G205" s="8" t="str">
        <f t="shared" si="3"/>
        <v>HELVIE ADAM</v>
      </c>
    </row>
    <row r="206" spans="1:7" x14ac:dyDescent="0.25">
      <c r="A206" s="8">
        <v>42854.858888888892</v>
      </c>
      <c r="B206" s="20" t="s">
        <v>387</v>
      </c>
      <c r="C206" s="20" t="s">
        <v>779</v>
      </c>
      <c r="D206" s="141">
        <v>1540000</v>
      </c>
      <c r="E206" s="20" t="s">
        <v>718</v>
      </c>
      <c r="F206" s="20" t="s">
        <v>719</v>
      </c>
      <c r="G206" s="8" t="str">
        <f t="shared" si="3"/>
        <v>HELVIE ADAM</v>
      </c>
    </row>
    <row r="207" spans="1:7" x14ac:dyDescent="0.25">
      <c r="A207" s="8">
        <v>42854.859351851854</v>
      </c>
      <c r="B207" s="20" t="s">
        <v>503</v>
      </c>
      <c r="C207" s="20" t="s">
        <v>598</v>
      </c>
      <c r="D207" s="141">
        <v>2680000</v>
      </c>
      <c r="E207" s="20" t="s">
        <v>390</v>
      </c>
      <c r="F207" s="20" t="s">
        <v>391</v>
      </c>
      <c r="G207" s="8" t="str">
        <f t="shared" si="3"/>
        <v>DUNCAN SHEILA</v>
      </c>
    </row>
    <row r="208" spans="1:7" x14ac:dyDescent="0.25">
      <c r="A208" s="8">
        <v>42854.86178240741</v>
      </c>
      <c r="B208" s="20" t="s">
        <v>505</v>
      </c>
      <c r="C208" s="20" t="s">
        <v>593</v>
      </c>
      <c r="D208" s="141">
        <v>2420000</v>
      </c>
      <c r="E208" s="20" t="s">
        <v>780</v>
      </c>
      <c r="F208" s="20" t="s">
        <v>781</v>
      </c>
      <c r="G208" s="8" t="str">
        <f t="shared" si="3"/>
        <v>HOLCOMB KAMDEN</v>
      </c>
    </row>
    <row r="209" spans="1:7" x14ac:dyDescent="0.25">
      <c r="A209" s="8">
        <v>42854.866157407407</v>
      </c>
      <c r="B209" s="20" t="s">
        <v>462</v>
      </c>
      <c r="C209" s="20" t="s">
        <v>782</v>
      </c>
      <c r="D209" s="141">
        <v>2000000</v>
      </c>
      <c r="E209" s="20" t="s">
        <v>354</v>
      </c>
      <c r="F209" s="20" t="s">
        <v>193</v>
      </c>
      <c r="G209" s="8" t="str">
        <f t="shared" si="3"/>
        <v>STAMBAUGH JAMES</v>
      </c>
    </row>
    <row r="210" spans="1:7" x14ac:dyDescent="0.25">
      <c r="A210" s="8">
        <v>42854.870682870373</v>
      </c>
      <c r="B210" s="20" t="s">
        <v>506</v>
      </c>
      <c r="C210" s="20" t="s">
        <v>783</v>
      </c>
      <c r="D210" s="141">
        <v>2420000</v>
      </c>
      <c r="E210" s="20" t="s">
        <v>780</v>
      </c>
      <c r="F210" s="20" t="s">
        <v>781</v>
      </c>
      <c r="G210" s="8" t="str">
        <f t="shared" si="3"/>
        <v>HOLCOMB KAMDEN</v>
      </c>
    </row>
    <row r="211" spans="1:7" x14ac:dyDescent="0.25">
      <c r="A211" s="8">
        <v>42854.871215277781</v>
      </c>
      <c r="B211" s="20" t="s">
        <v>432</v>
      </c>
      <c r="C211" s="20" t="s">
        <v>784</v>
      </c>
      <c r="D211" s="141">
        <v>2610000</v>
      </c>
      <c r="E211" s="20" t="s">
        <v>604</v>
      </c>
      <c r="F211" s="20" t="s">
        <v>605</v>
      </c>
      <c r="G211" s="8" t="str">
        <f t="shared" si="3"/>
        <v>MAGEE KENYA</v>
      </c>
    </row>
    <row r="212" spans="1:7" x14ac:dyDescent="0.25">
      <c r="A212" s="8">
        <v>42854.871863425928</v>
      </c>
      <c r="B212" s="20" t="s">
        <v>594</v>
      </c>
      <c r="C212" s="20" t="s">
        <v>595</v>
      </c>
      <c r="D212" s="141">
        <v>2680000</v>
      </c>
      <c r="E212" s="20" t="s">
        <v>390</v>
      </c>
      <c r="F212" s="20" t="s">
        <v>391</v>
      </c>
      <c r="G212" s="8" t="str">
        <f t="shared" si="3"/>
        <v>DUNCAN SHEILA</v>
      </c>
    </row>
    <row r="213" spans="1:7" x14ac:dyDescent="0.25">
      <c r="A213" s="8">
        <v>42854.872210648151</v>
      </c>
      <c r="B213" s="20" t="s">
        <v>462</v>
      </c>
      <c r="C213" s="20" t="s">
        <v>782</v>
      </c>
      <c r="D213" s="141">
        <v>2000000</v>
      </c>
      <c r="E213" s="20" t="s">
        <v>354</v>
      </c>
      <c r="F213" s="20" t="s">
        <v>193</v>
      </c>
      <c r="G213" s="8" t="str">
        <f t="shared" si="3"/>
        <v>STAMBAUGH JAMES</v>
      </c>
    </row>
    <row r="214" spans="1:7" x14ac:dyDescent="0.25">
      <c r="A214" s="8">
        <v>42854.884930555556</v>
      </c>
      <c r="B214" s="20" t="s">
        <v>393</v>
      </c>
      <c r="C214" s="20" t="s">
        <v>785</v>
      </c>
      <c r="D214" s="141">
        <v>2230000</v>
      </c>
      <c r="E214" s="20" t="s">
        <v>359</v>
      </c>
      <c r="F214" s="20" t="s">
        <v>196</v>
      </c>
      <c r="G214" s="8" t="str">
        <f t="shared" si="3"/>
        <v>SMITH MICHAEL</v>
      </c>
    </row>
    <row r="215" spans="1:7" x14ac:dyDescent="0.25">
      <c r="A215" s="8">
        <v>42854.888541666667</v>
      </c>
      <c r="B215" s="20" t="s">
        <v>356</v>
      </c>
      <c r="C215" s="20" t="s">
        <v>786</v>
      </c>
      <c r="D215" s="141">
        <v>1540000</v>
      </c>
      <c r="E215" s="20" t="s">
        <v>718</v>
      </c>
      <c r="F215" s="20" t="s">
        <v>719</v>
      </c>
      <c r="G215" s="8" t="str">
        <f t="shared" si="3"/>
        <v>HELVIE ADAM</v>
      </c>
    </row>
    <row r="216" spans="1:7" x14ac:dyDescent="0.25">
      <c r="A216" s="8">
        <v>42854.891076388885</v>
      </c>
      <c r="B216" s="20" t="s">
        <v>357</v>
      </c>
      <c r="C216" s="20" t="s">
        <v>787</v>
      </c>
      <c r="D216" s="141">
        <v>2150000</v>
      </c>
      <c r="E216" s="20" t="s">
        <v>350</v>
      </c>
      <c r="F216" s="20" t="s">
        <v>351</v>
      </c>
      <c r="G216" s="8" t="str">
        <f t="shared" si="3"/>
        <v>SWANSON BRYCE</v>
      </c>
    </row>
    <row r="217" spans="1:7" x14ac:dyDescent="0.25">
      <c r="A217" s="8">
        <v>42854.900810185187</v>
      </c>
      <c r="B217" s="20" t="s">
        <v>387</v>
      </c>
      <c r="C217" s="20" t="s">
        <v>788</v>
      </c>
      <c r="D217" s="141">
        <v>1540000</v>
      </c>
      <c r="E217" s="20" t="s">
        <v>718</v>
      </c>
      <c r="F217" s="20" t="s">
        <v>719</v>
      </c>
      <c r="G217" s="8" t="str">
        <f t="shared" si="3"/>
        <v>HELVIE ADAM</v>
      </c>
    </row>
    <row r="218" spans="1:7" x14ac:dyDescent="0.25">
      <c r="A218" s="8">
        <v>42854.903391203705</v>
      </c>
      <c r="B218" s="20" t="s">
        <v>461</v>
      </c>
      <c r="C218" s="20" t="s">
        <v>789</v>
      </c>
      <c r="D218" s="141">
        <v>2000000</v>
      </c>
      <c r="E218" s="20" t="s">
        <v>354</v>
      </c>
      <c r="F218" s="20" t="s">
        <v>193</v>
      </c>
      <c r="G218" s="8" t="str">
        <f t="shared" si="3"/>
        <v>STAMBAUGH JAMES</v>
      </c>
    </row>
    <row r="219" spans="1:7" x14ac:dyDescent="0.25">
      <c r="A219" s="8">
        <v>42854.913784722223</v>
      </c>
      <c r="B219" s="20" t="s">
        <v>463</v>
      </c>
      <c r="C219" s="20" t="s">
        <v>790</v>
      </c>
      <c r="D219" s="141">
        <v>2610000</v>
      </c>
      <c r="E219" s="20" t="s">
        <v>604</v>
      </c>
      <c r="F219" s="20" t="s">
        <v>605</v>
      </c>
      <c r="G219" s="8" t="str">
        <f t="shared" si="3"/>
        <v>MAGEE KENYA</v>
      </c>
    </row>
    <row r="220" spans="1:7" x14ac:dyDescent="0.25">
      <c r="A220" s="8">
        <v>42854.918043981481</v>
      </c>
      <c r="B220" s="20" t="s">
        <v>503</v>
      </c>
      <c r="C220" s="20" t="s">
        <v>595</v>
      </c>
      <c r="D220" s="141">
        <v>2680000</v>
      </c>
      <c r="E220" s="20" t="s">
        <v>390</v>
      </c>
      <c r="F220" s="20" t="s">
        <v>391</v>
      </c>
      <c r="G220" s="8" t="str">
        <f t="shared" si="3"/>
        <v>DUNCAN SHEILA</v>
      </c>
    </row>
    <row r="221" spans="1:7" x14ac:dyDescent="0.25">
      <c r="A221" s="8">
        <v>42854.919479166667</v>
      </c>
      <c r="B221" s="20" t="s">
        <v>503</v>
      </c>
      <c r="C221" s="20" t="s">
        <v>598</v>
      </c>
      <c r="D221" s="141">
        <v>2680000</v>
      </c>
      <c r="E221" s="20" t="s">
        <v>390</v>
      </c>
      <c r="F221" s="20" t="s">
        <v>391</v>
      </c>
      <c r="G221" s="8" t="str">
        <f t="shared" si="3"/>
        <v>DUNCAN SHEILA</v>
      </c>
    </row>
    <row r="222" spans="1:7" x14ac:dyDescent="0.25">
      <c r="A222" s="8">
        <v>42854.929826388892</v>
      </c>
      <c r="B222" s="20" t="s">
        <v>394</v>
      </c>
      <c r="C222" s="20" t="s">
        <v>791</v>
      </c>
      <c r="D222" s="141">
        <v>2230000</v>
      </c>
      <c r="E222" s="20" t="s">
        <v>359</v>
      </c>
      <c r="F222" s="20" t="s">
        <v>196</v>
      </c>
      <c r="G222" s="8" t="str">
        <f t="shared" si="3"/>
        <v>SMITH MICHAEL</v>
      </c>
    </row>
    <row r="223" spans="1:7" x14ac:dyDescent="0.25">
      <c r="A223" s="8">
        <v>42854.931006944447</v>
      </c>
      <c r="B223" s="20" t="s">
        <v>358</v>
      </c>
      <c r="C223" s="20" t="s">
        <v>792</v>
      </c>
      <c r="D223" s="141">
        <v>2150000</v>
      </c>
      <c r="E223" s="20" t="s">
        <v>350</v>
      </c>
      <c r="F223" s="20" t="s">
        <v>351</v>
      </c>
      <c r="G223" s="8" t="str">
        <f t="shared" si="3"/>
        <v>SWANSON BRYCE</v>
      </c>
    </row>
    <row r="224" spans="1:7" x14ac:dyDescent="0.25">
      <c r="A224" s="8">
        <v>42854.932013888887</v>
      </c>
      <c r="B224" t="s">
        <v>356</v>
      </c>
      <c r="C224" t="s">
        <v>596</v>
      </c>
      <c r="D224" s="141">
        <v>1540000</v>
      </c>
      <c r="E224" t="s">
        <v>718</v>
      </c>
      <c r="F224" s="20" t="s">
        <v>719</v>
      </c>
      <c r="G224" s="8" t="str">
        <f t="shared" si="3"/>
        <v>HELVIE ADAM</v>
      </c>
    </row>
    <row r="225" spans="1:7" x14ac:dyDescent="0.25">
      <c r="A225" s="8">
        <v>42854.943726851852</v>
      </c>
      <c r="B225" t="s">
        <v>387</v>
      </c>
      <c r="C225" t="s">
        <v>793</v>
      </c>
      <c r="D225" s="141">
        <v>1540000</v>
      </c>
      <c r="E225" t="s">
        <v>718</v>
      </c>
      <c r="F225" s="20" t="s">
        <v>719</v>
      </c>
      <c r="G225" s="8" t="str">
        <f t="shared" si="3"/>
        <v>HELVIE ADAM</v>
      </c>
    </row>
    <row r="226" spans="1:7" x14ac:dyDescent="0.25">
      <c r="A226" s="8">
        <v>42854.950682870367</v>
      </c>
      <c r="B226" t="s">
        <v>356</v>
      </c>
      <c r="C226" t="s">
        <v>793</v>
      </c>
      <c r="D226" s="141">
        <v>1540000</v>
      </c>
      <c r="E226" t="s">
        <v>718</v>
      </c>
      <c r="F226" s="20" t="s">
        <v>719</v>
      </c>
      <c r="G226" s="8" t="str">
        <f t="shared" si="3"/>
        <v>HELVIE ADAM</v>
      </c>
    </row>
    <row r="227" spans="1:7" x14ac:dyDescent="0.25">
      <c r="A227" s="8">
        <v>42854.952199074076</v>
      </c>
      <c r="B227" t="s">
        <v>432</v>
      </c>
      <c r="C227" t="s">
        <v>597</v>
      </c>
      <c r="D227" s="141">
        <v>2610000</v>
      </c>
      <c r="E227" t="s">
        <v>604</v>
      </c>
      <c r="F227" s="20" t="s">
        <v>605</v>
      </c>
      <c r="G227" s="8" t="str">
        <f t="shared" si="3"/>
        <v>MAGEE KENYA</v>
      </c>
    </row>
    <row r="228" spans="1:7" x14ac:dyDescent="0.25">
      <c r="A228" s="8">
        <v>42854.954259259262</v>
      </c>
      <c r="B228" t="s">
        <v>462</v>
      </c>
      <c r="C228" t="s">
        <v>794</v>
      </c>
      <c r="D228" s="141">
        <v>2000000</v>
      </c>
      <c r="E228" t="s">
        <v>354</v>
      </c>
      <c r="F228" s="20" t="s">
        <v>193</v>
      </c>
      <c r="G228" s="8" t="str">
        <f t="shared" si="3"/>
        <v>STAMBAUGH JAMES</v>
      </c>
    </row>
    <row r="229" spans="1:7" x14ac:dyDescent="0.25">
      <c r="A229" s="8">
        <v>42854.960381944446</v>
      </c>
      <c r="B229" t="s">
        <v>594</v>
      </c>
      <c r="C229" t="s">
        <v>595</v>
      </c>
      <c r="D229" s="141">
        <v>2680000</v>
      </c>
      <c r="E229" t="s">
        <v>390</v>
      </c>
      <c r="F229" s="20" t="s">
        <v>391</v>
      </c>
      <c r="G229" s="8" t="str">
        <f t="shared" si="3"/>
        <v>DUNCAN SHEILA</v>
      </c>
    </row>
    <row r="230" spans="1:7" x14ac:dyDescent="0.25">
      <c r="A230" s="8">
        <v>42854.965798611112</v>
      </c>
      <c r="B230" t="s">
        <v>393</v>
      </c>
      <c r="C230" t="s">
        <v>795</v>
      </c>
      <c r="D230" s="141">
        <v>2230000</v>
      </c>
      <c r="E230" t="s">
        <v>359</v>
      </c>
      <c r="F230" s="20" t="s">
        <v>196</v>
      </c>
      <c r="G230" s="8" t="str">
        <f t="shared" si="3"/>
        <v>SMITH MICHAEL</v>
      </c>
    </row>
    <row r="231" spans="1:7" x14ac:dyDescent="0.25">
      <c r="A231" s="8">
        <v>42854.972002314818</v>
      </c>
      <c r="B231" t="s">
        <v>357</v>
      </c>
      <c r="C231" t="s">
        <v>796</v>
      </c>
      <c r="D231" s="141">
        <v>2150000</v>
      </c>
      <c r="E231" t="s">
        <v>350</v>
      </c>
      <c r="F231" s="20" t="s">
        <v>351</v>
      </c>
      <c r="G231" s="8" t="str">
        <f t="shared" si="3"/>
        <v>SWANSON BRYCE</v>
      </c>
    </row>
    <row r="232" spans="1:7" x14ac:dyDescent="0.25">
      <c r="A232" s="8">
        <v>42854.984189814815</v>
      </c>
      <c r="B232" t="s">
        <v>461</v>
      </c>
      <c r="C232" t="s">
        <v>797</v>
      </c>
      <c r="D232" s="141">
        <v>2000000</v>
      </c>
      <c r="E232" t="s">
        <v>354</v>
      </c>
      <c r="F232" s="20" t="s">
        <v>193</v>
      </c>
      <c r="G232" s="8" t="str">
        <f t="shared" si="3"/>
        <v>STAMBAUGH JAMES</v>
      </c>
    </row>
    <row r="233" spans="1:7" x14ac:dyDescent="0.25">
      <c r="A233" s="8">
        <v>42854.99486111111</v>
      </c>
      <c r="B233" t="s">
        <v>503</v>
      </c>
      <c r="C233" t="s">
        <v>598</v>
      </c>
      <c r="D233" s="141">
        <v>2680000</v>
      </c>
      <c r="E233" t="s">
        <v>390</v>
      </c>
      <c r="F233" s="20" t="s">
        <v>391</v>
      </c>
      <c r="G233" s="8" t="str">
        <f t="shared" si="3"/>
        <v>DUNCAN SHEILA</v>
      </c>
    </row>
    <row r="234" spans="1:7" x14ac:dyDescent="0.25">
      <c r="A234" s="8">
        <v>42854.995208333334</v>
      </c>
      <c r="B234" t="s">
        <v>463</v>
      </c>
      <c r="C234" t="s">
        <v>798</v>
      </c>
      <c r="D234" s="141">
        <v>2610000</v>
      </c>
      <c r="E234" t="s">
        <v>604</v>
      </c>
      <c r="F234" s="20" t="s">
        <v>605</v>
      </c>
      <c r="G234" s="8" t="str">
        <f t="shared" si="3"/>
        <v>MAGEE KENYA</v>
      </c>
    </row>
    <row r="235" spans="1:7" x14ac:dyDescent="0.25">
      <c r="A235" s="8">
        <v>42855.006701388891</v>
      </c>
      <c r="B235" t="s">
        <v>358</v>
      </c>
      <c r="C235" t="s">
        <v>799</v>
      </c>
      <c r="D235" s="141">
        <v>2150000</v>
      </c>
      <c r="E235" t="s">
        <v>350</v>
      </c>
      <c r="F235" s="20" t="s">
        <v>351</v>
      </c>
      <c r="G235" s="8" t="str">
        <f t="shared" si="3"/>
        <v>SWANSON BRYCE</v>
      </c>
    </row>
    <row r="236" spans="1:7" x14ac:dyDescent="0.25">
      <c r="A236" s="8">
        <v>42855.0078587963</v>
      </c>
      <c r="B236" t="s">
        <v>394</v>
      </c>
      <c r="C236" t="s">
        <v>800</v>
      </c>
      <c r="D236" s="141">
        <v>2230000</v>
      </c>
      <c r="E236" t="s">
        <v>359</v>
      </c>
      <c r="F236" s="20" t="s">
        <v>196</v>
      </c>
      <c r="G236" s="8" t="str">
        <f t="shared" si="3"/>
        <v>SMITH MICHAEL</v>
      </c>
    </row>
    <row r="237" spans="1:7" x14ac:dyDescent="0.25">
      <c r="A237" s="8">
        <v>42855.031412037039</v>
      </c>
      <c r="B237" t="s">
        <v>462</v>
      </c>
      <c r="C237" t="s">
        <v>801</v>
      </c>
      <c r="D237" s="141">
        <v>2000000</v>
      </c>
      <c r="E237" t="s">
        <v>354</v>
      </c>
      <c r="F237" s="20" t="s">
        <v>193</v>
      </c>
      <c r="G237" s="8" t="str">
        <f t="shared" si="3"/>
        <v>STAMBAUGH JAMES</v>
      </c>
    </row>
    <row r="238" spans="1:7" x14ac:dyDescent="0.25">
      <c r="A238" s="8">
        <v>42855.03670138889</v>
      </c>
      <c r="B238" t="s">
        <v>432</v>
      </c>
      <c r="C238" t="s">
        <v>802</v>
      </c>
      <c r="D238" s="141">
        <v>2610000</v>
      </c>
      <c r="E238" t="s">
        <v>604</v>
      </c>
      <c r="F238" s="20" t="s">
        <v>605</v>
      </c>
      <c r="G238" s="8" t="str">
        <f t="shared" si="3"/>
        <v>MAGEE KENYA</v>
      </c>
    </row>
    <row r="239" spans="1:7" x14ac:dyDescent="0.25">
      <c r="A239" s="8">
        <v>42855.042372685188</v>
      </c>
      <c r="B239" t="s">
        <v>594</v>
      </c>
      <c r="C239" t="s">
        <v>595</v>
      </c>
      <c r="D239" s="141">
        <v>2680000</v>
      </c>
      <c r="E239" t="s">
        <v>390</v>
      </c>
      <c r="F239" s="20" t="s">
        <v>391</v>
      </c>
      <c r="G239" s="8" t="str">
        <f t="shared" si="3"/>
        <v>DUNCAN SHEILA</v>
      </c>
    </row>
    <row r="240" spans="1:7" x14ac:dyDescent="0.25">
      <c r="A240" s="8">
        <v>42855.048402777778</v>
      </c>
      <c r="B240" t="s">
        <v>393</v>
      </c>
      <c r="C240" t="s">
        <v>803</v>
      </c>
      <c r="D240" s="141">
        <v>2230000</v>
      </c>
      <c r="E240" t="s">
        <v>359</v>
      </c>
      <c r="F240" s="20" t="s">
        <v>196</v>
      </c>
      <c r="G240" s="8" t="str">
        <f t="shared" si="3"/>
        <v>SMITH MICHAEL</v>
      </c>
    </row>
    <row r="241" spans="1:7" x14ac:dyDescent="0.25">
      <c r="A241" s="8">
        <v>42855.054895833331</v>
      </c>
      <c r="B241" t="s">
        <v>357</v>
      </c>
      <c r="C241" t="s">
        <v>804</v>
      </c>
      <c r="D241" s="141">
        <v>2150000</v>
      </c>
      <c r="E241" t="s">
        <v>350</v>
      </c>
      <c r="F241" s="20" t="s">
        <v>351</v>
      </c>
      <c r="G241" s="8" t="str">
        <f t="shared" si="3"/>
        <v>SWANSON BRYCE</v>
      </c>
    </row>
    <row r="242" spans="1:7" x14ac:dyDescent="0.25">
      <c r="A242" s="8">
        <v>42855.066932870373</v>
      </c>
      <c r="B242" t="s">
        <v>461</v>
      </c>
      <c r="C242" t="s">
        <v>805</v>
      </c>
      <c r="D242" s="141">
        <v>2000000</v>
      </c>
      <c r="E242" t="s">
        <v>354</v>
      </c>
      <c r="F242" s="20" t="s">
        <v>193</v>
      </c>
      <c r="G242" s="8" t="str">
        <f t="shared" si="3"/>
        <v>STAMBAUGH JAMES</v>
      </c>
    </row>
    <row r="243" spans="1:7" x14ac:dyDescent="0.25">
      <c r="A243" s="8">
        <v>42855.077824074076</v>
      </c>
      <c r="B243" t="s">
        <v>463</v>
      </c>
      <c r="C243" t="s">
        <v>806</v>
      </c>
      <c r="D243" s="141">
        <v>2610000</v>
      </c>
      <c r="E243" t="s">
        <v>604</v>
      </c>
      <c r="F243" s="20" t="s">
        <v>605</v>
      </c>
      <c r="G243" s="8" t="str">
        <f t="shared" si="3"/>
        <v>MAGEE KENYA</v>
      </c>
    </row>
    <row r="244" spans="1:7" x14ac:dyDescent="0.25">
      <c r="A244" s="8">
        <v>42855.084270833337</v>
      </c>
      <c r="B244" t="s">
        <v>503</v>
      </c>
      <c r="C244" t="s">
        <v>598</v>
      </c>
      <c r="D244" s="141">
        <v>2680000</v>
      </c>
      <c r="E244" t="s">
        <v>390</v>
      </c>
      <c r="F244" s="20" t="s">
        <v>391</v>
      </c>
      <c r="G244" s="8" t="str">
        <f t="shared" si="3"/>
        <v>DUNCAN SHEILA</v>
      </c>
    </row>
    <row r="245" spans="1:7" x14ac:dyDescent="0.25">
      <c r="A245" s="8">
        <v>42855.090694444443</v>
      </c>
      <c r="B245" t="s">
        <v>358</v>
      </c>
      <c r="C245" t="s">
        <v>807</v>
      </c>
      <c r="D245" s="141">
        <v>2150000</v>
      </c>
      <c r="E245" t="s">
        <v>350</v>
      </c>
      <c r="F245" s="20" t="s">
        <v>351</v>
      </c>
      <c r="G245" s="8" t="str">
        <f t="shared" si="3"/>
        <v>SWANSON BRYCE</v>
      </c>
    </row>
    <row r="246" spans="1:7" x14ac:dyDescent="0.25">
      <c r="A246" s="8">
        <v>42855.109988425924</v>
      </c>
      <c r="B246" t="s">
        <v>432</v>
      </c>
      <c r="C246" t="s">
        <v>808</v>
      </c>
      <c r="D246" s="141">
        <v>2610000</v>
      </c>
      <c r="E246" t="s">
        <v>604</v>
      </c>
      <c r="F246" s="20" t="s">
        <v>605</v>
      </c>
      <c r="G246" s="8" t="str">
        <f t="shared" si="3"/>
        <v>MAGEE KENYA</v>
      </c>
    </row>
    <row r="247" spans="1:7" x14ac:dyDescent="0.25">
      <c r="A247" s="8">
        <v>42853.035995370374</v>
      </c>
      <c r="B247" t="s">
        <v>425</v>
      </c>
      <c r="C247" t="s">
        <v>519</v>
      </c>
      <c r="D247" s="141">
        <v>2540000</v>
      </c>
      <c r="E247" t="s">
        <v>513</v>
      </c>
      <c r="F247" s="20" t="s">
        <v>514</v>
      </c>
      <c r="G247" s="8" t="str">
        <f t="shared" si="3"/>
        <v>MCREYNOLDS KYLE</v>
      </c>
    </row>
    <row r="248" spans="1:7" x14ac:dyDescent="0.25">
      <c r="A248" s="8">
        <v>42853.056527777779</v>
      </c>
      <c r="B248" t="s">
        <v>502</v>
      </c>
      <c r="C248" t="s">
        <v>520</v>
      </c>
      <c r="D248" s="141">
        <v>1810000</v>
      </c>
      <c r="E248" t="s">
        <v>372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42853.056747685187</v>
      </c>
      <c r="B249" t="s">
        <v>387</v>
      </c>
      <c r="C249" t="s">
        <v>521</v>
      </c>
      <c r="D249" s="141">
        <v>2150000</v>
      </c>
      <c r="E249" t="s">
        <v>350</v>
      </c>
      <c r="F249" s="20" t="s">
        <v>351</v>
      </c>
      <c r="G249" s="8" t="str">
        <f t="shared" si="3"/>
        <v>SWANSON BRYCE</v>
      </c>
    </row>
    <row r="250" spans="1:7" x14ac:dyDescent="0.25">
      <c r="A250" s="8">
        <v>42853.068171296298</v>
      </c>
      <c r="B250" t="s">
        <v>426</v>
      </c>
      <c r="C250" t="s">
        <v>522</v>
      </c>
      <c r="D250" s="141">
        <v>2540000</v>
      </c>
      <c r="E250" t="s">
        <v>513</v>
      </c>
      <c r="F250" s="20" t="s">
        <v>514</v>
      </c>
      <c r="G250" s="8" t="str">
        <f t="shared" si="3"/>
        <v>MCREYNOLDS KYLE</v>
      </c>
    </row>
    <row r="251" spans="1:7" x14ac:dyDescent="0.25">
      <c r="A251" s="8">
        <v>42853.08861111111</v>
      </c>
      <c r="B251" t="s">
        <v>504</v>
      </c>
      <c r="C251" t="s">
        <v>517</v>
      </c>
      <c r="D251" s="141">
        <v>2620000</v>
      </c>
      <c r="E251" t="s">
        <v>447</v>
      </c>
      <c r="F251" s="20" t="s">
        <v>448</v>
      </c>
      <c r="G251" s="8" t="str">
        <f t="shared" si="3"/>
        <v>PERKINS DARREN</v>
      </c>
    </row>
    <row r="252" spans="1:7" x14ac:dyDescent="0.25">
      <c r="A252" s="8">
        <v>42853.08971064815</v>
      </c>
      <c r="B252" t="s">
        <v>356</v>
      </c>
      <c r="C252" t="s">
        <v>523</v>
      </c>
      <c r="D252" s="141">
        <v>2150000</v>
      </c>
      <c r="E252" t="s">
        <v>350</v>
      </c>
      <c r="F252" s="20" t="s">
        <v>351</v>
      </c>
      <c r="G252" s="8" t="str">
        <f t="shared" si="3"/>
        <v>SWANSON BRYCE</v>
      </c>
    </row>
    <row r="253" spans="1:7" x14ac:dyDescent="0.25">
      <c r="A253" s="8">
        <v>42853.107974537037</v>
      </c>
      <c r="B253" t="s">
        <v>503</v>
      </c>
      <c r="C253" t="s">
        <v>518</v>
      </c>
      <c r="D253" s="141">
        <v>2620000</v>
      </c>
      <c r="E253" t="s">
        <v>447</v>
      </c>
      <c r="F253" s="20" t="s">
        <v>448</v>
      </c>
      <c r="G253" s="8" t="str">
        <f t="shared" si="3"/>
        <v>PERKINS DARREN</v>
      </c>
    </row>
    <row r="254" spans="1:7" x14ac:dyDescent="0.25">
      <c r="A254" s="8">
        <v>42853.109027777777</v>
      </c>
      <c r="B254" t="s">
        <v>503</v>
      </c>
      <c r="C254" t="s">
        <v>518</v>
      </c>
      <c r="D254" s="141">
        <v>2620000</v>
      </c>
      <c r="E254" t="s">
        <v>447</v>
      </c>
      <c r="F254" s="20" t="s">
        <v>448</v>
      </c>
      <c r="G254" s="8" t="str">
        <f t="shared" si="3"/>
        <v>PERKINS DARREN</v>
      </c>
    </row>
    <row r="255" spans="1:7" x14ac:dyDescent="0.25">
      <c r="A255" s="8">
        <v>42850.008356481485</v>
      </c>
      <c r="B255" t="s">
        <v>417</v>
      </c>
      <c r="C255" t="s">
        <v>449</v>
      </c>
      <c r="D255" s="141">
        <v>2230000</v>
      </c>
      <c r="E255" t="s">
        <v>359</v>
      </c>
      <c r="F255" s="20" t="s">
        <v>196</v>
      </c>
      <c r="G255" s="8" t="str">
        <f t="shared" si="3"/>
        <v>SMITH MICHAEL</v>
      </c>
    </row>
    <row r="256" spans="1:7" x14ac:dyDescent="0.25">
      <c r="A256" s="8">
        <v>42850.027465277781</v>
      </c>
      <c r="B256" t="s">
        <v>420</v>
      </c>
      <c r="C256" t="s">
        <v>450</v>
      </c>
      <c r="D256" s="141">
        <v>2620000</v>
      </c>
      <c r="E256" t="s">
        <v>447</v>
      </c>
      <c r="F256" s="20" t="s">
        <v>448</v>
      </c>
      <c r="G256" s="8" t="str">
        <f t="shared" si="3"/>
        <v>PERKINS DARREN</v>
      </c>
    </row>
    <row r="257" spans="1:7" x14ac:dyDescent="0.25">
      <c r="A257" s="8">
        <v>42850.037002314813</v>
      </c>
      <c r="B257" t="s">
        <v>446</v>
      </c>
      <c r="C257" t="s">
        <v>451</v>
      </c>
      <c r="D257" s="141">
        <v>2000000</v>
      </c>
      <c r="E257" t="s">
        <v>354</v>
      </c>
      <c r="F257" s="20" t="s">
        <v>193</v>
      </c>
      <c r="G257" s="8" t="str">
        <f t="shared" si="3"/>
        <v>STAMBAUGH JAMES</v>
      </c>
    </row>
    <row r="258" spans="1:7" x14ac:dyDescent="0.25">
      <c r="A258" s="8">
        <v>42850.04960648148</v>
      </c>
      <c r="B258" t="s">
        <v>416</v>
      </c>
      <c r="C258" t="s">
        <v>452</v>
      </c>
      <c r="D258" s="141">
        <v>2230000</v>
      </c>
      <c r="E258" t="s">
        <v>359</v>
      </c>
      <c r="F258" s="20" t="s">
        <v>196</v>
      </c>
      <c r="G258" s="8" t="str">
        <f t="shared" si="3"/>
        <v>SMITH MICHAEL</v>
      </c>
    </row>
    <row r="259" spans="1:7" x14ac:dyDescent="0.25">
      <c r="A259" s="8">
        <v>42850.051446759258</v>
      </c>
      <c r="B259" t="s">
        <v>353</v>
      </c>
      <c r="C259" t="s">
        <v>453</v>
      </c>
      <c r="D259" s="141">
        <v>1740000</v>
      </c>
      <c r="E259" t="s">
        <v>373</v>
      </c>
      <c r="F259" s="20" t="s">
        <v>374</v>
      </c>
      <c r="G259" s="8" t="str">
        <f t="shared" ref="G259:G322" si="4">E259&amp;" "&amp;F259</f>
        <v>STORY SAMANTHA</v>
      </c>
    </row>
    <row r="260" spans="1:7" x14ac:dyDescent="0.25">
      <c r="A260" s="8">
        <v>42850.070821759262</v>
      </c>
      <c r="B260" t="s">
        <v>360</v>
      </c>
      <c r="C260" t="s">
        <v>454</v>
      </c>
      <c r="D260" s="141">
        <v>2000000</v>
      </c>
      <c r="E260" t="s">
        <v>354</v>
      </c>
      <c r="F260" s="20" t="s">
        <v>193</v>
      </c>
      <c r="G260" s="8" t="str">
        <f t="shared" si="4"/>
        <v>STAMBAUGH JAMES</v>
      </c>
    </row>
    <row r="261" spans="1:7" x14ac:dyDescent="0.25">
      <c r="A261" s="8">
        <v>42850.090532407405</v>
      </c>
      <c r="B261" t="s">
        <v>352</v>
      </c>
      <c r="C261" t="s">
        <v>455</v>
      </c>
      <c r="D261" s="141">
        <v>1740000</v>
      </c>
      <c r="E261" t="s">
        <v>373</v>
      </c>
      <c r="F261" s="20" t="s">
        <v>374</v>
      </c>
      <c r="G261" s="8" t="str">
        <f t="shared" si="4"/>
        <v>STORY SAMANTHA</v>
      </c>
    </row>
    <row r="262" spans="1:7" x14ac:dyDescent="0.25">
      <c r="A262" s="8">
        <v>42844.048020833332</v>
      </c>
      <c r="B262" t="s">
        <v>426</v>
      </c>
      <c r="C262" t="s">
        <v>363</v>
      </c>
      <c r="D262" s="141">
        <v>1810000</v>
      </c>
      <c r="E262" t="s">
        <v>372</v>
      </c>
      <c r="F262" s="20" t="s">
        <v>193</v>
      </c>
      <c r="G262" s="8" t="str">
        <f t="shared" si="4"/>
        <v>NEWELL JAMES</v>
      </c>
    </row>
    <row r="263" spans="1:7" x14ac:dyDescent="0.25">
      <c r="A263" s="8">
        <v>42844.058842592596</v>
      </c>
      <c r="B263" t="s">
        <v>387</v>
      </c>
      <c r="C263" t="s">
        <v>364</v>
      </c>
      <c r="D263" s="141">
        <v>2000000</v>
      </c>
      <c r="E263" t="s">
        <v>354</v>
      </c>
      <c r="F263" s="20" t="s">
        <v>193</v>
      </c>
      <c r="G263" s="8" t="str">
        <f t="shared" si="4"/>
        <v>STAMBAUGH JAMES</v>
      </c>
    </row>
    <row r="264" spans="1:7" x14ac:dyDescent="0.25">
      <c r="A264" s="8">
        <v>42844.069675925923</v>
      </c>
      <c r="B264" t="s">
        <v>412</v>
      </c>
      <c r="C264" t="s">
        <v>365</v>
      </c>
      <c r="D264" s="141">
        <v>1740000</v>
      </c>
      <c r="E264" t="s">
        <v>373</v>
      </c>
      <c r="F264" s="20" t="s">
        <v>374</v>
      </c>
      <c r="G264" s="8" t="str">
        <f t="shared" si="4"/>
        <v>STORY SAMANTHA</v>
      </c>
    </row>
    <row r="265" spans="1:7" x14ac:dyDescent="0.25">
      <c r="A265" s="8">
        <v>42844.094085648147</v>
      </c>
      <c r="B265" t="s">
        <v>356</v>
      </c>
      <c r="C265" t="s">
        <v>367</v>
      </c>
      <c r="D265" s="141">
        <v>2000000</v>
      </c>
      <c r="E265" t="s">
        <v>354</v>
      </c>
      <c r="F265" s="20" t="s">
        <v>193</v>
      </c>
      <c r="G265" s="8" t="str">
        <f t="shared" si="4"/>
        <v>STAMBAUGH JAMES</v>
      </c>
    </row>
    <row r="266" spans="1:7" x14ac:dyDescent="0.25">
      <c r="A266" s="8">
        <v>42829.978796296295</v>
      </c>
      <c r="B266" t="s">
        <v>357</v>
      </c>
      <c r="C266" t="s">
        <v>398</v>
      </c>
      <c r="D266" s="141">
        <v>2680000</v>
      </c>
      <c r="E266" t="s">
        <v>390</v>
      </c>
      <c r="F266" s="20" t="s">
        <v>391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358</v>
      </c>
      <c r="C267" t="s">
        <v>397</v>
      </c>
      <c r="D267" s="141">
        <v>2680000</v>
      </c>
      <c r="E267" t="s">
        <v>390</v>
      </c>
      <c r="F267" s="20" t="s">
        <v>391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382</v>
      </c>
      <c r="C268" t="s">
        <v>399</v>
      </c>
      <c r="D268" s="141">
        <v>1740000</v>
      </c>
      <c r="E268" t="s">
        <v>373</v>
      </c>
      <c r="F268" s="20" t="s">
        <v>374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377</v>
      </c>
      <c r="C269" t="s">
        <v>400</v>
      </c>
      <c r="D269" s="141">
        <v>1800000</v>
      </c>
      <c r="E269" t="s">
        <v>370</v>
      </c>
      <c r="F269" s="20" t="s">
        <v>371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357</v>
      </c>
      <c r="C270" t="s">
        <v>398</v>
      </c>
      <c r="D270" s="141">
        <v>2680000</v>
      </c>
      <c r="E270" t="s">
        <v>390</v>
      </c>
      <c r="F270" s="20" t="s">
        <v>391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358</v>
      </c>
      <c r="C271" t="s">
        <v>397</v>
      </c>
      <c r="D271" s="141">
        <v>2680000</v>
      </c>
      <c r="E271" t="s">
        <v>390</v>
      </c>
      <c r="F271" s="20" t="s">
        <v>391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356</v>
      </c>
      <c r="C272" t="s">
        <v>401</v>
      </c>
      <c r="D272" s="141">
        <v>2970000</v>
      </c>
      <c r="E272" t="s">
        <v>395</v>
      </c>
      <c r="F272" s="20" t="s">
        <v>396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357</v>
      </c>
      <c r="C273" t="s">
        <v>398</v>
      </c>
      <c r="D273" s="141">
        <v>2680000</v>
      </c>
      <c r="E273" t="s">
        <v>390</v>
      </c>
      <c r="F273" s="20" t="s">
        <v>391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358</v>
      </c>
      <c r="C274" t="s">
        <v>397</v>
      </c>
      <c r="D274" s="141">
        <v>2680000</v>
      </c>
      <c r="E274" t="s">
        <v>390</v>
      </c>
      <c r="F274" s="20" t="s">
        <v>391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394</v>
      </c>
      <c r="C275" t="s">
        <v>402</v>
      </c>
      <c r="D275" s="141">
        <v>1810000</v>
      </c>
      <c r="E275" t="s">
        <v>372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357</v>
      </c>
      <c r="C276" t="s">
        <v>398</v>
      </c>
      <c r="D276" s="141">
        <v>2680000</v>
      </c>
      <c r="E276" t="s">
        <v>390</v>
      </c>
      <c r="F276" s="20" t="s">
        <v>391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358</v>
      </c>
      <c r="C277" t="s">
        <v>397</v>
      </c>
      <c r="D277" s="141">
        <v>2680000</v>
      </c>
      <c r="E277" t="s">
        <v>390</v>
      </c>
      <c r="F277" s="20" t="s">
        <v>391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357</v>
      </c>
      <c r="C278" t="s">
        <v>398</v>
      </c>
      <c r="D278" s="141">
        <v>2680000</v>
      </c>
      <c r="E278" t="s">
        <v>390</v>
      </c>
      <c r="F278" s="20" t="s">
        <v>391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376</v>
      </c>
      <c r="C279" t="s">
        <v>403</v>
      </c>
      <c r="D279" s="141">
        <v>1800000</v>
      </c>
      <c r="E279" t="s">
        <v>370</v>
      </c>
      <c r="F279" s="20" t="s">
        <v>371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386</v>
      </c>
      <c r="C280" t="s">
        <v>404</v>
      </c>
      <c r="D280" s="141">
        <v>1740000</v>
      </c>
      <c r="E280" t="s">
        <v>373</v>
      </c>
      <c r="F280" s="20" t="s">
        <v>374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387</v>
      </c>
      <c r="C281" t="s">
        <v>405</v>
      </c>
      <c r="D281" s="141">
        <v>2970000</v>
      </c>
      <c r="E281" t="s">
        <v>395</v>
      </c>
      <c r="F281" s="20" t="s">
        <v>396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393</v>
      </c>
      <c r="C282" t="s">
        <v>406</v>
      </c>
      <c r="D282" s="141">
        <v>1810000</v>
      </c>
      <c r="E282" t="s">
        <v>372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382</v>
      </c>
      <c r="C283" t="s">
        <v>407</v>
      </c>
      <c r="D283" s="141">
        <v>1740000</v>
      </c>
      <c r="E283" t="s">
        <v>373</v>
      </c>
      <c r="F283" s="20" t="s">
        <v>374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358</v>
      </c>
      <c r="C284" t="s">
        <v>397</v>
      </c>
      <c r="D284" s="141">
        <v>2680000</v>
      </c>
      <c r="E284" t="s">
        <v>390</v>
      </c>
      <c r="F284" s="20" t="s">
        <v>391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358</v>
      </c>
      <c r="C285" t="s">
        <v>397</v>
      </c>
      <c r="D285" s="141">
        <v>2680000</v>
      </c>
      <c r="E285" t="s">
        <v>390</v>
      </c>
      <c r="F285" s="20" t="s">
        <v>391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356</v>
      </c>
      <c r="C286" t="s">
        <v>408</v>
      </c>
      <c r="D286" s="141">
        <v>2970000</v>
      </c>
      <c r="E286" t="s">
        <v>395</v>
      </c>
      <c r="F286" s="20" t="s">
        <v>396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362</v>
      </c>
      <c r="D287" s="141">
        <v>2230000</v>
      </c>
      <c r="E287" t="s">
        <v>359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355</v>
      </c>
      <c r="C288" t="s">
        <v>363</v>
      </c>
      <c r="D288" s="141">
        <v>2000000</v>
      </c>
      <c r="E288" t="s">
        <v>354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360</v>
      </c>
      <c r="C289" t="s">
        <v>364</v>
      </c>
      <c r="D289" s="141">
        <v>2150000</v>
      </c>
      <c r="E289" t="s">
        <v>350</v>
      </c>
      <c r="F289" s="20" t="s">
        <v>351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360</v>
      </c>
      <c r="C290" t="s">
        <v>364</v>
      </c>
      <c r="D290" s="141">
        <v>2150000</v>
      </c>
      <c r="E290" t="s">
        <v>350</v>
      </c>
      <c r="F290" s="20" t="s">
        <v>351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360</v>
      </c>
      <c r="C291" t="s">
        <v>364</v>
      </c>
      <c r="D291" s="141">
        <v>2150000</v>
      </c>
      <c r="E291" t="s">
        <v>350</v>
      </c>
      <c r="F291" s="20" t="s">
        <v>351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361</v>
      </c>
      <c r="C292" t="s">
        <v>365</v>
      </c>
      <c r="D292" s="141">
        <v>2230000</v>
      </c>
      <c r="E292" t="s">
        <v>359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352</v>
      </c>
      <c r="C293" t="s">
        <v>366</v>
      </c>
      <c r="D293" s="141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352</v>
      </c>
      <c r="C294" t="s">
        <v>366</v>
      </c>
      <c r="D294" s="141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352</v>
      </c>
      <c r="C295" t="s">
        <v>366</v>
      </c>
      <c r="D295" s="141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358</v>
      </c>
      <c r="C296" t="s">
        <v>367</v>
      </c>
      <c r="D296" s="141">
        <v>2150000</v>
      </c>
      <c r="E296" t="s">
        <v>350</v>
      </c>
      <c r="F296" s="20" t="s">
        <v>351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353</v>
      </c>
      <c r="C297" t="s">
        <v>368</v>
      </c>
      <c r="D297" s="141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809</v>
      </c>
      <c r="I1" s="201" t="s">
        <v>168</v>
      </c>
      <c r="J1" s="201" t="s">
        <v>169</v>
      </c>
      <c r="K1" s="201" t="s">
        <v>434</v>
      </c>
      <c r="L1" s="201" t="s">
        <v>163</v>
      </c>
      <c r="M1" s="201" t="s">
        <v>161</v>
      </c>
      <c r="N1" s="201" t="s">
        <v>156</v>
      </c>
      <c r="O1" s="201" t="s">
        <v>166</v>
      </c>
      <c r="P1" s="201" t="s">
        <v>160</v>
      </c>
      <c r="Q1" s="201" t="s">
        <v>167</v>
      </c>
      <c r="R1" s="201" t="s">
        <v>164</v>
      </c>
    </row>
    <row r="2" spans="1:18" x14ac:dyDescent="0.25">
      <c r="A2" s="168">
        <v>23.54</v>
      </c>
      <c r="B2" s="168">
        <v>1</v>
      </c>
      <c r="C2" s="168">
        <v>28.7</v>
      </c>
      <c r="D2" s="8">
        <v>42854</v>
      </c>
      <c r="E2" s="168">
        <v>0.95</v>
      </c>
      <c r="F2" s="168" t="s">
        <v>810</v>
      </c>
      <c r="G2" s="168">
        <v>375.17</v>
      </c>
      <c r="H2" s="168">
        <v>0.17199999999999999</v>
      </c>
      <c r="I2" s="168">
        <v>1.9199999999999998E-2</v>
      </c>
      <c r="J2" s="168">
        <v>0.6</v>
      </c>
      <c r="K2" s="168" t="s">
        <v>810</v>
      </c>
      <c r="L2" s="168">
        <v>1021.96</v>
      </c>
      <c r="M2" s="168" t="s">
        <v>811</v>
      </c>
      <c r="N2" s="168">
        <v>29.86</v>
      </c>
      <c r="O2" s="168">
        <v>1493445600</v>
      </c>
      <c r="P2" s="168">
        <v>0.95</v>
      </c>
      <c r="Q2" s="168">
        <v>11</v>
      </c>
      <c r="R2" s="168">
        <v>6.18</v>
      </c>
    </row>
    <row r="3" spans="1:18" x14ac:dyDescent="0.25">
      <c r="A3" s="168">
        <v>25.51</v>
      </c>
      <c r="B3" s="168">
        <v>0.92</v>
      </c>
      <c r="C3" s="168">
        <v>29.62</v>
      </c>
      <c r="D3" s="8">
        <v>42854.041666666664</v>
      </c>
      <c r="E3" s="168">
        <v>0.95</v>
      </c>
      <c r="F3" s="168" t="s">
        <v>810</v>
      </c>
      <c r="G3" s="168">
        <v>373.98</v>
      </c>
      <c r="H3" s="168">
        <v>0.152</v>
      </c>
      <c r="I3" s="168">
        <v>1.8200000000000001E-2</v>
      </c>
      <c r="J3" s="168">
        <v>0.59</v>
      </c>
      <c r="K3" s="168" t="s">
        <v>810</v>
      </c>
      <c r="L3" s="168">
        <v>1022.1</v>
      </c>
      <c r="M3" s="168" t="s">
        <v>811</v>
      </c>
      <c r="N3" s="168">
        <v>30.86</v>
      </c>
      <c r="O3" s="168">
        <v>1493449200</v>
      </c>
      <c r="P3" s="168">
        <v>0.78</v>
      </c>
      <c r="Q3" s="168">
        <v>14</v>
      </c>
      <c r="R3" s="168">
        <v>5.25</v>
      </c>
    </row>
    <row r="4" spans="1:18" x14ac:dyDescent="0.25">
      <c r="A4" s="168">
        <v>26</v>
      </c>
      <c r="B4" s="168">
        <v>0.86</v>
      </c>
      <c r="C4" s="168">
        <v>29.35</v>
      </c>
      <c r="D4" s="8">
        <v>42854.083333333336</v>
      </c>
      <c r="E4" s="168">
        <v>0.95</v>
      </c>
      <c r="F4" s="168" t="s">
        <v>810</v>
      </c>
      <c r="G4" s="168">
        <v>372.79</v>
      </c>
      <c r="H4" s="168">
        <v>0.14599999999999999</v>
      </c>
      <c r="I4" s="168">
        <v>1.72E-2</v>
      </c>
      <c r="J4" s="168">
        <v>0.57999999999999996</v>
      </c>
      <c r="K4" s="168" t="s">
        <v>810</v>
      </c>
      <c r="L4" s="168">
        <v>1022.2</v>
      </c>
      <c r="M4" s="168" t="s">
        <v>812</v>
      </c>
      <c r="N4" s="168">
        <v>30.57</v>
      </c>
      <c r="O4" s="168">
        <v>1493452800</v>
      </c>
      <c r="P4" s="168">
        <v>1.1499999999999999</v>
      </c>
      <c r="Q4" s="168">
        <v>9</v>
      </c>
      <c r="R4" s="168">
        <v>4.38</v>
      </c>
    </row>
    <row r="5" spans="1:18" x14ac:dyDescent="0.25">
      <c r="A5" s="168">
        <v>24.34</v>
      </c>
      <c r="B5" s="168">
        <v>0.76</v>
      </c>
      <c r="C5" s="168">
        <v>28.25</v>
      </c>
      <c r="D5" s="8">
        <v>42854.125</v>
      </c>
      <c r="E5" s="168">
        <v>0.95</v>
      </c>
      <c r="F5" s="168" t="s">
        <v>810</v>
      </c>
      <c r="G5" s="168">
        <v>371.61</v>
      </c>
      <c r="H5" s="168">
        <v>0.14799999999999999</v>
      </c>
      <c r="I5" s="168">
        <v>1.61E-2</v>
      </c>
      <c r="J5" s="168">
        <v>0.57999999999999996</v>
      </c>
      <c r="K5" s="168" t="s">
        <v>810</v>
      </c>
      <c r="L5" s="168">
        <v>1022.27</v>
      </c>
      <c r="M5" s="168" t="s">
        <v>812</v>
      </c>
      <c r="N5" s="168">
        <v>29.53</v>
      </c>
      <c r="O5" s="168">
        <v>1493456400</v>
      </c>
      <c r="P5" s="168">
        <v>1.23</v>
      </c>
      <c r="Q5" s="168">
        <v>9</v>
      </c>
      <c r="R5" s="168">
        <v>4.83</v>
      </c>
    </row>
    <row r="6" spans="1:18" x14ac:dyDescent="0.25">
      <c r="A6" s="168">
        <v>24.91</v>
      </c>
      <c r="B6" s="168">
        <v>0.75</v>
      </c>
      <c r="C6" s="168">
        <v>28.32</v>
      </c>
      <c r="D6" s="8">
        <v>42854.166666666664</v>
      </c>
      <c r="E6" s="168">
        <v>0.95</v>
      </c>
      <c r="F6" s="168" t="s">
        <v>810</v>
      </c>
      <c r="G6" s="168">
        <v>369.3</v>
      </c>
      <c r="H6" s="168">
        <v>0.129</v>
      </c>
      <c r="I6" s="168">
        <v>1.4200000000000001E-2</v>
      </c>
      <c r="J6" s="168">
        <v>0.56000000000000005</v>
      </c>
      <c r="K6" s="168" t="s">
        <v>810</v>
      </c>
      <c r="L6" s="168">
        <v>1022.78</v>
      </c>
      <c r="M6" s="168" t="s">
        <v>812</v>
      </c>
      <c r="N6" s="168">
        <v>29.58</v>
      </c>
      <c r="O6" s="168">
        <v>1493460000</v>
      </c>
      <c r="P6" s="168">
        <v>1.83</v>
      </c>
      <c r="Q6" s="168">
        <v>5</v>
      </c>
      <c r="R6" s="168">
        <v>4.33</v>
      </c>
    </row>
    <row r="7" spans="1:18" x14ac:dyDescent="0.25">
      <c r="A7" s="168">
        <v>25.12</v>
      </c>
      <c r="B7" s="168">
        <v>0.79</v>
      </c>
      <c r="C7" s="168">
        <v>28.41</v>
      </c>
      <c r="D7" s="8">
        <v>42854.208333333336</v>
      </c>
      <c r="E7" s="168">
        <v>0.95</v>
      </c>
      <c r="F7" s="168" t="s">
        <v>810</v>
      </c>
      <c r="G7" s="168">
        <v>366.62</v>
      </c>
      <c r="H7" s="168">
        <v>0.11</v>
      </c>
      <c r="I7" s="168">
        <v>1.2E-2</v>
      </c>
      <c r="J7" s="168">
        <v>0.53</v>
      </c>
      <c r="K7" s="168" t="s">
        <v>810</v>
      </c>
      <c r="L7" s="168">
        <v>1023.44</v>
      </c>
      <c r="M7" s="168" t="s">
        <v>812</v>
      </c>
      <c r="N7" s="168">
        <v>29.59</v>
      </c>
      <c r="O7" s="168">
        <v>1493463600</v>
      </c>
      <c r="P7" s="168">
        <v>1.1100000000000001</v>
      </c>
      <c r="Q7" s="168">
        <v>1</v>
      </c>
      <c r="R7" s="168">
        <v>4.16</v>
      </c>
    </row>
    <row r="8" spans="1:18" x14ac:dyDescent="0.25">
      <c r="A8" s="168">
        <v>27.01</v>
      </c>
      <c r="B8" s="168">
        <v>0.86</v>
      </c>
      <c r="C8" s="168">
        <v>29.55</v>
      </c>
      <c r="D8" s="8">
        <v>42854.25</v>
      </c>
      <c r="E8" s="168">
        <v>0.95</v>
      </c>
      <c r="F8" s="168" t="s">
        <v>810</v>
      </c>
      <c r="G8" s="168">
        <v>364.61</v>
      </c>
      <c r="H8" s="168">
        <v>8.7999999999999995E-2</v>
      </c>
      <c r="I8" s="168">
        <v>1.0500000000000001E-2</v>
      </c>
      <c r="J8" s="168">
        <v>0.51</v>
      </c>
      <c r="K8" s="168" t="s">
        <v>810</v>
      </c>
      <c r="L8" s="168">
        <v>1024</v>
      </c>
      <c r="M8" s="168" t="s">
        <v>812</v>
      </c>
      <c r="N8" s="168">
        <v>30.8</v>
      </c>
      <c r="O8" s="168">
        <v>1493467200</v>
      </c>
      <c r="P8" s="168">
        <v>1.1100000000000001</v>
      </c>
      <c r="Q8" s="168">
        <v>0</v>
      </c>
      <c r="R8" s="168">
        <v>3.72</v>
      </c>
    </row>
    <row r="9" spans="1:18" x14ac:dyDescent="0.25">
      <c r="A9" s="168">
        <v>25.62</v>
      </c>
      <c r="B9" s="168">
        <v>0.79</v>
      </c>
      <c r="C9" s="168">
        <v>28.65</v>
      </c>
      <c r="D9" s="8">
        <v>42854.291666666664</v>
      </c>
      <c r="E9" s="168">
        <v>0.94</v>
      </c>
      <c r="F9" s="168" t="s">
        <v>810</v>
      </c>
      <c r="G9" s="168">
        <v>363.92</v>
      </c>
      <c r="H9" s="168">
        <v>0.11600000000000001</v>
      </c>
      <c r="I9" s="168">
        <v>1.3100000000000001E-2</v>
      </c>
      <c r="J9" s="168">
        <v>0.55000000000000004</v>
      </c>
      <c r="K9" s="168" t="s">
        <v>810</v>
      </c>
      <c r="L9" s="168">
        <v>1024.3</v>
      </c>
      <c r="M9" s="168" t="s">
        <v>812</v>
      </c>
      <c r="N9" s="168">
        <v>30.04</v>
      </c>
      <c r="O9" s="168">
        <v>1493470800</v>
      </c>
      <c r="P9" s="168">
        <v>0.74</v>
      </c>
      <c r="Q9" s="168">
        <v>6</v>
      </c>
      <c r="R9" s="168">
        <v>4.17</v>
      </c>
    </row>
    <row r="10" spans="1:18" x14ac:dyDescent="0.25">
      <c r="A10" s="168">
        <v>25.76</v>
      </c>
      <c r="B10" s="168">
        <v>0.64</v>
      </c>
      <c r="C10" s="168">
        <v>29.22</v>
      </c>
      <c r="D10" s="8">
        <v>42854.333333333336</v>
      </c>
      <c r="E10" s="168">
        <v>0.94</v>
      </c>
      <c r="F10" s="168" t="s">
        <v>810</v>
      </c>
      <c r="G10" s="168">
        <v>363.91</v>
      </c>
      <c r="H10" s="168">
        <v>0.13700000000000001</v>
      </c>
      <c r="I10" s="168">
        <v>1.6400000000000001E-2</v>
      </c>
      <c r="J10" s="168">
        <v>0.57999999999999996</v>
      </c>
      <c r="K10" s="168" t="s">
        <v>810</v>
      </c>
      <c r="L10" s="168">
        <v>1024.47</v>
      </c>
      <c r="M10" s="168" t="s">
        <v>812</v>
      </c>
      <c r="N10" s="168">
        <v>30.81</v>
      </c>
      <c r="O10" s="168">
        <v>1493474400</v>
      </c>
      <c r="P10" s="168">
        <v>1.25</v>
      </c>
      <c r="Q10" s="168">
        <v>5</v>
      </c>
      <c r="R10" s="168">
        <v>4.91</v>
      </c>
    </row>
    <row r="11" spans="1:18" x14ac:dyDescent="0.25">
      <c r="A11" s="168">
        <v>28.37</v>
      </c>
      <c r="B11" s="168">
        <v>0.49</v>
      </c>
      <c r="C11" s="168">
        <v>30.62</v>
      </c>
      <c r="D11" s="8">
        <v>42854.375</v>
      </c>
      <c r="E11" s="168">
        <v>0.93</v>
      </c>
      <c r="F11" s="168" t="s">
        <v>810</v>
      </c>
      <c r="G11" s="168">
        <v>363.66</v>
      </c>
      <c r="H11" s="168">
        <v>0.13800000000000001</v>
      </c>
      <c r="I11" s="168">
        <v>1.8200000000000001E-2</v>
      </c>
      <c r="J11" s="168">
        <v>0.59</v>
      </c>
      <c r="K11" s="168" t="s">
        <v>810</v>
      </c>
      <c r="L11" s="168">
        <v>1024.56</v>
      </c>
      <c r="M11" s="168" t="s">
        <v>812</v>
      </c>
      <c r="N11" s="168">
        <v>32.42</v>
      </c>
      <c r="O11" s="168">
        <v>1493478000</v>
      </c>
      <c r="P11" s="168">
        <v>1.46</v>
      </c>
      <c r="Q11" s="168">
        <v>359</v>
      </c>
      <c r="R11" s="168">
        <v>4.18</v>
      </c>
    </row>
    <row r="12" spans="1:18" x14ac:dyDescent="0.25">
      <c r="A12" s="168">
        <v>28.73</v>
      </c>
      <c r="B12" s="168">
        <v>0.54</v>
      </c>
      <c r="C12" s="168">
        <v>31.12</v>
      </c>
      <c r="D12" s="8">
        <v>42854.416666666664</v>
      </c>
      <c r="E12" s="168">
        <v>0.93</v>
      </c>
      <c r="F12" s="168" t="s">
        <v>810</v>
      </c>
      <c r="G12" s="168">
        <v>362.5</v>
      </c>
      <c r="H12" s="168">
        <v>0.13100000000000001</v>
      </c>
      <c r="I12" s="168">
        <v>1.72E-2</v>
      </c>
      <c r="J12" s="168">
        <v>0.57999999999999996</v>
      </c>
      <c r="K12" s="168" t="s">
        <v>810</v>
      </c>
      <c r="L12" s="168">
        <v>1024.6600000000001</v>
      </c>
      <c r="M12" s="168" t="s">
        <v>812</v>
      </c>
      <c r="N12" s="168">
        <v>32.99</v>
      </c>
      <c r="O12" s="168">
        <v>1493481600</v>
      </c>
      <c r="P12" s="168">
        <v>1.77</v>
      </c>
      <c r="Q12" s="168">
        <v>5</v>
      </c>
      <c r="R12" s="168">
        <v>4.4800000000000004</v>
      </c>
    </row>
    <row r="13" spans="1:18" x14ac:dyDescent="0.25">
      <c r="A13" s="168">
        <v>27.88</v>
      </c>
      <c r="B13" s="168">
        <v>0.68</v>
      </c>
      <c r="C13" s="168">
        <v>31.4</v>
      </c>
      <c r="D13" s="8">
        <v>42854.458333333336</v>
      </c>
      <c r="E13" s="168">
        <v>0.93</v>
      </c>
      <c r="F13" s="168" t="s">
        <v>810</v>
      </c>
      <c r="G13" s="168">
        <v>361.11</v>
      </c>
      <c r="H13" s="168">
        <v>0.113</v>
      </c>
      <c r="I13" s="168">
        <v>1.49E-2</v>
      </c>
      <c r="J13" s="168">
        <v>0.56000000000000005</v>
      </c>
      <c r="K13" s="168" t="s">
        <v>810</v>
      </c>
      <c r="L13" s="168">
        <v>1024.6199999999999</v>
      </c>
      <c r="M13" s="168" t="s">
        <v>812</v>
      </c>
      <c r="N13" s="168">
        <v>33.29</v>
      </c>
      <c r="O13" s="168">
        <v>1493485200</v>
      </c>
      <c r="P13" s="168">
        <v>6.05</v>
      </c>
      <c r="Q13" s="168">
        <v>10</v>
      </c>
      <c r="R13" s="168">
        <v>5.84</v>
      </c>
    </row>
    <row r="14" spans="1:18" x14ac:dyDescent="0.25">
      <c r="A14" s="168">
        <v>29.05</v>
      </c>
      <c r="B14" s="168">
        <v>0.75</v>
      </c>
      <c r="C14" s="168">
        <v>32.32</v>
      </c>
      <c r="D14" s="8">
        <v>42854.5</v>
      </c>
      <c r="E14" s="168">
        <v>0.92</v>
      </c>
      <c r="F14" s="168" t="s">
        <v>810</v>
      </c>
      <c r="G14" s="168">
        <v>360.59</v>
      </c>
      <c r="H14" s="168">
        <v>9.8000000000000004E-2</v>
      </c>
      <c r="I14" s="168">
        <v>1.29E-2</v>
      </c>
      <c r="J14" s="168">
        <v>0.54</v>
      </c>
      <c r="K14" s="168" t="s">
        <v>810</v>
      </c>
      <c r="L14" s="168">
        <v>1024.32</v>
      </c>
      <c r="M14" s="168" t="s">
        <v>812</v>
      </c>
      <c r="N14" s="168">
        <v>34.28</v>
      </c>
      <c r="O14" s="168">
        <v>1493488800</v>
      </c>
      <c r="P14" s="168">
        <v>1.35</v>
      </c>
      <c r="Q14" s="168">
        <v>11</v>
      </c>
      <c r="R14" s="168">
        <v>5.87</v>
      </c>
    </row>
    <row r="15" spans="1:18" x14ac:dyDescent="0.25">
      <c r="A15" s="168">
        <v>28.75</v>
      </c>
      <c r="B15" s="168">
        <v>0.67</v>
      </c>
      <c r="C15" s="168">
        <v>32.01</v>
      </c>
      <c r="D15" s="8">
        <v>42854.541666666664</v>
      </c>
      <c r="E15" s="168">
        <v>0.9</v>
      </c>
      <c r="F15" s="168" t="s">
        <v>810</v>
      </c>
      <c r="G15" s="168">
        <v>361.77</v>
      </c>
      <c r="H15" s="168">
        <v>0.09</v>
      </c>
      <c r="I15" s="168">
        <v>1.1900000000000001E-2</v>
      </c>
      <c r="J15" s="168">
        <v>0.53</v>
      </c>
      <c r="K15" s="168" t="s">
        <v>810</v>
      </c>
      <c r="L15" s="168">
        <v>1023.88</v>
      </c>
      <c r="M15" s="168" t="s">
        <v>812</v>
      </c>
      <c r="N15" s="168">
        <v>34.549999999999997</v>
      </c>
      <c r="O15" s="168">
        <v>1493492400</v>
      </c>
      <c r="P15" s="168">
        <v>2.14</v>
      </c>
      <c r="Q15" s="168">
        <v>11</v>
      </c>
      <c r="R15" s="168">
        <v>6.74</v>
      </c>
    </row>
    <row r="16" spans="1:18" x14ac:dyDescent="0.25">
      <c r="A16" s="168">
        <v>29.24</v>
      </c>
      <c r="B16" s="168">
        <v>0.56999999999999995</v>
      </c>
      <c r="C16" s="168">
        <v>32.22</v>
      </c>
      <c r="D16" s="8">
        <v>42854.583333333336</v>
      </c>
      <c r="E16" s="168">
        <v>0.89</v>
      </c>
      <c r="F16" s="168" t="s">
        <v>813</v>
      </c>
      <c r="G16" s="168">
        <v>363.82</v>
      </c>
      <c r="H16" s="168"/>
      <c r="I16" s="168">
        <v>1.12E-2</v>
      </c>
      <c r="J16" s="168">
        <v>0.52</v>
      </c>
      <c r="K16" s="168" t="s">
        <v>813</v>
      </c>
      <c r="L16" s="168">
        <v>1022.9</v>
      </c>
      <c r="M16" s="168" t="s">
        <v>814</v>
      </c>
      <c r="N16" s="168">
        <v>34.99</v>
      </c>
      <c r="O16" s="168">
        <v>1493496000</v>
      </c>
      <c r="P16" s="168">
        <v>2.5099999999999998</v>
      </c>
      <c r="Q16" s="168">
        <v>4</v>
      </c>
      <c r="R16" s="168">
        <v>6.79</v>
      </c>
    </row>
    <row r="17" spans="1:18" x14ac:dyDescent="0.25">
      <c r="A17" s="168">
        <v>29.75</v>
      </c>
      <c r="B17" s="168">
        <v>0.52</v>
      </c>
      <c r="C17" s="168">
        <v>31.49</v>
      </c>
      <c r="D17" s="8">
        <v>42854.625</v>
      </c>
      <c r="E17" s="168">
        <v>0.85</v>
      </c>
      <c r="F17" s="168" t="s">
        <v>813</v>
      </c>
      <c r="G17" s="168">
        <v>365.29</v>
      </c>
      <c r="H17" s="168"/>
      <c r="I17" s="168">
        <v>1.06E-2</v>
      </c>
      <c r="J17" s="168">
        <v>0.52</v>
      </c>
      <c r="K17" s="168" t="s">
        <v>813</v>
      </c>
      <c r="L17" s="168">
        <v>1022.21</v>
      </c>
      <c r="M17" s="168" t="s">
        <v>814</v>
      </c>
      <c r="N17" s="168">
        <v>35.630000000000003</v>
      </c>
      <c r="O17" s="168">
        <v>1493499600</v>
      </c>
      <c r="P17" s="168">
        <v>2.54</v>
      </c>
      <c r="Q17" s="168">
        <v>6</v>
      </c>
      <c r="R17" s="168">
        <v>7.2</v>
      </c>
    </row>
    <row r="18" spans="1:18" x14ac:dyDescent="0.25">
      <c r="A18" s="168">
        <v>29.19</v>
      </c>
      <c r="B18" s="168">
        <v>0.63</v>
      </c>
      <c r="C18" s="168">
        <v>30.49</v>
      </c>
      <c r="D18" s="8">
        <v>42854.666666666664</v>
      </c>
      <c r="E18" s="168">
        <v>0.82</v>
      </c>
      <c r="F18" s="168" t="s">
        <v>813</v>
      </c>
      <c r="G18" s="168">
        <v>365.47</v>
      </c>
      <c r="H18" s="168"/>
      <c r="I18" s="168">
        <v>1.0800000000000001E-2</v>
      </c>
      <c r="J18" s="168">
        <v>0.52</v>
      </c>
      <c r="K18" s="168" t="s">
        <v>813</v>
      </c>
      <c r="L18" s="168">
        <v>1022.88</v>
      </c>
      <c r="M18" s="168" t="s">
        <v>814</v>
      </c>
      <c r="N18" s="168">
        <v>35.36</v>
      </c>
      <c r="O18" s="168">
        <v>1493503200</v>
      </c>
      <c r="P18" s="168">
        <v>2.63</v>
      </c>
      <c r="Q18" s="168">
        <v>7</v>
      </c>
      <c r="R18" s="168">
        <v>7.58</v>
      </c>
    </row>
    <row r="19" spans="1:18" x14ac:dyDescent="0.25">
      <c r="A19" s="168">
        <v>27.33</v>
      </c>
      <c r="B19" s="168">
        <v>0.75</v>
      </c>
      <c r="C19" s="168">
        <v>29.71</v>
      </c>
      <c r="D19" s="8">
        <v>42854.708333333336</v>
      </c>
      <c r="E19" s="168">
        <v>0.83</v>
      </c>
      <c r="F19" s="168" t="s">
        <v>813</v>
      </c>
      <c r="G19" s="168">
        <v>365.06</v>
      </c>
      <c r="H19" s="168"/>
      <c r="I19" s="168">
        <v>1.3899999999999999E-2</v>
      </c>
      <c r="J19" s="168">
        <v>0.55000000000000004</v>
      </c>
      <c r="K19" s="168" t="s">
        <v>813</v>
      </c>
      <c r="L19" s="168">
        <v>1024.07</v>
      </c>
      <c r="M19" s="168" t="s">
        <v>814</v>
      </c>
      <c r="N19" s="168">
        <v>34.19</v>
      </c>
      <c r="O19" s="168">
        <v>1493506800</v>
      </c>
      <c r="P19" s="168">
        <v>2.66</v>
      </c>
      <c r="Q19" s="168">
        <v>0</v>
      </c>
      <c r="R19" s="168">
        <v>8.32</v>
      </c>
    </row>
    <row r="20" spans="1:18" x14ac:dyDescent="0.25">
      <c r="A20" s="168">
        <v>25.74</v>
      </c>
      <c r="B20" s="168">
        <v>0.88</v>
      </c>
      <c r="C20" s="168">
        <v>28.65</v>
      </c>
      <c r="D20" s="8">
        <v>42854.75</v>
      </c>
      <c r="E20" s="168">
        <v>0.86</v>
      </c>
      <c r="F20" s="168" t="s">
        <v>813</v>
      </c>
      <c r="G20" s="168">
        <v>364.8</v>
      </c>
      <c r="H20" s="168"/>
      <c r="I20" s="168">
        <v>9.7000000000000003E-3</v>
      </c>
      <c r="J20" s="168">
        <v>0.5</v>
      </c>
      <c r="K20" s="168" t="s">
        <v>813</v>
      </c>
      <c r="L20" s="168">
        <v>1024.9100000000001</v>
      </c>
      <c r="M20" s="168" t="s">
        <v>814</v>
      </c>
      <c r="N20" s="168">
        <v>32.35</v>
      </c>
      <c r="O20" s="168">
        <v>1493510400</v>
      </c>
      <c r="P20" s="168">
        <v>2.56</v>
      </c>
      <c r="Q20" s="168">
        <v>359</v>
      </c>
      <c r="R20" s="168">
        <v>7.27</v>
      </c>
    </row>
    <row r="21" spans="1:18" x14ac:dyDescent="0.25">
      <c r="A21" s="168">
        <v>25.93</v>
      </c>
      <c r="B21" s="168">
        <v>0.93</v>
      </c>
      <c r="C21" s="168">
        <v>28.63</v>
      </c>
      <c r="D21" s="8">
        <v>42854.791666666664</v>
      </c>
      <c r="E21" s="168">
        <v>0.89</v>
      </c>
      <c r="F21" s="168" t="s">
        <v>813</v>
      </c>
      <c r="G21" s="168">
        <v>365.08</v>
      </c>
      <c r="H21" s="168"/>
      <c r="I21" s="168">
        <v>1.0699999999999999E-2</v>
      </c>
      <c r="J21" s="168">
        <v>0.52</v>
      </c>
      <c r="K21" s="168" t="s">
        <v>813</v>
      </c>
      <c r="L21" s="168">
        <v>1025.5</v>
      </c>
      <c r="M21" s="168" t="s">
        <v>814</v>
      </c>
      <c r="N21" s="168">
        <v>31.57</v>
      </c>
      <c r="O21" s="168">
        <v>1493514000</v>
      </c>
      <c r="P21" s="168">
        <v>2.93</v>
      </c>
      <c r="Q21" s="168">
        <v>346</v>
      </c>
      <c r="R21" s="168">
        <v>5.73</v>
      </c>
    </row>
    <row r="22" spans="1:18" x14ac:dyDescent="0.25">
      <c r="A22" s="168">
        <v>25.42</v>
      </c>
      <c r="B22" s="168">
        <v>0.81</v>
      </c>
      <c r="C22" s="168">
        <v>27.78</v>
      </c>
      <c r="D22" s="8">
        <v>42854.833333333336</v>
      </c>
      <c r="E22" s="168">
        <v>0.9</v>
      </c>
      <c r="F22" s="168" t="s">
        <v>810</v>
      </c>
      <c r="G22" s="168">
        <v>365.5</v>
      </c>
      <c r="H22" s="168">
        <v>8.5000000000000006E-2</v>
      </c>
      <c r="I22" s="168">
        <v>9.7999999999999997E-3</v>
      </c>
      <c r="J22" s="168">
        <v>0.5</v>
      </c>
      <c r="K22" s="168" t="s">
        <v>810</v>
      </c>
      <c r="L22" s="168">
        <v>1025.68</v>
      </c>
      <c r="M22" s="168" t="s">
        <v>812</v>
      </c>
      <c r="N22" s="168">
        <v>30.35</v>
      </c>
      <c r="O22" s="168">
        <v>1493517600</v>
      </c>
      <c r="P22" s="168">
        <v>4.6900000000000004</v>
      </c>
      <c r="Q22" s="168">
        <v>344</v>
      </c>
      <c r="R22" s="168">
        <v>4.71</v>
      </c>
    </row>
    <row r="23" spans="1:18" x14ac:dyDescent="0.25">
      <c r="A23" s="168">
        <v>25.69</v>
      </c>
      <c r="B23" s="168">
        <v>0.73</v>
      </c>
      <c r="C23" s="168">
        <v>27.69</v>
      </c>
      <c r="D23" s="8">
        <v>42854.875</v>
      </c>
      <c r="E23" s="168">
        <v>0.92</v>
      </c>
      <c r="F23" s="168" t="s">
        <v>810</v>
      </c>
      <c r="G23" s="168">
        <v>365.54</v>
      </c>
      <c r="H23" s="168">
        <v>2.5999999999999999E-2</v>
      </c>
      <c r="I23" s="168">
        <v>2.8999999999999998E-3</v>
      </c>
      <c r="J23" s="168">
        <v>0.09</v>
      </c>
      <c r="K23" s="168" t="s">
        <v>810</v>
      </c>
      <c r="L23" s="168">
        <v>1025.6600000000001</v>
      </c>
      <c r="M23" s="168" t="s">
        <v>812</v>
      </c>
      <c r="N23" s="168">
        <v>29.82</v>
      </c>
      <c r="O23" s="168">
        <v>1493521200</v>
      </c>
      <c r="P23" s="168">
        <v>4.13</v>
      </c>
      <c r="Q23" s="168">
        <v>336</v>
      </c>
      <c r="R23" s="168">
        <v>3.89</v>
      </c>
    </row>
    <row r="24" spans="1:18" x14ac:dyDescent="0.25">
      <c r="A24" s="168">
        <v>24.68</v>
      </c>
      <c r="B24" s="168">
        <v>0.78</v>
      </c>
      <c r="C24" s="168">
        <v>26.11</v>
      </c>
      <c r="D24" s="8">
        <v>42854.916666666664</v>
      </c>
      <c r="E24" s="168">
        <v>0.9</v>
      </c>
      <c r="F24" s="168" t="s">
        <v>413</v>
      </c>
      <c r="G24" s="168">
        <v>364.77</v>
      </c>
      <c r="H24" s="168"/>
      <c r="I24" s="168">
        <v>0</v>
      </c>
      <c r="J24" s="168">
        <v>0</v>
      </c>
      <c r="K24" s="168"/>
      <c r="L24" s="168">
        <v>1025.6400000000001</v>
      </c>
      <c r="M24" s="168" t="s">
        <v>423</v>
      </c>
      <c r="N24" s="168">
        <v>28.6</v>
      </c>
      <c r="O24" s="168">
        <v>1493524800</v>
      </c>
      <c r="P24" s="168">
        <v>4.03</v>
      </c>
      <c r="Q24" s="168">
        <v>310</v>
      </c>
      <c r="R24" s="168">
        <v>3.56</v>
      </c>
    </row>
    <row r="25" spans="1:18" x14ac:dyDescent="0.25">
      <c r="A25" s="168">
        <v>24.21</v>
      </c>
      <c r="B25" s="168">
        <v>0.57999999999999996</v>
      </c>
      <c r="C25" s="168">
        <v>25.92</v>
      </c>
      <c r="D25" s="8">
        <v>42854.958333333336</v>
      </c>
      <c r="E25" s="168">
        <v>0.87</v>
      </c>
      <c r="F25" s="168" t="s">
        <v>413</v>
      </c>
      <c r="G25" s="168">
        <v>363.62</v>
      </c>
      <c r="H25" s="168"/>
      <c r="I25" s="168">
        <v>0</v>
      </c>
      <c r="J25" s="168">
        <v>0</v>
      </c>
      <c r="K25" s="168"/>
      <c r="L25" s="168">
        <v>1025.53</v>
      </c>
      <c r="M25" s="168" t="s">
        <v>343</v>
      </c>
      <c r="N25" s="168">
        <v>29.19</v>
      </c>
      <c r="O25" s="168">
        <v>1493528400</v>
      </c>
      <c r="P25" s="168">
        <v>8.18</v>
      </c>
      <c r="Q25" s="168">
        <v>309</v>
      </c>
      <c r="R25" s="168">
        <v>4.57</v>
      </c>
    </row>
    <row r="26" spans="1:18" x14ac:dyDescent="0.25">
      <c r="A26" s="168">
        <v>24.18</v>
      </c>
      <c r="B26" s="168">
        <v>0.54</v>
      </c>
      <c r="C26" s="168">
        <v>23.83</v>
      </c>
      <c r="D26" s="8">
        <v>42855</v>
      </c>
      <c r="E26" s="168">
        <v>0.82</v>
      </c>
      <c r="F26" s="168" t="s">
        <v>413</v>
      </c>
      <c r="G26" s="168">
        <v>362.84</v>
      </c>
      <c r="H26" s="168"/>
      <c r="I26" s="168">
        <v>0</v>
      </c>
      <c r="J26" s="168">
        <v>0</v>
      </c>
      <c r="K26" s="168"/>
      <c r="L26" s="168">
        <v>1025.27</v>
      </c>
      <c r="M26" s="168" t="s">
        <v>343</v>
      </c>
      <c r="N26" s="168">
        <v>28.75</v>
      </c>
      <c r="O26" s="168">
        <v>1493532000</v>
      </c>
      <c r="P26" s="168">
        <v>5.0599999999999996</v>
      </c>
      <c r="Q26" s="168">
        <v>289</v>
      </c>
      <c r="R26" s="168">
        <v>4.13</v>
      </c>
    </row>
    <row r="27" spans="1:18" x14ac:dyDescent="0.25">
      <c r="A27" s="168">
        <v>24.12</v>
      </c>
      <c r="B27" s="168">
        <v>0.62</v>
      </c>
      <c r="C27" s="168">
        <v>21.89</v>
      </c>
      <c r="D27" s="8">
        <v>42855.041666666664</v>
      </c>
      <c r="E27" s="168">
        <v>0.77</v>
      </c>
      <c r="F27" s="168" t="s">
        <v>413</v>
      </c>
      <c r="G27" s="168">
        <v>363.03</v>
      </c>
      <c r="H27" s="168"/>
      <c r="I27" s="168">
        <v>0</v>
      </c>
      <c r="J27" s="168">
        <v>0</v>
      </c>
      <c r="K27" s="168"/>
      <c r="L27" s="168">
        <v>1024.68</v>
      </c>
      <c r="M27" s="168" t="s">
        <v>423</v>
      </c>
      <c r="N27" s="168">
        <v>28.25</v>
      </c>
      <c r="O27" s="168">
        <v>1493535600</v>
      </c>
      <c r="P27" s="168">
        <v>6.49</v>
      </c>
      <c r="Q27" s="168">
        <v>288</v>
      </c>
      <c r="R27" s="168">
        <v>3.69</v>
      </c>
    </row>
    <row r="28" spans="1:18" x14ac:dyDescent="0.25">
      <c r="A28" s="168">
        <v>27.94</v>
      </c>
      <c r="B28" s="168">
        <v>0.57999999999999996</v>
      </c>
      <c r="C28" s="168">
        <v>21.34</v>
      </c>
      <c r="D28" s="8">
        <v>42855.083333333336</v>
      </c>
      <c r="E28" s="168">
        <v>0.76</v>
      </c>
      <c r="F28" s="168" t="s">
        <v>413</v>
      </c>
      <c r="G28" s="168">
        <v>363.22</v>
      </c>
      <c r="H28" s="168"/>
      <c r="I28" s="168">
        <v>0</v>
      </c>
      <c r="J28" s="168">
        <v>0</v>
      </c>
      <c r="K28" s="168"/>
      <c r="L28" s="168">
        <v>1024.0999999999999</v>
      </c>
      <c r="M28" s="168" t="s">
        <v>343</v>
      </c>
      <c r="N28" s="168">
        <v>27.94</v>
      </c>
      <c r="O28" s="168">
        <v>1493539200</v>
      </c>
      <c r="P28" s="168">
        <v>5.89</v>
      </c>
      <c r="Q28" s="168">
        <v>276</v>
      </c>
      <c r="R28" s="168">
        <v>2.68</v>
      </c>
    </row>
    <row r="29" spans="1:18" x14ac:dyDescent="0.25">
      <c r="A29" s="168">
        <v>27.52</v>
      </c>
      <c r="B29" s="168">
        <v>0.72</v>
      </c>
      <c r="C29" s="168">
        <v>20.63</v>
      </c>
      <c r="D29" s="8">
        <v>42855.125</v>
      </c>
      <c r="E29" s="168">
        <v>0.75</v>
      </c>
      <c r="F29" s="168" t="s">
        <v>413</v>
      </c>
      <c r="G29" s="168">
        <v>363.41</v>
      </c>
      <c r="H29" s="168"/>
      <c r="I29" s="168">
        <v>0</v>
      </c>
      <c r="J29" s="168">
        <v>0</v>
      </c>
      <c r="K29" s="168"/>
      <c r="L29" s="168">
        <v>1023.51</v>
      </c>
      <c r="M29" s="168" t="s">
        <v>423</v>
      </c>
      <c r="N29" s="168">
        <v>27.52</v>
      </c>
      <c r="O29" s="168">
        <v>1493542800</v>
      </c>
      <c r="P29" s="168">
        <v>4.18</v>
      </c>
      <c r="Q29" s="168">
        <v>276</v>
      </c>
      <c r="R29" s="168">
        <v>2.56</v>
      </c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8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345</v>
      </c>
      <c r="U1" s="159"/>
      <c r="V1" s="159"/>
      <c r="W1" s="159"/>
      <c r="X1" s="159"/>
    </row>
    <row r="2" spans="1:24" ht="15.75" thickBot="1" x14ac:dyDescent="0.3">
      <c r="A2" s="12">
        <v>42854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346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347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348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349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1002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1003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1004</v>
      </c>
      <c r="J20" s="143" t="s">
        <v>87</v>
      </c>
      <c r="M20" s="157" t="s">
        <v>554</v>
      </c>
      <c r="N20" s="157" t="s">
        <v>344</v>
      </c>
      <c r="T20" s="158"/>
      <c r="U20" s="158"/>
      <c r="V20" s="158"/>
      <c r="W20" s="158"/>
      <c r="X20" s="158"/>
    </row>
    <row r="21" spans="3:24" x14ac:dyDescent="0.25">
      <c r="C21" t="s">
        <v>1005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1006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1007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1008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1009</v>
      </c>
      <c r="J25" s="143" t="s">
        <v>150</v>
      </c>
      <c r="M25" s="157" t="b">
        <v>1</v>
      </c>
    </row>
    <row r="26" spans="3:24" x14ac:dyDescent="0.25">
      <c r="C26" t="s">
        <v>1010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C:\Users\stu\Documents\GitHub\eaglep3-reporting\EC\2017-04-29-refined-times.txt</v>
      </c>
    </row>
    <row r="27" spans="3:24" x14ac:dyDescent="0.25">
      <c r="C27" t="s">
        <v>1011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C:\Users\stu\Documents\GitHub\eaglep3-reporting\EC\2017-04-29-Enforcements.txt</v>
      </c>
    </row>
    <row r="28" spans="3:24" x14ac:dyDescent="0.25">
      <c r="C28" t="s">
        <v>1012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C:\Users\stu\Documents\GitHub\eaglep3-reporting\EC\2017-04-29-Runs-refined.txt</v>
      </c>
    </row>
    <row r="29" spans="3:24" x14ac:dyDescent="0.25">
      <c r="C29" t="s">
        <v>1013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C:\Users\stu\Documents\GitHub\eaglep3-reporting\EC\2017-04-29-Trips.txt</v>
      </c>
    </row>
    <row r="30" spans="3:24" x14ac:dyDescent="0.25">
      <c r="C30" t="s">
        <v>1014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C:\Users\stu\Documents\GitHub\eaglep3-reporting\EC\2017-04-29-Weather.txt</v>
      </c>
    </row>
    <row r="31" spans="3:24" x14ac:dyDescent="0.25">
      <c r="C31" t="s">
        <v>1015</v>
      </c>
      <c r="J31" s="143" t="s">
        <v>201</v>
      </c>
      <c r="M31" s="157" t="s">
        <v>202</v>
      </c>
    </row>
    <row r="32" spans="3:24" x14ac:dyDescent="0.25">
      <c r="C32" t="s">
        <v>1016</v>
      </c>
    </row>
    <row r="33" spans="3:3" x14ac:dyDescent="0.25">
      <c r="C33" t="s">
        <v>1017</v>
      </c>
    </row>
    <row r="34" spans="3:3" x14ac:dyDescent="0.25">
      <c r="C34" t="s">
        <v>1018</v>
      </c>
    </row>
    <row r="35" spans="3:3" x14ac:dyDescent="0.25">
      <c r="C35" t="s">
        <v>1019</v>
      </c>
    </row>
    <row r="36" spans="3:3" x14ac:dyDescent="0.25">
      <c r="C36" t="s">
        <v>1020</v>
      </c>
    </row>
    <row r="37" spans="3:3" x14ac:dyDescent="0.25">
      <c r="C37" t="s">
        <v>1021</v>
      </c>
    </row>
    <row r="38" spans="3:3" x14ac:dyDescent="0.25">
      <c r="C38" t="s">
        <v>1022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380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381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2017-05-01T16:08:19Z</dcterms:modified>
</cp:coreProperties>
</file>