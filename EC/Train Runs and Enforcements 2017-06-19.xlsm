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Trips'!$A$2:$J$57</definedName>
    <definedName name="_xlnm._FilterDatabase" localSheetId="0" hidden="1">'Train Runs'!$A$12:$AG$279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L13" i="1"/>
  <c r="M13" i="1"/>
  <c r="N13" i="1" s="1"/>
  <c r="V13" i="1"/>
  <c r="Y13" i="1"/>
  <c r="Z13" i="1"/>
  <c r="AB13" i="1"/>
  <c r="AC13" i="1"/>
  <c r="AD13" i="1"/>
  <c r="T13" i="1" s="1"/>
  <c r="AE13" i="1"/>
  <c r="AF13" i="1"/>
  <c r="AH13" i="1"/>
  <c r="AM13" i="1"/>
  <c r="AN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R11" i="3" s="1"/>
  <c r="AF53" i="1"/>
  <c r="AH53" i="1"/>
  <c r="AM53" i="1"/>
  <c r="AN53" i="1"/>
  <c r="K54" i="1"/>
  <c r="L54" i="1"/>
  <c r="M54" i="1"/>
  <c r="N54" i="1" s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X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P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T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P90" i="1" s="1"/>
  <c r="T90" i="1"/>
  <c r="V90" i="1"/>
  <c r="X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AA94" i="1" s="1"/>
  <c r="Z94" i="1"/>
  <c r="AB94" i="1"/>
  <c r="AC94" i="1"/>
  <c r="AD94" i="1"/>
  <c r="X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X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X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X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T138" i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T142" i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T213" i="1"/>
  <c r="V213" i="1"/>
  <c r="Y213" i="1"/>
  <c r="Z213" i="1"/>
  <c r="AB213" i="1"/>
  <c r="AC213" i="1"/>
  <c r="AD213" i="1"/>
  <c r="X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T217" i="1"/>
  <c r="V217" i="1"/>
  <c r="X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T231" i="1"/>
  <c r="V231" i="1"/>
  <c r="Y231" i="1"/>
  <c r="Z231" i="1"/>
  <c r="AB231" i="1"/>
  <c r="AC231" i="1"/>
  <c r="AD231" i="1"/>
  <c r="X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X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AA242" i="1" s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2" i="1"/>
  <c r="AM192" i="1"/>
  <c r="AN19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3" i="1"/>
  <c r="AM193" i="1"/>
  <c r="AN19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4" i="1"/>
  <c r="AM194" i="1"/>
  <c r="AN194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195" i="1"/>
  <c r="AM195" i="1"/>
  <c r="AN19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6" i="1"/>
  <c r="AM196" i="1"/>
  <c r="AN19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7" i="1"/>
  <c r="AM197" i="1"/>
  <c r="AN19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8" i="1"/>
  <c r="AM198" i="1"/>
  <c r="AN1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9" i="1"/>
  <c r="AM199" i="1"/>
  <c r="AN19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0" i="1"/>
  <c r="AM200" i="1"/>
  <c r="AN2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1" i="1"/>
  <c r="AM201" i="1"/>
  <c r="AN2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2" i="1"/>
  <c r="AM202" i="1"/>
  <c r="AN202" i="1"/>
  <c r="K171" i="1"/>
  <c r="L171" i="1"/>
  <c r="M171" i="1"/>
  <c r="N171" i="1"/>
  <c r="V171" i="1"/>
  <c r="S34" i="3" s="1"/>
  <c r="Y171" i="1"/>
  <c r="Z171" i="1"/>
  <c r="AB171" i="1"/>
  <c r="AC171" i="1"/>
  <c r="AD171" i="1"/>
  <c r="T171" i="1" s="1"/>
  <c r="AE171" i="1"/>
  <c r="AF171" i="1"/>
  <c r="AH203" i="1"/>
  <c r="AM203" i="1"/>
  <c r="AN203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4" i="1"/>
  <c r="AM204" i="1"/>
  <c r="AN204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05" i="1"/>
  <c r="AM205" i="1"/>
  <c r="AN20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6" i="1"/>
  <c r="AM206" i="1"/>
  <c r="AN206" i="1"/>
  <c r="K175" i="1"/>
  <c r="L175" i="1"/>
  <c r="M175" i="1"/>
  <c r="N175" i="1" s="1"/>
  <c r="V175" i="1"/>
  <c r="X175" i="1"/>
  <c r="Y175" i="1"/>
  <c r="Z175" i="1"/>
  <c r="AB175" i="1"/>
  <c r="AC175" i="1"/>
  <c r="AD175" i="1"/>
  <c r="T175" i="1" s="1"/>
  <c r="AE175" i="1"/>
  <c r="AF175" i="1"/>
  <c r="AH207" i="1"/>
  <c r="AM207" i="1"/>
  <c r="AN207" i="1"/>
  <c r="K176" i="1"/>
  <c r="L176" i="1"/>
  <c r="M176" i="1"/>
  <c r="N176" i="1" s="1"/>
  <c r="V176" i="1"/>
  <c r="X176" i="1"/>
  <c r="Y176" i="1"/>
  <c r="Z176" i="1"/>
  <c r="AB176" i="1"/>
  <c r="AC176" i="1"/>
  <c r="AD176" i="1"/>
  <c r="T176" i="1" s="1"/>
  <c r="AE176" i="1"/>
  <c r="AF176" i="1"/>
  <c r="AH208" i="1"/>
  <c r="AM208" i="1"/>
  <c r="AN208" i="1"/>
  <c r="K177" i="1"/>
  <c r="L177" i="1"/>
  <c r="M177" i="1"/>
  <c r="N177" i="1" s="1"/>
  <c r="V177" i="1"/>
  <c r="X177" i="1"/>
  <c r="Y177" i="1"/>
  <c r="Z177" i="1"/>
  <c r="AB177" i="1"/>
  <c r="AC177" i="1"/>
  <c r="AD177" i="1"/>
  <c r="T177" i="1" s="1"/>
  <c r="AE177" i="1"/>
  <c r="AF177" i="1"/>
  <c r="AH209" i="1"/>
  <c r="AM209" i="1"/>
  <c r="AN209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210" i="1"/>
  <c r="AM210" i="1"/>
  <c r="AN210" i="1"/>
  <c r="K179" i="1"/>
  <c r="L179" i="1"/>
  <c r="M179" i="1"/>
  <c r="N179" i="1" s="1"/>
  <c r="T179" i="1"/>
  <c r="V179" i="1"/>
  <c r="Y179" i="1"/>
  <c r="Z179" i="1"/>
  <c r="AA179" i="1" s="1"/>
  <c r="AB179" i="1"/>
  <c r="AC179" i="1"/>
  <c r="AD179" i="1"/>
  <c r="AE179" i="1"/>
  <c r="AF179" i="1"/>
  <c r="AH211" i="1"/>
  <c r="AM211" i="1"/>
  <c r="AN21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2" i="1"/>
  <c r="AM212" i="1"/>
  <c r="AN21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3" i="1"/>
  <c r="AM213" i="1"/>
  <c r="AN21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4" i="1"/>
  <c r="AM214" i="1"/>
  <c r="AN21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5" i="1"/>
  <c r="AM215" i="1"/>
  <c r="AN21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6" i="1"/>
  <c r="AM216" i="1"/>
  <c r="AN21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7" i="1"/>
  <c r="AM217" i="1"/>
  <c r="AN2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23" i="3" s="1"/>
  <c r="AF186" i="1"/>
  <c r="AH218" i="1"/>
  <c r="AM218" i="1"/>
  <c r="AN218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219" i="1"/>
  <c r="AM219" i="1"/>
  <c r="AN219" i="1"/>
  <c r="K188" i="1"/>
  <c r="L188" i="1"/>
  <c r="M188" i="1"/>
  <c r="N188" i="1" s="1"/>
  <c r="T188" i="1"/>
  <c r="V188" i="1"/>
  <c r="Y188" i="1"/>
  <c r="Z188" i="1"/>
  <c r="AB188" i="1"/>
  <c r="AC188" i="1"/>
  <c r="AD188" i="1"/>
  <c r="X188" i="1" s="1"/>
  <c r="AE188" i="1"/>
  <c r="R26" i="3" s="1"/>
  <c r="AF188" i="1"/>
  <c r="AH220" i="1"/>
  <c r="AM220" i="1"/>
  <c r="AN22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1" i="1"/>
  <c r="AM221" i="1"/>
  <c r="AN22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2" i="1"/>
  <c r="AM222" i="1"/>
  <c r="AN222" i="1"/>
  <c r="K191" i="1"/>
  <c r="L191" i="1"/>
  <c r="M191" i="1"/>
  <c r="N191" i="1" s="1"/>
  <c r="V191" i="1"/>
  <c r="Y191" i="1"/>
  <c r="AA191" i="1" s="1"/>
  <c r="Z191" i="1"/>
  <c r="AB191" i="1"/>
  <c r="AC191" i="1"/>
  <c r="AD191" i="1"/>
  <c r="T191" i="1" s="1"/>
  <c r="AE191" i="1"/>
  <c r="R22" i="3" s="1"/>
  <c r="AF191" i="1"/>
  <c r="AH223" i="1"/>
  <c r="AM223" i="1"/>
  <c r="AN2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4" i="1"/>
  <c r="AM224" i="1"/>
  <c r="AN2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5" i="1"/>
  <c r="AM225" i="1"/>
  <c r="AN225" i="1"/>
  <c r="K194" i="1"/>
  <c r="L194" i="1"/>
  <c r="M194" i="1"/>
  <c r="N194" i="1" s="1"/>
  <c r="V194" i="1"/>
  <c r="S27" i="3" s="1"/>
  <c r="Y194" i="1"/>
  <c r="Z194" i="1"/>
  <c r="AB194" i="1"/>
  <c r="AC194" i="1"/>
  <c r="AD194" i="1"/>
  <c r="AE194" i="1"/>
  <c r="R27" i="3" s="1"/>
  <c r="AF194" i="1"/>
  <c r="AH226" i="1"/>
  <c r="AM226" i="1"/>
  <c r="AN22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7" i="1"/>
  <c r="AM227" i="1"/>
  <c r="AN227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R28" i="3" s="1"/>
  <c r="AF196" i="1"/>
  <c r="AH228" i="1"/>
  <c r="AM228" i="1"/>
  <c r="AN22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9" i="1"/>
  <c r="AM229" i="1"/>
  <c r="AN229" i="1"/>
  <c r="K198" i="1"/>
  <c r="L198" i="1"/>
  <c r="M198" i="1"/>
  <c r="N198" i="1" s="1"/>
  <c r="V198" i="1"/>
  <c r="Y198" i="1"/>
  <c r="Z198" i="1"/>
  <c r="AB198" i="1"/>
  <c r="AC198" i="1"/>
  <c r="AD198" i="1"/>
  <c r="AE198" i="1"/>
  <c r="R29" i="3" s="1"/>
  <c r="AF198" i="1"/>
  <c r="AH230" i="1"/>
  <c r="AM230" i="1"/>
  <c r="AN23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R36" i="3" s="1"/>
  <c r="AF199" i="1"/>
  <c r="AH231" i="1"/>
  <c r="AM231" i="1"/>
  <c r="AN231" i="1"/>
  <c r="K200" i="1"/>
  <c r="L200" i="1"/>
  <c r="M200" i="1"/>
  <c r="N200" i="1" s="1"/>
  <c r="V200" i="1"/>
  <c r="S30" i="3" s="1"/>
  <c r="Y200" i="1"/>
  <c r="Z200" i="1"/>
  <c r="AB200" i="1"/>
  <c r="AC200" i="1"/>
  <c r="AD200" i="1"/>
  <c r="AE200" i="1"/>
  <c r="AF200" i="1"/>
  <c r="AH232" i="1"/>
  <c r="AM232" i="1"/>
  <c r="AN23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33" i="1"/>
  <c r="AM233" i="1"/>
  <c r="AN233" i="1"/>
  <c r="K202" i="1"/>
  <c r="L202" i="1"/>
  <c r="M202" i="1"/>
  <c r="N202" i="1"/>
  <c r="V202" i="1"/>
  <c r="S31" i="3" s="1"/>
  <c r="Y202" i="1"/>
  <c r="Z202" i="1"/>
  <c r="AB202" i="1"/>
  <c r="AC202" i="1"/>
  <c r="AD202" i="1"/>
  <c r="AE202" i="1"/>
  <c r="R31" i="3" s="1"/>
  <c r="AF202" i="1"/>
  <c r="AH234" i="1"/>
  <c r="AM234" i="1"/>
  <c r="AN23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5" i="1"/>
  <c r="AM235" i="1"/>
  <c r="AN235" i="1"/>
  <c r="K204" i="1"/>
  <c r="L204" i="1"/>
  <c r="M204" i="1"/>
  <c r="N204" i="1" s="1"/>
  <c r="V204" i="1"/>
  <c r="S32" i="3" s="1"/>
  <c r="Y204" i="1"/>
  <c r="Z204" i="1"/>
  <c r="AB204" i="1"/>
  <c r="AC204" i="1"/>
  <c r="AD204" i="1"/>
  <c r="T204" i="1" s="1"/>
  <c r="AE204" i="1"/>
  <c r="AF204" i="1"/>
  <c r="AH236" i="1"/>
  <c r="AM236" i="1"/>
  <c r="AN23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7" i="1"/>
  <c r="AM237" i="1"/>
  <c r="AN237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38" i="1"/>
  <c r="AM238" i="1"/>
  <c r="AN238" i="1"/>
  <c r="K222" i="1"/>
  <c r="L222" i="1"/>
  <c r="M222" i="1"/>
  <c r="N222" i="1"/>
  <c r="V222" i="1"/>
  <c r="Y222" i="1"/>
  <c r="Z222" i="1"/>
  <c r="AB222" i="1"/>
  <c r="AC222" i="1"/>
  <c r="AD222" i="1"/>
  <c r="X222" i="1" s="1"/>
  <c r="AE222" i="1"/>
  <c r="AF222" i="1"/>
  <c r="AH239" i="1"/>
  <c r="AM239" i="1"/>
  <c r="AN23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0" i="1"/>
  <c r="AM240" i="1"/>
  <c r="AN24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1" i="1"/>
  <c r="AM241" i="1"/>
  <c r="AN241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42" i="1"/>
  <c r="AM242" i="1"/>
  <c r="AN24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3" i="1"/>
  <c r="AM243" i="1"/>
  <c r="AN243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44" i="1"/>
  <c r="AM244" i="1"/>
  <c r="AN24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5" i="1"/>
  <c r="AM245" i="1"/>
  <c r="AN245" i="1"/>
  <c r="M38" i="3"/>
  <c r="R38" i="3"/>
  <c r="S38" i="3"/>
  <c r="U38" i="3"/>
  <c r="T38" i="3" s="1"/>
  <c r="V38" i="3"/>
  <c r="X38" i="3"/>
  <c r="AC38" i="3"/>
  <c r="M39" i="3"/>
  <c r="R39" i="3"/>
  <c r="S39" i="3"/>
  <c r="U39" i="3"/>
  <c r="V39" i="3"/>
  <c r="X39" i="3"/>
  <c r="M10" i="3"/>
  <c r="R10" i="3"/>
  <c r="S10" i="3"/>
  <c r="T10" i="3"/>
  <c r="U10" i="3"/>
  <c r="AC10" i="3" s="1"/>
  <c r="V10" i="3"/>
  <c r="X10" i="3"/>
  <c r="AE10" i="3"/>
  <c r="M13" i="3"/>
  <c r="R13" i="3"/>
  <c r="S13" i="3"/>
  <c r="T13" i="3"/>
  <c r="U13" i="3"/>
  <c r="AC13" i="3" s="1"/>
  <c r="V13" i="3"/>
  <c r="X13" i="3"/>
  <c r="M24" i="3"/>
  <c r="R24" i="3"/>
  <c r="S24" i="3"/>
  <c r="U24" i="3"/>
  <c r="T24" i="3" s="1"/>
  <c r="V24" i="3"/>
  <c r="X24" i="3"/>
  <c r="M8" i="3"/>
  <c r="R8" i="3"/>
  <c r="S8" i="3"/>
  <c r="U8" i="3"/>
  <c r="AD13" i="3" s="1"/>
  <c r="V8" i="3"/>
  <c r="X8" i="3"/>
  <c r="M34" i="3"/>
  <c r="R34" i="3"/>
  <c r="U34" i="3"/>
  <c r="AC34" i="3" s="1"/>
  <c r="V34" i="3"/>
  <c r="X34" i="3"/>
  <c r="M11" i="3"/>
  <c r="S11" i="3"/>
  <c r="U11" i="3"/>
  <c r="AC11" i="3" s="1"/>
  <c r="V11" i="3"/>
  <c r="X11" i="3"/>
  <c r="M12" i="3"/>
  <c r="R12" i="3"/>
  <c r="S12" i="3"/>
  <c r="U12" i="3"/>
  <c r="T12" i="3" s="1"/>
  <c r="V12" i="3"/>
  <c r="X12" i="3"/>
  <c r="M16" i="3"/>
  <c r="R16" i="3"/>
  <c r="S16" i="3"/>
  <c r="U16" i="3"/>
  <c r="V16" i="3"/>
  <c r="X16" i="3"/>
  <c r="M7" i="3"/>
  <c r="R7" i="3"/>
  <c r="S7" i="3"/>
  <c r="U7" i="3"/>
  <c r="AC7" i="3" s="1"/>
  <c r="V7" i="3"/>
  <c r="X7" i="3"/>
  <c r="M17" i="3"/>
  <c r="R17" i="3"/>
  <c r="S17" i="3"/>
  <c r="U17" i="3"/>
  <c r="AC17" i="3" s="1"/>
  <c r="V17" i="3"/>
  <c r="X17" i="3"/>
  <c r="AE19" i="3"/>
  <c r="M19" i="3"/>
  <c r="R19" i="3"/>
  <c r="S19" i="3"/>
  <c r="U19" i="3"/>
  <c r="T19" i="3" s="1"/>
  <c r="V19" i="3"/>
  <c r="X19" i="3"/>
  <c r="M9" i="3"/>
  <c r="R9" i="3"/>
  <c r="S9" i="3"/>
  <c r="U9" i="3"/>
  <c r="V9" i="3"/>
  <c r="X9" i="3"/>
  <c r="M15" i="3"/>
  <c r="R15" i="3"/>
  <c r="S15" i="3"/>
  <c r="U15" i="3"/>
  <c r="AC15" i="3" s="1"/>
  <c r="V15" i="3"/>
  <c r="X15" i="3"/>
  <c r="M25" i="3"/>
  <c r="R25" i="3"/>
  <c r="S25" i="3"/>
  <c r="U25" i="3"/>
  <c r="AC25" i="3" s="1"/>
  <c r="V25" i="3"/>
  <c r="X25" i="3"/>
  <c r="M18" i="3"/>
  <c r="R18" i="3"/>
  <c r="S18" i="3"/>
  <c r="U18" i="3"/>
  <c r="T18" i="3" s="1"/>
  <c r="V18" i="3"/>
  <c r="AE24" i="3" s="1"/>
  <c r="X18" i="3"/>
  <c r="AD24" i="3"/>
  <c r="M20" i="3"/>
  <c r="R20" i="3"/>
  <c r="S20" i="3"/>
  <c r="U20" i="3"/>
  <c r="AD25" i="3" s="1"/>
  <c r="V20" i="3"/>
  <c r="X20" i="3"/>
  <c r="M23" i="3"/>
  <c r="S23" i="3"/>
  <c r="U23" i="3"/>
  <c r="AC23" i="3" s="1"/>
  <c r="V23" i="3"/>
  <c r="X23" i="3"/>
  <c r="M26" i="3"/>
  <c r="S26" i="3"/>
  <c r="U26" i="3"/>
  <c r="AC26" i="3" s="1"/>
  <c r="V26" i="3"/>
  <c r="X26" i="3"/>
  <c r="M21" i="3"/>
  <c r="R21" i="3"/>
  <c r="S21" i="3"/>
  <c r="U21" i="3"/>
  <c r="T21" i="3" s="1"/>
  <c r="V21" i="3"/>
  <c r="X21" i="3"/>
  <c r="M22" i="3"/>
  <c r="S22" i="3"/>
  <c r="U22" i="3"/>
  <c r="V22" i="3"/>
  <c r="X22" i="3"/>
  <c r="M35" i="3"/>
  <c r="R35" i="3"/>
  <c r="S35" i="3"/>
  <c r="U35" i="3"/>
  <c r="AC35" i="3" s="1"/>
  <c r="V35" i="3"/>
  <c r="X35" i="3"/>
  <c r="M27" i="3"/>
  <c r="U27" i="3"/>
  <c r="AC27" i="3" s="1"/>
  <c r="V27" i="3"/>
  <c r="X27" i="3"/>
  <c r="M28" i="3"/>
  <c r="S28" i="3"/>
  <c r="U28" i="3"/>
  <c r="T28" i="3" s="1"/>
  <c r="V28" i="3"/>
  <c r="X28" i="3"/>
  <c r="M29" i="3"/>
  <c r="S29" i="3"/>
  <c r="U29" i="3"/>
  <c r="V29" i="3"/>
  <c r="X29" i="3"/>
  <c r="M36" i="3"/>
  <c r="S36" i="3"/>
  <c r="U36" i="3"/>
  <c r="AC36" i="3" s="1"/>
  <c r="V36" i="3"/>
  <c r="X36" i="3"/>
  <c r="M30" i="3"/>
  <c r="R30" i="3"/>
  <c r="U30" i="3"/>
  <c r="AC30" i="3" s="1"/>
  <c r="V30" i="3"/>
  <c r="X30" i="3"/>
  <c r="AE35" i="3"/>
  <c r="M31" i="3"/>
  <c r="U31" i="3"/>
  <c r="T31" i="3" s="1"/>
  <c r="V31" i="3"/>
  <c r="AE36" i="3" s="1"/>
  <c r="X31" i="3"/>
  <c r="AD36" i="3"/>
  <c r="M37" i="3"/>
  <c r="R37" i="3"/>
  <c r="S37" i="3"/>
  <c r="U37" i="3"/>
  <c r="AD37" i="3" s="1"/>
  <c r="V37" i="3"/>
  <c r="X37" i="3"/>
  <c r="M32" i="3"/>
  <c r="U32" i="3"/>
  <c r="AC32" i="3" s="1"/>
  <c r="V32" i="3"/>
  <c r="X32" i="3"/>
  <c r="M33" i="3"/>
  <c r="S33" i="3"/>
  <c r="U33" i="3"/>
  <c r="AC33" i="3" s="1"/>
  <c r="V33" i="3"/>
  <c r="X33" i="3"/>
  <c r="AD39" i="3"/>
  <c r="AE39" i="3"/>
  <c r="W16" i="3"/>
  <c r="W29" i="3"/>
  <c r="W26" i="3"/>
  <c r="W34" i="3"/>
  <c r="W35" i="3"/>
  <c r="W11" i="3"/>
  <c r="W19" i="3"/>
  <c r="W31" i="3"/>
  <c r="W39" i="3"/>
  <c r="W20" i="3"/>
  <c r="W17" i="3"/>
  <c r="W30" i="3"/>
  <c r="W15" i="3"/>
  <c r="W32" i="3"/>
  <c r="W24" i="3"/>
  <c r="W21" i="3"/>
  <c r="W8" i="3"/>
  <c r="W22" i="3"/>
  <c r="W25" i="3"/>
  <c r="W10" i="3"/>
  <c r="W23" i="3"/>
  <c r="W13" i="3"/>
  <c r="W12" i="3"/>
  <c r="W28" i="3"/>
  <c r="W9" i="3"/>
  <c r="W37" i="3"/>
  <c r="W27" i="3"/>
  <c r="W7" i="3"/>
  <c r="W36" i="3"/>
  <c r="W38" i="3"/>
  <c r="W18" i="3"/>
  <c r="W33" i="3"/>
  <c r="AG28" i="1"/>
  <c r="AG51" i="1"/>
  <c r="AG37" i="1"/>
  <c r="AG68" i="1"/>
  <c r="AG58" i="1"/>
  <c r="AG118" i="1"/>
  <c r="AG120" i="1"/>
  <c r="AG148" i="1"/>
  <c r="AG214" i="1"/>
  <c r="AG16" i="1"/>
  <c r="AG18" i="1"/>
  <c r="AG69" i="1"/>
  <c r="AG79" i="1"/>
  <c r="AG97" i="1"/>
  <c r="AG115" i="1"/>
  <c r="AG155" i="1"/>
  <c r="AG141" i="1"/>
  <c r="AG171" i="1"/>
  <c r="AG162" i="1"/>
  <c r="AG173" i="1"/>
  <c r="AG180" i="1"/>
  <c r="AG194" i="1"/>
  <c r="AG43" i="1"/>
  <c r="AG77" i="1"/>
  <c r="AG83" i="1"/>
  <c r="AG92" i="1"/>
  <c r="AG159" i="1"/>
  <c r="AG245" i="1"/>
  <c r="AG182" i="1"/>
  <c r="AG184" i="1"/>
  <c r="AG48" i="1"/>
  <c r="AG50" i="1"/>
  <c r="AG64" i="1"/>
  <c r="AG44" i="1"/>
  <c r="AG42" i="1"/>
  <c r="AG89" i="1"/>
  <c r="AG74" i="1"/>
  <c r="AG121" i="1"/>
  <c r="AG132" i="1"/>
  <c r="AG138" i="1"/>
  <c r="AG15" i="1"/>
  <c r="AG45" i="1"/>
  <c r="AG66" i="1"/>
  <c r="AG108" i="1"/>
  <c r="AG131" i="1"/>
  <c r="AG157" i="1"/>
  <c r="AG203" i="1"/>
  <c r="AG243" i="1"/>
  <c r="AG204" i="1"/>
  <c r="AG40" i="1"/>
  <c r="AG49" i="1"/>
  <c r="AG90" i="1"/>
  <c r="AG123" i="1"/>
  <c r="AG208" i="1"/>
  <c r="AG161" i="1"/>
  <c r="AG223" i="1"/>
  <c r="AG30" i="1"/>
  <c r="AG88" i="1"/>
  <c r="AG114" i="1"/>
  <c r="AG143" i="1"/>
  <c r="AG163" i="1"/>
  <c r="AG181" i="1"/>
  <c r="AG52" i="1"/>
  <c r="AG41" i="1"/>
  <c r="AG140" i="1"/>
  <c r="AG229" i="1"/>
  <c r="AG217" i="1"/>
  <c r="AG67" i="1"/>
  <c r="AG210" i="1"/>
  <c r="AG240" i="1"/>
  <c r="AG224" i="1"/>
  <c r="AG186" i="1"/>
  <c r="AG72" i="1"/>
  <c r="AG146" i="1"/>
  <c r="AG230" i="1"/>
  <c r="AG244" i="1"/>
  <c r="AG53" i="1"/>
  <c r="AG213" i="1"/>
  <c r="AG160" i="1"/>
  <c r="AG185" i="1"/>
  <c r="AG137" i="1"/>
  <c r="AG62" i="1"/>
  <c r="AG153" i="1"/>
  <c r="AG19" i="1"/>
  <c r="AG21" i="1"/>
  <c r="AG84" i="1"/>
  <c r="AG87" i="1"/>
  <c r="AG104" i="1"/>
  <c r="AG211" i="1"/>
  <c r="AG154" i="1"/>
  <c r="AG39" i="1"/>
  <c r="AG56" i="1"/>
  <c r="AG86" i="1"/>
  <c r="AG95" i="1"/>
  <c r="AG130" i="1"/>
  <c r="AG218" i="1"/>
  <c r="AG232" i="1"/>
  <c r="AG189" i="1"/>
  <c r="AG201" i="1"/>
  <c r="AG23" i="1"/>
  <c r="AG60" i="1"/>
  <c r="AG110" i="1"/>
  <c r="AG207" i="1"/>
  <c r="AG175" i="1"/>
  <c r="AG177" i="1"/>
  <c r="AG24" i="1"/>
  <c r="AG33" i="1"/>
  <c r="AG54" i="1"/>
  <c r="AG96" i="1"/>
  <c r="AG142" i="1"/>
  <c r="AG195" i="1"/>
  <c r="AG172" i="1"/>
  <c r="AG14" i="1"/>
  <c r="AG29" i="1"/>
  <c r="AG139" i="1"/>
  <c r="AG191" i="1"/>
  <c r="AG168" i="1"/>
  <c r="AG109" i="1"/>
  <c r="AG209" i="1"/>
  <c r="AG235" i="1"/>
  <c r="AG215" i="1"/>
  <c r="AG219" i="1"/>
  <c r="AG82" i="1"/>
  <c r="AG216" i="1"/>
  <c r="AG200" i="1"/>
  <c r="AG176" i="1"/>
  <c r="AG98" i="1"/>
  <c r="AG237" i="1"/>
  <c r="AG111" i="1"/>
  <c r="AG65" i="1"/>
  <c r="AG193" i="1"/>
  <c r="AG113" i="1"/>
  <c r="AG183" i="1"/>
  <c r="AG105" i="1"/>
  <c r="AG156" i="1"/>
  <c r="AG220" i="1"/>
  <c r="AG46" i="1"/>
  <c r="AG129" i="1"/>
  <c r="AG202" i="1"/>
  <c r="AG94" i="1"/>
  <c r="AG149" i="1"/>
  <c r="AG32" i="1"/>
  <c r="AG145" i="1"/>
  <c r="AG144" i="1"/>
  <c r="AG206" i="1"/>
  <c r="AG227" i="1"/>
  <c r="AG190" i="1"/>
  <c r="AG127" i="1"/>
  <c r="AG93" i="1"/>
  <c r="AG13" i="1"/>
  <c r="AG26" i="1"/>
  <c r="AG73" i="1"/>
  <c r="AG75" i="1"/>
  <c r="AG119" i="1"/>
  <c r="AG151" i="1"/>
  <c r="AG36" i="1"/>
  <c r="AG25" i="1"/>
  <c r="AG55" i="1"/>
  <c r="AG117" i="1"/>
  <c r="AG125" i="1"/>
  <c r="AG187" i="1"/>
  <c r="AG164" i="1"/>
  <c r="AG20" i="1"/>
  <c r="AG63" i="1"/>
  <c r="AG99" i="1"/>
  <c r="AG166" i="1"/>
  <c r="AG47" i="1"/>
  <c r="AG81" i="1"/>
  <c r="AG124" i="1"/>
  <c r="AG165" i="1"/>
  <c r="AG17" i="1"/>
  <c r="AG112" i="1"/>
  <c r="AG231" i="1"/>
  <c r="AG179" i="1"/>
  <c r="AG226" i="1"/>
  <c r="AG152" i="1"/>
  <c r="AG31" i="1"/>
  <c r="AG169" i="1"/>
  <c r="AG126" i="1"/>
  <c r="AG35" i="1"/>
  <c r="AG57" i="1"/>
  <c r="AG59" i="1"/>
  <c r="AG102" i="1"/>
  <c r="AG103" i="1"/>
  <c r="AG135" i="1"/>
  <c r="AG122" i="1"/>
  <c r="AG38" i="1"/>
  <c r="AG76" i="1"/>
  <c r="AG106" i="1"/>
  <c r="AG136" i="1"/>
  <c r="AG150" i="1"/>
  <c r="AG241" i="1"/>
  <c r="AG178" i="1"/>
  <c r="AG234" i="1"/>
  <c r="AG197" i="1"/>
  <c r="AG22" i="1"/>
  <c r="AG80" i="1"/>
  <c r="AG101" i="1"/>
  <c r="AG158" i="1"/>
  <c r="AG222" i="1"/>
  <c r="AG238" i="1"/>
  <c r="AG27" i="1"/>
  <c r="AG61" i="1"/>
  <c r="AG78" i="1"/>
  <c r="AG116" i="1"/>
  <c r="AG133" i="1"/>
  <c r="AG170" i="1"/>
  <c r="AG228" i="1"/>
  <c r="AG34" i="1"/>
  <c r="AG70" i="1"/>
  <c r="AG134" i="1"/>
  <c r="AG236" i="1"/>
  <c r="AG205" i="1"/>
  <c r="AG107" i="1"/>
  <c r="AG212" i="1"/>
  <c r="AG242" i="1"/>
  <c r="AG233" i="1"/>
  <c r="AG188" i="1"/>
  <c r="AG100" i="1"/>
  <c r="AG199" i="1"/>
  <c r="AG196" i="1"/>
  <c r="AG192" i="1"/>
  <c r="AG91" i="1"/>
  <c r="AG221" i="1"/>
  <c r="AG167" i="1"/>
  <c r="AG71" i="1"/>
  <c r="AG225" i="1"/>
  <c r="AG128" i="1"/>
  <c r="AG174" i="1"/>
  <c r="AG198" i="1"/>
  <c r="AG147" i="1"/>
  <c r="AG239" i="1"/>
  <c r="AG85" i="1"/>
  <c r="T243" i="1" l="1"/>
  <c r="X243" i="1"/>
  <c r="X64" i="1"/>
  <c r="T64" i="1"/>
  <c r="R32" i="3"/>
  <c r="R33" i="3"/>
  <c r="T201" i="1"/>
  <c r="X201" i="1"/>
  <c r="X181" i="1"/>
  <c r="X19" i="1"/>
  <c r="X17" i="1"/>
  <c r="X189" i="1"/>
  <c r="T189" i="1"/>
  <c r="X169" i="1"/>
  <c r="T169" i="1"/>
  <c r="AA194" i="1"/>
  <c r="T55" i="1"/>
  <c r="X55" i="1"/>
  <c r="T18" i="1"/>
  <c r="X18" i="1"/>
  <c r="T14" i="1"/>
  <c r="X14" i="1"/>
  <c r="X13" i="1"/>
  <c r="X173" i="1"/>
  <c r="AA160" i="1"/>
  <c r="X235" i="1"/>
  <c r="X220" i="1"/>
  <c r="AA212" i="1"/>
  <c r="X158" i="1"/>
  <c r="AA130" i="1"/>
  <c r="AA122" i="1"/>
  <c r="AA58" i="1"/>
  <c r="AA202" i="1"/>
  <c r="AA193" i="1"/>
  <c r="AA183" i="1"/>
  <c r="X180" i="1"/>
  <c r="AA177" i="1"/>
  <c r="AA176" i="1"/>
  <c r="AA175" i="1"/>
  <c r="AA174" i="1"/>
  <c r="AA239" i="1"/>
  <c r="AA231" i="1"/>
  <c r="AA216" i="1"/>
  <c r="AA214" i="1"/>
  <c r="AA146" i="1"/>
  <c r="X138" i="1"/>
  <c r="AA131" i="1"/>
  <c r="AA129" i="1"/>
  <c r="AA125" i="1"/>
  <c r="AA118" i="1"/>
  <c r="AA113" i="1"/>
  <c r="AA112" i="1"/>
  <c r="AA108" i="1"/>
  <c r="X93" i="1"/>
  <c r="AA89" i="1"/>
  <c r="X86" i="1"/>
  <c r="AA74" i="1"/>
  <c r="X67" i="1"/>
  <c r="X56" i="1"/>
  <c r="X53" i="1"/>
  <c r="AA39" i="1"/>
  <c r="X37" i="1"/>
  <c r="AA37" i="1"/>
  <c r="AA27" i="1"/>
  <c r="AA21" i="1"/>
  <c r="X15" i="1"/>
  <c r="AA197" i="1"/>
  <c r="AA195" i="1"/>
  <c r="AA189" i="1"/>
  <c r="AA181" i="1"/>
  <c r="T173" i="1"/>
  <c r="AA169" i="1"/>
  <c r="AA164" i="1"/>
  <c r="AA243" i="1"/>
  <c r="T235" i="1"/>
  <c r="T220" i="1"/>
  <c r="T158" i="1"/>
  <c r="AA147" i="1"/>
  <c r="AA145" i="1"/>
  <c r="AA139" i="1"/>
  <c r="X106" i="1"/>
  <c r="AA96" i="1"/>
  <c r="X76" i="1"/>
  <c r="AA70" i="1"/>
  <c r="X59" i="1"/>
  <c r="AA55" i="1"/>
  <c r="AA42" i="1"/>
  <c r="AA40" i="1"/>
  <c r="AA32" i="1"/>
  <c r="AA28" i="1"/>
  <c r="AA22" i="1"/>
  <c r="AA16" i="1"/>
  <c r="AA13" i="1"/>
  <c r="S13" i="1"/>
  <c r="AI13" i="1"/>
  <c r="U13" i="1"/>
  <c r="W13" i="1"/>
  <c r="X219" i="1"/>
  <c r="T126" i="1"/>
  <c r="X118" i="1"/>
  <c r="AA116" i="1"/>
  <c r="T106" i="1"/>
  <c r="AA105" i="1"/>
  <c r="T105" i="1"/>
  <c r="AA104" i="1"/>
  <c r="X103" i="1"/>
  <c r="X102" i="1"/>
  <c r="AA100" i="1"/>
  <c r="X87" i="1"/>
  <c r="X83" i="1"/>
  <c r="AA76" i="1"/>
  <c r="X75" i="1"/>
  <c r="T68" i="1"/>
  <c r="AA67" i="1"/>
  <c r="T67" i="1"/>
  <c r="X63" i="1"/>
  <c r="AA61" i="1"/>
  <c r="X60" i="1"/>
  <c r="X54" i="1"/>
  <c r="AA52" i="1"/>
  <c r="X49" i="1"/>
  <c r="X48" i="1"/>
  <c r="AA44" i="1"/>
  <c r="AA41" i="1"/>
  <c r="X36" i="1"/>
  <c r="AA34" i="1"/>
  <c r="X33" i="1"/>
  <c r="X228" i="1"/>
  <c r="X192" i="1"/>
  <c r="X185" i="1"/>
  <c r="X184" i="1"/>
  <c r="AA168" i="1"/>
  <c r="X165" i="1"/>
  <c r="X161" i="1"/>
  <c r="AA149" i="1"/>
  <c r="AA137" i="1"/>
  <c r="X134" i="1"/>
  <c r="X130" i="1"/>
  <c r="X28" i="1"/>
  <c r="X24" i="1"/>
  <c r="AA20" i="1"/>
  <c r="AA17" i="1"/>
  <c r="T17" i="1"/>
  <c r="X227" i="1"/>
  <c r="AA223" i="1"/>
  <c r="X203" i="1"/>
  <c r="AA200" i="1"/>
  <c r="AA187" i="1"/>
  <c r="X179" i="1"/>
  <c r="AA230" i="1"/>
  <c r="AA157" i="1"/>
  <c r="X145" i="1"/>
  <c r="X122" i="1"/>
  <c r="AA120" i="1"/>
  <c r="X110" i="1"/>
  <c r="AA110" i="1"/>
  <c r="X107" i="1"/>
  <c r="AA103" i="1"/>
  <c r="AA98" i="1"/>
  <c r="X97" i="1"/>
  <c r="AA87" i="1"/>
  <c r="AA85" i="1"/>
  <c r="AA80" i="1"/>
  <c r="X79" i="1"/>
  <c r="AA72" i="1"/>
  <c r="X71" i="1"/>
  <c r="AA62" i="1"/>
  <c r="AA53" i="1"/>
  <c r="AA51" i="1"/>
  <c r="AA48" i="1"/>
  <c r="X45" i="1"/>
  <c r="X44" i="1"/>
  <c r="AA36" i="1"/>
  <c r="AA35" i="1"/>
  <c r="AA29" i="1"/>
  <c r="X20" i="1"/>
  <c r="AA14" i="1"/>
  <c r="AA228" i="1"/>
  <c r="AA198" i="1"/>
  <c r="X197" i="1"/>
  <c r="X195" i="1"/>
  <c r="AA185" i="1"/>
  <c r="AA180" i="1"/>
  <c r="AA165" i="1"/>
  <c r="AA161" i="1"/>
  <c r="AA238" i="1"/>
  <c r="AA210" i="1"/>
  <c r="AA159" i="1"/>
  <c r="X153" i="1"/>
  <c r="AA151" i="1"/>
  <c r="X150" i="1"/>
  <c r="X125" i="1"/>
  <c r="X117" i="1"/>
  <c r="X98" i="1"/>
  <c r="X95" i="1"/>
  <c r="X80" i="1"/>
  <c r="T56" i="1"/>
  <c r="T200" i="1"/>
  <c r="X200" i="1"/>
  <c r="AA224" i="1"/>
  <c r="AA204" i="1"/>
  <c r="X196" i="1"/>
  <c r="X223" i="1"/>
  <c r="T205" i="1"/>
  <c r="X205" i="1"/>
  <c r="X226" i="1"/>
  <c r="AA203" i="1"/>
  <c r="T140" i="1"/>
  <c r="X141" i="1"/>
  <c r="AA226" i="1"/>
  <c r="AA222" i="1"/>
  <c r="T195" i="1"/>
  <c r="AA192" i="1"/>
  <c r="AA190" i="1"/>
  <c r="AA188" i="1"/>
  <c r="AA186" i="1"/>
  <c r="AA184" i="1"/>
  <c r="AA182" i="1"/>
  <c r="AA171" i="1"/>
  <c r="AA170" i="1"/>
  <c r="X168" i="1"/>
  <c r="AA163" i="1"/>
  <c r="AA162" i="1"/>
  <c r="X160" i="1"/>
  <c r="AA241" i="1"/>
  <c r="AA240" i="1"/>
  <c r="X238" i="1"/>
  <c r="AA233" i="1"/>
  <c r="AA232" i="1"/>
  <c r="X230" i="1"/>
  <c r="AA218" i="1"/>
  <c r="AA217" i="1"/>
  <c r="AA215" i="1"/>
  <c r="X212" i="1"/>
  <c r="AA209" i="1"/>
  <c r="AA207" i="1"/>
  <c r="X157" i="1"/>
  <c r="AA154" i="1"/>
  <c r="AA152" i="1"/>
  <c r="X149" i="1"/>
  <c r="X146" i="1"/>
  <c r="X137" i="1"/>
  <c r="AA199" i="1"/>
  <c r="X172" i="1"/>
  <c r="AA167" i="1"/>
  <c r="AA166" i="1"/>
  <c r="X164" i="1"/>
  <c r="AA245" i="1"/>
  <c r="AA244" i="1"/>
  <c r="X242" i="1"/>
  <c r="AA237" i="1"/>
  <c r="AA236" i="1"/>
  <c r="X234" i="1"/>
  <c r="AA229" i="1"/>
  <c r="AA221" i="1"/>
  <c r="X216" i="1"/>
  <c r="AA213" i="1"/>
  <c r="AA211" i="1"/>
  <c r="X208" i="1"/>
  <c r="AA158" i="1"/>
  <c r="AA156" i="1"/>
  <c r="T145" i="1"/>
  <c r="AA144" i="1"/>
  <c r="X129" i="1"/>
  <c r="AA138" i="1"/>
  <c r="T137" i="1"/>
  <c r="AA136" i="1"/>
  <c r="X133" i="1"/>
  <c r="T129" i="1"/>
  <c r="AA128" i="1"/>
  <c r="AA123" i="1"/>
  <c r="T110" i="1"/>
  <c r="AA109" i="1"/>
  <c r="T109" i="1"/>
  <c r="AA107" i="1"/>
  <c r="T107" i="1"/>
  <c r="X101" i="1"/>
  <c r="X99" i="1"/>
  <c r="T94" i="1"/>
  <c r="AA93" i="1"/>
  <c r="T93" i="1"/>
  <c r="AA91" i="1"/>
  <c r="T91" i="1"/>
  <c r="X82" i="1"/>
  <c r="X78" i="1"/>
  <c r="X74" i="1"/>
  <c r="X52" i="1"/>
  <c r="AA45" i="1"/>
  <c r="X41" i="1"/>
  <c r="T37" i="1"/>
  <c r="AA33" i="1"/>
  <c r="T32" i="1"/>
  <c r="AA30" i="1"/>
  <c r="X29" i="1"/>
  <c r="T20" i="1"/>
  <c r="AA64" i="1"/>
  <c r="AA60" i="1"/>
  <c r="AA57" i="1"/>
  <c r="AA56" i="1"/>
  <c r="AA49" i="1"/>
  <c r="AA46" i="1"/>
  <c r="X40" i="1"/>
  <c r="X21" i="1"/>
  <c r="T19" i="1"/>
  <c r="AA18" i="1"/>
  <c r="T16" i="1"/>
  <c r="AA150" i="1"/>
  <c r="AA148" i="1"/>
  <c r="AA142" i="1"/>
  <c r="AA140" i="1"/>
  <c r="AA134" i="1"/>
  <c r="AA132" i="1"/>
  <c r="AA126" i="1"/>
  <c r="AA124" i="1"/>
  <c r="AA117" i="1"/>
  <c r="AA115" i="1"/>
  <c r="AA114" i="1"/>
  <c r="AA106" i="1"/>
  <c r="AA101" i="1"/>
  <c r="AA99" i="1"/>
  <c r="AA90" i="1"/>
  <c r="AA88" i="1"/>
  <c r="AA83" i="1"/>
  <c r="AA79" i="1"/>
  <c r="AA75" i="1"/>
  <c r="AA71" i="1"/>
  <c r="AA69" i="1"/>
  <c r="AA68" i="1"/>
  <c r="X66" i="1"/>
  <c r="X62" i="1"/>
  <c r="X58" i="1"/>
  <c r="AA50" i="1"/>
  <c r="AA38" i="1"/>
  <c r="AA25" i="1"/>
  <c r="AA23" i="1"/>
  <c r="AA127" i="1"/>
  <c r="AA121" i="1"/>
  <c r="AA119" i="1"/>
  <c r="AA97" i="1"/>
  <c r="AA95" i="1"/>
  <c r="AA84" i="1"/>
  <c r="AA81" i="1"/>
  <c r="AA77" i="1"/>
  <c r="AA73" i="1"/>
  <c r="X70" i="1"/>
  <c r="AI242" i="1"/>
  <c r="W225" i="1"/>
  <c r="AI241" i="1"/>
  <c r="U224" i="1"/>
  <c r="S224" i="1" s="1"/>
  <c r="AI240" i="1"/>
  <c r="U223" i="1"/>
  <c r="S223" i="1" s="1"/>
  <c r="AI226" i="1"/>
  <c r="AI225" i="1"/>
  <c r="U193" i="1"/>
  <c r="S193" i="1" s="1"/>
  <c r="AI244" i="1"/>
  <c r="U227" i="1"/>
  <c r="S227" i="1" s="1"/>
  <c r="AI230" i="1"/>
  <c r="W198" i="1"/>
  <c r="AI229" i="1"/>
  <c r="U197" i="1"/>
  <c r="S197" i="1" s="1"/>
  <c r="AI228" i="1"/>
  <c r="U196" i="1"/>
  <c r="S196" i="1" s="1"/>
  <c r="U228" i="1"/>
  <c r="S228" i="1" s="1"/>
  <c r="AI245" i="1"/>
  <c r="AI234" i="1"/>
  <c r="AI233" i="1"/>
  <c r="U201" i="1"/>
  <c r="S201" i="1" s="1"/>
  <c r="U200" i="1"/>
  <c r="S200" i="1" s="1"/>
  <c r="AI232" i="1"/>
  <c r="AI238" i="1"/>
  <c r="AI237" i="1"/>
  <c r="U205" i="1"/>
  <c r="S205" i="1" s="1"/>
  <c r="U204" i="1"/>
  <c r="S204" i="1" s="1"/>
  <c r="AI236" i="1"/>
  <c r="U192" i="1"/>
  <c r="S192" i="1" s="1"/>
  <c r="AI224" i="1"/>
  <c r="AI220" i="1"/>
  <c r="U188" i="1"/>
  <c r="S188" i="1" s="1"/>
  <c r="AI216" i="1"/>
  <c r="U184" i="1"/>
  <c r="S184" i="1" s="1"/>
  <c r="AI212" i="1"/>
  <c r="U180" i="1"/>
  <c r="S180" i="1" s="1"/>
  <c r="AI208" i="1"/>
  <c r="U176" i="1"/>
  <c r="S176" i="1" s="1"/>
  <c r="AI204" i="1"/>
  <c r="U172" i="1"/>
  <c r="S172" i="1" s="1"/>
  <c r="AI200" i="1"/>
  <c r="U168" i="1"/>
  <c r="S168" i="1" s="1"/>
  <c r="AI196" i="1"/>
  <c r="U164" i="1"/>
  <c r="S164" i="1" s="1"/>
  <c r="AI192" i="1"/>
  <c r="U160" i="1"/>
  <c r="S160" i="1" s="1"/>
  <c r="AI188" i="1"/>
  <c r="U242" i="1"/>
  <c r="S242" i="1" s="1"/>
  <c r="AI184" i="1"/>
  <c r="U238" i="1"/>
  <c r="S238" i="1" s="1"/>
  <c r="AI180" i="1"/>
  <c r="U234" i="1"/>
  <c r="S234" i="1" s="1"/>
  <c r="AI176" i="1"/>
  <c r="U230" i="1"/>
  <c r="S230" i="1" s="1"/>
  <c r="AI172" i="1"/>
  <c r="U219" i="1"/>
  <c r="S219" i="1" s="1"/>
  <c r="AI170" i="1"/>
  <c r="U217" i="1"/>
  <c r="S217" i="1" s="1"/>
  <c r="AI221" i="1"/>
  <c r="U189" i="1"/>
  <c r="S189" i="1" s="1"/>
  <c r="AI217" i="1"/>
  <c r="U185" i="1"/>
  <c r="S185" i="1" s="1"/>
  <c r="AI213" i="1"/>
  <c r="U181" i="1"/>
  <c r="S181" i="1" s="1"/>
  <c r="AI209" i="1"/>
  <c r="U177" i="1"/>
  <c r="S177" i="1" s="1"/>
  <c r="AI205" i="1"/>
  <c r="U173" i="1"/>
  <c r="S173" i="1" s="1"/>
  <c r="AI201" i="1"/>
  <c r="U169" i="1"/>
  <c r="S169" i="1" s="1"/>
  <c r="AI197" i="1"/>
  <c r="U165" i="1"/>
  <c r="S165" i="1" s="1"/>
  <c r="AI193" i="1"/>
  <c r="U161" i="1"/>
  <c r="S161" i="1" s="1"/>
  <c r="AI189" i="1"/>
  <c r="U243" i="1"/>
  <c r="S243" i="1" s="1"/>
  <c r="AI185" i="1"/>
  <c r="U239" i="1"/>
  <c r="S239" i="1" s="1"/>
  <c r="AI181" i="1"/>
  <c r="U235" i="1"/>
  <c r="S235" i="1" s="1"/>
  <c r="AI177" i="1"/>
  <c r="U231" i="1"/>
  <c r="S231" i="1" s="1"/>
  <c r="AI173" i="1"/>
  <c r="U220" i="1"/>
  <c r="S220" i="1" s="1"/>
  <c r="AI222" i="1"/>
  <c r="U186" i="1"/>
  <c r="S186" i="1" s="1"/>
  <c r="AI218" i="1"/>
  <c r="U182" i="1"/>
  <c r="S182" i="1" s="1"/>
  <c r="AI214" i="1"/>
  <c r="U178" i="1"/>
  <c r="S178" i="1"/>
  <c r="AI210" i="1"/>
  <c r="U174" i="1"/>
  <c r="S174" i="1" s="1"/>
  <c r="AI206" i="1"/>
  <c r="U170" i="1"/>
  <c r="S170" i="1" s="1"/>
  <c r="AI202" i="1"/>
  <c r="U166" i="1"/>
  <c r="S166" i="1" s="1"/>
  <c r="AI198" i="1"/>
  <c r="U162" i="1"/>
  <c r="S162" i="1" s="1"/>
  <c r="AI194" i="1"/>
  <c r="U244" i="1"/>
  <c r="S244" i="1" s="1"/>
  <c r="AI190" i="1"/>
  <c r="U240" i="1"/>
  <c r="S240" i="1" s="1"/>
  <c r="AI186" i="1"/>
  <c r="U236" i="1"/>
  <c r="S236" i="1" s="1"/>
  <c r="AI182" i="1"/>
  <c r="U232" i="1"/>
  <c r="S232" i="1" s="1"/>
  <c r="AI178" i="1"/>
  <c r="U221" i="1"/>
  <c r="S221" i="1" s="1"/>
  <c r="AI174" i="1"/>
  <c r="U226" i="1"/>
  <c r="S226" i="1" s="1"/>
  <c r="AI243" i="1"/>
  <c r="AI239" i="1"/>
  <c r="AI235" i="1"/>
  <c r="U199" i="1"/>
  <c r="AI231" i="1"/>
  <c r="S199" i="1"/>
  <c r="U195" i="1"/>
  <c r="S195" i="1" s="1"/>
  <c r="AI227" i="1"/>
  <c r="U191" i="1"/>
  <c r="S191" i="1" s="1"/>
  <c r="AI223" i="1"/>
  <c r="U187" i="1"/>
  <c r="S187" i="1" s="1"/>
  <c r="AI219" i="1"/>
  <c r="U183" i="1"/>
  <c r="S183" i="1" s="1"/>
  <c r="AI215" i="1"/>
  <c r="U179" i="1"/>
  <c r="S179" i="1" s="1"/>
  <c r="AI211" i="1"/>
  <c r="U175" i="1"/>
  <c r="S175" i="1" s="1"/>
  <c r="AI207" i="1"/>
  <c r="U171" i="1"/>
  <c r="S171" i="1" s="1"/>
  <c r="AI203" i="1"/>
  <c r="U167" i="1"/>
  <c r="S167" i="1" s="1"/>
  <c r="AI199" i="1"/>
  <c r="U163" i="1"/>
  <c r="S163" i="1" s="1"/>
  <c r="AI195" i="1"/>
  <c r="U245" i="1"/>
  <c r="S245" i="1" s="1"/>
  <c r="AI191" i="1"/>
  <c r="U241" i="1"/>
  <c r="S241" i="1"/>
  <c r="AI187" i="1"/>
  <c r="U237" i="1"/>
  <c r="S237" i="1" s="1"/>
  <c r="AI183" i="1"/>
  <c r="U233" i="1"/>
  <c r="S233" i="1" s="1"/>
  <c r="AI179" i="1"/>
  <c r="U229" i="1"/>
  <c r="S229" i="1" s="1"/>
  <c r="AI175" i="1"/>
  <c r="AI171" i="1"/>
  <c r="U216" i="1"/>
  <c r="S216" i="1" s="1"/>
  <c r="AI169" i="1"/>
  <c r="AI165" i="1"/>
  <c r="U212" i="1"/>
  <c r="S212" i="1" s="1"/>
  <c r="AI161" i="1"/>
  <c r="U208" i="1"/>
  <c r="S208" i="1" s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U122" i="1"/>
  <c r="S122" i="1" s="1"/>
  <c r="AI122" i="1"/>
  <c r="AI166" i="1"/>
  <c r="U213" i="1"/>
  <c r="S213" i="1" s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S146" i="1"/>
  <c r="AI146" i="1"/>
  <c r="U146" i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U214" i="1"/>
  <c r="S214" i="1" s="1"/>
  <c r="AI167" i="1"/>
  <c r="U210" i="1"/>
  <c r="S210" i="1" s="1"/>
  <c r="AI163" i="1"/>
  <c r="U159" i="1"/>
  <c r="S159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215" i="1"/>
  <c r="S215" i="1"/>
  <c r="AI168" i="1"/>
  <c r="U211" i="1"/>
  <c r="S211" i="1" s="1"/>
  <c r="AI164" i="1"/>
  <c r="U207" i="1"/>
  <c r="S207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AI124" i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AI87" i="1"/>
  <c r="U87" i="1"/>
  <c r="S87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U54" i="1"/>
  <c r="S54" i="1" s="1"/>
  <c r="AI54" i="1"/>
  <c r="AI83" i="1"/>
  <c r="U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53" i="1"/>
  <c r="S53" i="1" s="1"/>
  <c r="AI53" i="1"/>
  <c r="AI88" i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U89" i="1"/>
  <c r="S89" i="1" s="1"/>
  <c r="AI89" i="1"/>
  <c r="W89" i="1"/>
  <c r="U85" i="1"/>
  <c r="S85" i="1" s="1"/>
  <c r="W85" i="1"/>
  <c r="AI85" i="1"/>
  <c r="AI81" i="1"/>
  <c r="AI77" i="1"/>
  <c r="AI73" i="1"/>
  <c r="AI69" i="1"/>
  <c r="AI65" i="1"/>
  <c r="AI61" i="1"/>
  <c r="AI57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S33" i="1"/>
  <c r="AI33" i="1"/>
  <c r="U33" i="1"/>
  <c r="AI29" i="1"/>
  <c r="U29" i="1"/>
  <c r="S29" i="1" s="1"/>
  <c r="AI25" i="1"/>
  <c r="U25" i="1"/>
  <c r="S25" i="1" s="1"/>
  <c r="S21" i="1"/>
  <c r="AI21" i="1"/>
  <c r="U21" i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/>
  <c r="AI20" i="1"/>
  <c r="U16" i="1"/>
  <c r="S16" i="1" s="1"/>
  <c r="AI16" i="1"/>
  <c r="W227" i="1"/>
  <c r="W226" i="1"/>
  <c r="W222" i="1"/>
  <c r="W196" i="1"/>
  <c r="W203" i="1"/>
  <c r="W202" i="1"/>
  <c r="W195" i="1"/>
  <c r="W194" i="1"/>
  <c r="W199" i="1"/>
  <c r="W228" i="1"/>
  <c r="W223" i="1"/>
  <c r="W206" i="1"/>
  <c r="W204" i="1"/>
  <c r="W200" i="1"/>
  <c r="W191" i="1"/>
  <c r="X224" i="1"/>
  <c r="X204" i="1"/>
  <c r="T203" i="1"/>
  <c r="U203" i="1" s="1"/>
  <c r="S203" i="1" s="1"/>
  <c r="W201" i="1"/>
  <c r="X199" i="1"/>
  <c r="T198" i="1"/>
  <c r="U198" i="1" s="1"/>
  <c r="S198" i="1" s="1"/>
  <c r="X198" i="1"/>
  <c r="X193" i="1"/>
  <c r="W190" i="1"/>
  <c r="W188" i="1"/>
  <c r="W186" i="1"/>
  <c r="W184" i="1"/>
  <c r="W182" i="1"/>
  <c r="W179" i="1"/>
  <c r="W174" i="1"/>
  <c r="W171" i="1"/>
  <c r="W170" i="1"/>
  <c r="W163" i="1"/>
  <c r="W162" i="1"/>
  <c r="W241" i="1"/>
  <c r="W240" i="1"/>
  <c r="W233" i="1"/>
  <c r="W232" i="1"/>
  <c r="T222" i="1"/>
  <c r="U222" i="1" s="1"/>
  <c r="S222" i="1" s="1"/>
  <c r="AA205" i="1"/>
  <c r="W205" i="1" s="1"/>
  <c r="T202" i="1"/>
  <c r="U202" i="1" s="1"/>
  <c r="S202" i="1" s="1"/>
  <c r="X202" i="1"/>
  <c r="W192" i="1"/>
  <c r="T190" i="1"/>
  <c r="U190" i="1" s="1"/>
  <c r="S190" i="1" s="1"/>
  <c r="X190" i="1"/>
  <c r="X191" i="1"/>
  <c r="W177" i="1"/>
  <c r="W169" i="1"/>
  <c r="W168" i="1"/>
  <c r="W161" i="1"/>
  <c r="W160" i="1"/>
  <c r="W239" i="1"/>
  <c r="W238" i="1"/>
  <c r="W231" i="1"/>
  <c r="W230" i="1"/>
  <c r="W224" i="1"/>
  <c r="T206" i="1"/>
  <c r="U206" i="1" s="1"/>
  <c r="S206" i="1" s="1"/>
  <c r="X206" i="1"/>
  <c r="W193" i="1"/>
  <c r="W178" i="1"/>
  <c r="W176" i="1"/>
  <c r="W167" i="1"/>
  <c r="W166" i="1"/>
  <c r="W245" i="1"/>
  <c r="W244" i="1"/>
  <c r="W237" i="1"/>
  <c r="W236" i="1"/>
  <c r="W229" i="1"/>
  <c r="W221" i="1"/>
  <c r="T225" i="1"/>
  <c r="U225" i="1" s="1"/>
  <c r="S225" i="1" s="1"/>
  <c r="X225" i="1"/>
  <c r="W197" i="1"/>
  <c r="T194" i="1"/>
  <c r="U194" i="1" s="1"/>
  <c r="S194" i="1" s="1"/>
  <c r="X194" i="1"/>
  <c r="W189" i="1"/>
  <c r="W187" i="1"/>
  <c r="W185" i="1"/>
  <c r="W183" i="1"/>
  <c r="W181" i="1"/>
  <c r="W180" i="1"/>
  <c r="W175" i="1"/>
  <c r="W173" i="1"/>
  <c r="W172" i="1"/>
  <c r="W165" i="1"/>
  <c r="W164" i="1"/>
  <c r="W243" i="1"/>
  <c r="W242" i="1"/>
  <c r="W235" i="1"/>
  <c r="W234" i="1"/>
  <c r="W220" i="1"/>
  <c r="W219" i="1"/>
  <c r="X187" i="1"/>
  <c r="X183" i="1"/>
  <c r="X171" i="1"/>
  <c r="X167" i="1"/>
  <c r="X163" i="1"/>
  <c r="X245" i="1"/>
  <c r="X241" i="1"/>
  <c r="X237" i="1"/>
  <c r="X233" i="1"/>
  <c r="X229" i="1"/>
  <c r="W215" i="1"/>
  <c r="W209" i="1"/>
  <c r="W207" i="1"/>
  <c r="W154" i="1"/>
  <c r="W152" i="1"/>
  <c r="W146" i="1"/>
  <c r="W144" i="1"/>
  <c r="W138" i="1"/>
  <c r="W136" i="1"/>
  <c r="W130" i="1"/>
  <c r="W128" i="1"/>
  <c r="W218" i="1"/>
  <c r="W212" i="1"/>
  <c r="W210" i="1"/>
  <c r="W157" i="1"/>
  <c r="W155" i="1"/>
  <c r="W149" i="1"/>
  <c r="W147" i="1"/>
  <c r="W141" i="1"/>
  <c r="W139" i="1"/>
  <c r="W133" i="1"/>
  <c r="W131" i="1"/>
  <c r="W125" i="1"/>
  <c r="T218" i="1"/>
  <c r="U218" i="1" s="1"/>
  <c r="S218" i="1" s="1"/>
  <c r="X218" i="1"/>
  <c r="W213" i="1"/>
  <c r="W211" i="1"/>
  <c r="W158" i="1"/>
  <c r="W156" i="1"/>
  <c r="W150" i="1"/>
  <c r="W148" i="1"/>
  <c r="W142" i="1"/>
  <c r="W140" i="1"/>
  <c r="W134" i="1"/>
  <c r="W132" i="1"/>
  <c r="W126" i="1"/>
  <c r="W124" i="1"/>
  <c r="X186" i="1"/>
  <c r="X182" i="1"/>
  <c r="X178" i="1"/>
  <c r="X174" i="1"/>
  <c r="X170" i="1"/>
  <c r="X166" i="1"/>
  <c r="X162" i="1"/>
  <c r="X244" i="1"/>
  <c r="X240" i="1"/>
  <c r="X236" i="1"/>
  <c r="X232" i="1"/>
  <c r="X221" i="1"/>
  <c r="W217" i="1"/>
  <c r="W216" i="1"/>
  <c r="W214" i="1"/>
  <c r="W208" i="1"/>
  <c r="W159" i="1"/>
  <c r="W153" i="1"/>
  <c r="W151" i="1"/>
  <c r="W145" i="1"/>
  <c r="W143" i="1"/>
  <c r="W137" i="1"/>
  <c r="W135" i="1"/>
  <c r="W129" i="1"/>
  <c r="W127" i="1"/>
  <c r="X215" i="1"/>
  <c r="X211" i="1"/>
  <c r="X207" i="1"/>
  <c r="X156" i="1"/>
  <c r="X152" i="1"/>
  <c r="X148" i="1"/>
  <c r="X144" i="1"/>
  <c r="X140" i="1"/>
  <c r="X136" i="1"/>
  <c r="X132" i="1"/>
  <c r="X128" i="1"/>
  <c r="W120" i="1"/>
  <c r="W109" i="1"/>
  <c r="W107" i="1"/>
  <c r="W98" i="1"/>
  <c r="W96" i="1"/>
  <c r="W93" i="1"/>
  <c r="W91" i="1"/>
  <c r="X123" i="1"/>
  <c r="W113" i="1"/>
  <c r="W111" i="1"/>
  <c r="W110" i="1"/>
  <c r="W108" i="1"/>
  <c r="W105" i="1"/>
  <c r="W103" i="1"/>
  <c r="W94" i="1"/>
  <c r="W92" i="1"/>
  <c r="T124" i="1"/>
  <c r="U124" i="1" s="1"/>
  <c r="S124" i="1" s="1"/>
  <c r="X124" i="1"/>
  <c r="W117" i="1"/>
  <c r="W115" i="1"/>
  <c r="W114" i="1"/>
  <c r="W112" i="1"/>
  <c r="W106" i="1"/>
  <c r="W104" i="1"/>
  <c r="W101" i="1"/>
  <c r="W99" i="1"/>
  <c r="W90" i="1"/>
  <c r="X214" i="1"/>
  <c r="X210" i="1"/>
  <c r="X159" i="1"/>
  <c r="X155" i="1"/>
  <c r="X151" i="1"/>
  <c r="X147" i="1"/>
  <c r="X143" i="1"/>
  <c r="X139" i="1"/>
  <c r="X135" i="1"/>
  <c r="X131" i="1"/>
  <c r="X127" i="1"/>
  <c r="W123" i="1"/>
  <c r="W122" i="1"/>
  <c r="W121" i="1"/>
  <c r="W119" i="1"/>
  <c r="W118" i="1"/>
  <c r="W116" i="1"/>
  <c r="W102" i="1"/>
  <c r="W100" i="1"/>
  <c r="W97" i="1"/>
  <c r="W95" i="1"/>
  <c r="T84" i="1"/>
  <c r="U84" i="1" s="1"/>
  <c r="X84" i="1"/>
  <c r="X85" i="1"/>
  <c r="W63" i="1"/>
  <c r="W59" i="1"/>
  <c r="W55" i="1"/>
  <c r="X119" i="1"/>
  <c r="X115" i="1"/>
  <c r="X111" i="1"/>
  <c r="W88" i="1"/>
  <c r="W87" i="1"/>
  <c r="W67" i="1"/>
  <c r="W66" i="1"/>
  <c r="W65" i="1"/>
  <c r="W64" i="1"/>
  <c r="W62" i="1"/>
  <c r="W61" i="1"/>
  <c r="W60" i="1"/>
  <c r="W58" i="1"/>
  <c r="W57" i="1"/>
  <c r="W56" i="1"/>
  <c r="X120" i="1"/>
  <c r="X116" i="1"/>
  <c r="X112" i="1"/>
  <c r="X108" i="1"/>
  <c r="X104" i="1"/>
  <c r="X100" i="1"/>
  <c r="X96" i="1"/>
  <c r="X92" i="1"/>
  <c r="T88" i="1"/>
  <c r="U88" i="1" s="1"/>
  <c r="S88" i="1" s="1"/>
  <c r="X88" i="1"/>
  <c r="X89" i="1"/>
  <c r="W86" i="1"/>
  <c r="W83" i="1"/>
  <c r="W79" i="1"/>
  <c r="W75" i="1"/>
  <c r="W71" i="1"/>
  <c r="W70" i="1"/>
  <c r="W69" i="1"/>
  <c r="W68" i="1"/>
  <c r="W84" i="1"/>
  <c r="W82" i="1"/>
  <c r="W81" i="1"/>
  <c r="W80" i="1"/>
  <c r="W78" i="1"/>
  <c r="W77" i="1"/>
  <c r="W76" i="1"/>
  <c r="W74" i="1"/>
  <c r="W73" i="1"/>
  <c r="W72" i="1"/>
  <c r="X81" i="1"/>
  <c r="T81" i="1"/>
  <c r="U81" i="1" s="1"/>
  <c r="S81" i="1" s="1"/>
  <c r="X77" i="1"/>
  <c r="T77" i="1"/>
  <c r="U77" i="1" s="1"/>
  <c r="S77" i="1" s="1"/>
  <c r="X73" i="1"/>
  <c r="T73" i="1"/>
  <c r="U73" i="1" s="1"/>
  <c r="S73" i="1" s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W53" i="1"/>
  <c r="W48" i="1"/>
  <c r="W45" i="1"/>
  <c r="W42" i="1"/>
  <c r="W36" i="1"/>
  <c r="W33" i="1"/>
  <c r="W31" i="1"/>
  <c r="W30" i="1"/>
  <c r="W21" i="1"/>
  <c r="W19" i="1"/>
  <c r="W17" i="1"/>
  <c r="W16" i="1"/>
  <c r="W52" i="1"/>
  <c r="W49" i="1"/>
  <c r="W46" i="1"/>
  <c r="W43" i="1"/>
  <c r="W37" i="1"/>
  <c r="W35" i="1"/>
  <c r="W34" i="1"/>
  <c r="W24" i="1"/>
  <c r="W22" i="1"/>
  <c r="W18" i="1"/>
  <c r="W15" i="1"/>
  <c r="W54" i="1"/>
  <c r="W50" i="1"/>
  <c r="W47" i="1"/>
  <c r="W40" i="1"/>
  <c r="W38" i="1"/>
  <c r="W28" i="1"/>
  <c r="W25" i="1"/>
  <c r="W23" i="1"/>
  <c r="W14" i="1"/>
  <c r="W51" i="1"/>
  <c r="W44" i="1"/>
  <c r="W41" i="1"/>
  <c r="W39" i="1"/>
  <c r="W32" i="1"/>
  <c r="W29" i="1"/>
  <c r="W27" i="1"/>
  <c r="W26" i="1"/>
  <c r="W20" i="1"/>
  <c r="X50" i="1"/>
  <c r="X46" i="1"/>
  <c r="X42" i="1"/>
  <c r="X38" i="1"/>
  <c r="X34" i="1"/>
  <c r="X30" i="1"/>
  <c r="X26" i="1"/>
  <c r="X22" i="1"/>
  <c r="X51" i="1"/>
  <c r="X47" i="1"/>
  <c r="X43" i="1"/>
  <c r="X39" i="1"/>
  <c r="X35" i="1"/>
  <c r="X31" i="1"/>
  <c r="X27" i="1"/>
  <c r="X23" i="1"/>
  <c r="AD33" i="3"/>
  <c r="AD29" i="3"/>
  <c r="AD21" i="3"/>
  <c r="AD17" i="3"/>
  <c r="AE23" i="3"/>
  <c r="AD20" i="3"/>
  <c r="AD16" i="3"/>
  <c r="AE15" i="3"/>
  <c r="AD12" i="3"/>
  <c r="AE11" i="3"/>
  <c r="AD32" i="3"/>
  <c r="AE31" i="3"/>
  <c r="AD28" i="3"/>
  <c r="AE27" i="3"/>
  <c r="T33" i="3"/>
  <c r="AD35" i="3"/>
  <c r="T30" i="3"/>
  <c r="AD31" i="3"/>
  <c r="T27" i="3"/>
  <c r="AD27" i="3"/>
  <c r="T26" i="3"/>
  <c r="AD23" i="3"/>
  <c r="T25" i="3"/>
  <c r="AD19" i="3"/>
  <c r="T17" i="3"/>
  <c r="AD15" i="3"/>
  <c r="T11" i="3"/>
  <c r="AD11" i="3"/>
  <c r="AD9" i="3"/>
  <c r="AE32" i="3"/>
  <c r="AE28" i="3"/>
  <c r="AE20" i="3"/>
  <c r="AE16" i="3"/>
  <c r="AE12" i="3"/>
  <c r="AD8" i="3"/>
  <c r="AE34" i="3"/>
  <c r="T36" i="3"/>
  <c r="AE26" i="3"/>
  <c r="T23" i="3"/>
  <c r="AC31" i="3"/>
  <c r="AC28" i="3"/>
  <c r="AC21" i="3"/>
  <c r="AC18" i="3"/>
  <c r="AC19" i="3"/>
  <c r="AC12" i="3"/>
  <c r="AC24" i="3"/>
  <c r="AE38" i="3"/>
  <c r="T32" i="3"/>
  <c r="AE30" i="3"/>
  <c r="T35" i="3"/>
  <c r="AE22" i="3"/>
  <c r="T15" i="3"/>
  <c r="AE18" i="3"/>
  <c r="T7" i="3"/>
  <c r="T34" i="3"/>
  <c r="Y33" i="3"/>
  <c r="Y31" i="3"/>
  <c r="Y28" i="3"/>
  <c r="Y21" i="3"/>
  <c r="Y18" i="3"/>
  <c r="Y19" i="3"/>
  <c r="Y12" i="3"/>
  <c r="Y24" i="3"/>
  <c r="Y38" i="3"/>
  <c r="Y11" i="3"/>
  <c r="Y13" i="3"/>
  <c r="Y32" i="3"/>
  <c r="Y36" i="3"/>
  <c r="Y35" i="3"/>
  <c r="Y23" i="3"/>
  <c r="Y15" i="3"/>
  <c r="Y7" i="3"/>
  <c r="Y34" i="3"/>
  <c r="Y10" i="3"/>
  <c r="Y30" i="3"/>
  <c r="Y27" i="3"/>
  <c r="Y26" i="3"/>
  <c r="Y25" i="3"/>
  <c r="Y17" i="3"/>
  <c r="Y37" i="3"/>
  <c r="Y29" i="3"/>
  <c r="Y22" i="3"/>
  <c r="Y20" i="3"/>
  <c r="Y9" i="3"/>
  <c r="Y16" i="3"/>
  <c r="Y8" i="3"/>
  <c r="Y39" i="3"/>
  <c r="AC37" i="3"/>
  <c r="AC29" i="3"/>
  <c r="AC22" i="3"/>
  <c r="AC20" i="3"/>
  <c r="AC9" i="3"/>
  <c r="AC16" i="3"/>
  <c r="AC8" i="3"/>
  <c r="AC39" i="3"/>
  <c r="AD38" i="3"/>
  <c r="AE37" i="3"/>
  <c r="T37" i="3"/>
  <c r="AD34" i="3"/>
  <c r="AE33" i="3"/>
  <c r="T29" i="3"/>
  <c r="AD30" i="3"/>
  <c r="AE29" i="3"/>
  <c r="T22" i="3"/>
  <c r="AD26" i="3"/>
  <c r="AE25" i="3"/>
  <c r="T20" i="3"/>
  <c r="AD22" i="3"/>
  <c r="AE21" i="3"/>
  <c r="T9" i="3"/>
  <c r="AD18" i="3"/>
  <c r="AE17" i="3"/>
  <c r="T16" i="3"/>
  <c r="AE13" i="3"/>
  <c r="T8" i="3"/>
  <c r="AD10" i="3"/>
  <c r="AE9" i="3"/>
  <c r="T39" i="3"/>
  <c r="AE8" i="3"/>
  <c r="S14" i="3" l="1"/>
  <c r="M14" i="3"/>
  <c r="R14" i="3"/>
  <c r="U14" i="3"/>
  <c r="V14" i="3"/>
  <c r="X14" i="3"/>
  <c r="W14" i="3"/>
  <c r="AC14" i="3" l="1"/>
  <c r="AE14" i="3"/>
  <c r="AD14" i="3"/>
  <c r="Y14" i="3"/>
  <c r="T14" i="3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3" i="6" l="1"/>
  <c r="B55" i="9"/>
  <c r="B56" i="9"/>
  <c r="B57" i="9"/>
  <c r="B58" i="9"/>
  <c r="B59" i="9"/>
  <c r="B60" i="9"/>
  <c r="B61" i="9"/>
  <c r="B62" i="9"/>
  <c r="C63" i="9" s="1"/>
  <c r="F3" i="6" l="1"/>
  <c r="I3" i="6"/>
  <c r="G3" i="6"/>
  <c r="J3" i="6"/>
  <c r="B4" i="6"/>
  <c r="C61" i="9"/>
  <c r="C57" i="9"/>
  <c r="C59" i="9"/>
  <c r="C62" i="9"/>
  <c r="C60" i="9"/>
  <c r="C58" i="9"/>
  <c r="C56" i="9"/>
  <c r="G4" i="6" l="1"/>
  <c r="I4" i="6"/>
  <c r="J4" i="6"/>
  <c r="F4" i="6"/>
  <c r="B5" i="6"/>
  <c r="B50" i="9"/>
  <c r="B51" i="9"/>
  <c r="B52" i="9"/>
  <c r="B53" i="9"/>
  <c r="B54" i="9"/>
  <c r="F5" i="6" l="1"/>
  <c r="G5" i="6"/>
  <c r="I5" i="6"/>
  <c r="J5" i="6"/>
  <c r="B6" i="6"/>
  <c r="C52" i="9"/>
  <c r="C54" i="9"/>
  <c r="C55" i="9"/>
  <c r="C53" i="9"/>
  <c r="C51" i="9"/>
  <c r="G6" i="6" l="1"/>
  <c r="I6" i="6"/>
  <c r="J6" i="6"/>
  <c r="F6" i="6"/>
  <c r="B7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8" i="6" l="1"/>
  <c r="F7" i="6"/>
  <c r="G7" i="6"/>
  <c r="I7" i="6"/>
  <c r="J7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8" i="6" l="1"/>
  <c r="I8" i="6"/>
  <c r="J8" i="6"/>
  <c r="F8" i="6"/>
  <c r="B9" i="6"/>
  <c r="B31" i="9"/>
  <c r="B32" i="9"/>
  <c r="C33" i="9" s="1"/>
  <c r="F9" i="6" l="1"/>
  <c r="G9" i="6"/>
  <c r="I9" i="6"/>
  <c r="J9" i="6"/>
  <c r="B10" i="6"/>
  <c r="C32" i="9"/>
  <c r="G10" i="6" l="1"/>
  <c r="I10" i="6"/>
  <c r="F10" i="6"/>
  <c r="H10" i="6"/>
  <c r="J10" i="6"/>
  <c r="B11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10" i="3" s="1"/>
  <c r="G48" i="4"/>
  <c r="G49" i="4"/>
  <c r="N24" i="3" s="1"/>
  <c r="G50" i="4"/>
  <c r="N13" i="3" s="1"/>
  <c r="G51" i="4"/>
  <c r="G52" i="4"/>
  <c r="G53" i="4"/>
  <c r="N8" i="3" s="1"/>
  <c r="G54" i="4"/>
  <c r="G55" i="4"/>
  <c r="G56" i="4"/>
  <c r="G57" i="4"/>
  <c r="G58" i="4"/>
  <c r="G59" i="4"/>
  <c r="G60" i="4"/>
  <c r="G61" i="4"/>
  <c r="N34" i="3" s="1"/>
  <c r="G62" i="4"/>
  <c r="G63" i="4"/>
  <c r="G64" i="4"/>
  <c r="G65" i="4"/>
  <c r="G66" i="4"/>
  <c r="G67" i="4"/>
  <c r="G68" i="4"/>
  <c r="G69" i="4"/>
  <c r="N11" i="3" s="1"/>
  <c r="G70" i="4"/>
  <c r="G71" i="4"/>
  <c r="G72" i="4"/>
  <c r="G73" i="4"/>
  <c r="N12" i="3" s="1"/>
  <c r="G74" i="4"/>
  <c r="G75" i="4"/>
  <c r="G76" i="4"/>
  <c r="N16" i="3" s="1"/>
  <c r="G77" i="4"/>
  <c r="G78" i="4"/>
  <c r="G79" i="4"/>
  <c r="G80" i="4"/>
  <c r="N7" i="3" s="1"/>
  <c r="G81" i="4"/>
  <c r="G82" i="4"/>
  <c r="G83" i="4"/>
  <c r="G84" i="4"/>
  <c r="G85" i="4"/>
  <c r="G86" i="4"/>
  <c r="G87" i="4"/>
  <c r="N17" i="3" s="1"/>
  <c r="G88" i="4"/>
  <c r="G89" i="4"/>
  <c r="G90" i="4"/>
  <c r="G91" i="4"/>
  <c r="G92" i="4"/>
  <c r="N19" i="3" s="1"/>
  <c r="G93" i="4"/>
  <c r="G94" i="4"/>
  <c r="G95" i="4"/>
  <c r="N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5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8" i="3" s="1"/>
  <c r="G140" i="4"/>
  <c r="G141" i="4"/>
  <c r="G142" i="4"/>
  <c r="G143" i="4"/>
  <c r="G144" i="4"/>
  <c r="G145" i="4"/>
  <c r="N25" i="3" s="1"/>
  <c r="G146" i="4"/>
  <c r="G147" i="4"/>
  <c r="G148" i="4"/>
  <c r="G149" i="4"/>
  <c r="N20" i="3" s="1"/>
  <c r="G150" i="4"/>
  <c r="G151" i="4"/>
  <c r="G152" i="4"/>
  <c r="G153" i="4"/>
  <c r="G154" i="4"/>
  <c r="G155" i="4"/>
  <c r="N23" i="3" s="1"/>
  <c r="G156" i="4"/>
  <c r="G157" i="4"/>
  <c r="G158" i="4"/>
  <c r="G159" i="4"/>
  <c r="G160" i="4"/>
  <c r="G161" i="4"/>
  <c r="G162" i="4"/>
  <c r="N26" i="3" s="1"/>
  <c r="G163" i="4"/>
  <c r="G164" i="4"/>
  <c r="G165" i="4"/>
  <c r="G166" i="4"/>
  <c r="G167" i="4"/>
  <c r="N22" i="3" s="1"/>
  <c r="G168" i="4"/>
  <c r="G169" i="4"/>
  <c r="N21" i="3" s="1"/>
  <c r="G170" i="4"/>
  <c r="G171" i="4"/>
  <c r="G172" i="4"/>
  <c r="G173" i="4"/>
  <c r="G174" i="4"/>
  <c r="G175" i="4"/>
  <c r="G176" i="4"/>
  <c r="G177" i="4"/>
  <c r="G178" i="4"/>
  <c r="N35" i="3" s="1"/>
  <c r="G179" i="4"/>
  <c r="G180" i="4"/>
  <c r="G181" i="4"/>
  <c r="G182" i="4"/>
  <c r="G183" i="4"/>
  <c r="N27" i="3" s="1"/>
  <c r="G184" i="4"/>
  <c r="G185" i="4"/>
  <c r="G186" i="4"/>
  <c r="G187" i="4"/>
  <c r="G188" i="4"/>
  <c r="G189" i="4"/>
  <c r="N28" i="3" s="1"/>
  <c r="G190" i="4"/>
  <c r="G191" i="4"/>
  <c r="G192" i="4"/>
  <c r="G193" i="4"/>
  <c r="G194" i="4"/>
  <c r="G195" i="4"/>
  <c r="N36" i="3" s="1"/>
  <c r="G196" i="4"/>
  <c r="N29" i="3" s="1"/>
  <c r="G197" i="4"/>
  <c r="G198" i="4"/>
  <c r="G199" i="4"/>
  <c r="G200" i="4"/>
  <c r="G201" i="4"/>
  <c r="G202" i="4"/>
  <c r="G203" i="4"/>
  <c r="G204" i="4"/>
  <c r="G205" i="4"/>
  <c r="G206" i="4"/>
  <c r="N30" i="3" s="1"/>
  <c r="G207" i="4"/>
  <c r="G208" i="4"/>
  <c r="G209" i="4"/>
  <c r="G210" i="4"/>
  <c r="G211" i="4"/>
  <c r="G212" i="4"/>
  <c r="G213" i="4"/>
  <c r="N31" i="3" s="1"/>
  <c r="G214" i="4"/>
  <c r="G215" i="4"/>
  <c r="G216" i="4"/>
  <c r="N37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3" i="3"/>
  <c r="N38" i="3"/>
  <c r="N39" i="3"/>
  <c r="N14" i="3"/>
  <c r="H7" i="6"/>
  <c r="H9" i="6"/>
  <c r="H4" i="6"/>
  <c r="H8" i="6"/>
  <c r="H5" i="6"/>
  <c r="H6" i="6"/>
  <c r="H3" i="6"/>
  <c r="F11" i="6"/>
  <c r="I11" i="6"/>
  <c r="G11" i="6"/>
  <c r="H11" i="6"/>
  <c r="J11" i="6"/>
  <c r="B12" i="6"/>
  <c r="G12" i="6" l="1"/>
  <c r="I12" i="6"/>
  <c r="J12" i="6"/>
  <c r="F12" i="6"/>
  <c r="H12" i="6"/>
  <c r="B13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3" i="6" l="1"/>
  <c r="G13" i="6"/>
  <c r="I13" i="6"/>
  <c r="J13" i="6"/>
  <c r="H13" i="6"/>
  <c r="B14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4" i="6" l="1"/>
  <c r="H14" i="6"/>
  <c r="J14" i="6"/>
  <c r="I14" i="6"/>
  <c r="F14" i="6"/>
  <c r="B15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6" i="6" l="1"/>
  <c r="F15" i="6"/>
  <c r="G15" i="6"/>
  <c r="I15" i="6"/>
  <c r="H15" i="6"/>
  <c r="J15" i="6"/>
  <c r="M30" i="5"/>
  <c r="M29" i="5"/>
  <c r="M27" i="5"/>
  <c r="G16" i="6" l="1"/>
  <c r="I16" i="6"/>
  <c r="J16" i="6"/>
  <c r="H16" i="6"/>
  <c r="F16" i="6"/>
  <c r="B17" i="6"/>
  <c r="M26" i="5"/>
  <c r="B18" i="6" l="1"/>
  <c r="F17" i="6"/>
  <c r="G17" i="6"/>
  <c r="H17" i="6"/>
  <c r="J17" i="6"/>
  <c r="I17" i="6"/>
  <c r="J7" i="1"/>
  <c r="G18" i="6" l="1"/>
  <c r="F18" i="6"/>
  <c r="H18" i="6"/>
  <c r="J18" i="6"/>
  <c r="I18" i="6"/>
  <c r="B19" i="6"/>
  <c r="X6" i="1"/>
  <c r="W6" i="1"/>
  <c r="V6" i="1"/>
  <c r="S6" i="1"/>
  <c r="R2" i="1"/>
  <c r="I2" i="1"/>
  <c r="O6" i="1"/>
  <c r="N6" i="1"/>
  <c r="M6" i="1"/>
  <c r="J6" i="1"/>
  <c r="B20" i="6" l="1"/>
  <c r="I19" i="6"/>
  <c r="G19" i="6"/>
  <c r="H19" i="6"/>
  <c r="J19" i="6"/>
  <c r="F19" i="6"/>
  <c r="P3" i="5"/>
  <c r="G20" i="6" l="1"/>
  <c r="I20" i="6"/>
  <c r="J20" i="6"/>
  <c r="F20" i="6"/>
  <c r="H20" i="6"/>
  <c r="B21" i="6"/>
  <c r="M18" i="5"/>
  <c r="B22" i="6" l="1"/>
  <c r="F21" i="6"/>
  <c r="G21" i="6"/>
  <c r="I21" i="6"/>
  <c r="J21" i="6"/>
  <c r="H21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2" i="6" l="1"/>
  <c r="I22" i="6"/>
  <c r="J22" i="6"/>
  <c r="F22" i="6"/>
  <c r="H22" i="6"/>
  <c r="B23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4" i="6" l="1"/>
  <c r="F23" i="6"/>
  <c r="G23" i="6"/>
  <c r="I23" i="6"/>
  <c r="H23" i="6"/>
  <c r="J23" i="6"/>
  <c r="G259" i="4"/>
  <c r="G260" i="4"/>
  <c r="G261" i="4"/>
  <c r="G262" i="4"/>
  <c r="G263" i="4"/>
  <c r="G264" i="4"/>
  <c r="G265" i="4"/>
  <c r="B25" i="6" l="1"/>
  <c r="G24" i="6"/>
  <c r="I24" i="6"/>
  <c r="H24" i="6"/>
  <c r="J24" i="6"/>
  <c r="F24" i="6"/>
  <c r="M14" i="5"/>
  <c r="M13" i="5"/>
  <c r="M12" i="5"/>
  <c r="M11" i="5"/>
  <c r="M10" i="5"/>
  <c r="M9" i="5"/>
  <c r="M8" i="5"/>
  <c r="M7" i="5"/>
  <c r="M6" i="5"/>
  <c r="M5" i="5"/>
  <c r="M4" i="5"/>
  <c r="M3" i="5"/>
  <c r="F25" i="6" l="1"/>
  <c r="G25" i="6"/>
  <c r="I25" i="6"/>
  <c r="J25" i="6"/>
  <c r="H25" i="6"/>
  <c r="B26" i="6"/>
  <c r="O3" i="3"/>
  <c r="H26" i="6" l="1"/>
  <c r="I26" i="6"/>
  <c r="F26" i="6"/>
  <c r="G26" i="6"/>
  <c r="J26" i="6"/>
  <c r="B27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8" i="6" l="1"/>
  <c r="F28" i="6" s="1"/>
  <c r="F27" i="6"/>
  <c r="G27" i="6"/>
  <c r="I27" i="6"/>
  <c r="H27" i="6"/>
  <c r="J27" i="6"/>
  <c r="J8" i="1"/>
  <c r="J4" i="1"/>
  <c r="S8" i="1"/>
  <c r="S4" i="1"/>
  <c r="J28" i="6" l="1"/>
  <c r="I28" i="6"/>
  <c r="G28" i="6"/>
  <c r="H28" i="6"/>
  <c r="B29" i="6"/>
  <c r="S9" i="1"/>
  <c r="J9" i="1"/>
  <c r="B30" i="6" l="1"/>
  <c r="H29" i="6"/>
  <c r="J29" i="6"/>
  <c r="F29" i="6"/>
  <c r="G29" i="6"/>
  <c r="I29" i="6"/>
  <c r="S11" i="1"/>
  <c r="A11" i="1"/>
  <c r="B31" i="6" l="1"/>
  <c r="F30" i="6"/>
  <c r="I30" i="6"/>
  <c r="J30" i="6"/>
  <c r="G30" i="6"/>
  <c r="H30" i="6"/>
  <c r="B1" i="6"/>
  <c r="A5" i="3"/>
  <c r="B32" i="6" l="1"/>
  <c r="G31" i="6"/>
  <c r="H31" i="6"/>
  <c r="F31" i="6"/>
  <c r="I31" i="6"/>
  <c r="J31" i="6"/>
  <c r="G32" i="6" l="1"/>
  <c r="H32" i="6"/>
  <c r="I32" i="6"/>
  <c r="J32" i="6"/>
  <c r="F32" i="6"/>
  <c r="B33" i="6"/>
  <c r="H33" i="6" l="1"/>
  <c r="F33" i="6"/>
  <c r="G33" i="6"/>
  <c r="I33" i="6"/>
  <c r="J33" i="6"/>
  <c r="B34" i="6"/>
  <c r="B35" i="6" l="1"/>
  <c r="G34" i="6"/>
  <c r="H34" i="6"/>
  <c r="I34" i="6"/>
  <c r="J34" i="6"/>
  <c r="F34" i="6"/>
  <c r="B36" i="6" l="1"/>
  <c r="I35" i="6"/>
  <c r="G35" i="6"/>
  <c r="F35" i="6"/>
  <c r="H35" i="6"/>
  <c r="J35" i="6"/>
  <c r="G36" i="6" l="1"/>
  <c r="F36" i="6"/>
  <c r="H36" i="6"/>
  <c r="I36" i="6"/>
  <c r="J36" i="6"/>
  <c r="B37" i="6"/>
  <c r="H37" i="6" l="1"/>
  <c r="J37" i="6"/>
  <c r="F37" i="6"/>
  <c r="G37" i="6"/>
  <c r="I37" i="6"/>
  <c r="B38" i="6"/>
  <c r="B39" i="6" l="1"/>
  <c r="F38" i="6"/>
  <c r="G38" i="6"/>
  <c r="I38" i="6"/>
  <c r="H38" i="6"/>
  <c r="J38" i="6"/>
  <c r="F39" i="6" l="1"/>
  <c r="G39" i="6"/>
  <c r="J39" i="6"/>
  <c r="H39" i="6"/>
  <c r="I39" i="6"/>
  <c r="B40" i="6"/>
  <c r="G40" i="6" l="1"/>
  <c r="J40" i="6"/>
  <c r="F40" i="6"/>
  <c r="H40" i="6"/>
  <c r="I40" i="6"/>
  <c r="B41" i="6"/>
  <c r="B42" i="6" l="1"/>
  <c r="F41" i="6"/>
  <c r="G41" i="6"/>
  <c r="H41" i="6"/>
  <c r="I41" i="6"/>
  <c r="J41" i="6"/>
  <c r="B43" i="6" l="1"/>
  <c r="J42" i="6"/>
  <c r="F42" i="6"/>
  <c r="I42" i="6"/>
  <c r="G42" i="6"/>
  <c r="H42" i="6"/>
  <c r="B44" i="6" l="1"/>
  <c r="G43" i="6"/>
  <c r="H43" i="6"/>
  <c r="F43" i="6"/>
  <c r="I43" i="6"/>
  <c r="J43" i="6"/>
  <c r="G44" i="6" l="1"/>
  <c r="I44" i="6"/>
  <c r="J44" i="6"/>
  <c r="F44" i="6"/>
  <c r="H44" i="6"/>
  <c r="B45" i="6"/>
  <c r="B46" i="6" l="1"/>
  <c r="J45" i="6"/>
  <c r="F45" i="6"/>
  <c r="H45" i="6"/>
  <c r="G45" i="6"/>
  <c r="I45" i="6"/>
  <c r="B47" i="6" l="1"/>
  <c r="H46" i="6"/>
  <c r="F46" i="6"/>
  <c r="I46" i="6"/>
  <c r="J46" i="6"/>
  <c r="G46" i="6"/>
  <c r="B49" i="6" l="1"/>
  <c r="B48" i="6"/>
  <c r="G47" i="6"/>
  <c r="H47" i="6"/>
  <c r="F47" i="6"/>
  <c r="I47" i="6"/>
  <c r="J47" i="6"/>
  <c r="G48" i="6" l="1"/>
  <c r="H48" i="6"/>
  <c r="I48" i="6"/>
  <c r="J48" i="6"/>
  <c r="F48" i="6"/>
  <c r="H49" i="6"/>
  <c r="J49" i="6"/>
  <c r="G49" i="6"/>
  <c r="I49" i="6"/>
  <c r="F4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<sst xmlns="http://schemas.openxmlformats.org/spreadsheetml/2006/main" count="2866" uniqueCount="1058">
  <si>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</si>
  <si>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</si>
  <si>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</si>
  <si>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</si>
  <si>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</si>
  <si>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</si>
  <si>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</si>
  <si>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</si>
  <si>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</si>
  <si>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</si>
  <si>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</si>
  <si>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</si>
  <si>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</si>
  <si>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</si>
  <si>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</si>
  <si>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</si>
  <si>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</si>
  <si>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</si>
  <si>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</si>
  <si>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</si>
  <si>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</si>
  <si>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</si>
  <si>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</si>
  <si>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</si>
  <si>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</si>
  <si>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</si>
  <si>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</si>
  <si>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</si>
  <si>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</si>
  <si>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</si>
  <si>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</si>
  <si>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</si>
  <si>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</si>
  <si>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</si>
  <si>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</si>
  <si>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</si>
  <si>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</si>
  <si>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</si>
  <si>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</si>
  <si>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</si>
  <si>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</si>
  <si>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</si>
  <si>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</si>
  <si>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</si>
  <si>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</si>
  <si>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</si>
  <si>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</si>
  <si>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</si>
  <si>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</si>
  <si>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</si>
  <si>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</si>
  <si>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</si>
  <si>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</si>
  <si>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</si>
  <si>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</si>
  <si>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</si>
  <si>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</si>
  <si>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</si>
  <si>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</si>
  <si>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</si>
  <si>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</si>
  <si>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</si>
  <si>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</si>
  <si>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</si>
  <si>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</si>
  <si>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</si>
  <si>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</si>
  <si>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</si>
  <si>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</si>
  <si>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</si>
  <si>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</si>
  <si>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</si>
  <si>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</si>
  <si>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</si>
  <si>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</si>
  <si>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</si>
  <si>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</si>
  <si>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</si>
  <si>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</si>
  <si>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</si>
  <si>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</si>
  <si>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</si>
  <si>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</si>
  <si>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</si>
  <si>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</si>
  <si>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</si>
  <si>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</si>
  <si>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</si>
  <si>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</si>
  <si>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</si>
  <si>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</si>
  <si>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</si>
  <si>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</si>
  <si>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</si>
  <si>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</si>
  <si>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</si>
  <si>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</si>
  <si>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</si>
  <si>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</si>
  <si>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</si>
  <si>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</si>
  <si>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</si>
  <si>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</si>
  <si>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</si>
  <si>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</si>
  <si>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</si>
  <si>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</si>
  <si>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</si>
  <si>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</si>
  <si>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</si>
  <si>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</si>
  <si>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</si>
  <si>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</si>
  <si>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</si>
  <si>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</si>
  <si>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</si>
  <si>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</si>
  <si>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</si>
  <si>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</si>
  <si>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</si>
  <si>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</si>
  <si>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</si>
  <si>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</si>
  <si>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</si>
  <si>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</si>
  <si>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</si>
  <si>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</si>
  <si>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</si>
  <si>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</si>
  <si>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</si>
  <si>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</si>
  <si>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</si>
  <si>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</si>
  <si>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</si>
  <si>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</si>
  <si>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</si>
  <si>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</si>
  <si>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</si>
  <si>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</si>
  <si>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</si>
  <si>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</si>
  <si>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</si>
  <si>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</si>
  <si>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</si>
  <si>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</si>
  <si>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</si>
  <si>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</si>
  <si>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</si>
  <si>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</si>
  <si>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</si>
  <si>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</si>
  <si>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</si>
  <si>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</si>
  <si>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</si>
  <si>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</si>
  <si>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</si>
  <si>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</si>
  <si>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</si>
  <si>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</si>
  <si>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</si>
  <si>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</si>
  <si>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</si>
  <si>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</si>
  <si>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</si>
  <si>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</si>
  <si>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</si>
  <si>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</si>
  <si>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</si>
  <si>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</si>
  <si>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</si>
  <si>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</si>
  <si>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</si>
  <si>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</si>
  <si>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</si>
  <si>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</si>
  <si>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</si>
  <si>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</si>
  <si>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</si>
  <si>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</si>
  <si>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</si>
  <si>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</si>
  <si>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</si>
  <si>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</si>
  <si>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</si>
  <si>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</si>
  <si>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</si>
  <si>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</si>
  <si>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</si>
  <si>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</si>
  <si>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</si>
  <si>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</si>
  <si>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</si>
  <si>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</si>
  <si>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</si>
  <si>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</si>
  <si>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</si>
  <si>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</si>
  <si>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</si>
  <si>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</si>
  <si>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</si>
  <si>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</si>
  <si>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</si>
  <si>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</si>
  <si>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</si>
  <si>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</si>
  <si>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</si>
  <si>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</si>
  <si>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</si>
  <si>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</si>
  <si>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</si>
  <si>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</si>
  <si>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</si>
  <si>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</si>
  <si>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</si>
  <si>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</si>
  <si>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</si>
  <si>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</si>
  <si>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</si>
  <si>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</si>
  <si>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</si>
  <si>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</si>
  <si>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</si>
  <si>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</si>
  <si>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</si>
  <si>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</si>
  <si>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</si>
  <si>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</si>
  <si>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</si>
  <si>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</si>
  <si>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</si>
  <si>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</si>
  <si>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</si>
  <si>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</si>
  <si>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</si>
  <si>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</si>
  <si>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</si>
  <si>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</si>
  <si>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</si>
  <si>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</si>
  <si>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</si>
  <si>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</si>
  <si>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</si>
  <si>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</si>
  <si>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</si>
  <si>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</si>
  <si>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</si>
  <si>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</si>
  <si>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</si>
  <si>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</si>
  <si>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</si>
  <si>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</si>
  <si>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</si>
  <si>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</si>
  <si>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</si>
  <si>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</si>
  <si>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</si>
  <si>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</si>
  <si>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</si>
  <si>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</si>
  <si>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</si>
  <si>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</si>
  <si>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</si>
  <si>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</si>
  <si>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</si>
  <si>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</si>
  <si>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</si>
  <si>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</si>
  <si>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</si>
  <si>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</si>
  <si>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</si>
  <si>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</si>
  <si>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</si>
  <si>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</si>
  <si>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</si>
  <si>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</si>
  <si>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</si>
  <si>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</si>
  <si>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</si>
  <si>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</si>
  <si>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</si>
  <si>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</si>
  <si>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</si>
  <si>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</si>
  <si>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</si>
  <si>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</si>
  <si>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</si>
  <si>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</si>
  <si>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</si>
  <si>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</si>
  <si>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</si>
  <si>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</si>
  <si>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</si>
  <si>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</si>
  <si>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</si>
  <si>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</si>
  <si>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</si>
  <si>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</si>
  <si>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</si>
  <si>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</si>
  <si>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</si>
  <si>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</si>
  <si>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</si>
  <si>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</si>
  <si>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</si>
  <si>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</si>
  <si>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</si>
  <si>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</si>
  <si>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</si>
  <si>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</si>
  <si>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</si>
  <si>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</si>
  <si>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</si>
  <si>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</si>
  <si>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</si>
  <si>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</si>
  <si>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</si>
  <si>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</si>
  <si>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</si>
  <si>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</si>
  <si>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</si>
  <si>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</si>
  <si>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</si>
  <si>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</si>
  <si>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</si>
  <si>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</si>
  <si>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</si>
  <si>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</si>
  <si>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</si>
  <si>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</si>
  <si>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</si>
  <si>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</si>
  <si>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</si>
  <si>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</si>
  <si>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</si>
  <si>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</si>
  <si>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</si>
  <si>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</si>
  <si>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</si>
  <si>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</si>
  <si>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</si>
  <si>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</si>
  <si>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</si>
  <si>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</si>
  <si>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</si>
  <si>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</si>
  <si>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</si>
  <si>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</si>
  <si>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</si>
  <si>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</si>
  <si>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</si>
  <si>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</si>
  <si>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</si>
  <si>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</si>
  <si>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</si>
  <si>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</si>
  <si>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</si>
  <si>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</si>
  <si>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</si>
  <si>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</si>
  <si>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</si>
  <si>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</si>
  <si>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</si>
  <si>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</si>
  <si>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</si>
  <si>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</si>
  <si>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</si>
  <si>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</si>
  <si>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</si>
  <si>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</si>
  <si>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</si>
  <si>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</si>
  <si>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</si>
  <si>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</si>
  <si>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</si>
  <si>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</si>
  <si>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</si>
  <si>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</si>
  <si>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</si>
  <si>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</si>
  <si>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</si>
  <si>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</si>
  <si>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</si>
  <si>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</si>
  <si>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</si>
  <si>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</si>
  <si>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</si>
  <si>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</si>
  <si>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</si>
  <si>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</si>
  <si>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</si>
  <si>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</si>
  <si>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</si>
  <si>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</si>
  <si>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</si>
  <si>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</si>
  <si>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</si>
  <si>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</si>
  <si>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</si>
  <si>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</si>
  <si>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</si>
  <si>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</si>
  <si>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</si>
  <si>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</si>
  <si>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</si>
  <si>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</si>
  <si>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</si>
  <si>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</si>
  <si>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</si>
  <si>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</si>
  <si>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</si>
  <si>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</si>
  <si>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</si>
  <si>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</si>
  <si>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</si>
  <si>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</si>
  <si>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</si>
  <si>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</si>
  <si>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</si>
  <si>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</si>
  <si>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</si>
  <si>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</si>
  <si>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</si>
  <si>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</si>
  <si>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</si>
  <si>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</si>
  <si>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</si>
  <si>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</si>
  <si>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</si>
  <si>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</si>
  <si>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</si>
  <si>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</si>
  <si>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</si>
  <si>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</si>
  <si>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</si>
  <si>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</si>
  <si>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</si>
  <si>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</si>
  <si>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</si>
  <si>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</si>
  <si>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</si>
  <si>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</si>
  <si>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</si>
  <si>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204:233289</t>
  </si>
  <si>
    <t>204:444</t>
  </si>
  <si>
    <t>204:233307</t>
  </si>
  <si>
    <t>rtdc.l.rtdc.4046:itc</t>
  </si>
  <si>
    <t>rtdc.l.rtdc.4045:itc</t>
  </si>
  <si>
    <t>rtdc.l.rtdc.4055:itc</t>
  </si>
  <si>
    <t>204:232971</t>
  </si>
  <si>
    <t>204:136</t>
  </si>
  <si>
    <t>204:232996</t>
  </si>
  <si>
    <t>204:232994</t>
  </si>
  <si>
    <t>204:233291</t>
  </si>
  <si>
    <t>204:233295</t>
  </si>
  <si>
    <t>204:232993</t>
  </si>
  <si>
    <t>204:440</t>
  </si>
  <si>
    <t>300:58636</t>
  </si>
  <si>
    <t>204:469</t>
  </si>
  <si>
    <t>HAITHCOX</t>
  </si>
  <si>
    <t>204:232975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</si>
  <si>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</si>
  <si>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</si>
  <si>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</si>
  <si>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</si>
  <si>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</si>
  <si>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</si>
  <si>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</si>
  <si>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</si>
  <si>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</si>
  <si>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</si>
  <si>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</si>
  <si>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</si>
  <si>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</si>
  <si>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</si>
  <si>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</si>
  <si>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</si>
  <si>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</si>
  <si>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</si>
  <si>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</si>
  <si>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</si>
  <si>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</si>
  <si>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</si>
  <si>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</si>
  <si>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</si>
  <si>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</si>
  <si>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</si>
  <si>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</si>
  <si>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</si>
  <si>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</si>
  <si>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</si>
  <si>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</si>
  <si>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204:163</t>
  </si>
  <si>
    <t>204:438</t>
  </si>
  <si>
    <t>300:58939</t>
  </si>
  <si>
    <t>rtdc.l.rtdc.4011:itc</t>
  </si>
  <si>
    <t>rtdc.l.rtdc.4003:itc</t>
  </si>
  <si>
    <t>rtdc.l.rtdc.4009:itc</t>
  </si>
  <si>
    <t>rtdc.l.rtdc.4004:itc</t>
  </si>
  <si>
    <t>STAMBAUGH</t>
  </si>
  <si>
    <t>uvIndex</t>
  </si>
  <si>
    <t>windGust</t>
  </si>
  <si>
    <t>204:233006</t>
  </si>
  <si>
    <t>204:232984</t>
  </si>
  <si>
    <t>204:475</t>
  </si>
  <si>
    <t>204:232973</t>
  </si>
  <si>
    <t>204:232998</t>
  </si>
  <si>
    <t>204:455</t>
  </si>
  <si>
    <t>204:464</t>
  </si>
  <si>
    <t>204:134</t>
  </si>
  <si>
    <t>204:233327</t>
  </si>
  <si>
    <t>204:233317</t>
  </si>
  <si>
    <t>204:232983</t>
  </si>
  <si>
    <t>300:23304</t>
  </si>
  <si>
    <t>204:471</t>
  </si>
  <si>
    <t>300:58984</t>
  </si>
  <si>
    <t>204:691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</si>
  <si>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</si>
  <si>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</si>
  <si>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</si>
  <si>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</si>
  <si>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</si>
  <si>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</si>
  <si>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</si>
  <si>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</si>
  <si>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rtdc.l.rtdc.4041:itc</t>
  </si>
  <si>
    <t>rtdc.l.rtdc.4053:itc</t>
  </si>
  <si>
    <t>ROCHA</t>
  </si>
  <si>
    <t>YAOTL</t>
  </si>
  <si>
    <t>PERKINS</t>
  </si>
  <si>
    <t>DARREN</t>
  </si>
  <si>
    <t>partly-cloudy-day</t>
  </si>
  <si>
    <t>Partly Cloudy</t>
  </si>
  <si>
    <t>204:233312</t>
  </si>
  <si>
    <t>204:132</t>
  </si>
  <si>
    <t>204:233286</t>
  </si>
  <si>
    <t>204:233324</t>
  </si>
  <si>
    <t>204:165</t>
  </si>
  <si>
    <t>204:233347</t>
  </si>
  <si>
    <t>204:233323</t>
  </si>
  <si>
    <t>204:232988</t>
  </si>
  <si>
    <t>204:233306</t>
  </si>
  <si>
    <t>300:23302</t>
  </si>
  <si>
    <t>300:58685</t>
  </si>
  <si>
    <t>300:58937</t>
  </si>
  <si>
    <t>300:58619</t>
  </si>
  <si>
    <t>300:58933</t>
  </si>
  <si>
    <t>300:58944</t>
  </si>
  <si>
    <t>300:58613</t>
  </si>
  <si>
    <t>300:58621</t>
  </si>
  <si>
    <t>313-15</t>
  </si>
  <si>
    <t>300-16</t>
  </si>
  <si>
    <t>51-16</t>
  </si>
  <si>
    <t>101-16</t>
  </si>
  <si>
    <t>52-16</t>
  </si>
  <si>
    <t>302-16</t>
  </si>
  <si>
    <t>103-16</t>
  </si>
  <si>
    <t>304-16</t>
  </si>
  <si>
    <t>rtdc.l.rtdc.4029:itc</t>
  </si>
  <si>
    <t>MAELZER</t>
  </si>
  <si>
    <t>KURT</t>
  </si>
  <si>
    <t>LALONDE</t>
  </si>
  <si>
    <t>GREGORY</t>
  </si>
  <si>
    <t>DAVIDSON</t>
  </si>
  <si>
    <t>DAVID</t>
  </si>
  <si>
    <t>MACDONALD</t>
  </si>
  <si>
    <t>ROMERO</t>
  </si>
  <si>
    <t>CHAD</t>
  </si>
  <si>
    <t>BRANDNER</t>
  </si>
  <si>
    <t>MELINDA</t>
  </si>
  <si>
    <t>BRUDER</t>
  </si>
  <si>
    <t>RICHARD</t>
  </si>
  <si>
    <t>MCREYNOLDS</t>
  </si>
  <si>
    <t>KYLE</t>
  </si>
  <si>
    <t>BROWN</t>
  </si>
  <si>
    <t>JACOB</t>
  </si>
  <si>
    <t>242-18</t>
  </si>
  <si>
    <t>309-18</t>
  </si>
  <si>
    <t>244-18</t>
  </si>
  <si>
    <t>311-18</t>
  </si>
  <si>
    <t>313-18</t>
  </si>
  <si>
    <t>300-19</t>
  </si>
  <si>
    <t>204:233332</t>
  </si>
  <si>
    <t>204:232986</t>
  </si>
  <si>
    <t>204:161</t>
  </si>
  <si>
    <t>204:233319</t>
  </si>
  <si>
    <t>204:233013</t>
  </si>
  <si>
    <t>204:233305</t>
  </si>
  <si>
    <t>204:232977</t>
  </si>
  <si>
    <t>204:233336</t>
  </si>
  <si>
    <t>204:233042</t>
  </si>
  <si>
    <t>204:233299</t>
  </si>
  <si>
    <t>204:233368</t>
  </si>
  <si>
    <t>204:233069</t>
  </si>
  <si>
    <t>204:437</t>
  </si>
  <si>
    <t>204:233004</t>
  </si>
  <si>
    <t>204:233309</t>
  </si>
  <si>
    <t>300:58628</t>
  </si>
  <si>
    <t>300:58946</t>
  </si>
  <si>
    <t>300:58943</t>
  </si>
  <si>
    <t>300:58630</t>
  </si>
  <si>
    <t>204:698</t>
  </si>
  <si>
    <t>204:680</t>
  </si>
  <si>
    <t>204:978</t>
  </si>
  <si>
    <t>204:703</t>
  </si>
  <si>
    <t>204:233357</t>
  </si>
  <si>
    <t>204:233410</t>
  </si>
  <si>
    <t>204:233003</t>
  </si>
  <si>
    <t>204:233318</t>
  </si>
  <si>
    <t>204:169</t>
  </si>
  <si>
    <t>204:233063</t>
  </si>
  <si>
    <t>204:233351</t>
  </si>
  <si>
    <t>204:435</t>
  </si>
  <si>
    <t>204:233311</t>
  </si>
  <si>
    <t>204:477</t>
  </si>
  <si>
    <t>204:233304</t>
  </si>
  <si>
    <t>204:233001</t>
  </si>
  <si>
    <t>300:22231</t>
  </si>
  <si>
    <t>300:23312</t>
  </si>
  <si>
    <t>103-19</t>
  </si>
  <si>
    <t>306-19</t>
  </si>
  <si>
    <t>rtdc.l.rtdc.4007:itc</t>
  </si>
  <si>
    <t>120-19</t>
  </si>
  <si>
    <t>129-19</t>
  </si>
  <si>
    <t>806-19</t>
  </si>
  <si>
    <t>131-19</t>
  </si>
  <si>
    <t>811-19</t>
  </si>
  <si>
    <t>rtdc.l.rtdc.4018:itc</t>
  </si>
  <si>
    <t>141-19</t>
  </si>
  <si>
    <t>145-19</t>
  </si>
  <si>
    <t>rtdc.l.rtdc.4015:itc</t>
  </si>
  <si>
    <t>140-19</t>
  </si>
  <si>
    <t>144-19</t>
  </si>
  <si>
    <t>148-19</t>
  </si>
  <si>
    <t>157-19</t>
  </si>
  <si>
    <t>154-19</t>
  </si>
  <si>
    <t>rtdc.l.rtdc.4017:itc</t>
  </si>
  <si>
    <t>170-19</t>
  </si>
  <si>
    <t>824-19</t>
  </si>
  <si>
    <t>rtdc.l.rtdc.4057:itc</t>
  </si>
  <si>
    <t>180-19</t>
  </si>
  <si>
    <t>191-19</t>
  </si>
  <si>
    <t>826-19</t>
  </si>
  <si>
    <t>828-19</t>
  </si>
  <si>
    <t>830-19</t>
  </si>
  <si>
    <t>831-19</t>
  </si>
  <si>
    <t>833-19</t>
  </si>
  <si>
    <t>834-19</t>
  </si>
  <si>
    <t>836-19</t>
  </si>
  <si>
    <t>838-19</t>
  </si>
  <si>
    <t>839-19</t>
  </si>
  <si>
    <t>840-19</t>
  </si>
  <si>
    <t>842-19</t>
  </si>
  <si>
    <t>845-19</t>
  </si>
  <si>
    <t>844-19</t>
  </si>
  <si>
    <t>rtdc.l.rtdc.4016:itc</t>
  </si>
  <si>
    <t>101-19</t>
  </si>
  <si>
    <t>302-19</t>
  </si>
  <si>
    <t>YANAI</t>
  </si>
  <si>
    <t>IAN</t>
  </si>
  <si>
    <t>51-19</t>
  </si>
  <si>
    <t>CUSHING</t>
  </si>
  <si>
    <t>HARRY</t>
  </si>
  <si>
    <t>52-19</t>
  </si>
  <si>
    <t>304-19</t>
  </si>
  <si>
    <t>102-19</t>
  </si>
  <si>
    <t>308-19</t>
  </si>
  <si>
    <t>105-19</t>
  </si>
  <si>
    <t>107-19</t>
  </si>
  <si>
    <t>104-19</t>
  </si>
  <si>
    <t>rtdc.l.rtdc.4058:itc</t>
  </si>
  <si>
    <t>109-19</t>
  </si>
  <si>
    <t>310-19</t>
  </si>
  <si>
    <t>HELVIE</t>
  </si>
  <si>
    <t>ADAM</t>
  </si>
  <si>
    <t>111-19</t>
  </si>
  <si>
    <t>106-19</t>
  </si>
  <si>
    <t>901-19</t>
  </si>
  <si>
    <t>113-19</t>
  </si>
  <si>
    <t>800-19</t>
  </si>
  <si>
    <t>108-19</t>
  </si>
  <si>
    <t>115-19</t>
  </si>
  <si>
    <t>312-19</t>
  </si>
  <si>
    <t>110-19</t>
  </si>
  <si>
    <t>801-19</t>
  </si>
  <si>
    <t>117-19</t>
  </si>
  <si>
    <t>112-19</t>
  </si>
  <si>
    <t>119-19</t>
  </si>
  <si>
    <t>902-19</t>
  </si>
  <si>
    <t>LOZA</t>
  </si>
  <si>
    <t>FIDEL</t>
  </si>
  <si>
    <t>802-19</t>
  </si>
  <si>
    <t>114-19</t>
  </si>
  <si>
    <t>121-19</t>
  </si>
  <si>
    <t>116-19</t>
  </si>
  <si>
    <t>803-19</t>
  </si>
  <si>
    <t>123-19</t>
  </si>
  <si>
    <t>805-19</t>
  </si>
  <si>
    <t>804-19</t>
  </si>
  <si>
    <t>118-19</t>
  </si>
  <si>
    <t>125-19</t>
  </si>
  <si>
    <t>122-19</t>
  </si>
  <si>
    <t>127-19</t>
  </si>
  <si>
    <t>124-19</t>
  </si>
  <si>
    <t>807-19</t>
  </si>
  <si>
    <t>809-19</t>
  </si>
  <si>
    <t>126-19</t>
  </si>
  <si>
    <t>808-19</t>
  </si>
  <si>
    <t>133-19</t>
  </si>
  <si>
    <t>128-19</t>
  </si>
  <si>
    <t>135-19</t>
  </si>
  <si>
    <t>130-19</t>
  </si>
  <si>
    <t>810-19</t>
  </si>
  <si>
    <t>137-19</t>
  </si>
  <si>
    <t>ACKERMAN</t>
  </si>
  <si>
    <t>JARED</t>
  </si>
  <si>
    <t>132-19</t>
  </si>
  <si>
    <t>139-19</t>
  </si>
  <si>
    <t>903-19</t>
  </si>
  <si>
    <t>134-19</t>
  </si>
  <si>
    <t>812-19</t>
  </si>
  <si>
    <t>136-19</t>
  </si>
  <si>
    <t>143-19</t>
  </si>
  <si>
    <t>138-19</t>
  </si>
  <si>
    <t>813-19</t>
  </si>
  <si>
    <t>53-19</t>
  </si>
  <si>
    <t>STORY</t>
  </si>
  <si>
    <t>SAMANTHA</t>
  </si>
  <si>
    <t>147-19</t>
  </si>
  <si>
    <t>142-19</t>
  </si>
  <si>
    <t>814-19</t>
  </si>
  <si>
    <t>149-19</t>
  </si>
  <si>
    <t>151-19</t>
  </si>
  <si>
    <t>815-19</t>
  </si>
  <si>
    <t>146-19</t>
  </si>
  <si>
    <t>153-19</t>
  </si>
  <si>
    <t>150-19</t>
  </si>
  <si>
    <t>155-19</t>
  </si>
  <si>
    <t>55-19</t>
  </si>
  <si>
    <t>816-19</t>
  </si>
  <si>
    <t>152-19</t>
  </si>
  <si>
    <t>56-19</t>
  </si>
  <si>
    <t>MOSES</t>
  </si>
  <si>
    <t>BRADLEY</t>
  </si>
  <si>
    <t>159-19</t>
  </si>
  <si>
    <t>57-19</t>
  </si>
  <si>
    <t>DE LA ROSA</t>
  </si>
  <si>
    <t>ALEX</t>
  </si>
  <si>
    <t>161-19</t>
  </si>
  <si>
    <t>817-19</t>
  </si>
  <si>
    <t>156-19</t>
  </si>
  <si>
    <t>163-19</t>
  </si>
  <si>
    <t>158-19</t>
  </si>
  <si>
    <t>818-19</t>
  </si>
  <si>
    <t>165-19</t>
  </si>
  <si>
    <t>160-19</t>
  </si>
  <si>
    <t>167-19</t>
  </si>
  <si>
    <t>819-19</t>
  </si>
  <si>
    <t>164-19</t>
  </si>
  <si>
    <t>162-19</t>
  </si>
  <si>
    <t>169-19</t>
  </si>
  <si>
    <t>171-19</t>
  </si>
  <si>
    <t>820-19</t>
  </si>
  <si>
    <t>173-19</t>
  </si>
  <si>
    <t>166-19</t>
  </si>
  <si>
    <t>168-19</t>
  </si>
  <si>
    <t>175-19</t>
  </si>
  <si>
    <t>177-19</t>
  </si>
  <si>
    <t>821-19</t>
  </si>
  <si>
    <t>LEVIN</t>
  </si>
  <si>
    <t>SCOTT</t>
  </si>
  <si>
    <t>172-19</t>
  </si>
  <si>
    <t>179-19</t>
  </si>
  <si>
    <t>174-19</t>
  </si>
  <si>
    <t>822-19</t>
  </si>
  <si>
    <t>181-19</t>
  </si>
  <si>
    <t>50-19</t>
  </si>
  <si>
    <t>176-19</t>
  </si>
  <si>
    <t>183-19</t>
  </si>
  <si>
    <t>178-19</t>
  </si>
  <si>
    <t>185-19</t>
  </si>
  <si>
    <t>65-19</t>
  </si>
  <si>
    <t>823-19</t>
  </si>
  <si>
    <t>187-19</t>
  </si>
  <si>
    <t>70-19</t>
  </si>
  <si>
    <t>NELSON</t>
  </si>
  <si>
    <t>ARIANE</t>
  </si>
  <si>
    <t>189-19</t>
  </si>
  <si>
    <t>182-19</t>
  </si>
  <si>
    <t>184-19</t>
  </si>
  <si>
    <t>186-19</t>
  </si>
  <si>
    <t>193-19</t>
  </si>
  <si>
    <t>904-19</t>
  </si>
  <si>
    <t>825-19</t>
  </si>
  <si>
    <t>188-19</t>
  </si>
  <si>
    <t>195-19</t>
  </si>
  <si>
    <t>190-19</t>
  </si>
  <si>
    <t>197-19</t>
  </si>
  <si>
    <t>827-19</t>
  </si>
  <si>
    <t>192-19</t>
  </si>
  <si>
    <t>199-19</t>
  </si>
  <si>
    <t>194-19</t>
  </si>
  <si>
    <t>201-19</t>
  </si>
  <si>
    <t>196-19</t>
  </si>
  <si>
    <t>829-19</t>
  </si>
  <si>
    <t>203-19</t>
  </si>
  <si>
    <t>205-19</t>
  </si>
  <si>
    <t>198-19</t>
  </si>
  <si>
    <t>200-19</t>
  </si>
  <si>
    <t>207-19</t>
  </si>
  <si>
    <t>60-19</t>
  </si>
  <si>
    <t>202-19</t>
  </si>
  <si>
    <t>832-19</t>
  </si>
  <si>
    <t>209-19</t>
  </si>
  <si>
    <t>64-19</t>
  </si>
  <si>
    <t>204-19</t>
  </si>
  <si>
    <t>835-19</t>
  </si>
  <si>
    <t>211-19</t>
  </si>
  <si>
    <t>206-19</t>
  </si>
  <si>
    <t>213-19</t>
  </si>
  <si>
    <t>HART</t>
  </si>
  <si>
    <t>KEVIN</t>
  </si>
  <si>
    <t>54-19</t>
  </si>
  <si>
    <t>208-19</t>
  </si>
  <si>
    <t>215-19</t>
  </si>
  <si>
    <t>210-19</t>
  </si>
  <si>
    <t>217-19</t>
  </si>
  <si>
    <t>837-19</t>
  </si>
  <si>
    <t>219-19</t>
  </si>
  <si>
    <t>212-19</t>
  </si>
  <si>
    <t>214-19</t>
  </si>
  <si>
    <t>301-19</t>
  </si>
  <si>
    <t>216-19</t>
  </si>
  <si>
    <t>221-19</t>
  </si>
  <si>
    <t>218-19</t>
  </si>
  <si>
    <t>906-19</t>
  </si>
  <si>
    <t>303-19</t>
  </si>
  <si>
    <t>220-19</t>
  </si>
  <si>
    <t>841-19</t>
  </si>
  <si>
    <t>223-19</t>
  </si>
  <si>
    <t>305-19</t>
  </si>
  <si>
    <t>222-19</t>
  </si>
  <si>
    <t>225-19</t>
  </si>
  <si>
    <t>227-19</t>
  </si>
  <si>
    <t>843-19</t>
  </si>
  <si>
    <t>224-19</t>
  </si>
  <si>
    <t>226-19</t>
  </si>
  <si>
    <t>229-19</t>
  </si>
  <si>
    <t>228-19</t>
  </si>
  <si>
    <t>231-19</t>
  </si>
  <si>
    <t>233-19</t>
  </si>
  <si>
    <t>230-19</t>
  </si>
  <si>
    <t>235-19</t>
  </si>
  <si>
    <t>847-19</t>
  </si>
  <si>
    <t>232-19</t>
  </si>
  <si>
    <t>908-19</t>
  </si>
  <si>
    <t>237-19</t>
  </si>
  <si>
    <t>234-19</t>
  </si>
  <si>
    <t>236-19</t>
  </si>
  <si>
    <t>239-19</t>
  </si>
  <si>
    <t>241-19</t>
  </si>
  <si>
    <t>238-19</t>
  </si>
  <si>
    <t>243-19</t>
  </si>
  <si>
    <t>240-19</t>
  </si>
  <si>
    <t>242-19</t>
  </si>
  <si>
    <t>307-19</t>
  </si>
  <si>
    <t>309-19</t>
  </si>
  <si>
    <t>244-19</t>
  </si>
  <si>
    <t>311-19</t>
  </si>
  <si>
    <t>313-19</t>
  </si>
  <si>
    <t>rtdc.l.rtdc.4025:itc</t>
  </si>
  <si>
    <t>300-20</t>
  </si>
  <si>
    <t>204:777</t>
  </si>
  <si>
    <t>204:233315</t>
  </si>
  <si>
    <t>204:232968</t>
  </si>
  <si>
    <t>204:513</t>
  </si>
  <si>
    <t>204:233017</t>
  </si>
  <si>
    <t>204:233297</t>
  </si>
  <si>
    <t>204:232969</t>
  </si>
  <si>
    <t>204:233300</t>
  </si>
  <si>
    <t>204:232991</t>
  </si>
  <si>
    <t>204:486</t>
  </si>
  <si>
    <t>204:233030</t>
  </si>
  <si>
    <t>204:233301</t>
  </si>
  <si>
    <t>204:233302</t>
  </si>
  <si>
    <t>204:232972</t>
  </si>
  <si>
    <t>204:233276</t>
  </si>
  <si>
    <t>204:233314</t>
  </si>
  <si>
    <t>204:232978</t>
  </si>
  <si>
    <t>204:233280</t>
  </si>
  <si>
    <t>204:233298</t>
  </si>
  <si>
    <t>204:232970</t>
  </si>
  <si>
    <t>204:458</t>
  </si>
  <si>
    <t>204:949</t>
  </si>
  <si>
    <t>204:233334</t>
  </si>
  <si>
    <t>204:233021</t>
  </si>
  <si>
    <t>204:233316</t>
  </si>
  <si>
    <t>204:473</t>
  </si>
  <si>
    <t>204:233268</t>
  </si>
  <si>
    <t>204:130</t>
  </si>
  <si>
    <t>204:233360</t>
  </si>
  <si>
    <t>204:233057</t>
  </si>
  <si>
    <t>204:233378</t>
  </si>
  <si>
    <t>204:233081</t>
  </si>
  <si>
    <t>204:233343</t>
  </si>
  <si>
    <t>204:127854</t>
  </si>
  <si>
    <t>204:1158</t>
  </si>
  <si>
    <t>204:153972</t>
  </si>
  <si>
    <t>204:150097</t>
  </si>
  <si>
    <t>204:233055</t>
  </si>
  <si>
    <t>204:170</t>
  </si>
  <si>
    <t>204:127866</t>
  </si>
  <si>
    <t>204:233000</t>
  </si>
  <si>
    <t>204:231221</t>
  </si>
  <si>
    <t>204:232979</t>
  </si>
  <si>
    <t>204:232985</t>
  </si>
  <si>
    <t>204:233019</t>
  </si>
  <si>
    <t>204:233376</t>
  </si>
  <si>
    <t>204:233083</t>
  </si>
  <si>
    <t>204:233387</t>
  </si>
  <si>
    <t>204:233098</t>
  </si>
  <si>
    <t>204:233344</t>
  </si>
  <si>
    <t>204:233032</t>
  </si>
  <si>
    <t>204:233038</t>
  </si>
  <si>
    <t>204:137</t>
  </si>
  <si>
    <t>204:480</t>
  </si>
  <si>
    <t>204:233366</t>
  </si>
  <si>
    <t>204:426</t>
  </si>
  <si>
    <t>204:233047</t>
  </si>
  <si>
    <t>204:233284</t>
  </si>
  <si>
    <t>204:427</t>
  </si>
  <si>
    <t>204:232989</t>
  </si>
  <si>
    <t>204:497</t>
  </si>
  <si>
    <t>204:431</t>
  </si>
  <si>
    <t>300:25107</t>
  </si>
  <si>
    <t>300:23310</t>
  </si>
  <si>
    <t>300:23661</t>
  </si>
  <si>
    <t>300:23015</t>
  </si>
  <si>
    <t>300:20634</t>
  </si>
  <si>
    <t>300:23478</t>
  </si>
  <si>
    <t>204:181</t>
  </si>
  <si>
    <t>204:489</t>
  </si>
  <si>
    <t>300:23428</t>
  </si>
  <si>
    <t>300:23250</t>
  </si>
  <si>
    <t>300:23466</t>
  </si>
  <si>
    <t>300:11674</t>
  </si>
  <si>
    <t>204:3124</t>
  </si>
  <si>
    <t>204:1471</t>
  </si>
  <si>
    <t>204:3449</t>
  </si>
  <si>
    <t>204:3865</t>
  </si>
  <si>
    <t>204:3595</t>
  </si>
  <si>
    <t>204:1156</t>
  </si>
  <si>
    <t>300:26941</t>
  </si>
  <si>
    <t>300:39472</t>
  </si>
  <si>
    <t>300:26947</t>
  </si>
  <si>
    <t>300:39581</t>
  </si>
  <si>
    <t>300:29866</t>
  </si>
  <si>
    <t>300:39538</t>
  </si>
  <si>
    <t>300:23326</t>
  </si>
  <si>
    <t>300:5232</t>
  </si>
  <si>
    <t>204:3190</t>
  </si>
  <si>
    <t>204:1481</t>
  </si>
  <si>
    <t>204:3465</t>
  </si>
  <si>
    <t>300:20542</t>
  </si>
  <si>
    <t>204:1150</t>
  </si>
  <si>
    <t>204:1473</t>
  </si>
  <si>
    <t>204:3342</t>
  </si>
  <si>
    <t>204:1475</t>
  </si>
  <si>
    <t>204:3649</t>
  </si>
  <si>
    <t>300:26928</t>
  </si>
  <si>
    <t>300:27023</t>
  </si>
  <si>
    <t>300:26930</t>
  </si>
  <si>
    <t>204:979</t>
  </si>
  <si>
    <t>300:58624</t>
  </si>
  <si>
    <t>300:58626</t>
  </si>
  <si>
    <t>204:677</t>
  </si>
  <si>
    <t>204:967</t>
  </si>
  <si>
    <t>204:708</t>
  </si>
  <si>
    <t>204:972</t>
  </si>
  <si>
    <t>300:58623</t>
  </si>
  <si>
    <t>204:675</t>
  </si>
  <si>
    <t>204:1014</t>
  </si>
  <si>
    <t>204:705</t>
  </si>
  <si>
    <t>204:953</t>
  </si>
  <si>
    <t>300:58928</t>
  </si>
  <si>
    <t>204:694</t>
  </si>
  <si>
    <t>204:682</t>
  </si>
  <si>
    <t>300:58606</t>
  </si>
  <si>
    <t>204:659</t>
  </si>
  <si>
    <t>204:937</t>
  </si>
  <si>
    <t>300:58924</t>
  </si>
  <si>
    <t>204:650</t>
  </si>
  <si>
    <t>204:946</t>
  </si>
  <si>
    <t>300:58958</t>
  </si>
  <si>
    <t>204:654</t>
  </si>
  <si>
    <t>204:936</t>
  </si>
  <si>
    <t>300:58980</t>
  </si>
  <si>
    <t>300:58662</t>
  </si>
  <si>
    <t>204:640</t>
  </si>
  <si>
    <t>204:950</t>
  </si>
  <si>
    <t>300:58999</t>
  </si>
  <si>
    <t>204:643</t>
  </si>
  <si>
    <t>204:934</t>
  </si>
  <si>
    <t>300:58656</t>
  </si>
  <si>
    <t>204:645</t>
  </si>
  <si>
    <t>204:923</t>
  </si>
  <si>
    <t>300:58961</t>
  </si>
  <si>
    <t>300:58649</t>
  </si>
  <si>
    <t>204:622</t>
  </si>
  <si>
    <t>204:915</t>
  </si>
  <si>
    <t>300:58922</t>
  </si>
  <si>
    <t>300:58604</t>
  </si>
  <si>
    <t>204:913</t>
  </si>
  <si>
    <t>300:58675</t>
  </si>
  <si>
    <t>204:629</t>
  </si>
  <si>
    <t>204:941</t>
  </si>
  <si>
    <t>300:58941</t>
  </si>
  <si>
    <t>204:628</t>
  </si>
  <si>
    <t>300:58119</t>
  </si>
  <si>
    <t>204:647</t>
  </si>
  <si>
    <t>300:58641</t>
  </si>
  <si>
    <t>204:925</t>
  </si>
  <si>
    <t>300:58562</t>
  </si>
  <si>
    <t>204:790</t>
  </si>
  <si>
    <t>300:58886</t>
  </si>
  <si>
    <t>204:1077</t>
  </si>
  <si>
    <t>300:58965</t>
  </si>
  <si>
    <t>300:30006</t>
  </si>
  <si>
    <t>300:23059</t>
  </si>
  <si>
    <t>204:986</t>
  </si>
  <si>
    <t>300:24227</t>
  </si>
  <si>
    <t>300:23650</t>
  </si>
  <si>
    <t>204:631</t>
  </si>
  <si>
    <t>300:58700</t>
  </si>
  <si>
    <t>300:28763</t>
  </si>
  <si>
    <t>300:58645</t>
  </si>
  <si>
    <t>300:21486</t>
  </si>
  <si>
    <t>300:21793</t>
  </si>
  <si>
    <t>start /low /b %USERPROFILE%\Documents\GitHub\eaglep3\Utilities\DownloadLogsFromS3.py --loco 4017 --day 2017-06-19</t>
  </si>
  <si>
    <t>start /low /b %USERPROFILE%\Documents\GitHub\eaglep3\Utilities\DownloadLogsFromS3.py --loco 4007 --day 2017-06-19</t>
  </si>
  <si>
    <t>start /low /b %USERPROFILE%\Documents\GitHub\eaglep3\Utilities\DownloadLogsFromS3.py --loco 4053 --day 2017-06-19</t>
  </si>
  <si>
    <t>start /low /b %USERPROFILE%\Documents\GitHub\eaglep3\Utilities\DownloadLogsFromS3.py --loco 4046 --day 2017-06-19</t>
  </si>
  <si>
    <t>start /low /b %USERPROFILE%\Documents\GitHub\eaglep3\Utilities\DownloadLogsFromS3.py --loco 4015 --day 2017-06-19</t>
  </si>
  <si>
    <t>start /low /b %USERPROFILE%\Documents\GitHub\eaglep3\Utilities\DownloadLogsFromS3.py --loco 4018 --day 2017-06-19</t>
  </si>
  <si>
    <t>start /low /b %USERPROFILE%\Documents\GitHub\eaglep3\Utilities\DownloadLogsFromS3.py --loco 4054 --day 2017-06-19</t>
  </si>
  <si>
    <t>start /low /b %USERPROFILE%\Documents\GitHub\eaglep3\Utilities\DownloadLogsFromS3.py --loco 4057 --day 2017-06-19</t>
  </si>
  <si>
    <t>start /low /b %USERPROFILE%\Documents\GitHub\eaglep3\Utilities\DownloadLogsFromS3.py --loco 4044 --day 2017-06-19</t>
  </si>
  <si>
    <t>start /low /b %USERPROFILE%\Documents\GitHub\eaglep3\Utilities\DownloadLogsFromS3.py --loco 4023 --day 2017-06-19</t>
  </si>
  <si>
    <t>start /low /b %USERPROFILE%\Documents\GitHub\eaglep3\Utilities\DownloadLogsFromS3.py --loco 4032 --day 2017-06-19</t>
  </si>
  <si>
    <t>start /low /b %USERPROFILE%\Documents\GitHub\eaglep3\Utilities\DownloadLogsFromS3.py --loco 4031 --day 2017-06-19</t>
  </si>
  <si>
    <t>start /low /b %USERPROFILE%\Documents\GitHub\eaglep3\Utilities\DownloadLogsFromS3.py --loco 4031 --day 2017-06-20</t>
  </si>
  <si>
    <t>start /low /b %USERPROFILE%\Documents\GitHub\eaglep3\Utilities\DownloadLogsFromS3.py --loco 4023 --day 2017-06-20</t>
  </si>
  <si>
    <t>start /low /b %USERPROFILE%\Documents\GitHub\eaglep3\Utilities\DownloadLogsFromS3.py --loco 4024 --day 2017-06-19</t>
  </si>
  <si>
    <t>start /low /b %USERPROFILE%\Documents\GitHub\eaglep3\Utilities\DownloadLogsFromS3.py --loco 4032 --day 2017-06-20</t>
  </si>
  <si>
    <t>start /low /b %USERPROFILE%\Documents\GitHub\eaglep3\Utilities\DownloadLogsFromS3.py --loco 4024 --day 2017-06-20</t>
  </si>
  <si>
    <t>Onboard in-route failure</t>
  </si>
  <si>
    <t>STOP aspect</t>
  </si>
  <si>
    <t>Brief Wi-MAX data drop caused unhealthy crossing banners, no enforcements or cut outs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</si>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</sst>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COUNTIFS($N$13:$N$9327,"&gt;0",$AG$13:$AG$9327,I1)</f>
        <v>142</v>
      </c>
      <c r="K5" s="39"/>
      <c r="L5" s="39"/>
      <c r="M5" s="40">
        <f>AVERAGEIFS($N$13:$N$9327,$AG$13:$AG$9327,I1)</f>
        <v>37.826760564332261</v>
      </c>
      <c r="N5" s="38">
        <f t="array" ref="N5">MIN(IF($AG$13:$AG$9327=I1,IF(ISNUMBER($N$13:$N$9327),IF($N$13:$N$9327&gt;0,$N$13:$N$9327))))</f>
        <v>33.783333341125399</v>
      </c>
      <c r="O5" s="3">
        <f t="array" ref="O5">MAX(IF($AG$13:$AG$9327=I1,IF(ISNUMBER($N$13:$N$9327),IF($N$13:$N$9327&gt;0,$N$13:$N$9327))))</f>
        <v>48.033333329949528</v>
      </c>
      <c r="P5" s="2"/>
      <c r="R5" s="166" t="s">
        <v>17</v>
      </c>
      <c r="S5" s="186">
        <f>COUNTIFS($N$13:$N$9327,"&gt;0",$AG$13:$AG$9327,R1)</f>
        <v>47</v>
      </c>
      <c r="T5" s="187"/>
      <c r="U5" s="187"/>
      <c r="V5" s="183">
        <f>AVERAGEIFS($N$13:$N$9327,$AG$13:$AG$9327,R1)</f>
        <v>14.798226950075874</v>
      </c>
      <c r="W5" s="184">
        <f t="array" ref="W5">MIN(IF($AG$13:$AG$9327=R1,IF(ISNUMBER($N$13:$N$9327),IF($N$13:$N$9327&gt;0,$N$13:$N$9327))))</f>
        <v>12.733333323849365</v>
      </c>
      <c r="X5" s="185">
        <f t="array" ref="X5">MAX(IF($AG$13:$AG$9327=R1,IF(ISNUMBER($N$13:$N$9327),IF($N$13:$N$9327&gt;0,$N$13:$N$9327))))</f>
        <v>18.400000005494803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COUNTIFS($P$13:$P$9327,"&gt;0",$AG$13:$AG$9327,I1)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COUNTIFS($P$13:$P$9327,"&gt;0",$AG$13:$AG$9327,R1)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37.826760564332261</v>
      </c>
      <c r="N8" s="38">
        <f>N5</f>
        <v>33.783333341125399</v>
      </c>
      <c r="O8" s="3">
        <f>O5</f>
        <v>48.033333329949528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14.798226950075874</v>
      </c>
      <c r="W8" s="184">
        <f>W5</f>
        <v>12.733333323849365</v>
      </c>
      <c r="X8" s="185">
        <f>X5</f>
        <v>18.400000005494803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- 2017-06-19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0.98765432098765427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655</v>
      </c>
      <c r="B13" s="7">
        <v>4016</v>
      </c>
      <c r="C13" s="21" t="s">
        <v>202</v>
      </c>
      <c r="D13" s="21" t="s">
        <v>871</v>
      </c>
      <c r="E13" s="13">
        <v>42905.126550925925</v>
      </c>
      <c r="F13" s="13">
        <v>42905.135636574072</v>
      </c>
      <c r="G13" s="7">
        <v>1</v>
      </c>
      <c r="H13" s="21" t="s">
        <v>872</v>
      </c>
      <c r="I13" s="13">
        <v>42905.160891203705</v>
      </c>
      <c r="J13" s="7">
        <v>0</v>
      </c>
      <c r="K13" s="89" t="str">
        <f t="shared" ref="K13:K75" si="0">IF(ISEVEN(B13),(B13-1)&amp;"/"&amp;B13,B13&amp;"/"&amp;(B13+1))</f>
        <v>4015/4016</v>
      </c>
      <c r="L13" s="21" t="str">
        <f>VLOOKUP(A13,'Trips&amp;Operators'!$C$1:$G$99999,5,FALSE)</f>
        <v>MAELZER KURT</v>
      </c>
      <c r="M13" s="6">
        <f t="shared" ref="M13:M75" si="1">I13-F13</f>
        <v>2.5254629632399883E-2</v>
      </c>
      <c r="N13" s="7">
        <f t="shared" ref="N13:N44" si="2">24*60*SUM($M13:$M13)</f>
        <v>36.366666670655832</v>
      </c>
      <c r="O13" s="7"/>
      <c r="P13" s="7"/>
      <c r="Q13" s="22"/>
      <c r="R13" s="170" t="s">
        <v>1056</v>
      </c>
      <c r="S13" s="213">
        <f t="shared" ref="S13:S43" si="3">SUM(U13:U13)/IF(AG13="EC",12,1)</f>
        <v>1</v>
      </c>
      <c r="T13" s="195" t="str">
        <f t="shared" ref="T13:T75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-19T02:02:14-0600',mode:absolute,to:'2017-06-19T04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7" t="str">
        <f>IF(AA13&lt;VLOOKUP(AG13,Variables!$AC$3:$AD$8,2,FALSE),"Y","N")</f>
        <v>N</v>
      </c>
      <c r="X13" s="197" t="e">
        <f>VALUE(LEFT(AD13,4))-VALUE(LEFT(#REF!,4))</f>
        <v>#REF!</v>
      </c>
      <c r="Y13" s="197">
        <f t="shared" ref="Y13:Y76" si="6">RIGHT(D13,LEN(D13)-4)/10000</f>
        <v>7.7700000000000005E-2</v>
      </c>
      <c r="Z13" s="197">
        <f t="shared" ref="Z13:Z76" si="7">RIGHT(H13,LEN(H13)-4)/10000</f>
        <v>23.331499999999998</v>
      </c>
      <c r="AA13" s="197">
        <f t="shared" ref="AA13:AA75" si="8">ABS(Z13-Y13)</f>
        <v>23.253799999999998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5" si="9">VALUE(LEFT(A13,LEN(A13)-3))</f>
        <v>101</v>
      </c>
      <c r="AE13" s="77" t="str">
        <f t="shared" ref="AE13:AE75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3" s="74" t="str">
        <f t="shared" ref="AF13:AF75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/stypes="app*4016*20170619*" /stext=" 09:.+((SYSTEM_STATE.+slice.+state.+changed )|(ment ac)|(multiple cpu faults)|(system.+state.+changed )|(\[timeout)|(PRM\|1\|D)|(kpr)|(kdp)|(train st.+moving)|(\|lc)|(penalty))"</v>
      </c>
      <c r="AG13" s="209" t="str">
        <f t="shared" ref="AG13:AG75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4016 --swversion DE.1.0.9.0 --startMP 204:777 --initTime 2017-06-19T03:02:14 --startdatetime 2017-06-19T03:15:19 --delay 1 --endMP 204:233315 --enddatetime 2017-06-19T03:51:41 --enforcementcount 0 &gt;&gt;C:\Users\stu\Documents\GitHub\eaglep3-reporting\EC\2017-06-19-refined-times.txt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{"issue":{"subject":"Brief Wi-MAX data drop caused unhealthy crossing banners, no enforcements or cut outs","project_id":79,"tracker_id":40,"status_id":1,"priority_id":2,"assigned_to_id":23,"start_date":"2017-06-19","description":"","custom_fields":[{"id":1,"name":"Subdivision","value":"EC"},{"id":4,"name":"Milepost","value":"23.3315"},{"id":17,"name":"Train ID","value":"101-19"},{"id":16,"name":"Locomotive ID","value":"4016"},{"id":130,"name":"Impact","value":""},{"id":150,"name":"Time of Event (Mountain Time)","value":"03:51:41"},{"id":151,"name":"Denver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4016 --day 2017-06-19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{"issue":{"subject":"Brief Wi-MAX data drop caused unhealthy crossing banners, no enforcements or cut outs","project_id":30,"tracker_id":4,"status_id":1,"priority_id":1,"assigned_to_id":10,"start_date":"2017-06-19","description":"","custom_fields":[{"id":30,"name":"Category","value":"Issue"},{"id":3,"name":"Functional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664</v>
      </c>
      <c r="B14" s="7">
        <v>4015</v>
      </c>
      <c r="C14" s="21" t="s">
        <v>202</v>
      </c>
      <c r="D14" s="21" t="s">
        <v>501</v>
      </c>
      <c r="E14" s="13">
        <v>42905.168391203704</v>
      </c>
      <c r="F14" s="13">
        <v>42905.17527777778</v>
      </c>
      <c r="G14" s="7">
        <v>1</v>
      </c>
      <c r="H14" s="21" t="s">
        <v>350</v>
      </c>
      <c r="I14" s="13">
        <v>42905.202256944445</v>
      </c>
      <c r="J14" s="7">
        <v>0</v>
      </c>
      <c r="K14" s="89" t="str">
        <f t="shared" si="0"/>
        <v>4015/4016</v>
      </c>
      <c r="L14" s="21" t="str">
        <f>VLOOKUP(A14,'Trips&amp;Operators'!$C$1:$G$99999,5,FALSE)</f>
        <v>MAELZER KURT</v>
      </c>
      <c r="M14" s="6">
        <f t="shared" si="1"/>
        <v>2.6979166665114462E-2</v>
      </c>
      <c r="N14" s="7">
        <f t="shared" si="2"/>
        <v>38.849999997764826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-19T03:02:29-0600',mode:absolute,to:'2017-06-19T05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7" t="str">
        <f>IF(AA14&lt;VLOOKUP(AG14,Variables!$AC$3:$AD$8,2,FALSE),"Y","N")</f>
        <v>N</v>
      </c>
      <c r="X14" s="197">
        <f t="shared" ref="X14:X19" si="17">VALUE(LEFT(AD14,4))-VALUE(LEFT(AD13,4))</f>
        <v>1</v>
      </c>
      <c r="Y14" s="197">
        <f t="shared" si="6"/>
        <v>23.300599999999999</v>
      </c>
      <c r="Z14" s="197">
        <f t="shared" si="7"/>
        <v>1.43E-2</v>
      </c>
      <c r="AA14" s="197">
        <f t="shared" si="8"/>
        <v>23.286300000000001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9"/>
        <v>102</v>
      </c>
      <c r="AE14" s="77" t="str">
        <f t="shared" si="10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4" s="74" t="str">
        <f t="shared" si="11"/>
        <v>"C:\Program Files (x86)\AstroGrep\AstroGrep.exe" /e /r /s /spath="%USERPROFILE%\AppData\Local\Temp\OnboardLogs" /stypes="app*4015*20170619*"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4015 --swversion DE.1.0.9.0 --startMP 204:233006 --initTime 2017-06-19T04:02:29 --startdatetime 2017-06-19T04:12:24 --delay 1 --endMP 204:143 --enddatetime 2017-06-19T04:51:15 --enforcementcount 0 &gt;&gt;C:\Users\stu\Documents\GitHub\eaglep3-reporting\EC\2017-06-19-refined-times.txt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{"issue":{"subject":"","project_id":79,"tracker_id":40,"status_id":1,"priority_id":2,"assigned_to_id":23,"start_date":"2017-06-19","description":"","custom_fields":[{"id":1,"name":"Subdivision","value":"EC"},{"id":4,"name":"Milepost","value":"0.0143"},{"id":17,"name":"Train ID","value":"102-19"},{"id":16,"name":"Locomotive ID","value":"4015"},{"id":130,"name":"Impact","value":""},{"id":150,"name":"Time of Event (Mountain Time)","value":"04:51:15"},{"id":151,"name":"Denver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4015 --day 2017-06-19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618</v>
      </c>
      <c r="B15" s="7">
        <v>4054</v>
      </c>
      <c r="C15" s="21" t="s">
        <v>202</v>
      </c>
      <c r="D15" s="21" t="s">
        <v>355</v>
      </c>
      <c r="E15" s="13">
        <v>42905.145370370374</v>
      </c>
      <c r="F15" s="13">
        <v>42905.156423611108</v>
      </c>
      <c r="G15" s="7">
        <v>1</v>
      </c>
      <c r="H15" s="21" t="s">
        <v>452</v>
      </c>
      <c r="I15" s="13">
        <v>42905.18236111111</v>
      </c>
      <c r="J15" s="7">
        <v>0</v>
      </c>
      <c r="K15" s="89" t="str">
        <f t="shared" si="0"/>
        <v>4053/4054</v>
      </c>
      <c r="L15" s="21" t="str">
        <f>VLOOKUP(A15,'Trips&amp;Operators'!$C$1:$G$99999,5,FALSE)</f>
        <v>YANAI IAN</v>
      </c>
      <c r="M15" s="6">
        <f t="shared" si="1"/>
        <v>2.5937500002328306E-2</v>
      </c>
      <c r="N15" s="7">
        <f t="shared" si="2"/>
        <v>37.350000003352761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-19T02:29:20-0600',mode:absolute,to:'2017-06-19T05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7" t="str">
        <f>IF(AA15&lt;VLOOKUP(AG15,Variables!$AC$3:$AD$8,2,FALSE),"Y","N")</f>
        <v>N</v>
      </c>
      <c r="X15" s="197">
        <f t="shared" si="17"/>
        <v>1</v>
      </c>
      <c r="Y15" s="197">
        <f t="shared" si="6"/>
        <v>4.4699999999999997E-2</v>
      </c>
      <c r="Z15" s="197">
        <f t="shared" si="7"/>
        <v>23.3291</v>
      </c>
      <c r="AA15" s="197">
        <f t="shared" si="8"/>
        <v>23.284400000000002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9"/>
        <v>103</v>
      </c>
      <c r="AE15" s="77" t="str">
        <f t="shared" si="10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5" s="74" t="str">
        <f t="shared" si="11"/>
        <v>"C:\Program Files (x86)\AstroGrep\AstroGrep.exe" /e /r /s /spath="%USERPROFILE%\AppData\Local\Temp\OnboardLogs" /stypes="app*4054*20170619*"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si="18"/>
        <v>"%USERPROFILE%\Documents\GitHub\eaglep3\Utilities\RefineRTDCRunTimes.py" --tripid 103-19 --locoid 4054 --swversion DE.1.0.9.0 --startMP 204:447 --initTime 2017-06-19T03:29:20 --startdatetime 2017-06-19T03:45:15 --delay 1 --endMP 204:233291 --enddatetime 2017-06-19T04:22:36 --enforcementcount 0 &gt;&gt;C:\Users\stu\Documents\GitHub\eaglep3-reporting\EC\2017-06-19-refined-times.txt</v>
      </c>
      <c r="AI1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{"issue":{"subject":"","project_id":79,"tracker_id":40,"status_id":1,"priority_id":2,"assigned_to_id":23,"start_date":"2017-06-19","description":"","custom_fields":[{"id":1,"name":"Subdivision","value":"EC"},{"id":4,"name":"Milepost","value":"23.3291"},{"id":17,"name":"Train ID","value":"103-19"},{"id":16,"name":"Locomotive ID","value":"4054"},{"id":130,"name":"Impact","value":""},{"id":150,"name":"Time of Event (Mountain Time)","value":"04:22:36"},{"id":151,"name":"Denver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4054 --day 2017-06-19</v>
      </c>
      <c r="AN1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668</v>
      </c>
      <c r="B16" s="7">
        <v>4053</v>
      </c>
      <c r="C16" s="21" t="s">
        <v>202</v>
      </c>
      <c r="D16" s="21" t="s">
        <v>873</v>
      </c>
      <c r="E16" s="13">
        <v>42905.183680555558</v>
      </c>
      <c r="F16" s="13">
        <v>42905.196087962962</v>
      </c>
      <c r="G16" s="7">
        <v>1</v>
      </c>
      <c r="H16" s="21" t="s">
        <v>608</v>
      </c>
      <c r="I16" s="13">
        <v>42905.222083333334</v>
      </c>
      <c r="J16" s="7">
        <v>0</v>
      </c>
      <c r="K16" s="89" t="str">
        <f t="shared" si="0"/>
        <v>4053/4054</v>
      </c>
      <c r="L16" s="21" t="str">
        <f>VLOOKUP(A16,'Trips&amp;Operators'!$C$1:$G$99999,5,FALSE)</f>
        <v>YANAI IAN</v>
      </c>
      <c r="M16" s="6">
        <f t="shared" si="1"/>
        <v>2.5995370371674653E-2</v>
      </c>
      <c r="N16" s="7">
        <f t="shared" si="2"/>
        <v>37.433333335211501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-19T03:24:30-0600',mode:absolute,to:'2017-06-19T06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97" t="str">
        <f>IF(AA16&lt;VLOOKUP(AG16,Variables!$AC$3:$AD$8,2,FALSE),"Y","N")</f>
        <v>N</v>
      </c>
      <c r="X16" s="197">
        <f t="shared" si="17"/>
        <v>1</v>
      </c>
      <c r="Y16" s="197">
        <f t="shared" si="6"/>
        <v>23.296800000000001</v>
      </c>
      <c r="Z16" s="197">
        <f t="shared" si="7"/>
        <v>1.6899999999999998E-2</v>
      </c>
      <c r="AA16" s="197">
        <f t="shared" si="8"/>
        <v>23.279900000000001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9"/>
        <v>104</v>
      </c>
      <c r="AE16" s="77" t="str">
        <f t="shared" si="10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6" s="74" t="str">
        <f t="shared" si="11"/>
        <v>"C:\Program Files (x86)\AstroGrep\AstroGrep.exe" /e /r /s /spath="%USERPROFILE%\AppData\Local\Temp\OnboardLogs" /stypes="app*4053*20170619*"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18"/>
        <v>"%USERPROFILE%\Documents\GitHub\eaglep3\Utilities\RefineRTDCRunTimes.py" --tripid 104-19 --locoid 4053 --swversion DE.1.0.9.0 --startMP 204:232968 --initTime 2017-06-19T04:24:30 --startdatetime 2017-06-19T04:42:22 --delay 1 --endMP 204:169 --enddatetime 2017-06-19T05:19:48 --enforcementcount 0 &gt;&gt;C:\Users\stu\Documents\GitHub\eaglep3-reporting\EC\2017-06-19-refined-times.txt</v>
      </c>
      <c r="AI1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{"issue":{"subject":"","project_id":79,"tracker_id":40,"status_id":1,"priority_id":2,"assigned_to_id":23,"start_date":"2017-06-19","description":"","custom_fields":[{"id":1,"name":"Subdivision","value":"EC"},{"id":4,"name":"Milepost","value":"0.0169"},{"id":17,"name":"Train ID","value":"104-19"},{"id":16,"name":"Locomotive ID","value":"4053"},{"id":130,"name":"Impact","value":""},{"id":150,"name":"Time of Event (Mountain Time)","value":"05:19:48"},{"id":151,"name":"Denver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4053 --day 2017-06-19</v>
      </c>
      <c r="AN1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4008</v>
      </c>
      <c r="C17" s="21" t="s">
        <v>202</v>
      </c>
      <c r="D17" s="21" t="s">
        <v>347</v>
      </c>
      <c r="E17" s="13">
        <v>42905.174895833334</v>
      </c>
      <c r="F17" s="13">
        <v>42905.177256944444</v>
      </c>
      <c r="G17" s="7">
        <v>1</v>
      </c>
      <c r="H17" s="21" t="s">
        <v>612</v>
      </c>
      <c r="I17" s="13">
        <v>42905.2028587963</v>
      </c>
      <c r="J17" s="7">
        <v>0</v>
      </c>
      <c r="K17" s="89" t="str">
        <f t="shared" si="0"/>
        <v>4007/4008</v>
      </c>
      <c r="L17" s="21" t="str">
        <f>VLOOKUP(A17,'Trips&amp;Operators'!$C$1:$G$99999,5,FALSE)</f>
        <v>STARKS ANGELINA</v>
      </c>
      <c r="M17" s="6">
        <f t="shared" si="1"/>
        <v>2.5601851855753921E-2</v>
      </c>
      <c r="N17" s="7">
        <f t="shared" si="2"/>
        <v>36.866666672285646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-19T03:11:51-0600',mode:absolute,to:'2017-06-19T05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7" t="str">
        <f>IF(AA17&lt;VLOOKUP(AG17,Variables!$AC$3:$AD$8,2,FALSE),"Y","N")</f>
        <v>N</v>
      </c>
      <c r="X17" s="197">
        <f t="shared" si="17"/>
        <v>1</v>
      </c>
      <c r="Y17" s="197">
        <f t="shared" si="6"/>
        <v>4.4600000000000001E-2</v>
      </c>
      <c r="Z17" s="197">
        <f t="shared" si="7"/>
        <v>23.331099999999999</v>
      </c>
      <c r="AA17" s="197">
        <f t="shared" si="8"/>
        <v>23.2865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9"/>
        <v>105</v>
      </c>
      <c r="AE17" s="77" t="str">
        <f t="shared" si="10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17" s="74" t="str">
        <f t="shared" si="11"/>
        <v>"C:\Program Files (x86)\AstroGrep\AstroGrep.exe" /e /r /s /spath="%USERPROFILE%\AppData\Local\Temp\OnboardLogs" /stypes="app*4008*20170619*"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18"/>
        <v>"%USERPROFILE%\Documents\GitHub\eaglep3\Utilities\RefineRTDCRunTimes.py" --tripid 105-19 --locoid 4008 --swversion DE.1.0.9.0 --startMP 204:446 --initTime 2017-06-19T04:11:51 --startdatetime 2017-06-19T04:15:15 --delay 1 --endMP 204:233311 --enddatetime 2017-06-19T04:52:07 --enforcementcount 0 &gt;&gt;C:\Users\stu\Documents\GitHub\eaglep3-reporting\EC\2017-06-19-refined-times.txt</v>
      </c>
      <c r="AI1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{"issue":{"subject":"","project_id":79,"tracker_id":40,"status_id":1,"priority_id":2,"assigned_to_id":23,"start_date":"2017-06-19","description":"","custom_fields":[{"id":1,"name":"Subdivision","value":"EC"},{"id":4,"name":"Milepost","value":"23.3311"},{"id":17,"name":"Train ID","value":"105-19"},{"id":16,"name":"Locomotive ID","value":"4008"},{"id":130,"name":"Impact","value":""},{"id":150,"name":"Time of Event (Mountain Time)","value":"04:52:07"},{"id":151,"name":"Denver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4008 --day 2017-06-19</v>
      </c>
      <c r="AN1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675</v>
      </c>
      <c r="B18" s="7">
        <v>4007</v>
      </c>
      <c r="C18" s="21" t="s">
        <v>202</v>
      </c>
      <c r="D18" s="21" t="s">
        <v>587</v>
      </c>
      <c r="E18" s="13">
        <v>42905.205266203702</v>
      </c>
      <c r="F18" s="13">
        <v>42905.216828703706</v>
      </c>
      <c r="G18" s="7">
        <v>1</v>
      </c>
      <c r="H18" s="21" t="s">
        <v>474</v>
      </c>
      <c r="I18" s="13">
        <v>42905.244004629632</v>
      </c>
      <c r="J18" s="7">
        <v>0</v>
      </c>
      <c r="K18" s="89" t="str">
        <f t="shared" si="0"/>
        <v>4007/4008</v>
      </c>
      <c r="L18" s="21" t="str">
        <f>VLOOKUP(A18,'Trips&amp;Operators'!$C$1:$G$99999,5,FALSE)</f>
        <v>STARKS ANGELINA</v>
      </c>
      <c r="M18" s="6">
        <f t="shared" si="1"/>
        <v>2.7175925926712807E-2</v>
      </c>
      <c r="N18" s="7">
        <f t="shared" si="2"/>
        <v>39.133333334466442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-19T03:55:35-0600',mode:absolute,to:'2017-06-19T06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7" t="str">
        <f>IF(AA18&lt;VLOOKUP(AG18,Variables!$AC$3:$AD$8,2,FALSE),"Y","N")</f>
        <v>N</v>
      </c>
      <c r="X18" s="197">
        <f t="shared" si="17"/>
        <v>1</v>
      </c>
      <c r="Y18" s="197">
        <f t="shared" si="6"/>
        <v>23.297699999999999</v>
      </c>
      <c r="Z18" s="197">
        <f t="shared" si="7"/>
        <v>1.38E-2</v>
      </c>
      <c r="AA18" s="197">
        <f t="shared" si="8"/>
        <v>23.283899999999999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9"/>
        <v>106</v>
      </c>
      <c r="AE18" s="77" t="str">
        <f t="shared" si="10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18" s="74" t="str">
        <f t="shared" si="11"/>
        <v>"C:\Program Files (x86)\AstroGrep\AstroGrep.exe" /e /r /s /spath="%USERPROFILE%\AppData\Local\Temp\OnboardLogs" /stypes="app*4007*20170619*" /stext=" 11:.+((SYSTEM_STATE.+slice.+state.+changed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18"/>
        <v>"%USERPROFILE%\Documents\GitHub\eaglep3\Utilities\RefineRTDCRunTimes.py" --tripid 106-19 --locoid 4007 --swversion DE.1.0.9.0 --startMP 204:232977 --initTime 2017-06-19T04:55:35 --startdatetime 2017-06-19T05:12:14 --delay 1 --endMP 204:138 --enddatetime 2017-06-19T05:51:22 --enforcementcount 0 &gt;&gt;C:\Users\stu\Documents\GitHub\eaglep3-reporting\EC\2017-06-19-refined-times.txt</v>
      </c>
      <c r="AI1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{"issue":{"subject":"","project_id":79,"tracker_id":40,"status_id":1,"priority_id":2,"assigned_to_id":23,"start_date":"2017-06-19","description":"","custom_fields":[{"id":1,"name":"Subdivision","value":"EC"},{"id":4,"name":"Milepost","value":"0.0138"},{"id":17,"name":"Train ID","value":"106-19"},{"id":16,"name":"Locomotive ID","value":"4007"},{"id":130,"name":"Impact","value":""},{"id":150,"name":"Time of Event (Mountain Time)","value":"05:51:22"},{"id":151,"name":"Denver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4007 --day 2017-06-19</v>
      </c>
      <c r="AN1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667</v>
      </c>
      <c r="B19" s="7">
        <v>4044</v>
      </c>
      <c r="C19" s="21" t="s">
        <v>202</v>
      </c>
      <c r="D19" s="21" t="s">
        <v>874</v>
      </c>
      <c r="E19" s="13">
        <v>42905.182164351849</v>
      </c>
      <c r="F19" s="13">
        <v>42905.187685185185</v>
      </c>
      <c r="G19" s="7">
        <v>1</v>
      </c>
      <c r="H19" s="21" t="s">
        <v>538</v>
      </c>
      <c r="I19" s="13">
        <v>42905.212106481478</v>
      </c>
      <c r="J19" s="7">
        <v>0</v>
      </c>
      <c r="K19" s="89" t="str">
        <f t="shared" si="0"/>
        <v>4043/4044</v>
      </c>
      <c r="L19" s="21" t="str">
        <f>VLOOKUP(A19,'Trips&amp;Operators'!$C$1:$G$99999,5,FALSE)</f>
        <v>LALONDE GREGORY</v>
      </c>
      <c r="M19" s="6">
        <f t="shared" si="1"/>
        <v>2.4421296293439809E-2</v>
      </c>
      <c r="N19" s="7">
        <f t="shared" si="2"/>
        <v>35.166666662553325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-19T03:22:19-0600',mode:absolute,to:'2017-06-19T06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17"/>
        <v>1</v>
      </c>
      <c r="Y19" s="197">
        <f t="shared" si="6"/>
        <v>5.1299999999999998E-2</v>
      </c>
      <c r="Z19" s="197">
        <f t="shared" si="7"/>
        <v>23.3323</v>
      </c>
      <c r="AA19" s="197">
        <f t="shared" si="8"/>
        <v>23.280999999999999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9"/>
        <v>107</v>
      </c>
      <c r="AE19" s="77" t="str">
        <f t="shared" si="10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9" s="74" t="str">
        <f t="shared" si="11"/>
        <v>"C:\Program Files (x86)\AstroGrep\AstroGrep.exe" /e /r /s /spath="%USERPROFILE%\AppData\Local\Temp\OnboardLogs" /stypes="app*4044*20170619*"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18"/>
        <v>"%USERPROFILE%\Documents\GitHub\eaglep3\Utilities\RefineRTDCRunTimes.py" --tripid 107-19 --locoid 4044 --swversion DE.1.0.9.0 --startMP 204:513 --initTime 2017-06-19T04:22:19 --startdatetime 2017-06-19T04:30:16 --delay 1 --endMP 204:233323 --enddatetime 2017-06-19T05:05:26 --enforcementcount 0 &gt;&gt;C:\Users\stu\Documents\GitHub\eaglep3-reporting\EC\2017-06-19-refined-times.txt</v>
      </c>
      <c r="AI1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{"issue":{"subject":"","project_id":79,"tracker_id":40,"status_id":1,"priority_id":2,"assigned_to_id":23,"start_date":"2017-06-19","description":"","custom_fields":[{"id":1,"name":"Subdivision","value":"EC"},{"id":4,"name":"Milepost","value":"23.3323"},{"id":17,"name":"Train ID","value":"107-19"},{"id":16,"name":"Locomotive ID","value":"4044"},{"id":130,"name":"Impact","value":""},{"id":150,"name":"Time of Event (Mountain Time)","value":"05:05:26"},{"id":151,"name":"Denver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2017-06-19</v>
      </c>
      <c r="AN1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679</v>
      </c>
      <c r="B20" s="7">
        <v>4043</v>
      </c>
      <c r="C20" s="21" t="s">
        <v>202</v>
      </c>
      <c r="D20" s="21" t="s">
        <v>875</v>
      </c>
      <c r="E20" s="13">
        <v>42905.217314814814</v>
      </c>
      <c r="F20" s="13">
        <v>42905.22724537037</v>
      </c>
      <c r="G20" s="7">
        <v>1</v>
      </c>
      <c r="H20" s="21" t="s">
        <v>419</v>
      </c>
      <c r="I20" s="13">
        <v>42905.252858796295</v>
      </c>
      <c r="J20" s="7">
        <v>0</v>
      </c>
      <c r="K20" s="89" t="str">
        <f t="shared" si="0"/>
        <v>4043/4044</v>
      </c>
      <c r="L20" s="21" t="str">
        <f>VLOOKUP(A20,'Trips&amp;Operators'!$C$1:$G$99999,5,FALSE)</f>
        <v>LALONDE GREGORY</v>
      </c>
      <c r="M20" s="6">
        <f t="shared" si="1"/>
        <v>2.5613425925257616E-2</v>
      </c>
      <c r="N20" s="7">
        <f t="shared" si="2"/>
        <v>36.883333332370967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-19T04:12:56-0600',mode:absolute,to:'2017-06-19T07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>IF(AA20&lt;VLOOKUP(AG20,Variables!$AC$3:$AD$8,2,FALSE),"Y","N")</f>
        <v>N</v>
      </c>
      <c r="X20" s="197">
        <f t="shared" ref="X20:X83" si="22">VALUE(LEFT(AD20,4))-VALUE(LEFT(AD19,4))</f>
        <v>1</v>
      </c>
      <c r="Y20" s="197">
        <f t="shared" si="6"/>
        <v>23.3017</v>
      </c>
      <c r="Z20" s="197">
        <f t="shared" si="7"/>
        <v>1.4500000000000001E-2</v>
      </c>
      <c r="AA20" s="197">
        <f t="shared" si="8"/>
        <v>23.287199999999999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9"/>
        <v>108</v>
      </c>
      <c r="AE20" s="77" t="str">
        <f t="shared" si="10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20" s="74" t="str">
        <f t="shared" si="11"/>
        <v>"C:\Program Files (x86)\AstroGrep\AstroGrep.exe" /e /r /s /spath="%USERPROFILE%\AppData\Local\Temp\OnboardLogs" /stypes="app*4043*20170619*" /stext=" 12:.+((SYSTEM_STATE.+slice.+state.+changed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18"/>
        <v>"%USERPROFILE%\Documents\GitHub\eaglep3\Utilities\RefineRTDCRunTimes.py" --tripid 108-19 --locoid 4043 --swversion DE.1.0.9.0 --startMP 204:233017 --initTime 2017-06-19T05:12:56 --startdatetime 2017-06-19T05:27:14 --delay 1 --endMP 204:145 --enddatetime 2017-06-19T06:04:07 --enforcementcount 0 &gt;&gt;C:\Users\stu\Documents\GitHub\eaglep3-reporting\EC\2017-06-19-refined-times.txt</v>
      </c>
      <c r="AI2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ID","value":"108-19"},{"id":16,"name":"Locomotive ID","value":"4043"},{"id":130,"name":"Impact","value":""},{"id":150,"name":"Time of Event (Mountain Time)","value":"06:04:07"},{"id":151,"name":"Denver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4043 --day 2017-06-19</v>
      </c>
      <c r="AN2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670</v>
      </c>
      <c r="B21" s="7">
        <v>4058</v>
      </c>
      <c r="C21" s="21" t="s">
        <v>202</v>
      </c>
      <c r="D21" s="21" t="s">
        <v>354</v>
      </c>
      <c r="E21" s="13">
        <v>42905.192118055558</v>
      </c>
      <c r="F21" s="13">
        <v>42905.198194444441</v>
      </c>
      <c r="G21" s="7">
        <v>1</v>
      </c>
      <c r="H21" s="21" t="s">
        <v>876</v>
      </c>
      <c r="I21" s="13">
        <v>42905.22420138889</v>
      </c>
      <c r="J21" s="7">
        <v>0</v>
      </c>
      <c r="K21" s="89" t="str">
        <f t="shared" si="0"/>
        <v>4057/4058</v>
      </c>
      <c r="L21" s="21" t="str">
        <f>VLOOKUP(A21,'Trips&amp;Operators'!$C$1:$G$99999,5,FALSE)</f>
        <v>WILLIAMS DONTE</v>
      </c>
      <c r="M21" s="6">
        <f t="shared" si="1"/>
        <v>2.6006944448454306E-2</v>
      </c>
      <c r="N21" s="7">
        <f t="shared" si="2"/>
        <v>37.4500000057742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-19T03:36:39-0600',mode:absolute,to:'2017-06-19T06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7" t="str">
        <f>IF(AA21&lt;VLOOKUP(AG21,Variables!$AC$3:$AD$8,2,FALSE),"Y","N")</f>
        <v>N</v>
      </c>
      <c r="X21" s="197">
        <f t="shared" si="22"/>
        <v>1</v>
      </c>
      <c r="Y21" s="197">
        <f t="shared" si="6"/>
        <v>4.53E-2</v>
      </c>
      <c r="Z21" s="197">
        <f t="shared" si="7"/>
        <v>23.329699999999999</v>
      </c>
      <c r="AA21" s="197">
        <f t="shared" si="8"/>
        <v>23.284399999999998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9"/>
        <v>109</v>
      </c>
      <c r="AE21" s="77" t="str">
        <f t="shared" si="10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21" s="74" t="str">
        <f t="shared" si="11"/>
        <v>"C:\Program Files (x86)\AstroGrep\AstroGrep.exe" /e /r /s /spath="%USERPROFILE%\AppData\Local\Temp\OnboardLogs" /stypes="app*4058*20170619*" /stext=" 11:.+((SYSTEM_STATE.+slice.+state.+changed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si="18"/>
        <v>"%USERPROFILE%\Documents\GitHub\eaglep3\Utilities\RefineRTDCRunTimes.py" --tripid 109-19 --locoid 4058 --swversion DE.1.0.9.0 --startMP 204:453 --initTime 2017-06-19T04:36:39 --startdatetime 2017-06-19T04:45:24 --delay 1 --endMP 204:233297 --enddatetime 2017-06-19T05:22:51 --enforcementcount 0 &gt;&gt;C:\Users\stu\Documents\GitHub\eaglep3-reporting\EC\2017-06-19-refined-times.txt</v>
      </c>
      <c r="AI2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{"issue":{"subject":"","project_id":79,"tracker_id":40,"status_id":1,"priority_id":2,"assigned_to_id":23,"start_date":"2017-06-19","description":"","custom_fields":[{"id":1,"name":"Subdivision","value":"EC"},{"id":4,"name":"Milepost","value":"23.3297"},{"id":17,"name":"Train ID","value":"109-19"},{"id":16,"name":"Locomotive ID","value":"4058"},{"id":130,"name":"Impact","value":""},{"id":150,"name":"Time of Event (Mountain Time)","value":"05:22:51"},{"id":151,"name":"Denver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4058 --day 2017-06-19</v>
      </c>
      <c r="AN2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682</v>
      </c>
      <c r="B22" s="7">
        <v>4057</v>
      </c>
      <c r="C22" s="21" t="s">
        <v>202</v>
      </c>
      <c r="D22" s="21" t="s">
        <v>448</v>
      </c>
      <c r="E22" s="13">
        <v>42905.226817129631</v>
      </c>
      <c r="F22" s="13">
        <v>42905.237696759257</v>
      </c>
      <c r="G22" s="7">
        <v>2</v>
      </c>
      <c r="H22" s="21" t="s">
        <v>348</v>
      </c>
      <c r="I22" s="13">
        <v>42905.26840277778</v>
      </c>
      <c r="J22" s="7">
        <v>0</v>
      </c>
      <c r="K22" s="89" t="str">
        <f t="shared" si="0"/>
        <v>4057/4058</v>
      </c>
      <c r="L22" s="21" t="str">
        <f>VLOOKUP(A22,'Trips&amp;Operators'!$C$1:$G$99999,5,FALSE)</f>
        <v>WILLIAMS DONTE</v>
      </c>
      <c r="M22" s="6">
        <f t="shared" si="1"/>
        <v>3.0706018522323575E-2</v>
      </c>
      <c r="N22" s="7">
        <f t="shared" si="2"/>
        <v>44.216666672145948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-19T04:26:37-0600',mode:absolute,to:'2017-06-19T07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7" t="str">
        <f>IF(AA22&lt;VLOOKUP(AG22,Variables!$AC$3:$AD$8,2,FALSE),"Y","N")</f>
        <v>N</v>
      </c>
      <c r="X22" s="197">
        <f t="shared" si="22"/>
        <v>1</v>
      </c>
      <c r="Y22" s="197">
        <f t="shared" si="6"/>
        <v>23.2971</v>
      </c>
      <c r="Z22" s="197">
        <f t="shared" si="7"/>
        <v>1.4999999999999999E-2</v>
      </c>
      <c r="AA22" s="197">
        <f t="shared" si="8"/>
        <v>23.2821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9"/>
        <v>110</v>
      </c>
      <c r="AE22" s="77" t="str">
        <f t="shared" si="10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22" s="74" t="str">
        <f t="shared" si="11"/>
        <v>"C:\Program Files (x86)\AstroGrep\AstroGrep.exe" /e /r /s /spath="%USERPROFILE%\AppData\Local\Temp\OnboardLogs" /stypes="app*4057*20170619*" /stext=" 12:.+((SYSTEM_STATE.+slice.+state.+changed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si="18"/>
        <v>"%USERPROFILE%\Documents\GitHub\eaglep3\Utilities\RefineRTDCRunTimes.py" --tripid 110-19 --locoid 4057 --swversion DE.1.0.9.0 --startMP 204:232971 --initTime 2017-06-19T05:26:37 --startdatetime 2017-06-19T05:42:17 --delay 2 --endMP 204:150 --enddatetime 2017-06-19T06:26:30 --enforcementcount 0 &gt;&gt;C:\Users\stu\Documents\GitHub\eaglep3-reporting\EC\2017-06-19-refined-times.txt</v>
      </c>
      <c r="AI2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ID","value":"110-19"},{"id":16,"name":"Locomotive ID","value":"4057"},{"id":130,"name":"Impact","value":""},{"id":150,"name":"Time of Event (Mountain Time)","value":"06:26:30"},{"id":151,"name":"Denver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4057 --day 2017-06-19</v>
      </c>
      <c r="AN2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674</v>
      </c>
      <c r="B23" s="7">
        <v>4016</v>
      </c>
      <c r="C23" s="21" t="s">
        <v>202</v>
      </c>
      <c r="D23" s="21" t="s">
        <v>343</v>
      </c>
      <c r="E23" s="13">
        <v>42905.203946759262</v>
      </c>
      <c r="F23" s="13">
        <v>42905.208541666667</v>
      </c>
      <c r="G23" s="7">
        <v>1</v>
      </c>
      <c r="H23" s="21" t="s">
        <v>588</v>
      </c>
      <c r="I23" s="13">
        <v>42905.233726851853</v>
      </c>
      <c r="J23" s="7">
        <v>0</v>
      </c>
      <c r="K23" s="89" t="str">
        <f t="shared" si="0"/>
        <v>4015/4016</v>
      </c>
      <c r="L23" s="21" t="str">
        <f>VLOOKUP(A23,'Trips&amp;Operators'!$C$1:$G$99999,5,FALSE)</f>
        <v>MAELZER KURT</v>
      </c>
      <c r="M23" s="6">
        <f t="shared" si="1"/>
        <v>2.5185185186273884E-2</v>
      </c>
      <c r="N23" s="7">
        <f t="shared" si="2"/>
        <v>36.266666668234393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-19T03:53:41-0600',mode:absolute,to:'2017-06-19T06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7" t="str">
        <f>IF(AA23&lt;VLOOKUP(AG23,Variables!$AC$3:$AD$8,2,FALSE),"Y","N")</f>
        <v>N</v>
      </c>
      <c r="X23" s="197">
        <f t="shared" si="22"/>
        <v>1</v>
      </c>
      <c r="Y23" s="197">
        <f t="shared" si="6"/>
        <v>4.4900000000000002E-2</v>
      </c>
      <c r="Z23" s="197">
        <f t="shared" si="7"/>
        <v>23.333600000000001</v>
      </c>
      <c r="AA23" s="197">
        <f t="shared" si="8"/>
        <v>23.288700000000002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9"/>
        <v>111</v>
      </c>
      <c r="AE23" s="77" t="str">
        <f t="shared" si="10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23" s="74" t="str">
        <f t="shared" si="11"/>
        <v>"C:\Program Files (x86)\AstroGrep\AstroGrep.exe" /e /r /s /spath="%USERPROFILE%\AppData\Local\Temp\OnboardLogs" /stypes="app*4016*20170619*" /stext=" 11:.+((SYSTEM_STATE.+slice.+state.+changed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18"/>
        <v>"%USERPROFILE%\Documents\GitHub\eaglep3\Utilities\RefineRTDCRunTimes.py" --tripid 111-19 --locoid 4016 --swversion DE.1.0.9.0 --startMP 204:449 --initTime 2017-06-19T04:53:41 --startdatetime 2017-06-19T05:00:18 --delay 1 --endMP 204:233336 --enddatetime 2017-06-19T05:36:34 --enforcementcount 0 &gt;&gt;C:\Users\stu\Documents\GitHub\eaglep3-reporting\EC\2017-06-19-refined-times.txt</v>
      </c>
      <c r="AI2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{"issue":{"subject":"","project_id":79,"tracker_id":40,"status_id":1,"priority_id":2,"assigned_to_id":23,"start_date":"2017-06-19","description":"","custom_fields":[{"id":1,"name":"Subdivision","value":"EC"},{"id":4,"name":"Milepost","value":"23.3336"},{"id":17,"name":"Train ID","value":"111-19"},{"id":16,"name":"Locomotive ID","value":"4016"},{"id":130,"name":"Impact","value":""},{"id":150,"name":"Time of Event (Mountain Time)","value":"05:36:34"},{"id":151,"name":"Denver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4016 --day 2017-06-19</v>
      </c>
      <c r="AN2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685</v>
      </c>
      <c r="B24" s="7">
        <v>4015</v>
      </c>
      <c r="C24" s="21" t="s">
        <v>202</v>
      </c>
      <c r="D24" s="21" t="s">
        <v>501</v>
      </c>
      <c r="E24" s="13">
        <v>42905.239027777781</v>
      </c>
      <c r="F24" s="13">
        <v>42905.248078703706</v>
      </c>
      <c r="G24" s="7">
        <v>1</v>
      </c>
      <c r="H24" s="21" t="s">
        <v>349</v>
      </c>
      <c r="I24" s="13">
        <v>42905.274560185186</v>
      </c>
      <c r="J24" s="7">
        <v>0</v>
      </c>
      <c r="K24" s="89" t="str">
        <f t="shared" si="0"/>
        <v>4015/4016</v>
      </c>
      <c r="L24" s="21" t="str">
        <f>VLOOKUP(A24,'Trips&amp;Operators'!$C$1:$G$99999,5,FALSE)</f>
        <v>MAELZER KURT</v>
      </c>
      <c r="M24" s="6">
        <f t="shared" si="1"/>
        <v>2.6481481480004732E-2</v>
      </c>
      <c r="N24" s="7">
        <f t="shared" si="2"/>
        <v>38.133333331206813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-19T04:44:12-0600',mode:absolute,to:'2017-06-19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7" t="str">
        <f>IF(AA24&lt;VLOOKUP(AG24,Variables!$AC$3:$AD$8,2,FALSE),"Y","N")</f>
        <v>N</v>
      </c>
      <c r="X24" s="197">
        <f t="shared" si="22"/>
        <v>1</v>
      </c>
      <c r="Y24" s="197">
        <f t="shared" si="6"/>
        <v>23.300599999999999</v>
      </c>
      <c r="Z24" s="197">
        <f t="shared" si="7"/>
        <v>1.49E-2</v>
      </c>
      <c r="AA24" s="197">
        <f t="shared" si="8"/>
        <v>23.285699999999999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9"/>
        <v>112</v>
      </c>
      <c r="AE24" s="77" t="str">
        <f t="shared" si="10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24" s="74" t="str">
        <f t="shared" si="11"/>
        <v>"C:\Program Files (x86)\AstroGrep\AstroGrep.exe" /e /r /s /spath="%USERPROFILE%\AppData\Local\Temp\OnboardLogs" /stypes="app*4015*20170619*" /stext=" 12:.+((SYSTEM_STATE.+slice.+state.+changed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si="18"/>
        <v>"%USERPROFILE%\Documents\GitHub\eaglep3\Utilities\RefineRTDCRunTimes.py" --tripid 112-19 --locoid 4015 --swversion DE.1.0.9.0 --startMP 204:233006 --initTime 2017-06-19T05:44:12 --startdatetime 2017-06-19T05:57:14 --delay 1 --endMP 204:149 --enddatetime 2017-06-19T06:35:22 --enforcementcount 0 &gt;&gt;C:\Users\stu\Documents\GitHub\eaglep3-reporting\EC\2017-06-19-refined-times.txt</v>
      </c>
      <c r="AI2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ID","value":"112-19"},{"id":16,"name":"Locomotive ID","value":"4015"},{"id":130,"name":"Impact","value":""},{"id":150,"name":"Time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4015 --day 2017-06-19</v>
      </c>
      <c r="AN2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677</v>
      </c>
      <c r="B25" s="7">
        <v>4018</v>
      </c>
      <c r="C25" s="21" t="s">
        <v>202</v>
      </c>
      <c r="D25" s="21" t="s">
        <v>343</v>
      </c>
      <c r="E25" s="13">
        <v>42905.211261574077</v>
      </c>
      <c r="F25" s="13">
        <v>42905.218946759262</v>
      </c>
      <c r="G25" s="7">
        <v>2</v>
      </c>
      <c r="H25" s="21" t="s">
        <v>595</v>
      </c>
      <c r="I25" s="13">
        <v>42905.244722222225</v>
      </c>
      <c r="J25" s="7">
        <v>0</v>
      </c>
      <c r="K25" s="89" t="str">
        <f t="shared" si="0"/>
        <v>4017/4018</v>
      </c>
      <c r="L25" s="21" t="str">
        <f>VLOOKUP(A25,'Trips&amp;Operators'!$C$1:$G$99999,5,FALSE)</f>
        <v>HELVIE ADAM</v>
      </c>
      <c r="M25" s="6">
        <f t="shared" si="1"/>
        <v>2.5775462963792961E-2</v>
      </c>
      <c r="N25" s="7">
        <f t="shared" si="2"/>
        <v>37.116666667861864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-19T04:04:13-0600',mode:absolute,to:'2017-06-19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7" t="str">
        <f>IF(AA25&lt;VLOOKUP(AG25,Variables!$AC$3:$AD$8,2,FALSE),"Y","N")</f>
        <v>N</v>
      </c>
      <c r="X25" s="197">
        <f t="shared" si="22"/>
        <v>1</v>
      </c>
      <c r="Y25" s="197">
        <f t="shared" si="6"/>
        <v>4.4900000000000002E-2</v>
      </c>
      <c r="Z25" s="197">
        <f t="shared" si="7"/>
        <v>23.3309</v>
      </c>
      <c r="AA25" s="197">
        <f t="shared" si="8"/>
        <v>23.286000000000001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9"/>
        <v>113</v>
      </c>
      <c r="AE25" s="77" t="str">
        <f t="shared" si="10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25" s="74" t="str">
        <f t="shared" si="11"/>
        <v>"C:\Program Files (x86)\AstroGrep\AstroGrep.exe" /e /r /s /spath="%USERPROFILE%\AppData\Local\Temp\OnboardLogs" /stypes="app*4018*20170619*" /stext=" 11:.+((SYSTEM_STATE.+slice.+state.+changed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18"/>
        <v>"%USERPROFILE%\Documents\GitHub\eaglep3\Utilities\RefineRTDCRunTimes.py" --tripid 113-19 --locoid 4018 --swversion DE.1.0.9.0 --startMP 204:449 --initTime 2017-06-19T05:04:13 --startdatetime 2017-06-19T05:15:17 --delay 2 --endMP 204:233309 --enddatetime 2017-06-19T05:52:24 --enforcementcount 0 &gt;&gt;C:\Users\stu\Documents\GitHub\eaglep3-reporting\EC\2017-06-19-refined-times.txt</v>
      </c>
      <c r="AI2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{"issue":{"subject":"","project_id":79,"tracker_id":40,"status_id":1,"priority_id":2,"assigned_to_id":23,"start_date":"2017-06-19","description":"","custom_fields":[{"id":1,"name":"Subdivision","value":"EC"},{"id":4,"name":"Milepost","value":"23.3309"},{"id":17,"name":"Train ID","value":"113-19"},{"id":16,"name":"Locomotive ID","value":"4018"},{"id":130,"name":"Impact","value":""},{"id":150,"name":"Time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4018 --day 2017-06-19</v>
      </c>
      <c r="AN2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691</v>
      </c>
      <c r="B26" s="7">
        <v>4017</v>
      </c>
      <c r="C26" s="21" t="s">
        <v>202</v>
      </c>
      <c r="D26" s="21" t="s">
        <v>877</v>
      </c>
      <c r="E26" s="13">
        <v>42905.254502314812</v>
      </c>
      <c r="F26" s="13">
        <v>42905.258668981478</v>
      </c>
      <c r="G26" s="7">
        <v>1</v>
      </c>
      <c r="H26" s="21" t="s">
        <v>348</v>
      </c>
      <c r="I26" s="13">
        <v>42905.286458333336</v>
      </c>
      <c r="J26" s="7">
        <v>0</v>
      </c>
      <c r="K26" s="89" t="str">
        <f t="shared" si="0"/>
        <v>4017/4018</v>
      </c>
      <c r="L26" s="21" t="str">
        <f>VLOOKUP(A26,'Trips&amp;Operators'!$C$1:$G$99999,5,FALSE)</f>
        <v>HELVIE ADAM</v>
      </c>
      <c r="M26" s="6">
        <f t="shared" si="1"/>
        <v>2.7789351857791189E-2</v>
      </c>
      <c r="N26" s="7">
        <f t="shared" si="2"/>
        <v>40.016666675219312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-19T05:06:29-0600',mode:absolute,to:'2017-06-19T07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7" t="str">
        <f>IF(AA26&lt;VLOOKUP(AG26,Variables!$AC$3:$AD$8,2,FALSE),"Y","N")</f>
        <v>N</v>
      </c>
      <c r="X26" s="197">
        <f t="shared" si="22"/>
        <v>1</v>
      </c>
      <c r="Y26" s="197">
        <f t="shared" si="6"/>
        <v>23.296900000000001</v>
      </c>
      <c r="Z26" s="197">
        <f t="shared" si="7"/>
        <v>1.4999999999999999E-2</v>
      </c>
      <c r="AA26" s="197">
        <f t="shared" si="8"/>
        <v>23.2819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9"/>
        <v>114</v>
      </c>
      <c r="AE26" s="77" t="str">
        <f t="shared" si="10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26" s="74" t="str">
        <f t="shared" si="11"/>
        <v>"C:\Program Files (x86)\AstroGrep\AstroGrep.exe" /e /r /s /spath="%USERPROFILE%\AppData\Local\Temp\OnboardLogs" /stypes="app*4017*20170619*" /stext=" 12:.+((SYSTEM_STATE.+slice.+state.+changed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18"/>
        <v>"%USERPROFILE%\Documents\GitHub\eaglep3\Utilities\RefineRTDCRunTimes.py" --tripid 114-19 --locoid 4017 --swversion DE.1.0.9.0 --startMP 204:232969 --initTime 2017-06-19T06:06:29 --startdatetime 2017-06-19T06:12:29 --delay 1 --endMP 204:150 --enddatetime 2017-06-19T06:52:30 --enforcementcount 0 &gt;&gt;C:\Users\stu\Documents\GitHub\eaglep3-reporting\EC\2017-06-19-refined-times.txt</v>
      </c>
      <c r="AI2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ID","value":"114-19"},{"id":16,"name":"Locomotive ID","value":"4017"},{"id":130,"name":"Impact","value":""},{"id":150,"name":"Time of Event (Mountain Time)","value":"06:52:30"},{"id":151,"name":"Denver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4017 --day 2017-06-19</v>
      </c>
      <c r="AN2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680</v>
      </c>
      <c r="B27" s="7">
        <v>4054</v>
      </c>
      <c r="C27" s="21" t="s">
        <v>202</v>
      </c>
      <c r="D27" s="21" t="s">
        <v>438</v>
      </c>
      <c r="E27" s="13">
        <v>42905.224351851852</v>
      </c>
      <c r="F27" s="13">
        <v>42905.229351851849</v>
      </c>
      <c r="G27" s="7">
        <v>1</v>
      </c>
      <c r="H27" s="21" t="s">
        <v>878</v>
      </c>
      <c r="I27" s="13">
        <v>42905.254594907405</v>
      </c>
      <c r="J27" s="7">
        <v>0</v>
      </c>
      <c r="K27" s="89" t="str">
        <f t="shared" si="0"/>
        <v>4053/4054</v>
      </c>
      <c r="L27" s="21" t="str">
        <f>VLOOKUP(A27,'Trips&amp;Operators'!$C$1:$G$99999,5,FALSE)</f>
        <v>YANAI IAN</v>
      </c>
      <c r="M27" s="6">
        <f t="shared" si="1"/>
        <v>2.5243055555620231E-2</v>
      </c>
      <c r="N27" s="7">
        <f t="shared" si="2"/>
        <v>36.350000000093132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-19T04:23:04-0600',mode:absolute,to:'2017-06-19T07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7" t="str">
        <f>IF(AA27&lt;VLOOKUP(AG27,Variables!$AC$3:$AD$8,2,FALSE),"Y","N")</f>
        <v>N</v>
      </c>
      <c r="X27" s="197">
        <f t="shared" si="22"/>
        <v>1</v>
      </c>
      <c r="Y27" s="197">
        <f t="shared" si="6"/>
        <v>4.6699999999999998E-2</v>
      </c>
      <c r="Z27" s="197">
        <f t="shared" si="7"/>
        <v>23.33</v>
      </c>
      <c r="AA27" s="197">
        <f t="shared" si="8"/>
        <v>23.283299999999997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9"/>
        <v>115</v>
      </c>
      <c r="AE27" s="77" t="str">
        <f t="shared" si="10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27" s="74" t="str">
        <f t="shared" si="11"/>
        <v>"C:\Program Files (x86)\AstroGrep\AstroGrep.exe" /e /r /s /spath="%USERPROFILE%\AppData\Local\Temp\OnboardLogs" /stypes="app*4054*20170619*" /stext=" 12:.+((SYSTEM_STATE.+slice.+state.+changed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18"/>
        <v>"%USERPROFILE%\Documents\GitHub\eaglep3\Utilities\RefineRTDCRunTimes.py" --tripid 115-19 --locoid 4054 --swversion DE.1.0.9.0 --startMP 204:467 --initTime 2017-06-19T05:23:04 --startdatetime 2017-06-19T05:30:16 --delay 1 --endMP 204:233300 --enddatetime 2017-06-19T06:06:37 --enforcementcount 0 &gt;&gt;C:\Users\stu\Documents\GitHub\eaglep3-reporting\EC\2017-06-19-refined-times.txt</v>
      </c>
      <c r="AI2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{"issue":{"subject":"","project_id":79,"tracker_id":40,"status_id":1,"priority_id":2,"assigned_to_id":23,"start_date":"2017-06-19","description":"","custom_fields":[{"id":1,"name":"Subdivision","value":"EC"},{"id":4,"name":"Milepost","value":"23.33"},{"id":17,"name":"Train ID","value":"115-19"},{"id":16,"name":"Locomotive ID","value":"4054"},{"id":130,"name":"Impact","value":""},{"id":150,"name":"Time of Event (Mountain Time)","value":"06:06:37"},{"id":151,"name":"Denver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4054 --day 2017-06-19</v>
      </c>
      <c r="AN2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693</v>
      </c>
      <c r="B28" s="7">
        <v>4053</v>
      </c>
      <c r="C28" s="21" t="s">
        <v>202</v>
      </c>
      <c r="D28" s="21" t="s">
        <v>879</v>
      </c>
      <c r="E28" s="13">
        <v>42905.255925925929</v>
      </c>
      <c r="F28" s="13">
        <v>42905.268923611111</v>
      </c>
      <c r="G28" s="7">
        <v>1</v>
      </c>
      <c r="H28" s="21" t="s">
        <v>348</v>
      </c>
      <c r="I28" s="13">
        <v>42905.29488425926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YANAI IAN</v>
      </c>
      <c r="M28" s="6">
        <f t="shared" si="1"/>
        <v>2.5960648148611654E-2</v>
      </c>
      <c r="N28" s="7">
        <f t="shared" si="2"/>
        <v>37.383333334000781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-19T05:08:32-0600',mode:absolute,to:'2017-06-19T08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7" t="str">
        <f>IF(AA28&lt;VLOOKUP(AG28,Variables!$AC$3:$AD$8,2,FALSE),"Y","N")</f>
        <v>N</v>
      </c>
      <c r="X28" s="197">
        <f t="shared" si="22"/>
        <v>1</v>
      </c>
      <c r="Y28" s="197">
        <f t="shared" si="6"/>
        <v>23.299099999999999</v>
      </c>
      <c r="Z28" s="197">
        <f t="shared" si="7"/>
        <v>1.4999999999999999E-2</v>
      </c>
      <c r="AA28" s="197">
        <f t="shared" si="8"/>
        <v>23.284099999999999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9"/>
        <v>116</v>
      </c>
      <c r="AE28" s="77" t="str">
        <f t="shared" si="10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28" s="74" t="str">
        <f t="shared" si="11"/>
        <v>"C:\Program Files (x86)\AstroGrep\AstroGrep.exe" /e /r /s /spath="%USERPROFILE%\AppData\Local\Temp\OnboardLogs" /stypes="app*4053*20170619*" /stext=" 13:.+((SYSTEM_STATE.+slice.+state.+changed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18"/>
        <v>"%USERPROFILE%\Documents\GitHub\eaglep3\Utilities\RefineRTDCRunTimes.py" --tripid 116-19 --locoid 4053 --swversion DE.1.0.9.0 --startMP 204:232991 --initTime 2017-06-19T06:08:32 --startdatetime 2017-06-19T06:27:15 --delay 1 --endMP 204:150 --enddatetime 2017-06-19T07:04:38 --enforcementcount 0 &gt;&gt;C:\Users\stu\Documents\GitHub\eaglep3-reporting\EC\2017-06-19-refined-times.txt</v>
      </c>
      <c r="AI2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ID","value":"116-19"},{"id":16,"name":"Locomotive ID","value":"4053"},{"id":130,"name":"Impact","value":""},{"id":150,"name":"Time of Event (Mountain Time)","value":"07:04:38"},{"id":151,"name":"Denver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4053 --day 2017-06-19</v>
      </c>
      <c r="AN2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684</v>
      </c>
      <c r="B29" s="7">
        <v>4046</v>
      </c>
      <c r="C29" s="21" t="s">
        <v>202</v>
      </c>
      <c r="D29" s="21" t="s">
        <v>880</v>
      </c>
      <c r="E29" s="13">
        <v>42905.237824074073</v>
      </c>
      <c r="F29" s="13">
        <v>42905.240416666667</v>
      </c>
      <c r="G29" s="7">
        <v>1</v>
      </c>
      <c r="H29" s="21" t="s">
        <v>610</v>
      </c>
      <c r="I29" s="13">
        <v>42905.264918981484</v>
      </c>
      <c r="J29" s="7">
        <v>0</v>
      </c>
      <c r="K29" s="89" t="str">
        <f t="shared" si="0"/>
        <v>4045/4046</v>
      </c>
      <c r="L29" s="21" t="str">
        <f>VLOOKUP(A29,'Trips&amp;Operators'!$C$1:$G$99999,5,FALSE)</f>
        <v>MACDONALD THOMAS</v>
      </c>
      <c r="M29" s="6">
        <f t="shared" si="1"/>
        <v>2.4502314816345461E-2</v>
      </c>
      <c r="N29" s="7">
        <f t="shared" si="2"/>
        <v>35.283333335537463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-19T04:42:28-0600',mode:absolute,to:'2017-06-19T07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97" t="str">
        <f>IF(AA29&lt;VLOOKUP(AG29,Variables!$AC$3:$AD$8,2,FALSE),"Y","N")</f>
        <v>N</v>
      </c>
      <c r="X29" s="197">
        <f t="shared" si="22"/>
        <v>1</v>
      </c>
      <c r="Y29" s="197">
        <f t="shared" si="6"/>
        <v>4.8599999999999997E-2</v>
      </c>
      <c r="Z29" s="197">
        <f t="shared" si="7"/>
        <v>23.335100000000001</v>
      </c>
      <c r="AA29" s="197">
        <f t="shared" si="8"/>
        <v>23.2865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9"/>
        <v>117</v>
      </c>
      <c r="AE29" s="77" t="str">
        <f t="shared" si="10"/>
        <v>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 &amp; 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</v>
      </c>
      <c r="AF29" s="74" t="str">
        <f t="shared" si="11"/>
        <v>"C:\Program Files (x86)\AstroGrep\AstroGrep.exe" /e /r /s /spath="%USERPROFILE%\AppData\Local\Temp\OnboardLogs" /stypes="app*4046*20170619*" /stext=" 12:.+((SYSTEM_STATE.+slice.+state.+changed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si="18"/>
        <v>"%USERPROFILE%\Documents\GitHub\eaglep3\Utilities\RefineRTDCRunTimes.py" --tripid 117-19 --locoid 4046 --swversion DE.1.0.9.0 --startMP 204:486 --initTime 2017-06-19T05:42:28 --startdatetime 2017-06-19T05:46:12 --delay 1 --endMP 204:233351 --enddatetime 2017-06-19T06:21:29 --enforcementcount 0 &gt;&gt;C:\Users\stu\Documents\GitHub\eaglep3-reporting\EC\2017-06-19-refined-times.txt</v>
      </c>
      <c r="AI2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{"issue":{"subject":"","project_id":79,"tracker_id":40,"status_id":1,"priority_id":2,"assigned_to_id":23,"start_date":"2017-06-19","description":"","custom_fields":[{"id":1,"name":"Subdivision","value":"EC"},{"id":4,"name":"Milepost","value":"23.3351"},{"id":17,"name":"Train ID","value":"117-19"},{"id":16,"name":"Locomotive ID","value":"4046"},{"id":130,"name":"Impact","value":""},{"id":150,"name":"Time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4046 --day 2017-06-19</v>
      </c>
      <c r="AN2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4045</v>
      </c>
      <c r="C30" s="21" t="s">
        <v>202</v>
      </c>
      <c r="D30" s="21" t="s">
        <v>881</v>
      </c>
      <c r="E30" s="13">
        <v>42905.269803240742</v>
      </c>
      <c r="F30" s="13">
        <v>42905.279641203706</v>
      </c>
      <c r="G30" s="7">
        <v>13</v>
      </c>
      <c r="H30" s="21" t="s">
        <v>348</v>
      </c>
      <c r="I30" s="13">
        <v>42905.305659722224</v>
      </c>
      <c r="J30" s="7">
        <v>0</v>
      </c>
      <c r="K30" s="89" t="str">
        <f t="shared" si="0"/>
        <v>4045/4046</v>
      </c>
      <c r="L30" s="21" t="str">
        <f>VLOOKUP(A30,'Trips&amp;Operators'!$C$1:$G$99999,5,FALSE)</f>
        <v>MACDONALD THOMAS</v>
      </c>
      <c r="M30" s="6">
        <f t="shared" si="1"/>
        <v>2.6018518517958E-2</v>
      </c>
      <c r="N30" s="7">
        <f t="shared" si="2"/>
        <v>37.46666666585952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-19T05:28:31-0600',mode:absolute,to:'2017-06-19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97" t="str">
        <f>IF(AA30&lt;VLOOKUP(AG30,Variables!$AC$3:$AD$8,2,FALSE),"Y","N")</f>
        <v>N</v>
      </c>
      <c r="X30" s="197">
        <f t="shared" si="22"/>
        <v>1</v>
      </c>
      <c r="Y30" s="197">
        <f t="shared" si="6"/>
        <v>23.303000000000001</v>
      </c>
      <c r="Z30" s="197">
        <f t="shared" si="7"/>
        <v>1.4999999999999999E-2</v>
      </c>
      <c r="AA30" s="197">
        <f t="shared" si="8"/>
        <v>23.288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9"/>
        <v>118</v>
      </c>
      <c r="AE30" s="77" t="str">
        <f t="shared" si="10"/>
        <v>aws s3 cp s3://rtdc.mdm.uploadarchive.raw/RTDC4045/ "%USERPROFILE%\AppData\Local\Temp\OnboardLogs"\RTDC4045\2017-06-19 --exclude "*" --recursive --include "*20170619*" &amp; "%USERPROFILE%\Documents\GitHub\mrs-test-scripts\Headless Mode &amp; Sideloading\WalkAndUnGZ.bat" "%USERPROFILE%\AppData\Local\Temp\OnboardLogs"\RTDC4045\2017-06-19 &amp; 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</v>
      </c>
      <c r="AF30" s="74" t="str">
        <f t="shared" si="11"/>
        <v>"C:\Program Files (x86)\AstroGrep\AstroGrep.exe" /e /r /s /spath="%USERPROFILE%\AppData\Local\Temp\OnboardLogs" /stypes="app*4045*20170619*" /stext=" 13:.+((SYSTEM_STATE.+slice.+state.+changed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18"/>
        <v>"%USERPROFILE%\Documents\GitHub\eaglep3\Utilities\RefineRTDCRunTimes.py" --tripid 118-19 --locoid 4045 --swversion DE.1.0.9.0 --startMP 204:233030 --initTime 2017-06-19T06:28:31 --startdatetime 2017-06-19T06:42:41 --delay 13 --endMP 204:150 --enddatetime 2017-06-19T07:20:09 --enforcementcount 0 &gt;&gt;C:\Users\stu\Documents\GitHub\eaglep3-reporting\EC\2017-06-19-refined-times.txt</v>
      </c>
      <c r="AI3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ID","value":"118-19"},{"id":16,"name":"Locomotive ID","value":"4045"},{"id":130,"name":"Impact","value":""},{"id":150,"name":"Time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4045 --day 2017-06-19</v>
      </c>
      <c r="AN3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686</v>
      </c>
      <c r="B31" s="7">
        <v>4008</v>
      </c>
      <c r="C31" s="21" t="s">
        <v>202</v>
      </c>
      <c r="D31" s="21" t="s">
        <v>354</v>
      </c>
      <c r="E31" s="13">
        <v>42905.246180555558</v>
      </c>
      <c r="F31" s="13">
        <v>42905.250162037039</v>
      </c>
      <c r="G31" s="7">
        <v>1</v>
      </c>
      <c r="H31" s="21" t="s">
        <v>614</v>
      </c>
      <c r="I31" s="13">
        <v>42905.27616898148</v>
      </c>
      <c r="J31" s="7">
        <v>0</v>
      </c>
      <c r="K31" s="89" t="str">
        <f t="shared" si="0"/>
        <v>4007/4008</v>
      </c>
      <c r="L31" s="21" t="str">
        <f>VLOOKUP(A31,'Trips&amp;Operators'!$C$1:$G$99999,5,FALSE)</f>
        <v>STARKS ANGELINA</v>
      </c>
      <c r="M31" s="6">
        <f t="shared" si="1"/>
        <v>2.6006944441178348E-2</v>
      </c>
      <c r="N31" s="7">
        <f t="shared" si="2"/>
        <v>37.449999995296821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-19T04:54:30-0600',mode:absolute,to:'2017-06-19T07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7" t="str">
        <f>IF(AA31&lt;VLOOKUP(AG31,Variables!$AC$3:$AD$8,2,FALSE),"Y","N")</f>
        <v>N</v>
      </c>
      <c r="X31" s="197">
        <f t="shared" si="22"/>
        <v>1</v>
      </c>
      <c r="Y31" s="197">
        <f t="shared" si="6"/>
        <v>4.53E-2</v>
      </c>
      <c r="Z31" s="197">
        <f t="shared" si="7"/>
        <v>23.330400000000001</v>
      </c>
      <c r="AA31" s="197">
        <f t="shared" si="8"/>
        <v>23.2851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9"/>
        <v>119</v>
      </c>
      <c r="AE31" s="77" t="str">
        <f t="shared" si="10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31" s="74" t="str">
        <f t="shared" si="11"/>
        <v>"C:\Program Files (x86)\AstroGrep\AstroGrep.exe" /e /r /s /spath="%USERPROFILE%\AppData\Local\Temp\OnboardLogs" /stypes="app*4008*20170619*" /stext=" 12:.+((SYSTEM_STATE.+slice.+state.+changed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18"/>
        <v>"%USERPROFILE%\Documents\GitHub\eaglep3\Utilities\RefineRTDCRunTimes.py" --tripid 119-19 --locoid 4008 --swversion DE.1.0.9.0 --startMP 204:453 --initTime 2017-06-19T05:54:30 --startdatetime 2017-06-19T06:00:14 --delay 1 --endMP 204:233304 --enddatetime 2017-06-19T06:37:41 --enforcementcount 0 &gt;&gt;C:\Users\stu\Documents\GitHub\eaglep3-reporting\EC\2017-06-19-refined-times.txt</v>
      </c>
      <c r="AI3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{"issue":{"subject":"","project_id":79,"tracker_id":40,"status_id":1,"priority_id":2,"assigned_to_id":23,"start_date":"2017-06-19","description":"","custom_fields":[{"id":1,"name":"Subdivision","value":"EC"},{"id":4,"name":"Milepost","value":"23.3304"},{"id":17,"name":"Train ID","value":"119-19"},{"id":16,"name":"Locomotive ID","value":"4008"},{"id":130,"name":"Impact","value":""},{"id":150,"name":"Time of Event (Mountain Time)","value":"06:37:41"},{"id":151,"name":"Denver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4008 --day 2017-06-19</v>
      </c>
      <c r="AN3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621</v>
      </c>
      <c r="B32" s="7">
        <v>4007</v>
      </c>
      <c r="C32" s="21" t="s">
        <v>202</v>
      </c>
      <c r="D32" s="21" t="s">
        <v>450</v>
      </c>
      <c r="E32" s="13">
        <v>42905.28769675926</v>
      </c>
      <c r="F32" s="13">
        <v>42905.289768518516</v>
      </c>
      <c r="G32" s="7">
        <v>1</v>
      </c>
      <c r="H32" s="21" t="s">
        <v>358</v>
      </c>
      <c r="I32" s="13">
        <v>42905.318206018521</v>
      </c>
      <c r="J32" s="7">
        <v>0</v>
      </c>
      <c r="K32" s="89" t="str">
        <f t="shared" si="0"/>
        <v>4007/4008</v>
      </c>
      <c r="L32" s="21" t="str">
        <f>VLOOKUP(A32,'Trips&amp;Operators'!$C$1:$G$99999,5,FALSE)</f>
        <v>STARKS ANGELINA</v>
      </c>
      <c r="M32" s="6">
        <f t="shared" si="1"/>
        <v>2.8437500004656613E-2</v>
      </c>
      <c r="N32" s="7">
        <f t="shared" si="2"/>
        <v>40.950000006705523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-19T05:54:17-0600',mode:absolute,to:'2017-06-19T08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7" t="str">
        <f>IF(AA32&lt;VLOOKUP(AG32,Variables!$AC$3:$AD$8,2,FALSE),"Y","N")</f>
        <v>N</v>
      </c>
      <c r="X32" s="197">
        <f t="shared" si="22"/>
        <v>1</v>
      </c>
      <c r="Y32" s="197">
        <f t="shared" si="6"/>
        <v>23.299600000000002</v>
      </c>
      <c r="Z32" s="197">
        <f t="shared" si="7"/>
        <v>1.41E-2</v>
      </c>
      <c r="AA32" s="197">
        <f t="shared" si="8"/>
        <v>23.285500000000003</v>
      </c>
      <c r="AB32" s="54" t="str">
        <f>VLOOKUP(A32,Enforcements!$C$7:$K$13,8,0)</f>
        <v>Bulletin (2)</v>
      </c>
      <c r="AC32" s="51" t="str">
        <f>VLOOKUP(A32,Enforcements!$C$7:$E$13,3,0)</f>
        <v>GRADE CROSSING</v>
      </c>
      <c r="AD32" s="206">
        <f t="shared" si="9"/>
        <v>120</v>
      </c>
      <c r="AE32" s="77" t="str">
        <f t="shared" si="10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32" s="74" t="str">
        <f t="shared" si="11"/>
        <v>"C:\Program Files (x86)\AstroGrep\AstroGrep.exe" /e /r /s /spath="%USERPROFILE%\AppData\Local\Temp\OnboardLogs" /stypes="app*4007*20170619*" /stext=" 13:.+((SYSTEM_STATE.+slice.+state.+changed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18"/>
        <v>"%USERPROFILE%\Documents\GitHub\eaglep3\Utilities\RefineRTDCRunTimes.py" --tripid 120-19 --locoid 4007 --swversion DE.1.0.9.0 --startMP 204:232996 --initTime 2017-06-19T06:54:17 --startdatetime 2017-06-19T06:57:16 --delay 1 --endMP 204:141 --enddatetime 2017-06-19T07:38:13 --enforcementcount 0 &gt;&gt;C:\Users\stu\Documents\GitHub\eaglep3-reporting\EC\2017-06-19-refined-times.txt</v>
      </c>
      <c r="AI3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{"issue":{"subject":"","project_id":79,"tracker_id":40,"status_id":1,"priority_id":2,"assigned_to_id":23,"start_date":"2017-06-19","description":"","custom_fields":[{"id":1,"name":"Subdivision","value":"EC"},{"id":4,"name":"Milepost","value":"0.0141"},{"id":17,"name":"Train ID","value":"120-19"},{"id":16,"name":"Locomotive ID","value":"4007"},{"id":130,"name":"Impact","value":""},{"id":150,"name":"Time of Event (Mountain Time)","value":"07:38:13"},{"id":151,"name":"Denver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4007 --day 2017-06-19</v>
      </c>
      <c r="AN3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692</v>
      </c>
      <c r="B33" s="7">
        <v>4044</v>
      </c>
      <c r="C33" s="21" t="s">
        <v>202</v>
      </c>
      <c r="D33" s="21" t="s">
        <v>354</v>
      </c>
      <c r="E33" s="13">
        <v>42905.255393518521</v>
      </c>
      <c r="F33" s="13">
        <v>42905.260601851849</v>
      </c>
      <c r="G33" s="7">
        <v>1</v>
      </c>
      <c r="H33" s="21" t="s">
        <v>586</v>
      </c>
      <c r="I33" s="13">
        <v>42905.285254629627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LALONDE GREGORY</v>
      </c>
      <c r="M33" s="6">
        <f t="shared" si="1"/>
        <v>2.4652777778101154E-2</v>
      </c>
      <c r="N33" s="7">
        <f t="shared" si="2"/>
        <v>35.500000000465661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-19T05:07:46-0600',mode:absolute,to:'2017-06-19T07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>IF(AA33&lt;VLOOKUP(AG33,Variables!$AC$3:$AD$8,2,FALSE),"Y","N")</f>
        <v>N</v>
      </c>
      <c r="X33" s="197">
        <f t="shared" si="22"/>
        <v>1</v>
      </c>
      <c r="Y33" s="197">
        <f t="shared" si="6"/>
        <v>4.53E-2</v>
      </c>
      <c r="Z33" s="197">
        <f t="shared" si="7"/>
        <v>23.330500000000001</v>
      </c>
      <c r="AA33" s="197">
        <f t="shared" si="8"/>
        <v>23.2852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9"/>
        <v>121</v>
      </c>
      <c r="AE33" s="77" t="str">
        <f t="shared" si="10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33" s="74" t="str">
        <f t="shared" si="11"/>
        <v>"C:\Program Files (x86)\AstroGrep\AstroGrep.exe" /e /r /s /spath="%USERPROFILE%\AppData\Local\Temp\OnboardLogs" /stypes="app*4044*20170619*" /stext=" 12:.+((SYSTEM_STATE.+slice.+state.+changed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18"/>
        <v>"%USERPROFILE%\Documents\GitHub\eaglep3\Utilities\RefineRTDCRunTimes.py" --tripid 121-19 --locoid 4044 --swversion DE.1.0.9.0 --startMP 204:453 --initTime 2017-06-19T06:07:46 --startdatetime 2017-06-19T06:15:16 --delay 1 --endMP 204:233305 --enddatetime 2017-06-19T06:50:46 --enforcementcount 0 &gt;&gt;C:\Users\stu\Documents\GitHub\eaglep3-reporting\EC\2017-06-19-refined-times.txt</v>
      </c>
      <c r="AI3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{"issue":{"subject":"","project_id":79,"tracker_id":40,"status_id":1,"priority_id":2,"assigned_to_id":23,"start_date":"2017-06-19","description":"","custom_fields":[{"id":1,"name":"Subdivision","value":"EC"},{"id":4,"name":"Milepost","value":"23.3305"},{"id":17,"name":"Train ID","value":"121-19"},{"id":16,"name":"Locomotive ID","value":"4044"},{"id":130,"name":"Impact","value":""},{"id":150,"name":"Time of Event (Mountain Time)","value":"06:50:46"},{"id":151,"name":"Denver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4044 --day 2017-06-19</v>
      </c>
      <c r="AN3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700</v>
      </c>
      <c r="B34" s="7">
        <v>4043</v>
      </c>
      <c r="C34" s="21" t="s">
        <v>202</v>
      </c>
      <c r="D34" s="21" t="s">
        <v>539</v>
      </c>
      <c r="E34" s="13">
        <v>42905.287465277775</v>
      </c>
      <c r="F34" s="13">
        <v>42905.300185185188</v>
      </c>
      <c r="G34" s="7">
        <v>1</v>
      </c>
      <c r="H34" s="21" t="s">
        <v>449</v>
      </c>
      <c r="I34" s="13">
        <v>42905.327118055553</v>
      </c>
      <c r="J34" s="7">
        <v>0</v>
      </c>
      <c r="K34" s="89" t="str">
        <f t="shared" si="0"/>
        <v>4043/4044</v>
      </c>
      <c r="L34" s="21" t="str">
        <f>VLOOKUP(A34,'Trips&amp;Operators'!$C$1:$G$99999,5,FALSE)</f>
        <v>LALONDE GREGORY</v>
      </c>
      <c r="M34" s="6">
        <f t="shared" si="1"/>
        <v>2.693287036527181E-2</v>
      </c>
      <c r="N34" s="7">
        <f t="shared" si="2"/>
        <v>38.783333325991407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-19T05:53:57-0600',mode:absolute,to:'2017-06-19T08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>IF(AA34&lt;VLOOKUP(AG34,Variables!$AC$3:$AD$8,2,FALSE),"Y","N")</f>
        <v>N</v>
      </c>
      <c r="X34" s="197">
        <f t="shared" si="22"/>
        <v>1</v>
      </c>
      <c r="Y34" s="197">
        <f t="shared" si="6"/>
        <v>23.2988</v>
      </c>
      <c r="Z34" s="197">
        <f t="shared" si="7"/>
        <v>1.3599999999999999E-2</v>
      </c>
      <c r="AA34" s="197">
        <f t="shared" si="8"/>
        <v>23.2852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9"/>
        <v>122</v>
      </c>
      <c r="AE34" s="77" t="str">
        <f t="shared" si="10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34" s="74" t="str">
        <f t="shared" si="11"/>
        <v>"C:\Program Files (x86)\AstroGrep\AstroGrep.exe" /e /r /s /spath="%USERPROFILE%\AppData\Local\Temp\OnboardLogs" /stypes="app*4043*20170619*" /stext=" 13:.+((SYSTEM_STATE.+slice.+state.+changed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18"/>
        <v>"%USERPROFILE%\Documents\GitHub\eaglep3\Utilities\RefineRTDCRunTimes.py" --tripid 122-19 --locoid 4043 --swversion DE.1.0.9.0 --startMP 204:232988 --initTime 2017-06-19T06:53:57 --startdatetime 2017-06-19T07:12:16 --delay 1 --endMP 204:136 --enddatetime 2017-06-19T07:51:03 --enforcementcount 0 &gt;&gt;C:\Users\stu\Documents\GitHub\eaglep3-reporting\EC\2017-06-19-refined-times.txt</v>
      </c>
      <c r="AI3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{"issue":{"subject":"","project_id":79,"tracker_id":40,"status_id":1,"priority_id":2,"assigned_to_id":23,"start_date":"2017-06-19","description":"","custom_fields":[{"id":1,"name":"Subdivision","value":"EC"},{"id":4,"name":"Milepost","value":"0.0136"},{"id":17,"name":"Train ID","value":"122-19"},{"id":16,"name":"Locomotive ID","value":"4043"},{"id":130,"name":"Impact","value":""},{"id":150,"name":"Time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4043 --day 2017-06-19</v>
      </c>
      <c r="AN3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695</v>
      </c>
      <c r="B35" s="7">
        <v>4058</v>
      </c>
      <c r="C35" s="21" t="s">
        <v>202</v>
      </c>
      <c r="D35" s="21" t="s">
        <v>347</v>
      </c>
      <c r="E35" s="13">
        <v>42905.269918981481</v>
      </c>
      <c r="F35" s="13">
        <v>42905.271168981482</v>
      </c>
      <c r="G35" s="7">
        <v>1</v>
      </c>
      <c r="H35" s="21" t="s">
        <v>540</v>
      </c>
      <c r="I35" s="13">
        <v>42905.297534722224</v>
      </c>
      <c r="J35" s="7">
        <v>0</v>
      </c>
      <c r="K35" s="89" t="str">
        <f t="shared" si="0"/>
        <v>4057/4058</v>
      </c>
      <c r="L35" s="21" t="str">
        <f>VLOOKUP(A35,'Trips&amp;Operators'!$C$1:$G$99999,5,FALSE)</f>
        <v>WILLIAMS DONTE</v>
      </c>
      <c r="M35" s="6">
        <f t="shared" si="1"/>
        <v>2.6365740741312038E-2</v>
      </c>
      <c r="N35" s="7">
        <f t="shared" si="2"/>
        <v>37.966666667489335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-19T05:28:41-0600',mode:absolute,to:'2017-06-19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7" t="str">
        <f>IF(AA35&lt;VLOOKUP(AG35,Variables!$AC$3:$AD$8,2,FALSE),"Y","N")</f>
        <v>N</v>
      </c>
      <c r="X35" s="197">
        <f t="shared" si="22"/>
        <v>1</v>
      </c>
      <c r="Y35" s="197">
        <f t="shared" si="6"/>
        <v>4.4600000000000001E-2</v>
      </c>
      <c r="Z35" s="197">
        <f t="shared" si="7"/>
        <v>23.3306</v>
      </c>
      <c r="AA35" s="197">
        <f t="shared" si="8"/>
        <v>23.286000000000001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9"/>
        <v>123</v>
      </c>
      <c r="AE35" s="77" t="str">
        <f t="shared" si="10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35" s="74" t="str">
        <f t="shared" si="11"/>
        <v>"C:\Program Files (x86)\AstroGrep\AstroGrep.exe" /e /r /s /spath="%USERPROFILE%\AppData\Local\Temp\OnboardLogs" /stypes="app*4058*20170619*"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18"/>
        <v>"%USERPROFILE%\Documents\GitHub\eaglep3\Utilities\RefineRTDCRunTimes.py" --tripid 123-19 --locoid 4058 --swversion DE.1.0.9.0 --startMP 204:446 --initTime 2017-06-19T06:28:41 --startdatetime 2017-06-19T06:30:29 --delay 1 --endMP 204:233306 --enddatetime 2017-06-19T07:08:27 --enforcementcount 0 &gt;&gt;C:\Users\stu\Documents\GitHub\eaglep3-reporting\EC\2017-06-19-refined-times.txt</v>
      </c>
      <c r="AI3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{"issue":{"subject":"","project_id":79,"tracker_id":40,"status_id":1,"priority_id":2,"assigned_to_id":23,"start_date":"2017-06-19","description":"","custom_fields":[{"id":1,"name":"Subdivision","value":"EC"},{"id":4,"name":"Milepost","value":"23.3306"},{"id":17,"name":"Train ID","value":"123-19"},{"id":16,"name":"Locomotive ID","value":"4058"},{"id":130,"name":"Impact","value":""},{"id":150,"name":"Time of Event (Mountain Time)","value":"07:08:27"},{"id":151,"name":"Denver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4058 --day 2017-06-19</v>
      </c>
      <c r="AN3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702</v>
      </c>
      <c r="B36" s="7">
        <v>4057</v>
      </c>
      <c r="C36" s="21" t="s">
        <v>202</v>
      </c>
      <c r="D36" s="21" t="s">
        <v>450</v>
      </c>
      <c r="E36" s="13">
        <v>42905.299675925926</v>
      </c>
      <c r="F36" s="13">
        <v>42905.310995370368</v>
      </c>
      <c r="G36" s="7">
        <v>1</v>
      </c>
      <c r="H36" s="21" t="s">
        <v>359</v>
      </c>
      <c r="I36" s="13">
        <v>42905.342013888891</v>
      </c>
      <c r="J36" s="7">
        <v>0</v>
      </c>
      <c r="K36" s="89" t="str">
        <f t="shared" si="0"/>
        <v>4057/4058</v>
      </c>
      <c r="L36" s="21" t="str">
        <f>VLOOKUP(A36,'Trips&amp;Operators'!$C$1:$G$99999,5,FALSE)</f>
        <v>WILLIAMS DONTE</v>
      </c>
      <c r="M36" s="6">
        <f t="shared" si="1"/>
        <v>3.1018518522614613E-2</v>
      </c>
      <c r="N36" s="7">
        <f t="shared" si="2"/>
        <v>44.666666672565043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-19T06:11:32-0600',mode:absolute,to:'2017-06-19T09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7" t="str">
        <f>IF(AA36&lt;VLOOKUP(AG36,Variables!$AC$3:$AD$8,2,FALSE),"Y","N")</f>
        <v>N</v>
      </c>
      <c r="X36" s="197">
        <f t="shared" si="22"/>
        <v>1</v>
      </c>
      <c r="Y36" s="197">
        <f t="shared" si="6"/>
        <v>23.299600000000002</v>
      </c>
      <c r="Z36" s="197">
        <f t="shared" si="7"/>
        <v>1.47E-2</v>
      </c>
      <c r="AA36" s="197">
        <f t="shared" si="8"/>
        <v>23.2849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9"/>
        <v>124</v>
      </c>
      <c r="AE36" s="77" t="str">
        <f t="shared" si="10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36" s="74" t="str">
        <f t="shared" si="11"/>
        <v>"C:\Program Files (x86)\AstroGrep\AstroGrep.exe" /e /r /s /spath="%USERPROFILE%\AppData\Local\Temp\OnboardLogs" /stypes="app*4057*20170619*" /stext=" 14:.+((SYSTEM_STATE.+slice.+state.+changed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18"/>
        <v>"%USERPROFILE%\Documents\GitHub\eaglep3\Utilities\RefineRTDCRunTimes.py" --tripid 124-19 --locoid 4057 --swversion DE.1.0.9.0 --startMP 204:232996 --initTime 2017-06-19T07:11:32 --startdatetime 2017-06-19T07:27:50 --delay 1 --endMP 204:147 --enddatetime 2017-06-19T08:12:30 --enforcementcount 0 &gt;&gt;C:\Users\stu\Documents\GitHub\eaglep3-reporting\EC\2017-06-19-refined-times.txt</v>
      </c>
      <c r="AI3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{"issue":{"subject":"","project_id":79,"tracker_id":40,"status_id":1,"priority_id":2,"assigned_to_id":23,"start_date":"2017-06-19","description":"","custom_fields":[{"id":1,"name":"Subdivision","value":"EC"},{"id":4,"name":"Milepost","value":"0.0147"},{"id":17,"name":"Train ID","value":"124-19"},{"id":16,"name":"Locomotive ID","value":"4057"},{"id":130,"name":"Impact","value":""},{"id":150,"name":"Time of Event (Mountain Time)","value":"08:12:30"},{"id":151,"name":"Denver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4057 --day 2017-06-19</v>
      </c>
      <c r="AN3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14:12:30"},{"id":29,"name":"Sharepoint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699</v>
      </c>
      <c r="B37" s="7">
        <v>4016</v>
      </c>
      <c r="C37" s="21" t="s">
        <v>202</v>
      </c>
      <c r="D37" s="21" t="s">
        <v>460</v>
      </c>
      <c r="E37" s="13">
        <v>42905.279166666667</v>
      </c>
      <c r="F37" s="13">
        <v>42905.281608796293</v>
      </c>
      <c r="G37" s="7">
        <v>1</v>
      </c>
      <c r="H37" s="21" t="s">
        <v>882</v>
      </c>
      <c r="I37" s="13">
        <v>42905.305983796294</v>
      </c>
      <c r="J37" s="7">
        <v>0</v>
      </c>
      <c r="K37" s="89" t="str">
        <f t="shared" si="0"/>
        <v>4015/4016</v>
      </c>
      <c r="L37" s="21" t="str">
        <f>VLOOKUP(A37,'Trips&amp;Operators'!$C$1:$G$99999,5,FALSE)</f>
        <v>MAELZER KURT</v>
      </c>
      <c r="M37" s="6">
        <f t="shared" si="1"/>
        <v>2.4375000000873115E-2</v>
      </c>
      <c r="N37" s="7">
        <f t="shared" si="2"/>
        <v>35.100000001257285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-19T05:42:00-0600',mode:absolute,to:'2017-06-19T08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7" t="str">
        <f>IF(AA37&lt;VLOOKUP(AG37,Variables!$AC$3:$AD$8,2,FALSE),"Y","N")</f>
        <v>N</v>
      </c>
      <c r="X37" s="197">
        <f t="shared" si="22"/>
        <v>1</v>
      </c>
      <c r="Y37" s="197">
        <f t="shared" si="6"/>
        <v>4.4200000000000003E-2</v>
      </c>
      <c r="Z37" s="197">
        <f t="shared" si="7"/>
        <v>23.330100000000002</v>
      </c>
      <c r="AA37" s="197">
        <f t="shared" si="8"/>
        <v>23.285900000000002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9"/>
        <v>125</v>
      </c>
      <c r="AE37" s="77" t="str">
        <f t="shared" si="10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37" s="74" t="str">
        <f t="shared" si="11"/>
        <v>"C:\Program Files (x86)\AstroGrep\AstroGrep.exe" /e /r /s /spath="%USERPROFILE%\AppData\Local\Temp\OnboardLogs" /stypes="app*4016*20170619*" /stext=" 13:.+((SYSTEM_STATE.+slice.+state.+changed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18"/>
        <v>"%USERPROFILE%\Documents\GitHub\eaglep3\Utilities\RefineRTDCRunTimes.py" --tripid 125-19 --locoid 4016 --swversion DE.1.0.9.0 --startMP 204:442 --initTime 2017-06-19T06:42:00 --startdatetime 2017-06-19T06:45:31 --delay 1 --endMP 204:233301 --enddatetime 2017-06-19T07:20:37 --enforcementcount 0 &gt;&gt;C:\Users\stu\Documents\GitHub\eaglep3-reporting\EC\2017-06-19-refined-times.txt</v>
      </c>
      <c r="AI3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{"issue":{"subject":"","project_id":79,"tracker_id":40,"status_id":1,"priority_id":2,"assigned_to_id":23,"start_date":"2017-06-19","description":"","custom_fields":[{"id":1,"name":"Subdivision","value":"EC"},{"id":4,"name":"Milepost","value":"23.3301"},{"id":17,"name":"Train ID","value":"125-19"},{"id":16,"name":"Locomotive ID","value":"4016"},{"id":130,"name":"Impact","value":""},{"id":150,"name":"Time of Event (Mountain Time)","value":"07:20:37"},{"id":151,"name":"Denver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4016 --day 2017-06-19</v>
      </c>
      <c r="AN3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705</v>
      </c>
      <c r="B38" s="7">
        <v>4015</v>
      </c>
      <c r="C38" s="21" t="s">
        <v>202</v>
      </c>
      <c r="D38" s="21" t="s">
        <v>582</v>
      </c>
      <c r="E38" s="13">
        <v>42905.314143518517</v>
      </c>
      <c r="F38" s="13">
        <v>42905.321250000001</v>
      </c>
      <c r="G38" s="7">
        <v>1</v>
      </c>
      <c r="H38" s="21" t="s">
        <v>533</v>
      </c>
      <c r="I38" s="13">
        <v>42905.347858796296</v>
      </c>
      <c r="J38" s="7">
        <v>0</v>
      </c>
      <c r="K38" s="89" t="str">
        <f t="shared" si="0"/>
        <v>4015/4016</v>
      </c>
      <c r="L38" s="21" t="str">
        <f>VLOOKUP(A38,'Trips&amp;Operators'!$C$1:$G$99999,5,FALSE)</f>
        <v>MAELZER KURT</v>
      </c>
      <c r="M38" s="6">
        <f t="shared" si="1"/>
        <v>2.6608796295477077E-2</v>
      </c>
      <c r="N38" s="7">
        <f t="shared" si="2"/>
        <v>38.316666665486991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-19T06:32:22-0600',mode:absolute,to:'2017-06-19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7" t="str">
        <f>IF(AA38&lt;VLOOKUP(AG38,Variables!$AC$3:$AD$8,2,FALSE),"Y","N")</f>
        <v>N</v>
      </c>
      <c r="X38" s="197">
        <f t="shared" si="22"/>
        <v>1</v>
      </c>
      <c r="Y38" s="197">
        <f t="shared" si="6"/>
        <v>23.2986</v>
      </c>
      <c r="Z38" s="197">
        <f t="shared" si="7"/>
        <v>1.32E-2</v>
      </c>
      <c r="AA38" s="197">
        <f t="shared" si="8"/>
        <v>23.285399999999999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9"/>
        <v>126</v>
      </c>
      <c r="AE38" s="77" t="str">
        <f t="shared" si="10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38" s="74" t="str">
        <f t="shared" si="11"/>
        <v>"C:\Program Files (x86)\AstroGrep\AstroGrep.exe" /e /r /s /spath="%USERPROFILE%\AppData\Local\Temp\OnboardLogs" /stypes="app*4015*20170619*" /stext=" 14:.+((SYSTEM_STATE.+slice.+state.+changed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18"/>
        <v>"%USERPROFILE%\Documents\GitHub\eaglep3\Utilities\RefineRTDCRunTimes.py" --tripid 126-19 --locoid 4015 --swversion DE.1.0.9.0 --startMP 204:232986 --initTime 2017-06-19T07:32:22 --startdatetime 2017-06-19T07:42:36 --delay 1 --endMP 204:132 --enddatetime 2017-06-19T08:20:55 --enforcementcount 0 &gt;&gt;C:\Users\stu\Documents\GitHub\eaglep3-reporting\EC\2017-06-19-refined-times.txt</v>
      </c>
      <c r="AI3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{"issue":{"subject":"","project_id":79,"tracker_id":40,"status_id":1,"priority_id":2,"assigned_to_id":23,"start_date":"2017-06-19","description":"","custom_fields":[{"id":1,"name":"Subdivision","value":"EC"},{"id":4,"name":"Milepost","value":"0.0132"},{"id":17,"name":"Train ID","value":"126-19"},{"id":16,"name":"Locomotive ID","value":"4015"},{"id":130,"name":"Impact","value":""},{"id":150,"name":"Time of Event (Mountain Time)","value":"08:20:55"},{"id":151,"name":"Denver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4015 --day 2017-06-19</v>
      </c>
      <c r="AN3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701</v>
      </c>
      <c r="B39" s="7">
        <v>4018</v>
      </c>
      <c r="C39" s="21" t="s">
        <v>202</v>
      </c>
      <c r="D39" s="21" t="s">
        <v>506</v>
      </c>
      <c r="E39" s="13">
        <v>42905.289490740739</v>
      </c>
      <c r="F39" s="13">
        <v>42905.29184027778</v>
      </c>
      <c r="G39" s="7">
        <v>1</v>
      </c>
      <c r="H39" s="21" t="s">
        <v>883</v>
      </c>
      <c r="I39" s="13">
        <v>42905.317071759258</v>
      </c>
      <c r="J39" s="7">
        <v>0</v>
      </c>
      <c r="K39" s="89" t="str">
        <f t="shared" si="0"/>
        <v>4017/4018</v>
      </c>
      <c r="L39" s="21" t="str">
        <f>VLOOKUP(A39,'Trips&amp;Operators'!$C$1:$G$99999,5,FALSE)</f>
        <v>HELVIE ADAM</v>
      </c>
      <c r="M39" s="6">
        <f t="shared" si="1"/>
        <v>2.5231481478840578E-2</v>
      </c>
      <c r="N39" s="7">
        <f t="shared" si="2"/>
        <v>36.333333329530433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-19T05:56:52-0600',mode:absolute,to:'2017-06-19T08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7" t="str">
        <f>IF(AA39&lt;VLOOKUP(AG39,Variables!$AC$3:$AD$8,2,FALSE),"Y","N")</f>
        <v>N</v>
      </c>
      <c r="X39" s="197">
        <f t="shared" si="22"/>
        <v>1</v>
      </c>
      <c r="Y39" s="197">
        <f t="shared" si="6"/>
        <v>4.5499999999999999E-2</v>
      </c>
      <c r="Z39" s="197">
        <f t="shared" si="7"/>
        <v>23.330200000000001</v>
      </c>
      <c r="AA39" s="197">
        <f t="shared" si="8"/>
        <v>23.284700000000001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9"/>
        <v>127</v>
      </c>
      <c r="AE39" s="77" t="str">
        <f t="shared" si="10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39" s="74" t="str">
        <f t="shared" si="11"/>
        <v>"C:\Program Files (x86)\AstroGrep\AstroGrep.exe" /e /r /s /spath="%USERPROFILE%\AppData\Local\Temp\OnboardLogs" /stypes="app*4018*20170619*" /stext=" 13:.+((SYSTEM_STATE.+slice.+state.+changed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18"/>
        <v>"%USERPROFILE%\Documents\GitHub\eaglep3\Utilities\RefineRTDCRunTimes.py" --tripid 127-19 --locoid 4018 --swversion DE.1.0.9.0 --startMP 204:455 --initTime 2017-06-19T06:56:52 --startdatetime 2017-06-19T07:00:15 --delay 1 --endMP 204:233302 --enddatetime 2017-06-19T07:36:35 --enforcementcount 0 &gt;&gt;C:\Users\stu\Documents\GitHub\eaglep3-reporting\EC\2017-06-19-refined-times.txt</v>
      </c>
      <c r="AI3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{"issue":{"subject":"","project_id":79,"tracker_id":40,"status_id":1,"priority_id":2,"assigned_to_id":23,"start_date":"2017-06-19","description":"","custom_fields":[{"id":1,"name":"Subdivision","value":"EC"},{"id":4,"name":"Milepost","value":"23.3302"},{"id":17,"name":"Train ID","value":"127-19"},{"id":16,"name":"Locomotive ID","value":"4018"},{"id":130,"name":"Impact","value":""},{"id":150,"name":"Time of Event (Mountain Time)","value":"07:36:35"},{"id":151,"name":"Denver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4018 --day 2017-06-19</v>
      </c>
      <c r="AN3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708</v>
      </c>
      <c r="B40" s="7">
        <v>4017</v>
      </c>
      <c r="C40" s="21" t="s">
        <v>202</v>
      </c>
      <c r="D40" s="21" t="s">
        <v>884</v>
      </c>
      <c r="E40" s="13">
        <v>42905.327141203707</v>
      </c>
      <c r="F40" s="13">
        <v>42905.33148148148</v>
      </c>
      <c r="G40" s="7">
        <v>1</v>
      </c>
      <c r="H40" s="21" t="s">
        <v>439</v>
      </c>
      <c r="I40" s="13">
        <v>42905.35800925926</v>
      </c>
      <c r="J40" s="7">
        <v>0</v>
      </c>
      <c r="K40" s="89" t="str">
        <f t="shared" si="0"/>
        <v>4017/4018</v>
      </c>
      <c r="L40" s="21" t="str">
        <f>VLOOKUP(A40,'Trips&amp;Operators'!$C$1:$G$99999,5,FALSE)</f>
        <v>HELVIE ADAM</v>
      </c>
      <c r="M40" s="6">
        <f t="shared" si="1"/>
        <v>2.6527777779847383E-2</v>
      </c>
      <c r="N40" s="7">
        <f t="shared" si="2"/>
        <v>38.200000002980232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-19T06:51:05-0600',mode:absolute,to:'2017-06-19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7" t="str">
        <f>IF(AA40&lt;VLOOKUP(AG40,Variables!$AC$3:$AD$8,2,FALSE),"Y","N")</f>
        <v>N</v>
      </c>
      <c r="X40" s="197">
        <f t="shared" si="22"/>
        <v>1</v>
      </c>
      <c r="Y40" s="197">
        <f t="shared" si="6"/>
        <v>23.2972</v>
      </c>
      <c r="Z40" s="197">
        <f t="shared" si="7"/>
        <v>1.5599999999999999E-2</v>
      </c>
      <c r="AA40" s="197">
        <f t="shared" si="8"/>
        <v>23.281600000000001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9"/>
        <v>128</v>
      </c>
      <c r="AE40" s="77" t="str">
        <f t="shared" si="10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40" s="74" t="str">
        <f t="shared" si="11"/>
        <v>"C:\Program Files (x86)\AstroGrep\AstroGrep.exe" /e /r /s /spath="%USERPROFILE%\AppData\Local\Temp\OnboardLogs" /stypes="app*4017*20170619*" /stext=" 14:.+((SYSTEM_STATE.+slice.+state.+changed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18"/>
        <v>"%USERPROFILE%\Documents\GitHub\eaglep3\Utilities\RefineRTDCRunTimes.py" --tripid 128-19 --locoid 4017 --swversion DE.1.0.9.0 --startMP 204:232972 --initTime 2017-06-19T07:51:05 --startdatetime 2017-06-19T07:57:20 --delay 1 --endMP 204:156 --enddatetime 2017-06-19T08:35:32 --enforcementcount 0 &gt;&gt;C:\Users\stu\Documents\GitHub\eaglep3-reporting\EC\2017-06-19-refined-times.txt</v>
      </c>
      <c r="AI4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{"issue":{"subject":"","project_id":79,"tracker_id":40,"status_id":1,"priority_id":2,"assigned_to_id":23,"start_date":"2017-06-19","description":"","custom_fields":[{"id":1,"name":"Subdivision","value":"EC"},{"id":4,"name":"Milepost","value":"0.0156"},{"id":17,"name":"Train ID","value":"128-19"},{"id":16,"name":"Locomotive ID","value":"4017"},{"id":130,"name":"Impact","value":""},{"id":150,"name":"Time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4017 --day 2017-06-19</v>
      </c>
      <c r="AN4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622</v>
      </c>
      <c r="B41" s="7">
        <v>4054</v>
      </c>
      <c r="C41" s="21" t="s">
        <v>202</v>
      </c>
      <c r="D41" s="21" t="s">
        <v>457</v>
      </c>
      <c r="E41" s="13">
        <v>42905.296967592592</v>
      </c>
      <c r="F41" s="13">
        <v>42905.302303240744</v>
      </c>
      <c r="G41" s="7">
        <v>1</v>
      </c>
      <c r="H41" s="21" t="s">
        <v>586</v>
      </c>
      <c r="I41" s="13">
        <v>42905.327499999999</v>
      </c>
      <c r="J41" s="7">
        <v>0</v>
      </c>
      <c r="K41" s="89" t="str">
        <f t="shared" si="0"/>
        <v>4053/4054</v>
      </c>
      <c r="L41" s="21" t="str">
        <f>VLOOKUP(A41,'Trips&amp;Operators'!$C$1:$G$99999,5,FALSE)</f>
        <v>YANAI IAN</v>
      </c>
      <c r="M41" s="6">
        <f t="shared" si="1"/>
        <v>2.5196759255777579E-2</v>
      </c>
      <c r="N41" s="7">
        <f t="shared" si="2"/>
        <v>36.283333328319713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-19T06:07:38-0600',mode:absolute,to:'2017-06-19T08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7" t="str">
        <f>IF(AA41&lt;VLOOKUP(AG41,Variables!$AC$3:$AD$8,2,FALSE),"Y","N")</f>
        <v>N</v>
      </c>
      <c r="X41" s="197">
        <f t="shared" si="22"/>
        <v>1</v>
      </c>
      <c r="Y41" s="197">
        <f t="shared" si="6"/>
        <v>4.6899999999999997E-2</v>
      </c>
      <c r="Z41" s="197">
        <f t="shared" si="7"/>
        <v>23.330500000000001</v>
      </c>
      <c r="AA41" s="197">
        <f t="shared" si="8"/>
        <v>23.2836</v>
      </c>
      <c r="AB41" s="54" t="str">
        <f>VLOOKUP(A41,Enforcements!$C$7:$K$13,8,0)</f>
        <v>Signal based authority (5)</v>
      </c>
      <c r="AC41" s="51" t="str">
        <f>VLOOKUP(A41,Enforcements!$C$7:$E$13,3,0)</f>
        <v>SIGNAL</v>
      </c>
      <c r="AD41" s="206">
        <f t="shared" si="9"/>
        <v>129</v>
      </c>
      <c r="AE41" s="77" t="str">
        <f t="shared" si="10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41" s="74" t="str">
        <f t="shared" si="11"/>
        <v>"C:\Program Files (x86)\AstroGrep\AstroGrep.exe" /e /r /s /spath="%USERPROFILE%\AppData\Local\Temp\OnboardLogs" /stypes="app*4054*20170619*" /stext=" 13:.+((SYSTEM_STATE.+slice.+state.+changed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18"/>
        <v>"%USERPROFILE%\Documents\GitHub\eaglep3\Utilities\RefineRTDCRunTimes.py" --tripid 129-19 --locoid 4054 --swversion DE.1.0.9.0 --startMP 204:469 --initTime 2017-06-19T07:07:38 --startdatetime 2017-06-19T07:15:19 --delay 1 --endMP 204:233305 --enddatetime 2017-06-19T07:51:36 --enforcementcount 0 &gt;&gt;C:\Users\stu\Documents\GitHub\eaglep3-reporting\EC\2017-06-19-refined-times.txt</v>
      </c>
      <c r="AI4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{"issue":{"subject":"","project_id":79,"tracker_id":40,"status_id":1,"priority_id":2,"assigned_to_id":23,"start_date":"2017-06-19","description":"","custom_fields":[{"id":1,"name":"Subdivision","value":"EC"},{"id":4,"name":"Milepost","value":"23.3305"},{"id":17,"name":"Train ID","value":"129-19"},{"id":16,"name":"Locomotive ID","value":"4054"},{"id":130,"name":"Impact","value":""},{"id":150,"name":"Time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4054 --day 2017-06-19</v>
      </c>
      <c r="AN4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710</v>
      </c>
      <c r="B42" s="7">
        <v>4053</v>
      </c>
      <c r="C42" s="21" t="s">
        <v>202</v>
      </c>
      <c r="D42" s="21" t="s">
        <v>587</v>
      </c>
      <c r="E42" s="13">
        <v>42905.330127314817</v>
      </c>
      <c r="F42" s="13">
        <v>42905.341898148145</v>
      </c>
      <c r="G42" s="7">
        <v>0</v>
      </c>
      <c r="H42" s="21" t="s">
        <v>193</v>
      </c>
      <c r="I42" s="13">
        <v>42905.368067129632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YANAI IAN</v>
      </c>
      <c r="M42" s="6">
        <f t="shared" si="1"/>
        <v>2.6168981486989651E-2</v>
      </c>
      <c r="N42" s="7">
        <f t="shared" si="2"/>
        <v>37.683333341265097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-19T06:55:23-0600',mode:absolute,to:'2017-06-19T09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97" t="str">
        <f>IF(AA42&lt;VLOOKUP(AG42,Variables!$AC$3:$AD$8,2,FALSE),"Y","N")</f>
        <v>N</v>
      </c>
      <c r="X42" s="197">
        <f t="shared" si="22"/>
        <v>1</v>
      </c>
      <c r="Y42" s="197">
        <f t="shared" si="6"/>
        <v>23.297699999999999</v>
      </c>
      <c r="Z42" s="197">
        <f t="shared" si="7"/>
        <v>1.52E-2</v>
      </c>
      <c r="AA42" s="197">
        <f t="shared" si="8"/>
        <v>23.282499999999999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9"/>
        <v>130</v>
      </c>
      <c r="AE42" s="77" t="str">
        <f t="shared" si="10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42" s="74" t="str">
        <f t="shared" si="11"/>
        <v>"C:\Program Files (x86)\AstroGrep\AstroGrep.exe" /e /r /s /spath="%USERPROFILE%\AppData\Local\Temp\OnboardLogs" /stypes="app*4053*20170619*" /stext=" 14:.+((SYSTEM_STATE.+slice.+state.+changed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18"/>
        <v>"%USERPROFILE%\Documents\GitHub\eaglep3\Utilities\RefineRTDCRunTimes.py" --tripid 130-19 --locoid 4053 --swversion DE.1.0.9.0 --startMP 204:232977 --initTime 2017-06-19T07:55:23 --startdatetime 2017-06-19T08:12:20 --delay 0 --endMP 204:152 --enddatetime 2017-06-19T08:50:01 --enforcementcount 0 &gt;&gt;C:\Users\stu\Documents\GitHub\eaglep3-reporting\EC\2017-06-19-refined-times.txt</v>
      </c>
      <c r="AI4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{"issue":{"subject":"","project_id":79,"tracker_id":40,"status_id":1,"priority_id":2,"assigned_to_id":23,"start_date":"2017-06-19","description":"","custom_fields":[{"id":1,"name":"Subdivision","value":"EC"},{"id":4,"name":"Milepost","value":"0.0152"},{"id":17,"name":"Train ID","value":"130-19"},{"id":16,"name":"Locomotive ID","value":"4053"},{"id":130,"name":"Impact","value":""},{"id":150,"name":"Time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4053 --day 2017-06-19</v>
      </c>
      <c r="AN4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624</v>
      </c>
      <c r="B43" s="7">
        <v>4046</v>
      </c>
      <c r="C43" s="21" t="s">
        <v>202</v>
      </c>
      <c r="D43" s="21" t="s">
        <v>457</v>
      </c>
      <c r="E43" s="13">
        <v>42905.307037037041</v>
      </c>
      <c r="F43" s="13">
        <v>42905.313275462962</v>
      </c>
      <c r="G43" s="7">
        <v>1</v>
      </c>
      <c r="H43" s="21" t="s">
        <v>883</v>
      </c>
      <c r="I43" s="13">
        <v>42905.338564814818</v>
      </c>
      <c r="J43" s="7">
        <v>0</v>
      </c>
      <c r="K43" s="89" t="str">
        <f t="shared" si="0"/>
        <v>4045/4046</v>
      </c>
      <c r="L43" s="21" t="str">
        <f>VLOOKUP(A43,'Trips&amp;Operators'!$C$1:$G$99999,5,FALSE)</f>
        <v>MACDONALD THOMAS</v>
      </c>
      <c r="M43" s="6">
        <f t="shared" si="1"/>
        <v>2.5289351855462883E-2</v>
      </c>
      <c r="N43" s="7">
        <f t="shared" si="2"/>
        <v>36.416666671866551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-19T06:22:08-0600',mode:absolute,to:'2017-06-19T09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97" t="str">
        <f>IF(AA43&lt;VLOOKUP(AG43,Variables!$AC$3:$AD$8,2,FALSE),"Y","N")</f>
        <v>N</v>
      </c>
      <c r="X43" s="197">
        <f t="shared" si="22"/>
        <v>1</v>
      </c>
      <c r="Y43" s="197">
        <f t="shared" si="6"/>
        <v>4.6899999999999997E-2</v>
      </c>
      <c r="Z43" s="197">
        <f t="shared" si="7"/>
        <v>23.330200000000001</v>
      </c>
      <c r="AA43" s="197">
        <f t="shared" si="8"/>
        <v>23.283300000000001</v>
      </c>
      <c r="AB43" s="54" t="str">
        <f>VLOOKUP(A43,Enforcements!$C$7:$K$13,8,0)</f>
        <v>Bulletin (2)</v>
      </c>
      <c r="AC43" s="51" t="str">
        <f>VLOOKUP(A43,Enforcements!$C$7:$E$13,3,0)</f>
        <v>GRADE CROSSING</v>
      </c>
      <c r="AD43" s="206">
        <f t="shared" si="9"/>
        <v>131</v>
      </c>
      <c r="AE43" s="77" t="str">
        <f t="shared" si="10"/>
        <v>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 &amp; 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</v>
      </c>
      <c r="AF43" s="74" t="str">
        <f t="shared" si="11"/>
        <v>"C:\Program Files (x86)\AstroGrep\AstroGrep.exe" /e /r /s /spath="%USERPROFILE%\AppData\Local\Temp\OnboardLogs" /stypes="app*4046*20170619*"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18"/>
        <v>"%USERPROFILE%\Documents\GitHub\eaglep3\Utilities\RefineRTDCRunTimes.py" --tripid 131-19 --locoid 4046 --swversion DE.1.0.9.0 --startMP 204:469 --initTime 2017-06-19T07:22:08 --startdatetime 2017-06-19T07:31:07 --delay 1 --endMP 204:233302 --enddatetime 2017-06-19T08:07:32 --enforcementcount 0 &gt;&gt;C:\Users\stu\Documents\GitHub\eaglep3-reporting\EC\2017-06-19-refined-times.txt</v>
      </c>
      <c r="AI4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{"issue":{"subject":"","project_id":79,"tracker_id":40,"status_id":1,"priority_id":2,"assigned_to_id":23,"start_date":"2017-06-19","description":"","custom_fields":[{"id":1,"name":"Subdivision","value":"EC"},{"id":4,"name":"Milepost","value":"23.3302"},{"id":17,"name":"Train ID","value":"131-19"},{"id":16,"name":"Locomotive ID","value":"4046"},{"id":130,"name":"Impact","value":""},{"id":150,"name":"Time of Event (Mountain Time)","value":"08:07:32"},{"id":151,"name":"Denver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4046 --day 2017-06-19</v>
      </c>
      <c r="AN4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715</v>
      </c>
      <c r="B44" s="7">
        <v>4045</v>
      </c>
      <c r="C44" s="21" t="s">
        <v>202</v>
      </c>
      <c r="D44" s="21" t="s">
        <v>450</v>
      </c>
      <c r="E44" s="13">
        <v>42905.349907407406</v>
      </c>
      <c r="F44" s="13">
        <v>42905.352488425924</v>
      </c>
      <c r="G44" s="7">
        <v>1</v>
      </c>
      <c r="H44" s="21" t="s">
        <v>349</v>
      </c>
      <c r="I44" s="13">
        <v>42905.379490740743</v>
      </c>
      <c r="J44" s="7">
        <v>0</v>
      </c>
      <c r="K44" s="89" t="str">
        <f t="shared" si="0"/>
        <v>4045/4046</v>
      </c>
      <c r="L44" s="21" t="str">
        <f>VLOOKUP(A44,'Trips&amp;Operators'!$C$1:$G$99999,5,FALSE)</f>
        <v>MACDONALD THOMAS</v>
      </c>
      <c r="M44" s="6">
        <f t="shared" si="1"/>
        <v>2.7002314818673767E-2</v>
      </c>
      <c r="N44" s="7">
        <f t="shared" si="2"/>
        <v>38.883333338890225</v>
      </c>
      <c r="O44" s="7"/>
      <c r="P44" s="7"/>
      <c r="Q44" s="22"/>
      <c r="R44" s="170"/>
      <c r="S44" s="213">
        <f t="shared" ref="S44:S75" si="23">SUM(U44:U44)/IF(AG44="EC",12,1)</f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-19T07:23:52-0600',mode:absolute,to:'2017-06-19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97" t="str">
        <f>IF(AA44&lt;VLOOKUP(AG44,Variables!$AC$3:$AD$8,2,FALSE),"Y","N")</f>
        <v>N</v>
      </c>
      <c r="X44" s="197">
        <f t="shared" si="22"/>
        <v>1</v>
      </c>
      <c r="Y44" s="197">
        <f t="shared" si="6"/>
        <v>23.299600000000002</v>
      </c>
      <c r="Z44" s="197">
        <f t="shared" si="7"/>
        <v>1.49E-2</v>
      </c>
      <c r="AA44" s="197">
        <f t="shared" si="8"/>
        <v>23.284700000000001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9"/>
        <v>132</v>
      </c>
      <c r="AE44" s="77" t="str">
        <f t="shared" si="10"/>
        <v>aws s3 cp s3://rtdc.mdm.uploadarchive.raw/RTDC4045/ "%USERPROFILE%\AppData\Local\Temp\OnboardLogs"\RTDC4045\2017-06-19 --exclude "*" --recursive --include "*20170619*" &amp; "%USERPROFILE%\Documents\GitHub\mrs-test-scripts\Headless Mode &amp; Sideloading\WalkAndUnGZ.bat" "%USERPROFILE%\AppData\Local\Temp\OnboardLogs"\RTDC4045\2017-06-19 &amp; 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</v>
      </c>
      <c r="AF44" s="74" t="str">
        <f t="shared" si="11"/>
        <v>"C:\Program Files (x86)\AstroGrep\AstroGrep.exe" /e /r /s /spath="%USERPROFILE%\AppData\Local\Temp\OnboardLogs" /stypes="app*4045*20170619*" /stext=" 15:.+((SYSTEM_STATE.+slice.+state.+changed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18"/>
        <v>"%USERPROFILE%\Documents\GitHub\eaglep3\Utilities\RefineRTDCRunTimes.py" --tripid 132-19 --locoid 4045 --swversion DE.1.0.9.0 --startMP 204:232996 --initTime 2017-06-19T08:23:52 --startdatetime 2017-06-19T08:27:35 --delay 1 --endMP 204:149 --enddatetime 2017-06-19T09:06:28 --enforcementcount 0 &gt;&gt;C:\Users\stu\Documents\GitHub\eaglep3-reporting\EC\2017-06-19-refined-times.txt</v>
      </c>
      <c r="AI4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ID","value":"132-19"},{"id":16,"name":"Locomotive ID","value":"4045"},{"id":130,"name":"Impact","value":""},{"id":150,"name":"Time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4045 --day 2017-06-19</v>
      </c>
      <c r="AN4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707</v>
      </c>
      <c r="B45" s="7">
        <v>4008</v>
      </c>
      <c r="C45" s="21" t="s">
        <v>202</v>
      </c>
      <c r="D45" s="21" t="s">
        <v>513</v>
      </c>
      <c r="E45" s="13">
        <v>42905.321180555555</v>
      </c>
      <c r="F45" s="13">
        <v>42905.323078703703</v>
      </c>
      <c r="G45" s="7">
        <v>1</v>
      </c>
      <c r="H45" s="21" t="s">
        <v>885</v>
      </c>
      <c r="I45" s="13">
        <v>42905.34883101852</v>
      </c>
      <c r="J45" s="7">
        <v>0</v>
      </c>
      <c r="K45" s="89" t="str">
        <f t="shared" si="0"/>
        <v>4007/4008</v>
      </c>
      <c r="L45" s="21" t="str">
        <f>VLOOKUP(A45,'Trips&amp;Operators'!$C$1:$G$99999,5,FALSE)</f>
        <v>STARKS ANGELINA</v>
      </c>
      <c r="M45" s="6">
        <f t="shared" si="1"/>
        <v>2.5752314817509614E-2</v>
      </c>
      <c r="N45" s="7">
        <f t="shared" ref="N45:N81" si="24">24*60*SUM($M45:$M45)</f>
        <v>37.083333337213844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-19T06:42:30-0600',mode:absolute,to:'2017-06-19T09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7" t="str">
        <f>IF(AA45&lt;VLOOKUP(AG45,Variables!$AC$3:$AD$8,2,FALSE),"Y","N")</f>
        <v>N</v>
      </c>
      <c r="X45" s="197">
        <f t="shared" si="22"/>
        <v>1</v>
      </c>
      <c r="Y45" s="197">
        <f t="shared" si="6"/>
        <v>4.7100000000000003E-2</v>
      </c>
      <c r="Z45" s="197">
        <f t="shared" si="7"/>
        <v>23.3276</v>
      </c>
      <c r="AA45" s="197">
        <f t="shared" si="8"/>
        <v>23.2805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9"/>
        <v>133</v>
      </c>
      <c r="AE45" s="77" t="str">
        <f t="shared" si="10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45" s="74" t="str">
        <f t="shared" si="11"/>
        <v>"C:\Program Files (x86)\AstroGrep\AstroGrep.exe" /e /r /s /spath="%USERPROFILE%\AppData\Local\Temp\OnboardLogs" /stypes="app*4008*20170619*" /stext=" 14:.+((SYSTEM_STATE.+slice.+state.+changed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18"/>
        <v>"%USERPROFILE%\Documents\GitHub\eaglep3\Utilities\RefineRTDCRunTimes.py" --tripid 133-19 --locoid 4008 --swversion DE.1.0.9.0 --startMP 204:471 --initTime 2017-06-19T07:42:30 --startdatetime 2017-06-19T07:45:14 --delay 1 --endMP 204:233276 --enddatetime 2017-06-19T08:22:19 --enforcementcount 0 &gt;&gt;C:\Users\stu\Documents\GitHub\eaglep3-reporting\EC\2017-06-19-refined-times.txt</v>
      </c>
      <c r="AI4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{"issue":{"subject":"","project_id":79,"tracker_id":40,"status_id":1,"priority_id":2,"assigned_to_id":23,"start_date":"2017-06-19","description":"","custom_fields":[{"id":1,"name":"Subdivision","value":"EC"},{"id":4,"name":"Milepost","value":"23.3276"},{"id":17,"name":"Train ID","value":"133-19"},{"id":16,"name":"Locomotive ID","value":"4008"},{"id":130,"name":"Impact","value":""},{"id":150,"name":"Time of Event (Mountain Time)","value":"08:22:19"},{"id":151,"name":"Denver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4008 --day 2017-06-19</v>
      </c>
      <c r="AN4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718</v>
      </c>
      <c r="B46" s="7">
        <v>4007</v>
      </c>
      <c r="C46" s="21" t="s">
        <v>202</v>
      </c>
      <c r="D46" s="21" t="s">
        <v>587</v>
      </c>
      <c r="E46" s="13">
        <v>42905.35900462963</v>
      </c>
      <c r="F46" s="13">
        <v>42905.362800925926</v>
      </c>
      <c r="G46" s="7">
        <v>1</v>
      </c>
      <c r="H46" s="21" t="s">
        <v>193</v>
      </c>
      <c r="I46" s="13">
        <v>42905.390231481484</v>
      </c>
      <c r="J46" s="7">
        <v>0</v>
      </c>
      <c r="K46" s="89" t="str">
        <f t="shared" si="0"/>
        <v>4007/4008</v>
      </c>
      <c r="L46" s="21" t="str">
        <f>VLOOKUP(A46,'Trips&amp;Operators'!$C$1:$G$99999,5,FALSE)</f>
        <v>STARKS ANGELINA</v>
      </c>
      <c r="M46" s="6">
        <f t="shared" si="1"/>
        <v>2.7430555557657499E-2</v>
      </c>
      <c r="N46" s="7">
        <f t="shared" si="24"/>
        <v>39.500000003026798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-19T07:36:58-0600',mode:absolute,to:'2017-06-19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6"/>
        <v>23.297699999999999</v>
      </c>
      <c r="Z46" s="197">
        <f t="shared" si="7"/>
        <v>1.52E-2</v>
      </c>
      <c r="AA46" s="197">
        <f t="shared" si="8"/>
        <v>23.282499999999999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9"/>
        <v>134</v>
      </c>
      <c r="AE46" s="77" t="str">
        <f t="shared" si="10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46" s="74" t="str">
        <f t="shared" si="11"/>
        <v>"C:\Program Files (x86)\AstroGrep\AstroGrep.exe" /e /r /s /spath="%USERPROFILE%\AppData\Local\Temp\OnboardLogs" /stypes="app*4007*20170619*" /stext=" 15:.+((SYSTEM_STATE.+slice.+state.+changed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18"/>
        <v>"%USERPROFILE%\Documents\GitHub\eaglep3\Utilities\RefineRTDCRunTimes.py" --tripid 134-19 --locoid 4007 --swversion DE.1.0.9.0 --startMP 204:232977 --initTime 2017-06-19T08:36:58 --startdatetime 2017-06-19T08:42:26 --delay 1 --endMP 204:152 --enddatetime 2017-06-19T09:21:56 --enforcementcount 0 &gt;&gt;C:\Users\stu\Documents\GitHub\eaglep3-reporting\EC\2017-06-19-refined-times.txt</v>
      </c>
      <c r="AI4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{"issue":{"subject":"","project_id":79,"tracker_id":40,"status_id":1,"priority_id":2,"assigned_to_id":23,"start_date":"2017-06-19","description":"","custom_fields":[{"id":1,"name":"Subdivision","value":"EC"},{"id":4,"name":"Milepost","value":"0.0152"},{"id":17,"name":"Train ID","value":"134-19"},{"id":16,"name":"Locomotive ID","value":"4007"},{"id":130,"name":"Impact","value":""},{"id":150,"name":"Time of Event (Mountain Time)","value":"09:21:56"},{"id":151,"name":"Denver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4007 --day 2017-06-19</v>
      </c>
      <c r="AN4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709</v>
      </c>
      <c r="B47" s="7">
        <v>4044</v>
      </c>
      <c r="C47" s="21" t="s">
        <v>202</v>
      </c>
      <c r="D47" s="21" t="s">
        <v>352</v>
      </c>
      <c r="E47" s="13">
        <v>42905.329942129632</v>
      </c>
      <c r="F47" s="13">
        <v>42905.333518518521</v>
      </c>
      <c r="G47" s="7">
        <v>1</v>
      </c>
      <c r="H47" s="21" t="s">
        <v>872</v>
      </c>
      <c r="I47" s="13">
        <v>42905.358599537038</v>
      </c>
      <c r="J47" s="7">
        <v>0</v>
      </c>
      <c r="K47" s="89" t="str">
        <f t="shared" si="0"/>
        <v>4043/4044</v>
      </c>
      <c r="L47" s="21" t="str">
        <f>VLOOKUP(A47,'Trips&amp;Operators'!$C$1:$G$99999,5,FALSE)</f>
        <v>LALONDE GREGORY</v>
      </c>
      <c r="M47" s="6">
        <f t="shared" si="1"/>
        <v>2.5081018517084885E-2</v>
      </c>
      <c r="N47" s="7">
        <f t="shared" si="24"/>
        <v>36.116666664602235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-19T06:55:07-0600',mode:absolute,to:'2017-06-19T09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6"/>
        <v>4.5100000000000001E-2</v>
      </c>
      <c r="Z47" s="197">
        <f t="shared" si="7"/>
        <v>23.331499999999998</v>
      </c>
      <c r="AA47" s="197">
        <f t="shared" si="8"/>
        <v>23.286399999999997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9"/>
        <v>135</v>
      </c>
      <c r="AE47" s="77" t="str">
        <f t="shared" si="10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47" s="74" t="str">
        <f t="shared" si="11"/>
        <v>"C:\Program Files (x86)\AstroGrep\AstroGrep.exe" /e /r /s /spath="%USERPROFILE%\AppData\Local\Temp\OnboardLogs" /stypes="app*4044*20170619*" /stext=" 14:.+((SYSTEM_STATE.+slice.+state.+changed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18"/>
        <v>"%USERPROFILE%\Documents\GitHub\eaglep3\Utilities\RefineRTDCRunTimes.py" --tripid 135-19 --locoid 4044 --swversion DE.1.0.9.0 --startMP 204:451 --initTime 2017-06-19T07:55:07 --startdatetime 2017-06-19T08:00:16 --delay 1 --endMP 204:233315 --enddatetime 2017-06-19T08:36:23 --enforcementcount 0 &gt;&gt;C:\Users\stu\Documents\GitHub\eaglep3-reporting\EC\2017-06-19-refined-times.txt</v>
      </c>
      <c r="AI4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{"issue":{"subject":"","project_id":79,"tracker_id":40,"status_id":1,"priority_id":2,"assigned_to_id":23,"start_date":"2017-06-19","description":"","custom_fields":[{"id":1,"name":"Subdivision","value":"EC"},{"id":4,"name":"Milepost","value":"23.3315"},{"id":17,"name":"Train ID","value":"135-19"},{"id":16,"name":"Locomotive ID","value":"4044"},{"id":130,"name":"Impact","value":""},{"id":150,"name":"Time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4044 --day 2017-06-19</v>
      </c>
      <c r="AN4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720</v>
      </c>
      <c r="B48" s="7">
        <v>4043</v>
      </c>
      <c r="C48" s="21" t="s">
        <v>202</v>
      </c>
      <c r="D48" s="21" t="s">
        <v>450</v>
      </c>
      <c r="E48" s="13">
        <v>42905.360729166663</v>
      </c>
      <c r="F48" s="13">
        <v>42905.37327546296</v>
      </c>
      <c r="G48" s="7">
        <v>1</v>
      </c>
      <c r="H48" s="21" t="s">
        <v>439</v>
      </c>
      <c r="I48" s="13">
        <v>42905.40042824074</v>
      </c>
      <c r="J48" s="7">
        <v>0</v>
      </c>
      <c r="K48" s="89" t="str">
        <f t="shared" si="0"/>
        <v>4043/4044</v>
      </c>
      <c r="L48" s="21" t="str">
        <f>VLOOKUP(A48,'Trips&amp;Operators'!$C$1:$G$99999,5,FALSE)</f>
        <v>LALONDE GREGORY</v>
      </c>
      <c r="M48" s="6">
        <f t="shared" si="1"/>
        <v>2.715277778042946E-2</v>
      </c>
      <c r="N48" s="7">
        <f t="shared" si="24"/>
        <v>39.100000003818423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-19T07:39:27-0600',mode:absolute,to:'2017-06-19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6"/>
        <v>23.299600000000002</v>
      </c>
      <c r="Z48" s="197">
        <f t="shared" si="7"/>
        <v>1.5599999999999999E-2</v>
      </c>
      <c r="AA48" s="197">
        <f t="shared" si="8"/>
        <v>23.284000000000002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9"/>
        <v>136</v>
      </c>
      <c r="AE48" s="77" t="str">
        <f t="shared" si="10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48" s="74" t="str">
        <f t="shared" si="11"/>
        <v>"C:\Program Files (x86)\AstroGrep\AstroGrep.exe" /e /r /s /spath="%USERPROFILE%\AppData\Local\Temp\OnboardLogs" /stypes="app*4043*20170619*" /stext=" 15:.+((SYSTEM_STATE.+slice.+state.+changed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18"/>
        <v>"%USERPROFILE%\Documents\GitHub\eaglep3\Utilities\RefineRTDCRunTimes.py" --tripid 136-19 --locoid 4043 --swversion DE.1.0.9.0 --startMP 204:232996 --initTime 2017-06-19T08:39:27 --startdatetime 2017-06-19T08:57:31 --delay 1 --endMP 204:156 --enddatetime 2017-06-19T09:36:37 --enforcementcount 0 &gt;&gt;C:\Users\stu\Documents\GitHub\eaglep3-reporting\EC\2017-06-19-refined-times.txt</v>
      </c>
      <c r="AI4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{"issue":{"subject":"","project_id":79,"tracker_id":40,"status_id":1,"priority_id":2,"assigned_to_id":23,"start_date":"2017-06-19","description":"","custom_fields":[{"id":1,"name":"Subdivision","value":"EC"},{"id":4,"name":"Milepost","value":"0.0156"},{"id":17,"name":"Train ID","value":"136-19"},{"id":16,"name":"Locomotive ID","value":"4043"},{"id":130,"name":"Impact","value":""},{"id":150,"name":"Time of Event (Mountain Time)","value":"09:36:37"},{"id":151,"name":"Denver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4043 --day 2017-06-19</v>
      </c>
      <c r="AN4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712</v>
      </c>
      <c r="B49" s="7">
        <v>4058</v>
      </c>
      <c r="C49" s="21" t="s">
        <v>202</v>
      </c>
      <c r="D49" s="21" t="s">
        <v>613</v>
      </c>
      <c r="E49" s="13">
        <v>42905.343356481484</v>
      </c>
      <c r="F49" s="13">
        <v>42905.34516203704</v>
      </c>
      <c r="G49" s="7">
        <v>2</v>
      </c>
      <c r="H49" s="21" t="s">
        <v>886</v>
      </c>
      <c r="I49" s="13">
        <v>42905.370694444442</v>
      </c>
      <c r="J49" s="7">
        <v>0</v>
      </c>
      <c r="K49" s="89" t="str">
        <f t="shared" si="0"/>
        <v>4057/4058</v>
      </c>
      <c r="L49" s="21" t="str">
        <f>VLOOKUP(A49,'Trips&amp;Operators'!$C$1:$G$99999,5,FALSE)</f>
        <v>ACKERMAN JARED</v>
      </c>
      <c r="M49" s="6">
        <f t="shared" si="1"/>
        <v>2.5532407402351964E-2</v>
      </c>
      <c r="N49" s="7">
        <f t="shared" si="24"/>
        <v>36.766666659386829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-19T07:14:26-0600',mode:absolute,to:'2017-06-19T09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6"/>
        <v>4.7699999999999999E-2</v>
      </c>
      <c r="Z49" s="197">
        <f t="shared" si="7"/>
        <v>23.331399999999999</v>
      </c>
      <c r="AA49" s="197">
        <f t="shared" si="8"/>
        <v>23.2837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9"/>
        <v>137</v>
      </c>
      <c r="AE49" s="77" t="str">
        <f t="shared" si="10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49" s="74" t="str">
        <f t="shared" si="11"/>
        <v>"C:\Program Files (x86)\AstroGrep\AstroGrep.exe" /e /r /s /spath="%USERPROFILE%\AppData\Local\Temp\OnboardLogs" /stypes="app*4058*20170619*" /stext=" 14:.+((SYSTEM_STATE.+slice.+state.+changed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18"/>
        <v>"%USERPROFILE%\Documents\GitHub\eaglep3\Utilities\RefineRTDCRunTimes.py" --tripid 137-19 --locoid 4058 --swversion DE.1.0.9.0 --startMP 204:477 --initTime 2017-06-19T08:14:26 --startdatetime 2017-06-19T08:17:02 --delay 2 --endMP 204:233314 --enddatetime 2017-06-19T08:53:48 --enforcementcount 0 &gt;&gt;C:\Users\stu\Documents\GitHub\eaglep3-reporting\EC\2017-06-19-refined-times.txt</v>
      </c>
      <c r="AI4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{"issue":{"subject":"","project_id":79,"tracker_id":40,"status_id":1,"priority_id":2,"assigned_to_id":23,"start_date":"2017-06-19","description":"","custom_fields":[{"id":1,"name":"Subdivision","value":"EC"},{"id":4,"name":"Milepost","value":"23.3314"},{"id":17,"name":"Train ID","value":"137-19"},{"id":16,"name":"Locomotive ID","value":"4058"},{"id":130,"name":"Impact","value":""},{"id":150,"name":"Time of Event (Mountain Time)","value":"08:53:48"},{"id":151,"name":"Denver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4058 --day 2017-06-19</v>
      </c>
      <c r="AN4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722</v>
      </c>
      <c r="B50" s="7">
        <v>4057</v>
      </c>
      <c r="C50" s="21" t="s">
        <v>202</v>
      </c>
      <c r="D50" s="21" t="s">
        <v>887</v>
      </c>
      <c r="E50" s="13">
        <v>42905.375787037039</v>
      </c>
      <c r="F50" s="13">
        <v>42905.383518518516</v>
      </c>
      <c r="G50" s="7">
        <v>1</v>
      </c>
      <c r="H50" s="21" t="s">
        <v>350</v>
      </c>
      <c r="I50" s="13">
        <v>42905.411307870374</v>
      </c>
      <c r="J50" s="7">
        <v>0</v>
      </c>
      <c r="K50" s="89" t="str">
        <f t="shared" si="0"/>
        <v>4057/4058</v>
      </c>
      <c r="L50" s="21" t="str">
        <f>VLOOKUP(A50,'Trips&amp;Operators'!$C$1:$G$99999,5,FALSE)</f>
        <v>ACKERMAN JARED</v>
      </c>
      <c r="M50" s="6">
        <f t="shared" si="1"/>
        <v>2.7789351857791189E-2</v>
      </c>
      <c r="N50" s="7">
        <f t="shared" si="24"/>
        <v>40.016666675219312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-19T08:01:08-0600',mode:absolute,to:'2017-06-19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6"/>
        <v>23.297799999999999</v>
      </c>
      <c r="Z50" s="197">
        <f t="shared" si="7"/>
        <v>1.43E-2</v>
      </c>
      <c r="AA50" s="197">
        <f t="shared" si="8"/>
        <v>23.2835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9"/>
        <v>138</v>
      </c>
      <c r="AE50" s="77" t="str">
        <f t="shared" si="10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50" s="74" t="str">
        <f t="shared" si="11"/>
        <v>"C:\Program Files (x86)\AstroGrep\AstroGrep.exe" /e /r /s /spath="%USERPROFILE%\AppData\Local\Temp\OnboardLogs" /stypes="app*4057*20170619*" /stext=" 15:.+((SYSTEM_STATE.+slice.+state.+changed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18"/>
        <v>"%USERPROFILE%\Documents\GitHub\eaglep3\Utilities\RefineRTDCRunTimes.py" --tripid 138-19 --locoid 4057 --swversion DE.1.0.9.0 --startMP 204:232978 --initTime 2017-06-19T09:01:08 --startdatetime 2017-06-19T09:12:16 --delay 1 --endMP 204:143 --enddatetime 2017-06-19T09:52:17 --enforcementcount 0 &gt;&gt;C:\Users\stu\Documents\GitHub\eaglep3-reporting\EC\2017-06-19-refined-times.txt</v>
      </c>
      <c r="AI5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{"issue":{"subject":"","project_id":79,"tracker_id":40,"status_id":1,"priority_id":2,"assigned_to_id":23,"start_date":"2017-06-19","description":"","custom_fields":[{"id":1,"name":"Subdivision","value":"EC"},{"id":4,"name":"Milepost","value":"0.0143"},{"id":17,"name":"Train ID","value":"138-19"},{"id":16,"name":"Locomotive ID","value":"4057"},{"id":130,"name":"Impact","value":""},{"id":150,"name":"Time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4057 --day 2017-06-19</v>
      </c>
      <c r="AN5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716</v>
      </c>
      <c r="B51" s="7">
        <v>4016</v>
      </c>
      <c r="C51" s="21" t="s">
        <v>202</v>
      </c>
      <c r="D51" s="21" t="s">
        <v>443</v>
      </c>
      <c r="E51" s="13">
        <v>42905.350671296299</v>
      </c>
      <c r="F51" s="13">
        <v>42905.354803240742</v>
      </c>
      <c r="G51" s="7">
        <v>1</v>
      </c>
      <c r="H51" s="21" t="s">
        <v>614</v>
      </c>
      <c r="I51" s="13">
        <v>42905.379606481481</v>
      </c>
      <c r="J51" s="7">
        <v>0</v>
      </c>
      <c r="K51" s="89" t="str">
        <f t="shared" si="0"/>
        <v>4015/4016</v>
      </c>
      <c r="L51" s="21" t="str">
        <f>VLOOKUP(A51,'Trips&amp;Operators'!$C$1:$G$99999,5,FALSE)</f>
        <v>MAELZER KURT</v>
      </c>
      <c r="M51" s="6">
        <f t="shared" si="1"/>
        <v>2.4803240739856847E-2</v>
      </c>
      <c r="N51" s="7">
        <f t="shared" si="24"/>
        <v>35.716666665393859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-19T07:24:58-0600',mode:absolute,to:'2017-06-19T10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6"/>
        <v>4.4400000000000002E-2</v>
      </c>
      <c r="Z51" s="197">
        <f t="shared" si="7"/>
        <v>23.330400000000001</v>
      </c>
      <c r="AA51" s="197">
        <f t="shared" si="8"/>
        <v>23.286000000000001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9"/>
        <v>139</v>
      </c>
      <c r="AE51" s="77" t="str">
        <f t="shared" si="10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51" s="74" t="str">
        <f t="shared" si="11"/>
        <v>"C:\Program Files (x86)\AstroGrep\AstroGrep.exe" /e /r /s /spath="%USERPROFILE%\AppData\Local\Temp\OnboardLogs" /stypes="app*4016*20170619*"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18"/>
        <v>"%USERPROFILE%\Documents\GitHub\eaglep3\Utilities\RefineRTDCRunTimes.py" --tripid 139-19 --locoid 4016 --swversion DE.1.0.9.0 --startMP 204:444 --initTime 2017-06-19T08:24:58 --startdatetime 2017-06-19T08:30:55 --delay 1 --endMP 204:233304 --enddatetime 2017-06-19T09:06:38 --enforcementcount 0 &gt;&gt;C:\Users\stu\Documents\GitHub\eaglep3-reporting\EC\2017-06-19-refined-times.txt</v>
      </c>
      <c r="AI5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{"issue":{"subject":"","project_id":79,"tracker_id":40,"status_id":1,"priority_id":2,"assigned_to_id":23,"start_date":"2017-06-19","description":"","custom_fields":[{"id":1,"name":"Subdivision","value":"EC"},{"id":4,"name":"Milepost","value":"23.3304"},{"id":17,"name":"Train ID","value":"139-19"},{"id":16,"name":"Locomotive ID","value":"4016"},{"id":130,"name":"Impact","value":""},{"id":150,"name":"Time of Event (Mountain Time)","value":"09:06:38"},{"id":151,"name":"Denver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4016 --day 2017-06-19</v>
      </c>
      <c r="AN5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630</v>
      </c>
      <c r="B52" s="7">
        <v>4015</v>
      </c>
      <c r="C52" s="21" t="s">
        <v>202</v>
      </c>
      <c r="D52" s="21" t="s">
        <v>879</v>
      </c>
      <c r="E52" s="13">
        <v>42905.384293981479</v>
      </c>
      <c r="F52" s="13">
        <v>42905.394247685188</v>
      </c>
      <c r="G52" s="7">
        <v>1</v>
      </c>
      <c r="H52" s="21" t="s">
        <v>419</v>
      </c>
      <c r="I52" s="13">
        <v>42905.420729166668</v>
      </c>
      <c r="J52" s="7">
        <v>0</v>
      </c>
      <c r="K52" s="89" t="str">
        <f t="shared" si="0"/>
        <v>4015/4016</v>
      </c>
      <c r="L52" s="21" t="str">
        <f>VLOOKUP(A52,'Trips&amp;Operators'!$C$1:$G$99999,5,FALSE)</f>
        <v>MAELZER KURT</v>
      </c>
      <c r="M52" s="6">
        <f t="shared" si="1"/>
        <v>2.6481481480004732E-2</v>
      </c>
      <c r="N52" s="7">
        <f t="shared" si="24"/>
        <v>38.133333331206813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-19T08:13:23-0600',mode:absolute,to:'2017-06-19T11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6"/>
        <v>23.299099999999999</v>
      </c>
      <c r="Z52" s="197">
        <f t="shared" si="7"/>
        <v>1.4500000000000001E-2</v>
      </c>
      <c r="AA52" s="197">
        <f t="shared" si="8"/>
        <v>23.284599999999998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9"/>
        <v>140</v>
      </c>
      <c r="AE52" s="77" t="str">
        <f t="shared" si="10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52" s="74" t="str">
        <f t="shared" si="11"/>
        <v>"C:\Program Files (x86)\AstroGrep\AstroGrep.exe" /e /r /s /spath="%USERPROFILE%\AppData\Local\Temp\OnboardLogs" /stypes="app*4015*20170619*" /stext=" 16:.+((SYSTEM_STATE.+slice.+state.+changed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18"/>
        <v>"%USERPROFILE%\Documents\GitHub\eaglep3\Utilities\RefineRTDCRunTimes.py" --tripid 140-19 --locoid 4015 --swversion DE.1.0.9.0 --startMP 204:232991 --initTime 2017-06-19T09:13:23 --startdatetime 2017-06-19T09:27:43 --delay 1 --endMP 204:145 --enddatetime 2017-06-19T10:05:51 --enforcementcount 0 &gt;&gt;C:\Users\stu\Documents\GitHub\eaglep3-reporting\EC\2017-06-19-refined-times.txt</v>
      </c>
      <c r="AI5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ID","value":"140-19"},{"id":16,"name":"Locomotive ID","value":"4015"},{"id":130,"name":"Impact","value":""},{"id":150,"name":"Time of Event (Mountain Time)","value":"10:05:51"},{"id":151,"name":"Denver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4015 --day 2017-06-19</v>
      </c>
      <c r="AN5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627</v>
      </c>
      <c r="B53" s="7">
        <v>4018</v>
      </c>
      <c r="C53" s="21" t="s">
        <v>202</v>
      </c>
      <c r="D53" s="21" t="s">
        <v>355</v>
      </c>
      <c r="E53" s="13">
        <v>42905.360277777778</v>
      </c>
      <c r="F53" s="13">
        <v>42905.36509259259</v>
      </c>
      <c r="G53" s="7">
        <v>2</v>
      </c>
      <c r="H53" s="21" t="s">
        <v>888</v>
      </c>
      <c r="I53" s="13">
        <v>42905.391597222224</v>
      </c>
      <c r="J53" s="7">
        <v>0</v>
      </c>
      <c r="K53" s="89" t="str">
        <f t="shared" si="0"/>
        <v>4017/4018</v>
      </c>
      <c r="L53" s="21" t="str">
        <f>VLOOKUP(A53,'Trips&amp;Operators'!$C$1:$G$99999,5,FALSE)</f>
        <v>HELVIE ADAM</v>
      </c>
      <c r="M53" s="6">
        <f t="shared" si="1"/>
        <v>2.6504629633564036E-2</v>
      </c>
      <c r="N53" s="7">
        <f t="shared" si="24"/>
        <v>38.166666672332212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-19T07:38:48-0600',mode:absolute,to:'2017-06-19T10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6"/>
        <v>4.4699999999999997E-2</v>
      </c>
      <c r="Z53" s="197">
        <f t="shared" si="7"/>
        <v>23.327999999999999</v>
      </c>
      <c r="AA53" s="197">
        <f t="shared" si="8"/>
        <v>23.283300000000001</v>
      </c>
      <c r="AB53" s="54" t="str">
        <f>VLOOKUP(A53,Enforcements!$C$7:$K$13,8,0)</f>
        <v>Speed (6)</v>
      </c>
      <c r="AC53" s="51" t="str">
        <f>VLOOKUP(A53,Enforcements!$C$7:$E$13,3,0)</f>
        <v>PERMANENT SPEED RESTRICTION</v>
      </c>
      <c r="AD53" s="206">
        <f t="shared" si="9"/>
        <v>141</v>
      </c>
      <c r="AE53" s="77" t="str">
        <f t="shared" si="10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53" s="74" t="str">
        <f t="shared" si="11"/>
        <v>"C:\Program Files (x86)\AstroGrep\AstroGrep.exe" /e /r /s /spath="%USERPROFILE%\AppData\Local\Temp\OnboardLogs" /stypes="app*4018*20170619*" /stext=" 15:.+((SYSTEM_STATE.+slice.+state.+changed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18"/>
        <v>"%USERPROFILE%\Documents\GitHub\eaglep3\Utilities\RefineRTDCRunTimes.py" --tripid 141-19 --locoid 4018 --swversion DE.1.0.9.0 --startMP 204:447 --initTime 2017-06-19T08:38:48 --startdatetime 2017-06-19T08:45:44 --delay 2 --endMP 204:233280 --enddatetime 2017-06-19T09:23:54 --enforcementcount 0 &gt;&gt;C:\Users\stu\Documents\GitHub\eaglep3-reporting\EC\2017-06-19-refined-times.txt</v>
      </c>
      <c r="AI5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{"issue":{"subject":"","project_id":79,"tracker_id":40,"status_id":1,"priority_id":2,"assigned_to_id":23,"start_date":"2017-06-19","description":"","custom_fields":[{"id":1,"name":"Subdivision","value":"EC"},{"id":4,"name":"Milepost","value":"23.328"},{"id":17,"name":"Train ID","value":"141-19"},{"id":16,"name":"Locomotive ID","value":"4018"},{"id":130,"name":"Impact","value":""},{"id":150,"name":"Time of Event (Mountain Time)","value":"09:23:54"},{"id":151,"name":"Denver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4018 --day 2017-06-19</v>
      </c>
      <c r="AN5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728</v>
      </c>
      <c r="B54" s="7">
        <v>4017</v>
      </c>
      <c r="C54" s="21" t="s">
        <v>202</v>
      </c>
      <c r="D54" s="21" t="s">
        <v>587</v>
      </c>
      <c r="E54" s="13">
        <v>42905.400671296295</v>
      </c>
      <c r="F54" s="13">
        <v>42905.404490740744</v>
      </c>
      <c r="G54" s="7">
        <v>1</v>
      </c>
      <c r="H54" s="21" t="s">
        <v>193</v>
      </c>
      <c r="I54" s="13">
        <v>42905.43136574074</v>
      </c>
      <c r="J54" s="7">
        <v>0</v>
      </c>
      <c r="K54" s="89" t="str">
        <f t="shared" si="0"/>
        <v>4017/4018</v>
      </c>
      <c r="L54" s="21" t="str">
        <f>VLOOKUP(A54,'Trips&amp;Operators'!$C$1:$G$99999,5,FALSE)</f>
        <v>HELVIE ADAM</v>
      </c>
      <c r="M54" s="6">
        <f t="shared" si="1"/>
        <v>2.6874999995925464E-2</v>
      </c>
      <c r="N54" s="7">
        <f t="shared" si="24"/>
        <v>38.699999994132668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-19T08:36:58-0600',mode:absolute,to:'2017-06-19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6"/>
        <v>23.297699999999999</v>
      </c>
      <c r="Z54" s="197">
        <f t="shared" si="7"/>
        <v>1.52E-2</v>
      </c>
      <c r="AA54" s="197">
        <f t="shared" si="8"/>
        <v>23.282499999999999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9"/>
        <v>142</v>
      </c>
      <c r="AE54" s="77" t="str">
        <f t="shared" si="10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54" s="74" t="str">
        <f t="shared" si="11"/>
        <v>"C:\Program Files (x86)\AstroGrep\AstroGrep.exe" /e /r /s /spath="%USERPROFILE%\AppData\Local\Temp\OnboardLogs" /stypes="app*4017*20170619*" /stext=" 16:.+((SYSTEM_STATE.+slice.+state.+changed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18"/>
        <v>"%USERPROFILE%\Documents\GitHub\eaglep3\Utilities\RefineRTDCRunTimes.py" --tripid 142-19 --locoid 4017 --swversion DE.1.0.9.0 --startMP 204:232977 --initTime 2017-06-19T09:36:58 --startdatetime 2017-06-19T09:42:28 --delay 1 --endMP 204:152 --enddatetime 2017-06-19T10:21:10 --enforcementcount 0 &gt;&gt;C:\Users\stu\Documents\GitHub\eaglep3-reporting\EC\2017-06-19-refined-times.txt</v>
      </c>
      <c r="AI5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{"issue":{"subject":"","project_id":79,"tracker_id":40,"status_id":1,"priority_id":2,"assigned_to_id":23,"start_date":"2017-06-19","description":"","custom_fields":[{"id":1,"name":"Subdivision","value":"EC"},{"id":4,"name":"Milepost","value":"0.0152"},{"id":17,"name":"Train ID","value":"142-19"},{"id":16,"name":"Locomotive ID","value":"4017"},{"id":130,"name":"Impact","value":""},{"id":150,"name":"Time of Event (Mountain Time)","value":"10:21:10"},{"id":151,"name":"Denver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4017 --day 2017-06-19</v>
      </c>
      <c r="AN5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721</v>
      </c>
      <c r="B55" s="7">
        <v>4054</v>
      </c>
      <c r="C55" s="21" t="s">
        <v>202</v>
      </c>
      <c r="D55" s="21" t="s">
        <v>198</v>
      </c>
      <c r="E55" s="13">
        <v>42905.369687500002</v>
      </c>
      <c r="F55" s="13">
        <v>42905.375335648147</v>
      </c>
      <c r="G55" s="7">
        <v>1</v>
      </c>
      <c r="H55" s="21" t="s">
        <v>889</v>
      </c>
      <c r="I55" s="13">
        <v>42905.400787037041</v>
      </c>
      <c r="J55" s="7">
        <v>0</v>
      </c>
      <c r="K55" s="89" t="str">
        <f t="shared" si="0"/>
        <v>4053/4054</v>
      </c>
      <c r="L55" s="21" t="str">
        <f>VLOOKUP(A55,'Trips&amp;Operators'!$C$1:$G$99999,5,FALSE)</f>
        <v>YANAI IAN</v>
      </c>
      <c r="M55" s="6">
        <f t="shared" si="1"/>
        <v>2.5451388893998228E-2</v>
      </c>
      <c r="N55" s="7">
        <f t="shared" si="24"/>
        <v>36.650000007357448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-19T07:52:21-0600',mode:absolute,to:'2017-06-19T10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6"/>
        <v>4.5699999999999998E-2</v>
      </c>
      <c r="Z55" s="197">
        <f t="shared" si="7"/>
        <v>23.329799999999999</v>
      </c>
      <c r="AA55" s="197">
        <f t="shared" si="8"/>
        <v>23.284099999999999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9"/>
        <v>143</v>
      </c>
      <c r="AE55" s="77" t="str">
        <f t="shared" si="10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55" s="74" t="str">
        <f t="shared" si="11"/>
        <v>"C:\Program Files (x86)\AstroGrep\AstroGrep.exe" /e /r /s /spath="%USERPROFILE%\AppData\Local\Temp\OnboardLogs" /stypes="app*4054*20170619*" /stext=" 15:.+((SYSTEM_STATE.+slice.+state.+changed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18"/>
        <v>"%USERPROFILE%\Documents\GitHub\eaglep3\Utilities\RefineRTDCRunTimes.py" --tripid 143-19 --locoid 4054 --swversion DE.1.0.9.0 --startMP 204:457 --initTime 2017-06-19T08:52:21 --startdatetime 2017-06-19T09:00:29 --delay 1 --endMP 204:233298 --enddatetime 2017-06-19T09:37:08 --enforcementcount 0 &gt;&gt;C:\Users\stu\Documents\GitHub\eaglep3-reporting\EC\2017-06-19-refined-times.txt</v>
      </c>
      <c r="AI5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{"issue":{"subject":"","project_id":79,"tracker_id":40,"status_id":1,"priority_id":2,"assigned_to_id":23,"start_date":"2017-06-19","description":"","custom_fields":[{"id":1,"name":"Subdivision","value":"EC"},{"id":4,"name":"Milepost","value":"23.3298"},{"id":17,"name":"Train ID","value":"143-19"},{"id":16,"name":"Locomotive ID","value":"4054"},{"id":130,"name":"Impact","value":""},{"id":150,"name":"Time of Event (Mountain Time)","value":"09:37:08"},{"id":151,"name":"Denver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4054 --day 2017-06-19</v>
      </c>
      <c r="AN5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631</v>
      </c>
      <c r="B56" s="7">
        <v>4053</v>
      </c>
      <c r="C56" s="21" t="s">
        <v>202</v>
      </c>
      <c r="D56" s="21" t="s">
        <v>890</v>
      </c>
      <c r="E56" s="13">
        <v>42905.401967592596</v>
      </c>
      <c r="F56" s="13">
        <v>42905.41474537037</v>
      </c>
      <c r="G56" s="7">
        <v>1</v>
      </c>
      <c r="H56" s="21" t="s">
        <v>194</v>
      </c>
      <c r="I56" s="13">
        <v>42905.441574074073</v>
      </c>
      <c r="J56" s="7">
        <v>0</v>
      </c>
      <c r="K56" s="89" t="str">
        <f t="shared" si="0"/>
        <v>4053/4054</v>
      </c>
      <c r="L56" s="21" t="str">
        <f>VLOOKUP(A56,'Trips&amp;Operators'!$C$1:$G$99999,5,FALSE)</f>
        <v>YANAI IAN</v>
      </c>
      <c r="M56" s="6">
        <f t="shared" si="1"/>
        <v>2.6828703703358769E-2</v>
      </c>
      <c r="N56" s="7">
        <f t="shared" si="24"/>
        <v>38.633333332836628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-19T08:38:50-0600',mode:absolute,to:'2017-06-19T11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6"/>
        <v>23.297000000000001</v>
      </c>
      <c r="Z56" s="197">
        <f t="shared" si="7"/>
        <v>1.5800000000000002E-2</v>
      </c>
      <c r="AA56" s="197">
        <f t="shared" si="8"/>
        <v>23.281200000000002</v>
      </c>
      <c r="AB56" s="54" t="str">
        <f>VLOOKUP(A56,Enforcements!$C$7:$K$13,8,0)</f>
        <v>Bulletin (2)</v>
      </c>
      <c r="AC56" s="51" t="str">
        <f>VLOOKUP(A56,Enforcements!$C$7:$E$13,3,0)</f>
        <v>GRADE CROSSING</v>
      </c>
      <c r="AD56" s="206">
        <f t="shared" si="9"/>
        <v>144</v>
      </c>
      <c r="AE56" s="77" t="str">
        <f t="shared" si="10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56" s="74" t="str">
        <f t="shared" si="11"/>
        <v>"C:\Program Files (x86)\AstroGrep\AstroGrep.exe" /e /r /s /spath="%USERPROFILE%\AppData\Local\Temp\OnboardLogs" /stypes="app*4053*20170619*" /stext=" 16:.+((SYSTEM_STATE.+slice.+state.+changed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18"/>
        <v>"%USERPROFILE%\Documents\GitHub\eaglep3\Utilities\RefineRTDCRunTimes.py" --tripid 144-19 --locoid 4053 --swversion DE.1.0.9.0 --startMP 204:232970 --initTime 2017-06-19T09:38:50 --startdatetime 2017-06-19T09:57:14 --delay 1 --endMP 204:158 --enddatetime 2017-06-19T10:35:52 --enforcementcount 0 &gt;&gt;C:\Users\stu\Documents\GitHub\eaglep3-reporting\EC\2017-06-19-refined-times.txt</v>
      </c>
      <c r="AI5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{"issue":{"subject":"","project_id":79,"tracker_id":40,"status_id":1,"priority_id":2,"assigned_to_id":23,"start_date":"2017-06-19","description":"","custom_fields":[{"id":1,"name":"Subdivision","value":"EC"},{"id":4,"name":"Milepost","value":"0.0158"},{"id":17,"name":"Train ID","value":"144-19"},{"id":16,"name":"Locomotive ID","value":"4053"},{"id":130,"name":"Impact","value":""},{"id":150,"name":"Time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4053 --day 2017-06-19</v>
      </c>
      <c r="AN5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628</v>
      </c>
      <c r="B57" s="7">
        <v>4046</v>
      </c>
      <c r="C57" s="21" t="s">
        <v>202</v>
      </c>
      <c r="D57" s="21" t="s">
        <v>891</v>
      </c>
      <c r="E57" s="13">
        <v>42905.381365740737</v>
      </c>
      <c r="F57" s="13">
        <v>42905.385879629626</v>
      </c>
      <c r="G57" s="7">
        <v>1</v>
      </c>
      <c r="H57" s="21" t="s">
        <v>452</v>
      </c>
      <c r="I57" s="13">
        <v>42905.410162037035</v>
      </c>
      <c r="J57" s="7">
        <v>0</v>
      </c>
      <c r="K57" s="89" t="str">
        <f t="shared" si="0"/>
        <v>4045/4046</v>
      </c>
      <c r="L57" s="21" t="str">
        <f>VLOOKUP(A57,'Trips&amp;Operators'!$C$1:$G$99999,5,FALSE)</f>
        <v>MACDONALD THOMAS</v>
      </c>
      <c r="M57" s="6">
        <f t="shared" si="1"/>
        <v>2.4282407408463769E-2</v>
      </c>
      <c r="N57" s="7">
        <f t="shared" si="24"/>
        <v>34.966666668187827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-19T08:09:10-0600',mode:absolute,to:'2017-06-19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6"/>
        <v>4.58E-2</v>
      </c>
      <c r="Z57" s="197">
        <f t="shared" si="7"/>
        <v>23.3291</v>
      </c>
      <c r="AA57" s="197">
        <f t="shared" si="8"/>
        <v>23.283300000000001</v>
      </c>
      <c r="AB57" s="54" t="str">
        <f>VLOOKUP(A57,Enforcements!$C$7:$K$13,8,0)</f>
        <v>Speed (6)</v>
      </c>
      <c r="AC57" s="51" t="str">
        <f>VLOOKUP(A57,Enforcements!$C$7:$E$13,3,0)</f>
        <v>PERMANENT SPEED RESTRICTION</v>
      </c>
      <c r="AD57" s="206">
        <f t="shared" si="9"/>
        <v>145</v>
      </c>
      <c r="AE57" s="77" t="str">
        <f t="shared" si="10"/>
        <v>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 &amp; 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</v>
      </c>
      <c r="AF57" s="74" t="str">
        <f t="shared" si="11"/>
        <v>"C:\Program Files (x86)\AstroGrep\AstroGrep.exe" /e /r /s /spath="%USERPROFILE%\AppData\Local\Temp\OnboardLogs" /stypes="app*4046*20170619*" /stext=" 15:.+((SYSTEM_STATE.+slice.+state.+changed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18"/>
        <v>"%USERPROFILE%\Documents\GitHub\eaglep3\Utilities\RefineRTDCRunTimes.py" --tripid 145-19 --locoid 4046 --swversion DE.1.0.9.0 --startMP 204:458 --initTime 2017-06-19T09:09:10 --startdatetime 2017-06-19T09:15:40 --delay 1 --endMP 204:233291 --enddatetime 2017-06-19T09:50:38 --enforcementcount 0 &gt;&gt;C:\Users\stu\Documents\GitHub\eaglep3-reporting\EC\2017-06-19-refined-times.txt</v>
      </c>
      <c r="AI5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{"issue":{"subject":"","project_id":79,"tracker_id":40,"status_id":1,"priority_id":2,"assigned_to_id":23,"start_date":"2017-06-19","description":"","custom_fields":[{"id":1,"name":"Subdivision","value":"EC"},{"id":4,"name":"Milepost","value":"23.3291"},{"id":17,"name":"Train ID","value":"145-19"},{"id":16,"name":"Locomotive ID","value":"4046"},{"id":130,"name":"Impact","value":""},{"id":150,"name":"Time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4046 --day 2017-06-19</v>
      </c>
      <c r="AN5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733</v>
      </c>
      <c r="B58" s="7">
        <v>4045</v>
      </c>
      <c r="C58" s="21" t="s">
        <v>202</v>
      </c>
      <c r="D58" s="21" t="s">
        <v>587</v>
      </c>
      <c r="E58" s="13">
        <v>42905.421817129631</v>
      </c>
      <c r="F58" s="13">
        <v>42905.425335648149</v>
      </c>
      <c r="G58" s="7">
        <v>2</v>
      </c>
      <c r="H58" s="21" t="s">
        <v>892</v>
      </c>
      <c r="I58" s="13">
        <v>42905.451469907406</v>
      </c>
      <c r="J58" s="7">
        <v>0</v>
      </c>
      <c r="K58" s="89" t="str">
        <f t="shared" si="0"/>
        <v>4045/4046</v>
      </c>
      <c r="L58" s="21" t="str">
        <f>VLOOKUP(A58,'Trips&amp;Operators'!$C$1:$G$99999,5,FALSE)</f>
        <v>MACDONALD THOMAS</v>
      </c>
      <c r="M58" s="6">
        <f t="shared" si="1"/>
        <v>2.6134259256650694E-2</v>
      </c>
      <c r="N58" s="7">
        <f t="shared" si="24"/>
        <v>37.633333329576999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-19T09:07:25-0600',mode:absolute,to:'2017-06-19T11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6"/>
        <v>23.297699999999999</v>
      </c>
      <c r="Z58" s="197">
        <f t="shared" si="7"/>
        <v>9.4899999999999998E-2</v>
      </c>
      <c r="AA58" s="197">
        <f t="shared" si="8"/>
        <v>23.2028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9"/>
        <v>146</v>
      </c>
      <c r="AE58" s="77" t="str">
        <f t="shared" si="10"/>
        <v>aws s3 cp s3://rtdc.mdm.uploadarchive.raw/RTDC4045/ "%USERPROFILE%\AppData\Local\Temp\OnboardLogs"\RTDC4045\2017-06-19 --exclude "*" --recursive --include "*20170619*" &amp; "%USERPROFILE%\Documents\GitHub\mrs-test-scripts\Headless Mode &amp; Sideloading\WalkAndUnGZ.bat" "%USERPROFILE%\AppData\Local\Temp\OnboardLogs"\RTDC4045\2017-06-19 &amp; 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</v>
      </c>
      <c r="AF58" s="74" t="str">
        <f t="shared" si="11"/>
        <v>"C:\Program Files (x86)\AstroGrep\AstroGrep.exe" /e /r /s /spath="%USERPROFILE%\AppData\Local\Temp\OnboardLogs" /stypes="app*4045*20170619*" /stext=" 16:.+((SYSTEM_STATE.+slice.+state.+changed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18"/>
        <v>"%USERPROFILE%\Documents\GitHub\eaglep3\Utilities\RefineRTDCRunTimes.py" --tripid 146-19 --locoid 4045 --swversion DE.1.0.9.0 --startMP 204:232977 --initTime 2017-06-19T10:07:25 --startdatetime 2017-06-19T10:12:29 --delay 2 --endMP 204:949 --enddatetime 2017-06-19T10:50:07 --enforcementcount 0 &gt;&gt;C:\Users\stu\Documents\GitHub\eaglep3-reporting\EC\2017-06-19-refined-times.txt</v>
      </c>
      <c r="AI5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{"issue":{"subject":"","project_id":79,"tracker_id":40,"status_id":1,"priority_id":2,"assigned_to_id":23,"start_date":"2017-06-19","description":"","custom_fields":[{"id":1,"name":"Subdivision","value":"EC"},{"id":4,"name":"Milepost","value":"0.0949"},{"id":17,"name":"Train ID","value":"146-19"},{"id":16,"name":"Locomotive ID","value":"4045"},{"id":130,"name":"Impact","value":""},{"id":150,"name":"Time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4045 --day 2017-06-19</v>
      </c>
      <c r="AN5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727</v>
      </c>
      <c r="B59" s="7">
        <v>4008</v>
      </c>
      <c r="C59" s="21" t="s">
        <v>202</v>
      </c>
      <c r="D59" s="21" t="s">
        <v>352</v>
      </c>
      <c r="E59" s="13">
        <v>42905.394583333335</v>
      </c>
      <c r="F59" s="13">
        <v>42905.39603009259</v>
      </c>
      <c r="G59" s="7">
        <v>1</v>
      </c>
      <c r="H59" s="21" t="s">
        <v>532</v>
      </c>
      <c r="I59" s="13">
        <v>42905.421539351853</v>
      </c>
      <c r="J59" s="7">
        <v>0</v>
      </c>
      <c r="K59" s="89" t="str">
        <f t="shared" si="0"/>
        <v>4007/4008</v>
      </c>
      <c r="L59" s="21" t="str">
        <f>VLOOKUP(A59,'Trips&amp;Operators'!$C$1:$G$99999,5,FALSE)</f>
        <v>STARKS ANGELINA</v>
      </c>
      <c r="M59" s="6">
        <f t="shared" si="1"/>
        <v>2.5509259263344575E-2</v>
      </c>
      <c r="N59" s="7">
        <f t="shared" si="24"/>
        <v>36.733333339216188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-19T08:28:12-0600',mode:absolute,to:'2017-06-19T11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6"/>
        <v>4.5100000000000001E-2</v>
      </c>
      <c r="Z59" s="197">
        <f t="shared" si="7"/>
        <v>23.331199999999999</v>
      </c>
      <c r="AA59" s="197">
        <f t="shared" si="8"/>
        <v>23.286099999999998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9"/>
        <v>147</v>
      </c>
      <c r="AE59" s="77" t="str">
        <f t="shared" si="10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59" s="74" t="str">
        <f t="shared" si="11"/>
        <v>"C:\Program Files (x86)\AstroGrep\AstroGrep.exe" /e /r /s /spath="%USERPROFILE%\AppData\Local\Temp\OnboardLogs" /stypes="app*4008*20170619*" /stext=" 16:.+((SYSTEM_STATE.+slice.+state.+changed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18"/>
        <v>"%USERPROFILE%\Documents\GitHub\eaglep3\Utilities\RefineRTDCRunTimes.py" --tripid 147-19 --locoid 4008 --swversion DE.1.0.9.0 --startMP 204:451 --initTime 2017-06-19T09:28:12 --startdatetime 2017-06-19T09:30:17 --delay 1 --endMP 204:233312 --enddatetime 2017-06-19T10:07:01 --enforcementcount 0 &gt;&gt;C:\Users\stu\Documents\GitHub\eaglep3-reporting\EC\2017-06-19-refined-times.txt</v>
      </c>
      <c r="AI5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{"issue":{"subject":"","project_id":79,"tracker_id":40,"status_id":1,"priority_id":2,"assigned_to_id":23,"start_date":"2017-06-19","description":"","custom_fields":[{"id":1,"name":"Subdivision","value":"EC"},{"id":4,"name":"Milepost","value":"23.3312"},{"id":17,"name":"Train ID","value":"147-19"},{"id":16,"name":"Locomotive ID","value":"4008"},{"id":130,"name":"Impact","value":""},{"id":150,"name":"Time of Event (Mountain Time)","value":"10:07:01"},{"id":151,"name":"Denver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4008 --day 2017-06-19</v>
      </c>
      <c r="AN5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632</v>
      </c>
      <c r="B60" s="7">
        <v>4007</v>
      </c>
      <c r="C60" s="21" t="s">
        <v>202</v>
      </c>
      <c r="D60" s="21" t="s">
        <v>454</v>
      </c>
      <c r="E60" s="13">
        <v>42905.433449074073</v>
      </c>
      <c r="F60" s="13">
        <v>42905.436319444445</v>
      </c>
      <c r="G60" s="7">
        <v>1</v>
      </c>
      <c r="H60" s="21" t="s">
        <v>395</v>
      </c>
      <c r="I60" s="13">
        <v>42905.463263888887</v>
      </c>
      <c r="J60" s="7">
        <v>0</v>
      </c>
      <c r="K60" s="89" t="str">
        <f t="shared" si="0"/>
        <v>4007/4008</v>
      </c>
      <c r="L60" s="21" t="str">
        <f>VLOOKUP(A60,'Trips&amp;Operators'!$C$1:$G$99999,5,FALSE)</f>
        <v>STARKS ANGELINA</v>
      </c>
      <c r="M60" s="6">
        <f t="shared" si="1"/>
        <v>2.6944444442051463E-2</v>
      </c>
      <c r="N60" s="7">
        <f t="shared" si="24"/>
        <v>38.799999996554106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-19T09:24:10-0600',mode:absolute,to:'2017-06-19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6"/>
        <v>23.299299999999999</v>
      </c>
      <c r="Z60" s="197">
        <f t="shared" si="7"/>
        <v>1.54E-2</v>
      </c>
      <c r="AA60" s="197">
        <f t="shared" si="8"/>
        <v>23.283899999999999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9"/>
        <v>148</v>
      </c>
      <c r="AE60" s="77" t="str">
        <f t="shared" si="10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60" s="74" t="str">
        <f t="shared" si="11"/>
        <v>"C:\Program Files (x86)\AstroGrep\AstroGrep.exe" /e /r /s /spath="%USERPROFILE%\AppData\Local\Temp\OnboardLogs" /stypes="app*4007*20170619*" /stext=" 17:.+((SYSTEM_STATE.+slice.+state.+changed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18"/>
        <v>"%USERPROFILE%\Documents\GitHub\eaglep3\Utilities\RefineRTDCRunTimes.py" --tripid 148-19 --locoid 4007 --swversion DE.1.0.9.0 --startMP 204:232993 --initTime 2017-06-19T10:24:10 --startdatetime 2017-06-19T10:28:18 --delay 1 --endMP 204:154 --enddatetime 2017-06-19T11:07:06 --enforcementcount 0 &gt;&gt;C:\Users\stu\Documents\GitHub\eaglep3-reporting\EC\2017-06-19-refined-times.txt</v>
      </c>
      <c r="AI6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ID","value":"148-19"},{"id":16,"name":"Locomotive ID","value":"4007"},{"id":130,"name":"Impact","value":""},{"id":150,"name":"Time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4007 --day 2017-06-19</v>
      </c>
      <c r="AN6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730</v>
      </c>
      <c r="B61" s="7">
        <v>4044</v>
      </c>
      <c r="C61" s="21" t="s">
        <v>202</v>
      </c>
      <c r="D61" s="21" t="s">
        <v>354</v>
      </c>
      <c r="E61" s="13">
        <v>42905.402187500003</v>
      </c>
      <c r="F61" s="13">
        <v>42905.406435185185</v>
      </c>
      <c r="G61" s="7">
        <v>1</v>
      </c>
      <c r="H61" s="21" t="s">
        <v>893</v>
      </c>
      <c r="I61" s="13">
        <v>42905.430567129632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LALONDE GREGORY</v>
      </c>
      <c r="M61" s="6">
        <f t="shared" si="1"/>
        <v>2.4131944446708076E-2</v>
      </c>
      <c r="N61" s="7">
        <f t="shared" si="24"/>
        <v>34.750000003259629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-19T08:39:09-0600',mode:absolute,to:'2017-06-19T11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6"/>
        <v>4.53E-2</v>
      </c>
      <c r="Z61" s="197">
        <f t="shared" si="7"/>
        <v>23.333400000000001</v>
      </c>
      <c r="AA61" s="197">
        <f t="shared" si="8"/>
        <v>23.2881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9"/>
        <v>149</v>
      </c>
      <c r="AE61" s="77" t="str">
        <f t="shared" si="10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61" s="74" t="str">
        <f t="shared" si="11"/>
        <v>"C:\Program Files (x86)\AstroGrep\AstroGrep.exe" /e /r /s /spath="%USERPROFILE%\AppData\Local\Temp\OnboardLogs" /stypes="app*4044*20170619*" /stext=" 16:.+((SYSTEM_STATE.+slice.+state.+changed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18"/>
        <v>"%USERPROFILE%\Documents\GitHub\eaglep3\Utilities\RefineRTDCRunTimes.py" --tripid 149-19 --locoid 4044 --swversion DE.1.0.9.0 --startMP 204:453 --initTime 2017-06-19T09:39:09 --startdatetime 2017-06-19T09:45:16 --delay 1 --endMP 204:233334 --enddatetime 2017-06-19T10:20:01 --enforcementcount 0 &gt;&gt;C:\Users\stu\Documents\GitHub\eaglep3-reporting\EC\2017-06-19-refined-times.txt</v>
      </c>
      <c r="AI6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{"issue":{"subject":"","project_id":79,"tracker_id":40,"status_id":1,"priority_id":2,"assigned_to_id":23,"start_date":"2017-06-19","description":"","custom_fields":[{"id":1,"name":"Subdivision","value":"EC"},{"id":4,"name":"Milepost","value":"23.3334"},{"id":17,"name":"Train ID","value":"149-19"},{"id":16,"name":"Locomotive ID","value":"4044"},{"id":130,"name":"Impact","value":""},{"id":150,"name":"Time of Event (Mountain Time)","value":"10:20:01"},{"id":151,"name":"Denver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4044 --day 2017-06-19</v>
      </c>
      <c r="AN6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735</v>
      </c>
      <c r="B62" s="7">
        <v>4043</v>
      </c>
      <c r="C62" s="21" t="s">
        <v>202</v>
      </c>
      <c r="D62" s="21" t="s">
        <v>894</v>
      </c>
      <c r="E62" s="13">
        <v>42905.433553240742</v>
      </c>
      <c r="F62" s="13">
        <v>42905.445983796293</v>
      </c>
      <c r="G62" s="7">
        <v>1</v>
      </c>
      <c r="H62" s="21" t="s">
        <v>395</v>
      </c>
      <c r="I62" s="13">
        <v>42905.471759259257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LALONDE GREGORY</v>
      </c>
      <c r="M62" s="6">
        <f t="shared" si="1"/>
        <v>2.5775462963792961E-2</v>
      </c>
      <c r="N62" s="7">
        <f t="shared" si="24"/>
        <v>37.116666667861864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-19T09:24:19-0600',mode:absolute,to:'2017-06-19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6"/>
        <v>23.302099999999999</v>
      </c>
      <c r="Z62" s="197">
        <f t="shared" si="7"/>
        <v>1.54E-2</v>
      </c>
      <c r="AA62" s="197">
        <f t="shared" si="8"/>
        <v>23.2867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9"/>
        <v>150</v>
      </c>
      <c r="AE62" s="77" t="str">
        <f t="shared" si="10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62" s="74" t="str">
        <f t="shared" si="11"/>
        <v>"C:\Program Files (x86)\AstroGrep\AstroGrep.exe" /e /r /s /spath="%USERPROFILE%\AppData\Local\Temp\OnboardLogs" /stypes="app*4043*20170619*" /stext=" 17:.+((SYSTEM_STATE.+slice.+state.+changed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18"/>
        <v>"%USERPROFILE%\Documents\GitHub\eaglep3\Utilities\RefineRTDCRunTimes.py" --tripid 150-19 --locoid 4043 --swversion DE.1.0.9.0 --startMP 204:233021 --initTime 2017-06-19T10:24:19 --startdatetime 2017-06-19T10:42:13 --delay 1 --endMP 204:154 --enddatetime 2017-06-19T11:19:20 --enforcementcount 0 &gt;&gt;C:\Users\stu\Documents\GitHub\eaglep3-reporting\EC\2017-06-19-refined-times.txt</v>
      </c>
      <c r="AI6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ID","value":"150-19"},{"id":16,"name":"Locomotive ID","value":"4043"},{"id":130,"name":"Impact","value":""},{"id":150,"name":"Time of Event (Mountain Time)","value":"11:19:20"},{"id":151,"name":"Denver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4043 --day 2017-06-19</v>
      </c>
      <c r="AN6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731</v>
      </c>
      <c r="B63" s="7">
        <v>4058</v>
      </c>
      <c r="C63" s="21" t="s">
        <v>202</v>
      </c>
      <c r="D63" s="21" t="s">
        <v>455</v>
      </c>
      <c r="E63" s="13">
        <v>42905.412777777776</v>
      </c>
      <c r="F63" s="13">
        <v>42905.416898148149</v>
      </c>
      <c r="G63" s="7">
        <v>1</v>
      </c>
      <c r="H63" s="21" t="s">
        <v>473</v>
      </c>
      <c r="I63" s="13">
        <v>42905.442766203705</v>
      </c>
      <c r="J63" s="7">
        <v>0</v>
      </c>
      <c r="K63" s="89" t="str">
        <f t="shared" si="0"/>
        <v>4057/4058</v>
      </c>
      <c r="L63" s="21" t="str">
        <f>VLOOKUP(A63,'Trips&amp;Operators'!$C$1:$G$99999,5,FALSE)</f>
        <v>ACKERMAN JARED</v>
      </c>
      <c r="M63" s="6">
        <f t="shared" si="1"/>
        <v>2.5868055556202307E-2</v>
      </c>
      <c r="N63" s="7">
        <f t="shared" si="24"/>
        <v>37.250000000931323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-19T08:54:24-0600',mode:absolute,to:'2017-06-19T11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6"/>
        <v>4.3999999999999997E-2</v>
      </c>
      <c r="Z63" s="197">
        <f t="shared" si="7"/>
        <v>23.331</v>
      </c>
      <c r="AA63" s="197">
        <f t="shared" si="8"/>
        <v>23.286999999999999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9"/>
        <v>151</v>
      </c>
      <c r="AE63" s="77" t="str">
        <f t="shared" si="10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63" s="74" t="str">
        <f t="shared" si="11"/>
        <v>"C:\Program Files (x86)\AstroGrep\AstroGrep.exe" /e /r /s /spath="%USERPROFILE%\AppData\Local\Temp\OnboardLogs" /stypes="app*4058*20170619*" /stext=" 16:.+((SYSTEM_STATE.+slice.+state.+changed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18"/>
        <v>"%USERPROFILE%\Documents\GitHub\eaglep3\Utilities\RefineRTDCRunTimes.py" --tripid 151-19 --locoid 4058 --swversion DE.1.0.9.0 --startMP 204:440 --initTime 2017-06-19T09:54:24 --startdatetime 2017-06-19T10:00:20 --delay 1 --endMP 204:233310 --enddatetime 2017-06-19T10:37:35 --enforcementcount 0 &gt;&gt;C:\Users\stu\Documents\GitHub\eaglep3-reporting\EC\2017-06-19-refined-times.txt</v>
      </c>
      <c r="AI6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{"issue":{"subject":"","project_id":79,"tracker_id":40,"status_id":1,"priority_id":2,"assigned_to_id":23,"start_date":"2017-06-19","description":"","custom_fields":[{"id":1,"name":"Subdivision","value":"EC"},{"id":4,"name":"Milepost","value":"23.331"},{"id":17,"name":"Train ID","value":"151-19"},{"id":16,"name":"Locomotive ID","value":"4058"},{"id":130,"name":"Impact","value":""},{"id":150,"name":"Time of Event (Mountain Time)","value":"10:37:35"},{"id":151,"name":"Denver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4058 --day 2017-06-19</v>
      </c>
      <c r="AN6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739</v>
      </c>
      <c r="B64" s="7">
        <v>4057</v>
      </c>
      <c r="C64" s="21" t="s">
        <v>202</v>
      </c>
      <c r="D64" s="21" t="s">
        <v>594</v>
      </c>
      <c r="E64" s="13">
        <v>42905.44976851852</v>
      </c>
      <c r="F64" s="13">
        <v>42905.456504629627</v>
      </c>
      <c r="G64" s="7">
        <v>1</v>
      </c>
      <c r="H64" s="21" t="s">
        <v>358</v>
      </c>
      <c r="I64" s="13">
        <v>42905.4843287037</v>
      </c>
      <c r="J64" s="7">
        <v>0</v>
      </c>
      <c r="K64" s="89" t="str">
        <f t="shared" si="0"/>
        <v>4057/4058</v>
      </c>
      <c r="L64" s="21" t="str">
        <f>VLOOKUP(A64,'Trips&amp;Operators'!$C$1:$G$99999,5,FALSE)</f>
        <v>ACKERMAN JARED</v>
      </c>
      <c r="M64" s="6">
        <f t="shared" si="1"/>
        <v>2.7824074073578231E-2</v>
      </c>
      <c r="N64" s="7">
        <f t="shared" si="24"/>
        <v>40.066666665952653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-19T09:47:40-0600',mode:absolute,to:'2017-06-19T12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6"/>
        <v>23.3004</v>
      </c>
      <c r="Z64" s="197">
        <f t="shared" si="7"/>
        <v>1.41E-2</v>
      </c>
      <c r="AA64" s="197">
        <f t="shared" si="8"/>
        <v>23.286300000000001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9"/>
        <v>152</v>
      </c>
      <c r="AE64" s="77" t="str">
        <f t="shared" si="10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64" s="74" t="str">
        <f t="shared" si="11"/>
        <v>"C:\Program Files (x86)\AstroGrep\AstroGrep.exe" /e /r /s /spath="%USERPROFILE%\AppData\Local\Temp\OnboardLogs" /stypes="app*4057*20170619*" /stext=" 17:.+((SYSTEM_STATE.+slice.+state.+changed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18"/>
        <v>"%USERPROFILE%\Documents\GitHub\eaglep3\Utilities\RefineRTDCRunTimes.py" --tripid 152-19 --locoid 4057 --swversion DE.1.0.9.0 --startMP 204:233004 --initTime 2017-06-19T10:47:40 --startdatetime 2017-06-19T10:57:22 --delay 1 --endMP 204:141 --enddatetime 2017-06-19T11:37:26 --enforcementcount 0 &gt;&gt;C:\Users\stu\Documents\GitHub\eaglep3-reporting\EC\2017-06-19-refined-times.txt</v>
      </c>
      <c r="AI6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{"issue":{"subject":"","project_id":79,"tracker_id":40,"status_id":1,"priority_id":2,"assigned_to_id":23,"start_date":"2017-06-19","description":"","custom_fields":[{"id":1,"name":"Subdivision","value":"EC"},{"id":4,"name":"Milepost","value":"0.0141"},{"id":17,"name":"Train ID","value":"152-19"},{"id":16,"name":"Locomotive ID","value":"4057"},{"id":130,"name":"Impact","value":""},{"id":150,"name":"Time of Event (Mountain Time)","value":"11:37:26"},{"id":151,"name":"Denver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4057 --day 2017-06-19</v>
      </c>
      <c r="AN6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734</v>
      </c>
      <c r="B65" s="7">
        <v>4016</v>
      </c>
      <c r="C65" s="21" t="s">
        <v>202</v>
      </c>
      <c r="D65" s="21" t="s">
        <v>347</v>
      </c>
      <c r="E65" s="13">
        <v>42905.422847222224</v>
      </c>
      <c r="F65" s="13">
        <v>42905.427268518521</v>
      </c>
      <c r="G65" s="7">
        <v>1</v>
      </c>
      <c r="H65" s="21" t="s">
        <v>895</v>
      </c>
      <c r="I65" s="13">
        <v>42905.453240740739</v>
      </c>
      <c r="J65" s="7">
        <v>0</v>
      </c>
      <c r="K65" s="89" t="str">
        <f t="shared" si="0"/>
        <v>4015/4016</v>
      </c>
      <c r="L65" s="21" t="str">
        <f>VLOOKUP(A65,'Trips&amp;Operators'!$C$1:$G$99999,5,FALSE)</f>
        <v>DAVIDSON DAVID</v>
      </c>
      <c r="M65" s="6">
        <f t="shared" si="1"/>
        <v>2.5972222218115348E-2</v>
      </c>
      <c r="N65" s="7">
        <f t="shared" si="24"/>
        <v>37.399999994086102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-19T09:08:54-0600',mode:absolute,to:'2017-06-19T11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6"/>
        <v>4.4600000000000001E-2</v>
      </c>
      <c r="Z65" s="197">
        <f t="shared" si="7"/>
        <v>23.331600000000002</v>
      </c>
      <c r="AA65" s="197">
        <f t="shared" si="8"/>
        <v>23.287000000000003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9"/>
        <v>153</v>
      </c>
      <c r="AE65" s="77" t="str">
        <f t="shared" si="10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65" s="74" t="str">
        <f t="shared" si="11"/>
        <v>"C:\Program Files (x86)\AstroGrep\AstroGrep.exe" /e /r /s /spath="%USERPROFILE%\AppData\Local\Temp\OnboardLogs" /stypes="app*4016*20170619*" /stext=" 16:.+((SYSTEM_STATE.+slice.+state.+changed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18"/>
        <v>"%USERPROFILE%\Documents\GitHub\eaglep3\Utilities\RefineRTDCRunTimes.py" --tripid 153-19 --locoid 4016 --swversion DE.1.0.9.0 --startMP 204:446 --initTime 2017-06-19T10:08:54 --startdatetime 2017-06-19T10:15:16 --delay 1 --endMP 204:233316 --enddatetime 2017-06-19T10:52:40 --enforcementcount 0 &gt;&gt;C:\Users\stu\Documents\GitHub\eaglep3-reporting\EC\2017-06-19-refined-times.txt</v>
      </c>
      <c r="AI6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{"issue":{"subject":"","project_id":79,"tracker_id":40,"status_id":1,"priority_id":2,"assigned_to_id":23,"start_date":"2017-06-19","description":"","custom_fields":[{"id":1,"name":"Subdivision","value":"EC"},{"id":4,"name":"Milepost","value":"23.3316"},{"id":17,"name":"Train ID","value":"153-19"},{"id":16,"name":"Locomotive ID","value":"4016"},{"id":130,"name":"Impact","value":""},{"id":150,"name":"Time of Event (Mountain Time)","value":"10:52:40"},{"id":151,"name":"Denver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4016 --day 2017-06-19</v>
      </c>
      <c r="AN6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634</v>
      </c>
      <c r="B66" s="7">
        <v>4015</v>
      </c>
      <c r="C66" s="21" t="s">
        <v>202</v>
      </c>
      <c r="D66" s="21" t="s">
        <v>450</v>
      </c>
      <c r="E66" s="13">
        <v>42905.456030092595</v>
      </c>
      <c r="F66" s="13">
        <v>42905.466979166667</v>
      </c>
      <c r="G66" s="7">
        <v>1</v>
      </c>
      <c r="H66" s="21" t="s">
        <v>349</v>
      </c>
      <c r="I66" s="13">
        <v>42905.495312500003</v>
      </c>
      <c r="J66" s="7">
        <v>0</v>
      </c>
      <c r="K66" s="89" t="str">
        <f t="shared" si="0"/>
        <v>4015/4016</v>
      </c>
      <c r="L66" s="21" t="str">
        <f>VLOOKUP(A66,'Trips&amp;Operators'!$C$1:$G$99999,5,FALSE)</f>
        <v>DAVIDSON DAVID</v>
      </c>
      <c r="M66" s="6">
        <f t="shared" si="1"/>
        <v>2.8333333335467614E-2</v>
      </c>
      <c r="N66" s="7">
        <f t="shared" si="24"/>
        <v>40.800000003073364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-19T09:56:41-0600',mode:absolute,to:'2017-06-19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6"/>
        <v>23.299600000000002</v>
      </c>
      <c r="Z66" s="197">
        <f t="shared" si="7"/>
        <v>1.49E-2</v>
      </c>
      <c r="AA66" s="197">
        <f t="shared" si="8"/>
        <v>23.284700000000001</v>
      </c>
      <c r="AB66" s="54" t="str">
        <f>VLOOKUP(A66,Enforcements!$C$7:$K$13,8,0)</f>
        <v>Bulletin (2)</v>
      </c>
      <c r="AC66" s="51" t="str">
        <f>VLOOKUP(A66,Enforcements!$C$7:$E$13,3,0)</f>
        <v>GRADE CROSSING</v>
      </c>
      <c r="AD66" s="206">
        <f t="shared" si="9"/>
        <v>154</v>
      </c>
      <c r="AE66" s="77" t="str">
        <f t="shared" si="10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66" s="74" t="str">
        <f t="shared" si="11"/>
        <v>"C:\Program Files (x86)\AstroGrep\AstroGrep.exe" /e /r /s /spath="%USERPROFILE%\AppData\Local\Temp\OnboardLogs" /stypes="app*4015*20170619*" /stext=" 17:.+((SYSTEM_STATE.+slice.+state.+changed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18"/>
        <v>"%USERPROFILE%\Documents\GitHub\eaglep3\Utilities\RefineRTDCRunTimes.py" --tripid 154-19 --locoid 4015 --swversion DE.1.0.9.0 --startMP 204:232996 --initTime 2017-06-19T10:56:41 --startdatetime 2017-06-19T11:12:27 --delay 1 --endMP 204:149 --enddatetime 2017-06-19T11:53:15 --enforcementcount 0 &gt;&gt;C:\Users\stu\Documents\GitHub\eaglep3-reporting\EC\2017-06-19-refined-times.txt</v>
      </c>
      <c r="AI6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ID","value":"154-19"},{"id":16,"name":"Locomotive ID","value":"4015"},{"id":130,"name":"Impact","value":""},{"id":150,"name":"Time of Event (Mountain Time)","value":"11:53:15"},{"id":151,"name":"Denver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4015 --day 2017-06-19</v>
      </c>
      <c r="AN6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736</v>
      </c>
      <c r="B67" s="7">
        <v>4018</v>
      </c>
      <c r="C67" s="21" t="s">
        <v>202</v>
      </c>
      <c r="D67" s="21" t="s">
        <v>896</v>
      </c>
      <c r="E67" s="13">
        <v>42905.433518518519</v>
      </c>
      <c r="F67" s="13">
        <v>42905.437777777777</v>
      </c>
      <c r="G67" s="7">
        <v>1</v>
      </c>
      <c r="H67" s="21" t="s">
        <v>897</v>
      </c>
      <c r="I67" s="13">
        <v>42905.464085648149</v>
      </c>
      <c r="J67" s="7">
        <v>0</v>
      </c>
      <c r="K67" s="89" t="str">
        <f t="shared" si="0"/>
        <v>4017/4018</v>
      </c>
      <c r="L67" s="21" t="str">
        <f>VLOOKUP(A67,'Trips&amp;Operators'!$C$1:$G$99999,5,FALSE)</f>
        <v>HELVIE ADAM</v>
      </c>
      <c r="M67" s="6">
        <f t="shared" si="1"/>
        <v>2.6307870371965691E-2</v>
      </c>
      <c r="N67" s="7">
        <f t="shared" si="24"/>
        <v>37.883333335630596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-19T09:24:16-0600',mode:absolute,to:'2017-06-19T12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6"/>
        <v>4.7300000000000002E-2</v>
      </c>
      <c r="Z67" s="197">
        <f t="shared" si="7"/>
        <v>23.326799999999999</v>
      </c>
      <c r="AA67" s="197">
        <f t="shared" si="8"/>
        <v>23.279499999999999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9"/>
        <v>155</v>
      </c>
      <c r="AE67" s="77" t="str">
        <f t="shared" si="10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67" s="74" t="str">
        <f t="shared" si="11"/>
        <v>"C:\Program Files (x86)\AstroGrep\AstroGrep.exe" /e /r /s /spath="%USERPROFILE%\AppData\Local\Temp\OnboardLogs" /stypes="app*4018*20170619*" /stext=" 17:.+((SYSTEM_STATE.+slice.+state.+changed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18"/>
        <v>"%USERPROFILE%\Documents\GitHub\eaglep3\Utilities\RefineRTDCRunTimes.py" --tripid 155-19 --locoid 4018 --swversion DE.1.0.9.0 --startMP 204:473 --initTime 2017-06-19T10:24:16 --startdatetime 2017-06-19T10:30:24 --delay 1 --endMP 204:233268 --enddatetime 2017-06-19T11:08:17 --enforcementcount 0 &gt;&gt;C:\Users\stu\Documents\GitHub\eaglep3-reporting\EC\2017-06-19-refined-times.txt</v>
      </c>
      <c r="AI6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{"issue":{"subject":"","project_id":79,"tracker_id":40,"status_id":1,"priority_id":2,"assigned_to_id":23,"start_date":"2017-06-19","description":"","custom_fields":[{"id":1,"name":"Subdivision","value":"EC"},{"id":4,"name":"Milepost","value":"23.3268"},{"id":17,"name":"Train ID","value":"155-19"},{"id":16,"name":"Locomotive ID","value":"4018"},{"id":130,"name":"Impact","value":""},{"id":150,"name":"Time of Event (Mountain Time)","value":"11:08:17"},{"id":151,"name":"Denver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4018 --day 2017-06-19</v>
      </c>
      <c r="AN6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749</v>
      </c>
      <c r="B68" s="7">
        <v>4017</v>
      </c>
      <c r="C68" s="21" t="s">
        <v>202</v>
      </c>
      <c r="D68" s="21" t="s">
        <v>472</v>
      </c>
      <c r="E68" s="13">
        <v>42905.473993055559</v>
      </c>
      <c r="F68" s="13">
        <v>42905.477847222224</v>
      </c>
      <c r="G68" s="7">
        <v>1</v>
      </c>
      <c r="H68" s="21" t="s">
        <v>898</v>
      </c>
      <c r="I68" s="13">
        <v>42905.50476851852</v>
      </c>
      <c r="J68" s="7">
        <v>0</v>
      </c>
      <c r="K68" s="89" t="str">
        <f t="shared" si="0"/>
        <v>4017/4018</v>
      </c>
      <c r="L68" s="21" t="str">
        <f>VLOOKUP(A68,'Trips&amp;Operators'!$C$1:$G$99999,5,FALSE)</f>
        <v>HELVIE ADAM</v>
      </c>
      <c r="M68" s="6">
        <f t="shared" si="1"/>
        <v>2.6921296295768116E-2</v>
      </c>
      <c r="N68" s="7">
        <f t="shared" si="24"/>
        <v>38.766666665906087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-19T10:22:33-0600',mode:absolute,to:'2017-06-19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6"/>
        <v>23.298100000000002</v>
      </c>
      <c r="Z68" s="197">
        <f t="shared" si="7"/>
        <v>1.2999999999999999E-2</v>
      </c>
      <c r="AA68" s="197">
        <f t="shared" si="8"/>
        <v>23.2851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9"/>
        <v>156</v>
      </c>
      <c r="AE68" s="77" t="str">
        <f t="shared" si="10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68" s="74" t="str">
        <f t="shared" si="11"/>
        <v>"C:\Program Files (x86)\AstroGrep\AstroGrep.exe" /e /r /s /spath="%USERPROFILE%\AppData\Local\Temp\OnboardLogs" /stypes="app*4017*20170619*" /stext=" 18:.+((SYSTEM_STATE.+slice.+state.+changed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18"/>
        <v>"%USERPROFILE%\Documents\GitHub\eaglep3\Utilities\RefineRTDCRunTimes.py" --tripid 156-19 --locoid 4017 --swversion DE.1.0.9.0 --startMP 204:232981 --initTime 2017-06-19T11:22:33 --startdatetime 2017-06-19T11:28:06 --delay 1 --endMP 204:130 --enddatetime 2017-06-19T12:06:52 --enforcementcount 0 &gt;&gt;C:\Users\stu\Documents\GitHub\eaglep3-reporting\EC\2017-06-19-refined-times.txt</v>
      </c>
      <c r="AI68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{"issue":{"subject":"","project_id":79,"tracker_id":40,"status_id":1,"priority_id":2,"assigned_to_id":23,"start_date":"2017-06-19","description":"","custom_fields":[{"id":1,"name":"Subdivision","value":"EC"},{"id":4,"name":"Milepost","value":"0.013"},{"id":17,"name":"Train ID","value":"156-19"},{"id":16,"name":"Locomotive ID","value":"4017"},{"id":130,"name":"Impact","value":""},{"id":150,"name":"Time of Event (Mountain Time)","value":"12:06:52"},{"id":151,"name":"Denver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4017 --day 2017-06-19</v>
      </c>
      <c r="AN68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633</v>
      </c>
      <c r="B69" s="7">
        <v>4054</v>
      </c>
      <c r="C69" s="21" t="s">
        <v>202</v>
      </c>
      <c r="D69" s="21" t="s">
        <v>507</v>
      </c>
      <c r="E69" s="13">
        <v>42905.443749999999</v>
      </c>
      <c r="F69" s="13">
        <v>42905.448101851849</v>
      </c>
      <c r="G69" s="7">
        <v>1</v>
      </c>
      <c r="H69" s="21" t="s">
        <v>899</v>
      </c>
      <c r="I69" s="13">
        <v>42905.47315972222</v>
      </c>
      <c r="J69" s="7">
        <v>0</v>
      </c>
      <c r="K69" s="89" t="str">
        <f t="shared" si="0"/>
        <v>4053/4054</v>
      </c>
      <c r="L69" s="21" t="str">
        <f>VLOOKUP(A69,'Trips&amp;Operators'!$C$1:$G$99999,5,FALSE)</f>
        <v>SULLIVAN BRANDON</v>
      </c>
      <c r="M69" s="6">
        <f t="shared" si="1"/>
        <v>2.5057870370801538E-2</v>
      </c>
      <c r="N69" s="7">
        <f t="shared" si="24"/>
        <v>36.083333333954215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-19T09:39:00-0600',mode:absolute,to:'2017-06-19T12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6"/>
        <v>4.6399999999999997E-2</v>
      </c>
      <c r="Z69" s="197">
        <f t="shared" si="7"/>
        <v>23.335999999999999</v>
      </c>
      <c r="AA69" s="197">
        <f t="shared" si="8"/>
        <v>23.2896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9"/>
        <v>157</v>
      </c>
      <c r="AE69" s="77" t="str">
        <f t="shared" si="10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69" s="74" t="str">
        <f t="shared" si="11"/>
        <v>"C:\Program Files (x86)\AstroGrep\AstroGrep.exe" /e /r /s /spath="%USERPROFILE%\AppData\Local\Temp\OnboardLogs" /stypes="app*4054*20170619*" /stext=" 17:.+((SYSTEM_STATE.+slice.+state.+changed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18"/>
        <v>"%USERPROFILE%\Documents\GitHub\eaglep3\Utilities\RefineRTDCRunTimes.py" --tripid 157-19 --locoid 4054 --swversion DE.1.0.9.0 --startMP 204:464 --initTime 2017-06-19T10:39:00 --startdatetime 2017-06-19T10:45:16 --delay 1 --endMP 204:233360 --enddatetime 2017-06-19T11:21:21 --enforcementcount 0 &gt;&gt;C:\Users\stu\Documents\GitHub\eaglep3-reporting\EC\2017-06-19-refined-times.txt</v>
      </c>
      <c r="AI69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{"issue":{"subject":"","project_id":79,"tracker_id":40,"status_id":1,"priority_id":2,"assigned_to_id":23,"start_date":"2017-06-19","description":"","custom_fields":[{"id":1,"name":"Subdivision","value":"EC"},{"id":4,"name":"Milepost","value":"23.336"},{"id":17,"name":"Train ID","value":"157-19"},{"id":16,"name":"Locomotive ID","value":"4054"},{"id":130,"name":"Impact","value":""},{"id":150,"name":"Time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4054 --day 2017-06-19</v>
      </c>
      <c r="AN69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751</v>
      </c>
      <c r="B70" s="7">
        <v>4053</v>
      </c>
      <c r="C70" s="21" t="s">
        <v>202</v>
      </c>
      <c r="D70" s="21" t="s">
        <v>900</v>
      </c>
      <c r="E70" s="13">
        <v>42905.479803240742</v>
      </c>
      <c r="F70" s="13">
        <v>42905.487662037034</v>
      </c>
      <c r="G70" s="7">
        <v>2</v>
      </c>
      <c r="H70" s="21" t="s">
        <v>349</v>
      </c>
      <c r="I70" s="13">
        <v>42905.514502314814</v>
      </c>
      <c r="J70" s="7">
        <v>0</v>
      </c>
      <c r="K70" s="89" t="str">
        <f t="shared" si="0"/>
        <v>4053/4054</v>
      </c>
      <c r="L70" s="21" t="str">
        <f>VLOOKUP(A70,'Trips&amp;Operators'!$C$1:$G$99999,5,FALSE)</f>
        <v>SULLIVAN BRANDON</v>
      </c>
      <c r="M70" s="6">
        <f t="shared" si="1"/>
        <v>2.6840277780138422E-2</v>
      </c>
      <c r="N70" s="7">
        <f t="shared" si="24"/>
        <v>38.650000003399327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-19T10:30:55-0600',mode:absolute,to:'2017-06-19T13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6"/>
        <v>23.305700000000002</v>
      </c>
      <c r="Z70" s="197">
        <f t="shared" si="7"/>
        <v>1.49E-2</v>
      </c>
      <c r="AA70" s="197">
        <f t="shared" si="8"/>
        <v>23.290800000000001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9"/>
        <v>158</v>
      </c>
      <c r="AE70" s="77" t="str">
        <f t="shared" si="10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70" s="74" t="str">
        <f t="shared" si="11"/>
        <v>"C:\Program Files (x86)\AstroGrep\AstroGrep.exe" /e /r /s /spath="%USERPROFILE%\AppData\Local\Temp\OnboardLogs" /stypes="app*4053*20170619*" /stext=" 18:.+((SYSTEM_STATE.+slice.+state.+changed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18"/>
        <v>"%USERPROFILE%\Documents\GitHub\eaglep3\Utilities\RefineRTDCRunTimes.py" --tripid 158-19 --locoid 4053 --swversion DE.1.0.9.0 --startMP 204:233057 --initTime 2017-06-19T11:30:55 --startdatetime 2017-06-19T11:42:14 --delay 2 --endMP 204:149 --enddatetime 2017-06-19T12:20:53 --enforcementcount 0 &gt;&gt;C:\Users\stu\Documents\GitHub\eaglep3-reporting\EC\2017-06-19-refined-times.txt</v>
      </c>
      <c r="AI70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ID","value":"158-19"},{"id":16,"name":"Locomotive ID","value":"4053"},{"id":130,"name":"Impact","value":""},{"id":150,"name":"Time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4053 --day 2017-06-19</v>
      </c>
      <c r="AN70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743</v>
      </c>
      <c r="B71" s="7">
        <v>4050</v>
      </c>
      <c r="C71" s="21" t="s">
        <v>202</v>
      </c>
      <c r="D71" s="21" t="s">
        <v>506</v>
      </c>
      <c r="E71" s="13">
        <v>42905.456250000003</v>
      </c>
      <c r="F71" s="13">
        <v>42905.458657407406</v>
      </c>
      <c r="G71" s="7">
        <v>3</v>
      </c>
      <c r="H71" s="21" t="s">
        <v>883</v>
      </c>
      <c r="I71" s="13">
        <v>42905.483888888892</v>
      </c>
      <c r="J71" s="7">
        <v>0</v>
      </c>
      <c r="K71" s="89" t="str">
        <f t="shared" si="0"/>
        <v>4049/4050</v>
      </c>
      <c r="L71" s="21" t="str">
        <f>VLOOKUP(A71,'Trips&amp;Operators'!$C$1:$G$99999,5,FALSE)</f>
        <v>MACDONALD THOMAS</v>
      </c>
      <c r="M71" s="6">
        <f t="shared" si="1"/>
        <v>2.5231481486116536E-2</v>
      </c>
      <c r="N71" s="7">
        <f t="shared" si="24"/>
        <v>36.333333340007812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-19T09:57:00-0600',mode:absolute,to:'2017-06-19T12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6"/>
        <v>4.5499999999999999E-2</v>
      </c>
      <c r="Z71" s="197">
        <f t="shared" si="7"/>
        <v>23.330200000000001</v>
      </c>
      <c r="AA71" s="197">
        <f t="shared" si="8"/>
        <v>23.284700000000001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9"/>
        <v>159</v>
      </c>
      <c r="AE71" s="77" t="str">
        <f t="shared" si="10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71" s="74" t="str">
        <f t="shared" si="11"/>
        <v>"C:\Program Files (x86)\AstroGrep\AstroGrep.exe" /e /r /s /spath="%USERPROFILE%\AppData\Local\Temp\OnboardLogs" /stypes="app*4050*20170619*" /stext=" 17:.+((SYSTEM_STATE.+slice.+state.+changed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18"/>
        <v>"%USERPROFILE%\Documents\GitHub\eaglep3\Utilities\RefineRTDCRunTimes.py" --tripid 159-19 --locoid 4050 --swversion DE.1.0.9.0 --startMP 204:455 --initTime 2017-06-19T10:57:00 --startdatetime 2017-06-19T11:00:28 --delay 3 --endMP 204:233302 --enddatetime 2017-06-19T11:36:48 --enforcementcount 0 &gt;&gt;C:\Users\stu\Documents\GitHub\eaglep3-reporting\EC\2017-06-19-refined-times.txt</v>
      </c>
      <c r="AI71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{"issue":{"subject":"","project_id":79,"tracker_id":40,"status_id":1,"priority_id":2,"assigned_to_id":23,"start_date":"2017-06-19","description":"","custom_fields":[{"id":1,"name":"Subdivision","value":"EC"},{"id":4,"name":"Milepost","value":"23.3302"},{"id":17,"name":"Train ID","value":"159-19"},{"id":16,"name":"Locomotive ID","value":"4050"},{"id":130,"name":"Impact","value":""},{"id":150,"name":"Time of Event (Mountain Time)","value":"11:36:48"},{"id":151,"name":"Denver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4050 --day 2017-06-19</v>
      </c>
      <c r="AN71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754</v>
      </c>
      <c r="B72" s="7">
        <v>4049</v>
      </c>
      <c r="C72" s="21" t="s">
        <v>202</v>
      </c>
      <c r="D72" s="21" t="s">
        <v>511</v>
      </c>
      <c r="E72" s="13">
        <v>42905.496782407405</v>
      </c>
      <c r="F72" s="13">
        <v>42905.498344907406</v>
      </c>
      <c r="G72" s="7">
        <v>1</v>
      </c>
      <c r="H72" s="21" t="s">
        <v>348</v>
      </c>
      <c r="I72" s="13">
        <v>42905.525289351855</v>
      </c>
      <c r="J72" s="7">
        <v>0</v>
      </c>
      <c r="K72" s="89" t="str">
        <f t="shared" si="0"/>
        <v>4049/4050</v>
      </c>
      <c r="L72" s="21" t="str">
        <f>VLOOKUP(A72,'Trips&amp;Operators'!$C$1:$G$99999,5,FALSE)</f>
        <v>MACDONALD THOMAS</v>
      </c>
      <c r="M72" s="6">
        <f t="shared" si="1"/>
        <v>2.694444444932742E-2</v>
      </c>
      <c r="N72" s="7">
        <f t="shared" si="24"/>
        <v>38.800000007031485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-19T10:55:22-0600',mode:absolute,to:'2017-06-19T13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6"/>
        <v>23.298300000000001</v>
      </c>
      <c r="Z72" s="197">
        <f t="shared" si="7"/>
        <v>1.4999999999999999E-2</v>
      </c>
      <c r="AA72" s="197">
        <f t="shared" si="8"/>
        <v>23.283300000000001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9"/>
        <v>160</v>
      </c>
      <c r="AE72" s="77" t="str">
        <f t="shared" si="10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72" s="74" t="str">
        <f t="shared" si="11"/>
        <v>"C:\Program Files (x86)\AstroGrep\AstroGrep.exe" /e /r /s /spath="%USERPROFILE%\AppData\Local\Temp\OnboardLogs" /stypes="app*4049*20170619*" /stext=" 18:.+((SYSTEM_STATE.+slice.+state.+changed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18"/>
        <v>"%USERPROFILE%\Documents\GitHub\eaglep3\Utilities\RefineRTDCRunTimes.py" --tripid 160-19 --locoid 4049 --swversion DE.1.0.9.0 --startMP 204:232983 --initTime 2017-06-19T11:55:22 --startdatetime 2017-06-19T11:57:37 --delay 1 --endMP 204:150 --enddatetime 2017-06-19T12:36:25 --enforcementcount 0 &gt;&gt;C:\Users\stu\Documents\GitHub\eaglep3-reporting\EC\2017-06-19-refined-times.txt</v>
      </c>
      <c r="AI72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ID","value":"160-19"},{"id":16,"name":"Locomotive ID","value":"4049"},{"id":130,"name":"Impact","value":""},{"id":150,"name":"Time of Event (Mountain Time)","value":"12:36:25"},{"id":151,"name":"Denver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4049 --day 2017-06-19</v>
      </c>
      <c r="AN72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747</v>
      </c>
      <c r="B73" s="7">
        <v>4008</v>
      </c>
      <c r="C73" s="21" t="s">
        <v>202</v>
      </c>
      <c r="D73" s="21" t="s">
        <v>507</v>
      </c>
      <c r="E73" s="13">
        <v>42905.466006944444</v>
      </c>
      <c r="F73" s="13">
        <v>42905.469155092593</v>
      </c>
      <c r="G73" s="7">
        <v>1</v>
      </c>
      <c r="H73" s="21" t="s">
        <v>607</v>
      </c>
      <c r="I73" s="13">
        <v>42905.494618055556</v>
      </c>
      <c r="J73" s="7">
        <v>0</v>
      </c>
      <c r="K73" s="89" t="str">
        <f t="shared" si="0"/>
        <v>4007/4008</v>
      </c>
      <c r="L73" s="21" t="str">
        <f>VLOOKUP(A73,'Trips&amp;Operators'!$C$1:$G$99999,5,FALSE)</f>
        <v>DAVIS MICHAEL</v>
      </c>
      <c r="M73" s="6">
        <f t="shared" si="1"/>
        <v>2.5462962963501923E-2</v>
      </c>
      <c r="N73" s="7">
        <f t="shared" si="24"/>
        <v>36.666666667442769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-19T10:11:03-0600',mode:absolute,to:'2017-06-19T12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6"/>
        <v>4.6399999999999997E-2</v>
      </c>
      <c r="Z73" s="197">
        <f t="shared" si="7"/>
        <v>23.331800000000001</v>
      </c>
      <c r="AA73" s="197">
        <f t="shared" si="8"/>
        <v>23.285400000000003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9"/>
        <v>161</v>
      </c>
      <c r="AE73" s="77" t="str">
        <f t="shared" si="10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73" s="74" t="str">
        <f t="shared" si="11"/>
        <v>"C:\Program Files (x86)\AstroGrep\AstroGrep.exe" /e /r /s /spath="%USERPROFILE%\AppData\Local\Temp\OnboardLogs" /stypes="app*4008*20170619*" /stext=" 17:.+((SYSTEM_STATE.+slice.+state.+changed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18"/>
        <v>"%USERPROFILE%\Documents\GitHub\eaglep3\Utilities\RefineRTDCRunTimes.py" --tripid 161-19 --locoid 4008 --swversion DE.1.0.9.0 --startMP 204:464 --initTime 2017-06-19T11:11:03 --startdatetime 2017-06-19T11:15:35 --delay 1 --endMP 204:233318 --enddatetime 2017-06-19T11:52:15 --enforcementcount 0 &gt;&gt;C:\Users\stu\Documents\GitHub\eaglep3-reporting\EC\2017-06-19-refined-times.txt</v>
      </c>
      <c r="AI73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{"issue":{"subject":"","project_id":79,"tracker_id":40,"status_id":1,"priority_id":2,"assigned_to_id":23,"start_date":"2017-06-19","description":"","custom_fields":[{"id":1,"name":"Subdivision","value":"EC"},{"id":4,"name":"Milepost","value":"23.3318"},{"id":17,"name":"Train ID","value":"161-19"},{"id":16,"name":"Locomotive ID","value":"4008"},{"id":130,"name":"Impact","value":""},{"id":150,"name":"Time of Event (Mountain Time)","value":"11:52:15"},{"id":151,"name":"Denver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4008 --day 2017-06-19</v>
      </c>
      <c r="AN73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758</v>
      </c>
      <c r="B74" s="7">
        <v>4007</v>
      </c>
      <c r="C74" s="21" t="s">
        <v>202</v>
      </c>
      <c r="D74" s="21" t="s">
        <v>887</v>
      </c>
      <c r="E74" s="13">
        <v>42905.505960648145</v>
      </c>
      <c r="F74" s="13">
        <v>42905.508726851855</v>
      </c>
      <c r="G74" s="7">
        <v>2</v>
      </c>
      <c r="H74" s="21" t="s">
        <v>356</v>
      </c>
      <c r="I74" s="13">
        <v>42905.536180555559</v>
      </c>
      <c r="J74" s="7">
        <v>0</v>
      </c>
      <c r="K74" s="89" t="str">
        <f t="shared" si="0"/>
        <v>4007/4008</v>
      </c>
      <c r="L74" s="21" t="str">
        <f>VLOOKUP(A74,'Trips&amp;Operators'!$C$1:$G$99999,5,FALSE)</f>
        <v>DAVIS MICHAEL</v>
      </c>
      <c r="M74" s="6">
        <f t="shared" si="1"/>
        <v>2.7453703703940846E-2</v>
      </c>
      <c r="N74" s="7">
        <f t="shared" si="24"/>
        <v>39.533333333674818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-19T11:08:35-0600',mode:absolute,to:'2017-06-19T13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6"/>
        <v>23.297799999999999</v>
      </c>
      <c r="Z74" s="197">
        <f t="shared" si="7"/>
        <v>1.3899999999999999E-2</v>
      </c>
      <c r="AA74" s="197">
        <f t="shared" si="8"/>
        <v>23.283899999999999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9"/>
        <v>162</v>
      </c>
      <c r="AE74" s="77" t="str">
        <f t="shared" si="10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74" s="74" t="str">
        <f t="shared" si="11"/>
        <v>"C:\Program Files (x86)\AstroGrep\AstroGrep.exe" /e /r /s /spath="%USERPROFILE%\AppData\Local\Temp\OnboardLogs" /stypes="app*4007*20170619*" /stext=" 18:.+((SYSTEM_STATE.+slice.+state.+changed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18"/>
        <v>"%USERPROFILE%\Documents\GitHub\eaglep3\Utilities\RefineRTDCRunTimes.py" --tripid 162-19 --locoid 4007 --swversion DE.1.0.9.0 --startMP 204:232978 --initTime 2017-06-19T12:08:35 --startdatetime 2017-06-19T12:12:34 --delay 2 --endMP 204:139 --enddatetime 2017-06-19T12:52:06 --enforcementcount 0 &gt;&gt;C:\Users\stu\Documents\GitHub\eaglep3-reporting\EC\2017-06-19-refined-times.txt</v>
      </c>
      <c r="AI74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{"issue":{"subject":"","project_id":79,"tracker_id":40,"status_id":1,"priority_id":2,"assigned_to_id":23,"start_date":"2017-06-19","description":"","custom_fields":[{"id":1,"name":"Subdivision","value":"EC"},{"id":4,"name":"Milepost","value":"0.0139"},{"id":17,"name":"Train ID","value":"162-19"},{"id":16,"name":"Locomotive ID","value":"4007"},{"id":130,"name":"Impact","value":""},{"id":150,"name":"Time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4007 --day 2017-06-19</v>
      </c>
      <c r="AN74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750</v>
      </c>
      <c r="B75" s="7">
        <v>4044</v>
      </c>
      <c r="C75" s="21" t="s">
        <v>202</v>
      </c>
      <c r="D75" s="21" t="s">
        <v>351</v>
      </c>
      <c r="E75" s="13">
        <v>42905.473981481482</v>
      </c>
      <c r="F75" s="13">
        <v>42905.479398148149</v>
      </c>
      <c r="G75" s="7">
        <v>2</v>
      </c>
      <c r="H75" s="21" t="s">
        <v>901</v>
      </c>
      <c r="I75" s="13">
        <v>42905.503969907404</v>
      </c>
      <c r="J75" s="7">
        <v>0</v>
      </c>
      <c r="K75" s="89" t="str">
        <f t="shared" si="0"/>
        <v>4043/4044</v>
      </c>
      <c r="L75" s="21" t="str">
        <f>VLOOKUP(A75,'Trips&amp;Operators'!$C$1:$G$99999,5,FALSE)</f>
        <v>ROMERO CHAD</v>
      </c>
      <c r="M75" s="6">
        <f t="shared" si="1"/>
        <v>2.4571759255195502E-2</v>
      </c>
      <c r="N75" s="7">
        <f t="shared" si="24"/>
        <v>35.383333327481523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-19T10:22:32-0600',mode:absolute,to:'2017-06-19T13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6"/>
        <v>4.6600000000000003E-2</v>
      </c>
      <c r="Z75" s="197">
        <f t="shared" si="7"/>
        <v>23.337800000000001</v>
      </c>
      <c r="AA75" s="197">
        <f t="shared" si="8"/>
        <v>23.2912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9"/>
        <v>163</v>
      </c>
      <c r="AE75" s="77" t="str">
        <f t="shared" si="10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75" s="74" t="str">
        <f t="shared" si="11"/>
        <v>"C:\Program Files (x86)\AstroGrep\AstroGrep.exe" /e /r /s /spath="%USERPROFILE%\AppData\Local\Temp\OnboardLogs" /stypes="app*4044*20170619*" /stext=" 18:.+((SYSTEM_STATE.+slice.+state.+changed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18"/>
        <v>"%USERPROFILE%\Documents\GitHub\eaglep3\Utilities\RefineRTDCRunTimes.py" --tripid 163-19 --locoid 4044 --swversion DE.1.0.9.0 --startMP 204:466 --initTime 2017-06-19T11:22:32 --startdatetime 2017-06-19T11:30:20 --delay 2 --endMP 204:233378 --enddatetime 2017-06-19T12:05:43 --enforcementcount 0 &gt;&gt;C:\Users\stu\Documents\GitHub\eaglep3-reporting\EC\2017-06-19-refined-times.txt</v>
      </c>
      <c r="AI75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{"issue":{"subject":"","project_id":79,"tracker_id":40,"status_id":1,"priority_id":2,"assigned_to_id":23,"start_date":"2017-06-19","description":"","custom_fields":[{"id":1,"name":"Subdivision","value":"EC"},{"id":4,"name":"Milepost","value":"23.3378"},{"id":17,"name":"Train ID","value":"163-19"},{"id":16,"name":"Locomotive ID","value":"4044"},{"id":130,"name":"Impact","value":""},{"id":150,"name":"Time of Event (Mountain Time)","value":"12:05:43"},{"id":151,"name":"Denver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4044 --day 2017-06-19</v>
      </c>
      <c r="AN75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757</v>
      </c>
      <c r="B76" s="7">
        <v>4043</v>
      </c>
      <c r="C76" s="21" t="s">
        <v>202</v>
      </c>
      <c r="D76" s="21" t="s">
        <v>902</v>
      </c>
      <c r="E76" s="13">
        <v>42905.505520833336</v>
      </c>
      <c r="F76" s="13">
        <v>42905.51898148148</v>
      </c>
      <c r="G76" s="7">
        <v>1</v>
      </c>
      <c r="H76" s="21" t="s">
        <v>474</v>
      </c>
      <c r="I76" s="13">
        <v>42905.544386574074</v>
      </c>
      <c r="J76" s="7">
        <v>0</v>
      </c>
      <c r="K76" s="89" t="str">
        <f t="shared" ref="K76:K139" si="25">IF(ISEVEN(B76),(B76-1)&amp;"/"&amp;B76,B76&amp;"/"&amp;(B76+1))</f>
        <v>4043/4044</v>
      </c>
      <c r="L76" s="21" t="str">
        <f>VLOOKUP(A76,'Trips&amp;Operators'!$C$1:$G$99999,5,FALSE)</f>
        <v>ROMERO CHAD</v>
      </c>
      <c r="M76" s="6">
        <f t="shared" ref="M76:M139" si="26">I76-F76</f>
        <v>2.5405092594155576E-2</v>
      </c>
      <c r="N76" s="7">
        <f t="shared" si="24"/>
        <v>36.58333333558403</v>
      </c>
      <c r="O76" s="7"/>
      <c r="P76" s="7"/>
      <c r="Q76" s="22"/>
      <c r="R76" s="170"/>
      <c r="S76" s="213">
        <f t="shared" ref="S76:S82" si="27">SUM(U76:U76)/IF(AG76="EC",12,1)</f>
        <v>1</v>
      </c>
      <c r="T76" s="195" t="str">
        <f t="shared" ref="T76:T139" si="28"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ref="V76:V139" si="29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-06-19T11:07:57-0600',mode:absolute,to:'2017-06-19T14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6"/>
        <v>23.3081</v>
      </c>
      <c r="Z76" s="197">
        <f t="shared" si="7"/>
        <v>1.38E-2</v>
      </c>
      <c r="AA76" s="197">
        <f t="shared" ref="AA76:AA139" si="30">ABS(Z76-Y76)</f>
        <v>23.2943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ref="AD76:AD139" si="31">VALUE(LEFT(A76,LEN(A76)-3))</f>
        <v>164</v>
      </c>
      <c r="AE76" s="77" t="str">
        <f t="shared" ref="AE76:AE139" si="32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76" s="74" t="str">
        <f t="shared" ref="AF76:AF139" si="33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/stypes="app*4043*20170619*" /stext=" 19:.+((SYSTEM_STATE.+slice.+state.+changed )|(ment ac)|(multiple cpu faults)|(system.+state.+changed )|(\[timeout)|(PRM\|1\|D)|(kpr)|(kdp)|(train st.+moving)|(\|lc)|(penalty))"</v>
      </c>
      <c r="AG76" s="209" t="str">
        <f t="shared" ref="AG76:AG139" si="34">DetSubdiv(A76)</f>
        <v>EC</v>
      </c>
      <c r="AH76" s="78" t="str">
        <f t="shared" si="18"/>
        <v>"%USERPROFILE%\Documents\GitHub\eaglep3\Utilities\RefineRTDCRunTimes.py" --tripid 164-19 --locoid 4043 --swversion DE.1.0.9.0 --startMP 204:233081 --initTime 2017-06-19T12:07:57 --startdatetime 2017-06-19T12:27:20 --delay 1 --endMP 204:138 --enddatetime 2017-06-19T13:03:55 --enforcementcount 0 &gt;&gt;C:\Users\stu\Documents\GitHub\eaglep3-reporting\EC\2017-06-19-refined-times.txt</v>
      </c>
      <c r="AI76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{"issue":{"subject":"","project_id":79,"tracker_id":40,"status_id":1,"priority_id":2,"assigned_to_id":23,"start_date":"2017-06-19","description":"","custom_fields":[{"id":1,"name":"Subdivision","value":"EC"},{"id":4,"name":"Milepost","value":"0.0138"},{"id":17,"name":"Train ID","value":"164-19"},{"id":16,"name":"Locomotive ID","value":"4043"},{"id":130,"name":"Impact","value":""},{"id":150,"name":"Time of Event (Mountain Time)","value":"13:03:55"},{"id":151,"name":"Denver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4043 --day 2017-06-19</v>
      </c>
      <c r="AN76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753</v>
      </c>
      <c r="B77" s="7">
        <v>4058</v>
      </c>
      <c r="C77" s="21" t="s">
        <v>202</v>
      </c>
      <c r="D77" s="21" t="s">
        <v>347</v>
      </c>
      <c r="E77" s="13">
        <v>42905.487002314818</v>
      </c>
      <c r="F77" s="13">
        <v>42905.489756944444</v>
      </c>
      <c r="G77" s="7">
        <v>2</v>
      </c>
      <c r="H77" s="21" t="s">
        <v>886</v>
      </c>
      <c r="I77" s="13">
        <v>42905.514444444445</v>
      </c>
      <c r="J77" s="7">
        <v>0</v>
      </c>
      <c r="K77" s="89" t="str">
        <f t="shared" si="25"/>
        <v>4057/4058</v>
      </c>
      <c r="L77" s="21" t="str">
        <f>VLOOKUP(A77,'Trips&amp;Operators'!$C$1:$G$99999,5,FALSE)</f>
        <v>ROBINSON KADDIBA</v>
      </c>
      <c r="M77" s="6">
        <f t="shared" si="26"/>
        <v>2.4687500001164153E-2</v>
      </c>
      <c r="N77" s="7">
        <f t="shared" si="24"/>
        <v>35.550000001676381</v>
      </c>
      <c r="O77" s="7"/>
      <c r="P77" s="7"/>
      <c r="Q77" s="22"/>
      <c r="R77" s="170"/>
      <c r="S77" s="213">
        <f t="shared" si="27"/>
        <v>1</v>
      </c>
      <c r="T77" s="195" t="str">
        <f t="shared" si="28"/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si="29"/>
        <v>https://d0f6bd738d7f1b3e5a7ca70fe4ff75f0.us-east-1.aws.found.io/app/kibana#/discover/Steve-Slow-Train-Analysis-(2080s-and-2083s)?_g=(refreshInterval:(display:Off,pause:!f,section:0,value:0),time:(from:'2017-06-19T10:41:17-0600',mode:absolute,to:'2017-06-19T13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197" t="str">
        <f>IF(AA77&lt;VLOOKUP(AG77,Variables!$AC$3:$AD$8,2,FALSE),"Y","N")</f>
        <v>N</v>
      </c>
      <c r="X77" s="197">
        <f t="shared" si="22"/>
        <v>1</v>
      </c>
      <c r="Y77" s="197">
        <f t="shared" ref="Y77:Y140" si="35">RIGHT(D77,LEN(D77)-4)/10000</f>
        <v>4.4600000000000001E-2</v>
      </c>
      <c r="Z77" s="197">
        <f t="shared" ref="Z77:Z140" si="36">RIGHT(H77,LEN(H77)-4)/10000</f>
        <v>23.331399999999999</v>
      </c>
      <c r="AA77" s="197">
        <f t="shared" si="30"/>
        <v>23.286799999999999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si="31"/>
        <v>165</v>
      </c>
      <c r="AE77" s="77" t="str">
        <f t="shared" si="32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77" s="74" t="str">
        <f t="shared" si="33"/>
        <v>"C:\Program Files (x86)\AstroGrep\AstroGrep.exe" /e /r /s /spath="%USERPROFILE%\AppData\Local\Temp\OnboardLogs" /stypes="app*4058*20170619*" /stext=" 18:.+((SYSTEM_STATE.+slice.+state.+changed )|(ment ac)|(multiple cpu faults)|(system.+state.+changed )|(\[timeout)|(PRM\|1\|D)|(kpr)|(kdp)|(train st.+moving)|(\|lc)|(penalty))"</v>
      </c>
      <c r="AG77" s="209" t="str">
        <f t="shared" si="34"/>
        <v>EC</v>
      </c>
      <c r="AH77" s="78" t="str">
        <f t="shared" si="18"/>
        <v>"%USERPROFILE%\Documents\GitHub\eaglep3\Utilities\RefineRTDCRunTimes.py" --tripid 165-19 --locoid 4058 --swversion DE.1.0.9.0 --startMP 204:446 --initTime 2017-06-19T11:41:17 --startdatetime 2017-06-19T11:45:15 --delay 2 --endMP 204:233314 --enddatetime 2017-06-19T12:20:48 --enforcementcount 0 &gt;&gt;C:\Users\stu\Documents\GitHub\eaglep3-reporting\EC\2017-06-19-refined-times.txt</v>
      </c>
      <c r="AI77" s="96" t="str">
        <f t="shared" si="19"/>
        <v>echo {"issue":{"subject":"","project_id":79,"tracker_id":40,"status_id":1,"priority_id":2,"assigned_to_id":23,"start_date":"2017-06-19","description":"","custom_fields":[{"id":1,"name":"Subdivision","value":"EC"},{"id":4,"name":"Milepost","value":"23.3314"},{"id":17,"name":"Train ID","value":"165-19"},{"id":16,"name":"Locomotive ID","value":"4058"},{"id":130,"name":"Impact","value":""},{"id":150,"name":"Time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4058 --day 2017-06-19</v>
      </c>
      <c r="AN77" s="151" t="str">
        <f t="shared" si="21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4057</v>
      </c>
      <c r="C78" s="21" t="s">
        <v>202</v>
      </c>
      <c r="D78" s="21" t="s">
        <v>502</v>
      </c>
      <c r="E78" s="13">
        <v>42905.527696759258</v>
      </c>
      <c r="F78" s="13">
        <v>42905.529340277775</v>
      </c>
      <c r="G78" s="7">
        <v>1</v>
      </c>
      <c r="H78" s="21" t="s">
        <v>348</v>
      </c>
      <c r="I78" s="13">
        <v>42905.556990740741</v>
      </c>
      <c r="J78" s="7">
        <v>0</v>
      </c>
      <c r="K78" s="89" t="str">
        <f t="shared" si="25"/>
        <v>4057/4058</v>
      </c>
      <c r="L78" s="21" t="str">
        <f>VLOOKUP(A78,'Trips&amp;Operators'!$C$1:$G$99999,5,FALSE)</f>
        <v>ROBINSON KADDIBA</v>
      </c>
      <c r="M78" s="6">
        <f t="shared" si="26"/>
        <v>2.7650462965539191E-2</v>
      </c>
      <c r="N78" s="7">
        <f t="shared" si="24"/>
        <v>39.816666670376435</v>
      </c>
      <c r="O78" s="7"/>
      <c r="P78" s="7"/>
      <c r="Q78" s="22"/>
      <c r="R78" s="170"/>
      <c r="S78" s="213">
        <f t="shared" si="27"/>
        <v>1</v>
      </c>
      <c r="T78" s="195" t="str">
        <f t="shared" si="28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-06-19T11:39:53-0600',mode:absolute,to:'2017-06-19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197" t="str">
        <f>IF(AA78&lt;VLOOKUP(AG78,Variables!$AC$3:$AD$8,2,FALSE),"Y","N")</f>
        <v>N</v>
      </c>
      <c r="X78" s="197">
        <f t="shared" si="22"/>
        <v>1</v>
      </c>
      <c r="Y78" s="197">
        <f t="shared" si="35"/>
        <v>23.298400000000001</v>
      </c>
      <c r="Z78" s="197">
        <f t="shared" si="36"/>
        <v>1.4999999999999999E-2</v>
      </c>
      <c r="AA78" s="197">
        <f t="shared" si="30"/>
        <v>23.2834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1"/>
        <v>166</v>
      </c>
      <c r="AE78" s="77" t="str">
        <f t="shared" si="32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78" s="74" t="str">
        <f t="shared" si="33"/>
        <v>"C:\Program Files (x86)\AstroGrep\AstroGrep.exe" /e /r /s /spath="%USERPROFILE%\AppData\Local\Temp\OnboardLogs" /stypes="app*4057*20170619*" /stext=" 19:.+((SYSTEM_STATE.+slice.+state.+changed )|(ment ac)|(multiple cpu faults)|(system.+state.+changed )|(\[timeout)|(PRM\|1\|D)|(kpr)|(kdp)|(train st.+moving)|(\|lc)|(penalty))"</v>
      </c>
      <c r="AG78" s="209" t="str">
        <f t="shared" si="34"/>
        <v>EC</v>
      </c>
      <c r="AH78" s="7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166-19 --locoid 4057 --swversion DE.1.0.9.0 --startMP 204:232984 --initTime 2017-06-19T12:39:53 --startdatetime 2017-06-19T12:42:15 --delay 1 --endMP 204:150 --enddatetime 2017-06-19T13:22:04 --enforcementcount 0 &gt;&gt;C:\Users\stu\Documents\GitHub\eaglep3-reporting\EC\2017-06-19-refined-times.txt</v>
      </c>
      <c r="AI78" s="96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ID","value":"166-19"},{"id":16,"name":"Locomotive ID","value":"4057"},{"id":130,"name":"Impact","value":""},{"id":150,"name":"Time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9">"start /low /b "&amp;dls3logs&amp;" --loco "&amp;B78&amp;" --day "&amp;TEXT(F78,"YYYY-MM-DD")</f>
        <v>start /low /b %USERPROFILE%\Documents\GitHub\eaglep3\Utilities\DownloadLogsFromS3.py --loco 4057 --day 2017-06-19</v>
      </c>
      <c r="AN78" s="151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755</v>
      </c>
      <c r="B79" s="7">
        <v>4016</v>
      </c>
      <c r="C79" s="21" t="s">
        <v>202</v>
      </c>
      <c r="D79" s="21" t="s">
        <v>506</v>
      </c>
      <c r="E79" s="13">
        <v>42905.497499999998</v>
      </c>
      <c r="F79" s="13">
        <v>42905.500243055554</v>
      </c>
      <c r="G79" s="7">
        <v>1</v>
      </c>
      <c r="H79" s="21" t="s">
        <v>510</v>
      </c>
      <c r="I79" s="13">
        <v>42905.525358796294</v>
      </c>
      <c r="J79" s="7">
        <v>0</v>
      </c>
      <c r="K79" s="89" t="str">
        <f t="shared" si="25"/>
        <v>4015/4016</v>
      </c>
      <c r="L79" s="21" t="str">
        <f>VLOOKUP(A79,'Trips&amp;Operators'!$C$1:$G$99999,5,FALSE)</f>
        <v>BRUDER RICHARD</v>
      </c>
      <c r="M79" s="6">
        <f t="shared" si="26"/>
        <v>2.5115740740147885E-2</v>
      </c>
      <c r="N79" s="7">
        <f t="shared" si="24"/>
        <v>36.166666665812954</v>
      </c>
      <c r="O79" s="7"/>
      <c r="P79" s="7"/>
      <c r="Q79" s="22"/>
      <c r="R79" s="170"/>
      <c r="S79" s="213">
        <f t="shared" si="27"/>
        <v>1</v>
      </c>
      <c r="T79" s="195" t="str">
        <f t="shared" si="28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-06-19T10:56:24-0600',mode:absolute,to:'2017-06-19T13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7" t="str">
        <f>IF(AA79&lt;VLOOKUP(AG79,Variables!$AC$3:$AD$8,2,FALSE),"Y","N")</f>
        <v>N</v>
      </c>
      <c r="X79" s="197">
        <f t="shared" si="22"/>
        <v>1</v>
      </c>
      <c r="Y79" s="197">
        <f t="shared" si="35"/>
        <v>4.5499999999999999E-2</v>
      </c>
      <c r="Z79" s="197">
        <f t="shared" si="36"/>
        <v>23.331700000000001</v>
      </c>
      <c r="AA79" s="197">
        <f t="shared" si="30"/>
        <v>23.286200000000001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1"/>
        <v>167</v>
      </c>
      <c r="AE79" s="77" t="str">
        <f t="shared" si="3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79" s="74" t="str">
        <f t="shared" si="33"/>
        <v>"C:\Program Files (x86)\AstroGrep\AstroGrep.exe" /e /r /s /spath="%USERPROFILE%\AppData\Local\Temp\OnboardLogs" /stypes="app*4016*20170619*" /stext=" 18:.+((SYSTEM_STATE.+slice.+state.+changed )|(ment ac)|(multiple cpu faults)|(system.+state.+changed )|(\[timeout)|(PRM\|1\|D)|(kpr)|(kdp)|(train st.+moving)|(\|lc)|(penalty))"</v>
      </c>
      <c r="AG79" s="209" t="str">
        <f t="shared" si="34"/>
        <v>EC</v>
      </c>
      <c r="AH79" s="78" t="str">
        <f t="shared" si="37"/>
        <v>"%USERPROFILE%\Documents\GitHub\eaglep3\Utilities\RefineRTDCRunTimes.py" --tripid 167-19 --locoid 4016 --swversion DE.1.0.9.0 --startMP 204:455 --initTime 2017-06-19T11:56:24 --startdatetime 2017-06-19T12:00:21 --delay 1 --endMP 204:233317 --enddatetime 2017-06-19T12:36:31 --enforcementcount 0 &gt;&gt;C:\Users\stu\Documents\GitHub\eaglep3-reporting\EC\2017-06-19-refined-times.txt</v>
      </c>
      <c r="AI7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{"issue":{"subject":"","project_id":79,"tracker_id":40,"status_id":1,"priority_id":2,"assigned_to_id":23,"start_date":"2017-06-19","description":"","custom_fields":[{"id":1,"name":"Subdivision","value":"EC"},{"id":4,"name":"Milepost","value":"23.3317"},{"id":17,"name":"Train ID","value":"167-19"},{"id":16,"name":"Locomotive ID","value":"4016"},{"id":130,"name":"Impact","value":""},{"id":150,"name":"Time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4016 --day 2017-06-19</v>
      </c>
      <c r="AN7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764</v>
      </c>
      <c r="B80" s="7">
        <v>4015</v>
      </c>
      <c r="C80" s="21" t="s">
        <v>202</v>
      </c>
      <c r="D80" s="21" t="s">
        <v>875</v>
      </c>
      <c r="E80" s="13">
        <v>42905.532430555555</v>
      </c>
      <c r="F80" s="13">
        <v>42905.539861111109</v>
      </c>
      <c r="G80" s="7">
        <v>2</v>
      </c>
      <c r="H80" s="21" t="s">
        <v>358</v>
      </c>
      <c r="I80" s="13">
        <v>42905.565659722219</v>
      </c>
      <c r="J80" s="7">
        <v>0</v>
      </c>
      <c r="K80" s="89" t="str">
        <f t="shared" si="25"/>
        <v>4015/4016</v>
      </c>
      <c r="L80" s="21" t="str">
        <f>VLOOKUP(A80,'Trips&amp;Operators'!$C$1:$G$99999,5,FALSE)</f>
        <v>BRUDER RICHARD</v>
      </c>
      <c r="M80" s="6">
        <f t="shared" si="26"/>
        <v>2.5798611110076308E-2</v>
      </c>
      <c r="N80" s="7">
        <f t="shared" si="24"/>
        <v>37.149999998509884</v>
      </c>
      <c r="O80" s="7"/>
      <c r="P80" s="7"/>
      <c r="Q80" s="22"/>
      <c r="R80" s="170"/>
      <c r="S80" s="213">
        <f t="shared" si="27"/>
        <v>1</v>
      </c>
      <c r="T80" s="195" t="str">
        <f t="shared" si="28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-06-19T11:46:42-0600',mode:absolute,to:'2017-06-19T14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7" t="str">
        <f>IF(AA80&lt;VLOOKUP(AG80,Variables!$AC$3:$AD$8,2,FALSE),"Y","N")</f>
        <v>N</v>
      </c>
      <c r="X80" s="197">
        <f t="shared" si="22"/>
        <v>1</v>
      </c>
      <c r="Y80" s="197">
        <f t="shared" si="35"/>
        <v>23.3017</v>
      </c>
      <c r="Z80" s="197">
        <f t="shared" si="36"/>
        <v>1.41E-2</v>
      </c>
      <c r="AA80" s="197">
        <f t="shared" si="30"/>
        <v>23.287600000000001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1"/>
        <v>168</v>
      </c>
      <c r="AE80" s="77" t="str">
        <f t="shared" si="3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80" s="74" t="str">
        <f t="shared" si="33"/>
        <v>"C:\Program Files (x86)\AstroGrep\AstroGrep.exe" /e /r /s /spath="%USERPROFILE%\AppData\Local\Temp\OnboardLogs" /stypes="app*4015*20170619*" /stext=" 19:.+((SYSTEM_STATE.+slice.+state.+changed )|(ment ac)|(multiple cpu faults)|(system.+state.+changed )|(\[timeout)|(PRM\|1\|D)|(kpr)|(kdp)|(train st.+moving)|(\|lc)|(penalty))"</v>
      </c>
      <c r="AG80" s="209" t="str">
        <f t="shared" si="34"/>
        <v>EC</v>
      </c>
      <c r="AH80" s="78" t="str">
        <f t="shared" si="37"/>
        <v>"%USERPROFILE%\Documents\GitHub\eaglep3\Utilities\RefineRTDCRunTimes.py" --tripid 168-19 --locoid 4015 --swversion DE.1.0.9.0 --startMP 204:233017 --initTime 2017-06-19T12:46:42 --startdatetime 2017-06-19T12:57:24 --delay 2 --endMP 204:141 --enddatetime 2017-06-19T13:34:33 --enforcementcount 0 &gt;&gt;C:\Users\stu\Documents\GitHub\eaglep3-reporting\EC\2017-06-19-refined-times.txt</v>
      </c>
      <c r="AI8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{"issue":{"subject":"","project_id":79,"tracker_id":40,"status_id":1,"priority_id":2,"assigned_to_id":23,"start_date":"2017-06-19","description":"","custom_fields":[{"id":1,"name":"Subdivision","value":"EC"},{"id":4,"name":"Milepost","value":"0.0141"},{"id":17,"name":"Train ID","value":"168-19"},{"id":16,"name":"Locomotive ID","value":"4015"},{"id":130,"name":"Impact","value":""},{"id":150,"name":"Time of Event (Mountain Time)","value":"13:34:33"},{"id":151,"name":"Denver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4015 --day 2017-06-19</v>
      </c>
      <c r="AN8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759</v>
      </c>
      <c r="B81" s="7">
        <v>4018</v>
      </c>
      <c r="C81" s="21" t="s">
        <v>202</v>
      </c>
      <c r="D81" s="21" t="s">
        <v>492</v>
      </c>
      <c r="E81" s="13">
        <v>42905.506574074076</v>
      </c>
      <c r="F81" s="13">
        <v>42905.510636574072</v>
      </c>
      <c r="G81" s="7">
        <v>2</v>
      </c>
      <c r="H81" s="21" t="s">
        <v>903</v>
      </c>
      <c r="I81" s="13">
        <v>42905.536562499998</v>
      </c>
      <c r="J81" s="7">
        <v>0</v>
      </c>
      <c r="K81" s="89" t="str">
        <f t="shared" si="25"/>
        <v>4017/4018</v>
      </c>
      <c r="L81" s="21" t="str">
        <f>VLOOKUP(A81,'Trips&amp;Operators'!$C$1:$G$99999,5,FALSE)</f>
        <v>BRANDNER MELINDA</v>
      </c>
      <c r="M81" s="6">
        <f t="shared" si="26"/>
        <v>2.5925925925548654E-2</v>
      </c>
      <c r="N81" s="7">
        <f t="shared" si="24"/>
        <v>37.333333332790062</v>
      </c>
      <c r="O81" s="7"/>
      <c r="P81" s="7"/>
      <c r="Q81" s="22"/>
      <c r="R81" s="170"/>
      <c r="S81" s="213">
        <f t="shared" si="27"/>
        <v>1</v>
      </c>
      <c r="T81" s="195" t="str">
        <f t="shared" si="28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-06-19T11:09:28-0600',mode:absolute,to:'2017-06-19T13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97" t="str">
        <f>IF(AA81&lt;VLOOKUP(AG81,Variables!$AC$3:$AD$8,2,FALSE),"Y","N")</f>
        <v>N</v>
      </c>
      <c r="X81" s="197">
        <f t="shared" si="22"/>
        <v>1</v>
      </c>
      <c r="Y81" s="197">
        <f t="shared" si="35"/>
        <v>4.3799999999999999E-2</v>
      </c>
      <c r="Z81" s="197">
        <f t="shared" si="36"/>
        <v>23.334299999999999</v>
      </c>
      <c r="AA81" s="197">
        <f t="shared" si="30"/>
        <v>23.290499999999998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1"/>
        <v>169</v>
      </c>
      <c r="AE81" s="77" t="str">
        <f t="shared" si="3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81" s="74" t="str">
        <f t="shared" si="33"/>
        <v>"C:\Program Files (x86)\AstroGrep\AstroGrep.exe" /e /r /s /spath="%USERPROFILE%\AppData\Local\Temp\OnboardLogs" /stypes="app*4018*20170619*" /stext=" 18:.+((SYSTEM_STATE.+slice.+state.+changed )|(ment ac)|(multiple cpu faults)|(system.+state.+changed )|(\[timeout)|(PRM\|1\|D)|(kpr)|(kdp)|(train st.+moving)|(\|lc)|(penalty))"</v>
      </c>
      <c r="AG81" s="209" t="str">
        <f t="shared" si="34"/>
        <v>EC</v>
      </c>
      <c r="AH81" s="78" t="str">
        <f t="shared" si="37"/>
        <v>"%USERPROFILE%\Documents\GitHub\eaglep3\Utilities\RefineRTDCRunTimes.py" --tripid 169-19 --locoid 4018 --swversion DE.1.0.9.0 --startMP 204:438 --initTime 2017-06-19T12:09:28 --startdatetime 2017-06-19T12:15:19 --delay 2 --endMP 204:233343 --enddatetime 2017-06-19T12:52:39 --enforcementcount 0 &gt;&gt;C:\Users\stu\Documents\GitHub\eaglep3-reporting\EC\2017-06-19-refined-times.txt</v>
      </c>
      <c r="AI8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{"issue":{"subject":"","project_id":79,"tracker_id":40,"status_id":1,"priority_id":2,"assigned_to_id":23,"start_date":"2017-06-19","description":"","custom_fields":[{"id":1,"name":"Subdivision","value":"EC"},{"id":4,"name":"Milepost","value":"23.3343"},{"id":17,"name":"Train ID","value":"169-19"},{"id":16,"name":"Locomotive ID","value":"4018"},{"id":130,"name":"Impact","value":""},{"id":150,"name":"Time of Event (Mountain Time)","value":"12:52:39"},{"id":151,"name":"Denver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4018 --day 2017-06-19</v>
      </c>
      <c r="AN8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636</v>
      </c>
      <c r="B82" s="7">
        <v>4017</v>
      </c>
      <c r="C82" s="21" t="s">
        <v>202</v>
      </c>
      <c r="D82" s="21" t="s">
        <v>904</v>
      </c>
      <c r="E82" s="13">
        <v>42905.56322916667</v>
      </c>
      <c r="F82" s="13">
        <v>42905.565358796295</v>
      </c>
      <c r="G82" s="7">
        <v>0</v>
      </c>
      <c r="H82" s="21" t="s">
        <v>905</v>
      </c>
      <c r="I82" s="13">
        <v>42905.583020833335</v>
      </c>
      <c r="J82" s="7">
        <v>0</v>
      </c>
      <c r="K82" s="89" t="str">
        <f t="shared" si="25"/>
        <v>4017/4018</v>
      </c>
      <c r="L82" s="21" t="str">
        <f>VLOOKUP(A82,'Trips&amp;Operators'!$C$1:$G$99999,5,FALSE)</f>
        <v>BRANDNER MELINDA</v>
      </c>
      <c r="M82" s="6">
        <f t="shared" si="26"/>
        <v>1.7662037040281575E-2</v>
      </c>
      <c r="N82" s="7"/>
      <c r="O82" s="7"/>
      <c r="P82" s="7">
        <f>24*60*SUM($M82:$M82)</f>
        <v>25.433333338005468</v>
      </c>
      <c r="Q82" s="22"/>
      <c r="R82" s="170" t="s">
        <v>1054</v>
      </c>
      <c r="S82" s="213">
        <f t="shared" si="27"/>
        <v>1</v>
      </c>
      <c r="T82" s="195" t="str">
        <f t="shared" si="28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-06-19T12:31:03-0600',mode:absolute,to:'2017-06-19T14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97" t="str">
        <f>IF(AA82&lt;VLOOKUP(AG82,Variables!$AC$3:$AD$8,2,FALSE),"Y","N")</f>
        <v>Y</v>
      </c>
      <c r="X82" s="197">
        <f t="shared" si="22"/>
        <v>1</v>
      </c>
      <c r="Y82" s="197">
        <f t="shared" si="35"/>
        <v>12.785399999999999</v>
      </c>
      <c r="Z82" s="197">
        <f t="shared" si="36"/>
        <v>0.1158</v>
      </c>
      <c r="AA82" s="197">
        <f t="shared" si="30"/>
        <v>12.669599999999999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1"/>
        <v>170</v>
      </c>
      <c r="AE82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82" s="74" t="str">
        <f t="shared" si="33"/>
        <v>"C:\Program Files (x86)\AstroGrep\AstroGrep.exe" /e /r /s /spath="%USERPROFILE%\AppData\Local\Temp\OnboardLogs" /stypes="app*4017*20170619*" /stext=" 19:.+((SYSTEM_STATE.+slice.+state.+changed )|(ment ac)|(multiple cpu faults)|(system.+state.+changed )|(\[timeout)|(PRM\|1\|D)|(kpr)|(kdp)|(train st.+moving)|(\|lc)|(penalty))"</v>
      </c>
      <c r="AG82" s="209" t="str">
        <f t="shared" si="34"/>
        <v>EC</v>
      </c>
      <c r="AH82" s="78" t="str">
        <f t="shared" si="37"/>
        <v>"%USERPROFILE%\Documents\GitHub\eaglep3\Utilities\RefineRTDCRunTimes.py" --tripid 170-19 --locoid 4017 --swversion DE.1.0.9.0 --startMP 204:127854 --initTime 2017-06-19T13:31:03 --startdatetime 2017-06-19T13:34:07 --delay 0 --endMP 204:1158 --enddatetime 2017-06-19T13:59:33 --enforcementcount 0 &gt;&gt;C:\Users\stu\Documents\GitHub\eaglep3-reporting\EC\2017-06-19-refined-times.txt</v>
      </c>
      <c r="AI82" s="96" t="str">
        <f t="shared" si="38"/>
        <v>echo {"issue":{"subject":"Onboard in-route failure","project_id":79,"tracker_id":40,"status_id":1,"priority_id":2,"assigned_to_id":23,"start_date":"2017-06-19","description":"","custom_fields":[{"id":1,"name":"Subdivision","value":"EC"},{"id":4,"name":"Milepost","value":"0.1158"},{"id":17,"name":"Train ID","value":"170-19"},{"id":16,"name":"Locomotive ID","value":"4017"},{"id":130,"name":"Impact","value":""},{"id":150,"name":"Time of Event (Mountain Time)","value":"13:59:33"},{"id":151,"name":"Denver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4017 --day 2017-06-19</v>
      </c>
      <c r="AN82" s="151" t="str">
        <f t="shared" si="40"/>
        <v>echo {"issue":{"subject":"Onboard in-route failure","project_id":30,"tracker_id":4,"status_id":1,"priority_id":1,"assigned_to_id":10,"start_date":"2017-06-19","description":"","custom_fields":[{"id":30,"name":"Category","value":"Issue"},{"id":3,"name":"Functional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636</v>
      </c>
      <c r="B83" s="7">
        <v>4017</v>
      </c>
      <c r="C83" s="21" t="s">
        <v>202</v>
      </c>
      <c r="D83" s="21" t="s">
        <v>906</v>
      </c>
      <c r="E83" s="13">
        <v>42905.558067129627</v>
      </c>
      <c r="F83" s="13">
        <v>42905.565358796295</v>
      </c>
      <c r="G83" s="7">
        <v>1</v>
      </c>
      <c r="H83" s="21" t="s">
        <v>907</v>
      </c>
      <c r="I83" s="13">
        <v>42905.583020833335</v>
      </c>
      <c r="J83" s="7">
        <v>0</v>
      </c>
      <c r="K83" s="89" t="str">
        <f t="shared" si="25"/>
        <v>4017/4018</v>
      </c>
      <c r="L83" s="21" t="str">
        <f>VLOOKUP(A83,'Trips&amp;Operators'!$C$1:$G$99999,5,FALSE)</f>
        <v>BRANDNER MELINDA</v>
      </c>
      <c r="M83" s="6">
        <f t="shared" si="26"/>
        <v>1.7662037040281575E-2</v>
      </c>
      <c r="N83" s="7"/>
      <c r="O83" s="7"/>
      <c r="P83" s="7"/>
      <c r="Q83" s="22"/>
      <c r="R83" s="170"/>
      <c r="S83" s="213"/>
      <c r="T83" s="195" t="str">
        <f t="shared" si="28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-06-19T12:23:37-0600',mode:absolute,to:'2017-06-19T14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3" s="197" t="str">
        <f>IF(AA83&lt;VLOOKUP(AG83,Variables!$AC$3:$AD$8,2,FALSE),"Y","N")</f>
        <v>Y</v>
      </c>
      <c r="X83" s="197">
        <f t="shared" si="22"/>
        <v>0</v>
      </c>
      <c r="Y83" s="197">
        <f t="shared" si="35"/>
        <v>15.3972</v>
      </c>
      <c r="Z83" s="197">
        <f t="shared" si="36"/>
        <v>15.0097</v>
      </c>
      <c r="AA83" s="197">
        <f t="shared" si="30"/>
        <v>0.38749999999999929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1"/>
        <v>170</v>
      </c>
      <c r="AE83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83" s="74" t="str">
        <f t="shared" si="33"/>
        <v>"C:\Program Files (x86)\AstroGrep\AstroGrep.exe" /e /r /s /spath="%USERPROFILE%\AppData\Local\Temp\OnboardLogs" /stypes="app*4017*20170619*" /stext=" 19:.+((SYSTEM_STATE.+slice.+state.+changed )|(ment ac)|(multiple cpu faults)|(system.+state.+changed )|(\[timeout)|(PRM\|1\|D)|(kpr)|(kdp)|(train st.+moving)|(\|lc)|(penalty))"</v>
      </c>
      <c r="AG83" s="209" t="str">
        <f t="shared" si="34"/>
        <v>EC</v>
      </c>
      <c r="AH83" s="78" t="str">
        <f t="shared" si="37"/>
        <v>"%USERPROFILE%\Documents\GitHub\eaglep3\Utilities\RefineRTDCRunTimes.py" --tripid 170-19 --locoid 4017 --swversion DE.1.0.9.0 --startMP 204:153972 --initTime 2017-06-19T13:23:37 --startdatetime 2017-06-19T13:34:07 --delay 1 --endMP 204:150097 --enddatetime 2017-06-19T13:59:33 --enforcementcount 0 &gt;&gt;C:\Users\stu\Documents\GitHub\eaglep3-reporting\EC\2017-06-19-refined-times.txt</v>
      </c>
      <c r="AI8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{"issue":{"subject":"","project_id":79,"tracker_id":40,"status_id":1,"priority_id":2,"assigned_to_id":23,"start_date":"2017-06-19","description":"","custom_fields":[{"id":1,"name":"Subdivision","value":"EC"},{"id":4,"name":"Milepost","value":"15.0097"},{"id":17,"name":"Train ID","value":"170-19"},{"id":16,"name":"Locomotive ID","value":"4017"},{"id":130,"name":"Impact","value":""},{"id":150,"name":"Time of Event (Mountain Time)","value":"13:59:33"},{"id":151,"name":"Denver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4017 --day 2017-06-19</v>
      </c>
      <c r="AN83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636</v>
      </c>
      <c r="B84" s="7">
        <v>4017</v>
      </c>
      <c r="C84" s="21" t="s">
        <v>202</v>
      </c>
      <c r="D84" s="21" t="s">
        <v>589</v>
      </c>
      <c r="E84" s="13">
        <v>42905.546597222223</v>
      </c>
      <c r="F84" s="13">
        <v>42905.565358796295</v>
      </c>
      <c r="G84" s="7">
        <v>2</v>
      </c>
      <c r="H84" s="21" t="s">
        <v>907</v>
      </c>
      <c r="I84" s="13">
        <v>42905.583020833335</v>
      </c>
      <c r="J84" s="7">
        <v>0</v>
      </c>
      <c r="K84" s="89" t="str">
        <f t="shared" si="25"/>
        <v>4017/4018</v>
      </c>
      <c r="L84" s="21" t="str">
        <f>VLOOKUP(A84,'Trips&amp;Operators'!$C$1:$G$99999,5,FALSE)</f>
        <v>BRANDNER MELINDA</v>
      </c>
      <c r="M84" s="6">
        <f t="shared" si="26"/>
        <v>1.7662037040281575E-2</v>
      </c>
      <c r="N84" s="7"/>
      <c r="O84" s="7"/>
      <c r="P84" s="7"/>
      <c r="Q84" s="22"/>
      <c r="R84" s="170"/>
      <c r="S84" s="213"/>
      <c r="T84" s="195" t="str">
        <f t="shared" si="28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-06-19T12:07:06-0600',mode:absolute,to:'2017-06-19T14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197" t="str">
        <f>IF(AA84&lt;VLOOKUP(AG84,Variables!$AC$3:$AD$8,2,FALSE),"Y","N")</f>
        <v>Y</v>
      </c>
      <c r="X84" s="197">
        <f t="shared" ref="X84:X147" si="41">VALUE(LEFT(AD84,4))-VALUE(LEFT(AD83,4))</f>
        <v>0</v>
      </c>
      <c r="Y84" s="197">
        <f t="shared" si="35"/>
        <v>23.304200000000002</v>
      </c>
      <c r="Z84" s="197">
        <f t="shared" si="36"/>
        <v>15.0097</v>
      </c>
      <c r="AA84" s="197">
        <f t="shared" si="30"/>
        <v>8.2945000000000011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1"/>
        <v>170</v>
      </c>
      <c r="AE84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84" s="74" t="str">
        <f t="shared" si="33"/>
        <v>"C:\Program Files (x86)\AstroGrep\AstroGrep.exe" /e /r /s /spath="%USERPROFILE%\AppData\Local\Temp\OnboardLogs" /stypes="app*4017*20170619*" /stext=" 19:.+((SYSTEM_STATE.+slice.+state.+changed )|(ment ac)|(multiple cpu faults)|(system.+state.+changed )|(\[timeout)|(PRM\|1\|D)|(kpr)|(kdp)|(train st.+moving)|(\|lc)|(penalty))"</v>
      </c>
      <c r="AG84" s="209" t="str">
        <f t="shared" si="34"/>
        <v>EC</v>
      </c>
      <c r="AH84" s="78" t="str">
        <f t="shared" si="37"/>
        <v>"%USERPROFILE%\Documents\GitHub\eaglep3\Utilities\RefineRTDCRunTimes.py" --tripid 170-19 --locoid 4017 --swversion DE.1.0.9.0 --startMP 204:233042 --initTime 2017-06-19T13:07:06 --startdatetime 2017-06-19T13:34:07 --delay 2 --endMP 204:150097 --enddatetime 2017-06-19T13:59:33 --enforcementcount 0 &gt;&gt;C:\Users\stu\Documents\GitHub\eaglep3-reporting\EC\2017-06-19-refined-times.txt</v>
      </c>
      <c r="AI8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{"issue":{"subject":"","project_id":79,"tracker_id":40,"status_id":1,"priority_id":2,"assigned_to_id":23,"start_date":"2017-06-19","description":"","custom_fields":[{"id":1,"name":"Subdivision","value":"EC"},{"id":4,"name":"Milepost","value":"15.0097"},{"id":17,"name":"Train ID","value":"170-19"},{"id":16,"name":"Locomotive ID","value":"4017"},{"id":130,"name":"Impact","value":""},{"id":150,"name":"Time of Event (Mountain Time)","value":"13:59:33"},{"id":151,"name":"Denver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4017 --day 2017-06-19</v>
      </c>
      <c r="AN8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760</v>
      </c>
      <c r="B85" s="7">
        <v>4054</v>
      </c>
      <c r="C85" s="21" t="s">
        <v>202</v>
      </c>
      <c r="D85" s="21" t="s">
        <v>354</v>
      </c>
      <c r="E85" s="13">
        <v>42905.515868055554</v>
      </c>
      <c r="F85" s="13">
        <v>42905.52107638889</v>
      </c>
      <c r="G85" s="7">
        <v>2</v>
      </c>
      <c r="H85" s="21" t="s">
        <v>537</v>
      </c>
      <c r="I85" s="13">
        <v>42905.546747685185</v>
      </c>
      <c r="J85" s="7">
        <v>0</v>
      </c>
      <c r="K85" s="89" t="str">
        <f t="shared" si="25"/>
        <v>4053/4054</v>
      </c>
      <c r="L85" s="21" t="str">
        <f>VLOOKUP(A85,'Trips&amp;Operators'!$C$1:$G$99999,5,FALSE)</f>
        <v>SULLIVAN BRANDON</v>
      </c>
      <c r="M85" s="6">
        <f t="shared" si="26"/>
        <v>2.5671296294603962E-2</v>
      </c>
      <c r="N85" s="7">
        <f>24*60*SUM($M85:$M85)</f>
        <v>36.966666664229706</v>
      </c>
      <c r="O85" s="7"/>
      <c r="P85" s="7"/>
      <c r="Q85" s="22"/>
      <c r="R85" s="170"/>
      <c r="S85" s="213">
        <f t="shared" ref="S85:S116" si="42">SUM(U85:U85)/IF(AG85="EC",12,1)</f>
        <v>1</v>
      </c>
      <c r="T85" s="195" t="str">
        <f t="shared" si="28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-06-19T11:22:51-0600',mode:absolute,to:'2017-06-19T14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197" t="str">
        <f>IF(AA85&lt;VLOOKUP(AG85,Variables!$AC$3:$AD$8,2,FALSE),"Y","N")</f>
        <v>N</v>
      </c>
      <c r="X85" s="197">
        <f t="shared" si="41"/>
        <v>1</v>
      </c>
      <c r="Y85" s="197">
        <f t="shared" si="35"/>
        <v>4.53E-2</v>
      </c>
      <c r="Z85" s="197">
        <f t="shared" si="36"/>
        <v>23.334700000000002</v>
      </c>
      <c r="AA85" s="197">
        <f t="shared" si="30"/>
        <v>23.289400000000001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1"/>
        <v>171</v>
      </c>
      <c r="AE85" s="77" t="str">
        <f t="shared" si="3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85" s="74" t="str">
        <f t="shared" si="33"/>
        <v>"C:\Program Files (x86)\AstroGrep\AstroGrep.exe" /e /r /s /spath="%USERPROFILE%\AppData\Local\Temp\OnboardLogs" /stypes="app*4054*20170619*" /stext=" 19:.+((SYSTEM_STATE.+slice.+state.+changed )|(ment ac)|(multiple cpu faults)|(system.+state.+changed )|(\[timeout)|(PRM\|1\|D)|(kpr)|(kdp)|(train st.+moving)|(\|lc)|(penalty))"</v>
      </c>
      <c r="AG85" s="209" t="str">
        <f t="shared" si="34"/>
        <v>EC</v>
      </c>
      <c r="AH85" s="78" t="str">
        <f t="shared" si="37"/>
        <v>"%USERPROFILE%\Documents\GitHub\eaglep3\Utilities\RefineRTDCRunTimes.py" --tripid 171-19 --locoid 4054 --swversion DE.1.0.9.0 --startMP 204:453 --initTime 2017-06-19T12:22:51 --startdatetime 2017-06-19T12:30:21 --delay 2 --endMP 204:233347 --enddatetime 2017-06-19T13:07:19 --enforcementcount 0 &gt;&gt;C:\Users\stu\Documents\GitHub\eaglep3-reporting\EC\2017-06-19-refined-times.txt</v>
      </c>
      <c r="AI8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{"issue":{"subject":"","project_id":79,"tracker_id":40,"status_id":1,"priority_id":2,"assigned_to_id":23,"start_date":"2017-06-19","description":"","custom_fields":[{"id":1,"name":"Subdivision","value":"EC"},{"id":4,"name":"Milepost","value":"23.3347"},{"id":17,"name":"Train ID","value":"171-19"},{"id":16,"name":"Locomotive ID","value":"4054"},{"id":130,"name":"Impact","value":""},{"id":150,"name":"Time of Event (Mountain Time)","value":"13:07:19"},{"id":151,"name":"Denver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4054 --day 2017-06-19</v>
      </c>
      <c r="AN8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770</v>
      </c>
      <c r="B86" s="7">
        <v>4053</v>
      </c>
      <c r="C86" s="21" t="s">
        <v>202</v>
      </c>
      <c r="D86" s="21" t="s">
        <v>908</v>
      </c>
      <c r="E86" s="13">
        <v>42905.555104166669</v>
      </c>
      <c r="F86" s="13">
        <v>42905.560601851852</v>
      </c>
      <c r="G86" s="7">
        <v>1</v>
      </c>
      <c r="H86" s="21" t="s">
        <v>909</v>
      </c>
      <c r="I86" s="13">
        <v>42905.589375000003</v>
      </c>
      <c r="J86" s="7">
        <v>0</v>
      </c>
      <c r="K86" s="89" t="str">
        <f t="shared" si="25"/>
        <v>4053/4054</v>
      </c>
      <c r="L86" s="21" t="str">
        <f>VLOOKUP(A86,'Trips&amp;Operators'!$C$1:$G$99999,5,FALSE)</f>
        <v>SULLIVAN BRANDON</v>
      </c>
      <c r="M86" s="6">
        <f t="shared" si="26"/>
        <v>2.8773148151230998E-2</v>
      </c>
      <c r="N86" s="7">
        <f>24*60*SUM($M86:$M86)</f>
        <v>41.433333337772638</v>
      </c>
      <c r="O86" s="7"/>
      <c r="P86" s="7"/>
      <c r="Q86" s="22"/>
      <c r="R86" s="170"/>
      <c r="S86" s="213">
        <f t="shared" si="42"/>
        <v>1</v>
      </c>
      <c r="T86" s="195" t="str">
        <f t="shared" si="28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-06-19T12:19:21-0600',mode:absolute,to:'2017-06-19T15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97" t="str">
        <f>IF(AA86&lt;VLOOKUP(AG86,Variables!$AC$3:$AD$8,2,FALSE),"Y","N")</f>
        <v>N</v>
      </c>
      <c r="X86" s="197">
        <f t="shared" si="41"/>
        <v>1</v>
      </c>
      <c r="Y86" s="197">
        <f t="shared" si="35"/>
        <v>23.305499999999999</v>
      </c>
      <c r="Z86" s="197">
        <f t="shared" si="36"/>
        <v>1.7000000000000001E-2</v>
      </c>
      <c r="AA86" s="197">
        <f t="shared" si="30"/>
        <v>23.288499999999999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1"/>
        <v>172</v>
      </c>
      <c r="AE86" s="77" t="str">
        <f t="shared" si="3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86" s="74" t="str">
        <f t="shared" si="33"/>
        <v>"C:\Program Files (x86)\AstroGrep\AstroGrep.exe" /e /r /s /spath="%USERPROFILE%\AppData\Local\Temp\OnboardLogs" /stypes="app*4053*20170619*" /stext=" 20:.+((SYSTEM_STATE.+slice.+state.+changed )|(ment ac)|(multiple cpu faults)|(system.+state.+changed )|(\[timeout)|(PRM\|1\|D)|(kpr)|(kdp)|(train st.+moving)|(\|lc)|(penalty))"</v>
      </c>
      <c r="AG86" s="209" t="str">
        <f t="shared" si="34"/>
        <v>EC</v>
      </c>
      <c r="AH86" s="78" t="str">
        <f t="shared" si="37"/>
        <v>"%USERPROFILE%\Documents\GitHub\eaglep3\Utilities\RefineRTDCRunTimes.py" --tripid 172-19 --locoid 4053 --swversion DE.1.0.9.0 --startMP 204:233055 --initTime 2017-06-19T13:19:21 --startdatetime 2017-06-19T13:27:16 --delay 1 --endMP 204:170 --enddatetime 2017-06-19T14:08:42 --enforcementcount 0 &gt;&gt;C:\Users\stu\Documents\GitHub\eaglep3-reporting\EC\2017-06-19-refined-times.txt</v>
      </c>
      <c r="AI8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{"issue":{"subject":"","project_id":79,"tracker_id":40,"status_id":1,"priority_id":2,"assigned_to_id":23,"start_date":"2017-06-19","description":"","custom_fields":[{"id":1,"name":"Subdivision","value":"EC"},{"id":4,"name":"Milepost","value":"0.017"},{"id":17,"name":"Train ID","value":"172-19"},{"id":16,"name":"Locomotive ID","value":"4053"},{"id":130,"name":"Impact","value":""},{"id":150,"name":"Time of Event (Mountain Time)","value":"14:08:42"},{"id":151,"name":"Denver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4053 --day 2017-06-19</v>
      </c>
      <c r="AN8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762</v>
      </c>
      <c r="B87" s="7">
        <v>4050</v>
      </c>
      <c r="C87" s="21" t="s">
        <v>202</v>
      </c>
      <c r="D87" s="21" t="s">
        <v>355</v>
      </c>
      <c r="E87" s="13">
        <v>42905.527465277781</v>
      </c>
      <c r="F87" s="13">
        <v>42905.531423611108</v>
      </c>
      <c r="G87" s="7">
        <v>2</v>
      </c>
      <c r="H87" s="21" t="s">
        <v>605</v>
      </c>
      <c r="I87" s="13">
        <v>42905.556122685186</v>
      </c>
      <c r="J87" s="7">
        <v>0</v>
      </c>
      <c r="K87" s="89" t="str">
        <f t="shared" si="25"/>
        <v>4049/4050</v>
      </c>
      <c r="L87" s="21" t="str">
        <f>VLOOKUP(A87,'Trips&amp;Operators'!$C$1:$G$99999,5,FALSE)</f>
        <v>MCREYNOLDS KYLE</v>
      </c>
      <c r="M87" s="6">
        <f t="shared" si="26"/>
        <v>2.4699074077943806E-2</v>
      </c>
      <c r="N87" s="7">
        <f>24*60*SUM($M87:$M87)</f>
        <v>35.56666667223908</v>
      </c>
      <c r="O87" s="7"/>
      <c r="P87" s="7"/>
      <c r="Q87" s="22"/>
      <c r="R87" s="170" t="s">
        <v>1056</v>
      </c>
      <c r="S87" s="213">
        <f t="shared" si="42"/>
        <v>1</v>
      </c>
      <c r="T87" s="195" t="str">
        <f t="shared" si="28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-06-19T11:39:33-0600',mode:absolute,to:'2017-06-19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197" t="str">
        <f>IF(AA87&lt;VLOOKUP(AG87,Variables!$AC$3:$AD$8,2,FALSE),"Y","N")</f>
        <v>N</v>
      </c>
      <c r="X87" s="197">
        <f t="shared" si="41"/>
        <v>1</v>
      </c>
      <c r="Y87" s="197">
        <f t="shared" si="35"/>
        <v>4.4699999999999997E-2</v>
      </c>
      <c r="Z87" s="197">
        <f t="shared" si="36"/>
        <v>23.341000000000001</v>
      </c>
      <c r="AA87" s="197">
        <f t="shared" si="30"/>
        <v>23.296300000000002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1"/>
        <v>173</v>
      </c>
      <c r="AE87" s="77" t="str">
        <f t="shared" si="3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87" s="74" t="str">
        <f t="shared" si="33"/>
        <v>"C:\Program Files (x86)\AstroGrep\AstroGrep.exe" /e /r /s /spath="%USERPROFILE%\AppData\Local\Temp\OnboardLogs" /stypes="app*4050*20170619*" /stext=" 19:.+((SYSTEM_STATE.+slice.+state.+changed )|(ment ac)|(multiple cpu faults)|(system.+state.+changed )|(\[timeout)|(PRM\|1\|D)|(kpr)|(kdp)|(train st.+moving)|(\|lc)|(penalty))"</v>
      </c>
      <c r="AG87" s="209" t="str">
        <f t="shared" si="34"/>
        <v>EC</v>
      </c>
      <c r="AH87" s="78" t="str">
        <f t="shared" si="37"/>
        <v>"%USERPROFILE%\Documents\GitHub\eaglep3\Utilities\RefineRTDCRunTimes.py" --tripid 173-19 --locoid 4050 --swversion DE.1.0.9.0 --startMP 204:447 --initTime 2017-06-19T12:39:33 --startdatetime 2017-06-19T12:45:15 --delay 2 --endMP 204:233410 --enddatetime 2017-06-19T13:20:49 --enforcementcount 0 &gt;&gt;C:\Users\stu\Documents\GitHub\eaglep3-reporting\EC\2017-06-19-refined-times.txt</v>
      </c>
      <c r="AI87" s="96" t="str">
        <f t="shared" si="38"/>
        <v>echo {"issue":{"subject":"Brief Wi-MAX data drop caused unhealthy crossing banners, no enforcements or cut outs","project_id":79,"tracker_id":40,"status_id":1,"priority_id":2,"assigned_to_id":23,"start_date":"2017-06-19","description":"","custom_fields":[{"id":1,"name":"Subdivision","value":"EC"},{"id":4,"name":"Milepost","value":"23.341"},{"id":17,"name":"Train ID","value":"173-19"},{"id":16,"name":"Locomotive ID","value":"4050"},{"id":130,"name":"Impact","value":""},{"id":150,"name":"Time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4050 --day 2017-06-19</v>
      </c>
      <c r="AN87" s="151" t="str">
        <f t="shared" si="40"/>
        <v>echo {"issue":{"subject":"Brief Wi-MAX data drop caused unhealthy crossing banners, no enforcements or cut outs","project_id":30,"tracker_id":4,"status_id":1,"priority_id":1,"assigned_to_id":10,"start_date":"2017-06-19","description":"","custom_fields":[{"id":30,"name":"Category","value":"Issue"},{"id":3,"name":"Functional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772</v>
      </c>
      <c r="B88" s="7">
        <v>4049</v>
      </c>
      <c r="C88" s="21" t="s">
        <v>202</v>
      </c>
      <c r="D88" s="21" t="s">
        <v>589</v>
      </c>
      <c r="E88" s="13">
        <v>42905.56653935185</v>
      </c>
      <c r="F88" s="13">
        <v>42905.571064814816</v>
      </c>
      <c r="G88" s="7">
        <v>1</v>
      </c>
      <c r="H88" s="21" t="s">
        <v>359</v>
      </c>
      <c r="I88" s="13">
        <v>42905.59957175926</v>
      </c>
      <c r="J88" s="7">
        <v>0</v>
      </c>
      <c r="K88" s="89" t="str">
        <f t="shared" si="25"/>
        <v>4049/4050</v>
      </c>
      <c r="L88" s="21" t="str">
        <f>VLOOKUP(A88,'Trips&amp;Operators'!$C$1:$G$99999,5,FALSE)</f>
        <v>MCREYNOLDS KYLE</v>
      </c>
      <c r="M88" s="6">
        <f t="shared" si="26"/>
        <v>2.8506944443506654E-2</v>
      </c>
      <c r="N88" s="7">
        <f>24*60*SUM($M88:$M88)</f>
        <v>41.049999998649582</v>
      </c>
      <c r="O88" s="7"/>
      <c r="P88" s="7"/>
      <c r="Q88" s="22"/>
      <c r="R88" s="170"/>
      <c r="S88" s="213">
        <f t="shared" si="42"/>
        <v>1</v>
      </c>
      <c r="T88" s="195" t="str">
        <f t="shared" si="28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-06-19T12:35:49-0600',mode:absolute,to:'2017-06-19T15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197" t="str">
        <f>IF(AA88&lt;VLOOKUP(AG88,Variables!$AC$3:$AD$8,2,FALSE),"Y","N")</f>
        <v>N</v>
      </c>
      <c r="X88" s="197">
        <f t="shared" si="41"/>
        <v>1</v>
      </c>
      <c r="Y88" s="197">
        <f t="shared" si="35"/>
        <v>23.304200000000002</v>
      </c>
      <c r="Z88" s="197">
        <f t="shared" si="36"/>
        <v>1.47E-2</v>
      </c>
      <c r="AA88" s="197">
        <f t="shared" si="30"/>
        <v>23.2895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1"/>
        <v>174</v>
      </c>
      <c r="AE88" s="77" t="str">
        <f t="shared" si="3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88" s="74" t="str">
        <f t="shared" si="33"/>
        <v>"C:\Program Files (x86)\AstroGrep\AstroGrep.exe" /e /r /s /spath="%USERPROFILE%\AppData\Local\Temp\OnboardLogs" /stypes="app*4049*20170619*" /stext=" 20:.+((SYSTEM_STATE.+slice.+state.+changed )|(ment ac)|(multiple cpu faults)|(system.+state.+changed )|(\[timeout)|(PRM\|1\|D)|(kpr)|(kdp)|(train st.+moving)|(\|lc)|(penalty))"</v>
      </c>
      <c r="AG88" s="209" t="str">
        <f t="shared" si="34"/>
        <v>EC</v>
      </c>
      <c r="AH88" s="78" t="str">
        <f t="shared" si="37"/>
        <v>"%USERPROFILE%\Documents\GitHub\eaglep3\Utilities\RefineRTDCRunTimes.py" --tripid 174-19 --locoid 4049 --swversion DE.1.0.9.0 --startMP 204:233042 --initTime 2017-06-19T13:35:49 --startdatetime 2017-06-19T13:42:20 --delay 1 --endMP 204:147 --enddatetime 2017-06-19T14:23:23 --enforcementcount 0 &gt;&gt;C:\Users\stu\Documents\GitHub\eaglep3-reporting\EC\2017-06-19-refined-times.txt</v>
      </c>
      <c r="AI8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{"issue":{"subject":"","project_id":79,"tracker_id":40,"status_id":1,"priority_id":2,"assigned_to_id":23,"start_date":"2017-06-19","description":"","custom_fields":[{"id":1,"name":"Subdivision","value":"EC"},{"id":4,"name":"Milepost","value":"0.0147"},{"id":17,"name":"Train ID","value":"174-19"},{"id":16,"name":"Locomotive ID","value":"4049"},{"id":130,"name":"Impact","value":""},{"id":150,"name":"Time of Event (Mountain Time)","value":"14:23:23"},{"id":151,"name":"Denver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4049 --day 2017-06-19</v>
      </c>
      <c r="AN8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765</v>
      </c>
      <c r="B89" s="7">
        <v>4008</v>
      </c>
      <c r="C89" s="21" t="s">
        <v>202</v>
      </c>
      <c r="D89" s="21" t="s">
        <v>506</v>
      </c>
      <c r="E89" s="13">
        <v>42905.539560185185</v>
      </c>
      <c r="F89" s="13">
        <v>42905.542164351849</v>
      </c>
      <c r="G89" s="7">
        <v>1</v>
      </c>
      <c r="H89" s="21" t="s">
        <v>442</v>
      </c>
      <c r="I89" s="13">
        <v>42905.568726851852</v>
      </c>
      <c r="J89" s="7">
        <v>0</v>
      </c>
      <c r="K89" s="89" t="str">
        <f t="shared" si="25"/>
        <v>4007/4008</v>
      </c>
      <c r="L89" s="21" t="str">
        <f>VLOOKUP(A89,'Trips&amp;Operators'!$C$1:$G$99999,5,FALSE)</f>
        <v>DAVIS MICHAEL</v>
      </c>
      <c r="M89" s="6">
        <f t="shared" si="26"/>
        <v>2.6562500002910383E-2</v>
      </c>
      <c r="N89" s="7">
        <f>24*60*SUM($M89:$M89)</f>
        <v>38.250000004190952</v>
      </c>
      <c r="O89" s="7"/>
      <c r="P89" s="7"/>
      <c r="Q89" s="22"/>
      <c r="R89" s="170"/>
      <c r="S89" s="213">
        <f t="shared" si="42"/>
        <v>1</v>
      </c>
      <c r="T89" s="195" t="str">
        <f t="shared" si="28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-06-19T11:56:58-0600',mode:absolute,to:'2017-06-19T14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7" t="str">
        <f>IF(AA89&lt;VLOOKUP(AG89,Variables!$AC$3:$AD$8,2,FALSE),"Y","N")</f>
        <v>N</v>
      </c>
      <c r="X89" s="197">
        <f t="shared" si="41"/>
        <v>1</v>
      </c>
      <c r="Y89" s="197">
        <f t="shared" si="35"/>
        <v>4.5499999999999999E-2</v>
      </c>
      <c r="Z89" s="197">
        <f t="shared" si="36"/>
        <v>23.328900000000001</v>
      </c>
      <c r="AA89" s="197">
        <f t="shared" si="30"/>
        <v>23.2834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1"/>
        <v>175</v>
      </c>
      <c r="AE89" s="77" t="str">
        <f t="shared" si="32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89" s="74" t="str">
        <f t="shared" si="33"/>
        <v>"C:\Program Files (x86)\AstroGrep\AstroGrep.exe" /e /r /s /spath="%USERPROFILE%\AppData\Local\Temp\OnboardLogs" /stypes="app*4008*20170619*" /stext=" 19:.+((SYSTEM_STATE.+slice.+state.+changed )|(ment ac)|(multiple cpu faults)|(system.+state.+changed )|(\[timeout)|(PRM\|1\|D)|(kpr)|(kdp)|(train st.+moving)|(\|lc)|(penalty))"</v>
      </c>
      <c r="AG89" s="209" t="str">
        <f t="shared" si="34"/>
        <v>EC</v>
      </c>
      <c r="AH89" s="78" t="str">
        <f t="shared" si="37"/>
        <v>"%USERPROFILE%\Documents\GitHub\eaglep3\Utilities\RefineRTDCRunTimes.py" --tripid 175-19 --locoid 4008 --swversion DE.1.0.9.0 --startMP 204:455 --initTime 2017-06-19T12:56:58 --startdatetime 2017-06-19T13:00:43 --delay 1 --endMP 204:233289 --enddatetime 2017-06-19T13:38:58 --enforcementcount 0 &gt;&gt;C:\Users\stu\Documents\GitHub\eaglep3-reporting\EC\2017-06-19-refined-times.txt</v>
      </c>
      <c r="AI8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{"issue":{"subject":"","project_id":79,"tracker_id":40,"status_id":1,"priority_id":2,"assigned_to_id":23,"start_date":"2017-06-19","description":"","custom_fields":[{"id":1,"name":"Subdivision","value":"EC"},{"id":4,"name":"Milepost","value":"23.3289"},{"id":17,"name":"Train ID","value":"175-19"},{"id":16,"name":"Locomotive ID","value":"4008"},{"id":130,"name":"Impact","value":""},{"id":150,"name":"Time of Event (Mountain Time)","value":"13:38:58"},{"id":151,"name":"Denver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4008 --day 2017-06-19</v>
      </c>
      <c r="AN8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776</v>
      </c>
      <c r="B90" s="7">
        <v>4007</v>
      </c>
      <c r="C90" s="21" t="s">
        <v>202</v>
      </c>
      <c r="D90" s="21" t="s">
        <v>910</v>
      </c>
      <c r="E90" s="13">
        <v>42905.603425925925</v>
      </c>
      <c r="F90" s="13">
        <v>42905.605023148149</v>
      </c>
      <c r="G90" s="7">
        <v>1</v>
      </c>
      <c r="H90" s="21" t="s">
        <v>905</v>
      </c>
      <c r="I90" s="13">
        <v>42905.624050925922</v>
      </c>
      <c r="J90" s="7">
        <v>0</v>
      </c>
      <c r="K90" s="89" t="str">
        <f t="shared" si="25"/>
        <v>4007/4008</v>
      </c>
      <c r="L90" s="21" t="str">
        <f>VLOOKUP(A90,'Trips&amp;Operators'!$C$1:$G$99999,5,FALSE)</f>
        <v>DAVIS MICHAEL</v>
      </c>
      <c r="M90" s="6">
        <f t="shared" si="26"/>
        <v>1.9027777772862464E-2</v>
      </c>
      <c r="N90" s="7"/>
      <c r="O90" s="7"/>
      <c r="P90" s="7">
        <f>24*60*SUM($M90:$M90)</f>
        <v>27.399999992921948</v>
      </c>
      <c r="Q90" s="22"/>
      <c r="R90" s="170" t="s">
        <v>1054</v>
      </c>
      <c r="S90" s="213">
        <f t="shared" si="42"/>
        <v>1</v>
      </c>
      <c r="T90" s="195" t="str">
        <f t="shared" si="28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-06-19T13:28:56-0600',mode:absolute,to:'2017-06-19T15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7" t="str">
        <f>IF(AA90&lt;VLOOKUP(AG90,Variables!$AC$3:$AD$8,2,FALSE),"Y","N")</f>
        <v>Y</v>
      </c>
      <c r="X90" s="197">
        <f t="shared" si="41"/>
        <v>1</v>
      </c>
      <c r="Y90" s="197">
        <f t="shared" si="35"/>
        <v>12.7866</v>
      </c>
      <c r="Z90" s="197">
        <f t="shared" si="36"/>
        <v>0.1158</v>
      </c>
      <c r="AA90" s="197">
        <f t="shared" si="30"/>
        <v>12.6708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1"/>
        <v>176</v>
      </c>
      <c r="AE90" s="77" t="str">
        <f t="shared" si="32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90" s="74" t="str">
        <f t="shared" si="33"/>
        <v>"C:\Program Files (x86)\AstroGrep\AstroGrep.exe" /e /r /s /spath="%USERPROFILE%\AppData\Local\Temp\OnboardLogs" /stypes="app*4007*20170619*" /stext=" 20:.+((SYSTEM_STATE.+slice.+state.+changed )|(ment ac)|(multiple cpu faults)|(system.+state.+changed )|(\[timeout)|(PRM\|1\|D)|(kpr)|(kdp)|(train st.+moving)|(\|lc)|(penalty))"</v>
      </c>
      <c r="AG90" s="209" t="str">
        <f t="shared" si="34"/>
        <v>EC</v>
      </c>
      <c r="AH90" s="78" t="str">
        <f t="shared" si="37"/>
        <v>"%USERPROFILE%\Documents\GitHub\eaglep3\Utilities\RefineRTDCRunTimes.py" --tripid 176-19 --locoid 4007 --swversion DE.1.0.9.0 --startMP 204:127866 --initTime 2017-06-19T14:28:56 --startdatetime 2017-06-19T14:31:14 --delay 1 --endMP 204:1158 --enddatetime 2017-06-19T14:58:38 --enforcementcount 0 &gt;&gt;C:\Users\stu\Documents\GitHub\eaglep3-reporting\EC\2017-06-19-refined-times.txt</v>
      </c>
      <c r="AI90" s="96" t="str">
        <f t="shared" si="38"/>
        <v>echo {"issue":{"subject":"Onboard in-route failure","project_id":79,"tracker_id":40,"status_id":1,"priority_id":2,"assigned_to_id":23,"start_date":"2017-06-19","description":"","custom_fields":[{"id":1,"name":"Subdivision","value":"EC"},{"id":4,"name":"Milepost","value":"0.1158"},{"id":17,"name":"Train ID","value":"176-19"},{"id":16,"name":"Locomotive ID","value":"4007"},{"id":130,"name":"Impact","value":""},{"id":150,"name":"Time of Event (Mountain Time)","value":"14:58:38"},{"id":151,"name":"Denver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39"/>
        <v>start /low /b %USERPROFILE%\Documents\GitHub\eaglep3\Utilities\DownloadLogsFromS3.py --loco 4007 --day 2017-06-19</v>
      </c>
      <c r="AN90" s="151" t="str">
        <f t="shared" si="40"/>
        <v>echo {"issue":{"subject":"Onboard in-route failure","project_id":30,"tracker_id":4,"status_id":1,"priority_id":1,"assigned_to_id":10,"start_date":"2017-06-19","description":"","custom_fields":[{"id":30,"name":"Category","value":"Issue"},{"id":3,"name":"Functional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776</v>
      </c>
      <c r="B91" s="7">
        <v>4007</v>
      </c>
      <c r="C91" s="21" t="s">
        <v>202</v>
      </c>
      <c r="D91" s="21" t="s">
        <v>911</v>
      </c>
      <c r="E91" s="13">
        <v>42905.578194444446</v>
      </c>
      <c r="F91" s="13">
        <v>42905.581712962965</v>
      </c>
      <c r="G91" s="7">
        <v>1</v>
      </c>
      <c r="H91" s="21" t="s">
        <v>912</v>
      </c>
      <c r="I91" s="13">
        <v>42905.604120370372</v>
      </c>
      <c r="J91" s="7">
        <v>0</v>
      </c>
      <c r="K91" s="89" t="str">
        <f t="shared" si="25"/>
        <v>4007/4008</v>
      </c>
      <c r="L91" s="21" t="str">
        <f>VLOOKUP(A91,'Trips&amp;Operators'!$C$1:$G$99999,5,FALSE)</f>
        <v>DAVIS MICHAEL</v>
      </c>
      <c r="M91" s="6">
        <f t="shared" si="26"/>
        <v>2.2407407406717539E-2</v>
      </c>
      <c r="N91" s="7"/>
      <c r="O91" s="7"/>
      <c r="P91" s="7"/>
      <c r="Q91" s="22"/>
      <c r="R91" s="170"/>
      <c r="S91" s="213">
        <f t="shared" si="42"/>
        <v>0</v>
      </c>
      <c r="T91" s="195" t="str">
        <f t="shared" si="28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-06-19T12:52:36-0600',mode:absolute,to:'2017-06-19T15:29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97" t="str">
        <f>IF(AA91&lt;VLOOKUP(AG91,Variables!$AC$3:$AD$8,2,FALSE),"Y","N")</f>
        <v>Y</v>
      </c>
      <c r="X91" s="197">
        <f t="shared" si="41"/>
        <v>0</v>
      </c>
      <c r="Y91" s="197">
        <f t="shared" si="35"/>
        <v>23.3</v>
      </c>
      <c r="Z91" s="197">
        <f t="shared" si="36"/>
        <v>23.1221</v>
      </c>
      <c r="AA91" s="197">
        <f t="shared" si="30"/>
        <v>0.17790000000000106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1"/>
        <v>176</v>
      </c>
      <c r="AE91" s="77" t="str">
        <f t="shared" si="32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91" s="74" t="str">
        <f t="shared" si="33"/>
        <v>"C:\Program Files (x86)\AstroGrep\AstroGrep.exe" /e /r /s /spath="%USERPROFILE%\AppData\Local\Temp\OnboardLogs" /stypes="app*4007*20170619*" /stext=" 20:.+((SYSTEM_STATE.+slice.+state.+changed )|(ment ac)|(multiple cpu faults)|(system.+state.+changed )|(\[timeout)|(PRM\|1\|D)|(kpr)|(kdp)|(train st.+moving)|(\|lc)|(penalty))"</v>
      </c>
      <c r="AG91" s="209" t="str">
        <f t="shared" si="34"/>
        <v>EC</v>
      </c>
      <c r="AH91" s="78" t="str">
        <f t="shared" si="37"/>
        <v>"%USERPROFILE%\Documents\GitHub\eaglep3\Utilities\RefineRTDCRunTimes.py" --tripid 176-19 --locoid 4007 --swversion DE.1.0.9.0 --startMP 204:233000 --initTime 2017-06-19T13:52:36 --startdatetime 2017-06-19T13:57:40 --delay 1 --endMP 204:231221 --enddatetime 2017-06-19T14:29:56 --enforcementcount 0 &gt;&gt;C:\Users\stu\Documents\GitHub\eaglep3-reporting\EC\2017-06-19-refined-times.txt</v>
      </c>
      <c r="AI9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{"issue":{"subject":"","project_id":79,"tracker_id":40,"status_id":1,"priority_id":2,"assigned_to_id":23,"start_date":"2017-06-19","description":"","custom_fields":[{"id":1,"name":"Subdivision","value":"EC"},{"id":4,"name":"Milepost","value":"23.1221"},{"id":17,"name":"Train ID","value":"176-19"},{"id":16,"name":"Locomotive ID","value":"4007"},{"id":130,"name":"Impact","value":""},{"id":150,"name":"Time of Event (Mountain Time)","value":"14:29:56"},{"id":151,"name":"Denver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9"/>
        <v>start /low /b %USERPROFILE%\Documents\GitHub\eaglep3\Utilities\DownloadLogsFromS3.py --loco 4007 --day 2017-06-19</v>
      </c>
      <c r="AN9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20:29:56"},{"id":29,"name":"Sharepoint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766</v>
      </c>
      <c r="B92" s="7">
        <v>4044</v>
      </c>
      <c r="C92" s="21" t="s">
        <v>202</v>
      </c>
      <c r="D92" s="21" t="s">
        <v>198</v>
      </c>
      <c r="E92" s="13">
        <v>42905.546087962961</v>
      </c>
      <c r="F92" s="13">
        <v>42905.552268518521</v>
      </c>
      <c r="G92" s="7">
        <v>1</v>
      </c>
      <c r="H92" s="21" t="s">
        <v>901</v>
      </c>
      <c r="I92" s="13">
        <v>42905.579930555556</v>
      </c>
      <c r="J92" s="7">
        <v>0</v>
      </c>
      <c r="K92" s="89" t="str">
        <f t="shared" si="25"/>
        <v>4043/4044</v>
      </c>
      <c r="L92" s="21" t="str">
        <f>VLOOKUP(A92,'Trips&amp;Operators'!$C$1:$G$99999,5,FALSE)</f>
        <v>ROMERO CHAD</v>
      </c>
      <c r="M92" s="6">
        <f t="shared" si="26"/>
        <v>2.7662037035042886E-2</v>
      </c>
      <c r="N92" s="7">
        <f t="shared" ref="N92:N123" si="43">24*60*SUM($M92:$M92)</f>
        <v>39.833333330461755</v>
      </c>
      <c r="O92" s="7"/>
      <c r="P92" s="7"/>
      <c r="Q92" s="22"/>
      <c r="R92" s="170"/>
      <c r="S92" s="213">
        <f t="shared" si="42"/>
        <v>1</v>
      </c>
      <c r="T92" s="195" t="str">
        <f t="shared" si="28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-06-19T12:06:22-0600',mode:absolute,to:'2017-06-19T14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197" t="str">
        <f>IF(AA92&lt;VLOOKUP(AG92,Variables!$AC$3:$AD$8,2,FALSE),"Y","N")</f>
        <v>N</v>
      </c>
      <c r="X92" s="197">
        <f t="shared" si="41"/>
        <v>1</v>
      </c>
      <c r="Y92" s="197">
        <f t="shared" si="35"/>
        <v>4.5699999999999998E-2</v>
      </c>
      <c r="Z92" s="197">
        <f t="shared" si="36"/>
        <v>23.337800000000001</v>
      </c>
      <c r="AA92" s="197">
        <f t="shared" si="30"/>
        <v>23.292100000000001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1"/>
        <v>177</v>
      </c>
      <c r="AE92" s="77" t="str">
        <f t="shared" si="3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92" s="74" t="str">
        <f t="shared" si="33"/>
        <v>"C:\Program Files (x86)\AstroGrep\AstroGrep.exe" /e /r /s /spath="%USERPROFILE%\AppData\Local\Temp\OnboardLogs" /stypes="app*4044*20170619*" /stext=" 19:.+((SYSTEM_STATE.+slice.+state.+changed )|(ment ac)|(multiple cpu faults)|(system.+state.+changed )|(\[timeout)|(PRM\|1\|D)|(kpr)|(kdp)|(train st.+moving)|(\|lc)|(penalty))"</v>
      </c>
      <c r="AG92" s="209" t="str">
        <f t="shared" si="34"/>
        <v>EC</v>
      </c>
      <c r="AH92" s="78" t="str">
        <f t="shared" si="37"/>
        <v>"%USERPROFILE%\Documents\GitHub\eaglep3\Utilities\RefineRTDCRunTimes.py" --tripid 177-19 --locoid 4044 --swversion DE.1.0.9.0 --startMP 204:457 --initTime 2017-06-19T13:06:22 --startdatetime 2017-06-19T13:15:16 --delay 1 --endMP 204:233378 --enddatetime 2017-06-19T13:55:06 --enforcementcount 0 &gt;&gt;C:\Users\stu\Documents\GitHub\eaglep3-reporting\EC\2017-06-19-refined-times.txt</v>
      </c>
      <c r="AI92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{"issue":{"subject":"","project_id":79,"tracker_id":40,"status_id":1,"priority_id":2,"assigned_to_id":23,"start_date":"2017-06-19","description":"","custom_fields":[{"id":1,"name":"Subdivision","value":"EC"},{"id":4,"name":"Milepost","value":"23.3378"},{"id":17,"name":"Train ID","value":"177-19"},{"id":16,"name":"Locomotive ID","value":"4044"},{"id":130,"name":"Impact","value":""},{"id":150,"name":"Time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9"/>
        <v>start /low /b %USERPROFILE%\Documents\GitHub\eaglep3\Utilities\DownloadLogsFromS3.py --loco 4044 --day 2017-06-19</v>
      </c>
      <c r="AN9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778</v>
      </c>
      <c r="B93" s="7">
        <v>4043</v>
      </c>
      <c r="C93" s="21" t="s">
        <v>202</v>
      </c>
      <c r="D93" s="21" t="s">
        <v>609</v>
      </c>
      <c r="E93" s="13">
        <v>42905.590115740742</v>
      </c>
      <c r="F93" s="13">
        <v>42905.591921296298</v>
      </c>
      <c r="G93" s="7">
        <v>1</v>
      </c>
      <c r="H93" s="21" t="s">
        <v>356</v>
      </c>
      <c r="I93" s="13">
        <v>42905.625277777777</v>
      </c>
      <c r="J93" s="7">
        <v>0</v>
      </c>
      <c r="K93" s="89" t="str">
        <f t="shared" si="25"/>
        <v>4043/4044</v>
      </c>
      <c r="L93" s="21" t="str">
        <f>VLOOKUP(A93,'Trips&amp;Operators'!$C$1:$G$99999,5,FALSE)</f>
        <v>ROMERO CHAD</v>
      </c>
      <c r="M93" s="6">
        <f t="shared" si="26"/>
        <v>3.3356481479131617E-2</v>
      </c>
      <c r="N93" s="7">
        <f t="shared" si="43"/>
        <v>48.033333329949528</v>
      </c>
      <c r="O93" s="7"/>
      <c r="P93" s="7"/>
      <c r="Q93" s="22"/>
      <c r="R93" s="170"/>
      <c r="S93" s="213">
        <f t="shared" si="42"/>
        <v>1</v>
      </c>
      <c r="T93" s="195" t="str">
        <f t="shared" si="28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-06-19T13:09:46-0600',mode:absolute,to:'2017-06-19T16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197" t="str">
        <f>IF(AA93&lt;VLOOKUP(AG93,Variables!$AC$3:$AD$8,2,FALSE),"Y","N")</f>
        <v>N</v>
      </c>
      <c r="X93" s="197">
        <f t="shared" si="41"/>
        <v>1</v>
      </c>
      <c r="Y93" s="197">
        <f t="shared" si="35"/>
        <v>23.3063</v>
      </c>
      <c r="Z93" s="197">
        <f t="shared" si="36"/>
        <v>1.3899999999999999E-2</v>
      </c>
      <c r="AA93" s="197">
        <f t="shared" si="30"/>
        <v>23.292400000000001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1"/>
        <v>178</v>
      </c>
      <c r="AE93" s="77" t="str">
        <f t="shared" si="3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93" s="74" t="str">
        <f t="shared" si="33"/>
        <v>"C:\Program Files (x86)\AstroGrep\AstroGrep.exe" /e /r /s /spath="%USERPROFILE%\AppData\Local\Temp\OnboardLogs" /stypes="app*4043*20170619*" /stext=" 21:.+((SYSTEM_STATE.+slice.+state.+changed )|(ment ac)|(multiple cpu faults)|(system.+state.+changed )|(\[timeout)|(PRM\|1\|D)|(kpr)|(kdp)|(train st.+moving)|(\|lc)|(penalty))"</v>
      </c>
      <c r="AG93" s="209" t="str">
        <f t="shared" si="34"/>
        <v>EC</v>
      </c>
      <c r="AH93" s="78" t="str">
        <f t="shared" si="37"/>
        <v>"%USERPROFILE%\Documents\GitHub\eaglep3\Utilities\RefineRTDCRunTimes.py" --tripid 178-19 --locoid 4043 --swversion DE.1.0.9.0 --startMP 204:233063 --initTime 2017-06-19T14:09:46 --startdatetime 2017-06-19T14:12:22 --delay 1 --endMP 204:139 --enddatetime 2017-06-19T15:00:24 --enforcementcount 0 &gt;&gt;C:\Users\stu\Documents\GitHub\eaglep3-reporting\EC\2017-06-19-refined-times.txt</v>
      </c>
      <c r="AI9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{"issue":{"subject":"","project_id":79,"tracker_id":40,"status_id":1,"priority_id":2,"assigned_to_id":23,"start_date":"2017-06-19","description":"","custom_fields":[{"id":1,"name":"Subdivision","value":"EC"},{"id":4,"name":"Milepost","value":"0.0139"},{"id":17,"name":"Train ID","value":"178-19"},{"id":16,"name":"Locomotive ID","value":"4043"},{"id":130,"name":"Impact","value":""},{"id":150,"name":"Time of Event (Mountain Time)","value":"15:00:24"},{"id":151,"name":"Denver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9"/>
        <v>start /low /b %USERPROFILE%\Documents\GitHub\eaglep3\Utilities\DownloadLogsFromS3.py --loco 4043 --day 2017-06-19</v>
      </c>
      <c r="AN93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771</v>
      </c>
      <c r="B94" s="7">
        <v>4058</v>
      </c>
      <c r="C94" s="21" t="s">
        <v>202</v>
      </c>
      <c r="D94" s="21" t="s">
        <v>896</v>
      </c>
      <c r="E94" s="13">
        <v>42905.558321759258</v>
      </c>
      <c r="F94" s="13">
        <v>42905.562662037039</v>
      </c>
      <c r="G94" s="7">
        <v>1</v>
      </c>
      <c r="H94" s="21" t="s">
        <v>876</v>
      </c>
      <c r="I94" s="13">
        <v>42905.589872685188</v>
      </c>
      <c r="J94" s="7">
        <v>0</v>
      </c>
      <c r="K94" s="89" t="str">
        <f t="shared" si="25"/>
        <v>4057/4058</v>
      </c>
      <c r="L94" s="21" t="str">
        <f>VLOOKUP(A94,'Trips&amp;Operators'!$C$1:$G$99999,5,FALSE)</f>
        <v>ROBINSON KADDIBA</v>
      </c>
      <c r="M94" s="6">
        <f t="shared" si="26"/>
        <v>2.7210648149775807E-2</v>
      </c>
      <c r="N94" s="7">
        <f t="shared" si="43"/>
        <v>39.183333335677162</v>
      </c>
      <c r="O94" s="7"/>
      <c r="P94" s="7"/>
      <c r="Q94" s="22"/>
      <c r="R94" s="170"/>
      <c r="S94" s="213">
        <f t="shared" si="42"/>
        <v>1</v>
      </c>
      <c r="T94" s="195" t="str">
        <f t="shared" si="28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-06-19T12:23:59-0600',mode:absolute,to:'2017-06-19T15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4" s="197" t="str">
        <f>IF(AA94&lt;VLOOKUP(AG94,Variables!$AC$3:$AD$8,2,FALSE),"Y","N")</f>
        <v>N</v>
      </c>
      <c r="X94" s="197">
        <f t="shared" si="41"/>
        <v>1</v>
      </c>
      <c r="Y94" s="197">
        <f t="shared" si="35"/>
        <v>4.7300000000000002E-2</v>
      </c>
      <c r="Z94" s="197">
        <f t="shared" si="36"/>
        <v>23.329699999999999</v>
      </c>
      <c r="AA94" s="197">
        <f t="shared" si="30"/>
        <v>23.282399999999999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1"/>
        <v>179</v>
      </c>
      <c r="AE94" s="77" t="str">
        <f t="shared" si="32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94" s="74" t="str">
        <f t="shared" si="33"/>
        <v>"C:\Program Files (x86)\AstroGrep\AstroGrep.exe" /e /r /s /spath="%USERPROFILE%\AppData\Local\Temp\OnboardLogs" /stypes="app*4058*20170619*" /stext=" 20:.+((SYSTEM_STATE.+slice.+state.+changed )|(ment ac)|(multiple cpu faults)|(system.+state.+changed )|(\[timeout)|(PRM\|1\|D)|(kpr)|(kdp)|(train st.+moving)|(\|lc)|(penalty))"</v>
      </c>
      <c r="AG94" s="209" t="str">
        <f t="shared" si="34"/>
        <v>EC</v>
      </c>
      <c r="AH94" s="78" t="str">
        <f t="shared" si="37"/>
        <v>"%USERPROFILE%\Documents\GitHub\eaglep3\Utilities\RefineRTDCRunTimes.py" --tripid 179-19 --locoid 4058 --swversion DE.1.0.9.0 --startMP 204:473 --initTime 2017-06-19T13:23:59 --startdatetime 2017-06-19T13:30:14 --delay 1 --endMP 204:233297 --enddatetime 2017-06-19T14:09:25 --enforcementcount 0 &gt;&gt;C:\Users\stu\Documents\GitHub\eaglep3-reporting\EC\2017-06-19-refined-times.txt</v>
      </c>
      <c r="AI9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{"issue":{"subject":"","project_id":79,"tracker_id":40,"status_id":1,"priority_id":2,"assigned_to_id":23,"start_date":"2017-06-19","description":"","custom_fields":[{"id":1,"name":"Subdivision","value":"EC"},{"id":4,"name":"Milepost","value":"23.3297"},{"id":17,"name":"Train ID","value":"179-19"},{"id":16,"name":"Locomotive ID","value":"4058"},{"id":130,"name":"Impact","value":""},{"id":150,"name":"Time of Event (Mountain Time)","value":"14:09:25"},{"id":151,"name":"Denver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4058 --day 2017-06-19</v>
      </c>
      <c r="AN9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639</v>
      </c>
      <c r="B95" s="7">
        <v>4057</v>
      </c>
      <c r="C95" s="21" t="s">
        <v>202</v>
      </c>
      <c r="D95" s="21" t="s">
        <v>913</v>
      </c>
      <c r="E95" s="13">
        <v>42905.599548611113</v>
      </c>
      <c r="F95" s="13">
        <v>42905.602256944447</v>
      </c>
      <c r="G95" s="7">
        <v>1</v>
      </c>
      <c r="H95" s="21" t="s">
        <v>348</v>
      </c>
      <c r="I95" s="13">
        <v>42905.63071759259</v>
      </c>
      <c r="J95" s="7">
        <v>0</v>
      </c>
      <c r="K95" s="89" t="str">
        <f t="shared" si="25"/>
        <v>4057/4058</v>
      </c>
      <c r="L95" s="21" t="str">
        <f>VLOOKUP(A95,'Trips&amp;Operators'!$C$1:$G$99999,5,FALSE)</f>
        <v>ROBINSON KADDIBA</v>
      </c>
      <c r="M95" s="6">
        <f t="shared" si="26"/>
        <v>2.8460648143664002E-2</v>
      </c>
      <c r="N95" s="7">
        <f t="shared" si="43"/>
        <v>40.983333326876163</v>
      </c>
      <c r="O95" s="7"/>
      <c r="P95" s="7"/>
      <c r="Q95" s="22"/>
      <c r="R95" s="170"/>
      <c r="S95" s="213">
        <f t="shared" si="42"/>
        <v>1</v>
      </c>
      <c r="T95" s="195" t="str">
        <f t="shared" si="28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-06-19T13:23:21-0600',mode:absolute,to:'2017-06-19T16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5" s="197" t="str">
        <f>IF(AA95&lt;VLOOKUP(AG95,Variables!$AC$3:$AD$8,2,FALSE),"Y","N")</f>
        <v>N</v>
      </c>
      <c r="X95" s="197">
        <f t="shared" si="41"/>
        <v>1</v>
      </c>
      <c r="Y95" s="197">
        <f t="shared" si="35"/>
        <v>23.297899999999998</v>
      </c>
      <c r="Z95" s="197">
        <f t="shared" si="36"/>
        <v>1.4999999999999999E-2</v>
      </c>
      <c r="AA95" s="197">
        <f t="shared" si="30"/>
        <v>23.282899999999998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1"/>
        <v>180</v>
      </c>
      <c r="AE95" s="77" t="str">
        <f t="shared" si="32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95" s="74" t="str">
        <f t="shared" si="33"/>
        <v>"C:\Program Files (x86)\AstroGrep\AstroGrep.exe" /e /r /s /spath="%USERPROFILE%\AppData\Local\Temp\OnboardLogs" /stypes="app*4057*20170619*" /stext=" 21:.+((SYSTEM_STATE.+slice.+state.+changed )|(ment ac)|(multiple cpu faults)|(system.+state.+changed )|(\[timeout)|(PRM\|1\|D)|(kpr)|(kdp)|(train st.+moving)|(\|lc)|(penalty))"</v>
      </c>
      <c r="AG95" s="209" t="str">
        <f t="shared" si="34"/>
        <v>EC</v>
      </c>
      <c r="AH95" s="78" t="str">
        <f t="shared" si="37"/>
        <v>"%USERPROFILE%\Documents\GitHub\eaglep3\Utilities\RefineRTDCRunTimes.py" --tripid 180-19 --locoid 4057 --swversion DE.1.0.9.0 --startMP 204:232979 --initTime 2017-06-19T14:23:21 --startdatetime 2017-06-19T14:27:15 --delay 1 --endMP 204:150 --enddatetime 2017-06-19T15:08:14 --enforcementcount 0 &gt;&gt;C:\Users\stu\Documents\GitHub\eaglep3-reporting\EC\2017-06-19-refined-times.txt</v>
      </c>
      <c r="AI9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ID","value":"180-19"},{"id":16,"name":"Locomotive ID","value":"4057"},{"id":130,"name":"Impact","value":""},{"id":150,"name":"Time of Event (Mountain Time)","value":"15:08:14"},{"id":151,"name":"Denver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4057 --day 2017-06-19</v>
      </c>
      <c r="AN9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774</v>
      </c>
      <c r="B96" s="7">
        <v>4016</v>
      </c>
      <c r="C96" s="21" t="s">
        <v>202</v>
      </c>
      <c r="D96" s="21" t="s">
        <v>506</v>
      </c>
      <c r="E96" s="13">
        <v>42905.567939814813</v>
      </c>
      <c r="F96" s="13">
        <v>42905.573159722226</v>
      </c>
      <c r="G96" s="7">
        <v>1</v>
      </c>
      <c r="H96" s="21" t="s">
        <v>534</v>
      </c>
      <c r="I96" s="13">
        <v>42905.597824074073</v>
      </c>
      <c r="J96" s="7">
        <v>0</v>
      </c>
      <c r="K96" s="89" t="str">
        <f t="shared" si="25"/>
        <v>4015/4016</v>
      </c>
      <c r="L96" s="21" t="str">
        <f>VLOOKUP(A96,'Trips&amp;Operators'!$C$1:$G$99999,5,FALSE)</f>
        <v>BRUDER RICHARD</v>
      </c>
      <c r="M96" s="6">
        <f t="shared" si="26"/>
        <v>2.4664351847604848E-2</v>
      </c>
      <c r="N96" s="7">
        <f t="shared" si="43"/>
        <v>35.516666660550982</v>
      </c>
      <c r="O96" s="7"/>
      <c r="P96" s="7"/>
      <c r="Q96" s="22"/>
      <c r="R96" s="170"/>
      <c r="S96" s="213">
        <f t="shared" si="42"/>
        <v>1</v>
      </c>
      <c r="T96" s="195" t="str">
        <f t="shared" si="28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-06-19T12:37:50-0600',mode:absolute,to:'2017-06-19T15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6" s="197" t="str">
        <f>IF(AA96&lt;VLOOKUP(AG96,Variables!$AC$3:$AD$8,2,FALSE),"Y","N")</f>
        <v>N</v>
      </c>
      <c r="X96" s="197">
        <f t="shared" si="41"/>
        <v>1</v>
      </c>
      <c r="Y96" s="197">
        <f t="shared" si="35"/>
        <v>4.5499999999999999E-2</v>
      </c>
      <c r="Z96" s="197">
        <f t="shared" si="36"/>
        <v>23.328600000000002</v>
      </c>
      <c r="AA96" s="197">
        <f t="shared" si="30"/>
        <v>23.283100000000001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1"/>
        <v>181</v>
      </c>
      <c r="AE96" s="77" t="str">
        <f t="shared" si="3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96" s="74" t="str">
        <f t="shared" si="33"/>
        <v>"C:\Program Files (x86)\AstroGrep\AstroGrep.exe" /e /r /s /spath="%USERPROFILE%\AppData\Local\Temp\OnboardLogs" /stypes="app*4016*20170619*" /stext=" 20:.+((SYSTEM_STATE.+slice.+state.+changed )|(ment ac)|(multiple cpu faults)|(system.+state.+changed )|(\[timeout)|(PRM\|1\|D)|(kpr)|(kdp)|(train st.+moving)|(\|lc)|(penalty))"</v>
      </c>
      <c r="AG96" s="209" t="str">
        <f t="shared" si="34"/>
        <v>EC</v>
      </c>
      <c r="AH96" s="78" t="str">
        <f t="shared" si="37"/>
        <v>"%USERPROFILE%\Documents\GitHub\eaglep3\Utilities\RefineRTDCRunTimes.py" --tripid 181-19 --locoid 4016 --swversion DE.1.0.9.0 --startMP 204:455 --initTime 2017-06-19T13:37:50 --startdatetime 2017-06-19T13:45:21 --delay 1 --endMP 204:233286 --enddatetime 2017-06-19T14:20:52 --enforcementcount 0 &gt;&gt;C:\Users\stu\Documents\GitHub\eaglep3-reporting\EC\2017-06-19-refined-times.txt</v>
      </c>
      <c r="AI9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{"issue":{"subject":"","project_id":79,"tracker_id":40,"status_id":1,"priority_id":2,"assigned_to_id":23,"start_date":"2017-06-19","description":"","custom_fields":[{"id":1,"name":"Subdivision","value":"EC"},{"id":4,"name":"Milepost","value":"23.3286"},{"id":17,"name":"Train ID","value":"181-19"},{"id":16,"name":"Locomotive ID","value":"4016"},{"id":130,"name":"Impact","value":""},{"id":150,"name":"Time of Event (Mountain Time)","value":"14:20:52"},{"id":151,"name":"Denver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4016 --day 2017-06-19</v>
      </c>
      <c r="AN9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787</v>
      </c>
      <c r="B97" s="7">
        <v>4015</v>
      </c>
      <c r="C97" s="21" t="s">
        <v>202</v>
      </c>
      <c r="D97" s="21" t="s">
        <v>582</v>
      </c>
      <c r="E97" s="13">
        <v>42905.609525462962</v>
      </c>
      <c r="F97" s="13">
        <v>42905.613576388889</v>
      </c>
      <c r="G97" s="7">
        <v>2</v>
      </c>
      <c r="H97" s="21" t="s">
        <v>358</v>
      </c>
      <c r="I97" s="13">
        <v>42905.640543981484</v>
      </c>
      <c r="J97" s="7">
        <v>0</v>
      </c>
      <c r="K97" s="89" t="str">
        <f t="shared" si="25"/>
        <v>4015/4016</v>
      </c>
      <c r="L97" s="21" t="str">
        <f>VLOOKUP(A97,'Trips&amp;Operators'!$C$1:$G$99999,5,FALSE)</f>
        <v>BRUDER RICHARD</v>
      </c>
      <c r="M97" s="6">
        <f t="shared" si="26"/>
        <v>2.6967592595610768E-2</v>
      </c>
      <c r="N97" s="7">
        <f t="shared" si="43"/>
        <v>38.833333337679505</v>
      </c>
      <c r="O97" s="7"/>
      <c r="P97" s="7"/>
      <c r="Q97" s="22"/>
      <c r="R97" s="170"/>
      <c r="S97" s="213">
        <f t="shared" si="42"/>
        <v>1</v>
      </c>
      <c r="T97" s="195" t="str">
        <f t="shared" si="28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-06-19T13:37:43-0600',mode:absolute,to:'2017-06-19T16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7" s="197" t="str">
        <f>IF(AA97&lt;VLOOKUP(AG97,Variables!$AC$3:$AD$8,2,FALSE),"Y","N")</f>
        <v>N</v>
      </c>
      <c r="X97" s="197">
        <f t="shared" si="41"/>
        <v>1</v>
      </c>
      <c r="Y97" s="197">
        <f t="shared" si="35"/>
        <v>23.2986</v>
      </c>
      <c r="Z97" s="197">
        <f t="shared" si="36"/>
        <v>1.41E-2</v>
      </c>
      <c r="AA97" s="197">
        <f t="shared" si="30"/>
        <v>23.284500000000001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1"/>
        <v>182</v>
      </c>
      <c r="AE97" s="77" t="str">
        <f t="shared" si="3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97" s="74" t="str">
        <f t="shared" si="33"/>
        <v>"C:\Program Files (x86)\AstroGrep\AstroGrep.exe" /e /r /s /spath="%USERPROFILE%\AppData\Local\Temp\OnboardLogs" /stypes="app*4015*20170619*" /stext=" 21:.+((SYSTEM_STATE.+slice.+state.+changed )|(ment ac)|(multiple cpu faults)|(system.+state.+changed )|(\[timeout)|(PRM\|1\|D)|(kpr)|(kdp)|(train st.+moving)|(\|lc)|(penalty))"</v>
      </c>
      <c r="AG97" s="209" t="str">
        <f t="shared" si="34"/>
        <v>EC</v>
      </c>
      <c r="AH97" s="78" t="str">
        <f t="shared" si="37"/>
        <v>"%USERPROFILE%\Documents\GitHub\eaglep3\Utilities\RefineRTDCRunTimes.py" --tripid 182-19 --locoid 4015 --swversion DE.1.0.9.0 --startMP 204:232986 --initTime 2017-06-19T14:37:43 --startdatetime 2017-06-19T14:43:33 --delay 2 --endMP 204:141 --enddatetime 2017-06-19T15:22:23 --enforcementcount 0 &gt;&gt;C:\Users\stu\Documents\GitHub\eaglep3-reporting\EC\2017-06-19-refined-times.txt</v>
      </c>
      <c r="AI97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{"issue":{"subject":"","project_id":79,"tracker_id":40,"status_id":1,"priority_id":2,"assigned_to_id":23,"start_date":"2017-06-19","description":"","custom_fields":[{"id":1,"name":"Subdivision","value":"EC"},{"id":4,"name":"Milepost","value":"0.0141"},{"id":17,"name":"Train ID","value":"182-19"},{"id":16,"name":"Locomotive ID","value":"4015"},{"id":130,"name":"Impact","value":""},{"id":150,"name":"Time of Event (Mountain Time)","value":"15:22:23"},{"id":151,"name":"Denver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9"/>
        <v>start /low /b %USERPROFILE%\Documents\GitHub\eaglep3\Utilities\DownloadLogsFromS3.py --loco 4015 --day 2017-06-19</v>
      </c>
      <c r="AN97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777</v>
      </c>
      <c r="B98" s="7">
        <v>4030</v>
      </c>
      <c r="C98" s="21" t="s">
        <v>202</v>
      </c>
      <c r="D98" s="21" t="s">
        <v>391</v>
      </c>
      <c r="E98" s="13">
        <v>42905.58017361111</v>
      </c>
      <c r="F98" s="13">
        <v>42905.583495370367</v>
      </c>
      <c r="G98" s="7">
        <v>0</v>
      </c>
      <c r="H98" s="21" t="s">
        <v>473</v>
      </c>
      <c r="I98" s="13">
        <v>42905.608032407406</v>
      </c>
      <c r="J98" s="7">
        <v>0</v>
      </c>
      <c r="K98" s="89" t="str">
        <f t="shared" si="25"/>
        <v>4029/4030</v>
      </c>
      <c r="L98" s="21" t="str">
        <f>VLOOKUP(A98,'Trips&amp;Operators'!$C$1:$G$99999,5,FALSE)</f>
        <v>NEWELL JAMES</v>
      </c>
      <c r="M98" s="6">
        <f t="shared" si="26"/>
        <v>2.453703703940846E-2</v>
      </c>
      <c r="N98" s="7">
        <f t="shared" si="43"/>
        <v>35.333333336748183</v>
      </c>
      <c r="O98" s="7"/>
      <c r="P98" s="7"/>
      <c r="Q98" s="22"/>
      <c r="R98" s="170"/>
      <c r="S98" s="213">
        <f t="shared" si="42"/>
        <v>1</v>
      </c>
      <c r="T98" s="195" t="str">
        <f t="shared" si="28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-06-19T12:55:27-0600',mode:absolute,to:'2017-06-19T15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197" t="str">
        <f>IF(AA98&lt;VLOOKUP(AG98,Variables!$AC$3:$AD$8,2,FALSE),"Y","N")</f>
        <v>N</v>
      </c>
      <c r="X98" s="197">
        <f t="shared" si="41"/>
        <v>1</v>
      </c>
      <c r="Y98" s="197">
        <f t="shared" si="35"/>
        <v>4.6199999999999998E-2</v>
      </c>
      <c r="Z98" s="197">
        <f t="shared" si="36"/>
        <v>23.331</v>
      </c>
      <c r="AA98" s="197">
        <f t="shared" si="30"/>
        <v>23.284800000000001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1"/>
        <v>183</v>
      </c>
      <c r="AE98" s="77" t="str">
        <f t="shared" si="32"/>
        <v>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 &amp; aws s3 cp s3://rtdc.mdm.uploadarchive.raw/RTDC4030/ "%USERPROFILE%\AppData\Local\Temp\OnboardLogs"\RTDC4030\2017-06-20 --exclude "*" --recursive --include "*20170620*" &amp; "%USERPROFILE%\Documents\GitHub\mrs-test-scripts\Headless Mode &amp; Sideloading\WalkAndUnGZ.bat" "%USERPROFILE%\AppData\Local\Temp\OnboardLogs"\RTDC4030\2017-06-20</v>
      </c>
      <c r="AF98" s="74" t="str">
        <f t="shared" si="33"/>
        <v>"C:\Program Files (x86)\AstroGrep\AstroGrep.exe" /e /r /s /spath="%USERPROFILE%\AppData\Local\Temp\OnboardLogs" /stypes="app*4030*20170619*" /stext=" 20:.+((SYSTEM_STATE.+slice.+state.+changed )|(ment ac)|(multiple cpu faults)|(system.+state.+changed )|(\[timeout)|(PRM\|1\|D)|(kpr)|(kdp)|(train st.+moving)|(\|lc)|(penalty))"</v>
      </c>
      <c r="AG98" s="209" t="str">
        <f t="shared" si="34"/>
        <v>EC</v>
      </c>
      <c r="AH98" s="78" t="str">
        <f t="shared" si="37"/>
        <v>"%USERPROFILE%\Documents\GitHub\eaglep3\Utilities\RefineRTDCRunTimes.py" --tripid 183-19 --locoid 4030 --swversion DE.1.0.9.0 --startMP 204:462 --initTime 2017-06-19T13:55:27 --startdatetime 2017-06-19T14:00:14 --delay 0 --endMP 204:233310 --enddatetime 2017-06-19T14:35:34 --enforcementcount 0 &gt;&gt;C:\Users\stu\Documents\GitHub\eaglep3-reporting\EC\2017-06-19-refined-times.txt</v>
      </c>
      <c r="AI9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{"issue":{"subject":"","project_id":79,"tracker_id":40,"status_id":1,"priority_id":2,"assigned_to_id":23,"start_date":"2017-06-19","description":"","custom_fields":[{"id":1,"name":"Subdivision","value":"EC"},{"id":4,"name":"Milepost","value":"23.331"},{"id":17,"name":"Train ID","value":"183-19"},{"id":16,"name":"Locomotive ID","value":"4030"},{"id":130,"name":"Impact","value":""},{"id":150,"name":"Time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4030 --day 2017-06-19</v>
      </c>
      <c r="AN9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788</v>
      </c>
      <c r="B99" s="7">
        <v>4029</v>
      </c>
      <c r="C99" s="21" t="s">
        <v>202</v>
      </c>
      <c r="D99" s="21" t="s">
        <v>914</v>
      </c>
      <c r="E99" s="13">
        <v>42905.613252314812</v>
      </c>
      <c r="F99" s="13">
        <v>42905.623067129629</v>
      </c>
      <c r="G99" s="7">
        <v>1</v>
      </c>
      <c r="H99" s="21" t="s">
        <v>356</v>
      </c>
      <c r="I99" s="13">
        <v>42905.648657407408</v>
      </c>
      <c r="J99" s="7">
        <v>0</v>
      </c>
      <c r="K99" s="89" t="str">
        <f t="shared" si="25"/>
        <v>4029/4030</v>
      </c>
      <c r="L99" s="21" t="str">
        <f>VLOOKUP(A99,'Trips&amp;Operators'!$C$1:$G$99999,5,FALSE)</f>
        <v>NEWELL JAMES</v>
      </c>
      <c r="M99" s="6">
        <f t="shared" si="26"/>
        <v>2.5590277778974269E-2</v>
      </c>
      <c r="N99" s="7">
        <f t="shared" si="43"/>
        <v>36.850000001722947</v>
      </c>
      <c r="O99" s="7"/>
      <c r="P99" s="7"/>
      <c r="Q99" s="22"/>
      <c r="R99" s="170"/>
      <c r="S99" s="213">
        <f t="shared" si="42"/>
        <v>1</v>
      </c>
      <c r="T99" s="195" t="str">
        <f t="shared" si="28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-06-19T13:43:05-0600',mode:absolute,to:'2017-06-19T16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97" t="str">
        <f>IF(AA99&lt;VLOOKUP(AG99,Variables!$AC$3:$AD$8,2,FALSE),"Y","N")</f>
        <v>N</v>
      </c>
      <c r="X99" s="197">
        <f t="shared" si="41"/>
        <v>1</v>
      </c>
      <c r="Y99" s="197">
        <f t="shared" si="35"/>
        <v>23.298500000000001</v>
      </c>
      <c r="Z99" s="197">
        <f t="shared" si="36"/>
        <v>1.3899999999999999E-2</v>
      </c>
      <c r="AA99" s="197">
        <f t="shared" si="30"/>
        <v>23.284600000000001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1"/>
        <v>184</v>
      </c>
      <c r="AE99" s="77" t="str">
        <f t="shared" si="32"/>
        <v>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 &amp; aws s3 cp s3://rtdc.mdm.uploadarchive.raw/RTDC4029/ "%USERPROFILE%\AppData\Local\Temp\OnboardLogs"\RTDC4029\2017-06-20 --exclude "*" --recursive --include "*20170620*" &amp; "%USERPROFILE%\Documents\GitHub\mrs-test-scripts\Headless Mode &amp; Sideloading\WalkAndUnGZ.bat" "%USERPROFILE%\AppData\Local\Temp\OnboardLogs"\RTDC4029\2017-06-20</v>
      </c>
      <c r="AF99" s="74" t="str">
        <f t="shared" si="33"/>
        <v>"C:\Program Files (x86)\AstroGrep\AstroGrep.exe" /e /r /s /spath="%USERPROFILE%\AppData\Local\Temp\OnboardLogs" /stypes="app*4029*20170619*" /stext=" 21:.+((SYSTEM_STATE.+slice.+state.+changed )|(ment ac)|(multiple cpu faults)|(system.+state.+changed )|(\[timeout)|(PRM\|1\|D)|(kpr)|(kdp)|(train st.+moving)|(\|lc)|(penalty))"</v>
      </c>
      <c r="AG99" s="209" t="str">
        <f t="shared" si="34"/>
        <v>EC</v>
      </c>
      <c r="AH99" s="78" t="str">
        <f t="shared" si="37"/>
        <v>"%USERPROFILE%\Documents\GitHub\eaglep3\Utilities\RefineRTDCRunTimes.py" --tripid 184-19 --locoid 4029 --swversion DE.1.0.9.0 --startMP 204:232985 --initTime 2017-06-19T14:43:05 --startdatetime 2017-06-19T14:57:13 --delay 1 --endMP 204:139 --enddatetime 2017-06-19T15:34:04 --enforcementcount 0 &gt;&gt;C:\Users\stu\Documents\GitHub\eaglep3-reporting\EC\2017-06-19-refined-times.txt</v>
      </c>
      <c r="AI9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{"issue":{"subject":"","project_id":79,"tracker_id":40,"status_id":1,"priority_id":2,"assigned_to_id":23,"start_date":"2017-06-19","description":"","custom_fields":[{"id":1,"name":"Subdivision","value":"EC"},{"id":4,"name":"Milepost","value":"0.0139"},{"id":17,"name":"Train ID","value":"184-19"},{"id":16,"name":"Locomotive ID","value":"4029"},{"id":130,"name":"Impact","value":""},{"id":150,"name":"Time of Event (Mountain Time)","value":"15:34:04"},{"id":151,"name":"Denver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4029 --day 2017-06-19</v>
      </c>
      <c r="AN9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779</v>
      </c>
      <c r="B100" s="7">
        <v>4054</v>
      </c>
      <c r="C100" s="21" t="s">
        <v>202</v>
      </c>
      <c r="D100" s="21" t="s">
        <v>891</v>
      </c>
      <c r="E100" s="13">
        <v>42905.590543981481</v>
      </c>
      <c r="F100" s="13">
        <v>42905.593935185185</v>
      </c>
      <c r="G100" s="7">
        <v>1</v>
      </c>
      <c r="H100" s="21" t="s">
        <v>588</v>
      </c>
      <c r="I100" s="13">
        <v>42905.622349537036</v>
      </c>
      <c r="J100" s="7">
        <v>0</v>
      </c>
      <c r="K100" s="89" t="str">
        <f t="shared" si="25"/>
        <v>4053/4054</v>
      </c>
      <c r="L100" s="21" t="str">
        <f>VLOOKUP(A100,'Trips&amp;Operators'!$C$1:$G$99999,5,FALSE)</f>
        <v>SULLIVAN BRANDON</v>
      </c>
      <c r="M100" s="6">
        <f t="shared" si="26"/>
        <v>2.8414351851097308E-2</v>
      </c>
      <c r="N100" s="7">
        <f t="shared" si="43"/>
        <v>40.916666665580124</v>
      </c>
      <c r="O100" s="7"/>
      <c r="P100" s="7"/>
      <c r="Q100" s="22"/>
      <c r="R100" s="170"/>
      <c r="S100" s="213">
        <f t="shared" si="42"/>
        <v>1</v>
      </c>
      <c r="T100" s="195" t="str">
        <f t="shared" si="28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-06-19T13:10:23-0600',mode:absolute,to:'2017-06-19T15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97" t="str">
        <f>IF(AA100&lt;VLOOKUP(AG100,Variables!$AC$3:$AD$8,2,FALSE),"Y","N")</f>
        <v>N</v>
      </c>
      <c r="X100" s="197">
        <f t="shared" si="41"/>
        <v>1</v>
      </c>
      <c r="Y100" s="197">
        <f t="shared" si="35"/>
        <v>4.58E-2</v>
      </c>
      <c r="Z100" s="197">
        <f t="shared" si="36"/>
        <v>23.333600000000001</v>
      </c>
      <c r="AA100" s="197">
        <f t="shared" si="30"/>
        <v>23.287800000000001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1"/>
        <v>185</v>
      </c>
      <c r="AE100" s="77" t="str">
        <f t="shared" si="3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00" s="74" t="str">
        <f t="shared" si="33"/>
        <v>"C:\Program Files (x86)\AstroGrep\AstroGrep.exe" /e /r /s /spath="%USERPROFILE%\AppData\Local\Temp\OnboardLogs" /stypes="app*4054*20170619*" /stext=" 20:.+((SYSTEM_STATE.+slice.+state.+changed )|(ment ac)|(multiple cpu faults)|(system.+state.+changed )|(\[timeout)|(PRM\|1\|D)|(kpr)|(kdp)|(train st.+moving)|(\|lc)|(penalty))"</v>
      </c>
      <c r="AG100" s="209" t="str">
        <f t="shared" si="34"/>
        <v>EC</v>
      </c>
      <c r="AH100" s="78" t="str">
        <f t="shared" si="37"/>
        <v>"%USERPROFILE%\Documents\GitHub\eaglep3\Utilities\RefineRTDCRunTimes.py" --tripid 185-19 --locoid 4054 --swversion DE.1.0.9.0 --startMP 204:458 --initTime 2017-06-19T14:10:23 --startdatetime 2017-06-19T14:15:16 --delay 1 --endMP 204:233336 --enddatetime 2017-06-19T14:56:11 --enforcementcount 0 &gt;&gt;C:\Users\stu\Documents\GitHub\eaglep3-reporting\EC\2017-06-19-refined-times.txt</v>
      </c>
      <c r="AI10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{"issue":{"subject":"","project_id":79,"tracker_id":40,"status_id":1,"priority_id":2,"assigned_to_id":23,"start_date":"2017-06-19","description":"","custom_fields":[{"id":1,"name":"Subdivision","value":"EC"},{"id":4,"name":"Milepost","value":"23.3336"},{"id":17,"name":"Train ID","value":"185-19"},{"id":16,"name":"Locomotive ID","value":"4054"},{"id":130,"name":"Impact","value":""},{"id":150,"name":"Time of Event (Mountain Time)","value":"14:56:11"},{"id":151,"name":"Denver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4054 --day 2017-06-19</v>
      </c>
      <c r="AN10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789</v>
      </c>
      <c r="B101" s="7">
        <v>4053</v>
      </c>
      <c r="C101" s="21" t="s">
        <v>202</v>
      </c>
      <c r="D101" s="21" t="s">
        <v>915</v>
      </c>
      <c r="E101" s="13">
        <v>42905.626400462963</v>
      </c>
      <c r="F101" s="13">
        <v>42905.633530092593</v>
      </c>
      <c r="G101" s="7">
        <v>1</v>
      </c>
      <c r="H101" s="21" t="s">
        <v>419</v>
      </c>
      <c r="I101" s="13">
        <v>42905.660902777781</v>
      </c>
      <c r="J101" s="7">
        <v>0</v>
      </c>
      <c r="K101" s="89" t="str">
        <f t="shared" si="25"/>
        <v>4053/4054</v>
      </c>
      <c r="L101" s="21" t="str">
        <f>VLOOKUP(A101,'Trips&amp;Operators'!$C$1:$G$99999,5,FALSE)</f>
        <v>SULLIVAN BRANDON</v>
      </c>
      <c r="M101" s="6">
        <f t="shared" si="26"/>
        <v>2.7372685188311152E-2</v>
      </c>
      <c r="N101" s="7">
        <f t="shared" si="43"/>
        <v>39.416666671168059</v>
      </c>
      <c r="O101" s="7"/>
      <c r="P101" s="7"/>
      <c r="Q101" s="22"/>
      <c r="R101" s="170"/>
      <c r="S101" s="213">
        <f t="shared" si="42"/>
        <v>1</v>
      </c>
      <c r="T101" s="195" t="str">
        <f t="shared" si="28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-06-19T14:02:01-0600',mode:absolute,to:'2017-06-19T16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97" t="str">
        <f>IF(AA101&lt;VLOOKUP(AG101,Variables!$AC$3:$AD$8,2,FALSE),"Y","N")</f>
        <v>N</v>
      </c>
      <c r="X101" s="197">
        <f t="shared" si="41"/>
        <v>1</v>
      </c>
      <c r="Y101" s="197">
        <f t="shared" si="35"/>
        <v>23.3019</v>
      </c>
      <c r="Z101" s="197">
        <f t="shared" si="36"/>
        <v>1.4500000000000001E-2</v>
      </c>
      <c r="AA101" s="197">
        <f t="shared" si="30"/>
        <v>23.287399999999998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1"/>
        <v>186</v>
      </c>
      <c r="AE101" s="77" t="str">
        <f t="shared" si="3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01" s="74" t="str">
        <f t="shared" si="33"/>
        <v>"C:\Program Files (x86)\AstroGrep\AstroGrep.exe" /e /r /s /spath="%USERPROFILE%\AppData\Local\Temp\OnboardLogs" /stypes="app*4053*20170619*" /stext=" 21:.+((SYSTEM_STATE.+slice.+state.+changed )|(ment ac)|(multiple cpu faults)|(system.+state.+changed )|(\[timeout)|(PRM\|1\|D)|(kpr)|(kdp)|(train st.+moving)|(\|lc)|(penalty))"</v>
      </c>
      <c r="AG101" s="209" t="str">
        <f t="shared" si="34"/>
        <v>EC</v>
      </c>
      <c r="AH101" s="78" t="str">
        <f t="shared" si="37"/>
        <v>"%USERPROFILE%\Documents\GitHub\eaglep3\Utilities\RefineRTDCRunTimes.py" --tripid 186-19 --locoid 4053 --swversion DE.1.0.9.0 --startMP 204:233019 --initTime 2017-06-19T15:02:01 --startdatetime 2017-06-19T15:12:17 --delay 1 --endMP 204:145 --enddatetime 2017-06-19T15:51:42 --enforcementcount 0 &gt;&gt;C:\Users\stu\Documents\GitHub\eaglep3-reporting\EC\2017-06-19-refined-times.txt</v>
      </c>
      <c r="AI10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ID","value":"186-19"},{"id":16,"name":"Locomotive ID","value":"4053"},{"id":130,"name":"Impact","value":""},{"id":150,"name":"Time of Event (Mountain Time)","value":"15:51:42"},{"id":151,"name":"Denver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4053 --day 2017-06-19</v>
      </c>
      <c r="AN10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782</v>
      </c>
      <c r="B102" s="7">
        <v>4050</v>
      </c>
      <c r="C102" s="21" t="s">
        <v>202</v>
      </c>
      <c r="D102" s="21" t="s">
        <v>506</v>
      </c>
      <c r="E102" s="13">
        <v>42905.600856481484</v>
      </c>
      <c r="F102" s="13">
        <v>42905.604317129626</v>
      </c>
      <c r="G102" s="7">
        <v>1</v>
      </c>
      <c r="H102" s="21" t="s">
        <v>916</v>
      </c>
      <c r="I102" s="13">
        <v>42905.629502314812</v>
      </c>
      <c r="J102" s="7">
        <v>0</v>
      </c>
      <c r="K102" s="89" t="str">
        <f t="shared" si="25"/>
        <v>4049/4050</v>
      </c>
      <c r="L102" s="21" t="str">
        <f>VLOOKUP(A102,'Trips&amp;Operators'!$C$1:$G$99999,5,FALSE)</f>
        <v>MCREYNOLDS KYLE</v>
      </c>
      <c r="M102" s="6">
        <f t="shared" si="26"/>
        <v>2.5185185186273884E-2</v>
      </c>
      <c r="N102" s="7">
        <f t="shared" si="43"/>
        <v>36.266666668234393</v>
      </c>
      <c r="O102" s="7"/>
      <c r="P102" s="7"/>
      <c r="Q102" s="22"/>
      <c r="R102" s="170"/>
      <c r="S102" s="213">
        <f t="shared" si="42"/>
        <v>1</v>
      </c>
      <c r="T102" s="195" t="str">
        <f t="shared" si="28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-06-19T13:25:14-0600',mode:absolute,to:'2017-06-19T16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197" t="str">
        <f>IF(AA102&lt;VLOOKUP(AG102,Variables!$AC$3:$AD$8,2,FALSE),"Y","N")</f>
        <v>N</v>
      </c>
      <c r="X102" s="197">
        <f t="shared" si="41"/>
        <v>1</v>
      </c>
      <c r="Y102" s="197">
        <f t="shared" si="35"/>
        <v>4.5499999999999999E-2</v>
      </c>
      <c r="Z102" s="197">
        <f t="shared" si="36"/>
        <v>23.337599999999998</v>
      </c>
      <c r="AA102" s="197">
        <f t="shared" si="30"/>
        <v>23.292099999999998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1"/>
        <v>187</v>
      </c>
      <c r="AE102" s="77" t="str">
        <f t="shared" si="3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102" s="74" t="str">
        <f t="shared" si="33"/>
        <v>"C:\Program Files (x86)\AstroGrep\AstroGrep.exe" /e /r /s /spath="%USERPROFILE%\AppData\Local\Temp\OnboardLogs" /stypes="app*4050*20170619*" /stext=" 21:.+((SYSTEM_STATE.+slice.+state.+changed )|(ment ac)|(multiple cpu faults)|(system.+state.+changed )|(\[timeout)|(PRM\|1\|D)|(kpr)|(kdp)|(train st.+moving)|(\|lc)|(penalty))"</v>
      </c>
      <c r="AG102" s="209" t="str">
        <f t="shared" si="34"/>
        <v>EC</v>
      </c>
      <c r="AH102" s="78" t="str">
        <f t="shared" si="37"/>
        <v>"%USERPROFILE%\Documents\GitHub\eaglep3\Utilities\RefineRTDCRunTimes.py" --tripid 187-19 --locoid 4050 --swversion DE.1.0.9.0 --startMP 204:455 --initTime 2017-06-19T14:25:14 --startdatetime 2017-06-19T14:30:13 --delay 1 --endMP 204:233376 --enddatetime 2017-06-19T15:06:29 --enforcementcount 0 &gt;&gt;C:\Users\stu\Documents\GitHub\eaglep3-reporting\EC\2017-06-19-refined-times.txt</v>
      </c>
      <c r="AI102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{"issue":{"subject":"","project_id":79,"tracker_id":40,"status_id":1,"priority_id":2,"assigned_to_id":23,"start_date":"2017-06-19","description":"","custom_fields":[{"id":1,"name":"Subdivision","value":"EC"},{"id":4,"name":"Milepost","value":"23.3376"},{"id":17,"name":"Train ID","value":"187-19"},{"id":16,"name":"Locomotive ID","value":"4050"},{"id":130,"name":"Impact","value":""},{"id":150,"name":"Time of Event (Mountain Time)","value":"15:06:29"},{"id":151,"name":"Denver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4050 --day 2017-06-19</v>
      </c>
      <c r="AN10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793</v>
      </c>
      <c r="B103" s="7">
        <v>4049</v>
      </c>
      <c r="C103" s="21" t="s">
        <v>202</v>
      </c>
      <c r="D103" s="21" t="s">
        <v>917</v>
      </c>
      <c r="E103" s="13">
        <v>42905.638460648152</v>
      </c>
      <c r="F103" s="13">
        <v>42905.643946759257</v>
      </c>
      <c r="G103" s="7">
        <v>1</v>
      </c>
      <c r="H103" s="21" t="s">
        <v>349</v>
      </c>
      <c r="I103" s="13">
        <v>42905.670787037037</v>
      </c>
      <c r="J103" s="7">
        <v>0</v>
      </c>
      <c r="K103" s="89" t="str">
        <f t="shared" si="25"/>
        <v>4049/4050</v>
      </c>
      <c r="L103" s="21" t="str">
        <f>VLOOKUP(A103,'Trips&amp;Operators'!$C$1:$G$99999,5,FALSE)</f>
        <v>MCREYNOLDS KYLE</v>
      </c>
      <c r="M103" s="6">
        <f t="shared" si="26"/>
        <v>2.6840277780138422E-2</v>
      </c>
      <c r="N103" s="7">
        <f t="shared" si="43"/>
        <v>38.650000003399327</v>
      </c>
      <c r="O103" s="7"/>
      <c r="P103" s="7"/>
      <c r="Q103" s="22"/>
      <c r="R103" s="170"/>
      <c r="S103" s="213">
        <f t="shared" si="42"/>
        <v>1</v>
      </c>
      <c r="T103" s="195" t="str">
        <f t="shared" si="28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-06-19T14:19:23-0600',mode:absolute,to:'2017-06-19T17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197" t="str">
        <f>IF(AA103&lt;VLOOKUP(AG103,Variables!$AC$3:$AD$8,2,FALSE),"Y","N")</f>
        <v>N</v>
      </c>
      <c r="X103" s="197">
        <f t="shared" si="41"/>
        <v>1</v>
      </c>
      <c r="Y103" s="197">
        <f t="shared" si="35"/>
        <v>23.308299999999999</v>
      </c>
      <c r="Z103" s="197">
        <f t="shared" si="36"/>
        <v>1.49E-2</v>
      </c>
      <c r="AA103" s="197">
        <f t="shared" si="30"/>
        <v>23.293399999999998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1"/>
        <v>188</v>
      </c>
      <c r="AE103" s="77" t="str">
        <f t="shared" si="3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103" s="74" t="str">
        <f t="shared" si="33"/>
        <v>"C:\Program Files (x86)\AstroGrep\AstroGrep.exe" /e /r /s /spath="%USERPROFILE%\AppData\Local\Temp\OnboardLogs" /stypes="app*4049*20170619*" /stext=" 22:.+((SYSTEM_STATE.+slice.+state.+changed )|(ment ac)|(multiple cpu faults)|(system.+state.+changed )|(\[timeout)|(PRM\|1\|D)|(kpr)|(kdp)|(train st.+moving)|(\|lc)|(penalty))"</v>
      </c>
      <c r="AG103" s="209" t="str">
        <f t="shared" si="34"/>
        <v>EC</v>
      </c>
      <c r="AH103" s="78" t="str">
        <f t="shared" si="37"/>
        <v>"%USERPROFILE%\Documents\GitHub\eaglep3\Utilities\RefineRTDCRunTimes.py" --tripid 188-19 --locoid 4049 --swversion DE.1.0.9.0 --startMP 204:233083 --initTime 2017-06-19T15:19:23 --startdatetime 2017-06-19T15:27:17 --delay 1 --endMP 204:149 --enddatetime 2017-06-19T16:05:56 --enforcementcount 0 &gt;&gt;C:\Users\stu\Documents\GitHub\eaglep3-reporting\EC\2017-06-19-refined-times.txt</v>
      </c>
      <c r="AI10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ID","value":"188-19"},{"id":16,"name":"Locomotive ID","value":"4049"},{"id":130,"name":"Impact","value":""},{"id":150,"name":"Time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39"/>
        <v>start /low /b %USERPROFILE%\Documents\GitHub\eaglep3\Utilities\DownloadLogsFromS3.py --loco 4049 --day 2017-06-19</v>
      </c>
      <c r="AN103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786</v>
      </c>
      <c r="B104" s="7">
        <v>4018</v>
      </c>
      <c r="C104" s="21" t="s">
        <v>202</v>
      </c>
      <c r="D104" s="21" t="s">
        <v>199</v>
      </c>
      <c r="E104" s="13">
        <v>42905.608310185184</v>
      </c>
      <c r="F104" s="13">
        <v>42905.614907407406</v>
      </c>
      <c r="G104" s="7">
        <v>1</v>
      </c>
      <c r="H104" s="21" t="s">
        <v>535</v>
      </c>
      <c r="I104" s="13">
        <v>42905.640335648146</v>
      </c>
      <c r="J104" s="7">
        <v>0</v>
      </c>
      <c r="K104" s="89" t="str">
        <f t="shared" si="25"/>
        <v>4017/4018</v>
      </c>
      <c r="L104" s="21" t="str">
        <f>VLOOKUP(A104,'Trips&amp;Operators'!$C$1:$G$99999,5,FALSE)</f>
        <v>MOSES BRADLEY</v>
      </c>
      <c r="M104" s="6">
        <f t="shared" si="26"/>
        <v>2.5428240740438923E-2</v>
      </c>
      <c r="N104" s="7">
        <f t="shared" si="43"/>
        <v>36.616666666232049</v>
      </c>
      <c r="O104" s="7"/>
      <c r="P104" s="7"/>
      <c r="Q104" s="22"/>
      <c r="R104" s="170"/>
      <c r="S104" s="213">
        <f t="shared" si="42"/>
        <v>1</v>
      </c>
      <c r="T104" s="195" t="str">
        <f t="shared" si="28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-06-19T13:35:58-0600',mode:absolute,to:'2017-06-19T16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97" t="str">
        <f>IF(AA104&lt;VLOOKUP(AG104,Variables!$AC$3:$AD$8,2,FALSE),"Y","N")</f>
        <v>N</v>
      </c>
      <c r="X104" s="197">
        <f t="shared" si="41"/>
        <v>1</v>
      </c>
      <c r="Y104" s="197">
        <f t="shared" si="35"/>
        <v>4.5999999999999999E-2</v>
      </c>
      <c r="Z104" s="197">
        <f t="shared" si="36"/>
        <v>23.3324</v>
      </c>
      <c r="AA104" s="197">
        <f t="shared" si="30"/>
        <v>23.2864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1"/>
        <v>189</v>
      </c>
      <c r="AE104" s="77" t="str">
        <f t="shared" si="3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104" s="74" t="str">
        <f t="shared" si="33"/>
        <v>"C:\Program Files (x86)\AstroGrep\AstroGrep.exe" /e /r /s /spath="%USERPROFILE%\AppData\Local\Temp\OnboardLogs" /stypes="app*4018*20170619*" /stext=" 21:.+((SYSTEM_STATE.+slice.+state.+changed )|(ment ac)|(multiple cpu faults)|(system.+state.+changed )|(\[timeout)|(PRM\|1\|D)|(kpr)|(kdp)|(train st.+moving)|(\|lc)|(penalty))"</v>
      </c>
      <c r="AG104" s="209" t="str">
        <f t="shared" si="34"/>
        <v>EC</v>
      </c>
      <c r="AH104" s="78" t="str">
        <f t="shared" si="37"/>
        <v>"%USERPROFILE%\Documents\GitHub\eaglep3\Utilities\RefineRTDCRunTimes.py" --tripid 189-19 --locoid 4018 --swversion DE.1.0.9.0 --startMP 204:460 --initTime 2017-06-19T14:35:58 --startdatetime 2017-06-19T14:45:28 --delay 1 --endMP 204:233324 --enddatetime 2017-06-19T15:22:05 --enforcementcount 0 &gt;&gt;C:\Users\stu\Documents\GitHub\eaglep3-reporting\EC\2017-06-19-refined-times.txt</v>
      </c>
      <c r="AI10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{"issue":{"subject":"","project_id":79,"tracker_id":40,"status_id":1,"priority_id":2,"assigned_to_id":23,"start_date":"2017-06-19","description":"","custom_fields":[{"id":1,"name":"Subdivision","value":"EC"},{"id":4,"name":"Milepost","value":"23.3324"},{"id":17,"name":"Train ID","value":"189-19"},{"id":16,"name":"Locomotive ID","value":"4018"},{"id":130,"name":"Impact","value":""},{"id":150,"name":"Time of Event (Mountain Time)","value":"15:22:05"},{"id":151,"name":"Denver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4018 --day 2017-06-19</v>
      </c>
      <c r="AN10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795</v>
      </c>
      <c r="B105" s="7">
        <v>4017</v>
      </c>
      <c r="C105" s="21" t="s">
        <v>202</v>
      </c>
      <c r="D105" s="21" t="s">
        <v>615</v>
      </c>
      <c r="E105" s="13">
        <v>42905.652141203704</v>
      </c>
      <c r="F105" s="13">
        <v>42905.654409722221</v>
      </c>
      <c r="G105" s="7">
        <v>0</v>
      </c>
      <c r="H105" s="21" t="s">
        <v>348</v>
      </c>
      <c r="I105" s="13">
        <v>42905.680567129632</v>
      </c>
      <c r="J105" s="7">
        <v>0</v>
      </c>
      <c r="K105" s="89" t="str">
        <f t="shared" si="25"/>
        <v>4017/4018</v>
      </c>
      <c r="L105" s="21" t="str">
        <f>VLOOKUP(A105,'Trips&amp;Operators'!$C$1:$G$99999,5,FALSE)</f>
        <v>MOSES BRADLEY</v>
      </c>
      <c r="M105" s="6">
        <f t="shared" si="26"/>
        <v>2.6157407410209998E-2</v>
      </c>
      <c r="N105" s="7">
        <f t="shared" si="43"/>
        <v>37.666666670702398</v>
      </c>
      <c r="O105" s="7"/>
      <c r="P105" s="7"/>
      <c r="Q105" s="22"/>
      <c r="R105" s="170"/>
      <c r="S105" s="213">
        <f t="shared" si="42"/>
        <v>1</v>
      </c>
      <c r="T105" s="195" t="str">
        <f t="shared" si="28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-06-19T14:39:05-0600',mode:absolute,to:'2017-06-19T17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97" t="str">
        <f>IF(AA105&lt;VLOOKUP(AG105,Variables!$AC$3:$AD$8,2,FALSE),"Y","N")</f>
        <v>N</v>
      </c>
      <c r="X105" s="197">
        <f t="shared" si="41"/>
        <v>1</v>
      </c>
      <c r="Y105" s="197">
        <f t="shared" si="35"/>
        <v>23.3001</v>
      </c>
      <c r="Z105" s="197">
        <f t="shared" si="36"/>
        <v>1.4999999999999999E-2</v>
      </c>
      <c r="AA105" s="197">
        <f t="shared" si="30"/>
        <v>23.2851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1"/>
        <v>190</v>
      </c>
      <c r="AE105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105" s="74" t="str">
        <f t="shared" si="33"/>
        <v>"C:\Program Files (x86)\AstroGrep\AstroGrep.exe" /e /r /s /spath="%USERPROFILE%\AppData\Local\Temp\OnboardLogs" /stypes="app*4017*20170619*" /stext=" 22:.+((SYSTEM_STATE.+slice.+state.+changed )|(ment ac)|(multiple cpu faults)|(system.+state.+changed )|(\[timeout)|(PRM\|1\|D)|(kpr)|(kdp)|(train st.+moving)|(\|lc)|(penalty))"</v>
      </c>
      <c r="AG105" s="209" t="str">
        <f t="shared" si="34"/>
        <v>EC</v>
      </c>
      <c r="AH105" s="78" t="str">
        <f t="shared" si="37"/>
        <v>"%USERPROFILE%\Documents\GitHub\eaglep3\Utilities\RefineRTDCRunTimes.py" --tripid 190-19 --locoid 4017 --swversion DE.1.0.9.0 --startMP 204:233001 --initTime 2017-06-19T15:39:05 --startdatetime 2017-06-19T15:42:21 --delay 0 --endMP 204:150 --enddatetime 2017-06-19T16:20:01 --enforcementcount 0 &gt;&gt;C:\Users\stu\Documents\GitHub\eaglep3-reporting\EC\2017-06-19-refined-times.txt</v>
      </c>
      <c r="AI10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{"issue":{"subject":"","project_id":79,"tracker_id":40,"status_id":1,"priority_id":2,"assigned_to_id":23,"start_date":"2017-06-19","description":"","custom_fields":[{"id":1,"name":"Subdivision","value":"EC"},{"id":4,"name":"Milepost","value":"0.015"},{"id":17,"name":"Train ID","value":"190-19"},{"id":16,"name":"Locomotive ID","value":"4017"},{"id":130,"name":"Impact","value":""},{"id":150,"name":"Time of Event (Mountain Time)","value":"16:20:01"},{"id":151,"name":"Denver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4017 --day 2017-06-19</v>
      </c>
      <c r="AN10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640</v>
      </c>
      <c r="B106" s="7">
        <v>4044</v>
      </c>
      <c r="C106" s="21" t="s">
        <v>202</v>
      </c>
      <c r="D106" s="21" t="s">
        <v>343</v>
      </c>
      <c r="E106" s="13">
        <v>42905.626597222225</v>
      </c>
      <c r="F106" s="13">
        <v>42905.628101851849</v>
      </c>
      <c r="G106" s="7">
        <v>1</v>
      </c>
      <c r="H106" s="21" t="s">
        <v>918</v>
      </c>
      <c r="I106" s="13">
        <v>42905.651562500003</v>
      </c>
      <c r="J106" s="7">
        <v>0</v>
      </c>
      <c r="K106" s="89" t="str">
        <f t="shared" si="25"/>
        <v>4043/4044</v>
      </c>
      <c r="L106" s="21" t="str">
        <f>VLOOKUP(A106,'Trips&amp;Operators'!$C$1:$G$99999,5,FALSE)</f>
        <v>ROMERO CHAD</v>
      </c>
      <c r="M106" s="6">
        <f t="shared" si="26"/>
        <v>2.3460648153559305E-2</v>
      </c>
      <c r="N106" s="7">
        <f t="shared" si="43"/>
        <v>33.783333341125399</v>
      </c>
      <c r="O106" s="7"/>
      <c r="P106" s="7"/>
      <c r="Q106" s="22"/>
      <c r="R106" s="170"/>
      <c r="S106" s="213">
        <f t="shared" si="42"/>
        <v>1</v>
      </c>
      <c r="T106" s="195" t="str">
        <f t="shared" si="28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-06-19T14:02:18-0600',mode:absolute,to:'2017-06-19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197" t="str">
        <f>IF(AA106&lt;VLOOKUP(AG106,Variables!$AC$3:$AD$8,2,FALSE),"Y","N")</f>
        <v>N</v>
      </c>
      <c r="X106" s="197">
        <f t="shared" si="41"/>
        <v>1</v>
      </c>
      <c r="Y106" s="197">
        <f t="shared" si="35"/>
        <v>4.4900000000000002E-2</v>
      </c>
      <c r="Z106" s="197">
        <f t="shared" si="36"/>
        <v>23.338699999999999</v>
      </c>
      <c r="AA106" s="197">
        <f t="shared" si="30"/>
        <v>23.293800000000001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1"/>
        <v>191</v>
      </c>
      <c r="AE106" s="77" t="str">
        <f t="shared" si="3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06" s="74" t="str">
        <f t="shared" si="33"/>
        <v>"C:\Program Files (x86)\AstroGrep\AstroGrep.exe" /e /r /s /spath="%USERPROFILE%\AppData\Local\Temp\OnboardLogs" /stypes="app*4044*20170619*" /stext=" 21:.+((SYSTEM_STATE.+slice.+state.+changed )|(ment ac)|(multiple cpu faults)|(system.+state.+changed )|(\[timeout)|(PRM\|1\|D)|(kpr)|(kdp)|(train st.+moving)|(\|lc)|(penalty))"</v>
      </c>
      <c r="AG106" s="209" t="str">
        <f t="shared" si="34"/>
        <v>EC</v>
      </c>
      <c r="AH106" s="78" t="str">
        <f t="shared" si="37"/>
        <v>"%USERPROFILE%\Documents\GitHub\eaglep3\Utilities\RefineRTDCRunTimes.py" --tripid 191-19 --locoid 4044 --swversion DE.1.0.9.0 --startMP 204:449 --initTime 2017-06-19T15:02:18 --startdatetime 2017-06-19T15:04:28 --delay 1 --endMP 204:233387 --enddatetime 2017-06-19T15:38:15 --enforcementcount 0 &gt;&gt;C:\Users\stu\Documents\GitHub\eaglep3-reporting\EC\2017-06-19-refined-times.txt</v>
      </c>
      <c r="AI10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{"issue":{"subject":"","project_id":79,"tracker_id":40,"status_id":1,"priority_id":2,"assigned_to_id":23,"start_date":"2017-06-19","description":"","custom_fields":[{"id":1,"name":"Subdivision","value":"EC"},{"id":4,"name":"Milepost","value":"23.3387"},{"id":17,"name":"Train ID","value":"191-19"},{"id":16,"name":"Locomotive ID","value":"4044"},{"id":130,"name":"Impact","value":""},{"id":150,"name":"Time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4044 --day 2017-06-19</v>
      </c>
      <c r="AN10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798</v>
      </c>
      <c r="B107" s="7">
        <v>4043</v>
      </c>
      <c r="C107" s="21" t="s">
        <v>202</v>
      </c>
      <c r="D107" s="21" t="s">
        <v>919</v>
      </c>
      <c r="E107" s="13">
        <v>42905.653935185182</v>
      </c>
      <c r="F107" s="13">
        <v>42905.664780092593</v>
      </c>
      <c r="G107" s="7">
        <v>1</v>
      </c>
      <c r="H107" s="21" t="s">
        <v>356</v>
      </c>
      <c r="I107" s="13">
        <v>42905.690057870372</v>
      </c>
      <c r="J107" s="7">
        <v>0</v>
      </c>
      <c r="K107" s="89" t="str">
        <f t="shared" si="25"/>
        <v>4043/4044</v>
      </c>
      <c r="L107" s="21" t="str">
        <f>VLOOKUP(A107,'Trips&amp;Operators'!$C$1:$G$99999,5,FALSE)</f>
        <v>ROMERO CHAD</v>
      </c>
      <c r="M107" s="6">
        <f t="shared" si="26"/>
        <v>2.527777777868323E-2</v>
      </c>
      <c r="N107" s="7">
        <f t="shared" si="43"/>
        <v>36.400000001303852</v>
      </c>
      <c r="O107" s="7"/>
      <c r="P107" s="7"/>
      <c r="Q107" s="22"/>
      <c r="R107" s="170"/>
      <c r="S107" s="213">
        <f t="shared" si="42"/>
        <v>1</v>
      </c>
      <c r="T107" s="195" t="str">
        <f t="shared" si="28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-06-19T14:41:40-0600',mode:absolute,to:'2017-06-19T17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197" t="str">
        <f>IF(AA107&lt;VLOOKUP(AG107,Variables!$AC$3:$AD$8,2,FALSE),"Y","N")</f>
        <v>N</v>
      </c>
      <c r="X107" s="197">
        <f t="shared" si="41"/>
        <v>1</v>
      </c>
      <c r="Y107" s="197">
        <f t="shared" si="35"/>
        <v>23.309799999999999</v>
      </c>
      <c r="Z107" s="197">
        <f t="shared" si="36"/>
        <v>1.3899999999999999E-2</v>
      </c>
      <c r="AA107" s="197">
        <f t="shared" si="30"/>
        <v>23.2959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1"/>
        <v>192</v>
      </c>
      <c r="AE107" s="77" t="str">
        <f t="shared" si="3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107" s="74" t="str">
        <f t="shared" si="33"/>
        <v>"C:\Program Files (x86)\AstroGrep\AstroGrep.exe" /e /r /s /spath="%USERPROFILE%\AppData\Local\Temp\OnboardLogs" /stypes="app*4043*20170619*" /stext=" 22:.+((SYSTEM_STATE.+slice.+state.+changed )|(ment ac)|(multiple cpu faults)|(system.+state.+changed )|(\[timeout)|(PRM\|1\|D)|(kpr)|(kdp)|(train st.+moving)|(\|lc)|(penalty))"</v>
      </c>
      <c r="AG107" s="209" t="str">
        <f t="shared" si="34"/>
        <v>EC</v>
      </c>
      <c r="AH107" s="78" t="str">
        <f t="shared" si="37"/>
        <v>"%USERPROFILE%\Documents\GitHub\eaglep3\Utilities\RefineRTDCRunTimes.py" --tripid 192-19 --locoid 4043 --swversion DE.1.0.9.0 --startMP 204:233098 --initTime 2017-06-19T15:41:40 --startdatetime 2017-06-19T15:57:17 --delay 1 --endMP 204:139 --enddatetime 2017-06-19T16:33:41 --enforcementcount 0 &gt;&gt;C:\Users\stu\Documents\GitHub\eaglep3-reporting\EC\2017-06-19-refined-times.txt</v>
      </c>
      <c r="AI107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{"issue":{"subject":"","project_id":79,"tracker_id":40,"status_id":1,"priority_id":2,"assigned_to_id":23,"start_date":"2017-06-19","description":"","custom_fields":[{"id":1,"name":"Subdivision","value":"EC"},{"id":4,"name":"Milepost","value":"0.0139"},{"id":17,"name":"Train ID","value":"192-19"},{"id":16,"name":"Locomotive ID","value":"4043"},{"id":130,"name":"Impact","value":""},{"id":150,"name":"Time of Event (Mountain Time)","value":"16:33:41"},{"id":151,"name":"Denver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4043 --day 2017-06-19</v>
      </c>
      <c r="AN107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790</v>
      </c>
      <c r="B108" s="7">
        <v>4058</v>
      </c>
      <c r="C108" s="21" t="s">
        <v>202</v>
      </c>
      <c r="D108" s="21" t="s">
        <v>896</v>
      </c>
      <c r="E108" s="13">
        <v>42905.632187499999</v>
      </c>
      <c r="F108" s="13">
        <v>42905.635798611111</v>
      </c>
      <c r="G108" s="7">
        <v>1</v>
      </c>
      <c r="H108" s="21" t="s">
        <v>595</v>
      </c>
      <c r="I108" s="13">
        <v>42905.661261574074</v>
      </c>
      <c r="J108" s="7">
        <v>0</v>
      </c>
      <c r="K108" s="89" t="str">
        <f t="shared" si="25"/>
        <v>4057/4058</v>
      </c>
      <c r="L108" s="21" t="str">
        <f>VLOOKUP(A108,'Trips&amp;Operators'!$C$1:$G$99999,5,FALSE)</f>
        <v>ROBINSON KADDIBA</v>
      </c>
      <c r="M108" s="6">
        <f t="shared" si="26"/>
        <v>2.5462962963501923E-2</v>
      </c>
      <c r="N108" s="7">
        <f t="shared" si="43"/>
        <v>36.666666667442769</v>
      </c>
      <c r="O108" s="7"/>
      <c r="P108" s="7"/>
      <c r="Q108" s="22"/>
      <c r="R108" s="170"/>
      <c r="S108" s="213">
        <f t="shared" si="42"/>
        <v>1</v>
      </c>
      <c r="T108" s="195" t="str">
        <f t="shared" si="28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-06-19T14:10:21-0600',mode:absolute,to:'2017-06-19T16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8" s="197" t="str">
        <f>IF(AA108&lt;VLOOKUP(AG108,Variables!$AC$3:$AD$8,2,FALSE),"Y","N")</f>
        <v>N</v>
      </c>
      <c r="X108" s="197">
        <f t="shared" si="41"/>
        <v>1</v>
      </c>
      <c r="Y108" s="197">
        <f t="shared" si="35"/>
        <v>4.7300000000000002E-2</v>
      </c>
      <c r="Z108" s="197">
        <f t="shared" si="36"/>
        <v>23.3309</v>
      </c>
      <c r="AA108" s="197">
        <f t="shared" si="30"/>
        <v>23.2836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1"/>
        <v>193</v>
      </c>
      <c r="AE108" s="77" t="str">
        <f t="shared" si="32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108" s="74" t="str">
        <f t="shared" si="33"/>
        <v>"C:\Program Files (x86)\AstroGrep\AstroGrep.exe" /e /r /s /spath="%USERPROFILE%\AppData\Local\Temp\OnboardLogs" /stypes="app*4058*20170619*" /stext=" 21:.+((SYSTEM_STATE.+slice.+state.+changed )|(ment ac)|(multiple cpu faults)|(system.+state.+changed )|(\[timeout)|(PRM\|1\|D)|(kpr)|(kdp)|(train st.+moving)|(\|lc)|(penalty))"</v>
      </c>
      <c r="AG108" s="209" t="str">
        <f t="shared" si="34"/>
        <v>EC</v>
      </c>
      <c r="AH108" s="78" t="str">
        <f t="shared" si="37"/>
        <v>"%USERPROFILE%\Documents\GitHub\eaglep3\Utilities\RefineRTDCRunTimes.py" --tripid 193-19 --locoid 4058 --swversion DE.1.0.9.0 --startMP 204:473 --initTime 2017-06-19T15:10:21 --startdatetime 2017-06-19T15:15:33 --delay 1 --endMP 204:233309 --enddatetime 2017-06-19T15:52:13 --enforcementcount 0 &gt;&gt;C:\Users\stu\Documents\GitHub\eaglep3-reporting\EC\2017-06-19-refined-times.txt</v>
      </c>
      <c r="AI10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{"issue":{"subject":"","project_id":79,"tracker_id":40,"status_id":1,"priority_id":2,"assigned_to_id":23,"start_date":"2017-06-19","description":"","custom_fields":[{"id":1,"name":"Subdivision","value":"EC"},{"id":4,"name":"Milepost","value":"23.3309"},{"id":17,"name":"Train ID","value":"193-19"},{"id":16,"name":"Locomotive ID","value":"4058"},{"id":130,"name":"Impact","value":""},{"id":150,"name":"Time of Event (Mountain Time)","value":"15:52:13"},{"id":151,"name":"Denver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4058 --day 2017-06-19</v>
      </c>
      <c r="AN10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800</v>
      </c>
      <c r="B109" s="7">
        <v>4057</v>
      </c>
      <c r="C109" s="21" t="s">
        <v>202</v>
      </c>
      <c r="D109" s="21" t="s">
        <v>459</v>
      </c>
      <c r="E109" s="13">
        <v>42905.671666666669</v>
      </c>
      <c r="F109" s="13">
        <v>42905.675196759257</v>
      </c>
      <c r="G109" s="7">
        <v>1</v>
      </c>
      <c r="H109" s="21" t="s">
        <v>475</v>
      </c>
      <c r="I109" s="13">
        <v>42905.701944444445</v>
      </c>
      <c r="J109" s="7">
        <v>0</v>
      </c>
      <c r="K109" s="89" t="str">
        <f t="shared" si="25"/>
        <v>4057/4058</v>
      </c>
      <c r="L109" s="21" t="str">
        <f>VLOOKUP(A109,'Trips&amp;Operators'!$C$1:$G$99999,5,FALSE)</f>
        <v>ROBINSON KADDIBA</v>
      </c>
      <c r="M109" s="6">
        <f t="shared" si="26"/>
        <v>2.6747685187729076E-2</v>
      </c>
      <c r="N109" s="7">
        <f t="shared" si="43"/>
        <v>38.516666670329869</v>
      </c>
      <c r="O109" s="7"/>
      <c r="P109" s="7"/>
      <c r="Q109" s="22"/>
      <c r="R109" s="170"/>
      <c r="S109" s="213">
        <f t="shared" si="42"/>
        <v>1</v>
      </c>
      <c r="T109" s="195" t="str">
        <f t="shared" si="28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-06-19T15:07:12-0600',mode:absolute,to:'2017-06-19T17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9" s="197" t="str">
        <f>IF(AA109&lt;VLOOKUP(AG109,Variables!$AC$3:$AD$8,2,FALSE),"Y","N")</f>
        <v>N</v>
      </c>
      <c r="X109" s="197">
        <f t="shared" si="41"/>
        <v>1</v>
      </c>
      <c r="Y109" s="197">
        <f t="shared" si="35"/>
        <v>23.297499999999999</v>
      </c>
      <c r="Z109" s="197">
        <f t="shared" si="36"/>
        <v>1.6E-2</v>
      </c>
      <c r="AA109" s="197">
        <f t="shared" si="30"/>
        <v>23.281500000000001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1"/>
        <v>194</v>
      </c>
      <c r="AE109" s="77" t="str">
        <f t="shared" si="32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109" s="74" t="str">
        <f t="shared" si="33"/>
        <v>"C:\Program Files (x86)\AstroGrep\AstroGrep.exe" /e /r /s /spath="%USERPROFILE%\AppData\Local\Temp\OnboardLogs" /stypes="app*4057*20170619*" /stext=" 22:.+((SYSTEM_STATE.+slice.+state.+changed )|(ment ac)|(multiple cpu faults)|(system.+state.+changed )|(\[timeout)|(PRM\|1\|D)|(kpr)|(kdp)|(train st.+moving)|(\|lc)|(penalty))"</v>
      </c>
      <c r="AG109" s="209" t="str">
        <f t="shared" si="34"/>
        <v>EC</v>
      </c>
      <c r="AH109" s="78" t="str">
        <f t="shared" si="37"/>
        <v>"%USERPROFILE%\Documents\GitHub\eaglep3\Utilities\RefineRTDCRunTimes.py" --tripid 194-19 --locoid 4057 --swversion DE.1.0.9.0 --startMP 204:232975 --initTime 2017-06-19T16:07:12 --startdatetime 2017-06-19T16:12:17 --delay 1 --endMP 204:160 --enddatetime 2017-06-19T16:50:48 --enforcementcount 0 &gt;&gt;C:\Users\stu\Documents\GitHub\eaglep3-reporting\EC\2017-06-19-refined-times.txt</v>
      </c>
      <c r="AI10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{"issue":{"subject":"","project_id":79,"tracker_id":40,"status_id":1,"priority_id":2,"assigned_to_id":23,"start_date":"2017-06-19","description":"","custom_fields":[{"id":1,"name":"Subdivision","value":"EC"},{"id":4,"name":"Milepost","value":"0.016"},{"id":17,"name":"Train ID","value":"194-19"},{"id":16,"name":"Locomotive ID","value":"4057"},{"id":130,"name":"Impact","value":""},{"id":150,"name":"Time of Event (Mountain Time)","value":"16:50:48"},{"id":151,"name":"Denver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4057 --day 2017-06-19</v>
      </c>
      <c r="AN10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794</v>
      </c>
      <c r="B110" s="7">
        <v>4016</v>
      </c>
      <c r="C110" s="21" t="s">
        <v>202</v>
      </c>
      <c r="D110" s="21" t="s">
        <v>455</v>
      </c>
      <c r="E110" s="13">
        <v>42905.641944444447</v>
      </c>
      <c r="F110" s="13">
        <v>42905.646006944444</v>
      </c>
      <c r="G110" s="7">
        <v>1</v>
      </c>
      <c r="H110" s="21" t="s">
        <v>581</v>
      </c>
      <c r="I110" s="13">
        <v>42905.670659722222</v>
      </c>
      <c r="J110" s="7">
        <v>0</v>
      </c>
      <c r="K110" s="89" t="str">
        <f t="shared" si="25"/>
        <v>4015/4016</v>
      </c>
      <c r="L110" s="21" t="str">
        <f>VLOOKUP(A110,'Trips&amp;Operators'!$C$1:$G$99999,5,FALSE)</f>
        <v>BRUDER RICHARD</v>
      </c>
      <c r="M110" s="6">
        <f t="shared" si="26"/>
        <v>2.4652777778101154E-2</v>
      </c>
      <c r="N110" s="7">
        <f t="shared" si="43"/>
        <v>35.500000000465661</v>
      </c>
      <c r="O110" s="7"/>
      <c r="P110" s="7"/>
      <c r="Q110" s="22"/>
      <c r="R110" s="170"/>
      <c r="S110" s="213">
        <f t="shared" si="42"/>
        <v>1</v>
      </c>
      <c r="T110" s="195" t="str">
        <f t="shared" si="28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-06-19T14:24:24-0600',mode:absolute,to:'2017-06-19T17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97" t="str">
        <f>IF(AA110&lt;VLOOKUP(AG110,Variables!$AC$3:$AD$8,2,FALSE),"Y","N")</f>
        <v>N</v>
      </c>
      <c r="X110" s="197">
        <f t="shared" si="41"/>
        <v>1</v>
      </c>
      <c r="Y110" s="197">
        <f t="shared" si="35"/>
        <v>4.3999999999999997E-2</v>
      </c>
      <c r="Z110" s="197">
        <f t="shared" si="36"/>
        <v>23.333200000000001</v>
      </c>
      <c r="AA110" s="197">
        <f t="shared" si="30"/>
        <v>23.289200000000001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1"/>
        <v>195</v>
      </c>
      <c r="AE110" s="77" t="str">
        <f t="shared" si="3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10" s="74" t="str">
        <f t="shared" si="33"/>
        <v>"C:\Program Files (x86)\AstroGrep\AstroGrep.exe" /e /r /s /spath="%USERPROFILE%\AppData\Local\Temp\OnboardLogs" /stypes="app*4016*20170619*" /stext=" 22:.+((SYSTEM_STATE.+slice.+state.+changed )|(ment ac)|(multiple cpu faults)|(system.+state.+changed )|(\[timeout)|(PRM\|1\|D)|(kpr)|(kdp)|(train st.+moving)|(\|lc)|(penalty))"</v>
      </c>
      <c r="AG110" s="209" t="str">
        <f t="shared" si="34"/>
        <v>EC</v>
      </c>
      <c r="AH110" s="78" t="str">
        <f t="shared" si="37"/>
        <v>"%USERPROFILE%\Documents\GitHub\eaglep3\Utilities\RefineRTDCRunTimes.py" --tripid 195-19 --locoid 4016 --swversion DE.1.0.9.0 --startMP 204:440 --initTime 2017-06-19T15:24:24 --startdatetime 2017-06-19T15:30:15 --delay 1 --endMP 204:233332 --enddatetime 2017-06-19T16:05:45 --enforcementcount 0 &gt;&gt;C:\Users\stu\Documents\GitHub\eaglep3-reporting\EC\2017-06-19-refined-times.txt</v>
      </c>
      <c r="AI11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{"issue":{"subject":"","project_id":79,"tracker_id":40,"status_id":1,"priority_id":2,"assigned_to_id":23,"start_date":"2017-06-19","description":"","custom_fields":[{"id":1,"name":"Subdivision","value":"EC"},{"id":4,"name":"Milepost","value":"23.3332"},{"id":17,"name":"Train ID","value":"195-19"},{"id":16,"name":"Locomotive ID","value":"4016"},{"id":130,"name":"Impact","value":""},{"id":150,"name":"Time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4016 --day 2017-06-19</v>
      </c>
      <c r="AN11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802</v>
      </c>
      <c r="B111" s="7">
        <v>4015</v>
      </c>
      <c r="C111" s="21" t="s">
        <v>202</v>
      </c>
      <c r="D111" s="21" t="s">
        <v>585</v>
      </c>
      <c r="E111" s="13">
        <v>42905.677569444444</v>
      </c>
      <c r="F111" s="13">
        <v>42905.685601851852</v>
      </c>
      <c r="G111" s="7">
        <v>1</v>
      </c>
      <c r="H111" s="21" t="s">
        <v>395</v>
      </c>
      <c r="I111" s="13">
        <v>42905.711678240739</v>
      </c>
      <c r="J111" s="7">
        <v>0</v>
      </c>
      <c r="K111" s="89" t="str">
        <f t="shared" si="25"/>
        <v>4015/4016</v>
      </c>
      <c r="L111" s="21" t="str">
        <f>VLOOKUP(A111,'Trips&amp;Operators'!$C$1:$G$99999,5,FALSE)</f>
        <v>BRUDER RICHARD</v>
      </c>
      <c r="M111" s="6">
        <f t="shared" si="26"/>
        <v>2.6076388887304347E-2</v>
      </c>
      <c r="N111" s="7">
        <f t="shared" si="43"/>
        <v>37.54999999771826</v>
      </c>
      <c r="O111" s="7"/>
      <c r="P111" s="7"/>
      <c r="Q111" s="22"/>
      <c r="R111" s="170"/>
      <c r="S111" s="213">
        <f t="shared" si="42"/>
        <v>1</v>
      </c>
      <c r="T111" s="195" t="str">
        <f t="shared" si="28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-06-19T15:15:42-0600',mode:absolute,to:'2017-06-19T18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197" t="str">
        <f>IF(AA111&lt;VLOOKUP(AG111,Variables!$AC$3:$AD$8,2,FALSE),"Y","N")</f>
        <v>N</v>
      </c>
      <c r="X111" s="197">
        <f t="shared" si="41"/>
        <v>1</v>
      </c>
      <c r="Y111" s="197">
        <f t="shared" si="35"/>
        <v>23.301300000000001</v>
      </c>
      <c r="Z111" s="197">
        <f t="shared" si="36"/>
        <v>1.54E-2</v>
      </c>
      <c r="AA111" s="197">
        <f t="shared" si="30"/>
        <v>23.285900000000002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1"/>
        <v>196</v>
      </c>
      <c r="AE111" s="77" t="str">
        <f t="shared" si="3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11" s="74" t="str">
        <f t="shared" si="33"/>
        <v>"C:\Program Files (x86)\AstroGrep\AstroGrep.exe" /e /r /s /spath="%USERPROFILE%\AppData\Local\Temp\OnboardLogs" /stypes="app*4015*20170619*" /stext=" 23:.+((SYSTEM_STATE.+slice.+state.+changed )|(ment ac)|(multiple cpu faults)|(system.+state.+changed )|(\[timeout)|(PRM\|1\|D)|(kpr)|(kdp)|(train st.+moving)|(\|lc)|(penalty))"</v>
      </c>
      <c r="AG111" s="209" t="str">
        <f t="shared" si="34"/>
        <v>EC</v>
      </c>
      <c r="AH111" s="78" t="str">
        <f t="shared" si="37"/>
        <v>"%USERPROFILE%\Documents\GitHub\eaglep3\Utilities\RefineRTDCRunTimes.py" --tripid 196-19 --locoid 4015 --swversion DE.1.0.9.0 --startMP 204:233013 --initTime 2017-06-19T16:15:42 --startdatetime 2017-06-19T16:27:16 --delay 1 --endMP 204:154 --enddatetime 2017-06-19T17:04:49 --enforcementcount 0 &gt;&gt;C:\Users\stu\Documents\GitHub\eaglep3-reporting\EC\2017-06-19-refined-times.txt</v>
      </c>
      <c r="AI11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ID","value":"196-19"},{"id":16,"name":"Locomotive ID","value":"4015"},{"id":130,"name":"Impact","value":""},{"id":150,"name":"Time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4015 --day 2017-06-19</v>
      </c>
      <c r="AN11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796</v>
      </c>
      <c r="B112" s="7">
        <v>4030</v>
      </c>
      <c r="C112" s="21" t="s">
        <v>202</v>
      </c>
      <c r="D112" s="21" t="s">
        <v>352</v>
      </c>
      <c r="E112" s="13">
        <v>42905.651875000003</v>
      </c>
      <c r="F112" s="13">
        <v>42905.656388888892</v>
      </c>
      <c r="G112" s="7">
        <v>1</v>
      </c>
      <c r="H112" s="21" t="s">
        <v>595</v>
      </c>
      <c r="I112" s="13">
        <v>42905.683009259257</v>
      </c>
      <c r="J112" s="7">
        <v>0</v>
      </c>
      <c r="K112" s="89" t="str">
        <f t="shared" si="25"/>
        <v>4029/4030</v>
      </c>
      <c r="L112" s="21" t="str">
        <f>VLOOKUP(A112,'Trips&amp;Operators'!$C$1:$G$99999,5,FALSE)</f>
        <v>BRANDNER MELINDA</v>
      </c>
      <c r="M112" s="6">
        <f t="shared" si="26"/>
        <v>2.6620370364980772E-2</v>
      </c>
      <c r="N112" s="7">
        <f t="shared" si="43"/>
        <v>38.333333325572312</v>
      </c>
      <c r="O112" s="7"/>
      <c r="P112" s="7"/>
      <c r="Q112" s="22"/>
      <c r="R112" s="170"/>
      <c r="S112" s="213">
        <f t="shared" si="42"/>
        <v>1</v>
      </c>
      <c r="T112" s="195" t="str">
        <f t="shared" si="28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-06-19T14:38:42-0600',mode:absolute,to:'2017-06-19T17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97" t="str">
        <f>IF(AA112&lt;VLOOKUP(AG112,Variables!$AC$3:$AD$8,2,FALSE),"Y","N")</f>
        <v>N</v>
      </c>
      <c r="X112" s="197">
        <f t="shared" si="41"/>
        <v>1</v>
      </c>
      <c r="Y112" s="197">
        <f t="shared" si="35"/>
        <v>4.5100000000000001E-2</v>
      </c>
      <c r="Z112" s="197">
        <f t="shared" si="36"/>
        <v>23.3309</v>
      </c>
      <c r="AA112" s="197">
        <f t="shared" si="30"/>
        <v>23.285799999999998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1"/>
        <v>197</v>
      </c>
      <c r="AE112" s="77" t="str">
        <f t="shared" si="32"/>
        <v>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 &amp; aws s3 cp s3://rtdc.mdm.uploadarchive.raw/RTDC4030/ "%USERPROFILE%\AppData\Local\Temp\OnboardLogs"\RTDC4030\2017-06-20 --exclude "*" --recursive --include "*20170620*" &amp; "%USERPROFILE%\Documents\GitHub\mrs-test-scripts\Headless Mode &amp; Sideloading\WalkAndUnGZ.bat" "%USERPROFILE%\AppData\Local\Temp\OnboardLogs"\RTDC4030\2017-06-20</v>
      </c>
      <c r="AF112" s="74" t="str">
        <f t="shared" si="33"/>
        <v>"C:\Program Files (x86)\AstroGrep\AstroGrep.exe" /e /r /s /spath="%USERPROFILE%\AppData\Local\Temp\OnboardLogs" /stypes="app*4030*20170619*" /stext=" 22:.+((SYSTEM_STATE.+slice.+state.+changed )|(ment ac)|(multiple cpu faults)|(system.+state.+changed )|(\[timeout)|(PRM\|1\|D)|(kpr)|(kdp)|(train st.+moving)|(\|lc)|(penalty))"</v>
      </c>
      <c r="AG112" s="209" t="str">
        <f t="shared" si="34"/>
        <v>EC</v>
      </c>
      <c r="AH112" s="78" t="str">
        <f t="shared" si="37"/>
        <v>"%USERPROFILE%\Documents\GitHub\eaglep3\Utilities\RefineRTDCRunTimes.py" --tripid 197-19 --locoid 4030 --swversion DE.1.0.9.0 --startMP 204:451 --initTime 2017-06-19T15:38:42 --startdatetime 2017-06-19T15:45:12 --delay 1 --endMP 204:233309 --enddatetime 2017-06-19T16:23:32 --enforcementcount 0 &gt;&gt;C:\Users\stu\Documents\GitHub\eaglep3-reporting\EC\2017-06-19-refined-times.txt</v>
      </c>
      <c r="AI112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{"issue":{"subject":"","project_id":79,"tracker_id":40,"status_id":1,"priority_id":2,"assigned_to_id":23,"start_date":"2017-06-19","description":"","custom_fields":[{"id":1,"name":"Subdivision","value":"EC"},{"id":4,"name":"Milepost","value":"23.3309"},{"id":17,"name":"Train ID","value":"197-19"},{"id":16,"name":"Locomotive ID","value":"4030"},{"id":130,"name":"Impact","value":""},{"id":150,"name":"Time of Event (Mountain Time)","value":"16:23:32"},{"id":151,"name":"Denver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4030 --day 2017-06-19</v>
      </c>
      <c r="AN11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806</v>
      </c>
      <c r="B113" s="7">
        <v>4029</v>
      </c>
      <c r="C113" s="21" t="s">
        <v>202</v>
      </c>
      <c r="D113" s="21" t="s">
        <v>539</v>
      </c>
      <c r="E113" s="13">
        <v>42905.693749999999</v>
      </c>
      <c r="F113" s="13">
        <v>42905.696064814816</v>
      </c>
      <c r="G113" s="7">
        <v>1</v>
      </c>
      <c r="H113" s="21" t="s">
        <v>419</v>
      </c>
      <c r="I113" s="13">
        <v>42905.724652777775</v>
      </c>
      <c r="J113" s="7">
        <v>0</v>
      </c>
      <c r="K113" s="89" t="str">
        <f t="shared" si="25"/>
        <v>4029/4030</v>
      </c>
      <c r="L113" s="21" t="str">
        <f>VLOOKUP(A113,'Trips&amp;Operators'!$C$1:$G$99999,5,FALSE)</f>
        <v>BRANDNER MELINDA</v>
      </c>
      <c r="M113" s="6">
        <f t="shared" si="26"/>
        <v>2.8587962959136348E-2</v>
      </c>
      <c r="N113" s="7">
        <f t="shared" si="43"/>
        <v>41.166666661156341</v>
      </c>
      <c r="O113" s="7"/>
      <c r="P113" s="7"/>
      <c r="Q113" s="22"/>
      <c r="R113" s="170"/>
      <c r="S113" s="213">
        <f t="shared" si="42"/>
        <v>1</v>
      </c>
      <c r="T113" s="195" t="str">
        <f t="shared" si="28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-06-19T15:39:00-0600',mode:absolute,to:'2017-06-19T18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97" t="str">
        <f>IF(AA113&lt;VLOOKUP(AG113,Variables!$AC$3:$AD$8,2,FALSE),"Y","N")</f>
        <v>N</v>
      </c>
      <c r="X113" s="197">
        <f t="shared" si="41"/>
        <v>1</v>
      </c>
      <c r="Y113" s="197">
        <f t="shared" si="35"/>
        <v>23.2988</v>
      </c>
      <c r="Z113" s="197">
        <f t="shared" si="36"/>
        <v>1.4500000000000001E-2</v>
      </c>
      <c r="AA113" s="197">
        <f t="shared" si="30"/>
        <v>23.284299999999998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1"/>
        <v>198</v>
      </c>
      <c r="AE113" s="77" t="str">
        <f t="shared" si="32"/>
        <v>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 &amp; aws s3 cp s3://rtdc.mdm.uploadarchive.raw/RTDC4029/ "%USERPROFILE%\AppData\Local\Temp\OnboardLogs"\RTDC4029\2017-06-20 --exclude "*" --recursive --include "*20170620*" &amp; "%USERPROFILE%\Documents\GitHub\mrs-test-scripts\Headless Mode &amp; Sideloading\WalkAndUnGZ.bat" "%USERPROFILE%\AppData\Local\Temp\OnboardLogs"\RTDC4029\2017-06-20</v>
      </c>
      <c r="AF113" s="74" t="str">
        <f t="shared" si="33"/>
        <v>"C:\Program Files (x86)\AstroGrep\AstroGrep.exe" /e /r /s /spath="%USERPROFILE%\AppData\Local\Temp\OnboardLogs" /stypes="app*4029*20170619*" /stext=" 23:.+((SYSTEM_STATE.+slice.+state.+changed )|(ment ac)|(multiple cpu faults)|(system.+state.+changed )|(\[timeout)|(PRM\|1\|D)|(kpr)|(kdp)|(train st.+moving)|(\|lc)|(penalty))"</v>
      </c>
      <c r="AG113" s="209" t="str">
        <f t="shared" si="34"/>
        <v>EC</v>
      </c>
      <c r="AH113" s="78" t="str">
        <f t="shared" si="37"/>
        <v>"%USERPROFILE%\Documents\GitHub\eaglep3\Utilities\RefineRTDCRunTimes.py" --tripid 198-19 --locoid 4029 --swversion DE.1.0.9.0 --startMP 204:232988 --initTime 2017-06-19T16:39:00 --startdatetime 2017-06-19T16:42:20 --delay 1 --endMP 204:145 --enddatetime 2017-06-19T17:23:30 --enforcementcount 0 &gt;&gt;C:\Users\stu\Documents\GitHub\eaglep3-reporting\EC\2017-06-19-refined-times.txt</v>
      </c>
      <c r="AI11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ID","value":"198-19"},{"id":16,"name":"Locomotive ID","value":"4029"},{"id":130,"name":"Impact","value":""},{"id":150,"name":"Time of Event (Mountain Time)","value":"17:23:30"},{"id":151,"name":"Denver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4029 --day 2017-06-19</v>
      </c>
      <c r="AN113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799</v>
      </c>
      <c r="B114" s="7">
        <v>4054</v>
      </c>
      <c r="C114" s="21" t="s">
        <v>202</v>
      </c>
      <c r="D114" s="21" t="s">
        <v>891</v>
      </c>
      <c r="E114" s="13">
        <v>42905.662442129629</v>
      </c>
      <c r="F114" s="13">
        <v>42905.66710648148</v>
      </c>
      <c r="G114" s="7">
        <v>1</v>
      </c>
      <c r="H114" s="21" t="s">
        <v>920</v>
      </c>
      <c r="I114" s="13">
        <v>42905.692361111112</v>
      </c>
      <c r="J114" s="7">
        <v>0</v>
      </c>
      <c r="K114" s="89" t="str">
        <f t="shared" si="25"/>
        <v>4053/4054</v>
      </c>
      <c r="L114" s="21" t="str">
        <f>VLOOKUP(A114,'Trips&amp;Operators'!$C$1:$G$99999,5,FALSE)</f>
        <v>SULLIVAN BRANDON</v>
      </c>
      <c r="M114" s="6">
        <f t="shared" si="26"/>
        <v>2.5254629632399883E-2</v>
      </c>
      <c r="N114" s="7">
        <f t="shared" si="43"/>
        <v>36.366666670655832</v>
      </c>
      <c r="O114" s="7"/>
      <c r="P114" s="7"/>
      <c r="Q114" s="22"/>
      <c r="R114" s="170"/>
      <c r="S114" s="213">
        <f t="shared" si="42"/>
        <v>1</v>
      </c>
      <c r="T114" s="195" t="str">
        <f t="shared" si="28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-06-19T14:53:55-0600',mode:absolute,to:'2017-06-19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197" t="str">
        <f>IF(AA114&lt;VLOOKUP(AG114,Variables!$AC$3:$AD$8,2,FALSE),"Y","N")</f>
        <v>N</v>
      </c>
      <c r="X114" s="197">
        <f t="shared" si="41"/>
        <v>1</v>
      </c>
      <c r="Y114" s="197">
        <f t="shared" si="35"/>
        <v>4.58E-2</v>
      </c>
      <c r="Z114" s="197">
        <f t="shared" si="36"/>
        <v>23.334399999999999</v>
      </c>
      <c r="AA114" s="197">
        <f t="shared" si="30"/>
        <v>23.288599999999999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1"/>
        <v>199</v>
      </c>
      <c r="AE114" s="77" t="str">
        <f t="shared" si="3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14" s="74" t="str">
        <f t="shared" si="33"/>
        <v>"C:\Program Files (x86)\AstroGrep\AstroGrep.exe" /e /r /s /spath="%USERPROFILE%\AppData\Local\Temp\OnboardLogs" /stypes="app*4054*20170619*" /stext=" 22:.+((SYSTEM_STATE.+slice.+state.+changed )|(ment ac)|(multiple cpu faults)|(system.+state.+changed )|(\[timeout)|(PRM\|1\|D)|(kpr)|(kdp)|(train st.+moving)|(\|lc)|(penalty))"</v>
      </c>
      <c r="AG114" s="209" t="str">
        <f t="shared" si="34"/>
        <v>EC</v>
      </c>
      <c r="AH114" s="78" t="str">
        <f t="shared" si="37"/>
        <v>"%USERPROFILE%\Documents\GitHub\eaglep3\Utilities\RefineRTDCRunTimes.py" --tripid 199-19 --locoid 4054 --swversion DE.1.0.9.0 --startMP 204:458 --initTime 2017-06-19T15:53:55 --startdatetime 2017-06-19T16:00:38 --delay 1 --endMP 204:233344 --enddatetime 2017-06-19T16:37:00 --enforcementcount 0 &gt;&gt;C:\Users\stu\Documents\GitHub\eaglep3-reporting\EC\2017-06-19-refined-times.txt</v>
      </c>
      <c r="AI11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{"issue":{"subject":"","project_id":79,"tracker_id":40,"status_id":1,"priority_id":2,"assigned_to_id":23,"start_date":"2017-06-19","description":"","custom_fields":[{"id":1,"name":"Subdivision","value":"EC"},{"id":4,"name":"Milepost","value":"23.3344"},{"id":17,"name":"Train ID","value":"199-19"},{"id":16,"name":"Locomotive ID","value":"4054"},{"id":130,"name":"Impact","value":""},{"id":150,"name":"Time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4054 --day 2017-06-19</v>
      </c>
      <c r="AN11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807</v>
      </c>
      <c r="B115" s="7">
        <v>4053</v>
      </c>
      <c r="C115" s="21" t="s">
        <v>202</v>
      </c>
      <c r="D115" s="21" t="s">
        <v>921</v>
      </c>
      <c r="E115" s="13">
        <v>42905.698912037034</v>
      </c>
      <c r="F115" s="13">
        <v>42905.706423611111</v>
      </c>
      <c r="G115" s="7">
        <v>1</v>
      </c>
      <c r="H115" s="21" t="s">
        <v>395</v>
      </c>
      <c r="I115" s="13">
        <v>42905.735925925925</v>
      </c>
      <c r="J115" s="7">
        <v>0</v>
      </c>
      <c r="K115" s="89" t="str">
        <f t="shared" si="25"/>
        <v>4053/4054</v>
      </c>
      <c r="L115" s="21" t="str">
        <f>VLOOKUP(A115,'Trips&amp;Operators'!$C$1:$G$99999,5,FALSE)</f>
        <v>SULLIVAN BRANDON</v>
      </c>
      <c r="M115" s="6">
        <f t="shared" si="26"/>
        <v>2.9502314813726116E-2</v>
      </c>
      <c r="N115" s="7">
        <f t="shared" si="43"/>
        <v>42.483333331765607</v>
      </c>
      <c r="O115" s="7"/>
      <c r="P115" s="7"/>
      <c r="Q115" s="22"/>
      <c r="R115" s="170"/>
      <c r="S115" s="213">
        <f t="shared" si="42"/>
        <v>1</v>
      </c>
      <c r="T115" s="195" t="str">
        <f t="shared" si="28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-06-19T15:46:26-0600',mode:absolute,to:'2017-06-19T18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197" t="str">
        <f>IF(AA115&lt;VLOOKUP(AG115,Variables!$AC$3:$AD$8,2,FALSE),"Y","N")</f>
        <v>N</v>
      </c>
      <c r="X115" s="197">
        <f t="shared" si="41"/>
        <v>1</v>
      </c>
      <c r="Y115" s="197">
        <f t="shared" si="35"/>
        <v>23.3032</v>
      </c>
      <c r="Z115" s="197">
        <f t="shared" si="36"/>
        <v>1.54E-2</v>
      </c>
      <c r="AA115" s="197">
        <f t="shared" si="30"/>
        <v>23.287800000000001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1"/>
        <v>200</v>
      </c>
      <c r="AE115" s="77" t="str">
        <f t="shared" si="3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15" s="74" t="str">
        <f t="shared" si="33"/>
        <v>"C:\Program Files (x86)\AstroGrep\AstroGrep.exe" /e /r /s /spath="%USERPROFILE%\AppData\Local\Temp\OnboardLogs" /stypes="app*4053*20170619*" /stext=" 23:.+((SYSTEM_STATE.+slice.+state.+changed )|(ment ac)|(multiple cpu faults)|(system.+state.+changed )|(\[timeout)|(PRM\|1\|D)|(kpr)|(kdp)|(train st.+moving)|(\|lc)|(penalty))"</v>
      </c>
      <c r="AG115" s="209" t="str">
        <f t="shared" si="34"/>
        <v>EC</v>
      </c>
      <c r="AH115" s="78" t="str">
        <f t="shared" si="37"/>
        <v>"%USERPROFILE%\Documents\GitHub\eaglep3\Utilities\RefineRTDCRunTimes.py" --tripid 200-19 --locoid 4053 --swversion DE.1.0.9.0 --startMP 204:233032 --initTime 2017-06-19T16:46:26 --startdatetime 2017-06-19T16:57:15 --delay 1 --endMP 204:154 --enddatetime 2017-06-19T17:39:44 --enforcementcount 0 &gt;&gt;C:\Users\stu\Documents\GitHub\eaglep3-reporting\EC\2017-06-19-refined-times.txt</v>
      </c>
      <c r="AI11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ID","value":"200-19"},{"id":16,"name":"Locomotive ID","value":"4053"},{"id":130,"name":"Impact","value":""},{"id":150,"name":"Time of Event (Mountain Time)","value":"17:39:44"},{"id":151,"name":"Denver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4053 --day 2017-06-19</v>
      </c>
      <c r="AN11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801</v>
      </c>
      <c r="B116" s="7">
        <v>4050</v>
      </c>
      <c r="C116" s="21" t="s">
        <v>202</v>
      </c>
      <c r="D116" s="21" t="s">
        <v>507</v>
      </c>
      <c r="E116" s="13">
        <v>42905.672453703701</v>
      </c>
      <c r="F116" s="13">
        <v>42905.67732638889</v>
      </c>
      <c r="G116" s="7">
        <v>1</v>
      </c>
      <c r="H116" s="21" t="s">
        <v>604</v>
      </c>
      <c r="I116" s="13">
        <v>42905.702766203707</v>
      </c>
      <c r="J116" s="7">
        <v>0</v>
      </c>
      <c r="K116" s="89" t="str">
        <f t="shared" si="25"/>
        <v>4049/4050</v>
      </c>
      <c r="L116" s="21" t="str">
        <f>VLOOKUP(A116,'Trips&amp;Operators'!$C$1:$G$99999,5,FALSE)</f>
        <v>MCREYNOLDS KYLE</v>
      </c>
      <c r="M116" s="6">
        <f t="shared" si="26"/>
        <v>2.5439814817218576E-2</v>
      </c>
      <c r="N116" s="7">
        <f t="shared" si="43"/>
        <v>36.633333336794749</v>
      </c>
      <c r="O116" s="7"/>
      <c r="P116" s="7"/>
      <c r="Q116" s="22"/>
      <c r="R116" s="170"/>
      <c r="S116" s="213">
        <f t="shared" si="42"/>
        <v>1</v>
      </c>
      <c r="T116" s="195" t="str">
        <f t="shared" si="28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-06-19T15:08:20-0600',mode:absolute,to:'2017-06-19T17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197" t="str">
        <f>IF(AA116&lt;VLOOKUP(AG116,Variables!$AC$3:$AD$8,2,FALSE),"Y","N")</f>
        <v>N</v>
      </c>
      <c r="X116" s="197">
        <f t="shared" si="41"/>
        <v>1</v>
      </c>
      <c r="Y116" s="197">
        <f t="shared" si="35"/>
        <v>4.6399999999999997E-2</v>
      </c>
      <c r="Z116" s="197">
        <f t="shared" si="36"/>
        <v>23.335699999999999</v>
      </c>
      <c r="AA116" s="197">
        <f t="shared" si="30"/>
        <v>23.289300000000001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1"/>
        <v>201</v>
      </c>
      <c r="AE116" s="77" t="str">
        <f t="shared" si="3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116" s="74" t="str">
        <f t="shared" si="33"/>
        <v>"C:\Program Files (x86)\AstroGrep\AstroGrep.exe" /e /r /s /spath="%USERPROFILE%\AppData\Local\Temp\OnboardLogs" /stypes="app*4050*20170619*" /stext=" 22:.+((SYSTEM_STATE.+slice.+state.+changed )|(ment ac)|(multiple cpu faults)|(system.+state.+changed )|(\[timeout)|(PRM\|1\|D)|(kpr)|(kdp)|(train st.+moving)|(\|lc)|(penalty))"</v>
      </c>
      <c r="AG116" s="209" t="str">
        <f t="shared" si="34"/>
        <v>EC</v>
      </c>
      <c r="AH116" s="78" t="str">
        <f t="shared" si="37"/>
        <v>"%USERPROFILE%\Documents\GitHub\eaglep3\Utilities\RefineRTDCRunTimes.py" --tripid 201-19 --locoid 4050 --swversion DE.1.0.9.0 --startMP 204:464 --initTime 2017-06-19T16:08:20 --startdatetime 2017-06-19T16:15:21 --delay 1 --endMP 204:233357 --enddatetime 2017-06-19T16:51:59 --enforcementcount 0 &gt;&gt;C:\Users\stu\Documents\GitHub\eaglep3-reporting\EC\2017-06-19-refined-times.txt</v>
      </c>
      <c r="AI11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{"issue":{"subject":"","project_id":79,"tracker_id":40,"status_id":1,"priority_id":2,"assigned_to_id":23,"start_date":"2017-06-19","description":"","custom_fields":[{"id":1,"name":"Subdivision","value":"EC"},{"id":4,"name":"Milepost","value":"23.3357"},{"id":17,"name":"Train ID","value":"201-19"},{"id":16,"name":"Locomotive ID","value":"4050"},{"id":130,"name":"Impact","value":""},{"id":150,"name":"Time of Event (Mountain Time)","value":"16:51:59"},{"id":151,"name":"Denver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4050 --day 2017-06-19</v>
      </c>
      <c r="AN11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810</v>
      </c>
      <c r="B117" s="7">
        <v>4049</v>
      </c>
      <c r="C117" s="21" t="s">
        <v>202</v>
      </c>
      <c r="D117" s="21" t="s">
        <v>922</v>
      </c>
      <c r="E117" s="13">
        <v>42905.710532407407</v>
      </c>
      <c r="F117" s="13">
        <v>42905.716840277775</v>
      </c>
      <c r="G117" s="7">
        <v>1</v>
      </c>
      <c r="H117" s="21" t="s">
        <v>419</v>
      </c>
      <c r="I117" s="13">
        <v>42905.743275462963</v>
      </c>
      <c r="J117" s="7">
        <v>0</v>
      </c>
      <c r="K117" s="89" t="str">
        <f t="shared" si="25"/>
        <v>4049/4050</v>
      </c>
      <c r="L117" s="21" t="str">
        <f>VLOOKUP(A117,'Trips&amp;Operators'!$C$1:$G$99999,5,FALSE)</f>
        <v>MCREYNOLDS KYLE</v>
      </c>
      <c r="M117" s="6">
        <f t="shared" si="26"/>
        <v>2.6435185187438037E-2</v>
      </c>
      <c r="N117" s="7">
        <f t="shared" si="43"/>
        <v>38.066666669910774</v>
      </c>
      <c r="O117" s="7"/>
      <c r="P117" s="7"/>
      <c r="Q117" s="22"/>
      <c r="R117" s="170" t="s">
        <v>1057</v>
      </c>
      <c r="S117" s="213">
        <f t="shared" ref="S117:S148" si="44">SUM(U117:U117)/IF(AG117="EC",12,1)</f>
        <v>1</v>
      </c>
      <c r="T117" s="195" t="str">
        <f t="shared" si="28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-06-19T16:03:10-0600',mode:absolute,to:'2017-06-19T18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197" t="str">
        <f>IF(AA117&lt;VLOOKUP(AG117,Variables!$AC$3:$AD$8,2,FALSE),"Y","N")</f>
        <v>N</v>
      </c>
      <c r="X117" s="197">
        <f t="shared" si="41"/>
        <v>1</v>
      </c>
      <c r="Y117" s="197">
        <f t="shared" si="35"/>
        <v>23.303799999999999</v>
      </c>
      <c r="Z117" s="197">
        <f t="shared" si="36"/>
        <v>1.4500000000000001E-2</v>
      </c>
      <c r="AA117" s="197">
        <f t="shared" si="30"/>
        <v>23.289299999999997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1"/>
        <v>202</v>
      </c>
      <c r="AE117" s="77" t="str">
        <f t="shared" si="3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117" s="74" t="str">
        <f t="shared" si="33"/>
        <v>"C:\Program Files (x86)\AstroGrep\AstroGrep.exe" /e /r /s /spath="%USERPROFILE%\AppData\Local\Temp\OnboardLogs" /stypes="app*4049*20170619*" /stext=" 23:.+((SYSTEM_STATE.+slice.+state.+changed )|(ment ac)|(multiple cpu faults)|(system.+state.+changed )|(\[timeout)|(PRM\|1\|D)|(kpr)|(kdp)|(train st.+moving)|(\|lc)|(penalty))"</v>
      </c>
      <c r="AG117" s="209" t="str">
        <f t="shared" si="34"/>
        <v>EC</v>
      </c>
      <c r="AH117" s="78" t="str">
        <f t="shared" si="37"/>
        <v>"%USERPROFILE%\Documents\GitHub\eaglep3\Utilities\RefineRTDCRunTimes.py" --tripid 202-19 --locoid 4049 --swversion DE.1.0.9.0 --startMP 204:233038 --initTime 2017-06-19T17:03:10 --startdatetime 2017-06-19T17:12:15 --delay 1 --endMP 204:145 --enddatetime 2017-06-19T17:50:19 --enforcementcount 0 &gt;&gt;C:\Users\stu\Documents\GitHub\eaglep3-reporting\EC\2017-06-19-refined-times.txt</v>
      </c>
      <c r="AI117" s="96" t="str">
        <f t="shared" si="38"/>
        <v>echo {"issue":{"subject":"Unhealthy at Chambers due to train stop","project_id":79,"tracker_id":40,"status_id":1,"priority_id":2,"assigned_to_id":23,"start_date":"2017-06-19","description":"","custom_fields":[{"id":1,"name":"Subdivision","value":"EC"},{"id":4,"name":"Milepost","value":"0.0145"},{"id":17,"name":"Train ID","value":"202-19"},{"id":16,"name":"Locomotive ID","value":"4049"},{"id":130,"name":"Impact","value":""},{"id":150,"name":"Time of Event (Mountain Time)","value":"17:50:19"},{"id":151,"name":"Denver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4049 --day 2017-06-19</v>
      </c>
      <c r="AN117" s="151" t="str">
        <f t="shared" si="40"/>
        <v>echo {"issue":{"subject":"Unhealthy at Chambers due to train stop","project_id":30,"tracker_id":4,"status_id":1,"priority_id":1,"assigned_to_id":10,"start_date":"2017-06-19","description":"","custom_fields":[{"id":30,"name":"Category","value":"Issue"},{"id":3,"name":"Functional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804</v>
      </c>
      <c r="B118" s="7">
        <v>4018</v>
      </c>
      <c r="C118" s="21" t="s">
        <v>202</v>
      </c>
      <c r="D118" s="21" t="s">
        <v>347</v>
      </c>
      <c r="E118" s="13">
        <v>42905.683182870373</v>
      </c>
      <c r="F118" s="13">
        <v>42905.687905092593</v>
      </c>
      <c r="G118" s="7">
        <v>2</v>
      </c>
      <c r="H118" s="21" t="s">
        <v>883</v>
      </c>
      <c r="I118" s="13">
        <v>42905.716585648152</v>
      </c>
      <c r="J118" s="7">
        <v>0</v>
      </c>
      <c r="K118" s="89" t="str">
        <f t="shared" si="25"/>
        <v>4017/4018</v>
      </c>
      <c r="L118" s="21" t="str">
        <f>VLOOKUP(A118,'Trips&amp;Operators'!$C$1:$G$99999,5,FALSE)</f>
        <v>DAVIS MICHAEL</v>
      </c>
      <c r="M118" s="6">
        <f t="shared" si="26"/>
        <v>2.8680555558821652E-2</v>
      </c>
      <c r="N118" s="7">
        <f t="shared" si="43"/>
        <v>41.300000004703179</v>
      </c>
      <c r="O118" s="7"/>
      <c r="P118" s="7"/>
      <c r="Q118" s="22"/>
      <c r="R118" s="170"/>
      <c r="S118" s="213">
        <f t="shared" si="44"/>
        <v>1</v>
      </c>
      <c r="T118" s="195" t="str">
        <f t="shared" si="28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-06-19T15:23:47-0600',mode:absolute,to:'2017-06-19T18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97" t="str">
        <f>IF(AA118&lt;VLOOKUP(AG118,Variables!$AC$3:$AD$8,2,FALSE),"Y","N")</f>
        <v>N</v>
      </c>
      <c r="X118" s="197">
        <f t="shared" si="41"/>
        <v>1</v>
      </c>
      <c r="Y118" s="197">
        <f t="shared" si="35"/>
        <v>4.4600000000000001E-2</v>
      </c>
      <c r="Z118" s="197">
        <f t="shared" si="36"/>
        <v>23.330200000000001</v>
      </c>
      <c r="AA118" s="197">
        <f t="shared" si="30"/>
        <v>23.285600000000002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1"/>
        <v>203</v>
      </c>
      <c r="AE118" s="77" t="str">
        <f t="shared" si="3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118" s="74" t="str">
        <f t="shared" si="33"/>
        <v>"C:\Program Files (x86)\AstroGrep\AstroGrep.exe" /e /r /s /spath="%USERPROFILE%\AppData\Local\Temp\OnboardLogs" /stypes="app*4018*20170619*" /stext=" 23:.+((SYSTEM_STATE.+slice.+state.+changed )|(ment ac)|(multiple cpu faults)|(system.+state.+changed )|(\[timeout)|(PRM\|1\|D)|(kpr)|(kdp)|(train st.+moving)|(\|lc)|(penalty))"</v>
      </c>
      <c r="AG118" s="209" t="str">
        <f t="shared" si="34"/>
        <v>EC</v>
      </c>
      <c r="AH118" s="78" t="str">
        <f t="shared" si="37"/>
        <v>"%USERPROFILE%\Documents\GitHub\eaglep3\Utilities\RefineRTDCRunTimes.py" --tripid 203-19 --locoid 4018 --swversion DE.1.0.9.0 --startMP 204:446 --initTime 2017-06-19T16:23:47 --startdatetime 2017-06-19T16:30:35 --delay 2 --endMP 204:233302 --enddatetime 2017-06-19T17:11:53 --enforcementcount 0 &gt;&gt;C:\Users\stu\Documents\GitHub\eaglep3-reporting\EC\2017-06-19-refined-times.txt</v>
      </c>
      <c r="AI11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{"issue":{"subject":"","project_id":79,"tracker_id":40,"status_id":1,"priority_id":2,"assigned_to_id":23,"start_date":"2017-06-19","description":"","custom_fields":[{"id":1,"name":"Subdivision","value":"EC"},{"id":4,"name":"Milepost","value":"23.3302"},{"id":17,"name":"Train ID","value":"203-19"},{"id":16,"name":"Locomotive ID","value":"4018"},{"id":130,"name":"Impact","value":""},{"id":150,"name":"Time of Event (Mountain Time)","value":"17:11:53"},{"id":151,"name":"Denver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4018 --day 2017-06-19</v>
      </c>
      <c r="AN11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814</v>
      </c>
      <c r="B119" s="7">
        <v>4017</v>
      </c>
      <c r="C119" s="21" t="s">
        <v>202</v>
      </c>
      <c r="D119" s="21" t="s">
        <v>451</v>
      </c>
      <c r="E119" s="13">
        <v>42905.725104166668</v>
      </c>
      <c r="F119" s="13">
        <v>42905.727569444447</v>
      </c>
      <c r="G119" s="7">
        <v>1</v>
      </c>
      <c r="H119" s="21" t="s">
        <v>395</v>
      </c>
      <c r="I119" s="13">
        <v>42905.754791666666</v>
      </c>
      <c r="J119" s="7">
        <v>0</v>
      </c>
      <c r="K119" s="89" t="str">
        <f t="shared" si="25"/>
        <v>4017/4018</v>
      </c>
      <c r="L119" s="21" t="str">
        <f>VLOOKUP(A119,'Trips&amp;Operators'!$C$1:$G$99999,5,FALSE)</f>
        <v>DAVIS MICHAEL</v>
      </c>
      <c r="M119" s="6">
        <f t="shared" si="26"/>
        <v>2.7222222219279502E-2</v>
      </c>
      <c r="N119" s="7">
        <f t="shared" si="43"/>
        <v>39.199999995762482</v>
      </c>
      <c r="O119" s="7"/>
      <c r="P119" s="7"/>
      <c r="Q119" s="22"/>
      <c r="R119" s="170"/>
      <c r="S119" s="213">
        <f t="shared" si="44"/>
        <v>1</v>
      </c>
      <c r="T119" s="195" t="str">
        <f t="shared" si="28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-06-19T16:24:09-0600',mode:absolute,to:'2017-06-19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97" t="str">
        <f>IF(AA119&lt;VLOOKUP(AG119,Variables!$AC$3:$AD$8,2,FALSE),"Y","N")</f>
        <v>N</v>
      </c>
      <c r="X119" s="197">
        <f t="shared" si="41"/>
        <v>1</v>
      </c>
      <c r="Y119" s="197">
        <f t="shared" si="35"/>
        <v>23.299399999999999</v>
      </c>
      <c r="Z119" s="197">
        <f t="shared" si="36"/>
        <v>1.54E-2</v>
      </c>
      <c r="AA119" s="197">
        <f t="shared" si="30"/>
        <v>23.283999999999999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1"/>
        <v>204</v>
      </c>
      <c r="AE119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119" s="74" t="str">
        <f t="shared" si="33"/>
        <v>"C:\Program Files (x86)\AstroGrep\AstroGrep.exe" /e /r /s /spath="%USERPROFILE%\AppData\Local\Temp\OnboardLogs" /stypes="app*4017*20170620*" /stext=" 00:.+((SYSTEM_STATE.+slice.+state.+changed )|(ment ac)|(multiple cpu faults)|(system.+state.+changed )|(\[timeout)|(PRM\|1\|D)|(kpr)|(kdp)|(train st.+moving)|(\|lc)|(penalty))"</v>
      </c>
      <c r="AG119" s="209" t="str">
        <f t="shared" si="34"/>
        <v>EC</v>
      </c>
      <c r="AH119" s="78" t="str">
        <f t="shared" si="37"/>
        <v>"%USERPROFILE%\Documents\GitHub\eaglep3\Utilities\RefineRTDCRunTimes.py" --tripid 204-19 --locoid 4017 --swversion DE.1.0.9.0 --startMP 204:232994 --initTime 2017-06-19T17:24:09 --startdatetime 2017-06-19T17:27:42 --delay 1 --endMP 204:154 --enddatetime 2017-06-19T18:06:54 --enforcementcount 0 &gt;&gt;C:\Users\stu\Documents\GitHub\eaglep3-reporting\EC\2017-06-19-refined-times.txt</v>
      </c>
      <c r="AI11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ID","value":"204-19"},{"id":16,"name":"Locomotive ID","value":"4017"},{"id":130,"name":"Impact","value":""},{"id":150,"name":"Time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4017 --day 2017-06-19</v>
      </c>
      <c r="AN119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805</v>
      </c>
      <c r="B120" s="7">
        <v>4044</v>
      </c>
      <c r="C120" s="21" t="s">
        <v>202</v>
      </c>
      <c r="D120" s="21" t="s">
        <v>355</v>
      </c>
      <c r="E120" s="13">
        <v>42905.691655092596</v>
      </c>
      <c r="F120" s="13">
        <v>42905.69809027778</v>
      </c>
      <c r="G120" s="7">
        <v>1</v>
      </c>
      <c r="H120" s="21" t="s">
        <v>916</v>
      </c>
      <c r="I120" s="13">
        <v>42905.722916666666</v>
      </c>
      <c r="J120" s="7">
        <v>0</v>
      </c>
      <c r="K120" s="89" t="str">
        <f t="shared" si="25"/>
        <v>4043/4044</v>
      </c>
      <c r="L120" s="21" t="str">
        <f>VLOOKUP(A120,'Trips&amp;Operators'!$C$1:$G$99999,5,FALSE)</f>
        <v>ROMERO CHAD</v>
      </c>
      <c r="M120" s="6">
        <f t="shared" si="26"/>
        <v>2.4826388886140194E-2</v>
      </c>
      <c r="N120" s="7">
        <f t="shared" si="43"/>
        <v>35.749999996041879</v>
      </c>
      <c r="O120" s="7"/>
      <c r="P120" s="7"/>
      <c r="Q120" s="22"/>
      <c r="R120" s="170"/>
      <c r="S120" s="213">
        <f t="shared" si="44"/>
        <v>1</v>
      </c>
      <c r="T120" s="195" t="str">
        <f t="shared" si="28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-06-19T15:35:59-0600',mode:absolute,to:'2017-06-19T18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0" s="197" t="str">
        <f>IF(AA120&lt;VLOOKUP(AG120,Variables!$AC$3:$AD$8,2,FALSE),"Y","N")</f>
        <v>N</v>
      </c>
      <c r="X120" s="197">
        <f t="shared" si="41"/>
        <v>1</v>
      </c>
      <c r="Y120" s="197">
        <f t="shared" si="35"/>
        <v>4.4699999999999997E-2</v>
      </c>
      <c r="Z120" s="197">
        <f t="shared" si="36"/>
        <v>23.337599999999998</v>
      </c>
      <c r="AA120" s="197">
        <f t="shared" si="30"/>
        <v>23.292899999999999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1"/>
        <v>205</v>
      </c>
      <c r="AE120" s="77" t="str">
        <f t="shared" si="3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20" s="74" t="str">
        <f t="shared" si="33"/>
        <v>"C:\Program Files (x86)\AstroGrep\AstroGrep.exe" /e /r /s /spath="%USERPROFILE%\AppData\Local\Temp\OnboardLogs" /stypes="app*4044*20170619*" /stext=" 23:.+((SYSTEM_STATE.+slice.+state.+changed )|(ment ac)|(multiple cpu faults)|(system.+state.+changed )|(\[timeout)|(PRM\|1\|D)|(kpr)|(kdp)|(train st.+moving)|(\|lc)|(penalty))"</v>
      </c>
      <c r="AG120" s="209" t="str">
        <f t="shared" si="34"/>
        <v>EC</v>
      </c>
      <c r="AH120" s="78" t="str">
        <f t="shared" si="37"/>
        <v>"%USERPROFILE%\Documents\GitHub\eaglep3\Utilities\RefineRTDCRunTimes.py" --tripid 205-19 --locoid 4044 --swversion DE.1.0.9.0 --startMP 204:447 --initTime 2017-06-19T16:35:59 --startdatetime 2017-06-19T16:45:15 --delay 1 --endMP 204:233376 --enddatetime 2017-06-19T17:21:00 --enforcementcount 0 &gt;&gt;C:\Users\stu\Documents\GitHub\eaglep3-reporting\EC\2017-06-19-refined-times.txt</v>
      </c>
      <c r="AI12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{"issue":{"subject":"","project_id":79,"tracker_id":40,"status_id":1,"priority_id":2,"assigned_to_id":23,"start_date":"2017-06-19","description":"","custom_fields":[{"id":1,"name":"Subdivision","value":"EC"},{"id":4,"name":"Milepost","value":"23.3376"},{"id":17,"name":"Train ID","value":"205-19"},{"id":16,"name":"Locomotive ID","value":"4044"},{"id":130,"name":"Impact","value":""},{"id":150,"name":"Time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4044 --day 2017-06-19</v>
      </c>
      <c r="AN12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817</v>
      </c>
      <c r="B121" s="7">
        <v>4043</v>
      </c>
      <c r="C121" s="21" t="s">
        <v>202</v>
      </c>
      <c r="D121" s="21" t="s">
        <v>592</v>
      </c>
      <c r="E121" s="13">
        <v>42905.727395833332</v>
      </c>
      <c r="F121" s="13">
        <v>42905.737638888888</v>
      </c>
      <c r="G121" s="7">
        <v>1</v>
      </c>
      <c r="H121" s="21" t="s">
        <v>395</v>
      </c>
      <c r="I121" s="13">
        <v>42905.762997685182</v>
      </c>
      <c r="J121" s="7">
        <v>0</v>
      </c>
      <c r="K121" s="89" t="str">
        <f t="shared" si="25"/>
        <v>4043/4044</v>
      </c>
      <c r="L121" s="21" t="str">
        <f>VLOOKUP(A121,'Trips&amp;Operators'!$C$1:$G$99999,5,FALSE)</f>
        <v>ROMERO CHAD</v>
      </c>
      <c r="M121" s="6">
        <f t="shared" si="26"/>
        <v>2.5358796294312924E-2</v>
      </c>
      <c r="N121" s="7">
        <f t="shared" si="43"/>
        <v>36.516666663810611</v>
      </c>
      <c r="O121" s="7"/>
      <c r="P121" s="7"/>
      <c r="Q121" s="22"/>
      <c r="R121" s="170"/>
      <c r="S121" s="213">
        <f t="shared" si="44"/>
        <v>1</v>
      </c>
      <c r="T121" s="195" t="str">
        <f t="shared" si="28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-06-19T16:27:27-0600',mode:absolute,to:'2017-06-19T19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1" s="197" t="str">
        <f>IF(AA121&lt;VLOOKUP(AG121,Variables!$AC$3:$AD$8,2,FALSE),"Y","N")</f>
        <v>N</v>
      </c>
      <c r="X121" s="197">
        <f t="shared" si="41"/>
        <v>1</v>
      </c>
      <c r="Y121" s="197">
        <f t="shared" si="35"/>
        <v>23.306899999999999</v>
      </c>
      <c r="Z121" s="197">
        <f t="shared" si="36"/>
        <v>1.54E-2</v>
      </c>
      <c r="AA121" s="197">
        <f t="shared" si="30"/>
        <v>23.291499999999999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1"/>
        <v>206</v>
      </c>
      <c r="AE121" s="77" t="str">
        <f t="shared" si="3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121" s="74" t="str">
        <f t="shared" si="33"/>
        <v>"C:\Program Files (x86)\AstroGrep\AstroGrep.exe" /e /r /s /spath="%USERPROFILE%\AppData\Local\Temp\OnboardLogs" /stypes="app*4043*20170620*" /stext=" 00:.+((SYSTEM_STATE.+slice.+state.+changed )|(ment ac)|(multiple cpu faults)|(system.+state.+changed )|(\[timeout)|(PRM\|1\|D)|(kpr)|(kdp)|(train st.+moving)|(\|lc)|(penalty))"</v>
      </c>
      <c r="AG121" s="209" t="str">
        <f t="shared" si="34"/>
        <v>EC</v>
      </c>
      <c r="AH121" s="78" t="str">
        <f t="shared" si="37"/>
        <v>"%USERPROFILE%\Documents\GitHub\eaglep3\Utilities\RefineRTDCRunTimes.py" --tripid 206-19 --locoid 4043 --swversion DE.1.0.9.0 --startMP 204:233069 --initTime 2017-06-19T17:27:27 --startdatetime 2017-06-19T17:42:12 --delay 1 --endMP 204:154 --enddatetime 2017-06-19T18:18:43 --enforcementcount 0 &gt;&gt;C:\Users\stu\Documents\GitHub\eaglep3-reporting\EC\2017-06-19-refined-times.txt</v>
      </c>
      <c r="AI12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ID","value":"206-19"},{"id":16,"name":"Locomotive ID","value":"4043"},{"id":130,"name":"Impact","value":""},{"id":150,"name":"Time of Event (Mountain Time)","value":"18:18:43"},{"id":151,"name":"Denver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4043 --day 2017-06-19</v>
      </c>
      <c r="AN121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808</v>
      </c>
      <c r="B122" s="7">
        <v>4058</v>
      </c>
      <c r="C122" s="21" t="s">
        <v>202</v>
      </c>
      <c r="D122" s="21" t="s">
        <v>438</v>
      </c>
      <c r="E122" s="13">
        <v>42905.703587962962</v>
      </c>
      <c r="F122" s="13">
        <v>42905.708518518521</v>
      </c>
      <c r="G122" s="7">
        <v>1</v>
      </c>
      <c r="H122" s="21" t="s">
        <v>509</v>
      </c>
      <c r="I122" s="13">
        <v>42905.734456018516</v>
      </c>
      <c r="J122" s="7">
        <v>0</v>
      </c>
      <c r="K122" s="89" t="str">
        <f t="shared" si="25"/>
        <v>4057/4058</v>
      </c>
      <c r="L122" s="21" t="str">
        <f>VLOOKUP(A122,'Trips&amp;Operators'!$C$1:$G$99999,5,FALSE)</f>
        <v>ROBINSON KADDIBA</v>
      </c>
      <c r="M122" s="6">
        <f t="shared" si="26"/>
        <v>2.5937499995052349E-2</v>
      </c>
      <c r="N122" s="7">
        <f t="shared" si="43"/>
        <v>37.349999992875382</v>
      </c>
      <c r="O122" s="7"/>
      <c r="P122" s="7"/>
      <c r="Q122" s="22"/>
      <c r="R122" s="170"/>
      <c r="S122" s="213">
        <f t="shared" si="44"/>
        <v>1</v>
      </c>
      <c r="T122" s="195" t="str">
        <f t="shared" si="28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-06-19T15:53:10-0600',mode:absolute,to:'2017-06-19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2" s="197" t="str">
        <f>IF(AA122&lt;VLOOKUP(AG122,Variables!$AC$3:$AD$8,2,FALSE),"Y","N")</f>
        <v>N</v>
      </c>
      <c r="X122" s="197">
        <f t="shared" si="41"/>
        <v>1</v>
      </c>
      <c r="Y122" s="197">
        <f t="shared" si="35"/>
        <v>4.6699999999999998E-2</v>
      </c>
      <c r="Z122" s="197">
        <f t="shared" si="36"/>
        <v>23.332699999999999</v>
      </c>
      <c r="AA122" s="197">
        <f t="shared" si="30"/>
        <v>23.285999999999998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1"/>
        <v>207</v>
      </c>
      <c r="AE122" s="77" t="str">
        <f t="shared" si="32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122" s="74" t="str">
        <f t="shared" si="33"/>
        <v>"C:\Program Files (x86)\AstroGrep\AstroGrep.exe" /e /r /s /spath="%USERPROFILE%\AppData\Local\Temp\OnboardLogs" /stypes="app*4058*20170619*" /stext=" 23:.+((SYSTEM_STATE.+slice.+state.+changed )|(ment ac)|(multiple cpu faults)|(system.+state.+changed )|(\[timeout)|(PRM\|1\|D)|(kpr)|(kdp)|(train st.+moving)|(\|lc)|(penalty))"</v>
      </c>
      <c r="AG122" s="209" t="str">
        <f t="shared" si="34"/>
        <v>EC</v>
      </c>
      <c r="AH122" s="78" t="str">
        <f t="shared" si="37"/>
        <v>"%USERPROFILE%\Documents\GitHub\eaglep3\Utilities\RefineRTDCRunTimes.py" --tripid 207-19 --locoid 4058 --swversion DE.1.0.9.0 --startMP 204:467 --initTime 2017-06-19T16:53:10 --startdatetime 2017-06-19T17:00:16 --delay 1 --endMP 204:233327 --enddatetime 2017-06-19T17:37:37 --enforcementcount 0 &gt;&gt;C:\Users\stu\Documents\GitHub\eaglep3-reporting\EC\2017-06-19-refined-times.txt</v>
      </c>
      <c r="AI122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{"issue":{"subject":"","project_id":79,"tracker_id":40,"status_id":1,"priority_id":2,"assigned_to_id":23,"start_date":"2017-06-19","description":"","custom_fields":[{"id":1,"name":"Subdivision","value":"EC"},{"id":4,"name":"Milepost","value":"23.3327"},{"id":17,"name":"Train ID","value":"207-19"},{"id":16,"name":"Locomotive ID","value":"4058"},{"id":130,"name":"Impact","value":""},{"id":150,"name":"Time of Event (Mountain Time)","value":"17:37:37"},{"id":151,"name":"Denver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4058 --day 2017-06-19</v>
      </c>
      <c r="AN12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4057</v>
      </c>
      <c r="C123" s="21" t="s">
        <v>202</v>
      </c>
      <c r="D123" s="21" t="s">
        <v>594</v>
      </c>
      <c r="E123" s="13">
        <v>42905.743020833332</v>
      </c>
      <c r="F123" s="13">
        <v>42905.748368055552</v>
      </c>
      <c r="G123" s="7">
        <v>2</v>
      </c>
      <c r="H123" s="21" t="s">
        <v>923</v>
      </c>
      <c r="I123" s="13">
        <v>42905.774872685186</v>
      </c>
      <c r="J123" s="7">
        <v>0</v>
      </c>
      <c r="K123" s="89" t="str">
        <f t="shared" si="25"/>
        <v>4057/4058</v>
      </c>
      <c r="L123" s="21" t="str">
        <f>VLOOKUP(A123,'Trips&amp;Operators'!$C$1:$G$99999,5,FALSE)</f>
        <v>ROBINSON KADDIBA</v>
      </c>
      <c r="M123" s="6">
        <f t="shared" si="26"/>
        <v>2.6504629633564036E-2</v>
      </c>
      <c r="N123" s="7">
        <f t="shared" si="43"/>
        <v>38.166666672332212</v>
      </c>
      <c r="O123" s="7"/>
      <c r="P123" s="7"/>
      <c r="Q123" s="22"/>
      <c r="R123" s="170"/>
      <c r="S123" s="213">
        <f t="shared" si="44"/>
        <v>1</v>
      </c>
      <c r="T123" s="195" t="str">
        <f t="shared" si="28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-06-19T16:49:57-0600',mode:absolute,to:'2017-06-19T19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3" s="197" t="str">
        <f>IF(AA123&lt;VLOOKUP(AG123,Variables!$AC$3:$AD$8,2,FALSE),"Y","N")</f>
        <v>N</v>
      </c>
      <c r="X123" s="197">
        <f t="shared" si="41"/>
        <v>1</v>
      </c>
      <c r="Y123" s="197">
        <f t="shared" si="35"/>
        <v>23.3004</v>
      </c>
      <c r="Z123" s="197">
        <f t="shared" si="36"/>
        <v>1.37E-2</v>
      </c>
      <c r="AA123" s="197">
        <f t="shared" si="30"/>
        <v>23.2867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1"/>
        <v>208</v>
      </c>
      <c r="AE123" s="77" t="str">
        <f t="shared" si="32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123" s="74" t="str">
        <f t="shared" si="33"/>
        <v>"C:\Program Files (x86)\AstroGrep\AstroGrep.exe" /e /r /s /spath="%USERPROFILE%\AppData\Local\Temp\OnboardLogs" /stypes="app*4057*20170620*" /stext=" 00:.+((SYSTEM_STATE.+slice.+state.+changed )|(ment ac)|(multiple cpu faults)|(system.+state.+changed )|(\[timeout)|(PRM\|1\|D)|(kpr)|(kdp)|(train st.+moving)|(\|lc)|(penalty))"</v>
      </c>
      <c r="AG123" s="209" t="str">
        <f t="shared" si="34"/>
        <v>EC</v>
      </c>
      <c r="AH123" s="78" t="str">
        <f t="shared" si="37"/>
        <v>"%USERPROFILE%\Documents\GitHub\eaglep3\Utilities\RefineRTDCRunTimes.py" --tripid 208-19 --locoid 4057 --swversion DE.1.0.9.0 --startMP 204:233004 --initTime 2017-06-19T17:49:57 --startdatetime 2017-06-19T17:57:39 --delay 2 --endMP 204:137 --enddatetime 2017-06-19T18:35:49 --enforcementcount 0 &gt;&gt;C:\Users\stu\Documents\GitHub\eaglep3-reporting\EC\2017-06-19-refined-times.txt</v>
      </c>
      <c r="AI12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{"issue":{"subject":"","project_id":79,"tracker_id":40,"status_id":1,"priority_id":2,"assigned_to_id":23,"start_date":"2017-06-19","description":"","custom_fields":[{"id":1,"name":"Subdivision","value":"EC"},{"id":4,"name":"Milepost","value":"0.0137"},{"id":17,"name":"Train ID","value":"208-19"},{"id":16,"name":"Locomotive ID","value":"4057"},{"id":130,"name":"Impact","value":""},{"id":150,"name":"Time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4057 --day 2017-06-19</v>
      </c>
      <c r="AN123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812</v>
      </c>
      <c r="B124" s="7">
        <v>4016</v>
      </c>
      <c r="C124" s="21" t="s">
        <v>202</v>
      </c>
      <c r="D124" s="21" t="s">
        <v>924</v>
      </c>
      <c r="E124" s="13">
        <v>42905.714166666665</v>
      </c>
      <c r="F124" s="13">
        <v>42905.718923611108</v>
      </c>
      <c r="G124" s="7">
        <v>1</v>
      </c>
      <c r="H124" s="21" t="s">
        <v>444</v>
      </c>
      <c r="I124" s="13">
        <v>42905.743495370371</v>
      </c>
      <c r="J124" s="7">
        <v>0</v>
      </c>
      <c r="K124" s="89" t="str">
        <f t="shared" si="25"/>
        <v>4015/4016</v>
      </c>
      <c r="L124" s="21" t="str">
        <f>VLOOKUP(A124,'Trips&amp;Operators'!$C$1:$G$99999,5,FALSE)</f>
        <v>BRUDER RICHARD</v>
      </c>
      <c r="M124" s="6">
        <f t="shared" si="26"/>
        <v>2.457175926247146E-2</v>
      </c>
      <c r="N124" s="7">
        <f t="shared" ref="N124:N155" si="45">24*60*SUM($M124:$M124)</f>
        <v>35.383333337958902</v>
      </c>
      <c r="O124" s="7"/>
      <c r="P124" s="7"/>
      <c r="Q124" s="22"/>
      <c r="R124" s="170"/>
      <c r="S124" s="213">
        <f t="shared" si="44"/>
        <v>1</v>
      </c>
      <c r="T124" s="195" t="str">
        <f t="shared" si="28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-06-19T16:08:24-0600',mode:absolute,to:'2017-06-19T18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197" t="str">
        <f>IF(AA124&lt;VLOOKUP(AG124,Variables!$AC$3:$AD$8,2,FALSE),"Y","N")</f>
        <v>N</v>
      </c>
      <c r="X124" s="197">
        <f t="shared" si="41"/>
        <v>1</v>
      </c>
      <c r="Y124" s="197">
        <f t="shared" si="35"/>
        <v>4.8000000000000001E-2</v>
      </c>
      <c r="Z124" s="197">
        <f t="shared" si="36"/>
        <v>23.3307</v>
      </c>
      <c r="AA124" s="197">
        <f t="shared" si="30"/>
        <v>23.282700000000002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1"/>
        <v>209</v>
      </c>
      <c r="AE124" s="77" t="str">
        <f t="shared" si="3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24" s="74" t="str">
        <f t="shared" si="33"/>
        <v>"C:\Program Files (x86)\AstroGrep\AstroGrep.exe" /e /r /s /spath="%USERPROFILE%\AppData\Local\Temp\OnboardLogs" /stypes="app*4016*20170619*" /stext=" 23:.+((SYSTEM_STATE.+slice.+state.+changed )|(ment ac)|(multiple cpu faults)|(system.+state.+changed )|(\[timeout)|(PRM\|1\|D)|(kpr)|(kdp)|(train st.+moving)|(\|lc)|(penalty))"</v>
      </c>
      <c r="AG124" s="209" t="str">
        <f t="shared" si="34"/>
        <v>EC</v>
      </c>
      <c r="AH124" s="78" t="str">
        <f t="shared" si="37"/>
        <v>"%USERPROFILE%\Documents\GitHub\eaglep3\Utilities\RefineRTDCRunTimes.py" --tripid 209-19 --locoid 4016 --swversion DE.1.0.9.0 --startMP 204:480 --initTime 2017-06-19T17:08:24 --startdatetime 2017-06-19T17:15:15 --delay 1 --endMP 204:233307 --enddatetime 2017-06-19T17:50:38 --enforcementcount 0 &gt;&gt;C:\Users\stu\Documents\GitHub\eaglep3-reporting\EC\2017-06-19-refined-times.txt</v>
      </c>
      <c r="AI12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{"issue":{"subject":"","project_id":79,"tracker_id":40,"status_id":1,"priority_id":2,"assigned_to_id":23,"start_date":"2017-06-19","description":"","custom_fields":[{"id":1,"name":"Subdivision","value":"EC"},{"id":4,"name":"Milepost","value":"23.3307"},{"id":17,"name":"Train ID","value":"209-19"},{"id":16,"name":"Locomotive ID","value":"4016"},{"id":130,"name":"Impact","value":""},{"id":150,"name":"Time of Event (Mountain Time)","value":"17:50:38"},{"id":151,"name":"Denver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4016 --day 2017-06-19</v>
      </c>
      <c r="AN12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824</v>
      </c>
      <c r="B125" s="7">
        <v>4015</v>
      </c>
      <c r="C125" s="21" t="s">
        <v>202</v>
      </c>
      <c r="D125" s="21" t="s">
        <v>606</v>
      </c>
      <c r="E125" s="13">
        <v>42905.754270833335</v>
      </c>
      <c r="F125" s="13">
        <v>42905.758518518516</v>
      </c>
      <c r="G125" s="7">
        <v>1</v>
      </c>
      <c r="H125" s="21" t="s">
        <v>358</v>
      </c>
      <c r="I125" s="13">
        <v>42905.784513888888</v>
      </c>
      <c r="J125" s="7">
        <v>0</v>
      </c>
      <c r="K125" s="89" t="str">
        <f t="shared" si="25"/>
        <v>4015/4016</v>
      </c>
      <c r="L125" s="21" t="str">
        <f>VLOOKUP(A125,'Trips&amp;Operators'!$C$1:$G$99999,5,FALSE)</f>
        <v>BRUDER RICHARD</v>
      </c>
      <c r="M125" s="6">
        <f t="shared" si="26"/>
        <v>2.5995370371674653E-2</v>
      </c>
      <c r="N125" s="7">
        <f t="shared" si="45"/>
        <v>37.433333335211501</v>
      </c>
      <c r="O125" s="7"/>
      <c r="P125" s="7"/>
      <c r="Q125" s="22"/>
      <c r="R125" s="170"/>
      <c r="S125" s="213">
        <f t="shared" si="44"/>
        <v>1</v>
      </c>
      <c r="T125" s="195" t="str">
        <f t="shared" si="28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-06-19T17:06:09-0600',mode:absolute,to:'2017-06-19T19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197" t="str">
        <f>IF(AA125&lt;VLOOKUP(AG125,Variables!$AC$3:$AD$8,2,FALSE),"Y","N")</f>
        <v>N</v>
      </c>
      <c r="X125" s="197">
        <f t="shared" si="41"/>
        <v>1</v>
      </c>
      <c r="Y125" s="197">
        <f t="shared" si="35"/>
        <v>23.3003</v>
      </c>
      <c r="Z125" s="197">
        <f t="shared" si="36"/>
        <v>1.41E-2</v>
      </c>
      <c r="AA125" s="197">
        <f t="shared" si="30"/>
        <v>23.286200000000001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1"/>
        <v>210</v>
      </c>
      <c r="AE125" s="77" t="str">
        <f t="shared" si="3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25" s="74" t="str">
        <f t="shared" si="33"/>
        <v>"C:\Program Files (x86)\AstroGrep\AstroGrep.exe" /e /r /s /spath="%USERPROFILE%\AppData\Local\Temp\OnboardLogs" /stypes="app*4015*20170620*" /stext=" 00:.+((SYSTEM_STATE.+slice.+state.+changed )|(ment ac)|(multiple cpu faults)|(system.+state.+changed )|(\[timeout)|(PRM\|1\|D)|(kpr)|(kdp)|(train st.+moving)|(\|lc)|(penalty))"</v>
      </c>
      <c r="AG125" s="209" t="str">
        <f t="shared" si="34"/>
        <v>EC</v>
      </c>
      <c r="AH125" s="78" t="str">
        <f t="shared" si="37"/>
        <v>"%USERPROFILE%\Documents\GitHub\eaglep3\Utilities\RefineRTDCRunTimes.py" --tripid 210-19 --locoid 4015 --swversion DE.1.0.9.0 --startMP 204:233003 --initTime 2017-06-19T18:06:09 --startdatetime 2017-06-19T18:12:16 --delay 1 --endMP 204:141 --enddatetime 2017-06-19T18:49:42 --enforcementcount 0 &gt;&gt;C:\Users\stu\Documents\GitHub\eaglep3-reporting\EC\2017-06-19-refined-times.txt</v>
      </c>
      <c r="AI12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{"issue":{"subject":"","project_id":79,"tracker_id":40,"status_id":1,"priority_id":2,"assigned_to_id":23,"start_date":"2017-06-19","description":"","custom_fields":[{"id":1,"name":"Subdivision","value":"EC"},{"id":4,"name":"Milepost","value":"0.0141"},{"id":17,"name":"Train ID","value":"210-19"},{"id":16,"name":"Locomotive ID","value":"4015"},{"id":130,"name":"Impact","value":""},{"id":150,"name":"Time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4015 --day 2017-06-19</v>
      </c>
      <c r="AN125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816</v>
      </c>
      <c r="B126" s="7">
        <v>4030</v>
      </c>
      <c r="C126" s="21" t="s">
        <v>202</v>
      </c>
      <c r="D126" s="21" t="s">
        <v>507</v>
      </c>
      <c r="E126" s="13">
        <v>42905.726701388892</v>
      </c>
      <c r="F126" s="13">
        <v>42905.729305555556</v>
      </c>
      <c r="G126" s="7">
        <v>2</v>
      </c>
      <c r="H126" s="21" t="s">
        <v>925</v>
      </c>
      <c r="I126" s="13">
        <v>42905.755578703705</v>
      </c>
      <c r="J126" s="7">
        <v>0</v>
      </c>
      <c r="K126" s="89" t="str">
        <f t="shared" si="25"/>
        <v>4029/4030</v>
      </c>
      <c r="L126" s="21" t="str">
        <f>VLOOKUP(A126,'Trips&amp;Operators'!$C$1:$G$99999,5,FALSE)</f>
        <v>BRANDNER MELINDA</v>
      </c>
      <c r="M126" s="6">
        <f t="shared" si="26"/>
        <v>2.6273148148902692E-2</v>
      </c>
      <c r="N126" s="7">
        <f t="shared" si="45"/>
        <v>37.833333334419876</v>
      </c>
      <c r="O126" s="7"/>
      <c r="P126" s="7"/>
      <c r="Q126" s="22"/>
      <c r="R126" s="170"/>
      <c r="S126" s="213">
        <f t="shared" si="44"/>
        <v>1</v>
      </c>
      <c r="T126" s="195" t="str">
        <f t="shared" si="28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-06-19T16:26:27-0600',mode:absolute,to:'2017-06-19T19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7" t="str">
        <f>IF(AA126&lt;VLOOKUP(AG126,Variables!$AC$3:$AD$8,2,FALSE),"Y","N")</f>
        <v>N</v>
      </c>
      <c r="X126" s="197">
        <f t="shared" si="41"/>
        <v>1</v>
      </c>
      <c r="Y126" s="197">
        <f t="shared" si="35"/>
        <v>4.6399999999999997E-2</v>
      </c>
      <c r="Z126" s="197">
        <f t="shared" si="36"/>
        <v>23.336600000000001</v>
      </c>
      <c r="AA126" s="197">
        <f t="shared" si="30"/>
        <v>23.290200000000002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1"/>
        <v>211</v>
      </c>
      <c r="AE126" s="77" t="str">
        <f t="shared" si="32"/>
        <v>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 &amp; aws s3 cp s3://rtdc.mdm.uploadarchive.raw/RTDC4030/ "%USERPROFILE%\AppData\Local\Temp\OnboardLogs"\RTDC4030\2017-06-20 --exclude "*" --recursive --include "*20170620*" &amp; "%USERPROFILE%\Documents\GitHub\mrs-test-scripts\Headless Mode &amp; Sideloading\WalkAndUnGZ.bat" "%USERPROFILE%\AppData\Local\Temp\OnboardLogs"\RTDC4030\2017-06-20</v>
      </c>
      <c r="AF126" s="74" t="str">
        <f t="shared" si="33"/>
        <v>"C:\Program Files (x86)\AstroGrep\AstroGrep.exe" /e /r /s /spath="%USERPROFILE%\AppData\Local\Temp\OnboardLogs" /stypes="app*4030*20170620*" /stext=" 00:.+((SYSTEM_STATE.+slice.+state.+changed )|(ment ac)|(multiple cpu faults)|(system.+state.+changed )|(\[timeout)|(PRM\|1\|D)|(kpr)|(kdp)|(train st.+moving)|(\|lc)|(penalty))"</v>
      </c>
      <c r="AG126" s="209" t="str">
        <f t="shared" si="34"/>
        <v>EC</v>
      </c>
      <c r="AH126" s="78" t="str">
        <f t="shared" si="37"/>
        <v>"%USERPROFILE%\Documents\GitHub\eaglep3\Utilities\RefineRTDCRunTimes.py" --tripid 211-19 --locoid 4030 --swversion DE.1.0.9.0 --startMP 204:464 --initTime 2017-06-19T17:26:27 --startdatetime 2017-06-19T17:30:12 --delay 2 --endMP 204:233366 --enddatetime 2017-06-19T18:08:02 --enforcementcount 0 &gt;&gt;C:\Users\stu\Documents\GitHub\eaglep3-reporting\EC\2017-06-19-refined-times.txt</v>
      </c>
      <c r="AI12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{"issue":{"subject":"","project_id":79,"tracker_id":40,"status_id":1,"priority_id":2,"assigned_to_id":23,"start_date":"2017-06-19","description":"","custom_fields":[{"id":1,"name":"Subdivision","value":"EC"},{"id":4,"name":"Milepost","value":"23.3366"},{"id":17,"name":"Train ID","value":"211-19"},{"id":16,"name":"Locomotive ID","value":"4030"},{"id":130,"name":"Impact","value":""},{"id":150,"name":"Time of Event (Mountain Time)","value":"18:08:02"},{"id":151,"name":"Denver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4030 --day 2017-06-19</v>
      </c>
      <c r="AN126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828</v>
      </c>
      <c r="B127" s="7">
        <v>4029</v>
      </c>
      <c r="C127" s="21" t="s">
        <v>202</v>
      </c>
      <c r="D127" s="21" t="s">
        <v>589</v>
      </c>
      <c r="E127" s="13">
        <v>42905.76494212963</v>
      </c>
      <c r="F127" s="13">
        <v>42905.76898148148</v>
      </c>
      <c r="G127" s="7">
        <v>1</v>
      </c>
      <c r="H127" s="21" t="s">
        <v>508</v>
      </c>
      <c r="I127" s="13">
        <v>42905.795995370368</v>
      </c>
      <c r="J127" s="7">
        <v>0</v>
      </c>
      <c r="K127" s="89" t="str">
        <f t="shared" si="25"/>
        <v>4029/4030</v>
      </c>
      <c r="L127" s="21" t="str">
        <f>VLOOKUP(A127,'Trips&amp;Operators'!$C$1:$G$99999,5,FALSE)</f>
        <v>BRANDNER MELINDA</v>
      </c>
      <c r="M127" s="6">
        <f t="shared" si="26"/>
        <v>2.7013888888177462E-2</v>
      </c>
      <c r="N127" s="7">
        <f t="shared" si="45"/>
        <v>38.899999998975545</v>
      </c>
      <c r="O127" s="7"/>
      <c r="P127" s="7"/>
      <c r="Q127" s="22"/>
      <c r="R127" s="170"/>
      <c r="S127" s="213">
        <f t="shared" si="44"/>
        <v>1</v>
      </c>
      <c r="T127" s="195" t="str">
        <f t="shared" si="28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-06-19T17:21:31-0600',mode:absolute,to:'2017-06-19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7" t="str">
        <f>IF(AA127&lt;VLOOKUP(AG127,Variables!$AC$3:$AD$8,2,FALSE),"Y","N")</f>
        <v>N</v>
      </c>
      <c r="X127" s="197">
        <f t="shared" si="41"/>
        <v>1</v>
      </c>
      <c r="Y127" s="197">
        <f t="shared" si="35"/>
        <v>23.304200000000002</v>
      </c>
      <c r="Z127" s="197">
        <f t="shared" si="36"/>
        <v>1.34E-2</v>
      </c>
      <c r="AA127" s="197">
        <f t="shared" si="30"/>
        <v>23.290800000000001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1"/>
        <v>212</v>
      </c>
      <c r="AE127" s="77" t="str">
        <f t="shared" si="32"/>
        <v>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 &amp; aws s3 cp s3://rtdc.mdm.uploadarchive.raw/RTDC4029/ "%USERPROFILE%\AppData\Local\Temp\OnboardLogs"\RTDC4029\2017-06-20 --exclude "*" --recursive --include "*20170620*" &amp; "%USERPROFILE%\Documents\GitHub\mrs-test-scripts\Headless Mode &amp; Sideloading\WalkAndUnGZ.bat" "%USERPROFILE%\AppData\Local\Temp\OnboardLogs"\RTDC4029\2017-06-20</v>
      </c>
      <c r="AF127" s="74" t="str">
        <f t="shared" si="33"/>
        <v>"C:\Program Files (x86)\AstroGrep\AstroGrep.exe" /e /r /s /spath="%USERPROFILE%\AppData\Local\Temp\OnboardLogs" /stypes="app*4029*20170620*" /stext=" 01:.+((SYSTEM_STATE.+slice.+state.+changed )|(ment ac)|(multiple cpu faults)|(system.+state.+changed )|(\[timeout)|(PRM\|1\|D)|(kpr)|(kdp)|(train st.+moving)|(\|lc)|(penalty))"</v>
      </c>
      <c r="AG127" s="209" t="str">
        <f t="shared" si="34"/>
        <v>EC</v>
      </c>
      <c r="AH127" s="78" t="str">
        <f t="shared" si="37"/>
        <v>"%USERPROFILE%\Documents\GitHub\eaglep3\Utilities\RefineRTDCRunTimes.py" --tripid 212-19 --locoid 4029 --swversion DE.1.0.9.0 --startMP 204:233042 --initTime 2017-06-19T18:21:31 --startdatetime 2017-06-19T18:27:20 --delay 1 --endMP 204:134 --enddatetime 2017-06-19T19:06:14 --enforcementcount 0 &gt;&gt;C:\Users\stu\Documents\GitHub\eaglep3-reporting\EC\2017-06-19-refined-times.txt</v>
      </c>
      <c r="AI127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{"issue":{"subject":"","project_id":79,"tracker_id":40,"status_id":1,"priority_id":2,"assigned_to_id":23,"start_date":"2017-06-19","description":"","custom_fields":[{"id":1,"name":"Subdivision","value":"EC"},{"id":4,"name":"Milepost","value":"0.0134"},{"id":17,"name":"Train ID","value":"212-19"},{"id":16,"name":"Locomotive ID","value":"4029"},{"id":130,"name":"Impact","value":""},{"id":150,"name":"Time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4029 --day 2017-06-19</v>
      </c>
      <c r="AN127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818</v>
      </c>
      <c r="B128" s="7">
        <v>4054</v>
      </c>
      <c r="C128" s="21" t="s">
        <v>202</v>
      </c>
      <c r="D128" s="21" t="s">
        <v>926</v>
      </c>
      <c r="E128" s="13">
        <v>42905.737939814811</v>
      </c>
      <c r="F128" s="13">
        <v>42905.740428240744</v>
      </c>
      <c r="G128" s="7">
        <v>2</v>
      </c>
      <c r="H128" s="21" t="s">
        <v>590</v>
      </c>
      <c r="I128" s="13">
        <v>42905.765810185185</v>
      </c>
      <c r="J128" s="7">
        <v>0</v>
      </c>
      <c r="K128" s="89" t="str">
        <f t="shared" si="25"/>
        <v>4053/4054</v>
      </c>
      <c r="L128" s="21" t="str">
        <f>VLOOKUP(A128,'Trips&amp;Operators'!$C$1:$G$99999,5,FALSE)</f>
        <v>HART KEVIN</v>
      </c>
      <c r="M128" s="6">
        <f t="shared" si="26"/>
        <v>2.5381944440596271E-2</v>
      </c>
      <c r="N128" s="7">
        <f t="shared" si="45"/>
        <v>36.549999994458631</v>
      </c>
      <c r="O128" s="7"/>
      <c r="P128" s="7"/>
      <c r="Q128" s="22"/>
      <c r="R128" s="170"/>
      <c r="S128" s="213">
        <f t="shared" si="44"/>
        <v>1</v>
      </c>
      <c r="T128" s="195" t="str">
        <f t="shared" si="28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-06-19T16:42:38-0600',mode:absolute,to:'2017-06-19T19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197" t="str">
        <f>IF(AA128&lt;VLOOKUP(AG128,Variables!$AC$3:$AD$8,2,FALSE),"Y","N")</f>
        <v>N</v>
      </c>
      <c r="X128" s="197">
        <f t="shared" si="41"/>
        <v>1</v>
      </c>
      <c r="Y128" s="197">
        <f t="shared" si="35"/>
        <v>4.2599999999999999E-2</v>
      </c>
      <c r="Z128" s="197">
        <f t="shared" si="36"/>
        <v>23.329899999999999</v>
      </c>
      <c r="AA128" s="197">
        <f t="shared" si="30"/>
        <v>23.287299999999998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1"/>
        <v>213</v>
      </c>
      <c r="AE128" s="77" t="str">
        <f t="shared" si="3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28" s="74" t="str">
        <f t="shared" si="33"/>
        <v>"C:\Program Files (x86)\AstroGrep\AstroGrep.exe" /e /r /s /spath="%USERPROFILE%\AppData\Local\Temp\OnboardLogs" /stypes="app*4054*20170620*" /stext=" 00:.+((SYSTEM_STATE.+slice.+state.+changed )|(ment ac)|(multiple cpu faults)|(system.+state.+changed )|(\[timeout)|(PRM\|1\|D)|(kpr)|(kdp)|(train st.+moving)|(\|lc)|(penalty))"</v>
      </c>
      <c r="AG128" s="209" t="str">
        <f t="shared" si="34"/>
        <v>EC</v>
      </c>
      <c r="AH128" s="78" t="str">
        <f t="shared" si="37"/>
        <v>"%USERPROFILE%\Documents\GitHub\eaglep3\Utilities\RefineRTDCRunTimes.py" --tripid 213-19 --locoid 4054 --swversion DE.1.0.9.0 --startMP 204:426 --initTime 2017-06-19T17:42:38 --startdatetime 2017-06-19T17:46:13 --delay 2 --endMP 204:233299 --enddatetime 2017-06-19T18:22:46 --enforcementcount 0 &gt;&gt;C:\Users\stu\Documents\GitHub\eaglep3-reporting\EC\2017-06-19-refined-times.txt</v>
      </c>
      <c r="AI12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{"issue":{"subject":"","project_id":79,"tracker_id":40,"status_id":1,"priority_id":2,"assigned_to_id":23,"start_date":"2017-06-19","description":"","custom_fields":[{"id":1,"name":"Subdivision","value":"EC"},{"id":4,"name":"Milepost","value":"23.3299"},{"id":17,"name":"Train ID","value":"213-19"},{"id":16,"name":"Locomotive ID","value":"4054"},{"id":130,"name":"Impact","value":""},{"id":150,"name":"Time of Event (Mountain Time)","value":"18:22:46"},{"id":151,"name":"Denver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4054 --day 2017-06-19</v>
      </c>
      <c r="AN128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829</v>
      </c>
      <c r="B129" s="7">
        <v>4053</v>
      </c>
      <c r="C129" s="21" t="s">
        <v>202</v>
      </c>
      <c r="D129" s="21" t="s">
        <v>502</v>
      </c>
      <c r="E129" s="13">
        <v>42905.769143518519</v>
      </c>
      <c r="F129" s="13">
        <v>42905.779803240737</v>
      </c>
      <c r="G129" s="7">
        <v>1</v>
      </c>
      <c r="H129" s="21" t="s">
        <v>349</v>
      </c>
      <c r="I129" s="13">
        <v>42905.805474537039</v>
      </c>
      <c r="J129" s="7">
        <v>0</v>
      </c>
      <c r="K129" s="89" t="str">
        <f t="shared" si="25"/>
        <v>4053/4054</v>
      </c>
      <c r="L129" s="21" t="str">
        <f>VLOOKUP(A129,'Trips&amp;Operators'!$C$1:$G$99999,5,FALSE)</f>
        <v>HART KEVIN</v>
      </c>
      <c r="M129" s="6">
        <f t="shared" si="26"/>
        <v>2.567129630187992E-2</v>
      </c>
      <c r="N129" s="7">
        <f t="shared" si="45"/>
        <v>36.966666674707085</v>
      </c>
      <c r="O129" s="7"/>
      <c r="P129" s="7"/>
      <c r="Q129" s="22"/>
      <c r="R129" s="170"/>
      <c r="S129" s="213">
        <f t="shared" si="44"/>
        <v>1</v>
      </c>
      <c r="T129" s="195" t="str">
        <f t="shared" si="28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-06-19T17:27:34-0600',mode:absolute,to:'2017-06-19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197" t="str">
        <f>IF(AA129&lt;VLOOKUP(AG129,Variables!$AC$3:$AD$8,2,FALSE),"Y","N")</f>
        <v>N</v>
      </c>
      <c r="X129" s="197">
        <f t="shared" si="41"/>
        <v>1</v>
      </c>
      <c r="Y129" s="197">
        <f t="shared" si="35"/>
        <v>23.298400000000001</v>
      </c>
      <c r="Z129" s="197">
        <f t="shared" si="36"/>
        <v>1.49E-2</v>
      </c>
      <c r="AA129" s="197">
        <f t="shared" si="30"/>
        <v>23.2835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1"/>
        <v>214</v>
      </c>
      <c r="AE129" s="77" t="str">
        <f t="shared" si="3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29" s="74" t="str">
        <f t="shared" si="33"/>
        <v>"C:\Program Files (x86)\AstroGrep\AstroGrep.exe" /e /r /s /spath="%USERPROFILE%\AppData\Local\Temp\OnboardLogs" /stypes="app*4053*20170620*" /stext=" 01:.+((SYSTEM_STATE.+slice.+state.+changed )|(ment ac)|(multiple cpu faults)|(system.+state.+changed )|(\[timeout)|(PRM\|1\|D)|(kpr)|(kdp)|(train st.+moving)|(\|lc)|(penalty))"</v>
      </c>
      <c r="AG129" s="209" t="str">
        <f t="shared" si="34"/>
        <v>EC</v>
      </c>
      <c r="AH129" s="78" t="str">
        <f t="shared" si="37"/>
        <v>"%USERPROFILE%\Documents\GitHub\eaglep3\Utilities\RefineRTDCRunTimes.py" --tripid 214-19 --locoid 4053 --swversion DE.1.0.9.0 --startMP 204:232984 --initTime 2017-06-19T18:27:34 --startdatetime 2017-06-19T18:42:55 --delay 1 --endMP 204:149 --enddatetime 2017-06-19T19:19:53 --enforcementcount 0 &gt;&gt;C:\Users\stu\Documents\GitHub\eaglep3-reporting\EC\2017-06-19-refined-times.txt</v>
      </c>
      <c r="AI12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ID","value":"214-19"},{"id":16,"name":"Locomotive ID","value":"4053"},{"id":130,"name":"Impact","value":""},{"id":150,"name":"Time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4053 --day 2017-06-19</v>
      </c>
      <c r="AN129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823</v>
      </c>
      <c r="B130" s="7">
        <v>4050</v>
      </c>
      <c r="C130" s="21" t="s">
        <v>202</v>
      </c>
      <c r="D130" s="21" t="s">
        <v>343</v>
      </c>
      <c r="E130" s="13">
        <v>42905.745023148149</v>
      </c>
      <c r="F130" s="13">
        <v>42905.750150462962</v>
      </c>
      <c r="G130" s="7">
        <v>1</v>
      </c>
      <c r="H130" s="21" t="s">
        <v>591</v>
      </c>
      <c r="I130" s="13">
        <v>42905.775405092594</v>
      </c>
      <c r="J130" s="7">
        <v>0</v>
      </c>
      <c r="K130" s="89" t="str">
        <f t="shared" si="25"/>
        <v>4049/4050</v>
      </c>
      <c r="L130" s="21" t="str">
        <f>VLOOKUP(A130,'Trips&amp;Operators'!$C$1:$G$99999,5,FALSE)</f>
        <v>MCREYNOLDS KYLE</v>
      </c>
      <c r="M130" s="6">
        <f t="shared" si="26"/>
        <v>2.5254629632399883E-2</v>
      </c>
      <c r="N130" s="7">
        <f t="shared" si="45"/>
        <v>36.366666670655832</v>
      </c>
      <c r="O130" s="7"/>
      <c r="P130" s="7"/>
      <c r="Q130" s="22"/>
      <c r="R130" s="170"/>
      <c r="S130" s="213">
        <f t="shared" si="44"/>
        <v>1</v>
      </c>
      <c r="T130" s="195" t="str">
        <f t="shared" si="28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-06-19T16:52:50-0600',mode:absolute,to:'2017-06-19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197" t="str">
        <f>IF(AA130&lt;VLOOKUP(AG130,Variables!$AC$3:$AD$8,2,FALSE),"Y","N")</f>
        <v>N</v>
      </c>
      <c r="X130" s="197">
        <f t="shared" si="41"/>
        <v>1</v>
      </c>
      <c r="Y130" s="197">
        <f t="shared" si="35"/>
        <v>4.4900000000000002E-2</v>
      </c>
      <c r="Z130" s="197">
        <f t="shared" si="36"/>
        <v>23.3368</v>
      </c>
      <c r="AA130" s="197">
        <f t="shared" si="30"/>
        <v>23.291900000000002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1"/>
        <v>215</v>
      </c>
      <c r="AE130" s="77" t="str">
        <f t="shared" si="3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130" s="74" t="str">
        <f t="shared" si="33"/>
        <v>"C:\Program Files (x86)\AstroGrep\AstroGrep.exe" /e /r /s /spath="%USERPROFILE%\AppData\Local\Temp\OnboardLogs" /stypes="app*4050*20170620*" /stext=" 00:.+((SYSTEM_STATE.+slice.+state.+changed )|(ment ac)|(multiple cpu faults)|(system.+state.+changed )|(\[timeout)|(PRM\|1\|D)|(kpr)|(kdp)|(train st.+moving)|(\|lc)|(penalty))"</v>
      </c>
      <c r="AG130" s="209" t="str">
        <f t="shared" si="34"/>
        <v>EC</v>
      </c>
      <c r="AH130" s="78" t="str">
        <f t="shared" si="37"/>
        <v>"%USERPROFILE%\Documents\GitHub\eaglep3\Utilities\RefineRTDCRunTimes.py" --tripid 215-19 --locoid 4050 --swversion DE.1.0.9.0 --startMP 204:449 --initTime 2017-06-19T17:52:50 --startdatetime 2017-06-19T18:00:13 --delay 1 --endMP 204:233368 --enddatetime 2017-06-19T18:36:35 --enforcementcount 0 &gt;&gt;C:\Users\stu\Documents\GitHub\eaglep3-reporting\EC\2017-06-19-refined-times.txt</v>
      </c>
      <c r="AI13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{"issue":{"subject":"","project_id":79,"tracker_id":40,"status_id":1,"priority_id":2,"assigned_to_id":23,"start_date":"2017-06-19","description":"","custom_fields":[{"id":1,"name":"Subdivision","value":"EC"},{"id":4,"name":"Milepost","value":"23.3368"},{"id":17,"name":"Train ID","value":"215-19"},{"id":16,"name":"Locomotive ID","value":"4050"},{"id":130,"name":"Impact","value":""},{"id":150,"name":"Time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4050 --day 2017-06-19</v>
      </c>
      <c r="AN130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831</v>
      </c>
      <c r="B131" s="7">
        <v>4049</v>
      </c>
      <c r="C131" s="21" t="s">
        <v>202</v>
      </c>
      <c r="D131" s="21" t="s">
        <v>927</v>
      </c>
      <c r="E131" s="13">
        <v>42905.783217592594</v>
      </c>
      <c r="F131" s="13">
        <v>42905.789756944447</v>
      </c>
      <c r="G131" s="7">
        <v>1</v>
      </c>
      <c r="H131" s="21" t="s">
        <v>475</v>
      </c>
      <c r="I131" s="13">
        <v>42905.815833333334</v>
      </c>
      <c r="J131" s="7">
        <v>0</v>
      </c>
      <c r="K131" s="89" t="str">
        <f t="shared" si="25"/>
        <v>4049/4050</v>
      </c>
      <c r="L131" s="21" t="str">
        <f>VLOOKUP(A131,'Trips&amp;Operators'!$C$1:$G$99999,5,FALSE)</f>
        <v>MCREYNOLDS KYLE</v>
      </c>
      <c r="M131" s="6">
        <f t="shared" si="26"/>
        <v>2.6076388887304347E-2</v>
      </c>
      <c r="N131" s="7">
        <f t="shared" si="45"/>
        <v>37.54999999771826</v>
      </c>
      <c r="O131" s="7"/>
      <c r="P131" s="7"/>
      <c r="Q131" s="22"/>
      <c r="R131" s="170"/>
      <c r="S131" s="213">
        <f t="shared" si="44"/>
        <v>1</v>
      </c>
      <c r="T131" s="195" t="str">
        <f t="shared" si="28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-06-19T17:47:50-0600',mode:absolute,to:'2017-06-19T20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197" t="str">
        <f>IF(AA131&lt;VLOOKUP(AG131,Variables!$AC$3:$AD$8,2,FALSE),"Y","N")</f>
        <v>N</v>
      </c>
      <c r="X131" s="197">
        <f t="shared" si="41"/>
        <v>1</v>
      </c>
      <c r="Y131" s="197">
        <f t="shared" si="35"/>
        <v>23.3047</v>
      </c>
      <c r="Z131" s="197">
        <f t="shared" si="36"/>
        <v>1.6E-2</v>
      </c>
      <c r="AA131" s="197">
        <f t="shared" si="30"/>
        <v>23.288700000000002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1"/>
        <v>216</v>
      </c>
      <c r="AE131" s="77" t="str">
        <f t="shared" si="3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131" s="74" t="str">
        <f t="shared" si="33"/>
        <v>"C:\Program Files (x86)\AstroGrep\AstroGrep.exe" /e /r /s /spath="%USERPROFILE%\AppData\Local\Temp\OnboardLogs" /stypes="app*4049*20170620*" /stext=" 01:.+((SYSTEM_STATE.+slice.+state.+changed )|(ment ac)|(multiple cpu faults)|(system.+state.+changed )|(\[timeout)|(PRM\|1\|D)|(kpr)|(kdp)|(train st.+moving)|(\|lc)|(penalty))"</v>
      </c>
      <c r="AG131" s="209" t="str">
        <f t="shared" si="34"/>
        <v>EC</v>
      </c>
      <c r="AH131" s="78" t="str">
        <f t="shared" si="37"/>
        <v>"%USERPROFILE%\Documents\GitHub\eaglep3\Utilities\RefineRTDCRunTimes.py" --tripid 216-19 --locoid 4049 --swversion DE.1.0.9.0 --startMP 204:233047 --initTime 2017-06-19T18:47:50 --startdatetime 2017-06-19T18:57:15 --delay 1 --endMP 204:160 --enddatetime 2017-06-19T19:34:48 --enforcementcount 0 &gt;&gt;C:\Users\stu\Documents\GitHub\eaglep3-reporting\EC\2017-06-19-refined-times.txt</v>
      </c>
      <c r="AI13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{"issue":{"subject":"","project_id":79,"tracker_id":40,"status_id":1,"priority_id":2,"assigned_to_id":23,"start_date":"2017-06-19","description":"","custom_fields":[{"id":1,"name":"Subdivision","value":"EC"},{"id":4,"name":"Milepost","value":"0.016"},{"id":17,"name":"Train ID","value":"216-19"},{"id":16,"name":"Locomotive ID","value":"4049"},{"id":130,"name":"Impact","value":""},{"id":150,"name":"Time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4049 --day 2017-06-19</v>
      </c>
      <c r="AN131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825</v>
      </c>
      <c r="B132" s="7">
        <v>4018</v>
      </c>
      <c r="C132" s="21" t="s">
        <v>202</v>
      </c>
      <c r="D132" s="21" t="s">
        <v>492</v>
      </c>
      <c r="E132" s="13">
        <v>42905.756724537037</v>
      </c>
      <c r="F132" s="13">
        <v>42905.760636574072</v>
      </c>
      <c r="G132" s="7">
        <v>1</v>
      </c>
      <c r="H132" s="21" t="s">
        <v>392</v>
      </c>
      <c r="I132" s="13">
        <v>42905.786041666666</v>
      </c>
      <c r="J132" s="7">
        <v>0</v>
      </c>
      <c r="K132" s="89" t="str">
        <f t="shared" si="25"/>
        <v>4017/4018</v>
      </c>
      <c r="L132" s="21" t="str">
        <f>VLOOKUP(A132,'Trips&amp;Operators'!$C$1:$G$99999,5,FALSE)</f>
        <v>HAITHCOX MICHAEL</v>
      </c>
      <c r="M132" s="6">
        <f t="shared" si="26"/>
        <v>2.5405092594155576E-2</v>
      </c>
      <c r="N132" s="7">
        <f t="shared" si="45"/>
        <v>36.58333333558403</v>
      </c>
      <c r="O132" s="7"/>
      <c r="P132" s="7"/>
      <c r="Q132" s="22"/>
      <c r="R132" s="170"/>
      <c r="S132" s="213">
        <f t="shared" si="44"/>
        <v>1</v>
      </c>
      <c r="T132" s="195" t="str">
        <f t="shared" si="28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-06-19T17:09:41-0600',mode:absolute,to:'2017-06-19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197" t="str">
        <f>IF(AA132&lt;VLOOKUP(AG132,Variables!$AC$3:$AD$8,2,FALSE),"Y","N")</f>
        <v>N</v>
      </c>
      <c r="X132" s="197">
        <f t="shared" si="41"/>
        <v>1</v>
      </c>
      <c r="Y132" s="197">
        <f t="shared" si="35"/>
        <v>4.3799999999999999E-2</v>
      </c>
      <c r="Z132" s="197">
        <f t="shared" si="36"/>
        <v>23.3293</v>
      </c>
      <c r="AA132" s="197">
        <f t="shared" si="30"/>
        <v>23.285499999999999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1"/>
        <v>217</v>
      </c>
      <c r="AE132" s="77" t="str">
        <f t="shared" si="3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132" s="74" t="str">
        <f t="shared" si="33"/>
        <v>"C:\Program Files (x86)\AstroGrep\AstroGrep.exe" /e /r /s /spath="%USERPROFILE%\AppData\Local\Temp\OnboardLogs" /stypes="app*4018*20170620*" /stext=" 00:.+((SYSTEM_STATE.+slice.+state.+changed )|(ment ac)|(multiple cpu faults)|(system.+state.+changed )|(\[timeout)|(PRM\|1\|D)|(kpr)|(kdp)|(train st.+moving)|(\|lc)|(penalty))"</v>
      </c>
      <c r="AG132" s="209" t="str">
        <f t="shared" si="34"/>
        <v>EC</v>
      </c>
      <c r="AH132" s="78" t="str">
        <f t="shared" si="37"/>
        <v>"%USERPROFILE%\Documents\GitHub\eaglep3\Utilities\RefineRTDCRunTimes.py" --tripid 217-19 --locoid 4018 --swversion DE.1.0.9.0 --startMP 204:438 --initTime 2017-06-19T18:09:41 --startdatetime 2017-06-19T18:15:19 --delay 1 --endMP 204:233293 --enddatetime 2017-06-19T18:51:54 --enforcementcount 0 &gt;&gt;C:\Users\stu\Documents\GitHub\eaglep3-reporting\EC\2017-06-19-refined-times.txt</v>
      </c>
      <c r="AI132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{"issue":{"subject":"","project_id":79,"tracker_id":40,"status_id":1,"priority_id":2,"assigned_to_id":23,"start_date":"2017-06-19","description":"","custom_fields":[{"id":1,"name":"Subdivision","value":"EC"},{"id":4,"name":"Milepost","value":"23.3293"},{"id":17,"name":"Train ID","value":"217-19"},{"id":16,"name":"Locomotive ID","value":"4018"},{"id":130,"name":"Impact","value":""},{"id":150,"name":"Time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4018 --day 2017-06-19</v>
      </c>
      <c r="AN132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833</v>
      </c>
      <c r="B133" s="7">
        <v>4017</v>
      </c>
      <c r="C133" s="21" t="s">
        <v>202</v>
      </c>
      <c r="D133" s="21" t="s">
        <v>539</v>
      </c>
      <c r="E133" s="13">
        <v>42905.795740740738</v>
      </c>
      <c r="F133" s="13">
        <v>42905.800196759257</v>
      </c>
      <c r="G133" s="7">
        <v>1</v>
      </c>
      <c r="H133" s="21" t="s">
        <v>419</v>
      </c>
      <c r="I133" s="13">
        <v>42905.827581018515</v>
      </c>
      <c r="J133" s="7">
        <v>0</v>
      </c>
      <c r="K133" s="89" t="str">
        <f t="shared" si="25"/>
        <v>4017/4018</v>
      </c>
      <c r="L133" s="21" t="str">
        <f>VLOOKUP(A133,'Trips&amp;Operators'!$C$1:$G$99999,5,FALSE)</f>
        <v>HAITHCOX MICHAEL</v>
      </c>
      <c r="M133" s="6">
        <f t="shared" si="26"/>
        <v>2.7384259257814847E-2</v>
      </c>
      <c r="N133" s="7">
        <f t="shared" si="45"/>
        <v>39.43333333125338</v>
      </c>
      <c r="O133" s="7"/>
      <c r="P133" s="7"/>
      <c r="Q133" s="22"/>
      <c r="R133" s="170"/>
      <c r="S133" s="213">
        <f t="shared" si="44"/>
        <v>1</v>
      </c>
      <c r="T133" s="195" t="str">
        <f t="shared" si="28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-06-19T18:05:52-0600',mode:absolute,to:'2017-06-19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197" t="str">
        <f>IF(AA133&lt;VLOOKUP(AG133,Variables!$AC$3:$AD$8,2,FALSE),"Y","N")</f>
        <v>N</v>
      </c>
      <c r="X133" s="197">
        <f t="shared" si="41"/>
        <v>1</v>
      </c>
      <c r="Y133" s="197">
        <f t="shared" si="35"/>
        <v>23.2988</v>
      </c>
      <c r="Z133" s="197">
        <f t="shared" si="36"/>
        <v>1.4500000000000001E-2</v>
      </c>
      <c r="AA133" s="197">
        <f t="shared" si="30"/>
        <v>23.284299999999998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1"/>
        <v>218</v>
      </c>
      <c r="AE133" s="77" t="str">
        <f t="shared" si="3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133" s="74" t="str">
        <f t="shared" si="33"/>
        <v>"C:\Program Files (x86)\AstroGrep\AstroGrep.exe" /e /r /s /spath="%USERPROFILE%\AppData\Local\Temp\OnboardLogs" /stypes="app*4017*20170620*" /stext=" 01:.+((SYSTEM_STATE.+slice.+state.+changed )|(ment ac)|(multiple cpu faults)|(system.+state.+changed )|(\[timeout)|(PRM\|1\|D)|(kpr)|(kdp)|(train st.+moving)|(\|lc)|(penalty))"</v>
      </c>
      <c r="AG133" s="209" t="str">
        <f t="shared" si="34"/>
        <v>EC</v>
      </c>
      <c r="AH133" s="78" t="str">
        <f t="shared" si="37"/>
        <v>"%USERPROFILE%\Documents\GitHub\eaglep3\Utilities\RefineRTDCRunTimes.py" --tripid 218-19 --locoid 4017 --swversion DE.1.0.9.0 --startMP 204:232988 --initTime 2017-06-19T19:05:52 --startdatetime 2017-06-19T19:12:17 --delay 1 --endMP 204:145 --enddatetime 2017-06-19T19:51:43 --enforcementcount 0 &gt;&gt;C:\Users\stu\Documents\GitHub\eaglep3-reporting\EC\2017-06-19-refined-times.txt</v>
      </c>
      <c r="AI133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ID","value":"218-19"},{"id":16,"name":"Locomotive ID","value":"4017"},{"id":130,"name":"Impact","value":""},{"id":150,"name":"Time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4017 --day 2017-06-19</v>
      </c>
      <c r="AN133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827</v>
      </c>
      <c r="B134" s="7">
        <v>4044</v>
      </c>
      <c r="C134" s="21" t="s">
        <v>202</v>
      </c>
      <c r="D134" s="21" t="s">
        <v>503</v>
      </c>
      <c r="E134" s="13">
        <v>42905.764884259261</v>
      </c>
      <c r="F134" s="13">
        <v>42905.771006944444</v>
      </c>
      <c r="G134" s="7">
        <v>1</v>
      </c>
      <c r="H134" s="21" t="s">
        <v>584</v>
      </c>
      <c r="I134" s="13">
        <v>42905.797025462962</v>
      </c>
      <c r="J134" s="7">
        <v>0</v>
      </c>
      <c r="K134" s="89" t="str">
        <f t="shared" si="25"/>
        <v>4043/4044</v>
      </c>
      <c r="L134" s="21" t="str">
        <f>VLOOKUP(A134,'Trips&amp;Operators'!$C$1:$G$99999,5,FALSE)</f>
        <v>GUZMAN DANNY</v>
      </c>
      <c r="M134" s="6">
        <f t="shared" si="26"/>
        <v>2.6018518517958E-2</v>
      </c>
      <c r="N134" s="7">
        <f t="shared" si="45"/>
        <v>37.46666666585952</v>
      </c>
      <c r="O134" s="7"/>
      <c r="P134" s="7"/>
      <c r="Q134" s="22"/>
      <c r="R134" s="170"/>
      <c r="S134" s="213">
        <f t="shared" si="44"/>
        <v>1</v>
      </c>
      <c r="T134" s="195" t="str">
        <f t="shared" si="28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-06-19T17:21:26-0600',mode:absolute,to:'2017-06-19T20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97" t="str">
        <f>IF(AA134&lt;VLOOKUP(AG134,Variables!$AC$3:$AD$8,2,FALSE),"Y","N")</f>
        <v>N</v>
      </c>
      <c r="X134" s="197">
        <f t="shared" si="41"/>
        <v>1</v>
      </c>
      <c r="Y134" s="197">
        <f t="shared" si="35"/>
        <v>4.7500000000000001E-2</v>
      </c>
      <c r="Z134" s="197">
        <f t="shared" si="36"/>
        <v>23.331900000000001</v>
      </c>
      <c r="AA134" s="197">
        <f t="shared" si="30"/>
        <v>23.284400000000002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1"/>
        <v>219</v>
      </c>
      <c r="AE134" s="77" t="str">
        <f t="shared" si="3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34" s="74" t="str">
        <f t="shared" si="33"/>
        <v>"C:\Program Files (x86)\AstroGrep\AstroGrep.exe" /e /r /s /spath="%USERPROFILE%\AppData\Local\Temp\OnboardLogs" /stypes="app*4044*20170620*" /stext=" 01:.+((SYSTEM_STATE.+slice.+state.+changed )|(ment ac)|(multiple cpu faults)|(system.+state.+changed )|(\[timeout)|(PRM\|1\|D)|(kpr)|(kdp)|(train st.+moving)|(\|lc)|(penalty))"</v>
      </c>
      <c r="AG134" s="209" t="str">
        <f t="shared" si="34"/>
        <v>EC</v>
      </c>
      <c r="AH134" s="78" t="str">
        <f t="shared" si="37"/>
        <v>"%USERPROFILE%\Documents\GitHub\eaglep3\Utilities\RefineRTDCRunTimes.py" --tripid 219-19 --locoid 4044 --swversion DE.1.0.9.0 --startMP 204:475 --initTime 2017-06-19T18:21:26 --startdatetime 2017-06-19T18:30:15 --delay 1 --endMP 204:233319 --enddatetime 2017-06-19T19:07:43 --enforcementcount 0 &gt;&gt;C:\Users\stu\Documents\GitHub\eaglep3-reporting\EC\2017-06-19-refined-times.txt</v>
      </c>
      <c r="AI134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{"issue":{"subject":"","project_id":79,"tracker_id":40,"status_id":1,"priority_id":2,"assigned_to_id":23,"start_date":"2017-06-19","description":"","custom_fields":[{"id":1,"name":"Subdivision","value":"EC"},{"id":4,"name":"Milepost","value":"23.3319"},{"id":17,"name":"Train ID","value":"219-19"},{"id":16,"name":"Locomotive ID","value":"4044"},{"id":130,"name":"Impact","value":""},{"id":150,"name":"Time of Event (Mountain Time)","value":"19:07:43"},{"id":151,"name":"Denver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4044 --day 2017-06-19</v>
      </c>
      <c r="AN134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836</v>
      </c>
      <c r="B135" s="7">
        <v>4043</v>
      </c>
      <c r="C135" s="21" t="s">
        <v>202</v>
      </c>
      <c r="D135" s="21" t="s">
        <v>454</v>
      </c>
      <c r="E135" s="13">
        <v>42905.801238425927</v>
      </c>
      <c r="F135" s="13">
        <v>42905.810648148145</v>
      </c>
      <c r="G135" s="7">
        <v>1</v>
      </c>
      <c r="H135" s="21" t="s">
        <v>491</v>
      </c>
      <c r="I135" s="13">
        <v>42905.837627314817</v>
      </c>
      <c r="J135" s="7">
        <v>0</v>
      </c>
      <c r="K135" s="89" t="str">
        <f t="shared" si="25"/>
        <v>4043/4044</v>
      </c>
      <c r="L135" s="21" t="str">
        <f>VLOOKUP(A135,'Trips&amp;Operators'!$C$1:$G$99999,5,FALSE)</f>
        <v>GUZMAN DANNY</v>
      </c>
      <c r="M135" s="6">
        <f t="shared" si="26"/>
        <v>2.697916667239042E-2</v>
      </c>
      <c r="N135" s="7">
        <f t="shared" si="45"/>
        <v>38.850000008242205</v>
      </c>
      <c r="O135" s="7"/>
      <c r="P135" s="7"/>
      <c r="Q135" s="22"/>
      <c r="R135" s="170"/>
      <c r="S135" s="213">
        <f t="shared" si="44"/>
        <v>1</v>
      </c>
      <c r="T135" s="195" t="str">
        <f t="shared" si="28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-06-19T18:13:47-0600',mode:absolute,to:'2017-06-19T21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97" t="str">
        <f>IF(AA135&lt;VLOOKUP(AG135,Variables!$AC$3:$AD$8,2,FALSE),"Y","N")</f>
        <v>N</v>
      </c>
      <c r="X135" s="197">
        <f t="shared" si="41"/>
        <v>1</v>
      </c>
      <c r="Y135" s="197">
        <f t="shared" si="35"/>
        <v>23.299299999999999</v>
      </c>
      <c r="Z135" s="197">
        <f t="shared" si="36"/>
        <v>1.6299999999999999E-2</v>
      </c>
      <c r="AA135" s="197">
        <f t="shared" si="30"/>
        <v>23.282999999999998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1"/>
        <v>220</v>
      </c>
      <c r="AE135" s="77" t="str">
        <f t="shared" si="3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135" s="74" t="str">
        <f t="shared" si="33"/>
        <v>"C:\Program Files (x86)\AstroGrep\AstroGrep.exe" /e /r /s /spath="%USERPROFILE%\AppData\Local\Temp\OnboardLogs" /stypes="app*4043*20170620*" /stext=" 02:.+((SYSTEM_STATE.+slice.+state.+changed )|(ment ac)|(multiple cpu faults)|(system.+state.+changed )|(\[timeout)|(PRM\|1\|D)|(kpr)|(kdp)|(train st.+moving)|(\|lc)|(penalty))"</v>
      </c>
      <c r="AG135" s="209" t="str">
        <f t="shared" si="34"/>
        <v>EC</v>
      </c>
      <c r="AH135" s="78" t="str">
        <f t="shared" si="37"/>
        <v>"%USERPROFILE%\Documents\GitHub\eaglep3\Utilities\RefineRTDCRunTimes.py" --tripid 220-19 --locoid 4043 --swversion DE.1.0.9.0 --startMP 204:232993 --initTime 2017-06-19T19:13:47 --startdatetime 2017-06-19T19:27:20 --delay 1 --endMP 204:163 --enddatetime 2017-06-19T20:06:11 --enforcementcount 0 &gt;&gt;C:\Users\stu\Documents\GitHub\eaglep3-reporting\EC\2017-06-19-refined-times.txt</v>
      </c>
      <c r="AI135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{"issue":{"subject":"","project_id":79,"tracker_id":40,"status_id":1,"priority_id":2,"assigned_to_id":23,"start_date":"2017-06-19","description":"","custom_fields":[{"id":1,"name":"Subdivision","value":"EC"},{"id":4,"name":"Milepost","value":"0.0163"},{"id":17,"name":"Train ID","value":"220-19"},{"id":16,"name":"Locomotive ID","value":"4043"},{"id":130,"name":"Impact","value":""},{"id":150,"name":"Time of Event (Mountain Time)","value":"20:06:11"},{"id":151,"name":"Denver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4043 --day 2017-06-19</v>
      </c>
      <c r="AN135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4016</v>
      </c>
      <c r="C136" s="21" t="s">
        <v>202</v>
      </c>
      <c r="D136" s="21" t="s">
        <v>391</v>
      </c>
      <c r="E136" s="13">
        <v>42905.786226851851</v>
      </c>
      <c r="F136" s="13">
        <v>42905.791886574072</v>
      </c>
      <c r="G136" s="7">
        <v>3</v>
      </c>
      <c r="H136" s="21" t="s">
        <v>928</v>
      </c>
      <c r="I136" s="13">
        <v>42905.815937500003</v>
      </c>
      <c r="J136" s="7">
        <v>0</v>
      </c>
      <c r="K136" s="89" t="str">
        <f t="shared" si="25"/>
        <v>4015/4016</v>
      </c>
      <c r="L136" s="21" t="str">
        <f>VLOOKUP(A136,'Trips&amp;Operators'!$C$1:$G$99999,5,FALSE)</f>
        <v>BIRENBAUM THOMAS</v>
      </c>
      <c r="M136" s="6">
        <f t="shared" si="26"/>
        <v>2.4050925931078382E-2</v>
      </c>
      <c r="N136" s="7">
        <f t="shared" si="45"/>
        <v>34.63333334075287</v>
      </c>
      <c r="O136" s="7"/>
      <c r="P136" s="7"/>
      <c r="Q136" s="22"/>
      <c r="R136" s="170"/>
      <c r="S136" s="213">
        <f t="shared" si="44"/>
        <v>1</v>
      </c>
      <c r="T136" s="195" t="str">
        <f t="shared" si="28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-06-19T17:52:10-0600',mode:absolute,to:'2017-06-19T20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197" t="str">
        <f>IF(AA136&lt;VLOOKUP(AG136,Variables!$AC$3:$AD$8,2,FALSE),"Y","N")</f>
        <v>N</v>
      </c>
      <c r="X136" s="197">
        <f t="shared" si="41"/>
        <v>1</v>
      </c>
      <c r="Y136" s="197">
        <f t="shared" si="35"/>
        <v>4.6199999999999998E-2</v>
      </c>
      <c r="Z136" s="197">
        <f t="shared" si="36"/>
        <v>23.328399999999998</v>
      </c>
      <c r="AA136" s="197">
        <f t="shared" si="30"/>
        <v>23.2822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1"/>
        <v>221</v>
      </c>
      <c r="AE136" s="77" t="str">
        <f t="shared" si="3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36" s="74" t="str">
        <f t="shared" si="33"/>
        <v>"C:\Program Files (x86)\AstroGrep\AstroGrep.exe" /e /r /s /spath="%USERPROFILE%\AppData\Local\Temp\OnboardLogs" /stypes="app*4016*20170620*" /stext=" 01:.+((SYSTEM_STATE.+slice.+state.+changed )|(ment ac)|(multiple cpu faults)|(system.+state.+changed )|(\[timeout)|(PRM\|1\|D)|(kpr)|(kdp)|(train st.+moving)|(\|lc)|(penalty))"</v>
      </c>
      <c r="AG136" s="209" t="str">
        <f t="shared" si="34"/>
        <v>EC</v>
      </c>
      <c r="AH136" s="78" t="str">
        <f t="shared" si="37"/>
        <v>"%USERPROFILE%\Documents\GitHub\eaglep3\Utilities\RefineRTDCRunTimes.py" --tripid 221-19 --locoid 4016 --swversion DE.1.0.9.0 --startMP 204:462 --initTime 2017-06-19T18:52:10 --startdatetime 2017-06-19T19:00:19 --delay 3 --endMP 204:233284 --enddatetime 2017-06-19T19:34:57 --enforcementcount 0 &gt;&gt;C:\Users\stu\Documents\GitHub\eaglep3-reporting\EC\2017-06-19-refined-times.txt</v>
      </c>
      <c r="AI136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{"issue":{"subject":"","project_id":79,"tracker_id":40,"status_id":1,"priority_id":2,"assigned_to_id":23,"start_date":"2017-06-19","description":"","custom_fields":[{"id":1,"name":"Subdivision","value":"EC"},{"id":4,"name":"Milepost","value":"23.3284"},{"id":17,"name":"Train ID","value":"221-19"},{"id":16,"name":"Locomotive ID","value":"4016"},{"id":130,"name":"Impact","value":""},{"id":150,"name":"Time of Event (Mountain Time)","value":"19:34:57"},{"id":151,"name":"Denver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4016 --day 2017-06-19</v>
      </c>
      <c r="AN136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840</v>
      </c>
      <c r="B137" s="7">
        <v>4015</v>
      </c>
      <c r="C137" s="21" t="s">
        <v>202</v>
      </c>
      <c r="D137" s="21" t="s">
        <v>504</v>
      </c>
      <c r="E137" s="13">
        <v>42905.826817129629</v>
      </c>
      <c r="F137" s="13">
        <v>42905.831666666665</v>
      </c>
      <c r="G137" s="7">
        <v>1</v>
      </c>
      <c r="H137" s="21" t="s">
        <v>194</v>
      </c>
      <c r="I137" s="13">
        <v>42905.857129629629</v>
      </c>
      <c r="J137" s="7">
        <v>0</v>
      </c>
      <c r="K137" s="89" t="str">
        <f t="shared" si="25"/>
        <v>4015/4016</v>
      </c>
      <c r="L137" s="21" t="str">
        <f>VLOOKUP(A137,'Trips&amp;Operators'!$C$1:$G$99999,5,FALSE)</f>
        <v>BIRENBAUM THOMAS</v>
      </c>
      <c r="M137" s="6">
        <f t="shared" si="26"/>
        <v>2.5462962963501923E-2</v>
      </c>
      <c r="N137" s="7">
        <f t="shared" si="45"/>
        <v>36.666666667442769</v>
      </c>
      <c r="O137" s="7"/>
      <c r="P137" s="7"/>
      <c r="Q137" s="22"/>
      <c r="R137" s="170"/>
      <c r="S137" s="213">
        <f t="shared" si="44"/>
        <v>1</v>
      </c>
      <c r="T137" s="195" t="str">
        <f t="shared" si="28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-06-19T18:50:37-0600',mode:absolute,to:'2017-06-19T21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197" t="str">
        <f>IF(AA137&lt;VLOOKUP(AG137,Variables!$AC$3:$AD$8,2,FALSE),"Y","N")</f>
        <v>N</v>
      </c>
      <c r="X137" s="197">
        <f t="shared" si="41"/>
        <v>1</v>
      </c>
      <c r="Y137" s="197">
        <f t="shared" si="35"/>
        <v>23.2973</v>
      </c>
      <c r="Z137" s="197">
        <f t="shared" si="36"/>
        <v>1.5800000000000002E-2</v>
      </c>
      <c r="AA137" s="197">
        <f t="shared" si="30"/>
        <v>23.281500000000001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1"/>
        <v>222</v>
      </c>
      <c r="AE137" s="77" t="str">
        <f t="shared" si="3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37" s="74" t="str">
        <f t="shared" si="33"/>
        <v>"C:\Program Files (x86)\AstroGrep\AstroGrep.exe" /e /r /s /spath="%USERPROFILE%\AppData\Local\Temp\OnboardLogs" /stypes="app*4015*20170620*" /stext=" 02:.+((SYSTEM_STATE.+slice.+state.+changed )|(ment ac)|(multiple cpu faults)|(system.+state.+changed )|(\[timeout)|(PRM\|1\|D)|(kpr)|(kdp)|(train st.+moving)|(\|lc)|(penalty))"</v>
      </c>
      <c r="AG137" s="209" t="str">
        <f t="shared" si="34"/>
        <v>EC</v>
      </c>
      <c r="AH137" s="78" t="str">
        <f t="shared" si="37"/>
        <v>"%USERPROFILE%\Documents\GitHub\eaglep3\Utilities\RefineRTDCRunTimes.py" --tripid 222-19 --locoid 4015 --swversion DE.1.0.9.0 --startMP 204:232973 --initTime 2017-06-19T19:50:37 --startdatetime 2017-06-19T19:57:36 --delay 1 --endMP 204:158 --enddatetime 2017-06-19T20:34:16 --enforcementcount 0 &gt;&gt;C:\Users\stu\Documents\GitHub\eaglep3-reporting\EC\2017-06-19-refined-times.txt</v>
      </c>
      <c r="AI137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{"issue":{"subject":"","project_id":79,"tracker_id":40,"status_id":1,"priority_id":2,"assigned_to_id":23,"start_date":"2017-06-19","description":"","custom_fields":[{"id":1,"name":"Subdivision","value":"EC"},{"id":4,"name":"Milepost","value":"0.0158"},{"id":17,"name":"Train ID","value":"222-19"},{"id":16,"name":"Locomotive ID","value":"4015"},{"id":130,"name":"Impact","value":""},{"id":150,"name":"Time of Event (Mountain Time)","value":"20:34:16"},{"id":151,"name":"Denver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4015 --day 2017-06-19</v>
      </c>
      <c r="AN137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838</v>
      </c>
      <c r="B138" s="7">
        <v>4054</v>
      </c>
      <c r="C138" s="21" t="s">
        <v>202</v>
      </c>
      <c r="D138" s="21" t="s">
        <v>355</v>
      </c>
      <c r="E138" s="13">
        <v>42905.808229166665</v>
      </c>
      <c r="F138" s="13">
        <v>42905.812638888892</v>
      </c>
      <c r="G138" s="7">
        <v>1</v>
      </c>
      <c r="H138" s="21" t="s">
        <v>872</v>
      </c>
      <c r="I138" s="13">
        <v>42905.838136574072</v>
      </c>
      <c r="J138" s="7">
        <v>0</v>
      </c>
      <c r="K138" s="89" t="str">
        <f t="shared" si="25"/>
        <v>4053/4054</v>
      </c>
      <c r="L138" s="21" t="str">
        <f>VLOOKUP(A138,'Trips&amp;Operators'!$C$1:$G$99999,5,FALSE)</f>
        <v>HART KEVIN</v>
      </c>
      <c r="M138" s="6">
        <f t="shared" si="26"/>
        <v>2.5497685179288965E-2</v>
      </c>
      <c r="N138" s="7">
        <f t="shared" si="45"/>
        <v>36.716666658176109</v>
      </c>
      <c r="O138" s="7"/>
      <c r="P138" s="7"/>
      <c r="Q138" s="22"/>
      <c r="R138" s="170"/>
      <c r="S138" s="213">
        <f t="shared" si="44"/>
        <v>1</v>
      </c>
      <c r="T138" s="195" t="str">
        <f t="shared" si="28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-06-19T18:23:51-0600',mode:absolute,to:'2017-06-19T21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8" s="197" t="str">
        <f>IF(AA138&lt;VLOOKUP(AG138,Variables!$AC$3:$AD$8,2,FALSE),"Y","N")</f>
        <v>N</v>
      </c>
      <c r="X138" s="197">
        <f t="shared" si="41"/>
        <v>1</v>
      </c>
      <c r="Y138" s="197">
        <f t="shared" si="35"/>
        <v>4.4699999999999997E-2</v>
      </c>
      <c r="Z138" s="197">
        <f t="shared" si="36"/>
        <v>23.331499999999998</v>
      </c>
      <c r="AA138" s="197">
        <f t="shared" si="30"/>
        <v>23.286799999999999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1"/>
        <v>223</v>
      </c>
      <c r="AE138" s="77" t="str">
        <f t="shared" si="3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38" s="74" t="str">
        <f t="shared" si="33"/>
        <v>"C:\Program Files (x86)\AstroGrep\AstroGrep.exe" /e /r /s /spath="%USERPROFILE%\AppData\Local\Temp\OnboardLogs" /stypes="app*4054*20170620*" /stext=" 02:.+((SYSTEM_STATE.+slice.+state.+changed )|(ment ac)|(multiple cpu faults)|(system.+state.+changed )|(\[timeout)|(PRM\|1\|D)|(kpr)|(kdp)|(train st.+moving)|(\|lc)|(penalty))"</v>
      </c>
      <c r="AG138" s="209" t="str">
        <f t="shared" si="34"/>
        <v>EC</v>
      </c>
      <c r="AH138" s="78" t="str">
        <f t="shared" si="37"/>
        <v>"%USERPROFILE%\Documents\GitHub\eaglep3\Utilities\RefineRTDCRunTimes.py" --tripid 223-19 --locoid 4054 --swversion DE.1.0.9.0 --startMP 204:447 --initTime 2017-06-19T19:23:51 --startdatetime 2017-06-19T19:30:12 --delay 1 --endMP 204:233315 --enddatetime 2017-06-19T20:06:55 --enforcementcount 0 &gt;&gt;C:\Users\stu\Documents\GitHub\eaglep3-reporting\EC\2017-06-19-refined-times.txt</v>
      </c>
      <c r="AI138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{"issue":{"subject":"","project_id":79,"tracker_id":40,"status_id":1,"priority_id":2,"assigned_to_id":23,"start_date":"2017-06-19","description":"","custom_fields":[{"id":1,"name":"Subdivision","value":"EC"},{"id":4,"name":"Milepost","value":"23.3315"},{"id":17,"name":"Train ID","value":"223-19"},{"id":16,"name":"Locomotive ID","value":"4054"},{"id":130,"name":"Impact","value":""},{"id":150,"name":"Time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4054 --day 2017-06-19</v>
      </c>
      <c r="AN138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844</v>
      </c>
      <c r="B139" s="7">
        <v>4053</v>
      </c>
      <c r="C139" s="21" t="s">
        <v>202</v>
      </c>
      <c r="D139" s="21" t="s">
        <v>505</v>
      </c>
      <c r="E139" s="13">
        <v>42905.84814814815</v>
      </c>
      <c r="F139" s="13">
        <v>42905.852303240739</v>
      </c>
      <c r="G139" s="7">
        <v>1</v>
      </c>
      <c r="H139" s="21" t="s">
        <v>395</v>
      </c>
      <c r="I139" s="13">
        <v>42905.878750000003</v>
      </c>
      <c r="J139" s="7">
        <v>0</v>
      </c>
      <c r="K139" s="89" t="str">
        <f t="shared" si="25"/>
        <v>4053/4054</v>
      </c>
      <c r="L139" s="21" t="str">
        <f>VLOOKUP(A139,'Trips&amp;Operators'!$C$1:$G$99999,5,FALSE)</f>
        <v>HART KEVIN</v>
      </c>
      <c r="M139" s="6">
        <f t="shared" si="26"/>
        <v>2.644675926421769E-2</v>
      </c>
      <c r="N139" s="7">
        <f t="shared" si="45"/>
        <v>38.083333340473473</v>
      </c>
      <c r="O139" s="7"/>
      <c r="P139" s="7"/>
      <c r="Q139" s="22"/>
      <c r="R139" s="170"/>
      <c r="S139" s="213">
        <f t="shared" si="44"/>
        <v>1</v>
      </c>
      <c r="T139" s="195" t="str">
        <f t="shared" si="28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-06-19T19:21:20-0600',mode:absolute,to:'2017-06-19T22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9" s="197" t="str">
        <f>IF(AA139&lt;VLOOKUP(AG139,Variables!$AC$3:$AD$8,2,FALSE),"Y","N")</f>
        <v>N</v>
      </c>
      <c r="X139" s="197">
        <f t="shared" si="41"/>
        <v>1</v>
      </c>
      <c r="Y139" s="197">
        <f t="shared" si="35"/>
        <v>23.299800000000001</v>
      </c>
      <c r="Z139" s="197">
        <f t="shared" si="36"/>
        <v>1.54E-2</v>
      </c>
      <c r="AA139" s="197">
        <f t="shared" si="30"/>
        <v>23.284400000000002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1"/>
        <v>224</v>
      </c>
      <c r="AE139" s="77" t="str">
        <f t="shared" si="3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39" s="74" t="str">
        <f t="shared" si="33"/>
        <v>"C:\Program Files (x86)\AstroGrep\AstroGrep.exe" /e /r /s /spath="%USERPROFILE%\AppData\Local\Temp\OnboardLogs" /stypes="app*4053*20170620*" /stext=" 03:.+((SYSTEM_STATE.+slice.+state.+changed )|(ment ac)|(multiple cpu faults)|(system.+state.+changed )|(\[timeout)|(PRM\|1\|D)|(kpr)|(kdp)|(train st.+moving)|(\|lc)|(penalty))"</v>
      </c>
      <c r="AG139" s="209" t="str">
        <f t="shared" si="34"/>
        <v>EC</v>
      </c>
      <c r="AH139" s="78" t="str">
        <f t="shared" si="37"/>
        <v>"%USERPROFILE%\Documents\GitHub\eaglep3\Utilities\RefineRTDCRunTimes.py" --tripid 224-19 --locoid 4053 --swversion DE.1.0.9.0 --startMP 204:232998 --initTime 2017-06-19T20:21:20 --startdatetime 2017-06-19T20:27:19 --delay 1 --endMP 204:154 --enddatetime 2017-06-19T21:05:24 --enforcementcount 0 &gt;&gt;C:\Users\stu\Documents\GitHub\eaglep3-reporting\EC\2017-06-19-refined-times.txt</v>
      </c>
      <c r="AI139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{"issue":{"subject":"","project_id":79,"tracker_id":40,"status_id":1,"priority_id":2,"assigned_to_id":23,"start_date":"2017-06-19","description":"","custom_fields":[{"id":1,"name":"Subdivision","value":"EC"},{"id":4,"name":"Milepost","value":"0.0154"},{"id":17,"name":"Train ID","value":"224-19"},{"id":16,"name":"Locomotive ID","value":"4053"},{"id":130,"name":"Impact","value":""},{"id":150,"name":"Time of Event (Mountain Time)","value":"21:05:24"},{"id":151,"name":"Denver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4053 --day 2017-06-19</v>
      </c>
      <c r="AN139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841</v>
      </c>
      <c r="B140" s="7">
        <v>4018</v>
      </c>
      <c r="C140" s="21" t="s">
        <v>202</v>
      </c>
      <c r="D140" s="21" t="s">
        <v>355</v>
      </c>
      <c r="E140" s="13">
        <v>42905.828935185185</v>
      </c>
      <c r="F140" s="13">
        <v>42905.833564814813</v>
      </c>
      <c r="G140" s="7">
        <v>1</v>
      </c>
      <c r="H140" s="21" t="s">
        <v>595</v>
      </c>
      <c r="I140" s="13">
        <v>42905.85869212963</v>
      </c>
      <c r="J140" s="7">
        <v>0</v>
      </c>
      <c r="K140" s="89" t="str">
        <f t="shared" ref="K140:K203" si="46">IF(ISEVEN(B140),(B140-1)&amp;"/"&amp;B140,B140&amp;"/"&amp;(B140+1))</f>
        <v>4017/4018</v>
      </c>
      <c r="L140" s="21" t="str">
        <f>VLOOKUP(A140,'Trips&amp;Operators'!$C$1:$G$99999,5,FALSE)</f>
        <v>HAITHCOX MICHAEL</v>
      </c>
      <c r="M140" s="6">
        <f t="shared" ref="M140:M203" si="47">I140-F140</f>
        <v>2.5127314816927537E-2</v>
      </c>
      <c r="N140" s="7">
        <f t="shared" si="45"/>
        <v>36.183333336375654</v>
      </c>
      <c r="O140" s="7"/>
      <c r="P140" s="7"/>
      <c r="Q140" s="22"/>
      <c r="R140" s="170"/>
      <c r="S140" s="213">
        <f t="shared" si="44"/>
        <v>1</v>
      </c>
      <c r="T140" s="195" t="str">
        <f t="shared" ref="T140:T203" si="48"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ref="V140:V203" si="49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-06-19T18:53:40-0600',mode:absolute,to:'2017-06-19T21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197" t="str">
        <f>IF(AA140&lt;VLOOKUP(AG140,Variables!$AC$3:$AD$8,2,FALSE),"Y","N")</f>
        <v>N</v>
      </c>
      <c r="X140" s="197">
        <f t="shared" si="41"/>
        <v>1</v>
      </c>
      <c r="Y140" s="197">
        <f t="shared" si="35"/>
        <v>4.4699999999999997E-2</v>
      </c>
      <c r="Z140" s="197">
        <f t="shared" si="36"/>
        <v>23.3309</v>
      </c>
      <c r="AA140" s="197">
        <f t="shared" ref="AA140:AA203" si="50">ABS(Z140-Y140)</f>
        <v>23.286200000000001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ref="AD140:AD203" si="51">VALUE(LEFT(A140,LEN(A140)-3))</f>
        <v>225</v>
      </c>
      <c r="AE140" s="77" t="str">
        <f t="shared" ref="AE140:AE203" si="52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140" s="74" t="str">
        <f t="shared" ref="AF140:AF203" si="53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/stypes="app*4018*20170620*" /stext=" 02:.+((SYSTEM_STATE.+slice.+state.+changed )|(ment ac)|(multiple cpu faults)|(system.+state.+changed )|(\[timeout)|(PRM\|1\|D)|(kpr)|(kdp)|(train st.+moving)|(\|lc)|(penalty))"</v>
      </c>
      <c r="AG140" s="209" t="str">
        <f t="shared" ref="AG140:AG203" si="54">DetSubdiv(A140)</f>
        <v>EC</v>
      </c>
      <c r="AH140" s="78" t="str">
        <f t="shared" si="37"/>
        <v>"%USERPROFILE%\Documents\GitHub\eaglep3\Utilities\RefineRTDCRunTimes.py" --tripid 225-19 --locoid 4018 --swversion DE.1.0.9.0 --startMP 204:447 --initTime 2017-06-19T19:53:40 --startdatetime 2017-06-19T20:00:20 --delay 1 --endMP 204:233309 --enddatetime 2017-06-19T20:36:31 --enforcementcount 0 &gt;&gt;C:\Users\stu\Documents\GitHub\eaglep3-reporting\EC\2017-06-19-refined-times.txt</v>
      </c>
      <c r="AI140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{"issue":{"subject":"","project_id":79,"tracker_id":40,"status_id":1,"priority_id":2,"assigned_to_id":23,"start_date":"2017-06-19","description":"","custom_fields":[{"id":1,"name":"Subdivision","value":"EC"},{"id":4,"name":"Milepost","value":"23.3309"},{"id":17,"name":"Train ID","value":"225-19"},{"id":16,"name":"Locomotive ID","value":"4018"},{"id":130,"name":"Impact","value":""},{"id":150,"name":"Time of Event (Mountain Time)","value":"20:36:31"},{"id":151,"name":"Denver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4018 --day 2017-06-19</v>
      </c>
      <c r="AN140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845</v>
      </c>
      <c r="B141" s="7">
        <v>4017</v>
      </c>
      <c r="C141" s="21" t="s">
        <v>202</v>
      </c>
      <c r="D141" s="21" t="s">
        <v>539</v>
      </c>
      <c r="E141" s="13">
        <v>42905.860023148147</v>
      </c>
      <c r="F141" s="13">
        <v>42905.873124999998</v>
      </c>
      <c r="G141" s="7">
        <v>0</v>
      </c>
      <c r="H141" s="21" t="s">
        <v>350</v>
      </c>
      <c r="I141" s="13">
        <v>42905.901145833333</v>
      </c>
      <c r="J141" s="7">
        <v>0</v>
      </c>
      <c r="K141" s="89" t="str">
        <f t="shared" si="46"/>
        <v>4017/4018</v>
      </c>
      <c r="L141" s="21" t="str">
        <f>VLOOKUP(A141,'Trips&amp;Operators'!$C$1:$G$99999,5,FALSE)</f>
        <v>HAITHCOX MICHAEL</v>
      </c>
      <c r="M141" s="6">
        <f t="shared" si="47"/>
        <v>2.8020833335176576E-2</v>
      </c>
      <c r="N141" s="7">
        <f t="shared" si="45"/>
        <v>40.350000002654269</v>
      </c>
      <c r="O141" s="7"/>
      <c r="P141" s="7"/>
      <c r="Q141" s="22"/>
      <c r="R141" s="170"/>
      <c r="S141" s="213">
        <f t="shared" si="44"/>
        <v>1</v>
      </c>
      <c r="T141" s="195" t="str">
        <f t="shared" si="48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49"/>
        <v>https://d0f6bd738d7f1b3e5a7ca70fe4ff75f0.us-east-1.aws.found.io/app/kibana#/discover/Steve-Slow-Train-Analysis-(2080s-and-2083s)?_g=(refreshInterval:(display:Off,pause:!f,section:0,value:0),time:(from:'2017-06-19T19:38:26-0600',mode:absolute,to:'2017-06-19T22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97" t="str">
        <f>IF(AA141&lt;VLOOKUP(AG141,Variables!$AC$3:$AD$8,2,FALSE),"Y","N")</f>
        <v>N</v>
      </c>
      <c r="X141" s="197">
        <f t="shared" si="41"/>
        <v>1</v>
      </c>
      <c r="Y141" s="197">
        <f t="shared" ref="Y141:Y204" si="55">RIGHT(D141,LEN(D141)-4)/10000</f>
        <v>23.2988</v>
      </c>
      <c r="Z141" s="197">
        <f t="shared" ref="Z141:Z204" si="56">RIGHT(H141,LEN(H141)-4)/10000</f>
        <v>1.43E-2</v>
      </c>
      <c r="AA141" s="197">
        <f t="shared" si="50"/>
        <v>23.284500000000001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si="51"/>
        <v>226</v>
      </c>
      <c r="AE141" s="77" t="str">
        <f t="shared" si="5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141" s="74" t="str">
        <f t="shared" si="53"/>
        <v>"C:\Program Files (x86)\AstroGrep\AstroGrep.exe" /e /r /s /spath="%USERPROFILE%\AppData\Local\Temp\OnboardLogs" /stypes="app*4017*20170620*" /stext=" 03:.+((SYSTEM_STATE.+slice.+state.+changed )|(ment ac)|(multiple cpu faults)|(system.+state.+changed )|(\[timeout)|(PRM\|1\|D)|(kpr)|(kdp)|(train st.+moving)|(\|lc)|(penalty))"</v>
      </c>
      <c r="AG141" s="209" t="str">
        <f t="shared" si="54"/>
        <v>EC</v>
      </c>
      <c r="AH141" s="78" t="str">
        <f t="shared" si="37"/>
        <v>"%USERPROFILE%\Documents\GitHub\eaglep3\Utilities\RefineRTDCRunTimes.py" --tripid 226-19 --locoid 4017 --swversion DE.1.0.9.0 --startMP 204:232988 --initTime 2017-06-19T20:38:26 --startdatetime 2017-06-19T20:57:18 --delay 0 --endMP 204:143 --enddatetime 2017-06-19T21:37:39 --enforcementcount 0 &gt;&gt;C:\Users\stu\Documents\GitHub\eaglep3-reporting\EC\2017-06-19-refined-times.txt</v>
      </c>
      <c r="AI141" s="96" t="str">
        <f t="shared" si="38"/>
        <v>echo {"issue":{"subject":"","project_id":79,"tracker_id":40,"status_id":1,"priority_id":2,"assigned_to_id":23,"start_date":"2017-06-19","description":"","custom_fields":[{"id":1,"name":"Subdivision","value":"EC"},{"id":4,"name":"Milepost","value":"0.0143"},{"id":17,"name":"Train ID","value":"226-19"},{"id":16,"name":"Locomotive ID","value":"4017"},{"id":130,"name":"Impact","value":""},{"id":150,"name":"Time of Event (Mountain Time)","value":"21:37:39"},{"id":151,"name":"Denver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4017 --day 2017-06-19</v>
      </c>
      <c r="AN141" s="151" t="str">
        <f t="shared" si="4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842</v>
      </c>
      <c r="B142" s="7">
        <v>4044</v>
      </c>
      <c r="C142" s="21" t="s">
        <v>202</v>
      </c>
      <c r="D142" s="21" t="s">
        <v>513</v>
      </c>
      <c r="E142" s="13">
        <v>42905.841550925928</v>
      </c>
      <c r="F142" s="13">
        <v>42905.854351851849</v>
      </c>
      <c r="G142" s="7">
        <v>0</v>
      </c>
      <c r="H142" s="21" t="s">
        <v>614</v>
      </c>
      <c r="I142" s="13">
        <v>42905.880150462966</v>
      </c>
      <c r="J142" s="7">
        <v>0</v>
      </c>
      <c r="K142" s="89" t="str">
        <f t="shared" si="46"/>
        <v>4043/4044</v>
      </c>
      <c r="L142" s="21" t="str">
        <f>VLOOKUP(A142,'Trips&amp;Operators'!$C$1:$G$99999,5,FALSE)</f>
        <v>GUZMAN DANNY</v>
      </c>
      <c r="M142" s="6">
        <f t="shared" si="47"/>
        <v>2.5798611117352266E-2</v>
      </c>
      <c r="N142" s="7">
        <f t="shared" si="45"/>
        <v>37.150000008987263</v>
      </c>
      <c r="O142" s="7"/>
      <c r="P142" s="7"/>
      <c r="Q142" s="22"/>
      <c r="R142" s="170"/>
      <c r="S142" s="213">
        <f t="shared" si="44"/>
        <v>1</v>
      </c>
      <c r="T142" s="195" t="str">
        <f t="shared" si="48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-06-19T19:11:50-0600',mode:absolute,to:'2017-06-19T22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97" t="str">
        <f>IF(AA142&lt;VLOOKUP(AG142,Variables!$AC$3:$AD$8,2,FALSE),"Y","N")</f>
        <v>N</v>
      </c>
      <c r="X142" s="197">
        <f t="shared" si="41"/>
        <v>1</v>
      </c>
      <c r="Y142" s="197">
        <f t="shared" si="55"/>
        <v>4.7100000000000003E-2</v>
      </c>
      <c r="Z142" s="197">
        <f t="shared" si="56"/>
        <v>23.330400000000001</v>
      </c>
      <c r="AA142" s="197">
        <f t="shared" si="50"/>
        <v>23.283300000000001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1"/>
        <v>227</v>
      </c>
      <c r="AE142" s="77" t="str">
        <f t="shared" si="5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42" s="74" t="str">
        <f t="shared" si="53"/>
        <v>"C:\Program Files (x86)\AstroGrep\AstroGrep.exe" /e /r /s /spath="%USERPROFILE%\AppData\Local\Temp\OnboardLogs" /stypes="app*4044*20170620*" /stext=" 03:.+((SYSTEM_STATE.+slice.+state.+changed )|(ment ac)|(multiple cpu faults)|(system.+state.+changed )|(\[timeout)|(PRM\|1\|D)|(kpr)|(kdp)|(train st.+moving)|(\|lc)|(penalty))"</v>
      </c>
      <c r="AG142" s="209" t="str">
        <f t="shared" si="54"/>
        <v>EC</v>
      </c>
      <c r="AH142" s="78" t="str">
        <f t="shared" ref="AH142:AH205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227-19 --locoid 4044 --swversion DE.1.0.9.0 --startMP 204:471 --initTime 2017-06-19T20:11:50 --startdatetime 2017-06-19T20:30:16 --delay 0 --endMP 204:233304 --enddatetime 2017-06-19T21:07:25 --enforcementcount 0 &gt;&gt;C:\Users\stu\Documents\GitHub\eaglep3-reporting\EC\2017-06-19-refined-times.txt</v>
      </c>
      <c r="AI142" s="96" t="str">
        <f t="shared" ref="AI142:AI205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{"issue":{"subject":"","project_id":79,"tracker_id":40,"status_id":1,"priority_id":2,"assigned_to_id":23,"start_date":"2017-06-19","description":"","custom_fields":[{"id":1,"name":"Subdivision","value":"EC"},{"id":4,"name":"Milepost","value":"23.3304"},{"id":17,"name":"Train ID","value":"227-19"},{"id":16,"name":"Locomotive ID","value":"4044"},{"id":130,"name":"Impact","value":""},{"id":150,"name":"Time of Event (Mountain Time)","value":"21:07:25"},{"id":151,"name":"Denver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59">"start /low /b "&amp;dls3logs&amp;" --loco "&amp;B142&amp;" --day "&amp;TEXT(F142,"YYYY-MM-DD")</f>
        <v>start /low /b %USERPROFILE%\Documents\GitHub\eaglep3\Utilities\DownloadLogsFromS3.py --loco 4044 --day 2017-06-19</v>
      </c>
      <c r="AN142" s="151" t="str">
        <f t="shared" ref="AN142:AN205" si="6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847</v>
      </c>
      <c r="B143" s="7">
        <v>4043</v>
      </c>
      <c r="C143" s="21" t="s">
        <v>202</v>
      </c>
      <c r="D143" s="21" t="s">
        <v>914</v>
      </c>
      <c r="E143" s="13">
        <v>42905.882094907407</v>
      </c>
      <c r="F143" s="13">
        <v>42905.893912037034</v>
      </c>
      <c r="G143" s="7">
        <v>1</v>
      </c>
      <c r="H143" s="21" t="s">
        <v>439</v>
      </c>
      <c r="I143" s="13">
        <v>42905.921122685184</v>
      </c>
      <c r="J143" s="7">
        <v>0</v>
      </c>
      <c r="K143" s="89" t="str">
        <f t="shared" si="46"/>
        <v>4043/4044</v>
      </c>
      <c r="L143" s="21" t="str">
        <f>VLOOKUP(A143,'Trips&amp;Operators'!$C$1:$G$99999,5,FALSE)</f>
        <v>GUZMAN DANNY</v>
      </c>
      <c r="M143" s="6">
        <f t="shared" si="47"/>
        <v>2.7210648149775807E-2</v>
      </c>
      <c r="N143" s="7">
        <f t="shared" si="45"/>
        <v>39.183333335677162</v>
      </c>
      <c r="O143" s="7"/>
      <c r="P143" s="7"/>
      <c r="Q143" s="22"/>
      <c r="R143" s="170"/>
      <c r="S143" s="213">
        <f t="shared" si="44"/>
        <v>1</v>
      </c>
      <c r="T143" s="195" t="str">
        <f t="shared" si="48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-06-19T20:10:13-0600',mode:absolute,to:'2017-06-19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97" t="str">
        <f>IF(AA143&lt;VLOOKUP(AG143,Variables!$AC$3:$AD$8,2,FALSE),"Y","N")</f>
        <v>N</v>
      </c>
      <c r="X143" s="197">
        <f t="shared" si="41"/>
        <v>1</v>
      </c>
      <c r="Y143" s="197">
        <f t="shared" si="55"/>
        <v>23.298500000000001</v>
      </c>
      <c r="Z143" s="197">
        <f t="shared" si="56"/>
        <v>1.5599999999999999E-2</v>
      </c>
      <c r="AA143" s="197">
        <f t="shared" si="50"/>
        <v>23.282900000000001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1"/>
        <v>228</v>
      </c>
      <c r="AE143" s="77" t="str">
        <f t="shared" si="5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143" s="74" t="str">
        <f t="shared" si="53"/>
        <v>"C:\Program Files (x86)\AstroGrep\AstroGrep.exe" /e /r /s /spath="%USERPROFILE%\AppData\Local\Temp\OnboardLogs" /stypes="app*4043*20170620*" /stext=" 04:.+((SYSTEM_STATE.+slice.+state.+changed )|(ment ac)|(multiple cpu faults)|(system.+state.+changed )|(\[timeout)|(PRM\|1\|D)|(kpr)|(kdp)|(train st.+moving)|(\|lc)|(penalty))"</v>
      </c>
      <c r="AG143" s="209" t="str">
        <f t="shared" si="54"/>
        <v>EC</v>
      </c>
      <c r="AH143" s="78" t="str">
        <f t="shared" si="57"/>
        <v>"%USERPROFILE%\Documents\GitHub\eaglep3\Utilities\RefineRTDCRunTimes.py" --tripid 228-19 --locoid 4043 --swversion DE.1.0.9.0 --startMP 204:232985 --initTime 2017-06-19T21:10:13 --startdatetime 2017-06-19T21:27:14 --delay 1 --endMP 204:156 --enddatetime 2017-06-19T22:06:25 --enforcementcount 0 &gt;&gt;C:\Users\stu\Documents\GitHub\eaglep3-reporting\EC\2017-06-19-refined-times.txt</v>
      </c>
      <c r="AI143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{"issue":{"subject":"","project_id":79,"tracker_id":40,"status_id":1,"priority_id":2,"assigned_to_id":23,"start_date":"2017-06-19","description":"","custom_fields":[{"id":1,"name":"Subdivision","value":"EC"},{"id":4,"name":"Milepost","value":"0.0156"},{"id":17,"name":"Train ID","value":"228-19"},{"id":16,"name":"Locomotive ID","value":"4043"},{"id":130,"name":"Impact","value":""},{"id":150,"name":"Time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9"/>
        <v>start /low /b %USERPROFILE%\Documents\GitHub\eaglep3\Utilities\DownloadLogsFromS3.py --loco 4043 --day 2017-06-19</v>
      </c>
      <c r="AN143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846</v>
      </c>
      <c r="B144" s="7">
        <v>4016</v>
      </c>
      <c r="C144" s="21" t="s">
        <v>202</v>
      </c>
      <c r="D144" s="21" t="s">
        <v>354</v>
      </c>
      <c r="E144" s="13">
        <v>42905.86886574074</v>
      </c>
      <c r="F144" s="13">
        <v>42905.875219907408</v>
      </c>
      <c r="G144" s="7">
        <v>1</v>
      </c>
      <c r="H144" s="21" t="s">
        <v>453</v>
      </c>
      <c r="I144" s="13">
        <v>42905.900358796294</v>
      </c>
      <c r="J144" s="7">
        <v>0</v>
      </c>
      <c r="K144" s="89" t="str">
        <f t="shared" si="46"/>
        <v>4015/4016</v>
      </c>
      <c r="L144" s="21" t="str">
        <f>VLOOKUP(A144,'Trips&amp;Operators'!$C$1:$G$99999,5,FALSE)</f>
        <v>PERKINS DARREN</v>
      </c>
      <c r="M144" s="6">
        <f t="shared" si="47"/>
        <v>2.5138888886431232E-2</v>
      </c>
      <c r="N144" s="7">
        <f t="shared" si="45"/>
        <v>36.199999996460974</v>
      </c>
      <c r="O144" s="7"/>
      <c r="P144" s="7"/>
      <c r="Q144" s="22"/>
      <c r="R144" s="170"/>
      <c r="S144" s="213">
        <f t="shared" si="44"/>
        <v>1</v>
      </c>
      <c r="T144" s="195" t="str">
        <f t="shared" si="48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-06-19T19:51:10-0600',mode:absolute,to:'2017-06-19T22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197" t="str">
        <f>IF(AA144&lt;VLOOKUP(AG144,Variables!$AC$3:$AD$8,2,FALSE),"Y","N")</f>
        <v>N</v>
      </c>
      <c r="X144" s="197">
        <f t="shared" si="41"/>
        <v>1</v>
      </c>
      <c r="Y144" s="197">
        <f t="shared" si="55"/>
        <v>4.53E-2</v>
      </c>
      <c r="Z144" s="197">
        <f t="shared" si="56"/>
        <v>23.329499999999999</v>
      </c>
      <c r="AA144" s="197">
        <f t="shared" si="50"/>
        <v>23.284199999999998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1"/>
        <v>229</v>
      </c>
      <c r="AE144" s="77" t="str">
        <f t="shared" si="5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44" s="74" t="str">
        <f t="shared" si="53"/>
        <v>"C:\Program Files (x86)\AstroGrep\AstroGrep.exe" /e /r /s /spath="%USERPROFILE%\AppData\Local\Temp\OnboardLogs" /stypes="app*4016*20170620*" /stext=" 03:.+((SYSTEM_STATE.+slice.+state.+changed )|(ment ac)|(multiple cpu faults)|(system.+state.+changed )|(\[timeout)|(PRM\|1\|D)|(kpr)|(kdp)|(train st.+moving)|(\|lc)|(penalty))"</v>
      </c>
      <c r="AG144" s="209" t="str">
        <f t="shared" si="54"/>
        <v>EC</v>
      </c>
      <c r="AH144" s="78" t="str">
        <f t="shared" si="57"/>
        <v>"%USERPROFILE%\Documents\GitHub\eaglep3\Utilities\RefineRTDCRunTimes.py" --tripid 229-19 --locoid 4016 --swversion DE.1.0.9.0 --startMP 204:453 --initTime 2017-06-19T20:51:10 --startdatetime 2017-06-19T21:00:19 --delay 1 --endMP 204:233295 --enddatetime 2017-06-19T21:36:31 --enforcementcount 0 &gt;&gt;C:\Users\stu\Documents\GitHub\eaglep3-reporting\EC\2017-06-19-refined-times.txt</v>
      </c>
      <c r="AI144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{"issue":{"subject":"","project_id":79,"tracker_id":40,"status_id":1,"priority_id":2,"assigned_to_id":23,"start_date":"2017-06-19","description":"","custom_fields":[{"id":1,"name":"Subdivision","value":"EC"},{"id":4,"name":"Milepost","value":"23.3295"},{"id":17,"name":"Train ID","value":"229-19"},{"id":16,"name":"Locomotive ID","value":"4016"},{"id":130,"name":"Impact","value":""},{"id":150,"name":"Time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9"/>
        <v>start /low /b %USERPROFILE%\Documents\GitHub\eaglep3\Utilities\DownloadLogsFromS3.py --loco 4016 --day 2017-06-19</v>
      </c>
      <c r="AN144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850</v>
      </c>
      <c r="B145" s="7">
        <v>4015</v>
      </c>
      <c r="C145" s="21" t="s">
        <v>202</v>
      </c>
      <c r="D145" s="21" t="s">
        <v>471</v>
      </c>
      <c r="E145" s="13">
        <v>42905.908472222225</v>
      </c>
      <c r="F145" s="13">
        <v>42905.914803240739</v>
      </c>
      <c r="G145" s="7">
        <v>1</v>
      </c>
      <c r="H145" s="21" t="s">
        <v>474</v>
      </c>
      <c r="I145" s="13">
        <v>42905.941724537035</v>
      </c>
      <c r="J145" s="7">
        <v>0</v>
      </c>
      <c r="K145" s="89" t="str">
        <f t="shared" si="46"/>
        <v>4015/4016</v>
      </c>
      <c r="L145" s="21" t="str">
        <f>VLOOKUP(A145,'Trips&amp;Operators'!$C$1:$G$99999,5,FALSE)</f>
        <v>PERKINS DARREN</v>
      </c>
      <c r="M145" s="6">
        <f t="shared" si="47"/>
        <v>2.6921296295768116E-2</v>
      </c>
      <c r="N145" s="7">
        <f t="shared" si="45"/>
        <v>38.766666665906087</v>
      </c>
      <c r="O145" s="7"/>
      <c r="P145" s="7"/>
      <c r="Q145" s="22"/>
      <c r="R145" s="170"/>
      <c r="S145" s="213">
        <f t="shared" si="44"/>
        <v>1</v>
      </c>
      <c r="T145" s="195" t="str">
        <f t="shared" si="48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-06-19T20:48:12-0600',mode:absolute,to:'2017-06-19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197" t="str">
        <f>IF(AA145&lt;VLOOKUP(AG145,Variables!$AC$3:$AD$8,2,FALSE),"Y","N")</f>
        <v>N</v>
      </c>
      <c r="X145" s="197">
        <f t="shared" si="41"/>
        <v>1</v>
      </c>
      <c r="Y145" s="197">
        <f t="shared" si="55"/>
        <v>23.298200000000001</v>
      </c>
      <c r="Z145" s="197">
        <f t="shared" si="56"/>
        <v>1.38E-2</v>
      </c>
      <c r="AA145" s="197">
        <f t="shared" si="50"/>
        <v>23.284400000000002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1"/>
        <v>230</v>
      </c>
      <c r="AE145" s="77" t="str">
        <f t="shared" si="5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45" s="74" t="str">
        <f t="shared" si="53"/>
        <v>"C:\Program Files (x86)\AstroGrep\AstroGrep.exe" /e /r /s /spath="%USERPROFILE%\AppData\Local\Temp\OnboardLogs" /stypes="app*4015*20170620*" /stext=" 04:.+((SYSTEM_STATE.+slice.+state.+changed )|(ment ac)|(multiple cpu faults)|(system.+state.+changed )|(\[timeout)|(PRM\|1\|D)|(kpr)|(kdp)|(train st.+moving)|(\|lc)|(penalty))"</v>
      </c>
      <c r="AG145" s="209" t="str">
        <f t="shared" si="54"/>
        <v>EC</v>
      </c>
      <c r="AH145" s="78" t="str">
        <f t="shared" si="57"/>
        <v>"%USERPROFILE%\Documents\GitHub\eaglep3\Utilities\RefineRTDCRunTimes.py" --tripid 230-19 --locoid 4015 --swversion DE.1.0.9.0 --startMP 204:232982 --initTime 2017-06-19T21:48:12 --startdatetime 2017-06-19T21:57:19 --delay 1 --endMP 204:138 --enddatetime 2017-06-19T22:36:05 --enforcementcount 0 &gt;&gt;C:\Users\stu\Documents\GitHub\eaglep3-reporting\EC\2017-06-19-refined-times.txt</v>
      </c>
      <c r="AI145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{"issue":{"subject":"","project_id":79,"tracker_id":40,"status_id":1,"priority_id":2,"assigned_to_id":23,"start_date":"2017-06-19","description":"","custom_fields":[{"id":1,"name":"Subdivision","value":"EC"},{"id":4,"name":"Milepost","value":"0.0138"},{"id":17,"name":"Train ID","value":"230-19"},{"id":16,"name":"Locomotive ID","value":"4015"},{"id":130,"name":"Impact","value":""},{"id":150,"name":"Time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9"/>
        <v>start /low /b %USERPROFILE%\Documents\GitHub\eaglep3\Utilities\DownloadLogsFromS3.py --loco 4015 --day 2017-06-19</v>
      </c>
      <c r="AN145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848</v>
      </c>
      <c r="B146" s="7">
        <v>4054</v>
      </c>
      <c r="C146" s="21" t="s">
        <v>202</v>
      </c>
      <c r="D146" s="21" t="s">
        <v>455</v>
      </c>
      <c r="E146" s="13">
        <v>42905.891944444447</v>
      </c>
      <c r="F146" s="13">
        <v>42905.896018518521</v>
      </c>
      <c r="G146" s="7">
        <v>1</v>
      </c>
      <c r="H146" s="21" t="s">
        <v>442</v>
      </c>
      <c r="I146" s="13">
        <v>42905.921805555554</v>
      </c>
      <c r="J146" s="7">
        <v>0</v>
      </c>
      <c r="K146" s="89" t="str">
        <f t="shared" si="46"/>
        <v>4053/4054</v>
      </c>
      <c r="L146" s="21" t="str">
        <f>VLOOKUP(A146,'Trips&amp;Operators'!$C$1:$G$99999,5,FALSE)</f>
        <v>HART KEVIN</v>
      </c>
      <c r="M146" s="6">
        <f t="shared" si="47"/>
        <v>2.5787037033296656E-2</v>
      </c>
      <c r="N146" s="7">
        <f t="shared" si="45"/>
        <v>37.133333327947184</v>
      </c>
      <c r="O146" s="7"/>
      <c r="P146" s="7"/>
      <c r="Q146" s="22"/>
      <c r="R146" s="170"/>
      <c r="S146" s="213">
        <f t="shared" si="44"/>
        <v>1</v>
      </c>
      <c r="T146" s="195" t="str">
        <f t="shared" si="48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-06-19T20:24:24-0600',mode:absolute,to:'2017-06-19T23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6" s="197" t="str">
        <f>IF(AA146&lt;VLOOKUP(AG146,Variables!$AC$3:$AD$8,2,FALSE),"Y","N")</f>
        <v>N</v>
      </c>
      <c r="X146" s="197">
        <f t="shared" si="41"/>
        <v>1</v>
      </c>
      <c r="Y146" s="197">
        <f t="shared" si="55"/>
        <v>4.3999999999999997E-2</v>
      </c>
      <c r="Z146" s="197">
        <f t="shared" si="56"/>
        <v>23.328900000000001</v>
      </c>
      <c r="AA146" s="197">
        <f t="shared" si="50"/>
        <v>23.2849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1"/>
        <v>231</v>
      </c>
      <c r="AE146" s="77" t="str">
        <f t="shared" si="5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46" s="74" t="str">
        <f t="shared" si="53"/>
        <v>"C:\Program Files (x86)\AstroGrep\AstroGrep.exe" /e /r /s /spath="%USERPROFILE%\AppData\Local\Temp\OnboardLogs" /stypes="app*4054*20170620*" /stext=" 04:.+((SYSTEM_STATE.+slice.+state.+changed )|(ment ac)|(multiple cpu faults)|(system.+state.+changed )|(\[timeout)|(PRM\|1\|D)|(kpr)|(kdp)|(train st.+moving)|(\|lc)|(penalty))"</v>
      </c>
      <c r="AG146" s="209" t="str">
        <f t="shared" si="54"/>
        <v>EC</v>
      </c>
      <c r="AH146" s="78" t="str">
        <f t="shared" si="57"/>
        <v>"%USERPROFILE%\Documents\GitHub\eaglep3\Utilities\RefineRTDCRunTimes.py" --tripid 231-19 --locoid 4054 --swversion DE.1.0.9.0 --startMP 204:440 --initTime 2017-06-19T21:24:24 --startdatetime 2017-06-19T21:30:16 --delay 1 --endMP 204:233289 --enddatetime 2017-06-19T22:07:24 --enforcementcount 0 &gt;&gt;C:\Users\stu\Documents\GitHub\eaglep3-reporting\EC\2017-06-19-refined-times.txt</v>
      </c>
      <c r="AI146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{"issue":{"subject":"","project_id":79,"tracker_id":40,"status_id":1,"priority_id":2,"assigned_to_id":23,"start_date":"2017-06-19","description":"","custom_fields":[{"id":1,"name":"Subdivision","value":"EC"},{"id":4,"name":"Milepost","value":"23.3289"},{"id":17,"name":"Train ID","value":"231-19"},{"id":16,"name":"Locomotive ID","value":"4054"},{"id":130,"name":"Impact","value":""},{"id":150,"name":"Time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9"/>
        <v>start /low /b %USERPROFILE%\Documents\GitHub\eaglep3\Utilities\DownloadLogsFromS3.py --loco 4054 --day 2017-06-19</v>
      </c>
      <c r="AN146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853</v>
      </c>
      <c r="B147" s="7">
        <v>4053</v>
      </c>
      <c r="C147" s="21" t="s">
        <v>202</v>
      </c>
      <c r="D147" s="21" t="s">
        <v>914</v>
      </c>
      <c r="E147" s="13">
        <v>42905.932789351849</v>
      </c>
      <c r="F147" s="13">
        <v>42905.935613425929</v>
      </c>
      <c r="G147" s="7">
        <v>1</v>
      </c>
      <c r="H147" s="21" t="s">
        <v>349</v>
      </c>
      <c r="I147" s="13">
        <v>42905.963020833333</v>
      </c>
      <c r="J147" s="7">
        <v>0</v>
      </c>
      <c r="K147" s="89" t="str">
        <f t="shared" si="46"/>
        <v>4053/4054</v>
      </c>
      <c r="L147" s="21" t="str">
        <f>VLOOKUP(A147,'Trips&amp;Operators'!$C$1:$G$99999,5,FALSE)</f>
        <v>HART KEVIN</v>
      </c>
      <c r="M147" s="6">
        <f t="shared" si="47"/>
        <v>2.7407407404098194E-2</v>
      </c>
      <c r="N147" s="7">
        <f t="shared" si="45"/>
        <v>39.466666661901399</v>
      </c>
      <c r="O147" s="7"/>
      <c r="P147" s="7"/>
      <c r="Q147" s="22"/>
      <c r="R147" s="170"/>
      <c r="S147" s="213">
        <f t="shared" si="44"/>
        <v>1</v>
      </c>
      <c r="T147" s="195" t="str">
        <f t="shared" si="48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-06-19T21:23:13-0600',mode:absolute,to:'2017-06-20T00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97" t="str">
        <f>IF(AA147&lt;VLOOKUP(AG147,Variables!$AC$3:$AD$8,2,FALSE),"Y","N")</f>
        <v>N</v>
      </c>
      <c r="X147" s="197">
        <f t="shared" si="41"/>
        <v>1</v>
      </c>
      <c r="Y147" s="197">
        <f t="shared" si="55"/>
        <v>23.298500000000001</v>
      </c>
      <c r="Z147" s="197">
        <f t="shared" si="56"/>
        <v>1.49E-2</v>
      </c>
      <c r="AA147" s="197">
        <f t="shared" si="50"/>
        <v>23.2836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1"/>
        <v>232</v>
      </c>
      <c r="AE147" s="77" t="str">
        <f t="shared" si="5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147" s="74" t="str">
        <f t="shared" si="53"/>
        <v>"C:\Program Files (x86)\AstroGrep\AstroGrep.exe" /e /r /s /spath="%USERPROFILE%\AppData\Local\Temp\OnboardLogs" /stypes="app*4053*20170620*" /stext=" 05:.+((SYSTEM_STATE.+slice.+state.+changed )|(ment ac)|(multiple cpu faults)|(system.+state.+changed )|(\[timeout)|(PRM\|1\|D)|(kpr)|(kdp)|(train st.+moving)|(\|lc)|(penalty))"</v>
      </c>
      <c r="AG147" s="209" t="str">
        <f t="shared" si="54"/>
        <v>EC</v>
      </c>
      <c r="AH147" s="78" t="str">
        <f t="shared" si="57"/>
        <v>"%USERPROFILE%\Documents\GitHub\eaglep3\Utilities\RefineRTDCRunTimes.py" --tripid 232-19 --locoid 4053 --swversion DE.1.0.9.0 --startMP 204:232985 --initTime 2017-06-19T22:23:13 --startdatetime 2017-06-19T22:27:17 --delay 1 --endMP 204:149 --enddatetime 2017-06-19T23:06:45 --enforcementcount 0 &gt;&gt;C:\Users\stu\Documents\GitHub\eaglep3-reporting\EC\2017-06-19-refined-times.txt</v>
      </c>
      <c r="AI147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{"issue":{"subject":"","project_id":79,"tracker_id":40,"status_id":1,"priority_id":2,"assigned_to_id":23,"start_date":"2017-06-19","description":"","custom_fields":[{"id":1,"name":"Subdivision","value":"EC"},{"id":4,"name":"Milepost","value":"0.0149"},{"id":17,"name":"Train ID","value":"232-19"},{"id":16,"name":"Locomotive ID","value":"4053"},{"id":130,"name":"Impact","value":""},{"id":150,"name":"Time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9"/>
        <v>start /low /b %USERPROFILE%\Documents\GitHub\eaglep3\Utilities\DownloadLogsFromS3.py --loco 4053 --day 2017-06-19</v>
      </c>
      <c r="AN147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849</v>
      </c>
      <c r="B148" s="7">
        <v>4018</v>
      </c>
      <c r="C148" s="21" t="s">
        <v>202</v>
      </c>
      <c r="D148" s="21" t="s">
        <v>929</v>
      </c>
      <c r="E148" s="13">
        <v>42905.902812499997</v>
      </c>
      <c r="F148" s="13">
        <v>42905.916886574072</v>
      </c>
      <c r="G148" s="7">
        <v>1</v>
      </c>
      <c r="H148" s="21" t="s">
        <v>876</v>
      </c>
      <c r="I148" s="13">
        <v>42905.942106481481</v>
      </c>
      <c r="J148" s="7">
        <v>0</v>
      </c>
      <c r="K148" s="89" t="str">
        <f t="shared" si="46"/>
        <v>4017/4018</v>
      </c>
      <c r="L148" s="21" t="str">
        <f>VLOOKUP(A148,'Trips&amp;Operators'!$C$1:$G$99999,5,FALSE)</f>
        <v>HAITHCOX MICHAEL</v>
      </c>
      <c r="M148" s="6">
        <f t="shared" si="47"/>
        <v>2.5219907409336884E-2</v>
      </c>
      <c r="N148" s="7">
        <f t="shared" si="45"/>
        <v>36.316666669445112</v>
      </c>
      <c r="O148" s="7"/>
      <c r="P148" s="7"/>
      <c r="Q148" s="22"/>
      <c r="R148" s="170"/>
      <c r="S148" s="213">
        <f t="shared" si="44"/>
        <v>1</v>
      </c>
      <c r="T148" s="195" t="str">
        <f t="shared" si="48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-06-19T20:40:03-0600',mode:absolute,to:'2017-06-19T23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7" t="str">
        <f>IF(AA148&lt;VLOOKUP(AG148,Variables!$AC$3:$AD$8,2,FALSE),"Y","N")</f>
        <v>N</v>
      </c>
      <c r="X148" s="197">
        <f t="shared" ref="X148:X211" si="61">VALUE(LEFT(AD148,4))-VALUE(LEFT(AD147,4))</f>
        <v>1</v>
      </c>
      <c r="Y148" s="197">
        <f t="shared" si="55"/>
        <v>4.2700000000000002E-2</v>
      </c>
      <c r="Z148" s="197">
        <f t="shared" si="56"/>
        <v>23.329699999999999</v>
      </c>
      <c r="AA148" s="197">
        <f t="shared" si="50"/>
        <v>23.286999999999999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1"/>
        <v>233</v>
      </c>
      <c r="AE148" s="77" t="str">
        <f t="shared" si="5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148" s="74" t="str">
        <f t="shared" si="53"/>
        <v>"C:\Program Files (x86)\AstroGrep\AstroGrep.exe" /e /r /s /spath="%USERPROFILE%\AppData\Local\Temp\OnboardLogs" /stypes="app*4018*20170620*" /stext=" 04:.+((SYSTEM_STATE.+slice.+state.+changed )|(ment ac)|(multiple cpu faults)|(system.+state.+changed )|(\[timeout)|(PRM\|1\|D)|(kpr)|(kdp)|(train st.+moving)|(\|lc)|(penalty))"</v>
      </c>
      <c r="AG148" s="209" t="str">
        <f t="shared" si="54"/>
        <v>EC</v>
      </c>
      <c r="AH148" s="78" t="str">
        <f t="shared" si="57"/>
        <v>"%USERPROFILE%\Documents\GitHub\eaglep3\Utilities\RefineRTDCRunTimes.py" --tripid 233-19 --locoid 4018 --swversion DE.1.0.9.0 --startMP 204:427 --initTime 2017-06-19T21:40:03 --startdatetime 2017-06-19T22:00:19 --delay 1 --endMP 204:233297 --enddatetime 2017-06-19T22:36:38 --enforcementcount 0 &gt;&gt;C:\Users\stu\Documents\GitHub\eaglep3-reporting\EC\2017-06-19-refined-times.txt</v>
      </c>
      <c r="AI148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{"issue":{"subject":"","project_id":79,"tracker_id":40,"status_id":1,"priority_id":2,"assigned_to_id":23,"start_date":"2017-06-19","description":"","custom_fields":[{"id":1,"name":"Subdivision","value":"EC"},{"id":4,"name":"Milepost","value":"23.3297"},{"id":17,"name":"Train ID","value":"233-19"},{"id":16,"name":"Locomotive ID","value":"4018"},{"id":130,"name":"Impact","value":""},{"id":150,"name":"Time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9"/>
        <v>start /low /b %USERPROFILE%\Documents\GitHub\eaglep3\Utilities\DownloadLogsFromS3.py --loco 4018 --day 2017-06-19</v>
      </c>
      <c r="AN148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856</v>
      </c>
      <c r="B149" s="7">
        <v>4017</v>
      </c>
      <c r="C149" s="21" t="s">
        <v>202</v>
      </c>
      <c r="D149" s="21" t="s">
        <v>930</v>
      </c>
      <c r="E149" s="13">
        <v>42905.943657407406</v>
      </c>
      <c r="F149" s="13">
        <v>42905.956493055557</v>
      </c>
      <c r="G149" s="7">
        <v>1</v>
      </c>
      <c r="H149" s="21" t="s">
        <v>419</v>
      </c>
      <c r="I149" s="13">
        <v>42905.984444444446</v>
      </c>
      <c r="J149" s="7">
        <v>0</v>
      </c>
      <c r="K149" s="89" t="str">
        <f t="shared" si="46"/>
        <v>4017/4018</v>
      </c>
      <c r="L149" s="21" t="str">
        <f>VLOOKUP(A149,'Trips&amp;Operators'!$C$1:$G$99999,5,FALSE)</f>
        <v>HAITHCOX MICHAEL</v>
      </c>
      <c r="M149" s="6">
        <f t="shared" si="47"/>
        <v>2.7951388889050577E-2</v>
      </c>
      <c r="N149" s="7">
        <f t="shared" si="45"/>
        <v>40.250000000232831</v>
      </c>
      <c r="O149" s="7"/>
      <c r="P149" s="7"/>
      <c r="Q149" s="22"/>
      <c r="R149" s="170"/>
      <c r="S149" s="213">
        <f t="shared" ref="S149:S180" si="62">SUM(U149:U149)/IF(AG149="EC",12,1)</f>
        <v>1</v>
      </c>
      <c r="T149" s="195" t="str">
        <f t="shared" si="48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-06-19T21:38:52-0600',mode:absolute,to:'2017-06-20T00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 t="shared" si="61"/>
        <v>1</v>
      </c>
      <c r="Y149" s="197">
        <f t="shared" si="55"/>
        <v>23.2989</v>
      </c>
      <c r="Z149" s="197">
        <f t="shared" si="56"/>
        <v>1.4500000000000001E-2</v>
      </c>
      <c r="AA149" s="197">
        <f t="shared" si="50"/>
        <v>23.284399999999998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1"/>
        <v>234</v>
      </c>
      <c r="AE149" s="77" t="str">
        <f t="shared" si="5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149" s="74" t="str">
        <f t="shared" si="53"/>
        <v>"C:\Program Files (x86)\AstroGrep\AstroGrep.exe" /e /r /s /spath="%USERPROFILE%\AppData\Local\Temp\OnboardLogs" /stypes="app*4017*20170620*" /stext=" 05:.+((SYSTEM_STATE.+slice.+state.+changed )|(ment ac)|(multiple cpu faults)|(system.+state.+changed )|(\[timeout)|(PRM\|1\|D)|(kpr)|(kdp)|(train st.+moving)|(\|lc)|(penalty))"</v>
      </c>
      <c r="AG149" s="209" t="str">
        <f t="shared" si="54"/>
        <v>EC</v>
      </c>
      <c r="AH149" s="78" t="str">
        <f t="shared" si="57"/>
        <v>"%USERPROFILE%\Documents\GitHub\eaglep3\Utilities\RefineRTDCRunTimes.py" --tripid 234-19 --locoid 4017 --swversion DE.1.0.9.0 --startMP 204:232989 --initTime 2017-06-19T22:38:52 --startdatetime 2017-06-19T22:57:21 --delay 1 --endMP 204:145 --enddatetime 2017-06-19T23:37:36 --enforcementcount 0 &gt;&gt;C:\Users\stu\Documents\GitHub\eaglep3-reporting\EC\2017-06-19-refined-times.txt</v>
      </c>
      <c r="AI149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ID","value":"234-19"},{"id":16,"name":"Locomotive ID","value":"4017"},{"id":130,"name":"Impact","value":""},{"id":150,"name":"Time of Event (Mountain Time)","value":"23:37:36"},{"id":151,"name":"Denver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9"/>
        <v>start /low /b %USERPROFILE%\Documents\GitHub\eaglep3\Utilities\DownloadLogsFromS3.py --loco 4017 --day 2017-06-19</v>
      </c>
      <c r="AN149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05:37:36"},{"id":29,"name":"Sharepoint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851</v>
      </c>
      <c r="B150" s="7">
        <v>4044</v>
      </c>
      <c r="C150" s="21" t="s">
        <v>202</v>
      </c>
      <c r="D150" s="21" t="s">
        <v>931</v>
      </c>
      <c r="E150" s="13">
        <v>42905.924328703702</v>
      </c>
      <c r="F150" s="13">
        <v>42905.937673611108</v>
      </c>
      <c r="G150" s="7">
        <v>1</v>
      </c>
      <c r="H150" s="21" t="s">
        <v>886</v>
      </c>
      <c r="I150" s="13">
        <v>42905.963437500002</v>
      </c>
      <c r="J150" s="7">
        <v>0</v>
      </c>
      <c r="K150" s="89" t="str">
        <f t="shared" si="46"/>
        <v>4043/4044</v>
      </c>
      <c r="L150" s="21" t="str">
        <f>VLOOKUP(A150,'Trips&amp;Operators'!$C$1:$G$99999,5,FALSE)</f>
        <v>GUZMAN DANNY</v>
      </c>
      <c r="M150" s="6">
        <f t="shared" si="47"/>
        <v>2.5763888894289266E-2</v>
      </c>
      <c r="N150" s="7">
        <f t="shared" si="45"/>
        <v>37.100000007776543</v>
      </c>
      <c r="O150" s="7"/>
      <c r="P150" s="7"/>
      <c r="Q150" s="22"/>
      <c r="R150" s="170"/>
      <c r="S150" s="213">
        <f t="shared" si="62"/>
        <v>1</v>
      </c>
      <c r="T150" s="195" t="str">
        <f t="shared" si="48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-06-19T21:11:02-0600',mode:absolute,to:'2017-06-20T00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97" t="str">
        <f>IF(AA150&lt;VLOOKUP(AG150,Variables!$AC$3:$AD$8,2,FALSE),"Y","N")</f>
        <v>N</v>
      </c>
      <c r="X150" s="197">
        <f t="shared" si="61"/>
        <v>1</v>
      </c>
      <c r="Y150" s="197">
        <f t="shared" si="55"/>
        <v>4.9700000000000001E-2</v>
      </c>
      <c r="Z150" s="197">
        <f t="shared" si="56"/>
        <v>23.331399999999999</v>
      </c>
      <c r="AA150" s="197">
        <f t="shared" si="50"/>
        <v>23.281699999999997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1"/>
        <v>235</v>
      </c>
      <c r="AE150" s="77" t="str">
        <f t="shared" si="52"/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AF150" s="74" t="str">
        <f t="shared" si="53"/>
        <v>"C:\Program Files (x86)\AstroGrep\AstroGrep.exe" /e /r /s /spath="%USERPROFILE%\AppData\Local\Temp\OnboardLogs" /stypes="app*4044*20170620*" /stext=" 05:.+((SYSTEM_STATE.+slice.+state.+changed )|(ment ac)|(multiple cpu faults)|(system.+state.+changed )|(\[timeout)|(PRM\|1\|D)|(kpr)|(kdp)|(train st.+moving)|(\|lc)|(penalty))"</v>
      </c>
      <c r="AG150" s="209" t="str">
        <f t="shared" si="54"/>
        <v>EC</v>
      </c>
      <c r="AH150" s="78" t="str">
        <f t="shared" si="57"/>
        <v>"%USERPROFILE%\Documents\GitHub\eaglep3\Utilities\RefineRTDCRunTimes.py" --tripid 235-19 --locoid 4044 --swversion DE.1.0.9.0 --startMP 204:497 --initTime 2017-06-19T22:11:02 --startdatetime 2017-06-19T22:30:15 --delay 1 --endMP 204:233314 --enddatetime 2017-06-19T23:07:21 --enforcementcount 0 &gt;&gt;C:\Users\stu\Documents\GitHub\eaglep3-reporting\EC\2017-06-19-refined-times.txt</v>
      </c>
      <c r="AI150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{"issue":{"subject":"","project_id":79,"tracker_id":40,"status_id":1,"priority_id":2,"assigned_to_id":23,"start_date":"2017-06-19","description":"","custom_fields":[{"id":1,"name":"Subdivision","value":"EC"},{"id":4,"name":"Milepost","value":"23.3314"},{"id":17,"name":"Train ID","value":"235-19"},{"id":16,"name":"Locomotive ID","value":"4044"},{"id":130,"name":"Impact","value":""},{"id":150,"name":"Time of Event (Mountain Time)","value":"23:07:21"},{"id":151,"name":"Denver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9"/>
        <v>start /low /b %USERPROFILE%\Documents\GitHub\eaglep3\Utilities\DownloadLogsFromS3.py --loco 4044 --day 2017-06-19</v>
      </c>
      <c r="AN150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05:07:21"},{"id":29,"name":"Sharepoint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857</v>
      </c>
      <c r="B151" s="7">
        <v>4043</v>
      </c>
      <c r="C151" s="21" t="s">
        <v>202</v>
      </c>
      <c r="D151" s="21" t="s">
        <v>454</v>
      </c>
      <c r="E151" s="13">
        <v>42905.966006944444</v>
      </c>
      <c r="F151" s="13">
        <v>42905.977314814816</v>
      </c>
      <c r="G151" s="7">
        <v>1</v>
      </c>
      <c r="H151" s="21" t="s">
        <v>449</v>
      </c>
      <c r="I151" s="13">
        <v>42906.004664351851</v>
      </c>
      <c r="J151" s="7">
        <v>0</v>
      </c>
      <c r="K151" s="89" t="str">
        <f t="shared" si="46"/>
        <v>4043/4044</v>
      </c>
      <c r="L151" s="21" t="str">
        <f>VLOOKUP(A151,'Trips&amp;Operators'!$C$1:$G$99999,5,FALSE)</f>
        <v>GUZMAN DANNY</v>
      </c>
      <c r="M151" s="6">
        <f t="shared" si="47"/>
        <v>2.7349537034751847E-2</v>
      </c>
      <c r="N151" s="7">
        <f t="shared" si="45"/>
        <v>39.38333333004266</v>
      </c>
      <c r="O151" s="7"/>
      <c r="P151" s="7"/>
      <c r="Q151" s="22"/>
      <c r="R151" s="170"/>
      <c r="S151" s="213">
        <f t="shared" si="62"/>
        <v>1</v>
      </c>
      <c r="T151" s="195" t="str">
        <f t="shared" si="48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-06-19T22:11:03-0600',mode:absolute,to:'2017-06-20T01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97" t="str">
        <f>IF(AA151&lt;VLOOKUP(AG151,Variables!$AC$3:$AD$8,2,FALSE),"Y","N")</f>
        <v>N</v>
      </c>
      <c r="X151" s="197">
        <f t="shared" si="61"/>
        <v>1</v>
      </c>
      <c r="Y151" s="197">
        <f t="shared" si="55"/>
        <v>23.299299999999999</v>
      </c>
      <c r="Z151" s="197">
        <f t="shared" si="56"/>
        <v>1.3599999999999999E-2</v>
      </c>
      <c r="AA151" s="197">
        <f t="shared" si="50"/>
        <v>23.285699999999999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1"/>
        <v>236</v>
      </c>
      <c r="AE151" s="77" t="str">
        <f t="shared" si="5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151" s="74" t="str">
        <f t="shared" si="53"/>
        <v>"C:\Program Files (x86)\AstroGrep\AstroGrep.exe" /e /r /s /spath="%USERPROFILE%\AppData\Local\Temp\OnboardLogs" /stypes="app*4043*20170620*" /stext=" 06:.+((SYSTEM_STATE.+slice.+state.+changed )|(ment ac)|(multiple cpu faults)|(system.+state.+changed )|(\[timeout)|(PRM\|1\|D)|(kpr)|(kdp)|(train st.+moving)|(\|lc)|(penalty))"</v>
      </c>
      <c r="AG151" s="209" t="str">
        <f t="shared" si="54"/>
        <v>EC</v>
      </c>
      <c r="AH151" s="78" t="str">
        <f t="shared" si="57"/>
        <v>"%USERPROFILE%\Documents\GitHub\eaglep3\Utilities\RefineRTDCRunTimes.py" --tripid 236-19 --locoid 4043 --swversion DE.1.0.9.0 --startMP 204:232993 --initTime 2017-06-19T23:11:03 --startdatetime 2017-06-19T23:27:20 --delay 1 --endMP 204:136 --enddatetime 2017-06-20T00:06:43 --enforcementcount 0 &gt;&gt;C:\Users\stu\Documents\GitHub\eaglep3-reporting\EC\2017-06-19-refined-times.txt</v>
      </c>
      <c r="AI151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{"issue":{"subject":"","project_id":79,"tracker_id":40,"status_id":1,"priority_id":2,"assigned_to_id":23,"start_date":"2017-06-20","description":"","custom_fields":[{"id":1,"name":"Subdivision","value":"EC"},{"id":4,"name":"Milepost","value":"0.0136"},{"id":17,"name":"Train ID","value":"236-19"},{"id":16,"name":"Locomotive ID","value":"4043"},{"id":130,"name":"Impact","value":""},{"id":150,"name":"Time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9"/>
        <v>start /low /b %USERPROFILE%\Documents\GitHub\eaglep3\Utilities\DownloadLogsFromS3.py --loco 4043 --day 2017-06-19</v>
      </c>
      <c r="AN151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06:06:43"},{"id":29,"name":"Sharepoint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855</v>
      </c>
      <c r="B152" s="7">
        <v>4016</v>
      </c>
      <c r="C152" s="21" t="s">
        <v>202</v>
      </c>
      <c r="D152" s="21" t="s">
        <v>611</v>
      </c>
      <c r="E152" s="13">
        <v>42905.943368055552</v>
      </c>
      <c r="F152" s="13">
        <v>42905.958541666667</v>
      </c>
      <c r="G152" s="7">
        <v>1</v>
      </c>
      <c r="H152" s="21" t="s">
        <v>510</v>
      </c>
      <c r="I152" s="13">
        <v>42905.983715277776</v>
      </c>
      <c r="J152" s="7">
        <v>0</v>
      </c>
      <c r="K152" s="89" t="str">
        <f t="shared" si="46"/>
        <v>4015/4016</v>
      </c>
      <c r="L152" s="21" t="str">
        <f>VLOOKUP(A152,'Trips&amp;Operators'!$C$1:$G$99999,5,FALSE)</f>
        <v>PERKINS DARREN</v>
      </c>
      <c r="M152" s="6">
        <f t="shared" si="47"/>
        <v>2.5173611109494232E-2</v>
      </c>
      <c r="N152" s="7">
        <f t="shared" si="45"/>
        <v>36.249999997671694</v>
      </c>
      <c r="O152" s="7"/>
      <c r="P152" s="7"/>
      <c r="Q152" s="22"/>
      <c r="R152" s="170"/>
      <c r="S152" s="213">
        <f t="shared" si="62"/>
        <v>1</v>
      </c>
      <c r="T152" s="195" t="str">
        <f t="shared" si="48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-06-19T21:38:27-0600',mode:absolute,to:'2017-06-20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97" t="str">
        <f>IF(AA152&lt;VLOOKUP(AG152,Variables!$AC$3:$AD$8,2,FALSE),"Y","N")</f>
        <v>N</v>
      </c>
      <c r="X152" s="197">
        <f t="shared" si="61"/>
        <v>1</v>
      </c>
      <c r="Y152" s="197">
        <f t="shared" si="55"/>
        <v>4.3499999999999997E-2</v>
      </c>
      <c r="Z152" s="197">
        <f t="shared" si="56"/>
        <v>23.331700000000001</v>
      </c>
      <c r="AA152" s="197">
        <f t="shared" si="50"/>
        <v>23.2882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1"/>
        <v>237</v>
      </c>
      <c r="AE152" s="77" t="str">
        <f t="shared" si="52"/>
        <v>aws s3 cp s3://rtdc.mdm.uploadarchive.raw/RTDC4016/ "%USERPROFILE%\AppData\Local\Temp\OnboardLogs"\RTDC4016\2017-06-19 --exclude "*" --recursive --include "*20170619*" &amp; "%USERPROFILE%\Documents\GitHub\mrs-test-scripts\Headless Mode &amp; Sideloading\WalkAndUnGZ.bat" "%USERPROFILE%\AppData\Local\Temp\OnboardLogs"\RTDC4016\2017-06-19 &amp; 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</v>
      </c>
      <c r="AF152" s="74" t="str">
        <f t="shared" si="53"/>
        <v>"C:\Program Files (x86)\AstroGrep\AstroGrep.exe" /e /r /s /spath="%USERPROFILE%\AppData\Local\Temp\OnboardLogs" /stypes="app*4016*20170620*" /stext=" 05:.+((SYSTEM_STATE.+slice.+state.+changed )|(ment ac)|(multiple cpu faults)|(system.+state.+changed )|(\[timeout)|(PRM\|1\|D)|(kpr)|(kdp)|(train st.+moving)|(\|lc)|(penalty))"</v>
      </c>
      <c r="AG152" s="209" t="str">
        <f t="shared" si="54"/>
        <v>EC</v>
      </c>
      <c r="AH152" s="78" t="str">
        <f t="shared" si="57"/>
        <v>"%USERPROFILE%\Documents\GitHub\eaglep3\Utilities\RefineRTDCRunTimes.py" --tripid 237-19 --locoid 4016 --swversion DE.1.0.9.0 --startMP 204:435 --initTime 2017-06-19T22:38:27 --startdatetime 2017-06-19T23:00:18 --delay 1 --endMP 204:233317 --enddatetime 2017-06-19T23:36:33 --enforcementcount 0 &gt;&gt;C:\Users\stu\Documents\GitHub\eaglep3-reporting\EC\2017-06-19-refined-times.txt</v>
      </c>
      <c r="AI152" s="96" t="str">
        <f t="shared" si="58"/>
        <v>echo {"issue":{"subject":"","project_id":79,"tracker_id":40,"status_id":1,"priority_id":2,"assigned_to_id":23,"start_date":"2017-06-19","description":"","custom_fields":[{"id":1,"name":"Subdivision","value":"EC"},{"id":4,"name":"Milepost","value":"23.3317"},{"id":17,"name":"Train ID","value":"237-19"},{"id":16,"name":"Locomotive ID","value":"4016"},{"id":130,"name":"Impact","value":""},{"id":150,"name":"Time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9"/>
        <v>start /low /b %USERPROFILE%\Documents\GitHub\eaglep3\Utilities\DownloadLogsFromS3.py --loco 4016 --day 2017-06-19</v>
      </c>
      <c r="AN152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860</v>
      </c>
      <c r="B153" s="7">
        <v>4015</v>
      </c>
      <c r="C153" s="21" t="s">
        <v>202</v>
      </c>
      <c r="D153" s="21" t="s">
        <v>594</v>
      </c>
      <c r="E153" s="13">
        <v>42905.992037037038</v>
      </c>
      <c r="F153" s="13">
        <v>42905.998101851852</v>
      </c>
      <c r="G153" s="7">
        <v>1</v>
      </c>
      <c r="H153" s="21" t="s">
        <v>536</v>
      </c>
      <c r="I153" s="13">
        <v>42906.024675925924</v>
      </c>
      <c r="J153" s="7">
        <v>0</v>
      </c>
      <c r="K153" s="89" t="str">
        <f t="shared" si="46"/>
        <v>4015/4016</v>
      </c>
      <c r="L153" s="21" t="str">
        <f>VLOOKUP(A153,'Trips&amp;Operators'!$C$1:$G$99999,5,FALSE)</f>
        <v>PERKINS DARREN</v>
      </c>
      <c r="M153" s="6">
        <f t="shared" si="47"/>
        <v>2.6574074072414078E-2</v>
      </c>
      <c r="N153" s="7">
        <f t="shared" si="45"/>
        <v>38.266666664276272</v>
      </c>
      <c r="O153" s="7"/>
      <c r="P153" s="7"/>
      <c r="Q153" s="22"/>
      <c r="R153" s="170"/>
      <c r="S153" s="213">
        <f t="shared" si="62"/>
        <v>1</v>
      </c>
      <c r="T153" s="195" t="str">
        <f t="shared" si="48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-06-19T22:48:32-0600',mode:absolute,to:'2017-06-20T01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97" t="str">
        <f>IF(AA153&lt;VLOOKUP(AG153,Variables!$AC$3:$AD$8,2,FALSE),"Y","N")</f>
        <v>N</v>
      </c>
      <c r="X153" s="197">
        <f t="shared" si="61"/>
        <v>1</v>
      </c>
      <c r="Y153" s="197">
        <f t="shared" si="55"/>
        <v>23.3004</v>
      </c>
      <c r="Z153" s="197">
        <f t="shared" si="56"/>
        <v>1.6500000000000001E-2</v>
      </c>
      <c r="AA153" s="197">
        <f t="shared" si="50"/>
        <v>23.283899999999999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1"/>
        <v>238</v>
      </c>
      <c r="AE153" s="77" t="str">
        <f t="shared" si="52"/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AF153" s="74" t="str">
        <f t="shared" si="53"/>
        <v>"C:\Program Files (x86)\AstroGrep\AstroGrep.exe" /e /r /s /spath="%USERPROFILE%\AppData\Local\Temp\OnboardLogs" /stypes="app*4015*20170620*" /stext=" 06:.+((SYSTEM_STATE.+slice.+state.+changed )|(ment ac)|(multiple cpu faults)|(system.+state.+changed )|(\[timeout)|(PRM\|1\|D)|(kpr)|(kdp)|(train st.+moving)|(\|lc)|(penalty))"</v>
      </c>
      <c r="AG153" s="209" t="str">
        <f t="shared" si="54"/>
        <v>EC</v>
      </c>
      <c r="AH153" s="78" t="str">
        <f t="shared" si="57"/>
        <v>"%USERPROFILE%\Documents\GitHub\eaglep3\Utilities\RefineRTDCRunTimes.py" --tripid 238-19 --locoid 4015 --swversion DE.1.0.9.0 --startMP 204:233004 --initTime 2017-06-19T23:48:32 --startdatetime 2017-06-19T23:57:16 --delay 1 --endMP 204:165 --enddatetime 2017-06-20T00:35:32 --enforcementcount 0 &gt;&gt;C:\Users\stu\Documents\GitHub\eaglep3-reporting\EC\2017-06-19-refined-times.txt</v>
      </c>
      <c r="AI153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{"issue":{"subject":"","project_id":79,"tracker_id":40,"status_id":1,"priority_id":2,"assigned_to_id":23,"start_date":"2017-06-20","description":"","custom_fields":[{"id":1,"name":"Subdivision","value":"EC"},{"id":4,"name":"Milepost","value":"0.0165"},{"id":17,"name":"Train ID","value":"238-19"},{"id":16,"name":"Locomotive ID","value":"4015"},{"id":130,"name":"Impact","value":""},{"id":150,"name":"Time of Event (Mountain Time)","value":"00:35:32"},{"id":151,"name":"Denver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9"/>
        <v>start /low /b %USERPROFILE%\Documents\GitHub\eaglep3\Utilities\DownloadLogsFromS3.py --loco 4015 --day 2017-06-19</v>
      </c>
      <c r="AN153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06:35:32"},{"id":29,"name":"Sharepoint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858</v>
      </c>
      <c r="B154" s="7">
        <v>4054</v>
      </c>
      <c r="C154" s="21" t="s">
        <v>202</v>
      </c>
      <c r="D154" s="21" t="s">
        <v>891</v>
      </c>
      <c r="E154" s="13">
        <v>42905.970046296294</v>
      </c>
      <c r="F154" s="13">
        <v>42905.979351851849</v>
      </c>
      <c r="G154" s="7">
        <v>1</v>
      </c>
      <c r="H154" s="21" t="s">
        <v>889</v>
      </c>
      <c r="I154" s="13">
        <v>42906.004247685189</v>
      </c>
      <c r="J154" s="7">
        <v>0</v>
      </c>
      <c r="K154" s="89" t="str">
        <f t="shared" si="46"/>
        <v>4053/4054</v>
      </c>
      <c r="L154" s="21" t="str">
        <f>VLOOKUP(A154,'Trips&amp;Operators'!$C$1:$G$99999,5,FALSE)</f>
        <v>HART KEVIN</v>
      </c>
      <c r="M154" s="6">
        <f t="shared" si="47"/>
        <v>2.489583333954215E-2</v>
      </c>
      <c r="N154" s="7">
        <f t="shared" si="45"/>
        <v>35.850000008940697</v>
      </c>
      <c r="O154" s="7"/>
      <c r="P154" s="7"/>
      <c r="Q154" s="22"/>
      <c r="R154" s="170"/>
      <c r="S154" s="213">
        <f t="shared" si="62"/>
        <v>1</v>
      </c>
      <c r="T154" s="195" t="str">
        <f t="shared" si="48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-06-19T22:16:52-0600',mode:absolute,to:'2017-06-20T01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4" s="197" t="str">
        <f>IF(AA154&lt;VLOOKUP(AG154,Variables!$AC$3:$AD$8,2,FALSE),"Y","N")</f>
        <v>N</v>
      </c>
      <c r="X154" s="197">
        <f t="shared" si="61"/>
        <v>1</v>
      </c>
      <c r="Y154" s="197">
        <f t="shared" si="55"/>
        <v>4.58E-2</v>
      </c>
      <c r="Z154" s="197">
        <f t="shared" si="56"/>
        <v>23.329799999999999</v>
      </c>
      <c r="AA154" s="197">
        <f t="shared" si="50"/>
        <v>23.283999999999999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1"/>
        <v>239</v>
      </c>
      <c r="AE154" s="77" t="str">
        <f t="shared" si="52"/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AF154" s="74" t="str">
        <f t="shared" si="53"/>
        <v>"C:\Program Files (x86)\AstroGrep\AstroGrep.exe" /e /r /s /spath="%USERPROFILE%\AppData\Local\Temp\OnboardLogs" /stypes="app*4054*20170620*" /stext=" 06:.+((SYSTEM_STATE.+slice.+state.+changed )|(ment ac)|(multiple cpu faults)|(system.+state.+changed )|(\[timeout)|(PRM\|1\|D)|(kpr)|(kdp)|(train st.+moving)|(\|lc)|(penalty))"</v>
      </c>
      <c r="AG154" s="209" t="str">
        <f t="shared" si="54"/>
        <v>EC</v>
      </c>
      <c r="AH154" s="78" t="str">
        <f t="shared" si="57"/>
        <v>"%USERPROFILE%\Documents\GitHub\eaglep3\Utilities\RefineRTDCRunTimes.py" --tripid 239-19 --locoid 4054 --swversion DE.1.0.9.0 --startMP 204:458 --initTime 2017-06-19T23:16:52 --startdatetime 2017-06-19T23:30:16 --delay 1 --endMP 204:233298 --enddatetime 2017-06-20T00:06:07 --enforcementcount 0 &gt;&gt;C:\Users\stu\Documents\GitHub\eaglep3-reporting\EC\2017-06-19-refined-times.txt</v>
      </c>
      <c r="AI154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{"issue":{"subject":"","project_id":79,"tracker_id":40,"status_id":1,"priority_id":2,"assigned_to_id":23,"start_date":"2017-06-20","description":"","custom_fields":[{"id":1,"name":"Subdivision","value":"EC"},{"id":4,"name":"Milepost","value":"23.3298"},{"id":17,"name":"Train ID","value":"239-19"},{"id":16,"name":"Locomotive ID","value":"4054"},{"id":130,"name":"Impact","value":""},{"id":150,"name":"Time of Event (Mountain Time)","value":"00:06:07"},{"id":151,"name":"Denver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9"/>
        <v>start /low /b %USERPROFILE%\Documents\GitHub\eaglep3\Utilities\DownloadLogsFromS3.py --loco 4054 --day 2017-06-19</v>
      </c>
      <c r="AN154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862</v>
      </c>
      <c r="B155" s="7">
        <v>4053</v>
      </c>
      <c r="C155" s="21" t="s">
        <v>202</v>
      </c>
      <c r="D155" s="21" t="s">
        <v>511</v>
      </c>
      <c r="E155" s="13">
        <v>42906.013449074075</v>
      </c>
      <c r="F155" s="13">
        <v>42906.018923611111</v>
      </c>
      <c r="G155" s="7">
        <v>1</v>
      </c>
      <c r="H155" s="21" t="s">
        <v>349</v>
      </c>
      <c r="I155" s="13">
        <v>42906.045416666668</v>
      </c>
      <c r="J155" s="7">
        <v>0</v>
      </c>
      <c r="K155" s="89" t="str">
        <f t="shared" si="46"/>
        <v>4053/4054</v>
      </c>
      <c r="L155" s="21" t="str">
        <f>VLOOKUP(A155,'Trips&amp;Operators'!$C$1:$G$99999,5,FALSE)</f>
        <v>HART KEVIN</v>
      </c>
      <c r="M155" s="6">
        <f t="shared" si="47"/>
        <v>2.6493055556784384E-2</v>
      </c>
      <c r="N155" s="7">
        <f t="shared" si="45"/>
        <v>38.150000001769513</v>
      </c>
      <c r="O155" s="7"/>
      <c r="P155" s="7"/>
      <c r="Q155" s="22"/>
      <c r="R155" s="170"/>
      <c r="S155" s="213">
        <f t="shared" si="62"/>
        <v>1</v>
      </c>
      <c r="T155" s="195" t="str">
        <f t="shared" si="48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-06-19T23:19:22-0600',mode:absolute,to:'2017-06-20T02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5" s="197" t="str">
        <f>IF(AA155&lt;VLOOKUP(AG155,Variables!$AC$3:$AD$8,2,FALSE),"Y","N")</f>
        <v>N</v>
      </c>
      <c r="X155" s="197">
        <f t="shared" si="61"/>
        <v>1</v>
      </c>
      <c r="Y155" s="197">
        <f t="shared" si="55"/>
        <v>23.298300000000001</v>
      </c>
      <c r="Z155" s="197">
        <f t="shared" si="56"/>
        <v>1.49E-2</v>
      </c>
      <c r="AA155" s="197">
        <f t="shared" si="50"/>
        <v>23.2834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1"/>
        <v>240</v>
      </c>
      <c r="AE155" s="77" t="str">
        <f t="shared" si="52"/>
        <v>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 &amp; 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</v>
      </c>
      <c r="AF155" s="74" t="str">
        <f t="shared" si="53"/>
        <v>"C:\Program Files (x86)\AstroGrep\AstroGrep.exe" /e /r /s /spath="%USERPROFILE%\AppData\Local\Temp\OnboardLogs" /stypes="app*4053*20170620*" /stext=" 07:.+((SYSTEM_STATE.+slice.+state.+changed )|(ment ac)|(multiple cpu faults)|(system.+state.+changed )|(\[timeout)|(PRM\|1\|D)|(kpr)|(kdp)|(train st.+moving)|(\|lc)|(penalty))"</v>
      </c>
      <c r="AG155" s="209" t="str">
        <f t="shared" si="54"/>
        <v>EC</v>
      </c>
      <c r="AH155" s="78" t="str">
        <f t="shared" si="57"/>
        <v>"%USERPROFILE%\Documents\GitHub\eaglep3\Utilities\RefineRTDCRunTimes.py" --tripid 240-19 --locoid 4053 --swversion DE.1.0.9.0 --startMP 204:232983 --initTime 2017-06-20T00:19:22 --startdatetime 2017-06-20T00:27:15 --delay 1 --endMP 204:149 --enddatetime 2017-06-20T01:05:24 --enforcementcount 0 &gt;&gt;C:\Users\stu\Documents\GitHub\eaglep3-reporting\EC\2017-06-19-refined-times.txt</v>
      </c>
      <c r="AI155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ID","value":"240-19"},{"id":16,"name":"Locomotive ID","value":"4053"},{"id":130,"name":"Impact","value":""},{"id":150,"name":"Time of Event (Mountain Time)","value":"01:05:24"},{"id":151,"name":"Denver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9"/>
        <v>start /low /b %USERPROFILE%\Documents\GitHub\eaglep3\Utilities\DownloadLogsFromS3.py --loco 4053 --day 2017-06-20</v>
      </c>
      <c r="AN155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07:05:24"},{"id":29,"name":"Sharepoint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859</v>
      </c>
      <c r="B156" s="7">
        <v>4018</v>
      </c>
      <c r="C156" s="21" t="s">
        <v>202</v>
      </c>
      <c r="D156" s="21" t="s">
        <v>506</v>
      </c>
      <c r="E156" s="13">
        <v>42905.986319444448</v>
      </c>
      <c r="F156" s="13">
        <v>42906.000208333331</v>
      </c>
      <c r="G156" s="7">
        <v>1</v>
      </c>
      <c r="H156" s="21" t="s">
        <v>883</v>
      </c>
      <c r="I156" s="13">
        <v>42906.025138888886</v>
      </c>
      <c r="J156" s="7">
        <v>0</v>
      </c>
      <c r="K156" s="89" t="str">
        <f t="shared" si="46"/>
        <v>4017/4018</v>
      </c>
      <c r="L156" s="21" t="str">
        <f>VLOOKUP(A156,'Trips&amp;Operators'!$C$1:$G$99999,5,FALSE)</f>
        <v>HAITHCOX MICHAEL</v>
      </c>
      <c r="M156" s="6">
        <f t="shared" si="47"/>
        <v>2.4930555555329192E-2</v>
      </c>
      <c r="N156" s="7">
        <f t="shared" ref="N156:N187" si="63">24*60*SUM($M156:$M156)</f>
        <v>35.899999999674037</v>
      </c>
      <c r="O156" s="7"/>
      <c r="P156" s="7"/>
      <c r="Q156" s="22"/>
      <c r="R156" s="170"/>
      <c r="S156" s="213">
        <f t="shared" si="62"/>
        <v>1</v>
      </c>
      <c r="T156" s="195" t="str">
        <f t="shared" si="48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-06-19T22:40:18-0600',mode:absolute,to:'2017-06-20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7" t="str">
        <f>IF(AA156&lt;VLOOKUP(AG156,Variables!$AC$3:$AD$8,2,FALSE),"Y","N")</f>
        <v>N</v>
      </c>
      <c r="X156" s="197">
        <f t="shared" si="61"/>
        <v>1</v>
      </c>
      <c r="Y156" s="197">
        <f t="shared" si="55"/>
        <v>4.5499999999999999E-2</v>
      </c>
      <c r="Z156" s="197">
        <f t="shared" si="56"/>
        <v>23.330200000000001</v>
      </c>
      <c r="AA156" s="197">
        <f t="shared" si="50"/>
        <v>23.284700000000001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1"/>
        <v>241</v>
      </c>
      <c r="AE156" s="77" t="str">
        <f t="shared" si="52"/>
        <v>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 &amp; 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</v>
      </c>
      <c r="AF156" s="74" t="str">
        <f t="shared" si="53"/>
        <v>"C:\Program Files (x86)\AstroGrep\AstroGrep.exe" /e /r /s /spath="%USERPROFILE%\AppData\Local\Temp\OnboardLogs" /stypes="app*4018*20170620*" /stext=" 06:.+((SYSTEM_STATE.+slice.+state.+changed )|(ment ac)|(multiple cpu faults)|(system.+state.+changed )|(\[timeout)|(PRM\|1\|D)|(kpr)|(kdp)|(train st.+moving)|(\|lc)|(penalty))"</v>
      </c>
      <c r="AG156" s="209" t="str">
        <f t="shared" si="54"/>
        <v>EC</v>
      </c>
      <c r="AH156" s="78" t="str">
        <f t="shared" si="57"/>
        <v>"%USERPROFILE%\Documents\GitHub\eaglep3\Utilities\RefineRTDCRunTimes.py" --tripid 241-19 --locoid 4018 --swversion DE.1.0.9.0 --startMP 204:455 --initTime 2017-06-19T23:40:18 --startdatetime 2017-06-20T00:00:18 --delay 1 --endMP 204:233302 --enddatetime 2017-06-20T00:36:12 --enforcementcount 0 &gt;&gt;C:\Users\stu\Documents\GitHub\eaglep3-reporting\EC\2017-06-19-refined-times.txt</v>
      </c>
      <c r="AI156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{"issue":{"subject":"","project_id":79,"tracker_id":40,"status_id":1,"priority_id":2,"assigned_to_id":23,"start_date":"2017-06-20","description":"","custom_fields":[{"id":1,"name":"Subdivision","value":"EC"},{"id":4,"name":"Milepost","value":"23.3302"},{"id":17,"name":"Train ID","value":"241-19"},{"id":16,"name":"Locomotive ID","value":"4018"},{"id":130,"name":"Impact","value":""},{"id":150,"name":"Time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9"/>
        <v>start /low /b %USERPROFILE%\Documents\GitHub\eaglep3\Utilities\DownloadLogsFromS3.py --loco 4018 --day 2017-06-20</v>
      </c>
      <c r="AN156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863</v>
      </c>
      <c r="B157" s="7">
        <v>4017</v>
      </c>
      <c r="C157" s="21" t="s">
        <v>202</v>
      </c>
      <c r="D157" s="21" t="s">
        <v>454</v>
      </c>
      <c r="E157" s="13">
        <v>42906.026516203703</v>
      </c>
      <c r="F157" s="13">
        <v>42906.039849537039</v>
      </c>
      <c r="G157" s="7">
        <v>1</v>
      </c>
      <c r="H157" s="21" t="s">
        <v>349</v>
      </c>
      <c r="I157" s="13">
        <v>42906.068182870367</v>
      </c>
      <c r="J157" s="7">
        <v>0</v>
      </c>
      <c r="K157" s="89" t="str">
        <f t="shared" si="46"/>
        <v>4017/4018</v>
      </c>
      <c r="L157" s="21" t="str">
        <f>VLOOKUP(A157,'Trips&amp;Operators'!$C$1:$G$99999,5,FALSE)</f>
        <v>HAITHCOX MICHAEL</v>
      </c>
      <c r="M157" s="6">
        <f t="shared" si="47"/>
        <v>2.8333333328191657E-2</v>
      </c>
      <c r="N157" s="7">
        <f t="shared" si="63"/>
        <v>40.799999992595986</v>
      </c>
      <c r="O157" s="7"/>
      <c r="P157" s="7"/>
      <c r="Q157" s="22"/>
      <c r="R157" s="170"/>
      <c r="S157" s="213">
        <f t="shared" si="62"/>
        <v>1</v>
      </c>
      <c r="T157" s="195" t="str">
        <f t="shared" si="48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-06-19T23:38:11-0600',mode:absolute,to:'2017-06-20T02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7" t="str">
        <f>IF(AA157&lt;VLOOKUP(AG157,Variables!$AC$3:$AD$8,2,FALSE),"Y","N")</f>
        <v>N</v>
      </c>
      <c r="X157" s="197">
        <f t="shared" si="61"/>
        <v>1</v>
      </c>
      <c r="Y157" s="197">
        <f t="shared" si="55"/>
        <v>23.299299999999999</v>
      </c>
      <c r="Z157" s="197">
        <f t="shared" si="56"/>
        <v>1.49E-2</v>
      </c>
      <c r="AA157" s="197">
        <f t="shared" si="50"/>
        <v>23.284399999999998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1"/>
        <v>242</v>
      </c>
      <c r="AE157" s="77" t="str">
        <f t="shared" si="52"/>
        <v>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 &amp; 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</v>
      </c>
      <c r="AF157" s="74" t="str">
        <f t="shared" si="53"/>
        <v>"C:\Program Files (x86)\AstroGrep\AstroGrep.exe" /e /r /s /spath="%USERPROFILE%\AppData\Local\Temp\OnboardLogs" /stypes="app*4017*20170620*" /stext=" 07:.+((SYSTEM_STATE.+slice.+state.+changed )|(ment ac)|(multiple cpu faults)|(system.+state.+changed )|(\[timeout)|(PRM\|1\|D)|(kpr)|(kdp)|(train st.+moving)|(\|lc)|(penalty))"</v>
      </c>
      <c r="AG157" s="209" t="str">
        <f t="shared" si="54"/>
        <v>EC</v>
      </c>
      <c r="AH157" s="78" t="str">
        <f t="shared" si="57"/>
        <v>"%USERPROFILE%\Documents\GitHub\eaglep3\Utilities\RefineRTDCRunTimes.py" --tripid 242-19 --locoid 4017 --swversion DE.1.0.9.0 --startMP 204:232993 --initTime 2017-06-20T00:38:11 --startdatetime 2017-06-20T00:57:23 --delay 1 --endMP 204:149 --enddatetime 2017-06-20T01:38:11 --enforcementcount 0 &gt;&gt;C:\Users\stu\Documents\GitHub\eaglep3-reporting\EC\2017-06-19-refined-times.txt</v>
      </c>
      <c r="AI157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ID","value":"242-19"},{"id":16,"name":"Locomotive ID","value":"4017"},{"id":130,"name":"Impact","value":""},{"id":150,"name":"Time of Event (Mountain Time)","value":"01:38:11"},{"id":151,"name":"Denver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9"/>
        <v>start /low /b %USERPROFILE%\Documents\GitHub\eaglep3\Utilities\DownloadLogsFromS3.py --loco 4017 --day 2017-06-20</v>
      </c>
      <c r="AN157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07:38:11"},{"id":29,"name":"Sharepoint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861</v>
      </c>
      <c r="B158" s="7">
        <v>4044</v>
      </c>
      <c r="C158" s="21" t="s">
        <v>202</v>
      </c>
      <c r="D158" s="21" t="s">
        <v>932</v>
      </c>
      <c r="E158" s="13">
        <v>42906.006574074076</v>
      </c>
      <c r="F158" s="13">
        <v>42906.021215277775</v>
      </c>
      <c r="G158" s="7">
        <v>1</v>
      </c>
      <c r="H158" s="21" t="s">
        <v>392</v>
      </c>
      <c r="I158" s="13">
        <v>42906.046273148146</v>
      </c>
      <c r="J158" s="7">
        <v>0</v>
      </c>
      <c r="K158" s="89" t="str">
        <f t="shared" si="46"/>
        <v>4043/4044</v>
      </c>
      <c r="L158" s="21" t="str">
        <f>VLOOKUP(A158,'Trips&amp;Operators'!$C$1:$G$99999,5,FALSE)</f>
        <v>GUZMAN DANNY</v>
      </c>
      <c r="M158" s="6">
        <f t="shared" si="47"/>
        <v>2.5057870370801538E-2</v>
      </c>
      <c r="N158" s="7">
        <f t="shared" si="63"/>
        <v>36.083333333954215</v>
      </c>
      <c r="O158" s="7"/>
      <c r="P158" s="7"/>
      <c r="Q158" s="22"/>
      <c r="R158" s="170"/>
      <c r="S158" s="213">
        <f t="shared" si="62"/>
        <v>1</v>
      </c>
      <c r="T158" s="195" t="str">
        <f t="shared" si="48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-06-19T23:09:28-0600',mode:absolute,to:'2017-06-20T02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8" s="197" t="str">
        <f>IF(AA158&lt;VLOOKUP(AG158,Variables!$AC$3:$AD$8,2,FALSE),"Y","N")</f>
        <v>N</v>
      </c>
      <c r="X158" s="197">
        <f t="shared" si="61"/>
        <v>1</v>
      </c>
      <c r="Y158" s="197">
        <f t="shared" si="55"/>
        <v>4.3099999999999999E-2</v>
      </c>
      <c r="Z158" s="197">
        <f t="shared" si="56"/>
        <v>23.3293</v>
      </c>
      <c r="AA158" s="197">
        <f t="shared" si="50"/>
        <v>23.286200000000001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1"/>
        <v>243</v>
      </c>
      <c r="AE158" s="77" t="str">
        <f t="shared" si="52"/>
        <v>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 &amp; aws s3 cp s3://rtdc.mdm.uploadarchive.raw/RTDC4044/ "%USERPROFILE%\AppData\Local\Temp\OnboardLogs"\RTDC4044\2017-06-21 --exclude "*" --recursive --include "*20170621*" &amp; "%USERPROFILE%\Documents\GitHub\mrs-test-scripts\Headless Mode &amp; Sideloading\WalkAndUnGZ.bat" "%USERPROFILE%\AppData\Local\Temp\OnboardLogs"\RTDC4044\2017-06-21</v>
      </c>
      <c r="AF158" s="74" t="str">
        <f t="shared" si="53"/>
        <v>"C:\Program Files (x86)\AstroGrep\AstroGrep.exe" /e /r /s /spath="%USERPROFILE%\AppData\Local\Temp\OnboardLogs" /stypes="app*4044*20170620*" /stext=" 07:.+((SYSTEM_STATE.+slice.+state.+changed )|(ment ac)|(multiple cpu faults)|(system.+state.+changed )|(\[timeout)|(PRM\|1\|D)|(kpr)|(kdp)|(train st.+moving)|(\|lc)|(penalty))"</v>
      </c>
      <c r="AG158" s="209" t="str">
        <f t="shared" si="54"/>
        <v>EC</v>
      </c>
      <c r="AH158" s="78" t="str">
        <f t="shared" si="57"/>
        <v>"%USERPROFILE%\Documents\GitHub\eaglep3\Utilities\RefineRTDCRunTimes.py" --tripid 243-19 --locoid 4044 --swversion DE.1.0.9.0 --startMP 204:431 --initTime 2017-06-20T00:09:28 --startdatetime 2017-06-20T00:30:33 --delay 1 --endMP 204:233293 --enddatetime 2017-06-20T01:06:38 --enforcementcount 0 &gt;&gt;C:\Users\stu\Documents\GitHub\eaglep3-reporting\EC\2017-06-19-refined-times.txt</v>
      </c>
      <c r="AI158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{"issue":{"subject":"","project_id":79,"tracker_id":40,"status_id":1,"priority_id":2,"assigned_to_id":23,"start_date":"2017-06-20","description":"","custom_fields":[{"id":1,"name":"Subdivision","value":"EC"},{"id":4,"name":"Milepost","value":"23.3293"},{"id":17,"name":"Train ID","value":"243-19"},{"id":16,"name":"Locomotive ID","value":"4044"},{"id":130,"name":"Impact","value":""},{"id":150,"name":"Time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9"/>
        <v>start /low /b %USERPROFILE%\Documents\GitHub\eaglep3\Utilities\DownloadLogsFromS3.py --loco 4044 --day 2017-06-20</v>
      </c>
      <c r="AN158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07:06:38"},{"id":29,"name":"Sharepoint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866</v>
      </c>
      <c r="B159" s="7">
        <v>4043</v>
      </c>
      <c r="C159" s="21" t="s">
        <v>202</v>
      </c>
      <c r="D159" s="21" t="s">
        <v>459</v>
      </c>
      <c r="E159" s="13">
        <v>42906.048495370371</v>
      </c>
      <c r="F159" s="13">
        <v>42906.060590277775</v>
      </c>
      <c r="G159" s="7">
        <v>1</v>
      </c>
      <c r="H159" s="21" t="s">
        <v>898</v>
      </c>
      <c r="I159" s="13">
        <v>42906.087685185186</v>
      </c>
      <c r="J159" s="7">
        <v>0</v>
      </c>
      <c r="K159" s="89" t="str">
        <f t="shared" si="46"/>
        <v>4043/4044</v>
      </c>
      <c r="L159" s="21" t="str">
        <f>VLOOKUP(A159,'Trips&amp;Operators'!$C$1:$G$99999,5,FALSE)</f>
        <v>GUZMAN DANNY</v>
      </c>
      <c r="M159" s="6">
        <f t="shared" si="47"/>
        <v>2.7094907411083113E-2</v>
      </c>
      <c r="N159" s="7">
        <f t="shared" si="63"/>
        <v>39.016666671959683</v>
      </c>
      <c r="O159" s="7"/>
      <c r="P159" s="7"/>
      <c r="Q159" s="22"/>
      <c r="R159" s="170"/>
      <c r="S159" s="213">
        <f t="shared" si="62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-06-20T00:09:50-0600',mode:absolute,to:'2017-06-20T03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197" t="str">
        <f>IF(AA159&lt;VLOOKUP(AG159,Variables!$AC$3:$AD$8,2,FALSE),"Y","N")</f>
        <v>N</v>
      </c>
      <c r="X159" s="197">
        <f t="shared" si="61"/>
        <v>1</v>
      </c>
      <c r="Y159" s="197">
        <f t="shared" si="55"/>
        <v>23.297499999999999</v>
      </c>
      <c r="Z159" s="197">
        <f t="shared" si="56"/>
        <v>1.2999999999999999E-2</v>
      </c>
      <c r="AA159" s="197">
        <f t="shared" si="50"/>
        <v>23.284499999999998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1"/>
        <v>244</v>
      </c>
      <c r="AE159" s="77" t="str">
        <f t="shared" si="52"/>
        <v>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 &amp; aws s3 cp s3://rtdc.mdm.uploadarchive.raw/RTDC4043/ "%USERPROFILE%\AppData\Local\Temp\OnboardLogs"\RTDC4043\2017-06-21 --exclude "*" --recursive --include "*20170621*" &amp; "%USERPROFILE%\Documents\GitHub\mrs-test-scripts\Headless Mode &amp; Sideloading\WalkAndUnGZ.bat" "%USERPROFILE%\AppData\Local\Temp\OnboardLogs"\RTDC4043\2017-06-21</v>
      </c>
      <c r="AF159" s="74" t="str">
        <f t="shared" si="53"/>
        <v>"C:\Program Files (x86)\AstroGrep\AstroGrep.exe" /e /r /s /spath="%USERPROFILE%\AppData\Local\Temp\OnboardLogs" /stypes="app*4043*20170620*" /stext=" 08:.+((SYSTEM_STATE.+slice.+state.+changed )|(ment ac)|(multiple cpu faults)|(system.+state.+changed )|(\[timeout)|(PRM\|1\|D)|(kpr)|(kdp)|(train st.+moving)|(\|lc)|(penalty))"</v>
      </c>
      <c r="AG159" s="209" t="str">
        <f t="shared" si="54"/>
        <v>EC</v>
      </c>
      <c r="AH159" s="78" t="str">
        <f t="shared" si="57"/>
        <v>"%USERPROFILE%\Documents\GitHub\eaglep3\Utilities\RefineRTDCRunTimes.py" --tripid 244-19 --locoid 4043 --swversion DE.1.0.9.0 --startMP 204:232975 --initTime 2017-06-20T01:09:50 --startdatetime 2017-06-20T01:27:15 --delay 1 --endMP 204:130 --enddatetime 2017-06-20T02:06:16 --enforcementcount 0 &gt;&gt;C:\Users\stu\Documents\GitHub\eaglep3-reporting\EC\2017-06-19-refined-times.txt</v>
      </c>
      <c r="AI159" s="96" t="str">
        <f t="shared" si="58"/>
        <v>echo {"issue":{"subject":"","project_id":79,"tracker_id":40,"status_id":1,"priority_id":2,"assigned_to_id":23,"start_date":"2017-06-20","description":"","custom_fields":[{"id":1,"name":"Subdivision","value":"EC"},{"id":4,"name":"Milepost","value":"0.013"},{"id":17,"name":"Train ID","value":"244-19"},{"id":16,"name":"Locomotive ID","value":"4043"},{"id":130,"name":"Impact","value":""},{"id":150,"name":"Time of Event (Mountain Time)","value":"02:06:16"},{"id":151,"name":"Denver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9"/>
        <v>start /low /b %USERPROFILE%\Documents\GitHub\eaglep3\Utilities\DownloadLogsFromS3.py --loco 4043 --day 2017-06-20</v>
      </c>
      <c r="AN159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678</v>
      </c>
      <c r="B160" s="7">
        <v>4031</v>
      </c>
      <c r="C160" s="21" t="s">
        <v>202</v>
      </c>
      <c r="D160" s="21" t="s">
        <v>548</v>
      </c>
      <c r="E160" s="13">
        <v>42905.216874999998</v>
      </c>
      <c r="F160" s="13">
        <v>42905.218715277777</v>
      </c>
      <c r="G160" s="7">
        <v>1</v>
      </c>
      <c r="H160" s="21" t="s">
        <v>515</v>
      </c>
      <c r="I160" s="13">
        <v>42905.228009259263</v>
      </c>
      <c r="J160" s="7">
        <v>0</v>
      </c>
      <c r="K160" s="89" t="str">
        <f t="shared" si="46"/>
        <v>4031/4032</v>
      </c>
      <c r="L160" s="21" t="str">
        <f>VLOOKUP(A160,'Trips&amp;Operators'!$C$1:$G$99999,5,FALSE)</f>
        <v>DAVIDSON DAVID</v>
      </c>
      <c r="M160" s="6">
        <f t="shared" si="47"/>
        <v>9.2939814858254977E-3</v>
      </c>
      <c r="N160" s="7">
        <f t="shared" si="63"/>
        <v>13.383333339588717</v>
      </c>
      <c r="O160" s="7"/>
      <c r="P160" s="7"/>
      <c r="Q160" s="22"/>
      <c r="R160" s="170"/>
      <c r="S160" s="213">
        <f t="shared" si="62"/>
        <v>1</v>
      </c>
      <c r="T160" s="195" t="str">
        <f t="shared" si="48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-06-19T04:12:18-0600',mode:absolute,to:'2017-06-19T06:28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97" t="str">
        <f>IF(AA160&lt;VLOOKUP(AG160,Variables!$AC$3:$AD$8,2,FALSE),"Y","N")</f>
        <v>N</v>
      </c>
      <c r="X160" s="197">
        <f t="shared" si="61"/>
        <v>556</v>
      </c>
      <c r="Y160" s="197">
        <f t="shared" si="55"/>
        <v>5.8620999999999999</v>
      </c>
      <c r="Z160" s="197">
        <f t="shared" si="56"/>
        <v>6.9099999999999995E-2</v>
      </c>
      <c r="AA160" s="197">
        <f t="shared" si="50"/>
        <v>5.7930000000000001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1"/>
        <v>800</v>
      </c>
      <c r="AE160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60" s="74" t="str">
        <f t="shared" si="53"/>
        <v>"C:\Program Files (x86)\AstroGrep\AstroGrep.exe" /e /r /s /spath="%USERPROFILE%\AppData\Local\Temp\OnboardLogs" /stypes="app*4031*20170619*" /stext=" 11:.+((SYSTEM_STATE.+slice.+state.+changed )|(ment ac)|(multiple cpu faults)|(system.+state.+changed )|(\[timeout)|(PRM\|1\|D)|(kpr)|(kdp)|(train st.+moving)|(\|lc)|(penalty))"</v>
      </c>
      <c r="AG160" s="209" t="str">
        <f t="shared" si="54"/>
        <v>NW</v>
      </c>
      <c r="AH160" s="78" t="str">
        <f t="shared" si="57"/>
        <v>"%USERPROFILE%\Documents\GitHub\eaglep3\Utilities\RefineRTDCRunTimes.py" --tripid 800-19 --locoid 4031 --swversion DE.1.0.9.0 --startMP 300:58621 --initTime 2017-06-19T05:12:18 --startdatetime 2017-06-19T05:14:57 --delay 1 --endMP 204:691 --enddatetime 2017-06-19T05:28:20 --enforcementcount 0 &gt;&gt;C:\Users\stu\Documents\GitHub\eaglep3-reporting\EC\2017-06-19-refined-times.txt</v>
      </c>
      <c r="AI160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{"issue":{"subject":"","project_id":79,"tracker_id":40,"status_id":1,"priority_id":2,"assigned_to_id":23,"start_date":"2017-06-19","description":"","custom_fields":[{"id":1,"name":"Subdivision","value":"NW"},{"id":4,"name":"Milepost","value":"0.0691"},{"id":17,"name":"Train ID","value":"800-19"},{"id":16,"name":"Locomotive ID","value":"4031"},{"id":130,"name":"Impact","value":""},{"id":150,"name":"Time of Event (Mountain Time)","value":"05:28:20"},{"id":151,"name":"Denver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9"/>
        <v>start /low /b %USERPROFILE%\Documents\GitHub\eaglep3\Utilities\DownloadLogsFromS3.py --loco 4031 --day 2017-06-19</v>
      </c>
      <c r="AN160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683</v>
      </c>
      <c r="B161" s="7">
        <v>4032</v>
      </c>
      <c r="C161" s="21" t="s">
        <v>202</v>
      </c>
      <c r="D161" s="21" t="s">
        <v>971</v>
      </c>
      <c r="E161" s="13">
        <v>42905.230173611111</v>
      </c>
      <c r="F161" s="13">
        <v>42905.243946759256</v>
      </c>
      <c r="G161" s="7">
        <v>1</v>
      </c>
      <c r="H161" s="21" t="s">
        <v>545</v>
      </c>
      <c r="I161" s="13">
        <v>42905.253692129627</v>
      </c>
      <c r="J161" s="7">
        <v>0</v>
      </c>
      <c r="K161" s="89" t="str">
        <f t="shared" si="46"/>
        <v>4031/4032</v>
      </c>
      <c r="L161" s="21" t="str">
        <f>VLOOKUP(A161,'Trips&amp;Operators'!$C$1:$G$99999,5,FALSE)</f>
        <v>DAVIDSON DAVID</v>
      </c>
      <c r="M161" s="6">
        <f t="shared" si="47"/>
        <v>9.7453703710925765E-3</v>
      </c>
      <c r="N161" s="7">
        <f t="shared" si="63"/>
        <v>14.03333333437331</v>
      </c>
      <c r="O161" s="7"/>
      <c r="P161" s="7"/>
      <c r="Q161" s="22"/>
      <c r="R161" s="170"/>
      <c r="S161" s="213">
        <f t="shared" si="62"/>
        <v>1</v>
      </c>
      <c r="T161" s="195" t="str">
        <f t="shared" si="48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-06-19T04:31:27-0600',mode:absolute,to:'2017-06-19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97" t="str">
        <f>IF(AA161&lt;VLOOKUP(AG161,Variables!$AC$3:$AD$8,2,FALSE),"Y","N")</f>
        <v>N</v>
      </c>
      <c r="X161" s="197">
        <f t="shared" si="61"/>
        <v>1</v>
      </c>
      <c r="Y161" s="197">
        <f t="shared" si="55"/>
        <v>9.7900000000000001E-2</v>
      </c>
      <c r="Z161" s="197">
        <f t="shared" si="56"/>
        <v>5.8933</v>
      </c>
      <c r="AA161" s="197">
        <f t="shared" si="50"/>
        <v>5.7953999999999999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1"/>
        <v>801</v>
      </c>
      <c r="AE161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61" s="74" t="str">
        <f t="shared" si="53"/>
        <v>"C:\Program Files (x86)\AstroGrep\AstroGrep.exe" /e /r /s /spath="%USERPROFILE%\AppData\Local\Temp\OnboardLogs" /stypes="app*4032*20170619*" /stext=" 12:.+((SYSTEM_STATE.+slice.+state.+changed )|(ment ac)|(multiple cpu faults)|(system.+state.+changed )|(\[timeout)|(PRM\|1\|D)|(kpr)|(kdp)|(train st.+moving)|(\|lc)|(penalty))"</v>
      </c>
      <c r="AG161" s="209" t="str">
        <f t="shared" si="54"/>
        <v>NW</v>
      </c>
      <c r="AH161" s="78" t="str">
        <f t="shared" si="57"/>
        <v>"%USERPROFILE%\Documents\GitHub\eaglep3\Utilities\RefineRTDCRunTimes.py" --tripid 801-19 --locoid 4032 --swversion DE.1.0.9.0 --startMP 204:979 --initTime 2017-06-19T05:31:27 --startdatetime 2017-06-19T05:51:17 --delay 1 --endMP 300:58933 --enddatetime 2017-06-19T06:05:19 --enforcementcount 0 &gt;&gt;C:\Users\stu\Documents\GitHub\eaglep3-reporting\EC\2017-06-19-refined-times.txt</v>
      </c>
      <c r="AI161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{"issue":{"subject":"","project_id":79,"tracker_id":40,"status_id":1,"priority_id":2,"assigned_to_id":23,"start_date":"2017-06-19","description":"","custom_fields":[{"id":1,"name":"Subdivision","value":"NW"},{"id":4,"name":"Milepost","value":"5.8933"},{"id":17,"name":"Train ID","value":"801-19"},{"id":16,"name":"Locomotive ID","value":"4032"},{"id":130,"name":"Impact","value":""},{"id":150,"name":"Time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9"/>
        <v>start /low /b %USERPROFILE%\Documents\GitHub\eaglep3\Utilities\DownloadLogsFromS3.py --loco 4032 --day 2017-06-19</v>
      </c>
      <c r="AN161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690</v>
      </c>
      <c r="B162" s="7">
        <v>4031</v>
      </c>
      <c r="C162" s="21" t="s">
        <v>202</v>
      </c>
      <c r="D162" s="21" t="s">
        <v>972</v>
      </c>
      <c r="E162" s="13">
        <v>42905.254652777781</v>
      </c>
      <c r="F162" s="13">
        <v>42905.256064814814</v>
      </c>
      <c r="G162" s="7">
        <v>1</v>
      </c>
      <c r="H162" s="21" t="s">
        <v>600</v>
      </c>
      <c r="I162" s="13">
        <v>42905.268194444441</v>
      </c>
      <c r="J162" s="7">
        <v>0</v>
      </c>
      <c r="K162" s="89" t="str">
        <f t="shared" si="46"/>
        <v>4031/4032</v>
      </c>
      <c r="L162" s="21" t="str">
        <f>VLOOKUP(A162,'Trips&amp;Operators'!$C$1:$G$99999,5,FALSE)</f>
        <v>DAVIDSON DAVID</v>
      </c>
      <c r="M162" s="6">
        <f t="shared" si="47"/>
        <v>1.2129629627452232E-2</v>
      </c>
      <c r="N162" s="7">
        <f t="shared" si="63"/>
        <v>17.466666663531214</v>
      </c>
      <c r="O162" s="7"/>
      <c r="P162" s="7"/>
      <c r="Q162" s="22"/>
      <c r="R162" s="170"/>
      <c r="S162" s="213">
        <f t="shared" si="62"/>
        <v>1</v>
      </c>
      <c r="T162" s="195" t="str">
        <f t="shared" si="48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-06-19T05:06:42-0600',mode:absolute,to:'2017-06-19T07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97" t="str">
        <f>IF(AA162&lt;VLOOKUP(AG162,Variables!$AC$3:$AD$8,2,FALSE),"Y","N")</f>
        <v>N</v>
      </c>
      <c r="X162" s="197">
        <f t="shared" si="61"/>
        <v>1</v>
      </c>
      <c r="Y162" s="197">
        <f t="shared" si="55"/>
        <v>5.8624000000000001</v>
      </c>
      <c r="Z162" s="197">
        <f t="shared" si="56"/>
        <v>6.9800000000000001E-2</v>
      </c>
      <c r="AA162" s="197">
        <f t="shared" si="50"/>
        <v>5.7926000000000002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1"/>
        <v>802</v>
      </c>
      <c r="AE162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62" s="74" t="str">
        <f t="shared" si="53"/>
        <v>"C:\Program Files (x86)\AstroGrep\AstroGrep.exe" /e /r /s /spath="%USERPROFILE%\AppData\Local\Temp\OnboardLogs" /stypes="app*4031*20170619*" /stext=" 12:.+((SYSTEM_STATE.+slice.+state.+changed )|(ment ac)|(multiple cpu faults)|(system.+state.+changed )|(\[timeout)|(PRM\|1\|D)|(kpr)|(kdp)|(train st.+moving)|(\|lc)|(penalty))"</v>
      </c>
      <c r="AG162" s="209" t="str">
        <f t="shared" si="54"/>
        <v>NW</v>
      </c>
      <c r="AH162" s="78" t="str">
        <f t="shared" si="57"/>
        <v>"%USERPROFILE%\Documents\GitHub\eaglep3\Utilities\RefineRTDCRunTimes.py" --tripid 802-19 --locoid 4031 --swversion DE.1.0.9.0 --startMP 300:58624 --initTime 2017-06-19T06:06:42 --startdatetime 2017-06-19T06:08:44 --delay 1 --endMP 204:698 --enddatetime 2017-06-19T06:26:12 --enforcementcount 0 &gt;&gt;C:\Users\stu\Documents\GitHub\eaglep3-reporting\EC\2017-06-19-refined-times.txt</v>
      </c>
      <c r="AI162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{"issue":{"subject":"","project_id":79,"tracker_id":40,"status_id":1,"priority_id":2,"assigned_to_id":23,"start_date":"2017-06-19","description":"","custom_fields":[{"id":1,"name":"Subdivision","value":"NW"},{"id":4,"name":"Milepost","value":"0.0698"},{"id":17,"name":"Train ID","value":"802-19"},{"id":16,"name":"Locomotive ID","value":"4031"},{"id":130,"name":"Impact","value":""},{"id":150,"name":"Time of Event (Mountain Time)","value":"06:26:12"},{"id":151,"name":"Denver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9"/>
        <v>start /low /b %USERPROFILE%\Documents\GitHub\eaglep3\Utilities\DownloadLogsFromS3.py --loco 4031 --day 2017-06-19</v>
      </c>
      <c r="AN162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694</v>
      </c>
      <c r="B163" s="7">
        <v>4024</v>
      </c>
      <c r="C163" s="21" t="s">
        <v>202</v>
      </c>
      <c r="D163" s="21" t="s">
        <v>971</v>
      </c>
      <c r="E163" s="13">
        <v>42905.262835648151</v>
      </c>
      <c r="F163" s="13">
        <v>42905.265266203707</v>
      </c>
      <c r="G163" s="7">
        <v>2</v>
      </c>
      <c r="H163" s="21" t="s">
        <v>543</v>
      </c>
      <c r="I163" s="13">
        <v>42905.274108796293</v>
      </c>
      <c r="J163" s="7">
        <v>0</v>
      </c>
      <c r="K163" s="89" t="str">
        <f t="shared" si="46"/>
        <v>4023/4024</v>
      </c>
      <c r="L163" s="21" t="str">
        <f>VLOOKUP(A163,'Trips&amp;Operators'!$C$1:$G$99999,5,FALSE)</f>
        <v>LOZA FIDEL</v>
      </c>
      <c r="M163" s="6">
        <f t="shared" si="47"/>
        <v>8.8425925860065036E-3</v>
      </c>
      <c r="N163" s="7">
        <f t="shared" si="63"/>
        <v>12.733333323849365</v>
      </c>
      <c r="O163" s="7"/>
      <c r="P163" s="7"/>
      <c r="Q163" s="22"/>
      <c r="R163" s="170"/>
      <c r="S163" s="213">
        <f t="shared" si="62"/>
        <v>1</v>
      </c>
      <c r="T163" s="195" t="str">
        <f t="shared" si="48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-06-19T05:18:29-0600',mode:absolute,to:'2017-06-19T07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197" t="str">
        <f>IF(AA163&lt;VLOOKUP(AG163,Variables!$AC$3:$AD$8,2,FALSE),"Y","N")</f>
        <v>N</v>
      </c>
      <c r="X163" s="197">
        <f t="shared" si="61"/>
        <v>1</v>
      </c>
      <c r="Y163" s="197">
        <f t="shared" si="55"/>
        <v>9.7900000000000001E-2</v>
      </c>
      <c r="Z163" s="197">
        <f t="shared" si="56"/>
        <v>5.8936999999999999</v>
      </c>
      <c r="AA163" s="197">
        <f t="shared" si="50"/>
        <v>5.7957999999999998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1"/>
        <v>803</v>
      </c>
      <c r="AE163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63" s="74" t="str">
        <f t="shared" si="53"/>
        <v>"C:\Program Files (x86)\AstroGrep\AstroGrep.exe" /e /r /s /spath="%USERPROFILE%\AppData\Local\Temp\OnboardLogs" /stypes="app*4024*20170619*" /stext=" 12:.+((SYSTEM_STATE.+slice.+state.+changed )|(ment ac)|(multiple cpu faults)|(system.+state.+changed )|(\[timeout)|(PRM\|1\|D)|(kpr)|(kdp)|(train st.+moving)|(\|lc)|(penalty))"</v>
      </c>
      <c r="AG163" s="209" t="str">
        <f t="shared" si="54"/>
        <v>NW</v>
      </c>
      <c r="AH163" s="78" t="str">
        <f t="shared" si="57"/>
        <v>"%USERPROFILE%\Documents\GitHub\eaglep3\Utilities\RefineRTDCRunTimes.py" --tripid 803-19 --locoid 4024 --swversion DE.1.0.9.0 --startMP 204:979 --initTime 2017-06-19T06:18:29 --startdatetime 2017-06-19T06:21:59 --delay 2 --endMP 300:58937 --enddatetime 2017-06-19T06:34:43 --enforcementcount 0 &gt;&gt;C:\Users\stu\Documents\GitHub\eaglep3-reporting\EC\2017-06-19-refined-times.txt</v>
      </c>
      <c r="AI163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{"issue":{"subject":"","project_id":79,"tracker_id":40,"status_id":1,"priority_id":2,"assigned_to_id":23,"start_date":"2017-06-19","description":"","custom_fields":[{"id":1,"name":"Subdivision","value":"NW"},{"id":4,"name":"Milepost","value":"5.8937"},{"id":17,"name":"Train ID","value":"803-19"},{"id":16,"name":"Locomotive ID","value":"4024"},{"id":130,"name":"Impact","value":""},{"id":150,"name":"Time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9"/>
        <v>start /low /b %USERPROFILE%\Documents\GitHub\eaglep3\Utilities\DownloadLogsFromS3.py --loco 4024 --day 2017-06-19</v>
      </c>
      <c r="AN163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697</v>
      </c>
      <c r="B164" s="7">
        <v>4023</v>
      </c>
      <c r="C164" s="21" t="s">
        <v>202</v>
      </c>
      <c r="D164" s="21" t="s">
        <v>973</v>
      </c>
      <c r="E164" s="13">
        <v>42905.27553240741</v>
      </c>
      <c r="F164" s="13">
        <v>42905.277858796297</v>
      </c>
      <c r="G164" s="7">
        <v>1</v>
      </c>
      <c r="H164" s="21" t="s">
        <v>974</v>
      </c>
      <c r="I164" s="13">
        <v>42905.288472222222</v>
      </c>
      <c r="J164" s="7">
        <v>0</v>
      </c>
      <c r="K164" s="89" t="str">
        <f t="shared" si="46"/>
        <v>4023/4024</v>
      </c>
      <c r="L164" s="21" t="str">
        <f>VLOOKUP(A164,'Trips&amp;Operators'!$C$1:$G$99999,5,FALSE)</f>
        <v>LOZA FIDEL</v>
      </c>
      <c r="M164" s="6">
        <f t="shared" si="47"/>
        <v>1.0613425925839692E-2</v>
      </c>
      <c r="N164" s="7">
        <f t="shared" si="63"/>
        <v>15.283333333209157</v>
      </c>
      <c r="O164" s="7"/>
      <c r="P164" s="7"/>
      <c r="Q164" s="22"/>
      <c r="R164" s="170"/>
      <c r="S164" s="213">
        <f t="shared" si="62"/>
        <v>1</v>
      </c>
      <c r="T164" s="195" t="str">
        <f t="shared" si="48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-06-19T05:36:46-0600',mode:absolute,to:'2017-06-19T07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197" t="str">
        <f>IF(AA164&lt;VLOOKUP(AG164,Variables!$AC$3:$AD$8,2,FALSE),"Y","N")</f>
        <v>N</v>
      </c>
      <c r="X164" s="197">
        <f t="shared" si="61"/>
        <v>1</v>
      </c>
      <c r="Y164" s="197">
        <f t="shared" si="55"/>
        <v>5.8625999999999996</v>
      </c>
      <c r="Z164" s="197">
        <f t="shared" si="56"/>
        <v>6.7699999999999996E-2</v>
      </c>
      <c r="AA164" s="197">
        <f t="shared" si="50"/>
        <v>5.7948999999999993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1"/>
        <v>804</v>
      </c>
      <c r="AE164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64" s="74" t="str">
        <f t="shared" si="53"/>
        <v>"C:\Program Files (x86)\AstroGrep\AstroGrep.exe" /e /r /s /spath="%USERPROFILE%\AppData\Local\Temp\OnboardLogs" /stypes="app*4023*20170619*" /stext=" 12:.+((SYSTEM_STATE.+slice.+state.+changed )|(ment ac)|(multiple cpu faults)|(system.+state.+changed )|(\[timeout)|(PRM\|1\|D)|(kpr)|(kdp)|(train st.+moving)|(\|lc)|(penalty))"</v>
      </c>
      <c r="AG164" s="209" t="str">
        <f t="shared" si="54"/>
        <v>NW</v>
      </c>
      <c r="AH164" s="78" t="str">
        <f t="shared" si="57"/>
        <v>"%USERPROFILE%\Documents\GitHub\eaglep3\Utilities\RefineRTDCRunTimes.py" --tripid 804-19 --locoid 4023 --swversion DE.1.0.9.0 --startMP 300:58626 --initTime 2017-06-19T06:36:46 --startdatetime 2017-06-19T06:40:07 --delay 1 --endMP 204:677 --enddatetime 2017-06-19T06:55:24 --enforcementcount 0 &gt;&gt;C:\Users\stu\Documents\GitHub\eaglep3-reporting\EC\2017-06-19-refined-times.txt</v>
      </c>
      <c r="AI164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{"issue":{"subject":"","project_id":79,"tracker_id":40,"status_id":1,"priority_id":2,"assigned_to_id":23,"start_date":"2017-06-19","description":"","custom_fields":[{"id":1,"name":"Subdivision","value":"NW"},{"id":4,"name":"Milepost","value":"0.0677"},{"id":17,"name":"Train ID","value":"804-19"},{"id":16,"name":"Locomotive ID","value":"4023"},{"id":130,"name":"Impact","value":""},{"id":150,"name":"Time of Event (Mountain Time)","value":"06:55:24"},{"id":151,"name":"Denver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9"/>
        <v>start /low /b %USERPROFILE%\Documents\GitHub\eaglep3\Utilities\DownloadLogsFromS3.py --loco 4023 --day 2017-06-19</v>
      </c>
      <c r="AN164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696</v>
      </c>
      <c r="B165" s="7">
        <v>4032</v>
      </c>
      <c r="C165" s="21" t="s">
        <v>202</v>
      </c>
      <c r="D165" s="21" t="s">
        <v>975</v>
      </c>
      <c r="E165" s="13">
        <v>42905.270231481481</v>
      </c>
      <c r="F165" s="13">
        <v>42905.285624999997</v>
      </c>
      <c r="G165" s="7">
        <v>1</v>
      </c>
      <c r="H165" s="21" t="s">
        <v>543</v>
      </c>
      <c r="I165" s="13">
        <v>42905.295104166667</v>
      </c>
      <c r="J165" s="7">
        <v>0</v>
      </c>
      <c r="K165" s="89" t="str">
        <f t="shared" si="46"/>
        <v>4031/4032</v>
      </c>
      <c r="L165" s="21" t="str">
        <f>VLOOKUP(A165,'Trips&amp;Operators'!$C$1:$G$99999,5,FALSE)</f>
        <v>DAVIDSON DAVID</v>
      </c>
      <c r="M165" s="6">
        <f t="shared" si="47"/>
        <v>9.4791666706441902E-3</v>
      </c>
      <c r="N165" s="7">
        <f t="shared" si="63"/>
        <v>13.650000005727634</v>
      </c>
      <c r="O165" s="7"/>
      <c r="P165" s="7"/>
      <c r="Q165" s="22"/>
      <c r="R165" s="170"/>
      <c r="S165" s="213">
        <f t="shared" si="62"/>
        <v>1</v>
      </c>
      <c r="T165" s="195" t="str">
        <f t="shared" si="48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-06-19T05:29:08-0600',mode:absolute,to:'2017-06-19T08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97" t="str">
        <f>IF(AA165&lt;VLOOKUP(AG165,Variables!$AC$3:$AD$8,2,FALSE),"Y","N")</f>
        <v>N</v>
      </c>
      <c r="X165" s="197">
        <f t="shared" si="61"/>
        <v>1</v>
      </c>
      <c r="Y165" s="197">
        <f t="shared" si="55"/>
        <v>9.6699999999999994E-2</v>
      </c>
      <c r="Z165" s="197">
        <f t="shared" si="56"/>
        <v>5.8936999999999999</v>
      </c>
      <c r="AA165" s="197">
        <f t="shared" si="50"/>
        <v>5.7969999999999997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1"/>
        <v>805</v>
      </c>
      <c r="AE165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65" s="74" t="str">
        <f t="shared" si="53"/>
        <v>"C:\Program Files (x86)\AstroGrep\AstroGrep.exe" /e /r /s /spath="%USERPROFILE%\AppData\Local\Temp\OnboardLogs" /stypes="app*4032*20170619*" /stext=" 13:.+((SYSTEM_STATE.+slice.+state.+changed )|(ment ac)|(multiple cpu faults)|(system.+state.+changed )|(\[timeout)|(PRM\|1\|D)|(kpr)|(kdp)|(train st.+moving)|(\|lc)|(penalty))"</v>
      </c>
      <c r="AG165" s="209" t="str">
        <f t="shared" si="54"/>
        <v>NW</v>
      </c>
      <c r="AH165" s="78" t="str">
        <f t="shared" si="57"/>
        <v>"%USERPROFILE%\Documents\GitHub\eaglep3\Utilities\RefineRTDCRunTimes.py" --tripid 805-19 --locoid 4032 --swversion DE.1.0.9.0 --startMP 204:967 --initTime 2017-06-19T06:29:08 --startdatetime 2017-06-19T06:51:18 --delay 1 --endMP 300:58937 --enddatetime 2017-06-19T07:04:57 --enforcementcount 0 &gt;&gt;C:\Users\stu\Documents\GitHub\eaglep3-reporting\EC\2017-06-19-refined-times.txt</v>
      </c>
      <c r="AI165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{"issue":{"subject":"","project_id":79,"tracker_id":40,"status_id":1,"priority_id":2,"assigned_to_id":23,"start_date":"2017-06-19","description":"","custom_fields":[{"id":1,"name":"Subdivision","value":"NW"},{"id":4,"name":"Milepost","value":"5.8937"},{"id":17,"name":"Train ID","value":"805-19"},{"id":16,"name":"Locomotive ID","value":"4032"},{"id":130,"name":"Impact","value":""},{"id":150,"name":"Time of Event (Mountain Time)","value":"07:04:57"},{"id":151,"name":"Denver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9"/>
        <v>start /low /b %USERPROFILE%\Documents\GitHub\eaglep3\Utilities\DownloadLogsFromS3.py --loco 4032 --day 2017-06-19</v>
      </c>
      <c r="AN165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623</v>
      </c>
      <c r="B166" s="7">
        <v>4031</v>
      </c>
      <c r="C166" s="21" t="s">
        <v>202</v>
      </c>
      <c r="D166" s="21" t="s">
        <v>973</v>
      </c>
      <c r="E166" s="13">
        <v>42905.296319444446</v>
      </c>
      <c r="F166" s="13">
        <v>42905.297673611109</v>
      </c>
      <c r="G166" s="7">
        <v>1</v>
      </c>
      <c r="H166" s="21" t="s">
        <v>976</v>
      </c>
      <c r="I166" s="13">
        <v>42905.309641203705</v>
      </c>
      <c r="J166" s="7">
        <v>0</v>
      </c>
      <c r="K166" s="89" t="str">
        <f t="shared" si="46"/>
        <v>4031/4032</v>
      </c>
      <c r="L166" s="21" t="str">
        <f>VLOOKUP(A166,'Trips&amp;Operators'!$C$1:$G$99999,5,FALSE)</f>
        <v>DAVIDSON DAVID</v>
      </c>
      <c r="M166" s="6">
        <f t="shared" si="47"/>
        <v>1.1967592596192844E-2</v>
      </c>
      <c r="N166" s="7">
        <f t="shared" si="63"/>
        <v>17.233333338517696</v>
      </c>
      <c r="O166" s="7"/>
      <c r="P166" s="7"/>
      <c r="Q166" s="22"/>
      <c r="R166" s="170"/>
      <c r="S166" s="213">
        <f t="shared" si="62"/>
        <v>1</v>
      </c>
      <c r="T166" s="195" t="str">
        <f t="shared" si="48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-06-19T06:06:42-0600',mode:absolute,to:'2017-06-19T08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97" t="str">
        <f>IF(AA166&lt;VLOOKUP(AG166,Variables!$AC$3:$AD$8,2,FALSE),"Y","N")</f>
        <v>N</v>
      </c>
      <c r="X166" s="197">
        <f t="shared" si="61"/>
        <v>1</v>
      </c>
      <c r="Y166" s="197">
        <f t="shared" si="55"/>
        <v>5.8625999999999996</v>
      </c>
      <c r="Z166" s="197">
        <f t="shared" si="56"/>
        <v>7.0800000000000002E-2</v>
      </c>
      <c r="AA166" s="197">
        <f t="shared" si="50"/>
        <v>5.7917999999999994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1"/>
        <v>806</v>
      </c>
      <c r="AE166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66" s="74" t="str">
        <f t="shared" si="53"/>
        <v>"C:\Program Files (x86)\AstroGrep\AstroGrep.exe" /e /r /s /spath="%USERPROFILE%\AppData\Local\Temp\OnboardLogs" /stypes="app*4031*20170619*" /stext=" 13:.+((SYSTEM_STATE.+slice.+state.+changed )|(ment ac)|(multiple cpu faults)|(system.+state.+changed )|(\[timeout)|(PRM\|1\|D)|(kpr)|(kdp)|(train st.+moving)|(\|lc)|(penalty))"</v>
      </c>
      <c r="AG166" s="209" t="str">
        <f t="shared" si="54"/>
        <v>NW</v>
      </c>
      <c r="AH166" s="78" t="str">
        <f t="shared" si="57"/>
        <v>"%USERPROFILE%\Documents\GitHub\eaglep3\Utilities\RefineRTDCRunTimes.py" --tripid 806-19 --locoid 4031 --swversion DE.1.0.9.0 --startMP 300:58626 --initTime 2017-06-19T07:06:42 --startdatetime 2017-06-19T07:08:39 --delay 1 --endMP 204:708 --enddatetime 2017-06-19T07:25:53 --enforcementcount 0 &gt;&gt;C:\Users\stu\Documents\GitHub\eaglep3-reporting\EC\2017-06-19-refined-times.txt</v>
      </c>
      <c r="AI166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{"issue":{"subject":"","project_id":79,"tracker_id":40,"status_id":1,"priority_id":2,"assigned_to_id":23,"start_date":"2017-06-19","description":"","custom_fields":[{"id":1,"name":"Subdivision","value":"NW"},{"id":4,"name":"Milepost","value":"0.0708"},{"id":17,"name":"Train ID","value":"806-19"},{"id":16,"name":"Locomotive ID","value":"4031"},{"id":130,"name":"Impact","value":""},{"id":150,"name":"Time of Event (Mountain Time)","value":"07:25:53"},{"id":151,"name":"Denver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9"/>
        <v>start /low /b %USERPROFILE%\Documents\GitHub\eaglep3\Utilities\DownloadLogsFromS3.py --loco 4031 --day 2017-06-19</v>
      </c>
      <c r="AN166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703</v>
      </c>
      <c r="B167" s="7">
        <v>4024</v>
      </c>
      <c r="C167" s="21" t="s">
        <v>202</v>
      </c>
      <c r="D167" s="21" t="s">
        <v>977</v>
      </c>
      <c r="E167" s="13">
        <v>42905.303981481484</v>
      </c>
      <c r="F167" s="13">
        <v>42905.306423611109</v>
      </c>
      <c r="G167" s="7">
        <v>1</v>
      </c>
      <c r="H167" s="21" t="s">
        <v>598</v>
      </c>
      <c r="I167" s="13">
        <v>42905.316099537034</v>
      </c>
      <c r="J167" s="7">
        <v>0</v>
      </c>
      <c r="K167" s="89" t="str">
        <f t="shared" si="46"/>
        <v>4023/4024</v>
      </c>
      <c r="L167" s="21" t="str">
        <f>VLOOKUP(A167,'Trips&amp;Operators'!$C$1:$G$99999,5,FALSE)</f>
        <v>LOZA FIDEL</v>
      </c>
      <c r="M167" s="6">
        <f t="shared" si="47"/>
        <v>9.6759259249665774E-3</v>
      </c>
      <c r="N167" s="7">
        <f t="shared" si="63"/>
        <v>13.933333331951872</v>
      </c>
      <c r="O167" s="7"/>
      <c r="P167" s="7"/>
      <c r="Q167" s="22"/>
      <c r="R167" s="170"/>
      <c r="S167" s="213">
        <f t="shared" si="62"/>
        <v>1</v>
      </c>
      <c r="T167" s="195" t="str">
        <f t="shared" si="48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-06-19T06:17:44-0600',mode:absolute,to:'2017-06-19T08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197" t="str">
        <f>IF(AA167&lt;VLOOKUP(AG167,Variables!$AC$3:$AD$8,2,FALSE),"Y","N")</f>
        <v>N</v>
      </c>
      <c r="X167" s="197">
        <f t="shared" si="61"/>
        <v>1</v>
      </c>
      <c r="Y167" s="197">
        <f t="shared" si="55"/>
        <v>9.7199999999999995E-2</v>
      </c>
      <c r="Z167" s="197">
        <f t="shared" si="56"/>
        <v>5.8943000000000003</v>
      </c>
      <c r="AA167" s="197">
        <f t="shared" si="50"/>
        <v>5.7971000000000004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1"/>
        <v>807</v>
      </c>
      <c r="AE167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67" s="74" t="str">
        <f t="shared" si="53"/>
        <v>"C:\Program Files (x86)\AstroGrep\AstroGrep.exe" /e /r /s /spath="%USERPROFILE%\AppData\Local\Temp\OnboardLogs" /stypes="app*4024*20170619*" /stext=" 13:.+((SYSTEM_STATE.+slice.+state.+changed )|(ment ac)|(multiple cpu faults)|(system.+state.+changed )|(\[timeout)|(PRM\|1\|D)|(kpr)|(kdp)|(train st.+moving)|(\|lc)|(penalty))"</v>
      </c>
      <c r="AG167" s="209" t="str">
        <f t="shared" si="54"/>
        <v>NW</v>
      </c>
      <c r="AH167" s="78" t="str">
        <f t="shared" si="57"/>
        <v>"%USERPROFILE%\Documents\GitHub\eaglep3\Utilities\RefineRTDCRunTimes.py" --tripid 807-19 --locoid 4024 --swversion DE.1.0.9.0 --startMP 204:972 --initTime 2017-06-19T07:17:44 --startdatetime 2017-06-19T07:21:15 --delay 1 --endMP 300:58943 --enddatetime 2017-06-19T07:35:11 --enforcementcount 0 &gt;&gt;C:\Users\stu\Documents\GitHub\eaglep3-reporting\EC\2017-06-19-refined-times.txt</v>
      </c>
      <c r="AI167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{"issue":{"subject":"","project_id":79,"tracker_id":40,"status_id":1,"priority_id":2,"assigned_to_id":23,"start_date":"2017-06-19","description":"","custom_fields":[{"id":1,"name":"Subdivision","value":"NW"},{"id":4,"name":"Milepost","value":"5.8943"},{"id":17,"name":"Train ID","value":"807-19"},{"id":16,"name":"Locomotive ID","value":"4024"},{"id":130,"name":"Impact","value":""},{"id":150,"name":"Time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59"/>
        <v>start /low /b %USERPROFILE%\Documents\GitHub\eaglep3\Utilities\DownloadLogsFromS3.py --loco 4024 --day 2017-06-19</v>
      </c>
      <c r="AN167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706</v>
      </c>
      <c r="B168" s="7">
        <v>4023</v>
      </c>
      <c r="C168" s="21" t="s">
        <v>202</v>
      </c>
      <c r="D168" s="21" t="s">
        <v>978</v>
      </c>
      <c r="E168" s="13">
        <v>42905.317893518521</v>
      </c>
      <c r="F168" s="13">
        <v>42905.320023148146</v>
      </c>
      <c r="G168" s="7">
        <v>1</v>
      </c>
      <c r="H168" s="21" t="s">
        <v>979</v>
      </c>
      <c r="I168" s="13">
        <v>42905.330243055556</v>
      </c>
      <c r="J168" s="7">
        <v>0</v>
      </c>
      <c r="K168" s="89" t="str">
        <f t="shared" si="46"/>
        <v>4023/4024</v>
      </c>
      <c r="L168" s="21" t="str">
        <f>VLOOKUP(A168,'Trips&amp;Operators'!$C$1:$G$99999,5,FALSE)</f>
        <v>LOZA FIDEL</v>
      </c>
      <c r="M168" s="6">
        <f t="shared" si="47"/>
        <v>1.021990740991896E-2</v>
      </c>
      <c r="N168" s="7">
        <f t="shared" si="63"/>
        <v>14.716666670283303</v>
      </c>
      <c r="O168" s="7"/>
      <c r="P168" s="7"/>
      <c r="Q168" s="22"/>
      <c r="R168" s="170"/>
      <c r="S168" s="213">
        <f t="shared" si="62"/>
        <v>1</v>
      </c>
      <c r="T168" s="195" t="str">
        <f t="shared" si="48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-06-19T06:37:46-0600',mode:absolute,to:'2017-06-19T08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197" t="str">
        <f>IF(AA168&lt;VLOOKUP(AG168,Variables!$AC$3:$AD$8,2,FALSE),"Y","N")</f>
        <v>N</v>
      </c>
      <c r="X168" s="197">
        <f t="shared" si="61"/>
        <v>1</v>
      </c>
      <c r="Y168" s="197">
        <f t="shared" si="55"/>
        <v>5.8623000000000003</v>
      </c>
      <c r="Z168" s="197">
        <f t="shared" si="56"/>
        <v>6.7500000000000004E-2</v>
      </c>
      <c r="AA168" s="197">
        <f t="shared" si="50"/>
        <v>5.7948000000000004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1"/>
        <v>808</v>
      </c>
      <c r="AE168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68" s="74" t="str">
        <f t="shared" si="53"/>
        <v>"C:\Program Files (x86)\AstroGrep\AstroGrep.exe" /e /r /s /spath="%USERPROFILE%\AppData\Local\Temp\OnboardLogs" /stypes="app*4023*20170619*" /stext=" 13:.+((SYSTEM_STATE.+slice.+state.+changed )|(ment ac)|(multiple cpu faults)|(system.+state.+changed )|(\[timeout)|(PRM\|1\|D)|(kpr)|(kdp)|(train st.+moving)|(\|lc)|(penalty))"</v>
      </c>
      <c r="AG168" s="209" t="str">
        <f t="shared" si="54"/>
        <v>NW</v>
      </c>
      <c r="AH168" s="78" t="str">
        <f t="shared" si="57"/>
        <v>"%USERPROFILE%\Documents\GitHub\eaglep3\Utilities\RefineRTDCRunTimes.py" --tripid 808-19 --locoid 4023 --swversion DE.1.0.9.0 --startMP 300:58623 --initTime 2017-06-19T07:37:46 --startdatetime 2017-06-19T07:40:50 --delay 1 --endMP 204:675 --enddatetime 2017-06-19T07:55:33 --enforcementcount 0 &gt;&gt;C:\Users\stu\Documents\GitHub\eaglep3-reporting\EC\2017-06-19-refined-times.txt</v>
      </c>
      <c r="AI168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{"issue":{"subject":"","project_id":79,"tracker_id":40,"status_id":1,"priority_id":2,"assigned_to_id":23,"start_date":"2017-06-19","description":"","custom_fields":[{"id":1,"name":"Subdivision","value":"NW"},{"id":4,"name":"Milepost","value":"0.0675"},{"id":17,"name":"Train ID","value":"808-19"},{"id":16,"name":"Locomotive ID","value":"4023"},{"id":130,"name":"Impact","value":""},{"id":150,"name":"Time of Event (Mountain Time)","value":"07:55:33"},{"id":151,"name":"Denver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9"/>
        <v>start /low /b %USERPROFILE%\Documents\GitHub\eaglep3\Utilities\DownloadLogsFromS3.py --loco 4023 --day 2017-06-19</v>
      </c>
      <c r="AN168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704</v>
      </c>
      <c r="B169" s="7">
        <v>4032</v>
      </c>
      <c r="C169" s="21" t="s">
        <v>202</v>
      </c>
      <c r="D169" s="21" t="s">
        <v>980</v>
      </c>
      <c r="E169" s="13">
        <v>42905.312002314815</v>
      </c>
      <c r="F169" s="13">
        <v>42905.327326388891</v>
      </c>
      <c r="G169" s="7">
        <v>1</v>
      </c>
      <c r="H169" s="21" t="s">
        <v>493</v>
      </c>
      <c r="I169" s="13">
        <v>42905.337129629632</v>
      </c>
      <c r="J169" s="7">
        <v>0</v>
      </c>
      <c r="K169" s="89" t="str">
        <f t="shared" si="46"/>
        <v>4031/4032</v>
      </c>
      <c r="L169" s="21" t="str">
        <f>VLOOKUP(A169,'Trips&amp;Operators'!$C$1:$G$99999,5,FALSE)</f>
        <v>DAVIDSON DAVID</v>
      </c>
      <c r="M169" s="6">
        <f t="shared" si="47"/>
        <v>9.8032407404389232E-3</v>
      </c>
      <c r="N169" s="7">
        <f t="shared" si="63"/>
        <v>14.116666666232049</v>
      </c>
      <c r="O169" s="7"/>
      <c r="P169" s="7"/>
      <c r="Q169" s="22"/>
      <c r="R169" s="170"/>
      <c r="S169" s="213">
        <f t="shared" si="62"/>
        <v>1</v>
      </c>
      <c r="T169" s="195" t="str">
        <f t="shared" si="48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-06-19T06:29:17-0600',mode:absolute,to:'2017-06-19T09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97" t="str">
        <f>IF(AA169&lt;VLOOKUP(AG169,Variables!$AC$3:$AD$8,2,FALSE),"Y","N")</f>
        <v>N</v>
      </c>
      <c r="X169" s="197">
        <f t="shared" si="61"/>
        <v>1</v>
      </c>
      <c r="Y169" s="197">
        <f t="shared" si="55"/>
        <v>0.1014</v>
      </c>
      <c r="Z169" s="197">
        <f t="shared" si="56"/>
        <v>5.8939000000000004</v>
      </c>
      <c r="AA169" s="197">
        <f t="shared" si="50"/>
        <v>5.7925000000000004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1"/>
        <v>809</v>
      </c>
      <c r="AE169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69" s="74" t="str">
        <f t="shared" si="53"/>
        <v>"C:\Program Files (x86)\AstroGrep\AstroGrep.exe" /e /r /s /spath="%USERPROFILE%\AppData\Local\Temp\OnboardLogs" /stypes="app*4032*20170619*" /stext=" 14:.+((SYSTEM_STATE.+slice.+state.+changed )|(ment ac)|(multiple cpu faults)|(system.+state.+changed )|(\[timeout)|(PRM\|1\|D)|(kpr)|(kdp)|(train st.+moving)|(\|lc)|(penalty))"</v>
      </c>
      <c r="AG169" s="209" t="str">
        <f t="shared" si="54"/>
        <v>NW</v>
      </c>
      <c r="AH169" s="78" t="str">
        <f t="shared" si="57"/>
        <v>"%USERPROFILE%\Documents\GitHub\eaglep3\Utilities\RefineRTDCRunTimes.py" --tripid 809-19 --locoid 4032 --swversion DE.1.0.9.0 --startMP 204:1014 --initTime 2017-06-19T07:29:17 --startdatetime 2017-06-19T07:51:21 --delay 1 --endMP 300:58939 --enddatetime 2017-06-19T08:05:28 --enforcementcount 0 &gt;&gt;C:\Users\stu\Documents\GitHub\eaglep3-reporting\EC\2017-06-19-refined-times.txt</v>
      </c>
      <c r="AI169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{"issue":{"subject":"","project_id":79,"tracker_id":40,"status_id":1,"priority_id":2,"assigned_to_id":23,"start_date":"2017-06-19","description":"","custom_fields":[{"id":1,"name":"Subdivision","value":"NW"},{"id":4,"name":"Milepost","value":"5.8939"},{"id":17,"name":"Train ID","value":"809-19"},{"id":16,"name":"Locomotive ID","value":"4032"},{"id":130,"name":"Impact","value":""},{"id":150,"name":"Time of Event (Mountain Time)","value":"08:05:28"},{"id":151,"name":"Denver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9"/>
        <v>start /low /b %USERPROFILE%\Documents\GitHub\eaglep3\Utilities\DownloadLogsFromS3.py --loco 4032 --day 2017-06-19</v>
      </c>
      <c r="AN169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711</v>
      </c>
      <c r="B170" s="7">
        <v>4031</v>
      </c>
      <c r="C170" s="21" t="s">
        <v>202</v>
      </c>
      <c r="D170" s="21" t="s">
        <v>548</v>
      </c>
      <c r="E170" s="13">
        <v>42905.338043981479</v>
      </c>
      <c r="F170" s="13">
        <v>42905.339513888888</v>
      </c>
      <c r="G170" s="7">
        <v>1</v>
      </c>
      <c r="H170" s="21" t="s">
        <v>981</v>
      </c>
      <c r="I170" s="13">
        <v>42905.351331018515</v>
      </c>
      <c r="J170" s="7">
        <v>0</v>
      </c>
      <c r="K170" s="89" t="str">
        <f t="shared" si="46"/>
        <v>4031/4032</v>
      </c>
      <c r="L170" s="21" t="str">
        <f>VLOOKUP(A170,'Trips&amp;Operators'!$C$1:$G$99999,5,FALSE)</f>
        <v>DAVIDSON DAVID</v>
      </c>
      <c r="M170" s="6">
        <f t="shared" si="47"/>
        <v>1.1817129627161194E-2</v>
      </c>
      <c r="N170" s="7">
        <f t="shared" si="63"/>
        <v>17.016666663112119</v>
      </c>
      <c r="O170" s="7"/>
      <c r="P170" s="7"/>
      <c r="Q170" s="22"/>
      <c r="R170" s="170"/>
      <c r="S170" s="213">
        <f t="shared" si="62"/>
        <v>1</v>
      </c>
      <c r="T170" s="195" t="str">
        <f t="shared" si="48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-06-19T07:06:47-0600',mode:absolute,to:'2017-06-19T09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97" t="str">
        <f>IF(AA170&lt;VLOOKUP(AG170,Variables!$AC$3:$AD$8,2,FALSE),"Y","N")</f>
        <v>N</v>
      </c>
      <c r="X170" s="197">
        <f t="shared" si="61"/>
        <v>1</v>
      </c>
      <c r="Y170" s="197">
        <f t="shared" si="55"/>
        <v>5.8620999999999999</v>
      </c>
      <c r="Z170" s="197">
        <f t="shared" si="56"/>
        <v>7.0499999999999993E-2</v>
      </c>
      <c r="AA170" s="197">
        <f t="shared" si="50"/>
        <v>5.7915999999999999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1"/>
        <v>810</v>
      </c>
      <c r="AE170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70" s="74" t="str">
        <f t="shared" si="53"/>
        <v>"C:\Program Files (x86)\AstroGrep\AstroGrep.exe" /e /r /s /spath="%USERPROFILE%\AppData\Local\Temp\OnboardLogs" /stypes="app*4031*20170619*" /stext=" 14:.+((SYSTEM_STATE.+slice.+state.+changed )|(ment ac)|(multiple cpu faults)|(system.+state.+changed )|(\[timeout)|(PRM\|1\|D)|(kpr)|(kdp)|(train st.+moving)|(\|lc)|(penalty))"</v>
      </c>
      <c r="AG170" s="209" t="str">
        <f t="shared" si="54"/>
        <v>NW</v>
      </c>
      <c r="AH170" s="78" t="str">
        <f t="shared" si="57"/>
        <v>"%USERPROFILE%\Documents\GitHub\eaglep3\Utilities\RefineRTDCRunTimes.py" --tripid 810-19 --locoid 4031 --swversion DE.1.0.9.0 --startMP 300:58621 --initTime 2017-06-19T08:06:47 --startdatetime 2017-06-19T08:08:54 --delay 1 --endMP 204:705 --enddatetime 2017-06-19T08:25:55 --enforcementcount 0 &gt;&gt;C:\Users\stu\Documents\GitHub\eaglep3-reporting\EC\2017-06-19-refined-times.txt</v>
      </c>
      <c r="AI170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{"issue":{"subject":"","project_id":79,"tracker_id":40,"status_id":1,"priority_id":2,"assigned_to_id":23,"start_date":"2017-06-19","description":"","custom_fields":[{"id":1,"name":"Subdivision","value":"NW"},{"id":4,"name":"Milepost","value":"0.0705"},{"id":17,"name":"Train ID","value":"810-19"},{"id":16,"name":"Locomotive ID","value":"4031"},{"id":130,"name":"Impact","value":""},{"id":150,"name":"Time of Event (Mountain Time)","value":"08:25:55"},{"id":151,"name":"Denver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9"/>
        <v>start /low /b %USERPROFILE%\Documents\GitHub\eaglep3\Utilities\DownloadLogsFromS3.py --loco 4031 --day 2017-06-19</v>
      </c>
      <c r="AN170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625</v>
      </c>
      <c r="B171" s="7">
        <v>4024</v>
      </c>
      <c r="C171" s="21" t="s">
        <v>202</v>
      </c>
      <c r="D171" s="21" t="s">
        <v>982</v>
      </c>
      <c r="E171" s="13">
        <v>42905.335497685184</v>
      </c>
      <c r="F171" s="13">
        <v>42905.348101851851</v>
      </c>
      <c r="G171" s="7">
        <v>1</v>
      </c>
      <c r="H171" s="21" t="s">
        <v>983</v>
      </c>
      <c r="I171" s="13">
        <v>42905.357858796298</v>
      </c>
      <c r="J171" s="7">
        <v>0</v>
      </c>
      <c r="K171" s="89" t="str">
        <f t="shared" si="46"/>
        <v>4023/4024</v>
      </c>
      <c r="L171" s="21" t="str">
        <f>VLOOKUP(A171,'Trips&amp;Operators'!$C$1:$G$99999,5,FALSE)</f>
        <v>LOZA FIDEL</v>
      </c>
      <c r="M171" s="6">
        <f t="shared" si="47"/>
        <v>9.7569444478722289E-3</v>
      </c>
      <c r="N171" s="7">
        <f t="shared" si="63"/>
        <v>14.05000000493601</v>
      </c>
      <c r="O171" s="7"/>
      <c r="P171" s="7"/>
      <c r="Q171" s="22"/>
      <c r="R171" s="170"/>
      <c r="S171" s="213">
        <f t="shared" si="62"/>
        <v>1</v>
      </c>
      <c r="T171" s="195" t="str">
        <f t="shared" si="48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-06-19T07:03:07-0600',mode:absolute,to:'2017-06-19T09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197" t="str">
        <f>IF(AA171&lt;VLOOKUP(AG171,Variables!$AC$3:$AD$8,2,FALSE),"Y","N")</f>
        <v>N</v>
      </c>
      <c r="X171" s="197">
        <f t="shared" si="61"/>
        <v>1</v>
      </c>
      <c r="Y171" s="197">
        <f t="shared" si="55"/>
        <v>9.5299999999999996E-2</v>
      </c>
      <c r="Z171" s="197">
        <f t="shared" si="56"/>
        <v>5.8928000000000003</v>
      </c>
      <c r="AA171" s="197">
        <f t="shared" si="50"/>
        <v>5.7975000000000003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1"/>
        <v>811</v>
      </c>
      <c r="AE171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71" s="74" t="str">
        <f t="shared" si="53"/>
        <v>"C:\Program Files (x86)\AstroGrep\AstroGrep.exe" /e /r /s /spath="%USERPROFILE%\AppData\Local\Temp\OnboardLogs" /stypes="app*4024*20170619*" /stext=" 14:.+((SYSTEM_STATE.+slice.+state.+changed )|(ment ac)|(multiple cpu faults)|(system.+state.+changed )|(\[timeout)|(PRM\|1\|D)|(kpr)|(kdp)|(train st.+moving)|(\|lc)|(penalty))"</v>
      </c>
      <c r="AG171" s="209" t="str">
        <f t="shared" si="54"/>
        <v>NW</v>
      </c>
      <c r="AH171" s="78" t="str">
        <f t="shared" si="57"/>
        <v>"%USERPROFILE%\Documents\GitHub\eaglep3\Utilities\RefineRTDCRunTimes.py" --tripid 811-19 --locoid 4024 --swversion DE.1.0.9.0 --startMP 204:953 --initTime 2017-06-19T08:03:07 --startdatetime 2017-06-19T08:21:16 --delay 1 --endMP 300:58928 --enddatetime 2017-06-19T08:35:19 --enforcementcount 0 &gt;&gt;C:\Users\stu\Documents\GitHub\eaglep3-reporting\EC\2017-06-19-refined-times.txt</v>
      </c>
      <c r="AI171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{"issue":{"subject":"","project_id":79,"tracker_id":40,"status_id":1,"priority_id":2,"assigned_to_id":23,"start_date":"2017-06-19","description":"","custom_fields":[{"id":1,"name":"Subdivision","value":"NW"},{"id":4,"name":"Milepost","value":"5.8928"},{"id":17,"name":"Train ID","value":"811-19"},{"id":16,"name":"Locomotive ID","value":"4024"},{"id":130,"name":"Impact","value":""},{"id":150,"name":"Time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9"/>
        <v>start /low /b %USERPROFILE%\Documents\GitHub\eaglep3\Utilities\DownloadLogsFromS3.py --loco 4024 --day 2017-06-19</v>
      </c>
      <c r="AN171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719</v>
      </c>
      <c r="B172" s="7">
        <v>4023</v>
      </c>
      <c r="C172" s="21" t="s">
        <v>202</v>
      </c>
      <c r="D172" s="21" t="s">
        <v>547</v>
      </c>
      <c r="E172" s="13">
        <v>42905.359780092593</v>
      </c>
      <c r="F172" s="13">
        <v>42905.361817129633</v>
      </c>
      <c r="G172" s="7">
        <v>1</v>
      </c>
      <c r="H172" s="21" t="s">
        <v>984</v>
      </c>
      <c r="I172" s="13">
        <v>42905.371782407405</v>
      </c>
      <c r="J172" s="7">
        <v>0</v>
      </c>
      <c r="K172" s="89" t="str">
        <f t="shared" si="46"/>
        <v>4023/4024</v>
      </c>
      <c r="L172" s="21" t="str">
        <f>VLOOKUP(A172,'Trips&amp;Operators'!$C$1:$G$99999,5,FALSE)</f>
        <v>LOZA FIDEL</v>
      </c>
      <c r="M172" s="6">
        <f t="shared" si="47"/>
        <v>9.965277771698311E-3</v>
      </c>
      <c r="N172" s="7">
        <f t="shared" si="63"/>
        <v>14.349999991245568</v>
      </c>
      <c r="O172" s="7"/>
      <c r="P172" s="7"/>
      <c r="Q172" s="22"/>
      <c r="R172" s="170"/>
      <c r="S172" s="213">
        <f t="shared" si="62"/>
        <v>1</v>
      </c>
      <c r="T172" s="195" t="str">
        <f t="shared" si="48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-06-19T07:38:05-0600',mode:absolute,to:'2017-06-19T09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197" t="str">
        <f>IF(AA172&lt;VLOOKUP(AG172,Variables!$AC$3:$AD$8,2,FALSE),"Y","N")</f>
        <v>N</v>
      </c>
      <c r="X172" s="197">
        <f t="shared" si="61"/>
        <v>1</v>
      </c>
      <c r="Y172" s="197">
        <f t="shared" si="55"/>
        <v>5.8613</v>
      </c>
      <c r="Z172" s="197">
        <f t="shared" si="56"/>
        <v>6.9400000000000003E-2</v>
      </c>
      <c r="AA172" s="197">
        <f t="shared" si="50"/>
        <v>5.7919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1"/>
        <v>812</v>
      </c>
      <c r="AE172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72" s="74" t="str">
        <f t="shared" si="53"/>
        <v>"C:\Program Files (x86)\AstroGrep\AstroGrep.exe" /e /r /s /spath="%USERPROFILE%\AppData\Local\Temp\OnboardLogs" /stypes="app*4023*20170619*" /stext=" 14:.+((SYSTEM_STATE.+slice.+state.+changed )|(ment ac)|(multiple cpu faults)|(system.+state.+changed )|(\[timeout)|(PRM\|1\|D)|(kpr)|(kdp)|(train st.+moving)|(\|lc)|(penalty))"</v>
      </c>
      <c r="AG172" s="209" t="str">
        <f t="shared" si="54"/>
        <v>NW</v>
      </c>
      <c r="AH172" s="78" t="str">
        <f t="shared" si="57"/>
        <v>"%USERPROFILE%\Documents\GitHub\eaglep3\Utilities\RefineRTDCRunTimes.py" --tripid 812-19 --locoid 4023 --swversion DE.1.0.9.0 --startMP 300:58613 --initTime 2017-06-19T08:38:05 --startdatetime 2017-06-19T08:41:01 --delay 1 --endMP 204:694 --enddatetime 2017-06-19T08:55:22 --enforcementcount 0 &gt;&gt;C:\Users\stu\Documents\GitHub\eaglep3-reporting\EC\2017-06-19-refined-times.txt</v>
      </c>
      <c r="AI172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{"issue":{"subject":"","project_id":79,"tracker_id":40,"status_id":1,"priority_id":2,"assigned_to_id":23,"start_date":"2017-06-19","description":"","custom_fields":[{"id":1,"name":"Subdivision","value":"NW"},{"id":4,"name":"Milepost","value":"0.0694"},{"id":17,"name":"Train ID","value":"812-19"},{"id":16,"name":"Locomotive ID","value":"4023"},{"id":130,"name":"Impact","value":""},{"id":150,"name":"Time of Event (Mountain Time)","value":"08:55:22"},{"id":151,"name":"Denver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9"/>
        <v>start /low /b %USERPROFILE%\Documents\GitHub\eaglep3\Utilities\DownloadLogsFromS3.py --loco 4023 --day 2017-06-19</v>
      </c>
      <c r="AN172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723</v>
      </c>
      <c r="B173" s="7">
        <v>4024</v>
      </c>
      <c r="C173" s="21" t="s">
        <v>202</v>
      </c>
      <c r="D173" s="21" t="s">
        <v>975</v>
      </c>
      <c r="E173" s="13">
        <v>42905.382581018515</v>
      </c>
      <c r="F173" s="13">
        <v>42905.389768518522</v>
      </c>
      <c r="G173" s="7">
        <v>1</v>
      </c>
      <c r="H173" s="21" t="s">
        <v>546</v>
      </c>
      <c r="I173" s="13">
        <v>42905.399918981479</v>
      </c>
      <c r="J173" s="7">
        <v>0</v>
      </c>
      <c r="K173" s="89" t="str">
        <f t="shared" si="46"/>
        <v>4023/4024</v>
      </c>
      <c r="L173" s="21" t="str">
        <f>VLOOKUP(A173,'Trips&amp;Operators'!$C$1:$G$99999,5,FALSE)</f>
        <v>LOZA FIDEL</v>
      </c>
      <c r="M173" s="6">
        <f t="shared" si="47"/>
        <v>1.0150462956517003E-2</v>
      </c>
      <c r="N173" s="7">
        <f t="shared" si="63"/>
        <v>14.616666657384485</v>
      </c>
      <c r="O173" s="7"/>
      <c r="P173" s="7"/>
      <c r="Q173" s="22"/>
      <c r="R173" s="170"/>
      <c r="S173" s="213">
        <f t="shared" si="62"/>
        <v>1</v>
      </c>
      <c r="T173" s="195" t="str">
        <f t="shared" si="48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-06-19T08:10:55-0600',mode:absolute,to:'2017-06-19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197" t="str">
        <f>IF(AA173&lt;VLOOKUP(AG173,Variables!$AC$3:$AD$8,2,FALSE),"Y","N")</f>
        <v>N</v>
      </c>
      <c r="X173" s="197">
        <f t="shared" si="61"/>
        <v>1</v>
      </c>
      <c r="Y173" s="197">
        <f t="shared" si="55"/>
        <v>9.6699999999999994E-2</v>
      </c>
      <c r="Z173" s="197">
        <f t="shared" si="56"/>
        <v>5.8944000000000001</v>
      </c>
      <c r="AA173" s="197">
        <f t="shared" si="50"/>
        <v>5.7976999999999999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1"/>
        <v>813</v>
      </c>
      <c r="AE173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73" s="74" t="str">
        <f t="shared" si="53"/>
        <v>"C:\Program Files (x86)\AstroGrep\AstroGrep.exe" /e /r /s /spath="%USERPROFILE%\AppData\Local\Temp\OnboardLogs" /stypes="app*4024*20170619*" /stext=" 15:.+((SYSTEM_STATE.+slice.+state.+changed )|(ment ac)|(multiple cpu faults)|(system.+state.+changed )|(\[timeout)|(PRM\|1\|D)|(kpr)|(kdp)|(train st.+moving)|(\|lc)|(penalty))"</v>
      </c>
      <c r="AG173" s="209" t="str">
        <f t="shared" si="54"/>
        <v>NW</v>
      </c>
      <c r="AH173" s="78" t="str">
        <f t="shared" si="57"/>
        <v>"%USERPROFILE%\Documents\GitHub\eaglep3\Utilities\RefineRTDCRunTimes.py" --tripid 813-19 --locoid 4024 --swversion DE.1.0.9.0 --startMP 204:967 --initTime 2017-06-19T09:10:55 --startdatetime 2017-06-19T09:21:16 --delay 1 --endMP 300:58944 --enddatetime 2017-06-19T09:35:53 --enforcementcount 0 &gt;&gt;C:\Users\stu\Documents\GitHub\eaglep3-reporting\EC\2017-06-19-refined-times.txt</v>
      </c>
      <c r="AI173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{"issue":{"subject":"","project_id":79,"tracker_id":40,"status_id":1,"priority_id":2,"assigned_to_id":23,"start_date":"2017-06-19","description":"","custom_fields":[{"id":1,"name":"Subdivision","value":"NW"},{"id":4,"name":"Milepost","value":"5.8944"},{"id":17,"name":"Train ID","value":"813-19"},{"id":16,"name":"Locomotive ID","value":"4024"},{"id":130,"name":"Impact","value":""},{"id":150,"name":"Time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9"/>
        <v>start /low /b %USERPROFILE%\Documents\GitHub\eaglep3\Utilities\DownloadLogsFromS3.py --loco 4024 --day 2017-06-19</v>
      </c>
      <c r="AN173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729</v>
      </c>
      <c r="B174" s="7">
        <v>4023</v>
      </c>
      <c r="C174" s="21" t="s">
        <v>202</v>
      </c>
      <c r="D174" s="21" t="s">
        <v>973</v>
      </c>
      <c r="E174" s="13">
        <v>42905.401342592595</v>
      </c>
      <c r="F174" s="13">
        <v>42905.403090277781</v>
      </c>
      <c r="G174" s="7">
        <v>1</v>
      </c>
      <c r="H174" s="21" t="s">
        <v>985</v>
      </c>
      <c r="I174" s="13">
        <v>42905.413182870368</v>
      </c>
      <c r="J174" s="7">
        <v>0</v>
      </c>
      <c r="K174" s="89" t="str">
        <f t="shared" si="46"/>
        <v>4023/4024</v>
      </c>
      <c r="L174" s="21" t="str">
        <f>VLOOKUP(A174,'Trips&amp;Operators'!$C$1:$G$99999,5,FALSE)</f>
        <v>LOZA FIDEL</v>
      </c>
      <c r="M174" s="6">
        <f t="shared" si="47"/>
        <v>1.0092592587170657E-2</v>
      </c>
      <c r="N174" s="7">
        <f t="shared" si="63"/>
        <v>14.533333325525746</v>
      </c>
      <c r="O174" s="7"/>
      <c r="P174" s="7"/>
      <c r="Q174" s="22"/>
      <c r="R174" s="170"/>
      <c r="S174" s="213">
        <f t="shared" si="62"/>
        <v>1</v>
      </c>
      <c r="T174" s="195" t="str">
        <f t="shared" si="48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-06-19T08:37:56-0600',mode:absolute,to:'2017-06-19T10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197" t="str">
        <f>IF(AA174&lt;VLOOKUP(AG174,Variables!$AC$3:$AD$8,2,FALSE),"Y","N")</f>
        <v>N</v>
      </c>
      <c r="X174" s="197">
        <f t="shared" si="61"/>
        <v>1</v>
      </c>
      <c r="Y174" s="197">
        <f t="shared" si="55"/>
        <v>5.8625999999999996</v>
      </c>
      <c r="Z174" s="197">
        <f t="shared" si="56"/>
        <v>6.8199999999999997E-2</v>
      </c>
      <c r="AA174" s="197">
        <f t="shared" si="50"/>
        <v>5.7943999999999996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1"/>
        <v>814</v>
      </c>
      <c r="AE174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74" s="74" t="str">
        <f t="shared" si="53"/>
        <v>"C:\Program Files (x86)\AstroGrep\AstroGrep.exe" /e /r /s /spath="%USERPROFILE%\AppData\Local\Temp\OnboardLogs" /stypes="app*4023*20170619*" /stext=" 15:.+((SYSTEM_STATE.+slice.+state.+changed )|(ment ac)|(multiple cpu faults)|(system.+state.+changed )|(\[timeout)|(PRM\|1\|D)|(kpr)|(kdp)|(train st.+moving)|(\|lc)|(penalty))"</v>
      </c>
      <c r="AG174" s="209" t="str">
        <f t="shared" si="54"/>
        <v>NW</v>
      </c>
      <c r="AH174" s="78" t="str">
        <f t="shared" si="57"/>
        <v>"%USERPROFILE%\Documents\GitHub\eaglep3\Utilities\RefineRTDCRunTimes.py" --tripid 814-19 --locoid 4023 --swversion DE.1.0.9.0 --startMP 300:58626 --initTime 2017-06-19T09:37:56 --startdatetime 2017-06-19T09:40:27 --delay 1 --endMP 204:682 --enddatetime 2017-06-19T09:54:59 --enforcementcount 0 &gt;&gt;C:\Users\stu\Documents\GitHub\eaglep3-reporting\EC\2017-06-19-refined-times.txt</v>
      </c>
      <c r="AI174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{"issue":{"subject":"","project_id":79,"tracker_id":40,"status_id":1,"priority_id":2,"assigned_to_id":23,"start_date":"2017-06-19","description":"","custom_fields":[{"id":1,"name":"Subdivision","value":"NW"},{"id":4,"name":"Milepost","value":"0.0682"},{"id":17,"name":"Train ID","value":"814-19"},{"id":16,"name":"Locomotive ID","value":"4023"},{"id":130,"name":"Impact","value":""},{"id":150,"name":"Time of Event (Mountain Time)","value":"09:54:59"},{"id":151,"name":"Denver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9"/>
        <v>start /low /b %USERPROFILE%\Documents\GitHub\eaglep3\Utilities\DownloadLogsFromS3.py --loco 4023 --day 2017-06-19</v>
      </c>
      <c r="AN174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732</v>
      </c>
      <c r="B175" s="7">
        <v>4024</v>
      </c>
      <c r="C175" s="21" t="s">
        <v>202</v>
      </c>
      <c r="D175" s="21" t="s">
        <v>975</v>
      </c>
      <c r="E175" s="13">
        <v>42905.416319444441</v>
      </c>
      <c r="F175" s="13">
        <v>42905.43141203704</v>
      </c>
      <c r="G175" s="7">
        <v>1</v>
      </c>
      <c r="H175" s="21" t="s">
        <v>598</v>
      </c>
      <c r="I175" s="13">
        <v>42905.440983796296</v>
      </c>
      <c r="J175" s="7">
        <v>0</v>
      </c>
      <c r="K175" s="89" t="str">
        <f t="shared" si="46"/>
        <v>4023/4024</v>
      </c>
      <c r="L175" s="21" t="str">
        <f>VLOOKUP(A175,'Trips&amp;Operators'!$C$1:$G$99999,5,FALSE)</f>
        <v>LOZA FIDEL</v>
      </c>
      <c r="M175" s="6">
        <f t="shared" si="47"/>
        <v>9.5717592557775788E-3</v>
      </c>
      <c r="N175" s="7">
        <f t="shared" si="63"/>
        <v>13.783333328319713</v>
      </c>
      <c r="O175" s="7"/>
      <c r="P175" s="7"/>
      <c r="Q175" s="22"/>
      <c r="R175" s="170"/>
      <c r="S175" s="213">
        <f t="shared" si="62"/>
        <v>1</v>
      </c>
      <c r="T175" s="195" t="str">
        <f t="shared" si="48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-06-19T08:59:30-0600',mode:absolute,to:'2017-06-19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197" t="str">
        <f>IF(AA175&lt;VLOOKUP(AG175,Variables!$AC$3:$AD$8,2,FALSE),"Y","N")</f>
        <v>N</v>
      </c>
      <c r="X175" s="197">
        <f t="shared" si="61"/>
        <v>1</v>
      </c>
      <c r="Y175" s="197">
        <f t="shared" si="55"/>
        <v>9.6699999999999994E-2</v>
      </c>
      <c r="Z175" s="197">
        <f t="shared" si="56"/>
        <v>5.8943000000000003</v>
      </c>
      <c r="AA175" s="197">
        <f t="shared" si="50"/>
        <v>5.7976000000000001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1"/>
        <v>815</v>
      </c>
      <c r="AE175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75" s="74" t="str">
        <f t="shared" si="53"/>
        <v>"C:\Program Files (x86)\AstroGrep\AstroGrep.exe" /e /r /s /spath="%USERPROFILE%\AppData\Local\Temp\OnboardLogs" /stypes="app*4024*20170619*" /stext=" 16:.+((SYSTEM_STATE.+slice.+state.+changed )|(ment ac)|(multiple cpu faults)|(system.+state.+changed )|(\[timeout)|(PRM\|1\|D)|(kpr)|(kdp)|(train st.+moving)|(\|lc)|(penalty))"</v>
      </c>
      <c r="AG175" s="209" t="str">
        <f t="shared" si="54"/>
        <v>NW</v>
      </c>
      <c r="AH175" s="78" t="str">
        <f t="shared" si="57"/>
        <v>"%USERPROFILE%\Documents\GitHub\eaglep3\Utilities\RefineRTDCRunTimes.py" --tripid 815-19 --locoid 4024 --swversion DE.1.0.9.0 --startMP 204:967 --initTime 2017-06-19T09:59:30 --startdatetime 2017-06-19T10:21:14 --delay 1 --endMP 300:58943 --enddatetime 2017-06-19T10:35:01 --enforcementcount 0 &gt;&gt;C:\Users\stu\Documents\GitHub\eaglep3-reporting\EC\2017-06-19-refined-times.txt</v>
      </c>
      <c r="AI175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{"issue":{"subject":"","project_id":79,"tracker_id":40,"status_id":1,"priority_id":2,"assigned_to_id":23,"start_date":"2017-06-19","description":"","custom_fields":[{"id":1,"name":"Subdivision","value":"NW"},{"id":4,"name":"Milepost","value":"5.8943"},{"id":17,"name":"Train ID","value":"815-19"},{"id":16,"name":"Locomotive ID","value":"4024"},{"id":130,"name":"Impact","value":""},{"id":150,"name":"Time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9"/>
        <v>start /low /b %USERPROFILE%\Documents\GitHub\eaglep3\Utilities\DownloadLogsFromS3.py --loco 4024 --day 2017-06-19</v>
      </c>
      <c r="AN175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738</v>
      </c>
      <c r="B176" s="7">
        <v>4023</v>
      </c>
      <c r="C176" s="21" t="s">
        <v>202</v>
      </c>
      <c r="D176" s="21" t="s">
        <v>544</v>
      </c>
      <c r="E176" s="13">
        <v>42905.442152777781</v>
      </c>
      <c r="F176" s="13">
        <v>42905.443842592591</v>
      </c>
      <c r="G176" s="7">
        <v>1</v>
      </c>
      <c r="H176" s="21" t="s">
        <v>603</v>
      </c>
      <c r="I176" s="13">
        <v>42905.456620370373</v>
      </c>
      <c r="J176" s="7">
        <v>0</v>
      </c>
      <c r="K176" s="89" t="str">
        <f t="shared" si="46"/>
        <v>4023/4024</v>
      </c>
      <c r="L176" s="21" t="str">
        <f>VLOOKUP(A176,'Trips&amp;Operators'!$C$1:$G$99999,5,FALSE)</f>
        <v>LOZA FIDEL</v>
      </c>
      <c r="M176" s="6">
        <f t="shared" si="47"/>
        <v>1.2777777781593613E-2</v>
      </c>
      <c r="N176" s="7">
        <f t="shared" si="63"/>
        <v>18.400000005494803</v>
      </c>
      <c r="O176" s="7"/>
      <c r="P176" s="7"/>
      <c r="Q176" s="22"/>
      <c r="R176" s="170"/>
      <c r="S176" s="213">
        <f t="shared" si="62"/>
        <v>1</v>
      </c>
      <c r="T176" s="195" t="str">
        <f t="shared" si="48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-06-19T09:36:42-0600',mode:absolute,to:'2017-06-19T11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197" t="str">
        <f>IF(AA176&lt;VLOOKUP(AG176,Variables!$AC$3:$AD$8,2,FALSE),"Y","N")</f>
        <v>N</v>
      </c>
      <c r="X176" s="197">
        <f t="shared" si="61"/>
        <v>1</v>
      </c>
      <c r="Y176" s="197">
        <f t="shared" si="55"/>
        <v>5.8619000000000003</v>
      </c>
      <c r="Z176" s="197">
        <f t="shared" si="56"/>
        <v>7.0300000000000001E-2</v>
      </c>
      <c r="AA176" s="197">
        <f t="shared" si="50"/>
        <v>5.7916000000000007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1"/>
        <v>816</v>
      </c>
      <c r="AE176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76" s="74" t="str">
        <f t="shared" si="53"/>
        <v>"C:\Program Files (x86)\AstroGrep\AstroGrep.exe" /e /r /s /spath="%USERPROFILE%\AppData\Local\Temp\OnboardLogs" /stypes="app*4023*20170619*" /stext=" 16:.+((SYSTEM_STATE.+slice.+state.+changed )|(ment ac)|(multiple cpu faults)|(system.+state.+changed )|(\[timeout)|(PRM\|1\|D)|(kpr)|(kdp)|(train st.+moving)|(\|lc)|(penalty))"</v>
      </c>
      <c r="AG176" s="209" t="str">
        <f t="shared" si="54"/>
        <v>NW</v>
      </c>
      <c r="AH176" s="78" t="str">
        <f t="shared" si="57"/>
        <v>"%USERPROFILE%\Documents\GitHub\eaglep3\Utilities\RefineRTDCRunTimes.py" --tripid 816-19 --locoid 4023 --swversion DE.1.0.9.0 --startMP 300:58619 --initTime 2017-06-19T10:36:42 --startdatetime 2017-06-19T10:39:08 --delay 1 --endMP 204:703 --enddatetime 2017-06-19T10:57:32 --enforcementcount 0 &gt;&gt;C:\Users\stu\Documents\GitHub\eaglep3-reporting\EC\2017-06-19-refined-times.txt</v>
      </c>
      <c r="AI176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{"issue":{"subject":"","project_id":79,"tracker_id":40,"status_id":1,"priority_id":2,"assigned_to_id":23,"start_date":"2017-06-19","description":"","custom_fields":[{"id":1,"name":"Subdivision","value":"NW"},{"id":4,"name":"Milepost","value":"0.0703"},{"id":17,"name":"Train ID","value":"816-19"},{"id":16,"name":"Locomotive ID","value":"4023"},{"id":130,"name":"Impact","value":""},{"id":150,"name":"Time of Event (Mountain Time)","value":"10:57:32"},{"id":151,"name":"Denver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9"/>
        <v>start /low /b %USERPROFILE%\Documents\GitHub\eaglep3\Utilities\DownloadLogsFromS3.py --loco 4023 --day 2017-06-19</v>
      </c>
      <c r="AN176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748</v>
      </c>
      <c r="B177" s="7">
        <v>4024</v>
      </c>
      <c r="C177" s="21" t="s">
        <v>202</v>
      </c>
      <c r="D177" s="21" t="s">
        <v>602</v>
      </c>
      <c r="E177" s="13">
        <v>42905.468043981484</v>
      </c>
      <c r="F177" s="13">
        <v>42905.473124999997</v>
      </c>
      <c r="G177" s="7">
        <v>1</v>
      </c>
      <c r="H177" s="21" t="s">
        <v>983</v>
      </c>
      <c r="I177" s="13">
        <v>42905.483761574076</v>
      </c>
      <c r="J177" s="7">
        <v>0</v>
      </c>
      <c r="K177" s="89" t="str">
        <f t="shared" si="46"/>
        <v>4023/4024</v>
      </c>
      <c r="L177" s="21" t="str">
        <f>VLOOKUP(A177,'Trips&amp;Operators'!$C$1:$G$99999,5,FALSE)</f>
        <v>LOZA FIDEL</v>
      </c>
      <c r="M177" s="6">
        <f t="shared" si="47"/>
        <v>1.0636574079398997E-2</v>
      </c>
      <c r="N177" s="7">
        <f t="shared" si="63"/>
        <v>15.316666674334556</v>
      </c>
      <c r="O177" s="7"/>
      <c r="P177" s="7"/>
      <c r="Q177" s="22"/>
      <c r="R177" s="170"/>
      <c r="S177" s="213">
        <f t="shared" si="62"/>
        <v>1</v>
      </c>
      <c r="T177" s="195" t="str">
        <f t="shared" si="48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-06-19T10:13:59-0600',mode:absolute,to:'2017-06-19T12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197" t="str">
        <f>IF(AA177&lt;VLOOKUP(AG177,Variables!$AC$3:$AD$8,2,FALSE),"Y","N")</f>
        <v>N</v>
      </c>
      <c r="X177" s="197">
        <f t="shared" si="61"/>
        <v>1</v>
      </c>
      <c r="Y177" s="197">
        <f t="shared" si="55"/>
        <v>9.7799999999999998E-2</v>
      </c>
      <c r="Z177" s="197">
        <f t="shared" si="56"/>
        <v>5.8928000000000003</v>
      </c>
      <c r="AA177" s="197">
        <f t="shared" si="50"/>
        <v>5.7949999999999999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1"/>
        <v>817</v>
      </c>
      <c r="AE177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77" s="74" t="str">
        <f t="shared" si="53"/>
        <v>"C:\Program Files (x86)\AstroGrep\AstroGrep.exe" /e /r /s /spath="%USERPROFILE%\AppData\Local\Temp\OnboardLogs" /stypes="app*4024*20170619*" /stext=" 17:.+((SYSTEM_STATE.+slice.+state.+changed )|(ment ac)|(multiple cpu faults)|(system.+state.+changed )|(\[timeout)|(PRM\|1\|D)|(kpr)|(kdp)|(train st.+moving)|(\|lc)|(penalty))"</v>
      </c>
      <c r="AG177" s="209" t="str">
        <f t="shared" si="54"/>
        <v>NW</v>
      </c>
      <c r="AH177" s="78" t="str">
        <f t="shared" si="57"/>
        <v>"%USERPROFILE%\Documents\GitHub\eaglep3\Utilities\RefineRTDCRunTimes.py" --tripid 817-19 --locoid 4024 --swversion DE.1.0.9.0 --startMP 204:978 --initTime 2017-06-19T11:13:59 --startdatetime 2017-06-19T11:21:18 --delay 1 --endMP 300:58928 --enddatetime 2017-06-19T11:36:37 --enforcementcount 0 &gt;&gt;C:\Users\stu\Documents\GitHub\eaglep3-reporting\EC\2017-06-19-refined-times.txt</v>
      </c>
      <c r="AI177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{"issue":{"subject":"","project_id":79,"tracker_id":40,"status_id":1,"priority_id":2,"assigned_to_id":23,"start_date":"2017-06-19","description":"","custom_fields":[{"id":1,"name":"Subdivision","value":"NW"},{"id":4,"name":"Milepost","value":"5.8928"},{"id":17,"name":"Train ID","value":"817-19"},{"id":16,"name":"Locomotive ID","value":"4024"},{"id":130,"name":"Impact","value":""},{"id":150,"name":"Time of Event (Mountain Time)","value":"11:36:37"},{"id":151,"name":"Denver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9"/>
        <v>start /low /b %USERPROFILE%\Documents\GitHub\eaglep3\Utilities\DownloadLogsFromS3.py --loco 4024 --day 2017-06-19</v>
      </c>
      <c r="AN177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752</v>
      </c>
      <c r="B178" s="7">
        <v>4023</v>
      </c>
      <c r="C178" s="21" t="s">
        <v>202</v>
      </c>
      <c r="D178" s="21" t="s">
        <v>986</v>
      </c>
      <c r="E178" s="13">
        <v>42905.484872685185</v>
      </c>
      <c r="F178" s="13">
        <v>42905.486446759256</v>
      </c>
      <c r="G178" s="7">
        <v>1</v>
      </c>
      <c r="H178" s="21" t="s">
        <v>987</v>
      </c>
      <c r="I178" s="13">
        <v>42905.496666666666</v>
      </c>
      <c r="J178" s="7">
        <v>0</v>
      </c>
      <c r="K178" s="89" t="str">
        <f t="shared" si="46"/>
        <v>4023/4024</v>
      </c>
      <c r="L178" s="21" t="str">
        <f>VLOOKUP(A178,'Trips&amp;Operators'!$C$1:$G$99999,5,FALSE)</f>
        <v>LOZA FIDEL</v>
      </c>
      <c r="M178" s="6">
        <f t="shared" si="47"/>
        <v>1.021990740991896E-2</v>
      </c>
      <c r="N178" s="7">
        <f t="shared" si="63"/>
        <v>14.716666670283303</v>
      </c>
      <c r="O178" s="7"/>
      <c r="P178" s="7"/>
      <c r="Q178" s="22"/>
      <c r="R178" s="170"/>
      <c r="S178" s="213">
        <f t="shared" si="62"/>
        <v>1</v>
      </c>
      <c r="T178" s="195" t="str">
        <f t="shared" si="48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-06-19T10:38:13-0600',mode:absolute,to:'2017-06-19T12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197" t="str">
        <f>IF(AA178&lt;VLOOKUP(AG178,Variables!$AC$3:$AD$8,2,FALSE),"Y","N")</f>
        <v>N</v>
      </c>
      <c r="X178" s="197">
        <f t="shared" si="61"/>
        <v>1</v>
      </c>
      <c r="Y178" s="197">
        <f t="shared" si="55"/>
        <v>5.8605999999999998</v>
      </c>
      <c r="Z178" s="197">
        <f t="shared" si="56"/>
        <v>6.59E-2</v>
      </c>
      <c r="AA178" s="197">
        <f t="shared" si="50"/>
        <v>5.7946999999999997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1"/>
        <v>818</v>
      </c>
      <c r="AE178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78" s="74" t="str">
        <f t="shared" si="53"/>
        <v>"C:\Program Files (x86)\AstroGrep\AstroGrep.exe" /e /r /s /spath="%USERPROFILE%\AppData\Local\Temp\OnboardLogs" /stypes="app*4023*20170619*" /stext=" 17:.+((SYSTEM_STATE.+slice.+state.+changed )|(ment ac)|(multiple cpu faults)|(system.+state.+changed )|(\[timeout)|(PRM\|1\|D)|(kpr)|(kdp)|(train st.+moving)|(\|lc)|(penalty))"</v>
      </c>
      <c r="AG178" s="209" t="str">
        <f t="shared" si="54"/>
        <v>NW</v>
      </c>
      <c r="AH178" s="78" t="str">
        <f t="shared" si="57"/>
        <v>"%USERPROFILE%\Documents\GitHub\eaglep3\Utilities\RefineRTDCRunTimes.py" --tripid 818-19 --locoid 4023 --swversion DE.1.0.9.0 --startMP 300:58606 --initTime 2017-06-19T11:38:13 --startdatetime 2017-06-19T11:40:29 --delay 1 --endMP 204:659 --enddatetime 2017-06-19T11:55:12 --enforcementcount 0 &gt;&gt;C:\Users\stu\Documents\GitHub\eaglep3-reporting\EC\2017-06-19-refined-times.txt</v>
      </c>
      <c r="AI178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{"issue":{"subject":"","project_id":79,"tracker_id":40,"status_id":1,"priority_id":2,"assigned_to_id":23,"start_date":"2017-06-19","description":"","custom_fields":[{"id":1,"name":"Subdivision","value":"NW"},{"id":4,"name":"Milepost","value":"0.0659"},{"id":17,"name":"Train ID","value":"818-19"},{"id":16,"name":"Locomotive ID","value":"4023"},{"id":130,"name":"Impact","value":""},{"id":150,"name":"Time of Event (Mountain Time)","value":"11:55:12"},{"id":151,"name":"Denver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9"/>
        <v>start /low /b %USERPROFILE%\Documents\GitHub\eaglep3\Utilities\DownloadLogsFromS3.py --loco 4023 --day 2017-06-19</v>
      </c>
      <c r="AN178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756</v>
      </c>
      <c r="B179" s="7">
        <v>4024</v>
      </c>
      <c r="C179" s="21" t="s">
        <v>202</v>
      </c>
      <c r="D179" s="21" t="s">
        <v>988</v>
      </c>
      <c r="E179" s="13">
        <v>42905.50141203704</v>
      </c>
      <c r="F179" s="13">
        <v>42905.514756944445</v>
      </c>
      <c r="G179" s="7">
        <v>1</v>
      </c>
      <c r="H179" s="21" t="s">
        <v>989</v>
      </c>
      <c r="I179" s="13">
        <v>42905.524085648147</v>
      </c>
      <c r="J179" s="7">
        <v>0</v>
      </c>
      <c r="K179" s="89" t="str">
        <f t="shared" si="46"/>
        <v>4023/4024</v>
      </c>
      <c r="L179" s="21" t="str">
        <f>VLOOKUP(A179,'Trips&amp;Operators'!$C$1:$G$99999,5,FALSE)</f>
        <v>LOZA FIDEL</v>
      </c>
      <c r="M179" s="6">
        <f t="shared" si="47"/>
        <v>9.3287037016125396E-3</v>
      </c>
      <c r="N179" s="7">
        <f t="shared" si="63"/>
        <v>13.433333330322057</v>
      </c>
      <c r="O179" s="7"/>
      <c r="P179" s="7"/>
      <c r="Q179" s="22"/>
      <c r="R179" s="170"/>
      <c r="S179" s="213">
        <f t="shared" si="62"/>
        <v>1</v>
      </c>
      <c r="T179" s="195" t="str">
        <f t="shared" si="48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-06-19T11:02:02-0600',mode:absolute,to:'2017-06-19T13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197" t="str">
        <f>IF(AA179&lt;VLOOKUP(AG179,Variables!$AC$3:$AD$8,2,FALSE),"Y","N")</f>
        <v>N</v>
      </c>
      <c r="X179" s="197">
        <f t="shared" si="61"/>
        <v>1</v>
      </c>
      <c r="Y179" s="197">
        <f t="shared" si="55"/>
        <v>9.3700000000000006E-2</v>
      </c>
      <c r="Z179" s="197">
        <f t="shared" si="56"/>
        <v>5.8924000000000003</v>
      </c>
      <c r="AA179" s="197">
        <f t="shared" si="50"/>
        <v>5.7987000000000002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1"/>
        <v>819</v>
      </c>
      <c r="AE179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79" s="74" t="str">
        <f t="shared" si="53"/>
        <v>"C:\Program Files (x86)\AstroGrep\AstroGrep.exe" /e /r /s /spath="%USERPROFILE%\AppData\Local\Temp\OnboardLogs" /stypes="app*4024*20170619*" /stext=" 18:.+((SYSTEM_STATE.+slice.+state.+changed )|(ment ac)|(multiple cpu faults)|(system.+state.+changed )|(\[timeout)|(PRM\|1\|D)|(kpr)|(kdp)|(train st.+moving)|(\|lc)|(penalty))"</v>
      </c>
      <c r="AG179" s="209" t="str">
        <f t="shared" si="54"/>
        <v>NW</v>
      </c>
      <c r="AH179" s="78" t="str">
        <f t="shared" si="57"/>
        <v>"%USERPROFILE%\Documents\GitHub\eaglep3\Utilities\RefineRTDCRunTimes.py" --tripid 819-19 --locoid 4024 --swversion DE.1.0.9.0 --startMP 204:937 --initTime 2017-06-19T12:02:02 --startdatetime 2017-06-19T12:21:15 --delay 1 --endMP 300:58924 --enddatetime 2017-06-19T12:34:41 --enforcementcount 0 &gt;&gt;C:\Users\stu\Documents\GitHub\eaglep3-reporting\EC\2017-06-19-refined-times.txt</v>
      </c>
      <c r="AI179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{"issue":{"subject":"","project_id":79,"tracker_id":40,"status_id":1,"priority_id":2,"assigned_to_id":23,"start_date":"2017-06-19","description":"","custom_fields":[{"id":1,"name":"Subdivision","value":"NW"},{"id":4,"name":"Milepost","value":"5.8924"},{"id":17,"name":"Train ID","value":"819-19"},{"id":16,"name":"Locomotive ID","value":"4024"},{"id":130,"name":"Impact","value":""},{"id":150,"name":"Time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9"/>
        <v>start /low /b %USERPROFILE%\Documents\GitHub\eaglep3\Utilities\DownloadLogsFromS3.py --loco 4024 --day 2017-06-19</v>
      </c>
      <c r="AN179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761</v>
      </c>
      <c r="B180" s="7">
        <v>4023</v>
      </c>
      <c r="C180" s="21" t="s">
        <v>202</v>
      </c>
      <c r="D180" s="21" t="s">
        <v>986</v>
      </c>
      <c r="E180" s="13">
        <v>42905.525173611109</v>
      </c>
      <c r="F180" s="13">
        <v>42905.527986111112</v>
      </c>
      <c r="G180" s="7">
        <v>1</v>
      </c>
      <c r="H180" s="21" t="s">
        <v>515</v>
      </c>
      <c r="I180" s="13">
        <v>42905.538310185184</v>
      </c>
      <c r="J180" s="7">
        <v>0</v>
      </c>
      <c r="K180" s="89" t="str">
        <f t="shared" si="46"/>
        <v>4023/4024</v>
      </c>
      <c r="L180" s="21" t="str">
        <f>VLOOKUP(A180,'Trips&amp;Operators'!$C$1:$G$99999,5,FALSE)</f>
        <v>LOZA FIDEL</v>
      </c>
      <c r="M180" s="6">
        <f t="shared" si="47"/>
        <v>1.0324074071832001E-2</v>
      </c>
      <c r="N180" s="7">
        <f t="shared" si="63"/>
        <v>14.866666663438082</v>
      </c>
      <c r="O180" s="7"/>
      <c r="P180" s="7"/>
      <c r="Q180" s="22"/>
      <c r="R180" s="170"/>
      <c r="S180" s="213">
        <f t="shared" si="62"/>
        <v>1</v>
      </c>
      <c r="T180" s="195" t="str">
        <f t="shared" si="48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-06-19T11:36:15-0600',mode:absolute,to:'2017-06-19T13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197" t="str">
        <f>IF(AA180&lt;VLOOKUP(AG180,Variables!$AC$3:$AD$8,2,FALSE),"Y","N")</f>
        <v>N</v>
      </c>
      <c r="X180" s="197">
        <f t="shared" si="61"/>
        <v>1</v>
      </c>
      <c r="Y180" s="197">
        <f t="shared" si="55"/>
        <v>5.8605999999999998</v>
      </c>
      <c r="Z180" s="197">
        <f t="shared" si="56"/>
        <v>6.9099999999999995E-2</v>
      </c>
      <c r="AA180" s="197">
        <f t="shared" si="50"/>
        <v>5.7915000000000001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1"/>
        <v>820</v>
      </c>
      <c r="AE180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80" s="74" t="str">
        <f t="shared" si="53"/>
        <v>"C:\Program Files (x86)\AstroGrep\AstroGrep.exe" /e /r /s /spath="%USERPROFILE%\AppData\Local\Temp\OnboardLogs" /stypes="app*4023*20170619*" /stext=" 18:.+((SYSTEM_STATE.+slice.+state.+changed )|(ment ac)|(multiple cpu faults)|(system.+state.+changed )|(\[timeout)|(PRM\|1\|D)|(kpr)|(kdp)|(train st.+moving)|(\|lc)|(penalty))"</v>
      </c>
      <c r="AG180" s="209" t="str">
        <f t="shared" si="54"/>
        <v>NW</v>
      </c>
      <c r="AH180" s="78" t="str">
        <f t="shared" si="57"/>
        <v>"%USERPROFILE%\Documents\GitHub\eaglep3\Utilities\RefineRTDCRunTimes.py" --tripid 820-19 --locoid 4023 --swversion DE.1.0.9.0 --startMP 300:58606 --initTime 2017-06-19T12:36:15 --startdatetime 2017-06-19T12:40:18 --delay 1 --endMP 204:691 --enddatetime 2017-06-19T12:55:10 --enforcementcount 0 &gt;&gt;C:\Users\stu\Documents\GitHub\eaglep3-reporting\EC\2017-06-19-refined-times.txt</v>
      </c>
      <c r="AI180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{"issue":{"subject":"","project_id":79,"tracker_id":40,"status_id":1,"priority_id":2,"assigned_to_id":23,"start_date":"2017-06-19","description":"","custom_fields":[{"id":1,"name":"Subdivision","value":"NW"},{"id":4,"name":"Milepost","value":"0.0691"},{"id":17,"name":"Train ID","value":"820-19"},{"id":16,"name":"Locomotive ID","value":"4023"},{"id":130,"name":"Impact","value":""},{"id":150,"name":"Time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9"/>
        <v>start /low /b %USERPROFILE%\Documents\GitHub\eaglep3\Utilities\DownloadLogsFromS3.py --loco 4023 --day 2017-06-19</v>
      </c>
      <c r="AN180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767</v>
      </c>
      <c r="B181" s="7">
        <v>4024</v>
      </c>
      <c r="C181" s="21" t="s">
        <v>202</v>
      </c>
      <c r="D181" s="21" t="s">
        <v>977</v>
      </c>
      <c r="E181" s="13">
        <v>42905.554120370369</v>
      </c>
      <c r="F181" s="13">
        <v>42905.55641203704</v>
      </c>
      <c r="G181" s="7">
        <v>1</v>
      </c>
      <c r="H181" s="21" t="s">
        <v>597</v>
      </c>
      <c r="I181" s="13">
        <v>42905.565729166665</v>
      </c>
      <c r="J181" s="7">
        <v>0</v>
      </c>
      <c r="K181" s="89" t="str">
        <f t="shared" si="46"/>
        <v>4023/4024</v>
      </c>
      <c r="L181" s="21" t="str">
        <f>VLOOKUP(A181,'Trips&amp;Operators'!$C$1:$G$99999,5,FALSE)</f>
        <v>LEVIN SCOTT</v>
      </c>
      <c r="M181" s="6">
        <f t="shared" si="47"/>
        <v>9.3171296248328872E-3</v>
      </c>
      <c r="N181" s="7">
        <f t="shared" si="63"/>
        <v>13.416666659759358</v>
      </c>
      <c r="O181" s="7"/>
      <c r="P181" s="7"/>
      <c r="Q181" s="22"/>
      <c r="R181" s="170"/>
      <c r="S181" s="213">
        <f t="shared" ref="S181:S212" si="64">SUM(U181:U181)/IF(AG181="EC",12,1)</f>
        <v>1</v>
      </c>
      <c r="T181" s="195" t="str">
        <f t="shared" si="48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-06-19T12:17:56-0600',mode:absolute,to:'2017-06-19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197" t="str">
        <f>IF(AA181&lt;VLOOKUP(AG181,Variables!$AC$3:$AD$8,2,FALSE),"Y","N")</f>
        <v>N</v>
      </c>
      <c r="X181" s="197">
        <f t="shared" si="61"/>
        <v>1</v>
      </c>
      <c r="Y181" s="197">
        <f t="shared" si="55"/>
        <v>9.7199999999999995E-2</v>
      </c>
      <c r="Z181" s="197">
        <f t="shared" si="56"/>
        <v>5.8945999999999996</v>
      </c>
      <c r="AA181" s="197">
        <f t="shared" si="50"/>
        <v>5.7973999999999997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1"/>
        <v>821</v>
      </c>
      <c r="AE181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81" s="74" t="str">
        <f t="shared" si="53"/>
        <v>"C:\Program Files (x86)\AstroGrep\AstroGrep.exe" /e /r /s /spath="%USERPROFILE%\AppData\Local\Temp\OnboardLogs" /stypes="app*4024*20170619*" /stext=" 19:.+((SYSTEM_STATE.+slice.+state.+changed )|(ment ac)|(multiple cpu faults)|(system.+state.+changed )|(\[timeout)|(PRM\|1\|D)|(kpr)|(kdp)|(train st.+moving)|(\|lc)|(penalty))"</v>
      </c>
      <c r="AG181" s="209" t="str">
        <f t="shared" si="54"/>
        <v>NW</v>
      </c>
      <c r="AH181" s="78" t="str">
        <f t="shared" si="57"/>
        <v>"%USERPROFILE%\Documents\GitHub\eaglep3\Utilities\RefineRTDCRunTimes.py" --tripid 821-19 --locoid 4024 --swversion DE.1.0.9.0 --startMP 204:972 --initTime 2017-06-19T13:17:56 --startdatetime 2017-06-19T13:21:14 --delay 1 --endMP 300:58946 --enddatetime 2017-06-19T13:34:39 --enforcementcount 0 &gt;&gt;C:\Users\stu\Documents\GitHub\eaglep3-reporting\EC\2017-06-19-refined-times.txt</v>
      </c>
      <c r="AI181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{"issue":{"subject":"","project_id":79,"tracker_id":40,"status_id":1,"priority_id":2,"assigned_to_id":23,"start_date":"2017-06-19","description":"","custom_fields":[{"id":1,"name":"Subdivision","value":"NW"},{"id":4,"name":"Milepost","value":"5.8946"},{"id":17,"name":"Train ID","value":"821-19"},{"id":16,"name":"Locomotive ID","value":"4024"},{"id":130,"name":"Impact","value":""},{"id":150,"name":"Time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9"/>
        <v>start /low /b %USERPROFILE%\Documents\GitHub\eaglep3\Utilities\DownloadLogsFromS3.py --loco 4024 --day 2017-06-19</v>
      </c>
      <c r="AN181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773</v>
      </c>
      <c r="B182" s="7">
        <v>4023</v>
      </c>
      <c r="C182" s="21" t="s">
        <v>202</v>
      </c>
      <c r="D182" s="21" t="s">
        <v>973</v>
      </c>
      <c r="E182" s="13">
        <v>42905.566886574074</v>
      </c>
      <c r="F182" s="13">
        <v>42905.568402777775</v>
      </c>
      <c r="G182" s="7">
        <v>1</v>
      </c>
      <c r="H182" s="21" t="s">
        <v>990</v>
      </c>
      <c r="I182" s="13">
        <v>42905.579502314817</v>
      </c>
      <c r="J182" s="7">
        <v>0</v>
      </c>
      <c r="K182" s="89" t="str">
        <f t="shared" si="46"/>
        <v>4023/4024</v>
      </c>
      <c r="L182" s="21" t="str">
        <f>VLOOKUP(A182,'Trips&amp;Operators'!$C$1:$G$99999,5,FALSE)</f>
        <v>LEVIN SCOTT</v>
      </c>
      <c r="M182" s="6">
        <f t="shared" si="47"/>
        <v>1.1099537041445728E-2</v>
      </c>
      <c r="N182" s="7">
        <f t="shared" si="63"/>
        <v>15.983333339681849</v>
      </c>
      <c r="O182" s="7"/>
      <c r="P182" s="7"/>
      <c r="Q182" s="22"/>
      <c r="R182" s="170"/>
      <c r="S182" s="213">
        <f t="shared" si="64"/>
        <v>1</v>
      </c>
      <c r="T182" s="195" t="str">
        <f t="shared" si="48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-06-19T12:36:19-0600',mode:absolute,to:'2017-06-19T14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197" t="str">
        <f>IF(AA182&lt;VLOOKUP(AG182,Variables!$AC$3:$AD$8,2,FALSE),"Y","N")</f>
        <v>N</v>
      </c>
      <c r="X182" s="197">
        <f t="shared" si="61"/>
        <v>1</v>
      </c>
      <c r="Y182" s="197">
        <f t="shared" si="55"/>
        <v>5.8625999999999996</v>
      </c>
      <c r="Z182" s="197">
        <f t="shared" si="56"/>
        <v>6.5000000000000002E-2</v>
      </c>
      <c r="AA182" s="197">
        <f t="shared" si="50"/>
        <v>5.7975999999999992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1"/>
        <v>822</v>
      </c>
      <c r="AE182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82" s="74" t="str">
        <f t="shared" si="53"/>
        <v>"C:\Program Files (x86)\AstroGrep\AstroGrep.exe" /e /r /s /spath="%USERPROFILE%\AppData\Local\Temp\OnboardLogs" /stypes="app*4023*20170619*" /stext=" 19:.+((SYSTEM_STATE.+slice.+state.+changed )|(ment ac)|(multiple cpu faults)|(system.+state.+changed )|(\[timeout)|(PRM\|1\|D)|(kpr)|(kdp)|(train st.+moving)|(\|lc)|(penalty))"</v>
      </c>
      <c r="AG182" s="209" t="str">
        <f t="shared" si="54"/>
        <v>NW</v>
      </c>
      <c r="AH182" s="78" t="str">
        <f t="shared" si="57"/>
        <v>"%USERPROFILE%\Documents\GitHub\eaglep3\Utilities\RefineRTDCRunTimes.py" --tripid 822-19 --locoid 4023 --swversion DE.1.0.9.0 --startMP 300:58626 --initTime 2017-06-19T13:36:19 --startdatetime 2017-06-19T13:38:30 --delay 1 --endMP 204:650 --enddatetime 2017-06-19T13:54:29 --enforcementcount 0 &gt;&gt;C:\Users\stu\Documents\GitHub\eaglep3-reporting\EC\2017-06-19-refined-times.txt</v>
      </c>
      <c r="AI182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{"issue":{"subject":"","project_id":79,"tracker_id":40,"status_id":1,"priority_id":2,"assigned_to_id":23,"start_date":"2017-06-19","description":"","custom_fields":[{"id":1,"name":"Subdivision","value":"NW"},{"id":4,"name":"Milepost","value":"0.065"},{"id":17,"name":"Train ID","value":"822-19"},{"id":16,"name":"Locomotive ID","value":"4023"},{"id":130,"name":"Impact","value":""},{"id":150,"name":"Time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9"/>
        <v>start /low /b %USERPROFILE%\Documents\GitHub\eaglep3\Utilities\DownloadLogsFromS3.py --loco 4023 --day 2017-06-19</v>
      </c>
      <c r="AN182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781</v>
      </c>
      <c r="B183" s="7">
        <v>4024</v>
      </c>
      <c r="C183" s="21" t="s">
        <v>202</v>
      </c>
      <c r="D183" s="21" t="s">
        <v>991</v>
      </c>
      <c r="E183" s="13">
        <v>42905.59611111111</v>
      </c>
      <c r="F183" s="13">
        <v>42905.598113425927</v>
      </c>
      <c r="G183" s="7">
        <v>1</v>
      </c>
      <c r="H183" s="21" t="s">
        <v>992</v>
      </c>
      <c r="I183" s="13">
        <v>42905.607557870368</v>
      </c>
      <c r="J183" s="7">
        <v>0</v>
      </c>
      <c r="K183" s="89" t="str">
        <f t="shared" si="46"/>
        <v>4023/4024</v>
      </c>
      <c r="L183" s="21" t="str">
        <f>VLOOKUP(A183,'Trips&amp;Operators'!$C$1:$G$99999,5,FALSE)</f>
        <v>LEVIN SCOTT</v>
      </c>
      <c r="M183" s="6">
        <f t="shared" si="47"/>
        <v>9.444444440305233E-3</v>
      </c>
      <c r="N183" s="7">
        <f t="shared" si="63"/>
        <v>13.599999994039536</v>
      </c>
      <c r="O183" s="7"/>
      <c r="P183" s="7"/>
      <c r="Q183" s="22"/>
      <c r="R183" s="170"/>
      <c r="S183" s="213">
        <f t="shared" si="64"/>
        <v>1</v>
      </c>
      <c r="T183" s="195" t="str">
        <f t="shared" si="48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-06-19T13:18:24-0600',mode:absolute,to:'2017-06-19T15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197" t="str">
        <f>IF(AA183&lt;VLOOKUP(AG183,Variables!$AC$3:$AD$8,2,FALSE),"Y","N")</f>
        <v>N</v>
      </c>
      <c r="X183" s="197">
        <f t="shared" si="61"/>
        <v>1</v>
      </c>
      <c r="Y183" s="197">
        <f t="shared" si="55"/>
        <v>9.4600000000000004E-2</v>
      </c>
      <c r="Z183" s="197">
        <f t="shared" si="56"/>
        <v>5.8958000000000004</v>
      </c>
      <c r="AA183" s="197">
        <f t="shared" si="50"/>
        <v>5.8012000000000006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1"/>
        <v>823</v>
      </c>
      <c r="AE183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83" s="74" t="str">
        <f t="shared" si="53"/>
        <v>"C:\Program Files (x86)\AstroGrep\AstroGrep.exe" /e /r /s /spath="%USERPROFILE%\AppData\Local\Temp\OnboardLogs" /stypes="app*4024*20170619*" /stext=" 20:.+((SYSTEM_STATE.+slice.+state.+changed )|(ment ac)|(multiple cpu faults)|(system.+state.+changed )|(\[timeout)|(PRM\|1\|D)|(kpr)|(kdp)|(train st.+moving)|(\|lc)|(penalty))"</v>
      </c>
      <c r="AG183" s="209" t="str">
        <f t="shared" si="54"/>
        <v>NW</v>
      </c>
      <c r="AH183" s="78" t="str">
        <f t="shared" si="57"/>
        <v>"%USERPROFILE%\Documents\GitHub\eaglep3\Utilities\RefineRTDCRunTimes.py" --tripid 823-19 --locoid 4024 --swversion DE.1.0.9.0 --startMP 204:946 --initTime 2017-06-19T14:18:24 --startdatetime 2017-06-19T14:21:17 --delay 1 --endMP 300:58958 --enddatetime 2017-06-19T14:34:53 --enforcementcount 0 &gt;&gt;C:\Users\stu\Documents\GitHub\eaglep3-reporting\EC\2017-06-19-refined-times.txt</v>
      </c>
      <c r="AI183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{"issue":{"subject":"","project_id":79,"tracker_id":40,"status_id":1,"priority_id":2,"assigned_to_id":23,"start_date":"2017-06-19","description":"","custom_fields":[{"id":1,"name":"Subdivision","value":"NW"},{"id":4,"name":"Milepost","value":"5.8958"},{"id":17,"name":"Train ID","value":"823-19"},{"id":16,"name":"Locomotive ID","value":"4024"},{"id":130,"name":"Impact","value":""},{"id":150,"name":"Time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9"/>
        <v>start /low /b %USERPROFILE%\Documents\GitHub\eaglep3\Utilities\DownloadLogsFromS3.py --loco 4024 --day 2017-06-19</v>
      </c>
      <c r="AN183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637</v>
      </c>
      <c r="B184" s="7">
        <v>4023</v>
      </c>
      <c r="C184" s="21" t="s">
        <v>202</v>
      </c>
      <c r="D184" s="21" t="s">
        <v>456</v>
      </c>
      <c r="E184" s="13">
        <v>42905.608726851853</v>
      </c>
      <c r="F184" s="13">
        <v>42905.609872685185</v>
      </c>
      <c r="G184" s="7">
        <v>0</v>
      </c>
      <c r="H184" s="21" t="s">
        <v>993</v>
      </c>
      <c r="I184" s="13">
        <v>42905.621203703704</v>
      </c>
      <c r="J184" s="7">
        <v>0</v>
      </c>
      <c r="K184" s="89" t="str">
        <f t="shared" si="46"/>
        <v>4023/4024</v>
      </c>
      <c r="L184" s="21" t="str">
        <f>VLOOKUP(A184,'Trips&amp;Operators'!$C$1:$G$99999,5,FALSE)</f>
        <v>LEVIN SCOTT</v>
      </c>
      <c r="M184" s="6">
        <f t="shared" si="47"/>
        <v>1.1331018518831115E-2</v>
      </c>
      <c r="N184" s="7">
        <f t="shared" si="63"/>
        <v>16.316666667116806</v>
      </c>
      <c r="O184" s="7"/>
      <c r="P184" s="7"/>
      <c r="Q184" s="22"/>
      <c r="R184" s="170"/>
      <c r="S184" s="213">
        <f t="shared" si="64"/>
        <v>1</v>
      </c>
      <c r="T184" s="195" t="str">
        <f t="shared" si="48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-06-19T13:36:34-0600',mode:absolute,to:'2017-06-19T15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197" t="str">
        <f>IF(AA184&lt;VLOOKUP(AG184,Variables!$AC$3:$AD$8,2,FALSE),"Y","N")</f>
        <v>N</v>
      </c>
      <c r="X184" s="197">
        <f t="shared" si="61"/>
        <v>1</v>
      </c>
      <c r="Y184" s="197">
        <f t="shared" si="55"/>
        <v>5.8635999999999999</v>
      </c>
      <c r="Z184" s="197">
        <f t="shared" si="56"/>
        <v>6.54E-2</v>
      </c>
      <c r="AA184" s="197">
        <f t="shared" si="50"/>
        <v>5.7981999999999996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1"/>
        <v>824</v>
      </c>
      <c r="AE184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84" s="74" t="str">
        <f t="shared" si="53"/>
        <v>"C:\Program Files (x86)\AstroGrep\AstroGrep.exe" /e /r /s /spath="%USERPROFILE%\AppData\Local\Temp\OnboardLogs" /stypes="app*4023*20170619*" /stext=" 20:.+((SYSTEM_STATE.+slice.+state.+changed )|(ment ac)|(multiple cpu faults)|(system.+state.+changed )|(\[timeout)|(PRM\|1\|D)|(kpr)|(kdp)|(train st.+moving)|(\|lc)|(penalty))"</v>
      </c>
      <c r="AG184" s="209" t="str">
        <f t="shared" si="54"/>
        <v>NW</v>
      </c>
      <c r="AH184" s="78" t="str">
        <f t="shared" si="57"/>
        <v>"%USERPROFILE%\Documents\GitHub\eaglep3\Utilities\RefineRTDCRunTimes.py" --tripid 824-19 --locoid 4023 --swversion DE.1.0.9.0 --startMP 300:58636 --initTime 2017-06-19T14:36:34 --startdatetime 2017-06-19T14:38:13 --delay 0 --endMP 204:654 --enddatetime 2017-06-19T14:54:32 --enforcementcount 0 &gt;&gt;C:\Users\stu\Documents\GitHub\eaglep3-reporting\EC\2017-06-19-refined-times.txt</v>
      </c>
      <c r="AI184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{"issue":{"subject":"","project_id":79,"tracker_id":40,"status_id":1,"priority_id":2,"assigned_to_id":23,"start_date":"2017-06-19","description":"","custom_fields":[{"id":1,"name":"Subdivision","value":"NW"},{"id":4,"name":"Milepost","value":"0.0654"},{"id":17,"name":"Train ID","value":"824-19"},{"id":16,"name":"Locomotive ID","value":"4023"},{"id":130,"name":"Impact","value":""},{"id":150,"name":"Time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9"/>
        <v>start /low /b %USERPROFILE%\Documents\GitHub\eaglep3\Utilities\DownloadLogsFromS3.py --loco 4023 --day 2017-06-19</v>
      </c>
      <c r="AN184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792</v>
      </c>
      <c r="B185" s="7">
        <v>4024</v>
      </c>
      <c r="C185" s="21" t="s">
        <v>202</v>
      </c>
      <c r="D185" s="21" t="s">
        <v>994</v>
      </c>
      <c r="E185" s="13">
        <v>42905.637615740743</v>
      </c>
      <c r="F185" s="13">
        <v>42905.639745370368</v>
      </c>
      <c r="G185" s="7">
        <v>1</v>
      </c>
      <c r="H185" s="21" t="s">
        <v>995</v>
      </c>
      <c r="I185" s="13">
        <v>42905.649004629631</v>
      </c>
      <c r="J185" s="7">
        <v>0</v>
      </c>
      <c r="K185" s="89" t="str">
        <f t="shared" si="46"/>
        <v>4023/4024</v>
      </c>
      <c r="L185" s="21" t="str">
        <f>VLOOKUP(A185,'Trips&amp;Operators'!$C$1:$G$99999,5,FALSE)</f>
        <v>LEVIN SCOTT</v>
      </c>
      <c r="M185" s="6">
        <f t="shared" si="47"/>
        <v>9.2592592627624981E-3</v>
      </c>
      <c r="N185" s="7">
        <f t="shared" si="63"/>
        <v>13.333333338377997</v>
      </c>
      <c r="O185" s="7"/>
      <c r="P185" s="7"/>
      <c r="Q185" s="22"/>
      <c r="R185" s="170"/>
      <c r="S185" s="213">
        <f t="shared" si="64"/>
        <v>1</v>
      </c>
      <c r="T185" s="195" t="str">
        <f t="shared" si="48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-06-19T14:18:10-0600',mode:absolute,to:'2017-06-19T16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197" t="str">
        <f>IF(AA185&lt;VLOOKUP(AG185,Variables!$AC$3:$AD$8,2,FALSE),"Y","N")</f>
        <v>N</v>
      </c>
      <c r="X185" s="197">
        <f t="shared" si="61"/>
        <v>1</v>
      </c>
      <c r="Y185" s="197">
        <f t="shared" si="55"/>
        <v>9.3600000000000003E-2</v>
      </c>
      <c r="Z185" s="197">
        <f t="shared" si="56"/>
        <v>5.8979999999999997</v>
      </c>
      <c r="AA185" s="197">
        <f t="shared" si="50"/>
        <v>5.8043999999999993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1"/>
        <v>825</v>
      </c>
      <c r="AE185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85" s="74" t="str">
        <f t="shared" si="53"/>
        <v>"C:\Program Files (x86)\AstroGrep\AstroGrep.exe" /e /r /s /spath="%USERPROFILE%\AppData\Local\Temp\OnboardLogs" /stypes="app*4024*20170619*" /stext=" 21:.+((SYSTEM_STATE.+slice.+state.+changed )|(ment ac)|(multiple cpu faults)|(system.+state.+changed )|(\[timeout)|(PRM\|1\|D)|(kpr)|(kdp)|(train st.+moving)|(\|lc)|(penalty))"</v>
      </c>
      <c r="AG185" s="209" t="str">
        <f t="shared" si="54"/>
        <v>NW</v>
      </c>
      <c r="AH185" s="78" t="str">
        <f t="shared" si="57"/>
        <v>"%USERPROFILE%\Documents\GitHub\eaglep3\Utilities\RefineRTDCRunTimes.py" --tripid 825-19 --locoid 4024 --swversion DE.1.0.9.0 --startMP 204:936 --initTime 2017-06-19T15:18:10 --startdatetime 2017-06-19T15:21:14 --delay 1 --endMP 300:58980 --enddatetime 2017-06-19T15:34:34 --enforcementcount 0 &gt;&gt;C:\Users\stu\Documents\GitHub\eaglep3-reporting\EC\2017-06-19-refined-times.txt</v>
      </c>
      <c r="AI185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{"issue":{"subject":"","project_id":79,"tracker_id":40,"status_id":1,"priority_id":2,"assigned_to_id":23,"start_date":"2017-06-19","description":"","custom_fields":[{"id":1,"name":"Subdivision","value":"NW"},{"id":4,"name":"Milepost","value":"5.898"},{"id":17,"name":"Train ID","value":"825-19"},{"id":16,"name":"Locomotive ID","value":"4024"},{"id":130,"name":"Impact","value":""},{"id":150,"name":"Time of Event (Mountain Time)","value":"15:34:34"},{"id":151,"name":"Denver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9"/>
        <v>start /low /b %USERPROFILE%\Documents\GitHub\eaglep3\Utilities\DownloadLogsFromS3.py --loco 4024 --day 2017-06-19</v>
      </c>
      <c r="AN185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641</v>
      </c>
      <c r="B186" s="7">
        <v>4023</v>
      </c>
      <c r="C186" s="21" t="s">
        <v>202</v>
      </c>
      <c r="D186" s="21" t="s">
        <v>996</v>
      </c>
      <c r="E186" s="13">
        <v>42905.650231481479</v>
      </c>
      <c r="F186" s="13">
        <v>42905.651562500003</v>
      </c>
      <c r="G186" s="7">
        <v>1</v>
      </c>
      <c r="H186" s="21" t="s">
        <v>997</v>
      </c>
      <c r="I186" s="13">
        <v>42905.663668981484</v>
      </c>
      <c r="J186" s="7">
        <v>0</v>
      </c>
      <c r="K186" s="89" t="str">
        <f t="shared" si="46"/>
        <v>4023/4024</v>
      </c>
      <c r="L186" s="21" t="str">
        <f>VLOOKUP(A186,'Trips&amp;Operators'!$C$1:$G$99999,5,FALSE)</f>
        <v>LEVIN SCOTT</v>
      </c>
      <c r="M186" s="6">
        <f t="shared" si="47"/>
        <v>1.2106481481168885E-2</v>
      </c>
      <c r="N186" s="7">
        <f t="shared" si="63"/>
        <v>17.433333332883194</v>
      </c>
      <c r="O186" s="7"/>
      <c r="P186" s="7"/>
      <c r="Q186" s="22"/>
      <c r="R186" s="170"/>
      <c r="S186" s="213">
        <f t="shared" si="64"/>
        <v>1</v>
      </c>
      <c r="T186" s="195" t="str">
        <f t="shared" si="48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-06-19T14:36:20-0600',mode:absolute,to:'2017-06-19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197" t="str">
        <f>IF(AA186&lt;VLOOKUP(AG186,Variables!$AC$3:$AD$8,2,FALSE),"Y","N")</f>
        <v>N</v>
      </c>
      <c r="X186" s="197">
        <f t="shared" si="61"/>
        <v>1</v>
      </c>
      <c r="Y186" s="197">
        <f t="shared" si="55"/>
        <v>5.8662000000000001</v>
      </c>
      <c r="Z186" s="197">
        <f t="shared" si="56"/>
        <v>6.4000000000000001E-2</v>
      </c>
      <c r="AA186" s="197">
        <f t="shared" si="50"/>
        <v>5.8022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1"/>
        <v>826</v>
      </c>
      <c r="AE186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86" s="74" t="str">
        <f t="shared" si="53"/>
        <v>"C:\Program Files (x86)\AstroGrep\AstroGrep.exe" /e /r /s /spath="%USERPROFILE%\AppData\Local\Temp\OnboardLogs" /stypes="app*4023*20170619*" /stext=" 21:.+((SYSTEM_STATE.+slice.+state.+changed )|(ment ac)|(multiple cpu faults)|(system.+state.+changed )|(\[timeout)|(PRM\|1\|D)|(kpr)|(kdp)|(train st.+moving)|(\|lc)|(penalty))"</v>
      </c>
      <c r="AG186" s="209" t="str">
        <f t="shared" si="54"/>
        <v>NW</v>
      </c>
      <c r="AH186" s="78" t="str">
        <f t="shared" si="57"/>
        <v>"%USERPROFILE%\Documents\GitHub\eaglep3\Utilities\RefineRTDCRunTimes.py" --tripid 826-19 --locoid 4023 --swversion DE.1.0.9.0 --startMP 300:58662 --initTime 2017-06-19T15:36:20 --startdatetime 2017-06-19T15:38:15 --delay 1 --endMP 204:640 --enddatetime 2017-06-19T15:55:41 --enforcementcount 0 &gt;&gt;C:\Users\stu\Documents\GitHub\eaglep3-reporting\EC\2017-06-19-refined-times.txt</v>
      </c>
      <c r="AI186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{"issue":{"subject":"","project_id":79,"tracker_id":40,"status_id":1,"priority_id":2,"assigned_to_id":23,"start_date":"2017-06-19","description":"","custom_fields":[{"id":1,"name":"Subdivision","value":"NW"},{"id":4,"name":"Milepost","value":"0.064"},{"id":17,"name":"Train ID","value":"826-19"},{"id":16,"name":"Locomotive ID","value":"4023"},{"id":130,"name":"Impact","value":""},{"id":150,"name":"Time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9"/>
        <v>start /low /b %USERPROFILE%\Documents\GitHub\eaglep3\Utilities\DownloadLogsFromS3.py --loco 4023 --day 2017-06-19</v>
      </c>
      <c r="AN186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797</v>
      </c>
      <c r="B187" s="7">
        <v>4032</v>
      </c>
      <c r="C187" s="21" t="s">
        <v>202</v>
      </c>
      <c r="D187" s="21" t="s">
        <v>998</v>
      </c>
      <c r="E187" s="13">
        <v>42905.653136574074</v>
      </c>
      <c r="F187" s="13">
        <v>42905.660810185182</v>
      </c>
      <c r="G187" s="7">
        <v>1</v>
      </c>
      <c r="H187" s="21" t="s">
        <v>999</v>
      </c>
      <c r="I187" s="13">
        <v>42905.669872685183</v>
      </c>
      <c r="J187" s="7">
        <v>0</v>
      </c>
      <c r="K187" s="89" t="str">
        <f t="shared" si="46"/>
        <v>4031/4032</v>
      </c>
      <c r="L187" s="21" t="str">
        <f>VLOOKUP(A187,'Trips&amp;Operators'!$C$1:$G$99999,5,FALSE)</f>
        <v>STAMBAUGH JAMES</v>
      </c>
      <c r="M187" s="6">
        <f t="shared" si="47"/>
        <v>9.0625000011641532E-3</v>
      </c>
      <c r="N187" s="7">
        <f t="shared" si="63"/>
        <v>13.050000001676381</v>
      </c>
      <c r="O187" s="7"/>
      <c r="P187" s="7"/>
      <c r="Q187" s="22"/>
      <c r="R187" s="170"/>
      <c r="S187" s="213">
        <f t="shared" si="64"/>
        <v>1</v>
      </c>
      <c r="T187" s="195" t="str">
        <f t="shared" si="48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-06-19T14:40:31-0600',mode:absolute,to:'2017-06-19T17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97" t="str">
        <f>IF(AA187&lt;VLOOKUP(AG187,Variables!$AC$3:$AD$8,2,FALSE),"Y","N")</f>
        <v>N</v>
      </c>
      <c r="X187" s="197">
        <f t="shared" si="61"/>
        <v>1</v>
      </c>
      <c r="Y187" s="197">
        <f t="shared" si="55"/>
        <v>9.5000000000000001E-2</v>
      </c>
      <c r="Z187" s="197">
        <f t="shared" si="56"/>
        <v>5.8998999999999997</v>
      </c>
      <c r="AA187" s="197">
        <f t="shared" si="50"/>
        <v>5.8048999999999999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1"/>
        <v>827</v>
      </c>
      <c r="AE187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87" s="74" t="str">
        <f t="shared" si="53"/>
        <v>"C:\Program Files (x86)\AstroGrep\AstroGrep.exe" /e /r /s /spath="%USERPROFILE%\AppData\Local\Temp\OnboardLogs" /stypes="app*4032*20170619*" /stext=" 22:.+((SYSTEM_STATE.+slice.+state.+changed )|(ment ac)|(multiple cpu faults)|(system.+state.+changed )|(\[timeout)|(PRM\|1\|D)|(kpr)|(kdp)|(train st.+moving)|(\|lc)|(penalty))"</v>
      </c>
      <c r="AG187" s="209" t="str">
        <f t="shared" si="54"/>
        <v>NW</v>
      </c>
      <c r="AH187" s="78" t="str">
        <f t="shared" si="57"/>
        <v>"%USERPROFILE%\Documents\GitHub\eaglep3\Utilities\RefineRTDCRunTimes.py" --tripid 827-19 --locoid 4032 --swversion DE.1.0.9.0 --startMP 204:950 --initTime 2017-06-19T15:40:31 --startdatetime 2017-06-19T15:51:34 --delay 1 --endMP 300:58999 --enddatetime 2017-06-19T16:04:37 --enforcementcount 0 &gt;&gt;C:\Users\stu\Documents\GitHub\eaglep3-reporting\EC\2017-06-19-refined-times.txt</v>
      </c>
      <c r="AI187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{"issue":{"subject":"","project_id":79,"tracker_id":40,"status_id":1,"priority_id":2,"assigned_to_id":23,"start_date":"2017-06-19","description":"","custom_fields":[{"id":1,"name":"Subdivision","value":"NW"},{"id":4,"name":"Milepost","value":"5.8999"},{"id":17,"name":"Train ID","value":"827-19"},{"id":16,"name":"Locomotive ID","value":"4032"},{"id":130,"name":"Impact","value":""},{"id":150,"name":"Time of Event (Mountain Time)","value":"16:04:37"},{"id":151,"name":"Denver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9"/>
        <v>start /low /b %USERPROFILE%\Documents\GitHub\eaglep3\Utilities\DownloadLogsFromS3.py --loco 4032 --day 2017-06-19</v>
      </c>
      <c r="AN187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642</v>
      </c>
      <c r="B188" s="7">
        <v>4031</v>
      </c>
      <c r="C188" s="21" t="s">
        <v>202</v>
      </c>
      <c r="D188" s="21" t="s">
        <v>542</v>
      </c>
      <c r="E188" s="13">
        <v>42905.671793981484</v>
      </c>
      <c r="F188" s="13">
        <v>42905.674490740741</v>
      </c>
      <c r="G188" s="7">
        <v>1</v>
      </c>
      <c r="H188" s="21" t="s">
        <v>1000</v>
      </c>
      <c r="I188" s="13">
        <v>42905.684166666666</v>
      </c>
      <c r="J188" s="7">
        <v>0</v>
      </c>
      <c r="K188" s="89" t="str">
        <f t="shared" si="46"/>
        <v>4031/4032</v>
      </c>
      <c r="L188" s="21" t="str">
        <f>VLOOKUP(A188,'Trips&amp;Operators'!$C$1:$G$99999,5,FALSE)</f>
        <v>STAMBAUGH JAMES</v>
      </c>
      <c r="M188" s="6">
        <f t="shared" si="47"/>
        <v>9.6759259249665774E-3</v>
      </c>
      <c r="N188" s="7">
        <f t="shared" ref="N188:N219" si="65">24*60*SUM($M188:$M188)</f>
        <v>13.933333331951872</v>
      </c>
      <c r="O188" s="7"/>
      <c r="P188" s="7"/>
      <c r="Q188" s="22"/>
      <c r="R188" s="170"/>
      <c r="S188" s="213">
        <f t="shared" si="64"/>
        <v>1</v>
      </c>
      <c r="T188" s="195" t="str">
        <f t="shared" si="48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-06-19T15:07:23-0600',mode:absolute,to:'2017-06-19T17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97" t="str">
        <f>IF(AA188&lt;VLOOKUP(AG188,Variables!$AC$3:$AD$8,2,FALSE),"Y","N")</f>
        <v>N</v>
      </c>
      <c r="X188" s="197">
        <f t="shared" si="61"/>
        <v>1</v>
      </c>
      <c r="Y188" s="197">
        <f t="shared" si="55"/>
        <v>5.8685</v>
      </c>
      <c r="Z188" s="197">
        <f t="shared" si="56"/>
        <v>6.4299999999999996E-2</v>
      </c>
      <c r="AA188" s="197">
        <f t="shared" si="50"/>
        <v>5.8041999999999998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1"/>
        <v>828</v>
      </c>
      <c r="AE188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88" s="74" t="str">
        <f t="shared" si="53"/>
        <v>"C:\Program Files (x86)\AstroGrep\AstroGrep.exe" /e /r /s /spath="%USERPROFILE%\AppData\Local\Temp\OnboardLogs" /stypes="app*4031*20170619*" /stext=" 22:.+((SYSTEM_STATE.+slice.+state.+changed )|(ment ac)|(multiple cpu faults)|(system.+state.+changed )|(\[timeout)|(PRM\|1\|D)|(kpr)|(kdp)|(train st.+moving)|(\|lc)|(penalty))"</v>
      </c>
      <c r="AG188" s="209" t="str">
        <f t="shared" si="54"/>
        <v>NW</v>
      </c>
      <c r="AH188" s="78" t="str">
        <f t="shared" si="57"/>
        <v>"%USERPROFILE%\Documents\GitHub\eaglep3\Utilities\RefineRTDCRunTimes.py" --tripid 828-19 --locoid 4031 --swversion DE.1.0.9.0 --startMP 300:58685 --initTime 2017-06-19T16:07:23 --startdatetime 2017-06-19T16:11:16 --delay 1 --endMP 204:643 --enddatetime 2017-06-19T16:25:12 --enforcementcount 0 &gt;&gt;C:\Users\stu\Documents\GitHub\eaglep3-reporting\EC\2017-06-19-refined-times.txt</v>
      </c>
      <c r="AI188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{"issue":{"subject":"","project_id":79,"tracker_id":40,"status_id":1,"priority_id":2,"assigned_to_id":23,"start_date":"2017-06-19","description":"","custom_fields":[{"id":1,"name":"Subdivision","value":"NW"},{"id":4,"name":"Milepost","value":"0.0643"},{"id":17,"name":"Train ID","value":"828-19"},{"id":16,"name":"Locomotive ID","value":"4031"},{"id":130,"name":"Impact","value":""},{"id":150,"name":"Time of Event (Mountain Time)","value":"16:25:12"},{"id":151,"name":"Denver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9"/>
        <v>start /low /b %USERPROFILE%\Documents\GitHub\eaglep3\Utilities\DownloadLogsFromS3.py --loco 4031 --day 2017-06-19</v>
      </c>
      <c r="AN188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803</v>
      </c>
      <c r="B189" s="7">
        <v>4024</v>
      </c>
      <c r="C189" s="21" t="s">
        <v>202</v>
      </c>
      <c r="D189" s="21" t="s">
        <v>1001</v>
      </c>
      <c r="E189" s="13">
        <v>42905.679201388892</v>
      </c>
      <c r="F189" s="13">
        <v>42905.681423611109</v>
      </c>
      <c r="G189" s="7">
        <v>1</v>
      </c>
      <c r="H189" s="21" t="s">
        <v>995</v>
      </c>
      <c r="I189" s="13">
        <v>42905.690451388888</v>
      </c>
      <c r="J189" s="7">
        <v>0</v>
      </c>
      <c r="K189" s="89" t="str">
        <f t="shared" si="46"/>
        <v>4023/4024</v>
      </c>
      <c r="L189" s="21" t="str">
        <f>VLOOKUP(A189,'Trips&amp;Operators'!$C$1:$G$99999,5,FALSE)</f>
        <v>LEVIN SCOTT</v>
      </c>
      <c r="M189" s="6">
        <f t="shared" si="47"/>
        <v>9.0277777781011537E-3</v>
      </c>
      <c r="N189" s="7">
        <f t="shared" si="65"/>
        <v>13.000000000465661</v>
      </c>
      <c r="O189" s="7"/>
      <c r="P189" s="7"/>
      <c r="Q189" s="22"/>
      <c r="R189" s="170"/>
      <c r="S189" s="213">
        <f t="shared" si="64"/>
        <v>1</v>
      </c>
      <c r="T189" s="195" t="str">
        <f t="shared" si="48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-06-19T15:18:03-0600',mode:absolute,to:'2017-06-19T17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197" t="str">
        <f>IF(AA189&lt;VLOOKUP(AG189,Variables!$AC$3:$AD$8,2,FALSE),"Y","N")</f>
        <v>N</v>
      </c>
      <c r="X189" s="197">
        <f t="shared" si="61"/>
        <v>1</v>
      </c>
      <c r="Y189" s="197">
        <f t="shared" si="55"/>
        <v>9.3399999999999997E-2</v>
      </c>
      <c r="Z189" s="197">
        <f t="shared" si="56"/>
        <v>5.8979999999999997</v>
      </c>
      <c r="AA189" s="197">
        <f t="shared" si="50"/>
        <v>5.8045999999999998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1"/>
        <v>829</v>
      </c>
      <c r="AE189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89" s="74" t="str">
        <f t="shared" si="53"/>
        <v>"C:\Program Files (x86)\AstroGrep\AstroGrep.exe" /e /r /s /spath="%USERPROFILE%\AppData\Local\Temp\OnboardLogs" /stypes="app*4024*20170619*" /stext=" 22:.+((SYSTEM_STATE.+slice.+state.+changed )|(ment ac)|(multiple cpu faults)|(system.+state.+changed )|(\[timeout)|(PRM\|1\|D)|(kpr)|(kdp)|(train st.+moving)|(\|lc)|(penalty))"</v>
      </c>
      <c r="AG189" s="209" t="str">
        <f t="shared" si="54"/>
        <v>NW</v>
      </c>
      <c r="AH189" s="78" t="str">
        <f t="shared" si="57"/>
        <v>"%USERPROFILE%\Documents\GitHub\eaglep3\Utilities\RefineRTDCRunTimes.py" --tripid 829-19 --locoid 4024 --swversion DE.1.0.9.0 --startMP 204:934 --initTime 2017-06-19T16:18:03 --startdatetime 2017-06-19T16:21:15 --delay 1 --endMP 300:58980 --enddatetime 2017-06-19T16:34:15 --enforcementcount 0 &gt;&gt;C:\Users\stu\Documents\GitHub\eaglep3-reporting\EC\2017-06-19-refined-times.txt</v>
      </c>
      <c r="AI189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{"issue":{"subject":"","project_id":79,"tracker_id":40,"status_id":1,"priority_id":2,"assigned_to_id":23,"start_date":"2017-06-19","description":"","custom_fields":[{"id":1,"name":"Subdivision","value":"NW"},{"id":4,"name":"Milepost","value":"5.898"},{"id":17,"name":"Train ID","value":"829-19"},{"id":16,"name":"Locomotive ID","value":"4024"},{"id":130,"name":"Impact","value":""},{"id":150,"name":"Time of Event (Mountain Time)","value":"16:34:15"},{"id":151,"name":"Denver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59"/>
        <v>start /low /b %USERPROFILE%\Documents\GitHub\eaglep3\Utilities\DownloadLogsFromS3.py --loco 4024 --day 2017-06-19</v>
      </c>
      <c r="AN189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643</v>
      </c>
      <c r="B190" s="7">
        <v>4023</v>
      </c>
      <c r="C190" s="21" t="s">
        <v>202</v>
      </c>
      <c r="D190" s="21" t="s">
        <v>1002</v>
      </c>
      <c r="E190" s="13">
        <v>42905.691574074073</v>
      </c>
      <c r="F190" s="13">
        <v>42905.693090277775</v>
      </c>
      <c r="G190" s="7">
        <v>1</v>
      </c>
      <c r="H190" s="21" t="s">
        <v>1003</v>
      </c>
      <c r="I190" s="13">
        <v>42905.70548611111</v>
      </c>
      <c r="J190" s="7">
        <v>0</v>
      </c>
      <c r="K190" s="89" t="str">
        <f t="shared" si="46"/>
        <v>4023/4024</v>
      </c>
      <c r="L190" s="21" t="str">
        <f>VLOOKUP(A190,'Trips&amp;Operators'!$C$1:$G$99999,5,FALSE)</f>
        <v>LEVIN SCOTT</v>
      </c>
      <c r="M190" s="6">
        <f t="shared" si="47"/>
        <v>1.2395833335176576E-2</v>
      </c>
      <c r="N190" s="7">
        <f t="shared" si="65"/>
        <v>17.850000002654269</v>
      </c>
      <c r="O190" s="7"/>
      <c r="P190" s="7"/>
      <c r="Q190" s="22"/>
      <c r="R190" s="170"/>
      <c r="S190" s="213">
        <f t="shared" si="64"/>
        <v>1</v>
      </c>
      <c r="T190" s="195" t="str">
        <f t="shared" si="48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-06-19T15:35:52-0600',mode:absolute,to:'2017-06-19T17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197" t="str">
        <f>IF(AA190&lt;VLOOKUP(AG190,Variables!$AC$3:$AD$8,2,FALSE),"Y","N")</f>
        <v>N</v>
      </c>
      <c r="X190" s="197">
        <f t="shared" si="61"/>
        <v>1</v>
      </c>
      <c r="Y190" s="197">
        <f t="shared" si="55"/>
        <v>5.8655999999999997</v>
      </c>
      <c r="Z190" s="197">
        <f t="shared" si="56"/>
        <v>6.4500000000000002E-2</v>
      </c>
      <c r="AA190" s="197">
        <f t="shared" si="50"/>
        <v>5.8010999999999999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1"/>
        <v>830</v>
      </c>
      <c r="AE190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90" s="74" t="str">
        <f t="shared" si="53"/>
        <v>"C:\Program Files (x86)\AstroGrep\AstroGrep.exe" /e /r /s /spath="%USERPROFILE%\AppData\Local\Temp\OnboardLogs" /stypes="app*4023*20170619*" /stext=" 22:.+((SYSTEM_STATE.+slice.+state.+changed )|(ment ac)|(multiple cpu faults)|(system.+state.+changed )|(\[timeout)|(PRM\|1\|D)|(kpr)|(kdp)|(train st.+moving)|(\|lc)|(penalty))"</v>
      </c>
      <c r="AG190" s="209" t="str">
        <f t="shared" si="54"/>
        <v>NW</v>
      </c>
      <c r="AH190" s="78" t="str">
        <f t="shared" si="57"/>
        <v>"%USERPROFILE%\Documents\GitHub\eaglep3\Utilities\RefineRTDCRunTimes.py" --tripid 830-19 --locoid 4023 --swversion DE.1.0.9.0 --startMP 300:58656 --initTime 2017-06-19T16:35:52 --startdatetime 2017-06-19T16:38:03 --delay 1 --endMP 204:645 --enddatetime 2017-06-19T16:55:54 --enforcementcount 0 &gt;&gt;C:\Users\stu\Documents\GitHub\eaglep3-reporting\EC\2017-06-19-refined-times.txt</v>
      </c>
      <c r="AI190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{"issue":{"subject":"","project_id":79,"tracker_id":40,"status_id":1,"priority_id":2,"assigned_to_id":23,"start_date":"2017-06-19","description":"","custom_fields":[{"id":1,"name":"Subdivision","value":"NW"},{"id":4,"name":"Milepost","value":"0.0645"},{"id":17,"name":"Train ID","value":"830-19"},{"id":16,"name":"Locomotive ID","value":"4023"},{"id":130,"name":"Impact","value":""},{"id":150,"name":"Time of Event (Mountain Time)","value":"16:55:54"},{"id":151,"name":"Denver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9"/>
        <v>start /low /b %USERPROFILE%\Documents\GitHub\eaglep3\Utilities\DownloadLogsFromS3.py --loco 4023 --day 2017-06-19</v>
      </c>
      <c r="AN190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644</v>
      </c>
      <c r="B191" s="7">
        <v>4032</v>
      </c>
      <c r="C191" s="21" t="s">
        <v>202</v>
      </c>
      <c r="D191" s="21" t="s">
        <v>1004</v>
      </c>
      <c r="E191" s="13">
        <v>42905.68546296296</v>
      </c>
      <c r="F191" s="13">
        <v>42905.70239583333</v>
      </c>
      <c r="G191" s="7">
        <v>17</v>
      </c>
      <c r="H191" s="21" t="s">
        <v>1005</v>
      </c>
      <c r="I191" s="13">
        <v>42905.711817129632</v>
      </c>
      <c r="J191" s="7">
        <v>0</v>
      </c>
      <c r="K191" s="89" t="str">
        <f t="shared" si="46"/>
        <v>4031/4032</v>
      </c>
      <c r="L191" s="21" t="str">
        <f>VLOOKUP(A191,'Trips&amp;Operators'!$C$1:$G$99999,5,FALSE)</f>
        <v>STAMBAUGH JAMES</v>
      </c>
      <c r="M191" s="6">
        <f t="shared" si="47"/>
        <v>9.4212963012978435E-3</v>
      </c>
      <c r="N191" s="7">
        <f t="shared" si="65"/>
        <v>13.566666673868895</v>
      </c>
      <c r="O191" s="7"/>
      <c r="P191" s="7"/>
      <c r="Q191" s="22"/>
      <c r="R191" s="170"/>
      <c r="S191" s="213">
        <f t="shared" si="64"/>
        <v>1</v>
      </c>
      <c r="T191" s="195" t="str">
        <f t="shared" si="48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-06-19T15:27:04-0600',mode:absolute,to:'2017-06-19T18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97" t="str">
        <f>IF(AA191&lt;VLOOKUP(AG191,Variables!$AC$3:$AD$8,2,FALSE),"Y","N")</f>
        <v>N</v>
      </c>
      <c r="X191" s="197">
        <f t="shared" si="61"/>
        <v>1</v>
      </c>
      <c r="Y191" s="197">
        <f t="shared" si="55"/>
        <v>9.2299999999999993E-2</v>
      </c>
      <c r="Z191" s="197">
        <f t="shared" si="56"/>
        <v>5.8960999999999997</v>
      </c>
      <c r="AA191" s="197">
        <f t="shared" si="50"/>
        <v>5.8037999999999998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1"/>
        <v>831</v>
      </c>
      <c r="AE191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91" s="74" t="str">
        <f t="shared" si="53"/>
        <v>"C:\Program Files (x86)\AstroGrep\AstroGrep.exe" /e /r /s /spath="%USERPROFILE%\AppData\Local\Temp\OnboardLogs" /stypes="app*4032*20170619*" /stext=" 23:.+((SYSTEM_STATE.+slice.+state.+changed )|(ment ac)|(multiple cpu faults)|(system.+state.+changed )|(\[timeout)|(PRM\|1\|D)|(kpr)|(kdp)|(train st.+moving)|(\|lc)|(penalty))"</v>
      </c>
      <c r="AG191" s="209" t="str">
        <f t="shared" si="54"/>
        <v>NW</v>
      </c>
      <c r="AH191" s="78" t="str">
        <f t="shared" si="57"/>
        <v>"%USERPROFILE%\Documents\GitHub\eaglep3\Utilities\RefineRTDCRunTimes.py" --tripid 831-19 --locoid 4032 --swversion DE.1.0.9.0 --startMP 204:923 --initTime 2017-06-19T16:27:04 --startdatetime 2017-06-19T16:51:27 --delay 17 --endMP 300:58961 --enddatetime 2017-06-19T17:05:01 --enforcementcount 0 &gt;&gt;C:\Users\stu\Documents\GitHub\eaglep3-reporting\EC\2017-06-19-refined-times.txt</v>
      </c>
      <c r="AI191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{"issue":{"subject":"","project_id":79,"tracker_id":40,"status_id":1,"priority_id":2,"assigned_to_id":23,"start_date":"2017-06-19","description":"","custom_fields":[{"id":1,"name":"Subdivision","value":"NW"},{"id":4,"name":"Milepost","value":"5.8961"},{"id":17,"name":"Train ID","value":"831-19"},{"id":16,"name":"Locomotive ID","value":"4032"},{"id":130,"name":"Impact","value":""},{"id":150,"name":"Time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9"/>
        <v>start /low /b %USERPROFILE%\Documents\GitHub\eaglep3\Utilities\DownloadLogsFromS3.py --loco 4032 --day 2017-06-19</v>
      </c>
      <c r="AN191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811</v>
      </c>
      <c r="B192" s="7">
        <v>4031</v>
      </c>
      <c r="C192" s="21" t="s">
        <v>202</v>
      </c>
      <c r="D192" s="21" t="s">
        <v>1006</v>
      </c>
      <c r="E192" s="13">
        <v>42905.713217592594</v>
      </c>
      <c r="F192" s="13">
        <v>42905.716261574074</v>
      </c>
      <c r="G192" s="7">
        <v>1</v>
      </c>
      <c r="H192" s="21" t="s">
        <v>1007</v>
      </c>
      <c r="I192" s="13">
        <v>42905.725740740738</v>
      </c>
      <c r="J192" s="7">
        <v>0</v>
      </c>
      <c r="K192" s="89" t="str">
        <f t="shared" si="46"/>
        <v>4031/4032</v>
      </c>
      <c r="L192" s="21" t="str">
        <f>VLOOKUP(A192,'Trips&amp;Operators'!$C$1:$G$99999,5,FALSE)</f>
        <v>STAMBAUGH JAMES</v>
      </c>
      <c r="M192" s="6">
        <f t="shared" si="47"/>
        <v>9.4791666633682325E-3</v>
      </c>
      <c r="N192" s="7">
        <f t="shared" si="65"/>
        <v>13.649999995250255</v>
      </c>
      <c r="O192" s="7"/>
      <c r="P192" s="7"/>
      <c r="Q192" s="22"/>
      <c r="R192" s="170"/>
      <c r="S192" s="213">
        <f t="shared" si="64"/>
        <v>1</v>
      </c>
      <c r="T192" s="195" t="str">
        <f t="shared" si="48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-06-19T16:07:02-0600',mode:absolute,to:'2017-06-19T18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97" t="str">
        <f>IF(AA192&lt;VLOOKUP(AG192,Variables!$AC$3:$AD$8,2,FALSE),"Y","N")</f>
        <v>N</v>
      </c>
      <c r="X192" s="197">
        <f t="shared" si="61"/>
        <v>1</v>
      </c>
      <c r="Y192" s="197">
        <f t="shared" si="55"/>
        <v>5.8648999999999996</v>
      </c>
      <c r="Z192" s="197">
        <f t="shared" si="56"/>
        <v>6.2199999999999998E-2</v>
      </c>
      <c r="AA192" s="197">
        <f t="shared" si="50"/>
        <v>5.8026999999999997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1"/>
        <v>832</v>
      </c>
      <c r="AE192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92" s="74" t="str">
        <f t="shared" si="53"/>
        <v>"C:\Program Files (x86)\AstroGrep\AstroGrep.exe" /e /r /s /spath="%USERPROFILE%\AppData\Local\Temp\OnboardLogs" /stypes="app*4031*20170619*" /stext=" 23:.+((SYSTEM_STATE.+slice.+state.+changed )|(ment ac)|(multiple cpu faults)|(system.+state.+changed )|(\[timeout)|(PRM\|1\|D)|(kpr)|(kdp)|(train st.+moving)|(\|lc)|(penalty))"</v>
      </c>
      <c r="AG192" s="209" t="str">
        <f t="shared" si="54"/>
        <v>NW</v>
      </c>
      <c r="AH192" s="78" t="str">
        <f t="shared" si="57"/>
        <v>"%USERPROFILE%\Documents\GitHub\eaglep3\Utilities\RefineRTDCRunTimes.py" --tripid 832-19 --locoid 4031 --swversion DE.1.0.9.0 --startMP 300:58649 --initTime 2017-06-19T17:07:02 --startdatetime 2017-06-19T17:11:25 --delay 1 --endMP 204:622 --enddatetime 2017-06-19T17:25:04 --enforcementcount 0 &gt;&gt;C:\Users\stu\Documents\GitHub\eaglep3-reporting\EC\2017-06-19-refined-times.txt</v>
      </c>
      <c r="AI192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{"issue":{"subject":"","project_id":79,"tracker_id":40,"status_id":1,"priority_id":2,"assigned_to_id":23,"start_date":"2017-06-19","description":"","custom_fields":[{"id":1,"name":"Subdivision","value":"NW"},{"id":4,"name":"Milepost","value":"0.0622"},{"id":17,"name":"Train ID","value":"832-19"},{"id":16,"name":"Locomotive ID","value":"4031"},{"id":130,"name":"Impact","value":""},{"id":150,"name":"Time of Event (Mountain Time)","value":"17:25:04"},{"id":151,"name":"Denver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9"/>
        <v>start /low /b %USERPROFILE%\Documents\GitHub\eaglep3\Utilities\DownloadLogsFromS3.py --loco 4031 --day 2017-06-19</v>
      </c>
      <c r="AN192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645</v>
      </c>
      <c r="B193" s="7">
        <v>4024</v>
      </c>
      <c r="C193" s="21" t="s">
        <v>202</v>
      </c>
      <c r="D193" s="21" t="s">
        <v>1008</v>
      </c>
      <c r="E193" s="13">
        <v>42905.720879629633</v>
      </c>
      <c r="F193" s="13">
        <v>42905.723171296297</v>
      </c>
      <c r="G193" s="7">
        <v>1</v>
      </c>
      <c r="H193" s="21" t="s">
        <v>1009</v>
      </c>
      <c r="I193" s="13">
        <v>42905.732847222222</v>
      </c>
      <c r="J193" s="7">
        <v>0</v>
      </c>
      <c r="K193" s="89" t="str">
        <f t="shared" si="46"/>
        <v>4023/4024</v>
      </c>
      <c r="L193" s="21" t="str">
        <f>VLOOKUP(A193,'Trips&amp;Operators'!$C$1:$G$99999,5,FALSE)</f>
        <v>LEVIN SCOTT</v>
      </c>
      <c r="M193" s="6">
        <f t="shared" si="47"/>
        <v>9.6759259249665774E-3</v>
      </c>
      <c r="N193" s="7">
        <f t="shared" si="65"/>
        <v>13.933333331951872</v>
      </c>
      <c r="O193" s="7"/>
      <c r="P193" s="7"/>
      <c r="Q193" s="22"/>
      <c r="R193" s="170"/>
      <c r="S193" s="213">
        <f t="shared" si="64"/>
        <v>1</v>
      </c>
      <c r="T193" s="195" t="str">
        <f t="shared" si="48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-06-19T16:18:04-0600',mode:absolute,to:'2017-06-19T18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197" t="str">
        <f>IF(AA193&lt;VLOOKUP(AG193,Variables!$AC$3:$AD$8,2,FALSE),"Y","N")</f>
        <v>N</v>
      </c>
      <c r="X193" s="197">
        <f t="shared" si="61"/>
        <v>1</v>
      </c>
      <c r="Y193" s="197">
        <f t="shared" si="55"/>
        <v>9.1499999999999998E-2</v>
      </c>
      <c r="Z193" s="197">
        <f t="shared" si="56"/>
        <v>5.8921999999999999</v>
      </c>
      <c r="AA193" s="197">
        <f t="shared" si="50"/>
        <v>5.8007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1"/>
        <v>833</v>
      </c>
      <c r="AE193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93" s="74" t="str">
        <f t="shared" si="53"/>
        <v>"C:\Program Files (x86)\AstroGrep\AstroGrep.exe" /e /r /s /spath="%USERPROFILE%\AppData\Local\Temp\OnboardLogs" /stypes="app*4024*20170619*" /stext=" 23:.+((SYSTEM_STATE.+slice.+state.+changed )|(ment ac)|(multiple cpu faults)|(system.+state.+changed )|(\[timeout)|(PRM\|1\|D)|(kpr)|(kdp)|(train st.+moving)|(\|lc)|(penalty))"</v>
      </c>
      <c r="AG193" s="209" t="str">
        <f t="shared" si="54"/>
        <v>NW</v>
      </c>
      <c r="AH193" s="78" t="str">
        <f t="shared" si="57"/>
        <v>"%USERPROFILE%\Documents\GitHub\eaglep3\Utilities\RefineRTDCRunTimes.py" --tripid 833-19 --locoid 4024 --swversion DE.1.0.9.0 --startMP 204:915 --initTime 2017-06-19T17:18:04 --startdatetime 2017-06-19T17:21:22 --delay 1 --endMP 300:58922 --enddatetime 2017-06-19T17:35:18 --enforcementcount 0 &gt;&gt;C:\Users\stu\Documents\GitHub\eaglep3-reporting\EC\2017-06-19-refined-times.txt</v>
      </c>
      <c r="AI193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{"issue":{"subject":"","project_id":79,"tracker_id":40,"status_id":1,"priority_id":2,"assigned_to_id":23,"start_date":"2017-06-19","description":"","custom_fields":[{"id":1,"name":"Subdivision","value":"NW"},{"id":4,"name":"Milepost","value":"5.8922"},{"id":17,"name":"Train ID","value":"833-19"},{"id":16,"name":"Locomotive ID","value":"4024"},{"id":130,"name":"Impact","value":""},{"id":150,"name":"Time of Event (Mountain Time)","value":"17:35:18"},{"id":151,"name":"Denver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9"/>
        <v>start /low /b %USERPROFILE%\Documents\GitHub\eaglep3\Utilities\DownloadLogsFromS3.py --loco 4024 --day 2017-06-19</v>
      </c>
      <c r="AN193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646</v>
      </c>
      <c r="B194" s="7">
        <v>4023</v>
      </c>
      <c r="C194" s="21" t="s">
        <v>202</v>
      </c>
      <c r="D194" s="21" t="s">
        <v>1010</v>
      </c>
      <c r="E194" s="13">
        <v>42905.733865740738</v>
      </c>
      <c r="F194" s="13">
        <v>42905.735277777778</v>
      </c>
      <c r="G194" s="7">
        <v>1</v>
      </c>
      <c r="H194" s="21" t="s">
        <v>985</v>
      </c>
      <c r="I194" s="13">
        <v>42905.747106481482</v>
      </c>
      <c r="J194" s="7">
        <v>0</v>
      </c>
      <c r="K194" s="89" t="str">
        <f t="shared" si="46"/>
        <v>4023/4024</v>
      </c>
      <c r="L194" s="21" t="str">
        <f>VLOOKUP(A194,'Trips&amp;Operators'!$C$1:$G$99999,5,FALSE)</f>
        <v>LEVIN SCOTT</v>
      </c>
      <c r="M194" s="6">
        <f t="shared" si="47"/>
        <v>1.1828703703940846E-2</v>
      </c>
      <c r="N194" s="7">
        <f t="shared" si="65"/>
        <v>17.033333333674818</v>
      </c>
      <c r="O194" s="7"/>
      <c r="P194" s="7"/>
      <c r="Q194" s="22"/>
      <c r="R194" s="170"/>
      <c r="S194" s="213">
        <f t="shared" si="64"/>
        <v>1</v>
      </c>
      <c r="T194" s="195" t="str">
        <f t="shared" si="4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-06-19T16:36:46-0600',mode:absolute,to:'2017-06-19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197" t="str">
        <f>IF(AA194&lt;VLOOKUP(AG194,Variables!$AC$3:$AD$8,2,FALSE),"Y","N")</f>
        <v>N</v>
      </c>
      <c r="X194" s="197">
        <f t="shared" si="61"/>
        <v>1</v>
      </c>
      <c r="Y194" s="197">
        <f t="shared" si="55"/>
        <v>5.8604000000000003</v>
      </c>
      <c r="Z194" s="197">
        <f t="shared" si="56"/>
        <v>6.8199999999999997E-2</v>
      </c>
      <c r="AA194" s="197">
        <f t="shared" si="50"/>
        <v>5.7922000000000002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1"/>
        <v>834</v>
      </c>
      <c r="AE194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94" s="74" t="str">
        <f t="shared" si="53"/>
        <v>"C:\Program Files (x86)\AstroGrep\AstroGrep.exe" /e /r /s /spath="%USERPROFILE%\AppData\Local\Temp\OnboardLogs" /stypes="app*4023*20170619*" /stext=" 23:.+((SYSTEM_STATE.+slice.+state.+changed )|(ment ac)|(multiple cpu faults)|(system.+state.+changed )|(\[timeout)|(PRM\|1\|D)|(kpr)|(kdp)|(train st.+moving)|(\|lc)|(penalty))"</v>
      </c>
      <c r="AG194" s="209" t="str">
        <f t="shared" si="54"/>
        <v>NW</v>
      </c>
      <c r="AH194" s="78" t="str">
        <f t="shared" si="57"/>
        <v>"%USERPROFILE%\Documents\GitHub\eaglep3\Utilities\RefineRTDCRunTimes.py" --tripid 834-19 --locoid 4023 --swversion DE.1.0.9.0 --startMP 300:58604 --initTime 2017-06-19T17:36:46 --startdatetime 2017-06-19T17:38:48 --delay 1 --endMP 204:682 --enddatetime 2017-06-19T17:55:50 --enforcementcount 0 &gt;&gt;C:\Users\stu\Documents\GitHub\eaglep3-reporting\EC\2017-06-19-refined-times.txt</v>
      </c>
      <c r="AI194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{"issue":{"subject":"","project_id":79,"tracker_id":40,"status_id":1,"priority_id":2,"assigned_to_id":23,"start_date":"2017-06-19","description":"","custom_fields":[{"id":1,"name":"Subdivision","value":"NW"},{"id":4,"name":"Milepost","value":"0.0682"},{"id":17,"name":"Train ID","value":"834-19"},{"id":16,"name":"Locomotive ID","value":"4023"},{"id":130,"name":"Impact","value":""},{"id":150,"name":"Time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9"/>
        <v>start /low /b %USERPROFILE%\Documents\GitHub\eaglep3\Utilities\DownloadLogsFromS3.py --loco 4023 --day 2017-06-19</v>
      </c>
      <c r="AN194" s="151" t="str">
        <f t="shared" si="6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815</v>
      </c>
      <c r="B195" s="7">
        <v>4032</v>
      </c>
      <c r="C195" s="21" t="s">
        <v>202</v>
      </c>
      <c r="D195" s="21" t="s">
        <v>1011</v>
      </c>
      <c r="E195" s="13">
        <v>42905.726574074077</v>
      </c>
      <c r="F195" s="13">
        <v>42905.744537037041</v>
      </c>
      <c r="G195" s="7">
        <v>1</v>
      </c>
      <c r="H195" s="21" t="s">
        <v>514</v>
      </c>
      <c r="I195" s="13">
        <v>42905.753611111111</v>
      </c>
      <c r="J195" s="7">
        <v>0</v>
      </c>
      <c r="K195" s="89" t="str">
        <f t="shared" si="46"/>
        <v>4031/4032</v>
      </c>
      <c r="L195" s="21" t="str">
        <f>VLOOKUP(A195,'Trips&amp;Operators'!$C$1:$G$99999,5,FALSE)</f>
        <v>STAMBAUGH JAMES</v>
      </c>
      <c r="M195" s="6">
        <f t="shared" si="47"/>
        <v>9.074074070667848E-3</v>
      </c>
      <c r="N195" s="7">
        <f t="shared" si="65"/>
        <v>13.066666661761701</v>
      </c>
      <c r="O195" s="7"/>
      <c r="P195" s="7"/>
      <c r="Q195" s="22"/>
      <c r="R195" s="170"/>
      <c r="S195" s="213">
        <f t="shared" si="64"/>
        <v>1</v>
      </c>
      <c r="T195" s="195" t="str">
        <f t="shared" si="48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-06-19T16:26:16-0600',mode:absolute,to:'2017-06-19T19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97" t="str">
        <f>IF(AA195&lt;VLOOKUP(AG195,Variables!$AC$3:$AD$8,2,FALSE),"Y","N")</f>
        <v>N</v>
      </c>
      <c r="X195" s="197">
        <f t="shared" si="61"/>
        <v>1</v>
      </c>
      <c r="Y195" s="197">
        <f t="shared" si="55"/>
        <v>9.1300000000000006E-2</v>
      </c>
      <c r="Z195" s="197">
        <f t="shared" si="56"/>
        <v>5.8983999999999996</v>
      </c>
      <c r="AA195" s="197">
        <f t="shared" si="50"/>
        <v>5.8070999999999993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1"/>
        <v>835</v>
      </c>
      <c r="AE195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95" s="74" t="str">
        <f t="shared" si="53"/>
        <v>"C:\Program Files (x86)\AstroGrep\AstroGrep.exe" /e /r /s /spath="%USERPROFILE%\AppData\Local\Temp\OnboardLogs" /stypes="app*4032*20170620*" /stext=" 00:.+((SYSTEM_STATE.+slice.+state.+changed )|(ment ac)|(multiple cpu faults)|(system.+state.+changed )|(\[timeout)|(PRM\|1\|D)|(kpr)|(kdp)|(train st.+moving)|(\|lc)|(penalty))"</v>
      </c>
      <c r="AG195" s="209" t="str">
        <f t="shared" si="54"/>
        <v>NW</v>
      </c>
      <c r="AH195" s="78" t="str">
        <f t="shared" si="57"/>
        <v>"%USERPROFILE%\Documents\GitHub\eaglep3\Utilities\RefineRTDCRunTimes.py" --tripid 835-19 --locoid 4032 --swversion DE.1.0.9.0 --startMP 204:913 --initTime 2017-06-19T17:26:16 --startdatetime 2017-06-19T17:52:08 --delay 1 --endMP 300:58984 --enddatetime 2017-06-19T18:05:12 --enforcementcount 0 &gt;&gt;C:\Users\stu\Documents\GitHub\eaglep3-reporting\EC\2017-06-19-refined-times.txt</v>
      </c>
      <c r="AI195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{"issue":{"subject":"","project_id":79,"tracker_id":40,"status_id":1,"priority_id":2,"assigned_to_id":23,"start_date":"2017-06-19","description":"","custom_fields":[{"id":1,"name":"Subdivision","value":"NW"},{"id":4,"name":"Milepost","value":"5.8984"},{"id":17,"name":"Train ID","value":"835-19"},{"id":16,"name":"Locomotive ID","value":"4032"},{"id":130,"name":"Impact","value":""},{"id":150,"name":"Time of Event (Mountain Time)","value":"18:05:12"},{"id":151,"name":"Denver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9"/>
        <v>start /low /b %USERPROFILE%\Documents\GitHub\eaglep3\Utilities\DownloadLogsFromS3.py --loco 4032 --day 2017-06-19</v>
      </c>
      <c r="AN195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647</v>
      </c>
      <c r="B196" s="7">
        <v>4031</v>
      </c>
      <c r="C196" s="21" t="s">
        <v>202</v>
      </c>
      <c r="D196" s="21" t="s">
        <v>1012</v>
      </c>
      <c r="E196" s="13">
        <v>42905.755659722221</v>
      </c>
      <c r="F196" s="13">
        <v>42905.758506944447</v>
      </c>
      <c r="G196" s="7">
        <v>1</v>
      </c>
      <c r="H196" s="21" t="s">
        <v>1013</v>
      </c>
      <c r="I196" s="13">
        <v>42905.767523148148</v>
      </c>
      <c r="J196" s="7">
        <v>0</v>
      </c>
      <c r="K196" s="89" t="str">
        <f t="shared" si="46"/>
        <v>4031/4032</v>
      </c>
      <c r="L196" s="21" t="str">
        <f>VLOOKUP(A196,'Trips&amp;Operators'!$C$1:$G$99999,5,FALSE)</f>
        <v>STAMBAUGH JAMES</v>
      </c>
      <c r="M196" s="6">
        <f t="shared" si="47"/>
        <v>9.0162037013215013E-3</v>
      </c>
      <c r="N196" s="7">
        <f t="shared" si="65"/>
        <v>12.983333329902962</v>
      </c>
      <c r="O196" s="7"/>
      <c r="P196" s="7"/>
      <c r="Q196" s="22"/>
      <c r="R196" s="170"/>
      <c r="S196" s="213">
        <f t="shared" si="64"/>
        <v>1</v>
      </c>
      <c r="T196" s="195" t="str">
        <f t="shared" si="48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-06-19T17:08:09-0600',mode:absolute,to:'2017-06-19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97" t="str">
        <f>IF(AA196&lt;VLOOKUP(AG196,Variables!$AC$3:$AD$8,2,FALSE),"Y","N")</f>
        <v>N</v>
      </c>
      <c r="X196" s="197">
        <f t="shared" si="61"/>
        <v>1</v>
      </c>
      <c r="Y196" s="197">
        <f t="shared" si="55"/>
        <v>5.8674999999999997</v>
      </c>
      <c r="Z196" s="197">
        <f t="shared" si="56"/>
        <v>6.2899999999999998E-2</v>
      </c>
      <c r="AA196" s="197">
        <f t="shared" si="50"/>
        <v>5.8045999999999998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1"/>
        <v>836</v>
      </c>
      <c r="AE196" s="77" t="str">
        <f t="shared" si="5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196" s="74" t="str">
        <f t="shared" si="53"/>
        <v>"C:\Program Files (x86)\AstroGrep\AstroGrep.exe" /e /r /s /spath="%USERPROFILE%\AppData\Local\Temp\OnboardLogs" /stypes="app*4031*20170620*" /stext=" 00:.+((SYSTEM_STATE.+slice.+state.+changed )|(ment ac)|(multiple cpu faults)|(system.+state.+changed )|(\[timeout)|(PRM\|1\|D)|(kpr)|(kdp)|(train st.+moving)|(\|lc)|(penalty))"</v>
      </c>
      <c r="AG196" s="209" t="str">
        <f t="shared" si="54"/>
        <v>NW</v>
      </c>
      <c r="AH196" s="78" t="str">
        <f t="shared" si="57"/>
        <v>"%USERPROFILE%\Documents\GitHub\eaglep3\Utilities\RefineRTDCRunTimes.py" --tripid 836-19 --locoid 4031 --swversion DE.1.0.9.0 --startMP 300:58675 --initTime 2017-06-19T18:08:09 --startdatetime 2017-06-19T18:12:15 --delay 1 --endMP 204:629 --enddatetime 2017-06-19T18:25:14 --enforcementcount 0 &gt;&gt;C:\Users\stu\Documents\GitHub\eaglep3-reporting\EC\2017-06-19-refined-times.txt</v>
      </c>
      <c r="AI196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{"issue":{"subject":"","project_id":79,"tracker_id":40,"status_id":1,"priority_id":2,"assigned_to_id":23,"start_date":"2017-06-19","description":"","custom_fields":[{"id":1,"name":"Subdivision","value":"NW"},{"id":4,"name":"Milepost","value":"0.0629"},{"id":17,"name":"Train ID","value":"836-19"},{"id":16,"name":"Locomotive ID","value":"4031"},{"id":130,"name":"Impact","value":""},{"id":150,"name":"Time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9"/>
        <v>start /low /b %USERPROFILE%\Documents\GitHub\eaglep3\Utilities\DownloadLogsFromS3.py --loco 4031 --day 2017-06-19</v>
      </c>
      <c r="AN196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826</v>
      </c>
      <c r="B197" s="7">
        <v>4024</v>
      </c>
      <c r="C197" s="21" t="s">
        <v>202</v>
      </c>
      <c r="D197" s="21" t="s">
        <v>1014</v>
      </c>
      <c r="E197" s="13">
        <v>42905.762592592589</v>
      </c>
      <c r="F197" s="13">
        <v>42905.764872685184</v>
      </c>
      <c r="G197" s="7">
        <v>1</v>
      </c>
      <c r="H197" s="21" t="s">
        <v>1015</v>
      </c>
      <c r="I197" s="13">
        <v>42905.773819444446</v>
      </c>
      <c r="J197" s="7">
        <v>0</v>
      </c>
      <c r="K197" s="89" t="str">
        <f t="shared" si="46"/>
        <v>4023/4024</v>
      </c>
      <c r="L197" s="21" t="str">
        <f>VLOOKUP(A197,'Trips&amp;Operators'!$C$1:$G$99999,5,FALSE)</f>
        <v>LEVIN SCOTT</v>
      </c>
      <c r="M197" s="6">
        <f t="shared" si="47"/>
        <v>8.9467592624714598E-3</v>
      </c>
      <c r="N197" s="7">
        <f t="shared" si="65"/>
        <v>12.883333337958902</v>
      </c>
      <c r="O197" s="7"/>
      <c r="P197" s="7"/>
      <c r="Q197" s="22"/>
      <c r="R197" s="170"/>
      <c r="S197" s="213">
        <f t="shared" si="64"/>
        <v>1</v>
      </c>
      <c r="T197" s="195" t="str">
        <f t="shared" si="48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-06-19T17:18:08-0600',mode:absolute,to:'2017-06-19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197" t="str">
        <f>IF(AA197&lt;VLOOKUP(AG197,Variables!$AC$3:$AD$8,2,FALSE),"Y","N")</f>
        <v>N</v>
      </c>
      <c r="X197" s="197">
        <f t="shared" si="61"/>
        <v>1</v>
      </c>
      <c r="Y197" s="197">
        <f t="shared" si="55"/>
        <v>9.4100000000000003E-2</v>
      </c>
      <c r="Z197" s="197">
        <f t="shared" si="56"/>
        <v>5.8940999999999999</v>
      </c>
      <c r="AA197" s="197">
        <f t="shared" si="50"/>
        <v>5.8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1"/>
        <v>837</v>
      </c>
      <c r="AE197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197" s="74" t="str">
        <f t="shared" si="53"/>
        <v>"C:\Program Files (x86)\AstroGrep\AstroGrep.exe" /e /r /s /spath="%USERPROFILE%\AppData\Local\Temp\OnboardLogs" /stypes="app*4024*20170620*" /stext=" 00:.+((SYSTEM_STATE.+slice.+state.+changed )|(ment ac)|(multiple cpu faults)|(system.+state.+changed )|(\[timeout)|(PRM\|1\|D)|(kpr)|(kdp)|(train st.+moving)|(\|lc)|(penalty))"</v>
      </c>
      <c r="AG197" s="209" t="str">
        <f t="shared" si="54"/>
        <v>NW</v>
      </c>
      <c r="AH197" s="78" t="str">
        <f t="shared" si="57"/>
        <v>"%USERPROFILE%\Documents\GitHub\eaglep3\Utilities\RefineRTDCRunTimes.py" --tripid 837-19 --locoid 4024 --swversion DE.1.0.9.0 --startMP 204:941 --initTime 2017-06-19T18:18:08 --startdatetime 2017-06-19T18:21:25 --delay 1 --endMP 300:58941 --enddatetime 2017-06-19T18:34:18 --enforcementcount 0 &gt;&gt;C:\Users\stu\Documents\GitHub\eaglep3-reporting\EC\2017-06-19-refined-times.txt</v>
      </c>
      <c r="AI197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{"issue":{"subject":"","project_id":79,"tracker_id":40,"status_id":1,"priority_id":2,"assigned_to_id":23,"start_date":"2017-06-19","description":"","custom_fields":[{"id":1,"name":"Subdivision","value":"NW"},{"id":4,"name":"Milepost","value":"5.8941"},{"id":17,"name":"Train ID","value":"837-19"},{"id":16,"name":"Locomotive ID","value":"4024"},{"id":130,"name":"Impact","value":""},{"id":150,"name":"Time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9"/>
        <v>start /low /b %USERPROFILE%\Documents\GitHub\eaglep3\Utilities\DownloadLogsFromS3.py --loco 4024 --day 2017-06-19</v>
      </c>
      <c r="AN197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648</v>
      </c>
      <c r="B198" s="7">
        <v>4023</v>
      </c>
      <c r="C198" s="21" t="s">
        <v>202</v>
      </c>
      <c r="D198" s="21" t="s">
        <v>596</v>
      </c>
      <c r="E198" s="13">
        <v>42905.775324074071</v>
      </c>
      <c r="F198" s="13">
        <v>42905.776666666665</v>
      </c>
      <c r="G198" s="7">
        <v>1</v>
      </c>
      <c r="H198" s="21" t="s">
        <v>1016</v>
      </c>
      <c r="I198" s="13">
        <v>42905.789444444446</v>
      </c>
      <c r="J198" s="7">
        <v>0</v>
      </c>
      <c r="K198" s="89" t="str">
        <f t="shared" si="46"/>
        <v>4023/4024</v>
      </c>
      <c r="L198" s="21" t="str">
        <f>VLOOKUP(A198,'Trips&amp;Operators'!$C$1:$G$99999,5,FALSE)</f>
        <v>LEVIN SCOTT</v>
      </c>
      <c r="M198" s="6">
        <f t="shared" si="47"/>
        <v>1.2777777781593613E-2</v>
      </c>
      <c r="N198" s="7">
        <f t="shared" si="65"/>
        <v>18.400000005494803</v>
      </c>
      <c r="O198" s="7"/>
      <c r="P198" s="7"/>
      <c r="Q198" s="22"/>
      <c r="R198" s="170"/>
      <c r="S198" s="213">
        <f t="shared" si="64"/>
        <v>1</v>
      </c>
      <c r="T198" s="195" t="str">
        <f t="shared" si="48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-06-19T17:36:28-0600',mode:absolute,to:'2017-06-19T19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197" t="str">
        <f>IF(AA198&lt;VLOOKUP(AG198,Variables!$AC$3:$AD$8,2,FALSE),"Y","N")</f>
        <v>N</v>
      </c>
      <c r="X198" s="197">
        <f t="shared" si="61"/>
        <v>1</v>
      </c>
      <c r="Y198" s="197">
        <f t="shared" si="55"/>
        <v>5.8628</v>
      </c>
      <c r="Z198" s="197">
        <f t="shared" si="56"/>
        <v>6.2799999999999995E-2</v>
      </c>
      <c r="AA198" s="197">
        <f t="shared" si="50"/>
        <v>5.8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1"/>
        <v>838</v>
      </c>
      <c r="AE198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198" s="74" t="str">
        <f t="shared" si="53"/>
        <v>"C:\Program Files (x86)\AstroGrep\AstroGrep.exe" /e /r /s /spath="%USERPROFILE%\AppData\Local\Temp\OnboardLogs" /stypes="app*4023*20170620*" /stext=" 00:.+((SYSTEM_STATE.+slice.+state.+changed )|(ment ac)|(multiple cpu faults)|(system.+state.+changed )|(\[timeout)|(PRM\|1\|D)|(kpr)|(kdp)|(train st.+moving)|(\|lc)|(penalty))"</v>
      </c>
      <c r="AG198" s="209" t="str">
        <f t="shared" si="54"/>
        <v>NW</v>
      </c>
      <c r="AH198" s="78" t="str">
        <f t="shared" si="57"/>
        <v>"%USERPROFILE%\Documents\GitHub\eaglep3\Utilities\RefineRTDCRunTimes.py" --tripid 838-19 --locoid 4023 --swversion DE.1.0.9.0 --startMP 300:58628 --initTime 2017-06-19T18:36:28 --startdatetime 2017-06-19T18:38:24 --delay 1 --endMP 204:628 --enddatetime 2017-06-19T18:56:48 --enforcementcount 0 &gt;&gt;C:\Users\stu\Documents\GitHub\eaglep3-reporting\EC\2017-06-19-refined-times.txt</v>
      </c>
      <c r="AI198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{"issue":{"subject":"","project_id":79,"tracker_id":40,"status_id":1,"priority_id":2,"assigned_to_id":23,"start_date":"2017-06-19","description":"","custom_fields":[{"id":1,"name":"Subdivision","value":"NW"},{"id":4,"name":"Milepost","value":"0.0628"},{"id":17,"name":"Train ID","value":"838-19"},{"id":16,"name":"Locomotive ID","value":"4023"},{"id":130,"name":"Impact","value":""},{"id":150,"name":"Time of Event (Mountain Time)","value":"18:56:48"},{"id":151,"name":"Denver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9"/>
        <v>start /low /b %USERPROFILE%\Documents\GitHub\eaglep3\Utilities\DownloadLogsFromS3.py --loco 4023 --day 2017-06-19</v>
      </c>
      <c r="AN198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649</v>
      </c>
      <c r="B199" s="7">
        <v>4032</v>
      </c>
      <c r="C199" s="21" t="s">
        <v>202</v>
      </c>
      <c r="D199" s="21" t="s">
        <v>1008</v>
      </c>
      <c r="E199" s="13">
        <v>42905.768726851849</v>
      </c>
      <c r="F199" s="13">
        <v>42905.785995370374</v>
      </c>
      <c r="G199" s="7">
        <v>2</v>
      </c>
      <c r="H199" s="21" t="s">
        <v>1017</v>
      </c>
      <c r="I199" s="13">
        <v>42905.794895833336</v>
      </c>
      <c r="J199" s="7">
        <v>0</v>
      </c>
      <c r="K199" s="89" t="str">
        <f t="shared" si="46"/>
        <v>4031/4032</v>
      </c>
      <c r="L199" s="21" t="str">
        <f>VLOOKUP(A199,'Trips&amp;Operators'!$C$1:$G$99999,5,FALSE)</f>
        <v>STAMBAUGH JAMES</v>
      </c>
      <c r="M199" s="6">
        <f t="shared" si="47"/>
        <v>8.9004629626288079E-3</v>
      </c>
      <c r="N199" s="7">
        <f t="shared" si="65"/>
        <v>12.816666666185483</v>
      </c>
      <c r="O199" s="7"/>
      <c r="P199" s="7"/>
      <c r="Q199" s="22"/>
      <c r="R199" s="170"/>
      <c r="S199" s="213">
        <f t="shared" si="64"/>
        <v>1</v>
      </c>
      <c r="T199" s="195" t="str">
        <f t="shared" si="48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-06-19T17:26:58-0600',mode:absolute,to:'2017-06-19T20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97" t="str">
        <f>IF(AA199&lt;VLOOKUP(AG199,Variables!$AC$3:$AD$8,2,FALSE),"Y","N")</f>
        <v>N</v>
      </c>
      <c r="X199" s="197">
        <f t="shared" si="61"/>
        <v>1</v>
      </c>
      <c r="Y199" s="197">
        <f t="shared" si="55"/>
        <v>9.1499999999999998E-2</v>
      </c>
      <c r="Z199" s="197">
        <f t="shared" si="56"/>
        <v>5.8118999999999996</v>
      </c>
      <c r="AA199" s="197">
        <f t="shared" si="50"/>
        <v>5.7203999999999997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1"/>
        <v>839</v>
      </c>
      <c r="AE199" s="77" t="str">
        <f t="shared" si="5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199" s="74" t="str">
        <f t="shared" si="53"/>
        <v>"C:\Program Files (x86)\AstroGrep\AstroGrep.exe" /e /r /s /spath="%USERPROFILE%\AppData\Local\Temp\OnboardLogs" /stypes="app*4032*20170620*" /stext=" 01:.+((SYSTEM_STATE.+slice.+state.+changed )|(ment ac)|(multiple cpu faults)|(system.+state.+changed )|(\[timeout)|(PRM\|1\|D)|(kpr)|(kdp)|(train st.+moving)|(\|lc)|(penalty))"</v>
      </c>
      <c r="AG199" s="209" t="str">
        <f t="shared" si="54"/>
        <v>NW</v>
      </c>
      <c r="AH199" s="78" t="str">
        <f t="shared" si="57"/>
        <v>"%USERPROFILE%\Documents\GitHub\eaglep3\Utilities\RefineRTDCRunTimes.py" --tripid 839-19 --locoid 4032 --swversion DE.1.0.9.0 --startMP 204:915 --initTime 2017-06-19T18:26:58 --startdatetime 2017-06-19T18:51:50 --delay 2 --endMP 300:58119 --enddatetime 2017-06-19T19:04:39 --enforcementcount 0 &gt;&gt;C:\Users\stu\Documents\GitHub\eaglep3-reporting\EC\2017-06-19-refined-times.txt</v>
      </c>
      <c r="AI199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{"issue":{"subject":"","project_id":79,"tracker_id":40,"status_id":1,"priority_id":2,"assigned_to_id":23,"start_date":"2017-06-19","description":"","custom_fields":[{"id":1,"name":"Subdivision","value":"NW"},{"id":4,"name":"Milepost","value":"5.8119"},{"id":17,"name":"Train ID","value":"839-19"},{"id":16,"name":"Locomotive ID","value":"4032"},{"id":130,"name":"Impact","value":""},{"id":150,"name":"Time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9"/>
        <v>start /low /b %USERPROFILE%\Documents\GitHub\eaglep3\Utilities\DownloadLogsFromS3.py --loco 4032 --day 2017-06-19</v>
      </c>
      <c r="AN199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650</v>
      </c>
      <c r="B200" s="7">
        <v>4023</v>
      </c>
      <c r="C200" s="21" t="s">
        <v>202</v>
      </c>
      <c r="D200" s="21" t="s">
        <v>599</v>
      </c>
      <c r="E200" s="13">
        <v>42905.816874999997</v>
      </c>
      <c r="F200" s="13">
        <v>42905.818425925929</v>
      </c>
      <c r="G200" s="7">
        <v>1</v>
      </c>
      <c r="H200" s="21" t="s">
        <v>1018</v>
      </c>
      <c r="I200" s="13">
        <v>42905.831157407411</v>
      </c>
      <c r="J200" s="7">
        <v>0</v>
      </c>
      <c r="K200" s="89" t="str">
        <f t="shared" si="46"/>
        <v>4023/4024</v>
      </c>
      <c r="L200" s="21" t="str">
        <f>VLOOKUP(A200,'Trips&amp;Operators'!$C$1:$G$99999,5,FALSE)</f>
        <v>LEVIN SCOTT</v>
      </c>
      <c r="M200" s="6">
        <f t="shared" si="47"/>
        <v>1.2731481481750961E-2</v>
      </c>
      <c r="N200" s="7">
        <f t="shared" si="65"/>
        <v>18.333333333721384</v>
      </c>
      <c r="O200" s="7"/>
      <c r="P200" s="7"/>
      <c r="Q200" s="22"/>
      <c r="R200" s="170"/>
      <c r="S200" s="213">
        <f t="shared" si="64"/>
        <v>1</v>
      </c>
      <c r="T200" s="195" t="str">
        <f t="shared" si="48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-06-19T18:36:18-0600',mode:absolute,to:'2017-06-19T20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197" t="str">
        <f>IF(AA200&lt;VLOOKUP(AG200,Variables!$AC$3:$AD$8,2,FALSE),"Y","N")</f>
        <v>N</v>
      </c>
      <c r="X200" s="197">
        <f t="shared" si="61"/>
        <v>1</v>
      </c>
      <c r="Y200" s="197">
        <f t="shared" si="55"/>
        <v>5.8630000000000004</v>
      </c>
      <c r="Z200" s="197">
        <f t="shared" si="56"/>
        <v>6.4699999999999994E-2</v>
      </c>
      <c r="AA200" s="197">
        <f t="shared" si="50"/>
        <v>5.7983000000000002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1"/>
        <v>840</v>
      </c>
      <c r="AE200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200" s="74" t="str">
        <f t="shared" si="53"/>
        <v>"C:\Program Files (x86)\AstroGrep\AstroGrep.exe" /e /r /s /spath="%USERPROFILE%\AppData\Local\Temp\OnboardLogs" /stypes="app*4023*20170620*" /stext=" 01:.+((SYSTEM_STATE.+slice.+state.+changed )|(ment ac)|(multiple cpu faults)|(system.+state.+changed )|(\[timeout)|(PRM\|1\|D)|(kpr)|(kdp)|(train st.+moving)|(\|lc)|(penalty))"</v>
      </c>
      <c r="AG200" s="209" t="str">
        <f t="shared" si="54"/>
        <v>NW</v>
      </c>
      <c r="AH200" s="78" t="str">
        <f t="shared" si="57"/>
        <v>"%USERPROFILE%\Documents\GitHub\eaglep3\Utilities\RefineRTDCRunTimes.py" --tripid 840-19 --locoid 4023 --swversion DE.1.0.9.0 --startMP 300:58630 --initTime 2017-06-19T19:36:18 --startdatetime 2017-06-19T19:38:32 --delay 1 --endMP 204:647 --enddatetime 2017-06-19T19:56:52 --enforcementcount 0 &gt;&gt;C:\Users\stu\Documents\GitHub\eaglep3-reporting\EC\2017-06-19-refined-times.txt</v>
      </c>
      <c r="AI200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{"issue":{"subject":"","project_id":79,"tracker_id":40,"status_id":1,"priority_id":2,"assigned_to_id":23,"start_date":"2017-06-19","description":"","custom_fields":[{"id":1,"name":"Subdivision","value":"NW"},{"id":4,"name":"Milepost","value":"0.0647"},{"id":17,"name":"Train ID","value":"840-19"},{"id":16,"name":"Locomotive ID","value":"4023"},{"id":130,"name":"Impact","value":""},{"id":150,"name":"Time of Event (Mountain Time)","value":"19:56:52"},{"id":151,"name":"Denver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9"/>
        <v>start /low /b %USERPROFILE%\Documents\GitHub\eaglep3\Utilities\DownloadLogsFromS3.py --loco 4023 --day 2017-06-19</v>
      </c>
      <c r="AN200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837</v>
      </c>
      <c r="B201" s="7">
        <v>4024</v>
      </c>
      <c r="C201" s="21" t="s">
        <v>202</v>
      </c>
      <c r="D201" s="21" t="s">
        <v>1004</v>
      </c>
      <c r="E201" s="13">
        <v>42905.802997685183</v>
      </c>
      <c r="F201" s="13">
        <v>42905.806446759256</v>
      </c>
      <c r="G201" s="7">
        <v>1</v>
      </c>
      <c r="H201" s="21" t="s">
        <v>598</v>
      </c>
      <c r="I201" s="13">
        <v>42905.815462962964</v>
      </c>
      <c r="J201" s="7">
        <v>0</v>
      </c>
      <c r="K201" s="89" t="str">
        <f t="shared" si="46"/>
        <v>4023/4024</v>
      </c>
      <c r="L201" s="21" t="str">
        <f>VLOOKUP(A201,'Trips&amp;Operators'!$C$1:$G$99999,5,FALSE)</f>
        <v>LEVIN SCOTT</v>
      </c>
      <c r="M201" s="6">
        <f t="shared" si="47"/>
        <v>9.0162037085974589E-3</v>
      </c>
      <c r="N201" s="7">
        <f t="shared" si="65"/>
        <v>12.983333340380341</v>
      </c>
      <c r="O201" s="7"/>
      <c r="P201" s="7"/>
      <c r="Q201" s="22"/>
      <c r="R201" s="170"/>
      <c r="S201" s="213">
        <f t="shared" si="64"/>
        <v>1</v>
      </c>
      <c r="T201" s="195" t="str">
        <f t="shared" si="48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-06-19T18:16:19-0600',mode:absolute,to:'2017-06-19T20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197" t="str">
        <f>IF(AA201&lt;VLOOKUP(AG201,Variables!$AC$3:$AD$8,2,FALSE),"Y","N")</f>
        <v>N</v>
      </c>
      <c r="X201" s="197">
        <f t="shared" si="61"/>
        <v>1</v>
      </c>
      <c r="Y201" s="197">
        <f t="shared" si="55"/>
        <v>9.2299999999999993E-2</v>
      </c>
      <c r="Z201" s="197">
        <f t="shared" si="56"/>
        <v>5.8943000000000003</v>
      </c>
      <c r="AA201" s="197">
        <f t="shared" si="50"/>
        <v>5.8020000000000005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1"/>
        <v>841</v>
      </c>
      <c r="AE201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201" s="74" t="str">
        <f t="shared" si="53"/>
        <v>"C:\Program Files (x86)\AstroGrep\AstroGrep.exe" /e /r /s /spath="%USERPROFILE%\AppData\Local\Temp\OnboardLogs" /stypes="app*4024*20170620*" /stext=" 01:.+((SYSTEM_STATE.+slice.+state.+changed )|(ment ac)|(multiple cpu faults)|(system.+state.+changed )|(\[timeout)|(PRM\|1\|D)|(kpr)|(kdp)|(train st.+moving)|(\|lc)|(penalty))"</v>
      </c>
      <c r="AG201" s="209" t="str">
        <f t="shared" si="54"/>
        <v>NW</v>
      </c>
      <c r="AH201" s="78" t="str">
        <f t="shared" si="57"/>
        <v>"%USERPROFILE%\Documents\GitHub\eaglep3\Utilities\RefineRTDCRunTimes.py" --tripid 841-19 --locoid 4024 --swversion DE.1.0.9.0 --startMP 204:923 --initTime 2017-06-19T19:16:19 --startdatetime 2017-06-19T19:21:17 --delay 1 --endMP 300:58943 --enddatetime 2017-06-19T19:34:16 --enforcementcount 0 &gt;&gt;C:\Users\stu\Documents\GitHub\eaglep3-reporting\EC\2017-06-19-refined-times.txt</v>
      </c>
      <c r="AI201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{"issue":{"subject":"","project_id":79,"tracker_id":40,"status_id":1,"priority_id":2,"assigned_to_id":23,"start_date":"2017-06-19","description":"","custom_fields":[{"id":1,"name":"Subdivision","value":"NW"},{"id":4,"name":"Milepost","value":"5.8943"},{"id":17,"name":"Train ID","value":"841-19"},{"id":16,"name":"Locomotive ID","value":"4024"},{"id":130,"name":"Impact","value":""},{"id":150,"name":"Time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9"/>
        <v>start /low /b %USERPROFILE%\Documents\GitHub\eaglep3\Utilities\DownloadLogsFromS3.py --loco 4024 --day 2017-06-19</v>
      </c>
      <c r="AN201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651</v>
      </c>
      <c r="B202" s="7">
        <v>4023</v>
      </c>
      <c r="C202" s="21" t="s">
        <v>202</v>
      </c>
      <c r="D202" s="21" t="s">
        <v>1019</v>
      </c>
      <c r="E202" s="13">
        <v>42905.858252314814</v>
      </c>
      <c r="F202" s="13">
        <v>42905.859733796293</v>
      </c>
      <c r="G202" s="7">
        <v>1</v>
      </c>
      <c r="H202" s="21" t="s">
        <v>984</v>
      </c>
      <c r="I202" s="13">
        <v>42905.871689814812</v>
      </c>
      <c r="J202" s="7">
        <v>0</v>
      </c>
      <c r="K202" s="89" t="str">
        <f t="shared" si="46"/>
        <v>4023/4024</v>
      </c>
      <c r="L202" s="21" t="str">
        <f>VLOOKUP(A202,'Trips&amp;Operators'!$C$1:$G$99999,5,FALSE)</f>
        <v>LEVIN SCOTT</v>
      </c>
      <c r="M202" s="6">
        <f t="shared" si="47"/>
        <v>1.1956018519413192E-2</v>
      </c>
      <c r="N202" s="7">
        <f t="shared" si="65"/>
        <v>17.216666667954996</v>
      </c>
      <c r="O202" s="7"/>
      <c r="P202" s="7"/>
      <c r="Q202" s="22"/>
      <c r="R202" s="170"/>
      <c r="S202" s="213">
        <f t="shared" si="64"/>
        <v>1</v>
      </c>
      <c r="T202" s="195" t="str">
        <f t="shared" si="48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-06-19T19:35:53-0600',mode:absolute,to:'2017-06-19T21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197" t="str">
        <f>IF(AA202&lt;VLOOKUP(AG202,Variables!$AC$3:$AD$8,2,FALSE),"Y","N")</f>
        <v>N</v>
      </c>
      <c r="X202" s="197">
        <f t="shared" si="61"/>
        <v>1</v>
      </c>
      <c r="Y202" s="197">
        <f t="shared" si="55"/>
        <v>5.8640999999999996</v>
      </c>
      <c r="Z202" s="197">
        <f t="shared" si="56"/>
        <v>6.9400000000000003E-2</v>
      </c>
      <c r="AA202" s="197">
        <f t="shared" si="50"/>
        <v>5.7946999999999997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1"/>
        <v>842</v>
      </c>
      <c r="AE202" s="77" t="str">
        <f t="shared" si="5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202" s="74" t="str">
        <f t="shared" si="53"/>
        <v>"C:\Program Files (x86)\AstroGrep\AstroGrep.exe" /e /r /s /spath="%USERPROFILE%\AppData\Local\Temp\OnboardLogs" /stypes="app*4023*20170620*" /stext=" 02:.+((SYSTEM_STATE.+slice.+state.+changed )|(ment ac)|(multiple cpu faults)|(system.+state.+changed )|(\[timeout)|(PRM\|1\|D)|(kpr)|(kdp)|(train st.+moving)|(\|lc)|(penalty))"</v>
      </c>
      <c r="AG202" s="209" t="str">
        <f t="shared" si="54"/>
        <v>NW</v>
      </c>
      <c r="AH202" s="78" t="str">
        <f t="shared" si="57"/>
        <v>"%USERPROFILE%\Documents\GitHub\eaglep3\Utilities\RefineRTDCRunTimes.py" --tripid 842-19 --locoid 4023 --swversion DE.1.0.9.0 --startMP 300:58641 --initTime 2017-06-19T20:35:53 --startdatetime 2017-06-19T20:38:01 --delay 1 --endMP 204:694 --enddatetime 2017-06-19T20:55:14 --enforcementcount 0 &gt;&gt;C:\Users\stu\Documents\GitHub\eaglep3-reporting\EC\2017-06-19-refined-times.txt</v>
      </c>
      <c r="AI202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{"issue":{"subject":"","project_id":79,"tracker_id":40,"status_id":1,"priority_id":2,"assigned_to_id":23,"start_date":"2017-06-19","description":"","custom_fields":[{"id":1,"name":"Subdivision","value":"NW"},{"id":4,"name":"Milepost","value":"0.0694"},{"id":17,"name":"Train ID","value":"842-19"},{"id":16,"name":"Locomotive ID","value":"4023"},{"id":130,"name":"Impact","value":""},{"id":150,"name":"Time of Event (Mountain Time)","value":"20:55:14"},{"id":151,"name":"Denver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9"/>
        <v>start /low /b %USERPROFILE%\Documents\GitHub\eaglep3\Utilities\DownloadLogsFromS3.py --loco 4023 --day 2017-06-19</v>
      </c>
      <c r="AN202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843</v>
      </c>
      <c r="B203" s="7">
        <v>4024</v>
      </c>
      <c r="C203" s="21" t="s">
        <v>202</v>
      </c>
      <c r="D203" s="21" t="s">
        <v>1020</v>
      </c>
      <c r="E203" s="13">
        <v>42905.842962962961</v>
      </c>
      <c r="F203" s="13">
        <v>42905.848090277781</v>
      </c>
      <c r="G203" s="7">
        <v>1</v>
      </c>
      <c r="H203" s="21" t="s">
        <v>992</v>
      </c>
      <c r="I203" s="13">
        <v>42905.857291666667</v>
      </c>
      <c r="J203" s="7">
        <v>0</v>
      </c>
      <c r="K203" s="89" t="str">
        <f t="shared" si="46"/>
        <v>4023/4024</v>
      </c>
      <c r="L203" s="21" t="str">
        <f>VLOOKUP(A203,'Trips&amp;Operators'!$C$1:$G$99999,5,FALSE)</f>
        <v>LEVIN SCOTT</v>
      </c>
      <c r="M203" s="6">
        <f t="shared" si="47"/>
        <v>9.2013888861401938E-3</v>
      </c>
      <c r="N203" s="7">
        <f t="shared" si="65"/>
        <v>13.249999996041879</v>
      </c>
      <c r="O203" s="7"/>
      <c r="P203" s="7"/>
      <c r="Q203" s="22"/>
      <c r="R203" s="170"/>
      <c r="S203" s="213">
        <f t="shared" si="64"/>
        <v>1</v>
      </c>
      <c r="T203" s="195" t="str">
        <f t="shared" si="4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-06-19T19:13:52-0600',mode:absolute,to:'2017-06-19T21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197" t="str">
        <f>IF(AA203&lt;VLOOKUP(AG203,Variables!$AC$3:$AD$8,2,FALSE),"Y","N")</f>
        <v>N</v>
      </c>
      <c r="X203" s="197">
        <f t="shared" si="61"/>
        <v>1</v>
      </c>
      <c r="Y203" s="197">
        <f t="shared" si="55"/>
        <v>9.2499999999999999E-2</v>
      </c>
      <c r="Z203" s="197">
        <f t="shared" si="56"/>
        <v>5.8958000000000004</v>
      </c>
      <c r="AA203" s="197">
        <f t="shared" si="50"/>
        <v>5.8033000000000001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1"/>
        <v>843</v>
      </c>
      <c r="AE203" s="77" t="str">
        <f t="shared" si="5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203" s="74" t="str">
        <f t="shared" si="53"/>
        <v>"C:\Program Files (x86)\AstroGrep\AstroGrep.exe" /e /r /s /spath="%USERPROFILE%\AppData\Local\Temp\OnboardLogs" /stypes="app*4024*20170620*" /stext=" 02:.+((SYSTEM_STATE.+slice.+state.+changed )|(ment ac)|(multiple cpu faults)|(system.+state.+changed )|(\[timeout)|(PRM\|1\|D)|(kpr)|(kdp)|(train st.+moving)|(\|lc)|(penalty))"</v>
      </c>
      <c r="AG203" s="209" t="str">
        <f t="shared" si="54"/>
        <v>NW</v>
      </c>
      <c r="AH203" s="78" t="str">
        <f t="shared" si="57"/>
        <v>"%USERPROFILE%\Documents\GitHub\eaglep3\Utilities\RefineRTDCRunTimes.py" --tripid 843-19 --locoid 4024 --swversion DE.1.0.9.0 --startMP 204:925 --initTime 2017-06-19T20:13:52 --startdatetime 2017-06-19T20:21:15 --delay 1 --endMP 300:58958 --enddatetime 2017-06-19T20:34:30 --enforcementcount 0 &gt;&gt;C:\Users\stu\Documents\GitHub\eaglep3-reporting\EC\2017-06-19-refined-times.txt</v>
      </c>
      <c r="AI203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{"issue":{"subject":"","project_id":79,"tracker_id":40,"status_id":1,"priority_id":2,"assigned_to_id":23,"start_date":"2017-06-19","description":"","custom_fields":[{"id":1,"name":"Subdivision","value":"NW"},{"id":4,"name":"Milepost","value":"5.8958"},{"id":17,"name":"Train ID","value":"843-19"},{"id":16,"name":"Locomotive ID","value":"4024"},{"id":130,"name":"Impact","value":""},{"id":150,"name":"Time of Event (Mountain Time)","value":"20:34:30"},{"id":151,"name":"Denver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9"/>
        <v>start /low /b %USERPROFILE%\Documents\GitHub\eaglep3\Utilities\DownloadLogsFromS3.py --loco 4024 --day 2017-06-19</v>
      </c>
      <c r="AN203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653</v>
      </c>
      <c r="B204" s="7">
        <v>4023</v>
      </c>
      <c r="C204" s="21" t="s">
        <v>202</v>
      </c>
      <c r="D204" s="21" t="s">
        <v>1021</v>
      </c>
      <c r="E204" s="13">
        <v>42905.900231481479</v>
      </c>
      <c r="F204" s="13">
        <v>42905.902777777781</v>
      </c>
      <c r="G204" s="7">
        <v>1</v>
      </c>
      <c r="H204" s="21" t="s">
        <v>1022</v>
      </c>
      <c r="I204" s="13">
        <v>42905.914120370369</v>
      </c>
      <c r="J204" s="7">
        <v>0</v>
      </c>
      <c r="K204" s="89" t="str">
        <f t="shared" ref="K204:K245" si="66">IF(ISEVEN(B204),(B204-1)&amp;"/"&amp;B204,B204&amp;"/"&amp;(B204+1))</f>
        <v>4023/4024</v>
      </c>
      <c r="L204" s="21" t="str">
        <f>VLOOKUP(A204,'Trips&amp;Operators'!$C$1:$G$99999,5,FALSE)</f>
        <v>STAMBAUGH JAMES</v>
      </c>
      <c r="M204" s="6">
        <f t="shared" ref="M204:M245" si="67">I204-F204</f>
        <v>1.134259258833481E-2</v>
      </c>
      <c r="N204" s="7">
        <f t="shared" si="65"/>
        <v>16.333333327202126</v>
      </c>
      <c r="O204" s="7"/>
      <c r="P204" s="7"/>
      <c r="Q204" s="22"/>
      <c r="R204" s="170"/>
      <c r="S204" s="213">
        <f t="shared" si="64"/>
        <v>1</v>
      </c>
      <c r="T204" s="195" t="str">
        <f t="shared" ref="T204:T245" si="68"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ref="V204:V245" si="69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-06-19T20:36:20-0600',mode:absolute,to:'2017-06-19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197" t="str">
        <f>IF(AA204&lt;VLOOKUP(AG204,Variables!$AC$3:$AD$8,2,FALSE),"Y","N")</f>
        <v>N</v>
      </c>
      <c r="X204" s="197">
        <f t="shared" si="61"/>
        <v>1</v>
      </c>
      <c r="Y204" s="197">
        <f t="shared" si="55"/>
        <v>5.8562000000000003</v>
      </c>
      <c r="Z204" s="197">
        <f t="shared" si="56"/>
        <v>7.9000000000000001E-2</v>
      </c>
      <c r="AA204" s="197">
        <f t="shared" ref="AA204:AA267" si="70">ABS(Z204-Y204)</f>
        <v>5.7772000000000006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ref="AD204:AD245" si="71">VALUE(LEFT(A204,LEN(A204)-3))</f>
        <v>844</v>
      </c>
      <c r="AE204" s="77" t="str">
        <f t="shared" ref="AE204:AE245" si="72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204" s="74" t="str">
        <f t="shared" ref="AF204:AF245" si="73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/stypes="app*4023*20170620*" /stext=" 03:.+((SYSTEM_STATE.+slice.+state.+changed )|(ment ac)|(multiple cpu faults)|(system.+state.+changed )|(\[timeout)|(PRM\|1\|D)|(kpr)|(kdp)|(train st.+moving)|(\|lc)|(penalty))"</v>
      </c>
      <c r="AG204" s="209" t="str">
        <f t="shared" ref="AG204:AG245" si="74">DetSubdiv(A204)</f>
        <v>NW</v>
      </c>
      <c r="AH204" s="78" t="str">
        <f t="shared" si="57"/>
        <v>"%USERPROFILE%\Documents\GitHub\eaglep3\Utilities\RefineRTDCRunTimes.py" --tripid 844-19 --locoid 4023 --swversion DE.1.0.9.0 --startMP 300:58562 --initTime 2017-06-19T21:36:20 --startdatetime 2017-06-19T21:40:00 --delay 1 --endMP 204:790 --enddatetime 2017-06-19T21:56:20 --enforcementcount 0 &gt;&gt;C:\Users\stu\Documents\GitHub\eaglep3-reporting\EC\2017-06-19-refined-times.txt</v>
      </c>
      <c r="AI204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{"issue":{"subject":"","project_id":79,"tracker_id":40,"status_id":1,"priority_id":2,"assigned_to_id":23,"start_date":"2017-06-19","description":"","custom_fields":[{"id":1,"name":"Subdivision","value":"NW"},{"id":4,"name":"Milepost","value":"0.079"},{"id":17,"name":"Train ID","value":"844-19"},{"id":16,"name":"Locomotive ID","value":"4023"},{"id":130,"name":"Impact","value":""},{"id":150,"name":"Time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59"/>
        <v>start /low /b %USERPROFILE%\Documents\GitHub\eaglep3\Utilities\DownloadLogsFromS3.py --loco 4023 --day 2017-06-19</v>
      </c>
      <c r="AN204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652</v>
      </c>
      <c r="B205" s="7">
        <v>4024</v>
      </c>
      <c r="C205" s="21" t="s">
        <v>202</v>
      </c>
      <c r="D205" s="21" t="s">
        <v>977</v>
      </c>
      <c r="E205" s="13">
        <v>42905.873611111114</v>
      </c>
      <c r="F205" s="13">
        <v>42905.902777777781</v>
      </c>
      <c r="G205" s="7">
        <v>1</v>
      </c>
      <c r="H205" s="21" t="s">
        <v>1023</v>
      </c>
      <c r="I205" s="13">
        <v>42905.914120370369</v>
      </c>
      <c r="J205" s="7">
        <v>0</v>
      </c>
      <c r="K205" s="89" t="str">
        <f t="shared" si="66"/>
        <v>4023/4024</v>
      </c>
      <c r="L205" s="21" t="str">
        <f>VLOOKUP(A205,'Trips&amp;Operators'!$C$1:$G$99999,5,FALSE)</f>
        <v>STAMBAUGH JAMES</v>
      </c>
      <c r="M205" s="6">
        <f t="shared" si="67"/>
        <v>1.134259258833481E-2</v>
      </c>
      <c r="N205" s="7">
        <f t="shared" si="65"/>
        <v>16.333333327202126</v>
      </c>
      <c r="O205" s="7"/>
      <c r="P205" s="7"/>
      <c r="Q205" s="22"/>
      <c r="R205" s="170"/>
      <c r="S205" s="213">
        <f t="shared" si="64"/>
        <v>1</v>
      </c>
      <c r="T205" s="195" t="str">
        <f t="shared" si="68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69"/>
        <v>https://d0f6bd738d7f1b3e5a7ca70fe4ff75f0.us-east-1.aws.found.io/app/kibana#/discover/Steve-Slow-Train-Analysis-(2080s-and-2083s)?_g=(refreshInterval:(display:Off,pause:!f,section:0,value:0),time:(from:'2017-06-19T19:58:00-0600',mode:absolute,to:'2017-06-19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197" t="str">
        <f>IF(AA205&lt;VLOOKUP(AG205,Variables!$AC$3:$AD$8,2,FALSE),"Y","N")</f>
        <v>N</v>
      </c>
      <c r="X205" s="197">
        <f t="shared" si="61"/>
        <v>1</v>
      </c>
      <c r="Y205" s="197">
        <f t="shared" ref="Y205:Y245" si="75">RIGHT(D205,LEN(D205)-4)/10000</f>
        <v>9.7199999999999995E-2</v>
      </c>
      <c r="Z205" s="197">
        <f t="shared" ref="Z205:Z245" si="76">RIGHT(H205,LEN(H205)-4)/10000</f>
        <v>5.8886000000000003</v>
      </c>
      <c r="AA205" s="197">
        <f t="shared" si="70"/>
        <v>5.7914000000000003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71"/>
        <v>845</v>
      </c>
      <c r="AE205" s="77" t="str">
        <f t="shared" si="7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205" s="74" t="str">
        <f t="shared" si="73"/>
        <v>"C:\Program Files (x86)\AstroGrep\AstroGrep.exe" /e /r /s /spath="%USERPROFILE%\AppData\Local\Temp\OnboardLogs" /stypes="app*4024*20170620*" /stext=" 03:.+((SYSTEM_STATE.+slice.+state.+changed )|(ment ac)|(multiple cpu faults)|(system.+state.+changed )|(\[timeout)|(PRM\|1\|D)|(kpr)|(kdp)|(train st.+moving)|(\|lc)|(penalty))"</v>
      </c>
      <c r="AG205" s="209" t="str">
        <f t="shared" si="74"/>
        <v>NW</v>
      </c>
      <c r="AH205" s="78" t="str">
        <f t="shared" si="57"/>
        <v>"%USERPROFILE%\Documents\GitHub\eaglep3\Utilities\RefineRTDCRunTimes.py" --tripid 845-19 --locoid 4024 --swversion DE.1.0.9.0 --startMP 204:972 --initTime 2017-06-19T20:58:00 --startdatetime 2017-06-19T21:40:00 --delay 1 --endMP 300:58886 --enddatetime 2017-06-19T21:56:20 --enforcementcount 0 &gt;&gt;C:\Users\stu\Documents\GitHub\eaglep3-reporting\EC\2017-06-19-refined-times.txt</v>
      </c>
      <c r="AI205" s="96" t="str">
        <f t="shared" si="58"/>
        <v>echo {"issue":{"subject":"","project_id":79,"tracker_id":40,"status_id":1,"priority_id":2,"assigned_to_id":23,"start_date":"2017-06-19","description":"","custom_fields":[{"id":1,"name":"Subdivision","value":"NW"},{"id":4,"name":"Milepost","value":"5.8886"},{"id":17,"name":"Train ID","value":"845-19"},{"id":16,"name":"Locomotive ID","value":"4024"},{"id":130,"name":"Impact","value":""},{"id":150,"name":"Time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9"/>
        <v>start /low /b %USERPROFILE%\Documents\GitHub\eaglep3\Utilities\DownloadLogsFromS3.py --loco 4024 --day 2017-06-19</v>
      </c>
      <c r="AN205" s="151" t="str">
        <f t="shared" si="6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852</v>
      </c>
      <c r="B206" s="7">
        <v>4024</v>
      </c>
      <c r="C206" s="21" t="s">
        <v>202</v>
      </c>
      <c r="D206" s="21" t="s">
        <v>1024</v>
      </c>
      <c r="E206" s="13">
        <v>42905.928402777776</v>
      </c>
      <c r="F206" s="13">
        <v>42905.931666666664</v>
      </c>
      <c r="G206" s="7">
        <v>1</v>
      </c>
      <c r="H206" s="21" t="s">
        <v>1025</v>
      </c>
      <c r="I206" s="13">
        <v>42905.940821759257</v>
      </c>
      <c r="J206" s="7">
        <v>0</v>
      </c>
      <c r="K206" s="89" t="str">
        <f t="shared" si="66"/>
        <v>4023/4024</v>
      </c>
      <c r="L206" s="21" t="str">
        <f>VLOOKUP(A206,'Trips&amp;Operators'!$C$1:$G$99999,5,FALSE)</f>
        <v>STAMBAUGH JAMES</v>
      </c>
      <c r="M206" s="6">
        <f t="shared" si="67"/>
        <v>9.1550925935734995E-3</v>
      </c>
      <c r="N206" s="7">
        <f t="shared" si="65"/>
        <v>13.183333334745839</v>
      </c>
      <c r="O206" s="7"/>
      <c r="P206" s="7"/>
      <c r="Q206" s="22"/>
      <c r="R206" s="170"/>
      <c r="S206" s="213">
        <f t="shared" si="64"/>
        <v>1</v>
      </c>
      <c r="T206" s="195" t="str">
        <f t="shared" si="6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9"/>
        <v>https://d0f6bd738d7f1b3e5a7ca70fe4ff75f0.us-east-1.aws.found.io/app/kibana#/discover/Steve-Slow-Train-Analysis-(2080s-and-2083s)?_g=(refreshInterval:(display:Off,pause:!f,section:0,value:0),time:(from:'2017-06-19T21:16:54-0600',mode:absolute,to:'2017-06-19T23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97" t="str">
        <f>IF(AA206&lt;VLOOKUP(AG206,Variables!$AC$3:$AD$8,2,FALSE),"Y","N")</f>
        <v>N</v>
      </c>
      <c r="X206" s="197">
        <f t="shared" si="61"/>
        <v>2</v>
      </c>
      <c r="Y206" s="197">
        <f t="shared" si="75"/>
        <v>0.1077</v>
      </c>
      <c r="Z206" s="197">
        <f t="shared" si="76"/>
        <v>5.8964999999999996</v>
      </c>
      <c r="AA206" s="197">
        <f t="shared" si="70"/>
        <v>5.7887999999999993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1"/>
        <v>847</v>
      </c>
      <c r="AE206" s="77" t="str">
        <f t="shared" si="7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206" s="74" t="str">
        <f t="shared" si="73"/>
        <v>"C:\Program Files (x86)\AstroGrep\AstroGrep.exe" /e /r /s /spath="%USERPROFILE%\AppData\Local\Temp\OnboardLogs" /stypes="app*4024*20170620*" /stext=" 04:.+((SYSTEM_STATE.+slice.+state.+changed )|(ment ac)|(multiple cpu faults)|(system.+state.+changed )|(\[timeout)|(PRM\|1\|D)|(kpr)|(kdp)|(train st.+moving)|(\|lc)|(penalty))"</v>
      </c>
      <c r="AG206" s="209" t="str">
        <f t="shared" si="74"/>
        <v>NW</v>
      </c>
      <c r="AH206" s="78" t="str">
        <f t="shared" ref="AH206:AH245" si="7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847-19 --locoid 4024 --swversion DE.1.0.9.0 --startMP 204:1077 --initTime 2017-06-19T22:16:54 --startdatetime 2017-06-19T22:21:36 --delay 1 --endMP 300:58965 --enddatetime 2017-06-19T22:34:47 --enforcementcount 0 &gt;&gt;C:\Users\stu\Documents\GitHub\eaglep3-reporting\EC\2017-06-19-refined-times.txt</v>
      </c>
      <c r="AI206" s="96" t="str">
        <f t="shared" ref="AI206:AI245" si="7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{"issue":{"subject":"","project_id":79,"tracker_id":40,"status_id":1,"priority_id":2,"assigned_to_id":23,"start_date":"2017-06-19","description":"","custom_fields":[{"id":1,"name":"Subdivision","value":"NW"},{"id":4,"name":"Milepost","value":"5.8965"},{"id":17,"name":"Train ID","value":"847-19"},{"id":16,"name":"Locomotive ID","value":"4024"},{"id":130,"name":"Impact","value":""},{"id":150,"name":"Time of Event (Mountain Time)","value":"22:34:47"},{"id":151,"name":"Denver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:AM245" si="79">"start /low /b "&amp;dls3logs&amp;" --loco "&amp;B206&amp;" --day "&amp;TEXT(F206,"YYYY-MM-DD")</f>
        <v>start /low /b %USERPROFILE%\Documents\GitHub\eaglep3\Utilities\DownloadLogsFromS3.py --loco 4024 --day 2017-06-19</v>
      </c>
      <c r="AN206" s="151" t="str">
        <f t="shared" ref="AN206:AN245" si="8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580</v>
      </c>
      <c r="B207" s="7">
        <v>4049</v>
      </c>
      <c r="C207" s="21" t="s">
        <v>202</v>
      </c>
      <c r="D207" s="21" t="s">
        <v>616</v>
      </c>
      <c r="E207" s="13">
        <v>42905.113125000003</v>
      </c>
      <c r="F207" s="13">
        <v>42905.116562499999</v>
      </c>
      <c r="G207" s="7">
        <v>4</v>
      </c>
      <c r="H207" s="21" t="s">
        <v>474</v>
      </c>
      <c r="I207" s="13">
        <v>42905.122303240743</v>
      </c>
      <c r="J207" s="7">
        <v>0</v>
      </c>
      <c r="K207" s="89" t="str">
        <f t="shared" si="66"/>
        <v>4049/4050</v>
      </c>
      <c r="L207" s="21" t="str">
        <f>VLOOKUP(A207,'Trips&amp;Operators'!$C$1:$G$99999,5,FALSE)</f>
        <v>MAELZER KURT</v>
      </c>
      <c r="M207" s="6">
        <f t="shared" si="67"/>
        <v>5.7407407439313829E-3</v>
      </c>
      <c r="N207" s="7">
        <f t="shared" si="65"/>
        <v>8.2666666712611914</v>
      </c>
      <c r="O207" s="7"/>
      <c r="P207" s="7"/>
      <c r="Q207" s="22"/>
      <c r="R207" s="170"/>
      <c r="S207" s="213">
        <f t="shared" si="64"/>
        <v>1</v>
      </c>
      <c r="T207" s="195" t="str">
        <f t="shared" si="6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9"/>
        <v>https://d0f6bd738d7f1b3e5a7ca70fe4ff75f0.us-east-1.aws.found.io/app/kibana#/discover/Steve-Slow-Train-Analysis-(2080s-and-2083s)?_g=(refreshInterval:(display:Off,pause:!f,section:0,value:0),time:(from:'2017-06-19T01:42:54-0600',mode:absolute,to:'2017-06-19T03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7" s="197" t="str">
        <f>IF(AA207&lt;VLOOKUP(AG207,Variables!$AC$3:$AD$8,2,FALSE),"Y","N")</f>
        <v>Y</v>
      </c>
      <c r="X207" s="197">
        <f t="shared" si="61"/>
        <v>-547</v>
      </c>
      <c r="Y207" s="197">
        <f t="shared" si="75"/>
        <v>2.2231000000000001</v>
      </c>
      <c r="Z207" s="197">
        <f t="shared" si="76"/>
        <v>1.38E-2</v>
      </c>
      <c r="AA207" s="197">
        <f t="shared" si="70"/>
        <v>2.2093000000000003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1"/>
        <v>300</v>
      </c>
      <c r="AE207" s="77" t="str">
        <f t="shared" si="7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207" s="74" t="str">
        <f t="shared" si="73"/>
        <v>"C:\Program Files (x86)\AstroGrep\AstroGrep.exe" /e /r /s /spath="%USERPROFILE%\AppData\Local\Temp\OnboardLogs" /stypes="app*4049*20170619*" /stext=" 08:.+((SYSTEM_STATE.+slice.+state.+changed )|(ment ac)|(multiple cpu faults)|(system.+state.+changed )|(\[timeout)|(PRM\|1\|D)|(kpr)|(kdp)|(train st.+moving)|(\|lc)|(penalty))"</v>
      </c>
      <c r="AG207" s="209" t="str">
        <f t="shared" si="74"/>
        <v>Other</v>
      </c>
      <c r="AH207" s="78" t="str">
        <f t="shared" si="77"/>
        <v>"%USERPROFILE%\Documents\GitHub\eaglep3\Utilities\RefineRTDCRunTimes.py" --tripid 300-19 --locoid 4049 --swversion DE.1.0.9.0 --startMP 300:22231 --initTime 2017-06-19T02:42:54 --startdatetime 2017-06-19T02:47:51 --delay 4 --endMP 204:138 --enddatetime 2017-06-19T02:56:07 --enforcementcount 0 &gt;&gt;C:\Users\stu\Documents\GitHub\eaglep3-reporting\EC\2017-06-19-refined-times.txt</v>
      </c>
      <c r="AI207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{"issue":{"subject":"","project_id":79,"tracker_id":40,"status_id":1,"priority_id":2,"assigned_to_id":23,"start_date":"2017-06-19","description":"","custom_fields":[{"id":1,"name":"Subdivision","value":"Other"},{"id":4,"name":"Milepost","value":"0.0138"},{"id":17,"name":"Train ID","value":"300-19"},{"id":16,"name":"Locomotive ID","value":"4049"},{"id":130,"name":"Impact","value":""},{"id":150,"name":"Time of Event (Mountain Time)","value":"02:56:07"},{"id":151,"name":"Denver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9"/>
        <v>start /low /b %USERPROFILE%\Documents\GitHub\eaglep3\Utilities\DownloadLogsFromS3.py --loco 4049 --day 2017-06-19</v>
      </c>
      <c r="AN207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08:56:07"},{"id":29,"name":"Sharepoint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870</v>
      </c>
      <c r="B208" s="7">
        <v>4025</v>
      </c>
      <c r="C208" s="21" t="s">
        <v>202</v>
      </c>
      <c r="D208" s="21" t="s">
        <v>933</v>
      </c>
      <c r="E208" s="13">
        <v>42906.11309027778</v>
      </c>
      <c r="F208" s="13">
        <v>42906.119131944448</v>
      </c>
      <c r="G208" s="7">
        <v>2</v>
      </c>
      <c r="H208" s="21" t="s">
        <v>395</v>
      </c>
      <c r="I208" s="13">
        <v>42906.124282407407</v>
      </c>
      <c r="J208" s="7">
        <v>0</v>
      </c>
      <c r="K208" s="89" t="str">
        <f t="shared" si="66"/>
        <v>4025/4026</v>
      </c>
      <c r="L208" s="21" t="str">
        <f>VLOOKUP(A208,'Trips&amp;Operators'!$C$1:$G$99999,5,FALSE)</f>
        <v>STARKS ANGELINA</v>
      </c>
      <c r="M208" s="6">
        <f t="shared" si="67"/>
        <v>5.1504629591363482E-3</v>
      </c>
      <c r="N208" s="7">
        <f t="shared" si="65"/>
        <v>7.4166666611563414</v>
      </c>
      <c r="O208" s="7"/>
      <c r="P208" s="7"/>
      <c r="Q208" s="22"/>
      <c r="R208" s="170"/>
      <c r="S208" s="213">
        <f t="shared" si="64"/>
        <v>1</v>
      </c>
      <c r="T208" s="195" t="str">
        <f t="shared" si="68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9"/>
        <v>https://d0f6bd738d7f1b3e5a7ca70fe4ff75f0.us-east-1.aws.found.io/app/kibana#/discover/Steve-Slow-Train-Analysis-(2080s-and-2083s)?_g=(refreshInterval:(display:Off,pause:!f,section:0,value:0),time:(from:'2017-06-20T01:42:51-0600',mode:absolute,to:'2017-06-20T03:58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7" t="str">
        <f>IF(AA208&lt;VLOOKUP(AG208,Variables!$AC$3:$AD$8,2,FALSE),"Y","N")</f>
        <v>Y</v>
      </c>
      <c r="X208" s="197">
        <f t="shared" si="61"/>
        <v>0</v>
      </c>
      <c r="Y208" s="197">
        <f t="shared" si="75"/>
        <v>2.5106999999999999</v>
      </c>
      <c r="Z208" s="197">
        <f t="shared" si="76"/>
        <v>1.54E-2</v>
      </c>
      <c r="AA208" s="197">
        <f t="shared" si="70"/>
        <v>2.4952999999999999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1"/>
        <v>300</v>
      </c>
      <c r="AE208" s="77" t="str">
        <f t="shared" si="72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208" s="74" t="str">
        <f t="shared" si="73"/>
        <v>"C:\Program Files (x86)\AstroGrep\AstroGrep.exe" /e /r /s /spath="%USERPROFILE%\AppData\Local\Temp\OnboardLogs" /stypes="app*4025*20170620*" /stext=" 08:.+((SYSTEM_STATE.+slice.+state.+changed )|(ment ac)|(multiple cpu faults)|(system.+state.+changed )|(\[timeout)|(PRM\|1\|D)|(kpr)|(kdp)|(train st.+moving)|(\|lc)|(penalty))"</v>
      </c>
      <c r="AG208" s="209" t="str">
        <f t="shared" si="74"/>
        <v>Other</v>
      </c>
      <c r="AH208" s="78" t="str">
        <f t="shared" si="77"/>
        <v>"%USERPROFILE%\Documents\GitHub\eaglep3\Utilities\RefineRTDCRunTimes.py" --tripid 300-20 --locoid 4025 --swversion DE.1.0.9.0 --startMP 300:25107 --initTime 2017-06-20T02:42:51 --startdatetime 2017-06-20T02:51:33 --delay 2 --endMP 204:154 --enddatetime 2017-06-20T02:58:58 --enforcementcount 0 &gt;&gt;C:\Users\stu\Documents\GitHub\eaglep3-reporting\EC\2017-06-19-refined-times.txt</v>
      </c>
      <c r="AI208" s="96" t="str">
        <f t="shared" si="78"/>
        <v>echo {"issue":{"subject":"","project_id":79,"tracker_id":40,"status_id":1,"priority_id":2,"assigned_to_id":23,"start_date":"2017-06-20","description":"","custom_fields":[{"id":1,"name":"Subdivision","value":"Other"},{"id":4,"name":"Milepost","value":"0.0154"},{"id":17,"name":"Train ID","value":"300-20"},{"id":16,"name":"Locomotive ID","value":"4025"},{"id":130,"name":"Impact","value":""},{"id":150,"name":"Time of Event (Mountain Time)","value":"02:58:58"},{"id":151,"name":"Denver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9"/>
        <v>start /low /b %USERPROFILE%\Documents\GitHub\eaglep3\Utilities\DownloadLogsFromS3.py --loco 4025 --day 2017-06-20</v>
      </c>
      <c r="AN208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08:58:58"},{"id":29,"name":"Sharepoint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830</v>
      </c>
      <c r="B209" s="7">
        <v>4058</v>
      </c>
      <c r="C209" s="21" t="s">
        <v>202</v>
      </c>
      <c r="D209" s="21" t="s">
        <v>593</v>
      </c>
      <c r="E209" s="13">
        <v>42905.777199074073</v>
      </c>
      <c r="F209" s="13">
        <v>42905.780462962961</v>
      </c>
      <c r="G209" s="7">
        <v>1</v>
      </c>
      <c r="H209" s="21" t="s">
        <v>934</v>
      </c>
      <c r="I209" s="13">
        <v>42905.788217592592</v>
      </c>
      <c r="J209" s="7">
        <v>0</v>
      </c>
      <c r="K209" s="89" t="str">
        <f t="shared" si="66"/>
        <v>4057/4058</v>
      </c>
      <c r="L209" s="21" t="str">
        <f>VLOOKUP(A209,'Trips&amp;Operators'!$C$1:$G$99999,5,FALSE)</f>
        <v>ROBINSON KADDIBA</v>
      </c>
      <c r="M209" s="6">
        <f t="shared" si="67"/>
        <v>7.7546296306536533E-3</v>
      </c>
      <c r="N209" s="7">
        <f t="shared" si="65"/>
        <v>11.166666668141261</v>
      </c>
      <c r="O209" s="7"/>
      <c r="P209" s="7"/>
      <c r="Q209" s="22"/>
      <c r="R209" s="170"/>
      <c r="S209" s="213">
        <f t="shared" si="64"/>
        <v>1</v>
      </c>
      <c r="T209" s="195" t="str">
        <f t="shared" si="68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9"/>
        <v>https://d0f6bd738d7f1b3e5a7ca70fe4ff75f0.us-east-1.aws.found.io/app/kibana#/discover/Steve-Slow-Train-Analysis-(2080s-and-2083s)?_g=(refreshInterval:(display:Off,pause:!f,section:0,value:0),time:(from:'2017-06-19T17:39:10-0600',mode:absolute,to:'2017-06-19T19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9" s="197" t="str">
        <f>IF(AA209&lt;VLOOKUP(AG209,Variables!$AC$3:$AD$8,2,FALSE),"Y","N")</f>
        <v>Y</v>
      </c>
      <c r="X209" s="197">
        <f t="shared" si="61"/>
        <v>1</v>
      </c>
      <c r="Y209" s="197">
        <f t="shared" si="75"/>
        <v>4.3700000000000003E-2</v>
      </c>
      <c r="Z209" s="197">
        <f t="shared" si="76"/>
        <v>2.331</v>
      </c>
      <c r="AA209" s="197">
        <f t="shared" si="70"/>
        <v>2.2873000000000001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1"/>
        <v>301</v>
      </c>
      <c r="AE209" s="77" t="str">
        <f t="shared" si="72"/>
        <v>aws s3 cp s3://rtdc.mdm.uploadarchive.raw/RTDC4058/ "%USERPROFILE%\AppData\Local\Temp\OnboardLogs"\RTDC4058\2017-06-19 --exclude "*" --recursive --include "*20170619*" &amp; "%USERPROFILE%\Documents\GitHub\mrs-test-scripts\Headless Mode &amp; Sideloading\WalkAndUnGZ.bat" "%USERPROFILE%\AppData\Local\Temp\OnboardLogs"\RTDC4058\2017-06-19 &amp; aws s3 cp s3://rtdc.mdm.uploadarchive.raw/RTDC4058/ "%USERPROFILE%\AppData\Local\Temp\OnboardLogs"\RTDC4058\2017-06-20 --exclude "*" --recursive --include "*20170620*" &amp; "%USERPROFILE%\Documents\GitHub\mrs-test-scripts\Headless Mode &amp; Sideloading\WalkAndUnGZ.bat" "%USERPROFILE%\AppData\Local\Temp\OnboardLogs"\RTDC4058\2017-06-20</v>
      </c>
      <c r="AF209" s="74" t="str">
        <f t="shared" si="73"/>
        <v>"C:\Program Files (x86)\AstroGrep\AstroGrep.exe" /e /r /s /spath="%USERPROFILE%\AppData\Local\Temp\OnboardLogs" /stypes="app*4058*20170620*" /stext=" 00:.+((SYSTEM_STATE.+slice.+state.+changed )|(ment ac)|(multiple cpu faults)|(system.+state.+changed )|(\[timeout)|(PRM\|1\|D)|(kpr)|(kdp)|(train st.+moving)|(\|lc)|(penalty))"</v>
      </c>
      <c r="AG209" s="209" t="str">
        <f t="shared" si="74"/>
        <v>Other</v>
      </c>
      <c r="AH209" s="78" t="str">
        <f t="shared" si="77"/>
        <v>"%USERPROFILE%\Documents\GitHub\eaglep3\Utilities\RefineRTDCRunTimes.py" --tripid 301-19 --locoid 4058 --swversion DE.1.0.9.0 --startMP 204:437 --initTime 2017-06-19T18:39:10 --startdatetime 2017-06-19T18:43:52 --delay 1 --endMP 300:23310 --enddatetime 2017-06-19T18:55:02 --enforcementcount 0 &gt;&gt;C:\Users\stu\Documents\GitHub\eaglep3-reporting\EC\2017-06-19-refined-times.txt</v>
      </c>
      <c r="AI209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{"issue":{"subject":"","project_id":79,"tracker_id":40,"status_id":1,"priority_id":2,"assigned_to_id":23,"start_date":"2017-06-19","description":"","custom_fields":[{"id":1,"name":"Subdivision","value":"Other"},{"id":4,"name":"Milepost","value":"2.331"},{"id":17,"name":"Train ID","value":"301-19"},{"id":16,"name":"Locomotive ID","value":"4058"},{"id":130,"name":"Impact","value":""},{"id":150,"name":"Time of Event (Mountain Time)","value":"18:55:02"},{"id":151,"name":"Denver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9"/>
        <v>start /low /b %USERPROFILE%\Documents\GitHub\eaglep3\Utilities\DownloadLogsFromS3.py --loco 4058 --day 2017-06-19</v>
      </c>
      <c r="AN209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656</v>
      </c>
      <c r="B210" s="7">
        <v>4053</v>
      </c>
      <c r="C210" s="21" t="s">
        <v>202</v>
      </c>
      <c r="D210" s="21" t="s">
        <v>935</v>
      </c>
      <c r="E210" s="13">
        <v>42905.133831018517</v>
      </c>
      <c r="F210" s="13">
        <v>42905.136874999997</v>
      </c>
      <c r="G210" s="7">
        <v>4</v>
      </c>
      <c r="H210" s="21" t="s">
        <v>359</v>
      </c>
      <c r="I210" s="13">
        <v>42905.142511574071</v>
      </c>
      <c r="J210" s="7">
        <v>0</v>
      </c>
      <c r="K210" s="89" t="str">
        <f t="shared" si="66"/>
        <v>4053/4054</v>
      </c>
      <c r="L210" s="21" t="str">
        <f>VLOOKUP(A210,'Trips&amp;Operators'!$C$1:$G$99999,5,FALSE)</f>
        <v>YANAI IAN</v>
      </c>
      <c r="M210" s="6">
        <f t="shared" si="67"/>
        <v>5.6365740747423843E-3</v>
      </c>
      <c r="N210" s="7">
        <f t="shared" si="65"/>
        <v>8.1166666676290333</v>
      </c>
      <c r="O210" s="7"/>
      <c r="P210" s="7"/>
      <c r="Q210" s="22"/>
      <c r="R210" s="170"/>
      <c r="S210" s="213">
        <f t="shared" si="64"/>
        <v>1</v>
      </c>
      <c r="T210" s="195" t="str">
        <f t="shared" si="68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9"/>
        <v>https://d0f6bd738d7f1b3e5a7ca70fe4ff75f0.us-east-1.aws.found.io/app/kibana#/discover/Steve-Slow-Train-Analysis-(2080s-and-2083s)?_g=(refreshInterval:(display:Off,pause:!f,section:0,value:0),time:(from:'2017-06-19T02:12:43-0600',mode:absolute,to:'2017-06-19T04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7" t="str">
        <f>IF(AA210&lt;VLOOKUP(AG210,Variables!$AC$3:$AD$8,2,FALSE),"Y","N")</f>
        <v>Y</v>
      </c>
      <c r="X210" s="197">
        <f t="shared" si="61"/>
        <v>1</v>
      </c>
      <c r="Y210" s="197">
        <f t="shared" si="75"/>
        <v>2.3660999999999999</v>
      </c>
      <c r="Z210" s="197">
        <f t="shared" si="76"/>
        <v>1.47E-2</v>
      </c>
      <c r="AA210" s="197">
        <f t="shared" si="70"/>
        <v>2.3513999999999999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1"/>
        <v>302</v>
      </c>
      <c r="AE210" s="77" t="str">
        <f t="shared" si="72"/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AF210" s="74" t="str">
        <f t="shared" si="73"/>
        <v>"C:\Program Files (x86)\AstroGrep\AstroGrep.exe" /e /r /s /spath="%USERPROFILE%\AppData\Local\Temp\OnboardLogs" /stypes="app*4053*20170619*" /stext=" 09:.+((SYSTEM_STATE.+slice.+state.+changed )|(ment ac)|(multiple cpu faults)|(system.+state.+changed )|(\[timeout)|(PRM\|1\|D)|(kpr)|(kdp)|(train st.+moving)|(\|lc)|(penalty))"</v>
      </c>
      <c r="AG210" s="209" t="str">
        <f t="shared" si="74"/>
        <v>Other</v>
      </c>
      <c r="AH210" s="78" t="str">
        <f t="shared" si="77"/>
        <v>"%USERPROFILE%\Documents\GitHub\eaglep3\Utilities\RefineRTDCRunTimes.py" --tripid 302-19 --locoid 4053 --swversion DE.1.0.9.0 --startMP 300:23661 --initTime 2017-06-19T03:12:43 --startdatetime 2017-06-19T03:17:06 --delay 4 --endMP 204:147 --enddatetime 2017-06-19T03:25:13 --enforcementcount 0 &gt;&gt;C:\Users\stu\Documents\GitHub\eaglep3-reporting\EC\2017-06-19-refined-times.txt</v>
      </c>
      <c r="AI210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{"issue":{"subject":"","project_id":79,"tracker_id":40,"status_id":1,"priority_id":2,"assigned_to_id":23,"start_date":"2017-06-19","description":"","custom_fields":[{"id":1,"name":"Subdivision","value":"Other"},{"id":4,"name":"Milepost","value":"0.0147"},{"id":17,"name":"Train ID","value":"302-19"},{"id":16,"name":"Locomotive ID","value":"4053"},{"id":130,"name":"Impact","value":""},{"id":150,"name":"Time of Event (Mountain Time)","value":"03:25:13"},{"id":151,"name":"Denver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79"/>
        <v>start /low /b %USERPROFILE%\Documents\GitHub\eaglep3\Utilities\DownloadLogsFromS3.py --loco 4053 --day 2017-06-19</v>
      </c>
      <c r="AN210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09:25:13"},{"id":29,"name":"Sharepoint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835</v>
      </c>
      <c r="B211" s="7">
        <v>4030</v>
      </c>
      <c r="C211" s="21" t="s">
        <v>202</v>
      </c>
      <c r="D211" s="21" t="s">
        <v>355</v>
      </c>
      <c r="E211" s="13">
        <v>42905.798472222225</v>
      </c>
      <c r="F211" s="13">
        <v>42905.799641203703</v>
      </c>
      <c r="G211" s="7">
        <v>1</v>
      </c>
      <c r="H211" s="21" t="s">
        <v>936</v>
      </c>
      <c r="I211" s="13">
        <v>42905.804907407408</v>
      </c>
      <c r="J211" s="7">
        <v>0</v>
      </c>
      <c r="K211" s="89" t="str">
        <f t="shared" si="66"/>
        <v>4029/4030</v>
      </c>
      <c r="L211" s="21" t="str">
        <f>VLOOKUP(A211,'Trips&amp;Operators'!$C$1:$G$99999,5,FALSE)</f>
        <v>BRANDNER MELINDA</v>
      </c>
      <c r="M211" s="6">
        <f t="shared" si="67"/>
        <v>5.2662037051049992E-3</v>
      </c>
      <c r="N211" s="7">
        <f t="shared" si="65"/>
        <v>7.5833333353511989</v>
      </c>
      <c r="O211" s="7"/>
      <c r="P211" s="7"/>
      <c r="Q211" s="22"/>
      <c r="R211" s="170"/>
      <c r="S211" s="213">
        <f t="shared" si="64"/>
        <v>1</v>
      </c>
      <c r="T211" s="195" t="str">
        <f t="shared" si="68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9"/>
        <v>https://d0f6bd738d7f1b3e5a7ca70fe4ff75f0.us-east-1.aws.found.io/app/kibana#/discover/Steve-Slow-Train-Analysis-(2080s-and-2083s)?_g=(refreshInterval:(display:Off,pause:!f,section:0,value:0),time:(from:'2017-06-19T18:09:48-0600',mode:absolute,to:'2017-06-19T20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197" t="str">
        <f>IF(AA211&lt;VLOOKUP(AG211,Variables!$AC$3:$AD$8,2,FALSE),"Y","N")</f>
        <v>Y</v>
      </c>
      <c r="X211" s="197">
        <f t="shared" si="61"/>
        <v>1</v>
      </c>
      <c r="Y211" s="197">
        <f t="shared" si="75"/>
        <v>4.4699999999999997E-2</v>
      </c>
      <c r="Z211" s="197">
        <f t="shared" si="76"/>
        <v>2.3014999999999999</v>
      </c>
      <c r="AA211" s="197">
        <f t="shared" si="70"/>
        <v>2.2567999999999997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1"/>
        <v>303</v>
      </c>
      <c r="AE211" s="77" t="str">
        <f t="shared" si="72"/>
        <v>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 &amp; aws s3 cp s3://rtdc.mdm.uploadarchive.raw/RTDC4030/ "%USERPROFILE%\AppData\Local\Temp\OnboardLogs"\RTDC4030\2017-06-20 --exclude "*" --recursive --include "*20170620*" &amp; "%USERPROFILE%\Documents\GitHub\mrs-test-scripts\Headless Mode &amp; Sideloading\WalkAndUnGZ.bat" "%USERPROFILE%\AppData\Local\Temp\OnboardLogs"\RTDC4030\2017-06-20</v>
      </c>
      <c r="AF211" s="74" t="str">
        <f t="shared" si="73"/>
        <v>"C:\Program Files (x86)\AstroGrep\AstroGrep.exe" /e /r /s /spath="%USERPROFILE%\AppData\Local\Temp\OnboardLogs" /stypes="app*4030*20170620*" /stext=" 01:.+((SYSTEM_STATE.+slice.+state.+changed )|(ment ac)|(multiple cpu faults)|(system.+state.+changed )|(\[timeout)|(PRM\|1\|D)|(kpr)|(kdp)|(train st.+moving)|(\|lc)|(penalty))"</v>
      </c>
      <c r="AG211" s="209" t="str">
        <f t="shared" si="74"/>
        <v>Other</v>
      </c>
      <c r="AH211" s="78" t="str">
        <f t="shared" si="77"/>
        <v>"%USERPROFILE%\Documents\GitHub\eaglep3\Utilities\RefineRTDCRunTimes.py" --tripid 303-19 --locoid 4030 --swversion DE.1.0.9.0 --startMP 204:447 --initTime 2017-06-19T19:09:48 --startdatetime 2017-06-19T19:11:29 --delay 1 --endMP 300:23015 --enddatetime 2017-06-19T19:19:04 --enforcementcount 0 &gt;&gt;C:\Users\stu\Documents\GitHub\eaglep3-reporting\EC\2017-06-19-refined-times.txt</v>
      </c>
      <c r="AI211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{"issue":{"subject":"","project_id":79,"tracker_id":40,"status_id":1,"priority_id":2,"assigned_to_id":23,"start_date":"2017-06-19","description":"","custom_fields":[{"id":1,"name":"Subdivision","value":"Other"},{"id":4,"name":"Milepost","value":"2.3015"},{"id":17,"name":"Train ID","value":"303-19"},{"id":16,"name":"Locomotive ID","value":"4030"},{"id":130,"name":"Impact","value":""},{"id":150,"name":"Time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9"/>
        <v>start /low /b %USERPROFILE%\Documents\GitHub\eaglep3\Utilities\DownloadLogsFromS3.py --loco 4030 --day 2017-06-19</v>
      </c>
      <c r="AN211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663</v>
      </c>
      <c r="B212" s="7">
        <v>4007</v>
      </c>
      <c r="C212" s="21" t="s">
        <v>202</v>
      </c>
      <c r="D212" s="21" t="s">
        <v>937</v>
      </c>
      <c r="E212" s="13">
        <v>42905.158576388887</v>
      </c>
      <c r="F212" s="13">
        <v>42905.164074074077</v>
      </c>
      <c r="G212" s="7">
        <v>7</v>
      </c>
      <c r="H212" s="21" t="s">
        <v>193</v>
      </c>
      <c r="I212" s="13">
        <v>42905.169942129629</v>
      </c>
      <c r="J212" s="7">
        <v>0</v>
      </c>
      <c r="K212" s="89" t="str">
        <f t="shared" si="66"/>
        <v>4007/4008</v>
      </c>
      <c r="L212" s="21" t="str">
        <f>VLOOKUP(A212,'Trips&amp;Operators'!$C$1:$G$99999,5,FALSE)</f>
        <v>STARKS ANGELINA</v>
      </c>
      <c r="M212" s="6">
        <f t="shared" si="67"/>
        <v>5.8680555521277711E-3</v>
      </c>
      <c r="N212" s="7">
        <f t="shared" si="65"/>
        <v>8.4499999950639904</v>
      </c>
      <c r="O212" s="7"/>
      <c r="P212" s="7"/>
      <c r="Q212" s="22"/>
      <c r="R212" s="170"/>
      <c r="S212" s="213">
        <f t="shared" si="64"/>
        <v>1</v>
      </c>
      <c r="T212" s="195" t="str">
        <f t="shared" si="68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9"/>
        <v>https://d0f6bd738d7f1b3e5a7ca70fe4ff75f0.us-east-1.aws.found.io/app/kibana#/discover/Steve-Slow-Train-Analysis-(2080s-and-2083s)?_g=(refreshInterval:(display:Off,pause:!f,section:0,value:0),time:(from:'2017-06-19T02:48:21-0600',mode:absolute,to:'2017-06-19T05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197" t="str">
        <f>IF(AA212&lt;VLOOKUP(AG212,Variables!$AC$3:$AD$8,2,FALSE),"Y","N")</f>
        <v>Y</v>
      </c>
      <c r="X212" s="197">
        <f t="shared" ref="X212:X245" si="81">VALUE(LEFT(AD212,4))-VALUE(LEFT(AD211,4))</f>
        <v>1</v>
      </c>
      <c r="Y212" s="197">
        <f t="shared" si="75"/>
        <v>2.0634000000000001</v>
      </c>
      <c r="Z212" s="197">
        <f t="shared" si="76"/>
        <v>1.52E-2</v>
      </c>
      <c r="AA212" s="197">
        <f t="shared" si="70"/>
        <v>2.0482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1"/>
        <v>304</v>
      </c>
      <c r="AE212" s="77" t="str">
        <f t="shared" si="72"/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AF212" s="74" t="str">
        <f t="shared" si="73"/>
        <v>"C:\Program Files (x86)\AstroGrep\AstroGrep.exe" /e /r /s /spath="%USERPROFILE%\AppData\Local\Temp\OnboardLogs" /stypes="app*4007*20170619*" /stext=" 10:.+((SYSTEM_STATE.+slice.+state.+changed )|(ment ac)|(multiple cpu faults)|(system.+state.+changed )|(\[timeout)|(PRM\|1\|D)|(kpr)|(kdp)|(train st.+moving)|(\|lc)|(penalty))"</v>
      </c>
      <c r="AG212" s="209" t="str">
        <f t="shared" si="74"/>
        <v>Other</v>
      </c>
      <c r="AH212" s="78" t="str">
        <f t="shared" si="77"/>
        <v>"%USERPROFILE%\Documents\GitHub\eaglep3\Utilities\RefineRTDCRunTimes.py" --tripid 304-19 --locoid 4007 --swversion DE.1.0.9.0 --startMP 300:20634 --initTime 2017-06-19T03:48:21 --startdatetime 2017-06-19T03:56:16 --delay 7 --endMP 204:152 --enddatetime 2017-06-19T04:04:43 --enforcementcount 0 &gt;&gt;C:\Users\stu\Documents\GitHub\eaglep3-reporting\EC\2017-06-19-refined-times.txt</v>
      </c>
      <c r="AI212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{"issue":{"subject":"","project_id":79,"tracker_id":40,"status_id":1,"priority_id":2,"assigned_to_id":23,"start_date":"2017-06-19","description":"","custom_fields":[{"id":1,"name":"Subdivision","value":"Other"},{"id":4,"name":"Milepost","value":"0.0152"},{"id":17,"name":"Train ID","value":"304-19"},{"id":16,"name":"Locomotive ID","value":"4007"},{"id":130,"name":"Impact","value":""},{"id":150,"name":"Time of Event (Mountain Time)","value":"04:04:43"},{"id":151,"name":"Denver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9"/>
        <v>start /low /b %USERPROFILE%\Documents\GitHub\eaglep3\Utilities\DownloadLogsFromS3.py --loco 4007 --day 2017-06-19</v>
      </c>
      <c r="AN212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619</v>
      </c>
      <c r="B213" s="7">
        <v>4043</v>
      </c>
      <c r="C213" s="21" t="s">
        <v>202</v>
      </c>
      <c r="D213" s="21" t="s">
        <v>938</v>
      </c>
      <c r="E213" s="13">
        <v>42905.170173611114</v>
      </c>
      <c r="F213" s="13">
        <v>42905.174062500002</v>
      </c>
      <c r="G213" s="7">
        <v>5</v>
      </c>
      <c r="H213" s="21" t="s">
        <v>939</v>
      </c>
      <c r="I213" s="13">
        <v>42905.180011574077</v>
      </c>
      <c r="J213" s="7">
        <v>0</v>
      </c>
      <c r="K213" s="89" t="str">
        <f t="shared" si="66"/>
        <v>4043/4044</v>
      </c>
      <c r="L213" s="21" t="str">
        <f>VLOOKUP(A213,'Trips&amp;Operators'!$C$1:$G$99999,5,FALSE)</f>
        <v>LALONDE GREGORY</v>
      </c>
      <c r="M213" s="6">
        <f t="shared" si="67"/>
        <v>5.9490740750334226E-3</v>
      </c>
      <c r="N213" s="7">
        <f t="shared" si="65"/>
        <v>8.5666666680481285</v>
      </c>
      <c r="O213" s="7"/>
      <c r="P213" s="7"/>
      <c r="Q213" s="22"/>
      <c r="R213" s="170"/>
      <c r="S213" s="213">
        <f t="shared" ref="S213:S245" si="82">SUM(U213:U213)/IF(AG213="EC",12,1)</f>
        <v>1</v>
      </c>
      <c r="T213" s="195" t="str">
        <f t="shared" si="68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9"/>
        <v>https://d0f6bd738d7f1b3e5a7ca70fe4ff75f0.us-east-1.aws.found.io/app/kibana#/discover/Steve-Slow-Train-Analysis-(2080s-and-2083s)?_g=(refreshInterval:(display:Off,pause:!f,section:0,value:0),time:(from:'2017-06-19T03:05:03-0600',mode:absolute,to:'2017-06-19T05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197" t="str">
        <f>IF(AA213&lt;VLOOKUP(AG213,Variables!$AC$3:$AD$8,2,FALSE),"Y","N")</f>
        <v>Y</v>
      </c>
      <c r="X213" s="197">
        <f t="shared" si="81"/>
        <v>2</v>
      </c>
      <c r="Y213" s="197">
        <f t="shared" si="75"/>
        <v>2.3477999999999999</v>
      </c>
      <c r="Z213" s="197">
        <f t="shared" si="76"/>
        <v>1.8100000000000002E-2</v>
      </c>
      <c r="AA213" s="197">
        <f t="shared" si="70"/>
        <v>2.3296999999999999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1"/>
        <v>306</v>
      </c>
      <c r="AE213" s="77" t="str">
        <f t="shared" si="72"/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AF213" s="74" t="str">
        <f t="shared" si="73"/>
        <v>"C:\Program Files (x86)\AstroGrep\AstroGrep.exe" /e /r /s /spath="%USERPROFILE%\AppData\Local\Temp\OnboardLogs" /stypes="app*4043*20170619*" /stext=" 10:.+((SYSTEM_STATE.+slice.+state.+changed )|(ment ac)|(multiple cpu faults)|(system.+state.+changed )|(\[timeout)|(PRM\|1\|D)|(kpr)|(kdp)|(train st.+moving)|(\|lc)|(penalty))"</v>
      </c>
      <c r="AG213" s="209" t="str">
        <f t="shared" si="74"/>
        <v>Other</v>
      </c>
      <c r="AH213" s="78" t="str">
        <f t="shared" si="77"/>
        <v>"%USERPROFILE%\Documents\GitHub\eaglep3\Utilities\RefineRTDCRunTimes.py" --tripid 306-19 --locoid 4043 --swversion DE.1.0.9.0 --startMP 300:23478 --initTime 2017-06-19T04:05:03 --startdatetime 2017-06-19T04:10:39 --delay 5 --endMP 204:181 --enddatetime 2017-06-19T04:19:13 --enforcementcount 0 &gt;&gt;C:\Users\stu\Documents\GitHub\eaglep3-reporting\EC\2017-06-19-refined-times.txt</v>
      </c>
      <c r="AI213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{"issue":{"subject":"","project_id":79,"tracker_id":40,"status_id":1,"priority_id":2,"assigned_to_id":23,"start_date":"2017-06-19","description":"","custom_fields":[{"id":1,"name":"Subdivision","value":"Other"},{"id":4,"name":"Milepost","value":"0.0181"},{"id":17,"name":"Train ID","value":"306-19"},{"id":16,"name":"Locomotive ID","value":"4043"},{"id":130,"name":"Impact","value":""},{"id":150,"name":"Time of Event (Mountain Time)","value":"04:19:13"},{"id":151,"name":"Denver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9"/>
        <v>start /low /b %USERPROFILE%\Documents\GitHub\eaglep3\Utilities\DownloadLogsFromS3.py --loco 4043 --day 2017-06-19</v>
      </c>
      <c r="AN213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864</v>
      </c>
      <c r="B214" s="7">
        <v>4016</v>
      </c>
      <c r="C214" s="21" t="s">
        <v>202</v>
      </c>
      <c r="D214" s="21" t="s">
        <v>940</v>
      </c>
      <c r="E214" s="13">
        <v>42906.027129629627</v>
      </c>
      <c r="F214" s="13">
        <v>42906.028414351851</v>
      </c>
      <c r="G214" s="7">
        <v>1</v>
      </c>
      <c r="H214" s="21" t="s">
        <v>934</v>
      </c>
      <c r="I214" s="13">
        <v>42906.03496527778</v>
      </c>
      <c r="J214" s="7">
        <v>0</v>
      </c>
      <c r="K214" s="89" t="str">
        <f t="shared" si="66"/>
        <v>4015/4016</v>
      </c>
      <c r="L214" s="21" t="str">
        <f>VLOOKUP(A214,'Trips&amp;Operators'!$C$1:$G$99999,5,FALSE)</f>
        <v>PERKINS DARREN</v>
      </c>
      <c r="M214" s="6">
        <f t="shared" si="67"/>
        <v>6.550925929332152E-3</v>
      </c>
      <c r="N214" s="7">
        <f t="shared" si="65"/>
        <v>9.4333333382382989</v>
      </c>
      <c r="O214" s="7"/>
      <c r="P214" s="7"/>
      <c r="Q214" s="22"/>
      <c r="R214" s="170"/>
      <c r="S214" s="213">
        <f t="shared" si="82"/>
        <v>1</v>
      </c>
      <c r="T214" s="195" t="str">
        <f t="shared" si="68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9"/>
        <v>https://d0f6bd738d7f1b3e5a7ca70fe4ff75f0.us-east-1.aws.found.io/app/kibana#/discover/Steve-Slow-Train-Analysis-(2080s-and-2083s)?_g=(refreshInterval:(display:Off,pause:!f,section:0,value:0),time:(from:'2017-06-19T23:39:04-0600',mode:absolute,to:'2017-06-20T01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97" t="str">
        <f>IF(AA214&lt;VLOOKUP(AG214,Variables!$AC$3:$AD$8,2,FALSE),"Y","N")</f>
        <v>Y</v>
      </c>
      <c r="X214" s="197">
        <f t="shared" si="81"/>
        <v>1</v>
      </c>
      <c r="Y214" s="197">
        <f t="shared" si="75"/>
        <v>4.8899999999999999E-2</v>
      </c>
      <c r="Z214" s="197">
        <f t="shared" si="76"/>
        <v>2.331</v>
      </c>
      <c r="AA214" s="197">
        <f t="shared" si="70"/>
        <v>2.2820999999999998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1"/>
        <v>307</v>
      </c>
      <c r="AE214" s="77" t="str">
        <f t="shared" si="72"/>
        <v>aws s3 cp s3://rtdc.mdm.uploadarchive.raw/RTDC4016/ "%USERPROFILE%\AppData\Local\Temp\OnboardLogs"\RTDC4016\2017-06-20 --exclude "*" --recursive --include "*20170620*" &amp; "%USERPROFILE%\Documents\GitHub\mrs-test-scripts\Headless Mode &amp; Sideloading\WalkAndUnGZ.bat" "%USERPROFILE%\AppData\Local\Temp\OnboardLogs"\RTDC4016\2017-06-20 &amp; 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</v>
      </c>
      <c r="AF214" s="74" t="str">
        <f t="shared" si="73"/>
        <v>"C:\Program Files (x86)\AstroGrep\AstroGrep.exe" /e /r /s /spath="%USERPROFILE%\AppData\Local\Temp\OnboardLogs" /stypes="app*4016*20170620*" /stext=" 06:.+((SYSTEM_STATE.+slice.+state.+changed )|(ment ac)|(multiple cpu faults)|(system.+state.+changed )|(\[timeout)|(PRM\|1\|D)|(kpr)|(kdp)|(train st.+moving)|(\|lc)|(penalty))"</v>
      </c>
      <c r="AG214" s="209" t="str">
        <f t="shared" si="74"/>
        <v>Other</v>
      </c>
      <c r="AH214" s="78" t="str">
        <f t="shared" si="77"/>
        <v>"%USERPROFILE%\Documents\GitHub\eaglep3\Utilities\RefineRTDCRunTimes.py" --tripid 307-19 --locoid 4016 --swversion DE.1.0.9.0 --startMP 204:489 --initTime 2017-06-20T00:39:04 --startdatetime 2017-06-20T00:40:55 --delay 1 --endMP 300:23310 --enddatetime 2017-06-20T00:50:21 --enforcementcount 0 &gt;&gt;C:\Users\stu\Documents\GitHub\eaglep3-reporting\EC\2017-06-19-refined-times.txt</v>
      </c>
      <c r="AI214" s="96" t="str">
        <f t="shared" si="78"/>
        <v>echo {"issue":{"subject":"","project_id":79,"tracker_id":40,"status_id":1,"priority_id":2,"assigned_to_id":23,"start_date":"2017-06-20","description":"","custom_fields":[{"id":1,"name":"Subdivision","value":"Other"},{"id":4,"name":"Milepost","value":"2.331"},{"id":17,"name":"Train ID","value":"307-19"},{"id":16,"name":"Locomotive ID","value":"4016"},{"id":130,"name":"Impact","value":""},{"id":150,"name":"Time of Event (Mountain Time)","value":"00:50:21"},{"id":151,"name":"Denver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9"/>
        <v>start /low /b %USERPROFILE%\Documents\GitHub\eaglep3\Utilities\DownloadLogsFromS3.py --loco 4016 --day 2017-06-20</v>
      </c>
      <c r="AN214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06:50:21"},{"id":29,"name":"Sharepoint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665</v>
      </c>
      <c r="B215" s="7">
        <v>4057</v>
      </c>
      <c r="C215" s="21" t="s">
        <v>202</v>
      </c>
      <c r="D215" s="21" t="s">
        <v>941</v>
      </c>
      <c r="E215" s="13">
        <v>42905.174097222225</v>
      </c>
      <c r="F215" s="13">
        <v>42905.178379629629</v>
      </c>
      <c r="G215" s="7">
        <v>6</v>
      </c>
      <c r="H215" s="21" t="s">
        <v>194</v>
      </c>
      <c r="I215" s="13">
        <v>42905.190243055556</v>
      </c>
      <c r="J215" s="7">
        <v>0</v>
      </c>
      <c r="K215" s="89" t="str">
        <f t="shared" si="66"/>
        <v>4057/4058</v>
      </c>
      <c r="L215" s="21" t="str">
        <f>VLOOKUP(A215,'Trips&amp;Operators'!$C$1:$G$99999,5,FALSE)</f>
        <v>WILLIAMS DONTE</v>
      </c>
      <c r="M215" s="6">
        <f t="shared" si="67"/>
        <v>1.1863425927003846E-2</v>
      </c>
      <c r="N215" s="7">
        <f t="shared" si="65"/>
        <v>17.083333334885538</v>
      </c>
      <c r="O215" s="7"/>
      <c r="P215" s="7"/>
      <c r="Q215" s="22"/>
      <c r="R215" s="170"/>
      <c r="S215" s="213">
        <f t="shared" si="82"/>
        <v>1</v>
      </c>
      <c r="T215" s="195" t="str">
        <f t="shared" si="68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9"/>
        <v>https://d0f6bd738d7f1b3e5a7ca70fe4ff75f0.us-east-1.aws.found.io/app/kibana#/discover/Steve-Slow-Train-Analysis-(2080s-and-2083s)?_g=(refreshInterval:(display:Off,pause:!f,section:0,value:0),time:(from:'2017-06-19T03:10:42-0600',mode:absolute,to:'2017-06-19T05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5" s="197" t="str">
        <f>IF(AA215&lt;VLOOKUP(AG215,Variables!$AC$3:$AD$8,2,FALSE),"Y","N")</f>
        <v>Y</v>
      </c>
      <c r="X215" s="197">
        <f t="shared" si="81"/>
        <v>1</v>
      </c>
      <c r="Y215" s="197">
        <f t="shared" si="75"/>
        <v>2.3428</v>
      </c>
      <c r="Z215" s="197">
        <f t="shared" si="76"/>
        <v>1.5800000000000002E-2</v>
      </c>
      <c r="AA215" s="197">
        <f t="shared" si="70"/>
        <v>2.327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1"/>
        <v>308</v>
      </c>
      <c r="AE215" s="77" t="str">
        <f t="shared" si="72"/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AF215" s="74" t="str">
        <f t="shared" si="73"/>
        <v>"C:\Program Files (x86)\AstroGrep\AstroGrep.exe" /e /r /s /spath="%USERPROFILE%\AppData\Local\Temp\OnboardLogs" /stypes="app*4057*20170619*" /stext=" 10:.+((SYSTEM_STATE.+slice.+state.+changed )|(ment ac)|(multiple cpu faults)|(system.+state.+changed )|(\[timeout)|(PRM\|1\|D)|(kpr)|(kdp)|(train st.+moving)|(\|lc)|(penalty))"</v>
      </c>
      <c r="AG215" s="209" t="str">
        <f t="shared" si="74"/>
        <v>Other</v>
      </c>
      <c r="AH215" s="78" t="str">
        <f t="shared" si="77"/>
        <v>"%USERPROFILE%\Documents\GitHub\eaglep3\Utilities\RefineRTDCRunTimes.py" --tripid 308-19 --locoid 4057 --swversion DE.1.0.9.0 --startMP 300:23428 --initTime 2017-06-19T04:10:42 --startdatetime 2017-06-19T04:16:52 --delay 6 --endMP 204:158 --enddatetime 2017-06-19T04:33:57 --enforcementcount 0 &gt;&gt;C:\Users\stu\Documents\GitHub\eaglep3-reporting\EC\2017-06-19-refined-times.txt</v>
      </c>
      <c r="AI215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{"issue":{"subject":"","project_id":79,"tracker_id":40,"status_id":1,"priority_id":2,"assigned_to_id":23,"start_date":"2017-06-19","description":"","custom_fields":[{"id":1,"name":"Subdivision","value":"Other"},{"id":4,"name":"Milepost","value":"0.0158"},{"id":17,"name":"Train ID","value":"308-19"},{"id":16,"name":"Locomotive ID","value":"4057"},{"id":130,"name":"Impact","value":""},{"id":150,"name":"Time of Event (Mountain Time)","value":"04:33:57"},{"id":151,"name":"Denver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9"/>
        <v>start /low /b %USERPROFILE%\Documents\GitHub\eaglep3\Utilities\DownloadLogsFromS3.py --loco 4057 --day 2017-06-19</v>
      </c>
      <c r="AN215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10:33:57"},{"id":29,"name":"Sharepoint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865</v>
      </c>
      <c r="B216" s="7">
        <v>4054</v>
      </c>
      <c r="C216" s="21" t="s">
        <v>202</v>
      </c>
      <c r="D216" s="21" t="s">
        <v>506</v>
      </c>
      <c r="E216" s="13">
        <v>42906.046967592592</v>
      </c>
      <c r="F216" s="13">
        <v>42906.049618055556</v>
      </c>
      <c r="G216" s="7">
        <v>1</v>
      </c>
      <c r="H216" s="21" t="s">
        <v>541</v>
      </c>
      <c r="I216" s="13">
        <v>42906.05673611111</v>
      </c>
      <c r="J216" s="7">
        <v>0</v>
      </c>
      <c r="K216" s="89" t="str">
        <f t="shared" si="66"/>
        <v>4053/4054</v>
      </c>
      <c r="L216" s="21" t="str">
        <f>VLOOKUP(A216,'Trips&amp;Operators'!$C$1:$G$99999,5,FALSE)</f>
        <v>HART KEVIN</v>
      </c>
      <c r="M216" s="6">
        <f t="shared" si="67"/>
        <v>7.1180555532919243E-3</v>
      </c>
      <c r="N216" s="7">
        <f t="shared" si="65"/>
        <v>10.249999996740371</v>
      </c>
      <c r="O216" s="7"/>
      <c r="P216" s="7"/>
      <c r="Q216" s="22"/>
      <c r="R216" s="170"/>
      <c r="S216" s="213">
        <f t="shared" si="82"/>
        <v>1</v>
      </c>
      <c r="T216" s="195" t="str">
        <f t="shared" si="68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9"/>
        <v>https://d0f6bd738d7f1b3e5a7ca70fe4ff75f0.us-east-1.aws.found.io/app/kibana#/discover/Steve-Slow-Train-Analysis-(2080s-and-2083s)?_g=(refreshInterval:(display:Off,pause:!f,section:0,value:0),time:(from:'2017-06-20T00:07:38-0600',mode:absolute,to:'2017-06-20T02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7" t="str">
        <f>IF(AA216&lt;VLOOKUP(AG216,Variables!$AC$3:$AD$8,2,FALSE),"Y","N")</f>
        <v>Y</v>
      </c>
      <c r="X216" s="197">
        <f t="shared" si="81"/>
        <v>1</v>
      </c>
      <c r="Y216" s="197">
        <f t="shared" si="75"/>
        <v>4.5499999999999999E-2</v>
      </c>
      <c r="Z216" s="197">
        <f t="shared" si="76"/>
        <v>2.3302</v>
      </c>
      <c r="AA216" s="197">
        <f t="shared" si="70"/>
        <v>2.2847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1"/>
        <v>309</v>
      </c>
      <c r="AE216" s="77" t="str">
        <f t="shared" si="72"/>
        <v>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 &amp; 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</v>
      </c>
      <c r="AF216" s="74" t="str">
        <f t="shared" si="73"/>
        <v>"C:\Program Files (x86)\AstroGrep\AstroGrep.exe" /e /r /s /spath="%USERPROFILE%\AppData\Local\Temp\OnboardLogs" /stypes="app*4054*20170620*" /stext=" 07:.+((SYSTEM_STATE.+slice.+state.+changed )|(ment ac)|(multiple cpu faults)|(system.+state.+changed )|(\[timeout)|(PRM\|1\|D)|(kpr)|(kdp)|(train st.+moving)|(\|lc)|(penalty))"</v>
      </c>
      <c r="AG216" s="209" t="str">
        <f t="shared" si="74"/>
        <v>Other</v>
      </c>
      <c r="AH216" s="78" t="str">
        <f t="shared" si="77"/>
        <v>"%USERPROFILE%\Documents\GitHub\eaglep3\Utilities\RefineRTDCRunTimes.py" --tripid 309-19 --locoid 4054 --swversion DE.1.0.9.0 --startMP 204:455 --initTime 2017-06-20T01:07:38 --startdatetime 2017-06-20T01:11:27 --delay 1 --endMP 300:23302 --enddatetime 2017-06-20T01:21:42 --enforcementcount 0 &gt;&gt;C:\Users\stu\Documents\GitHub\eaglep3-reporting\EC\2017-06-19-refined-times.txt</v>
      </c>
      <c r="AI216" s="96" t="str">
        <f t="shared" si="78"/>
        <v>echo {"issue":{"subject":"","project_id":79,"tracker_id":40,"status_id":1,"priority_id":2,"assigned_to_id":23,"start_date":"2017-06-20","description":"","custom_fields":[{"id":1,"name":"Subdivision","value":"Other"},{"id":4,"name":"Milepost","value":"2.3302"},{"id":17,"name":"Train ID","value":"309-19"},{"id":16,"name":"Locomotive ID","value":"4054"},{"id":130,"name":"Impact","value":""},{"id":150,"name":"Time of Event (Mountain Time)","value":"01:21:42"},{"id":151,"name":"Denver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9"/>
        <v>start /low /b %USERPROFILE%\Documents\GitHub\eaglep3\Utilities\DownloadLogsFromS3.py --loco 4054 --day 2017-06-20</v>
      </c>
      <c r="AN216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671</v>
      </c>
      <c r="B217" s="7">
        <v>4017</v>
      </c>
      <c r="C217" s="21" t="s">
        <v>202</v>
      </c>
      <c r="D217" s="21" t="s">
        <v>942</v>
      </c>
      <c r="E217" s="13">
        <v>42905.198101851849</v>
      </c>
      <c r="F217" s="13">
        <v>42905.202974537038</v>
      </c>
      <c r="G217" s="7">
        <v>6</v>
      </c>
      <c r="H217" s="21" t="s">
        <v>583</v>
      </c>
      <c r="I217" s="13">
        <v>42905.208969907406</v>
      </c>
      <c r="J217" s="7">
        <v>0</v>
      </c>
      <c r="K217" s="89" t="str">
        <f t="shared" si="66"/>
        <v>4017/4018</v>
      </c>
      <c r="L217" s="21" t="str">
        <f>VLOOKUP(A217,'Trips&amp;Operators'!$C$1:$G$99999,5,FALSE)</f>
        <v>HELVIE ADAM</v>
      </c>
      <c r="M217" s="6">
        <f t="shared" si="67"/>
        <v>5.9953703676001169E-3</v>
      </c>
      <c r="N217" s="7">
        <f t="shared" si="65"/>
        <v>8.6333333293441683</v>
      </c>
      <c r="O217" s="7"/>
      <c r="P217" s="7"/>
      <c r="Q217" s="22"/>
      <c r="R217" s="170"/>
      <c r="S217" s="213">
        <f t="shared" si="82"/>
        <v>1</v>
      </c>
      <c r="T217" s="195" t="str">
        <f t="shared" si="68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9"/>
        <v>https://d0f6bd738d7f1b3e5a7ca70fe4ff75f0.us-east-1.aws.found.io/app/kibana#/discover/Steve-Slow-Train-Analysis-(2080s-and-2083s)?_g=(refreshInterval:(display:Off,pause:!f,section:0,value:0),time:(from:'2017-06-19T03:45:16-0600',mode:absolute,to:'2017-06-19T06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197" t="str">
        <f>IF(AA217&lt;VLOOKUP(AG217,Variables!$AC$3:$AD$8,2,FALSE),"Y","N")</f>
        <v>Y</v>
      </c>
      <c r="X217" s="197">
        <f t="shared" si="81"/>
        <v>1</v>
      </c>
      <c r="Y217" s="197">
        <f t="shared" si="75"/>
        <v>2.3250000000000002</v>
      </c>
      <c r="Z217" s="197">
        <f t="shared" si="76"/>
        <v>1.61E-2</v>
      </c>
      <c r="AA217" s="197">
        <f t="shared" si="70"/>
        <v>2.3089000000000004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1"/>
        <v>310</v>
      </c>
      <c r="AE217" s="77" t="str">
        <f t="shared" si="7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217" s="74" t="str">
        <f t="shared" si="73"/>
        <v>"C:\Program Files (x86)\AstroGrep\AstroGrep.exe" /e /r /s /spath="%USERPROFILE%\AppData\Local\Temp\OnboardLogs" /stypes="app*4017*20170619*" /stext=" 11:.+((SYSTEM_STATE.+slice.+state.+changed )|(ment ac)|(multiple cpu faults)|(system.+state.+changed )|(\[timeout)|(PRM\|1\|D)|(kpr)|(kdp)|(train st.+moving)|(\|lc)|(penalty))"</v>
      </c>
      <c r="AG217" s="209" t="str">
        <f t="shared" si="74"/>
        <v>Other</v>
      </c>
      <c r="AH217" s="78" t="str">
        <f t="shared" si="77"/>
        <v>"%USERPROFILE%\Documents\GitHub\eaglep3\Utilities\RefineRTDCRunTimes.py" --tripid 310-19 --locoid 4017 --swversion DE.1.0.9.0 --startMP 300:23250 --initTime 2017-06-19T04:45:16 --startdatetime 2017-06-19T04:52:17 --delay 6 --endMP 204:161 --enddatetime 2017-06-19T05:00:55 --enforcementcount 0 &gt;&gt;C:\Users\stu\Documents\GitHub\eaglep3-reporting\EC\2017-06-19-refined-times.txt</v>
      </c>
      <c r="AI217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{"issue":{"subject":"","project_id":79,"tracker_id":40,"status_id":1,"priority_id":2,"assigned_to_id":23,"start_date":"2017-06-19","description":"","custom_fields":[{"id":1,"name":"Subdivision","value":"Other"},{"id":4,"name":"Milepost","value":"0.0161"},{"id":17,"name":"Train ID","value":"310-19"},{"id":16,"name":"Locomotive ID","value":"4017"},{"id":130,"name":"Impact","value":""},{"id":150,"name":"Time of Event (Mountain Time)","value":"05:00:55"},{"id":151,"name":"Denver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9"/>
        <v>start /low /b %USERPROFILE%\Documents\GitHub\eaglep3\Utilities\DownloadLogsFromS3.py --loco 4017 --day 2017-06-19</v>
      </c>
      <c r="AN217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11:00:55"},{"id":29,"name":"Sharepoint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867</v>
      </c>
      <c r="B218" s="7">
        <v>4018</v>
      </c>
      <c r="C218" s="21" t="s">
        <v>202</v>
      </c>
      <c r="D218" s="21" t="s">
        <v>355</v>
      </c>
      <c r="E218" s="13">
        <v>42906.069340277776</v>
      </c>
      <c r="F218" s="13">
        <v>42906.070914351854</v>
      </c>
      <c r="G218" s="7">
        <v>1</v>
      </c>
      <c r="H218" s="21" t="s">
        <v>353</v>
      </c>
      <c r="I218" s="13">
        <v>42906.079004629632</v>
      </c>
      <c r="J218" s="7">
        <v>0</v>
      </c>
      <c r="K218" s="89" t="str">
        <f t="shared" si="66"/>
        <v>4017/4018</v>
      </c>
      <c r="L218" s="21" t="str">
        <f>VLOOKUP(A218,'Trips&amp;Operators'!$C$1:$G$99999,5,FALSE)</f>
        <v>HAITHCOX MICHAEL</v>
      </c>
      <c r="M218" s="6">
        <f t="shared" si="67"/>
        <v>8.0902777772280388E-3</v>
      </c>
      <c r="N218" s="7">
        <f t="shared" si="65"/>
        <v>11.649999999208376</v>
      </c>
      <c r="O218" s="7"/>
      <c r="P218" s="7"/>
      <c r="Q218" s="22"/>
      <c r="R218" s="170"/>
      <c r="S218" s="213">
        <f t="shared" si="82"/>
        <v>1</v>
      </c>
      <c r="T218" s="195" t="str">
        <f t="shared" si="68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9"/>
        <v>https://d0f6bd738d7f1b3e5a7ca70fe4ff75f0.us-east-1.aws.found.io/app/kibana#/discover/Steve-Slow-Train-Analysis-(2080s-and-2083s)?_g=(refreshInterval:(display:Off,pause:!f,section:0,value:0),time:(from:'2017-06-20T00:39:51-0600',mode:absolute,to:'2017-06-20T02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97" t="str">
        <f>IF(AA218&lt;VLOOKUP(AG218,Variables!$AC$3:$AD$8,2,FALSE),"Y","N")</f>
        <v>Y</v>
      </c>
      <c r="X218" s="197">
        <f t="shared" si="81"/>
        <v>1</v>
      </c>
      <c r="Y218" s="197">
        <f t="shared" si="75"/>
        <v>4.4699999999999997E-2</v>
      </c>
      <c r="Z218" s="197">
        <f t="shared" si="76"/>
        <v>2.3346</v>
      </c>
      <c r="AA218" s="197">
        <f t="shared" si="70"/>
        <v>2.2898999999999998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1"/>
        <v>311</v>
      </c>
      <c r="AE218" s="77" t="str">
        <f t="shared" si="72"/>
        <v>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 &amp; 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</v>
      </c>
      <c r="AF218" s="74" t="str">
        <f t="shared" si="73"/>
        <v>"C:\Program Files (x86)\AstroGrep\AstroGrep.exe" /e /r /s /spath="%USERPROFILE%\AppData\Local\Temp\OnboardLogs" /stypes="app*4018*20170620*" /stext=" 07:.+((SYSTEM_STATE.+slice.+state.+changed )|(ment ac)|(multiple cpu faults)|(system.+state.+changed )|(\[timeout)|(PRM\|1\|D)|(kpr)|(kdp)|(train st.+moving)|(\|lc)|(penalty))"</v>
      </c>
      <c r="AG218" s="209" t="str">
        <f t="shared" si="74"/>
        <v>Other</v>
      </c>
      <c r="AH218" s="78" t="str">
        <f t="shared" si="77"/>
        <v>"%USERPROFILE%\Documents\GitHub\eaglep3\Utilities\RefineRTDCRunTimes.py" --tripid 311-19 --locoid 4018 --swversion DE.1.0.9.0 --startMP 204:447 --initTime 2017-06-20T01:39:51 --startdatetime 2017-06-20T01:42:07 --delay 1 --endMP 300:23346 --enddatetime 2017-06-20T01:53:46 --enforcementcount 0 &gt;&gt;C:\Users\stu\Documents\GitHub\eaglep3-reporting\EC\2017-06-19-refined-times.txt</v>
      </c>
      <c r="AI218" s="96" t="str">
        <f t="shared" si="78"/>
        <v>echo {"issue":{"subject":"","project_id":79,"tracker_id":40,"status_id":1,"priority_id":2,"assigned_to_id":23,"start_date":"2017-06-20","description":"","custom_fields":[{"id":1,"name":"Subdivision","value":"Other"},{"id":4,"name":"Milepost","value":"2.3346"},{"id":17,"name":"Train ID","value":"311-19"},{"id":16,"name":"Locomotive ID","value":"4018"},{"id":130,"name":"Impact","value":""},{"id":150,"name":"Time of Event (Mountain Time)","value":"01:53:46"},{"id":151,"name":"Denver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9"/>
        <v>start /low /b %USERPROFILE%\Documents\GitHub\eaglep3\Utilities\DownloadLogsFromS3.py --loco 4018 --day 2017-06-20</v>
      </c>
      <c r="AN218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681</v>
      </c>
      <c r="B219" s="7">
        <v>4045</v>
      </c>
      <c r="C219" s="21" t="s">
        <v>202</v>
      </c>
      <c r="D219" s="21" t="s">
        <v>943</v>
      </c>
      <c r="E219" s="13">
        <v>42905.225173611114</v>
      </c>
      <c r="F219" s="13">
        <v>42905.228726851848</v>
      </c>
      <c r="G219" s="7">
        <v>5</v>
      </c>
      <c r="H219" s="21" t="s">
        <v>348</v>
      </c>
      <c r="I219" s="13">
        <v>42905.234606481485</v>
      </c>
      <c r="J219" s="7">
        <v>0</v>
      </c>
      <c r="K219" s="89" t="str">
        <f t="shared" si="66"/>
        <v>4045/4046</v>
      </c>
      <c r="L219" s="21" t="str">
        <f>VLOOKUP(A219,'Trips&amp;Operators'!$C$1:$G$99999,5,FALSE)</f>
        <v>MACDONALD THOMAS</v>
      </c>
      <c r="M219" s="6">
        <f t="shared" si="67"/>
        <v>5.8796296361833811E-3</v>
      </c>
      <c r="N219" s="7">
        <f t="shared" si="65"/>
        <v>8.4666666761040688</v>
      </c>
      <c r="O219" s="7"/>
      <c r="P219" s="7"/>
      <c r="Q219" s="22"/>
      <c r="R219" s="170"/>
      <c r="S219" s="213">
        <f t="shared" si="82"/>
        <v>1</v>
      </c>
      <c r="T219" s="195" t="str">
        <f t="shared" si="68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9"/>
        <v>https://d0f6bd738d7f1b3e5a7ca70fe4ff75f0.us-east-1.aws.found.io/app/kibana#/discover/Steve-Slow-Train-Analysis-(2080s-and-2083s)?_g=(refreshInterval:(display:Off,pause:!f,section:0,value:0),time:(from:'2017-06-19T04:24:15-0600',mode:absolute,to:'2017-06-19T06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9" s="197" t="str">
        <f>IF(AA219&lt;VLOOKUP(AG219,Variables!$AC$3:$AD$8,2,FALSE),"Y","N")</f>
        <v>Y</v>
      </c>
      <c r="X219" s="197">
        <f t="shared" si="81"/>
        <v>1</v>
      </c>
      <c r="Y219" s="197">
        <f t="shared" si="75"/>
        <v>2.3466</v>
      </c>
      <c r="Z219" s="197">
        <f t="shared" si="76"/>
        <v>1.4999999999999999E-2</v>
      </c>
      <c r="AA219" s="197">
        <f t="shared" si="70"/>
        <v>2.3315999999999999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1"/>
        <v>312</v>
      </c>
      <c r="AE219" s="77" t="str">
        <f t="shared" si="72"/>
        <v>aws s3 cp s3://rtdc.mdm.uploadarchive.raw/RTDC4045/ "%USERPROFILE%\AppData\Local\Temp\OnboardLogs"\RTDC4045\2017-06-19 --exclude "*" --recursive --include "*20170619*" &amp; "%USERPROFILE%\Documents\GitHub\mrs-test-scripts\Headless Mode &amp; Sideloading\WalkAndUnGZ.bat" "%USERPROFILE%\AppData\Local\Temp\OnboardLogs"\RTDC4045\2017-06-19 &amp; 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</v>
      </c>
      <c r="AF219" s="74" t="str">
        <f t="shared" si="73"/>
        <v>"C:\Program Files (x86)\AstroGrep\AstroGrep.exe" /e /r /s /spath="%USERPROFILE%\AppData\Local\Temp\OnboardLogs" /stypes="app*4045*20170619*" /stext=" 11:.+((SYSTEM_STATE.+slice.+state.+changed )|(ment ac)|(multiple cpu faults)|(system.+state.+changed )|(\[timeout)|(PRM\|1\|D)|(kpr)|(kdp)|(train st.+moving)|(\|lc)|(penalty))"</v>
      </c>
      <c r="AG219" s="209" t="str">
        <f t="shared" si="74"/>
        <v>Other</v>
      </c>
      <c r="AH219" s="78" t="str">
        <f t="shared" si="77"/>
        <v>"%USERPROFILE%\Documents\GitHub\eaglep3\Utilities\RefineRTDCRunTimes.py" --tripid 312-19 --locoid 4045 --swversion DE.1.0.9.0 --startMP 300:23466 --initTime 2017-06-19T05:24:15 --startdatetime 2017-06-19T05:29:22 --delay 5 --endMP 204:150 --enddatetime 2017-06-19T05:37:50 --enforcementcount 0 &gt;&gt;C:\Users\stu\Documents\GitHub\eaglep3-reporting\EC\2017-06-19-refined-times.txt</v>
      </c>
      <c r="AI219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{"issue":{"subject":"","project_id":79,"tracker_id":40,"status_id":1,"priority_id":2,"assigned_to_id":23,"start_date":"2017-06-19","description":"","custom_fields":[{"id":1,"name":"Subdivision","value":"Other"},{"id":4,"name":"Milepost","value":"0.015"},{"id":17,"name":"Train ID","value":"312-19"},{"id":16,"name":"Locomotive ID","value":"4045"},{"id":130,"name":"Impact","value":""},{"id":150,"name":"Time of Event (Mountain Time)","value":"05:37:50"},{"id":151,"name":"Denver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9"/>
        <v>start /low /b %USERPROFILE%\Documents\GitHub\eaglep3\Utilities\DownloadLogsFromS3.py --loco 4045 --day 2017-06-19</v>
      </c>
      <c r="AN219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579</v>
      </c>
      <c r="B220" s="7">
        <v>4004</v>
      </c>
      <c r="C220" s="21" t="s">
        <v>202</v>
      </c>
      <c r="D220" s="21" t="s">
        <v>503</v>
      </c>
      <c r="E220" s="13">
        <v>42905.089861111112</v>
      </c>
      <c r="F220" s="13">
        <v>42905.091377314813</v>
      </c>
      <c r="G220" s="7">
        <v>1</v>
      </c>
      <c r="H220" s="21" t="s">
        <v>617</v>
      </c>
      <c r="I220" s="13">
        <v>42905.101030092592</v>
      </c>
      <c r="J220" s="7">
        <v>0</v>
      </c>
      <c r="K220" s="89" t="str">
        <f t="shared" si="66"/>
        <v>4003/4004</v>
      </c>
      <c r="L220" s="21" t="str">
        <f>VLOOKUP(A220,'Trips&amp;Operators'!$C$1:$G$99999,5,FALSE)</f>
        <v>ZEWDU DEREJE</v>
      </c>
      <c r="M220" s="6">
        <f t="shared" si="67"/>
        <v>9.6527777786832303E-3</v>
      </c>
      <c r="N220" s="7">
        <f t="shared" ref="N220:N245" si="83">24*60*SUM($M220:$M220)</f>
        <v>13.900000001303852</v>
      </c>
      <c r="O220" s="7"/>
      <c r="P220" s="7"/>
      <c r="Q220" s="22"/>
      <c r="R220" s="170"/>
      <c r="S220" s="213">
        <f t="shared" si="82"/>
        <v>1</v>
      </c>
      <c r="T220" s="195" t="str">
        <f t="shared" si="68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69"/>
        <v>https://d0f6bd738d7f1b3e5a7ca70fe4ff75f0.us-east-1.aws.found.io/app/kibana#/discover/Steve-Slow-Train-Analysis-(2080s-and-2083s)?_g=(refreshInterval:(display:Off,pause:!f,section:0,value:0),time:(from:'2017-06-19T01:09:24-0600',mode:absolute,to:'2017-06-19T03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0" s="197" t="str">
        <f>IF(AA220&lt;VLOOKUP(AG220,Variables!$AC$3:$AD$8,2,FALSE),"Y","N")</f>
        <v>Y</v>
      </c>
      <c r="X220" s="197">
        <f t="shared" si="81"/>
        <v>1</v>
      </c>
      <c r="Y220" s="197">
        <f t="shared" si="75"/>
        <v>4.7500000000000001E-2</v>
      </c>
      <c r="Z220" s="197">
        <f t="shared" si="76"/>
        <v>2.3311999999999999</v>
      </c>
      <c r="AA220" s="197">
        <f t="shared" si="70"/>
        <v>2.2837000000000001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1"/>
        <v>313</v>
      </c>
      <c r="AE220" s="77" t="str">
        <f t="shared" si="72"/>
        <v>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 &amp; 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</v>
      </c>
      <c r="AF220" s="74" t="str">
        <f t="shared" si="73"/>
        <v>"C:\Program Files (x86)\AstroGrep\AstroGrep.exe" /e /r /s /spath="%USERPROFILE%\AppData\Local\Temp\OnboardLogs" /stypes="app*4004*20170619*" /stext=" 08:.+((SYSTEM_STATE.+slice.+state.+changed )|(ment ac)|(multiple cpu faults)|(system.+state.+changed )|(\[timeout)|(PRM\|1\|D)|(kpr)|(kdp)|(train st.+moving)|(\|lc)|(penalty))"</v>
      </c>
      <c r="AG220" s="209" t="str">
        <f t="shared" si="74"/>
        <v>Other</v>
      </c>
      <c r="AH220" s="78" t="str">
        <f t="shared" si="77"/>
        <v>"%USERPROFILE%\Documents\GitHub\eaglep3\Utilities\RefineRTDCRunTimes.py" --tripid 313-18 --locoid 4004 --swversion DE.1.0.9.0 --startMP 204:475 --initTime 2017-06-19T02:09:24 --startdatetime 2017-06-19T02:11:35 --delay 1 --endMP 300:23312 --enddatetime 2017-06-19T02:25:29 --enforcementcount 0 &gt;&gt;C:\Users\stu\Documents\GitHub\eaglep3-reporting\EC\2017-06-19-refined-times.txt</v>
      </c>
      <c r="AI220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{"issue":{"subject":"","project_id":79,"tracker_id":40,"status_id":1,"priority_id":2,"assigned_to_id":23,"start_date":"2017-06-19","description":"","custom_fields":[{"id":1,"name":"Subdivision","value":"Other"},{"id":4,"name":"Milepost","value":"2.3312"},{"id":17,"name":"Train ID","value":"313-18"},{"id":16,"name":"Locomotive ID","value":"4004"},{"id":130,"name":"Impact","value":""},{"id":150,"name":"Time of Event (Mountain Time)","value":"02:25:29"},{"id":151,"name":"Denver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9"/>
        <v>start /low /b %USERPROFILE%\Documents\GitHub\eaglep3\Utilities\DownloadLogsFromS3.py --loco 4004 --day 2017-06-19</v>
      </c>
      <c r="AN220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08:25:29"},{"id":29,"name":"Sharepoint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868</v>
      </c>
      <c r="B221" s="7">
        <v>4044</v>
      </c>
      <c r="C221" s="21" t="s">
        <v>202</v>
      </c>
      <c r="D221" s="21" t="s">
        <v>492</v>
      </c>
      <c r="E221" s="13">
        <v>42906.089988425927</v>
      </c>
      <c r="F221" s="13">
        <v>42906.091770833336</v>
      </c>
      <c r="G221" s="7">
        <v>1</v>
      </c>
      <c r="H221" s="21" t="s">
        <v>944</v>
      </c>
      <c r="I221" s="13">
        <v>42906.094675925924</v>
      </c>
      <c r="J221" s="7">
        <v>0</v>
      </c>
      <c r="K221" s="89" t="str">
        <f t="shared" si="66"/>
        <v>4043/4044</v>
      </c>
      <c r="L221" s="21" t="str">
        <f>VLOOKUP(A221,'Trips&amp;Operators'!$C$1:$G$99999,5,FALSE)</f>
        <v>GUZMAN DANNY</v>
      </c>
      <c r="M221" s="6">
        <f t="shared" si="67"/>
        <v>2.9050925877527334E-3</v>
      </c>
      <c r="N221" s="7">
        <f t="shared" si="83"/>
        <v>4.1833333263639361</v>
      </c>
      <c r="O221" s="7"/>
      <c r="P221" s="7"/>
      <c r="Q221" s="22"/>
      <c r="R221" s="170"/>
      <c r="S221" s="213">
        <f t="shared" si="82"/>
        <v>1</v>
      </c>
      <c r="T221" s="195" t="str">
        <f t="shared" si="68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9"/>
        <v>https://d0f6bd738d7f1b3e5a7ca70fe4ff75f0.us-east-1.aws.found.io/app/kibana#/discover/Steve-Slow-Train-Analysis-(2080s-and-2083s)?_g=(refreshInterval:(display:Off,pause:!f,section:0,value:0),time:(from:'2017-06-20T01:09:35-0600',mode:absolute,to:'2017-06-20T03:16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1" s="197" t="str">
        <f>IF(AA221&lt;VLOOKUP(AG221,Variables!$AC$3:$AD$8,2,FALSE),"Y","N")</f>
        <v>Y</v>
      </c>
      <c r="X221" s="197">
        <f t="shared" si="81"/>
        <v>0</v>
      </c>
      <c r="Y221" s="197">
        <f t="shared" si="75"/>
        <v>4.3799999999999999E-2</v>
      </c>
      <c r="Z221" s="197">
        <f t="shared" si="76"/>
        <v>1.1674</v>
      </c>
      <c r="AA221" s="197">
        <f t="shared" si="70"/>
        <v>1.1235999999999999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1"/>
        <v>313</v>
      </c>
      <c r="AE221" s="77" t="str">
        <f t="shared" si="72"/>
        <v>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 &amp; aws s3 cp s3://rtdc.mdm.uploadarchive.raw/RTDC4044/ "%USERPROFILE%\AppData\Local\Temp\OnboardLogs"\RTDC4044\2017-06-21 --exclude "*" --recursive --include "*20170621*" &amp; "%USERPROFILE%\Documents\GitHub\mrs-test-scripts\Headless Mode &amp; Sideloading\WalkAndUnGZ.bat" "%USERPROFILE%\AppData\Local\Temp\OnboardLogs"\RTDC4044\2017-06-21</v>
      </c>
      <c r="AF221" s="74" t="str">
        <f t="shared" si="73"/>
        <v>"C:\Program Files (x86)\AstroGrep\AstroGrep.exe" /e /r /s /spath="%USERPROFILE%\AppData\Local\Temp\OnboardLogs" /stypes="app*4044*20170620*" /stext=" 08:.+((SYSTEM_STATE.+slice.+state.+changed )|(ment ac)|(multiple cpu faults)|(system.+state.+changed )|(\[timeout)|(PRM\|1\|D)|(kpr)|(kdp)|(train st.+moving)|(\|lc)|(penalty))"</v>
      </c>
      <c r="AG221" s="209" t="str">
        <f t="shared" si="74"/>
        <v>Other</v>
      </c>
      <c r="AH221" s="78" t="str">
        <f t="shared" si="77"/>
        <v>"%USERPROFILE%\Documents\GitHub\eaglep3\Utilities\RefineRTDCRunTimes.py" --tripid 313-19 --locoid 4044 --swversion DE.1.0.9.0 --startMP 204:438 --initTime 2017-06-20T02:09:35 --startdatetime 2017-06-20T02:12:09 --delay 1 --endMP 300:11674 --enddatetime 2017-06-20T02:16:20 --enforcementcount 0 &gt;&gt;C:\Users\stu\Documents\GitHub\eaglep3-reporting\EC\2017-06-19-refined-times.txt</v>
      </c>
      <c r="AI221" s="96" t="str">
        <f t="shared" si="78"/>
        <v>echo {"issue":{"subject":"","project_id":79,"tracker_id":40,"status_id":1,"priority_id":2,"assigned_to_id":23,"start_date":"2017-06-20","description":"","custom_fields":[{"id":1,"name":"Subdivision","value":"Other"},{"id":4,"name":"Milepost","value":"1.1674"},{"id":17,"name":"Train ID","value":"313-19"},{"id":16,"name":"Locomotive ID","value":"4044"},{"id":130,"name":"Impact","value":""},{"id":150,"name":"Time of Event (Mountain Time)","value":"02:16:20"},{"id":151,"name":"Denver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9"/>
        <v>start /low /b %USERPROFILE%\Documents\GitHub\eaglep3\Utilities\DownloadLogsFromS3.py --loco 4044 --day 2017-06-20</v>
      </c>
      <c r="AN221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08:16:20"},{"id":29,"name":"Sharepoint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676</v>
      </c>
      <c r="B222" s="7">
        <v>4032</v>
      </c>
      <c r="C222" s="21" t="s">
        <v>202</v>
      </c>
      <c r="D222" s="21" t="s">
        <v>1026</v>
      </c>
      <c r="E222" s="13">
        <v>42905.207025462965</v>
      </c>
      <c r="F222" s="13">
        <v>42905.210462962961</v>
      </c>
      <c r="G222" s="7">
        <v>4</v>
      </c>
      <c r="H222" s="21" t="s">
        <v>493</v>
      </c>
      <c r="I222" s="13">
        <v>42905.21601851852</v>
      </c>
      <c r="J222" s="7">
        <v>0</v>
      </c>
      <c r="K222" s="89" t="str">
        <f t="shared" si="66"/>
        <v>4031/4032</v>
      </c>
      <c r="L222" s="21" t="str">
        <f>VLOOKUP(A222,'Trips&amp;Operators'!$C$1:$G$99999,5,FALSE)</f>
        <v>DAVIDSON DAVID</v>
      </c>
      <c r="M222" s="6">
        <f t="shared" si="67"/>
        <v>5.5555555591126904E-3</v>
      </c>
      <c r="N222" s="7">
        <f t="shared" si="83"/>
        <v>8.0000000051222742</v>
      </c>
      <c r="O222" s="7"/>
      <c r="P222" s="7"/>
      <c r="Q222" s="22"/>
      <c r="R222" s="170"/>
      <c r="S222" s="213">
        <f t="shared" si="82"/>
        <v>0</v>
      </c>
      <c r="T222" s="195" t="str">
        <f t="shared" si="68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69"/>
        <v>https://d0f6bd738d7f1b3e5a7ca70fe4ff75f0.us-east-1.aws.found.io/app/kibana#/discover/Steve-Slow-Train-Analysis-(2080s-and-2083s)?_g=(refreshInterval:(display:Off,pause:!f,section:0,value:0),time:(from:'2017-06-19T03:58:07-0600',mode:absolute,to:'2017-06-19T06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197" t="str">
        <f>IF(AA222&lt;VLOOKUP(AG222,Variables!$AC$3:$AD$8,2,FALSE),"Y","N")</f>
        <v>Y</v>
      </c>
      <c r="X222" s="197">
        <f t="shared" si="81"/>
        <v>588</v>
      </c>
      <c r="Y222" s="197">
        <f t="shared" si="75"/>
        <v>3.0005999999999999</v>
      </c>
      <c r="Z222" s="197">
        <f t="shared" si="76"/>
        <v>5.8939000000000004</v>
      </c>
      <c r="AA222" s="197">
        <f t="shared" si="70"/>
        <v>2.8933000000000004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1"/>
        <v>901</v>
      </c>
      <c r="AE222" s="77" t="str">
        <f t="shared" si="7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222" s="74" t="str">
        <f t="shared" si="73"/>
        <v>"C:\Program Files (x86)\AstroGrep\AstroGrep.exe" /e /r /s /spath="%USERPROFILE%\AppData\Local\Temp\OnboardLogs" /stypes="app*4032*20170619*" /stext=" 11:.+((SYSTEM_STATE.+slice.+state.+changed )|(ment ac)|(multiple cpu faults)|(system.+state.+changed )|(\[timeout)|(PRM\|1\|D)|(kpr)|(kdp)|(train st.+moving)|(\|lc)|(penalty))"</v>
      </c>
      <c r="AG222" s="209" t="str">
        <f t="shared" si="74"/>
        <v>Other</v>
      </c>
      <c r="AH222" s="78" t="str">
        <f t="shared" si="77"/>
        <v>"%USERPROFILE%\Documents\GitHub\eaglep3\Utilities\RefineRTDCRunTimes.py" --tripid 901-19 --locoid 4032 --swversion DE.1.0.9.0 --startMP 300:30006 --initTime 2017-06-19T04:58:07 --startdatetime 2017-06-19T05:03:04 --delay 4 --endMP 300:58939 --enddatetime 2017-06-19T05:11:04 --enforcementcount 0 &gt;&gt;C:\Users\stu\Documents\GitHub\eaglep3-reporting\EC\2017-06-19-refined-times.txt</v>
      </c>
      <c r="AI222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{"issue":{"subject":"","project_id":79,"tracker_id":40,"status_id":1,"priority_id":2,"assigned_to_id":23,"start_date":"2017-06-19","description":"","custom_fields":[{"id":1,"name":"Subdivision","value":"Other"},{"id":4,"name":"Milepost","value":"5.8939"},{"id":17,"name":"Train ID","value":"901-19"},{"id":16,"name":"Locomotive ID","value":"4032"},{"id":130,"name":"Impact","value":""},{"id":150,"name":"Time of Event (Mountain Time)","value":"05:11:04"},{"id":151,"name":"Denver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9"/>
        <v>start /low /b %USERPROFILE%\Documents\GitHub\eaglep3\Utilities\DownloadLogsFromS3.py --loco 4032 --day 2017-06-19</v>
      </c>
      <c r="AN222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11:11:04"},{"id":29,"name":"Sharepoint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687</v>
      </c>
      <c r="B223" s="7">
        <v>4023</v>
      </c>
      <c r="C223" s="21" t="s">
        <v>202</v>
      </c>
      <c r="D223" s="21" t="s">
        <v>1027</v>
      </c>
      <c r="E223" s="13">
        <v>42905.250925925924</v>
      </c>
      <c r="F223" s="13">
        <v>42905.254166666666</v>
      </c>
      <c r="G223" s="7">
        <v>4</v>
      </c>
      <c r="H223" s="21" t="s">
        <v>601</v>
      </c>
      <c r="I223" s="13">
        <v>42905.259502314817</v>
      </c>
      <c r="J223" s="7">
        <v>0</v>
      </c>
      <c r="K223" s="89" t="str">
        <f t="shared" si="66"/>
        <v>4023/4024</v>
      </c>
      <c r="L223" s="21" t="str">
        <f>VLOOKUP(A223,'Trips&amp;Operators'!$C$1:$G$99999,5,FALSE)</f>
        <v>LOZA FIDEL</v>
      </c>
      <c r="M223" s="6">
        <f t="shared" si="67"/>
        <v>5.3356481512309983E-3</v>
      </c>
      <c r="N223" s="7">
        <f t="shared" si="83"/>
        <v>7.6833333377726376</v>
      </c>
      <c r="O223" s="7"/>
      <c r="P223" s="7"/>
      <c r="Q223" s="22"/>
      <c r="R223" s="170"/>
      <c r="S223" s="213">
        <f t="shared" si="82"/>
        <v>1</v>
      </c>
      <c r="T223" s="195" t="str">
        <f t="shared" si="68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9"/>
        <v>https://d0f6bd738d7f1b3e5a7ca70fe4ff75f0.us-east-1.aws.found.io/app/kibana#/discover/Steve-Slow-Train-Analysis-(2080s-and-2083s)?_g=(refreshInterval:(display:Off,pause:!f,section:0,value:0),time:(from:'2017-06-19T05:01:20-0600',mode:absolute,to:'2017-06-19T07:13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197" t="str">
        <f>IF(AA223&lt;VLOOKUP(AG223,Variables!$AC$3:$AD$8,2,FALSE),"Y","N")</f>
        <v>Y</v>
      </c>
      <c r="X223" s="197">
        <f t="shared" si="81"/>
        <v>1</v>
      </c>
      <c r="Y223" s="197">
        <f t="shared" si="75"/>
        <v>2.3058999999999998</v>
      </c>
      <c r="Z223" s="197">
        <f t="shared" si="76"/>
        <v>6.8000000000000005E-2</v>
      </c>
      <c r="AA223" s="197">
        <f t="shared" si="70"/>
        <v>2.2378999999999998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1"/>
        <v>902</v>
      </c>
      <c r="AE223" s="77" t="str">
        <f t="shared" si="7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223" s="74" t="str">
        <f t="shared" si="73"/>
        <v>"C:\Program Files (x86)\AstroGrep\AstroGrep.exe" /e /r /s /spath="%USERPROFILE%\AppData\Local\Temp\OnboardLogs" /stypes="app*4023*20170619*" /stext=" 12:.+((SYSTEM_STATE.+slice.+state.+changed )|(ment ac)|(multiple cpu faults)|(system.+state.+changed )|(\[timeout)|(PRM\|1\|D)|(kpr)|(kdp)|(train st.+moving)|(\|lc)|(penalty))"</v>
      </c>
      <c r="AG223" s="209" t="str">
        <f t="shared" si="74"/>
        <v>Other</v>
      </c>
      <c r="AH223" s="78" t="str">
        <f t="shared" si="77"/>
        <v>"%USERPROFILE%\Documents\GitHub\eaglep3\Utilities\RefineRTDCRunTimes.py" --tripid 902-19 --locoid 4023 --swversion DE.1.0.9.0 --startMP 300:23059 --initTime 2017-06-19T06:01:20 --startdatetime 2017-06-19T06:06:00 --delay 4 --endMP 204:680 --enddatetime 2017-06-19T06:13:41 --enforcementcount 0 &gt;&gt;C:\Users\stu\Documents\GitHub\eaglep3-reporting\EC\2017-06-19-refined-times.txt</v>
      </c>
      <c r="AI223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{"issue":{"subject":"","project_id":79,"tracker_id":40,"status_id":1,"priority_id":2,"assigned_to_id":23,"start_date":"2017-06-19","description":"","custom_fields":[{"id":1,"name":"Subdivision","value":"Other"},{"id":4,"name":"Milepost","value":"0.068"},{"id":17,"name":"Train ID","value":"902-19"},{"id":16,"name":"Locomotive ID","value":"4023"},{"id":130,"name":"Impact","value":""},{"id":150,"name":"Time of Event (Mountain Time)","value":"06:13:41"},{"id":151,"name":"Denver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9"/>
        <v>start /low /b %USERPROFILE%\Documents\GitHub\eaglep3\Utilities\DownloadLogsFromS3.py --loco 4023 --day 2017-06-19</v>
      </c>
      <c r="AN223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12:13:41"},{"id":29,"name":"Sharepoint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717</v>
      </c>
      <c r="B224" s="7">
        <v>4032</v>
      </c>
      <c r="C224" s="21" t="s">
        <v>202</v>
      </c>
      <c r="D224" s="21" t="s">
        <v>1028</v>
      </c>
      <c r="E224" s="13">
        <v>42905.352939814817</v>
      </c>
      <c r="F224" s="13">
        <v>42905.354953703703</v>
      </c>
      <c r="G224" s="7">
        <v>1</v>
      </c>
      <c r="H224" s="21" t="s">
        <v>1029</v>
      </c>
      <c r="I224" s="13">
        <v>42905.360127314816</v>
      </c>
      <c r="J224" s="7">
        <v>0</v>
      </c>
      <c r="K224" s="89" t="str">
        <f t="shared" si="66"/>
        <v>4031/4032</v>
      </c>
      <c r="L224" s="21" t="str">
        <f>VLOOKUP(A224,'Trips&amp;Operators'!$C$1:$G$99999,5,FALSE)</f>
        <v>DAVIDSON DAVID</v>
      </c>
      <c r="M224" s="6">
        <f t="shared" si="67"/>
        <v>5.173611112695653E-3</v>
      </c>
      <c r="N224" s="7">
        <f t="shared" si="83"/>
        <v>7.4500000022817403</v>
      </c>
      <c r="O224" s="7"/>
      <c r="P224" s="7"/>
      <c r="Q224" s="22"/>
      <c r="R224" s="170"/>
      <c r="S224" s="213">
        <f t="shared" si="82"/>
        <v>1</v>
      </c>
      <c r="T224" s="195" t="str">
        <f t="shared" si="68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69"/>
        <v>https://d0f6bd738d7f1b3e5a7ca70fe4ff75f0.us-east-1.aws.found.io/app/kibana#/discover/Steve-Slow-Train-Analysis-(2080s-and-2083s)?_g=(refreshInterval:(display:Off,pause:!f,section:0,value:0),time:(from:'2017-06-19T07:28:14-0600',mode:absolute,to:'2017-06-19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197" t="str">
        <f>IF(AA224&lt;VLOOKUP(AG224,Variables!$AC$3:$AD$8,2,FALSE),"Y","N")</f>
        <v>Y</v>
      </c>
      <c r="X224" s="197">
        <f t="shared" si="81"/>
        <v>1</v>
      </c>
      <c r="Y224" s="197">
        <f t="shared" si="75"/>
        <v>9.8599999999999993E-2</v>
      </c>
      <c r="Z224" s="197">
        <f t="shared" si="76"/>
        <v>2.4226999999999999</v>
      </c>
      <c r="AA224" s="197">
        <f t="shared" si="70"/>
        <v>2.3241000000000001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1"/>
        <v>903</v>
      </c>
      <c r="AE224" s="77" t="str">
        <f t="shared" si="72"/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AF224" s="74" t="str">
        <f t="shared" si="73"/>
        <v>"C:\Program Files (x86)\AstroGrep\AstroGrep.exe" /e /r /s /spath="%USERPROFILE%\AppData\Local\Temp\OnboardLogs" /stypes="app*4032*20170619*" /stext=" 14:.+((SYSTEM_STATE.+slice.+state.+changed )|(ment ac)|(multiple cpu faults)|(system.+state.+changed )|(\[timeout)|(PRM\|1\|D)|(kpr)|(kdp)|(train st.+moving)|(\|lc)|(penalty))"</v>
      </c>
      <c r="AG224" s="209" t="str">
        <f t="shared" si="74"/>
        <v>Other</v>
      </c>
      <c r="AH224" s="78" t="str">
        <f t="shared" si="77"/>
        <v>"%USERPROFILE%\Documents\GitHub\eaglep3\Utilities\RefineRTDCRunTimes.py" --tripid 903-19 --locoid 4032 --swversion DE.1.0.9.0 --startMP 204:986 --initTime 2017-06-19T08:28:14 --startdatetime 2017-06-19T08:31:08 --delay 1 --endMP 300:24227 --enddatetime 2017-06-19T08:38:35 --enforcementcount 0 &gt;&gt;C:\Users\stu\Documents\GitHub\eaglep3-reporting\EC\2017-06-19-refined-times.txt</v>
      </c>
      <c r="AI224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{"issue":{"subject":"","project_id":79,"tracker_id":40,"status_id":1,"priority_id":2,"assigned_to_id":23,"start_date":"2017-06-19","description":"","custom_fields":[{"id":1,"name":"Subdivision","value":"Other"},{"id":4,"name":"Milepost","value":"2.4227"},{"id":17,"name":"Train ID","value":"903-19"},{"id":16,"name":"Locomotive ID","value":"4032"},{"id":130,"name":"Impact","value":""},{"id":150,"name":"Time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9"/>
        <v>start /low /b %USERPROFILE%\Documents\GitHub\eaglep3\Utilities\DownloadLogsFromS3.py --loco 4032 --day 2017-06-19</v>
      </c>
      <c r="AN224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14:38:35"},{"id":29,"name":"Sharepoint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791</v>
      </c>
      <c r="B225" s="7">
        <v>4031</v>
      </c>
      <c r="C225" s="21" t="s">
        <v>202</v>
      </c>
      <c r="D225" s="21" t="s">
        <v>1030</v>
      </c>
      <c r="E225" s="13">
        <v>42905.636782407404</v>
      </c>
      <c r="F225" s="13">
        <v>42905.639606481483</v>
      </c>
      <c r="G225" s="7">
        <v>4</v>
      </c>
      <c r="H225" s="21" t="s">
        <v>1031</v>
      </c>
      <c r="I225" s="13">
        <v>42905.644629629627</v>
      </c>
      <c r="J225" s="7">
        <v>0</v>
      </c>
      <c r="K225" s="89" t="str">
        <f t="shared" si="66"/>
        <v>4031/4032</v>
      </c>
      <c r="L225" s="21" t="str">
        <f>VLOOKUP(A225,'Trips&amp;Operators'!$C$1:$G$99999,5,FALSE)</f>
        <v>STAMBAUGH JAMES</v>
      </c>
      <c r="M225" s="6">
        <f t="shared" si="67"/>
        <v>5.0231481436640024E-3</v>
      </c>
      <c r="N225" s="7">
        <f t="shared" si="83"/>
        <v>7.2333333268761635</v>
      </c>
      <c r="O225" s="7"/>
      <c r="P225" s="7"/>
      <c r="Q225" s="22"/>
      <c r="R225" s="170"/>
      <c r="S225" s="213">
        <f t="shared" si="82"/>
        <v>1</v>
      </c>
      <c r="T225" s="195" t="str">
        <f t="shared" si="68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69"/>
        <v>https://d0f6bd738d7f1b3e5a7ca70fe4ff75f0.us-east-1.aws.found.io/app/kibana#/discover/Steve-Slow-Train-Analysis-(2080s-and-2083s)?_g=(refreshInterval:(display:Off,pause:!f,section:0,value:0),time:(from:'2017-06-19T14:16:58-0600',mode:absolute,to:'2017-06-19T16:28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97" t="str">
        <f>IF(AA225&lt;VLOOKUP(AG225,Variables!$AC$3:$AD$8,2,FALSE),"Y","N")</f>
        <v>Y</v>
      </c>
      <c r="X225" s="197">
        <f t="shared" si="81"/>
        <v>1</v>
      </c>
      <c r="Y225" s="197">
        <f t="shared" si="75"/>
        <v>2.3650000000000002</v>
      </c>
      <c r="Z225" s="197">
        <f t="shared" si="76"/>
        <v>6.3100000000000003E-2</v>
      </c>
      <c r="AA225" s="197">
        <f t="shared" si="70"/>
        <v>2.3019000000000003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1"/>
        <v>904</v>
      </c>
      <c r="AE225" s="77" t="str">
        <f t="shared" si="7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225" s="74" t="str">
        <f t="shared" si="73"/>
        <v>"C:\Program Files (x86)\AstroGrep\AstroGrep.exe" /e /r /s /spath="%USERPROFILE%\AppData\Local\Temp\OnboardLogs" /stypes="app*4031*20170619*" /stext=" 21:.+((SYSTEM_STATE.+slice.+state.+changed )|(ment ac)|(multiple cpu faults)|(system.+state.+changed )|(\[timeout)|(PRM\|1\|D)|(kpr)|(kdp)|(train st.+moving)|(\|lc)|(penalty))"</v>
      </c>
      <c r="AG225" s="209" t="str">
        <f t="shared" si="74"/>
        <v>Other</v>
      </c>
      <c r="AH225" s="78" t="str">
        <f t="shared" si="77"/>
        <v>"%USERPROFILE%\Documents\GitHub\eaglep3\Utilities\RefineRTDCRunTimes.py" --tripid 904-19 --locoid 4031 --swversion DE.1.0.9.0 --startMP 300:23650 --initTime 2017-06-19T15:16:58 --startdatetime 2017-06-19T15:21:02 --delay 4 --endMP 204:631 --enddatetime 2017-06-19T15:28:16 --enforcementcount 0 &gt;&gt;C:\Users\stu\Documents\GitHub\eaglep3-reporting\EC\2017-06-19-refined-times.txt</v>
      </c>
      <c r="AI225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{"issue":{"subject":"","project_id":79,"tracker_id":40,"status_id":1,"priority_id":2,"assigned_to_id":23,"start_date":"2017-06-19","description":"","custom_fields":[{"id":1,"name":"Subdivision","value":"Other"},{"id":4,"name":"Milepost","value":"0.0631"},{"id":17,"name":"Train ID","value":"904-19"},{"id":16,"name":"Locomotive ID","value":"4031"},{"id":130,"name":"Impact","value":""},{"id":150,"name":"Time of Event (Mountain Time)","value":"15:28:16"},{"id":151,"name":"Denver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79"/>
        <v>start /low /b %USERPROFILE%\Documents\GitHub\eaglep3\Utilities\DownloadLogsFromS3.py --loco 4031 --day 2017-06-19</v>
      </c>
      <c r="AN225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21:28:16"},{"id":29,"name":"Sharepoint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834</v>
      </c>
      <c r="B226" s="7">
        <v>4031</v>
      </c>
      <c r="C226" s="21" t="s">
        <v>202</v>
      </c>
      <c r="D226" s="21" t="s">
        <v>1032</v>
      </c>
      <c r="E226" s="13">
        <v>42905.796273148146</v>
      </c>
      <c r="F226" s="13">
        <v>42905.797789351855</v>
      </c>
      <c r="G226" s="7">
        <v>1</v>
      </c>
      <c r="H226" s="21" t="s">
        <v>1033</v>
      </c>
      <c r="I226" s="13">
        <v>42905.804456018515</v>
      </c>
      <c r="J226" s="7">
        <v>0</v>
      </c>
      <c r="K226" s="89" t="str">
        <f t="shared" si="66"/>
        <v>4031/4032</v>
      </c>
      <c r="L226" s="21" t="str">
        <f>VLOOKUP(A226,'Trips&amp;Operators'!$C$1:$G$99999,5,FALSE)</f>
        <v>STAMBAUGH JAMES</v>
      </c>
      <c r="M226" s="6">
        <f t="shared" si="67"/>
        <v>6.6666666607488878E-3</v>
      </c>
      <c r="N226" s="7">
        <f t="shared" si="83"/>
        <v>9.5999999914783984</v>
      </c>
      <c r="O226" s="7"/>
      <c r="P226" s="7"/>
      <c r="Q226" s="22"/>
      <c r="R226" s="170"/>
      <c r="S226" s="213">
        <f t="shared" si="82"/>
        <v>0</v>
      </c>
      <c r="T226" s="195" t="str">
        <f t="shared" si="68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9"/>
        <v>https://d0f6bd738d7f1b3e5a7ca70fe4ff75f0.us-east-1.aws.found.io/app/kibana#/discover/Steve-Slow-Train-Analysis-(2080s-and-2083s)?_g=(refreshInterval:(display:Off,pause:!f,section:0,value:0),time:(from:'2017-06-19T18:06:38-0600',mode:absolute,to:'2017-06-19T20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97" t="str">
        <f>IF(AA226&lt;VLOOKUP(AG226,Variables!$AC$3:$AD$8,2,FALSE),"Y","N")</f>
        <v>Y</v>
      </c>
      <c r="X226" s="197">
        <f t="shared" si="81"/>
        <v>2</v>
      </c>
      <c r="Y226" s="197">
        <f t="shared" si="75"/>
        <v>5.87</v>
      </c>
      <c r="Z226" s="197">
        <f t="shared" si="76"/>
        <v>2.8763000000000001</v>
      </c>
      <c r="AA226" s="197">
        <f t="shared" si="70"/>
        <v>2.9937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1"/>
        <v>906</v>
      </c>
      <c r="AE226" s="77" t="str">
        <f t="shared" si="72"/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AF226" s="74" t="str">
        <f t="shared" si="73"/>
        <v>"C:\Program Files (x86)\AstroGrep\AstroGrep.exe" /e /r /s /spath="%USERPROFILE%\AppData\Local\Temp\OnboardLogs" /stypes="app*4031*20170620*" /stext=" 01:.+((SYSTEM_STATE.+slice.+state.+changed )|(ment ac)|(multiple cpu faults)|(system.+state.+changed )|(\[timeout)|(PRM\|1\|D)|(kpr)|(kdp)|(train st.+moving)|(\|lc)|(penalty))"</v>
      </c>
      <c r="AG226" s="209" t="str">
        <f t="shared" si="74"/>
        <v>Other</v>
      </c>
      <c r="AH226" s="78" t="str">
        <f t="shared" si="77"/>
        <v>"%USERPROFILE%\Documents\GitHub\eaglep3\Utilities\RefineRTDCRunTimes.py" --tripid 906-19 --locoid 4031 --swversion DE.1.0.9.0 --startMP 300:58700 --initTime 2017-06-19T19:06:38 --startdatetime 2017-06-19T19:08:49 --delay 1 --endMP 300:28763 --enddatetime 2017-06-19T19:18:25 --enforcementcount 0 &gt;&gt;C:\Users\stu\Documents\GitHub\eaglep3-reporting\EC\2017-06-19-refined-times.txt</v>
      </c>
      <c r="AI226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{"issue":{"subject":"","project_id":79,"tracker_id":40,"status_id":1,"priority_id":2,"assigned_to_id":23,"start_date":"2017-06-19","description":"","custom_fields":[{"id":1,"name":"Subdivision","value":"Other"},{"id":4,"name":"Milepost","value":"2.8763"},{"id":17,"name":"Train ID","value":"906-19"},{"id":16,"name":"Locomotive ID","value":"4031"},{"id":130,"name":"Impact","value":""},{"id":150,"name":"Time of Event (Mountain Time)","value":"19:18:25"},{"id":151,"name":"Denver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9"/>
        <v>start /low /b %USERPROFILE%\Documents\GitHub\eaglep3\Utilities\DownloadLogsFromS3.py --loco 4031 --day 2017-06-19</v>
      </c>
      <c r="AN226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01:18:25"},{"id":29,"name":"Sharepoint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854</v>
      </c>
      <c r="B227" s="7">
        <v>4023</v>
      </c>
      <c r="C227" s="21" t="s">
        <v>202</v>
      </c>
      <c r="D227" s="21" t="s">
        <v>1034</v>
      </c>
      <c r="E227" s="13">
        <v>42905.941759259258</v>
      </c>
      <c r="F227" s="13">
        <v>42905.949062500003</v>
      </c>
      <c r="G227" s="7">
        <v>1</v>
      </c>
      <c r="H227" s="21" t="s">
        <v>1035</v>
      </c>
      <c r="I227" s="13">
        <v>42905.950833333336</v>
      </c>
      <c r="J227" s="7">
        <v>0</v>
      </c>
      <c r="K227" s="89" t="str">
        <f t="shared" si="66"/>
        <v>4023/4024</v>
      </c>
      <c r="L227" s="21" t="str">
        <f>VLOOKUP(A227,'Trips&amp;Operators'!$C$1:$G$99999,5,FALSE)</f>
        <v>STAMBAUGH JAMES</v>
      </c>
      <c r="M227" s="6">
        <f t="shared" si="67"/>
        <v>1.7708333325572312E-3</v>
      </c>
      <c r="N227" s="7">
        <f t="shared" si="83"/>
        <v>2.5499999988824129</v>
      </c>
      <c r="O227" s="7"/>
      <c r="P227" s="7"/>
      <c r="Q227" s="22"/>
      <c r="R227" s="170"/>
      <c r="S227" s="213">
        <f t="shared" si="82"/>
        <v>0</v>
      </c>
      <c r="T227" s="195" t="str">
        <f t="shared" si="68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69"/>
        <v>https://d0f6bd738d7f1b3e5a7ca70fe4ff75f0.us-east-1.aws.found.io/app/kibana#/discover/Steve-Slow-Train-Analysis-(2080s-and-2083s)?_g=(refreshInterval:(display:Off,pause:!f,section:0,value:0),time:(from:'2017-06-19T21:36:08-0600',mode:absolute,to:'2017-06-19T23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7" s="197" t="str">
        <f>IF(AA227&lt;VLOOKUP(AG227,Variables!$AC$3:$AD$8,2,FALSE),"Y","N")</f>
        <v>Y</v>
      </c>
      <c r="X227" s="197">
        <f t="shared" si="81"/>
        <v>2</v>
      </c>
      <c r="Y227" s="197">
        <f t="shared" si="75"/>
        <v>5.8644999999999996</v>
      </c>
      <c r="Z227" s="197">
        <f t="shared" si="76"/>
        <v>2.1486000000000001</v>
      </c>
      <c r="AA227" s="197">
        <f t="shared" si="70"/>
        <v>3.7158999999999995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1"/>
        <v>908</v>
      </c>
      <c r="AE227" s="77" t="str">
        <f t="shared" si="72"/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AF227" s="74" t="str">
        <f t="shared" si="73"/>
        <v>"C:\Program Files (x86)\AstroGrep\AstroGrep.exe" /e /r /s /spath="%USERPROFILE%\AppData\Local\Temp\OnboardLogs" /stypes="app*4023*20170620*" /stext=" 04:.+((SYSTEM_STATE.+slice.+state.+changed )|(ment ac)|(multiple cpu faults)|(system.+state.+changed )|(\[timeout)|(PRM\|1\|D)|(kpr)|(kdp)|(train st.+moving)|(\|lc)|(penalty))"</v>
      </c>
      <c r="AG227" s="209" t="str">
        <f t="shared" si="74"/>
        <v>Other</v>
      </c>
      <c r="AH227" s="78" t="str">
        <f t="shared" si="77"/>
        <v>"%USERPROFILE%\Documents\GitHub\eaglep3\Utilities\RefineRTDCRunTimes.py" --tripid 908-19 --locoid 4023 --swversion DE.1.0.9.0 --startMP 300:58645 --initTime 2017-06-19T22:36:08 --startdatetime 2017-06-19T22:46:39 --delay 1 --endMP 300:21486 --enddatetime 2017-06-19T22:49:12 --enforcementcount 0 &gt;&gt;C:\Users\stu\Documents\GitHub\eaglep3-reporting\EC\2017-06-19-refined-times.txt</v>
      </c>
      <c r="AI227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{"issue":{"subject":"","project_id":79,"tracker_id":40,"status_id":1,"priority_id":2,"assigned_to_id":23,"start_date":"2017-06-19","description":"","custom_fields":[{"id":1,"name":"Subdivision","value":"Other"},{"id":4,"name":"Milepost","value":"2.1486"},{"id":17,"name":"Train ID","value":"908-19"},{"id":16,"name":"Locomotive ID","value":"4023"},{"id":130,"name":"Impact","value":""},{"id":150,"name":"Time of Event (Mountain Time)","value":"22:49:12"},{"id":151,"name":"Denver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9"/>
        <v>start /low /b %USERPROFILE%\Documents\GitHub\eaglep3\Utilities\DownloadLogsFromS3.py --loco 4023 --day 2017-06-19</v>
      </c>
      <c r="AN227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s="20" customFormat="1" x14ac:dyDescent="0.25">
      <c r="A228" s="32" t="s">
        <v>854</v>
      </c>
      <c r="B228" s="7">
        <v>4024</v>
      </c>
      <c r="C228" s="21" t="s">
        <v>202</v>
      </c>
      <c r="D228" s="21" t="s">
        <v>1036</v>
      </c>
      <c r="E228" s="13">
        <v>42905.948020833333</v>
      </c>
      <c r="F228" s="13">
        <v>42905.949062500003</v>
      </c>
      <c r="G228" s="7">
        <v>1</v>
      </c>
      <c r="H228" s="21" t="s">
        <v>934</v>
      </c>
      <c r="I228" s="13">
        <v>42905.950833333336</v>
      </c>
      <c r="J228" s="7">
        <v>0</v>
      </c>
      <c r="K228" s="89" t="str">
        <f t="shared" si="66"/>
        <v>4023/4024</v>
      </c>
      <c r="L228" s="21" t="str">
        <f>VLOOKUP(A228,'Trips&amp;Operators'!$C$1:$G$99999,5,FALSE)</f>
        <v>STAMBAUGH JAMES</v>
      </c>
      <c r="M228" s="6">
        <f t="shared" si="67"/>
        <v>1.7708333325572312E-3</v>
      </c>
      <c r="N228" s="7">
        <f t="shared" si="83"/>
        <v>2.5499999988824129</v>
      </c>
      <c r="O228" s="7"/>
      <c r="P228" s="7"/>
      <c r="Q228" s="22"/>
      <c r="R228" s="170"/>
      <c r="S228" s="213">
        <f t="shared" si="82"/>
        <v>0</v>
      </c>
      <c r="T228" s="195" t="str">
        <f t="shared" si="68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69"/>
        <v>https://d0f6bd738d7f1b3e5a7ca70fe4ff75f0.us-east-1.aws.found.io/app/kibana#/discover/Steve-Slow-Train-Analysis-(2080s-and-2083s)?_g=(refreshInterval:(display:Off,pause:!f,section:0,value:0),time:(from:'2017-06-19T21:45:09-0600',mode:absolute,to:'2017-06-19T23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197" t="str">
        <f>IF(AA228&lt;VLOOKUP(AG228,Variables!$AC$3:$AD$8,2,FALSE),"Y","N")</f>
        <v>Y</v>
      </c>
      <c r="X228" s="197">
        <f t="shared" si="81"/>
        <v>0</v>
      </c>
      <c r="Y228" s="197">
        <f t="shared" si="75"/>
        <v>2.1793</v>
      </c>
      <c r="Z228" s="197">
        <f t="shared" si="76"/>
        <v>2.331</v>
      </c>
      <c r="AA228" s="197">
        <f t="shared" si="70"/>
        <v>0.15169999999999995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1"/>
        <v>908</v>
      </c>
      <c r="AE228" s="77" t="str">
        <f t="shared" si="72"/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AF228" s="74" t="str">
        <f t="shared" si="73"/>
        <v>"C:\Program Files (x86)\AstroGrep\AstroGrep.exe" /e /r /s /spath="%USERPROFILE%\AppData\Local\Temp\OnboardLogs" /stypes="app*4024*20170620*" /stext=" 04:.+((SYSTEM_STATE.+slice.+state.+changed )|(ment ac)|(multiple cpu faults)|(system.+state.+changed )|(\[timeout)|(PRM\|1\|D)|(kpr)|(kdp)|(train st.+moving)|(\|lc)|(penalty))"</v>
      </c>
      <c r="AG228" s="209" t="str">
        <f t="shared" si="74"/>
        <v>Other</v>
      </c>
      <c r="AH228" s="78" t="str">
        <f t="shared" si="77"/>
        <v>"%USERPROFILE%\Documents\GitHub\eaglep3\Utilities\RefineRTDCRunTimes.py" --tripid 908-19 --locoid 4024 --swversion DE.1.0.9.0 --startMP 300:21793 --initTime 2017-06-19T22:45:09 --startdatetime 2017-06-19T22:46:39 --delay 1 --endMP 300:23310 --enddatetime 2017-06-19T22:49:12 --enforcementcount 0 &gt;&gt;C:\Users\stu\Documents\GitHub\eaglep3-reporting\EC\2017-06-19-refined-times.txt</v>
      </c>
      <c r="AI228" s="96" t="str">
        <f t="shared" si="78"/>
        <v>echo {"issue":{"subject":"","project_id":79,"tracker_id":40,"status_id":1,"priority_id":2,"assigned_to_id":23,"start_date":"2017-06-19","description":"","custom_fields":[{"id":1,"name":"Subdivision","value":"Other"},{"id":4,"name":"Milepost","value":"2.331"},{"id":17,"name":"Train ID","value":"908-19"},{"id":16,"name":"Locomotive ID","value":"4024"},{"id":130,"name":"Impact","value":""},{"id":150,"name":"Time of Event (Mountain Time)","value":"22:49:12"},{"id":151,"name":"Denver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79"/>
        <v>start /low /b %USERPROFILE%\Documents\GitHub\eaglep3\Utilities\DownloadLogsFromS3.py --loco 4024 --day 2017-06-19</v>
      </c>
      <c r="AN228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04:49:12"},{"id":29,"name":"Sharepoint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775</v>
      </c>
      <c r="B229" s="7">
        <v>4029</v>
      </c>
      <c r="C229" s="21" t="s">
        <v>202</v>
      </c>
      <c r="D229" s="21" t="s">
        <v>945</v>
      </c>
      <c r="E229" s="13">
        <v>42905.576921296299</v>
      </c>
      <c r="F229" s="13">
        <v>42905.578194444446</v>
      </c>
      <c r="G229" s="7">
        <v>1</v>
      </c>
      <c r="H229" s="21" t="s">
        <v>193</v>
      </c>
      <c r="I229" s="13">
        <v>42905.579328703701</v>
      </c>
      <c r="J229" s="7">
        <v>0</v>
      </c>
      <c r="K229" s="89" t="str">
        <f t="shared" si="66"/>
        <v>4029/4030</v>
      </c>
      <c r="L229" s="21" t="str">
        <f>VLOOKUP(A229,'Trips&amp;Operators'!$C$1:$G$99999,5,FALSE)</f>
        <v>NEWELL JAMES</v>
      </c>
      <c r="M229" s="6">
        <f t="shared" si="67"/>
        <v>1.1342592551955022E-3</v>
      </c>
      <c r="N229" s="7">
        <f t="shared" si="83"/>
        <v>1.6333333274815232</v>
      </c>
      <c r="O229" s="7"/>
      <c r="P229" s="7"/>
      <c r="Q229" s="22"/>
      <c r="R229" s="170"/>
      <c r="S229" s="213">
        <f t="shared" si="82"/>
        <v>0</v>
      </c>
      <c r="T229" s="195" t="str">
        <f t="shared" si="68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9"/>
        <v>https://d0f6bd738d7f1b3e5a7ca70fe4ff75f0.us-east-1.aws.found.io/app/kibana#/discover/Steve-Slow-Train-Analysis-(2080s-and-2083s)?_g=(refreshInterval:(display:Off,pause:!f,section:0,value:0),time:(from:'2017-06-19T12:50:46-0600',mode:absolute,to:'2017-06-19T14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7" t="str">
        <f>IF(AA229&lt;VLOOKUP(AG229,Variables!$AC$3:$AD$8,2,FALSE),"Y","N")</f>
        <v>Y</v>
      </c>
      <c r="X229" s="197">
        <f t="shared" si="81"/>
        <v>-858</v>
      </c>
      <c r="Y229" s="197">
        <f t="shared" si="75"/>
        <v>0.31240000000000001</v>
      </c>
      <c r="Z229" s="197">
        <f t="shared" si="76"/>
        <v>1.52E-2</v>
      </c>
      <c r="AA229" s="197">
        <f t="shared" si="70"/>
        <v>0.29720000000000002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1"/>
        <v>50</v>
      </c>
      <c r="AE229" s="77" t="str">
        <f t="shared" si="72"/>
        <v>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 &amp; aws s3 cp s3://rtdc.mdm.uploadarchive.raw/RTDC4029/ "%USERPROFILE%\AppData\Local\Temp\OnboardLogs"\RTDC4029\2017-06-20 --exclude "*" --recursive --include "*20170620*" &amp; "%USERPROFILE%\Documents\GitHub\mrs-test-scripts\Headless Mode &amp; Sideloading\WalkAndUnGZ.bat" "%USERPROFILE%\AppData\Local\Temp\OnboardLogs"\RTDC4029\2017-06-20</v>
      </c>
      <c r="AF229" s="74" t="str">
        <f t="shared" si="73"/>
        <v>"C:\Program Files (x86)\AstroGrep\AstroGrep.exe" /e /r /s /spath="%USERPROFILE%\AppData\Local\Temp\OnboardLogs" /stypes="app*4029*20170619*" /stext=" 19:.+((SYSTEM_STATE.+slice.+state.+changed )|(ment ac)|(multiple cpu faults)|(system.+state.+changed )|(\[timeout)|(PRM\|1\|D)|(kpr)|(kdp)|(train st.+moving)|(\|lc)|(penalty))"</v>
      </c>
      <c r="AG229" s="209" t="str">
        <f t="shared" si="74"/>
        <v>Shuttle/Test</v>
      </c>
      <c r="AH229" s="78" t="str">
        <f t="shared" si="77"/>
        <v>"%USERPROFILE%\Documents\GitHub\eaglep3\Utilities\RefineRTDCRunTimes.py" --tripid 50-19 --locoid 4029 --swversion DE.1.0.9.0 --startMP 204:3124 --initTime 2017-06-19T13:50:46 --startdatetime 2017-06-19T13:52:36 --delay 1 --endMP 204:152 --enddatetime 2017-06-19T13:54:14 --enforcementcount 0 &gt;&gt;C:\Users\stu\Documents\GitHub\eaglep3-reporting\EC\2017-06-19-refined-times.txt</v>
      </c>
      <c r="AI229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0.0152"},{"id":17,"name":"Train ID","value":"50-19"},{"id":16,"name":"Locomotive ID","value":"4029"},{"id":130,"name":"Impact","value":""},{"id":150,"name":"Time of Event (Mountain Time)","value":"13:54:14"},{"id":151,"name":"Denver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9"/>
        <v>start /low /b %USERPROFILE%\Documents\GitHub\eaglep3\Utilities\DownloadLogsFromS3.py --loco 4029 --day 2017-06-19</v>
      </c>
      <c r="AN229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775</v>
      </c>
      <c r="B230" s="7">
        <v>4030</v>
      </c>
      <c r="C230" s="21" t="s">
        <v>202</v>
      </c>
      <c r="D230" s="21" t="s">
        <v>946</v>
      </c>
      <c r="E230" s="13">
        <v>42905.568252314813</v>
      </c>
      <c r="F230" s="13">
        <v>42905.578194444446</v>
      </c>
      <c r="G230" s="7">
        <v>1</v>
      </c>
      <c r="H230" s="21" t="s">
        <v>947</v>
      </c>
      <c r="I230" s="13">
        <v>42905.579328703701</v>
      </c>
      <c r="J230" s="7">
        <v>0</v>
      </c>
      <c r="K230" s="89" t="str">
        <f t="shared" si="66"/>
        <v>4029/4030</v>
      </c>
      <c r="L230" s="21" t="str">
        <f>VLOOKUP(A230,'Trips&amp;Operators'!$C$1:$G$99999,5,FALSE)</f>
        <v>NEWELL JAMES</v>
      </c>
      <c r="M230" s="6">
        <f t="shared" si="67"/>
        <v>1.1342592551955022E-3</v>
      </c>
      <c r="N230" s="7">
        <f t="shared" si="83"/>
        <v>1.6333333274815232</v>
      </c>
      <c r="O230" s="7"/>
      <c r="P230" s="7"/>
      <c r="Q230" s="22"/>
      <c r="R230" s="170"/>
      <c r="S230" s="213">
        <f t="shared" si="82"/>
        <v>0</v>
      </c>
      <c r="T230" s="195" t="str">
        <f t="shared" si="68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69"/>
        <v>https://d0f6bd738d7f1b3e5a7ca70fe4ff75f0.us-east-1.aws.found.io/app/kibana#/discover/Steve-Slow-Train-Analysis-(2080s-and-2083s)?_g=(refreshInterval:(display:Off,pause:!f,section:0,value:0),time:(from:'2017-06-19T12:38:17-0600',mode:absolute,to:'2017-06-19T14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197" t="str">
        <f>IF(AA230&lt;VLOOKUP(AG230,Variables!$AC$3:$AD$8,2,FALSE),"Y","N")</f>
        <v>Y</v>
      </c>
      <c r="X230" s="197">
        <f t="shared" si="81"/>
        <v>0</v>
      </c>
      <c r="Y230" s="197">
        <f t="shared" si="75"/>
        <v>0.14710000000000001</v>
      </c>
      <c r="Z230" s="197">
        <f t="shared" si="76"/>
        <v>0.34489999999999998</v>
      </c>
      <c r="AA230" s="197">
        <f t="shared" si="70"/>
        <v>0.19779999999999998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1"/>
        <v>50</v>
      </c>
      <c r="AE230" s="77" t="str">
        <f t="shared" si="72"/>
        <v>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 &amp; aws s3 cp s3://rtdc.mdm.uploadarchive.raw/RTDC4030/ "%USERPROFILE%\AppData\Local\Temp\OnboardLogs"\RTDC4030\2017-06-20 --exclude "*" --recursive --include "*20170620*" &amp; "%USERPROFILE%\Documents\GitHub\mrs-test-scripts\Headless Mode &amp; Sideloading\WalkAndUnGZ.bat" "%USERPROFILE%\AppData\Local\Temp\OnboardLogs"\RTDC4030\2017-06-20</v>
      </c>
      <c r="AF230" s="74" t="str">
        <f t="shared" si="73"/>
        <v>"C:\Program Files (x86)\AstroGrep\AstroGrep.exe" /e /r /s /spath="%USERPROFILE%\AppData\Local\Temp\OnboardLogs" /stypes="app*4030*20170619*" /stext=" 19:.+((SYSTEM_STATE.+slice.+state.+changed )|(ment ac)|(multiple cpu faults)|(system.+state.+changed )|(\[timeout)|(PRM\|1\|D)|(kpr)|(kdp)|(train st.+moving)|(\|lc)|(penalty))"</v>
      </c>
      <c r="AG230" s="209" t="str">
        <f t="shared" si="74"/>
        <v>Shuttle/Test</v>
      </c>
      <c r="AH230" s="78" t="str">
        <f t="shared" si="77"/>
        <v>"%USERPROFILE%\Documents\GitHub\eaglep3\Utilities\RefineRTDCRunTimes.py" --tripid 50-19 --locoid 4030 --swversion DE.1.0.9.0 --startMP 204:1471 --initTime 2017-06-19T13:38:17 --startdatetime 2017-06-19T13:52:36 --delay 1 --endMP 204:3449 --enddatetime 2017-06-19T13:54:14 --enforcementcount 0 &gt;&gt;C:\Users\stu\Documents\GitHub\eaglep3-reporting\EC\2017-06-19-refined-times.txt</v>
      </c>
      <c r="AI230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0.3449"},{"id":17,"name":"Train ID","value":"50-19"},{"id":16,"name":"Locomotive ID","value":"4030"},{"id":130,"name":"Impact","value":""},{"id":150,"name":"Time of Event (Mountain Time)","value":"13:54:14"},{"id":151,"name":"Denver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9"/>
        <v>start /low /b %USERPROFILE%\Documents\GitHub\eaglep3\Utilities\DownloadLogsFromS3.py --loco 4030 --day 2017-06-19</v>
      </c>
      <c r="AN230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19:54:14"},{"id":29,"name":"Sharepoint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659</v>
      </c>
      <c r="B231" s="7">
        <v>4050</v>
      </c>
      <c r="C231" s="21" t="s">
        <v>202</v>
      </c>
      <c r="D231" s="21" t="s">
        <v>347</v>
      </c>
      <c r="E231" s="13">
        <v>42905.136412037034</v>
      </c>
      <c r="F231" s="13">
        <v>42905.137719907405</v>
      </c>
      <c r="G231" s="7">
        <v>1</v>
      </c>
      <c r="H231" s="21" t="s">
        <v>948</v>
      </c>
      <c r="I231" s="13">
        <v>42905.139270833337</v>
      </c>
      <c r="J231" s="7">
        <v>0</v>
      </c>
      <c r="K231" s="89" t="str">
        <f t="shared" si="66"/>
        <v>4049/4050</v>
      </c>
      <c r="L231" s="21" t="str">
        <f>VLOOKUP(A231,'Trips&amp;Operators'!$C$1:$G$99999,5,FALSE)</f>
        <v>CUSHING HARRY</v>
      </c>
      <c r="M231" s="6">
        <f t="shared" si="67"/>
        <v>1.5509259319514968E-3</v>
      </c>
      <c r="N231" s="7">
        <f t="shared" si="83"/>
        <v>2.2333333420101553</v>
      </c>
      <c r="O231" s="7"/>
      <c r="P231" s="7"/>
      <c r="Q231" s="22"/>
      <c r="R231" s="170"/>
      <c r="S231" s="213">
        <f t="shared" si="82"/>
        <v>0</v>
      </c>
      <c r="T231" s="195" t="str">
        <f t="shared" si="68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69"/>
        <v>https://d0f6bd738d7f1b3e5a7ca70fe4ff75f0.us-east-1.aws.found.io/app/kibana#/discover/Steve-Slow-Train-Analysis-(2080s-and-2083s)?_g=(refreshInterval:(display:Off,pause:!f,section:0,value:0),time:(from:'2017-06-19T02:16:26-0600',mode:absolute,to:'2017-06-19T04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97" t="str">
        <f>IF(AA231&lt;VLOOKUP(AG231,Variables!$AC$3:$AD$8,2,FALSE),"Y","N")</f>
        <v>Y</v>
      </c>
      <c r="X231" s="197">
        <f t="shared" si="81"/>
        <v>1</v>
      </c>
      <c r="Y231" s="197">
        <f t="shared" si="75"/>
        <v>4.4600000000000001E-2</v>
      </c>
      <c r="Z231" s="197">
        <f t="shared" si="76"/>
        <v>0.38650000000000001</v>
      </c>
      <c r="AA231" s="197">
        <f t="shared" si="70"/>
        <v>0.34189999999999998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1"/>
        <v>51</v>
      </c>
      <c r="AE231" s="77" t="str">
        <f t="shared" si="7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231" s="74" t="str">
        <f t="shared" si="73"/>
        <v>"C:\Program Files (x86)\AstroGrep\AstroGrep.exe" /e /r /s /spath="%USERPROFILE%\AppData\Local\Temp\OnboardLogs" /stypes="app*4050*20170619*" /stext=" 09:.+((SYSTEM_STATE.+slice.+state.+changed )|(ment ac)|(multiple cpu faults)|(system.+state.+changed )|(\[timeout)|(PRM\|1\|D)|(kpr)|(kdp)|(train st.+moving)|(\|lc)|(penalty))"</v>
      </c>
      <c r="AG231" s="209" t="str">
        <f t="shared" si="74"/>
        <v>Shuttle/Test</v>
      </c>
      <c r="AH231" s="78" t="str">
        <f t="shared" si="77"/>
        <v>"%USERPROFILE%\Documents\GitHub\eaglep3\Utilities\RefineRTDCRunTimes.py" --tripid 51-19 --locoid 4050 --swversion DE.1.0.9.0 --startMP 204:446 --initTime 2017-06-19T03:16:26 --startdatetime 2017-06-19T03:18:19 --delay 1 --endMP 204:3865 --enddatetime 2017-06-19T03:20:33 --enforcementcount 0 &gt;&gt;C:\Users\stu\Documents\GitHub\eaglep3-reporting\EC\2017-06-19-refined-times.txt</v>
      </c>
      <c r="AI231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0.3865"},{"id":17,"name":"Train ID","value":"51-19"},{"id":16,"name":"Locomotive ID","value":"4050"},{"id":130,"name":"Impact","value":""},{"id":150,"name":"Time of Event (Mountain Time)","value":"03:20:33"},{"id":151,"name":"Denver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9"/>
        <v>start /low /b %USERPROFILE%\Documents\GitHub\eaglep3\Utilities\DownloadLogsFromS3.py --loco 4050 --day 2017-06-19</v>
      </c>
      <c r="AN231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09:20:33"},{"id":29,"name":"Sharepoint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662</v>
      </c>
      <c r="B232" s="7">
        <v>4049</v>
      </c>
      <c r="C232" s="21" t="s">
        <v>202</v>
      </c>
      <c r="D232" s="21" t="s">
        <v>949</v>
      </c>
      <c r="E232" s="13">
        <v>42905.141770833332</v>
      </c>
      <c r="F232" s="13">
        <v>42905.14334490741</v>
      </c>
      <c r="G232" s="7">
        <v>1</v>
      </c>
      <c r="H232" s="21" t="s">
        <v>950</v>
      </c>
      <c r="I232" s="13">
        <v>42905.14508101852</v>
      </c>
      <c r="J232" s="7">
        <v>0</v>
      </c>
      <c r="K232" s="89" t="str">
        <f t="shared" si="66"/>
        <v>4049/4050</v>
      </c>
      <c r="L232" s="21" t="str">
        <f>VLOOKUP(A232,'Trips&amp;Operators'!$C$1:$G$99999,5,FALSE)</f>
        <v>CUSHING HARRY</v>
      </c>
      <c r="M232" s="6">
        <f t="shared" si="67"/>
        <v>1.7361111094942316E-3</v>
      </c>
      <c r="N232" s="7">
        <f t="shared" si="83"/>
        <v>2.4999999976716936</v>
      </c>
      <c r="O232" s="7"/>
      <c r="P232" s="7"/>
      <c r="Q232" s="22"/>
      <c r="R232" s="170"/>
      <c r="S232" s="213">
        <f t="shared" si="82"/>
        <v>0</v>
      </c>
      <c r="T232" s="195" t="str">
        <f t="shared" si="68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69"/>
        <v>https://d0f6bd738d7f1b3e5a7ca70fe4ff75f0.us-east-1.aws.found.io/app/kibana#/discover/Steve-Slow-Train-Analysis-(2080s-and-2083s)?_g=(refreshInterval:(display:Off,pause:!f,section:0,value:0),time:(from:'2017-06-19T02:24:09-0600',mode:absolute,to:'2017-06-19T04:28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97" t="str">
        <f>IF(AA232&lt;VLOOKUP(AG232,Variables!$AC$3:$AD$8,2,FALSE),"Y","N")</f>
        <v>Y</v>
      </c>
      <c r="X232" s="197">
        <f t="shared" si="81"/>
        <v>1</v>
      </c>
      <c r="Y232" s="197">
        <f t="shared" si="75"/>
        <v>0.35949999999999999</v>
      </c>
      <c r="Z232" s="197">
        <f t="shared" si="76"/>
        <v>0.11559999999999999</v>
      </c>
      <c r="AA232" s="197">
        <f t="shared" si="70"/>
        <v>0.24390000000000001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1"/>
        <v>52</v>
      </c>
      <c r="AE232" s="77" t="str">
        <f t="shared" si="7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232" s="74" t="str">
        <f t="shared" si="73"/>
        <v>"C:\Program Files (x86)\AstroGrep\AstroGrep.exe" /e /r /s /spath="%USERPROFILE%\AppData\Local\Temp\OnboardLogs" /stypes="app*4049*20170619*" /stext=" 09:.+((SYSTEM_STATE.+slice.+state.+changed )|(ment ac)|(multiple cpu faults)|(system.+state.+changed )|(\[timeout)|(PRM\|1\|D)|(kpr)|(kdp)|(train st.+moving)|(\|lc)|(penalty))"</v>
      </c>
      <c r="AG232" s="209" t="str">
        <f t="shared" si="74"/>
        <v>Shuttle/Test</v>
      </c>
      <c r="AH232" s="78" t="str">
        <f t="shared" si="77"/>
        <v>"%USERPROFILE%\Documents\GitHub\eaglep3\Utilities\RefineRTDCRunTimes.py" --tripid 52-19 --locoid 4049 --swversion DE.1.0.9.0 --startMP 204:3595 --initTime 2017-06-19T03:24:09 --startdatetime 2017-06-19T03:26:25 --delay 1 --endMP 204:1156 --enddatetime 2017-06-19T03:28:55 --enforcementcount 0 &gt;&gt;C:\Users\stu\Documents\GitHub\eaglep3-reporting\EC\2017-06-19-refined-times.txt</v>
      </c>
      <c r="AI232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0.1156"},{"id":17,"name":"Train ID","value":"52-19"},{"id":16,"name":"Locomotive ID","value":"4049"},{"id":130,"name":"Impact","value":""},{"id":150,"name":"Time of Event (Mountain Time)","value":"03:28:55"},{"id":151,"name":"Denver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9"/>
        <v>start /low /b %USERPROFILE%\Documents\GitHub\eaglep3\Utilities\DownloadLogsFromS3.py --loco 4049 --day 2017-06-19</v>
      </c>
      <c r="AN232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09:28:55"},{"id":29,"name":"Sharepoint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724</v>
      </c>
      <c r="B233" s="7">
        <v>4002</v>
      </c>
      <c r="C233" s="21" t="s">
        <v>202</v>
      </c>
      <c r="D233" s="21" t="s">
        <v>951</v>
      </c>
      <c r="E233" s="13">
        <v>42905.506030092591</v>
      </c>
      <c r="F233" s="13">
        <v>42905.510405092595</v>
      </c>
      <c r="G233" s="7">
        <v>1</v>
      </c>
      <c r="H233" s="21" t="s">
        <v>952</v>
      </c>
      <c r="I233" s="13">
        <v>42905.514236111114</v>
      </c>
      <c r="J233" s="7">
        <v>0</v>
      </c>
      <c r="K233" s="89" t="str">
        <f t="shared" si="66"/>
        <v>4001/4002</v>
      </c>
      <c r="L233" s="21" t="str">
        <f>VLOOKUP(A233,'Trips&amp;Operators'!$C$1:$G$99999,5,FALSE)</f>
        <v>STORY SAMANTHA</v>
      </c>
      <c r="M233" s="6">
        <f t="shared" si="67"/>
        <v>3.8310185191221535E-3</v>
      </c>
      <c r="N233" s="7">
        <f t="shared" si="83"/>
        <v>5.5166666675359011</v>
      </c>
      <c r="O233" s="7"/>
      <c r="P233" s="7"/>
      <c r="Q233" s="22"/>
      <c r="R233" s="170"/>
      <c r="S233" s="213">
        <f t="shared" si="82"/>
        <v>0</v>
      </c>
      <c r="T233" s="195" t="str">
        <f t="shared" si="68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69"/>
        <v>https://d0f6bd738d7f1b3e5a7ca70fe4ff75f0.us-east-1.aws.found.io/app/kibana#/discover/Steve-Slow-Train-Analysis-(2080s-and-2083s)?_g=(refreshInterval:(display:Off,pause:!f,section:0,value:0),time:(from:'2017-06-19T11:08:41-0600',mode:absolute,to:'2017-06-19T13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3" s="197" t="str">
        <f>IF(AA233&lt;VLOOKUP(AG233,Variables!$AC$3:$AD$8,2,FALSE),"Y","N")</f>
        <v>Y</v>
      </c>
      <c r="X233" s="197">
        <f t="shared" si="81"/>
        <v>1</v>
      </c>
      <c r="Y233" s="197">
        <f t="shared" si="75"/>
        <v>2.6941000000000002</v>
      </c>
      <c r="Z233" s="197">
        <f t="shared" si="76"/>
        <v>3.9472</v>
      </c>
      <c r="AA233" s="197">
        <f t="shared" si="70"/>
        <v>1.2530999999999999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1"/>
        <v>53</v>
      </c>
      <c r="AE233" s="77" t="str">
        <f t="shared" si="72"/>
        <v>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 &amp; aws s3 cp s3://rtdc.mdm.uploadarchive.raw/RTDC4002/ "%USERPROFILE%\AppData\Local\Temp\OnboardLogs"\RTDC4002\2017-06-20 --exclude "*" --recursive --include "*20170620*" &amp; "%USERPROFILE%\Documents\GitHub\mrs-test-scripts\Headless Mode &amp; Sideloading\WalkAndUnGZ.bat" "%USERPROFILE%\AppData\Local\Temp\OnboardLogs"\RTDC4002\2017-06-20</v>
      </c>
      <c r="AF233" s="74" t="str">
        <f t="shared" si="73"/>
        <v>"C:\Program Files (x86)\AstroGrep\AstroGrep.exe" /e /r /s /spath="%USERPROFILE%\AppData\Local\Temp\OnboardLogs" /stypes="app*4002*20170619*" /stext=" 18:.+((SYSTEM_STATE.+slice.+state.+changed )|(ment ac)|(multiple cpu faults)|(system.+state.+changed )|(\[timeout)|(PRM\|1\|D)|(kpr)|(kdp)|(train st.+moving)|(\|lc)|(penalty))"</v>
      </c>
      <c r="AG233" s="209" t="str">
        <f t="shared" si="74"/>
        <v>Shuttle/Test</v>
      </c>
      <c r="AH233" s="78" t="str">
        <f t="shared" si="77"/>
        <v>"%USERPROFILE%\Documents\GitHub\eaglep3\Utilities\RefineRTDCRunTimes.py" --tripid 53-19 --locoid 4002 --swversion DE.1.0.9.0 --startMP 300:26941 --initTime 2017-06-19T12:08:41 --startdatetime 2017-06-19T12:14:59 --delay 1 --endMP 300:39472 --enddatetime 2017-06-19T12:20:30 --enforcementcount 0 &gt;&gt;C:\Users\stu\Documents\GitHub\eaglep3-reporting\EC\2017-06-19-refined-times.txt</v>
      </c>
      <c r="AI233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3.9472"},{"id":17,"name":"Train ID","value":"53-19"},{"id":16,"name":"Locomotive ID","value":"4002"},{"id":130,"name":"Impact","value":""},{"id":150,"name":"Time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9"/>
        <v>start /low /b %USERPROFILE%\Documents\GitHub\eaglep3\Utilities\DownloadLogsFromS3.py --loco 4002 --day 2017-06-19</v>
      </c>
      <c r="AN233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18:20:30"},{"id":29,"name":"Sharepoint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724</v>
      </c>
      <c r="B234" s="7">
        <v>4002</v>
      </c>
      <c r="C234" s="21" t="s">
        <v>202</v>
      </c>
      <c r="D234" s="21" t="s">
        <v>953</v>
      </c>
      <c r="E234" s="13">
        <v>42905.560173611113</v>
      </c>
      <c r="F234" s="13">
        <v>25568.708333333332</v>
      </c>
      <c r="G234" s="7">
        <v>1</v>
      </c>
      <c r="H234" s="21" t="s">
        <v>954</v>
      </c>
      <c r="I234" s="13">
        <v>25568.708333333332</v>
      </c>
      <c r="J234" s="7">
        <v>0</v>
      </c>
      <c r="K234" s="89" t="str">
        <f t="shared" si="66"/>
        <v>4001/4002</v>
      </c>
      <c r="L234" s="21" t="str">
        <f>VLOOKUP(A234,'Trips&amp;Operators'!$C$1:$G$99999,5,FALSE)</f>
        <v>STORY SAMANTHA</v>
      </c>
      <c r="M234" s="6">
        <f t="shared" si="67"/>
        <v>0</v>
      </c>
      <c r="N234" s="7">
        <f t="shared" si="83"/>
        <v>0</v>
      </c>
      <c r="O234" s="7"/>
      <c r="P234" s="7"/>
      <c r="Q234" s="22"/>
      <c r="R234" s="170"/>
      <c r="S234" s="213">
        <f t="shared" si="82"/>
        <v>0</v>
      </c>
      <c r="T234" s="195" t="str">
        <f t="shared" si="68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69"/>
        <v>https://d0f6bd738d7f1b3e5a7ca70fe4ff75f0.us-east-1.aws.found.io/app/kibana#/discover/Steve-Slow-Train-Analysis-(2080s-and-2083s)?_g=(refreshInterval:(display:Off,pause:!f,section:0,value:0),time:(from:'2017-06-19T12:26:39-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4" s="197" t="str">
        <f>IF(AA234&lt;VLOOKUP(AG234,Variables!$AC$3:$AD$8,2,FALSE),"Y","N")</f>
        <v>Y</v>
      </c>
      <c r="X234" s="197">
        <f t="shared" si="81"/>
        <v>0</v>
      </c>
      <c r="Y234" s="197">
        <f t="shared" si="75"/>
        <v>2.6947000000000001</v>
      </c>
      <c r="Z234" s="197">
        <f t="shared" si="76"/>
        <v>3.9581</v>
      </c>
      <c r="AA234" s="197">
        <f t="shared" si="70"/>
        <v>1.2633999999999999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71"/>
        <v>53</v>
      </c>
      <c r="AE234" s="77" t="str">
        <f t="shared" si="72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4" s="74" t="str">
        <f t="shared" si="73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 st.+moving)|(\|lc)|(penalty))"</v>
      </c>
      <c r="AG234" s="209" t="str">
        <f t="shared" si="74"/>
        <v>Shuttle/Test</v>
      </c>
      <c r="AH234" s="78" t="str">
        <f t="shared" si="77"/>
        <v>"%USERPROFILE%\Documents\GitHub\eaglep3\Utilities\RefineRTDCRunTimes.py" --tripid 53-19 --locoid 4002 --swversion DE.1.0.9.0 --startMP 300:26947 --initTime 2017-06-19T13:26:39 --startdatetime 1969-12-31T17:00:00 --delay 1 --endMP 300:39581 --enddatetime 1969-12-31T17:00:00 --enforcementcount 0 &gt;&gt;C:\Users\stu\Documents\GitHub\eaglep3-reporting\EC\2017-06-19-refined-times.txt</v>
      </c>
      <c r="AI234" s="96" t="str">
        <f t="shared" si="78"/>
        <v>echo {"issue":{"subject":"","project_id":79,"tracker_id":40,"status_id":1,"priority_id":2,"assigned_to_id":23,"start_date":"1969-12-31","description":"","custom_fields":[{"id":1,"name":"Subdivision","value":"Shuttle/Test"},{"id":4,"name":"Milepost","value":"3.9581"},{"id":17,"name":"Train ID","value":"53-19"},{"id":16,"name":"Locomotive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9"/>
        <v>start /low /b %USERPROFILE%\Documents\GitHub\eaglep3\Utilities\DownloadLogsFromS3.py --loco 4002 --day 1969-12-31</v>
      </c>
      <c r="AN234" s="151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724</v>
      </c>
      <c r="B235" s="7">
        <v>4002</v>
      </c>
      <c r="C235" s="21" t="s">
        <v>202</v>
      </c>
      <c r="D235" s="21" t="s">
        <v>955</v>
      </c>
      <c r="E235" s="13">
        <v>42905.384097222224</v>
      </c>
      <c r="F235" s="13">
        <v>42905.388194444444</v>
      </c>
      <c r="G235" s="7">
        <v>5</v>
      </c>
      <c r="H235" s="21" t="s">
        <v>956</v>
      </c>
      <c r="I235" s="13">
        <v>42905.391435185185</v>
      </c>
      <c r="J235" s="7">
        <v>0</v>
      </c>
      <c r="K235" s="89" t="str">
        <f t="shared" si="66"/>
        <v>4001/4002</v>
      </c>
      <c r="L235" s="21" t="str">
        <f>VLOOKUP(A235,'Trips&amp;Operators'!$C$1:$G$99999,5,FALSE)</f>
        <v>STORY SAMANTHA</v>
      </c>
      <c r="M235" s="6">
        <f t="shared" si="67"/>
        <v>3.2407407416030765E-3</v>
      </c>
      <c r="N235" s="7">
        <f t="shared" si="83"/>
        <v>4.6666666679084301</v>
      </c>
      <c r="O235" s="7"/>
      <c r="P235" s="7"/>
      <c r="Q235" s="22"/>
      <c r="R235" s="170"/>
      <c r="S235" s="213">
        <f t="shared" si="82"/>
        <v>0</v>
      </c>
      <c r="T235" s="195" t="str">
        <f t="shared" si="68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69"/>
        <v>https://d0f6bd738d7f1b3e5a7ca70fe4ff75f0.us-east-1.aws.found.io/app/kibana#/discover/Steve-Slow-Train-Analysis-(2080s-and-2083s)?_g=(refreshInterval:(display:Off,pause:!f,section:0,value:0),time:(from:'2017-06-19T08:13:06-0600',mode:absolute,to:'2017-06-19T10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5" s="197" t="str">
        <f>IF(AA235&lt;VLOOKUP(AG235,Variables!$AC$3:$AD$8,2,FALSE),"Y","N")</f>
        <v>Y</v>
      </c>
      <c r="X235" s="197">
        <f t="shared" si="81"/>
        <v>0</v>
      </c>
      <c r="Y235" s="197">
        <f t="shared" si="75"/>
        <v>2.9866000000000001</v>
      </c>
      <c r="Z235" s="197">
        <f t="shared" si="76"/>
        <v>3.9538000000000002</v>
      </c>
      <c r="AA235" s="197">
        <f t="shared" si="70"/>
        <v>0.96720000000000006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71"/>
        <v>53</v>
      </c>
      <c r="AE235" s="77" t="str">
        <f t="shared" si="72"/>
        <v>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 &amp; aws s3 cp s3://rtdc.mdm.uploadarchive.raw/RTDC4002/ "%USERPROFILE%\AppData\Local\Temp\OnboardLogs"\RTDC4002\2017-06-20 --exclude "*" --recursive --include "*20170620*" &amp; "%USERPROFILE%\Documents\GitHub\mrs-test-scripts\Headless Mode &amp; Sideloading\WalkAndUnGZ.bat" "%USERPROFILE%\AppData\Local\Temp\OnboardLogs"\RTDC4002\2017-06-20</v>
      </c>
      <c r="AF235" s="74" t="str">
        <f t="shared" si="73"/>
        <v>"C:\Program Files (x86)\AstroGrep\AstroGrep.exe" /e /r /s /spath="%USERPROFILE%\AppData\Local\Temp\OnboardLogs" /stypes="app*4002*20170619*" /stext=" 15:.+((SYSTEM_STATE.+slice.+state.+changed )|(ment ac)|(multiple cpu faults)|(system.+state.+changed )|(\[timeout)|(PRM\|1\|D)|(kpr)|(kdp)|(train st.+moving)|(\|lc)|(penalty))"</v>
      </c>
      <c r="AG235" s="209" t="str">
        <f t="shared" si="74"/>
        <v>Shuttle/Test</v>
      </c>
      <c r="AH235" s="78" t="str">
        <f t="shared" si="77"/>
        <v>"%USERPROFILE%\Documents\GitHub\eaglep3\Utilities\RefineRTDCRunTimes.py" --tripid 53-19 --locoid 4002 --swversion DE.1.0.9.0 --startMP 300:29866 --initTime 2017-06-19T09:13:06 --startdatetime 2017-06-19T09:19:00 --delay 5 --endMP 300:39538 --enddatetime 2017-06-19T09:23:40 --enforcementcount 0 &gt;&gt;C:\Users\stu\Documents\GitHub\eaglep3-reporting\EC\2017-06-19-refined-times.txt</v>
      </c>
      <c r="AI235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3.9538"},{"id":17,"name":"Train ID","value":"53-19"},{"id":16,"name":"Locomotive ID","value":"4002"},{"id":130,"name":"Impact","value":""},{"id":150,"name":"Time of Event (Mountain Time)","value":"09:23:40"},{"id":151,"name":"Denver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9"/>
        <v>start /low /b %USERPROFILE%\Documents\GitHub\eaglep3\Utilities\DownloadLogsFromS3.py --loco 4002 --day 2017-06-19</v>
      </c>
      <c r="AN235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15:23:40"},{"id":29,"name":"Sharepoint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821</v>
      </c>
      <c r="B236" s="7">
        <v>4009</v>
      </c>
      <c r="C236" s="21" t="s">
        <v>202</v>
      </c>
      <c r="D236" s="21" t="s">
        <v>957</v>
      </c>
      <c r="E236" s="13">
        <v>42905.740358796298</v>
      </c>
      <c r="F236" s="13">
        <v>42905.754675925928</v>
      </c>
      <c r="G236" s="7">
        <v>20</v>
      </c>
      <c r="H236" s="21" t="s">
        <v>958</v>
      </c>
      <c r="I236" s="13">
        <v>42905.758981481478</v>
      </c>
      <c r="J236" s="7">
        <v>0</v>
      </c>
      <c r="K236" s="89" t="str">
        <f t="shared" si="66"/>
        <v>4009/4010</v>
      </c>
      <c r="L236" s="21" t="str">
        <f>VLOOKUP(A236,'Trips&amp;Operators'!$C$1:$G$99999,5,FALSE)</f>
        <v>BIRENBAUM THOMAS</v>
      </c>
      <c r="M236" s="6">
        <f t="shared" si="67"/>
        <v>4.3055555506725796E-3</v>
      </c>
      <c r="N236" s="7">
        <f t="shared" si="83"/>
        <v>6.1999999929685146</v>
      </c>
      <c r="O236" s="7"/>
      <c r="P236" s="7"/>
      <c r="Q236" s="22"/>
      <c r="R236" s="170"/>
      <c r="S236" s="213">
        <f t="shared" si="82"/>
        <v>1</v>
      </c>
      <c r="T236" s="195" t="str">
        <f t="shared" si="68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69"/>
        <v>https://d0f6bd738d7f1b3e5a7ca70fe4ff75f0.us-east-1.aws.found.io/app/kibana#/discover/Steve-Slow-Train-Analysis-(2080s-and-2083s)?_g=(refreshInterval:(display:Off,pause:!f,section:0,value:0),time:(from:'2017-06-19T16:46:07-0600',mode:absolute,to:'2017-06-19T19:12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6" s="197" t="str">
        <f>IF(AA236&lt;VLOOKUP(AG236,Variables!$AC$3:$AD$8,2,FALSE),"Y","N")</f>
        <v>Y</v>
      </c>
      <c r="X236" s="197">
        <f t="shared" si="81"/>
        <v>1</v>
      </c>
      <c r="Y236" s="197">
        <f t="shared" si="75"/>
        <v>2.3325999999999998</v>
      </c>
      <c r="Z236" s="197">
        <f t="shared" si="76"/>
        <v>0.5232</v>
      </c>
      <c r="AA236" s="197">
        <f t="shared" si="70"/>
        <v>1.8093999999999997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71"/>
        <v>54</v>
      </c>
      <c r="AE236" s="77" t="str">
        <f t="shared" si="72"/>
        <v>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 &amp; aws s3 cp s3://rtdc.mdm.uploadarchive.raw/RTDC4009/ "%USERPROFILE%\AppData\Local\Temp\OnboardLogs"\RTDC4009\2017-06-20 --exclude "*" --recursive --include "*20170620*" &amp; "%USERPROFILE%\Documents\GitHub\mrs-test-scripts\Headless Mode &amp; Sideloading\WalkAndUnGZ.bat" "%USERPROFILE%\AppData\Local\Temp\OnboardLogs"\RTDC4009\2017-06-20</v>
      </c>
      <c r="AF236" s="74" t="str">
        <f t="shared" si="73"/>
        <v>"C:\Program Files (x86)\AstroGrep\AstroGrep.exe" /e /r /s /spath="%USERPROFILE%\AppData\Local\Temp\OnboardLogs" /stypes="app*4009*20170620*" /stext=" 00:.+((SYSTEM_STATE.+slice.+state.+changed )|(ment ac)|(multiple cpu faults)|(system.+state.+changed )|(\[timeout)|(PRM\|1\|D)|(kpr)|(kdp)|(train st.+moving)|(\|lc)|(penalty))"</v>
      </c>
      <c r="AG236" s="209" t="str">
        <f t="shared" si="74"/>
        <v>Shuttle/Test</v>
      </c>
      <c r="AH236" s="78" t="str">
        <f t="shared" si="77"/>
        <v>"%USERPROFILE%\Documents\GitHub\eaglep3\Utilities\RefineRTDCRunTimes.py" --tripid 54-19 --locoid 4009 --swversion DE.1.0.9.0 --startMP 300:23326 --initTime 2017-06-19T17:46:07 --startdatetime 2017-06-19T18:06:44 --delay 20 --endMP 300:5232 --enddatetime 2017-06-19T18:12:56 --enforcementcount 0 &gt;&gt;C:\Users\stu\Documents\GitHub\eaglep3-reporting\EC\2017-06-19-refined-times.txt</v>
      </c>
      <c r="AI236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0.5232"},{"id":17,"name":"Train ID","value":"54-19"},{"id":16,"name":"Locomotive ID","value":"4009"},{"id":130,"name":"Impact","value":""},{"id":150,"name":"Time of Event (Mountain Time)","value":"18:12:56"},{"id":151,"name":"Denver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9"/>
        <v>start /low /b %USERPROFILE%\Documents\GitHub\eaglep3\Utilities\DownloadLogsFromS3.py --loco 4009 --day 2017-06-19</v>
      </c>
      <c r="AN236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00:12:56"},{"id":29,"name":"Sharepoint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737</v>
      </c>
      <c r="B237" s="7">
        <v>4049</v>
      </c>
      <c r="C237" s="21" t="s">
        <v>202</v>
      </c>
      <c r="D237" s="21" t="s">
        <v>959</v>
      </c>
      <c r="E237" s="13">
        <v>42905.442129629628</v>
      </c>
      <c r="F237" s="13">
        <v>42905.443344907406</v>
      </c>
      <c r="G237" s="7">
        <v>1</v>
      </c>
      <c r="H237" s="21" t="s">
        <v>193</v>
      </c>
      <c r="I237" s="13">
        <v>42905.444444444445</v>
      </c>
      <c r="J237" s="7">
        <v>0</v>
      </c>
      <c r="K237" s="89" t="str">
        <f t="shared" si="66"/>
        <v>4049/4050</v>
      </c>
      <c r="L237" s="21" t="str">
        <f>VLOOKUP(A237,'Trips&amp;Operators'!$C$1:$G$99999,5,FALSE)</f>
        <v>NEWELL JAMES</v>
      </c>
      <c r="M237" s="6">
        <f t="shared" si="67"/>
        <v>1.0995370394084603E-3</v>
      </c>
      <c r="N237" s="7">
        <f t="shared" si="83"/>
        <v>1.5833333367481828</v>
      </c>
      <c r="O237" s="7"/>
      <c r="P237" s="7"/>
      <c r="Q237" s="22"/>
      <c r="R237" s="170"/>
      <c r="S237" s="213">
        <f t="shared" si="82"/>
        <v>0</v>
      </c>
      <c r="T237" s="195" t="str">
        <f t="shared" si="68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69"/>
        <v>https://d0f6bd738d7f1b3e5a7ca70fe4ff75f0.us-east-1.aws.found.io/app/kibana#/discover/Steve-Slow-Train-Analysis-(2080s-and-2083s)?_g=(refreshInterval:(display:Off,pause:!f,section:0,value:0),time:(from:'2017-06-19T09:36:40-0600',mode:absolute,to:'2017-06-19T11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7" s="197" t="str">
        <f>IF(AA237&lt;VLOOKUP(AG237,Variables!$AC$3:$AD$8,2,FALSE),"Y","N")</f>
        <v>Y</v>
      </c>
      <c r="X237" s="197">
        <f t="shared" si="81"/>
        <v>1</v>
      </c>
      <c r="Y237" s="197">
        <f t="shared" si="75"/>
        <v>0.31900000000000001</v>
      </c>
      <c r="Z237" s="197">
        <f t="shared" si="76"/>
        <v>1.52E-2</v>
      </c>
      <c r="AA237" s="197">
        <f t="shared" si="70"/>
        <v>0.30380000000000001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71"/>
        <v>55</v>
      </c>
      <c r="AE237" s="77" t="str">
        <f t="shared" si="72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237" s="74" t="str">
        <f t="shared" si="73"/>
        <v>"C:\Program Files (x86)\AstroGrep\AstroGrep.exe" /e /r /s /spath="%USERPROFILE%\AppData\Local\Temp\OnboardLogs" /stypes="app*4049*20170619*" /stext=" 16:.+((SYSTEM_STATE.+slice.+state.+changed )|(ment ac)|(multiple cpu faults)|(system.+state.+changed )|(\[timeout)|(PRM\|1\|D)|(kpr)|(kdp)|(train st.+moving)|(\|lc)|(penalty))"</v>
      </c>
      <c r="AG237" s="209" t="str">
        <f t="shared" si="74"/>
        <v>Shuttle/Test</v>
      </c>
      <c r="AH237" s="78" t="str">
        <f t="shared" si="77"/>
        <v>"%USERPROFILE%\Documents\GitHub\eaglep3\Utilities\RefineRTDCRunTimes.py" --tripid 55-19 --locoid 4049 --swversion DE.1.0.9.0 --startMP 204:3190 --initTime 2017-06-19T10:36:40 --startdatetime 2017-06-19T10:38:25 --delay 1 --endMP 204:152 --enddatetime 2017-06-19T10:40:00 --enforcementcount 0 &gt;&gt;C:\Users\stu\Documents\GitHub\eaglep3-reporting\EC\2017-06-19-refined-times.txt</v>
      </c>
      <c r="AI237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0.0152"},{"id":17,"name":"Train ID","value":"55-19"},{"id":16,"name":"Locomotive ID","value":"4049"},{"id":130,"name":"Impact","value":""},{"id":150,"name":"Time of Event (Mountain Time)","value":"10:40:00"},{"id":151,"name":"Denver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9"/>
        <v>start /low /b %USERPROFILE%\Documents\GitHub\eaglep3\Utilities\DownloadLogsFromS3.py --loco 4049 --day 2017-06-19</v>
      </c>
      <c r="AN237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737</v>
      </c>
      <c r="B238" s="7">
        <v>4050</v>
      </c>
      <c r="C238" s="21" t="s">
        <v>202</v>
      </c>
      <c r="D238" s="21" t="s">
        <v>960</v>
      </c>
      <c r="E238" s="13">
        <v>42905.43408564815</v>
      </c>
      <c r="F238" s="13">
        <v>42905.443344907406</v>
      </c>
      <c r="G238" s="7">
        <v>1</v>
      </c>
      <c r="H238" s="21" t="s">
        <v>961</v>
      </c>
      <c r="I238" s="13">
        <v>42905.444444444445</v>
      </c>
      <c r="J238" s="7">
        <v>0</v>
      </c>
      <c r="K238" s="89" t="str">
        <f t="shared" si="66"/>
        <v>4049/4050</v>
      </c>
      <c r="L238" s="21" t="str">
        <f>VLOOKUP(A238,'Trips&amp;Operators'!$C$1:$G$99999,5,FALSE)</f>
        <v>NEWELL JAMES</v>
      </c>
      <c r="M238" s="6">
        <f t="shared" si="67"/>
        <v>1.0995370394084603E-3</v>
      </c>
      <c r="N238" s="7">
        <f t="shared" si="83"/>
        <v>1.5833333367481828</v>
      </c>
      <c r="O238" s="7"/>
      <c r="P238" s="7"/>
      <c r="Q238" s="22"/>
      <c r="R238" s="170"/>
      <c r="S238" s="213">
        <f t="shared" si="82"/>
        <v>0</v>
      </c>
      <c r="T238" s="195" t="str">
        <f t="shared" si="68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69"/>
        <v>https://d0f6bd738d7f1b3e5a7ca70fe4ff75f0.us-east-1.aws.found.io/app/kibana#/discover/Steve-Slow-Train-Analysis-(2080s-and-2083s)?_g=(refreshInterval:(display:Off,pause:!f,section:0,value:0),time:(from:'2017-06-19T09:25:05-0600',mode:absolute,to:'2017-06-19T11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8" s="197" t="str">
        <f>IF(AA238&lt;VLOOKUP(AG238,Variables!$AC$3:$AD$8,2,FALSE),"Y","N")</f>
        <v>Y</v>
      </c>
      <c r="X238" s="197">
        <f t="shared" si="81"/>
        <v>0</v>
      </c>
      <c r="Y238" s="197">
        <f t="shared" si="75"/>
        <v>0.14810000000000001</v>
      </c>
      <c r="Z238" s="197">
        <f t="shared" si="76"/>
        <v>0.34649999999999997</v>
      </c>
      <c r="AA238" s="197">
        <f t="shared" si="70"/>
        <v>0.19839999999999997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71"/>
        <v>55</v>
      </c>
      <c r="AE238" s="77" t="str">
        <f t="shared" si="72"/>
        <v>aws s3 cp s3://rtdc.mdm.uploadarchive.raw/RTDC4050/ "%USERPROFILE%\AppData\Local\Temp\OnboardLogs"\RTDC4050\2017-06-19 --exclude "*" --recursive --include "*20170619*" &amp; "%USERPROFILE%\Documents\GitHub\mrs-test-scripts\Headless Mode &amp; Sideloading\WalkAndUnGZ.bat" "%USERPROFILE%\AppData\Local\Temp\OnboardLogs"\RTDC4050\2017-06-19 &amp; aws s3 cp s3://rtdc.mdm.uploadarchive.raw/RTDC4050/ "%USERPROFILE%\AppData\Local\Temp\OnboardLogs"\RTDC4050\2017-06-20 --exclude "*" --recursive --include "*20170620*" &amp; "%USERPROFILE%\Documents\GitHub\mrs-test-scripts\Headless Mode &amp; Sideloading\WalkAndUnGZ.bat" "%USERPROFILE%\AppData\Local\Temp\OnboardLogs"\RTDC4050\2017-06-20</v>
      </c>
      <c r="AF238" s="74" t="str">
        <f t="shared" si="73"/>
        <v>"C:\Program Files (x86)\AstroGrep\AstroGrep.exe" /e /r /s /spath="%USERPROFILE%\AppData\Local\Temp\OnboardLogs" /stypes="app*4050*20170619*" /stext=" 16:.+((SYSTEM_STATE.+slice.+state.+changed )|(ment ac)|(multiple cpu faults)|(system.+state.+changed )|(\[timeout)|(PRM\|1\|D)|(kpr)|(kdp)|(train st.+moving)|(\|lc)|(penalty))"</v>
      </c>
      <c r="AG238" s="209" t="str">
        <f t="shared" si="74"/>
        <v>Shuttle/Test</v>
      </c>
      <c r="AH238" s="78" t="str">
        <f t="shared" si="77"/>
        <v>"%USERPROFILE%\Documents\GitHub\eaglep3\Utilities\RefineRTDCRunTimes.py" --tripid 55-19 --locoid 4050 --swversion DE.1.0.9.0 --startMP 204:1481 --initTime 2017-06-19T10:25:05 --startdatetime 2017-06-19T10:38:25 --delay 1 --endMP 204:3465 --enddatetime 2017-06-19T10:40:00 --enforcementcount 0 &gt;&gt;C:\Users\stu\Documents\GitHub\eaglep3-reporting\EC\2017-06-19-refined-times.txt</v>
      </c>
      <c r="AI238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0.3465"},{"id":17,"name":"Train ID","value":"55-19"},{"id":16,"name":"Locomotive ID","value":"4050"},{"id":130,"name":"Impact","value":""},{"id":150,"name":"Time of Event (Mountain Time)","value":"10:40:00"},{"id":151,"name":"Denver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9"/>
        <v>start /low /b %USERPROFILE%\Documents\GitHub\eaglep3\Utilities\DownloadLogsFromS3.py --loco 4050 --day 2017-06-19</v>
      </c>
      <c r="AN238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16:40:00"},{"id":29,"name":"Sharepoint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740</v>
      </c>
      <c r="B239" s="7">
        <v>4029</v>
      </c>
      <c r="C239" s="21" t="s">
        <v>202</v>
      </c>
      <c r="D239" s="21" t="s">
        <v>962</v>
      </c>
      <c r="E239" s="13">
        <v>42905.45175925926</v>
      </c>
      <c r="F239" s="13">
        <v>42905.455659722225</v>
      </c>
      <c r="G239" s="7">
        <v>5</v>
      </c>
      <c r="H239" s="21" t="s">
        <v>963</v>
      </c>
      <c r="I239" s="13">
        <v>42905.465381944443</v>
      </c>
      <c r="J239" s="7">
        <v>0</v>
      </c>
      <c r="K239" s="89" t="str">
        <f t="shared" si="66"/>
        <v>4029/4030</v>
      </c>
      <c r="L239" s="21" t="str">
        <f>VLOOKUP(A239,'Trips&amp;Operators'!$C$1:$G$99999,5,FALSE)</f>
        <v>MOSES BRADLEY</v>
      </c>
      <c r="M239" s="6">
        <f t="shared" si="67"/>
        <v>9.7222222175332718E-3</v>
      </c>
      <c r="N239" s="7">
        <f t="shared" si="83"/>
        <v>13.999999993247911</v>
      </c>
      <c r="O239" s="7"/>
      <c r="P239" s="7"/>
      <c r="Q239" s="22"/>
      <c r="R239" s="170"/>
      <c r="S239" s="213">
        <f t="shared" si="82"/>
        <v>1</v>
      </c>
      <c r="T239" s="195" t="str">
        <f t="shared" si="68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69"/>
        <v>https://d0f6bd738d7f1b3e5a7ca70fe4ff75f0.us-east-1.aws.found.io/app/kibana#/discover/Steve-Slow-Train-Analysis-(2080s-and-2083s)?_g=(refreshInterval:(display:Off,pause:!f,section:0,value:0),time:(from:'2017-06-19T09:50:32-0600',mode:absolute,to:'2017-06-19T12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9" s="197" t="str">
        <f>IF(AA239&lt;VLOOKUP(AG239,Variables!$AC$3:$AD$8,2,FALSE),"Y","N")</f>
        <v>Y</v>
      </c>
      <c r="X239" s="197">
        <f t="shared" si="81"/>
        <v>1</v>
      </c>
      <c r="Y239" s="197">
        <f t="shared" si="75"/>
        <v>2.0541999999999998</v>
      </c>
      <c r="Z239" s="197">
        <f t="shared" si="76"/>
        <v>0.115</v>
      </c>
      <c r="AA239" s="197">
        <f t="shared" si="70"/>
        <v>1.9391999999999998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71"/>
        <v>56</v>
      </c>
      <c r="AE239" s="77" t="str">
        <f t="shared" si="72"/>
        <v>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 &amp; aws s3 cp s3://rtdc.mdm.uploadarchive.raw/RTDC4029/ "%USERPROFILE%\AppData\Local\Temp\OnboardLogs"\RTDC4029\2017-06-20 --exclude "*" --recursive --include "*20170620*" &amp; "%USERPROFILE%\Documents\GitHub\mrs-test-scripts\Headless Mode &amp; Sideloading\WalkAndUnGZ.bat" "%USERPROFILE%\AppData\Local\Temp\OnboardLogs"\RTDC4029\2017-06-20</v>
      </c>
      <c r="AF239" s="74" t="str">
        <f t="shared" si="73"/>
        <v>"C:\Program Files (x86)\AstroGrep\AstroGrep.exe" /e /r /s /spath="%USERPROFILE%\AppData\Local\Temp\OnboardLogs" /stypes="app*4029*20170619*" /stext=" 17:.+((SYSTEM_STATE.+slice.+state.+changed )|(ment ac)|(multiple cpu faults)|(system.+state.+changed )|(\[timeout)|(PRM\|1\|D)|(kpr)|(kdp)|(train st.+moving)|(\|lc)|(penalty))"</v>
      </c>
      <c r="AG239" s="209" t="str">
        <f t="shared" si="74"/>
        <v>Shuttle/Test</v>
      </c>
      <c r="AH239" s="78" t="str">
        <f t="shared" si="77"/>
        <v>"%USERPROFILE%\Documents\GitHub\eaglep3\Utilities\RefineRTDCRunTimes.py" --tripid 56-19 --locoid 4029 --swversion DE.1.0.9.0 --startMP 300:20542 --initTime 2017-06-19T10:50:32 --startdatetime 2017-06-19T10:56:09 --delay 5 --endMP 204:1150 --enddatetime 2017-06-19T11:10:09 --enforcementcount 0 &gt;&gt;C:\Users\stu\Documents\GitHub\eaglep3-reporting\EC\2017-06-19-refined-times.txt</v>
      </c>
      <c r="AI239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0.115"},{"id":17,"name":"Train ID","value":"56-19"},{"id":16,"name":"Locomotive ID","value":"4029"},{"id":130,"name":"Impact","value":""},{"id":150,"name":"Time of Event (Mountain Time)","value":"11:10:09"},{"id":151,"name":"Denver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79"/>
        <v>start /low /b %USERPROFILE%\Documents\GitHub\eaglep3\Utilities\DownloadLogsFromS3.py --loco 4029 --day 2017-06-19</v>
      </c>
      <c r="AN239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17:10:09"},{"id":29,"name":"Sharepoint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809</v>
      </c>
      <c r="B240" s="7">
        <v>4008</v>
      </c>
      <c r="C240" s="21" t="s">
        <v>202</v>
      </c>
      <c r="D240" s="21" t="s">
        <v>964</v>
      </c>
      <c r="E240" s="13">
        <v>42905.707592592589</v>
      </c>
      <c r="F240" s="13">
        <v>42905.710219907407</v>
      </c>
      <c r="G240" s="7">
        <v>2</v>
      </c>
      <c r="H240" s="21" t="s">
        <v>512</v>
      </c>
      <c r="I240" s="13">
        <v>42905.719166666669</v>
      </c>
      <c r="J240" s="7">
        <v>0</v>
      </c>
      <c r="K240" s="89" t="str">
        <f t="shared" si="66"/>
        <v>4007/4008</v>
      </c>
      <c r="L240" s="21" t="str">
        <f>VLOOKUP(A240,'Trips&amp;Operators'!$C$1:$G$99999,5,FALSE)</f>
        <v>NEWELL JAMES</v>
      </c>
      <c r="M240" s="6">
        <f t="shared" si="67"/>
        <v>8.9467592624714598E-3</v>
      </c>
      <c r="N240" s="7">
        <f t="shared" si="83"/>
        <v>12.883333337958902</v>
      </c>
      <c r="O240" s="7"/>
      <c r="P240" s="7"/>
      <c r="Q240" s="22"/>
      <c r="R240" s="170"/>
      <c r="S240" s="213">
        <f t="shared" si="82"/>
        <v>0</v>
      </c>
      <c r="T240" s="195" t="str">
        <f t="shared" si="68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69"/>
        <v>https://d0f6bd738d7f1b3e5a7ca70fe4ff75f0.us-east-1.aws.found.io/app/kibana#/discover/Steve-Slow-Train-Analysis-(2080s-and-2083s)?_g=(refreshInterval:(display:Off,pause:!f,section:0,value:0),time:(from:'2017-06-19T15:58:56-0600',mode:absolute,to:'2017-06-19T18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0" s="197" t="str">
        <f>IF(AA240&lt;VLOOKUP(AG240,Variables!$AC$3:$AD$8,2,FALSE),"Y","N")</f>
        <v>Y</v>
      </c>
      <c r="X240" s="197">
        <f t="shared" si="81"/>
        <v>4</v>
      </c>
      <c r="Y240" s="197">
        <f t="shared" si="75"/>
        <v>0.14729999999999999</v>
      </c>
      <c r="Z240" s="197">
        <f t="shared" si="76"/>
        <v>2.3304</v>
      </c>
      <c r="AA240" s="197">
        <f t="shared" si="70"/>
        <v>2.1831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71"/>
        <v>60</v>
      </c>
      <c r="AE240" s="77" t="str">
        <f t="shared" si="72"/>
        <v>aws s3 cp s3://rtdc.mdm.uploadarchive.raw/RTDC4008/ "%USERPROFILE%\AppData\Local\Temp\OnboardLogs"\RTDC4008\2017-06-19 --exclude "*" --recursive --include "*20170619*" &amp; "%USERPROFILE%\Documents\GitHub\mrs-test-scripts\Headless Mode &amp; Sideloading\WalkAndUnGZ.bat" "%USERPROFILE%\AppData\Local\Temp\OnboardLogs"\RTDC4008\2017-06-19 &amp; 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</v>
      </c>
      <c r="AF240" s="74" t="str">
        <f t="shared" si="73"/>
        <v>"C:\Program Files (x86)\AstroGrep\AstroGrep.exe" /e /r /s /spath="%USERPROFILE%\AppData\Local\Temp\OnboardLogs" /stypes="app*4008*20170619*" /stext=" 23:.+((SYSTEM_STATE.+slice.+state.+changed )|(ment ac)|(multiple cpu faults)|(system.+state.+changed )|(\[timeout)|(PRM\|1\|D)|(kpr)|(kdp)|(train st.+moving)|(\|lc)|(penalty))"</v>
      </c>
      <c r="AG240" s="209" t="str">
        <f t="shared" si="74"/>
        <v>Shuttle/Test</v>
      </c>
      <c r="AH240" s="78" t="str">
        <f t="shared" si="77"/>
        <v>"%USERPROFILE%\Documents\GitHub\eaglep3\Utilities\RefineRTDCRunTimes.py" --tripid 60-19 --locoid 4008 --swversion DE.1.0.9.0 --startMP 204:1473 --initTime 2017-06-19T16:58:56 --startdatetime 2017-06-19T17:02:43 --delay 2 --endMP 300:23304 --enddatetime 2017-06-19T17:15:36 --enforcementcount 0 &gt;&gt;C:\Users\stu\Documents\GitHub\eaglep3-reporting\EC\2017-06-19-refined-times.txt</v>
      </c>
      <c r="AI240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2.3304"},{"id":17,"name":"Train ID","value":"60-19"},{"id":16,"name":"Locomotive ID","value":"4008"},{"id":130,"name":"Impact","value":""},{"id":150,"name":"Time of Event (Mountain Time)","value":"17:15:36"},{"id":151,"name":"Denver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9"/>
        <v>start /low /b %USERPROFILE%\Documents\GitHub\eaglep3\Utilities\DownloadLogsFromS3.py --loco 4008 --day 2017-06-19</v>
      </c>
      <c r="AN240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23:15:36"},{"id":29,"name":"Sharepoint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813</v>
      </c>
      <c r="B241" s="7">
        <v>4040</v>
      </c>
      <c r="C241" s="21" t="s">
        <v>202</v>
      </c>
      <c r="D241" s="21" t="s">
        <v>963</v>
      </c>
      <c r="E241" s="13">
        <v>42905.720185185186</v>
      </c>
      <c r="F241" s="13">
        <v>42905.747430555559</v>
      </c>
      <c r="G241" s="7">
        <v>2</v>
      </c>
      <c r="H241" s="21" t="s">
        <v>617</v>
      </c>
      <c r="I241" s="13">
        <v>42905.754756944443</v>
      </c>
      <c r="J241" s="7">
        <v>0</v>
      </c>
      <c r="K241" s="89" t="str">
        <f t="shared" si="66"/>
        <v>4039/4040</v>
      </c>
      <c r="L241" s="21" t="str">
        <f>VLOOKUP(A241,'Trips&amp;Operators'!$C$1:$G$99999,5,FALSE)</f>
        <v>MOSES BRADLEY</v>
      </c>
      <c r="M241" s="6">
        <f t="shared" si="67"/>
        <v>7.326388884393964E-3</v>
      </c>
      <c r="N241" s="7">
        <f t="shared" si="83"/>
        <v>10.549999993527308</v>
      </c>
      <c r="O241" s="7"/>
      <c r="P241" s="7"/>
      <c r="Q241" s="22"/>
      <c r="R241" s="170"/>
      <c r="S241" s="213">
        <f t="shared" si="82"/>
        <v>0</v>
      </c>
      <c r="T241" s="195" t="str">
        <f t="shared" si="68"/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69"/>
        <v>https://d0f6bd738d7f1b3e5a7ca70fe4ff75f0.us-east-1.aws.found.io/app/kibana#/discover/Steve-Slow-Train-Analysis-(2080s-and-2083s)?_g=(refreshInterval:(display:Off,pause:!f,section:0,value:0),time:(from:'2017-06-19T16:17:04-0600',mode:absolute,to:'2017-06-19T19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1" s="197" t="str">
        <f>IF(AA241&lt;VLOOKUP(AG241,Variables!$AC$3:$AD$8,2,FALSE),"Y","N")</f>
        <v>Y</v>
      </c>
      <c r="X241" s="197">
        <f t="shared" si="81"/>
        <v>4</v>
      </c>
      <c r="Y241" s="197">
        <f t="shared" si="75"/>
        <v>0.115</v>
      </c>
      <c r="Z241" s="197">
        <f t="shared" si="76"/>
        <v>2.3311999999999999</v>
      </c>
      <c r="AA241" s="197">
        <f t="shared" si="70"/>
        <v>2.2161999999999997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71"/>
        <v>64</v>
      </c>
      <c r="AE241" s="77" t="str">
        <f t="shared" si="72"/>
        <v>aws s3 cp s3://rtdc.mdm.uploadarchive.raw/RTDC4040/ "%USERPROFILE%\AppData\Local\Temp\OnboardLogs"\RTDC4040\2017-06-19 --exclude "*" --recursive --include "*20170619*" &amp; "%USERPROFILE%\Documents\GitHub\mrs-test-scripts\Headless Mode &amp; Sideloading\WalkAndUnGZ.bat" "%USERPROFILE%\AppData\Local\Temp\OnboardLogs"\RTDC4040\2017-06-19 &amp; 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</v>
      </c>
      <c r="AF241" s="74" t="str">
        <f t="shared" si="73"/>
        <v>"C:\Program Files (x86)\AstroGrep\AstroGrep.exe" /e /r /s /spath="%USERPROFILE%\AppData\Local\Temp\OnboardLogs" /stypes="app*4040*20170620*" /stext=" 00:.+((SYSTEM_STATE.+slice.+state.+changed )|(ment ac)|(multiple cpu faults)|(system.+state.+changed )|(\[timeout)|(PRM\|1\|D)|(kpr)|(kdp)|(train st.+moving)|(\|lc)|(penalty))"</v>
      </c>
      <c r="AG241" s="209" t="str">
        <f t="shared" si="74"/>
        <v>Shuttle/Test</v>
      </c>
      <c r="AH241" s="78" t="str">
        <f t="shared" si="77"/>
        <v>"%USERPROFILE%\Documents\GitHub\eaglep3\Utilities\RefineRTDCRunTimes.py" --tripid 64-19 --locoid 4040 --swversion DE.1.0.9.0 --startMP 204:1150 --initTime 2017-06-19T17:17:04 --startdatetime 2017-06-19T17:56:18 --delay 2 --endMP 300:23312 --enddatetime 2017-06-19T18:06:51 --enforcementcount 0 &gt;&gt;C:\Users\stu\Documents\GitHub\eaglep3-reporting\EC\2017-06-19-refined-times.txt</v>
      </c>
      <c r="AI241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2.3312"},{"id":17,"name":"Train ID","value":"64-19"},{"id":16,"name":"Locomotive ID","value":"4040"},{"id":130,"name":"Impact","value":""},{"id":150,"name":"Time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9"/>
        <v>start /low /b %USERPROFILE%\Documents\GitHub\eaglep3\Utilities\DownloadLogsFromS3.py --loco 4040 --day 2017-06-19</v>
      </c>
      <c r="AN241" s="151" t="str">
        <f t="shared" si="80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780</v>
      </c>
      <c r="B242" s="7">
        <v>4017</v>
      </c>
      <c r="C242" s="21" t="s">
        <v>202</v>
      </c>
      <c r="D242" s="21" t="s">
        <v>965</v>
      </c>
      <c r="E242" s="13">
        <v>42905.601585648146</v>
      </c>
      <c r="F242" s="13">
        <v>42905.604039351849</v>
      </c>
      <c r="G242" s="7">
        <v>1</v>
      </c>
      <c r="H242" s="21" t="s">
        <v>348</v>
      </c>
      <c r="I242" s="13">
        <v>42905.605590277781</v>
      </c>
      <c r="J242" s="7">
        <v>0</v>
      </c>
      <c r="K242" s="89" t="str">
        <f t="shared" si="66"/>
        <v>4017/4018</v>
      </c>
      <c r="L242" s="21" t="str">
        <f>VLOOKUP(A242,'Trips&amp;Operators'!$C$1:$G$99999,5,FALSE)</f>
        <v>MOSES BRADLEY</v>
      </c>
      <c r="M242" s="6">
        <f t="shared" si="67"/>
        <v>1.5509259319514968E-3</v>
      </c>
      <c r="N242" s="7">
        <f t="shared" si="83"/>
        <v>2.2333333420101553</v>
      </c>
      <c r="O242" s="7"/>
      <c r="P242" s="7"/>
      <c r="Q242" s="22"/>
      <c r="R242" s="170"/>
      <c r="S242" s="213">
        <f t="shared" si="82"/>
        <v>0</v>
      </c>
      <c r="T242" s="195" t="str">
        <f t="shared" si="68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69"/>
        <v>https://d0f6bd738d7f1b3e5a7ca70fe4ff75f0.us-east-1.aws.found.io/app/kibana#/discover/Steve-Slow-Train-Analysis-(2080s-and-2083s)?_g=(refreshInterval:(display:Off,pause:!f,section:0,value:0),time:(from:'2017-06-19T13:26:17-0600',mode:absolute,to:'2017-06-19T15:32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2" s="197" t="str">
        <f>IF(AA242&lt;VLOOKUP(AG242,Variables!$AC$3:$AD$8,2,FALSE),"Y","N")</f>
        <v>Y</v>
      </c>
      <c r="X242" s="197">
        <f t="shared" si="81"/>
        <v>1</v>
      </c>
      <c r="Y242" s="197">
        <f t="shared" si="75"/>
        <v>0.3342</v>
      </c>
      <c r="Z242" s="197">
        <f t="shared" si="76"/>
        <v>1.4999999999999999E-2</v>
      </c>
      <c r="AA242" s="197">
        <f t="shared" si="70"/>
        <v>0.31919999999999998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71"/>
        <v>65</v>
      </c>
      <c r="AE242" s="77" t="str">
        <f t="shared" si="72"/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AF242" s="74" t="str">
        <f t="shared" si="73"/>
        <v>"C:\Program Files (x86)\AstroGrep\AstroGrep.exe" /e /r /s /spath="%USERPROFILE%\AppData\Local\Temp\OnboardLogs" /stypes="app*4017*20170619*" /stext=" 20:.+((SYSTEM_STATE.+slice.+state.+changed )|(ment ac)|(multiple cpu faults)|(system.+state.+changed )|(\[timeout)|(PRM\|1\|D)|(kpr)|(kdp)|(train st.+moving)|(\|lc)|(penalty))"</v>
      </c>
      <c r="AG242" s="209" t="str">
        <f t="shared" si="74"/>
        <v>Shuttle/Test</v>
      </c>
      <c r="AH242" s="78" t="str">
        <f t="shared" si="77"/>
        <v>"%USERPROFILE%\Documents\GitHub\eaglep3\Utilities\RefineRTDCRunTimes.py" --tripid 65-19 --locoid 4017 --swversion DE.1.0.9.0 --startMP 204:3342 --initTime 2017-06-19T14:26:17 --startdatetime 2017-06-19T14:29:49 --delay 1 --endMP 204:150 --enddatetime 2017-06-19T14:32:03 --enforcementcount 0 &gt;&gt;C:\Users\stu\Documents\GitHub\eaglep3-reporting\EC\2017-06-19-refined-times.txt</v>
      </c>
      <c r="AI242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0.015"},{"id":17,"name":"Train ID","value":"65-19"},{"id":16,"name":"Locomotive ID","value":"4017"},{"id":130,"name":"Impact","value":""},{"id":150,"name":"Time of Event (Mountain Time)","value":"14:32:03"},{"id":151,"name":"Denver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9"/>
        <v>start /low /b %USERPROFILE%\Documents\GitHub\eaglep3\Utilities\DownloadLogsFromS3.py --loco 4017 --day 2017-06-19</v>
      </c>
      <c r="AN242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780</v>
      </c>
      <c r="B243" s="7">
        <v>4018</v>
      </c>
      <c r="C243" s="21" t="s">
        <v>202</v>
      </c>
      <c r="D243" s="21" t="s">
        <v>966</v>
      </c>
      <c r="E243" s="13">
        <v>42905.595439814817</v>
      </c>
      <c r="F243" s="13">
        <v>42905.604039351849</v>
      </c>
      <c r="G243" s="7">
        <v>1</v>
      </c>
      <c r="H243" s="21" t="s">
        <v>967</v>
      </c>
      <c r="I243" s="13">
        <v>42905.605590277781</v>
      </c>
      <c r="J243" s="7">
        <v>0</v>
      </c>
      <c r="K243" s="89" t="str">
        <f t="shared" si="66"/>
        <v>4017/4018</v>
      </c>
      <c r="L243" s="21" t="str">
        <f>VLOOKUP(A243,'Trips&amp;Operators'!$C$1:$G$99999,5,FALSE)</f>
        <v>MOSES BRADLEY</v>
      </c>
      <c r="M243" s="6">
        <f t="shared" si="67"/>
        <v>1.5509259319514968E-3</v>
      </c>
      <c r="N243" s="7">
        <f t="shared" si="83"/>
        <v>2.2333333420101553</v>
      </c>
      <c r="O243" s="7"/>
      <c r="P243" s="7"/>
      <c r="Q243" s="22"/>
      <c r="R243" s="170"/>
      <c r="S243" s="213">
        <f t="shared" si="82"/>
        <v>0</v>
      </c>
      <c r="T243" s="195" t="str">
        <f t="shared" si="68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69"/>
        <v>https://d0f6bd738d7f1b3e5a7ca70fe4ff75f0.us-east-1.aws.found.io/app/kibana#/discover/Steve-Slow-Train-Analysis-(2080s-and-2083s)?_g=(refreshInterval:(display:Off,pause:!f,section:0,value:0),time:(from:'2017-06-19T13:17:26-0600',mode:absolute,to:'2017-06-19T15:32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197" t="str">
        <f>IF(AA243&lt;VLOOKUP(AG243,Variables!$AC$3:$AD$8,2,FALSE),"Y","N")</f>
        <v>Y</v>
      </c>
      <c r="X243" s="197">
        <f t="shared" si="81"/>
        <v>0</v>
      </c>
      <c r="Y243" s="197">
        <f t="shared" si="75"/>
        <v>0.14749999999999999</v>
      </c>
      <c r="Z243" s="197">
        <f t="shared" si="76"/>
        <v>0.3649</v>
      </c>
      <c r="AA243" s="197">
        <f t="shared" si="70"/>
        <v>0.21740000000000001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71"/>
        <v>65</v>
      </c>
      <c r="AE243" s="77" t="str">
        <f t="shared" si="72"/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AF243" s="74" t="str">
        <f t="shared" si="73"/>
        <v>"C:\Program Files (x86)\AstroGrep\AstroGrep.exe" /e /r /s /spath="%USERPROFILE%\AppData\Local\Temp\OnboardLogs" /stypes="app*4018*20170619*" /stext=" 20:.+((SYSTEM_STATE.+slice.+state.+changed )|(ment ac)|(multiple cpu faults)|(system.+state.+changed )|(\[timeout)|(PRM\|1\|D)|(kpr)|(kdp)|(train st.+moving)|(\|lc)|(penalty))"</v>
      </c>
      <c r="AG243" s="209" t="str">
        <f t="shared" si="74"/>
        <v>Shuttle/Test</v>
      </c>
      <c r="AH243" s="78" t="str">
        <f t="shared" si="77"/>
        <v>"%USERPROFILE%\Documents\GitHub\eaglep3\Utilities\RefineRTDCRunTimes.py" --tripid 65-19 --locoid 4018 --swversion DE.1.0.9.0 --startMP 204:1475 --initTime 2017-06-19T14:17:26 --startdatetime 2017-06-19T14:29:49 --delay 1 --endMP 204:3649 --enddatetime 2017-06-19T14:32:03 --enforcementcount 0 &gt;&gt;C:\Users\stu\Documents\GitHub\eaglep3-reporting\EC\2017-06-19-refined-times.txt</v>
      </c>
      <c r="AI243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0.3649"},{"id":17,"name":"Train ID","value":"65-19"},{"id":16,"name":"Locomotive ID","value":"4018"},{"id":130,"name":"Impact","value":""},{"id":150,"name":"Time of Event (Mountain Time)","value":"14:32:03"},{"id":151,"name":"Denver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9"/>
        <v>start /low /b %USERPROFILE%\Documents\GitHub\eaglep3\Utilities\DownloadLogsFromS3.py --loco 4018 --day 2017-06-19</v>
      </c>
      <c r="AN243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783</v>
      </c>
      <c r="B244" s="7">
        <v>4002</v>
      </c>
      <c r="C244" s="21" t="s">
        <v>202</v>
      </c>
      <c r="D244" s="21" t="s">
        <v>968</v>
      </c>
      <c r="E244" s="13">
        <v>42905.603090277778</v>
      </c>
      <c r="F244" s="13">
        <v>42905.606689814813</v>
      </c>
      <c r="G244" s="7">
        <v>4</v>
      </c>
      <c r="H244" s="21" t="s">
        <v>969</v>
      </c>
      <c r="I244" s="13">
        <v>42905.609236111108</v>
      </c>
      <c r="J244" s="7">
        <v>0</v>
      </c>
      <c r="K244" s="89" t="str">
        <f t="shared" si="66"/>
        <v>4001/4002</v>
      </c>
      <c r="L244" s="21" t="str">
        <f>VLOOKUP(A244,'Trips&amp;Operators'!$C$1:$G$99999,5,FALSE)</f>
        <v>NELSON ARIANE</v>
      </c>
      <c r="M244" s="6">
        <f t="shared" si="67"/>
        <v>2.5462962948950008E-3</v>
      </c>
      <c r="N244" s="7">
        <f t="shared" si="83"/>
        <v>3.6666666646488011</v>
      </c>
      <c r="O244" s="7"/>
      <c r="P244" s="7"/>
      <c r="Q244" s="22"/>
      <c r="R244" s="170"/>
      <c r="S244" s="213">
        <f t="shared" si="82"/>
        <v>0</v>
      </c>
      <c r="T244" s="195" t="str">
        <f t="shared" si="68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69"/>
        <v>https://d0f6bd738d7f1b3e5a7ca70fe4ff75f0.us-east-1.aws.found.io/app/kibana#/discover/Steve-Slow-Train-Analysis-(2080s-and-2083s)?_g=(refreshInterval:(display:Off,pause:!f,section:0,value:0),time:(from:'2017-06-19T13:28:27-0600',mode:absolute,to:'2017-06-19T15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4" s="197" t="str">
        <f>IF(AA244&lt;VLOOKUP(AG244,Variables!$AC$3:$AD$8,2,FALSE),"Y","N")</f>
        <v>Y</v>
      </c>
      <c r="X244" s="197">
        <f t="shared" si="81"/>
        <v>5</v>
      </c>
      <c r="Y244" s="197">
        <f t="shared" si="75"/>
        <v>2.6928000000000001</v>
      </c>
      <c r="Z244" s="197">
        <f t="shared" si="76"/>
        <v>2.7023000000000001</v>
      </c>
      <c r="AA244" s="197">
        <f t="shared" si="70"/>
        <v>9.5000000000000639E-3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71"/>
        <v>70</v>
      </c>
      <c r="AE244" s="77" t="str">
        <f t="shared" si="72"/>
        <v>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 &amp; aws s3 cp s3://rtdc.mdm.uploadarchive.raw/RTDC4002/ "%USERPROFILE%\AppData\Local\Temp\OnboardLogs"\RTDC4002\2017-06-20 --exclude "*" --recursive --include "*20170620*" &amp; "%USERPROFILE%\Documents\GitHub\mrs-test-scripts\Headless Mode &amp; Sideloading\WalkAndUnGZ.bat" "%USERPROFILE%\AppData\Local\Temp\OnboardLogs"\RTDC4002\2017-06-20</v>
      </c>
      <c r="AF244" s="74" t="str">
        <f t="shared" si="73"/>
        <v>"C:\Program Files (x86)\AstroGrep\AstroGrep.exe" /e /r /s /spath="%USERPROFILE%\AppData\Local\Temp\OnboardLogs" /stypes="app*4002*20170619*" /stext=" 20:.+((SYSTEM_STATE.+slice.+state.+changed )|(ment ac)|(multiple cpu faults)|(system.+state.+changed )|(\[timeout)|(PRM\|1\|D)|(kpr)|(kdp)|(train st.+moving)|(\|lc)|(penalty))"</v>
      </c>
      <c r="AG244" s="209" t="str">
        <f t="shared" si="74"/>
        <v>Shuttle/Test</v>
      </c>
      <c r="AH244" s="78" t="str">
        <f t="shared" si="77"/>
        <v>"%USERPROFILE%\Documents\GitHub\eaglep3\Utilities\RefineRTDCRunTimes.py" --tripid 70-19 --locoid 4002 --swversion DE.1.0.9.0 --startMP 300:26928 --initTime 2017-06-19T14:28:27 --startdatetime 2017-06-19T14:33:38 --delay 4 --endMP 300:27023 --enddatetime 2017-06-19T14:37:18 --enforcementcount 0 &gt;&gt;C:\Users\stu\Documents\GitHub\eaglep3-reporting\EC\2017-06-19-refined-times.txt</v>
      </c>
      <c r="AI244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2.7023"},{"id":17,"name":"Train ID","value":"70-19"},{"id":16,"name":"Locomotive ID","value":"4002"},{"id":130,"name":"Impact","value":""},{"id":150,"name":"Time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9"/>
        <v>start /low /b %USERPROFILE%\Documents\GitHub\eaglep3\Utilities\DownloadLogsFromS3.py --loco 4002 --day 2017-06-19</v>
      </c>
      <c r="AN244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783</v>
      </c>
      <c r="B245" s="7">
        <v>4002</v>
      </c>
      <c r="C245" s="21" t="s">
        <v>202</v>
      </c>
      <c r="D245" s="21" t="s">
        <v>970</v>
      </c>
      <c r="E245" s="13">
        <v>42905.603090277778</v>
      </c>
      <c r="F245" s="13">
        <v>42905.606689814813</v>
      </c>
      <c r="G245" s="7">
        <v>4</v>
      </c>
      <c r="H245" s="21" t="s">
        <v>969</v>
      </c>
      <c r="I245" s="13">
        <v>42905.609236111108</v>
      </c>
      <c r="J245" s="7">
        <v>0</v>
      </c>
      <c r="K245" s="89" t="str">
        <f t="shared" si="66"/>
        <v>4001/4002</v>
      </c>
      <c r="L245" s="21" t="str">
        <f>VLOOKUP(A245,'Trips&amp;Operators'!$C$1:$G$99999,5,FALSE)</f>
        <v>NELSON ARIANE</v>
      </c>
      <c r="M245" s="6">
        <f t="shared" si="67"/>
        <v>2.5462962948950008E-3</v>
      </c>
      <c r="N245" s="7">
        <f t="shared" si="83"/>
        <v>3.6666666646488011</v>
      </c>
      <c r="O245" s="7"/>
      <c r="P245" s="7"/>
      <c r="Q245" s="22"/>
      <c r="R245" s="170"/>
      <c r="S245" s="213">
        <f t="shared" si="82"/>
        <v>0</v>
      </c>
      <c r="T245" s="195" t="str">
        <f t="shared" si="68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69"/>
        <v>https://d0f6bd738d7f1b3e5a7ca70fe4ff75f0.us-east-1.aws.found.io/app/kibana#/discover/Steve-Slow-Train-Analysis-(2080s-and-2083s)?_g=(refreshInterval:(display:Off,pause:!f,section:0,value:0),time:(from:'2017-06-19T13:28:27-0600',mode:absolute,to:'2017-06-19T15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5" s="197" t="str">
        <f>IF(AA245&lt;VLOOKUP(AG245,Variables!$AC$3:$AD$8,2,FALSE),"Y","N")</f>
        <v>Y</v>
      </c>
      <c r="X245" s="197">
        <f t="shared" si="81"/>
        <v>0</v>
      </c>
      <c r="Y245" s="197">
        <f t="shared" si="75"/>
        <v>2.6930000000000001</v>
      </c>
      <c r="Z245" s="197">
        <f t="shared" si="76"/>
        <v>2.7023000000000001</v>
      </c>
      <c r="AA245" s="197">
        <f t="shared" si="70"/>
        <v>9.300000000000086E-3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71"/>
        <v>70</v>
      </c>
      <c r="AE245" s="77" t="str">
        <f t="shared" si="72"/>
        <v>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 &amp; aws s3 cp s3://rtdc.mdm.uploadarchive.raw/RTDC4002/ "%USERPROFILE%\AppData\Local\Temp\OnboardLogs"\RTDC4002\2017-06-20 --exclude "*" --recursive --include "*20170620*" &amp; "%USERPROFILE%\Documents\GitHub\mrs-test-scripts\Headless Mode &amp; Sideloading\WalkAndUnGZ.bat" "%USERPROFILE%\AppData\Local\Temp\OnboardLogs"\RTDC4002\2017-06-20</v>
      </c>
      <c r="AF245" s="74" t="str">
        <f t="shared" si="73"/>
        <v>"C:\Program Files (x86)\AstroGrep\AstroGrep.exe" /e /r /s /spath="%USERPROFILE%\AppData\Local\Temp\OnboardLogs" /stypes="app*4002*20170619*" /stext=" 20:.+((SYSTEM_STATE.+slice.+state.+changed )|(ment ac)|(multiple cpu faults)|(system.+state.+changed )|(\[timeout)|(PRM\|1\|D)|(kpr)|(kdp)|(train st.+moving)|(\|lc)|(penalty))"</v>
      </c>
      <c r="AG245" s="209" t="str">
        <f t="shared" si="74"/>
        <v>Shuttle/Test</v>
      </c>
      <c r="AH245" s="78" t="str">
        <f t="shared" si="77"/>
        <v>"%USERPROFILE%\Documents\GitHub\eaglep3\Utilities\RefineRTDCRunTimes.py" --tripid 70-19 --locoid 4002 --swversion DE.1.0.9.0 --startMP 300:26930 --initTime 2017-06-19T14:28:27 --startdatetime 2017-06-19T14:33:38 --delay 4 --endMP 300:27023 --enddatetime 2017-06-19T14:37:18 --enforcementcount 0 &gt;&gt;C:\Users\stu\Documents\GitHub\eaglep3-reporting\EC\2017-06-19-refined-times.txt</v>
      </c>
      <c r="AI245" s="96" t="str">
        <f t="shared" si="78"/>
        <v>echo {"issue":{"subject":"","project_id":79,"tracker_id":40,"status_id":1,"priority_id":2,"assigned_to_id":23,"start_date":"2017-06-19","description":"","custom_fields":[{"id":1,"name":"Subdivision","value":"Shuttle/Test"},{"id":4,"name":"Milepost","value":"2.7023"},{"id":17,"name":"Train ID","value":"70-19"},{"id":16,"name":"Locomotive ID","value":"4002"},{"id":130,"name":"Impact","value":""},{"id":150,"name":"Time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9"/>
        <v>start /low /b %USERPROFILE%\Documents\GitHub\eaglep3\Utilities\DownloadLogsFromS3.py --loco 4002 --day 2017-06-19</v>
      </c>
      <c r="AN245" s="151" t="str">
        <f t="shared" si="8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20:37:18"},{"id":29,"name":"Sharepoint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</sheetData>
  <autoFilter ref="A12:AG279">
    <sortState ref="A13:AG279">
      <sortCondition ref="AG13:AG245"/>
      <sortCondition ref="AD13:AD245"/>
    </sortState>
  </autoFilter>
  <sortState ref="A13:AN233">
    <sortCondition ref="AG13:AG233"/>
    <sortCondition ref="AD13:AD233"/>
  </sortState>
  <mergeCells count="1">
    <mergeCell ref="A11:P11"/>
  </mergeCells>
  <conditionalFormatting sqref="W11:W12 W283:X1048576 W13:X245">
    <cfRule type="cellIs" dxfId="10" priority="415" operator="equal">
      <formula>"Y"</formula>
    </cfRule>
  </conditionalFormatting>
  <conditionalFormatting sqref="X283:X1048576 X13:X245">
    <cfRule type="cellIs" dxfId="9" priority="398" operator="greaterThan">
      <formula>1</formula>
    </cfRule>
  </conditionalFormatting>
  <conditionalFormatting sqref="X283:X1048576 X12:X245">
    <cfRule type="cellIs" dxfId="8" priority="395" operator="equal">
      <formula>0</formula>
    </cfRule>
  </conditionalFormatting>
  <conditionalFormatting sqref="A13:S24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- 2017-06-19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523</v>
      </c>
      <c r="X6" s="208" t="s">
        <v>516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42905.436412037037</v>
      </c>
      <c r="B7" s="30" t="s">
        <v>525</v>
      </c>
      <c r="C7" s="30" t="s">
        <v>631</v>
      </c>
      <c r="D7" s="30" t="s">
        <v>49</v>
      </c>
      <c r="E7" s="30" t="s">
        <v>187</v>
      </c>
      <c r="F7" s="42">
        <v>0</v>
      </c>
      <c r="G7" s="42">
        <v>190</v>
      </c>
      <c r="H7" s="42">
        <v>27417</v>
      </c>
      <c r="I7" s="42">
        <v>27159</v>
      </c>
      <c r="J7" s="30" t="s">
        <v>188</v>
      </c>
      <c r="K7" s="42">
        <v>27350</v>
      </c>
      <c r="L7" s="131" t="s">
        <v>51</v>
      </c>
      <c r="M7" s="132">
        <f t="shared" ref="M7:M39" si="0">CONVERT((I7-K7)/10000,"mi","ft")*IF(L7="Increasing Mileposts (1)",-1,1)</f>
        <v>-100.848</v>
      </c>
      <c r="N7" s="133" t="str">
        <f>VLOOKUP(C7,'Trips&amp;Operators'!$C$1:$G$99999,5,FALSE)</f>
        <v>YANAI IAN</v>
      </c>
      <c r="O7" s="203" t="s">
        <v>180</v>
      </c>
      <c r="P7" s="134" t="s">
        <v>396</v>
      </c>
      <c r="Q7" s="30"/>
      <c r="R7" s="81" t="str">
        <f>VLOOKUP(C7,'Train Runs'!$A$13:$AE$9938,31,0)</f>
        <v>aws s3 cp s3://rtdc.mdm.uploadarchive.raw/RTDC4053/ "%USERPROFILE%\AppData\Local\Temp\OnboardLogs"\RTDC4053\2017-06-19 --exclude "*" --recursive --include "*20170619*" &amp; "%USERPROFILE%\Documents\GitHub\mrs-test-scripts\Headless Mode &amp; Sideloading\WalkAndUnGZ.bat" "%USERPROFILE%\AppData\Local\Temp\OnboardLogs"\RTDC4053\2017-06-19 &amp; aws s3 cp s3://rtdc.mdm.uploadarchive.raw/RTDC4053/ "%USERPROFILE%\AppData\Local\Temp\OnboardLogs"\RTDC4053\2017-06-20 --exclude "*" --recursive --include "*20170620*" &amp; "%USERPROFILE%\Documents\GitHub\mrs-test-scripts\Headless Mode &amp; Sideloading\WalkAndUnGZ.bat" "%USERPROFILE%\AppData\Local\Temp\OnboardLogs"\RTDC4053\2017-06-20</v>
      </c>
      <c r="S7" s="84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-06-19T08:38:50-0600',mode:absolute,to:'2017-06-19T11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/stypes="*4053*201706191*" /stext=" 16:.+((SYSTEM_STATE.+slice.+state.+changed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4053</v>
      </c>
      <c r="V7" s="31">
        <f t="shared" ref="V7:V39" si="3">A7-utc_offset/24</f>
        <v>42905.686412037037</v>
      </c>
      <c r="W7" s="45" t="str">
        <f t="shared" ref="W7:W39" si="4">DetSubdiv(C7)</f>
        <v>EC</v>
      </c>
      <c r="X7" s="22">
        <f t="shared" ref="X7:X39" si="5">VALUE(LEFT(C7,LEN(C7)-3))</f>
        <v>144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arrival","project_id":79,"tracker_id":40,"status_id":1,"priority_id":2,"assigned_to_id":23,"start_date":"2017-06-19","description":"","custom_fields":[{"id":1,"name":"Subdivision","value":"EC"},{"id":4,"name":"Milepost","value":"2.735"},{"id":17,"name":"Train ID","value":"144-19"},{"id":16,"name":"Locomotive ID","value":"4053"},{"id":130,"name":"Impact","value":""},{"id":150,"name":"Time of Event (Mountain Time)","value":"10:28:26"},{"id":151,"name":"Denver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9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/cygdrive/c/Users/stu/AppData/Local/Temp/OnboardLogs/RTDC4053 --include="*4053*201706191*"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"%USERPROFILE%\AppData\Local\Temp\OnboardLogs"\RTDC4053\*4053*201706191* &gt;&gt; 2017-06-19-SliceDisagreementCheck.txt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2017-06-19</v>
      </c>
    </row>
    <row r="8" spans="1:32" s="1" customFormat="1" x14ac:dyDescent="0.25">
      <c r="A8" s="31">
        <v>42905.320810185185</v>
      </c>
      <c r="B8" s="30" t="s">
        <v>445</v>
      </c>
      <c r="C8" s="30" t="s">
        <v>624</v>
      </c>
      <c r="D8" s="30" t="s">
        <v>96</v>
      </c>
      <c r="E8" s="30" t="s">
        <v>187</v>
      </c>
      <c r="F8" s="42">
        <v>300</v>
      </c>
      <c r="G8" s="42">
        <v>359</v>
      </c>
      <c r="H8" s="42">
        <v>42908</v>
      </c>
      <c r="I8" s="42">
        <v>44186</v>
      </c>
      <c r="J8" s="30" t="s">
        <v>188</v>
      </c>
      <c r="K8" s="42">
        <v>42779</v>
      </c>
      <c r="L8" s="131" t="s">
        <v>50</v>
      </c>
      <c r="M8" s="132">
        <f t="shared" si="0"/>
        <v>-742.89599999999996</v>
      </c>
      <c r="N8" s="133" t="str">
        <f>VLOOKUP(C8,'Trips&amp;Operators'!$C$1:$G$99999,5,FALSE)</f>
        <v>MACDONALD THOMAS</v>
      </c>
      <c r="O8" s="203" t="s">
        <v>180</v>
      </c>
      <c r="P8" s="134" t="s">
        <v>396</v>
      </c>
      <c r="Q8" s="30"/>
      <c r="R8" s="81" t="str">
        <f>VLOOKUP(C8,'Train Runs'!$A$13:$AE$9938,31,0)</f>
        <v>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 &amp; 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</v>
      </c>
      <c r="S8" s="84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-06-19T06:22:08-0600',mode:absolute,to:'2017-06-19T09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8" s="86" t="str">
        <f t="shared" si="1"/>
        <v>"C:\Program Files (x86)\AstroGrep\AstroGrep.exe" /e /r /s /spath="%USERPROFILE%\AppData\Local\Temp\OnboardLogs" /stypes="*4046*201706191*"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4046</v>
      </c>
      <c r="V8" s="31">
        <f t="shared" si="3"/>
        <v>42905.570810185185</v>
      </c>
      <c r="W8" s="45" t="str">
        <f t="shared" si="4"/>
        <v>EC</v>
      </c>
      <c r="X8" s="22">
        <f t="shared" si="5"/>
        <v>131</v>
      </c>
      <c r="Y8" s="96" t="str">
        <f t="shared" si="6"/>
        <v>echo {"issue":{"subject":"Early arrival","project_id":79,"tracker_id":40,"status_id":1,"priority_id":2,"assigned_to_id":23,"start_date":"2017-06-19","description":"","custom_fields":[{"id":1,"name":"Subdivision","value":"EC"},{"id":4,"name":"Milepost","value":"4.2779"},{"id":17,"name":"Train ID","value":"131-19"},{"id":16,"name":"Locomotive ID","value":"4046"},{"id":130,"name":"Impact","value":""},{"id":150,"name":"Time of Event (Mountain Time)","value":"07:41:58"},{"id":151,"name":"Denver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/cygdrive/c/Users/stu/AppData/Local/Temp/OnboardLogs/RTDC4046 --include="*4046*201706191*"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"%USERPROFILE%\AppData\Local\Temp\OnboardLogs"\RTDC4046\*4046*201706191* &gt;&gt; 2017-06-19-SliceDisagreementCheck.txt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4046 --day 2017-06-19</v>
      </c>
    </row>
    <row r="9" spans="1:32" s="1" customFormat="1" x14ac:dyDescent="0.25">
      <c r="A9" s="31">
        <v>42905.484386574077</v>
      </c>
      <c r="B9" s="30" t="s">
        <v>629</v>
      </c>
      <c r="C9" s="30" t="s">
        <v>634</v>
      </c>
      <c r="D9" s="30" t="s">
        <v>96</v>
      </c>
      <c r="E9" s="30" t="s">
        <v>187</v>
      </c>
      <c r="F9" s="42">
        <v>240</v>
      </c>
      <c r="G9" s="42">
        <v>293</v>
      </c>
      <c r="H9" s="42">
        <v>63219</v>
      </c>
      <c r="I9" s="42">
        <v>62450</v>
      </c>
      <c r="J9" s="30" t="s">
        <v>188</v>
      </c>
      <c r="K9" s="42">
        <v>63309</v>
      </c>
      <c r="L9" s="131" t="s">
        <v>51</v>
      </c>
      <c r="M9" s="132">
        <f t="shared" si="0"/>
        <v>-453.55200000000002</v>
      </c>
      <c r="N9" s="133" t="str">
        <f>VLOOKUP(C9,'Trips&amp;Operators'!$C$1:$G$99999,5,FALSE)</f>
        <v>DAVIDSON DAVID</v>
      </c>
      <c r="O9" s="203" t="s">
        <v>180</v>
      </c>
      <c r="P9" s="134" t="s">
        <v>396</v>
      </c>
      <c r="Q9" s="30"/>
      <c r="R9" s="81" t="str">
        <f>VLOOKUP(C9,'Train Runs'!$A$13:$AE$9938,31,0)</f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S9" s="84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-06-19T09:56:41-0600',mode:absolute,to:'2017-06-19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 t="shared" si="1"/>
        <v>"C:\Program Files (x86)\AstroGrep\AstroGrep.exe" /e /r /s /spath="%USERPROFILE%\AppData\Local\Temp\OnboardLogs" /stypes="*4015*201706191*"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42905.734386574077</v>
      </c>
      <c r="W9" s="45" t="str">
        <f t="shared" si="4"/>
        <v>EC</v>
      </c>
      <c r="X9" s="22">
        <f t="shared" si="5"/>
        <v>154</v>
      </c>
      <c r="Y9" s="96" t="str">
        <f t="shared" si="6"/>
        <v>echo {"issue":{"subject":"Early arrival","project_id":79,"tracker_id":40,"status_id":1,"priority_id":2,"assigned_to_id":23,"start_date":"2017-06-19","description":"","custom_fields":[{"id":1,"name":"Subdivision","value":"EC"},{"id":4,"name":"Milepost","value":"6.3309"},{"id":17,"name":"Train ID","value":"154-19"},{"id":16,"name":"Locomotive ID","value":"4015"},{"id":130,"name":"Impact","value":""},{"id":150,"name":"Time of Event (Mountain Time)","value":"11:37:31"},{"id":151,"name":"Denver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/cygdrive/c/Users/stu/AppData/Local/Temp/OnboardLogs/RTDC4015 --include="*4015*201706191*"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"%USERPROFILE%\AppData\Local\Temp\OnboardLogs"\RTDC4015\*4015*201706191* &gt;&gt; 2017-06-19-SliceDisagreementCheck.txt</v>
      </c>
      <c r="AE9" s="145" t="str">
        <f t="shared" si="9"/>
        <v>start /low /b %USERPROFILE%\Documents\GitHub\eaglep3\Utilities\DownloadLogsFromS3.py --loco 4015 --day 2017-06-19</v>
      </c>
    </row>
    <row r="10" spans="1:32" s="1" customFormat="1" x14ac:dyDescent="0.25">
      <c r="A10" s="31">
        <v>42905.302453703705</v>
      </c>
      <c r="B10" s="30" t="s">
        <v>620</v>
      </c>
      <c r="C10" s="30" t="s">
        <v>621</v>
      </c>
      <c r="D10" s="30" t="s">
        <v>96</v>
      </c>
      <c r="E10" s="30" t="s">
        <v>187</v>
      </c>
      <c r="F10" s="42">
        <v>410</v>
      </c>
      <c r="G10" s="42">
        <v>467</v>
      </c>
      <c r="H10" s="42">
        <v>108973</v>
      </c>
      <c r="I10" s="42">
        <v>107383</v>
      </c>
      <c r="J10" s="30" t="s">
        <v>188</v>
      </c>
      <c r="K10" s="42">
        <v>109135</v>
      </c>
      <c r="L10" s="131" t="s">
        <v>51</v>
      </c>
      <c r="M10" s="132">
        <f t="shared" si="0"/>
        <v>-925.05600000000004</v>
      </c>
      <c r="N10" s="133" t="str">
        <f>VLOOKUP(C10,'Trips&amp;Operators'!$C$1:$G$99999,5,FALSE)</f>
        <v>STARKS ANGELINA</v>
      </c>
      <c r="O10" s="203" t="s">
        <v>180</v>
      </c>
      <c r="P10" s="134" t="s">
        <v>396</v>
      </c>
      <c r="Q10" s="30"/>
      <c r="R10" s="81" t="str">
        <f>VLOOKUP(C10,'Train Runs'!$A$13:$AE$9938,31,0)</f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S10" s="84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-06-19T05:54:17-0600',mode:absolute,to:'2017-06-19T08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 t="shared" si="1"/>
        <v>"C:\Program Files (x86)\AstroGrep\AstroGrep.exe" /e /r /s /spath="%USERPROFILE%\AppData\Local\Temp\OnboardLogs" /stypes="*4007*201706191*"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4007</v>
      </c>
      <c r="V10" s="31">
        <f t="shared" si="3"/>
        <v>42905.552453703705</v>
      </c>
      <c r="W10" s="45" t="str">
        <f t="shared" si="4"/>
        <v>EC</v>
      </c>
      <c r="X10" s="22">
        <f t="shared" si="5"/>
        <v>120</v>
      </c>
      <c r="Y10" s="96" t="str">
        <f t="shared" si="6"/>
        <v>echo {"issue":{"subject":"Early arrival","project_id":79,"tracker_id":40,"status_id":1,"priority_id":2,"assigned_to_id":23,"start_date":"2017-06-19","description":"","custom_fields":[{"id":1,"name":"Subdivision","value":"EC"},{"id":4,"name":"Milepost","value":"10.9135"},{"id":17,"name":"Train ID","value":"120-19"},{"id":16,"name":"Locomotive ID","value":"4007"},{"id":130,"name":"Impact","value":""},{"id":150,"name":"Time of Event (Mountain Time)","value":"07:15:32"},{"id":151,"name":"Denver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/cygdrive/c/Users/stu/AppData/Local/Temp/OnboardLogs/RTDC4007 --include="*4007*201706191*"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"%USERPROFILE%\AppData\Local\Temp\OnboardLogs"\RTDC4007\*4007*201706191* &gt;&gt; 2017-06-19-SliceDisagreementCheck.txt</v>
      </c>
      <c r="AE10" s="145" t="str">
        <f t="shared" si="9"/>
        <v>start /low /b %USERPROFILE%\Documents\GitHub\eaglep3\Utilities\DownloadLogsFromS3.py --loco 4007 --day 2017-06-19</v>
      </c>
    </row>
    <row r="11" spans="1:32" s="1" customFormat="1" x14ac:dyDescent="0.25">
      <c r="A11" s="31">
        <v>42905.38009259259</v>
      </c>
      <c r="B11" s="30" t="s">
        <v>626</v>
      </c>
      <c r="C11" s="30" t="s">
        <v>627</v>
      </c>
      <c r="D11" s="30" t="s">
        <v>49</v>
      </c>
      <c r="E11" s="30" t="s">
        <v>200</v>
      </c>
      <c r="F11" s="42">
        <v>400</v>
      </c>
      <c r="G11" s="42">
        <v>538</v>
      </c>
      <c r="H11" s="42">
        <v>115159</v>
      </c>
      <c r="I11" s="42">
        <v>116718</v>
      </c>
      <c r="J11" s="30" t="s">
        <v>201</v>
      </c>
      <c r="K11" s="42">
        <v>116838</v>
      </c>
      <c r="L11" s="131" t="s">
        <v>50</v>
      </c>
      <c r="M11" s="132">
        <f t="shared" si="0"/>
        <v>63.36</v>
      </c>
      <c r="N11" s="133" t="str">
        <f>VLOOKUP(C11,'Trips&amp;Operators'!$C$1:$G$99999,5,FALSE)</f>
        <v>HELVIE ADAM</v>
      </c>
      <c r="O11" s="203" t="s">
        <v>180</v>
      </c>
      <c r="P11" s="134"/>
      <c r="Q11" s="30"/>
      <c r="R11" s="81" t="str">
        <f>VLOOKUP(C11,'Train Runs'!$A$13:$AE$9938,31,0)</f>
        <v>aws s3 cp s3://rtdc.mdm.uploadarchive.raw/RTDC4018/ "%USERPROFILE%\AppData\Local\Temp\OnboardLogs"\RTDC4018\2017-06-19 --exclude "*" --recursive --include "*20170619*" &amp; "%USERPROFILE%\Documents\GitHub\mrs-test-scripts\Headless Mode &amp; Sideloading\WalkAndUnGZ.bat" "%USERPROFILE%\AppData\Local\Temp\OnboardLogs"\RTDC4018\2017-06-19 &amp; aws s3 cp s3://rtdc.mdm.uploadarchive.raw/RTDC4018/ "%USERPROFILE%\AppData\Local\Temp\OnboardLogs"\RTDC4018\2017-06-20 --exclude "*" --recursive --include "*20170620*" &amp; "%USERPROFILE%\Documents\GitHub\mrs-test-scripts\Headless Mode &amp; Sideloading\WalkAndUnGZ.bat" "%USERPROFILE%\AppData\Local\Temp\OnboardLogs"\RTDC4018\2017-06-20</v>
      </c>
      <c r="S11" s="84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-06-19T07:38:48-0600',mode:absolute,to:'2017-06-19T10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86" t="str">
        <f t="shared" si="1"/>
        <v>"C:\Program Files (x86)\AstroGrep\AstroGrep.exe" /e /r /s /spath="%USERPROFILE%\AppData\Local\Temp\OnboardLogs" /stypes="*4018*201706191*"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4018</v>
      </c>
      <c r="V11" s="31">
        <f t="shared" si="3"/>
        <v>42905.63009259259</v>
      </c>
      <c r="W11" s="45" t="str">
        <f t="shared" si="4"/>
        <v>EC</v>
      </c>
      <c r="X11" s="22">
        <f t="shared" si="5"/>
        <v>141</v>
      </c>
      <c r="Y11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{"issue":{"subject":"","project_id":79,"tracker_id":40,"status_id":1,"priority_id":2,"assigned_to_id":23,"start_date":"2017-06-19","description":"","custom_fields":[{"id":1,"name":"Subdivision","value":"EC"},{"id":4,"name":"Milepost","value":"11.6838"},{"id":17,"name":"Train ID","value":"141-19"},{"id":16,"name":"Locomotive ID","value":"4018"},{"id":130,"name":"Impact","value":""},{"id":150,"name":"Time of Event (Mountain Time)","value":"09:07:20"},{"id":151,"name":"Denver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/cygdrive/c/Users/stu/AppData/Local/Temp/OnboardLogs/RTDC4018 --include="*4018*201706191*"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"%USERPROFILE%\AppData\Local\Temp\OnboardLogs"\RTDC4018\*4018*201706191* &gt;&gt; 2017-06-19-SliceDisagreementCheck.txt</v>
      </c>
      <c r="AE11" s="145" t="str">
        <f t="shared" si="9"/>
        <v>start /low /b %USERPROFILE%\Documents\GitHub\eaglep3\Utilities\DownloadLogsFromS3.py --loco 4018 --day 2017-06-19</v>
      </c>
    </row>
    <row r="12" spans="1:32" s="1" customFormat="1" x14ac:dyDescent="0.25">
      <c r="A12" s="31">
        <v>42905.408900462964</v>
      </c>
      <c r="B12" s="30" t="s">
        <v>445</v>
      </c>
      <c r="C12" s="30" t="s">
        <v>628</v>
      </c>
      <c r="D12" s="30" t="s">
        <v>96</v>
      </c>
      <c r="E12" s="30" t="s">
        <v>200</v>
      </c>
      <c r="F12" s="42">
        <v>350</v>
      </c>
      <c r="G12" s="42">
        <v>408</v>
      </c>
      <c r="H12" s="42">
        <v>229068</v>
      </c>
      <c r="I12" s="42">
        <v>230235</v>
      </c>
      <c r="J12" s="30" t="s">
        <v>201</v>
      </c>
      <c r="K12" s="42">
        <v>224578</v>
      </c>
      <c r="L12" s="131" t="s">
        <v>50</v>
      </c>
      <c r="M12" s="132">
        <f t="shared" si="0"/>
        <v>-2986.8960000000002</v>
      </c>
      <c r="N12" s="133" t="str">
        <f>VLOOKUP(C12,'Trips&amp;Operators'!$C$1:$G$99999,5,FALSE)</f>
        <v>MACDONALD THOMAS</v>
      </c>
      <c r="O12" s="203" t="s">
        <v>180</v>
      </c>
      <c r="P12" s="134"/>
      <c r="Q12" s="30"/>
      <c r="R12" s="81" t="str">
        <f>VLOOKUP(C12,'Train Runs'!$A$13:$AE$9938,31,0)</f>
        <v>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 &amp; 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</v>
      </c>
      <c r="S12" s="84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-06-19T08:09:10-0600',mode:absolute,to:'2017-06-19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2" s="86" t="str">
        <f t="shared" si="1"/>
        <v>"C:\Program Files (x86)\AstroGrep\AstroGrep.exe" /e /r /s /spath="%USERPROFILE%\AppData\Local\Temp\OnboardLogs" /stypes="*4046*201706191*"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4046</v>
      </c>
      <c r="V12" s="31">
        <f t="shared" si="3"/>
        <v>42905.658900462964</v>
      </c>
      <c r="W12" s="45" t="str">
        <f t="shared" si="4"/>
        <v>EC</v>
      </c>
      <c r="X12" s="22">
        <f t="shared" si="5"/>
        <v>145</v>
      </c>
      <c r="Y12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{"issue":{"subject":"","project_id":79,"tracker_id":40,"status_id":1,"priority_id":2,"assigned_to_id":23,"start_date":"2017-06-19","description":"","custom_fields":[{"id":1,"name":"Subdivision","value":"EC"},{"id":4,"name":"Milepost","value":"22.4578"},{"id":17,"name":"Train ID","value":"145-19"},{"id":16,"name":"Locomotive ID","value":"4046"},{"id":130,"name":"Impact","value":""},{"id":150,"name":"Time of Event (Mountain Time)","value":"09:48:49"},{"id":151,"name":"Denver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/cygdrive/c/Users/stu/AppData/Local/Temp/OnboardLogs/RTDC4046 --include="*4046*201706191*"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"%USERPROFILE%\AppData\Local\Temp\OnboardLogs"\RTDC4046\*4046*201706191* &gt;&gt; 2017-06-19-SliceDisagreementCheck.txt</v>
      </c>
      <c r="AE12" s="145" t="str">
        <f t="shared" si="9"/>
        <v>start /low /b %USERPROFILE%\Documents\GitHub\eaglep3\Utilities\DownloadLogsFromS3.py --loco 4046 --day 2017-06-19</v>
      </c>
    </row>
    <row r="13" spans="1:32" s="1" customFormat="1" x14ac:dyDescent="0.25">
      <c r="A13" s="31">
        <v>42905.306805555556</v>
      </c>
      <c r="B13" s="30" t="s">
        <v>400</v>
      </c>
      <c r="C13" s="30" t="s">
        <v>622</v>
      </c>
      <c r="D13" s="30" t="s">
        <v>49</v>
      </c>
      <c r="E13" s="30" t="s">
        <v>361</v>
      </c>
      <c r="F13" s="42">
        <v>0</v>
      </c>
      <c r="G13" s="42">
        <v>205</v>
      </c>
      <c r="H13" s="42">
        <v>27804</v>
      </c>
      <c r="I13" s="42">
        <v>27979</v>
      </c>
      <c r="J13" s="30" t="s">
        <v>362</v>
      </c>
      <c r="K13" s="42">
        <v>28054</v>
      </c>
      <c r="L13" s="131" t="s">
        <v>50</v>
      </c>
      <c r="M13" s="132">
        <f t="shared" si="0"/>
        <v>39.6</v>
      </c>
      <c r="N13" s="133" t="str">
        <f>VLOOKUP(C13,'Trips&amp;Operators'!$C$1:$G$99999,5,FALSE)</f>
        <v>YANAI IAN</v>
      </c>
      <c r="O13" s="203" t="s">
        <v>410</v>
      </c>
      <c r="P13" s="134" t="s">
        <v>411</v>
      </c>
      <c r="Q13" s="30"/>
      <c r="R13" s="81" t="str">
        <f>VLOOKUP(C13,'Train Runs'!$A$13:$AE$9938,31,0)</f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S13" s="84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-06-19T06:07:38-0600',mode:absolute,to:'2017-06-19T08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86" t="str">
        <f t="shared" si="1"/>
        <v>"C:\Program Files (x86)\AstroGrep\AstroGrep.exe" /e /r /s /spath="%USERPROFILE%\AppData\Local\Temp\OnboardLogs" /stypes="*4054*201706191*"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4054</v>
      </c>
      <c r="V13" s="31">
        <f t="shared" si="3"/>
        <v>42905.556805555556</v>
      </c>
      <c r="W13" s="45" t="str">
        <f t="shared" si="4"/>
        <v>EC</v>
      </c>
      <c r="X13" s="22">
        <f t="shared" si="5"/>
        <v>129</v>
      </c>
      <c r="Y13" s="96" t="str">
        <f t="shared" si="6"/>
        <v>echo {"issue":{"subject":"Wi-MAX data drop","project_id":79,"tracker_id":40,"status_id":1,"priority_id":2,"assigned_to_id":23,"start_date":"2017-06-19","description":"","custom_fields":[{"id":1,"name":"Subdivision","value":"EC"},{"id":4,"name":"Milepost","value":"2.8054"},{"id":17,"name":"Train ID","value":"129-19"},{"id":16,"name":"Locomotive ID","value":"4054"},{"id":130,"name":"Impact","value":""},{"id":150,"name":"Time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/cygdrive/c/Users/stu/AppData/Local/Temp/OnboardLogs/RTDC4054 --include="*4054*201706191*"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"%USERPROFILE%\AppData\Local\Temp\OnboardLogs"\RTDC4054\*4054*201706191* &gt;&gt; 2017-06-19-SliceDisagreementCheck.txt</v>
      </c>
      <c r="AE13" s="145" t="str">
        <f t="shared" si="9"/>
        <v>start /low /b %USERPROFILE%\Documents\GitHub\eaglep3\Utilities\DownloadLogsFromS3.py --loco 4054 --day 2017-06-19</v>
      </c>
    </row>
    <row r="14" spans="1:32" x14ac:dyDescent="0.25">
      <c r="A14" s="31">
        <v>42905.167905092596</v>
      </c>
      <c r="B14" s="30" t="s">
        <v>400</v>
      </c>
      <c r="C14" s="30" t="s">
        <v>618</v>
      </c>
      <c r="D14" s="30" t="s">
        <v>49</v>
      </c>
      <c r="E14" s="30" t="s">
        <v>361</v>
      </c>
      <c r="F14" s="42">
        <v>0</v>
      </c>
      <c r="G14" s="42">
        <v>778</v>
      </c>
      <c r="H14" s="42">
        <v>78836</v>
      </c>
      <c r="I14" s="42">
        <v>82425</v>
      </c>
      <c r="J14" s="30" t="s">
        <v>362</v>
      </c>
      <c r="K14" s="42">
        <v>81738</v>
      </c>
      <c r="L14" s="131" t="s">
        <v>50</v>
      </c>
      <c r="M14" s="132">
        <f t="shared" si="0"/>
        <v>-362.73599999999999</v>
      </c>
      <c r="N14" s="133" t="str">
        <f>VLOOKUP(C14,'Trips&amp;Operators'!$C$1:$G$99999,5,FALSE)</f>
        <v>YANAI IAN</v>
      </c>
      <c r="O14" s="203" t="s">
        <v>410</v>
      </c>
      <c r="P14" s="134" t="s">
        <v>411</v>
      </c>
      <c r="Q14" s="30"/>
      <c r="R14" s="81" t="str">
        <f>VLOOKUP(C14,'Train Runs'!$A$13:$AE$9938,31,0)</f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S14" s="84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-06-19T02:29:20-0600',mode:absolute,to:'2017-06-19T05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6" t="str">
        <f t="shared" si="1"/>
        <v>"C:\Program Files (x86)\AstroGrep\AstroGrep.exe" /e /r /s /spath="%USERPROFILE%\AppData\Local\Temp\OnboardLogs" /stypes="*4054*201706191*" /stext=" 10:.+((SYSTEM_STATE.+slice.+state.+changed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42905.417905092596</v>
      </c>
      <c r="W14" s="45" t="str">
        <f t="shared" si="4"/>
        <v>EC</v>
      </c>
      <c r="X14" s="22">
        <f t="shared" si="5"/>
        <v>103</v>
      </c>
      <c r="Y14" s="96" t="str">
        <f t="shared" si="6"/>
        <v>echo {"issue":{"subject":"Wi-MAX data drop","project_id":79,"tracker_id":40,"status_id":1,"priority_id":2,"assigned_to_id":23,"start_date":"2017-06-19","description":"","custom_fields":[{"id":1,"name":"Subdivision","value":"EC"},{"id":4,"name":"Milepost","value":"8.1738"},{"id":17,"name":"Train ID","value":"103-19"},{"id":16,"name":"Locomotive ID","value":"4054"},{"id":130,"name":"Impact","value":""},{"id":150,"name":"Time of Event (Mountain Time)","value":"04:01:47"},{"id":151,"name":"Denver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/cygdrive/c/Users/stu/AppData/Local/Temp/OnboardLogs/RTDC4054 --include="*4054*201706191*"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"%USERPROFILE%\AppData\Local\Temp\OnboardLogs"\RTDC4054\*4054*201706191* &gt;&gt; 2017-06-19-SliceDisagreementCheck.txt</v>
      </c>
      <c r="AE14" s="145" t="str">
        <f t="shared" si="9"/>
        <v>start /low /b %USERPROFILE%\Documents\GitHub\eaglep3\Utilities\DownloadLogsFromS3.py --loco 4054 --day 2017-06-19</v>
      </c>
      <c r="AF14" s="1"/>
    </row>
    <row r="15" spans="1:32" x14ac:dyDescent="0.25">
      <c r="A15" s="31">
        <v>42905.560567129629</v>
      </c>
      <c r="B15" s="30" t="s">
        <v>635</v>
      </c>
      <c r="C15" s="30" t="s">
        <v>636</v>
      </c>
      <c r="D15" s="30" t="s">
        <v>49</v>
      </c>
      <c r="E15" s="30" t="s">
        <v>361</v>
      </c>
      <c r="F15" s="42">
        <v>0</v>
      </c>
      <c r="G15" s="42">
        <v>126</v>
      </c>
      <c r="H15" s="42">
        <v>150261</v>
      </c>
      <c r="I15" s="42">
        <v>150062</v>
      </c>
      <c r="J15" s="30" t="s">
        <v>362</v>
      </c>
      <c r="K15" s="42">
        <v>149700</v>
      </c>
      <c r="L15" s="131" t="s">
        <v>51</v>
      </c>
      <c r="M15" s="132">
        <f t="shared" si="0"/>
        <v>191.136</v>
      </c>
      <c r="N15" s="133" t="str">
        <f>VLOOKUP(C15,'Trips&amp;Operators'!$C$1:$G$99999,5,FALSE)</f>
        <v>BRANDNER MELINDA</v>
      </c>
      <c r="O15" s="203" t="s">
        <v>180</v>
      </c>
      <c r="P15" s="134" t="s">
        <v>1055</v>
      </c>
      <c r="Q15" s="30"/>
      <c r="R15" s="81" t="str">
        <f>VLOOKUP(C15,'Train Runs'!$A$13:$AE$9938,31,0)</f>
        <v>aws s3 cp s3://rtdc.mdm.uploadarchive.raw/RTDC4017/ "%USERPROFILE%\AppData\Local\Temp\OnboardLogs"\RTDC4017\2017-06-19 --exclude "*" --recursive --include "*20170619*" &amp; "%USERPROFILE%\Documents\GitHub\mrs-test-scripts\Headless Mode &amp; Sideloading\WalkAndUnGZ.bat" "%USERPROFILE%\AppData\Local\Temp\OnboardLogs"\RTDC4017\2017-06-19 &amp; aws s3 cp s3://rtdc.mdm.uploadarchive.raw/RTDC4017/ "%USERPROFILE%\AppData\Local\Temp\OnboardLogs"\RTDC4017\2017-06-20 --exclude "*" --recursive --include "*20170620*" &amp; "%USERPROFILE%\Documents\GitHub\mrs-test-scripts\Headless Mode &amp; Sideloading\WalkAndUnGZ.bat" "%USERPROFILE%\AppData\Local\Temp\OnboardLogs"\RTDC4017\2017-06-20</v>
      </c>
      <c r="S15" s="84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-06-19T12:31:03-0600',mode:absolute,to:'2017-06-19T14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/stypes="*4017*201706191*"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42905.810567129629</v>
      </c>
      <c r="W15" s="45" t="str">
        <f t="shared" si="4"/>
        <v>EC</v>
      </c>
      <c r="X15" s="22">
        <f t="shared" si="5"/>
        <v>170</v>
      </c>
      <c r="Y15" s="96" t="str">
        <f t="shared" si="6"/>
        <v>echo {"issue":{"subject":"STOP aspect","project_id":79,"tracker_id":40,"status_id":1,"priority_id":2,"assigned_to_id":23,"start_date":"2017-06-19","description":"","custom_fields":[{"id":1,"name":"Subdivision","value":"EC"},{"id":4,"name":"Milepost","value":"14.97"},{"id":17,"name":"Train ID","value":"170-19"},{"id":16,"name":"Locomotive ID","value":"4017"},{"id":130,"name":"Impact","value":""},{"id":150,"name":"Time of Event (Mountain Time)","value":"13:27:13"},{"id":151,"name":"Denver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/cygdrive/c/Users/stu/AppData/Local/Temp/OnboardLogs/RTDC4017 --include="*4017*201706191*"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"%USERPROFILE%\AppData\Local\Temp\OnboardLogs"\RTDC4017\*4017*201706191* &gt;&gt; 2017-06-19-SliceDisagreementCheck.txt</v>
      </c>
      <c r="AE15" s="145" t="str">
        <f t="shared" si="9"/>
        <v>start /low /b %USERPROFILE%\Documents\GitHub\eaglep3\Utilities\DownloadLogsFromS3.py --loco 4017 --day 2017-06-19</v>
      </c>
      <c r="AF15" s="1"/>
    </row>
    <row r="16" spans="1:32" x14ac:dyDescent="0.25">
      <c r="A16" s="31">
        <v>42905.420729166668</v>
      </c>
      <c r="B16" s="30" t="s">
        <v>629</v>
      </c>
      <c r="C16" s="30" t="s">
        <v>630</v>
      </c>
      <c r="D16" s="30" t="s">
        <v>49</v>
      </c>
      <c r="E16" s="30" t="s">
        <v>181</v>
      </c>
      <c r="F16" s="42">
        <v>0</v>
      </c>
      <c r="G16" s="42">
        <v>40</v>
      </c>
      <c r="H16" s="42">
        <v>130</v>
      </c>
      <c r="I16" s="42">
        <v>110</v>
      </c>
      <c r="J16" s="30" t="s">
        <v>182</v>
      </c>
      <c r="K16" s="42">
        <v>1</v>
      </c>
      <c r="L16" s="131" t="s">
        <v>51</v>
      </c>
      <c r="M16" s="132">
        <f t="shared" si="0"/>
        <v>57.552</v>
      </c>
      <c r="N16" s="133" t="str">
        <f>VLOOKUP(C16,'Trips&amp;Operators'!$C$1:$G$99999,5,FALSE)</f>
        <v>MAELZER KURT</v>
      </c>
      <c r="O16" s="203" t="s">
        <v>180</v>
      </c>
      <c r="P16" s="134"/>
      <c r="Q16" s="30"/>
      <c r="R16" s="81" t="str">
        <f>VLOOKUP(C16,'Train Runs'!$A$13:$AE$9938,31,0)</f>
        <v>aws s3 cp s3://rtdc.mdm.uploadarchive.raw/RTDC4015/ "%USERPROFILE%\AppData\Local\Temp\OnboardLogs"\RTDC4015\2017-06-19 --exclude "*" --recursive --include "*20170619*" &amp; "%USERPROFILE%\Documents\GitHub\mrs-test-scripts\Headless Mode &amp; Sideloading\WalkAndUnGZ.bat" "%USERPROFILE%\AppData\Local\Temp\OnboardLogs"\RTDC4015\2017-06-19 &amp; aws s3 cp s3://rtdc.mdm.uploadarchive.raw/RTDC4015/ "%USERPROFILE%\AppData\Local\Temp\OnboardLogs"\RTDC4015\2017-06-20 --exclude "*" --recursive --include "*20170620*" &amp; "%USERPROFILE%\Documents\GitHub\mrs-test-scripts\Headless Mode &amp; Sideloading\WalkAndUnGZ.bat" "%USERPROFILE%\AppData\Local\Temp\OnboardLogs"\RTDC4015\2017-06-20</v>
      </c>
      <c r="S16" s="84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-06-19T08:13:23-0600',mode:absolute,to:'2017-06-19T11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86" t="str">
        <f t="shared" si="1"/>
        <v>"C:\Program Files (x86)\AstroGrep\AstroGrep.exe" /e /r /s /spath="%USERPROFILE%\AppData\Local\Temp\OnboardLogs" /stypes="*4015*201706191*"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4015</v>
      </c>
      <c r="V16" s="31">
        <f t="shared" si="3"/>
        <v>42905.670729166668</v>
      </c>
      <c r="W16" s="45" t="str">
        <f t="shared" si="4"/>
        <v>EC</v>
      </c>
      <c r="X16" s="22">
        <f t="shared" si="5"/>
        <v>140</v>
      </c>
      <c r="Y16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{"issue":{"subject":"","project_id":79,"tracker_id":40,"status_id":1,"priority_id":2,"assigned_to_id":23,"start_date":"2017-06-19","description":"","custom_fields":[{"id":1,"name":"Subdivision","value":"EC"},{"id":4,"name":"Milepost","value":"0.0001"},{"id":17,"name":"Train ID","value":"140-19"},{"id":16,"name":"Locomotive ID","value":"4015"},{"id":130,"name":"Impact","value":""},{"id":150,"name":"Time of Event (Mountain Time)","value":"10:05:51"},{"id":151,"name":"Denver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/cygdrive/c/Users/stu/AppData/Local/Temp/OnboardLogs/RTDC4015 --include="*4015*201706191*"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"%USERPROFILE%\AppData\Local\Temp\OnboardLogs"\RTDC4015\*4015*201706191* &gt;&gt; 2017-06-19-SliceDisagreementCheck.txt</v>
      </c>
      <c r="AE16" s="145" t="str">
        <f t="shared" si="9"/>
        <v>start /low /b %USERPROFILE%\Documents\GitHub\eaglep3\Utilities\DownloadLogsFromS3.py --loco 4015 --day 2017-06-19</v>
      </c>
      <c r="AF16" s="1"/>
    </row>
    <row r="17" spans="1:32" x14ac:dyDescent="0.25">
      <c r="A17" s="31">
        <v>42905.463263888887</v>
      </c>
      <c r="B17" s="30" t="s">
        <v>620</v>
      </c>
      <c r="C17" s="30" t="s">
        <v>632</v>
      </c>
      <c r="D17" s="30" t="s">
        <v>49</v>
      </c>
      <c r="E17" s="30" t="s">
        <v>181</v>
      </c>
      <c r="F17" s="42">
        <v>0</v>
      </c>
      <c r="G17" s="42">
        <v>58</v>
      </c>
      <c r="H17" s="42">
        <v>185</v>
      </c>
      <c r="I17" s="42">
        <v>119</v>
      </c>
      <c r="J17" s="30" t="s">
        <v>182</v>
      </c>
      <c r="K17" s="42">
        <v>1</v>
      </c>
      <c r="L17" s="131" t="s">
        <v>51</v>
      </c>
      <c r="M17" s="132">
        <f t="shared" si="0"/>
        <v>62.304000000000002</v>
      </c>
      <c r="N17" s="133" t="str">
        <f>VLOOKUP(C17,'Trips&amp;Operators'!$C$1:$G$99999,5,FALSE)</f>
        <v>STARKS ANGELINA</v>
      </c>
      <c r="O17" s="203" t="s">
        <v>180</v>
      </c>
      <c r="P17" s="134"/>
      <c r="Q17" s="30"/>
      <c r="R17" s="81" t="str">
        <f>VLOOKUP(C17,'Train Runs'!$A$13:$AE$9938,31,0)</f>
        <v>aws s3 cp s3://rtdc.mdm.uploadarchive.raw/RTDC4007/ "%USERPROFILE%\AppData\Local\Temp\OnboardLogs"\RTDC4007\2017-06-19 --exclude "*" --recursive --include "*20170619*" &amp; "%USERPROFILE%\Documents\GitHub\mrs-test-scripts\Headless Mode &amp; Sideloading\WalkAndUnGZ.bat" "%USERPROFILE%\AppData\Local\Temp\OnboardLogs"\RTDC4007\2017-06-19 &amp; 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</v>
      </c>
      <c r="S17" s="84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-06-19T09:24:10-0600',mode:absolute,to:'2017-06-19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6" t="str">
        <f t="shared" si="1"/>
        <v>"C:\Program Files (x86)\AstroGrep\AstroGrep.exe" /e /r /s /spath="%USERPROFILE%\AppData\Local\Temp\OnboardLogs" /stypes="*4007*201706191*"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4007</v>
      </c>
      <c r="V17" s="31">
        <f t="shared" si="3"/>
        <v>42905.713263888887</v>
      </c>
      <c r="W17" s="45" t="str">
        <f t="shared" si="4"/>
        <v>EC</v>
      </c>
      <c r="X17" s="22">
        <f t="shared" si="5"/>
        <v>148</v>
      </c>
      <c r="Y17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{"issue":{"subject":"","project_id":79,"tracker_id":40,"status_id":1,"priority_id":2,"assigned_to_id":23,"start_date":"2017-06-19","description":"","custom_fields":[{"id":1,"name":"Subdivision","value":"EC"},{"id":4,"name":"Milepost","value":"0.0001"},{"id":17,"name":"Train ID","value":"148-19"},{"id":16,"name":"Locomotive ID","value":"4007"},{"id":130,"name":"Impact","value":""},{"id":150,"name":"Time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/cygdrive/c/Users/stu/AppData/Local/Temp/OnboardLogs/RTDC4007 --include="*4007*201706191*"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"%USERPROFILE%\AppData\Local\Temp\OnboardLogs"\RTDC4007\*4007*201706191* &gt;&gt; 2017-06-19-SliceDisagreementCheck.txt</v>
      </c>
      <c r="AE17" s="145" t="str">
        <f t="shared" si="9"/>
        <v>start /low /b %USERPROFILE%\Documents\GitHub\eaglep3\Utilities\DownloadLogsFromS3.py --loco 4007 --day 2017-06-19</v>
      </c>
      <c r="AF17" s="1"/>
    </row>
    <row r="18" spans="1:32" x14ac:dyDescent="0.25">
      <c r="A18" s="31">
        <v>42905.63071759259</v>
      </c>
      <c r="B18" s="30" t="s">
        <v>638</v>
      </c>
      <c r="C18" s="30" t="s">
        <v>639</v>
      </c>
      <c r="D18" s="30" t="s">
        <v>49</v>
      </c>
      <c r="E18" s="30" t="s">
        <v>181</v>
      </c>
      <c r="F18" s="42">
        <v>0</v>
      </c>
      <c r="G18" s="42">
        <v>32</v>
      </c>
      <c r="H18" s="42">
        <v>149</v>
      </c>
      <c r="I18" s="42">
        <v>121</v>
      </c>
      <c r="J18" s="30" t="s">
        <v>182</v>
      </c>
      <c r="K18" s="42">
        <v>1</v>
      </c>
      <c r="L18" s="131" t="s">
        <v>51</v>
      </c>
      <c r="M18" s="132">
        <f t="shared" si="0"/>
        <v>63.36</v>
      </c>
      <c r="N18" s="133" t="str">
        <f>VLOOKUP(C18,'Trips&amp;Operators'!$C$1:$G$99999,5,FALSE)</f>
        <v>ROBINSON KADDIBA</v>
      </c>
      <c r="O18" s="203" t="s">
        <v>180</v>
      </c>
      <c r="P18" s="134"/>
      <c r="Q18" s="30"/>
      <c r="R18" s="81" t="str">
        <f>VLOOKUP(C18,'Train Runs'!$A$13:$AE$9938,31,0)</f>
        <v>aws s3 cp s3://rtdc.mdm.uploadarchive.raw/RTDC4057/ "%USERPROFILE%\AppData\Local\Temp\OnboardLogs"\RTDC4057\2017-06-19 --exclude "*" --recursive --include "*20170619*" &amp; "%USERPROFILE%\Documents\GitHub\mrs-test-scripts\Headless Mode &amp; Sideloading\WalkAndUnGZ.bat" "%USERPROFILE%\AppData\Local\Temp\OnboardLogs"\RTDC4057\2017-06-19 &amp; aws s3 cp s3://rtdc.mdm.uploadarchive.raw/RTDC4057/ "%USERPROFILE%\AppData\Local\Temp\OnboardLogs"\RTDC4057\2017-06-20 --exclude "*" --recursive --include "*20170620*" &amp; "%USERPROFILE%\Documents\GitHub\mrs-test-scripts\Headless Mode &amp; Sideloading\WalkAndUnGZ.bat" "%USERPROFILE%\AppData\Local\Temp\OnboardLogs"\RTDC4057\2017-06-20</v>
      </c>
      <c r="S18" s="84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-06-19T13:23:21-0600',mode:absolute,to:'2017-06-19T16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8" s="86" t="str">
        <f t="shared" si="1"/>
        <v>"C:\Program Files (x86)\AstroGrep\AstroGrep.exe" /e /r /s /spath="%USERPROFILE%\AppData\Local\Temp\OnboardLogs" /stypes="*4057*201706192*"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4057</v>
      </c>
      <c r="V18" s="31">
        <f t="shared" si="3"/>
        <v>42905.88071759259</v>
      </c>
      <c r="W18" s="45" t="str">
        <f t="shared" si="4"/>
        <v>EC</v>
      </c>
      <c r="X18" s="22">
        <f t="shared" si="5"/>
        <v>180</v>
      </c>
      <c r="Y18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{"issue":{"subject":"","project_id":79,"tracker_id":40,"status_id":1,"priority_id":2,"assigned_to_id":23,"start_date":"2017-06-19","description":"","custom_fields":[{"id":1,"name":"Subdivision","value":"EC"},{"id":4,"name":"Milepost","value":"0.0001"},{"id":17,"name":"Train ID","value":"180-19"},{"id":16,"name":"Locomotive ID","value":"4057"},{"id":130,"name":"Impact","value":""},{"id":150,"name":"Time of Event (Mountain Time)","value":"15:08:14"},{"id":151,"name":"Denver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/cygdrive/c/Users/stu/AppData/Local/Temp/OnboardLogs/RTDC4057 --include="*4057*201706192*"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"%USERPROFILE%\AppData\Local\Temp\OnboardLogs"\RTDC4057\*4057*201706192* &gt;&gt; 2017-06-19-SliceDisagreementCheck.txt</v>
      </c>
      <c r="AE18" s="145" t="str">
        <f t="shared" si="9"/>
        <v>start /low /b %USERPROFILE%\Documents\GitHub\eaglep3\Utilities\DownloadLogsFromS3.py --loco 4057 --day 2017-06-19</v>
      </c>
      <c r="AF18" s="1"/>
    </row>
    <row r="19" spans="1:32" x14ac:dyDescent="0.25">
      <c r="A19" s="31">
        <v>42905.47315972222</v>
      </c>
      <c r="B19" s="30" t="s">
        <v>400</v>
      </c>
      <c r="C19" s="30" t="s">
        <v>633</v>
      </c>
      <c r="D19" s="30" t="s">
        <v>49</v>
      </c>
      <c r="E19" s="30" t="s">
        <v>181</v>
      </c>
      <c r="F19" s="42">
        <v>0</v>
      </c>
      <c r="G19" s="42">
        <v>41</v>
      </c>
      <c r="H19" s="42">
        <v>233374</v>
      </c>
      <c r="I19" s="42">
        <v>233410</v>
      </c>
      <c r="J19" s="30" t="s">
        <v>182</v>
      </c>
      <c r="K19" s="42">
        <v>233491</v>
      </c>
      <c r="L19" s="131" t="s">
        <v>50</v>
      </c>
      <c r="M19" s="132">
        <f t="shared" si="0"/>
        <v>42.768000000000001</v>
      </c>
      <c r="N19" s="133" t="str">
        <f>VLOOKUP(C19,'Trips&amp;Operators'!$C$1:$G$99999,5,FALSE)</f>
        <v>SULLIVAN BRANDON</v>
      </c>
      <c r="O19" s="203" t="s">
        <v>180</v>
      </c>
      <c r="P19" s="134"/>
      <c r="Q19" s="30"/>
      <c r="R19" s="81" t="str">
        <f>VLOOKUP(C19,'Train Runs'!$A$13:$AE$9938,31,0)</f>
        <v>aws s3 cp s3://rtdc.mdm.uploadarchive.raw/RTDC4054/ "%USERPROFILE%\AppData\Local\Temp\OnboardLogs"\RTDC4054\2017-06-19 --exclude "*" --recursive --include "*20170619*" &amp; "%USERPROFILE%\Documents\GitHub\mrs-test-scripts\Headless Mode &amp; Sideloading\WalkAndUnGZ.bat" "%USERPROFILE%\AppData\Local\Temp\OnboardLogs"\RTDC4054\2017-06-19 &amp; aws s3 cp s3://rtdc.mdm.uploadarchive.raw/RTDC4054/ "%USERPROFILE%\AppData\Local\Temp\OnboardLogs"\RTDC4054\2017-06-20 --exclude "*" --recursive --include "*20170620*" &amp; "%USERPROFILE%\Documents\GitHub\mrs-test-scripts\Headless Mode &amp; Sideloading\WalkAndUnGZ.bat" "%USERPROFILE%\AppData\Local\Temp\OnboardLogs"\RTDC4054\2017-06-20</v>
      </c>
      <c r="S19" s="84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-06-19T09:39:00-0600',mode:absolute,to:'2017-06-19T12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9" s="86" t="str">
        <f t="shared" si="1"/>
        <v>"C:\Program Files (x86)\AstroGrep\AstroGrep.exe" /e /r /s /spath="%USERPROFILE%\AppData\Local\Temp\OnboardLogs" /stypes="*4054*201706191*"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4054</v>
      </c>
      <c r="V19" s="31">
        <f t="shared" si="3"/>
        <v>42905.72315972222</v>
      </c>
      <c r="W19" s="45" t="str">
        <f t="shared" si="4"/>
        <v>EC</v>
      </c>
      <c r="X19" s="22">
        <f t="shared" si="5"/>
        <v>157</v>
      </c>
      <c r="Y19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{"issue":{"subject":"","project_id":79,"tracker_id":40,"status_id":1,"priority_id":2,"assigned_to_id":23,"start_date":"2017-06-19","description":"","custom_fields":[{"id":1,"name":"Subdivision","value":"EC"},{"id":4,"name":"Milepost","value":"23.3491"},{"id":17,"name":"Train ID","value":"157-19"},{"id":16,"name":"Locomotive ID","value":"4054"},{"id":130,"name":"Impact","value":""},{"id":150,"name":"Time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/cygdrive/c/Users/stu/AppData/Local/Temp/OnboardLogs/RTDC4054 --include="*4054*201706191*"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"%USERPROFILE%\AppData\Local\Temp\OnboardLogs"\RTDC4054\*4054*201706191* &gt;&gt; 2017-06-19-SliceDisagreementCheck.txt</v>
      </c>
      <c r="AE19" s="145" t="str">
        <f t="shared" si="9"/>
        <v>start /low /b %USERPROFILE%\Documents\GitHub\eaglep3\Utilities\DownloadLogsFromS3.py --loco 4054 --day 2017-06-19</v>
      </c>
      <c r="AF19" s="1"/>
    </row>
    <row r="20" spans="1:32" x14ac:dyDescent="0.25">
      <c r="A20" s="31">
        <v>42905.651574074072</v>
      </c>
      <c r="B20" s="30" t="s">
        <v>424</v>
      </c>
      <c r="C20" s="30" t="s">
        <v>640</v>
      </c>
      <c r="D20" s="30" t="s">
        <v>49</v>
      </c>
      <c r="E20" s="30" t="s">
        <v>181</v>
      </c>
      <c r="F20" s="42">
        <v>0</v>
      </c>
      <c r="G20" s="42">
        <v>48</v>
      </c>
      <c r="H20" s="42">
        <v>233398</v>
      </c>
      <c r="I20" s="42">
        <v>233419</v>
      </c>
      <c r="J20" s="30" t="s">
        <v>182</v>
      </c>
      <c r="K20" s="42">
        <v>233491</v>
      </c>
      <c r="L20" s="131" t="s">
        <v>50</v>
      </c>
      <c r="M20" s="132">
        <f t="shared" si="0"/>
        <v>38.015999999999998</v>
      </c>
      <c r="N20" s="133" t="str">
        <f>VLOOKUP(C20,'Trips&amp;Operators'!$C$1:$G$99999,5,FALSE)</f>
        <v>ROMERO CHAD</v>
      </c>
      <c r="O20" s="203" t="s">
        <v>180</v>
      </c>
      <c r="P20" s="134"/>
      <c r="Q20" s="30"/>
      <c r="R20" s="81" t="str">
        <f>VLOOKUP(C20,'Train Runs'!$A$13:$AE$9938,31,0)</f>
        <v>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 &amp; 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</v>
      </c>
      <c r="S20" s="84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-06-19T14:02:18-0600',mode:absolute,to:'2017-06-19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0" s="86" t="str">
        <f t="shared" si="1"/>
        <v>"C:\Program Files (x86)\AstroGrep\AstroGrep.exe" /e /r /s /spath="%USERPROFILE%\AppData\Local\Temp\OnboardLogs" /stypes="*4044*201706192*"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4044</v>
      </c>
      <c r="V20" s="31">
        <f t="shared" si="3"/>
        <v>42905.901574074072</v>
      </c>
      <c r="W20" s="45" t="str">
        <f t="shared" si="4"/>
        <v>EC</v>
      </c>
      <c r="X20" s="22">
        <f t="shared" si="5"/>
        <v>191</v>
      </c>
      <c r="Y20" s="96" t="str">
        <f t="shared" si="6"/>
        <v>echo {"issue":{"subject":"","project_id":79,"tracker_id":40,"status_id":1,"priority_id":2,"assigned_to_id":23,"start_date":"2017-06-19","description":"","custom_fields":[{"id":1,"name":"Subdivision","value":"EC"},{"id":4,"name":"Milepost","value":"23.3491"},{"id":17,"name":"Train ID","value":"191-19"},{"id":16,"name":"Locomotive ID","value":"4044"},{"id":130,"name":"Impact","value":""},{"id":150,"name":"Time of Event (Mountain Time)","value":"15:38:16"},{"id":151,"name":"Denver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/cygdrive/c/Users/stu/AppData/Local/Temp/OnboardLogs/RTDC4044 --include="*4044*201706192*"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"%USERPROFILE%\AppData\Local\Temp\OnboardLogs"\RTDC4044\*4044*201706192* &gt;&gt; 2017-06-19-SliceDisagreementCheck.txt</v>
      </c>
      <c r="AE20" s="145" t="str">
        <f t="shared" si="9"/>
        <v>start /low /b %USERPROFILE%\Documents\GitHub\eaglep3\Utilities\DownloadLogsFromS3.py --loco 4044 --day 2017-06-19</v>
      </c>
      <c r="AF20" s="1"/>
    </row>
    <row r="21" spans="1:32" x14ac:dyDescent="0.25">
      <c r="A21" s="31">
        <v>42905.699155092596</v>
      </c>
      <c r="B21" s="30" t="s">
        <v>479</v>
      </c>
      <c r="C21" s="30" t="s">
        <v>643</v>
      </c>
      <c r="D21" s="30" t="s">
        <v>96</v>
      </c>
      <c r="E21" s="30" t="s">
        <v>200</v>
      </c>
      <c r="F21" s="42">
        <v>400</v>
      </c>
      <c r="G21" s="42">
        <v>454</v>
      </c>
      <c r="H21" s="42">
        <v>38316</v>
      </c>
      <c r="I21" s="42">
        <v>37068</v>
      </c>
      <c r="J21" s="30" t="s">
        <v>201</v>
      </c>
      <c r="K21" s="42">
        <v>40977</v>
      </c>
      <c r="L21" s="131" t="s">
        <v>51</v>
      </c>
      <c r="M21" s="132">
        <f t="shared" si="0"/>
        <v>-2063.9520000000002</v>
      </c>
      <c r="N21" s="133" t="str">
        <f>VLOOKUP(C21,'Trips&amp;Operators'!$C$1:$G$99999,5,FALSE)</f>
        <v>LEVIN SCOTT</v>
      </c>
      <c r="O21" s="203" t="s">
        <v>180</v>
      </c>
      <c r="P21" s="134"/>
      <c r="Q21" s="30"/>
      <c r="R21" s="81" t="str">
        <f>VLOOKUP(C21,'Train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21" s="84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-06-19T15:35:52-0600',mode:absolute,to:'2017-06-19T17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1" s="86" t="str">
        <f t="shared" si="1"/>
        <v>"C:\Program Files (x86)\AstroGrep\AstroGrep.exe" /e /r /s /spath="%USERPROFILE%\AppData\Local\Temp\OnboardLogs" /stypes="*4023*201706192*"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4023</v>
      </c>
      <c r="V21" s="31">
        <f t="shared" si="3"/>
        <v>42905.949155092596</v>
      </c>
      <c r="W21" s="45" t="str">
        <f t="shared" si="4"/>
        <v>NW</v>
      </c>
      <c r="X21" s="22">
        <f t="shared" si="5"/>
        <v>830</v>
      </c>
      <c r="Y21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{"issue":{"subject":"","project_id":79,"tracker_id":40,"status_id":1,"priority_id":2,"assigned_to_id":23,"start_date":"2017-06-19","description":"","custom_fields":[{"id":1,"name":"Subdivision","value":"NW"},{"id":4,"name":"Milepost","value":"4.0977"},{"id":17,"name":"Train ID","value":"830-19"},{"id":16,"name":"Locomotive ID","value":"4023"},{"id":130,"name":"Impact","value":""},{"id":150,"name":"Time of Event (Mountain Time)","value":"16:46:47"},{"id":151,"name":"Denver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/cygdrive/c/Users/stu/AppData/Local/Temp/OnboardLogs/RTDC4023 --include="*4023*201706192*"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"%USERPROFILE%\AppData\Local\Temp\OnboardLogs"\RTDC4023\*4023*201706192* &gt;&gt; 2017-06-19-SliceDisagreementCheck.txt</v>
      </c>
      <c r="AE21" s="145" t="str">
        <f t="shared" si="9"/>
        <v>start /low /b %USERPROFILE%\Documents\GitHub\eaglep3\Utilities\DownloadLogsFromS3.py --loco 4023 --day 2017-06-19</v>
      </c>
      <c r="AF21" s="1"/>
    </row>
    <row r="22" spans="1:32" x14ac:dyDescent="0.25">
      <c r="A22" s="31">
        <v>42905.709780092591</v>
      </c>
      <c r="B22" s="30" t="s">
        <v>477</v>
      </c>
      <c r="C22" s="30" t="s">
        <v>644</v>
      </c>
      <c r="D22" s="30" t="s">
        <v>49</v>
      </c>
      <c r="E22" s="30" t="s">
        <v>200</v>
      </c>
      <c r="F22" s="42">
        <v>150</v>
      </c>
      <c r="G22" s="42">
        <v>205</v>
      </c>
      <c r="H22" s="42">
        <v>56841</v>
      </c>
      <c r="I22" s="42">
        <v>57094</v>
      </c>
      <c r="J22" s="30" t="s">
        <v>201</v>
      </c>
      <c r="K22" s="42">
        <v>57008</v>
      </c>
      <c r="L22" s="131" t="s">
        <v>50</v>
      </c>
      <c r="M22" s="132">
        <f t="shared" si="0"/>
        <v>-45.408000000000001</v>
      </c>
      <c r="N22" s="133" t="str">
        <f>VLOOKUP(C22,'Trips&amp;Operators'!$C$1:$G$99999,5,FALSE)</f>
        <v>STAMBAUGH JAMES</v>
      </c>
      <c r="O22" s="203" t="s">
        <v>180</v>
      </c>
      <c r="P22" s="134"/>
      <c r="Q22" s="30"/>
      <c r="R22" s="81" t="str">
        <f>VLOOKUP(C22,'Train Runs'!$A$13:$AE$9938,31,0)</f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S22" s="84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-06-19T15:27:04-0600',mode:absolute,to:'2017-06-19T18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6" t="str">
        <f t="shared" si="1"/>
        <v>"C:\Program Files (x86)\AstroGrep\AstroGrep.exe" /e /r /s /spath="%USERPROFILE%\AppData\Local\Temp\OnboardLogs" /stypes="*4032*201706192*"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42905.959780092591</v>
      </c>
      <c r="W22" s="45" t="str">
        <f t="shared" si="4"/>
        <v>NW</v>
      </c>
      <c r="X22" s="22">
        <f t="shared" si="5"/>
        <v>831</v>
      </c>
      <c r="Y22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{"issue":{"subject":"","project_id":79,"tracker_id":40,"status_id":1,"priority_id":2,"assigned_to_id":23,"start_date":"2017-06-19","description":"","custom_fields":[{"id":1,"name":"Subdivision","value":"NW"},{"id":4,"name":"Milepost","value":"5.7008"},{"id":17,"name":"Train ID","value":"831-19"},{"id":16,"name":"Locomotive ID","value":"4032"},{"id":130,"name":"Impact","value":""},{"id":150,"name":"Time of Event (Mountain Time)","value":"17:02:05"},{"id":151,"name":"Denver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/cygdrive/c/Users/stu/AppData/Local/Temp/OnboardLogs/RTDC4032 --include="*4032*201706192*"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"%USERPROFILE%\AppData\Local\Temp\OnboardLogs"\RTDC4032\*4032*201706192* &gt;&gt; 2017-06-19-SliceDisagreementCheck.txt</v>
      </c>
      <c r="AE22" s="145" t="str">
        <f t="shared" si="9"/>
        <v>start /low /b %USERPROFILE%\Documents\GitHub\eaglep3\Utilities\DownloadLogsFromS3.py --loco 4032 --day 2017-06-19</v>
      </c>
      <c r="AF22" s="1"/>
    </row>
    <row r="23" spans="1:32" x14ac:dyDescent="0.25">
      <c r="A23" s="31">
        <v>42905.65519675926</v>
      </c>
      <c r="B23" s="30" t="s">
        <v>479</v>
      </c>
      <c r="C23" s="30" t="s">
        <v>641</v>
      </c>
      <c r="D23" s="30" t="s">
        <v>96</v>
      </c>
      <c r="E23" s="30" t="s">
        <v>200</v>
      </c>
      <c r="F23" s="42">
        <v>150</v>
      </c>
      <c r="G23" s="42">
        <v>210</v>
      </c>
      <c r="H23" s="42">
        <v>56919</v>
      </c>
      <c r="I23" s="42">
        <v>56496</v>
      </c>
      <c r="J23" s="30" t="s">
        <v>201</v>
      </c>
      <c r="K23" s="42">
        <v>59050</v>
      </c>
      <c r="L23" s="131" t="s">
        <v>51</v>
      </c>
      <c r="M23" s="132">
        <f t="shared" si="0"/>
        <v>-1348.5120000000002</v>
      </c>
      <c r="N23" s="133" t="str">
        <f>VLOOKUP(C23,'Trips&amp;Operators'!$C$1:$G$99999,5,FALSE)</f>
        <v>LEVIN SCOTT</v>
      </c>
      <c r="O23" s="203" t="s">
        <v>180</v>
      </c>
      <c r="P23" s="134"/>
      <c r="Q23" s="30"/>
      <c r="R23" s="81" t="str">
        <f>VLOOKUP(C23,'Train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23" s="84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-06-19T14:36:20-0600',mode:absolute,to:'2017-06-19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/stypes="*4023*201706192*"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42905.90519675926</v>
      </c>
      <c r="W23" s="45" t="str">
        <f t="shared" si="4"/>
        <v>NW</v>
      </c>
      <c r="X23" s="22">
        <f t="shared" si="5"/>
        <v>826</v>
      </c>
      <c r="Y23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{"issue":{"subject":"","project_id":79,"tracker_id":40,"status_id":1,"priority_id":2,"assigned_to_id":23,"start_date":"2017-06-19","description":"","custom_fields":[{"id":1,"name":"Subdivision","value":"NW"},{"id":4,"name":"Milepost","value":"5.905"},{"id":17,"name":"Train ID","value":"826-19"},{"id":16,"name":"Locomotive ID","value":"4023"},{"id":130,"name":"Impact","value":""},{"id":150,"name":"Time of Event (Mountain Time)","value":"15:43:29"},{"id":151,"name":"Denver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/cygdrive/c/Users/stu/AppData/Local/Temp/OnboardLogs/RTDC4023 --include="*4023*201706192*"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"%USERPROFILE%\AppData\Local\Temp\OnboardLogs"\RTDC4023\*4023*201706192* &gt;&gt; 2017-06-19-SliceDisagreementCheck.txt</v>
      </c>
      <c r="AE23" s="145" t="str">
        <f t="shared" si="9"/>
        <v>start /low /b %USERPROFILE%\Documents\GitHub\eaglep3\Utilities\DownloadLogsFromS3.py --loco 4023 --day 2017-06-19</v>
      </c>
      <c r="AF23" s="1"/>
    </row>
    <row r="24" spans="1:32" x14ac:dyDescent="0.25">
      <c r="A24" s="31">
        <v>42905.309641203705</v>
      </c>
      <c r="B24" s="30" t="s">
        <v>476</v>
      </c>
      <c r="C24" s="30" t="s">
        <v>623</v>
      </c>
      <c r="D24" s="30" t="s">
        <v>49</v>
      </c>
      <c r="E24" s="30" t="s">
        <v>181</v>
      </c>
      <c r="F24" s="42">
        <v>0</v>
      </c>
      <c r="G24" s="42">
        <v>46</v>
      </c>
      <c r="H24" s="42">
        <v>729</v>
      </c>
      <c r="I24" s="42">
        <v>698</v>
      </c>
      <c r="J24" s="30" t="s">
        <v>182</v>
      </c>
      <c r="K24" s="42">
        <v>575</v>
      </c>
      <c r="L24" s="131" t="s">
        <v>51</v>
      </c>
      <c r="M24" s="132">
        <f t="shared" si="0"/>
        <v>64.944000000000003</v>
      </c>
      <c r="N24" s="133" t="str">
        <f>VLOOKUP(C24,'Trips&amp;Operators'!$C$1:$G$99999,5,FALSE)</f>
        <v>DAVIDSON DAVID</v>
      </c>
      <c r="O24" s="203" t="s">
        <v>180</v>
      </c>
      <c r="P24" s="134"/>
      <c r="Q24" s="30"/>
      <c r="R24" s="81" t="str">
        <f>VLOOKUP(C24,'Train Runs'!$A$13:$AE$9938,31,0)</f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S24" s="84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-06-19T06:06:42-0600',mode:absolute,to:'2017-06-19T08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/stypes="*4031*201706191*"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42905.559641203705</v>
      </c>
      <c r="W24" s="45" t="str">
        <f t="shared" si="4"/>
        <v>NW</v>
      </c>
      <c r="X24" s="22">
        <f t="shared" si="5"/>
        <v>806</v>
      </c>
      <c r="Y24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ID","value":"806-19"},{"id":16,"name":"Locomotive ID","value":"4031"},{"id":130,"name":"Impact","value":""},{"id":150,"name":"Time of Event (Mountain Time)","value":"07:25:53"},{"id":151,"name":"Denver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/cygdrive/c/Users/stu/AppData/Local/Temp/OnboardLogs/RTDC4031 --include="*4031*201706191*"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"%USERPROFILE%\AppData\Local\Temp\OnboardLogs"\RTDC4031\*4031*201706191* &gt;&gt; 2017-06-19-SliceDisagreementCheck.txt</v>
      </c>
      <c r="AE24" s="145" t="str">
        <f t="shared" si="9"/>
        <v>start /low /b %USERPROFILE%\Documents\GitHub\eaglep3\Utilities\DownloadLogsFromS3.py --loco 4031 --day 2017-06-19</v>
      </c>
      <c r="AF24" s="1"/>
    </row>
    <row r="25" spans="1:32" x14ac:dyDescent="0.25">
      <c r="A25" s="31">
        <v>42905.621203703704</v>
      </c>
      <c r="B25" s="30" t="s">
        <v>479</v>
      </c>
      <c r="C25" s="30" t="s">
        <v>637</v>
      </c>
      <c r="D25" s="30" t="s">
        <v>49</v>
      </c>
      <c r="E25" s="30" t="s">
        <v>181</v>
      </c>
      <c r="F25" s="42">
        <v>0</v>
      </c>
      <c r="G25" s="42">
        <v>31</v>
      </c>
      <c r="H25" s="42">
        <v>647</v>
      </c>
      <c r="I25" s="42">
        <v>626</v>
      </c>
      <c r="J25" s="30" t="s">
        <v>182</v>
      </c>
      <c r="K25" s="42">
        <v>575</v>
      </c>
      <c r="L25" s="131" t="s">
        <v>51</v>
      </c>
      <c r="M25" s="132">
        <f t="shared" si="0"/>
        <v>26.928000000000001</v>
      </c>
      <c r="N25" s="133" t="str">
        <f>VLOOKUP(C25,'Trips&amp;Operators'!$C$1:$G$99999,5,FALSE)</f>
        <v>LEVIN SCOTT</v>
      </c>
      <c r="O25" s="203" t="s">
        <v>180</v>
      </c>
      <c r="P25" s="134"/>
      <c r="Q25" s="30"/>
      <c r="R25" s="81" t="str">
        <f>VLOOKUP(C25,'Train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25" s="84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-06-19T13:36:34-0600',mode:absolute,to:'2017-06-19T15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 t="shared" si="1"/>
        <v>"C:\Program Files (x86)\AstroGrep\AstroGrep.exe" /e /r /s /spath="%USERPROFILE%\AppData\Local\Temp\OnboardLogs" /stypes="*4023*201706192*"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4023</v>
      </c>
      <c r="V25" s="31">
        <f t="shared" si="3"/>
        <v>42905.871203703704</v>
      </c>
      <c r="W25" s="45" t="str">
        <f t="shared" si="4"/>
        <v>NW</v>
      </c>
      <c r="X25" s="22">
        <f t="shared" si="5"/>
        <v>824</v>
      </c>
      <c r="Y25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ID","value":"824-19"},{"id":16,"name":"Locomotive ID","value":"4023"},{"id":130,"name":"Impact","value":""},{"id":150,"name":"Time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/cygdrive/c/Users/stu/AppData/Local/Temp/OnboardLogs/RTDC4023 --include="*4023*201706192*"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"%USERPROFILE%\AppData\Local\Temp\OnboardLogs"\RTDC4023\*4023*201706192* &gt;&gt; 2017-06-19-SliceDisagreementCheck.txt</v>
      </c>
      <c r="AE25" s="145" t="str">
        <f t="shared" si="9"/>
        <v>start /low /b %USERPROFILE%\Documents\GitHub\eaglep3\Utilities\DownloadLogsFromS3.py --loco 4023 --day 2017-06-19</v>
      </c>
      <c r="AF25" s="1"/>
    </row>
    <row r="26" spans="1:32" x14ac:dyDescent="0.25">
      <c r="A26" s="31">
        <v>42905.684166666666</v>
      </c>
      <c r="B26" s="30" t="s">
        <v>476</v>
      </c>
      <c r="C26" s="30" t="s">
        <v>642</v>
      </c>
      <c r="D26" s="30" t="s">
        <v>49</v>
      </c>
      <c r="E26" s="30" t="s">
        <v>181</v>
      </c>
      <c r="F26" s="42">
        <v>0</v>
      </c>
      <c r="G26" s="42">
        <v>28</v>
      </c>
      <c r="H26" s="42">
        <v>631</v>
      </c>
      <c r="I26" s="42">
        <v>614</v>
      </c>
      <c r="J26" s="30" t="s">
        <v>182</v>
      </c>
      <c r="K26" s="42">
        <v>575</v>
      </c>
      <c r="L26" s="131" t="s">
        <v>51</v>
      </c>
      <c r="M26" s="132">
        <f t="shared" si="0"/>
        <v>20.591999999999999</v>
      </c>
      <c r="N26" s="133" t="str">
        <f>VLOOKUP(C26,'Trips&amp;Operators'!$C$1:$G$99999,5,FALSE)</f>
        <v>STAMBAUGH JAMES</v>
      </c>
      <c r="O26" s="203" t="s">
        <v>180</v>
      </c>
      <c r="P26" s="134"/>
      <c r="Q26" s="30"/>
      <c r="R26" s="81" t="str">
        <f>VLOOKUP(C26,'Train Runs'!$A$13:$AE$9938,31,0)</f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S26" s="84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-06-19T15:07:23-0600',mode:absolute,to:'2017-06-19T17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/stypes="*4031*201706192*"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42905.934166666666</v>
      </c>
      <c r="W26" s="45" t="str">
        <f t="shared" si="4"/>
        <v>NW</v>
      </c>
      <c r="X26" s="22">
        <f t="shared" si="5"/>
        <v>828</v>
      </c>
      <c r="Y26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ID","value":"828-19"},{"id":16,"name":"Locomotive ID","value":"4031"},{"id":130,"name":"Impact","value":""},{"id":150,"name":"Time of Event (Mountain Time)","value":"16:25:12"},{"id":151,"name":"Denver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/cygdrive/c/Users/stu/AppData/Local/Temp/OnboardLogs/RTDC4031 --include="*4031*201706192*"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"%USERPROFILE%\AppData\Local\Temp\OnboardLogs"\RTDC4031\*4031*201706192* &gt;&gt; 2017-06-19-SliceDisagreementCheck.txt</v>
      </c>
      <c r="AE26" s="145" t="str">
        <f t="shared" si="9"/>
        <v>start /low /b %USERPROFILE%\Documents\GitHub\eaglep3\Utilities\DownloadLogsFromS3.py --loco 4031 --day 2017-06-19</v>
      </c>
      <c r="AF26" s="1"/>
    </row>
    <row r="27" spans="1:32" x14ac:dyDescent="0.25">
      <c r="A27" s="31">
        <v>42905.747106481482</v>
      </c>
      <c r="B27" s="30" t="s">
        <v>479</v>
      </c>
      <c r="C27" s="30" t="s">
        <v>646</v>
      </c>
      <c r="D27" s="30" t="s">
        <v>49</v>
      </c>
      <c r="E27" s="30" t="s">
        <v>181</v>
      </c>
      <c r="F27" s="42">
        <v>0</v>
      </c>
      <c r="G27" s="42">
        <v>39</v>
      </c>
      <c r="H27" s="42">
        <v>673</v>
      </c>
      <c r="I27" s="42">
        <v>629</v>
      </c>
      <c r="J27" s="30" t="s">
        <v>182</v>
      </c>
      <c r="K27" s="42">
        <v>575</v>
      </c>
      <c r="L27" s="131" t="s">
        <v>51</v>
      </c>
      <c r="M27" s="132">
        <f t="shared" si="0"/>
        <v>28.512</v>
      </c>
      <c r="N27" s="133" t="str">
        <f>VLOOKUP(C27,'Trips&amp;Operators'!$C$1:$G$99999,5,FALSE)</f>
        <v>LEVIN SCOTT</v>
      </c>
      <c r="O27" s="203" t="s">
        <v>180</v>
      </c>
      <c r="P27" s="134"/>
      <c r="Q27" s="30"/>
      <c r="R27" s="81" t="str">
        <f>VLOOKUP(C27,'Train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27" s="84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-06-19T16:36:46-0600',mode:absolute,to:'2017-06-19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/stypes="*4023*201706192*"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42905.997106481482</v>
      </c>
      <c r="W27" s="45" t="str">
        <f t="shared" si="4"/>
        <v>NW</v>
      </c>
      <c r="X27" s="22">
        <f t="shared" si="5"/>
        <v>834</v>
      </c>
      <c r="Y27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ID","value":"834-19"},{"id":16,"name":"Locomotive ID","value":"4023"},{"id":130,"name":"Impact","value":""},{"id":150,"name":"Time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/cygdrive/c/Users/stu/AppData/Local/Temp/OnboardLogs/RTDC4023 --include="*4023*201706192*"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"%USERPROFILE%\AppData\Local\Temp\OnboardLogs"\RTDC4023\*4023*201706192* &gt;&gt; 2017-06-19-SliceDisagreementCheck.txt</v>
      </c>
      <c r="AE27" s="145" t="str">
        <f t="shared" si="9"/>
        <v>start /low /b %USERPROFILE%\Documents\GitHub\eaglep3\Utilities\DownloadLogsFromS3.py --loco 4023 --day 2017-06-19</v>
      </c>
      <c r="AF27" s="1"/>
    </row>
    <row r="28" spans="1:32" x14ac:dyDescent="0.25">
      <c r="A28" s="31">
        <v>42905.767523148148</v>
      </c>
      <c r="B28" s="30" t="s">
        <v>476</v>
      </c>
      <c r="C28" s="30" t="s">
        <v>647</v>
      </c>
      <c r="D28" s="30" t="s">
        <v>49</v>
      </c>
      <c r="E28" s="30" t="s">
        <v>181</v>
      </c>
      <c r="F28" s="42">
        <v>0</v>
      </c>
      <c r="G28" s="42">
        <v>23</v>
      </c>
      <c r="H28" s="42">
        <v>617</v>
      </c>
      <c r="I28" s="42">
        <v>600</v>
      </c>
      <c r="J28" s="30" t="s">
        <v>182</v>
      </c>
      <c r="K28" s="42">
        <v>575</v>
      </c>
      <c r="L28" s="131" t="s">
        <v>51</v>
      </c>
      <c r="M28" s="132">
        <f t="shared" si="0"/>
        <v>13.2</v>
      </c>
      <c r="N28" s="133" t="str">
        <f>VLOOKUP(C28,'Trips&amp;Operators'!$C$1:$G$99999,5,FALSE)</f>
        <v>STAMBAUGH JAMES</v>
      </c>
      <c r="O28" s="203" t="s">
        <v>180</v>
      </c>
      <c r="P28" s="134"/>
      <c r="Q28" s="30"/>
      <c r="R28" s="81" t="str">
        <f>VLOOKUP(C28,'Train Runs'!$A$13:$AE$9938,31,0)</f>
        <v>aws s3 cp s3://rtdc.mdm.uploadarchive.raw/RTDC4031/ "%USERPROFILE%\AppData\Local\Temp\OnboardLogs"\RTDC4031\2017-06-19 --exclude "*" --recursive --include "*20170619*" &amp; "%USERPROFILE%\Documents\GitHub\mrs-test-scripts\Headless Mode &amp; Sideloading\WalkAndUnGZ.bat" "%USERPROFILE%\AppData\Local\Temp\OnboardLogs"\RTDC4031\2017-06-19 &amp; aws s3 cp s3://rtdc.mdm.uploadarchive.raw/RTDC4031/ "%USERPROFILE%\AppData\Local\Temp\OnboardLogs"\RTDC4031\2017-06-20 --exclude "*" --recursive --include "*20170620*" &amp; "%USERPROFILE%\Documents\GitHub\mrs-test-scripts\Headless Mode &amp; Sideloading\WalkAndUnGZ.bat" "%USERPROFILE%\AppData\Local\Temp\OnboardLogs"\RTDC4031\2017-06-20</v>
      </c>
      <c r="S28" s="84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-06-19T17:08:09-0600',mode:absolute,to:'2017-06-19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/stypes="*4031*201706200*"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4031</v>
      </c>
      <c r="V28" s="31">
        <f t="shared" si="3"/>
        <v>42906.017523148148</v>
      </c>
      <c r="W28" s="45" t="str">
        <f t="shared" si="4"/>
        <v>NW</v>
      </c>
      <c r="X28" s="22">
        <f t="shared" si="5"/>
        <v>836</v>
      </c>
      <c r="Y28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ID","value":"836-19"},{"id":16,"name":"Locomotive ID","value":"4031"},{"id":130,"name":"Impact","value":""},{"id":150,"name":"Time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/cygdrive/c/Users/stu/AppData/Local/Temp/OnboardLogs/RTDC4031 --include="*4031*201706200*"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"%USERPROFILE%\AppData\Local\Temp\OnboardLogs"\RTDC4031\*4031*201706200* &gt;&gt; 2017-06-19-SliceDisagreementCheck.txt</v>
      </c>
      <c r="AE28" s="145" t="str">
        <f t="shared" si="9"/>
        <v>start /low /b %USERPROFILE%\Documents\GitHub\eaglep3\Utilities\DownloadLogsFromS3.py --loco 4031 --day 2017-06-20</v>
      </c>
      <c r="AF28" s="1"/>
    </row>
    <row r="29" spans="1:32" x14ac:dyDescent="0.25">
      <c r="A29" s="31">
        <v>42905.789467592593</v>
      </c>
      <c r="B29" s="30" t="s">
        <v>479</v>
      </c>
      <c r="C29" s="30" t="s">
        <v>648</v>
      </c>
      <c r="D29" s="30" t="s">
        <v>49</v>
      </c>
      <c r="E29" s="30" t="s">
        <v>181</v>
      </c>
      <c r="F29" s="42">
        <v>0</v>
      </c>
      <c r="G29" s="42">
        <v>25</v>
      </c>
      <c r="H29" s="42">
        <v>622</v>
      </c>
      <c r="I29" s="42">
        <v>598</v>
      </c>
      <c r="J29" s="30" t="s">
        <v>182</v>
      </c>
      <c r="K29" s="42">
        <v>575</v>
      </c>
      <c r="L29" s="131" t="s">
        <v>51</v>
      </c>
      <c r="M29" s="132">
        <f t="shared" si="0"/>
        <v>12.144</v>
      </c>
      <c r="N29" s="133" t="str">
        <f>VLOOKUP(C29,'Trips&amp;Operators'!$C$1:$G$99999,5,FALSE)</f>
        <v>LEVIN SCOTT</v>
      </c>
      <c r="O29" s="203" t="s">
        <v>180</v>
      </c>
      <c r="P29" s="134"/>
      <c r="Q29" s="30"/>
      <c r="R29" s="81" t="str">
        <f>VLOOKUP(C29,'Train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29" s="84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-06-19T17:36:28-0600',mode:absolute,to:'2017-06-19T19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9" s="86" t="str">
        <f t="shared" si="1"/>
        <v>"C:\Program Files (x86)\AstroGrep\AstroGrep.exe" /e /r /s /spath="%USERPROFILE%\AppData\Local\Temp\OnboardLogs" /stypes="*4023*201706200*"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4023</v>
      </c>
      <c r="V29" s="31">
        <f t="shared" si="3"/>
        <v>42906.039467592593</v>
      </c>
      <c r="W29" s="45" t="str">
        <f t="shared" si="4"/>
        <v>NW</v>
      </c>
      <c r="X29" s="22">
        <f t="shared" si="5"/>
        <v>838</v>
      </c>
      <c r="Y29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ID","value":"838-19"},{"id":16,"name":"Locomotive ID","value":"4023"},{"id":130,"name":"Impact","value":""},{"id":150,"name":"Time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/cygdrive/c/Users/stu/AppData/Local/Temp/OnboardLogs/RTDC4023 --include="*4023*201706200*"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"%USERPROFILE%\AppData\Local\Temp\OnboardLogs"\RTDC4023\*4023*201706200* &gt;&gt; 2017-06-19-SliceDisagreementCheck.txt</v>
      </c>
      <c r="AE29" s="145" t="str">
        <f t="shared" si="9"/>
        <v>start /low /b %USERPROFILE%\Documents\GitHub\eaglep3\Utilities\DownloadLogsFromS3.py --loco 4023 --day 2017-06-20</v>
      </c>
      <c r="AF29" s="1"/>
    </row>
    <row r="30" spans="1:32" x14ac:dyDescent="0.25">
      <c r="A30" s="31">
        <v>42905.831157407411</v>
      </c>
      <c r="B30" s="30" t="s">
        <v>479</v>
      </c>
      <c r="C30" s="30" t="s">
        <v>650</v>
      </c>
      <c r="D30" s="30" t="s">
        <v>49</v>
      </c>
      <c r="E30" s="30" t="s">
        <v>181</v>
      </c>
      <c r="F30" s="42">
        <v>0</v>
      </c>
      <c r="G30" s="42">
        <v>24</v>
      </c>
      <c r="H30" s="42">
        <v>633</v>
      </c>
      <c r="I30" s="42">
        <v>617</v>
      </c>
      <c r="J30" s="30" t="s">
        <v>182</v>
      </c>
      <c r="K30" s="42">
        <v>575</v>
      </c>
      <c r="L30" s="131" t="s">
        <v>51</v>
      </c>
      <c r="M30" s="132">
        <f t="shared" si="0"/>
        <v>22.175999999999998</v>
      </c>
      <c r="N30" s="133" t="str">
        <f>VLOOKUP(C30,'Trips&amp;Operators'!$C$1:$G$99999,5,FALSE)</f>
        <v>LEVIN SCOTT</v>
      </c>
      <c r="O30" s="203" t="s">
        <v>180</v>
      </c>
      <c r="P30" s="134"/>
      <c r="Q30" s="30"/>
      <c r="R30" s="81" t="str">
        <f>VLOOKUP(C30,'Train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30" s="84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-06-19T18:36:18-0600',mode:absolute,to:'2017-06-19T20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86" t="str">
        <f t="shared" si="1"/>
        <v>"C:\Program Files (x86)\AstroGrep\AstroGrep.exe" /e /r /s /spath="%USERPROFILE%\AppData\Local\Temp\OnboardLogs" /stypes="*4023*201706200*"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4023</v>
      </c>
      <c r="V30" s="31">
        <f t="shared" si="3"/>
        <v>42906.081157407411</v>
      </c>
      <c r="W30" s="45" t="str">
        <f t="shared" si="4"/>
        <v>NW</v>
      </c>
      <c r="X30" s="22">
        <f t="shared" si="5"/>
        <v>840</v>
      </c>
      <c r="Y30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ID","value":"840-19"},{"id":16,"name":"Locomotive ID","value":"4023"},{"id":130,"name":"Impact","value":""},{"id":150,"name":"Time of Event (Mountain Time)","value":"19:56:52"},{"id":151,"name":"Denver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/cygdrive/c/Users/stu/AppData/Local/Temp/OnboardLogs/RTDC4023 --include="*4023*201706200*"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"%USERPROFILE%\AppData\Local\Temp\OnboardLogs"\RTDC4023\*4023*201706200* &gt;&gt; 2017-06-19-SliceDisagreementCheck.txt</v>
      </c>
      <c r="AE30" s="145" t="str">
        <f t="shared" si="9"/>
        <v>start /low /b %USERPROFILE%\Documents\GitHub\eaglep3\Utilities\DownloadLogsFromS3.py --loco 4023 --day 2017-06-20</v>
      </c>
      <c r="AF30" s="1"/>
    </row>
    <row r="31" spans="1:32" x14ac:dyDescent="0.25">
      <c r="A31" s="31">
        <v>42905.871701388889</v>
      </c>
      <c r="B31" s="30" t="s">
        <v>479</v>
      </c>
      <c r="C31" s="30" t="s">
        <v>651</v>
      </c>
      <c r="D31" s="30" t="s">
        <v>49</v>
      </c>
      <c r="E31" s="30" t="s">
        <v>181</v>
      </c>
      <c r="F31" s="42">
        <v>0</v>
      </c>
      <c r="G31" s="42">
        <v>39</v>
      </c>
      <c r="H31" s="42">
        <v>694</v>
      </c>
      <c r="I31" s="42">
        <v>661</v>
      </c>
      <c r="J31" s="30" t="s">
        <v>182</v>
      </c>
      <c r="K31" s="42">
        <v>575</v>
      </c>
      <c r="L31" s="131" t="s">
        <v>51</v>
      </c>
      <c r="M31" s="132">
        <f t="shared" si="0"/>
        <v>45.408000000000001</v>
      </c>
      <c r="N31" s="133" t="str">
        <f>VLOOKUP(C31,'Trips&amp;Operators'!$C$1:$G$99999,5,FALSE)</f>
        <v>LEVIN SCOTT</v>
      </c>
      <c r="O31" s="203" t="s">
        <v>180</v>
      </c>
      <c r="P31" s="134"/>
      <c r="Q31" s="30"/>
      <c r="R31" s="81" t="str">
        <f>VLOOKUP(C31,'Train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31" s="84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-06-19T19:35:53-0600',mode:absolute,to:'2017-06-19T21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1" s="86" t="str">
        <f t="shared" si="1"/>
        <v>"C:\Program Files (x86)\AstroGrep\AstroGrep.exe" /e /r /s /spath="%USERPROFILE%\AppData\Local\Temp\OnboardLogs" /stypes="*4023*201706200*"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4023</v>
      </c>
      <c r="V31" s="31">
        <f t="shared" si="3"/>
        <v>42906.121701388889</v>
      </c>
      <c r="W31" s="45" t="str">
        <f t="shared" si="4"/>
        <v>NW</v>
      </c>
      <c r="X31" s="22">
        <f t="shared" si="5"/>
        <v>842</v>
      </c>
      <c r="Y31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ID","value":"842-19"},{"id":16,"name":"Locomotive ID","value":"4023"},{"id":130,"name":"Impact","value":""},{"id":150,"name":"Time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/cygdrive/c/Users/stu/AppData/Local/Temp/OnboardLogs/RTDC4023 --include="*4023*201706200*"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"%USERPROFILE%\AppData\Local\Temp\OnboardLogs"\RTDC4023\*4023*201706200* &gt;&gt; 2017-06-19-SliceDisagreementCheck.txt</v>
      </c>
      <c r="AE31" s="145" t="str">
        <f t="shared" si="9"/>
        <v>start /low /b %USERPROFILE%\Documents\GitHub\eaglep3\Utilities\DownloadLogsFromS3.py --loco 4023 --day 2017-06-20</v>
      </c>
      <c r="AF31" s="1"/>
    </row>
    <row r="32" spans="1:32" s="20" customFormat="1" x14ac:dyDescent="0.25">
      <c r="A32" s="31">
        <v>42905.914120370369</v>
      </c>
      <c r="B32" s="30" t="s">
        <v>479</v>
      </c>
      <c r="C32" s="30" t="s">
        <v>653</v>
      </c>
      <c r="D32" s="30" t="s">
        <v>49</v>
      </c>
      <c r="E32" s="30" t="s">
        <v>181</v>
      </c>
      <c r="F32" s="42">
        <v>0</v>
      </c>
      <c r="G32" s="42">
        <v>165</v>
      </c>
      <c r="H32" s="42">
        <v>1308</v>
      </c>
      <c r="I32" s="42">
        <v>1062</v>
      </c>
      <c r="J32" s="30" t="s">
        <v>182</v>
      </c>
      <c r="K32" s="42">
        <v>575</v>
      </c>
      <c r="L32" s="131" t="s">
        <v>51</v>
      </c>
      <c r="M32" s="132">
        <f t="shared" si="0"/>
        <v>257.13600000000002</v>
      </c>
      <c r="N32" s="133" t="str">
        <f>VLOOKUP(C32,'Trips&amp;Operators'!$C$1:$G$99999,5,FALSE)</f>
        <v>STAMBAUGH JAMES</v>
      </c>
      <c r="O32" s="203" t="s">
        <v>180</v>
      </c>
      <c r="P32" s="134"/>
      <c r="Q32" s="30"/>
      <c r="R32" s="81" t="str">
        <f>VLOOKUP(C32,'Train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32" s="84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-06-19T20:36:20-0600',mode:absolute,to:'2017-06-19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2" s="86" t="str">
        <f t="shared" si="1"/>
        <v>"C:\Program Files (x86)\AstroGrep\AstroGrep.exe" /e /r /s /spath="%USERPROFILE%\AppData\Local\Temp\OnboardLogs" /stypes="*4023*201706200*" /stext=" 03:.+((SYSTEM_STATE.+slice.+state.+changed )|(ment ac)|(multiple cpu faults)|(system.+state.+changed )|(\[timeout)|(PRM\|1\|D)|(kpr)|(kdp)|(train st.+moving)|(\|lc)|(penalty))"</v>
      </c>
      <c r="U32" s="9" t="str">
        <f t="shared" si="2"/>
        <v>4023</v>
      </c>
      <c r="V32" s="31">
        <f t="shared" si="3"/>
        <v>42906.164120370369</v>
      </c>
      <c r="W32" s="45" t="str">
        <f t="shared" si="4"/>
        <v>NW</v>
      </c>
      <c r="X32" s="22">
        <f t="shared" si="5"/>
        <v>844</v>
      </c>
      <c r="Y32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ID","value":"844-19"},{"id":16,"name":"Locomotive ID","value":"4023"},{"id":130,"name":"Impact","value":""},{"id":150,"name":"Time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/cygdrive/c/Users/stu/AppData/Local/Temp/OnboardLogs/RTDC4023 --include="*4023*201706200*"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"%USERPROFILE%\AppData\Local\Temp\OnboardLogs"\RTDC4023\*4023*201706200* &gt;&gt; 2017-06-19-SliceDisagreementCheck.txt</v>
      </c>
      <c r="AE32" s="145" t="str">
        <f t="shared" si="9"/>
        <v>start /low /b %USERPROFILE%\Documents\GitHub\eaglep3\Utilities\DownloadLogsFromS3.py --loco 4023 --day 2017-06-20</v>
      </c>
      <c r="AF32" s="1"/>
    </row>
    <row r="33" spans="1:32" x14ac:dyDescent="0.25">
      <c r="A33" s="31">
        <v>42905.914722222224</v>
      </c>
      <c r="B33" s="30" t="s">
        <v>479</v>
      </c>
      <c r="C33" s="30" t="s">
        <v>653</v>
      </c>
      <c r="D33" s="30" t="s">
        <v>49</v>
      </c>
      <c r="E33" s="30" t="s">
        <v>181</v>
      </c>
      <c r="F33" s="42">
        <v>0</v>
      </c>
      <c r="G33" s="42">
        <v>57</v>
      </c>
      <c r="H33" s="42">
        <v>806</v>
      </c>
      <c r="I33" s="42">
        <v>761</v>
      </c>
      <c r="J33" s="30" t="s">
        <v>182</v>
      </c>
      <c r="K33" s="42">
        <v>575</v>
      </c>
      <c r="L33" s="131" t="s">
        <v>51</v>
      </c>
      <c r="M33" s="132">
        <f t="shared" si="0"/>
        <v>98.207999999999998</v>
      </c>
      <c r="N33" s="133" t="str">
        <f>VLOOKUP(C33,'Trips&amp;Operators'!$C$1:$G$99999,5,FALSE)</f>
        <v>STAMBAUGH JAMES</v>
      </c>
      <c r="O33" s="203" t="s">
        <v>180</v>
      </c>
      <c r="P33" s="134"/>
      <c r="Q33" s="30"/>
      <c r="R33" s="81" t="str">
        <f>VLOOKUP(C33,'Train Runs'!$A$13:$AE$9938,31,0)</f>
        <v>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 &amp; aws s3 cp s3://rtdc.mdm.uploadarchive.raw/RTDC4023/ "%USERPROFILE%\AppData\Local\Temp\OnboardLogs"\RTDC4023\2017-06-20 --exclude "*" --recursive --include "*20170620*" &amp; "%USERPROFILE%\Documents\GitHub\mrs-test-scripts\Headless Mode &amp; Sideloading\WalkAndUnGZ.bat" "%USERPROFILE%\AppData\Local\Temp\OnboardLogs"\RTDC4023\2017-06-20</v>
      </c>
      <c r="S33" s="84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-06-19T20:36:20-0600',mode:absolute,to:'2017-06-19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3" s="86" t="str">
        <f t="shared" si="1"/>
        <v>"C:\Program Files (x86)\AstroGrep\AstroGrep.exe" /e /r /s /spath="%USERPROFILE%\AppData\Local\Temp\OnboardLogs" /stypes="*4023*201706200*" /stext=" 03:.+((SYSTEM_STATE.+slice.+state.+changed )|(ment ac)|(multiple cpu faults)|(system.+state.+changed )|(\[timeout)|(PRM\|1\|D)|(kpr)|(kdp)|(train st.+moving)|(\|lc)|(penalty))"</v>
      </c>
      <c r="U33" s="9" t="str">
        <f t="shared" si="2"/>
        <v>4023</v>
      </c>
      <c r="V33" s="31">
        <f t="shared" si="3"/>
        <v>42906.164722222224</v>
      </c>
      <c r="W33" s="45" t="str">
        <f t="shared" si="4"/>
        <v>NW</v>
      </c>
      <c r="X33" s="22">
        <f t="shared" si="5"/>
        <v>844</v>
      </c>
      <c r="Y33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{"issue":{"subject":"","project_id":79,"tracker_id":40,"status_id":1,"priority_id":2,"assigned_to_id":23,"start_date":"2017-06-19","description":"","custom_fields":[{"id":1,"name":"Subdivision","value":"NW"},{"id":4,"name":"Milepost","value":"0.0575"},{"id":17,"name":"Train ID","value":"844-19"},{"id":16,"name":"Locomotive ID","value":"4023"},{"id":130,"name":"Impact","value":""},{"id":150,"name":"Time of Event (Mountain Time)","value":"21:57:12"},{"id":151,"name":"Denver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/cygdrive/c/Users/stu/AppData/Local/Temp/OnboardLogs/RTDC4023 --include="*4023*201706200*"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"%USERPROFILE%\AppData\Local\Temp\OnboardLogs"\RTDC4023\*4023*201706200* &gt;&gt; 2017-06-19-SliceDisagreementCheck.txt</v>
      </c>
      <c r="AE33" s="145" t="str">
        <f t="shared" si="9"/>
        <v>start /low /b %USERPROFILE%\Documents\GitHub\eaglep3\Utilities\DownloadLogsFromS3.py --loco 4023 --day 2017-06-20</v>
      </c>
      <c r="AF33" s="1"/>
    </row>
    <row r="34" spans="1:32" x14ac:dyDescent="0.25">
      <c r="A34" s="31">
        <v>42905.357858796298</v>
      </c>
      <c r="B34" s="30" t="s">
        <v>478</v>
      </c>
      <c r="C34" s="30" t="s">
        <v>625</v>
      </c>
      <c r="D34" s="30" t="s">
        <v>49</v>
      </c>
      <c r="E34" s="30" t="s">
        <v>181</v>
      </c>
      <c r="F34" s="42">
        <v>0</v>
      </c>
      <c r="G34" s="42">
        <v>53</v>
      </c>
      <c r="H34" s="42">
        <v>58854</v>
      </c>
      <c r="I34" s="42">
        <v>58884</v>
      </c>
      <c r="J34" s="30" t="s">
        <v>182</v>
      </c>
      <c r="K34" s="42">
        <v>59048</v>
      </c>
      <c r="L34" s="131" t="s">
        <v>50</v>
      </c>
      <c r="M34" s="132">
        <f t="shared" si="0"/>
        <v>86.592000000000013</v>
      </c>
      <c r="N34" s="133" t="str">
        <f>VLOOKUP(C34,'Trips&amp;Operators'!$C$1:$G$99999,5,FALSE)</f>
        <v>LOZA FIDEL</v>
      </c>
      <c r="O34" s="203" t="s">
        <v>180</v>
      </c>
      <c r="P34" s="134"/>
      <c r="Q34" s="30"/>
      <c r="R34" s="81" t="str">
        <f>VLOOKUP(C34,'Train Runs'!$A$13:$AE$9938,31,0)</f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S34" s="84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-06-19T07:03:07-0600',mode:absolute,to:'2017-06-19T09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4" s="86" t="str">
        <f t="shared" si="1"/>
        <v>"C:\Program Files (x86)\AstroGrep\AstroGrep.exe" /e /r /s /spath="%USERPROFILE%\AppData\Local\Temp\OnboardLogs" /stypes="*4024*201706191*"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4024</v>
      </c>
      <c r="V34" s="31">
        <f t="shared" si="3"/>
        <v>42905.607858796298</v>
      </c>
      <c r="W34" s="45" t="str">
        <f t="shared" si="4"/>
        <v>NW</v>
      </c>
      <c r="X34" s="22">
        <f t="shared" si="5"/>
        <v>811</v>
      </c>
      <c r="Y34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{"issue":{"subject":"","project_id":79,"tracker_id":40,"status_id":1,"priority_id":2,"assigned_to_id":23,"start_date":"2017-06-19","description":"","custom_fields":[{"id":1,"name":"Subdivision","value":"NW"},{"id":4,"name":"Milepost","value":"5.9048"},{"id":17,"name":"Train ID","value":"811-19"},{"id":16,"name":"Locomotive ID","value":"4024"},{"id":130,"name":"Impact","value":""},{"id":150,"name":"Time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/cygdrive/c/Users/stu/AppData/Local/Temp/OnboardLogs/RTDC4024 --include="*4024*201706191*"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"%USERPROFILE%\AppData\Local\Temp\OnboardLogs"\RTDC4024\*4024*201706191* &gt;&gt; 2017-06-19-SliceDisagreementCheck.txt</v>
      </c>
      <c r="AE34" s="145" t="str">
        <f t="shared" si="9"/>
        <v>start /low /b %USERPROFILE%\Documents\GitHub\eaglep3\Utilities\DownloadLogsFromS3.py --loco 4024 --day 2017-06-19</v>
      </c>
      <c r="AF34" s="1"/>
    </row>
    <row r="35" spans="1:32" x14ac:dyDescent="0.25">
      <c r="A35" s="31">
        <v>42905.732847222222</v>
      </c>
      <c r="B35" s="30" t="s">
        <v>478</v>
      </c>
      <c r="C35" s="30" t="s">
        <v>645</v>
      </c>
      <c r="D35" s="30" t="s">
        <v>49</v>
      </c>
      <c r="E35" s="30" t="s">
        <v>181</v>
      </c>
      <c r="F35" s="42">
        <v>0</v>
      </c>
      <c r="G35" s="42">
        <v>45</v>
      </c>
      <c r="H35" s="42">
        <v>58914</v>
      </c>
      <c r="I35" s="42">
        <v>58954</v>
      </c>
      <c r="J35" s="30" t="s">
        <v>182</v>
      </c>
      <c r="K35" s="42">
        <v>59048</v>
      </c>
      <c r="L35" s="131" t="s">
        <v>50</v>
      </c>
      <c r="M35" s="132">
        <f t="shared" si="0"/>
        <v>49.631999999999998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Runs'!$A$13:$AE$9938,31,0)</f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S35" s="84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-06-19T16:18:04-0600',mode:absolute,to:'2017-06-19T18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5" s="86" t="str">
        <f t="shared" si="1"/>
        <v>"C:\Program Files (x86)\AstroGrep\AstroGrep.exe" /e /r /s /spath="%USERPROFILE%\AppData\Local\Temp\OnboardLogs" /stypes="*4024*201706192*"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4024</v>
      </c>
      <c r="V35" s="31">
        <f t="shared" si="3"/>
        <v>42905.982847222222</v>
      </c>
      <c r="W35" s="45" t="str">
        <f t="shared" si="4"/>
        <v>NW</v>
      </c>
      <c r="X35" s="22">
        <f t="shared" si="5"/>
        <v>833</v>
      </c>
      <c r="Y35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{"issue":{"subject":"","project_id":79,"tracker_id":40,"status_id":1,"priority_id":2,"assigned_to_id":23,"start_date":"2017-06-19","description":"","custom_fields":[{"id":1,"name":"Subdivision","value":"NW"},{"id":4,"name":"Milepost","value":"5.9048"},{"id":17,"name":"Train ID","value":"833-19"},{"id":16,"name":"Locomotive ID","value":"4024"},{"id":130,"name":"Impact","value":""},{"id":150,"name":"Time of Event (Mountain Time)","value":"17:35:18"},{"id":151,"name":"Denver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/cygdrive/c/Users/stu/AppData/Local/Temp/OnboardLogs/RTDC4024 --include="*4024*201706192*"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"%USERPROFILE%\AppData\Local\Temp\OnboardLogs"\RTDC4024\*4024*201706192* &gt;&gt; 2017-06-19-SliceDisagreementCheck.txt</v>
      </c>
      <c r="AE35" s="145" t="str">
        <f t="shared" si="9"/>
        <v>start /low /b %USERPROFILE%\Documents\GitHub\eaglep3\Utilities\DownloadLogsFromS3.py --loco 4024 --day 2017-06-19</v>
      </c>
      <c r="AF35" s="1"/>
    </row>
    <row r="36" spans="1:32" x14ac:dyDescent="0.25">
      <c r="A36" s="31">
        <v>42905.794895833336</v>
      </c>
      <c r="B36" s="30" t="s">
        <v>477</v>
      </c>
      <c r="C36" s="30" t="s">
        <v>649</v>
      </c>
      <c r="D36" s="30" t="s">
        <v>96</v>
      </c>
      <c r="E36" s="30" t="s">
        <v>181</v>
      </c>
      <c r="F36" s="42">
        <v>0</v>
      </c>
      <c r="G36" s="42">
        <v>10</v>
      </c>
      <c r="H36" s="42">
        <v>59048</v>
      </c>
      <c r="I36" s="42">
        <v>0</v>
      </c>
      <c r="J36" s="30" t="s">
        <v>182</v>
      </c>
      <c r="K36" s="42">
        <v>59048</v>
      </c>
      <c r="L36" s="131" t="s">
        <v>50</v>
      </c>
      <c r="M36" s="132">
        <f t="shared" si="0"/>
        <v>31177.344000000001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Runs'!$A$13:$AE$9938,31,0)</f>
        <v>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 &amp; aws s3 cp s3://rtdc.mdm.uploadarchive.raw/RTDC4032/ "%USERPROFILE%\AppData\Local\Temp\OnboardLogs"\RTDC4032\2017-06-20 --exclude "*" --recursive --include "*20170620*" &amp; "%USERPROFILE%\Documents\GitHub\mrs-test-scripts\Headless Mode &amp; Sideloading\WalkAndUnGZ.bat" "%USERPROFILE%\AppData\Local\Temp\OnboardLogs"\RTDC4032\2017-06-20</v>
      </c>
      <c r="S36" s="84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-06-19T17:26:58-0600',mode:absolute,to:'2017-06-19T20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6" t="str">
        <f t="shared" si="1"/>
        <v>"C:\Program Files (x86)\AstroGrep\AstroGrep.exe" /e /r /s /spath="%USERPROFILE%\AppData\Local\Temp\OnboardLogs" /stypes="*4032*201706200*"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42906.044895833336</v>
      </c>
      <c r="W36" s="45" t="str">
        <f t="shared" si="4"/>
        <v>NW</v>
      </c>
      <c r="X36" s="22">
        <f t="shared" si="5"/>
        <v>839</v>
      </c>
      <c r="Y36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{"issue":{"subject":"","project_id":79,"tracker_id":40,"status_id":1,"priority_id":2,"assigned_to_id":23,"start_date":"2017-06-19","description":"","custom_fields":[{"id":1,"name":"Subdivision","value":"NW"},{"id":4,"name":"Milepost","value":"5.9048"},{"id":17,"name":"Train ID","value":"839-19"},{"id":16,"name":"Locomotive ID","value":"4032"},{"id":130,"name":"Impact","value":""},{"id":150,"name":"Time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/cygdrive/c/Users/stu/AppData/Local/Temp/OnboardLogs/RTDC4032 --include="*4032*201706200*"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"%USERPROFILE%\AppData\Local\Temp\OnboardLogs"\RTDC4032\*4032*201706200* &gt;&gt; 2017-06-19-SliceDisagreementCheck.txt</v>
      </c>
      <c r="AE36" s="145" t="str">
        <f t="shared" si="9"/>
        <v>start /low /b %USERPROFILE%\Documents\GitHub\eaglep3\Utilities\DownloadLogsFromS3.py --loco 4032 --day 2017-06-20</v>
      </c>
      <c r="AF36" s="1"/>
    </row>
    <row r="37" spans="1:32" x14ac:dyDescent="0.25">
      <c r="A37" s="31">
        <v>42905.898541666669</v>
      </c>
      <c r="B37" s="30" t="s">
        <v>478</v>
      </c>
      <c r="C37" s="30" t="s">
        <v>652</v>
      </c>
      <c r="D37" s="30" t="s">
        <v>49</v>
      </c>
      <c r="E37" s="30" t="s">
        <v>181</v>
      </c>
      <c r="F37" s="42">
        <v>0</v>
      </c>
      <c r="G37" s="42">
        <v>66</v>
      </c>
      <c r="H37" s="42">
        <v>58858</v>
      </c>
      <c r="I37" s="42">
        <v>58918</v>
      </c>
      <c r="J37" s="30" t="s">
        <v>182</v>
      </c>
      <c r="K37" s="42">
        <v>59048</v>
      </c>
      <c r="L37" s="131" t="s">
        <v>50</v>
      </c>
      <c r="M37" s="132">
        <f t="shared" si="0"/>
        <v>68.64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Runs'!$A$13:$AE$9938,31,0)</f>
        <v>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 &amp; aws s3 cp s3://rtdc.mdm.uploadarchive.raw/RTDC4024/ "%USERPROFILE%\AppData\Local\Temp\OnboardLogs"\RTDC4024\2017-06-20 --exclude "*" --recursive --include "*20170620*" &amp; "%USERPROFILE%\Documents\GitHub\mrs-test-scripts\Headless Mode &amp; Sideloading\WalkAndUnGZ.bat" "%USERPROFILE%\AppData\Local\Temp\OnboardLogs"\RTDC4024\2017-06-20</v>
      </c>
      <c r="S37" s="84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-06-19T19:58:00-0600',mode:absolute,to:'2017-06-19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6" t="str">
        <f t="shared" si="1"/>
        <v>"C:\Program Files (x86)\AstroGrep\AstroGrep.exe" /e /r /s /spath="%USERPROFILE%\AppData\Local\Temp\OnboardLogs" /stypes="*4024*201706200*"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4024</v>
      </c>
      <c r="V37" s="31">
        <f t="shared" si="3"/>
        <v>42906.148541666669</v>
      </c>
      <c r="W37" s="45" t="str">
        <f t="shared" si="4"/>
        <v>NW</v>
      </c>
      <c r="X37" s="22">
        <f t="shared" si="5"/>
        <v>845</v>
      </c>
      <c r="Y37" s="96" t="str">
        <f t="shared" si="6"/>
        <v>echo {"issue":{"subject":"","project_id":79,"tracker_id":40,"status_id":1,"priority_id":2,"assigned_to_id":23,"start_date":"2017-06-19","description":"","custom_fields":[{"id":1,"name":"Subdivision","value":"NW"},{"id":4,"name":"Milepost","value":"5.9048"},{"id":17,"name":"Train ID","value":"845-19"},{"id":16,"name":"Locomotive ID","value":"4024"},{"id":130,"name":"Impact","value":""},{"id":150,"name":"Time of Event (Mountain Time)","value":"21:33:54"},{"id":151,"name":"Denver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/cygdrive/c/Users/stu/AppData/Local/Temp/OnboardLogs/RTDC4024 --include="*4024*201706200*"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"%USERPROFILE%\AppData\Local\Temp\OnboardLogs"\RTDC4024\*4024*201706200* &gt;&gt; 2017-06-19-SliceDisagreementCheck.txt</v>
      </c>
      <c r="AE37" s="145" t="str">
        <f t="shared" si="9"/>
        <v>start /low /b %USERPROFILE%\Documents\GitHub\eaglep3\Utilities\DownloadLogsFromS3.py --loco 4024 --day 2017-06-20</v>
      </c>
      <c r="AF37" s="1"/>
    </row>
    <row r="38" spans="1:32" x14ac:dyDescent="0.25">
      <c r="A38" s="31">
        <v>42905.179652777777</v>
      </c>
      <c r="B38" s="30" t="s">
        <v>420</v>
      </c>
      <c r="C38" s="30" t="s">
        <v>619</v>
      </c>
      <c r="D38" s="30" t="s">
        <v>49</v>
      </c>
      <c r="E38" s="30" t="s">
        <v>181</v>
      </c>
      <c r="F38" s="42">
        <v>0</v>
      </c>
      <c r="G38" s="42">
        <v>76</v>
      </c>
      <c r="H38" s="42">
        <v>289</v>
      </c>
      <c r="I38" s="42">
        <v>216</v>
      </c>
      <c r="J38" s="30" t="s">
        <v>182</v>
      </c>
      <c r="K38" s="42">
        <v>1</v>
      </c>
      <c r="L38" s="131" t="s">
        <v>51</v>
      </c>
      <c r="M38" s="132">
        <f t="shared" si="0"/>
        <v>113.52</v>
      </c>
      <c r="N38" s="133" t="str">
        <f>VLOOKUP(C38,'Trips&amp;Operators'!$C$1:$G$99999,5,FALSE)</f>
        <v>LALONDE GREGORY</v>
      </c>
      <c r="O38" s="203" t="s">
        <v>180</v>
      </c>
      <c r="P38" s="134"/>
      <c r="Q38" s="30"/>
      <c r="R38" s="81" t="str">
        <f>VLOOKUP(C38,'Train Runs'!$A$13:$AE$9938,31,0)</f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S38" s="84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-06-19T03:05:03-0600',mode:absolute,to:'2017-06-19T05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8" s="86" t="str">
        <f t="shared" si="1"/>
        <v>"C:\Program Files (x86)\AstroGrep\AstroGrep.exe" /e /r /s /spath="%USERPROFILE%\AppData\Local\Temp\OnboardLogs" /stypes="*4043*201706191*"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4043</v>
      </c>
      <c r="V38" s="31">
        <f t="shared" si="3"/>
        <v>42905.429652777777</v>
      </c>
      <c r="W38" s="45" t="str">
        <f t="shared" si="4"/>
        <v>Other</v>
      </c>
      <c r="X38" s="22">
        <f t="shared" si="5"/>
        <v>306</v>
      </c>
      <c r="Y38" s="96" t="str">
        <f t="shared" si="6"/>
        <v>echo {"issue":{"subject":"","project_id":79,"tracker_id":40,"status_id":1,"priority_id":2,"assigned_to_id":23,"start_date":"2017-06-19","description":"","custom_fields":[{"id":1,"name":"Subdivision","value":"Other"},{"id":4,"name":"Milepost","value":"0.0001"},{"id":17,"name":"Train ID","value":"306-19"},{"id":16,"name":"Locomotive ID","value":"4043"},{"id":130,"name":"Impact","value":""},{"id":150,"name":"Time of Event (Mountain Time)","value":"04:18:42"},{"id":151,"name":"Denver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/cygdrive/c/Users/stu/AppData/Local/Temp/OnboardLogs/RTDC4043 --include="*4043*201706191*"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"%USERPROFILE%\AppData\Local\Temp\OnboardLogs"\RTDC4043\*4043*201706191* &gt;&gt; 2017-06-19-SliceDisagreementCheck.txt</v>
      </c>
      <c r="AE38" s="145" t="str">
        <f t="shared" si="9"/>
        <v>start /low /b %USERPROFILE%\Documents\GitHub\eaglep3\Utilities\DownloadLogsFromS3.py --loco 4043 --day 2017-06-19</v>
      </c>
      <c r="AF38" s="1"/>
    </row>
    <row r="39" spans="1:32" x14ac:dyDescent="0.25">
      <c r="A39" s="31">
        <v>42905.180023148147</v>
      </c>
      <c r="B39" s="30" t="s">
        <v>420</v>
      </c>
      <c r="C39" s="30" t="s">
        <v>619</v>
      </c>
      <c r="D39" s="30" t="s">
        <v>49</v>
      </c>
      <c r="E39" s="30" t="s">
        <v>181</v>
      </c>
      <c r="F39" s="42">
        <v>0</v>
      </c>
      <c r="G39" s="42">
        <v>37</v>
      </c>
      <c r="H39" s="42">
        <v>181</v>
      </c>
      <c r="I39" s="42">
        <v>150</v>
      </c>
      <c r="J39" s="30" t="s">
        <v>182</v>
      </c>
      <c r="K39" s="42">
        <v>1</v>
      </c>
      <c r="L39" s="131" t="s">
        <v>51</v>
      </c>
      <c r="M39" s="132">
        <f t="shared" si="0"/>
        <v>78.671999999999997</v>
      </c>
      <c r="N39" s="133" t="str">
        <f>VLOOKUP(C39,'Trips&amp;Operators'!$C$1:$G$99999,5,FALSE)</f>
        <v>LALONDE GREGORY</v>
      </c>
      <c r="O39" s="203" t="s">
        <v>180</v>
      </c>
      <c r="P39" s="134"/>
      <c r="Q39" s="30"/>
      <c r="R39" s="81" t="str">
        <f>VLOOKUP(C39,'Train Runs'!$A$13:$AE$9938,31,0)</f>
        <v>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 &amp; aws s3 cp s3://rtdc.mdm.uploadarchive.raw/RTDC4043/ "%USERPROFILE%\AppData\Local\Temp\OnboardLogs"\RTDC4043\2017-06-20 --exclude "*" --recursive --include "*20170620*" &amp; "%USERPROFILE%\Documents\GitHub\mrs-test-scripts\Headless Mode &amp; Sideloading\WalkAndUnGZ.bat" "%USERPROFILE%\AppData\Local\Temp\OnboardLogs"\RTDC4043\2017-06-20</v>
      </c>
      <c r="S39" s="84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-06-19T03:05:03-0600',mode:absolute,to:'2017-06-19T05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86" t="str">
        <f t="shared" si="1"/>
        <v>"C:\Program Files (x86)\AstroGrep\AstroGrep.exe" /e /r /s /spath="%USERPROFILE%\AppData\Local\Temp\OnboardLogs" /stypes="*4043*201706191*" /stext=" 10:.+((SYSTEM_STATE.+slice.+state.+changed )|(ment ac)|(multiple cpu faults)|(system.+state.+changed )|(\[timeout)|(PRM\|1\|D)|(kpr)|(kdp)|(train st.+moving)|(\|lc)|(penalty))"</v>
      </c>
      <c r="U39" s="9" t="str">
        <f t="shared" si="2"/>
        <v>4043</v>
      </c>
      <c r="V39" s="31">
        <f t="shared" si="3"/>
        <v>42905.430023148147</v>
      </c>
      <c r="W39" s="45" t="str">
        <f t="shared" si="4"/>
        <v>Other</v>
      </c>
      <c r="X39" s="22">
        <f t="shared" si="5"/>
        <v>306</v>
      </c>
      <c r="Y39" s="96" t="str">
        <f t="shared" si="6"/>
        <v>echo {"issue":{"subject":"","project_id":79,"tracker_id":40,"status_id":1,"priority_id":2,"assigned_to_id":23,"start_date":"2017-06-19","description":"","custom_fields":[{"id":1,"name":"Subdivision","value":"Other"},{"id":4,"name":"Milepost","value":"0.0001"},{"id":17,"name":"Train ID","value":"306-19"},{"id":16,"name":"Locomotive ID","value":"4043"},{"id":130,"name":"Impact","value":""},{"id":150,"name":"Time of Event (Mountain Time)","value":"04:19:14"},{"id":151,"name":"Denver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/cygdrive/c/Users/stu/AppData/Local/Temp/OnboardLogs/RTDC4043 --include="*4043*201706191*"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"%USERPROFILE%\AppData\Local\Temp\OnboardLogs"\RTDC4043\*4043*201706191* &gt;&gt; 2017-06-19-SliceDisagreementCheck.txt</v>
      </c>
      <c r="AE39" s="145" t="str">
        <f t="shared" si="9"/>
        <v>start /low /b %USERPROFILE%\Documents\GitHub\eaglep3\Utilities\DownloadLogsFromS3.py --loco 4043 --day 2017-06-19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39"/>
      <sortCondition ref="E7:E39"/>
      <sortCondition ref="K7:K39"/>
      <sortCondition ref="F7:F3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5"/>
  <sheetViews>
    <sheetView workbookViewId="0">
      <selection activeCell="E13" sqref="E1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2017-06-19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Runs'!$A$13:$A$99935,1,FALSE)</f>
        <v>#N/A</v>
      </c>
    </row>
    <row r="4" spans="1:10" x14ac:dyDescent="0.25">
      <c r="A4" s="195"/>
      <c r="B4" s="42" t="str">
        <f>A4&amp;"-"&amp;IF(DAY(Variables!$A$2)&lt;10,0,"")&amp;DAY(Variables!$A$2)</f>
        <v>-19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Runs'!$A$13:$A$99935,1,FALSE)</f>
        <v>#N/A</v>
      </c>
    </row>
    <row r="5" spans="1:10" x14ac:dyDescent="0.25">
      <c r="A5" s="195"/>
      <c r="B5" s="42" t="str">
        <f>A5&amp;"-"&amp;IF(DAY(Variables!$A$2)&lt;10,0,"")&amp;DAY(Variables!$A$2)</f>
        <v>-19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Runs'!$A$13:$A$99935,1,FALSE)</f>
        <v>#N/A</v>
      </c>
    </row>
    <row r="6" spans="1:10" x14ac:dyDescent="0.25">
      <c r="A6" s="195"/>
      <c r="B6" s="42" t="str">
        <f>A6&amp;"-"&amp;IF(DAY(Variables!$A$2)&lt;10,0,"")&amp;DAY(Variables!$A$2)</f>
        <v>-19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Runs'!$A$13:$A$99935,1,FALSE)</f>
        <v>#N/A</v>
      </c>
    </row>
    <row r="7" spans="1:10" x14ac:dyDescent="0.25">
      <c r="A7" s="195"/>
      <c r="B7" s="42" t="str">
        <f>A7&amp;"-"&amp;IF(DAY(Variables!$A$2)&lt;10,0,"")&amp;DAY(Variables!$A$2)</f>
        <v>-19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Runs'!$A$13:$A$99935,1,FALSE)</f>
        <v>#N/A</v>
      </c>
    </row>
    <row r="8" spans="1:10" x14ac:dyDescent="0.25">
      <c r="A8" s="195"/>
      <c r="B8" s="42" t="str">
        <f>A8&amp;"-"&amp;IF(DAY(Variables!$A$2)&lt;10,0,"")&amp;DAY(Variables!$A$2)</f>
        <v>-19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Runs'!$A$13:$A$99935,1,FALSE)</f>
        <v>#N/A</v>
      </c>
    </row>
    <row r="9" spans="1:10" x14ac:dyDescent="0.25">
      <c r="A9" s="195"/>
      <c r="B9" s="42" t="str">
        <f>A9&amp;"-"&amp;IF(DAY(Variables!$A$2)&lt;10,0,"")&amp;DAY(Variables!$A$2)</f>
        <v>-19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Runs'!$A$13:$A$99935,1,FALSE)</f>
        <v>#N/A</v>
      </c>
    </row>
    <row r="10" spans="1:10" x14ac:dyDescent="0.25">
      <c r="A10" s="195"/>
      <c r="B10" s="42" t="str">
        <f>A10&amp;"-"&amp;IF(DAY(Variables!$A$2)&lt;10,0,"")&amp;DAY(Variables!$A$2)</f>
        <v>-19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Runs'!$A$13:$A$99935,1,FALSE)</f>
        <v>#N/A</v>
      </c>
    </row>
    <row r="11" spans="1:10" x14ac:dyDescent="0.25">
      <c r="A11" s="195"/>
      <c r="B11" s="42" t="str">
        <f>A11&amp;"-"&amp;IF(DAY(Variables!$A$2)&lt;10,0,"")&amp;DAY(Variables!$A$2)</f>
        <v>-19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Runs'!$A$13:$A$99935,1,FALSE)</f>
        <v>#N/A</v>
      </c>
    </row>
    <row r="12" spans="1:10" x14ac:dyDescent="0.25">
      <c r="A12" s="195"/>
      <c r="B12" s="42" t="str">
        <f>A12&amp;"-"&amp;IF(DAY(Variables!$A$2)&lt;10,0,"")&amp;DAY(Variables!$A$2)</f>
        <v>-19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Runs'!$A$13:$A$99935,1,FALSE)</f>
        <v>#N/A</v>
      </c>
    </row>
    <row r="13" spans="1:10" x14ac:dyDescent="0.25">
      <c r="A13" s="195"/>
      <c r="B13" s="42" t="str">
        <f>A13&amp;"-"&amp;IF(DAY(Variables!$A$2)&lt;10,0,"")&amp;DAY(Variables!$A$2)</f>
        <v>-19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Runs'!$A$13:$A$99935,1,FALSE)</f>
        <v>#N/A</v>
      </c>
    </row>
    <row r="14" spans="1:10" x14ac:dyDescent="0.25">
      <c r="A14" s="195"/>
      <c r="B14" s="42" t="str">
        <f>A14&amp;"-"&amp;IF(DAY(Variables!$A$2)&lt;10,0,"")&amp;DAY(Variables!$A$2)</f>
        <v>-19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Runs'!$A$13:$A$99935,1,FALSE)</f>
        <v>#N/A</v>
      </c>
    </row>
    <row r="15" spans="1:10" x14ac:dyDescent="0.25">
      <c r="A15" s="195"/>
      <c r="B15" s="42" t="str">
        <f>A15&amp;"-"&amp;IF(DAY(Variables!$A$2)&lt;10,0,"")&amp;DAY(Variables!$A$2)</f>
        <v>-19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Runs'!$A$13:$A$99935,1,FALSE)</f>
        <v>#N/A</v>
      </c>
    </row>
    <row r="16" spans="1:10" x14ac:dyDescent="0.25">
      <c r="A16" s="195"/>
      <c r="B16" s="42" t="str">
        <f>A16&amp;"-"&amp;IF(DAY(Variables!$A$2)&lt;10,0,"")&amp;DAY(Variables!$A$2)</f>
        <v>-19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Runs'!$A$13:$A$99935,1,FALSE)</f>
        <v>#N/A</v>
      </c>
    </row>
    <row r="17" spans="1:10" x14ac:dyDescent="0.25">
      <c r="A17" s="195"/>
      <c r="B17" s="42" t="str">
        <f>A17&amp;"-"&amp;IF(DAY(Variables!$A$2)&lt;10,0,"")&amp;DAY(Variables!$A$2)</f>
        <v>-19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Runs'!$A$13:$A$99935,1,FALSE)</f>
        <v>#N/A</v>
      </c>
    </row>
    <row r="18" spans="1:10" x14ac:dyDescent="0.25">
      <c r="A18" s="195"/>
      <c r="B18" s="42" t="str">
        <f>A18&amp;"-"&amp;IF(DAY(Variables!$A$2)&lt;10,0,"")&amp;DAY(Variables!$A$2)</f>
        <v>-19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Runs'!$A$13:$A$99935,1,FALSE)</f>
        <v>#N/A</v>
      </c>
    </row>
    <row r="19" spans="1:10" x14ac:dyDescent="0.25">
      <c r="A19" s="195"/>
      <c r="B19" s="42" t="str">
        <f>A19&amp;"-"&amp;IF(DAY(Variables!$A$2)&lt;10,0,"")&amp;DAY(Variables!$A$2)</f>
        <v>-19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Runs'!$A$13:$A$99935,1,FALSE)</f>
        <v>#N/A</v>
      </c>
    </row>
    <row r="20" spans="1:10" x14ac:dyDescent="0.25">
      <c r="A20" s="195"/>
      <c r="B20" s="42" t="str">
        <f>A20&amp;"-"&amp;IF(DAY(Variables!$A$2)&lt;10,0,"")&amp;DAY(Variables!$A$2)</f>
        <v>-19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Runs'!$A$13:$A$99935,1,FALSE)</f>
        <v>#N/A</v>
      </c>
    </row>
    <row r="21" spans="1:10" x14ac:dyDescent="0.25">
      <c r="A21" s="195"/>
      <c r="B21" s="42" t="str">
        <f>A21&amp;"-"&amp;IF(DAY(Variables!$A$2)&lt;10,0,"")&amp;DAY(Variables!$A$2)</f>
        <v>-19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Runs'!$A$13:$A$99935,1,FALSE)</f>
        <v>#N/A</v>
      </c>
    </row>
    <row r="22" spans="1:10" x14ac:dyDescent="0.25">
      <c r="A22" s="195"/>
      <c r="B22" s="42" t="str">
        <f>A22&amp;"-"&amp;IF(DAY(Variables!$A$2)&lt;10,0,"")&amp;DAY(Variables!$A$2)</f>
        <v>-19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Runs'!$A$13:$A$99935,1,FALSE)</f>
        <v>#N/A</v>
      </c>
    </row>
    <row r="23" spans="1:10" x14ac:dyDescent="0.25">
      <c r="A23" s="195"/>
      <c r="B23" s="42" t="str">
        <f>A23&amp;"-"&amp;IF(DAY(Variables!$A$2)&lt;10,0,"")&amp;DAY(Variables!$A$2)</f>
        <v>-19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Runs'!$A$13:$A$99935,1,FALSE)</f>
        <v>#N/A</v>
      </c>
    </row>
    <row r="24" spans="1:10" x14ac:dyDescent="0.25">
      <c r="A24" s="195"/>
      <c r="B24" s="42" t="str">
        <f>A24&amp;"-"&amp;IF(DAY(Variables!$A$2)&lt;10,0,"")&amp;DAY(Variables!$A$2)</f>
        <v>-19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Runs'!$A$13:$A$99935,1,FALSE)</f>
        <v>#N/A</v>
      </c>
    </row>
    <row r="25" spans="1:10" x14ac:dyDescent="0.25">
      <c r="A25" s="195"/>
      <c r="B25" s="42" t="str">
        <f>A25&amp;"-"&amp;IF(DAY(Variables!$A$2)&lt;10,0,"")&amp;DAY(Variables!$A$2)</f>
        <v>-19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Runs'!$A$13:$A$99935,1,FALSE)</f>
        <v>#N/A</v>
      </c>
    </row>
    <row r="26" spans="1:10" x14ac:dyDescent="0.25">
      <c r="A26" s="195"/>
      <c r="B26" s="42" t="str">
        <f>A26&amp;"-"&amp;IF(DAY(Variables!$A$2)&lt;10,0,"")&amp;DAY(Variables!$A$2)</f>
        <v>-19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Runs'!$A$13:$A$99935,1,FALSE)</f>
        <v>#N/A</v>
      </c>
    </row>
    <row r="27" spans="1:10" x14ac:dyDescent="0.25">
      <c r="A27" s="195"/>
      <c r="B27" s="42" t="str">
        <f>A27&amp;"-"&amp;IF(DAY(Variables!$A$2)&lt;10,0,"")&amp;DAY(Variables!$A$2)</f>
        <v>-19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Runs'!$A$13:$A$99935,1,FALSE)</f>
        <v>#N/A</v>
      </c>
    </row>
    <row r="28" spans="1:10" x14ac:dyDescent="0.25">
      <c r="A28" s="195"/>
      <c r="B28" s="42" t="str">
        <f>A28&amp;"-"&amp;IF(DAY(Variables!$A$2)&lt;10,0,"")&amp;DAY(Variables!$A$2)</f>
        <v>-19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Runs'!$A$13:$A$99935,1,FALSE)</f>
        <v>#N/A</v>
      </c>
    </row>
    <row r="29" spans="1:10" x14ac:dyDescent="0.25">
      <c r="A29" s="195"/>
      <c r="B29" s="42" t="str">
        <f>A29&amp;"-"&amp;IF(DAY(Variables!$A$2)&lt;10,0,"")&amp;DAY(Variables!$A$2)</f>
        <v>-19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ref="I29:I4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Runs'!$A$13:$A$99935,1,FALSE)</f>
        <v>#N/A</v>
      </c>
    </row>
    <row r="30" spans="1:10" x14ac:dyDescent="0.25">
      <c r="A30" s="195"/>
      <c r="B30" s="42" t="str">
        <f>A30&amp;"-"&amp;IF(DAY(Variables!$A$2)&lt;10,0,"")&amp;DAY(Variables!$A$2)</f>
        <v>-19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Runs'!$A$13:$A$99935,1,FALSE)</f>
        <v>#N/A</v>
      </c>
    </row>
    <row r="31" spans="1:10" x14ac:dyDescent="0.25">
      <c r="A31" s="195"/>
      <c r="B31" s="42" t="str">
        <f>A31&amp;"-"&amp;IF(DAY(Variables!$A$2)&lt;10,0,"")&amp;DAY(Variables!$A$2)</f>
        <v>-19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Runs'!$A$13:$A$99935,1,FALSE)</f>
        <v>#N/A</v>
      </c>
    </row>
    <row r="32" spans="1:10" x14ac:dyDescent="0.25">
      <c r="A32" s="195"/>
      <c r="B32" s="42" t="str">
        <f>A32&amp;"-"&amp;IF(DAY(Variables!$A$2)&lt;10,0,"")&amp;DAY(Variables!$A$2)</f>
        <v>-19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Runs'!$A$13:$A$99935,1,FALSE)</f>
        <v>#N/A</v>
      </c>
    </row>
    <row r="33" spans="1:10" x14ac:dyDescent="0.25">
      <c r="A33" s="195"/>
      <c r="B33" s="42" t="str">
        <f>A33&amp;"-"&amp;IF(DAY(Variables!$A$2)&lt;10,0,"")&amp;DAY(Variables!$A$2)</f>
        <v>-19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Runs'!$A$13:$A$99935,1,FALSE)</f>
        <v>#N/A</v>
      </c>
    </row>
    <row r="34" spans="1:10" x14ac:dyDescent="0.25">
      <c r="A34" s="195"/>
      <c r="B34" s="42" t="str">
        <f>A34&amp;"-"&amp;IF(DAY(Variables!$A$2)&lt;10,0,"")&amp;DAY(Variables!$A$2)</f>
        <v>-19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Runs'!$A$13:$A$99935,1,FALSE)</f>
        <v>#N/A</v>
      </c>
    </row>
    <row r="35" spans="1:10" x14ac:dyDescent="0.25">
      <c r="A35" s="195"/>
      <c r="B35" s="42" t="str">
        <f>A35&amp;"-"&amp;IF(DAY(Variables!$A$2)&lt;10,0,"")&amp;DAY(Variables!$A$2)</f>
        <v>-19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Runs'!$A$13:$A$99935,1,FALSE)</f>
        <v>#N/A</v>
      </c>
    </row>
    <row r="36" spans="1:10" x14ac:dyDescent="0.25">
      <c r="A36" s="195"/>
      <c r="B36" s="42" t="str">
        <f>A36&amp;"-"&amp;IF(DAY(Variables!$A$2)&lt;10,0,"")&amp;DAY(Variables!$A$2)</f>
        <v>-19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Runs'!$A$13:$A$99935,1,FALSE)</f>
        <v>#N/A</v>
      </c>
    </row>
    <row r="37" spans="1:10" x14ac:dyDescent="0.25">
      <c r="A37" s="195"/>
      <c r="B37" s="42" t="str">
        <f>A37&amp;"-"&amp;IF(DAY(Variables!$A$2)&lt;10,0,"")&amp;DAY(Variables!$A$2)</f>
        <v>-19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Runs'!$A$13:$A$99935,1,FALSE)</f>
        <v>#N/A</v>
      </c>
    </row>
    <row r="38" spans="1:10" x14ac:dyDescent="0.25">
      <c r="A38" s="195"/>
      <c r="B38" s="42" t="str">
        <f>A38&amp;"-"&amp;IF(DAY(Variables!$A$2)&lt;10,0,"")&amp;DAY(Variables!$A$2)</f>
        <v>-19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Runs'!$A$13:$A$99935,1,FALSE)</f>
        <v>#N/A</v>
      </c>
    </row>
    <row r="39" spans="1:10" x14ac:dyDescent="0.25">
      <c r="A39" s="195"/>
      <c r="B39" s="42" t="str">
        <f>A39&amp;"-"&amp;IF(DAY(Variables!$A$2)&lt;10,0,"")&amp;DAY(Variables!$A$2)</f>
        <v>-19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Runs'!$A$13:$A$99935,1,FALSE)</f>
        <v>#N/A</v>
      </c>
    </row>
    <row r="40" spans="1:10" x14ac:dyDescent="0.25">
      <c r="A40" s="195"/>
      <c r="B40" s="42" t="str">
        <f>A40&amp;"-"&amp;IF(DAY(Variables!$A$2)&lt;10,0,"")&amp;DAY(Variables!$A$2)</f>
        <v>-19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Runs'!$A$13:$A$99935,1,FALSE)</f>
        <v>#N/A</v>
      </c>
    </row>
    <row r="41" spans="1:10" x14ac:dyDescent="0.25">
      <c r="A41" s="195"/>
      <c r="B41" s="42" t="str">
        <f>A41&amp;"-"&amp;IF(DAY(Variables!$A$2)&lt;10,0,"")&amp;DAY(Variables!$A$2)</f>
        <v>-19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Runs'!$A$13:$A$99935,1,FALSE)</f>
        <v>#N/A</v>
      </c>
    </row>
    <row r="42" spans="1:10" x14ac:dyDescent="0.25">
      <c r="A42" s="195"/>
      <c r="B42" s="42" t="str">
        <f>A42&amp;"-"&amp;IF(DAY(Variables!$A$2)&lt;10,0,"")&amp;DAY(Variables!$A$2)</f>
        <v>-19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Runs'!$A$13:$A$99935,1,FALSE)</f>
        <v>#N/A</v>
      </c>
    </row>
    <row r="43" spans="1:10" x14ac:dyDescent="0.25">
      <c r="A43" s="195"/>
      <c r="B43" s="42" t="str">
        <f>A43&amp;"-"&amp;IF(DAY(Variables!$A$2)&lt;10,0,"")&amp;DAY(Variables!$A$2)</f>
        <v>-19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Runs'!$A$13:$A$99935,1,FALSE)</f>
        <v>#N/A</v>
      </c>
    </row>
    <row r="44" spans="1:10" x14ac:dyDescent="0.25">
      <c r="A44" s="195"/>
      <c r="B44" s="42" t="str">
        <f>A44&amp;"-"&amp;IF(DAY(Variables!$A$2)&lt;10,0,"")&amp;DAY(Variables!$A$2)</f>
        <v>-19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Runs'!$A$13:$A$99935,1,FALSE)</f>
        <v>#N/A</v>
      </c>
    </row>
    <row r="45" spans="1:10" x14ac:dyDescent="0.25">
      <c r="A45" s="195"/>
      <c r="B45" s="42" t="str">
        <f>A45&amp;"-"&amp;IF(DAY(Variables!$A$2)&lt;10,0,"")&amp;DAY(Variables!$A$2)</f>
        <v>-19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Runs'!$A$13:$A$99935,1,FALSE)</f>
        <v>#N/A</v>
      </c>
    </row>
    <row r="46" spans="1:10" x14ac:dyDescent="0.25">
      <c r="A46" s="195"/>
      <c r="B46" s="42" t="str">
        <f>A46&amp;"-"&amp;IF(DAY(Variables!$A$2)&lt;10,0,"")&amp;DAY(Variables!$A$2)</f>
        <v>-19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Runs'!$A$13:$A$99935,1,FALSE)</f>
        <v>#N/A</v>
      </c>
    </row>
    <row r="47" spans="1:10" x14ac:dyDescent="0.25">
      <c r="A47" s="195"/>
      <c r="B47" s="42" t="str">
        <f>A47&amp;"-"&amp;IF(DAY(Variables!$A$2)&lt;10,0,"")&amp;DAY(Variables!$A$2)</f>
        <v>-19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Runs'!$A$13:$A$99935,1,FALSE)</f>
        <v>#N/A</v>
      </c>
    </row>
    <row r="48" spans="1:10" x14ac:dyDescent="0.25">
      <c r="A48" s="195"/>
      <c r="B48" s="42" t="str">
        <f>A48&amp;"-"&amp;IF(DAY(Variables!$A$2)&lt;10,0,"")&amp;DAY(Variables!$A$2)</f>
        <v>-19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Runs'!$A$13:$A$99935,1,FALSE)</f>
        <v>#N/A</v>
      </c>
    </row>
    <row r="49" spans="1:10" x14ac:dyDescent="0.25">
      <c r="A49" s="195"/>
      <c r="B49" s="42" t="str">
        <f>A49&amp;"-"&amp;IF(DAY(Variables!$A$2)&lt;10,0,"")&amp;DAY(Variables!$A$2)</f>
        <v>-19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Runs'!$A$13:$A$99935,1,FALSE)</f>
        <v>#N/A</v>
      </c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</sheetData>
  <autoFilter ref="A2:J57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42905.034687500003</v>
      </c>
      <c r="B2" s="20" t="s">
        <v>524</v>
      </c>
      <c r="C2" s="20" t="s">
        <v>575</v>
      </c>
      <c r="D2" s="138">
        <v>2620000</v>
      </c>
      <c r="E2" s="20" t="s">
        <v>528</v>
      </c>
      <c r="F2" s="20" t="s">
        <v>529</v>
      </c>
      <c r="G2" s="8" t="str">
        <f>E2&amp;" "&amp;F2</f>
        <v>PERKINS DARREN</v>
      </c>
    </row>
    <row r="3" spans="1:7" x14ac:dyDescent="0.25">
      <c r="A3" s="8">
        <v>42905.047800925924</v>
      </c>
      <c r="B3" s="20" t="s">
        <v>461</v>
      </c>
      <c r="C3" s="20" t="s">
        <v>576</v>
      </c>
      <c r="D3" s="138">
        <v>2230000</v>
      </c>
      <c r="E3" s="20" t="s">
        <v>342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42905.05673611111</v>
      </c>
      <c r="B4" s="20" t="s">
        <v>495</v>
      </c>
      <c r="C4" s="20" t="s">
        <v>577</v>
      </c>
      <c r="D4" s="138">
        <v>3130000</v>
      </c>
      <c r="E4" s="20" t="s">
        <v>384</v>
      </c>
      <c r="F4" s="20" t="s">
        <v>385</v>
      </c>
      <c r="G4" s="8" t="str">
        <f t="shared" si="0"/>
        <v>ZEWDU DEREJE</v>
      </c>
    </row>
    <row r="5" spans="1:7" x14ac:dyDescent="0.25">
      <c r="A5" s="8">
        <v>42905.068692129629</v>
      </c>
      <c r="B5" s="20" t="s">
        <v>357</v>
      </c>
      <c r="C5" s="20" t="s">
        <v>578</v>
      </c>
      <c r="D5" s="138">
        <v>2620000</v>
      </c>
      <c r="E5" s="20" t="s">
        <v>528</v>
      </c>
      <c r="F5" s="20" t="s">
        <v>529</v>
      </c>
      <c r="G5" s="8" t="str">
        <f t="shared" si="0"/>
        <v>PERKINS DARREN</v>
      </c>
    </row>
    <row r="6" spans="1:7" x14ac:dyDescent="0.25">
      <c r="A6" s="8">
        <v>42905.090439814812</v>
      </c>
      <c r="B6" s="20" t="s">
        <v>497</v>
      </c>
      <c r="C6" s="20" t="s">
        <v>579</v>
      </c>
      <c r="D6" s="138">
        <v>3130000</v>
      </c>
      <c r="E6" s="20" t="s">
        <v>384</v>
      </c>
      <c r="F6" s="20" t="s">
        <v>385</v>
      </c>
      <c r="G6" s="8" t="str">
        <f t="shared" si="0"/>
        <v>ZEWDU DEREJE</v>
      </c>
    </row>
    <row r="7" spans="1:7" x14ac:dyDescent="0.25">
      <c r="A7" s="8">
        <v>42905.113553240742</v>
      </c>
      <c r="B7" s="20" t="s">
        <v>397</v>
      </c>
      <c r="C7" s="20" t="s">
        <v>580</v>
      </c>
      <c r="D7" s="138">
        <v>2010000</v>
      </c>
      <c r="E7" s="20" t="s">
        <v>558</v>
      </c>
      <c r="F7" s="20" t="s">
        <v>559</v>
      </c>
      <c r="G7" s="8" t="str">
        <f t="shared" si="0"/>
        <v>MAELZER KURT</v>
      </c>
    </row>
    <row r="8" spans="1:7" x14ac:dyDescent="0.25">
      <c r="A8" s="8">
        <v>42905.126967592594</v>
      </c>
      <c r="B8" s="20" t="s">
        <v>654</v>
      </c>
      <c r="C8" s="20" t="s">
        <v>655</v>
      </c>
      <c r="D8" s="138">
        <v>2010000</v>
      </c>
      <c r="E8" s="20" t="s">
        <v>558</v>
      </c>
      <c r="F8" s="20" t="s">
        <v>559</v>
      </c>
      <c r="G8" s="8" t="str">
        <f t="shared" si="0"/>
        <v>MAELZER KURT</v>
      </c>
    </row>
    <row r="9" spans="1:7" ht="15.75" thickBot="1" x14ac:dyDescent="0.3">
      <c r="A9" s="24">
        <v>42905.134548611109</v>
      </c>
      <c r="B9" s="20" t="s">
        <v>525</v>
      </c>
      <c r="C9" s="20" t="s">
        <v>656</v>
      </c>
      <c r="D9" s="138">
        <v>1230000</v>
      </c>
      <c r="E9" s="20" t="s">
        <v>657</v>
      </c>
      <c r="F9" s="20" t="s">
        <v>658</v>
      </c>
      <c r="G9" s="8" t="str">
        <f t="shared" si="0"/>
        <v>YANAI IAN</v>
      </c>
    </row>
    <row r="10" spans="1:7" x14ac:dyDescent="0.25">
      <c r="A10" s="8">
        <v>42905.136886574073</v>
      </c>
      <c r="B10" s="20" t="s">
        <v>398</v>
      </c>
      <c r="C10" s="20" t="s">
        <v>659</v>
      </c>
      <c r="D10" s="138">
        <v>1200000</v>
      </c>
      <c r="E10" s="20" t="s">
        <v>660</v>
      </c>
      <c r="F10" s="20" t="s">
        <v>661</v>
      </c>
      <c r="G10" s="8" t="str">
        <f t="shared" si="0"/>
        <v>CUSHING HARRY</v>
      </c>
    </row>
    <row r="11" spans="1:7" x14ac:dyDescent="0.25">
      <c r="A11" s="8">
        <v>42905.142199074071</v>
      </c>
      <c r="B11" s="20" t="s">
        <v>397</v>
      </c>
      <c r="C11" s="20" t="s">
        <v>662</v>
      </c>
      <c r="D11" s="138">
        <v>1200000</v>
      </c>
      <c r="E11" s="20" t="s">
        <v>660</v>
      </c>
      <c r="F11" s="20" t="s">
        <v>661</v>
      </c>
      <c r="G11" s="8" t="str">
        <f t="shared" si="0"/>
        <v>CUSHING HARRY</v>
      </c>
    </row>
    <row r="12" spans="1:7" x14ac:dyDescent="0.25">
      <c r="A12" s="8">
        <v>42905.145914351851</v>
      </c>
      <c r="B12" s="20" t="s">
        <v>400</v>
      </c>
      <c r="C12" s="20" t="s">
        <v>618</v>
      </c>
      <c r="D12" s="138">
        <v>1230000</v>
      </c>
      <c r="E12" s="20" t="s">
        <v>657</v>
      </c>
      <c r="F12" s="20" t="s">
        <v>658</v>
      </c>
      <c r="G12" s="8" t="str">
        <f t="shared" si="0"/>
        <v>YANAI IAN</v>
      </c>
    </row>
    <row r="13" spans="1:7" x14ac:dyDescent="0.25">
      <c r="A13" s="8">
        <v>42905.160069444442</v>
      </c>
      <c r="B13" s="20" t="s">
        <v>620</v>
      </c>
      <c r="C13" s="20" t="s">
        <v>663</v>
      </c>
      <c r="D13" s="138">
        <v>1110000</v>
      </c>
      <c r="E13" s="20" t="s">
        <v>465</v>
      </c>
      <c r="F13" s="20" t="s">
        <v>466</v>
      </c>
      <c r="G13" s="8" t="str">
        <f t="shared" si="0"/>
        <v>STARKS ANGELINA</v>
      </c>
    </row>
    <row r="14" spans="1:7" x14ac:dyDescent="0.25">
      <c r="A14" s="8">
        <v>42905.168900462966</v>
      </c>
      <c r="B14" s="20" t="s">
        <v>629</v>
      </c>
      <c r="C14" s="20" t="s">
        <v>664</v>
      </c>
      <c r="D14" s="138">
        <v>2010000</v>
      </c>
      <c r="E14" s="20" t="s">
        <v>558</v>
      </c>
      <c r="F14" s="20" t="s">
        <v>559</v>
      </c>
      <c r="G14" s="8" t="str">
        <f t="shared" si="0"/>
        <v>MAELZER KURT</v>
      </c>
    </row>
    <row r="15" spans="1:7" x14ac:dyDescent="0.25">
      <c r="A15" s="8">
        <v>42905.170775462961</v>
      </c>
      <c r="B15" s="20" t="s">
        <v>420</v>
      </c>
      <c r="C15" s="20" t="s">
        <v>619</v>
      </c>
      <c r="D15" s="138">
        <v>2530000</v>
      </c>
      <c r="E15" s="20" t="s">
        <v>560</v>
      </c>
      <c r="F15" s="20" t="s">
        <v>561</v>
      </c>
      <c r="G15" s="8" t="str">
        <f t="shared" si="0"/>
        <v>LALONDE GREGORY</v>
      </c>
    </row>
    <row r="16" spans="1:7" x14ac:dyDescent="0.25">
      <c r="A16" s="8">
        <v>42905.174791666665</v>
      </c>
      <c r="B16" s="20" t="s">
        <v>638</v>
      </c>
      <c r="C16" s="20" t="s">
        <v>665</v>
      </c>
      <c r="D16" s="138">
        <v>3040000</v>
      </c>
      <c r="E16" s="20" t="s">
        <v>382</v>
      </c>
      <c r="F16" s="20" t="s">
        <v>383</v>
      </c>
      <c r="G16" s="8" t="str">
        <f t="shared" si="0"/>
        <v>WILLIAMS DONTE</v>
      </c>
    </row>
    <row r="17" spans="1:7" x14ac:dyDescent="0.25">
      <c r="A17" s="8">
        <v>42905.175509259258</v>
      </c>
      <c r="B17" s="20" t="s">
        <v>399</v>
      </c>
      <c r="C17" s="20" t="s">
        <v>666</v>
      </c>
      <c r="D17" s="138">
        <v>1110000</v>
      </c>
      <c r="E17" s="20" t="s">
        <v>465</v>
      </c>
      <c r="F17" s="20" t="s">
        <v>466</v>
      </c>
      <c r="G17" s="8" t="str">
        <f t="shared" si="0"/>
        <v>STARKS ANGELINA</v>
      </c>
    </row>
    <row r="18" spans="1:7" x14ac:dyDescent="0.25">
      <c r="A18" s="8">
        <v>42905.182812500003</v>
      </c>
      <c r="B18" s="20" t="s">
        <v>424</v>
      </c>
      <c r="C18" s="20" t="s">
        <v>667</v>
      </c>
      <c r="D18" s="138">
        <v>2530000</v>
      </c>
      <c r="E18" s="20" t="s">
        <v>560</v>
      </c>
      <c r="F18" s="20" t="s">
        <v>561</v>
      </c>
      <c r="G18" s="8" t="str">
        <f t="shared" si="0"/>
        <v>LALONDE GREGORY</v>
      </c>
    </row>
    <row r="19" spans="1:7" x14ac:dyDescent="0.25">
      <c r="A19" s="8">
        <v>42905.183946759258</v>
      </c>
      <c r="B19" s="20" t="s">
        <v>525</v>
      </c>
      <c r="C19" s="20" t="s">
        <v>668</v>
      </c>
      <c r="D19" s="138">
        <v>1230000</v>
      </c>
      <c r="E19" s="20" t="s">
        <v>657</v>
      </c>
      <c r="F19" s="20" t="s">
        <v>658</v>
      </c>
      <c r="G19" s="8" t="str">
        <f t="shared" si="0"/>
        <v>YANAI IAN</v>
      </c>
    </row>
    <row r="20" spans="1:7" x14ac:dyDescent="0.25">
      <c r="A20" s="8">
        <v>42905.192754629628</v>
      </c>
      <c r="B20" s="20" t="s">
        <v>669</v>
      </c>
      <c r="C20" s="20" t="s">
        <v>670</v>
      </c>
      <c r="D20" s="138">
        <v>3040000</v>
      </c>
      <c r="E20" s="20" t="s">
        <v>382</v>
      </c>
      <c r="F20" s="20" t="s">
        <v>383</v>
      </c>
      <c r="G20" s="8" t="str">
        <f t="shared" si="0"/>
        <v>WILLIAMS DONTE</v>
      </c>
    </row>
    <row r="21" spans="1:7" x14ac:dyDescent="0.25">
      <c r="A21" s="8">
        <v>42905.200486111113</v>
      </c>
      <c r="B21" s="20" t="s">
        <v>635</v>
      </c>
      <c r="C21" s="20" t="s">
        <v>671</v>
      </c>
      <c r="D21" s="138">
        <v>1540000</v>
      </c>
      <c r="E21" s="20" t="s">
        <v>672</v>
      </c>
      <c r="F21" s="20" t="s">
        <v>673</v>
      </c>
      <c r="G21" s="8" t="str">
        <f t="shared" si="0"/>
        <v>HELVIE ADAM</v>
      </c>
    </row>
    <row r="22" spans="1:7" x14ac:dyDescent="0.25">
      <c r="A22" s="26">
        <v>42905.204247685186</v>
      </c>
      <c r="B22" s="20" t="s">
        <v>654</v>
      </c>
      <c r="C22" s="20" t="s">
        <v>674</v>
      </c>
      <c r="D22" s="138">
        <v>2010000</v>
      </c>
      <c r="E22" s="20" t="s">
        <v>558</v>
      </c>
      <c r="F22" s="20" t="s">
        <v>559</v>
      </c>
      <c r="G22" s="8" t="str">
        <f t="shared" si="0"/>
        <v>MAELZER KURT</v>
      </c>
    </row>
    <row r="23" spans="1:7" x14ac:dyDescent="0.25">
      <c r="A23" s="8">
        <v>42905.205763888887</v>
      </c>
      <c r="B23" s="20" t="s">
        <v>620</v>
      </c>
      <c r="C23" s="20" t="s">
        <v>675</v>
      </c>
      <c r="D23" s="138">
        <v>1110000</v>
      </c>
      <c r="E23" s="20" t="s">
        <v>465</v>
      </c>
      <c r="F23" s="20" t="s">
        <v>466</v>
      </c>
      <c r="G23" s="8" t="str">
        <f t="shared" si="0"/>
        <v>STARKS ANGELINA</v>
      </c>
    </row>
    <row r="24" spans="1:7" x14ac:dyDescent="0.25">
      <c r="A24" s="8">
        <v>42905.20758101852</v>
      </c>
      <c r="B24" s="20" t="s">
        <v>477</v>
      </c>
      <c r="C24" s="20" t="s">
        <v>676</v>
      </c>
      <c r="D24" s="138">
        <v>2600000</v>
      </c>
      <c r="E24" s="20" t="s">
        <v>562</v>
      </c>
      <c r="F24" s="20" t="s">
        <v>563</v>
      </c>
      <c r="G24" s="8" t="str">
        <f t="shared" si="0"/>
        <v>DAVIDSON DAVID</v>
      </c>
    </row>
    <row r="25" spans="1:7" x14ac:dyDescent="0.25">
      <c r="A25" s="8">
        <v>42905.212071759262</v>
      </c>
      <c r="B25" s="20" t="s">
        <v>626</v>
      </c>
      <c r="C25" s="20" t="s">
        <v>677</v>
      </c>
      <c r="D25" s="138">
        <v>1540000</v>
      </c>
      <c r="E25" s="20" t="s">
        <v>672</v>
      </c>
      <c r="F25" s="20" t="s">
        <v>673</v>
      </c>
      <c r="G25" s="8" t="str">
        <f t="shared" si="0"/>
        <v>HELVIE ADAM</v>
      </c>
    </row>
    <row r="26" spans="1:7" x14ac:dyDescent="0.25">
      <c r="A26" s="8">
        <v>42905.217523148145</v>
      </c>
      <c r="B26" s="20" t="s">
        <v>476</v>
      </c>
      <c r="C26" s="20" t="s">
        <v>678</v>
      </c>
      <c r="D26" s="138">
        <v>2600000</v>
      </c>
      <c r="E26" s="20" t="s">
        <v>562</v>
      </c>
      <c r="F26" s="20" t="s">
        <v>563</v>
      </c>
      <c r="G26" s="8" t="str">
        <f t="shared" si="0"/>
        <v>DAVIDSON DAVID</v>
      </c>
    </row>
    <row r="27" spans="1:7" x14ac:dyDescent="0.25">
      <c r="A27" s="8">
        <v>42905.217662037037</v>
      </c>
      <c r="B27" s="20" t="s">
        <v>420</v>
      </c>
      <c r="C27" s="20" t="s">
        <v>679</v>
      </c>
      <c r="D27" s="138">
        <v>2530000</v>
      </c>
      <c r="E27" s="20" t="s">
        <v>560</v>
      </c>
      <c r="F27" s="20" t="s">
        <v>561</v>
      </c>
      <c r="G27" s="8" t="str">
        <f t="shared" si="0"/>
        <v>LALONDE GREGORY</v>
      </c>
    </row>
    <row r="28" spans="1:7" x14ac:dyDescent="0.25">
      <c r="A28" s="8">
        <v>42905.224849537037</v>
      </c>
      <c r="B28" s="20" t="s">
        <v>400</v>
      </c>
      <c r="C28" s="20" t="s">
        <v>680</v>
      </c>
      <c r="D28" s="138">
        <v>1230000</v>
      </c>
      <c r="E28" s="20" t="s">
        <v>657</v>
      </c>
      <c r="F28" s="20" t="s">
        <v>658</v>
      </c>
      <c r="G28" s="8" t="str">
        <f t="shared" si="0"/>
        <v>YANAI IAN</v>
      </c>
    </row>
    <row r="29" spans="1:7" x14ac:dyDescent="0.25">
      <c r="A29" s="8">
        <v>42905.226793981485</v>
      </c>
      <c r="B29" s="20" t="s">
        <v>446</v>
      </c>
      <c r="C29" s="20" t="s">
        <v>681</v>
      </c>
      <c r="D29" s="138">
        <v>2560000</v>
      </c>
      <c r="E29" s="20" t="s">
        <v>564</v>
      </c>
      <c r="F29" s="20" t="s">
        <v>366</v>
      </c>
      <c r="G29" s="8" t="str">
        <f t="shared" si="0"/>
        <v>MACDONALD THOMAS</v>
      </c>
    </row>
    <row r="30" spans="1:7" x14ac:dyDescent="0.25">
      <c r="A30" s="8">
        <v>42905.227824074071</v>
      </c>
      <c r="B30" s="20" t="s">
        <v>638</v>
      </c>
      <c r="C30" s="20" t="s">
        <v>682</v>
      </c>
      <c r="D30" s="138">
        <v>3040000</v>
      </c>
      <c r="E30" s="20" t="s">
        <v>382</v>
      </c>
      <c r="F30" s="20" t="s">
        <v>383</v>
      </c>
      <c r="G30" s="8" t="str">
        <f t="shared" si="0"/>
        <v>WILLIAMS DONTE</v>
      </c>
    </row>
    <row r="31" spans="1:7" x14ac:dyDescent="0.25">
      <c r="A31" s="8">
        <v>42905.23060185185</v>
      </c>
      <c r="B31" s="20" t="s">
        <v>477</v>
      </c>
      <c r="C31" s="20" t="s">
        <v>683</v>
      </c>
      <c r="D31" s="138">
        <v>2600000</v>
      </c>
      <c r="E31" s="20" t="s">
        <v>562</v>
      </c>
      <c r="F31" s="20" t="s">
        <v>563</v>
      </c>
      <c r="G31" s="8" t="str">
        <f t="shared" si="0"/>
        <v>DAVIDSON DAVID</v>
      </c>
    </row>
    <row r="32" spans="1:7" x14ac:dyDescent="0.25">
      <c r="A32" s="8">
        <v>42905.238437499997</v>
      </c>
      <c r="B32" s="20" t="s">
        <v>445</v>
      </c>
      <c r="C32" s="20" t="s">
        <v>684</v>
      </c>
      <c r="D32" s="138">
        <v>2560000</v>
      </c>
      <c r="E32" s="20" t="s">
        <v>564</v>
      </c>
      <c r="F32" s="20" t="s">
        <v>366</v>
      </c>
      <c r="G32" s="8" t="str">
        <f t="shared" si="0"/>
        <v>MACDONALD THOMAS</v>
      </c>
    </row>
    <row r="33" spans="1:7" x14ac:dyDescent="0.25">
      <c r="A33" s="8">
        <v>42905.239305555559</v>
      </c>
      <c r="B33" s="20" t="s">
        <v>629</v>
      </c>
      <c r="C33" s="20" t="s">
        <v>685</v>
      </c>
      <c r="D33" s="138">
        <v>2010000</v>
      </c>
      <c r="E33" s="20" t="s">
        <v>558</v>
      </c>
      <c r="F33" s="20" t="s">
        <v>559</v>
      </c>
      <c r="G33" s="8" t="str">
        <f t="shared" si="0"/>
        <v>MAELZER KURT</v>
      </c>
    </row>
    <row r="34" spans="1:7" x14ac:dyDescent="0.25">
      <c r="A34" s="8">
        <v>42905.246562499997</v>
      </c>
      <c r="B34" s="20" t="s">
        <v>399</v>
      </c>
      <c r="C34" s="20" t="s">
        <v>686</v>
      </c>
      <c r="D34" s="138">
        <v>1110000</v>
      </c>
      <c r="E34" s="20" t="s">
        <v>465</v>
      </c>
      <c r="F34" s="20" t="s">
        <v>466</v>
      </c>
      <c r="G34" s="8" t="str">
        <f t="shared" si="0"/>
        <v>STARKS ANGELINA</v>
      </c>
    </row>
    <row r="35" spans="1:7" x14ac:dyDescent="0.25">
      <c r="A35" s="8">
        <v>42905.251550925925</v>
      </c>
      <c r="B35" s="20" t="s">
        <v>479</v>
      </c>
      <c r="C35" s="20" t="s">
        <v>687</v>
      </c>
      <c r="D35" s="138">
        <v>890000</v>
      </c>
      <c r="E35" s="20" t="s">
        <v>688</v>
      </c>
      <c r="F35" s="20" t="s">
        <v>689</v>
      </c>
      <c r="G35" s="8" t="str">
        <f t="shared" si="0"/>
        <v>LOZA FIDEL</v>
      </c>
    </row>
    <row r="36" spans="1:7" x14ac:dyDescent="0.25">
      <c r="A36" s="8">
        <v>42905.255069444444</v>
      </c>
      <c r="B36" s="20" t="s">
        <v>476</v>
      </c>
      <c r="C36" s="20" t="s">
        <v>690</v>
      </c>
      <c r="D36" s="138">
        <v>2600000</v>
      </c>
      <c r="E36" s="20" t="s">
        <v>562</v>
      </c>
      <c r="F36" s="20" t="s">
        <v>563</v>
      </c>
      <c r="G36" s="8" t="str">
        <f t="shared" si="0"/>
        <v>DAVIDSON DAVID</v>
      </c>
    </row>
    <row r="37" spans="1:7" x14ac:dyDescent="0.25">
      <c r="A37" s="8">
        <v>42905.255115740743</v>
      </c>
      <c r="B37" s="20" t="s">
        <v>635</v>
      </c>
      <c r="C37" s="20" t="s">
        <v>691</v>
      </c>
      <c r="D37" s="138">
        <v>1540000</v>
      </c>
      <c r="E37" s="20" t="s">
        <v>672</v>
      </c>
      <c r="F37" s="20" t="s">
        <v>673</v>
      </c>
      <c r="G37" s="8" t="str">
        <f t="shared" si="0"/>
        <v>HELVIE ADAM</v>
      </c>
    </row>
    <row r="38" spans="1:7" x14ac:dyDescent="0.25">
      <c r="A38" s="8">
        <v>42905.256018518521</v>
      </c>
      <c r="B38" s="20" t="s">
        <v>424</v>
      </c>
      <c r="C38" s="20" t="s">
        <v>692</v>
      </c>
      <c r="D38" s="138">
        <v>2530000</v>
      </c>
      <c r="E38" s="20" t="s">
        <v>560</v>
      </c>
      <c r="F38" s="20" t="s">
        <v>561</v>
      </c>
      <c r="G38" s="8" t="str">
        <f t="shared" si="0"/>
        <v>LALONDE GREGORY</v>
      </c>
    </row>
    <row r="39" spans="1:7" x14ac:dyDescent="0.25">
      <c r="A39" s="8">
        <v>42905.256249999999</v>
      </c>
      <c r="B39" s="20" t="s">
        <v>525</v>
      </c>
      <c r="C39" s="20" t="s">
        <v>693</v>
      </c>
      <c r="D39" s="138">
        <v>1230000</v>
      </c>
      <c r="E39" s="20" t="s">
        <v>657</v>
      </c>
      <c r="F39" s="20" t="s">
        <v>658</v>
      </c>
      <c r="G39" s="8" t="str">
        <f t="shared" si="0"/>
        <v>YANAI IAN</v>
      </c>
    </row>
    <row r="40" spans="1:7" x14ac:dyDescent="0.25">
      <c r="A40" s="8">
        <v>42905.263425925928</v>
      </c>
      <c r="B40" s="25" t="s">
        <v>478</v>
      </c>
      <c r="C40" s="20" t="s">
        <v>694</v>
      </c>
      <c r="D40" s="138">
        <v>890000</v>
      </c>
      <c r="E40" s="20" t="s">
        <v>688</v>
      </c>
      <c r="F40" s="20" t="s">
        <v>689</v>
      </c>
      <c r="G40" s="8" t="str">
        <f t="shared" si="0"/>
        <v>LOZA FIDEL</v>
      </c>
    </row>
    <row r="41" spans="1:7" x14ac:dyDescent="0.25">
      <c r="A41" s="8">
        <v>42905.270277777781</v>
      </c>
      <c r="B41" s="20" t="s">
        <v>669</v>
      </c>
      <c r="C41" s="20" t="s">
        <v>695</v>
      </c>
      <c r="D41" s="138">
        <v>3040000</v>
      </c>
      <c r="E41" s="20" t="s">
        <v>382</v>
      </c>
      <c r="F41" s="20" t="s">
        <v>383</v>
      </c>
      <c r="G41" s="8" t="str">
        <f t="shared" si="0"/>
        <v>WILLIAMS DONTE</v>
      </c>
    </row>
    <row r="42" spans="1:7" x14ac:dyDescent="0.25">
      <c r="A42" s="8">
        <v>42905.270624999997</v>
      </c>
      <c r="B42" s="20" t="s">
        <v>477</v>
      </c>
      <c r="C42" s="20" t="s">
        <v>696</v>
      </c>
      <c r="D42" s="138">
        <v>2600000</v>
      </c>
      <c r="E42" s="20" t="s">
        <v>562</v>
      </c>
      <c r="F42" s="20" t="s">
        <v>563</v>
      </c>
      <c r="G42" s="8" t="str">
        <f t="shared" si="0"/>
        <v>DAVIDSON DAVID</v>
      </c>
    </row>
    <row r="43" spans="1:7" x14ac:dyDescent="0.25">
      <c r="A43" s="8">
        <v>42905.275879629633</v>
      </c>
      <c r="B43" s="20" t="s">
        <v>479</v>
      </c>
      <c r="C43" s="20" t="s">
        <v>697</v>
      </c>
      <c r="D43" s="138">
        <v>890000</v>
      </c>
      <c r="E43" s="20" t="s">
        <v>688</v>
      </c>
      <c r="F43" s="20" t="s">
        <v>689</v>
      </c>
      <c r="G43" s="8" t="str">
        <f t="shared" si="0"/>
        <v>LOZA FIDEL</v>
      </c>
    </row>
    <row r="44" spans="1:7" x14ac:dyDescent="0.25">
      <c r="A44" s="8">
        <v>42905.277858796297</v>
      </c>
      <c r="B44" s="20" t="s">
        <v>446</v>
      </c>
      <c r="C44" s="20" t="s">
        <v>698</v>
      </c>
      <c r="D44" s="138">
        <v>2560000</v>
      </c>
      <c r="E44" s="20" t="s">
        <v>564</v>
      </c>
      <c r="F44" s="20" t="s">
        <v>366</v>
      </c>
      <c r="G44" s="8" t="str">
        <f t="shared" si="0"/>
        <v>MACDONALD THOMAS</v>
      </c>
    </row>
    <row r="45" spans="1:7" x14ac:dyDescent="0.25">
      <c r="A45" s="8">
        <v>42905.279467592591</v>
      </c>
      <c r="B45" s="20" t="s">
        <v>654</v>
      </c>
      <c r="C45" s="20" t="s">
        <v>699</v>
      </c>
      <c r="D45" s="138">
        <v>2010000</v>
      </c>
      <c r="E45" s="20" t="s">
        <v>558</v>
      </c>
      <c r="F45" s="20" t="s">
        <v>559</v>
      </c>
      <c r="G45" s="8" t="str">
        <f t="shared" si="0"/>
        <v>MAELZER KURT</v>
      </c>
    </row>
    <row r="46" spans="1:7" x14ac:dyDescent="0.25">
      <c r="A46" s="8">
        <v>42905.287835648145</v>
      </c>
      <c r="B46" s="20" t="s">
        <v>420</v>
      </c>
      <c r="C46" s="20" t="s">
        <v>700</v>
      </c>
      <c r="D46" s="138">
        <v>2530000</v>
      </c>
      <c r="E46" s="20" t="s">
        <v>560</v>
      </c>
      <c r="F46" s="20" t="s">
        <v>561</v>
      </c>
      <c r="G46" s="8" t="str">
        <f t="shared" si="0"/>
        <v>LALONDE GREGORY</v>
      </c>
    </row>
    <row r="47" spans="1:7" x14ac:dyDescent="0.25">
      <c r="A47" s="8">
        <v>42905.288043981483</v>
      </c>
      <c r="B47" s="20" t="s">
        <v>620</v>
      </c>
      <c r="C47" s="20" t="s">
        <v>621</v>
      </c>
      <c r="D47" s="138">
        <v>1110000</v>
      </c>
      <c r="E47" s="20" t="s">
        <v>465</v>
      </c>
      <c r="F47" s="20" t="s">
        <v>466</v>
      </c>
      <c r="G47" s="8" t="str">
        <f t="shared" si="0"/>
        <v>STARKS ANGELINA</v>
      </c>
    </row>
    <row r="48" spans="1:7" x14ac:dyDescent="0.25">
      <c r="A48" s="8">
        <v>42905.28979166667</v>
      </c>
      <c r="B48" s="20" t="s">
        <v>626</v>
      </c>
      <c r="C48" s="20" t="s">
        <v>701</v>
      </c>
      <c r="D48" s="138">
        <v>1540000</v>
      </c>
      <c r="E48" s="20" t="s">
        <v>672</v>
      </c>
      <c r="F48" s="20" t="s">
        <v>673</v>
      </c>
      <c r="G48" s="8" t="str">
        <f t="shared" si="0"/>
        <v>HELVIE ADAM</v>
      </c>
    </row>
    <row r="49" spans="1:7" x14ac:dyDescent="0.25">
      <c r="A49" s="8">
        <v>42905.296736111108</v>
      </c>
      <c r="B49" s="20" t="s">
        <v>476</v>
      </c>
      <c r="C49" s="20" t="s">
        <v>623</v>
      </c>
      <c r="D49" s="138">
        <v>2600000</v>
      </c>
      <c r="E49" s="20" t="s">
        <v>562</v>
      </c>
      <c r="F49" s="20" t="s">
        <v>563</v>
      </c>
      <c r="G49" s="8" t="str">
        <f t="shared" si="0"/>
        <v>DAVIDSON DAVID</v>
      </c>
    </row>
    <row r="50" spans="1:7" x14ac:dyDescent="0.25">
      <c r="A50" s="8">
        <v>42905.297337962962</v>
      </c>
      <c r="B50" s="20" t="s">
        <v>400</v>
      </c>
      <c r="C50" s="20" t="s">
        <v>622</v>
      </c>
      <c r="D50" s="138">
        <v>1230000</v>
      </c>
      <c r="E50" s="20" t="s">
        <v>657</v>
      </c>
      <c r="F50" s="20" t="s">
        <v>658</v>
      </c>
      <c r="G50" s="8" t="str">
        <f t="shared" si="0"/>
        <v>YANAI IAN</v>
      </c>
    </row>
    <row r="51" spans="1:7" x14ac:dyDescent="0.25">
      <c r="A51" s="8">
        <v>42905.300046296295</v>
      </c>
      <c r="B51" s="20" t="s">
        <v>638</v>
      </c>
      <c r="C51" s="20" t="s">
        <v>702</v>
      </c>
      <c r="D51" s="138">
        <v>3040000</v>
      </c>
      <c r="E51" s="20" t="s">
        <v>382</v>
      </c>
      <c r="F51" s="20" t="s">
        <v>383</v>
      </c>
      <c r="G51" s="8" t="str">
        <f t="shared" si="0"/>
        <v>WILLIAMS DONTE</v>
      </c>
    </row>
    <row r="52" spans="1:7" x14ac:dyDescent="0.25">
      <c r="A52" s="8">
        <v>42905.304386574076</v>
      </c>
      <c r="B52" s="20" t="s">
        <v>478</v>
      </c>
      <c r="C52" s="20" t="s">
        <v>703</v>
      </c>
      <c r="D52" s="138">
        <v>890000</v>
      </c>
      <c r="E52" s="20" t="s">
        <v>688</v>
      </c>
      <c r="F52" s="20" t="s">
        <v>689</v>
      </c>
      <c r="G52" s="8" t="str">
        <f t="shared" si="0"/>
        <v>LOZA FIDEL</v>
      </c>
    </row>
    <row r="53" spans="1:7" x14ac:dyDescent="0.25">
      <c r="A53" s="8">
        <v>42905.307314814818</v>
      </c>
      <c r="B53" s="20" t="s">
        <v>445</v>
      </c>
      <c r="C53" s="20" t="s">
        <v>624</v>
      </c>
      <c r="D53" s="138">
        <v>2560000</v>
      </c>
      <c r="E53" s="20" t="s">
        <v>564</v>
      </c>
      <c r="F53" s="20" t="s">
        <v>366</v>
      </c>
      <c r="G53" s="8" t="str">
        <f t="shared" si="0"/>
        <v>MACDONALD THOMAS</v>
      </c>
    </row>
    <row r="54" spans="1:7" x14ac:dyDescent="0.25">
      <c r="A54" s="8">
        <v>42905.312581018516</v>
      </c>
      <c r="B54" s="20" t="s">
        <v>477</v>
      </c>
      <c r="C54" s="20" t="s">
        <v>704</v>
      </c>
      <c r="D54" s="138">
        <v>2600000</v>
      </c>
      <c r="E54" s="20" t="s">
        <v>562</v>
      </c>
      <c r="F54" s="20" t="s">
        <v>563</v>
      </c>
      <c r="G54" s="8" t="str">
        <f t="shared" si="0"/>
        <v>DAVIDSON DAVID</v>
      </c>
    </row>
    <row r="55" spans="1:7" x14ac:dyDescent="0.25">
      <c r="A55" s="8">
        <v>42905.314675925925</v>
      </c>
      <c r="B55" s="20" t="s">
        <v>629</v>
      </c>
      <c r="C55" s="20" t="s">
        <v>705</v>
      </c>
      <c r="D55" s="138">
        <v>2010000</v>
      </c>
      <c r="E55" s="20" t="s">
        <v>558</v>
      </c>
      <c r="F55" s="20" t="s">
        <v>559</v>
      </c>
      <c r="G55" s="8" t="str">
        <f t="shared" si="0"/>
        <v>MAELZER KURT</v>
      </c>
    </row>
    <row r="56" spans="1:7" x14ac:dyDescent="0.25">
      <c r="A56" s="8">
        <v>42905.31826388889</v>
      </c>
      <c r="B56" s="20" t="s">
        <v>479</v>
      </c>
      <c r="C56" s="20" t="s">
        <v>706</v>
      </c>
      <c r="D56" s="138">
        <v>890000</v>
      </c>
      <c r="E56" s="20" t="s">
        <v>688</v>
      </c>
      <c r="F56" s="20" t="s">
        <v>689</v>
      </c>
      <c r="G56" s="8" t="str">
        <f t="shared" si="0"/>
        <v>LOZA FIDEL</v>
      </c>
    </row>
    <row r="57" spans="1:7" x14ac:dyDescent="0.25">
      <c r="A57" s="8">
        <v>42905.321550925924</v>
      </c>
      <c r="B57" s="20" t="s">
        <v>399</v>
      </c>
      <c r="C57" s="20" t="s">
        <v>707</v>
      </c>
      <c r="D57" s="138">
        <v>1110000</v>
      </c>
      <c r="E57" s="20" t="s">
        <v>465</v>
      </c>
      <c r="F57" s="20" t="s">
        <v>466</v>
      </c>
      <c r="G57" s="8" t="str">
        <f t="shared" si="0"/>
        <v>STARKS ANGELINA</v>
      </c>
    </row>
    <row r="58" spans="1:7" x14ac:dyDescent="0.25">
      <c r="A58" s="8">
        <v>42905.327604166669</v>
      </c>
      <c r="B58" s="20" t="s">
        <v>635</v>
      </c>
      <c r="C58" s="20" t="s">
        <v>708</v>
      </c>
      <c r="D58" s="138">
        <v>1540000</v>
      </c>
      <c r="E58" s="20" t="s">
        <v>672</v>
      </c>
      <c r="F58" s="20" t="s">
        <v>673</v>
      </c>
      <c r="G58" s="8" t="str">
        <f t="shared" si="0"/>
        <v>HELVIE ADAM</v>
      </c>
    </row>
    <row r="59" spans="1:7" x14ac:dyDescent="0.25">
      <c r="A59" s="8">
        <v>42905.330405092594</v>
      </c>
      <c r="B59" s="20" t="s">
        <v>424</v>
      </c>
      <c r="C59" s="20" t="s">
        <v>709</v>
      </c>
      <c r="D59" s="138">
        <v>2530000</v>
      </c>
      <c r="E59" s="20" t="s">
        <v>560</v>
      </c>
      <c r="F59" s="20" t="s">
        <v>561</v>
      </c>
      <c r="G59" s="8" t="str">
        <f t="shared" si="0"/>
        <v>LALONDE GREGORY</v>
      </c>
    </row>
    <row r="60" spans="1:7" x14ac:dyDescent="0.25">
      <c r="A60" s="8">
        <v>42905.330405092594</v>
      </c>
      <c r="B60" s="20" t="s">
        <v>525</v>
      </c>
      <c r="C60" s="20" t="s">
        <v>710</v>
      </c>
      <c r="D60" s="138">
        <v>1230000</v>
      </c>
      <c r="E60" s="20" t="s">
        <v>657</v>
      </c>
      <c r="F60" s="20" t="s">
        <v>658</v>
      </c>
      <c r="G60" s="8" t="str">
        <f t="shared" si="0"/>
        <v>YANAI IAN</v>
      </c>
    </row>
    <row r="61" spans="1:7" x14ac:dyDescent="0.25">
      <c r="A61" s="8">
        <v>42905.336064814815</v>
      </c>
      <c r="B61" s="20" t="s">
        <v>478</v>
      </c>
      <c r="C61" s="20" t="s">
        <v>625</v>
      </c>
      <c r="D61" s="138">
        <v>890000</v>
      </c>
      <c r="E61" s="20" t="s">
        <v>688</v>
      </c>
      <c r="F61" s="20" t="s">
        <v>689</v>
      </c>
      <c r="G61" s="8" t="str">
        <f t="shared" si="0"/>
        <v>LOZA FIDEL</v>
      </c>
    </row>
    <row r="62" spans="1:7" x14ac:dyDescent="0.25">
      <c r="A62" s="8">
        <v>42905.338518518518</v>
      </c>
      <c r="B62" s="20" t="s">
        <v>476</v>
      </c>
      <c r="C62" s="20" t="s">
        <v>711</v>
      </c>
      <c r="D62" s="138">
        <v>2600000</v>
      </c>
      <c r="E62" s="20" t="s">
        <v>562</v>
      </c>
      <c r="F62" s="20" t="s">
        <v>563</v>
      </c>
      <c r="G62" s="8" t="str">
        <f t="shared" si="0"/>
        <v>DAVIDSON DAVID</v>
      </c>
    </row>
    <row r="63" spans="1:7" x14ac:dyDescent="0.25">
      <c r="A63" s="8">
        <v>42905.344097222223</v>
      </c>
      <c r="B63" s="20" t="s">
        <v>669</v>
      </c>
      <c r="C63" s="20" t="s">
        <v>712</v>
      </c>
      <c r="D63" s="138">
        <v>1260000</v>
      </c>
      <c r="E63" s="20" t="s">
        <v>713</v>
      </c>
      <c r="F63" s="20" t="s">
        <v>714</v>
      </c>
      <c r="G63" s="8" t="str">
        <f t="shared" si="0"/>
        <v>ACKERMAN JARED</v>
      </c>
    </row>
    <row r="64" spans="1:7" x14ac:dyDescent="0.25">
      <c r="A64" s="26">
        <v>42905.350405092591</v>
      </c>
      <c r="B64" s="20" t="s">
        <v>446</v>
      </c>
      <c r="C64" s="20" t="s">
        <v>715</v>
      </c>
      <c r="D64" s="138">
        <v>2560000</v>
      </c>
      <c r="E64" s="20" t="s">
        <v>564</v>
      </c>
      <c r="F64" s="20" t="s">
        <v>366</v>
      </c>
      <c r="G64" s="8" t="str">
        <f t="shared" si="0"/>
        <v>MACDONALD THOMAS</v>
      </c>
    </row>
    <row r="65" spans="1:7" x14ac:dyDescent="0.25">
      <c r="A65" s="8">
        <v>42905.350995370369</v>
      </c>
      <c r="B65" s="20" t="s">
        <v>654</v>
      </c>
      <c r="C65" s="20" t="s">
        <v>716</v>
      </c>
      <c r="D65" s="138">
        <v>2010000</v>
      </c>
      <c r="E65" s="20" t="s">
        <v>558</v>
      </c>
      <c r="F65" s="20" t="s">
        <v>559</v>
      </c>
      <c r="G65" s="8" t="str">
        <f t="shared" si="0"/>
        <v>MAELZER KURT</v>
      </c>
    </row>
    <row r="66" spans="1:7" x14ac:dyDescent="0.25">
      <c r="A66" s="8">
        <v>42905.353414351855</v>
      </c>
      <c r="B66" s="20" t="s">
        <v>477</v>
      </c>
      <c r="C66" s="20" t="s">
        <v>717</v>
      </c>
      <c r="D66" s="138">
        <v>2600000</v>
      </c>
      <c r="E66" s="20" t="s">
        <v>562</v>
      </c>
      <c r="F66" s="20" t="s">
        <v>563</v>
      </c>
      <c r="G66" s="8" t="str">
        <f t="shared" si="0"/>
        <v>DAVIDSON DAVID</v>
      </c>
    </row>
    <row r="67" spans="1:7" x14ac:dyDescent="0.25">
      <c r="A67" s="8">
        <v>42905.359375</v>
      </c>
      <c r="B67" s="20" t="s">
        <v>620</v>
      </c>
      <c r="C67" s="20" t="s">
        <v>718</v>
      </c>
      <c r="D67" s="138">
        <v>1110000</v>
      </c>
      <c r="E67" s="20" t="s">
        <v>465</v>
      </c>
      <c r="F67" s="20" t="s">
        <v>466</v>
      </c>
      <c r="G67" s="8" t="str">
        <f t="shared" ref="G67:G130" si="1">E67&amp;" "&amp;F67</f>
        <v>STARKS ANGELINA</v>
      </c>
    </row>
    <row r="68" spans="1:7" x14ac:dyDescent="0.25">
      <c r="A68" s="8">
        <v>42905.360092592593</v>
      </c>
      <c r="B68" s="20" t="s">
        <v>479</v>
      </c>
      <c r="C68" s="20" t="s">
        <v>719</v>
      </c>
      <c r="D68" s="138">
        <v>890000</v>
      </c>
      <c r="E68" s="20" t="s">
        <v>688</v>
      </c>
      <c r="F68" s="20" t="s">
        <v>689</v>
      </c>
      <c r="G68" s="8" t="str">
        <f t="shared" si="1"/>
        <v>LOZA FIDEL</v>
      </c>
    </row>
    <row r="69" spans="1:7" x14ac:dyDescent="0.25">
      <c r="A69" s="8">
        <v>42905.360972222225</v>
      </c>
      <c r="B69" s="20" t="s">
        <v>626</v>
      </c>
      <c r="C69" s="20" t="s">
        <v>627</v>
      </c>
      <c r="D69" s="138">
        <v>1540000</v>
      </c>
      <c r="E69" s="20" t="s">
        <v>672</v>
      </c>
      <c r="F69" s="20" t="s">
        <v>673</v>
      </c>
      <c r="G69" s="8" t="str">
        <f t="shared" si="1"/>
        <v>HELVIE ADAM</v>
      </c>
    </row>
    <row r="70" spans="1:7" x14ac:dyDescent="0.25">
      <c r="A70" s="8">
        <v>42905.361111111109</v>
      </c>
      <c r="B70" s="20" t="s">
        <v>420</v>
      </c>
      <c r="C70" s="20" t="s">
        <v>720</v>
      </c>
      <c r="D70" s="138">
        <v>2530000</v>
      </c>
      <c r="E70" s="20" t="s">
        <v>560</v>
      </c>
      <c r="F70" s="20" t="s">
        <v>561</v>
      </c>
      <c r="G70" s="8" t="str">
        <f t="shared" si="1"/>
        <v>LALONDE GREGORY</v>
      </c>
    </row>
    <row r="71" spans="1:7" x14ac:dyDescent="0.25">
      <c r="A71" s="8">
        <v>42905.370092592595</v>
      </c>
      <c r="B71" s="20" t="s">
        <v>400</v>
      </c>
      <c r="C71" s="20" t="s">
        <v>721</v>
      </c>
      <c r="D71" s="138">
        <v>1230000</v>
      </c>
      <c r="E71" s="20" t="s">
        <v>657</v>
      </c>
      <c r="F71" s="20" t="s">
        <v>658</v>
      </c>
      <c r="G71" s="8" t="str">
        <f t="shared" si="1"/>
        <v>YANAI IAN</v>
      </c>
    </row>
    <row r="72" spans="1:7" x14ac:dyDescent="0.25">
      <c r="A72" s="8">
        <v>42905.376435185186</v>
      </c>
      <c r="B72" s="20" t="s">
        <v>638</v>
      </c>
      <c r="C72" s="20" t="s">
        <v>722</v>
      </c>
      <c r="D72" s="138">
        <v>1260000</v>
      </c>
      <c r="E72" s="20" t="s">
        <v>713</v>
      </c>
      <c r="F72" s="20" t="s">
        <v>714</v>
      </c>
      <c r="G72" s="8" t="str">
        <f t="shared" si="1"/>
        <v>ACKERMAN JARED</v>
      </c>
    </row>
    <row r="73" spans="1:7" x14ac:dyDescent="0.25">
      <c r="A73" s="8">
        <v>42905.381689814814</v>
      </c>
      <c r="B73" s="20" t="s">
        <v>445</v>
      </c>
      <c r="C73" s="20" t="s">
        <v>628</v>
      </c>
      <c r="D73" s="138">
        <v>2560000</v>
      </c>
      <c r="E73" s="20" t="s">
        <v>564</v>
      </c>
      <c r="F73" s="20" t="s">
        <v>366</v>
      </c>
      <c r="G73" s="8" t="str">
        <f t="shared" si="1"/>
        <v>MACDONALD THOMAS</v>
      </c>
    </row>
    <row r="74" spans="1:7" x14ac:dyDescent="0.25">
      <c r="A74" s="8">
        <v>42905.383159722223</v>
      </c>
      <c r="B74" s="20" t="s">
        <v>478</v>
      </c>
      <c r="C74" s="20" t="s">
        <v>723</v>
      </c>
      <c r="D74" s="138">
        <v>890000</v>
      </c>
      <c r="E74" s="20" t="s">
        <v>688</v>
      </c>
      <c r="F74" s="20" t="s">
        <v>689</v>
      </c>
      <c r="G74" s="8" t="str">
        <f t="shared" si="1"/>
        <v>LOZA FIDEL</v>
      </c>
    </row>
    <row r="75" spans="1:7" x14ac:dyDescent="0.25">
      <c r="A75" s="8">
        <v>42905.384525462963</v>
      </c>
      <c r="B75" s="20" t="s">
        <v>441</v>
      </c>
      <c r="C75" s="20" t="s">
        <v>724</v>
      </c>
      <c r="D75" s="138">
        <v>1740000</v>
      </c>
      <c r="E75" s="20" t="s">
        <v>725</v>
      </c>
      <c r="F75" s="20" t="s">
        <v>726</v>
      </c>
      <c r="G75" s="8" t="str">
        <f t="shared" si="1"/>
        <v>STORY SAMANTHA</v>
      </c>
    </row>
    <row r="76" spans="1:7" x14ac:dyDescent="0.25">
      <c r="A76" s="8">
        <v>42905.384710648148</v>
      </c>
      <c r="B76" s="20" t="s">
        <v>629</v>
      </c>
      <c r="C76" s="20" t="s">
        <v>630</v>
      </c>
      <c r="D76" s="138">
        <v>2010000</v>
      </c>
      <c r="E76" s="20" t="s">
        <v>558</v>
      </c>
      <c r="F76" s="20" t="s">
        <v>559</v>
      </c>
      <c r="G76" s="8" t="str">
        <f t="shared" si="1"/>
        <v>MAELZER KURT</v>
      </c>
    </row>
    <row r="77" spans="1:7" x14ac:dyDescent="0.25">
      <c r="A77" s="8">
        <v>42905.394895833335</v>
      </c>
      <c r="B77" s="20" t="s">
        <v>399</v>
      </c>
      <c r="C77" s="20" t="s">
        <v>727</v>
      </c>
      <c r="D77" s="138">
        <v>1110000</v>
      </c>
      <c r="E77" s="20" t="s">
        <v>465</v>
      </c>
      <c r="F77" s="20" t="s">
        <v>466</v>
      </c>
      <c r="G77" s="8" t="str">
        <f t="shared" si="1"/>
        <v>STARKS ANGELINA</v>
      </c>
    </row>
    <row r="78" spans="1:7" x14ac:dyDescent="0.25">
      <c r="A78" s="8">
        <v>42905.401041666664</v>
      </c>
      <c r="B78" s="20" t="s">
        <v>635</v>
      </c>
      <c r="C78" s="20" t="s">
        <v>728</v>
      </c>
      <c r="D78" s="138">
        <v>1540000</v>
      </c>
      <c r="E78" s="20" t="s">
        <v>672</v>
      </c>
      <c r="F78" s="20" t="s">
        <v>673</v>
      </c>
      <c r="G78" s="8" t="str">
        <f t="shared" si="1"/>
        <v>HELVIE ADAM</v>
      </c>
    </row>
    <row r="79" spans="1:7" x14ac:dyDescent="0.25">
      <c r="A79" s="8">
        <v>42905.401689814818</v>
      </c>
      <c r="B79" s="20" t="s">
        <v>479</v>
      </c>
      <c r="C79" s="20" t="s">
        <v>729</v>
      </c>
      <c r="D79" s="138">
        <v>890000</v>
      </c>
      <c r="E79" s="20" t="s">
        <v>688</v>
      </c>
      <c r="F79" s="20" t="s">
        <v>689</v>
      </c>
      <c r="G79" s="8" t="str">
        <f t="shared" si="1"/>
        <v>LOZA FIDEL</v>
      </c>
    </row>
    <row r="80" spans="1:7" x14ac:dyDescent="0.25">
      <c r="A80" s="8">
        <v>42905.402314814812</v>
      </c>
      <c r="B80" s="20" t="s">
        <v>525</v>
      </c>
      <c r="C80" s="20" t="s">
        <v>631</v>
      </c>
      <c r="D80" s="138">
        <v>1230000</v>
      </c>
      <c r="E80" s="20" t="s">
        <v>657</v>
      </c>
      <c r="F80" s="20" t="s">
        <v>658</v>
      </c>
      <c r="G80" s="8" t="str">
        <f t="shared" si="1"/>
        <v>YANAI IAN</v>
      </c>
    </row>
    <row r="81" spans="1:7" x14ac:dyDescent="0.25">
      <c r="A81" s="8">
        <v>42905.402696759258</v>
      </c>
      <c r="B81" s="20" t="s">
        <v>424</v>
      </c>
      <c r="C81" s="20" t="s">
        <v>730</v>
      </c>
      <c r="D81" s="138">
        <v>2530000</v>
      </c>
      <c r="E81" s="20" t="s">
        <v>560</v>
      </c>
      <c r="F81" s="20" t="s">
        <v>561</v>
      </c>
      <c r="G81" s="8" t="str">
        <f t="shared" si="1"/>
        <v>LALONDE GREGORY</v>
      </c>
    </row>
    <row r="82" spans="1:7" x14ac:dyDescent="0.25">
      <c r="A82" s="8">
        <v>42905.413310185184</v>
      </c>
      <c r="B82" s="20" t="s">
        <v>669</v>
      </c>
      <c r="C82" s="20" t="s">
        <v>731</v>
      </c>
      <c r="D82" s="138">
        <v>1260000</v>
      </c>
      <c r="E82" s="20" t="s">
        <v>713</v>
      </c>
      <c r="F82" s="20" t="s">
        <v>714</v>
      </c>
      <c r="G82" s="8" t="str">
        <f t="shared" si="1"/>
        <v>ACKERMAN JARED</v>
      </c>
    </row>
    <row r="83" spans="1:7" x14ac:dyDescent="0.25">
      <c r="A83" s="8">
        <v>42905.416666666664</v>
      </c>
      <c r="B83" s="20" t="s">
        <v>478</v>
      </c>
      <c r="C83" s="20" t="s">
        <v>732</v>
      </c>
      <c r="D83" s="138">
        <v>890000</v>
      </c>
      <c r="E83" s="20" t="s">
        <v>688</v>
      </c>
      <c r="F83" s="20" t="s">
        <v>689</v>
      </c>
      <c r="G83" s="8" t="str">
        <f t="shared" si="1"/>
        <v>LOZA FIDEL</v>
      </c>
    </row>
    <row r="84" spans="1:7" x14ac:dyDescent="0.25">
      <c r="A84" s="8">
        <v>42905.42224537037</v>
      </c>
      <c r="B84" s="20" t="s">
        <v>446</v>
      </c>
      <c r="C84" s="20" t="s">
        <v>733</v>
      </c>
      <c r="D84" s="138">
        <v>2560000</v>
      </c>
      <c r="E84" s="20" t="s">
        <v>564</v>
      </c>
      <c r="F84" s="20" t="s">
        <v>366</v>
      </c>
      <c r="G84" s="8" t="str">
        <f t="shared" si="1"/>
        <v>MACDONALD THOMAS</v>
      </c>
    </row>
    <row r="85" spans="1:7" x14ac:dyDescent="0.25">
      <c r="A85" s="8">
        <v>42905.423472222225</v>
      </c>
      <c r="B85" s="20" t="s">
        <v>654</v>
      </c>
      <c r="C85" s="20" t="s">
        <v>734</v>
      </c>
      <c r="D85" s="138">
        <v>2600000</v>
      </c>
      <c r="E85" s="20" t="s">
        <v>562</v>
      </c>
      <c r="F85" s="20" t="s">
        <v>563</v>
      </c>
      <c r="G85" s="8" t="str">
        <f t="shared" si="1"/>
        <v>DAVIDSON DAVID</v>
      </c>
    </row>
    <row r="86" spans="1:7" x14ac:dyDescent="0.25">
      <c r="A86" s="8">
        <v>42905.433842592596</v>
      </c>
      <c r="B86" s="20" t="s">
        <v>420</v>
      </c>
      <c r="C86" s="20" t="s">
        <v>735</v>
      </c>
      <c r="D86" s="138">
        <v>2530000</v>
      </c>
      <c r="E86" s="20" t="s">
        <v>560</v>
      </c>
      <c r="F86" s="20" t="s">
        <v>561</v>
      </c>
      <c r="G86" s="8" t="str">
        <f t="shared" si="1"/>
        <v>LALONDE GREGORY</v>
      </c>
    </row>
    <row r="87" spans="1:7" x14ac:dyDescent="0.25">
      <c r="A87" s="8">
        <v>42905.433888888889</v>
      </c>
      <c r="B87" s="20" t="s">
        <v>620</v>
      </c>
      <c r="C87" s="20" t="s">
        <v>632</v>
      </c>
      <c r="D87" s="138">
        <v>1110000</v>
      </c>
      <c r="E87" s="20" t="s">
        <v>465</v>
      </c>
      <c r="F87" s="20" t="s">
        <v>466</v>
      </c>
      <c r="G87" s="8" t="str">
        <f t="shared" si="1"/>
        <v>STARKS ANGELINA</v>
      </c>
    </row>
    <row r="88" spans="1:7" x14ac:dyDescent="0.25">
      <c r="A88" s="8">
        <v>42905.434039351851</v>
      </c>
      <c r="B88" s="20" t="s">
        <v>626</v>
      </c>
      <c r="C88" s="20" t="s">
        <v>736</v>
      </c>
      <c r="D88" s="138">
        <v>1540000</v>
      </c>
      <c r="E88" s="20" t="s">
        <v>672</v>
      </c>
      <c r="F88" s="20" t="s">
        <v>673</v>
      </c>
      <c r="G88" s="8" t="str">
        <f t="shared" si="1"/>
        <v>HELVIE ADAM</v>
      </c>
    </row>
    <row r="89" spans="1:7" x14ac:dyDescent="0.25">
      <c r="A89" s="8">
        <v>42905.434560185182</v>
      </c>
      <c r="B89" s="20" t="s">
        <v>398</v>
      </c>
      <c r="C89" s="20" t="s">
        <v>737</v>
      </c>
      <c r="D89" s="138">
        <v>1810000</v>
      </c>
      <c r="E89" s="20" t="s">
        <v>367</v>
      </c>
      <c r="F89" s="20" t="s">
        <v>189</v>
      </c>
      <c r="G89" s="8" t="str">
        <f t="shared" si="1"/>
        <v>NEWELL JAMES</v>
      </c>
    </row>
    <row r="90" spans="1:7" x14ac:dyDescent="0.25">
      <c r="A90" s="8">
        <v>42905.442523148151</v>
      </c>
      <c r="B90" s="20" t="s">
        <v>397</v>
      </c>
      <c r="C90" s="20" t="s">
        <v>737</v>
      </c>
      <c r="D90" s="138">
        <v>1810000</v>
      </c>
      <c r="E90" s="20" t="s">
        <v>367</v>
      </c>
      <c r="F90" s="20" t="s">
        <v>189</v>
      </c>
      <c r="G90" s="8" t="str">
        <f t="shared" si="1"/>
        <v>NEWELL JAMES</v>
      </c>
    </row>
    <row r="91" spans="1:7" x14ac:dyDescent="0.25">
      <c r="A91" s="8">
        <v>42905.442615740743</v>
      </c>
      <c r="B91" s="20" t="s">
        <v>479</v>
      </c>
      <c r="C91" s="20" t="s">
        <v>738</v>
      </c>
      <c r="D91" s="138">
        <v>890000</v>
      </c>
      <c r="E91" s="20" t="s">
        <v>688</v>
      </c>
      <c r="F91" s="20" t="s">
        <v>689</v>
      </c>
      <c r="G91" s="8" t="str">
        <f t="shared" si="1"/>
        <v>LOZA FIDEL</v>
      </c>
    </row>
    <row r="92" spans="1:7" x14ac:dyDescent="0.25">
      <c r="A92" s="8">
        <v>42905.444282407407</v>
      </c>
      <c r="B92" s="20" t="s">
        <v>400</v>
      </c>
      <c r="C92" s="20" t="s">
        <v>633</v>
      </c>
      <c r="D92" s="138">
        <v>3010000</v>
      </c>
      <c r="E92" s="20" t="s">
        <v>393</v>
      </c>
      <c r="F92" s="20" t="s">
        <v>394</v>
      </c>
      <c r="G92" s="8" t="str">
        <f t="shared" si="1"/>
        <v>SULLIVAN BRANDON</v>
      </c>
    </row>
    <row r="93" spans="1:7" x14ac:dyDescent="0.25">
      <c r="A93" s="8">
        <v>42905.450335648151</v>
      </c>
      <c r="B93" s="20" t="s">
        <v>638</v>
      </c>
      <c r="C93" s="20" t="s">
        <v>739</v>
      </c>
      <c r="D93" s="138">
        <v>1260000</v>
      </c>
      <c r="E93" s="20" t="s">
        <v>713</v>
      </c>
      <c r="F93" s="20" t="s">
        <v>714</v>
      </c>
      <c r="G93" s="8" t="str">
        <f t="shared" si="1"/>
        <v>ACKERMAN JARED</v>
      </c>
    </row>
    <row r="94" spans="1:7" x14ac:dyDescent="0.25">
      <c r="A94" s="8">
        <v>42905.452164351853</v>
      </c>
      <c r="B94" s="20" t="s">
        <v>557</v>
      </c>
      <c r="C94" s="20" t="s">
        <v>740</v>
      </c>
      <c r="D94" s="138">
        <v>2040000</v>
      </c>
      <c r="E94" s="20" t="s">
        <v>741</v>
      </c>
      <c r="F94" s="20" t="s">
        <v>742</v>
      </c>
      <c r="G94" s="8" t="str">
        <f t="shared" si="1"/>
        <v>MOSES BRADLEY</v>
      </c>
    </row>
    <row r="95" spans="1:7" x14ac:dyDescent="0.25">
      <c r="A95" s="8">
        <v>42905.456643518519</v>
      </c>
      <c r="B95" s="20" t="s">
        <v>629</v>
      </c>
      <c r="C95" s="20" t="s">
        <v>634</v>
      </c>
      <c r="D95" s="138">
        <v>2600000</v>
      </c>
      <c r="E95" s="20" t="s">
        <v>562</v>
      </c>
      <c r="F95" s="20" t="s">
        <v>563</v>
      </c>
      <c r="G95" s="8" t="str">
        <f t="shared" si="1"/>
        <v>DAVIDSON DAVID</v>
      </c>
    </row>
    <row r="96" spans="1:7" x14ac:dyDescent="0.25">
      <c r="A96" s="8">
        <v>42905.457812499997</v>
      </c>
      <c r="B96" s="20" t="s">
        <v>398</v>
      </c>
      <c r="C96" s="20" t="s">
        <v>743</v>
      </c>
      <c r="D96" s="138">
        <v>2560000</v>
      </c>
      <c r="E96" s="20" t="s">
        <v>564</v>
      </c>
      <c r="F96" s="20" t="s">
        <v>366</v>
      </c>
      <c r="G96" s="8" t="str">
        <f t="shared" si="1"/>
        <v>MACDONALD THOMAS</v>
      </c>
    </row>
    <row r="97" spans="1:7" x14ac:dyDescent="0.25">
      <c r="A97" s="8">
        <v>42905.460636574076</v>
      </c>
      <c r="B97" s="20" t="s">
        <v>445</v>
      </c>
      <c r="C97" s="20" t="s">
        <v>744</v>
      </c>
      <c r="D97" s="138">
        <v>1780000</v>
      </c>
      <c r="E97" s="20" t="s">
        <v>745</v>
      </c>
      <c r="F97" s="20" t="s">
        <v>746</v>
      </c>
      <c r="G97" s="8" t="str">
        <f t="shared" si="1"/>
        <v>DE LA ROSA ALEX</v>
      </c>
    </row>
    <row r="98" spans="1:7" x14ac:dyDescent="0.25">
      <c r="A98" s="8">
        <v>42905.466597222221</v>
      </c>
      <c r="B98" s="20" t="s">
        <v>399</v>
      </c>
      <c r="C98" s="20" t="s">
        <v>747</v>
      </c>
      <c r="D98" s="138">
        <v>920000</v>
      </c>
      <c r="E98" s="20" t="s">
        <v>414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42905.468460648146</v>
      </c>
      <c r="B99" s="20" t="s">
        <v>478</v>
      </c>
      <c r="C99" s="20" t="s">
        <v>748</v>
      </c>
      <c r="D99" s="138">
        <v>890000</v>
      </c>
      <c r="E99" s="20" t="s">
        <v>688</v>
      </c>
      <c r="F99" s="20" t="s">
        <v>689</v>
      </c>
      <c r="G99" s="8" t="str">
        <f t="shared" si="1"/>
        <v>LOZA FIDEL</v>
      </c>
    </row>
    <row r="100" spans="1:7" x14ac:dyDescent="0.25">
      <c r="A100" s="8">
        <v>42905.473009259258</v>
      </c>
      <c r="B100" s="20" t="s">
        <v>635</v>
      </c>
      <c r="C100" s="20" t="s">
        <v>749</v>
      </c>
      <c r="D100" s="138">
        <v>1540000</v>
      </c>
      <c r="E100" s="20" t="s">
        <v>672</v>
      </c>
      <c r="F100" s="20" t="s">
        <v>673</v>
      </c>
      <c r="G100" s="8" t="str">
        <f t="shared" si="1"/>
        <v>HELVIE ADAM</v>
      </c>
    </row>
    <row r="101" spans="1:7" x14ac:dyDescent="0.25">
      <c r="A101" s="8">
        <v>42905.474363425928</v>
      </c>
      <c r="B101" s="20" t="s">
        <v>635</v>
      </c>
      <c r="C101" s="20" t="s">
        <v>749</v>
      </c>
      <c r="D101" s="138">
        <v>1540000</v>
      </c>
      <c r="E101" s="20" t="s">
        <v>672</v>
      </c>
      <c r="F101" s="20" t="s">
        <v>673</v>
      </c>
      <c r="G101" s="8" t="str">
        <f t="shared" si="1"/>
        <v>HELVIE ADAM</v>
      </c>
    </row>
    <row r="102" spans="1:7" x14ac:dyDescent="0.25">
      <c r="A102" s="8">
        <v>42905.474999999999</v>
      </c>
      <c r="B102" s="20" t="s">
        <v>424</v>
      </c>
      <c r="C102" s="20" t="s">
        <v>750</v>
      </c>
      <c r="D102" s="138">
        <v>2470000</v>
      </c>
      <c r="E102" s="20" t="s">
        <v>565</v>
      </c>
      <c r="F102" s="20" t="s">
        <v>566</v>
      </c>
      <c r="G102" s="8" t="str">
        <f t="shared" si="1"/>
        <v>ROMERO CHAD</v>
      </c>
    </row>
    <row r="103" spans="1:7" x14ac:dyDescent="0.25">
      <c r="A103" s="8">
        <v>42905.480300925927</v>
      </c>
      <c r="B103" s="20" t="s">
        <v>525</v>
      </c>
      <c r="C103" s="20" t="s">
        <v>751</v>
      </c>
      <c r="D103" s="138">
        <v>3010000</v>
      </c>
      <c r="E103" s="20" t="s">
        <v>393</v>
      </c>
      <c r="F103" s="20" t="s">
        <v>394</v>
      </c>
      <c r="G103" s="8" t="str">
        <f t="shared" si="1"/>
        <v>SULLIVAN BRANDON</v>
      </c>
    </row>
    <row r="104" spans="1:7" x14ac:dyDescent="0.25">
      <c r="A104" s="8">
        <v>42905.485277777778</v>
      </c>
      <c r="B104" s="20" t="s">
        <v>479</v>
      </c>
      <c r="C104" s="20" t="s">
        <v>752</v>
      </c>
      <c r="D104" s="138">
        <v>890000</v>
      </c>
      <c r="E104" s="20" t="s">
        <v>688</v>
      </c>
      <c r="F104" s="20" t="s">
        <v>689</v>
      </c>
      <c r="G104" s="8" t="str">
        <f t="shared" si="1"/>
        <v>LOZA FIDEL</v>
      </c>
    </row>
    <row r="105" spans="1:7" x14ac:dyDescent="0.25">
      <c r="A105" s="8">
        <v>42905.487939814811</v>
      </c>
      <c r="B105" s="20" t="s">
        <v>669</v>
      </c>
      <c r="C105" s="20" t="s">
        <v>753</v>
      </c>
      <c r="D105" s="138">
        <v>2140000</v>
      </c>
      <c r="E105" s="20" t="s">
        <v>412</v>
      </c>
      <c r="F105" s="20" t="s">
        <v>413</v>
      </c>
      <c r="G105" s="8" t="str">
        <f t="shared" si="1"/>
        <v>ROBINSON KADDIBA</v>
      </c>
    </row>
    <row r="106" spans="1:7" x14ac:dyDescent="0.25">
      <c r="A106" s="8">
        <v>42905.49759259259</v>
      </c>
      <c r="B106" s="20" t="s">
        <v>397</v>
      </c>
      <c r="C106" s="20" t="s">
        <v>754</v>
      </c>
      <c r="D106" s="138">
        <v>2560000</v>
      </c>
      <c r="E106" s="20" t="s">
        <v>564</v>
      </c>
      <c r="F106" s="20" t="s">
        <v>366</v>
      </c>
      <c r="G106" s="8" t="str">
        <f t="shared" si="1"/>
        <v>MACDONALD THOMAS</v>
      </c>
    </row>
    <row r="107" spans="1:7" x14ac:dyDescent="0.25">
      <c r="A107" s="8">
        <v>42905.498460648145</v>
      </c>
      <c r="B107" s="20" t="s">
        <v>654</v>
      </c>
      <c r="C107" s="20" t="s">
        <v>755</v>
      </c>
      <c r="D107" s="138">
        <v>1770000</v>
      </c>
      <c r="E107" s="20" t="s">
        <v>569</v>
      </c>
      <c r="F107" s="20" t="s">
        <v>570</v>
      </c>
      <c r="G107" s="8" t="str">
        <f t="shared" si="1"/>
        <v>BRUDER RICHARD</v>
      </c>
    </row>
    <row r="108" spans="1:7" x14ac:dyDescent="0.25">
      <c r="A108" s="8">
        <v>42905.501840277779</v>
      </c>
      <c r="B108" s="20" t="s">
        <v>478</v>
      </c>
      <c r="C108" s="20" t="s">
        <v>756</v>
      </c>
      <c r="D108" s="138">
        <v>890000</v>
      </c>
      <c r="E108" s="20" t="s">
        <v>688</v>
      </c>
      <c r="F108" s="20" t="s">
        <v>689</v>
      </c>
      <c r="G108" s="8" t="str">
        <f t="shared" si="1"/>
        <v>LOZA FIDEL</v>
      </c>
    </row>
    <row r="109" spans="1:7" x14ac:dyDescent="0.25">
      <c r="A109" s="8">
        <v>42905.50613425926</v>
      </c>
      <c r="B109" s="20" t="s">
        <v>420</v>
      </c>
      <c r="C109" s="20" t="s">
        <v>757</v>
      </c>
      <c r="D109" s="138">
        <v>2470000</v>
      </c>
      <c r="E109" s="20" t="s">
        <v>565</v>
      </c>
      <c r="F109" s="20" t="s">
        <v>566</v>
      </c>
      <c r="G109" s="8" t="str">
        <f t="shared" si="1"/>
        <v>ROMERO CHAD</v>
      </c>
    </row>
    <row r="110" spans="1:7" x14ac:dyDescent="0.25">
      <c r="A110" s="8">
        <v>42905.506412037037</v>
      </c>
      <c r="B110" s="20" t="s">
        <v>441</v>
      </c>
      <c r="C110" s="20" t="s">
        <v>724</v>
      </c>
      <c r="D110" s="138">
        <v>1800000</v>
      </c>
      <c r="E110" s="20" t="s">
        <v>377</v>
      </c>
      <c r="F110" s="20" t="s">
        <v>378</v>
      </c>
      <c r="G110" s="8" t="str">
        <f t="shared" si="1"/>
        <v>CHANDLER KELVIN</v>
      </c>
    </row>
    <row r="111" spans="1:7" x14ac:dyDescent="0.25">
      <c r="A111" s="8">
        <v>42905.506840277776</v>
      </c>
      <c r="B111" s="20" t="s">
        <v>620</v>
      </c>
      <c r="C111" s="20" t="s">
        <v>758</v>
      </c>
      <c r="D111" s="138">
        <v>920000</v>
      </c>
      <c r="E111" s="20" t="s">
        <v>414</v>
      </c>
      <c r="F111" s="20" t="s">
        <v>192</v>
      </c>
      <c r="G111" s="8" t="str">
        <f t="shared" si="1"/>
        <v>DAVIS MICHAEL</v>
      </c>
    </row>
    <row r="112" spans="1:7" x14ac:dyDescent="0.25">
      <c r="A112" s="8">
        <v>42905.507604166669</v>
      </c>
      <c r="B112" s="20" t="s">
        <v>626</v>
      </c>
      <c r="C112" s="20" t="s">
        <v>759</v>
      </c>
      <c r="D112" s="138">
        <v>2360000</v>
      </c>
      <c r="E112" s="20" t="s">
        <v>567</v>
      </c>
      <c r="F112" s="20" t="s">
        <v>568</v>
      </c>
      <c r="G112" s="8" t="str">
        <f t="shared" si="1"/>
        <v>BRANDNER MELINDA</v>
      </c>
    </row>
    <row r="113" spans="1:7" x14ac:dyDescent="0.25">
      <c r="A113" s="8">
        <v>42905.516168981485</v>
      </c>
      <c r="B113" s="20" t="s">
        <v>400</v>
      </c>
      <c r="C113" s="20" t="s">
        <v>760</v>
      </c>
      <c r="D113" s="138">
        <v>3010000</v>
      </c>
      <c r="E113" s="20" t="s">
        <v>393</v>
      </c>
      <c r="F113" s="20" t="s">
        <v>394</v>
      </c>
      <c r="G113" s="8" t="str">
        <f t="shared" si="1"/>
        <v>SULLIVAN BRANDON</v>
      </c>
    </row>
    <row r="114" spans="1:7" x14ac:dyDescent="0.25">
      <c r="A114" s="8">
        <v>42905.525497685187</v>
      </c>
      <c r="B114" s="20" t="s">
        <v>479</v>
      </c>
      <c r="C114" s="20" t="s">
        <v>761</v>
      </c>
      <c r="D114" s="138">
        <v>890000</v>
      </c>
      <c r="E114" s="20" t="s">
        <v>688</v>
      </c>
      <c r="F114" s="20" t="s">
        <v>689</v>
      </c>
      <c r="G114" s="8" t="str">
        <f t="shared" si="1"/>
        <v>LOZA FIDEL</v>
      </c>
    </row>
    <row r="115" spans="1:7" x14ac:dyDescent="0.25">
      <c r="A115" s="8">
        <v>42905.528240740743</v>
      </c>
      <c r="B115" s="20" t="s">
        <v>398</v>
      </c>
      <c r="C115" s="20" t="s">
        <v>762</v>
      </c>
      <c r="D115" s="138">
        <v>2540000</v>
      </c>
      <c r="E115" s="20" t="s">
        <v>571</v>
      </c>
      <c r="F115" s="20" t="s">
        <v>572</v>
      </c>
      <c r="G115" s="8" t="str">
        <f t="shared" si="1"/>
        <v>MCREYNOLDS KYLE</v>
      </c>
    </row>
    <row r="116" spans="1:7" x14ac:dyDescent="0.25">
      <c r="A116" s="8">
        <v>42905.528240740743</v>
      </c>
      <c r="B116" s="20" t="s">
        <v>638</v>
      </c>
      <c r="C116" s="20" t="s">
        <v>763</v>
      </c>
      <c r="D116" s="138">
        <v>2140000</v>
      </c>
      <c r="E116" s="20" t="s">
        <v>412</v>
      </c>
      <c r="F116" s="20" t="s">
        <v>413</v>
      </c>
      <c r="G116" s="8" t="str">
        <f t="shared" si="1"/>
        <v>ROBINSON KADDIBA</v>
      </c>
    </row>
    <row r="117" spans="1:7" x14ac:dyDescent="0.25">
      <c r="A117" s="8">
        <v>42905.533634259256</v>
      </c>
      <c r="B117" s="20" t="s">
        <v>629</v>
      </c>
      <c r="C117" s="20" t="s">
        <v>764</v>
      </c>
      <c r="D117" s="138">
        <v>1770000</v>
      </c>
      <c r="E117" s="20" t="s">
        <v>569</v>
      </c>
      <c r="F117" s="20" t="s">
        <v>570</v>
      </c>
      <c r="G117" s="8" t="str">
        <f t="shared" si="1"/>
        <v>BRUDER RICHARD</v>
      </c>
    </row>
    <row r="118" spans="1:7" x14ac:dyDescent="0.25">
      <c r="A118" s="8">
        <v>42905.540069444447</v>
      </c>
      <c r="B118" s="20" t="s">
        <v>399</v>
      </c>
      <c r="C118" s="20" t="s">
        <v>765</v>
      </c>
      <c r="D118" s="138">
        <v>920000</v>
      </c>
      <c r="E118" s="20" t="s">
        <v>414</v>
      </c>
      <c r="F118" s="20" t="s">
        <v>192</v>
      </c>
      <c r="G118" s="8" t="str">
        <f t="shared" si="1"/>
        <v>DAVIS MICHAEL</v>
      </c>
    </row>
    <row r="119" spans="1:7" x14ac:dyDescent="0.25">
      <c r="A119" s="8">
        <v>42905.546493055554</v>
      </c>
      <c r="B119" s="20" t="s">
        <v>424</v>
      </c>
      <c r="C119" s="20" t="s">
        <v>766</v>
      </c>
      <c r="D119" s="138">
        <v>2470000</v>
      </c>
      <c r="E119" s="20" t="s">
        <v>565</v>
      </c>
      <c r="F119" s="20" t="s">
        <v>566</v>
      </c>
      <c r="G119" s="8" t="str">
        <f t="shared" si="1"/>
        <v>ROMERO CHAD</v>
      </c>
    </row>
    <row r="120" spans="1:7" x14ac:dyDescent="0.25">
      <c r="A120" s="8">
        <v>42905.547511574077</v>
      </c>
      <c r="B120" s="20" t="s">
        <v>635</v>
      </c>
      <c r="C120" s="20" t="s">
        <v>636</v>
      </c>
      <c r="D120" s="138">
        <v>2360000</v>
      </c>
      <c r="E120" s="20" t="s">
        <v>567</v>
      </c>
      <c r="F120" s="20" t="s">
        <v>568</v>
      </c>
      <c r="G120" s="8" t="str">
        <f t="shared" si="1"/>
        <v>BRANDNER MELINDA</v>
      </c>
    </row>
    <row r="121" spans="1:7" x14ac:dyDescent="0.25">
      <c r="A121" s="8">
        <v>42905.554907407408</v>
      </c>
      <c r="B121" s="20" t="s">
        <v>478</v>
      </c>
      <c r="C121" s="20" t="s">
        <v>767</v>
      </c>
      <c r="D121" s="138">
        <v>1300000</v>
      </c>
      <c r="E121" s="20" t="s">
        <v>768</v>
      </c>
      <c r="F121" s="20" t="s">
        <v>769</v>
      </c>
      <c r="G121" s="8" t="str">
        <f t="shared" si="1"/>
        <v>LEVIN SCOTT</v>
      </c>
    </row>
    <row r="122" spans="1:7" x14ac:dyDescent="0.25">
      <c r="A122" s="8">
        <v>42905.55541666667</v>
      </c>
      <c r="B122" s="25" t="s">
        <v>525</v>
      </c>
      <c r="C122" s="20" t="s">
        <v>770</v>
      </c>
      <c r="D122" s="138">
        <v>3010000</v>
      </c>
      <c r="E122" s="20" t="s">
        <v>393</v>
      </c>
      <c r="F122" s="20" t="s">
        <v>394</v>
      </c>
      <c r="G122" s="8" t="str">
        <f t="shared" si="1"/>
        <v>SULLIVAN BRANDON</v>
      </c>
    </row>
    <row r="123" spans="1:7" x14ac:dyDescent="0.25">
      <c r="A123" s="8">
        <v>42905.558599537035</v>
      </c>
      <c r="B123" s="20" t="s">
        <v>635</v>
      </c>
      <c r="C123" s="20" t="s">
        <v>636</v>
      </c>
      <c r="D123" s="138">
        <v>2360000</v>
      </c>
      <c r="E123" s="20" t="s">
        <v>567</v>
      </c>
      <c r="F123" s="20" t="s">
        <v>568</v>
      </c>
      <c r="G123" s="8" t="str">
        <f t="shared" si="1"/>
        <v>BRANDNER MELINDA</v>
      </c>
    </row>
    <row r="124" spans="1:7" x14ac:dyDescent="0.25">
      <c r="A124" s="8">
        <v>42905.558715277781</v>
      </c>
      <c r="B124" s="20" t="s">
        <v>669</v>
      </c>
      <c r="C124" s="20" t="s">
        <v>771</v>
      </c>
      <c r="D124" s="138">
        <v>2140000</v>
      </c>
      <c r="E124" s="20" t="s">
        <v>412</v>
      </c>
      <c r="F124" s="20" t="s">
        <v>413</v>
      </c>
      <c r="G124" s="8" t="str">
        <f t="shared" si="1"/>
        <v>ROBINSON KADDIBA</v>
      </c>
    </row>
    <row r="125" spans="1:7" x14ac:dyDescent="0.25">
      <c r="A125" s="8">
        <v>42905.560729166667</v>
      </c>
      <c r="B125" s="20" t="s">
        <v>441</v>
      </c>
      <c r="C125" s="20" t="s">
        <v>724</v>
      </c>
      <c r="D125" s="138">
        <v>2270000</v>
      </c>
      <c r="E125" s="20" t="s">
        <v>573</v>
      </c>
      <c r="F125" s="20" t="s">
        <v>574</v>
      </c>
      <c r="G125" s="8" t="str">
        <f t="shared" si="1"/>
        <v>BROWN JACOB</v>
      </c>
    </row>
    <row r="126" spans="1:7" x14ac:dyDescent="0.25">
      <c r="A126" s="8">
        <v>42905.563402777778</v>
      </c>
      <c r="B126" s="20" t="s">
        <v>635</v>
      </c>
      <c r="C126" s="20" t="s">
        <v>636</v>
      </c>
      <c r="D126" s="138">
        <v>2360000</v>
      </c>
      <c r="E126" s="20" t="s">
        <v>567</v>
      </c>
      <c r="F126" s="20" t="s">
        <v>568</v>
      </c>
      <c r="G126" s="8" t="str">
        <f t="shared" si="1"/>
        <v>BRANDNER MELINDA</v>
      </c>
    </row>
    <row r="127" spans="1:7" x14ac:dyDescent="0.25">
      <c r="A127" s="8">
        <v>42905.567164351851</v>
      </c>
      <c r="B127" s="20" t="s">
        <v>397</v>
      </c>
      <c r="C127" s="20" t="s">
        <v>772</v>
      </c>
      <c r="D127" s="138">
        <v>2540000</v>
      </c>
      <c r="E127" s="20" t="s">
        <v>571</v>
      </c>
      <c r="F127" s="20" t="s">
        <v>572</v>
      </c>
      <c r="G127" s="8" t="str">
        <f t="shared" si="1"/>
        <v>MCREYNOLDS KYLE</v>
      </c>
    </row>
    <row r="128" spans="1:7" x14ac:dyDescent="0.25">
      <c r="A128" s="8">
        <v>42905.567476851851</v>
      </c>
      <c r="B128" s="20" t="s">
        <v>479</v>
      </c>
      <c r="C128" s="20" t="s">
        <v>773</v>
      </c>
      <c r="D128" s="138">
        <v>1300000</v>
      </c>
      <c r="E128" s="20" t="s">
        <v>768</v>
      </c>
      <c r="F128" s="20" t="s">
        <v>769</v>
      </c>
      <c r="G128" s="8" t="str">
        <f t="shared" si="1"/>
        <v>LEVIN SCOTT</v>
      </c>
    </row>
    <row r="129" spans="1:7" x14ac:dyDescent="0.25">
      <c r="A129" s="8">
        <v>42905.568344907406</v>
      </c>
      <c r="B129" s="20" t="s">
        <v>654</v>
      </c>
      <c r="C129" s="20" t="s">
        <v>774</v>
      </c>
      <c r="D129" s="138">
        <v>1770000</v>
      </c>
      <c r="E129" s="20" t="s">
        <v>569</v>
      </c>
      <c r="F129" s="20" t="s">
        <v>570</v>
      </c>
      <c r="G129" s="8" t="str">
        <f t="shared" si="1"/>
        <v>BRUDER RICHARD</v>
      </c>
    </row>
    <row r="130" spans="1:7" x14ac:dyDescent="0.25">
      <c r="A130" s="8">
        <v>42905.568668981483</v>
      </c>
      <c r="B130" s="20" t="s">
        <v>462</v>
      </c>
      <c r="C130" s="20" t="s">
        <v>775</v>
      </c>
      <c r="D130" s="138">
        <v>1810000</v>
      </c>
      <c r="E130" s="20" t="s">
        <v>367</v>
      </c>
      <c r="F130" s="20" t="s">
        <v>189</v>
      </c>
      <c r="G130" s="8" t="str">
        <f t="shared" si="1"/>
        <v>NEWELL JAMES</v>
      </c>
    </row>
    <row r="131" spans="1:7" x14ac:dyDescent="0.25">
      <c r="A131" s="8">
        <v>42905.577349537038</v>
      </c>
      <c r="B131" s="20" t="s">
        <v>557</v>
      </c>
      <c r="C131" s="20" t="s">
        <v>775</v>
      </c>
      <c r="D131" s="138">
        <v>1810000</v>
      </c>
      <c r="E131" s="20" t="s">
        <v>367</v>
      </c>
      <c r="F131" s="20" t="s">
        <v>189</v>
      </c>
      <c r="G131" s="8" t="str">
        <f t="shared" ref="G131:G194" si="2">E131&amp;" "&amp;F131</f>
        <v>NEWELL JAMES</v>
      </c>
    </row>
    <row r="132" spans="1:7" x14ac:dyDescent="0.25">
      <c r="A132" s="8">
        <v>42905.578634259262</v>
      </c>
      <c r="B132" s="20" t="s">
        <v>620</v>
      </c>
      <c r="C132" s="20" t="s">
        <v>776</v>
      </c>
      <c r="D132" s="138">
        <v>920000</v>
      </c>
      <c r="E132" s="20" t="s">
        <v>414</v>
      </c>
      <c r="F132" s="20" t="s">
        <v>192</v>
      </c>
      <c r="G132" s="8" t="str">
        <f t="shared" si="2"/>
        <v>DAVIS MICHAEL</v>
      </c>
    </row>
    <row r="133" spans="1:7" x14ac:dyDescent="0.25">
      <c r="A133" s="8">
        <v>42905.580474537041</v>
      </c>
      <c r="B133" s="20" t="s">
        <v>462</v>
      </c>
      <c r="C133" s="20" t="s">
        <v>777</v>
      </c>
      <c r="D133" s="138">
        <v>1810000</v>
      </c>
      <c r="E133" s="20" t="s">
        <v>367</v>
      </c>
      <c r="F133" s="20" t="s">
        <v>189</v>
      </c>
      <c r="G133" s="8" t="str">
        <f t="shared" si="2"/>
        <v>NEWELL JAMES</v>
      </c>
    </row>
    <row r="134" spans="1:7" x14ac:dyDescent="0.25">
      <c r="A134" s="8">
        <v>42905.582731481481</v>
      </c>
      <c r="B134" s="20" t="s">
        <v>440</v>
      </c>
      <c r="C134" s="20" t="s">
        <v>724</v>
      </c>
      <c r="D134" s="138">
        <v>2270000</v>
      </c>
      <c r="E134" s="20" t="s">
        <v>573</v>
      </c>
      <c r="F134" s="20" t="s">
        <v>574</v>
      </c>
      <c r="G134" s="8" t="str">
        <f t="shared" si="2"/>
        <v>BROWN JACOB</v>
      </c>
    </row>
    <row r="135" spans="1:7" x14ac:dyDescent="0.25">
      <c r="A135" s="8">
        <v>42905.590543981481</v>
      </c>
      <c r="B135" s="20" t="s">
        <v>420</v>
      </c>
      <c r="C135" s="20" t="s">
        <v>778</v>
      </c>
      <c r="D135" s="138">
        <v>2470000</v>
      </c>
      <c r="E135" s="20" t="s">
        <v>565</v>
      </c>
      <c r="F135" s="20" t="s">
        <v>566</v>
      </c>
      <c r="G135" s="8" t="str">
        <f t="shared" si="2"/>
        <v>ROMERO CHAD</v>
      </c>
    </row>
    <row r="136" spans="1:7" x14ac:dyDescent="0.25">
      <c r="A136" s="8">
        <v>42905.590868055559</v>
      </c>
      <c r="B136" s="20" t="s">
        <v>400</v>
      </c>
      <c r="C136" s="20" t="s">
        <v>779</v>
      </c>
      <c r="D136" s="138">
        <v>3010000</v>
      </c>
      <c r="E136" s="20" t="s">
        <v>393</v>
      </c>
      <c r="F136" s="20" t="s">
        <v>394</v>
      </c>
      <c r="G136" s="8" t="str">
        <f t="shared" si="2"/>
        <v>SULLIVAN BRANDON</v>
      </c>
    </row>
    <row r="137" spans="1:7" x14ac:dyDescent="0.25">
      <c r="A137" s="8">
        <v>42905.595902777779</v>
      </c>
      <c r="B137" s="20" t="s">
        <v>626</v>
      </c>
      <c r="C137" s="20" t="s">
        <v>780</v>
      </c>
      <c r="D137" s="138">
        <v>2040000</v>
      </c>
      <c r="E137" s="20" t="s">
        <v>741</v>
      </c>
      <c r="F137" s="20" t="s">
        <v>742</v>
      </c>
      <c r="G137" s="8" t="str">
        <f t="shared" si="2"/>
        <v>MOSES BRADLEY</v>
      </c>
    </row>
    <row r="138" spans="1:7" x14ac:dyDescent="0.25">
      <c r="A138" s="8">
        <v>42905.59648148148</v>
      </c>
      <c r="B138" s="20" t="s">
        <v>478</v>
      </c>
      <c r="C138" s="20" t="s">
        <v>781</v>
      </c>
      <c r="D138" s="138">
        <v>1300000</v>
      </c>
      <c r="E138" s="20" t="s">
        <v>768</v>
      </c>
      <c r="F138" s="20" t="s">
        <v>769</v>
      </c>
      <c r="G138" s="8" t="str">
        <f t="shared" si="2"/>
        <v>LEVIN SCOTT</v>
      </c>
    </row>
    <row r="139" spans="1:7" x14ac:dyDescent="0.25">
      <c r="A139" s="8">
        <v>42905.599988425929</v>
      </c>
      <c r="B139" s="20" t="s">
        <v>638</v>
      </c>
      <c r="C139" s="20" t="s">
        <v>639</v>
      </c>
      <c r="D139" s="138">
        <v>2140000</v>
      </c>
      <c r="E139" s="20" t="s">
        <v>412</v>
      </c>
      <c r="F139" s="20" t="s">
        <v>413</v>
      </c>
      <c r="G139" s="8" t="str">
        <f t="shared" si="2"/>
        <v>ROBINSON KADDIBA</v>
      </c>
    </row>
    <row r="140" spans="1:7" x14ac:dyDescent="0.25">
      <c r="A140" s="8">
        <v>42905.601134259261</v>
      </c>
      <c r="B140" s="20" t="s">
        <v>398</v>
      </c>
      <c r="C140" s="20" t="s">
        <v>782</v>
      </c>
      <c r="D140" s="138">
        <v>2540000</v>
      </c>
      <c r="E140" s="20" t="s">
        <v>571</v>
      </c>
      <c r="F140" s="20" t="s">
        <v>572</v>
      </c>
      <c r="G140" s="8" t="str">
        <f t="shared" si="2"/>
        <v>MCREYNOLDS KYLE</v>
      </c>
    </row>
    <row r="141" spans="1:7" x14ac:dyDescent="0.25">
      <c r="A141" s="8">
        <v>42905.601956018516</v>
      </c>
      <c r="B141" s="20" t="s">
        <v>635</v>
      </c>
      <c r="C141" s="20" t="s">
        <v>780</v>
      </c>
      <c r="D141" s="138">
        <v>2040000</v>
      </c>
      <c r="E141" s="20" t="s">
        <v>741</v>
      </c>
      <c r="F141" s="20" t="s">
        <v>742</v>
      </c>
      <c r="G141" s="8" t="str">
        <f t="shared" si="2"/>
        <v>MOSES BRADLEY</v>
      </c>
    </row>
    <row r="142" spans="1:7" x14ac:dyDescent="0.25">
      <c r="A142" s="8">
        <v>42905.603900462964</v>
      </c>
      <c r="B142" s="20" t="s">
        <v>620</v>
      </c>
      <c r="C142" s="20" t="s">
        <v>776</v>
      </c>
      <c r="D142" s="138">
        <v>920000</v>
      </c>
      <c r="E142" s="20" t="s">
        <v>414</v>
      </c>
      <c r="F142" s="20" t="s">
        <v>192</v>
      </c>
      <c r="G142" s="8" t="str">
        <f t="shared" si="2"/>
        <v>DAVIS MICHAEL</v>
      </c>
    </row>
    <row r="143" spans="1:7" x14ac:dyDescent="0.25">
      <c r="A143" s="8">
        <v>42905.604097222225</v>
      </c>
      <c r="B143" s="20" t="s">
        <v>441</v>
      </c>
      <c r="C143" s="20" t="s">
        <v>783</v>
      </c>
      <c r="D143" s="138">
        <v>2450000</v>
      </c>
      <c r="E143" s="20" t="s">
        <v>784</v>
      </c>
      <c r="F143" s="20" t="s">
        <v>785</v>
      </c>
      <c r="G143" s="8" t="str">
        <f t="shared" si="2"/>
        <v>NELSON ARIANE</v>
      </c>
    </row>
    <row r="144" spans="1:7" x14ac:dyDescent="0.25">
      <c r="A144" s="8">
        <v>42905.608611111114</v>
      </c>
      <c r="B144" s="20" t="s">
        <v>626</v>
      </c>
      <c r="C144" s="20" t="s">
        <v>786</v>
      </c>
      <c r="D144" s="138">
        <v>2040000</v>
      </c>
      <c r="E144" s="20" t="s">
        <v>741</v>
      </c>
      <c r="F144" s="20" t="s">
        <v>742</v>
      </c>
      <c r="G144" s="8" t="str">
        <f t="shared" si="2"/>
        <v>MOSES BRADLEY</v>
      </c>
    </row>
    <row r="145" spans="1:7" x14ac:dyDescent="0.25">
      <c r="A145" s="8">
        <v>42905.609039351853</v>
      </c>
      <c r="B145" s="20" t="s">
        <v>479</v>
      </c>
      <c r="C145" s="20" t="s">
        <v>637</v>
      </c>
      <c r="D145" s="138">
        <v>1300000</v>
      </c>
      <c r="E145" s="20" t="s">
        <v>768</v>
      </c>
      <c r="F145" s="20" t="s">
        <v>769</v>
      </c>
      <c r="G145" s="8" t="str">
        <f t="shared" si="2"/>
        <v>LEVIN SCOTT</v>
      </c>
    </row>
    <row r="146" spans="1:7" x14ac:dyDescent="0.25">
      <c r="A146" s="8">
        <v>42905.610162037039</v>
      </c>
      <c r="B146" s="20" t="s">
        <v>629</v>
      </c>
      <c r="C146" s="20" t="s">
        <v>787</v>
      </c>
      <c r="D146" s="138">
        <v>1770000</v>
      </c>
      <c r="E146" s="20" t="s">
        <v>569</v>
      </c>
      <c r="F146" s="20" t="s">
        <v>570</v>
      </c>
      <c r="G146" s="8" t="str">
        <f t="shared" si="2"/>
        <v>BRUDER RICHARD</v>
      </c>
    </row>
    <row r="147" spans="1:7" x14ac:dyDescent="0.25">
      <c r="A147" s="8">
        <v>42905.613587962966</v>
      </c>
      <c r="B147" s="20" t="s">
        <v>557</v>
      </c>
      <c r="C147" s="20" t="s">
        <v>788</v>
      </c>
      <c r="D147" s="138">
        <v>1810000</v>
      </c>
      <c r="E147" s="20" t="s">
        <v>367</v>
      </c>
      <c r="F147" s="20" t="s">
        <v>189</v>
      </c>
      <c r="G147" s="8" t="str">
        <f t="shared" si="2"/>
        <v>NEWELL JAMES</v>
      </c>
    </row>
    <row r="148" spans="1:7" x14ac:dyDescent="0.25">
      <c r="A148" s="8">
        <v>42905.626701388886</v>
      </c>
      <c r="B148" s="20" t="s">
        <v>525</v>
      </c>
      <c r="C148" s="20" t="s">
        <v>789</v>
      </c>
      <c r="D148" s="138">
        <v>3010000</v>
      </c>
      <c r="E148" s="20" t="s">
        <v>393</v>
      </c>
      <c r="F148" s="20" t="s">
        <v>394</v>
      </c>
      <c r="G148" s="8" t="str">
        <f t="shared" si="2"/>
        <v>SULLIVAN BRANDON</v>
      </c>
    </row>
    <row r="149" spans="1:7" x14ac:dyDescent="0.25">
      <c r="A149" s="8">
        <v>42905.626967592594</v>
      </c>
      <c r="B149" s="20" t="s">
        <v>424</v>
      </c>
      <c r="C149" s="20" t="s">
        <v>640</v>
      </c>
      <c r="D149" s="138">
        <v>2470000</v>
      </c>
      <c r="E149" s="20" t="s">
        <v>565</v>
      </c>
      <c r="F149" s="20" t="s">
        <v>566</v>
      </c>
      <c r="G149" s="8" t="str">
        <f t="shared" si="2"/>
        <v>ROMERO CHAD</v>
      </c>
    </row>
    <row r="150" spans="1:7" x14ac:dyDescent="0.25">
      <c r="A150" s="8">
        <v>42905.632650462961</v>
      </c>
      <c r="B150" s="20" t="s">
        <v>669</v>
      </c>
      <c r="C150" s="20" t="s">
        <v>790</v>
      </c>
      <c r="D150" s="138">
        <v>2140000</v>
      </c>
      <c r="E150" s="20" t="s">
        <v>412</v>
      </c>
      <c r="F150" s="20" t="s">
        <v>413</v>
      </c>
      <c r="G150" s="8" t="str">
        <f t="shared" si="2"/>
        <v>ROBINSON KADDIBA</v>
      </c>
    </row>
    <row r="151" spans="1:7" x14ac:dyDescent="0.25">
      <c r="A151" s="8">
        <v>42905.637962962966</v>
      </c>
      <c r="B151" s="20" t="s">
        <v>476</v>
      </c>
      <c r="C151" s="20" t="s">
        <v>791</v>
      </c>
      <c r="D151" s="138">
        <v>2000000</v>
      </c>
      <c r="E151" s="20" t="s">
        <v>498</v>
      </c>
      <c r="F151" s="20" t="s">
        <v>189</v>
      </c>
      <c r="G151" s="8" t="str">
        <f t="shared" si="2"/>
        <v>STAMBAUGH JAMES</v>
      </c>
    </row>
    <row r="152" spans="1:7" x14ac:dyDescent="0.25">
      <c r="A152" s="8">
        <v>42905.637962962966</v>
      </c>
      <c r="B152" s="20" t="s">
        <v>478</v>
      </c>
      <c r="C152" s="20" t="s">
        <v>792</v>
      </c>
      <c r="D152" s="138">
        <v>1300000</v>
      </c>
      <c r="E152" s="20" t="s">
        <v>768</v>
      </c>
      <c r="F152" s="20" t="s">
        <v>769</v>
      </c>
      <c r="G152" s="8" t="str">
        <f t="shared" si="2"/>
        <v>LEVIN SCOTT</v>
      </c>
    </row>
    <row r="153" spans="1:7" x14ac:dyDescent="0.25">
      <c r="A153" s="8">
        <v>42905.639097222222</v>
      </c>
      <c r="B153" s="20" t="s">
        <v>397</v>
      </c>
      <c r="C153" s="20" t="s">
        <v>793</v>
      </c>
      <c r="D153" s="138">
        <v>2540000</v>
      </c>
      <c r="E153" s="20" t="s">
        <v>571</v>
      </c>
      <c r="F153" s="20" t="s">
        <v>572</v>
      </c>
      <c r="G153" s="8" t="str">
        <f t="shared" si="2"/>
        <v>MCREYNOLDS KYLE</v>
      </c>
    </row>
    <row r="154" spans="1:7" x14ac:dyDescent="0.25">
      <c r="A154" s="8">
        <v>42905.642314814817</v>
      </c>
      <c r="B154" s="20" t="s">
        <v>654</v>
      </c>
      <c r="C154" s="20" t="s">
        <v>794</v>
      </c>
      <c r="D154" s="138">
        <v>1770000</v>
      </c>
      <c r="E154" s="20" t="s">
        <v>569</v>
      </c>
      <c r="F154" s="20" t="s">
        <v>570</v>
      </c>
      <c r="G154" s="8" t="str">
        <f t="shared" si="2"/>
        <v>BRUDER RICHARD</v>
      </c>
    </row>
    <row r="155" spans="1:7" x14ac:dyDescent="0.25">
      <c r="A155" s="8">
        <v>42905.650601851848</v>
      </c>
      <c r="B155" s="20" t="s">
        <v>479</v>
      </c>
      <c r="C155" s="20" t="s">
        <v>641</v>
      </c>
      <c r="D155" s="138">
        <v>1300000</v>
      </c>
      <c r="E155" s="20" t="s">
        <v>768</v>
      </c>
      <c r="F155" s="20" t="s">
        <v>769</v>
      </c>
      <c r="G155" s="8" t="str">
        <f t="shared" si="2"/>
        <v>LEVIN SCOTT</v>
      </c>
    </row>
    <row r="156" spans="1:7" x14ac:dyDescent="0.25">
      <c r="A156" s="8">
        <v>42905.652418981481</v>
      </c>
      <c r="B156" s="20" t="s">
        <v>635</v>
      </c>
      <c r="C156" s="20" t="s">
        <v>795</v>
      </c>
      <c r="D156" s="138">
        <v>2040000</v>
      </c>
      <c r="E156" s="20" t="s">
        <v>741</v>
      </c>
      <c r="F156" s="20" t="s">
        <v>742</v>
      </c>
      <c r="G156" s="8" t="str">
        <f t="shared" si="2"/>
        <v>MOSES BRADLEY</v>
      </c>
    </row>
    <row r="157" spans="1:7" x14ac:dyDescent="0.25">
      <c r="A157" s="8">
        <v>42905.652650462966</v>
      </c>
      <c r="B157" s="20" t="s">
        <v>462</v>
      </c>
      <c r="C157" s="20" t="s">
        <v>796</v>
      </c>
      <c r="D157" s="138">
        <v>2360000</v>
      </c>
      <c r="E157" s="20" t="s">
        <v>567</v>
      </c>
      <c r="F157" s="20" t="s">
        <v>568</v>
      </c>
      <c r="G157" s="8" t="str">
        <f t="shared" si="2"/>
        <v>BRANDNER MELINDA</v>
      </c>
    </row>
    <row r="158" spans="1:7" x14ac:dyDescent="0.25">
      <c r="A158" s="8">
        <v>42905.653587962966</v>
      </c>
      <c r="B158" s="20" t="s">
        <v>477</v>
      </c>
      <c r="C158" s="20" t="s">
        <v>797</v>
      </c>
      <c r="D158" s="138">
        <v>2000000</v>
      </c>
      <c r="E158" s="20" t="s">
        <v>498</v>
      </c>
      <c r="F158" s="20" t="s">
        <v>189</v>
      </c>
      <c r="G158" s="8" t="str">
        <f t="shared" si="2"/>
        <v>STAMBAUGH JAMES</v>
      </c>
    </row>
    <row r="159" spans="1:7" x14ac:dyDescent="0.25">
      <c r="A159" s="8">
        <v>42905.654282407406</v>
      </c>
      <c r="B159" s="20" t="s">
        <v>420</v>
      </c>
      <c r="C159" s="20" t="s">
        <v>798</v>
      </c>
      <c r="D159" s="138">
        <v>2470000</v>
      </c>
      <c r="E159" s="20" t="s">
        <v>565</v>
      </c>
      <c r="F159" s="20" t="s">
        <v>566</v>
      </c>
      <c r="G159" s="8" t="str">
        <f t="shared" si="2"/>
        <v>ROMERO CHAD</v>
      </c>
    </row>
    <row r="160" spans="1:7" x14ac:dyDescent="0.25">
      <c r="A160" s="8">
        <v>42905.662719907406</v>
      </c>
      <c r="B160" s="20" t="s">
        <v>400</v>
      </c>
      <c r="C160" s="20" t="s">
        <v>799</v>
      </c>
      <c r="D160" s="138">
        <v>3010000</v>
      </c>
      <c r="E160" s="20" t="s">
        <v>393</v>
      </c>
      <c r="F160" s="20" t="s">
        <v>394</v>
      </c>
      <c r="G160" s="8" t="str">
        <f t="shared" si="2"/>
        <v>SULLIVAN BRANDON</v>
      </c>
    </row>
    <row r="161" spans="1:7" x14ac:dyDescent="0.25">
      <c r="A161" s="8">
        <v>42905.6721875</v>
      </c>
      <c r="B161" s="20" t="s">
        <v>638</v>
      </c>
      <c r="C161" s="20" t="s">
        <v>800</v>
      </c>
      <c r="D161" s="138">
        <v>2140000</v>
      </c>
      <c r="E161" s="20" t="s">
        <v>412</v>
      </c>
      <c r="F161" s="20" t="s">
        <v>413</v>
      </c>
      <c r="G161" s="8" t="str">
        <f t="shared" si="2"/>
        <v>ROBINSON KADDIBA</v>
      </c>
    </row>
    <row r="162" spans="1:7" x14ac:dyDescent="0.25">
      <c r="A162" s="8">
        <v>42905.672222222223</v>
      </c>
      <c r="B162" s="20" t="s">
        <v>476</v>
      </c>
      <c r="C162" s="20" t="s">
        <v>642</v>
      </c>
      <c r="D162" s="138">
        <v>2000000</v>
      </c>
      <c r="E162" s="20" t="s">
        <v>498</v>
      </c>
      <c r="F162" s="20" t="s">
        <v>189</v>
      </c>
      <c r="G162" s="8" t="str">
        <f t="shared" si="2"/>
        <v>STAMBAUGH JAMES</v>
      </c>
    </row>
    <row r="163" spans="1:7" x14ac:dyDescent="0.25">
      <c r="A163" s="8">
        <v>42905.672847222224</v>
      </c>
      <c r="B163" s="20" t="s">
        <v>398</v>
      </c>
      <c r="C163" s="20" t="s">
        <v>801</v>
      </c>
      <c r="D163" s="138">
        <v>2540000</v>
      </c>
      <c r="E163" s="20" t="s">
        <v>571</v>
      </c>
      <c r="F163" s="20" t="s">
        <v>572</v>
      </c>
      <c r="G163" s="8" t="str">
        <f t="shared" si="2"/>
        <v>MCREYNOLDS KYLE</v>
      </c>
    </row>
    <row r="164" spans="1:7" x14ac:dyDescent="0.25">
      <c r="A164" s="8">
        <v>42905.678101851852</v>
      </c>
      <c r="B164" s="20" t="s">
        <v>629</v>
      </c>
      <c r="C164" s="20" t="s">
        <v>802</v>
      </c>
      <c r="D164" s="138">
        <v>1770000</v>
      </c>
      <c r="E164" s="20" t="s">
        <v>569</v>
      </c>
      <c r="F164" s="20" t="s">
        <v>570</v>
      </c>
      <c r="G164" s="8" t="str">
        <f t="shared" si="2"/>
        <v>BRUDER RICHARD</v>
      </c>
    </row>
    <row r="165" spans="1:7" x14ac:dyDescent="0.25">
      <c r="A165" s="8">
        <v>42905.679826388892</v>
      </c>
      <c r="B165" s="20" t="s">
        <v>478</v>
      </c>
      <c r="C165" s="20" t="s">
        <v>803</v>
      </c>
      <c r="D165" s="138">
        <v>1300000</v>
      </c>
      <c r="E165" s="20" t="s">
        <v>768</v>
      </c>
      <c r="F165" s="20" t="s">
        <v>769</v>
      </c>
      <c r="G165" s="8" t="str">
        <f t="shared" si="2"/>
        <v>LEVIN SCOTT</v>
      </c>
    </row>
    <row r="166" spans="1:7" x14ac:dyDescent="0.25">
      <c r="A166" s="8">
        <v>42905.68414351852</v>
      </c>
      <c r="B166" s="20" t="s">
        <v>626</v>
      </c>
      <c r="C166" s="20" t="s">
        <v>804</v>
      </c>
      <c r="D166" s="138">
        <v>920000</v>
      </c>
      <c r="E166" s="20" t="s">
        <v>414</v>
      </c>
      <c r="F166" s="20" t="s">
        <v>192</v>
      </c>
      <c r="G166" s="8" t="str">
        <f t="shared" si="2"/>
        <v>DAVIS MICHAEL</v>
      </c>
    </row>
    <row r="167" spans="1:7" x14ac:dyDescent="0.25">
      <c r="A167" s="8">
        <v>42905.686076388891</v>
      </c>
      <c r="B167" s="20" t="s">
        <v>477</v>
      </c>
      <c r="C167" s="20" t="s">
        <v>644</v>
      </c>
      <c r="D167" s="138">
        <v>2000000</v>
      </c>
      <c r="E167" s="20" t="s">
        <v>498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42905.692048611112</v>
      </c>
      <c r="B168" s="20" t="s">
        <v>424</v>
      </c>
      <c r="C168" s="20" t="s">
        <v>805</v>
      </c>
      <c r="D168" s="138">
        <v>2470000</v>
      </c>
      <c r="E168" s="20" t="s">
        <v>565</v>
      </c>
      <c r="F168" s="20" t="s">
        <v>566</v>
      </c>
      <c r="G168" s="8" t="str">
        <f t="shared" si="2"/>
        <v>ROMERO CHAD</v>
      </c>
    </row>
    <row r="169" spans="1:7" x14ac:dyDescent="0.25">
      <c r="A169" s="8">
        <v>42905.692152777781</v>
      </c>
      <c r="B169" s="20" t="s">
        <v>479</v>
      </c>
      <c r="C169" s="20" t="s">
        <v>643</v>
      </c>
      <c r="D169" s="138">
        <v>1300000</v>
      </c>
      <c r="E169" s="20" t="s">
        <v>768</v>
      </c>
      <c r="F169" s="20" t="s">
        <v>769</v>
      </c>
      <c r="G169" s="8" t="str">
        <f t="shared" si="2"/>
        <v>LEVIN SCOTT</v>
      </c>
    </row>
    <row r="170" spans="1:7" x14ac:dyDescent="0.25">
      <c r="A170" s="8">
        <v>42905.694386574076</v>
      </c>
      <c r="B170" s="20" t="s">
        <v>557</v>
      </c>
      <c r="C170" s="20" t="s">
        <v>806</v>
      </c>
      <c r="D170" s="138">
        <v>2360000</v>
      </c>
      <c r="E170" s="20" t="s">
        <v>567</v>
      </c>
      <c r="F170" s="20" t="s">
        <v>568</v>
      </c>
      <c r="G170" s="8" t="str">
        <f t="shared" si="2"/>
        <v>BRANDNER MELINDA</v>
      </c>
    </row>
    <row r="171" spans="1:7" x14ac:dyDescent="0.25">
      <c r="A171" s="8">
        <v>42905.699224537035</v>
      </c>
      <c r="B171" s="20" t="s">
        <v>525</v>
      </c>
      <c r="C171" s="20" t="s">
        <v>807</v>
      </c>
      <c r="D171" s="138">
        <v>3010000</v>
      </c>
      <c r="E171" s="20" t="s">
        <v>393</v>
      </c>
      <c r="F171" s="20" t="s">
        <v>394</v>
      </c>
      <c r="G171" s="8" t="str">
        <f t="shared" si="2"/>
        <v>SULLIVAN BRANDON</v>
      </c>
    </row>
    <row r="172" spans="1:7" x14ac:dyDescent="0.25">
      <c r="A172" s="8">
        <v>42905.704131944447</v>
      </c>
      <c r="B172" s="20" t="s">
        <v>669</v>
      </c>
      <c r="C172" s="20" t="s">
        <v>808</v>
      </c>
      <c r="D172" s="138">
        <v>2140000</v>
      </c>
      <c r="E172" s="20" t="s">
        <v>412</v>
      </c>
      <c r="F172" s="20" t="s">
        <v>413</v>
      </c>
      <c r="G172" s="8" t="str">
        <f t="shared" si="2"/>
        <v>ROBINSON KADDIBA</v>
      </c>
    </row>
    <row r="173" spans="1:7" x14ac:dyDescent="0.25">
      <c r="A173" s="8">
        <v>42905.707939814813</v>
      </c>
      <c r="B173" s="20" t="s">
        <v>399</v>
      </c>
      <c r="C173" s="20" t="s">
        <v>809</v>
      </c>
      <c r="D173" s="138">
        <v>1810000</v>
      </c>
      <c r="E173" s="20" t="s">
        <v>367</v>
      </c>
      <c r="F173" s="20" t="s">
        <v>189</v>
      </c>
      <c r="G173" s="8" t="str">
        <f t="shared" si="2"/>
        <v>NEWELL JAMES</v>
      </c>
    </row>
    <row r="174" spans="1:7" x14ac:dyDescent="0.25">
      <c r="A174" s="8">
        <v>42905.711134259262</v>
      </c>
      <c r="B174" s="20" t="s">
        <v>397</v>
      </c>
      <c r="C174" s="20" t="s">
        <v>810</v>
      </c>
      <c r="D174" s="138">
        <v>2540000</v>
      </c>
      <c r="E174" s="20" t="s">
        <v>571</v>
      </c>
      <c r="F174" s="20" t="s">
        <v>572</v>
      </c>
      <c r="G174" s="8" t="str">
        <f t="shared" si="2"/>
        <v>MCREYNOLDS KYLE</v>
      </c>
    </row>
    <row r="175" spans="1:7" x14ac:dyDescent="0.25">
      <c r="A175" s="8">
        <v>42905.713819444441</v>
      </c>
      <c r="B175" s="20" t="s">
        <v>476</v>
      </c>
      <c r="C175" s="20" t="s">
        <v>811</v>
      </c>
      <c r="D175" s="138">
        <v>2000000</v>
      </c>
      <c r="E175" s="20" t="s">
        <v>498</v>
      </c>
      <c r="F175" s="20" t="s">
        <v>189</v>
      </c>
      <c r="G175" s="8" t="str">
        <f t="shared" si="2"/>
        <v>STAMBAUGH JAMES</v>
      </c>
    </row>
    <row r="176" spans="1:7" x14ac:dyDescent="0.25">
      <c r="A176" s="8">
        <v>42905.71471064815</v>
      </c>
      <c r="B176" s="20" t="s">
        <v>654</v>
      </c>
      <c r="C176" s="20" t="s">
        <v>812</v>
      </c>
      <c r="D176" s="138">
        <v>1770000</v>
      </c>
      <c r="E176" s="20" t="s">
        <v>569</v>
      </c>
      <c r="F176" s="20" t="s">
        <v>570</v>
      </c>
      <c r="G176" s="8" t="str">
        <f t="shared" si="2"/>
        <v>BRUDER RICHARD</v>
      </c>
    </row>
    <row r="177" spans="1:7" x14ac:dyDescent="0.25">
      <c r="A177" s="8">
        <v>42905.72078703704</v>
      </c>
      <c r="B177" s="20" t="s">
        <v>372</v>
      </c>
      <c r="C177" s="20" t="s">
        <v>813</v>
      </c>
      <c r="D177" s="138">
        <v>2040000</v>
      </c>
      <c r="E177" s="20" t="s">
        <v>741</v>
      </c>
      <c r="F177" s="20" t="s">
        <v>742</v>
      </c>
      <c r="G177" s="8" t="str">
        <f t="shared" si="2"/>
        <v>MOSES BRADLEY</v>
      </c>
    </row>
    <row r="178" spans="1:7" x14ac:dyDescent="0.25">
      <c r="A178" s="8">
        <v>42905.721296296295</v>
      </c>
      <c r="B178" s="20" t="s">
        <v>478</v>
      </c>
      <c r="C178" s="20" t="s">
        <v>645</v>
      </c>
      <c r="D178" s="138">
        <v>1300000</v>
      </c>
      <c r="E178" s="20" t="s">
        <v>768</v>
      </c>
      <c r="F178" s="20" t="s">
        <v>769</v>
      </c>
      <c r="G178" s="8" t="str">
        <f t="shared" si="2"/>
        <v>LEVIN SCOTT</v>
      </c>
    </row>
    <row r="179" spans="1:7" x14ac:dyDescent="0.25">
      <c r="A179" s="8">
        <v>42905.725787037038</v>
      </c>
      <c r="B179" s="20" t="s">
        <v>635</v>
      </c>
      <c r="C179" s="20" t="s">
        <v>814</v>
      </c>
      <c r="D179" s="138">
        <v>920000</v>
      </c>
      <c r="E179" s="20" t="s">
        <v>414</v>
      </c>
      <c r="F179" s="20" t="s">
        <v>192</v>
      </c>
      <c r="G179" s="8" t="str">
        <f t="shared" si="2"/>
        <v>DAVIS MICHAEL</v>
      </c>
    </row>
    <row r="180" spans="1:7" x14ac:dyDescent="0.25">
      <c r="A180" s="8">
        <v>42905.727013888885</v>
      </c>
      <c r="B180" s="20" t="s">
        <v>477</v>
      </c>
      <c r="C180" s="20" t="s">
        <v>815</v>
      </c>
      <c r="D180" s="138">
        <v>2000000</v>
      </c>
      <c r="E180" s="20" t="s">
        <v>498</v>
      </c>
      <c r="F180" s="20" t="s">
        <v>189</v>
      </c>
      <c r="G180" s="8" t="str">
        <f t="shared" si="2"/>
        <v>STAMBAUGH JAMES</v>
      </c>
    </row>
    <row r="181" spans="1:7" x14ac:dyDescent="0.25">
      <c r="A181" s="8">
        <v>42905.727476851855</v>
      </c>
      <c r="B181" s="20" t="s">
        <v>462</v>
      </c>
      <c r="C181" s="20" t="s">
        <v>816</v>
      </c>
      <c r="D181" s="138">
        <v>2360000</v>
      </c>
      <c r="E181" s="20" t="s">
        <v>567</v>
      </c>
      <c r="F181" s="20" t="s">
        <v>568</v>
      </c>
      <c r="G181" s="8" t="str">
        <f t="shared" si="2"/>
        <v>BRANDNER MELINDA</v>
      </c>
    </row>
    <row r="182" spans="1:7" x14ac:dyDescent="0.25">
      <c r="A182" s="8">
        <v>42905.727939814817</v>
      </c>
      <c r="B182" s="20" t="s">
        <v>420</v>
      </c>
      <c r="C182" s="20" t="s">
        <v>817</v>
      </c>
      <c r="D182" s="138">
        <v>2470000</v>
      </c>
      <c r="E182" s="20" t="s">
        <v>565</v>
      </c>
      <c r="F182" s="20" t="s">
        <v>566</v>
      </c>
      <c r="G182" s="8" t="str">
        <f t="shared" si="2"/>
        <v>ROMERO CHAD</v>
      </c>
    </row>
    <row r="183" spans="1:7" x14ac:dyDescent="0.25">
      <c r="A183" s="8">
        <v>42905.734224537038</v>
      </c>
      <c r="B183" s="20" t="s">
        <v>479</v>
      </c>
      <c r="C183" s="20" t="s">
        <v>646</v>
      </c>
      <c r="D183" s="138">
        <v>1300000</v>
      </c>
      <c r="E183" s="20" t="s">
        <v>768</v>
      </c>
      <c r="F183" s="20" t="s">
        <v>769</v>
      </c>
      <c r="G183" s="8" t="str">
        <f t="shared" si="2"/>
        <v>LEVIN SCOTT</v>
      </c>
    </row>
    <row r="184" spans="1:7" x14ac:dyDescent="0.25">
      <c r="A184" s="8">
        <v>42905.738483796296</v>
      </c>
      <c r="B184" s="20" t="s">
        <v>400</v>
      </c>
      <c r="C184" s="20" t="s">
        <v>818</v>
      </c>
      <c r="D184" s="138">
        <v>3190000</v>
      </c>
      <c r="E184" s="20" t="s">
        <v>819</v>
      </c>
      <c r="F184" s="20" t="s">
        <v>820</v>
      </c>
      <c r="G184" s="8" t="str">
        <f t="shared" si="2"/>
        <v>HART KEVIN</v>
      </c>
    </row>
    <row r="185" spans="1:7" x14ac:dyDescent="0.25">
      <c r="A185" s="8">
        <v>42905.740729166668</v>
      </c>
      <c r="B185" s="20" t="s">
        <v>496</v>
      </c>
      <c r="C185" s="20" t="s">
        <v>821</v>
      </c>
      <c r="D185" s="138">
        <v>3030000</v>
      </c>
      <c r="E185" s="20" t="s">
        <v>381</v>
      </c>
      <c r="F185" s="20" t="s">
        <v>366</v>
      </c>
      <c r="G185" s="8" t="str">
        <f t="shared" si="2"/>
        <v>BIRENBAUM THOMAS</v>
      </c>
    </row>
    <row r="186" spans="1:7" x14ac:dyDescent="0.25">
      <c r="A186" s="8">
        <v>42905.743981481479</v>
      </c>
      <c r="B186" s="20" t="s">
        <v>638</v>
      </c>
      <c r="C186" s="20" t="s">
        <v>822</v>
      </c>
      <c r="D186" s="138">
        <v>2140000</v>
      </c>
      <c r="E186" s="20" t="s">
        <v>412</v>
      </c>
      <c r="F186" s="20" t="s">
        <v>413</v>
      </c>
      <c r="G186" s="8" t="str">
        <f t="shared" si="2"/>
        <v>ROBINSON KADDIBA</v>
      </c>
    </row>
    <row r="187" spans="1:7" x14ac:dyDescent="0.25">
      <c r="A187" s="8">
        <v>42905.745370370372</v>
      </c>
      <c r="B187" s="20" t="s">
        <v>398</v>
      </c>
      <c r="C187" s="20" t="s">
        <v>823</v>
      </c>
      <c r="D187" s="138">
        <v>2540000</v>
      </c>
      <c r="E187" s="20" t="s">
        <v>571</v>
      </c>
      <c r="F187" s="20" t="s">
        <v>572</v>
      </c>
      <c r="G187" s="8" t="str">
        <f t="shared" si="2"/>
        <v>MCREYNOLDS KYLE</v>
      </c>
    </row>
    <row r="188" spans="1:7" x14ac:dyDescent="0.25">
      <c r="A188" s="8">
        <v>42905.754699074074</v>
      </c>
      <c r="B188" s="20" t="s">
        <v>629</v>
      </c>
      <c r="C188" s="20" t="s">
        <v>824</v>
      </c>
      <c r="D188" s="138">
        <v>1770000</v>
      </c>
      <c r="E188" s="20" t="s">
        <v>569</v>
      </c>
      <c r="F188" s="20" t="s">
        <v>570</v>
      </c>
      <c r="G188" s="8" t="str">
        <f t="shared" si="2"/>
        <v>BRUDER RICHARD</v>
      </c>
    </row>
    <row r="189" spans="1:7" x14ac:dyDescent="0.25">
      <c r="A189" s="8">
        <v>42905.756412037037</v>
      </c>
      <c r="B189" s="20" t="s">
        <v>476</v>
      </c>
      <c r="C189" s="20" t="s">
        <v>647</v>
      </c>
      <c r="D189" s="138">
        <v>2000000</v>
      </c>
      <c r="E189" s="20" t="s">
        <v>498</v>
      </c>
      <c r="F189" s="20" t="s">
        <v>189</v>
      </c>
      <c r="G189" s="8" t="str">
        <f t="shared" si="2"/>
        <v>STAMBAUGH JAMES</v>
      </c>
    </row>
    <row r="190" spans="1:7" x14ac:dyDescent="0.25">
      <c r="A190" s="8">
        <v>42905.757199074076</v>
      </c>
      <c r="B190" s="20" t="s">
        <v>626</v>
      </c>
      <c r="C190" s="20" t="s">
        <v>825</v>
      </c>
      <c r="D190" s="138">
        <v>2090000</v>
      </c>
      <c r="E190" s="20" t="s">
        <v>458</v>
      </c>
      <c r="F190" s="20" t="s">
        <v>192</v>
      </c>
      <c r="G190" s="8" t="str">
        <f t="shared" si="2"/>
        <v>HAITHCOX MICHAEL</v>
      </c>
    </row>
    <row r="191" spans="1:7" x14ac:dyDescent="0.25">
      <c r="A191" s="8">
        <v>42905.76295138889</v>
      </c>
      <c r="B191" s="20" t="s">
        <v>478</v>
      </c>
      <c r="C191" s="20" t="s">
        <v>826</v>
      </c>
      <c r="D191" s="138">
        <v>1300000</v>
      </c>
      <c r="E191" s="20" t="s">
        <v>768</v>
      </c>
      <c r="F191" s="20" t="s">
        <v>769</v>
      </c>
      <c r="G191" s="8" t="str">
        <f t="shared" si="2"/>
        <v>LEVIN SCOTT</v>
      </c>
    </row>
    <row r="192" spans="1:7" x14ac:dyDescent="0.25">
      <c r="A192" s="8">
        <v>42905.765347222223</v>
      </c>
      <c r="B192" s="20" t="s">
        <v>424</v>
      </c>
      <c r="C192" s="20" t="s">
        <v>827</v>
      </c>
      <c r="D192" s="138">
        <v>2970000</v>
      </c>
      <c r="E192" s="20" t="s">
        <v>379</v>
      </c>
      <c r="F192" s="20" t="s">
        <v>380</v>
      </c>
      <c r="G192" s="8" t="str">
        <f t="shared" si="2"/>
        <v>GUZMAN DANNY</v>
      </c>
    </row>
    <row r="193" spans="1:7" x14ac:dyDescent="0.25">
      <c r="A193" s="8">
        <v>42905.7653587963</v>
      </c>
      <c r="B193" s="20" t="s">
        <v>557</v>
      </c>
      <c r="C193" s="20" t="s">
        <v>828</v>
      </c>
      <c r="D193" s="138">
        <v>2360000</v>
      </c>
      <c r="E193" s="20" t="s">
        <v>567</v>
      </c>
      <c r="F193" s="20" t="s">
        <v>568</v>
      </c>
      <c r="G193" s="8" t="str">
        <f t="shared" si="2"/>
        <v>BRANDNER MELINDA</v>
      </c>
    </row>
    <row r="194" spans="1:7" x14ac:dyDescent="0.25">
      <c r="A194" s="8">
        <v>42905.769652777781</v>
      </c>
      <c r="B194" s="20" t="s">
        <v>525</v>
      </c>
      <c r="C194" s="20" t="s">
        <v>829</v>
      </c>
      <c r="D194" s="138">
        <v>3190000</v>
      </c>
      <c r="E194" s="20" t="s">
        <v>819</v>
      </c>
      <c r="F194" s="20" t="s">
        <v>820</v>
      </c>
      <c r="G194" s="8" t="str">
        <f t="shared" si="2"/>
        <v>HART KEVIN</v>
      </c>
    </row>
    <row r="195" spans="1:7" x14ac:dyDescent="0.25">
      <c r="A195" s="8">
        <v>42905.769699074073</v>
      </c>
      <c r="B195" s="20" t="s">
        <v>477</v>
      </c>
      <c r="C195" s="20" t="s">
        <v>649</v>
      </c>
      <c r="D195" s="138">
        <v>2000000</v>
      </c>
      <c r="E195" s="20" t="s">
        <v>498</v>
      </c>
      <c r="F195" s="20" t="s">
        <v>189</v>
      </c>
      <c r="G195" s="8" t="str">
        <f t="shared" ref="G195:G258" si="3">E195&amp;" "&amp;F195</f>
        <v>STAMBAUGH JAMES</v>
      </c>
    </row>
    <row r="196" spans="1:7" x14ac:dyDescent="0.25">
      <c r="A196" s="8">
        <v>42905.775706018518</v>
      </c>
      <c r="B196" s="20" t="s">
        <v>479</v>
      </c>
      <c r="C196" s="20" t="s">
        <v>648</v>
      </c>
      <c r="D196" s="138">
        <v>1300000</v>
      </c>
      <c r="E196" s="20" t="s">
        <v>768</v>
      </c>
      <c r="F196" s="20" t="s">
        <v>769</v>
      </c>
      <c r="G196" s="8" t="str">
        <f t="shared" si="3"/>
        <v>LEVIN SCOTT</v>
      </c>
    </row>
    <row r="197" spans="1:7" x14ac:dyDescent="0.25">
      <c r="A197" s="8">
        <v>42905.777719907404</v>
      </c>
      <c r="B197" s="20" t="s">
        <v>669</v>
      </c>
      <c r="C197" s="20" t="s">
        <v>830</v>
      </c>
      <c r="D197" s="138">
        <v>2140000</v>
      </c>
      <c r="E197" s="20" t="s">
        <v>412</v>
      </c>
      <c r="F197" s="20" t="s">
        <v>413</v>
      </c>
      <c r="G197" s="8" t="str">
        <f t="shared" si="3"/>
        <v>ROBINSON KADDIBA</v>
      </c>
    </row>
    <row r="198" spans="1:7" x14ac:dyDescent="0.25">
      <c r="A198" s="8">
        <v>42905.783541666664</v>
      </c>
      <c r="B198" s="20" t="s">
        <v>397</v>
      </c>
      <c r="C198" s="20" t="s">
        <v>831</v>
      </c>
      <c r="D198" s="138">
        <v>2540000</v>
      </c>
      <c r="E198" s="20" t="s">
        <v>571</v>
      </c>
      <c r="F198" s="20" t="s">
        <v>572</v>
      </c>
      <c r="G198" s="8" t="str">
        <f t="shared" si="3"/>
        <v>MCREYNOLDS KYLE</v>
      </c>
    </row>
    <row r="199" spans="1:7" x14ac:dyDescent="0.25">
      <c r="A199" s="8">
        <v>42905.788229166668</v>
      </c>
      <c r="B199" s="20" t="s">
        <v>654</v>
      </c>
      <c r="C199" s="20" t="s">
        <v>832</v>
      </c>
      <c r="D199" s="138">
        <v>3030000</v>
      </c>
      <c r="E199" s="20" t="s">
        <v>381</v>
      </c>
      <c r="F199" s="20" t="s">
        <v>366</v>
      </c>
      <c r="G199" s="8" t="str">
        <f t="shared" si="3"/>
        <v>BIRENBAUM THOMAS</v>
      </c>
    </row>
    <row r="200" spans="1:7" x14ac:dyDescent="0.25">
      <c r="A200" s="8">
        <v>42905.796319444446</v>
      </c>
      <c r="B200" s="20" t="s">
        <v>635</v>
      </c>
      <c r="C200" s="20" t="s">
        <v>833</v>
      </c>
      <c r="D200" s="138">
        <v>2090000</v>
      </c>
      <c r="E200" s="20" t="s">
        <v>458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42905.796793981484</v>
      </c>
      <c r="B201" s="20" t="s">
        <v>476</v>
      </c>
      <c r="C201" s="20" t="s">
        <v>834</v>
      </c>
      <c r="D201" s="138">
        <v>2000000</v>
      </c>
      <c r="E201" s="20" t="s">
        <v>498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42905.798854166664</v>
      </c>
      <c r="B202" s="20" t="s">
        <v>462</v>
      </c>
      <c r="C202" s="20" t="s">
        <v>835</v>
      </c>
      <c r="D202" s="138">
        <v>2360000</v>
      </c>
      <c r="E202" s="20" t="s">
        <v>567</v>
      </c>
      <c r="F202" s="20" t="s">
        <v>568</v>
      </c>
      <c r="G202" s="8" t="str">
        <f t="shared" si="3"/>
        <v>BRANDNER MELINDA</v>
      </c>
    </row>
    <row r="203" spans="1:7" x14ac:dyDescent="0.25">
      <c r="A203" s="8">
        <v>42905.801759259259</v>
      </c>
      <c r="B203" s="20" t="s">
        <v>420</v>
      </c>
      <c r="C203" s="20" t="s">
        <v>836</v>
      </c>
      <c r="D203" s="138">
        <v>2970000</v>
      </c>
      <c r="E203" s="20" t="s">
        <v>379</v>
      </c>
      <c r="F203" s="20" t="s">
        <v>380</v>
      </c>
      <c r="G203" s="8" t="str">
        <f t="shared" si="3"/>
        <v>GUZMAN DANNY</v>
      </c>
    </row>
    <row r="204" spans="1:7" x14ac:dyDescent="0.25">
      <c r="A204" s="8">
        <v>42905.803680555553</v>
      </c>
      <c r="B204" s="20" t="s">
        <v>478</v>
      </c>
      <c r="C204" s="20" t="s">
        <v>837</v>
      </c>
      <c r="D204" s="138">
        <v>1300000</v>
      </c>
      <c r="E204" s="20" t="s">
        <v>768</v>
      </c>
      <c r="F204" s="20" t="s">
        <v>769</v>
      </c>
      <c r="G204" s="8" t="str">
        <f t="shared" si="3"/>
        <v>LEVIN SCOTT</v>
      </c>
    </row>
    <row r="205" spans="1:7" x14ac:dyDescent="0.25">
      <c r="A205" s="8">
        <v>42905.808611111112</v>
      </c>
      <c r="B205" s="20" t="s">
        <v>400</v>
      </c>
      <c r="C205" s="20" t="s">
        <v>838</v>
      </c>
      <c r="D205" s="138">
        <v>3190000</v>
      </c>
      <c r="E205" s="20" t="s">
        <v>819</v>
      </c>
      <c r="F205" s="20" t="s">
        <v>820</v>
      </c>
      <c r="G205" s="8" t="str">
        <f t="shared" si="3"/>
        <v>HART KEVIN</v>
      </c>
    </row>
    <row r="206" spans="1:7" x14ac:dyDescent="0.25">
      <c r="A206" s="8">
        <v>42905.817280092589</v>
      </c>
      <c r="B206" s="20" t="s">
        <v>479</v>
      </c>
      <c r="C206" s="20" t="s">
        <v>650</v>
      </c>
      <c r="D206" s="138">
        <v>1300000</v>
      </c>
      <c r="E206" s="20" t="s">
        <v>768</v>
      </c>
      <c r="F206" s="20" t="s">
        <v>769</v>
      </c>
      <c r="G206" s="8" t="str">
        <f t="shared" si="3"/>
        <v>LEVIN SCOTT</v>
      </c>
    </row>
    <row r="207" spans="1:7" x14ac:dyDescent="0.25">
      <c r="A207" s="8">
        <v>42905.817835648151</v>
      </c>
      <c r="B207" s="20" t="s">
        <v>398</v>
      </c>
      <c r="C207" s="20" t="s">
        <v>839</v>
      </c>
      <c r="D207" s="138">
        <v>2540000</v>
      </c>
      <c r="E207" s="20" t="s">
        <v>571</v>
      </c>
      <c r="F207" s="20" t="s">
        <v>572</v>
      </c>
      <c r="G207" s="8" t="str">
        <f t="shared" si="3"/>
        <v>MCREYNOLDS KYLE</v>
      </c>
    </row>
    <row r="208" spans="1:7" x14ac:dyDescent="0.25">
      <c r="A208" s="8">
        <v>42905.827199074076</v>
      </c>
      <c r="B208" s="20" t="s">
        <v>629</v>
      </c>
      <c r="C208" s="20" t="s">
        <v>840</v>
      </c>
      <c r="D208" s="138">
        <v>3030000</v>
      </c>
      <c r="E208" s="20" t="s">
        <v>381</v>
      </c>
      <c r="F208" s="20" t="s">
        <v>366</v>
      </c>
      <c r="G208" s="8" t="str">
        <f t="shared" si="3"/>
        <v>BIRENBAUM THOMAS</v>
      </c>
    </row>
    <row r="209" spans="1:7" x14ac:dyDescent="0.25">
      <c r="A209" s="8">
        <v>42905.829513888886</v>
      </c>
      <c r="B209" s="20" t="s">
        <v>626</v>
      </c>
      <c r="C209" s="20" t="s">
        <v>841</v>
      </c>
      <c r="D209" s="138">
        <v>2090000</v>
      </c>
      <c r="E209" s="20" t="s">
        <v>458</v>
      </c>
      <c r="F209" s="20" t="s">
        <v>192</v>
      </c>
      <c r="G209" s="8" t="str">
        <f t="shared" si="3"/>
        <v>HAITHCOX MICHAEL</v>
      </c>
    </row>
    <row r="210" spans="1:7" x14ac:dyDescent="0.25">
      <c r="A210" s="8">
        <v>42905.841863425929</v>
      </c>
      <c r="B210" s="20" t="s">
        <v>424</v>
      </c>
      <c r="C210" s="20" t="s">
        <v>842</v>
      </c>
      <c r="D210" s="138">
        <v>2970000</v>
      </c>
      <c r="E210" s="20" t="s">
        <v>379</v>
      </c>
      <c r="F210" s="20" t="s">
        <v>380</v>
      </c>
      <c r="G210" s="8" t="str">
        <f t="shared" si="3"/>
        <v>GUZMAN DANNY</v>
      </c>
    </row>
    <row r="211" spans="1:7" x14ac:dyDescent="0.25">
      <c r="A211" s="8">
        <v>42905.843344907407</v>
      </c>
      <c r="B211" s="20" t="s">
        <v>478</v>
      </c>
      <c r="C211" s="20" t="s">
        <v>843</v>
      </c>
      <c r="D211" s="138">
        <v>1300000</v>
      </c>
      <c r="E211" s="20" t="s">
        <v>768</v>
      </c>
      <c r="F211" s="20" t="s">
        <v>769</v>
      </c>
      <c r="G211" s="8" t="str">
        <f t="shared" si="3"/>
        <v>LEVIN SCOTT</v>
      </c>
    </row>
    <row r="212" spans="1:7" x14ac:dyDescent="0.25">
      <c r="A212" s="8">
        <v>42905.848611111112</v>
      </c>
      <c r="B212" s="20" t="s">
        <v>525</v>
      </c>
      <c r="C212" s="20" t="s">
        <v>844</v>
      </c>
      <c r="D212" s="138">
        <v>3190000</v>
      </c>
      <c r="E212" s="20" t="s">
        <v>819</v>
      </c>
      <c r="F212" s="20" t="s">
        <v>820</v>
      </c>
      <c r="G212" s="8" t="str">
        <f t="shared" si="3"/>
        <v>HART KEVIN</v>
      </c>
    </row>
    <row r="213" spans="1:7" x14ac:dyDescent="0.25">
      <c r="A213" s="8">
        <v>42905.858530092592</v>
      </c>
      <c r="B213" s="20" t="s">
        <v>479</v>
      </c>
      <c r="C213" s="20" t="s">
        <v>651</v>
      </c>
      <c r="D213" s="138">
        <v>1300000</v>
      </c>
      <c r="E213" s="20" t="s">
        <v>768</v>
      </c>
      <c r="F213" s="20" t="s">
        <v>769</v>
      </c>
      <c r="G213" s="8" t="str">
        <f t="shared" si="3"/>
        <v>LEVIN SCOTT</v>
      </c>
    </row>
    <row r="214" spans="1:7" x14ac:dyDescent="0.25">
      <c r="A214" s="8">
        <v>42905.860335648147</v>
      </c>
      <c r="B214" s="20" t="s">
        <v>635</v>
      </c>
      <c r="C214" s="20" t="s">
        <v>845</v>
      </c>
      <c r="D214" s="138">
        <v>2090000</v>
      </c>
      <c r="E214" s="20" t="s">
        <v>458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42905.869432870371</v>
      </c>
      <c r="B215" s="20" t="s">
        <v>654</v>
      </c>
      <c r="C215" s="20" t="s">
        <v>846</v>
      </c>
      <c r="D215" s="138">
        <v>2620000</v>
      </c>
      <c r="E215" s="20" t="s">
        <v>528</v>
      </c>
      <c r="F215" s="20" t="s">
        <v>529</v>
      </c>
      <c r="G215" s="8" t="str">
        <f t="shared" si="3"/>
        <v>PERKINS DARREN</v>
      </c>
    </row>
    <row r="216" spans="1:7" x14ac:dyDescent="0.25">
      <c r="A216" s="8">
        <v>42905.874108796299</v>
      </c>
      <c r="B216" s="20" t="s">
        <v>478</v>
      </c>
      <c r="C216" s="20" t="s">
        <v>652</v>
      </c>
      <c r="D216" s="138">
        <v>2000000</v>
      </c>
      <c r="E216" s="20" t="s">
        <v>498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42905.882430555554</v>
      </c>
      <c r="B217" s="20" t="s">
        <v>420</v>
      </c>
      <c r="C217" s="20" t="s">
        <v>847</v>
      </c>
      <c r="D217" s="138">
        <v>2970000</v>
      </c>
      <c r="E217" s="20" t="s">
        <v>379</v>
      </c>
      <c r="F217" s="20" t="s">
        <v>380</v>
      </c>
      <c r="G217" s="8" t="str">
        <f t="shared" si="3"/>
        <v>GUZMAN DANNY</v>
      </c>
    </row>
    <row r="218" spans="1:7" x14ac:dyDescent="0.25">
      <c r="A218" s="8">
        <v>42905.892280092594</v>
      </c>
      <c r="B218" s="20" t="s">
        <v>400</v>
      </c>
      <c r="C218" s="20" t="s">
        <v>848</v>
      </c>
      <c r="D218" s="138">
        <v>3190000</v>
      </c>
      <c r="E218" s="20" t="s">
        <v>819</v>
      </c>
      <c r="F218" s="20" t="s">
        <v>820</v>
      </c>
      <c r="G218" s="8" t="str">
        <f t="shared" si="3"/>
        <v>HART KEVIN</v>
      </c>
    </row>
    <row r="219" spans="1:7" x14ac:dyDescent="0.25">
      <c r="A219" s="8">
        <v>42905.900092592594</v>
      </c>
      <c r="B219" s="20" t="s">
        <v>479</v>
      </c>
      <c r="C219" s="20" t="s">
        <v>652</v>
      </c>
      <c r="D219" s="138">
        <v>2000000</v>
      </c>
      <c r="E219" s="20" t="s">
        <v>498</v>
      </c>
      <c r="F219" s="20" t="s">
        <v>189</v>
      </c>
      <c r="G219" s="8" t="str">
        <f t="shared" si="3"/>
        <v>STAMBAUGH JAMES</v>
      </c>
    </row>
    <row r="220" spans="1:7" x14ac:dyDescent="0.25">
      <c r="A220" s="8">
        <v>42905.900590277779</v>
      </c>
      <c r="B220" s="20" t="s">
        <v>479</v>
      </c>
      <c r="C220" s="20" t="s">
        <v>653</v>
      </c>
      <c r="D220" s="138">
        <v>2000000</v>
      </c>
      <c r="E220" s="20" t="s">
        <v>498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42905.903101851851</v>
      </c>
      <c r="B221" s="20" t="s">
        <v>626</v>
      </c>
      <c r="C221" s="20" t="s">
        <v>849</v>
      </c>
      <c r="D221" s="138">
        <v>2090000</v>
      </c>
      <c r="E221" s="20" t="s">
        <v>458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42905.909062500003</v>
      </c>
      <c r="B222" s="20" t="s">
        <v>629</v>
      </c>
      <c r="C222" s="20" t="s">
        <v>850</v>
      </c>
      <c r="D222" s="138">
        <v>2620000</v>
      </c>
      <c r="E222" s="20" t="s">
        <v>528</v>
      </c>
      <c r="F222" s="20" t="s">
        <v>529</v>
      </c>
      <c r="G222" s="8" t="str">
        <f t="shared" si="3"/>
        <v>PERKINS DARREN</v>
      </c>
    </row>
    <row r="223" spans="1:7" x14ac:dyDescent="0.25">
      <c r="A223" s="8">
        <v>42905.924641203703</v>
      </c>
      <c r="B223" s="20" t="s">
        <v>424</v>
      </c>
      <c r="C223" s="20" t="s">
        <v>851</v>
      </c>
      <c r="D223" s="138">
        <v>2970000</v>
      </c>
      <c r="E223" s="20" t="s">
        <v>379</v>
      </c>
      <c r="F223" s="20" t="s">
        <v>380</v>
      </c>
      <c r="G223" s="8" t="str">
        <f t="shared" si="3"/>
        <v>GUZMAN DANNY</v>
      </c>
    </row>
    <row r="224" spans="1:7" x14ac:dyDescent="0.25">
      <c r="A224" s="8">
        <v>42905.928854166668</v>
      </c>
      <c r="B224" t="s">
        <v>478</v>
      </c>
      <c r="C224" t="s">
        <v>852</v>
      </c>
      <c r="D224" s="138">
        <v>2000000</v>
      </c>
      <c r="E224" t="s">
        <v>498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42905.933125000003</v>
      </c>
      <c r="B225" t="s">
        <v>525</v>
      </c>
      <c r="C225" t="s">
        <v>853</v>
      </c>
      <c r="D225" s="138">
        <v>3190000</v>
      </c>
      <c r="E225" t="s">
        <v>819</v>
      </c>
      <c r="F225" s="20" t="s">
        <v>820</v>
      </c>
      <c r="G225" s="8" t="str">
        <f t="shared" si="3"/>
        <v>HART KEVIN</v>
      </c>
    </row>
    <row r="226" spans="1:7" x14ac:dyDescent="0.25">
      <c r="A226" s="8">
        <v>42905.942141203705</v>
      </c>
      <c r="B226" t="s">
        <v>479</v>
      </c>
      <c r="C226" t="s">
        <v>854</v>
      </c>
      <c r="D226" s="138">
        <v>2000000</v>
      </c>
      <c r="E226" t="s">
        <v>498</v>
      </c>
      <c r="F226" s="20" t="s">
        <v>189</v>
      </c>
      <c r="G226" s="8" t="str">
        <f t="shared" si="3"/>
        <v>STAMBAUGH JAMES</v>
      </c>
    </row>
    <row r="227" spans="1:7" x14ac:dyDescent="0.25">
      <c r="A227" s="8">
        <v>42905.943749999999</v>
      </c>
      <c r="B227" t="s">
        <v>654</v>
      </c>
      <c r="C227" t="s">
        <v>855</v>
      </c>
      <c r="D227" s="138">
        <v>2620000</v>
      </c>
      <c r="E227" t="s">
        <v>528</v>
      </c>
      <c r="F227" s="20" t="s">
        <v>529</v>
      </c>
      <c r="G227" s="8" t="str">
        <f t="shared" si="3"/>
        <v>PERKINS DARREN</v>
      </c>
    </row>
    <row r="228" spans="1:7" x14ac:dyDescent="0.25">
      <c r="A228" s="8">
        <v>42905.944039351853</v>
      </c>
      <c r="B228" t="s">
        <v>635</v>
      </c>
      <c r="C228" t="s">
        <v>856</v>
      </c>
      <c r="D228" s="138">
        <v>2090000</v>
      </c>
      <c r="E228" t="s">
        <v>458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42905.948298611111</v>
      </c>
      <c r="B229" t="s">
        <v>478</v>
      </c>
      <c r="C229" t="s">
        <v>854</v>
      </c>
      <c r="D229" s="138">
        <v>2000000</v>
      </c>
      <c r="E229" t="s">
        <v>498</v>
      </c>
      <c r="F229" s="20" t="s">
        <v>189</v>
      </c>
      <c r="G229" s="8" t="str">
        <f t="shared" si="3"/>
        <v>STAMBAUGH JAMES</v>
      </c>
    </row>
    <row r="230" spans="1:7" x14ac:dyDescent="0.25">
      <c r="A230" s="8">
        <v>42905.966504629629</v>
      </c>
      <c r="B230" t="s">
        <v>420</v>
      </c>
      <c r="C230" t="s">
        <v>857</v>
      </c>
      <c r="D230" s="138">
        <v>2970000</v>
      </c>
      <c r="E230" t="s">
        <v>379</v>
      </c>
      <c r="F230" s="20" t="s">
        <v>380</v>
      </c>
      <c r="G230" s="8" t="str">
        <f t="shared" si="3"/>
        <v>GUZMAN DANNY</v>
      </c>
    </row>
    <row r="231" spans="1:7" x14ac:dyDescent="0.25">
      <c r="A231" s="8">
        <v>42905.970451388886</v>
      </c>
      <c r="B231" t="s">
        <v>400</v>
      </c>
      <c r="C231" t="s">
        <v>858</v>
      </c>
      <c r="D231" s="138">
        <v>3190000</v>
      </c>
      <c r="E231" t="s">
        <v>819</v>
      </c>
      <c r="F231" s="20" t="s">
        <v>820</v>
      </c>
      <c r="G231" s="8" t="str">
        <f t="shared" si="3"/>
        <v>HART KEVIN</v>
      </c>
    </row>
    <row r="232" spans="1:7" x14ac:dyDescent="0.25">
      <c r="A232" s="8">
        <v>42905.986631944441</v>
      </c>
      <c r="B232" t="s">
        <v>626</v>
      </c>
      <c r="C232" t="s">
        <v>859</v>
      </c>
      <c r="D232" s="138">
        <v>2090000</v>
      </c>
      <c r="E232" t="s">
        <v>458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42905.9925</v>
      </c>
      <c r="B233" t="s">
        <v>629</v>
      </c>
      <c r="C233" t="s">
        <v>860</v>
      </c>
      <c r="D233" s="138">
        <v>2620000</v>
      </c>
      <c r="E233" t="s">
        <v>528</v>
      </c>
      <c r="F233" s="20" t="s">
        <v>529</v>
      </c>
      <c r="G233" s="8" t="str">
        <f t="shared" si="3"/>
        <v>PERKINS DARREN</v>
      </c>
    </row>
    <row r="234" spans="1:7" x14ac:dyDescent="0.25">
      <c r="A234" s="8">
        <v>42906.006886574076</v>
      </c>
      <c r="B234" t="s">
        <v>424</v>
      </c>
      <c r="C234" t="s">
        <v>861</v>
      </c>
      <c r="D234" s="138">
        <v>2970000</v>
      </c>
      <c r="E234" t="s">
        <v>379</v>
      </c>
      <c r="F234" s="20" t="s">
        <v>380</v>
      </c>
      <c r="G234" s="8" t="str">
        <f t="shared" si="3"/>
        <v>GUZMAN DANNY</v>
      </c>
    </row>
    <row r="235" spans="1:7" x14ac:dyDescent="0.25">
      <c r="A235" s="8">
        <v>42906.014016203706</v>
      </c>
      <c r="B235" t="s">
        <v>525</v>
      </c>
      <c r="C235" t="s">
        <v>862</v>
      </c>
      <c r="D235" s="138">
        <v>3190000</v>
      </c>
      <c r="E235" t="s">
        <v>819</v>
      </c>
      <c r="F235" s="20" t="s">
        <v>820</v>
      </c>
      <c r="G235" s="8" t="str">
        <f t="shared" si="3"/>
        <v>HART KEVIN</v>
      </c>
    </row>
    <row r="236" spans="1:7" x14ac:dyDescent="0.25">
      <c r="A236" s="8">
        <v>42906.026863425926</v>
      </c>
      <c r="B236" t="s">
        <v>635</v>
      </c>
      <c r="C236" t="s">
        <v>863</v>
      </c>
      <c r="D236" s="138">
        <v>2090000</v>
      </c>
      <c r="E236" t="s">
        <v>458</v>
      </c>
      <c r="F236" s="20" t="s">
        <v>192</v>
      </c>
      <c r="G236" s="8" t="str">
        <f t="shared" si="3"/>
        <v>HAITHCOX MICHAEL</v>
      </c>
    </row>
    <row r="237" spans="1:7" x14ac:dyDescent="0.25">
      <c r="A237" s="8">
        <v>42906.027592592596</v>
      </c>
      <c r="B237" t="s">
        <v>654</v>
      </c>
      <c r="C237" t="s">
        <v>864</v>
      </c>
      <c r="D237" s="138">
        <v>2620000</v>
      </c>
      <c r="E237" t="s">
        <v>528</v>
      </c>
      <c r="F237" s="20" t="s">
        <v>529</v>
      </c>
      <c r="G237" s="8" t="str">
        <f t="shared" si="3"/>
        <v>PERKINS DARREN</v>
      </c>
    </row>
    <row r="238" spans="1:7" x14ac:dyDescent="0.25">
      <c r="A238" s="8">
        <v>42906.047280092593</v>
      </c>
      <c r="B238" t="s">
        <v>400</v>
      </c>
      <c r="C238" t="s">
        <v>865</v>
      </c>
      <c r="D238" s="138">
        <v>3190000</v>
      </c>
      <c r="E238" t="s">
        <v>819</v>
      </c>
      <c r="F238" s="20" t="s">
        <v>820</v>
      </c>
      <c r="G238" s="8" t="str">
        <f t="shared" si="3"/>
        <v>HART KEVIN</v>
      </c>
    </row>
    <row r="239" spans="1:7" x14ac:dyDescent="0.25">
      <c r="A239" s="8">
        <v>42906.048807870371</v>
      </c>
      <c r="B239" t="s">
        <v>420</v>
      </c>
      <c r="C239" t="s">
        <v>866</v>
      </c>
      <c r="D239" s="138">
        <v>2970000</v>
      </c>
      <c r="E239" t="s">
        <v>379</v>
      </c>
      <c r="F239" s="20" t="s">
        <v>380</v>
      </c>
      <c r="G239" s="8" t="str">
        <f t="shared" si="3"/>
        <v>GUZMAN DANNY</v>
      </c>
    </row>
    <row r="240" spans="1:7" x14ac:dyDescent="0.25">
      <c r="A240" s="8">
        <v>42906.069710648146</v>
      </c>
      <c r="B240" t="s">
        <v>626</v>
      </c>
      <c r="C240" t="s">
        <v>867</v>
      </c>
      <c r="D240" s="138">
        <v>2090000</v>
      </c>
      <c r="E240" t="s">
        <v>458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42906.090775462966</v>
      </c>
      <c r="B241" t="s">
        <v>424</v>
      </c>
      <c r="C241" t="s">
        <v>868</v>
      </c>
      <c r="D241" s="138">
        <v>2970000</v>
      </c>
      <c r="E241" t="s">
        <v>379</v>
      </c>
      <c r="F241" s="20" t="s">
        <v>380</v>
      </c>
      <c r="G241" s="8" t="str">
        <f t="shared" si="3"/>
        <v>GUZMAN DANNY</v>
      </c>
    </row>
    <row r="242" spans="1:7" x14ac:dyDescent="0.25">
      <c r="A242" s="8">
        <v>42906.111747685187</v>
      </c>
      <c r="B242" t="s">
        <v>869</v>
      </c>
      <c r="C242" t="s">
        <v>870</v>
      </c>
      <c r="D242" s="138">
        <v>1110000</v>
      </c>
      <c r="E242" t="s">
        <v>465</v>
      </c>
      <c r="F242" s="20" t="s">
        <v>466</v>
      </c>
      <c r="G242" s="8" t="str">
        <f t="shared" si="3"/>
        <v>STARKS ANGELINA</v>
      </c>
    </row>
    <row r="243" spans="1:7" x14ac:dyDescent="0.25">
      <c r="A243" s="8">
        <v>42906.113564814812</v>
      </c>
      <c r="B243" t="s">
        <v>869</v>
      </c>
      <c r="C243" t="s">
        <v>870</v>
      </c>
      <c r="D243" s="138">
        <v>1110000</v>
      </c>
      <c r="E243" t="s">
        <v>465</v>
      </c>
      <c r="F243" s="20" t="s">
        <v>466</v>
      </c>
      <c r="G243" s="8" t="str">
        <f t="shared" si="3"/>
        <v>STARKS ANGELINA</v>
      </c>
    </row>
    <row r="244" spans="1:7" x14ac:dyDescent="0.25">
      <c r="A244" s="8">
        <v>42902.089062500003</v>
      </c>
      <c r="B244" t="s">
        <v>477</v>
      </c>
      <c r="C244" t="s">
        <v>549</v>
      </c>
      <c r="D244" s="138">
        <v>3000000</v>
      </c>
      <c r="E244" t="s">
        <v>425</v>
      </c>
      <c r="F244" s="20" t="s">
        <v>426</v>
      </c>
      <c r="G244" s="8" t="str">
        <f t="shared" si="3"/>
        <v>FORTUNATO FRANK</v>
      </c>
    </row>
    <row r="245" spans="1:7" x14ac:dyDescent="0.25">
      <c r="A245" s="8">
        <v>42902.115844907406</v>
      </c>
      <c r="B245" t="s">
        <v>420</v>
      </c>
      <c r="C245" t="s">
        <v>550</v>
      </c>
      <c r="D245" s="138">
        <v>1110000</v>
      </c>
      <c r="E245" t="s">
        <v>465</v>
      </c>
      <c r="F245" s="20" t="s">
        <v>466</v>
      </c>
      <c r="G245" s="8" t="str">
        <f t="shared" si="3"/>
        <v>STARKS ANGELINA</v>
      </c>
    </row>
    <row r="246" spans="1:7" x14ac:dyDescent="0.25">
      <c r="A246" s="8">
        <v>42902.116840277777</v>
      </c>
      <c r="B246" t="s">
        <v>420</v>
      </c>
      <c r="C246" t="s">
        <v>550</v>
      </c>
      <c r="D246" s="138">
        <v>1110000</v>
      </c>
      <c r="E246" t="s">
        <v>465</v>
      </c>
      <c r="F246" s="20" t="s">
        <v>466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420</v>
      </c>
      <c r="C247" t="s">
        <v>550</v>
      </c>
      <c r="D247" s="138">
        <v>1110000</v>
      </c>
      <c r="E247" t="s">
        <v>465</v>
      </c>
      <c r="F247" s="20" t="s">
        <v>466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424</v>
      </c>
      <c r="C248" t="s">
        <v>551</v>
      </c>
      <c r="D248" s="138">
        <v>1090000</v>
      </c>
      <c r="E248" t="s">
        <v>481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462</v>
      </c>
      <c r="C249" t="s">
        <v>552</v>
      </c>
      <c r="D249" s="138">
        <v>1110000</v>
      </c>
      <c r="E249" t="s">
        <v>465</v>
      </c>
      <c r="F249" s="20" t="s">
        <v>466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420</v>
      </c>
      <c r="C250" t="s">
        <v>553</v>
      </c>
      <c r="D250" s="138">
        <v>1090000</v>
      </c>
      <c r="E250" t="s">
        <v>481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494</v>
      </c>
      <c r="C251" t="s">
        <v>554</v>
      </c>
      <c r="D251" s="138">
        <v>900000</v>
      </c>
      <c r="E251" t="s">
        <v>526</v>
      </c>
      <c r="F251" s="20" t="s">
        <v>527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424</v>
      </c>
      <c r="C252" t="s">
        <v>555</v>
      </c>
      <c r="D252" s="138">
        <v>1090000</v>
      </c>
      <c r="E252" t="s">
        <v>481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447</v>
      </c>
      <c r="C253" t="s">
        <v>556</v>
      </c>
      <c r="D253" s="138">
        <v>940000</v>
      </c>
      <c r="E253" t="s">
        <v>463</v>
      </c>
      <c r="F253" s="20" t="s">
        <v>464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461</v>
      </c>
      <c r="C254" t="s">
        <v>482</v>
      </c>
      <c r="D254" s="138">
        <v>3000000</v>
      </c>
      <c r="E254" t="s">
        <v>425</v>
      </c>
      <c r="F254" s="20" t="s">
        <v>426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476</v>
      </c>
      <c r="C255" t="s">
        <v>480</v>
      </c>
      <c r="D255" s="138">
        <v>2090000</v>
      </c>
      <c r="E255" t="s">
        <v>458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440</v>
      </c>
      <c r="C256" t="s">
        <v>483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445</v>
      </c>
      <c r="C257" t="s">
        <v>484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477</v>
      </c>
      <c r="C258" t="s">
        <v>485</v>
      </c>
      <c r="D258" s="138">
        <v>2090000</v>
      </c>
      <c r="E258" t="s">
        <v>458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467</v>
      </c>
      <c r="C259" t="s">
        <v>486</v>
      </c>
      <c r="D259" s="138">
        <v>3000000</v>
      </c>
      <c r="E259" t="s">
        <v>425</v>
      </c>
      <c r="F259" s="20" t="s">
        <v>426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477</v>
      </c>
      <c r="C260" t="s">
        <v>485</v>
      </c>
      <c r="D260" s="138">
        <v>2090000</v>
      </c>
      <c r="E260" t="s">
        <v>458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477</v>
      </c>
      <c r="C261" t="s">
        <v>485</v>
      </c>
      <c r="D261" s="138">
        <v>2090000</v>
      </c>
      <c r="E261" t="s">
        <v>458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477</v>
      </c>
      <c r="C262" t="s">
        <v>485</v>
      </c>
      <c r="D262" s="138">
        <v>2090000</v>
      </c>
      <c r="E262" t="s">
        <v>458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446</v>
      </c>
      <c r="C263" t="s">
        <v>487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441</v>
      </c>
      <c r="C264" t="s">
        <v>488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441</v>
      </c>
      <c r="C265" t="s">
        <v>488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461</v>
      </c>
      <c r="C266" t="s">
        <v>489</v>
      </c>
      <c r="D266" s="138">
        <v>3000000</v>
      </c>
      <c r="E266" t="s">
        <v>425</v>
      </c>
      <c r="F266" s="20" t="s">
        <v>426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445</v>
      </c>
      <c r="C267" t="s">
        <v>490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397</v>
      </c>
      <c r="C268" t="s">
        <v>422</v>
      </c>
      <c r="D268" s="138">
        <v>2680000</v>
      </c>
      <c r="E268" t="s">
        <v>415</v>
      </c>
      <c r="F268" s="20" t="s">
        <v>416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428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424</v>
      </c>
      <c r="C270" t="s">
        <v>429</v>
      </c>
      <c r="D270" s="138">
        <v>2610000</v>
      </c>
      <c r="E270" t="s">
        <v>417</v>
      </c>
      <c r="F270" s="20" t="s">
        <v>418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430</v>
      </c>
      <c r="D271" s="138">
        <v>2140000</v>
      </c>
      <c r="E271" t="s">
        <v>412</v>
      </c>
      <c r="F271" s="20" t="s">
        <v>413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421</v>
      </c>
      <c r="C272" t="s">
        <v>431</v>
      </c>
      <c r="D272" s="138">
        <v>3000000</v>
      </c>
      <c r="E272" t="s">
        <v>425</v>
      </c>
      <c r="F272" s="20" t="s">
        <v>426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398</v>
      </c>
      <c r="C273" t="s">
        <v>427</v>
      </c>
      <c r="D273" s="138">
        <v>2680000</v>
      </c>
      <c r="E273" t="s">
        <v>415</v>
      </c>
      <c r="F273" s="20" t="s">
        <v>416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432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420</v>
      </c>
      <c r="C275" t="s">
        <v>433</v>
      </c>
      <c r="D275" s="138">
        <v>2610000</v>
      </c>
      <c r="E275" t="s">
        <v>417</v>
      </c>
      <c r="F275" s="20" t="s">
        <v>418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423</v>
      </c>
      <c r="C276" t="s">
        <v>434</v>
      </c>
      <c r="D276" s="138">
        <v>3000000</v>
      </c>
      <c r="E276" t="s">
        <v>425</v>
      </c>
      <c r="F276" s="20" t="s">
        <v>426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424</v>
      </c>
      <c r="C277" t="s">
        <v>435</v>
      </c>
      <c r="D277" s="138">
        <v>2610000</v>
      </c>
      <c r="E277" t="s">
        <v>417</v>
      </c>
      <c r="F277" s="20" t="s">
        <v>418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401</v>
      </c>
      <c r="C278" t="s">
        <v>402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400</v>
      </c>
      <c r="C279" t="s">
        <v>406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407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398</v>
      </c>
      <c r="C281" t="s">
        <v>403</v>
      </c>
      <c r="D281" s="138">
        <v>3010000</v>
      </c>
      <c r="E281" t="s">
        <v>393</v>
      </c>
      <c r="F281" s="20" t="s">
        <v>394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404</v>
      </c>
      <c r="C282" t="s">
        <v>405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397</v>
      </c>
      <c r="C283" t="s">
        <v>403</v>
      </c>
      <c r="D283" s="138">
        <v>3010000</v>
      </c>
      <c r="E283" t="s">
        <v>393</v>
      </c>
      <c r="F283" s="20" t="s">
        <v>394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399</v>
      </c>
      <c r="C284" t="s">
        <v>408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397</v>
      </c>
      <c r="C285" t="s">
        <v>403</v>
      </c>
      <c r="D285" s="138">
        <v>3010000</v>
      </c>
      <c r="E285" t="s">
        <v>393</v>
      </c>
      <c r="F285" s="20" t="s">
        <v>394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401</v>
      </c>
      <c r="C286" t="s">
        <v>402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404</v>
      </c>
      <c r="C287" t="s">
        <v>405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409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401</v>
      </c>
      <c r="C289" t="s">
        <v>402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398</v>
      </c>
      <c r="C290" t="s">
        <v>403</v>
      </c>
      <c r="D290" s="138">
        <v>3010000</v>
      </c>
      <c r="E290" t="s">
        <v>393</v>
      </c>
      <c r="F290" s="20" t="s">
        <v>394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398</v>
      </c>
      <c r="C291" t="s">
        <v>403</v>
      </c>
      <c r="D291" s="138">
        <v>3010000</v>
      </c>
      <c r="E291" t="s">
        <v>393</v>
      </c>
      <c r="F291" s="20" t="s">
        <v>394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398</v>
      </c>
      <c r="C292" t="s">
        <v>403</v>
      </c>
      <c r="D292" s="138">
        <v>3010000</v>
      </c>
      <c r="E292" t="s">
        <v>393</v>
      </c>
      <c r="F292" s="20" t="s">
        <v>394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398</v>
      </c>
      <c r="C293" t="s">
        <v>403</v>
      </c>
      <c r="D293" s="138">
        <v>3010000</v>
      </c>
      <c r="E293" t="s">
        <v>393</v>
      </c>
      <c r="F293" s="20" t="s">
        <v>394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404</v>
      </c>
      <c r="C294" t="s">
        <v>405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499</v>
      </c>
      <c r="O1" s="171" t="s">
        <v>156</v>
      </c>
      <c r="P1" s="171" t="s">
        <v>163</v>
      </c>
      <c r="Q1" s="171" t="s">
        <v>500</v>
      </c>
      <c r="R1" s="171" t="s">
        <v>160</v>
      </c>
      <c r="S1"/>
    </row>
    <row r="2" spans="1:19" x14ac:dyDescent="0.25">
      <c r="A2" s="172">
        <v>63.59</v>
      </c>
      <c r="B2" s="172">
        <v>0.04</v>
      </c>
      <c r="C2" s="172">
        <v>42.27</v>
      </c>
      <c r="D2" s="8">
        <v>42905</v>
      </c>
      <c r="E2" s="172">
        <v>0.4</v>
      </c>
      <c r="F2" s="172" t="s">
        <v>468</v>
      </c>
      <c r="G2" s="172">
        <v>308.56</v>
      </c>
      <c r="H2" s="172">
        <v>0</v>
      </c>
      <c r="I2" s="172">
        <v>0</v>
      </c>
      <c r="J2" s="172">
        <v>1013.57</v>
      </c>
      <c r="K2" s="172" t="s">
        <v>469</v>
      </c>
      <c r="L2" s="172">
        <v>67.739999999999995</v>
      </c>
      <c r="M2" s="172">
        <v>1497852000</v>
      </c>
      <c r="N2" s="172">
        <v>0</v>
      </c>
      <c r="O2" s="172">
        <v>10</v>
      </c>
      <c r="P2" s="172">
        <v>349</v>
      </c>
      <c r="Q2" s="172">
        <v>20.38</v>
      </c>
      <c r="R2" s="172">
        <v>7.68</v>
      </c>
      <c r="S2"/>
    </row>
    <row r="3" spans="1:19" x14ac:dyDescent="0.25">
      <c r="A3" s="172">
        <v>62.09</v>
      </c>
      <c r="B3" s="172">
        <v>0.03</v>
      </c>
      <c r="C3" s="172">
        <v>41.83</v>
      </c>
      <c r="D3" s="8">
        <v>42905.041666666664</v>
      </c>
      <c r="E3" s="172">
        <v>0.41</v>
      </c>
      <c r="F3" s="172" t="s">
        <v>468</v>
      </c>
      <c r="G3" s="172">
        <v>308.23</v>
      </c>
      <c r="H3" s="172">
        <v>0</v>
      </c>
      <c r="I3" s="172">
        <v>0</v>
      </c>
      <c r="J3" s="172">
        <v>1014.52</v>
      </c>
      <c r="K3" s="172" t="s">
        <v>469</v>
      </c>
      <c r="L3" s="172">
        <v>65.91</v>
      </c>
      <c r="M3" s="172">
        <v>1497855600</v>
      </c>
      <c r="N3" s="172">
        <v>0</v>
      </c>
      <c r="O3" s="172">
        <v>10</v>
      </c>
      <c r="P3" s="172">
        <v>334</v>
      </c>
      <c r="Q3" s="172">
        <v>17.43</v>
      </c>
      <c r="R3" s="172">
        <v>6.8</v>
      </c>
      <c r="S3"/>
    </row>
    <row r="4" spans="1:19" x14ac:dyDescent="0.25">
      <c r="A4" s="172">
        <v>61.26</v>
      </c>
      <c r="B4" s="172">
        <v>0.01</v>
      </c>
      <c r="C4" s="172">
        <v>41.71</v>
      </c>
      <c r="D4" s="8">
        <v>42905.083333333336</v>
      </c>
      <c r="E4" s="172">
        <v>0.44</v>
      </c>
      <c r="F4" s="172" t="s">
        <v>468</v>
      </c>
      <c r="G4" s="172">
        <v>307.26</v>
      </c>
      <c r="H4" s="172">
        <v>0</v>
      </c>
      <c r="I4" s="172">
        <v>0</v>
      </c>
      <c r="J4" s="172">
        <v>1015</v>
      </c>
      <c r="K4" s="172" t="s">
        <v>469</v>
      </c>
      <c r="L4" s="172">
        <v>64.069999999999993</v>
      </c>
      <c r="M4" s="172">
        <v>1497859200</v>
      </c>
      <c r="N4" s="172">
        <v>0</v>
      </c>
      <c r="O4" s="172">
        <v>10</v>
      </c>
      <c r="P4" s="172">
        <v>320</v>
      </c>
      <c r="Q4" s="172">
        <v>11.18</v>
      </c>
      <c r="R4" s="172">
        <v>4.71</v>
      </c>
      <c r="S4"/>
    </row>
    <row r="5" spans="1:19" x14ac:dyDescent="0.25">
      <c r="A5" s="172">
        <v>59.52</v>
      </c>
      <c r="B5" s="172">
        <v>0</v>
      </c>
      <c r="C5" s="172">
        <v>42.82</v>
      </c>
      <c r="D5" s="8">
        <v>42905.125</v>
      </c>
      <c r="E5" s="172">
        <v>0.5</v>
      </c>
      <c r="F5" s="172" t="s">
        <v>468</v>
      </c>
      <c r="G5" s="172">
        <v>306.29000000000002</v>
      </c>
      <c r="H5" s="172">
        <v>0</v>
      </c>
      <c r="I5" s="172">
        <v>0</v>
      </c>
      <c r="J5" s="172">
        <v>1015.79</v>
      </c>
      <c r="K5" s="172" t="s">
        <v>469</v>
      </c>
      <c r="L5" s="172">
        <v>61.8</v>
      </c>
      <c r="M5" s="172">
        <v>1497862800</v>
      </c>
      <c r="N5" s="172">
        <v>0</v>
      </c>
      <c r="O5" s="172">
        <v>10</v>
      </c>
      <c r="P5" s="172">
        <v>314</v>
      </c>
      <c r="Q5" s="172">
        <v>7.48</v>
      </c>
      <c r="R5" s="172">
        <v>3.78</v>
      </c>
      <c r="S5"/>
    </row>
    <row r="6" spans="1:19" x14ac:dyDescent="0.25">
      <c r="A6" s="172">
        <v>58.33</v>
      </c>
      <c r="B6" s="172">
        <v>7.0000000000000007E-2</v>
      </c>
      <c r="C6" s="172">
        <v>42.64</v>
      </c>
      <c r="D6" s="8">
        <v>42905.166666666664</v>
      </c>
      <c r="E6" s="172">
        <v>0.52</v>
      </c>
      <c r="F6" s="172" t="s">
        <v>468</v>
      </c>
      <c r="G6" s="172">
        <v>305.32</v>
      </c>
      <c r="H6" s="172">
        <v>0</v>
      </c>
      <c r="I6" s="172">
        <v>0</v>
      </c>
      <c r="J6" s="172">
        <v>1016.4</v>
      </c>
      <c r="K6" s="172" t="s">
        <v>469</v>
      </c>
      <c r="L6" s="172">
        <v>60.28</v>
      </c>
      <c r="M6" s="172">
        <v>1497866400</v>
      </c>
      <c r="N6" s="172">
        <v>0</v>
      </c>
      <c r="O6" s="172">
        <v>10</v>
      </c>
      <c r="P6" s="172">
        <v>328</v>
      </c>
      <c r="Q6" s="172">
        <v>5.55</v>
      </c>
      <c r="R6" s="172">
        <v>3</v>
      </c>
      <c r="S6"/>
    </row>
    <row r="7" spans="1:19" x14ac:dyDescent="0.25">
      <c r="A7" s="172">
        <v>56.55</v>
      </c>
      <c r="B7" s="172">
        <v>0.16</v>
      </c>
      <c r="C7" s="172">
        <v>42.31</v>
      </c>
      <c r="D7" s="8">
        <v>42905.208333333336</v>
      </c>
      <c r="E7" s="172">
        <v>0.54</v>
      </c>
      <c r="F7" s="172" t="s">
        <v>468</v>
      </c>
      <c r="G7" s="172">
        <v>304.13</v>
      </c>
      <c r="H7" s="172">
        <v>0</v>
      </c>
      <c r="I7" s="172">
        <v>0</v>
      </c>
      <c r="J7" s="172">
        <v>1017</v>
      </c>
      <c r="K7" s="172" t="s">
        <v>469</v>
      </c>
      <c r="L7" s="172">
        <v>58.7</v>
      </c>
      <c r="M7" s="172">
        <v>1497870000</v>
      </c>
      <c r="N7" s="172">
        <v>0</v>
      </c>
      <c r="O7" s="172">
        <v>10</v>
      </c>
      <c r="P7" s="172">
        <v>336</v>
      </c>
      <c r="Q7" s="172">
        <v>5.44</v>
      </c>
      <c r="R7" s="172">
        <v>3.16</v>
      </c>
      <c r="S7"/>
    </row>
    <row r="8" spans="1:19" x14ac:dyDescent="0.25">
      <c r="A8" s="172">
        <v>57.25</v>
      </c>
      <c r="B8" s="172">
        <v>0.23</v>
      </c>
      <c r="C8" s="172">
        <v>43.18</v>
      </c>
      <c r="D8" s="8">
        <v>42905.25</v>
      </c>
      <c r="E8" s="172">
        <v>0.55000000000000004</v>
      </c>
      <c r="F8" s="172" t="s">
        <v>470</v>
      </c>
      <c r="G8" s="172">
        <v>303.8</v>
      </c>
      <c r="H8" s="172">
        <v>0</v>
      </c>
      <c r="I8" s="172">
        <v>0</v>
      </c>
      <c r="J8" s="172">
        <v>1017.94</v>
      </c>
      <c r="K8" s="172" t="s">
        <v>469</v>
      </c>
      <c r="L8" s="172">
        <v>59.21</v>
      </c>
      <c r="M8" s="172">
        <v>1497873600</v>
      </c>
      <c r="N8" s="172">
        <v>0</v>
      </c>
      <c r="O8" s="172">
        <v>10</v>
      </c>
      <c r="P8" s="172">
        <v>334</v>
      </c>
      <c r="Q8" s="172">
        <v>5.5</v>
      </c>
      <c r="R8" s="172">
        <v>3.06</v>
      </c>
      <c r="S8"/>
    </row>
    <row r="9" spans="1:19" x14ac:dyDescent="0.25">
      <c r="A9" s="172">
        <v>60.28</v>
      </c>
      <c r="B9" s="172">
        <v>0.21</v>
      </c>
      <c r="C9" s="172">
        <v>43.56</v>
      </c>
      <c r="D9" s="8">
        <v>42905.291666666664</v>
      </c>
      <c r="E9" s="172">
        <v>0.51</v>
      </c>
      <c r="F9" s="172" t="s">
        <v>470</v>
      </c>
      <c r="G9" s="172">
        <v>303.14999999999998</v>
      </c>
      <c r="H9" s="172">
        <v>0</v>
      </c>
      <c r="I9" s="172">
        <v>0</v>
      </c>
      <c r="J9" s="172">
        <v>1018.27</v>
      </c>
      <c r="K9" s="172" t="s">
        <v>469</v>
      </c>
      <c r="L9" s="172">
        <v>61.91</v>
      </c>
      <c r="M9" s="172">
        <v>1497877200</v>
      </c>
      <c r="N9" s="172">
        <v>1</v>
      </c>
      <c r="O9" s="172">
        <v>10</v>
      </c>
      <c r="P9" s="172">
        <v>10</v>
      </c>
      <c r="Q9" s="172">
        <v>5.88</v>
      </c>
      <c r="R9" s="172">
        <v>2.72</v>
      </c>
      <c r="S9"/>
    </row>
    <row r="10" spans="1:19" x14ac:dyDescent="0.25">
      <c r="A10" s="172">
        <v>64.69</v>
      </c>
      <c r="B10" s="172">
        <v>0.22</v>
      </c>
      <c r="C10" s="172">
        <v>43.77</v>
      </c>
      <c r="D10" s="8">
        <v>42905.333333333336</v>
      </c>
      <c r="E10" s="172">
        <v>0.44</v>
      </c>
      <c r="F10" s="172" t="s">
        <v>470</v>
      </c>
      <c r="G10" s="172">
        <v>302.70999999999998</v>
      </c>
      <c r="H10" s="172">
        <v>0</v>
      </c>
      <c r="I10" s="172">
        <v>0</v>
      </c>
      <c r="J10" s="172">
        <v>1018.38</v>
      </c>
      <c r="K10" s="172" t="s">
        <v>469</v>
      </c>
      <c r="L10" s="172">
        <v>66.19</v>
      </c>
      <c r="M10" s="172">
        <v>1497880800</v>
      </c>
      <c r="N10" s="172">
        <v>1</v>
      </c>
      <c r="O10" s="172">
        <v>10</v>
      </c>
      <c r="P10" s="172">
        <v>37</v>
      </c>
      <c r="Q10" s="172">
        <v>3.31</v>
      </c>
      <c r="R10" s="172">
        <v>2.88</v>
      </c>
      <c r="S10"/>
    </row>
    <row r="11" spans="1:19" x14ac:dyDescent="0.25">
      <c r="A11" s="172">
        <v>68.930000000000007</v>
      </c>
      <c r="B11" s="172">
        <v>0.25</v>
      </c>
      <c r="C11" s="172">
        <v>43.67</v>
      </c>
      <c r="D11" s="8">
        <v>42905.375</v>
      </c>
      <c r="E11" s="172">
        <v>0.38</v>
      </c>
      <c r="F11" s="172" t="s">
        <v>530</v>
      </c>
      <c r="G11" s="172">
        <v>302.27999999999997</v>
      </c>
      <c r="H11" s="172">
        <v>0</v>
      </c>
      <c r="I11" s="172">
        <v>0</v>
      </c>
      <c r="J11" s="172">
        <v>1018.38</v>
      </c>
      <c r="K11" s="172" t="s">
        <v>531</v>
      </c>
      <c r="L11" s="172">
        <v>70.55</v>
      </c>
      <c r="M11" s="172">
        <v>1497884400</v>
      </c>
      <c r="N11" s="172">
        <v>3</v>
      </c>
      <c r="O11" s="172">
        <v>10</v>
      </c>
      <c r="P11" s="172">
        <v>66</v>
      </c>
      <c r="Q11" s="172">
        <v>3.48</v>
      </c>
      <c r="R11" s="172">
        <v>3.4</v>
      </c>
      <c r="S11"/>
    </row>
    <row r="12" spans="1:19" x14ac:dyDescent="0.25">
      <c r="A12" s="172">
        <v>72.45</v>
      </c>
      <c r="B12" s="172">
        <v>0.28999999999999998</v>
      </c>
      <c r="C12" s="172">
        <v>43.49</v>
      </c>
      <c r="D12" s="8">
        <v>42905.416666666664</v>
      </c>
      <c r="E12" s="172">
        <v>0.33</v>
      </c>
      <c r="F12" s="172" t="s">
        <v>530</v>
      </c>
      <c r="G12" s="172">
        <v>301.83999999999997</v>
      </c>
      <c r="H12" s="172">
        <v>0</v>
      </c>
      <c r="I12" s="172">
        <v>0</v>
      </c>
      <c r="J12" s="172">
        <v>1017.68</v>
      </c>
      <c r="K12" s="172" t="s">
        <v>531</v>
      </c>
      <c r="L12" s="172">
        <v>74.239999999999995</v>
      </c>
      <c r="M12" s="172">
        <v>1497888000</v>
      </c>
      <c r="N12" s="172">
        <v>5</v>
      </c>
      <c r="O12" s="172">
        <v>10</v>
      </c>
      <c r="P12" s="172">
        <v>89</v>
      </c>
      <c r="Q12" s="172">
        <v>4.4000000000000004</v>
      </c>
      <c r="R12" s="172">
        <v>3.97</v>
      </c>
      <c r="S12"/>
    </row>
    <row r="13" spans="1:19" x14ac:dyDescent="0.25">
      <c r="A13" s="172">
        <v>75.38</v>
      </c>
      <c r="B13" s="172">
        <v>0.23</v>
      </c>
      <c r="C13" s="172">
        <v>43.24</v>
      </c>
      <c r="D13" s="8">
        <v>42905.458333333336</v>
      </c>
      <c r="E13" s="172">
        <v>0.3</v>
      </c>
      <c r="F13" s="172" t="s">
        <v>470</v>
      </c>
      <c r="G13" s="172">
        <v>301.51</v>
      </c>
      <c r="H13" s="172">
        <v>0</v>
      </c>
      <c r="I13" s="172">
        <v>0</v>
      </c>
      <c r="J13" s="172">
        <v>1016.64</v>
      </c>
      <c r="K13" s="172" t="s">
        <v>469</v>
      </c>
      <c r="L13" s="172">
        <v>77.36</v>
      </c>
      <c r="M13" s="172">
        <v>1497891600</v>
      </c>
      <c r="N13" s="172">
        <v>8</v>
      </c>
      <c r="O13" s="172">
        <v>10</v>
      </c>
      <c r="P13" s="172">
        <v>104</v>
      </c>
      <c r="Q13" s="172">
        <v>5.33</v>
      </c>
      <c r="R13" s="172">
        <v>4.51</v>
      </c>
      <c r="S13"/>
    </row>
    <row r="14" spans="1:19" x14ac:dyDescent="0.25">
      <c r="A14" s="172">
        <v>77.92</v>
      </c>
      <c r="B14" s="172">
        <v>0.21</v>
      </c>
      <c r="C14" s="172">
        <v>43.59</v>
      </c>
      <c r="D14" s="8">
        <v>42905.5</v>
      </c>
      <c r="E14" s="172">
        <v>0.27</v>
      </c>
      <c r="F14" s="172" t="s">
        <v>470</v>
      </c>
      <c r="G14" s="172">
        <v>299.86</v>
      </c>
      <c r="H14" s="172">
        <v>0</v>
      </c>
      <c r="I14" s="172">
        <v>0</v>
      </c>
      <c r="J14" s="172">
        <v>1015.69</v>
      </c>
      <c r="K14" s="172" t="s">
        <v>469</v>
      </c>
      <c r="L14" s="172">
        <v>80.290000000000006</v>
      </c>
      <c r="M14" s="172">
        <v>1497895200</v>
      </c>
      <c r="N14" s="172">
        <v>10</v>
      </c>
      <c r="O14" s="172">
        <v>10</v>
      </c>
      <c r="P14" s="172">
        <v>102</v>
      </c>
      <c r="Q14" s="172">
        <v>6.94</v>
      </c>
      <c r="R14" s="172">
        <v>5.55</v>
      </c>
      <c r="S14"/>
    </row>
    <row r="15" spans="1:19" x14ac:dyDescent="0.25">
      <c r="A15" s="172">
        <v>80.069999999999993</v>
      </c>
      <c r="B15" s="172">
        <v>0.17</v>
      </c>
      <c r="C15" s="172">
        <v>43.38</v>
      </c>
      <c r="D15" s="8">
        <v>42905.541666666664</v>
      </c>
      <c r="E15" s="172">
        <v>0.25</v>
      </c>
      <c r="F15" s="172" t="s">
        <v>470</v>
      </c>
      <c r="G15" s="172">
        <v>299.08999999999997</v>
      </c>
      <c r="H15" s="172">
        <v>0</v>
      </c>
      <c r="I15" s="172">
        <v>0</v>
      </c>
      <c r="J15" s="172">
        <v>1014.87</v>
      </c>
      <c r="K15" s="172" t="s">
        <v>469</v>
      </c>
      <c r="L15" s="172">
        <v>82.6</v>
      </c>
      <c r="M15" s="172">
        <v>1497898800</v>
      </c>
      <c r="N15" s="172">
        <v>12</v>
      </c>
      <c r="O15" s="172">
        <v>10</v>
      </c>
      <c r="P15" s="172">
        <v>95</v>
      </c>
      <c r="Q15" s="172">
        <v>7.46</v>
      </c>
      <c r="R15" s="172">
        <v>5.98</v>
      </c>
      <c r="S15"/>
    </row>
    <row r="16" spans="1:19" x14ac:dyDescent="0.25">
      <c r="A16" s="172">
        <v>81.75</v>
      </c>
      <c r="B16" s="172">
        <v>0.16</v>
      </c>
      <c r="C16" s="172">
        <v>43.13</v>
      </c>
      <c r="D16" s="8">
        <v>42905.583333333336</v>
      </c>
      <c r="E16" s="172">
        <v>0.23</v>
      </c>
      <c r="F16" s="172" t="s">
        <v>470</v>
      </c>
      <c r="G16" s="172">
        <v>298.43</v>
      </c>
      <c r="H16" s="172">
        <v>0</v>
      </c>
      <c r="I16" s="172">
        <v>0</v>
      </c>
      <c r="J16" s="172">
        <v>1014.18</v>
      </c>
      <c r="K16" s="172" t="s">
        <v>469</v>
      </c>
      <c r="L16" s="172">
        <v>84.71</v>
      </c>
      <c r="M16" s="172">
        <v>1497902400</v>
      </c>
      <c r="N16" s="172">
        <v>11</v>
      </c>
      <c r="O16" s="172">
        <v>10</v>
      </c>
      <c r="P16" s="172">
        <v>86</v>
      </c>
      <c r="Q16" s="172">
        <v>8.34</v>
      </c>
      <c r="R16" s="172">
        <v>6.9</v>
      </c>
      <c r="S16"/>
    </row>
    <row r="17" spans="1:19" x14ac:dyDescent="0.25">
      <c r="A17" s="172">
        <v>83.62</v>
      </c>
      <c r="B17" s="172">
        <v>0.22</v>
      </c>
      <c r="C17" s="172">
        <v>42.71</v>
      </c>
      <c r="D17" s="8">
        <v>42905.625</v>
      </c>
      <c r="E17" s="172">
        <v>0.21</v>
      </c>
      <c r="F17" s="172" t="s">
        <v>470</v>
      </c>
      <c r="G17" s="172">
        <v>297.66000000000003</v>
      </c>
      <c r="H17" s="172">
        <v>0</v>
      </c>
      <c r="I17" s="172">
        <v>0</v>
      </c>
      <c r="J17" s="172">
        <v>1013.6</v>
      </c>
      <c r="K17" s="172" t="s">
        <v>469</v>
      </c>
      <c r="L17" s="172">
        <v>86.92</v>
      </c>
      <c r="M17" s="172">
        <v>1497906000</v>
      </c>
      <c r="N17" s="172">
        <v>8</v>
      </c>
      <c r="O17" s="172">
        <v>10</v>
      </c>
      <c r="P17" s="172">
        <v>81</v>
      </c>
      <c r="Q17" s="172">
        <v>9.16</v>
      </c>
      <c r="R17" s="172">
        <v>7.63</v>
      </c>
      <c r="S17"/>
    </row>
    <row r="18" spans="1:19" x14ac:dyDescent="0.25">
      <c r="A18" s="172">
        <v>84.54</v>
      </c>
      <c r="B18" s="172">
        <v>0.2</v>
      </c>
      <c r="C18" s="172">
        <v>42.77</v>
      </c>
      <c r="D18" s="8">
        <v>42905.666666666664</v>
      </c>
      <c r="E18" s="172">
        <v>0.21</v>
      </c>
      <c r="F18" s="172" t="s">
        <v>470</v>
      </c>
      <c r="G18" s="172">
        <v>297.11</v>
      </c>
      <c r="H18" s="172">
        <v>0</v>
      </c>
      <c r="I18" s="172">
        <v>0</v>
      </c>
      <c r="J18" s="172">
        <v>1012.95</v>
      </c>
      <c r="K18" s="172" t="s">
        <v>469</v>
      </c>
      <c r="L18" s="172">
        <v>87.92</v>
      </c>
      <c r="M18" s="172">
        <v>1497909600</v>
      </c>
      <c r="N18" s="172">
        <v>5</v>
      </c>
      <c r="O18" s="172">
        <v>10</v>
      </c>
      <c r="P18" s="172">
        <v>84</v>
      </c>
      <c r="Q18" s="172">
        <v>8.9700000000000006</v>
      </c>
      <c r="R18" s="172">
        <v>7.87</v>
      </c>
      <c r="S18"/>
    </row>
    <row r="19" spans="1:19" x14ac:dyDescent="0.25">
      <c r="A19" s="172">
        <v>84.79</v>
      </c>
      <c r="B19" s="172">
        <v>0.28000000000000003</v>
      </c>
      <c r="C19" s="172">
        <v>43.12</v>
      </c>
      <c r="D19" s="8">
        <v>42905.708333333336</v>
      </c>
      <c r="E19" s="172">
        <v>0.21</v>
      </c>
      <c r="F19" s="172" t="s">
        <v>530</v>
      </c>
      <c r="G19" s="172">
        <v>296.33999999999997</v>
      </c>
      <c r="H19" s="172">
        <v>0</v>
      </c>
      <c r="I19" s="172">
        <v>0</v>
      </c>
      <c r="J19" s="172">
        <v>1012.38</v>
      </c>
      <c r="K19" s="172" t="s">
        <v>531</v>
      </c>
      <c r="L19" s="172">
        <v>88.3</v>
      </c>
      <c r="M19" s="172">
        <v>1497913200</v>
      </c>
      <c r="N19" s="172">
        <v>3</v>
      </c>
      <c r="O19" s="172">
        <v>10</v>
      </c>
      <c r="P19" s="172">
        <v>95</v>
      </c>
      <c r="Q19" s="172">
        <v>10.35</v>
      </c>
      <c r="R19" s="172">
        <v>8.23</v>
      </c>
      <c r="S19"/>
    </row>
    <row r="20" spans="1:19" x14ac:dyDescent="0.25">
      <c r="A20" s="172">
        <v>83.08</v>
      </c>
      <c r="B20" s="172">
        <v>0.33</v>
      </c>
      <c r="C20" s="172">
        <v>43.93</v>
      </c>
      <c r="D20" s="8">
        <v>42905.75</v>
      </c>
      <c r="E20" s="172">
        <v>0.22</v>
      </c>
      <c r="F20" s="172" t="s">
        <v>530</v>
      </c>
      <c r="G20" s="172">
        <v>298.55</v>
      </c>
      <c r="H20" s="172">
        <v>0</v>
      </c>
      <c r="I20" s="172">
        <v>0</v>
      </c>
      <c r="J20" s="172">
        <v>1012.04</v>
      </c>
      <c r="K20" s="172" t="s">
        <v>531</v>
      </c>
      <c r="L20" s="172">
        <v>86.88</v>
      </c>
      <c r="M20" s="172">
        <v>1497916800</v>
      </c>
      <c r="N20" s="172">
        <v>1</v>
      </c>
      <c r="O20" s="172">
        <v>10</v>
      </c>
      <c r="P20" s="172">
        <v>95</v>
      </c>
      <c r="Q20" s="172">
        <v>10.8</v>
      </c>
      <c r="R20" s="172">
        <v>8.8800000000000008</v>
      </c>
      <c r="S20"/>
    </row>
    <row r="21" spans="1:19" x14ac:dyDescent="0.25">
      <c r="A21" s="172">
        <v>81.510000000000005</v>
      </c>
      <c r="B21" s="172">
        <v>0.26</v>
      </c>
      <c r="C21" s="172">
        <v>44.03</v>
      </c>
      <c r="D21" s="8">
        <v>42905.791666666664</v>
      </c>
      <c r="E21" s="172">
        <v>0.24</v>
      </c>
      <c r="F21" s="172" t="s">
        <v>530</v>
      </c>
      <c r="G21" s="172">
        <v>298.22000000000003</v>
      </c>
      <c r="H21" s="172">
        <v>0</v>
      </c>
      <c r="I21" s="172">
        <v>0</v>
      </c>
      <c r="J21" s="172">
        <v>1012.26</v>
      </c>
      <c r="K21" s="172" t="s">
        <v>531</v>
      </c>
      <c r="L21" s="172">
        <v>84.99</v>
      </c>
      <c r="M21" s="172">
        <v>1497920400</v>
      </c>
      <c r="N21" s="172">
        <v>1</v>
      </c>
      <c r="O21" s="172">
        <v>10</v>
      </c>
      <c r="P21" s="172">
        <v>86</v>
      </c>
      <c r="Q21" s="172">
        <v>10.8</v>
      </c>
      <c r="R21" s="172">
        <v>8.16</v>
      </c>
      <c r="S21"/>
    </row>
    <row r="22" spans="1:19" x14ac:dyDescent="0.25">
      <c r="A22" s="172">
        <v>79.569999999999993</v>
      </c>
      <c r="B22" s="172">
        <v>0.19</v>
      </c>
      <c r="C22" s="172">
        <v>44.07</v>
      </c>
      <c r="D22" s="8">
        <v>42905.833333333336</v>
      </c>
      <c r="E22" s="172">
        <v>0.26</v>
      </c>
      <c r="F22" s="172" t="s">
        <v>470</v>
      </c>
      <c r="G22" s="172">
        <v>297.56</v>
      </c>
      <c r="H22" s="172">
        <v>0</v>
      </c>
      <c r="I22" s="172">
        <v>0</v>
      </c>
      <c r="J22" s="172">
        <v>1012.95</v>
      </c>
      <c r="K22" s="172" t="s">
        <v>469</v>
      </c>
      <c r="L22" s="172">
        <v>82.23</v>
      </c>
      <c r="M22" s="172">
        <v>1497924000</v>
      </c>
      <c r="N22" s="172">
        <v>0</v>
      </c>
      <c r="O22" s="172">
        <v>10</v>
      </c>
      <c r="P22" s="172">
        <v>78</v>
      </c>
      <c r="Q22" s="172">
        <v>9.9499999999999993</v>
      </c>
      <c r="R22" s="172">
        <v>6.38</v>
      </c>
      <c r="S22"/>
    </row>
    <row r="23" spans="1:19" x14ac:dyDescent="0.25">
      <c r="A23" s="172">
        <v>76.3</v>
      </c>
      <c r="B23" s="172">
        <v>0.14000000000000001</v>
      </c>
      <c r="C23" s="172">
        <v>43.6</v>
      </c>
      <c r="D23" s="8">
        <v>42905.875</v>
      </c>
      <c r="E23" s="172">
        <v>0.28999999999999998</v>
      </c>
      <c r="F23" s="172" t="s">
        <v>468</v>
      </c>
      <c r="G23" s="172">
        <v>297.11</v>
      </c>
      <c r="H23" s="172">
        <v>0</v>
      </c>
      <c r="I23" s="172">
        <v>0</v>
      </c>
      <c r="J23" s="172">
        <v>1014.12</v>
      </c>
      <c r="K23" s="172" t="s">
        <v>469</v>
      </c>
      <c r="L23" s="172">
        <v>78.040000000000006</v>
      </c>
      <c r="M23" s="172">
        <v>1497927600</v>
      </c>
      <c r="N23" s="172">
        <v>0</v>
      </c>
      <c r="O23" s="172">
        <v>10</v>
      </c>
      <c r="P23" s="172">
        <v>65</v>
      </c>
      <c r="Q23" s="172">
        <v>6.74</v>
      </c>
      <c r="R23" s="172">
        <v>4.18</v>
      </c>
      <c r="S23"/>
    </row>
    <row r="24" spans="1:19" x14ac:dyDescent="0.25">
      <c r="A24" s="172">
        <v>73.22</v>
      </c>
      <c r="B24" s="172">
        <v>0.04</v>
      </c>
      <c r="C24" s="172">
        <v>44.44</v>
      </c>
      <c r="D24" s="8">
        <v>42905.916666666664</v>
      </c>
      <c r="E24" s="172">
        <v>0.34</v>
      </c>
      <c r="F24" s="172" t="s">
        <v>468</v>
      </c>
      <c r="G24" s="172">
        <v>296.89</v>
      </c>
      <c r="H24" s="172">
        <v>0</v>
      </c>
      <c r="I24" s="172">
        <v>0</v>
      </c>
      <c r="J24" s="172">
        <v>1014.71</v>
      </c>
      <c r="K24" s="172" t="s">
        <v>469</v>
      </c>
      <c r="L24" s="172">
        <v>74.53</v>
      </c>
      <c r="M24" s="172">
        <v>1497931200</v>
      </c>
      <c r="N24" s="172">
        <v>0</v>
      </c>
      <c r="O24" s="172">
        <v>10</v>
      </c>
      <c r="P24" s="172">
        <v>57</v>
      </c>
      <c r="Q24" s="172">
        <v>5.01</v>
      </c>
      <c r="R24" s="172">
        <v>3.31</v>
      </c>
      <c r="S24"/>
    </row>
    <row r="25" spans="1:19" x14ac:dyDescent="0.25">
      <c r="A25" s="172">
        <v>70.849999999999994</v>
      </c>
      <c r="B25" s="172">
        <v>0.1</v>
      </c>
      <c r="C25" s="172">
        <v>45.22</v>
      </c>
      <c r="D25" s="8">
        <v>42905.958333333336</v>
      </c>
      <c r="E25" s="172">
        <v>0.39</v>
      </c>
      <c r="F25" s="172" t="s">
        <v>468</v>
      </c>
      <c r="G25" s="172">
        <v>296.77999999999997</v>
      </c>
      <c r="H25" s="172">
        <v>0</v>
      </c>
      <c r="I25" s="172">
        <v>0</v>
      </c>
      <c r="J25" s="172">
        <v>1014.81</v>
      </c>
      <c r="K25" s="172" t="s">
        <v>469</v>
      </c>
      <c r="L25" s="172">
        <v>71.86</v>
      </c>
      <c r="M25" s="172">
        <v>1497934800</v>
      </c>
      <c r="N25" s="172">
        <v>0</v>
      </c>
      <c r="O25" s="172">
        <v>10</v>
      </c>
      <c r="P25" s="172">
        <v>198</v>
      </c>
      <c r="Q25" s="172">
        <v>4.6500000000000004</v>
      </c>
      <c r="R25" s="172">
        <v>2.74</v>
      </c>
      <c r="S25"/>
    </row>
    <row r="26" spans="1:19" x14ac:dyDescent="0.25">
      <c r="A26" s="172">
        <v>68.14</v>
      </c>
      <c r="B26" s="172">
        <v>0.15</v>
      </c>
      <c r="C26" s="172">
        <v>45.35</v>
      </c>
      <c r="D26" s="8">
        <v>42906</v>
      </c>
      <c r="E26" s="172">
        <v>0.42</v>
      </c>
      <c r="F26" s="172" t="s">
        <v>468</v>
      </c>
      <c r="G26" s="172">
        <v>296.56</v>
      </c>
      <c r="H26" s="172">
        <v>0</v>
      </c>
      <c r="I26" s="172">
        <v>0</v>
      </c>
      <c r="J26" s="172">
        <v>1014.52</v>
      </c>
      <c r="K26" s="172" t="s">
        <v>469</v>
      </c>
      <c r="L26" s="172">
        <v>69.42</v>
      </c>
      <c r="M26" s="172">
        <v>1497938400</v>
      </c>
      <c r="N26" s="172">
        <v>0</v>
      </c>
      <c r="O26" s="172">
        <v>10</v>
      </c>
      <c r="P26" s="172">
        <v>221</v>
      </c>
      <c r="Q26" s="172">
        <v>6.62</v>
      </c>
      <c r="R26" s="172">
        <v>3.11</v>
      </c>
      <c r="S26"/>
    </row>
    <row r="27" spans="1:19" x14ac:dyDescent="0.25">
      <c r="A27" s="172">
        <v>66.44</v>
      </c>
      <c r="B27" s="172">
        <v>0.19</v>
      </c>
      <c r="C27" s="172">
        <v>45.54</v>
      </c>
      <c r="D27" s="8">
        <v>42906.041666666664</v>
      </c>
      <c r="E27" s="172">
        <v>0.44</v>
      </c>
      <c r="F27" s="172" t="s">
        <v>468</v>
      </c>
      <c r="G27" s="172">
        <v>296</v>
      </c>
      <c r="H27" s="172">
        <v>0</v>
      </c>
      <c r="I27" s="172">
        <v>0</v>
      </c>
      <c r="J27" s="172">
        <v>1014.58</v>
      </c>
      <c r="K27" s="172" t="s">
        <v>469</v>
      </c>
      <c r="L27" s="172">
        <v>67.98</v>
      </c>
      <c r="M27" s="172">
        <v>1497942000</v>
      </c>
      <c r="N27" s="172">
        <v>0</v>
      </c>
      <c r="O27" s="172">
        <v>10</v>
      </c>
      <c r="P27" s="172">
        <v>213</v>
      </c>
      <c r="Q27" s="172">
        <v>6.03</v>
      </c>
      <c r="R27" s="172">
        <v>3.56</v>
      </c>
      <c r="S27"/>
    </row>
    <row r="28" spans="1:19" x14ac:dyDescent="0.25">
      <c r="A28" s="172">
        <v>64.97</v>
      </c>
      <c r="B28" s="172">
        <v>0.22</v>
      </c>
      <c r="C28" s="172">
        <v>45.46</v>
      </c>
      <c r="D28" s="8">
        <v>42906.083333333336</v>
      </c>
      <c r="E28" s="172">
        <v>0.47</v>
      </c>
      <c r="F28" s="172" t="s">
        <v>468</v>
      </c>
      <c r="G28" s="172">
        <v>295.33</v>
      </c>
      <c r="H28" s="172">
        <v>0</v>
      </c>
      <c r="I28" s="172">
        <v>0</v>
      </c>
      <c r="J28" s="172">
        <v>1014.58</v>
      </c>
      <c r="K28" s="172" t="s">
        <v>469</v>
      </c>
      <c r="L28" s="172">
        <v>66.48</v>
      </c>
      <c r="M28" s="172">
        <v>1497945600</v>
      </c>
      <c r="N28" s="172">
        <v>0</v>
      </c>
      <c r="O28" s="172">
        <v>10</v>
      </c>
      <c r="P28" s="172">
        <v>203</v>
      </c>
      <c r="Q28" s="172">
        <v>4.8899999999999997</v>
      </c>
      <c r="R28" s="172">
        <v>3.34</v>
      </c>
      <c r="S28"/>
    </row>
    <row r="29" spans="1:19" x14ac:dyDescent="0.25">
      <c r="A29" s="172">
        <v>63.53</v>
      </c>
      <c r="B29" s="172">
        <v>0.23</v>
      </c>
      <c r="C29" s="172">
        <v>45.14</v>
      </c>
      <c r="D29" s="8">
        <v>42906.125</v>
      </c>
      <c r="E29" s="172">
        <v>0.48</v>
      </c>
      <c r="F29" s="172" t="s">
        <v>468</v>
      </c>
      <c r="G29" s="172">
        <v>294.89</v>
      </c>
      <c r="H29" s="172">
        <v>0</v>
      </c>
      <c r="I29" s="172">
        <v>0</v>
      </c>
      <c r="J29" s="172">
        <v>1014.77</v>
      </c>
      <c r="K29" s="172" t="s">
        <v>469</v>
      </c>
      <c r="L29" s="172">
        <v>65.3</v>
      </c>
      <c r="M29" s="172">
        <v>1497949200</v>
      </c>
      <c r="N29" s="172">
        <v>0</v>
      </c>
      <c r="O29" s="172">
        <v>10</v>
      </c>
      <c r="P29" s="172">
        <v>219</v>
      </c>
      <c r="Q29" s="172">
        <v>5.08</v>
      </c>
      <c r="R29" s="172">
        <v>3.66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517</v>
      </c>
      <c r="AE2" s="56" t="s">
        <v>520</v>
      </c>
      <c r="AF2" s="56" t="s">
        <v>521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518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519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522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1039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1040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1044</v>
      </c>
      <c r="J25" s="140" t="s">
        <v>146</v>
      </c>
      <c r="M25" s="154" t="b">
        <v>1</v>
      </c>
    </row>
    <row r="26" spans="3:24" x14ac:dyDescent="0.25">
      <c r="C26" t="s">
        <v>1045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C:\Users\stu\Documents\GitHub\eaglep3-reporting\EC\2017-06-19-refined-times.txt</v>
      </c>
    </row>
    <row r="27" spans="3:24" x14ac:dyDescent="0.25">
      <c r="C27" t="s">
        <v>1046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C:\Users\stu\Documents\GitHub\eaglep3-reporting\EC\2017-06-19-Enforcements.txt</v>
      </c>
    </row>
    <row r="28" spans="3:24" x14ac:dyDescent="0.25">
      <c r="C28" t="s">
        <v>1047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C:\Users\stu\Documents\GitHub\eaglep3-reporting\EC\2017-06-19-Runs-refined.txt</v>
      </c>
    </row>
    <row r="29" spans="3:24" x14ac:dyDescent="0.25">
      <c r="C29" t="s">
        <v>1048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C:\Users\stu\Documents\GitHub\eaglep3-reporting\EC\2017-06-19-Trips.txt</v>
      </c>
    </row>
    <row r="30" spans="3:24" x14ac:dyDescent="0.25">
      <c r="C30" t="s">
        <v>1049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C:\Users\stu\Documents\GitHub\eaglep3-reporting\EC\2017-06-19-Weather.txt</v>
      </c>
    </row>
    <row r="31" spans="3:24" x14ac:dyDescent="0.25">
      <c r="C31" t="s">
        <v>1050</v>
      </c>
      <c r="J31" s="140" t="s">
        <v>196</v>
      </c>
      <c r="M31" s="154" t="s">
        <v>197</v>
      </c>
    </row>
    <row r="32" spans="3:24" x14ac:dyDescent="0.25">
      <c r="C32" t="s">
        <v>1051</v>
      </c>
    </row>
    <row r="33" spans="3:3" x14ac:dyDescent="0.25">
      <c r="C33" t="s">
        <v>1052</v>
      </c>
    </row>
    <row r="34" spans="3:3" x14ac:dyDescent="0.25">
      <c r="C34" t="s">
        <v>1053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2017-06-20T15:49:01Z</dcterms:modified>
</cp:coreProperties>
</file>