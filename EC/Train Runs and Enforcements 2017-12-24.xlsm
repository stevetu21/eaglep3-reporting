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Runs'!$A$12:$AG$527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81" i="1" l="1"/>
  <c r="X181" i="1"/>
  <c r="K180" i="1"/>
  <c r="L180" i="1"/>
  <c r="M180" i="1"/>
  <c r="N180" i="1"/>
  <c r="V180" i="1"/>
  <c r="AA180" i="1"/>
  <c r="AB180" i="1"/>
  <c r="AC180" i="1"/>
  <c r="AD180" i="1"/>
  <c r="T180" i="1" s="1"/>
  <c r="AE180" i="1"/>
  <c r="AF180" i="1"/>
  <c r="AH180" i="1"/>
  <c r="AM180" i="1"/>
  <c r="AN180" i="1"/>
  <c r="AO180" i="1"/>
  <c r="X159" i="1"/>
  <c r="X160" i="1"/>
  <c r="X161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54" i="1"/>
  <c r="K126" i="1"/>
  <c r="L126" i="1"/>
  <c r="M126" i="1"/>
  <c r="N126" i="1"/>
  <c r="V126" i="1"/>
  <c r="AA126" i="1"/>
  <c r="AB126" i="1"/>
  <c r="AC126" i="1"/>
  <c r="AD126" i="1"/>
  <c r="T126" i="1" s="1"/>
  <c r="AE126" i="1"/>
  <c r="AF126" i="1"/>
  <c r="AH126" i="1"/>
  <c r="AM126" i="1"/>
  <c r="AN126" i="1"/>
  <c r="AO126" i="1"/>
  <c r="K108" i="1"/>
  <c r="L108" i="1"/>
  <c r="M108" i="1"/>
  <c r="N108" i="1" s="1"/>
  <c r="V108" i="1"/>
  <c r="AA108" i="1"/>
  <c r="AB108" i="1"/>
  <c r="AC108" i="1"/>
  <c r="AD108" i="1"/>
  <c r="T108" i="1" s="1"/>
  <c r="AE108" i="1"/>
  <c r="AF108" i="1"/>
  <c r="AH108" i="1"/>
  <c r="AM108" i="1"/>
  <c r="AN108" i="1"/>
  <c r="AO108" i="1"/>
  <c r="K52" i="1"/>
  <c r="L52" i="1"/>
  <c r="M52" i="1"/>
  <c r="N52" i="1" s="1"/>
  <c r="V52" i="1"/>
  <c r="AA52" i="1"/>
  <c r="AB52" i="1"/>
  <c r="AC52" i="1"/>
  <c r="AD52" i="1"/>
  <c r="T52" i="1" s="1"/>
  <c r="AE52" i="1"/>
  <c r="AF52" i="1"/>
  <c r="AH52" i="1"/>
  <c r="AM52" i="1"/>
  <c r="AN52" i="1"/>
  <c r="AO52" i="1"/>
  <c r="K21" i="1"/>
  <c r="L21" i="1"/>
  <c r="M21" i="1"/>
  <c r="N21" i="1" s="1"/>
  <c r="V21" i="1"/>
  <c r="AA21" i="1"/>
  <c r="AB21" i="1"/>
  <c r="AC21" i="1"/>
  <c r="AD21" i="1"/>
  <c r="T21" i="1" s="1"/>
  <c r="AE21" i="1"/>
  <c r="AF21" i="1"/>
  <c r="AH21" i="1"/>
  <c r="AM21" i="1"/>
  <c r="AN21" i="1"/>
  <c r="AO2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R14" i="3" s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R17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S9" i="3" s="1"/>
  <c r="Y40" i="1"/>
  <c r="Z40" i="1"/>
  <c r="AA40" i="1" s="1"/>
  <c r="AB40" i="1"/>
  <c r="AC40" i="1"/>
  <c r="AD40" i="1"/>
  <c r="T40" i="1" s="1"/>
  <c r="AE40" i="1"/>
  <c r="R9" i="3" s="1"/>
  <c r="AF40" i="1"/>
  <c r="AH40" i="1"/>
  <c r="AM40" i="1"/>
  <c r="AN40" i="1"/>
  <c r="AO40" i="1"/>
  <c r="K41" i="1"/>
  <c r="L41" i="1"/>
  <c r="M41" i="1"/>
  <c r="N41" i="1" s="1"/>
  <c r="V41" i="1"/>
  <c r="X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P44" i="1" s="1"/>
  <c r="V44" i="1"/>
  <c r="Y44" i="1"/>
  <c r="Z44" i="1"/>
  <c r="AA44" i="1" s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S18" i="3" s="1"/>
  <c r="Y54" i="1"/>
  <c r="Z54" i="1"/>
  <c r="AB54" i="1"/>
  <c r="AC54" i="1"/>
  <c r="AD54" i="1"/>
  <c r="T54" i="1" s="1"/>
  <c r="AE54" i="1"/>
  <c r="R18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S8" i="3" s="1"/>
  <c r="Y64" i="1"/>
  <c r="Z64" i="1"/>
  <c r="AA64" i="1" s="1"/>
  <c r="AB64" i="1"/>
  <c r="AC64" i="1"/>
  <c r="AD64" i="1"/>
  <c r="AE64" i="1"/>
  <c r="R8" i="3" s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X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S7" i="3" s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AA84" i="1" s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T85" i="1"/>
  <c r="V85" i="1"/>
  <c r="X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AA86" i="1" s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X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P90" i="1" s="1"/>
  <c r="V90" i="1"/>
  <c r="Y90" i="1"/>
  <c r="AA90" i="1" s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X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AH94" i="1"/>
  <c r="AM94" i="1"/>
  <c r="AN94" i="1"/>
  <c r="AO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AO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AO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AO97" i="1"/>
  <c r="K162" i="1"/>
  <c r="L162" i="1"/>
  <c r="M162" i="1"/>
  <c r="N162" i="1" s="1"/>
  <c r="V162" i="1"/>
  <c r="S22" i="3" s="1"/>
  <c r="Y162" i="1"/>
  <c r="Z162" i="1"/>
  <c r="AB162" i="1"/>
  <c r="AC162" i="1"/>
  <c r="AD162" i="1"/>
  <c r="T162" i="1" s="1"/>
  <c r="AE162" i="1"/>
  <c r="R22" i="3" s="1"/>
  <c r="AF162" i="1"/>
  <c r="AH98" i="1"/>
  <c r="AM98" i="1"/>
  <c r="AN98" i="1"/>
  <c r="AO98" i="1"/>
  <c r="K163" i="1"/>
  <c r="L163" i="1"/>
  <c r="M163" i="1"/>
  <c r="N163" i="1" s="1"/>
  <c r="V163" i="1"/>
  <c r="Y163" i="1"/>
  <c r="AA163" i="1" s="1"/>
  <c r="Z163" i="1"/>
  <c r="AB163" i="1"/>
  <c r="AC163" i="1"/>
  <c r="AD163" i="1"/>
  <c r="T163" i="1" s="1"/>
  <c r="AE163" i="1"/>
  <c r="AF163" i="1"/>
  <c r="AH99" i="1"/>
  <c r="AM99" i="1"/>
  <c r="AN99" i="1"/>
  <c r="AO99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00" i="1"/>
  <c r="AM100" i="1"/>
  <c r="AN100" i="1"/>
  <c r="AO100" i="1"/>
  <c r="K165" i="1"/>
  <c r="L165" i="1"/>
  <c r="M165" i="1"/>
  <c r="N165" i="1" s="1"/>
  <c r="V165" i="1"/>
  <c r="X165" i="1"/>
  <c r="Y165" i="1"/>
  <c r="Z165" i="1"/>
  <c r="AB165" i="1"/>
  <c r="AC165" i="1"/>
  <c r="AD165" i="1"/>
  <c r="T165" i="1" s="1"/>
  <c r="AE165" i="1"/>
  <c r="AF165" i="1"/>
  <c r="AH101" i="1"/>
  <c r="AM101" i="1"/>
  <c r="AN101" i="1"/>
  <c r="AO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AO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AO103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4" i="1"/>
  <c r="AM104" i="1"/>
  <c r="AN104" i="1"/>
  <c r="AO104" i="1"/>
  <c r="K95" i="1"/>
  <c r="L95" i="1"/>
  <c r="M95" i="1"/>
  <c r="N95" i="1" s="1"/>
  <c r="V95" i="1"/>
  <c r="S16" i="3" s="1"/>
  <c r="Y95" i="1"/>
  <c r="Z95" i="1"/>
  <c r="AB95" i="1"/>
  <c r="AC95" i="1"/>
  <c r="AD95" i="1"/>
  <c r="T95" i="1" s="1"/>
  <c r="AE95" i="1"/>
  <c r="R16" i="3" s="1"/>
  <c r="AF95" i="1"/>
  <c r="AH105" i="1"/>
  <c r="AM105" i="1"/>
  <c r="AN105" i="1"/>
  <c r="AO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AM106" i="1"/>
  <c r="AN106" i="1"/>
  <c r="AO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7" i="1"/>
  <c r="AM107" i="1"/>
  <c r="AN107" i="1"/>
  <c r="AO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9" i="1"/>
  <c r="AM109" i="1"/>
  <c r="AN109" i="1"/>
  <c r="AO109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10" i="1"/>
  <c r="AM110" i="1"/>
  <c r="AN110" i="1"/>
  <c r="AO11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1" i="1"/>
  <c r="AM111" i="1"/>
  <c r="AN111" i="1"/>
  <c r="AO1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2" i="1"/>
  <c r="AM112" i="1"/>
  <c r="AN112" i="1"/>
  <c r="AO112" i="1"/>
  <c r="K175" i="1"/>
  <c r="L175" i="1"/>
  <c r="M175" i="1"/>
  <c r="N175" i="1" s="1"/>
  <c r="V175" i="1"/>
  <c r="Y175" i="1"/>
  <c r="Z175" i="1"/>
  <c r="AB175" i="1"/>
  <c r="AC175" i="1"/>
  <c r="AD175" i="1"/>
  <c r="X176" i="1" s="1"/>
  <c r="AE175" i="1"/>
  <c r="AF175" i="1"/>
  <c r="K176" i="1"/>
  <c r="L176" i="1"/>
  <c r="M176" i="1"/>
  <c r="N176" i="1" s="1"/>
  <c r="V176" i="1"/>
  <c r="S21" i="3" s="1"/>
  <c r="Y176" i="1"/>
  <c r="Z176" i="1"/>
  <c r="AA176" i="1" s="1"/>
  <c r="AB176" i="1"/>
  <c r="AC176" i="1"/>
  <c r="AD176" i="1"/>
  <c r="T176" i="1" s="1"/>
  <c r="AE176" i="1"/>
  <c r="R21" i="3" s="1"/>
  <c r="AF176" i="1"/>
  <c r="AH113" i="1"/>
  <c r="AM113" i="1"/>
  <c r="AN113" i="1"/>
  <c r="AO11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4" i="1"/>
  <c r="AM114" i="1"/>
  <c r="AN114" i="1"/>
  <c r="AO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5" i="1"/>
  <c r="AM115" i="1"/>
  <c r="AN115" i="1"/>
  <c r="AO11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16" i="1"/>
  <c r="AM116" i="1"/>
  <c r="AN116" i="1"/>
  <c r="AO116" i="1"/>
  <c r="K179" i="1"/>
  <c r="L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117" i="1"/>
  <c r="AM117" i="1"/>
  <c r="AN117" i="1"/>
  <c r="AO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AM118" i="1"/>
  <c r="AN118" i="1"/>
  <c r="AO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121" i="1"/>
  <c r="AM121" i="1"/>
  <c r="AN121" i="1"/>
  <c r="AO121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2" i="1"/>
  <c r="AM122" i="1"/>
  <c r="AN122" i="1"/>
  <c r="AO122" i="1"/>
  <c r="K186" i="1"/>
  <c r="L186" i="1"/>
  <c r="M186" i="1"/>
  <c r="N186" i="1" s="1"/>
  <c r="V186" i="1"/>
  <c r="Y186" i="1"/>
  <c r="AA186" i="1" s="1"/>
  <c r="Z186" i="1"/>
  <c r="AB186" i="1"/>
  <c r="AC186" i="1"/>
  <c r="AD186" i="1"/>
  <c r="AE186" i="1"/>
  <c r="AF186" i="1"/>
  <c r="AH123" i="1"/>
  <c r="AM123" i="1"/>
  <c r="AN123" i="1"/>
  <c r="AO123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H124" i="1"/>
  <c r="AM124" i="1"/>
  <c r="AN124" i="1"/>
  <c r="AO124" i="1"/>
  <c r="K188" i="1"/>
  <c r="L188" i="1"/>
  <c r="M188" i="1"/>
  <c r="N188" i="1" s="1"/>
  <c r="V188" i="1"/>
  <c r="S19" i="3" s="1"/>
  <c r="Y188" i="1"/>
  <c r="Z188" i="1"/>
  <c r="AB188" i="1"/>
  <c r="AC188" i="1"/>
  <c r="AD188" i="1"/>
  <c r="T188" i="1" s="1"/>
  <c r="AE188" i="1"/>
  <c r="R19" i="3" s="1"/>
  <c r="AF188" i="1"/>
  <c r="AH125" i="1"/>
  <c r="AM125" i="1"/>
  <c r="AN125" i="1"/>
  <c r="AO125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127" i="1"/>
  <c r="AM127" i="1"/>
  <c r="AN127" i="1"/>
  <c r="AO12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8" i="1"/>
  <c r="AM128" i="1"/>
  <c r="AN128" i="1"/>
  <c r="AO128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129" i="1"/>
  <c r="AM129" i="1"/>
  <c r="AN129" i="1"/>
  <c r="AO12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30" i="1"/>
  <c r="AM130" i="1"/>
  <c r="AN130" i="1"/>
  <c r="AO130" i="1"/>
  <c r="K192" i="1"/>
  <c r="L192" i="1"/>
  <c r="M192" i="1"/>
  <c r="N192" i="1" s="1"/>
  <c r="V192" i="1"/>
  <c r="S20" i="3" s="1"/>
  <c r="Y192" i="1"/>
  <c r="Z192" i="1"/>
  <c r="AB192" i="1"/>
  <c r="AC192" i="1"/>
  <c r="AD192" i="1"/>
  <c r="AE192" i="1"/>
  <c r="R20" i="3" s="1"/>
  <c r="AF192" i="1"/>
  <c r="AH131" i="1"/>
  <c r="AM131" i="1"/>
  <c r="AN131" i="1"/>
  <c r="AO13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2" i="1"/>
  <c r="AM132" i="1"/>
  <c r="AN132" i="1"/>
  <c r="AO13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3" i="1"/>
  <c r="AM133" i="1"/>
  <c r="AN133" i="1"/>
  <c r="AO133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R15" i="3" s="1"/>
  <c r="AF98" i="1"/>
  <c r="AH134" i="1"/>
  <c r="AM134" i="1"/>
  <c r="AN134" i="1"/>
  <c r="AO13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5" i="1"/>
  <c r="AM135" i="1"/>
  <c r="AN135" i="1"/>
  <c r="AO135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6" i="1"/>
  <c r="AM136" i="1"/>
  <c r="AN136" i="1"/>
  <c r="AO136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7" i="1"/>
  <c r="AM137" i="1"/>
  <c r="AN137" i="1"/>
  <c r="AO137" i="1"/>
  <c r="K102" i="1"/>
  <c r="L102" i="1"/>
  <c r="M102" i="1"/>
  <c r="N102" i="1"/>
  <c r="V102" i="1"/>
  <c r="Y102" i="1"/>
  <c r="Z102" i="1"/>
  <c r="AB102" i="1"/>
  <c r="AC102" i="1"/>
  <c r="AD102" i="1"/>
  <c r="AE102" i="1"/>
  <c r="AF102" i="1"/>
  <c r="AH138" i="1"/>
  <c r="AM138" i="1"/>
  <c r="AN138" i="1"/>
  <c r="AO138" i="1"/>
  <c r="K103" i="1"/>
  <c r="L103" i="1"/>
  <c r="M103" i="1"/>
  <c r="N103" i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AO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AO140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41" i="1"/>
  <c r="AM141" i="1"/>
  <c r="AN141" i="1"/>
  <c r="AO141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42" i="1"/>
  <c r="AM142" i="1"/>
  <c r="AN142" i="1"/>
  <c r="AO142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3" i="1"/>
  <c r="AM143" i="1"/>
  <c r="AN143" i="1"/>
  <c r="AO14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4" i="1"/>
  <c r="AM144" i="1"/>
  <c r="AN144" i="1"/>
  <c r="AO144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AO145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46" i="1"/>
  <c r="AM146" i="1"/>
  <c r="AN146" i="1"/>
  <c r="AO146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AM147" i="1"/>
  <c r="AN147" i="1"/>
  <c r="AO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8" i="1"/>
  <c r="AM148" i="1"/>
  <c r="AN148" i="1"/>
  <c r="AO148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9" i="1"/>
  <c r="AM149" i="1"/>
  <c r="AN149" i="1"/>
  <c r="AO149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X114" i="1" s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AO154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5" i="1"/>
  <c r="AM155" i="1"/>
  <c r="AN155" i="1"/>
  <c r="AO155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6" i="1"/>
  <c r="AM156" i="1"/>
  <c r="AN156" i="1"/>
  <c r="AO156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7" i="1"/>
  <c r="AM157" i="1"/>
  <c r="AN157" i="1"/>
  <c r="AO157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3" i="1"/>
  <c r="AM163" i="1"/>
  <c r="AN163" i="1"/>
  <c r="AO163" i="1"/>
  <c r="K127" i="1"/>
  <c r="L127" i="1"/>
  <c r="M127" i="1"/>
  <c r="N127" i="1" s="1"/>
  <c r="V127" i="1"/>
  <c r="Y127" i="1"/>
  <c r="Z127" i="1"/>
  <c r="AA127" i="1" s="1"/>
  <c r="AB127" i="1"/>
  <c r="AC127" i="1"/>
  <c r="AD127" i="1"/>
  <c r="X127" i="1" s="1"/>
  <c r="AE127" i="1"/>
  <c r="AF127" i="1"/>
  <c r="AH164" i="1"/>
  <c r="AM164" i="1"/>
  <c r="AN164" i="1"/>
  <c r="AO164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5" i="1"/>
  <c r="AM165" i="1"/>
  <c r="AN165" i="1"/>
  <c r="AO165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66" i="1"/>
  <c r="AM166" i="1"/>
  <c r="AN166" i="1"/>
  <c r="AO166" i="1"/>
  <c r="K130" i="1"/>
  <c r="L130" i="1"/>
  <c r="M130" i="1"/>
  <c r="N130" i="1" s="1"/>
  <c r="V130" i="1"/>
  <c r="X130" i="1"/>
  <c r="Y130" i="1"/>
  <c r="Z130" i="1"/>
  <c r="AA130" i="1" s="1"/>
  <c r="AB130" i="1"/>
  <c r="AC130" i="1"/>
  <c r="AD130" i="1"/>
  <c r="T130" i="1" s="1"/>
  <c r="AE130" i="1"/>
  <c r="AF130" i="1"/>
  <c r="AH167" i="1"/>
  <c r="AM167" i="1"/>
  <c r="AN167" i="1"/>
  <c r="AO167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8" i="1"/>
  <c r="AM168" i="1"/>
  <c r="AN168" i="1"/>
  <c r="AO168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69" i="1"/>
  <c r="AM169" i="1"/>
  <c r="AN169" i="1"/>
  <c r="AO169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0" i="1"/>
  <c r="AM170" i="1"/>
  <c r="AN170" i="1"/>
  <c r="AO170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71" i="1"/>
  <c r="AM171" i="1"/>
  <c r="AN171" i="1"/>
  <c r="AO171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2" i="1"/>
  <c r="AM172" i="1"/>
  <c r="AN172" i="1"/>
  <c r="AO172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73" i="1"/>
  <c r="AM173" i="1"/>
  <c r="AN173" i="1"/>
  <c r="AO173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4" i="1"/>
  <c r="AM174" i="1"/>
  <c r="AN174" i="1"/>
  <c r="AO174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5" i="1"/>
  <c r="AM175" i="1"/>
  <c r="AN175" i="1"/>
  <c r="AO175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6" i="1"/>
  <c r="AM176" i="1"/>
  <c r="AN176" i="1"/>
  <c r="AO176" i="1"/>
  <c r="K140" i="1"/>
  <c r="L140" i="1"/>
  <c r="M140" i="1"/>
  <c r="N140" i="1" s="1"/>
  <c r="V140" i="1"/>
  <c r="S10" i="3" s="1"/>
  <c r="Y140" i="1"/>
  <c r="Z140" i="1"/>
  <c r="AB140" i="1"/>
  <c r="AC140" i="1"/>
  <c r="AD140" i="1"/>
  <c r="T140" i="1" s="1"/>
  <c r="AE140" i="1"/>
  <c r="R10" i="3" s="1"/>
  <c r="AF140" i="1"/>
  <c r="AH177" i="1"/>
  <c r="AM177" i="1"/>
  <c r="AN177" i="1"/>
  <c r="AO177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8" i="1"/>
  <c r="AM178" i="1"/>
  <c r="AN178" i="1"/>
  <c r="AO178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9" i="1"/>
  <c r="AM179" i="1"/>
  <c r="AN179" i="1"/>
  <c r="AO179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3" i="1"/>
  <c r="AM183" i="1"/>
  <c r="AN183" i="1"/>
  <c r="AO183" i="1"/>
  <c r="K146" i="1"/>
  <c r="L146" i="1"/>
  <c r="M146" i="1"/>
  <c r="N146" i="1" s="1"/>
  <c r="V146" i="1"/>
  <c r="S11" i="3" s="1"/>
  <c r="Y146" i="1"/>
  <c r="Z146" i="1"/>
  <c r="AB146" i="1"/>
  <c r="AC146" i="1"/>
  <c r="AD146" i="1"/>
  <c r="T146" i="1" s="1"/>
  <c r="AE146" i="1"/>
  <c r="R11" i="3" s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9" i="1"/>
  <c r="AM189" i="1"/>
  <c r="AN189" i="1"/>
  <c r="AO189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1" i="1"/>
  <c r="AM191" i="1"/>
  <c r="AN191" i="1"/>
  <c r="AO191" i="1"/>
  <c r="AH192" i="1"/>
  <c r="AM192" i="1"/>
  <c r="AN192" i="1"/>
  <c r="AO192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4" i="1"/>
  <c r="AM194" i="1"/>
  <c r="AN194" i="1"/>
  <c r="AO19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5" i="1"/>
  <c r="AM195" i="1"/>
  <c r="AN195" i="1"/>
  <c r="AO19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X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X202" i="1"/>
  <c r="Y202" i="1"/>
  <c r="Z202" i="1"/>
  <c r="AA202" i="1" s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S23" i="3" s="1"/>
  <c r="Y206" i="1"/>
  <c r="Z206" i="1"/>
  <c r="AB206" i="1"/>
  <c r="AC206" i="1"/>
  <c r="AD206" i="1"/>
  <c r="AE206" i="1"/>
  <c r="R23" i="3" s="1"/>
  <c r="AF206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X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M13" i="3"/>
  <c r="S13" i="3"/>
  <c r="U13" i="3"/>
  <c r="T13" i="3" s="1"/>
  <c r="V13" i="3"/>
  <c r="X13" i="3"/>
  <c r="M14" i="3"/>
  <c r="S14" i="3"/>
  <c r="U14" i="3"/>
  <c r="T14" i="3" s="1"/>
  <c r="V14" i="3"/>
  <c r="X14" i="3"/>
  <c r="M17" i="3"/>
  <c r="S17" i="3"/>
  <c r="U17" i="3"/>
  <c r="AC17" i="3" s="1"/>
  <c r="V17" i="3"/>
  <c r="X17" i="3"/>
  <c r="M22" i="3"/>
  <c r="U22" i="3"/>
  <c r="AC22" i="3" s="1"/>
  <c r="V22" i="3"/>
  <c r="X22" i="3"/>
  <c r="M9" i="3"/>
  <c r="U9" i="3"/>
  <c r="AC9" i="3" s="1"/>
  <c r="V9" i="3"/>
  <c r="X9" i="3"/>
  <c r="M18" i="3"/>
  <c r="U18" i="3"/>
  <c r="AC18" i="3" s="1"/>
  <c r="V18" i="3"/>
  <c r="X18" i="3"/>
  <c r="M8" i="3"/>
  <c r="U8" i="3"/>
  <c r="AC8" i="3" s="1"/>
  <c r="V8" i="3"/>
  <c r="X8" i="3"/>
  <c r="M7" i="3"/>
  <c r="R7" i="3"/>
  <c r="U7" i="3"/>
  <c r="AC7" i="3" s="1"/>
  <c r="V7" i="3"/>
  <c r="X7" i="3"/>
  <c r="M16" i="3"/>
  <c r="U16" i="3"/>
  <c r="AD16" i="3" s="1"/>
  <c r="V16" i="3"/>
  <c r="X16" i="3"/>
  <c r="M21" i="3"/>
  <c r="U21" i="3"/>
  <c r="AC21" i="3" s="1"/>
  <c r="V21" i="3"/>
  <c r="X21" i="3"/>
  <c r="M15" i="3"/>
  <c r="S15" i="3"/>
  <c r="U15" i="3"/>
  <c r="AC15" i="3" s="1"/>
  <c r="V15" i="3"/>
  <c r="X15" i="3"/>
  <c r="M19" i="3"/>
  <c r="U19" i="3"/>
  <c r="V19" i="3"/>
  <c r="X19" i="3"/>
  <c r="M10" i="3"/>
  <c r="U10" i="3"/>
  <c r="AC10" i="3" s="1"/>
  <c r="V10" i="3"/>
  <c r="X10" i="3"/>
  <c r="M20" i="3"/>
  <c r="U20" i="3"/>
  <c r="AC20" i="3" s="1"/>
  <c r="V20" i="3"/>
  <c r="X20" i="3"/>
  <c r="M11" i="3"/>
  <c r="U11" i="3"/>
  <c r="AC11" i="3" s="1"/>
  <c r="V11" i="3"/>
  <c r="X11" i="3"/>
  <c r="M23" i="3"/>
  <c r="U23" i="3"/>
  <c r="T23" i="3" s="1"/>
  <c r="V23" i="3"/>
  <c r="X23" i="3"/>
  <c r="AG180" i="1"/>
  <c r="AG158" i="1"/>
  <c r="AG126" i="1"/>
  <c r="AG108" i="1"/>
  <c r="AG52" i="1"/>
  <c r="AG21" i="1"/>
  <c r="AG48" i="1"/>
  <c r="AG30" i="1"/>
  <c r="AG90" i="1"/>
  <c r="AG166" i="1"/>
  <c r="AG177" i="1"/>
  <c r="AG185" i="1"/>
  <c r="AG192" i="1"/>
  <c r="AG104" i="1"/>
  <c r="AG114" i="1"/>
  <c r="AG122" i="1"/>
  <c r="AG135" i="1"/>
  <c r="AG147" i="1"/>
  <c r="AG154" i="1"/>
  <c r="AG203" i="1"/>
  <c r="AG215" i="1"/>
  <c r="AG14" i="1"/>
  <c r="AG20" i="1"/>
  <c r="AG29" i="1"/>
  <c r="AG36" i="1"/>
  <c r="AG41" i="1"/>
  <c r="AG45" i="1"/>
  <c r="AG49" i="1"/>
  <c r="AG54" i="1"/>
  <c r="AG58" i="1"/>
  <c r="AG62" i="1"/>
  <c r="AG66" i="1"/>
  <c r="AG70" i="1"/>
  <c r="AG74" i="1"/>
  <c r="AG28" i="1"/>
  <c r="AG77" i="1"/>
  <c r="AG81" i="1"/>
  <c r="AG87" i="1"/>
  <c r="AG91" i="1"/>
  <c r="AG159" i="1"/>
  <c r="AG163" i="1"/>
  <c r="AG167" i="1"/>
  <c r="AG170" i="1"/>
  <c r="AG178" i="1"/>
  <c r="AG182" i="1"/>
  <c r="AG186" i="1"/>
  <c r="AG193" i="1"/>
  <c r="AG101" i="1"/>
  <c r="AG107" i="1"/>
  <c r="AG112" i="1"/>
  <c r="AG119" i="1"/>
  <c r="AG128" i="1"/>
  <c r="AG136" i="1"/>
  <c r="AG144" i="1"/>
  <c r="AG152" i="1"/>
  <c r="AG196" i="1"/>
  <c r="AG204" i="1"/>
  <c r="AG216" i="1"/>
  <c r="AG71" i="1"/>
  <c r="AG84" i="1"/>
  <c r="AG92" i="1"/>
  <c r="AG164" i="1"/>
  <c r="AG171" i="1"/>
  <c r="AG96" i="1"/>
  <c r="AG190" i="1"/>
  <c r="AG15" i="1"/>
  <c r="AG208" i="1"/>
  <c r="AG120" i="1"/>
  <c r="AG83" i="1"/>
  <c r="AG174" i="1"/>
  <c r="AG189" i="1"/>
  <c r="AG34" i="1"/>
  <c r="AG207" i="1"/>
  <c r="AG115" i="1"/>
  <c r="AG123" i="1"/>
  <c r="AG132" i="1"/>
  <c r="AG140" i="1"/>
  <c r="AG148" i="1"/>
  <c r="AG155" i="1"/>
  <c r="AG200" i="1"/>
  <c r="AG212" i="1"/>
  <c r="AG217" i="1"/>
  <c r="AG18" i="1"/>
  <c r="AG23" i="1"/>
  <c r="AG31" i="1"/>
  <c r="AG38" i="1"/>
  <c r="AG42" i="1"/>
  <c r="AG46" i="1"/>
  <c r="AG50" i="1"/>
  <c r="AG55" i="1"/>
  <c r="AG59" i="1"/>
  <c r="AG63" i="1"/>
  <c r="AG67" i="1"/>
  <c r="AG75" i="1"/>
  <c r="AG37" i="1"/>
  <c r="AG78" i="1"/>
  <c r="AG82" i="1"/>
  <c r="AG88" i="1"/>
  <c r="AG160" i="1"/>
  <c r="AG168" i="1"/>
  <c r="AG175" i="1"/>
  <c r="AG183" i="1"/>
  <c r="AG187" i="1"/>
  <c r="AG194" i="1"/>
  <c r="AG102" i="1"/>
  <c r="AG109" i="1"/>
  <c r="AG116" i="1"/>
  <c r="AG124" i="1"/>
  <c r="AG16" i="1"/>
  <c r="AG25" i="1"/>
  <c r="AG33" i="1"/>
  <c r="AG39" i="1"/>
  <c r="AG43" i="1"/>
  <c r="AG47" i="1"/>
  <c r="AG51" i="1"/>
  <c r="AG56" i="1"/>
  <c r="AG60" i="1"/>
  <c r="AG64" i="1"/>
  <c r="AG68" i="1"/>
  <c r="AG72" i="1"/>
  <c r="AG76" i="1"/>
  <c r="AG22" i="1"/>
  <c r="AG79" i="1"/>
  <c r="AG26" i="1"/>
  <c r="AG85" i="1"/>
  <c r="AG89" i="1"/>
  <c r="AG93" i="1"/>
  <c r="AG161" i="1"/>
  <c r="AG165" i="1"/>
  <c r="AG95" i="1"/>
  <c r="AG172" i="1"/>
  <c r="AG176" i="1"/>
  <c r="AG179" i="1"/>
  <c r="AG184" i="1"/>
  <c r="AG188" i="1"/>
  <c r="AG191" i="1"/>
  <c r="AG98" i="1"/>
  <c r="AG99" i="1"/>
  <c r="AG103" i="1"/>
  <c r="AG105" i="1"/>
  <c r="AG110" i="1"/>
  <c r="AG113" i="1"/>
  <c r="AG117" i="1"/>
  <c r="AG121" i="1"/>
  <c r="AG125" i="1"/>
  <c r="AG130" i="1"/>
  <c r="AG134" i="1"/>
  <c r="AG138" i="1"/>
  <c r="AG142" i="1"/>
  <c r="AG146" i="1"/>
  <c r="AG150" i="1"/>
  <c r="AG157" i="1"/>
  <c r="AG198" i="1"/>
  <c r="AG202" i="1"/>
  <c r="AG209" i="1"/>
  <c r="AG214" i="1"/>
  <c r="AG205" i="1"/>
  <c r="AG17" i="1"/>
  <c r="AG27" i="1"/>
  <c r="AG35" i="1"/>
  <c r="AG40" i="1"/>
  <c r="AG44" i="1"/>
  <c r="AG53" i="1"/>
  <c r="AG57" i="1"/>
  <c r="AG61" i="1"/>
  <c r="AG65" i="1"/>
  <c r="AG69" i="1"/>
  <c r="AG73" i="1"/>
  <c r="AG19" i="1"/>
  <c r="AG80" i="1"/>
  <c r="AG24" i="1"/>
  <c r="AG86" i="1"/>
  <c r="AG94" i="1"/>
  <c r="AG162" i="1"/>
  <c r="AG169" i="1"/>
  <c r="AG173" i="1"/>
  <c r="AG181" i="1"/>
  <c r="AG97" i="1"/>
  <c r="AG32" i="1"/>
  <c r="AG100" i="1"/>
  <c r="AG106" i="1"/>
  <c r="AG111" i="1"/>
  <c r="AG118" i="1"/>
  <c r="AG127" i="1"/>
  <c r="AG131" i="1"/>
  <c r="AG139" i="1"/>
  <c r="AG143" i="1"/>
  <c r="AG151" i="1"/>
  <c r="AG195" i="1"/>
  <c r="AG199" i="1"/>
  <c r="AG211" i="1"/>
  <c r="AG210" i="1"/>
  <c r="AG137" i="1"/>
  <c r="AG153" i="1"/>
  <c r="AG206" i="1"/>
  <c r="AG156" i="1"/>
  <c r="AG129" i="1"/>
  <c r="AG145" i="1"/>
  <c r="AG197" i="1"/>
  <c r="AG218" i="1"/>
  <c r="AG141" i="1"/>
  <c r="AG133" i="1"/>
  <c r="AG149" i="1"/>
  <c r="AG201" i="1"/>
  <c r="AG213" i="1"/>
  <c r="W16" i="3"/>
  <c r="W17" i="3"/>
  <c r="W22" i="3"/>
  <c r="W20" i="3"/>
  <c r="W18" i="3"/>
  <c r="W15" i="3"/>
  <c r="W8" i="3"/>
  <c r="W13" i="3"/>
  <c r="W14" i="3"/>
  <c r="W21" i="3"/>
  <c r="W10" i="3"/>
  <c r="W9" i="3"/>
  <c r="W23" i="3"/>
  <c r="W19" i="3"/>
  <c r="W11" i="3"/>
  <c r="W7" i="3"/>
  <c r="AI180" i="1" l="1"/>
  <c r="U180" i="1"/>
  <c r="S180" i="1" s="1"/>
  <c r="W180" i="1"/>
  <c r="X180" i="1"/>
  <c r="AI158" i="1"/>
  <c r="U158" i="1"/>
  <c r="S158" i="1" s="1"/>
  <c r="W158" i="1"/>
  <c r="X158" i="1"/>
  <c r="X204" i="1"/>
  <c r="AA196" i="1"/>
  <c r="AA150" i="1"/>
  <c r="AA146" i="1"/>
  <c r="AA145" i="1"/>
  <c r="AA119" i="1"/>
  <c r="X171" i="1"/>
  <c r="AA168" i="1"/>
  <c r="AA167" i="1"/>
  <c r="AA92" i="1"/>
  <c r="X91" i="1"/>
  <c r="AA66" i="1"/>
  <c r="AA38" i="1"/>
  <c r="AA80" i="1"/>
  <c r="AA72" i="1"/>
  <c r="AA68" i="1"/>
  <c r="AA61" i="1"/>
  <c r="X212" i="1"/>
  <c r="X206" i="1"/>
  <c r="AA198" i="1"/>
  <c r="AA152" i="1"/>
  <c r="AA148" i="1"/>
  <c r="X146" i="1"/>
  <c r="AA143" i="1"/>
  <c r="AA170" i="1"/>
  <c r="X169" i="1"/>
  <c r="X95" i="1"/>
  <c r="AA160" i="1"/>
  <c r="AA159" i="1"/>
  <c r="AA88" i="1"/>
  <c r="X87" i="1"/>
  <c r="X39" i="1"/>
  <c r="AA32" i="1"/>
  <c r="AA28" i="1"/>
  <c r="AA24" i="1"/>
  <c r="X54" i="1"/>
  <c r="X113" i="1"/>
  <c r="AI126" i="1"/>
  <c r="U126" i="1"/>
  <c r="S126" i="1" s="1"/>
  <c r="W126" i="1"/>
  <c r="X126" i="1"/>
  <c r="AA201" i="1"/>
  <c r="AA197" i="1"/>
  <c r="AA155" i="1"/>
  <c r="AA151" i="1"/>
  <c r="AA142" i="1"/>
  <c r="AA138" i="1"/>
  <c r="AA137" i="1"/>
  <c r="W137" i="1" s="1"/>
  <c r="AA128" i="1"/>
  <c r="AA123" i="1"/>
  <c r="X121" i="1"/>
  <c r="AA118" i="1"/>
  <c r="AA117" i="1"/>
  <c r="AA109" i="1"/>
  <c r="AA193" i="1"/>
  <c r="X192" i="1"/>
  <c r="AA95" i="1"/>
  <c r="X167" i="1"/>
  <c r="AA162" i="1"/>
  <c r="AA161" i="1"/>
  <c r="W161" i="1" s="1"/>
  <c r="AA77" i="1"/>
  <c r="X75" i="1"/>
  <c r="X72" i="1"/>
  <c r="X53" i="1"/>
  <c r="T213" i="1"/>
  <c r="X73" i="1"/>
  <c r="AA59" i="1"/>
  <c r="AA58" i="1"/>
  <c r="AA54" i="1"/>
  <c r="AA49" i="1"/>
  <c r="X45" i="1"/>
  <c r="X43" i="1"/>
  <c r="X110" i="1"/>
  <c r="AA218" i="1"/>
  <c r="AA217" i="1"/>
  <c r="AA213" i="1"/>
  <c r="W213" i="1" s="1"/>
  <c r="AA199" i="1"/>
  <c r="AA153" i="1"/>
  <c r="AA144" i="1"/>
  <c r="AA140" i="1"/>
  <c r="X138" i="1"/>
  <c r="AA135" i="1"/>
  <c r="AA125" i="1"/>
  <c r="W125" i="1" s="1"/>
  <c r="AA121" i="1"/>
  <c r="AA120" i="1"/>
  <c r="X194" i="1"/>
  <c r="AA191" i="1"/>
  <c r="AA178" i="1"/>
  <c r="AA174" i="1"/>
  <c r="AA166" i="1"/>
  <c r="AA165" i="1"/>
  <c r="X163" i="1"/>
  <c r="AA79" i="1"/>
  <c r="AA75" i="1"/>
  <c r="AA60" i="1"/>
  <c r="W60" i="1" s="1"/>
  <c r="AA56" i="1"/>
  <c r="AA51" i="1"/>
  <c r="AA30" i="1"/>
  <c r="AA26" i="1"/>
  <c r="AA22" i="1"/>
  <c r="X55" i="1"/>
  <c r="AI108" i="1"/>
  <c r="U108" i="1"/>
  <c r="S108" i="1" s="1"/>
  <c r="W108" i="1"/>
  <c r="X108" i="1"/>
  <c r="R13" i="3"/>
  <c r="AI52" i="1"/>
  <c r="U52" i="1"/>
  <c r="S52" i="1" s="1"/>
  <c r="W52" i="1"/>
  <c r="X52" i="1"/>
  <c r="AI21" i="1"/>
  <c r="U21" i="1"/>
  <c r="S21" i="1" s="1"/>
  <c r="W21" i="1"/>
  <c r="X21" i="1"/>
  <c r="AD13" i="3"/>
  <c r="X200" i="1"/>
  <c r="X197" i="1"/>
  <c r="AA116" i="1"/>
  <c r="AA107" i="1"/>
  <c r="W107" i="1" s="1"/>
  <c r="AA207" i="1"/>
  <c r="AA192" i="1"/>
  <c r="T192" i="1"/>
  <c r="AA188" i="1"/>
  <c r="W188" i="1" s="1"/>
  <c r="AA185" i="1"/>
  <c r="AA179" i="1"/>
  <c r="AA96" i="1"/>
  <c r="AA57" i="1"/>
  <c r="AA55" i="1"/>
  <c r="AA36" i="1"/>
  <c r="AA31" i="1"/>
  <c r="AA27" i="1"/>
  <c r="W27" i="1" s="1"/>
  <c r="AA23" i="1"/>
  <c r="X198" i="1"/>
  <c r="AA200" i="1"/>
  <c r="AA157" i="1"/>
  <c r="W157" i="1" s="1"/>
  <c r="AA156" i="1"/>
  <c r="X152" i="1"/>
  <c r="AA149" i="1"/>
  <c r="X144" i="1"/>
  <c r="AA141" i="1"/>
  <c r="X136" i="1"/>
  <c r="AA133" i="1"/>
  <c r="X128" i="1"/>
  <c r="AA124" i="1"/>
  <c r="AA103" i="1"/>
  <c r="AA102" i="1"/>
  <c r="AA101" i="1"/>
  <c r="W101" i="1" s="1"/>
  <c r="AA98" i="1"/>
  <c r="AA194" i="1"/>
  <c r="X191" i="1"/>
  <c r="X189" i="1"/>
  <c r="X187" i="1"/>
  <c r="AA173" i="1"/>
  <c r="AA171" i="1"/>
  <c r="AA93" i="1"/>
  <c r="AA91" i="1"/>
  <c r="AA89" i="1"/>
  <c r="AA87" i="1"/>
  <c r="AA73" i="1"/>
  <c r="T72" i="1"/>
  <c r="AA65" i="1"/>
  <c r="AA63" i="1"/>
  <c r="AA62" i="1"/>
  <c r="AA48" i="1"/>
  <c r="AA46" i="1"/>
  <c r="AA45" i="1"/>
  <c r="AA43" i="1"/>
  <c r="W43" i="1" s="1"/>
  <c r="AA41" i="1"/>
  <c r="W41" i="1" s="1"/>
  <c r="AA39" i="1"/>
  <c r="AA33" i="1"/>
  <c r="AA29" i="1"/>
  <c r="AA25" i="1"/>
  <c r="AA115" i="1"/>
  <c r="AA104" i="1"/>
  <c r="AA184" i="1"/>
  <c r="W184" i="1" s="1"/>
  <c r="AA181" i="1"/>
  <c r="AA177" i="1"/>
  <c r="AA175" i="1"/>
  <c r="AA169" i="1"/>
  <c r="W169" i="1" s="1"/>
  <c r="AA70" i="1"/>
  <c r="AA69" i="1"/>
  <c r="AA67" i="1"/>
  <c r="AA53" i="1"/>
  <c r="AA50" i="1"/>
  <c r="AA215" i="1"/>
  <c r="X157" i="1"/>
  <c r="X123" i="1"/>
  <c r="AA112" i="1"/>
  <c r="X196" i="1"/>
  <c r="AA195" i="1"/>
  <c r="AA111" i="1"/>
  <c r="W111" i="1" s="1"/>
  <c r="AA110" i="1"/>
  <c r="X97" i="1"/>
  <c r="T187" i="1"/>
  <c r="X185" i="1"/>
  <c r="X182" i="1"/>
  <c r="X183" i="1"/>
  <c r="T96" i="1"/>
  <c r="X177" i="1"/>
  <c r="T175" i="1"/>
  <c r="X173" i="1"/>
  <c r="T169" i="1"/>
  <c r="T157" i="1"/>
  <c r="U157" i="1" s="1"/>
  <c r="S157" i="1" s="1"/>
  <c r="X201" i="1"/>
  <c r="X199" i="1"/>
  <c r="AA154" i="1"/>
  <c r="AA147" i="1"/>
  <c r="W147" i="1" s="1"/>
  <c r="AA139" i="1"/>
  <c r="AA131" i="1"/>
  <c r="AA122" i="1"/>
  <c r="AA114" i="1"/>
  <c r="AA113" i="1"/>
  <c r="AA106" i="1"/>
  <c r="AA105" i="1"/>
  <c r="AA208" i="1"/>
  <c r="X175" i="1"/>
  <c r="AA100" i="1"/>
  <c r="AA99" i="1"/>
  <c r="X190" i="1"/>
  <c r="AA189" i="1"/>
  <c r="X188" i="1"/>
  <c r="X186" i="1"/>
  <c r="T179" i="1"/>
  <c r="U179" i="1" s="1"/>
  <c r="S179" i="1" s="1"/>
  <c r="X178" i="1"/>
  <c r="X174" i="1"/>
  <c r="X170" i="1"/>
  <c r="X168" i="1"/>
  <c r="X166" i="1"/>
  <c r="X164" i="1"/>
  <c r="X162" i="1"/>
  <c r="X94" i="1"/>
  <c r="X92" i="1"/>
  <c r="X90" i="1"/>
  <c r="X88" i="1"/>
  <c r="X86" i="1"/>
  <c r="AA85" i="1"/>
  <c r="T84" i="1"/>
  <c r="X79" i="1"/>
  <c r="AA78" i="1"/>
  <c r="X44" i="1"/>
  <c r="X42" i="1"/>
  <c r="X40" i="1"/>
  <c r="AA35" i="1"/>
  <c r="AA16" i="1"/>
  <c r="AA17" i="1"/>
  <c r="X98" i="1"/>
  <c r="X193" i="1"/>
  <c r="AA182" i="1"/>
  <c r="X172" i="1"/>
  <c r="AA83" i="1"/>
  <c r="AA82" i="1"/>
  <c r="AA76" i="1"/>
  <c r="X74" i="1"/>
  <c r="X71" i="1"/>
  <c r="AA37" i="1"/>
  <c r="X70" i="1"/>
  <c r="AA20" i="1"/>
  <c r="AA19" i="1"/>
  <c r="AA15" i="1"/>
  <c r="AI217" i="1"/>
  <c r="U217" i="1"/>
  <c r="S217" i="1" s="1"/>
  <c r="AI210" i="1"/>
  <c r="U210" i="1"/>
  <c r="S210" i="1" s="1"/>
  <c r="AI207" i="1"/>
  <c r="U205" i="1"/>
  <c r="S205" i="1" s="1"/>
  <c r="AI218" i="1"/>
  <c r="U218" i="1"/>
  <c r="S218" i="1" s="1"/>
  <c r="AI216" i="1"/>
  <c r="U216" i="1"/>
  <c r="S216" i="1" s="1"/>
  <c r="AI215" i="1"/>
  <c r="U215" i="1"/>
  <c r="S215" i="1" s="1"/>
  <c r="AI214" i="1"/>
  <c r="U214" i="1"/>
  <c r="S214" i="1" s="1"/>
  <c r="U213" i="1"/>
  <c r="S213" i="1" s="1"/>
  <c r="AI213" i="1"/>
  <c r="AI212" i="1"/>
  <c r="AI211" i="1"/>
  <c r="AI209" i="1"/>
  <c r="AI208" i="1"/>
  <c r="AI206" i="1"/>
  <c r="AI205" i="1"/>
  <c r="U202" i="1"/>
  <c r="S202" i="1" s="1"/>
  <c r="AI204" i="1"/>
  <c r="AI203" i="1"/>
  <c r="U200" i="1"/>
  <c r="S200" i="1" s="1"/>
  <c r="AI202" i="1"/>
  <c r="AI201" i="1"/>
  <c r="W199" i="1"/>
  <c r="U198" i="1"/>
  <c r="S198" i="1" s="1"/>
  <c r="AI200" i="1"/>
  <c r="AI199" i="1"/>
  <c r="U196" i="1"/>
  <c r="S196" i="1" s="1"/>
  <c r="AI198" i="1"/>
  <c r="AI197" i="1"/>
  <c r="AI196" i="1"/>
  <c r="AI195" i="1"/>
  <c r="U155" i="1"/>
  <c r="S155" i="1" s="1"/>
  <c r="AI194" i="1"/>
  <c r="AI193" i="1"/>
  <c r="AI192" i="1"/>
  <c r="AI191" i="1"/>
  <c r="U152" i="1"/>
  <c r="S152" i="1" s="1"/>
  <c r="AI190" i="1"/>
  <c r="AI189" i="1"/>
  <c r="W151" i="1"/>
  <c r="U150" i="1"/>
  <c r="S150" i="1" s="1"/>
  <c r="AI188" i="1"/>
  <c r="AI187" i="1"/>
  <c r="U148" i="1"/>
  <c r="S148" i="1" s="1"/>
  <c r="AI186" i="1"/>
  <c r="AI185" i="1"/>
  <c r="U146" i="1"/>
  <c r="S146" i="1" s="1"/>
  <c r="AI184" i="1"/>
  <c r="AI183" i="1"/>
  <c r="U144" i="1"/>
  <c r="S144" i="1" s="1"/>
  <c r="AI182" i="1"/>
  <c r="AI181" i="1"/>
  <c r="W143" i="1"/>
  <c r="U142" i="1"/>
  <c r="S142" i="1" s="1"/>
  <c r="AI179" i="1"/>
  <c r="AI178" i="1"/>
  <c r="U140" i="1"/>
  <c r="S140" i="1" s="1"/>
  <c r="AI177" i="1"/>
  <c r="AI176" i="1"/>
  <c r="U138" i="1"/>
  <c r="S138" i="1" s="1"/>
  <c r="AI175" i="1"/>
  <c r="AI174" i="1"/>
  <c r="U136" i="1"/>
  <c r="S136" i="1" s="1"/>
  <c r="AI173" i="1"/>
  <c r="AI172" i="1"/>
  <c r="W135" i="1"/>
  <c r="U134" i="1"/>
  <c r="S134" i="1" s="1"/>
  <c r="AI171" i="1"/>
  <c r="AI170" i="1"/>
  <c r="U132" i="1"/>
  <c r="S132" i="1" s="1"/>
  <c r="AI169" i="1"/>
  <c r="AI168" i="1"/>
  <c r="U130" i="1"/>
  <c r="S130" i="1" s="1"/>
  <c r="AI167" i="1"/>
  <c r="AI166" i="1"/>
  <c r="U128" i="1"/>
  <c r="S128" i="1" s="1"/>
  <c r="AI165" i="1"/>
  <c r="AI164" i="1"/>
  <c r="W127" i="1"/>
  <c r="U125" i="1"/>
  <c r="S125" i="1" s="1"/>
  <c r="AI163" i="1"/>
  <c r="AI162" i="1"/>
  <c r="U123" i="1"/>
  <c r="S123" i="1" s="1"/>
  <c r="AI161" i="1"/>
  <c r="AI160" i="1"/>
  <c r="U121" i="1"/>
  <c r="S121" i="1" s="1"/>
  <c r="AI159" i="1"/>
  <c r="AI157" i="1"/>
  <c r="U119" i="1"/>
  <c r="S119" i="1" s="1"/>
  <c r="AI156" i="1"/>
  <c r="AI155" i="1"/>
  <c r="U117" i="1"/>
  <c r="S117" i="1" s="1"/>
  <c r="AI154" i="1"/>
  <c r="U115" i="1"/>
  <c r="S115" i="1" s="1"/>
  <c r="AI153" i="1"/>
  <c r="AI152" i="1"/>
  <c r="U113" i="1"/>
  <c r="S113" i="1" s="1"/>
  <c r="AI151" i="1"/>
  <c r="AI150" i="1"/>
  <c r="U112" i="1"/>
  <c r="S112" i="1" s="1"/>
  <c r="AI149" i="1"/>
  <c r="AI148" i="1"/>
  <c r="U110" i="1"/>
  <c r="S110" i="1" s="1"/>
  <c r="AI147" i="1"/>
  <c r="AI146" i="1"/>
  <c r="U107" i="1"/>
  <c r="S107" i="1" s="1"/>
  <c r="AI145" i="1"/>
  <c r="AI144" i="1"/>
  <c r="U105" i="1"/>
  <c r="S105" i="1" s="1"/>
  <c r="AI143" i="1"/>
  <c r="AI142" i="1"/>
  <c r="U207" i="1"/>
  <c r="S207" i="1" s="1"/>
  <c r="AI141" i="1"/>
  <c r="AI140" i="1"/>
  <c r="U103" i="1"/>
  <c r="S103" i="1" s="1"/>
  <c r="AI139" i="1"/>
  <c r="AI138" i="1"/>
  <c r="U101" i="1"/>
  <c r="S101" i="1" s="1"/>
  <c r="AI137" i="1"/>
  <c r="AI136" i="1"/>
  <c r="U99" i="1"/>
  <c r="S99" i="1" s="1"/>
  <c r="AI135" i="1"/>
  <c r="AI15" i="1"/>
  <c r="U15" i="1"/>
  <c r="S15" i="1" s="1"/>
  <c r="AI34" i="1"/>
  <c r="AI32" i="1"/>
  <c r="U98" i="1"/>
  <c r="S98" i="1" s="1"/>
  <c r="AI134" i="1"/>
  <c r="U194" i="1"/>
  <c r="S194" i="1" s="1"/>
  <c r="AI133" i="1"/>
  <c r="AI132" i="1"/>
  <c r="U192" i="1"/>
  <c r="S192" i="1" s="1"/>
  <c r="AI131" i="1"/>
  <c r="AI130" i="1"/>
  <c r="U190" i="1"/>
  <c r="S190" i="1" s="1"/>
  <c r="AI129" i="1"/>
  <c r="AI128" i="1"/>
  <c r="U97" i="1"/>
  <c r="S97" i="1" s="1"/>
  <c r="AI127" i="1"/>
  <c r="U188" i="1"/>
  <c r="S188" i="1" s="1"/>
  <c r="AI125" i="1"/>
  <c r="U187" i="1"/>
  <c r="S187" i="1" s="1"/>
  <c r="AI124" i="1"/>
  <c r="AI123" i="1"/>
  <c r="U185" i="1"/>
  <c r="S185" i="1" s="1"/>
  <c r="AI122" i="1"/>
  <c r="AI121" i="1"/>
  <c r="U183" i="1"/>
  <c r="S183" i="1" s="1"/>
  <c r="AI120" i="1"/>
  <c r="AI119" i="1"/>
  <c r="U181" i="1"/>
  <c r="S181" i="1" s="1"/>
  <c r="AI118" i="1"/>
  <c r="AI117" i="1"/>
  <c r="U96" i="1"/>
  <c r="S96" i="1" s="1"/>
  <c r="AI116" i="1"/>
  <c r="U178" i="1"/>
  <c r="S178" i="1" s="1"/>
  <c r="AI115" i="1"/>
  <c r="U177" i="1"/>
  <c r="S177" i="1" s="1"/>
  <c r="AI114" i="1"/>
  <c r="U176" i="1"/>
  <c r="S176" i="1" s="1"/>
  <c r="AI113" i="1"/>
  <c r="U175" i="1"/>
  <c r="S175" i="1" s="1"/>
  <c r="U174" i="1"/>
  <c r="S174" i="1" s="1"/>
  <c r="AI112" i="1"/>
  <c r="U173" i="1"/>
  <c r="S173" i="1" s="1"/>
  <c r="AI111" i="1"/>
  <c r="U172" i="1"/>
  <c r="S172" i="1" s="1"/>
  <c r="AI110" i="1"/>
  <c r="U171" i="1"/>
  <c r="S171" i="1" s="1"/>
  <c r="AI109" i="1"/>
  <c r="U170" i="1"/>
  <c r="S170" i="1" s="1"/>
  <c r="AI107" i="1"/>
  <c r="U169" i="1"/>
  <c r="S169" i="1" s="1"/>
  <c r="AI106" i="1"/>
  <c r="U95" i="1"/>
  <c r="S95" i="1" s="1"/>
  <c r="AI105" i="1"/>
  <c r="U168" i="1"/>
  <c r="S168" i="1" s="1"/>
  <c r="AI104" i="1"/>
  <c r="U167" i="1"/>
  <c r="S167" i="1" s="1"/>
  <c r="AI103" i="1"/>
  <c r="U166" i="1"/>
  <c r="S166" i="1" s="1"/>
  <c r="AI102" i="1"/>
  <c r="U165" i="1"/>
  <c r="S165" i="1" s="1"/>
  <c r="AI101" i="1"/>
  <c r="U164" i="1"/>
  <c r="S164" i="1" s="1"/>
  <c r="AI100" i="1"/>
  <c r="U163" i="1"/>
  <c r="S163" i="1" s="1"/>
  <c r="AI99" i="1"/>
  <c r="U162" i="1"/>
  <c r="S162" i="1" s="1"/>
  <c r="AI98" i="1"/>
  <c r="U161" i="1"/>
  <c r="S161" i="1" s="1"/>
  <c r="AI97" i="1"/>
  <c r="U160" i="1"/>
  <c r="S160" i="1" s="1"/>
  <c r="AI96" i="1"/>
  <c r="U159" i="1"/>
  <c r="S159" i="1" s="1"/>
  <c r="AI95" i="1"/>
  <c r="U94" i="1"/>
  <c r="S94" i="1" s="1"/>
  <c r="AI94" i="1"/>
  <c r="U93" i="1"/>
  <c r="S93" i="1" s="1"/>
  <c r="AI93" i="1"/>
  <c r="U92" i="1"/>
  <c r="S92" i="1" s="1"/>
  <c r="AI92" i="1"/>
  <c r="U91" i="1"/>
  <c r="AI91" i="1"/>
  <c r="U90" i="1"/>
  <c r="AI90" i="1"/>
  <c r="U89" i="1"/>
  <c r="S89" i="1" s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AI24" i="1"/>
  <c r="AI26" i="1"/>
  <c r="AI82" i="1"/>
  <c r="U81" i="1"/>
  <c r="S81" i="1" s="1"/>
  <c r="AI81" i="1"/>
  <c r="AI80" i="1"/>
  <c r="U79" i="1"/>
  <c r="S79" i="1" s="1"/>
  <c r="AI79" i="1"/>
  <c r="AI78" i="1"/>
  <c r="U77" i="1"/>
  <c r="S77" i="1" s="1"/>
  <c r="AI77" i="1"/>
  <c r="AI30" i="1"/>
  <c r="AI22" i="1"/>
  <c r="AI37" i="1"/>
  <c r="AI28" i="1"/>
  <c r="AI19" i="1"/>
  <c r="U19" i="1"/>
  <c r="S19" i="1" s="1"/>
  <c r="AI76" i="1"/>
  <c r="U75" i="1"/>
  <c r="S75" i="1" s="1"/>
  <c r="AI75" i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W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U51" i="1"/>
  <c r="S51" i="1" s="1"/>
  <c r="AI51" i="1"/>
  <c r="U50" i="1"/>
  <c r="S50" i="1" s="1"/>
  <c r="AI50" i="1"/>
  <c r="U49" i="1"/>
  <c r="S49" i="1" s="1"/>
  <c r="AI49" i="1"/>
  <c r="U48" i="1"/>
  <c r="S48" i="1" s="1"/>
  <c r="AI48" i="1"/>
  <c r="U47" i="1"/>
  <c r="S47" i="1" s="1"/>
  <c r="AI47" i="1"/>
  <c r="U46" i="1"/>
  <c r="S46" i="1" s="1"/>
  <c r="AI46" i="1"/>
  <c r="U45" i="1"/>
  <c r="AI45" i="1"/>
  <c r="U44" i="1"/>
  <c r="S44" i="1" s="1"/>
  <c r="AI44" i="1"/>
  <c r="U43" i="1"/>
  <c r="S43" i="1" s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AI38" i="1"/>
  <c r="AI36" i="1"/>
  <c r="AI35" i="1"/>
  <c r="AI33" i="1"/>
  <c r="AI31" i="1"/>
  <c r="AI29" i="1"/>
  <c r="AI27" i="1"/>
  <c r="AI25" i="1"/>
  <c r="AI23" i="1"/>
  <c r="AI20" i="1"/>
  <c r="AI17" i="1"/>
  <c r="U17" i="1"/>
  <c r="S17" i="1" s="1"/>
  <c r="AI16" i="1"/>
  <c r="U16" i="1"/>
  <c r="S16" i="1" s="1"/>
  <c r="AI18" i="1"/>
  <c r="U18" i="1"/>
  <c r="S18" i="1" s="1"/>
  <c r="AI14" i="1"/>
  <c r="U14" i="1"/>
  <c r="S14" i="1" s="1"/>
  <c r="W217" i="1"/>
  <c r="W197" i="1"/>
  <c r="W129" i="1"/>
  <c r="W183" i="1"/>
  <c r="W214" i="1"/>
  <c r="W202" i="1"/>
  <c r="W200" i="1"/>
  <c r="W198" i="1"/>
  <c r="W154" i="1"/>
  <c r="W139" i="1"/>
  <c r="W131" i="1"/>
  <c r="W122" i="1"/>
  <c r="W218" i="1"/>
  <c r="W196" i="1"/>
  <c r="W153" i="1"/>
  <c r="W156" i="1"/>
  <c r="W149" i="1"/>
  <c r="W141" i="1"/>
  <c r="W133" i="1"/>
  <c r="W124" i="1"/>
  <c r="W191" i="1"/>
  <c r="W190" i="1"/>
  <c r="W201" i="1"/>
  <c r="W145" i="1"/>
  <c r="W215" i="1"/>
  <c r="W216" i="1"/>
  <c r="W195" i="1"/>
  <c r="W175" i="1"/>
  <c r="T212" i="1"/>
  <c r="U212" i="1" s="1"/>
  <c r="S212" i="1" s="1"/>
  <c r="T209" i="1"/>
  <c r="U209" i="1" s="1"/>
  <c r="S209" i="1" s="1"/>
  <c r="T204" i="1"/>
  <c r="U204" i="1" s="1"/>
  <c r="S204" i="1" s="1"/>
  <c r="T154" i="1"/>
  <c r="U154" i="1" s="1"/>
  <c r="S154" i="1" s="1"/>
  <c r="W152" i="1"/>
  <c r="X147" i="1"/>
  <c r="T147" i="1"/>
  <c r="U147" i="1" s="1"/>
  <c r="S147" i="1" s="1"/>
  <c r="W144" i="1"/>
  <c r="X139" i="1"/>
  <c r="T139" i="1"/>
  <c r="U139" i="1" s="1"/>
  <c r="S139" i="1" s="1"/>
  <c r="W136" i="1"/>
  <c r="X131" i="1"/>
  <c r="T131" i="1"/>
  <c r="U131" i="1" s="1"/>
  <c r="S131" i="1" s="1"/>
  <c r="W128" i="1"/>
  <c r="X118" i="1"/>
  <c r="T118" i="1"/>
  <c r="U118" i="1" s="1"/>
  <c r="S118" i="1" s="1"/>
  <c r="W116" i="1"/>
  <c r="W115" i="1"/>
  <c r="W114" i="1"/>
  <c r="W113" i="1"/>
  <c r="W112" i="1"/>
  <c r="W110" i="1"/>
  <c r="W109" i="1"/>
  <c r="W106" i="1"/>
  <c r="W105" i="1"/>
  <c r="W208" i="1"/>
  <c r="W207" i="1"/>
  <c r="W104" i="1"/>
  <c r="W103" i="1"/>
  <c r="W102" i="1"/>
  <c r="W100" i="1"/>
  <c r="W99" i="1"/>
  <c r="W98" i="1"/>
  <c r="X210" i="1"/>
  <c r="X205" i="1"/>
  <c r="X156" i="1"/>
  <c r="T156" i="1"/>
  <c r="U156" i="1" s="1"/>
  <c r="S156" i="1" s="1"/>
  <c r="X155" i="1"/>
  <c r="X149" i="1"/>
  <c r="T149" i="1"/>
  <c r="U149" i="1" s="1"/>
  <c r="S149" i="1" s="1"/>
  <c r="X148" i="1"/>
  <c r="W146" i="1"/>
  <c r="X141" i="1"/>
  <c r="T141" i="1"/>
  <c r="U141" i="1" s="1"/>
  <c r="S141" i="1" s="1"/>
  <c r="X140" i="1"/>
  <c r="W138" i="1"/>
  <c r="X133" i="1"/>
  <c r="T133" i="1"/>
  <c r="U133" i="1" s="1"/>
  <c r="S133" i="1" s="1"/>
  <c r="X132" i="1"/>
  <c r="W130" i="1"/>
  <c r="X124" i="1"/>
  <c r="T124" i="1"/>
  <c r="U124" i="1" s="1"/>
  <c r="S124" i="1" s="1"/>
  <c r="W121" i="1"/>
  <c r="X119" i="1"/>
  <c r="X116" i="1"/>
  <c r="T116" i="1"/>
  <c r="U116" i="1" s="1"/>
  <c r="S116" i="1" s="1"/>
  <c r="T114" i="1"/>
  <c r="U114" i="1" s="1"/>
  <c r="S114" i="1" s="1"/>
  <c r="X111" i="1"/>
  <c r="T111" i="1"/>
  <c r="U111" i="1" s="1"/>
  <c r="S111" i="1" s="1"/>
  <c r="T109" i="1"/>
  <c r="U109" i="1" s="1"/>
  <c r="S109" i="1" s="1"/>
  <c r="X106" i="1"/>
  <c r="T106" i="1"/>
  <c r="U106" i="1" s="1"/>
  <c r="S106" i="1" s="1"/>
  <c r="X208" i="1"/>
  <c r="T208" i="1"/>
  <c r="U208" i="1" s="1"/>
  <c r="S208" i="1" s="1"/>
  <c r="X104" i="1"/>
  <c r="T104" i="1"/>
  <c r="U104" i="1" s="1"/>
  <c r="S104" i="1" s="1"/>
  <c r="X102" i="1"/>
  <c r="T102" i="1"/>
  <c r="U102" i="1" s="1"/>
  <c r="S102" i="1" s="1"/>
  <c r="X100" i="1"/>
  <c r="T100" i="1"/>
  <c r="U100" i="1" s="1"/>
  <c r="S100" i="1" s="1"/>
  <c r="W194" i="1"/>
  <c r="W192" i="1"/>
  <c r="W189" i="1"/>
  <c r="W97" i="1"/>
  <c r="W177" i="1"/>
  <c r="W168" i="1"/>
  <c r="T211" i="1"/>
  <c r="U211" i="1" s="1"/>
  <c r="S211" i="1" s="1"/>
  <c r="T206" i="1"/>
  <c r="U206" i="1" s="1"/>
  <c r="S206" i="1" s="1"/>
  <c r="T203" i="1"/>
  <c r="U203" i="1" s="1"/>
  <c r="S203" i="1" s="1"/>
  <c r="T195" i="1"/>
  <c r="U195" i="1" s="1"/>
  <c r="S195" i="1" s="1"/>
  <c r="X122" i="1"/>
  <c r="T122" i="1"/>
  <c r="U122" i="1" s="1"/>
  <c r="S122" i="1" s="1"/>
  <c r="W193" i="1"/>
  <c r="X218" i="1"/>
  <c r="X217" i="1"/>
  <c r="X216" i="1"/>
  <c r="X215" i="1"/>
  <c r="X214" i="1"/>
  <c r="T201" i="1"/>
  <c r="U201" i="1" s="1"/>
  <c r="S201" i="1" s="1"/>
  <c r="T199" i="1"/>
  <c r="U199" i="1" s="1"/>
  <c r="S199" i="1" s="1"/>
  <c r="W155" i="1"/>
  <c r="X151" i="1"/>
  <c r="T151" i="1"/>
  <c r="U151" i="1" s="1"/>
  <c r="S151" i="1" s="1"/>
  <c r="X150" i="1"/>
  <c r="W148" i="1"/>
  <c r="X143" i="1"/>
  <c r="T143" i="1"/>
  <c r="U143" i="1" s="1"/>
  <c r="S143" i="1" s="1"/>
  <c r="X142" i="1"/>
  <c r="W140" i="1"/>
  <c r="X135" i="1"/>
  <c r="T135" i="1"/>
  <c r="U135" i="1" s="1"/>
  <c r="S135" i="1" s="1"/>
  <c r="X134" i="1"/>
  <c r="W132" i="1"/>
  <c r="T127" i="1"/>
  <c r="U127" i="1" s="1"/>
  <c r="S127" i="1" s="1"/>
  <c r="X125" i="1"/>
  <c r="W123" i="1"/>
  <c r="W120" i="1"/>
  <c r="W119" i="1"/>
  <c r="X117" i="1"/>
  <c r="X115" i="1"/>
  <c r="X112" i="1"/>
  <c r="X107" i="1"/>
  <c r="X105" i="1"/>
  <c r="X207" i="1"/>
  <c r="X103" i="1"/>
  <c r="X101" i="1"/>
  <c r="X99" i="1"/>
  <c r="W186" i="1"/>
  <c r="W178" i="1"/>
  <c r="W173" i="1"/>
  <c r="AA212" i="1"/>
  <c r="W212" i="1" s="1"/>
  <c r="AA211" i="1"/>
  <c r="W211" i="1" s="1"/>
  <c r="AA210" i="1"/>
  <c r="W210" i="1" s="1"/>
  <c r="AA209" i="1"/>
  <c r="W209" i="1" s="1"/>
  <c r="AA206" i="1"/>
  <c r="W206" i="1" s="1"/>
  <c r="AA205" i="1"/>
  <c r="W205" i="1" s="1"/>
  <c r="AA204" i="1"/>
  <c r="W204" i="1" s="1"/>
  <c r="AA203" i="1"/>
  <c r="W203" i="1" s="1"/>
  <c r="T197" i="1"/>
  <c r="U197" i="1" s="1"/>
  <c r="S197" i="1" s="1"/>
  <c r="X153" i="1"/>
  <c r="T153" i="1"/>
  <c r="U153" i="1" s="1"/>
  <c r="S153" i="1" s="1"/>
  <c r="W150" i="1"/>
  <c r="X145" i="1"/>
  <c r="T145" i="1"/>
  <c r="U145" i="1" s="1"/>
  <c r="S145" i="1" s="1"/>
  <c r="W142" i="1"/>
  <c r="X137" i="1"/>
  <c r="T137" i="1"/>
  <c r="U137" i="1" s="1"/>
  <c r="S137" i="1" s="1"/>
  <c r="W134" i="1"/>
  <c r="X129" i="1"/>
  <c r="T129" i="1"/>
  <c r="U129" i="1" s="1"/>
  <c r="S129" i="1" s="1"/>
  <c r="X120" i="1"/>
  <c r="T120" i="1"/>
  <c r="U120" i="1" s="1"/>
  <c r="S120" i="1" s="1"/>
  <c r="W118" i="1"/>
  <c r="W117" i="1"/>
  <c r="W187" i="1"/>
  <c r="W185" i="1"/>
  <c r="W96" i="1"/>
  <c r="W167" i="1"/>
  <c r="T189" i="1"/>
  <c r="U189" i="1" s="1"/>
  <c r="S189" i="1" s="1"/>
  <c r="W172" i="1"/>
  <c r="W170" i="1"/>
  <c r="W95" i="1"/>
  <c r="W82" i="1"/>
  <c r="W81" i="1"/>
  <c r="T193" i="1"/>
  <c r="U193" i="1" s="1"/>
  <c r="S193" i="1" s="1"/>
  <c r="T186" i="1"/>
  <c r="U186" i="1" s="1"/>
  <c r="S186" i="1" s="1"/>
  <c r="T182" i="1"/>
  <c r="U182" i="1" s="1"/>
  <c r="S182" i="1" s="1"/>
  <c r="W179" i="1"/>
  <c r="W176" i="1"/>
  <c r="W75" i="1"/>
  <c r="W73" i="1"/>
  <c r="T191" i="1"/>
  <c r="U191" i="1" s="1"/>
  <c r="S191" i="1" s="1"/>
  <c r="T184" i="1"/>
  <c r="U184" i="1" s="1"/>
  <c r="S184" i="1" s="1"/>
  <c r="W182" i="1"/>
  <c r="W174" i="1"/>
  <c r="W171" i="1"/>
  <c r="W166" i="1"/>
  <c r="W164" i="1"/>
  <c r="W162" i="1"/>
  <c r="W160" i="1"/>
  <c r="W94" i="1"/>
  <c r="W92" i="1"/>
  <c r="W90" i="1"/>
  <c r="W88" i="1"/>
  <c r="W86" i="1"/>
  <c r="W84" i="1"/>
  <c r="X76" i="1"/>
  <c r="T76" i="1"/>
  <c r="U76" i="1" s="1"/>
  <c r="S76" i="1" s="1"/>
  <c r="X77" i="1"/>
  <c r="W45" i="1"/>
  <c r="W83" i="1"/>
  <c r="X82" i="1"/>
  <c r="T82" i="1"/>
  <c r="U82" i="1" s="1"/>
  <c r="S82" i="1" s="1"/>
  <c r="W80" i="1"/>
  <c r="W79" i="1"/>
  <c r="W71" i="1"/>
  <c r="W66" i="1"/>
  <c r="W62" i="1"/>
  <c r="W58" i="1"/>
  <c r="W54" i="1"/>
  <c r="W49" i="1"/>
  <c r="W165" i="1"/>
  <c r="W163" i="1"/>
  <c r="W159" i="1"/>
  <c r="W93" i="1"/>
  <c r="W91" i="1"/>
  <c r="W89" i="1"/>
  <c r="W87" i="1"/>
  <c r="X83" i="1"/>
  <c r="X80" i="1"/>
  <c r="T80" i="1"/>
  <c r="U80" i="1" s="1"/>
  <c r="S80" i="1" s="1"/>
  <c r="W78" i="1"/>
  <c r="W77" i="1"/>
  <c r="W85" i="1"/>
  <c r="X78" i="1"/>
  <c r="T78" i="1"/>
  <c r="U78" i="1" s="1"/>
  <c r="S78" i="1" s="1"/>
  <c r="W76" i="1"/>
  <c r="W74" i="1"/>
  <c r="W72" i="1"/>
  <c r="T74" i="1"/>
  <c r="U74" i="1" s="1"/>
  <c r="S74" i="1" s="1"/>
  <c r="W69" i="1"/>
  <c r="W65" i="1"/>
  <c r="W61" i="1"/>
  <c r="W57" i="1"/>
  <c r="W53" i="1"/>
  <c r="W48" i="1"/>
  <c r="W42" i="1"/>
  <c r="W39" i="1"/>
  <c r="W68" i="1"/>
  <c r="W64" i="1"/>
  <c r="W56" i="1"/>
  <c r="W51" i="1"/>
  <c r="W47" i="1"/>
  <c r="W40" i="1"/>
  <c r="W67" i="1"/>
  <c r="W63" i="1"/>
  <c r="W59" i="1"/>
  <c r="W55" i="1"/>
  <c r="W50" i="1"/>
  <c r="W46" i="1"/>
  <c r="W44" i="1"/>
  <c r="W38" i="1"/>
  <c r="W29" i="1"/>
  <c r="W20" i="1"/>
  <c r="T69" i="1"/>
  <c r="U69" i="1" s="1"/>
  <c r="S69" i="1" s="1"/>
  <c r="X69" i="1"/>
  <c r="T68" i="1"/>
  <c r="U68" i="1" s="1"/>
  <c r="S68" i="1" s="1"/>
  <c r="X68" i="1"/>
  <c r="T67" i="1"/>
  <c r="U67" i="1" s="1"/>
  <c r="S67" i="1" s="1"/>
  <c r="X67" i="1"/>
  <c r="T66" i="1"/>
  <c r="U66" i="1" s="1"/>
  <c r="S66" i="1" s="1"/>
  <c r="X66" i="1"/>
  <c r="T65" i="1"/>
  <c r="U65" i="1" s="1"/>
  <c r="S65" i="1" s="1"/>
  <c r="X65" i="1"/>
  <c r="T64" i="1"/>
  <c r="U64" i="1" s="1"/>
  <c r="S64" i="1" s="1"/>
  <c r="X64" i="1"/>
  <c r="T63" i="1"/>
  <c r="U63" i="1" s="1"/>
  <c r="S63" i="1" s="1"/>
  <c r="X63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8" i="1"/>
  <c r="U58" i="1" s="1"/>
  <c r="S58" i="1" s="1"/>
  <c r="X58" i="1"/>
  <c r="T57" i="1"/>
  <c r="U57" i="1" s="1"/>
  <c r="S57" i="1" s="1"/>
  <c r="X57" i="1"/>
  <c r="W37" i="1"/>
  <c r="W36" i="1"/>
  <c r="W35" i="1"/>
  <c r="W33" i="1"/>
  <c r="W25" i="1"/>
  <c r="W31" i="1"/>
  <c r="W23" i="1"/>
  <c r="W17" i="1"/>
  <c r="AA34" i="1"/>
  <c r="W34" i="1" s="1"/>
  <c r="W32" i="1"/>
  <c r="W30" i="1"/>
  <c r="W28" i="1"/>
  <c r="W26" i="1"/>
  <c r="W24" i="1"/>
  <c r="W22" i="1"/>
  <c r="W19" i="1"/>
  <c r="W15" i="1"/>
  <c r="X56" i="1"/>
  <c r="X51" i="1"/>
  <c r="X50" i="1"/>
  <c r="X49" i="1"/>
  <c r="X48" i="1"/>
  <c r="X47" i="1"/>
  <c r="X46" i="1"/>
  <c r="T37" i="1"/>
  <c r="U37" i="1" s="1"/>
  <c r="S37" i="1" s="1"/>
  <c r="X37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AA18" i="1"/>
  <c r="W18" i="1" s="1"/>
  <c r="AA14" i="1"/>
  <c r="W14" i="1" s="1"/>
  <c r="T38" i="1"/>
  <c r="U38" i="1" s="1"/>
  <c r="S38" i="1" s="1"/>
  <c r="X38" i="1"/>
  <c r="T36" i="1"/>
  <c r="U36" i="1" s="1"/>
  <c r="S36" i="1" s="1"/>
  <c r="X36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0" i="1"/>
  <c r="U20" i="1" s="1"/>
  <c r="S20" i="1" s="1"/>
  <c r="X20" i="1"/>
  <c r="W16" i="1"/>
  <c r="X19" i="1"/>
  <c r="X18" i="1"/>
  <c r="X17" i="1"/>
  <c r="X16" i="1"/>
  <c r="X15" i="1"/>
  <c r="AE22" i="3"/>
  <c r="T15" i="3"/>
  <c r="AC16" i="3"/>
  <c r="T16" i="3"/>
  <c r="AD23" i="3"/>
  <c r="T7" i="3"/>
  <c r="T8" i="3"/>
  <c r="T9" i="3"/>
  <c r="T22" i="3"/>
  <c r="AD9" i="3"/>
  <c r="AC23" i="3"/>
  <c r="AD17" i="3"/>
  <c r="AD20" i="3"/>
  <c r="AC14" i="3"/>
  <c r="AC19" i="3"/>
  <c r="AD19" i="3"/>
  <c r="AE15" i="3"/>
  <c r="AD8" i="3"/>
  <c r="AE23" i="3"/>
  <c r="AE18" i="3"/>
  <c r="AE16" i="3"/>
  <c r="AE11" i="3"/>
  <c r="AD22" i="3"/>
  <c r="T10" i="3"/>
  <c r="T11" i="3"/>
  <c r="AE19" i="3"/>
  <c r="AE17" i="3"/>
  <c r="AE13" i="3"/>
  <c r="Y7" i="3"/>
  <c r="Y9" i="3"/>
  <c r="Y13" i="3"/>
  <c r="Y20" i="3"/>
  <c r="Y8" i="3"/>
  <c r="Y22" i="3"/>
  <c r="Y11" i="3"/>
  <c r="Y10" i="3"/>
  <c r="Y15" i="3"/>
  <c r="Y19" i="3"/>
  <c r="Y21" i="3"/>
  <c r="Y18" i="3"/>
  <c r="Y17" i="3"/>
  <c r="Y23" i="3"/>
  <c r="Y16" i="3"/>
  <c r="Y14" i="3"/>
  <c r="T20" i="3"/>
  <c r="AE21" i="3"/>
  <c r="AD21" i="3"/>
  <c r="AE20" i="3"/>
  <c r="T19" i="3"/>
  <c r="AD18" i="3"/>
  <c r="T21" i="3"/>
  <c r="AD15" i="3"/>
  <c r="AE14" i="3"/>
  <c r="T18" i="3"/>
  <c r="AD11" i="3"/>
  <c r="AE10" i="3"/>
  <c r="T17" i="3"/>
  <c r="AC13" i="3"/>
  <c r="AD14" i="3"/>
  <c r="AD10" i="3"/>
  <c r="AE9" i="3"/>
  <c r="AE8" i="3"/>
  <c r="R12" i="3"/>
  <c r="M12" i="3"/>
  <c r="U12" i="3"/>
  <c r="AD12" i="3" s="1"/>
  <c r="X12" i="3"/>
  <c r="W12" i="3"/>
  <c r="S90" i="1" l="1"/>
  <c r="Y12" i="3"/>
  <c r="M23" i="5" l="1"/>
  <c r="S12" i="3" l="1"/>
  <c r="V12" i="3"/>
  <c r="AE12" i="3" s="1"/>
  <c r="AC12" i="3"/>
  <c r="V13" i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21" i="3" s="1"/>
  <c r="G132" i="4"/>
  <c r="G133" i="4"/>
  <c r="G134" i="4"/>
  <c r="G135" i="4"/>
  <c r="G136" i="4"/>
  <c r="G137" i="4"/>
  <c r="G138" i="4"/>
  <c r="N15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0" i="3" l="1"/>
  <c r="N19" i="3"/>
  <c r="N9" i="3"/>
  <c r="N22" i="3"/>
  <c r="N20" i="3"/>
  <c r="N23" i="3"/>
  <c r="N16" i="3"/>
  <c r="N8" i="3"/>
  <c r="N18" i="3"/>
  <c r="N14" i="3"/>
  <c r="N13" i="3"/>
  <c r="N11" i="3"/>
  <c r="N7" i="3"/>
  <c r="N17" i="3"/>
  <c r="N1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12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<sst xmlns="http://schemas.openxmlformats.org/spreadsheetml/2006/main" count="2670" uniqueCount="1084">
  <si>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</si>
  <si>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</si>
  <si>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</si>
  <si>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</si>
  <si>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</si>
  <si>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</si>
  <si>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</si>
  <si>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</si>
  <si>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</si>
  <si>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</si>
  <si>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</si>
  <si>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</si>
  <si>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</si>
  <si>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</si>
  <si>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</si>
  <si>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</si>
  <si>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</si>
  <si>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</si>
  <si>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</si>
  <si>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</si>
  <si>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</si>
  <si>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</si>
  <si>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</si>
  <si>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</si>
  <si>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</si>
  <si>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</si>
  <si>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</si>
  <si>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</si>
  <si>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</si>
  <si>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</si>
  <si>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</si>
  <si>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</si>
  <si>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</si>
  <si>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</si>
  <si>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</si>
  <si>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</si>
  <si>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</si>
  <si>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</si>
  <si>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</si>
  <si>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</si>
  <si>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</si>
  <si>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</si>
  <si>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</si>
  <si>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</si>
  <si>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</si>
  <si>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</si>
  <si>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</si>
  <si>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</si>
  <si>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</si>
  <si>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</si>
  <si>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</si>
  <si>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</si>
  <si>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</si>
  <si>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</si>
  <si>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</si>
  <si>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</si>
  <si>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</si>
  <si>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</si>
  <si>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</si>
  <si>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</si>
  <si>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</si>
  <si>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</si>
  <si>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</si>
  <si>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</si>
  <si>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</si>
  <si>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</si>
  <si>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</si>
  <si>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</si>
  <si>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</si>
  <si>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</si>
  <si>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</si>
  <si>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</si>
  <si>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</si>
  <si>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</si>
  <si>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</si>
  <si>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</si>
  <si>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</si>
  <si>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</si>
  <si>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</si>
  <si>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</si>
  <si>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</si>
  <si>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</si>
  <si>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</si>
  <si>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</si>
  <si>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</si>
  <si>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</si>
  <si>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</si>
  <si>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</si>
  <si>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</si>
  <si>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</si>
  <si>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</si>
  <si>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</si>
  <si>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</si>
  <si>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</si>
  <si>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</si>
  <si>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</si>
  <si>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</si>
  <si>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</si>
  <si>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</si>
  <si>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</si>
  <si>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</si>
  <si>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</si>
  <si>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</si>
  <si>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</si>
  <si>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</si>
  <si>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</si>
  <si>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</si>
  <si>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</si>
  <si>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</si>
  <si>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</si>
  <si>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</si>
  <si>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</si>
  <si>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</si>
  <si>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</si>
  <si>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</si>
  <si>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</si>
  <si>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</si>
  <si>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</si>
  <si>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</si>
  <si>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</si>
  <si>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</si>
  <si>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</si>
  <si>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</si>
  <si>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</si>
  <si>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</si>
  <si>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</si>
  <si>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</si>
  <si>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</si>
  <si>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</si>
  <si>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</si>
  <si>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</si>
  <si>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</si>
  <si>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</si>
  <si>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</si>
  <si>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</si>
  <si>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</si>
  <si>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</si>
  <si>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</si>
  <si>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</si>
  <si>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</si>
  <si>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</si>
  <si>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</si>
  <si>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</si>
  <si>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</si>
  <si>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</si>
  <si>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</si>
  <si>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</si>
  <si>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</si>
  <si>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</si>
  <si>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</si>
  <si>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</si>
  <si>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</si>
  <si>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</si>
  <si>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</si>
  <si>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</si>
  <si>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</si>
  <si>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</si>
  <si>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</si>
  <si>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</si>
  <si>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</si>
  <si>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</si>
  <si>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</si>
  <si>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</si>
  <si>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</si>
  <si>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</si>
  <si>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</si>
  <si>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</si>
  <si>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</si>
  <si>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</si>
  <si>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</si>
  <si>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</si>
  <si>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</si>
  <si>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</si>
  <si>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</si>
  <si>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</si>
  <si>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</si>
  <si>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</si>
  <si>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</si>
  <si>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</si>
  <si>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</si>
  <si>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</si>
  <si>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</si>
  <si>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</si>
  <si>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</si>
  <si>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</si>
  <si>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</si>
  <si>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</si>
  <si>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</si>
  <si>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</si>
  <si>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</si>
  <si>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</si>
  <si>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</si>
  <si>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</si>
  <si>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</si>
  <si>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</si>
  <si>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</si>
  <si>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</si>
  <si>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</si>
  <si>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</si>
  <si>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</si>
  <si>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</si>
  <si>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</si>
  <si>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</si>
  <si>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</si>
  <si>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</si>
  <si>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</si>
  <si>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</si>
  <si>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</si>
  <si>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</si>
  <si>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</si>
  <si>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</si>
  <si>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</si>
  <si>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</si>
  <si>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</si>
  <si>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</si>
  <si>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</si>
  <si>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</si>
  <si>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</si>
  <si>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</si>
  <si>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</si>
  <si>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</si>
  <si>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</si>
  <si>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</si>
  <si>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</si>
  <si>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</si>
  <si>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</si>
  <si>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</si>
  <si>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</si>
  <si>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</si>
  <si>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</si>
  <si>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</si>
  <si>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</si>
  <si>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</si>
  <si>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</si>
  <si>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</si>
  <si>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</si>
  <si>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</si>
  <si>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</si>
  <si>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</si>
  <si>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</si>
  <si>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</si>
  <si>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</si>
  <si>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</si>
  <si>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</si>
  <si>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</si>
  <si>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</si>
  <si>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</si>
  <si>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</si>
  <si>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</si>
  <si>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</si>
  <si>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</si>
  <si>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</si>
  <si>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</si>
  <si>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</si>
  <si>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</si>
  <si>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</si>
  <si>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</si>
  <si>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</si>
  <si>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</si>
  <si>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</si>
  <si>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</si>
  <si>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</si>
  <si>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</si>
  <si>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</si>
  <si>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</si>
  <si>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</si>
  <si>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</si>
  <si>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</si>
  <si>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</si>
  <si>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</si>
  <si>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</si>
  <si>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</si>
  <si>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</si>
  <si>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</si>
  <si>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</si>
  <si>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</si>
  <si>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</si>
  <si>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</si>
  <si>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</si>
  <si>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</si>
  <si>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</si>
  <si>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</si>
  <si>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</si>
  <si>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</si>
  <si>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</si>
  <si>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</si>
  <si>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</si>
  <si>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</si>
  <si>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</si>
  <si>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</si>
  <si>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</si>
  <si>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</si>
  <si>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</si>
  <si>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</si>
  <si>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</si>
  <si>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</si>
  <si>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</si>
  <si>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</si>
  <si>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</si>
  <si>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</si>
  <si>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</si>
  <si>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</si>
  <si>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</si>
  <si>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</si>
  <si>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</si>
  <si>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</si>
  <si>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</si>
  <si>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</si>
  <si>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</si>
  <si>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</si>
  <si>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</si>
  <si>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</si>
  <si>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</si>
  <si>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</si>
  <si>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</si>
  <si>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</si>
  <si>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</si>
  <si>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</si>
  <si>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</si>
  <si>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</si>
  <si>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</si>
  <si>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</si>
  <si>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</si>
  <si>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</si>
  <si>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</si>
  <si>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</si>
  <si>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</si>
  <si>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</si>
  <si>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</si>
  <si>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</si>
  <si>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</si>
  <si>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</si>
  <si>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</si>
  <si>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</si>
  <si>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</si>
  <si>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</si>
  <si>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</si>
  <si>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</si>
  <si>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</si>
  <si>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</si>
  <si>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</si>
  <si>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</si>
  <si>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</si>
  <si>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</si>
  <si>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</si>
  <si>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</si>
  <si>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</si>
  <si>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</si>
  <si>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</si>
  <si>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</si>
  <si>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</si>
  <si>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</si>
  <si>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</si>
  <si>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</si>
  <si>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</si>
  <si>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</si>
  <si>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</si>
  <si>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</si>
  <si>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</si>
  <si>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</si>
  <si>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</si>
  <si>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</si>
  <si>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</si>
  <si>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</si>
  <si>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</si>
  <si>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</si>
  <si>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</si>
  <si>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</si>
  <si>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</si>
  <si>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</si>
  <si>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</si>
  <si>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</si>
  <si>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</si>
  <si>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</si>
  <si>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</si>
  <si>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</si>
  <si>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</si>
  <si>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</si>
  <si>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</si>
  <si>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</si>
  <si>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</si>
  <si>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</si>
  <si>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</si>
  <si>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</si>
  <si>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</si>
  <si>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</si>
  <si>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</si>
  <si>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</si>
  <si>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</si>
  <si>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</si>
  <si>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</si>
  <si>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</si>
  <si>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</si>
  <si>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</si>
  <si>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</si>
  <si>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</si>
  <si>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</si>
  <si>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</si>
  <si>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</si>
  <si>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</si>
  <si>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</si>
  <si>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</si>
  <si>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</si>
  <si>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</si>
  <si>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</si>
  <si>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</si>
  <si>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</si>
  <si>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</si>
  <si>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</si>
  <si>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</si>
  <si>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</si>
  <si>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</si>
  <si>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</si>
  <si>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</si>
  <si>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</si>
  <si>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</si>
  <si>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</si>
  <si>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</si>
  <si>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</si>
  <si>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</si>
  <si>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</si>
  <si>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</si>
  <si>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</si>
  <si>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</si>
  <si>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</si>
  <si>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</si>
  <si>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</si>
  <si>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</si>
  <si>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</si>
  <si>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</si>
  <si>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</si>
  <si>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</si>
  <si>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</si>
  <si>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</si>
  <si>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</si>
  <si>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</si>
  <si>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</si>
  <si>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</si>
  <si>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</si>
  <si>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</si>
  <si>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</si>
  <si>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</si>
  <si>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</si>
  <si>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</si>
  <si>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</si>
  <si>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</si>
  <si>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</si>
  <si>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</si>
  <si>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</si>
  <si>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</si>
  <si>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</si>
  <si>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</si>
  <si>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</si>
  <si>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</si>
  <si>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</si>
  <si>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</si>
  <si>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</si>
  <si>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</si>
  <si>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</si>
  <si>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</si>
  <si>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</si>
  <si>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</si>
  <si>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</si>
  <si>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</si>
  <si>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ELBAUM</t>
  </si>
  <si>
    <t>MIKE</t>
  </si>
  <si>
    <t>204:211</t>
  </si>
  <si>
    <t>204:196</t>
  </si>
  <si>
    <t>Wi-MAX data drop</t>
  </si>
  <si>
    <t>FORTUNATO</t>
  </si>
  <si>
    <t>FRANK</t>
  </si>
  <si>
    <t>HAMMOND</t>
  </si>
  <si>
    <t>JUSTYNN</t>
  </si>
  <si>
    <t>311-17</t>
  </si>
  <si>
    <t>313-17</t>
  </si>
  <si>
    <t>204:225</t>
  </si>
  <si>
    <t>rtdc.l.rtdc.4015:itc</t>
  </si>
  <si>
    <t>rtdc.l.rtdc.4006:itc</t>
  </si>
  <si>
    <t>rtdc.l.rtdc.4016:itc</t>
  </si>
  <si>
    <t>240-22</t>
  </si>
  <si>
    <t>rtdc.l.rtdc.4005:itc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</si>
  <si>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</si>
  <si>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</si>
  <si>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</si>
  <si>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</si>
  <si>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</si>
  <si>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</si>
  <si>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</si>
  <si>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</si>
  <si>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</si>
  <si>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204:265</t>
  </si>
  <si>
    <t>MAELZER</t>
  </si>
  <si>
    <t>KURT</t>
  </si>
  <si>
    <t>DONTE</t>
  </si>
  <si>
    <t>BADERTSCHER</t>
  </si>
  <si>
    <t>DIANE</t>
  </si>
  <si>
    <t>ANDERS</t>
  </si>
  <si>
    <t>STEVEN</t>
  </si>
  <si>
    <t>204:233270</t>
  </si>
  <si>
    <t>204:191</t>
  </si>
  <si>
    <t>204:233253</t>
  </si>
  <si>
    <t>204:189</t>
  </si>
  <si>
    <t>rtdc.l.rtdc.4009:itc</t>
  </si>
  <si>
    <t>GEBRETEKLE</t>
  </si>
  <si>
    <t>DAGNEW</t>
  </si>
  <si>
    <t>HOLCOMB</t>
  </si>
  <si>
    <t>KAMDEN</t>
  </si>
  <si>
    <t>204:506</t>
  </si>
  <si>
    <t>204:233297</t>
  </si>
  <si>
    <t>204:201</t>
  </si>
  <si>
    <t>204:185</t>
  </si>
  <si>
    <t>204:218</t>
  </si>
  <si>
    <t>204:233259</t>
  </si>
  <si>
    <t>rtdc.l.rtdc.4044:itc</t>
  </si>
  <si>
    <t>rtdc.l.rtdc.4043:itc</t>
  </si>
  <si>
    <t>GONZALEZ</t>
  </si>
  <si>
    <t>ARMANDO</t>
  </si>
  <si>
    <t>204:205</t>
  </si>
  <si>
    <t>204:232978</t>
  </si>
  <si>
    <t>204:466</t>
  </si>
  <si>
    <t>204:149</t>
  </si>
  <si>
    <t>204:194</t>
  </si>
  <si>
    <t>204:526</t>
  </si>
  <si>
    <t>Early Arrival</t>
  </si>
  <si>
    <t>204:198</t>
  </si>
  <si>
    <t>204:517</t>
  </si>
  <si>
    <t>204:464</t>
  </si>
  <si>
    <t>204:440</t>
  </si>
  <si>
    <t>204:221</t>
  </si>
  <si>
    <t>204:233263</t>
  </si>
  <si>
    <t>204:233286</t>
  </si>
  <si>
    <t>partly-cloudy-night</t>
  </si>
  <si>
    <t>Partly Cloudy</t>
  </si>
  <si>
    <t>204:158</t>
  </si>
  <si>
    <t>204:504</t>
  </si>
  <si>
    <t>204:233295</t>
  </si>
  <si>
    <t>204:156</t>
  </si>
  <si>
    <t>204:192</t>
  </si>
  <si>
    <t>204:482</t>
  </si>
  <si>
    <t>204:478</t>
  </si>
  <si>
    <t>204:233221</t>
  </si>
  <si>
    <t>204:232938</t>
  </si>
  <si>
    <t>204:564</t>
  </si>
  <si>
    <t>204:160</t>
  </si>
  <si>
    <t>204:170</t>
  </si>
  <si>
    <t>204:223</t>
  </si>
  <si>
    <t>204:232959</t>
  </si>
  <si>
    <t>300:23312</t>
  </si>
  <si>
    <t>rtdc.l.rtdc.4058:itc</t>
  </si>
  <si>
    <t>DAVID</t>
  </si>
  <si>
    <t>precipAccumulation</t>
  </si>
  <si>
    <t>precipType</t>
  </si>
  <si>
    <t>snow</t>
  </si>
  <si>
    <t>204:493</t>
  </si>
  <si>
    <t>204:233349</t>
  </si>
  <si>
    <t>204:232996</t>
  </si>
  <si>
    <t>204:216</t>
  </si>
  <si>
    <t>204:233232</t>
  </si>
  <si>
    <t>204:477</t>
  </si>
  <si>
    <t>204:451</t>
  </si>
  <si>
    <t>204:233266</t>
  </si>
  <si>
    <t>204:522</t>
  </si>
  <si>
    <t>204:497</t>
  </si>
  <si>
    <t>204:232989</t>
  </si>
  <si>
    <t>204:200</t>
  </si>
  <si>
    <t>204:232936</t>
  </si>
  <si>
    <t>204:232921</t>
  </si>
  <si>
    <t>204:233291</t>
  </si>
  <si>
    <t>204:242</t>
  </si>
  <si>
    <t>204:138</t>
  </si>
  <si>
    <t>204:435</t>
  </si>
  <si>
    <t>204:540</t>
  </si>
  <si>
    <t>204:233278</t>
  </si>
  <si>
    <t>204:262</t>
  </si>
  <si>
    <t>204:232948</t>
  </si>
  <si>
    <t>204:233264</t>
  </si>
  <si>
    <t>204:537</t>
  </si>
  <si>
    <t>204:232943</t>
  </si>
  <si>
    <t>204:263</t>
  </si>
  <si>
    <t>300:23299</t>
  </si>
  <si>
    <t>300:23302</t>
  </si>
  <si>
    <t>204:573</t>
  </si>
  <si>
    <t>204:169</t>
  </si>
  <si>
    <t>204:542</t>
  </si>
  <si>
    <t>204:126</t>
  </si>
  <si>
    <t>230-22</t>
  </si>
  <si>
    <t>SPECTOR</t>
  </si>
  <si>
    <t>rtdc.l.rtdc.4019:itc</t>
  </si>
  <si>
    <t>rtdc.l.rtdc.4020:itc</t>
  </si>
  <si>
    <t>MACDONALD</t>
  </si>
  <si>
    <t>THOMAS</t>
  </si>
  <si>
    <t>rtdc.l.rtdc.4045:itc</t>
  </si>
  <si>
    <t>DAVIDSON</t>
  </si>
  <si>
    <t>231-22</t>
  </si>
  <si>
    <t>844-22</t>
  </si>
  <si>
    <t>233-22</t>
  </si>
  <si>
    <t>847-22</t>
  </si>
  <si>
    <t>235-22</t>
  </si>
  <si>
    <t>232-22</t>
  </si>
  <si>
    <t>846-22</t>
  </si>
  <si>
    <t>234-22</t>
  </si>
  <si>
    <t>237-22</t>
  </si>
  <si>
    <t>849-22</t>
  </si>
  <si>
    <t>236-22</t>
  </si>
  <si>
    <t>239-22</t>
  </si>
  <si>
    <t>908-22</t>
  </si>
  <si>
    <t>241-22</t>
  </si>
  <si>
    <t>245-22</t>
  </si>
  <si>
    <t>246-22</t>
  </si>
  <si>
    <t>204:495</t>
  </si>
  <si>
    <t>204:232879</t>
  </si>
  <si>
    <t>204:460</t>
  </si>
  <si>
    <t>204:232998</t>
  </si>
  <si>
    <t>204:152</t>
  </si>
  <si>
    <t>204:233320</t>
  </si>
  <si>
    <t>204:233008</t>
  </si>
  <si>
    <t>204:488</t>
  </si>
  <si>
    <t>204:539</t>
  </si>
  <si>
    <t>204:227</t>
  </si>
  <si>
    <t>204:498</t>
  </si>
  <si>
    <t>204:469</t>
  </si>
  <si>
    <t>204:233002</t>
  </si>
  <si>
    <t>204:232967</t>
  </si>
  <si>
    <t>204:139</t>
  </si>
  <si>
    <t>204:232977</t>
  </si>
  <si>
    <t>204:489</t>
  </si>
  <si>
    <t>204:233312</t>
  </si>
  <si>
    <t>204:163</t>
  </si>
  <si>
    <t>204:531</t>
  </si>
  <si>
    <t>204:233226</t>
  </si>
  <si>
    <t>204:232915</t>
  </si>
  <si>
    <t>204:233268</t>
  </si>
  <si>
    <t>204:232944</t>
  </si>
  <si>
    <t>204:233247</t>
  </si>
  <si>
    <t>204:232907</t>
  </si>
  <si>
    <t>204:577</t>
  </si>
  <si>
    <t>204:453</t>
  </si>
  <si>
    <t>204:232934</t>
  </si>
  <si>
    <t>204:212</t>
  </si>
  <si>
    <t>204:473</t>
  </si>
  <si>
    <t>204:232982</t>
  </si>
  <si>
    <t>204:232940</t>
  </si>
  <si>
    <t>204:233251</t>
  </si>
  <si>
    <t>204:232932</t>
  </si>
  <si>
    <t>204:524</t>
  </si>
  <si>
    <t>204:214</t>
  </si>
  <si>
    <t>204:233287</t>
  </si>
  <si>
    <t>204:245</t>
  </si>
  <si>
    <t>204:232949</t>
  </si>
  <si>
    <t>204:233255</t>
  </si>
  <si>
    <t>204:267</t>
  </si>
  <si>
    <t>204:519</t>
  </si>
  <si>
    <t>204:232869</t>
  </si>
  <si>
    <t>204:232942</t>
  </si>
  <si>
    <t>204:249</t>
  </si>
  <si>
    <t>204:176</t>
  </si>
  <si>
    <t>204:528</t>
  </si>
  <si>
    <t>204:1179</t>
  </si>
  <si>
    <t>300:23308</t>
  </si>
  <si>
    <t>204:1490</t>
  </si>
  <si>
    <t>204:1158</t>
  </si>
  <si>
    <t>300:58914</t>
  </si>
  <si>
    <t>204:106</t>
  </si>
  <si>
    <t>204:455</t>
  </si>
  <si>
    <t>204:437</t>
  </si>
  <si>
    <t>204:153</t>
  </si>
  <si>
    <t>204:379</t>
  </si>
  <si>
    <t>rtdc.l.rtdc.4032:itc</t>
  </si>
  <si>
    <t>107-24</t>
  </si>
  <si>
    <t>111-24</t>
  </si>
  <si>
    <t>115-24</t>
  </si>
  <si>
    <t>SWITCH UNKNOWN</t>
  </si>
  <si>
    <t>Track device (7)</t>
  </si>
  <si>
    <t>1803-24</t>
  </si>
  <si>
    <t>TEMPORARY SPEED RESTRICTION</t>
  </si>
  <si>
    <t>rtdc.l.rtdc.4013:itc</t>
  </si>
  <si>
    <t>128-24</t>
  </si>
  <si>
    <t>139-24</t>
  </si>
  <si>
    <t>TRACK WARRANT AUTHORITY</t>
  </si>
  <si>
    <t>Form based authority (4)</t>
  </si>
  <si>
    <t>rtdc.l.rtdc.4014:itc</t>
  </si>
  <si>
    <t>141-24</t>
  </si>
  <si>
    <t>151-24</t>
  </si>
  <si>
    <t>170-24</t>
  </si>
  <si>
    <t>181-24</t>
  </si>
  <si>
    <t>1817-24</t>
  </si>
  <si>
    <t>rtdc.l.rtdc.4057:itc</t>
  </si>
  <si>
    <t>1818-24</t>
  </si>
  <si>
    <t>184-24</t>
  </si>
  <si>
    <t>1821-24</t>
  </si>
  <si>
    <t>1829-24</t>
  </si>
  <si>
    <t>rtdc.l.rtdc.4021:itc</t>
  </si>
  <si>
    <t>226-24</t>
  </si>
  <si>
    <t>1831-24</t>
  </si>
  <si>
    <t>231-24</t>
  </si>
  <si>
    <t>1833-24</t>
  </si>
  <si>
    <t>232-24</t>
  </si>
  <si>
    <t>313-24</t>
  </si>
  <si>
    <t>rtdc.l.rtdc.4002:itc</t>
  </si>
  <si>
    <t>245-23</t>
  </si>
  <si>
    <t>rtdc.l.rtdc.4046:itc</t>
  </si>
  <si>
    <t>307-23</t>
  </si>
  <si>
    <t>244-23</t>
  </si>
  <si>
    <t>rtdc.l.rtdc.4026:itc</t>
  </si>
  <si>
    <t>309-23</t>
  </si>
  <si>
    <t>rtdc.l.rtdc.4001:itc</t>
  </si>
  <si>
    <t>246-23</t>
  </si>
  <si>
    <t>311-23</t>
  </si>
  <si>
    <t>50-24</t>
  </si>
  <si>
    <t>LANGERAK</t>
  </si>
  <si>
    <t>WILLIAM</t>
  </si>
  <si>
    <t>313-23</t>
  </si>
  <si>
    <t>300-24</t>
  </si>
  <si>
    <t>LESTER</t>
  </si>
  <si>
    <t>101-24</t>
  </si>
  <si>
    <t>302-24</t>
  </si>
  <si>
    <t>103-24</t>
  </si>
  <si>
    <t>304-24</t>
  </si>
  <si>
    <t>rtdc.l.rtdc.4031:itc</t>
  </si>
  <si>
    <t>306-24</t>
  </si>
  <si>
    <t>PAGE</t>
  </si>
  <si>
    <t>MARCUS</t>
  </si>
  <si>
    <t>105-24</t>
  </si>
  <si>
    <t>102-24</t>
  </si>
  <si>
    <t>308-24</t>
  </si>
  <si>
    <t>104-24</t>
  </si>
  <si>
    <t>310-24</t>
  </si>
  <si>
    <t>109-24</t>
  </si>
  <si>
    <t>106-24</t>
  </si>
  <si>
    <t>108-24</t>
  </si>
  <si>
    <t>113-24</t>
  </si>
  <si>
    <t>1901-24</t>
  </si>
  <si>
    <t>312-24</t>
  </si>
  <si>
    <t>LAMAR</t>
  </si>
  <si>
    <t>NEKESHA</t>
  </si>
  <si>
    <t>110-24</t>
  </si>
  <si>
    <t>1800-24</t>
  </si>
  <si>
    <t>117-24</t>
  </si>
  <si>
    <t>112-24</t>
  </si>
  <si>
    <t>119-24</t>
  </si>
  <si>
    <t>114-24</t>
  </si>
  <si>
    <t>1801-24</t>
  </si>
  <si>
    <t>121-24</t>
  </si>
  <si>
    <t>116-24</t>
  </si>
  <si>
    <t>1802-24</t>
  </si>
  <si>
    <t>123-24</t>
  </si>
  <si>
    <t>51-24</t>
  </si>
  <si>
    <t>118-24</t>
  </si>
  <si>
    <t>120-24</t>
  </si>
  <si>
    <t>125-24</t>
  </si>
  <si>
    <t>122-24</t>
  </si>
  <si>
    <t>127-24</t>
  </si>
  <si>
    <t>129-24</t>
  </si>
  <si>
    <t>124-24</t>
  </si>
  <si>
    <t>1804-24</t>
  </si>
  <si>
    <t>131-24</t>
  </si>
  <si>
    <t>126-24</t>
  </si>
  <si>
    <t>133-24</t>
  </si>
  <si>
    <t>135-24</t>
  </si>
  <si>
    <t>53-24</t>
  </si>
  <si>
    <t>130-24</t>
  </si>
  <si>
    <t>1805-24</t>
  </si>
  <si>
    <t>137-24</t>
  </si>
  <si>
    <t>132-24</t>
  </si>
  <si>
    <t>134-24</t>
  </si>
  <si>
    <t>1806-24</t>
  </si>
  <si>
    <t>136-24</t>
  </si>
  <si>
    <t>138-24</t>
  </si>
  <si>
    <t>143-24</t>
  </si>
  <si>
    <t>1807-24</t>
  </si>
  <si>
    <t>145-24</t>
  </si>
  <si>
    <t>147-24</t>
  </si>
  <si>
    <t>140-24</t>
  </si>
  <si>
    <t>1808-24</t>
  </si>
  <si>
    <t>142-24</t>
  </si>
  <si>
    <t>149-24</t>
  </si>
  <si>
    <t>144-24</t>
  </si>
  <si>
    <t>1809-24</t>
  </si>
  <si>
    <t>146-24</t>
  </si>
  <si>
    <t>153-24</t>
  </si>
  <si>
    <t>148-24</t>
  </si>
  <si>
    <t>150-24</t>
  </si>
  <si>
    <t>1810-24</t>
  </si>
  <si>
    <t>155-24</t>
  </si>
  <si>
    <t>152-24</t>
  </si>
  <si>
    <t>157-24</t>
  </si>
  <si>
    <t>STEWART</t>
  </si>
  <si>
    <t>159-24</t>
  </si>
  <si>
    <t>154-24</t>
  </si>
  <si>
    <t>161-24</t>
  </si>
  <si>
    <t>BIRENBAUM</t>
  </si>
  <si>
    <t>1811-24</t>
  </si>
  <si>
    <t>156-24</t>
  </si>
  <si>
    <t>163-24</t>
  </si>
  <si>
    <t>1812-24</t>
  </si>
  <si>
    <t>158-24</t>
  </si>
  <si>
    <t>165-24</t>
  </si>
  <si>
    <t>162-24</t>
  </si>
  <si>
    <t>160-24</t>
  </si>
  <si>
    <t>167-24</t>
  </si>
  <si>
    <t>1813-24</t>
  </si>
  <si>
    <t>169-24</t>
  </si>
  <si>
    <t>164-24</t>
  </si>
  <si>
    <t>171-24</t>
  </si>
  <si>
    <t>1814-24</t>
  </si>
  <si>
    <t>166-24</t>
  </si>
  <si>
    <t>173-24</t>
  </si>
  <si>
    <t>168-24</t>
  </si>
  <si>
    <t>175-24</t>
  </si>
  <si>
    <t>1815-24</t>
  </si>
  <si>
    <t>177-24</t>
  </si>
  <si>
    <t>172-24</t>
  </si>
  <si>
    <t>179-24</t>
  </si>
  <si>
    <t>1816-24</t>
  </si>
  <si>
    <t>174-24</t>
  </si>
  <si>
    <t>176-24</t>
  </si>
  <si>
    <t>178-24</t>
  </si>
  <si>
    <t>183-24</t>
  </si>
  <si>
    <t>185-24</t>
  </si>
  <si>
    <t>180-24</t>
  </si>
  <si>
    <t>187-24</t>
  </si>
  <si>
    <t>182-24</t>
  </si>
  <si>
    <t>189-24</t>
  </si>
  <si>
    <t>191-24</t>
  </si>
  <si>
    <t>186-24</t>
  </si>
  <si>
    <t>1819-24</t>
  </si>
  <si>
    <t>193-24</t>
  </si>
  <si>
    <t>188-24</t>
  </si>
  <si>
    <t>190-24</t>
  </si>
  <si>
    <t>195-24</t>
  </si>
  <si>
    <t>1820-24</t>
  </si>
  <si>
    <t>197-24</t>
  </si>
  <si>
    <t>192-24</t>
  </si>
  <si>
    <t>199-24</t>
  </si>
  <si>
    <t>194-24</t>
  </si>
  <si>
    <t>201-24</t>
  </si>
  <si>
    <t>75-24</t>
  </si>
  <si>
    <t>BROWN</t>
  </si>
  <si>
    <t>JACOB</t>
  </si>
  <si>
    <t>196-24</t>
  </si>
  <si>
    <t>203-24</t>
  </si>
  <si>
    <t>1822-24</t>
  </si>
  <si>
    <t>198-24</t>
  </si>
  <si>
    <t>205-24</t>
  </si>
  <si>
    <t>207-24</t>
  </si>
  <si>
    <t>200-24</t>
  </si>
  <si>
    <t>202-24</t>
  </si>
  <si>
    <t>1823-24</t>
  </si>
  <si>
    <t>204-24</t>
  </si>
  <si>
    <t>209-24</t>
  </si>
  <si>
    <t>88-24</t>
  </si>
  <si>
    <t>1824-24</t>
  </si>
  <si>
    <t>211-24</t>
  </si>
  <si>
    <t>76-24</t>
  </si>
  <si>
    <t>206-24</t>
  </si>
  <si>
    <t>213-24</t>
  </si>
  <si>
    <t>208-24</t>
  </si>
  <si>
    <t>215-24</t>
  </si>
  <si>
    <t>1825-24</t>
  </si>
  <si>
    <t>KILLION</t>
  </si>
  <si>
    <t>210-24</t>
  </si>
  <si>
    <t>217-24</t>
  </si>
  <si>
    <t>212-24</t>
  </si>
  <si>
    <t>219-24</t>
  </si>
  <si>
    <t>1826-24</t>
  </si>
  <si>
    <t>214-24</t>
  </si>
  <si>
    <t>301-24</t>
  </si>
  <si>
    <t>216-24</t>
  </si>
  <si>
    <t>218-24</t>
  </si>
  <si>
    <t>221-24</t>
  </si>
  <si>
    <t>1827-24</t>
  </si>
  <si>
    <t>303-24</t>
  </si>
  <si>
    <t>223-24</t>
  </si>
  <si>
    <t>1828-24</t>
  </si>
  <si>
    <t>220-24</t>
  </si>
  <si>
    <t>305-24</t>
  </si>
  <si>
    <t>225-24</t>
  </si>
  <si>
    <t>222-24</t>
  </si>
  <si>
    <t>224-24</t>
  </si>
  <si>
    <t>1830-24</t>
  </si>
  <si>
    <t>227-24</t>
  </si>
  <si>
    <t>229-24</t>
  </si>
  <si>
    <t>228-24</t>
  </si>
  <si>
    <t>1832-24</t>
  </si>
  <si>
    <t>233-24</t>
  </si>
  <si>
    <t>230-24</t>
  </si>
  <si>
    <t>1834-24</t>
  </si>
  <si>
    <t>235-24</t>
  </si>
  <si>
    <t>237-24</t>
  </si>
  <si>
    <t>234-24</t>
  </si>
  <si>
    <t>1835-24</t>
  </si>
  <si>
    <t>239-24</t>
  </si>
  <si>
    <t>236-24</t>
  </si>
  <si>
    <t>1902-24</t>
  </si>
  <si>
    <t>241-24</t>
  </si>
  <si>
    <t>238-24</t>
  </si>
  <si>
    <t>240-24</t>
  </si>
  <si>
    <t>243-24</t>
  </si>
  <si>
    <t>242-24</t>
  </si>
  <si>
    <t>307-24</t>
  </si>
  <si>
    <t>244-24</t>
  </si>
  <si>
    <t>309-24</t>
  </si>
  <si>
    <t>311-24</t>
  </si>
  <si>
    <t>88-25</t>
  </si>
  <si>
    <t>300-25</t>
  </si>
  <si>
    <t>Mostly Cloudy</t>
  </si>
  <si>
    <t>Light Snow</t>
  </si>
  <si>
    <t>204:233249</t>
  </si>
  <si>
    <t>204:447</t>
  </si>
  <si>
    <t>204:209</t>
  </si>
  <si>
    <t>204:233338</t>
  </si>
  <si>
    <t>204:232919</t>
  </si>
  <si>
    <t>204:260</t>
  </si>
  <si>
    <t>204:233302</t>
  </si>
  <si>
    <t>204:232991</t>
  </si>
  <si>
    <t>204:233216</t>
  </si>
  <si>
    <t>204:232927</t>
  </si>
  <si>
    <t>204:2207</t>
  </si>
  <si>
    <t>204:480</t>
  </si>
  <si>
    <t>204:233289</t>
  </si>
  <si>
    <t>204:233315</t>
  </si>
  <si>
    <t>204:233309</t>
  </si>
  <si>
    <t>204:172</t>
  </si>
  <si>
    <t>204:233332</t>
  </si>
  <si>
    <t>204:233021</t>
  </si>
  <si>
    <t>204:233301</t>
  </si>
  <si>
    <t>204:232969</t>
  </si>
  <si>
    <t>204:520</t>
  </si>
  <si>
    <t>204:232911</t>
  </si>
  <si>
    <t>204:153990</t>
  </si>
  <si>
    <t>204:1483</t>
  </si>
  <si>
    <t>204:232970</t>
  </si>
  <si>
    <t>204:232983</t>
  </si>
  <si>
    <t>204:161</t>
  </si>
  <si>
    <t>204:513</t>
  </si>
  <si>
    <t>204:233288</t>
  </si>
  <si>
    <t>204:486</t>
  </si>
  <si>
    <t>204:508</t>
  </si>
  <si>
    <t>204:233280</t>
  </si>
  <si>
    <t>204:232961</t>
  </si>
  <si>
    <t>204:233331</t>
  </si>
  <si>
    <t>204:233223</t>
  </si>
  <si>
    <t>204:500</t>
  </si>
  <si>
    <t>204:233272</t>
  </si>
  <si>
    <t>204:232957</t>
  </si>
  <si>
    <t>204:233213</t>
  </si>
  <si>
    <t>204:233203</t>
  </si>
  <si>
    <t>204:232854</t>
  </si>
  <si>
    <t>204:251</t>
  </si>
  <si>
    <t>204:232909</t>
  </si>
  <si>
    <t>204:233343</t>
  </si>
  <si>
    <t>204:233023</t>
  </si>
  <si>
    <t>204:233310</t>
  </si>
  <si>
    <t>204:233000</t>
  </si>
  <si>
    <t>204:233197</t>
  </si>
  <si>
    <t>204:240</t>
  </si>
  <si>
    <t>204:233246</t>
  </si>
  <si>
    <t>204:76868</t>
  </si>
  <si>
    <t>204:86375</t>
  </si>
  <si>
    <t>204:203</t>
  </si>
  <si>
    <t>204:231</t>
  </si>
  <si>
    <t>300:58589</t>
  </si>
  <si>
    <t>300:58901</t>
  </si>
  <si>
    <t>300:58585</t>
  </si>
  <si>
    <t>204:184</t>
  </si>
  <si>
    <t>204:462</t>
  </si>
  <si>
    <t>300:58897</t>
  </si>
  <si>
    <t>300:58576</t>
  </si>
  <si>
    <t>204:155</t>
  </si>
  <si>
    <t>300:58894</t>
  </si>
  <si>
    <t>300:58581</t>
  </si>
  <si>
    <t>204:471</t>
  </si>
  <si>
    <t>300:58907</t>
  </si>
  <si>
    <t>204:549</t>
  </si>
  <si>
    <t>204:233274</t>
  </si>
  <si>
    <t>300:58899</t>
  </si>
  <si>
    <t>204:171</t>
  </si>
  <si>
    <t>300:58920</t>
  </si>
  <si>
    <t>300:58604</t>
  </si>
  <si>
    <t>204:166</t>
  </si>
  <si>
    <t>300:58587</t>
  </si>
  <si>
    <t>204:182</t>
  </si>
  <si>
    <t>204:468</t>
  </si>
  <si>
    <t>300:58992</t>
  </si>
  <si>
    <t>300:58672</t>
  </si>
  <si>
    <t>204:142</t>
  </si>
  <si>
    <t>300:59001</t>
  </si>
  <si>
    <t>300:58690</t>
  </si>
  <si>
    <t>204:100</t>
  </si>
  <si>
    <t>300:58696</t>
  </si>
  <si>
    <t>204:128</t>
  </si>
  <si>
    <t>300:59003</t>
  </si>
  <si>
    <t>300:58692</t>
  </si>
  <si>
    <t>204:410</t>
  </si>
  <si>
    <t>204:133</t>
  </si>
  <si>
    <t>204:421</t>
  </si>
  <si>
    <t>300:59010</t>
  </si>
  <si>
    <t>300:58698</t>
  </si>
  <si>
    <t>204:75</t>
  </si>
  <si>
    <t>300:59014</t>
  </si>
  <si>
    <t>204:233308</t>
  </si>
  <si>
    <t>300:58711</t>
  </si>
  <si>
    <t>204:104</t>
  </si>
  <si>
    <t>204:401</t>
  </si>
  <si>
    <t>300:58694</t>
  </si>
  <si>
    <t>204:120</t>
  </si>
  <si>
    <t>204:415</t>
  </si>
  <si>
    <t>300:58664</t>
  </si>
  <si>
    <t>204:413</t>
  </si>
  <si>
    <t>204:232</t>
  </si>
  <si>
    <t>204:232986</t>
  </si>
  <si>
    <t>204:174</t>
  </si>
  <si>
    <t>204:553</t>
  </si>
  <si>
    <t>204:233219</t>
  </si>
  <si>
    <t>204:232892</t>
  </si>
  <si>
    <t>204:233243</t>
  </si>
  <si>
    <t>204:232925</t>
  </si>
  <si>
    <t>300:30072</t>
  </si>
  <si>
    <t>300:58687</t>
  </si>
  <si>
    <t>300:28797</t>
  </si>
  <si>
    <t>204:233209</t>
  </si>
  <si>
    <t>204:233240</t>
  </si>
  <si>
    <t>204:232990</t>
  </si>
  <si>
    <t>204:229</t>
  </si>
  <si>
    <t>204:232976</t>
  </si>
  <si>
    <t>204:233201</t>
  </si>
  <si>
    <t>204:535</t>
  </si>
  <si>
    <t>204:137</t>
  </si>
  <si>
    <t>204:232902</t>
  </si>
  <si>
    <t>204:232984</t>
  </si>
  <si>
    <t>204:256</t>
  </si>
  <si>
    <t>204:233059</t>
  </si>
  <si>
    <t>204:233276</t>
  </si>
  <si>
    <t>204:232985</t>
  </si>
  <si>
    <t>204:252</t>
  </si>
  <si>
    <t>204:559</t>
  </si>
  <si>
    <t>204:233043</t>
  </si>
  <si>
    <t>204:233217</t>
  </si>
  <si>
    <t>204:232896</t>
  </si>
  <si>
    <t>204:570</t>
  </si>
  <si>
    <t>204:562</t>
  </si>
  <si>
    <t>204:283</t>
  </si>
  <si>
    <t>204:285</t>
  </si>
  <si>
    <t>204:557</t>
  </si>
  <si>
    <t>300:23650</t>
  </si>
  <si>
    <t>204:165</t>
  </si>
  <si>
    <t>204:450</t>
  </si>
  <si>
    <t>300:23304</t>
  </si>
  <si>
    <t>300:19455</t>
  </si>
  <si>
    <t>300:22658</t>
  </si>
  <si>
    <t>204:571</t>
  </si>
  <si>
    <t>300:23468</t>
  </si>
  <si>
    <t>300:23572</t>
  </si>
  <si>
    <t>204:580</t>
  </si>
  <si>
    <t>300:23589</t>
  </si>
  <si>
    <t>300:22410</t>
  </si>
  <si>
    <t>300:22896</t>
  </si>
  <si>
    <t>204:1162</t>
  </si>
  <si>
    <t>204:1484</t>
  </si>
  <si>
    <t>204:3508</t>
  </si>
  <si>
    <t>204:3199</t>
  </si>
  <si>
    <t>204:3556</t>
  </si>
  <si>
    <t>204:3845</t>
  </si>
  <si>
    <t>204:3261</t>
  </si>
  <si>
    <t>204:3574</t>
  </si>
  <si>
    <t>204:1492</t>
  </si>
  <si>
    <t>300:23798</t>
  </si>
  <si>
    <t>204:1806</t>
  </si>
  <si>
    <t>start /low /b %USERPROFILE%\Documents\GitHub\eaglep3\Utilities\DownloadLogsFromS3.py --loco 4049 --day 2017-12-24</t>
  </si>
  <si>
    <t>start /low /b %USERPROFILE%\Documents\GitHub\eaglep3\Utilities\DownloadLogsFromS3.py --loco 4062 --day 2017-12-24</t>
  </si>
  <si>
    <t>start /low /b %USERPROFILE%\Documents\GitHub\eaglep3\Utilities\DownloadLogsFromS3.py --loco 4013 --day 2017-12-24</t>
  </si>
  <si>
    <t>start /low /b %USERPROFILE%\Documents\GitHub\eaglep3\Utilities\DownloadLogsFromS3.py --loco 4012 --day 2017-12-24</t>
  </si>
  <si>
    <t>start /low /b %USERPROFILE%\Documents\GitHub\eaglep3\Utilities\DownloadLogsFromS3.py --loco 4021 --day 2017-12-25</t>
  </si>
  <si>
    <t>start /low /b %USERPROFILE%\Documents\GitHub\eaglep3\Utilities\DownloadLogsFromS3.py --loco 4005 --day 2017-12-25</t>
  </si>
  <si>
    <t>start /low /b %USERPROFILE%\Documents\GitHub\eaglep3\Utilities\DownloadLogsFromS3.py --loco 4032 --day 2017-12-24</t>
  </si>
  <si>
    <t>start /low /b %USERPROFILE%\Documents\GitHub\eaglep3\Utilities\DownloadLogsFromS3.py --loco 4044 --day 2017-12-24</t>
  </si>
  <si>
    <t>start /low /b %USERPROFILE%\Documents\GitHub\eaglep3\Utilities\DownloadLogsFromS3.py --loco 4006 --day 2017-12-24</t>
  </si>
  <si>
    <t>start /low /b %USERPROFILE%\Documents\GitHub\eaglep3\Utilities\DownloadLogsFromS3.py --loco 4014 --day 2017-12-24</t>
  </si>
  <si>
    <t>start /low /b %USERPROFILE%\Documents\GitHub\eaglep3\Utilities\DownloadLogsFromS3.py --loco 4058 --day 2017-12-25</t>
  </si>
  <si>
    <t>start /low /b %USERPROFILE%\Documents\GitHub\eaglep3\Utilities\DownloadLogsFromS3.py --loco 4058 --day 2017-12-24</t>
  </si>
  <si>
    <t>Onboard en route failure</t>
  </si>
  <si>
    <t>Form C</t>
  </si>
  <si>
    <t>Observed unhealthy xing banner at Sable due to Wi-MAX data drop</t>
  </si>
  <si>
    <t>Dispatcher selected 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</si>
</sst>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43093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43093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COUNTIFS($N$13:$N$9575,"&gt;0",$AG$13:$AG$9575,I1)</f>
        <v>142</v>
      </c>
      <c r="K5" s="39"/>
      <c r="L5" s="171"/>
      <c r="M5" s="40">
        <f>AVERAGEIFS($N$13:$N$9575,$AG$13:$AG$9575,I1)</f>
        <v>37.761737089636931</v>
      </c>
      <c r="N5" s="38">
        <f t="array" ref="N5">MIN(IF($AG$13:$AG$9575=I1,IF(ISNUMBER($N$13:$N$9575),IF($N$13:$N$9575&gt;0,$N$13:$N$9575))))</f>
        <v>32.716666666092351</v>
      </c>
      <c r="O5" s="3">
        <f t="array" ref="O5">MAX(IF($AG$13:$AG$9575=I1,IF(ISNUMBER($N$13:$N$9575),IF($N$13:$N$9575&gt;0,$N$13:$N$9575))))</f>
        <v>49.333333329996094</v>
      </c>
      <c r="P5" s="2"/>
      <c r="R5" s="162" t="s">
        <v>17</v>
      </c>
      <c r="S5" s="206">
        <f>COUNTIFS($N$13:$N$9575,"&gt;0",$AG$13:$AG$9575,R1)</f>
        <v>36</v>
      </c>
      <c r="T5" s="171"/>
      <c r="U5" s="194"/>
      <c r="V5" s="210">
        <f>AVERAGEIFS($N$13:$N$9575,$AG$13:$AG$9575,R1)</f>
        <v>13.33425925928168</v>
      </c>
      <c r="W5" s="211">
        <f t="array" ref="W5">MIN(IF($AG$13:$AG$9575=R1,IF(ISNUMBER($N$13:$N$9575),IF($N$13:$N$9575&gt;0,$N$13:$N$9575))))</f>
        <v>11.333333331858739</v>
      </c>
      <c r="X5" s="199">
        <f t="array" ref="X5">MAX(IF($AG$13:$AG$9575=R1,IF(ISNUMBER($N$13:$N$9575),IF($N$13:$N$9575&gt;0,$N$13:$N$9575))))</f>
        <v>15.200000001350418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COUNT($O$13:$O$333)</f>
        <v>0</v>
      </c>
      <c r="K6" s="39"/>
      <c r="L6" s="171"/>
      <c r="M6" s="40">
        <f>IFERROR(AVERAGE($O$13:$O$333),0)</f>
        <v>0</v>
      </c>
      <c r="N6" s="38">
        <f>MIN($O$13:$O$333)</f>
        <v>0</v>
      </c>
      <c r="O6" s="3">
        <f>MAX($O$13:$O$333)</f>
        <v>0</v>
      </c>
      <c r="P6" s="2"/>
      <c r="R6" s="163" t="s">
        <v>43</v>
      </c>
      <c r="S6" s="206">
        <f>COUNT($O$13:$O$333)</f>
        <v>0</v>
      </c>
      <c r="T6" s="171"/>
      <c r="U6" s="194"/>
      <c r="V6" s="210">
        <f>IFERROR(AVERAGE($O$13:$O$333),0)</f>
        <v>0</v>
      </c>
      <c r="W6" s="211">
        <f>MIN($O$13:$O$333)</f>
        <v>0</v>
      </c>
      <c r="X6" s="199">
        <f>MAX($O$13:$O$333)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COUNTIFS($P$13:$P$9575,"&gt;0",$AG$13:$AG$9575,I1)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COUNTIFS($P$13:$P$9575,"&gt;0",$AG$13:$AG$9575,R1)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1"/>
      <c r="M8" s="40">
        <f>M5</f>
        <v>37.761737089636931</v>
      </c>
      <c r="N8" s="38">
        <f>N5</f>
        <v>32.716666666092351</v>
      </c>
      <c r="O8" s="3">
        <f>O5</f>
        <v>49.333333329996094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13.33425925928168</v>
      </c>
      <c r="W8" s="211">
        <f>W5</f>
        <v>11.333333331858739</v>
      </c>
      <c r="X8" s="199">
        <f>X5</f>
        <v>15.200000001350418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- 2017-12-24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AVERAGE(S13:S131)</f>
        <v>0.99928774928774933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714</v>
      </c>
      <c r="B13" s="7">
        <v>4044</v>
      </c>
      <c r="C13" s="21" t="s">
        <v>192</v>
      </c>
      <c r="D13" s="21" t="s">
        <v>620</v>
      </c>
      <c r="E13" s="13">
        <v>43093.139016203706</v>
      </c>
      <c r="F13" s="13">
        <v>43093.141041666669</v>
      </c>
      <c r="G13" s="7">
        <v>89</v>
      </c>
      <c r="H13" s="21" t="s">
        <v>907</v>
      </c>
      <c r="I13" s="13">
        <v>43093.167743055557</v>
      </c>
      <c r="J13" s="7">
        <v>0</v>
      </c>
      <c r="K13" s="89" t="str">
        <f>IF(ISEVEN(B13),(B13-1)&amp;"/"&amp;B13,B13&amp;"/"&amp;(B13+1))</f>
        <v>4043/4044</v>
      </c>
      <c r="L13" s="184" t="str">
        <f>VLOOKUP(A13,'Trips&amp;Operators'!$C$1:$G$99911,5,FALSE)</f>
        <v>THOMPSON LESTER</v>
      </c>
      <c r="M13" s="6">
        <f>I13-F13</f>
        <v>2.6701388887886424E-2</v>
      </c>
      <c r="N13" s="7">
        <f>24*60*SUM($M13:$M13)</f>
        <v>38.44999999855645</v>
      </c>
      <c r="O13" s="7"/>
      <c r="P13" s="7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-24T02:20:11-0700',mode:absolute,to:'2017-12-24T05:01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4.6899999999999997E-2</v>
      </c>
      <c r="Z13" s="203">
        <f>RIGHT(H13,LEN(H13)-4)/10000</f>
        <v>23.3249</v>
      </c>
      <c r="AA13" s="203">
        <f>ABS(Z13-Y13)</f>
        <v>23.277999999999999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/stypes="app*4044*20171224*" /stext=" 11:.+((SYSTEM_STATE.+slice.+state.+changed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4044 --swversion DE.1.0.9.0 --startMP 204:469 --initTime 2017-12-24T03:20:11 --startdatetime 2017-12-24T03:23:06 --delay 89 --endMP 204:233249 --enddatetime 2017-12-24T04:01:33 --enforcementcount 0 &gt;&gt;%USERPROFILE%\Documents\GitHub\eaglep3-reporting\EC\2017-12-24-refined-times.txt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{"issue":{"subject":"","project_id":79,"tracker_id":40,"status_id":1,"priority_id":2,"assigned_to_id":338,"start_date":"2017-12-24","description":"","custom_fields":[{"id":1,"name":"Subdivision","value":"EC"},{"id":4,"name":"Milepost","value":"23.3249"},{"id":17,"name":"Train ID","value":"101-24"},{"id":16,"name":"Locomotive ID","value":"4044"},{"id":130,"name":"Impact","value":""},{"id":150,"name":"Time of Event (Mountain Time)","value":"04:01:33"},{"id":151,"name":"Denver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4044 --day 2017-12-24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11:01:33"},{"id":29,"name":"Sharepoint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-24T02:20:11-0700',mode:absolute,to:'2017-12-24T05:01:33-0700'))&amp;_a=(columns:!('Message%20ID',Summary),filters:!(),index:'emp_*',interval:auto,query:(query_string:(analyze_wildcard:!t,query:'%22rtdc.l.rtdc.4044%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723</v>
      </c>
      <c r="B14" s="225">
        <v>4043</v>
      </c>
      <c r="C14" s="227" t="s">
        <v>192</v>
      </c>
      <c r="D14" s="227" t="s">
        <v>574</v>
      </c>
      <c r="E14" s="226">
        <v>43093.173414351855</v>
      </c>
      <c r="F14" s="226">
        <v>43093.175578703704</v>
      </c>
      <c r="G14" s="225">
        <v>114</v>
      </c>
      <c r="H14" s="227" t="s">
        <v>524</v>
      </c>
      <c r="I14" s="226">
        <v>43093.206365740742</v>
      </c>
      <c r="J14" s="225">
        <v>0</v>
      </c>
      <c r="K14" s="237" t="str">
        <f>IF(ISEVEN(B14),(B14-1)&amp;"/"&amp;B14,B14&amp;"/"&amp;(B14+1))</f>
        <v>4043/4044</v>
      </c>
      <c r="L14" s="245" t="str">
        <f>VLOOKUP(A14,'Trips&amp;Operators'!$C$1:$G$99911,5,FALSE)</f>
        <v>THOMPSON LESTER</v>
      </c>
      <c r="M14" s="224">
        <f>I14-F14</f>
        <v>3.0787037037953269E-2</v>
      </c>
      <c r="N14" s="225">
        <f>24*60*SUM($M14:$M14)</f>
        <v>44.333333334652707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-24T03:09:43-0700',mode:absolute,to:'2017-12-24T05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23.294799999999999</v>
      </c>
      <c r="Z14" s="247">
        <f>RIGHT(H14,LEN(H14)-4)/10000</f>
        <v>1.9800000000000002E-2</v>
      </c>
      <c r="AA14" s="247">
        <f>ABS(Z14-Y14)</f>
        <v>23.274999999999999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/stypes="app*4043*20171224*"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9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4043 --swversion DE.1.0.9.0 --startMP 204:232948 --initTime 2017-12-24T04:09:43 --startdatetime 2017-12-24T04:12:50 --delay 114 --endMP 204:198 --enddatetime 2017-12-24T04:57:10 --enforcementcount 0 &gt;&gt;%USERPROFILE%\Documents\GitHub\eaglep3-reporting\EC\2017-12-24-refined-times.txt</v>
      </c>
      <c r="AI14" s="238" t="str">
        <f t="shared" ref="AI14:AI79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{"issue":{"subject":"","project_id":79,"tracker_id":40,"status_id":1,"priority_id":2,"assigned_to_id":338,"start_date":"2017-12-24","description":"","custom_fields":[{"id":1,"name":"Subdivision","value":"EC"},{"id":4,"name":"Milepost","value":"0.0198"},{"id":17,"name":"Train ID","value":"102-24"},{"id":16,"name":"Locomotive ID","value":"4043"},{"id":130,"name":"Impact","value":""},{"id":150,"name":"Time of Event (Mountain Time)","value":"04:57:10"},{"id":151,"name":"Denver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9" si="7">"start /low /b "&amp;dls3logs&amp;" --loco "&amp;B14&amp;" --day "&amp;TEXT(F14,"YYYY-MM-DD")</f>
        <v>start /low /b %USERPROFILE%\Documents\GitHub\eaglep3\Utilities\DownloadLogsFromS3.py --loco 4043 --day 2017-12-24</v>
      </c>
      <c r="AN14" s="241" t="str">
        <f t="shared" ref="AN14:AN79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11:57:10"},{"id":29,"name":"Sharepoint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9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-24T03:09:43-0700',mode:absolute,to:'2017-12-24T05:57:10-0700'))&amp;_a=(columns:!('Message%20ID',Summary),filters:!(),index:'emp_*',interval:auto,query:(query_string:(analyze_wildcard:!t,query:'%22rtdc.l.rtdc.4043%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716</v>
      </c>
      <c r="B15" s="225">
        <v>4006</v>
      </c>
      <c r="C15" s="227" t="s">
        <v>192</v>
      </c>
      <c r="D15" s="227" t="s">
        <v>908</v>
      </c>
      <c r="E15" s="226">
        <v>43093.152986111112</v>
      </c>
      <c r="F15" s="226">
        <v>43093.156956018516</v>
      </c>
      <c r="G15" s="225">
        <v>56</v>
      </c>
      <c r="H15" s="227" t="s">
        <v>567</v>
      </c>
      <c r="I15" s="226">
        <v>43093.184027777781</v>
      </c>
      <c r="J15" s="225">
        <v>0</v>
      </c>
      <c r="K15" s="237" t="str">
        <f>IF(ISEVEN(B15),(B15-1)&amp;"/"&amp;B15,B15&amp;"/"&amp;(B15+1))</f>
        <v>4005/4006</v>
      </c>
      <c r="L15" s="245" t="str">
        <f>VLOOKUP(A15,'Trips&amp;Operators'!$C$1:$G$99911,5,FALSE)</f>
        <v>MAELZER KURT</v>
      </c>
      <c r="M15" s="224">
        <f>I15-F15</f>
        <v>2.7071759264799766E-2</v>
      </c>
      <c r="N15" s="225">
        <f>24*60*SUM($M15:$M15)</f>
        <v>38.983333341311663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-24T02:40:18-0700',mode:absolute,to:'2017-12-24T05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4.4699999999999997E-2</v>
      </c>
      <c r="Z15" s="247">
        <f>RIGHT(H15,LEN(H15)-4)/10000</f>
        <v>23.3291</v>
      </c>
      <c r="AA15" s="247">
        <f>ABS(Z15-Y15)</f>
        <v>23.284400000000002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/stypes="app*4006*20171224*"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103-24 --locoid 4006 --swversion DE.1.0.9.0 --startMP 204:447 --initTime 2017-12-24T03:40:18 --startdatetime 2017-12-24T03:46:01 --delay 56 --endMP 204:233291 --enddatetime 2017-12-24T04:25:00 --enforcementcount 0 &gt;&gt;%USERPROFILE%\Documents\GitHub\eaglep3-reporting\EC\2017-12-24-refined-times.txt</v>
      </c>
      <c r="AI15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{"issue":{"subject":"","project_id":79,"tracker_id":40,"status_id":1,"priority_id":2,"assigned_to_id":338,"start_date":"2017-12-24","description":"","custom_fields":[{"id":1,"name":"Subdivision","value":"EC"},{"id":4,"name":"Milepost","value":"23.3291"},{"id":17,"name":"Train ID","value":"103-24"},{"id":16,"name":"Locomotive ID","value":"4006"},{"id":130,"name":"Impact","value":""},{"id":150,"name":"Time of Event (Mountain Time)","value":"04:25:00"},{"id":151,"name":"Denver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4006 --day 2017-12-24</v>
      </c>
      <c r="AN15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2017-12-24T02:40:18-0700',mode:absolute,to:'2017-12-24T05:25:00-0700'))&amp;_a=(columns:!('Message%20ID',Summary),filters:!(),index:'emp_*',interval:auto,query:(query_string:(analyze_wildcard:!t,query:'%22rtdc.l.rtdc.4006%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725</v>
      </c>
      <c r="B16" s="225">
        <v>4005</v>
      </c>
      <c r="C16" s="227" t="s">
        <v>192</v>
      </c>
      <c r="D16" s="227" t="s">
        <v>640</v>
      </c>
      <c r="E16" s="226">
        <v>43093.188379629632</v>
      </c>
      <c r="F16" s="226">
        <v>43093.196076388886</v>
      </c>
      <c r="G16" s="225">
        <v>79</v>
      </c>
      <c r="H16" s="227" t="s">
        <v>544</v>
      </c>
      <c r="I16" s="226">
        <v>43093.225416666668</v>
      </c>
      <c r="J16" s="225">
        <v>0</v>
      </c>
      <c r="K16" s="237" t="str">
        <f>IF(ISEVEN(B16),(B16-1)&amp;"/"&amp;B16,B16&amp;"/"&amp;(B16+1))</f>
        <v>4005/4006</v>
      </c>
      <c r="L16" s="245" t="str">
        <f>VLOOKUP(A16,'Trips&amp;Operators'!$C$1:$G$99911,5,FALSE)</f>
        <v>MAELZER KURT</v>
      </c>
      <c r="M16" s="224">
        <f>I16-F16</f>
        <v>2.9340277782466728E-2</v>
      </c>
      <c r="N16" s="225">
        <f>24*60*SUM($M16:$M16)</f>
        <v>42.250000006752089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-24T03:31:16-0700',mode:absolute,to:'2017-12-24T06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23.298200000000001</v>
      </c>
      <c r="Z16" s="247">
        <f>RIGHT(H16,LEN(H16)-4)/10000</f>
        <v>1.7000000000000001E-2</v>
      </c>
      <c r="AA16" s="247">
        <f>ABS(Z16-Y16)</f>
        <v>23.281200000000002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/stypes="app*4005*20171224*"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104-24 --locoid 4005 --swversion DE.1.0.9.0 --startMP 204:232982 --initTime 2017-12-24T04:31:16 --startdatetime 2017-12-24T04:42:21 --delay 79 --endMP 204:170 --enddatetime 2017-12-24T05:24:36 --enforcementcount 0 &gt;&gt;%USERPROFILE%\Documents\GitHub\eaglep3-reporting\EC\2017-12-24-refined-times.txt</v>
      </c>
      <c r="AI16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{"issue":{"subject":"","project_id":79,"tracker_id":40,"status_id":1,"priority_id":2,"assigned_to_id":338,"start_date":"2017-12-24","description":"","custom_fields":[{"id":1,"name":"Subdivision","value":"EC"},{"id":4,"name":"Milepost","value":"0.017"},{"id":17,"name":"Train ID","value":"104-24"},{"id":16,"name":"Locomotive ID","value":"4005"},{"id":130,"name":"Impact","value":""},{"id":150,"name":"Time of Event (Mountain Time)","value":"05:24:36"},{"id":151,"name":"Denver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4005 --day 2017-12-24</v>
      </c>
      <c r="AN16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2017-12-24T03:31:16-0700',mode:absolute,to:'2017-12-24T06:24:36-0700'))&amp;_a=(columns:!('Message%20ID',Summary),filters:!(),index:'emp_*',interval:auto,query:(query_string:(analyze_wildcard:!t,query:'%22rtdc.l.rtdc.4005%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722</v>
      </c>
      <c r="B17" s="225">
        <v>4022</v>
      </c>
      <c r="C17" s="227" t="s">
        <v>192</v>
      </c>
      <c r="D17" s="227" t="s">
        <v>625</v>
      </c>
      <c r="E17" s="226">
        <v>43093.171180555553</v>
      </c>
      <c r="F17" s="226">
        <v>43093.177256944444</v>
      </c>
      <c r="G17" s="225">
        <v>93</v>
      </c>
      <c r="H17" s="227" t="s">
        <v>512</v>
      </c>
      <c r="I17" s="226">
        <v>43093.20412037037</v>
      </c>
      <c r="J17" s="225">
        <v>0</v>
      </c>
      <c r="K17" s="237" t="str">
        <f>IF(ISEVEN(B17),(B17-1)&amp;"/"&amp;B17,B17&amp;"/"&amp;(B17+1))</f>
        <v>4021/4022</v>
      </c>
      <c r="L17" s="245" t="str">
        <f>VLOOKUP(A17,'Trips&amp;Operators'!$C$1:$G$99911,5,FALSE)</f>
        <v>LOPES KIMBERLY</v>
      </c>
      <c r="M17" s="224">
        <f>I17-F17</f>
        <v>2.6863425926421769E-2</v>
      </c>
      <c r="N17" s="225">
        <f>24*60*SUM($M17:$M17)</f>
        <v>38.683333334047347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-24T03:06:30-0700',mode:absolute,to:'2017-12-24T05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4.8899999999999999E-2</v>
      </c>
      <c r="Z17" s="247">
        <f>RIGHT(H17,LEN(H17)-4)/10000</f>
        <v>23.325900000000001</v>
      </c>
      <c r="AA17" s="247">
        <f>ABS(Z17-Y17)</f>
        <v>23.277000000000001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/stypes="app*4022*20171224*"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105-24 --locoid 4022 --swversion DE.1.0.9.0 --startMP 204:489 --initTime 2017-12-24T04:06:30 --startdatetime 2017-12-24T04:15:15 --delay 93 --endMP 204:233259 --enddatetime 2017-12-24T04:53:56 --enforcementcount 0 &gt;&gt;%USERPROFILE%\Documents\GitHub\eaglep3-reporting\EC\2017-12-24-refined-times.txt</v>
      </c>
      <c r="AI1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{"issue":{"subject":"","project_id":79,"tracker_id":40,"status_id":1,"priority_id":2,"assigned_to_id":338,"start_date":"2017-12-24","description":"","custom_fields":[{"id":1,"name":"Subdivision","value":"EC"},{"id":4,"name":"Milepost","value":"23.3259"},{"id":17,"name":"Train ID","value":"105-24"},{"id":16,"name":"Locomotive ID","value":"4022"},{"id":130,"name":"Impact","value":""},{"id":150,"name":"Time of Event (Mountain Time)","value":"04:53:56"},{"id":151,"name":"Denver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4022 --day 2017-12-24</v>
      </c>
      <c r="AN1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2017-12-24T03:06:30-0700',mode:absolute,to:'2017-12-24T05:53:56-0700'))&amp;_a=(columns:!('Message%20ID',Summary),filters:!(),index:'emp_*',interval:auto,query:(query_string:(analyze_wildcard:!t,query:'%22rtdc.l.rtdc.4022%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728</v>
      </c>
      <c r="B18" s="225">
        <v>4021</v>
      </c>
      <c r="C18" s="227" t="s">
        <v>192</v>
      </c>
      <c r="D18" s="227" t="s">
        <v>637</v>
      </c>
      <c r="E18" s="226">
        <v>43093.213553240741</v>
      </c>
      <c r="F18" s="226">
        <v>43093.216863425929</v>
      </c>
      <c r="G18" s="225">
        <v>60</v>
      </c>
      <c r="H18" s="227" t="s">
        <v>909</v>
      </c>
      <c r="I18" s="226">
        <v>43093.246805555558</v>
      </c>
      <c r="J18" s="225">
        <v>0</v>
      </c>
      <c r="K18" s="237" t="str">
        <f>IF(ISEVEN(B18),(B18-1)&amp;"/"&amp;B18,B18&amp;"/"&amp;(B18+1))</f>
        <v>4021/4022</v>
      </c>
      <c r="L18" s="245" t="str">
        <f>VLOOKUP(A18,'Trips&amp;Operators'!$C$1:$G$99911,5,FALSE)</f>
        <v>LOPES KIMBERLY</v>
      </c>
      <c r="M18" s="224">
        <f>I18-F18</f>
        <v>2.99421296294895E-2</v>
      </c>
      <c r="N18" s="225">
        <f>24*60*SUM($M18:$M18)</f>
        <v>43.11666666646488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-24T04:07:31-0700',mode:absolute,to:'2017-12-24T06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23.293399999999998</v>
      </c>
      <c r="Z18" s="247">
        <f>RIGHT(H18,LEN(H18)-4)/10000</f>
        <v>2.0899999999999998E-2</v>
      </c>
      <c r="AA18" s="247">
        <f>ABS(Z18-Y18)</f>
        <v>23.272499999999997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/stypes="app*4021*20171224*"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106-24 --locoid 4021 --swversion DE.1.0.9.0 --startMP 204:232934 --initTime 2017-12-24T05:07:31 --startdatetime 2017-12-24T05:12:17 --delay 60 --endMP 204:209 --enddatetime 2017-12-24T05:55:24 --enforcementcount 0 &gt;&gt;%USERPROFILE%\Documents\GitHub\eaglep3-reporting\EC\2017-12-24-refined-times.txt</v>
      </c>
      <c r="AI1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{"issue":{"subject":"","project_id":79,"tracker_id":40,"status_id":1,"priority_id":2,"assigned_to_id":338,"start_date":"2017-12-24","description":"","custom_fields":[{"id":1,"name":"Subdivision","value":"EC"},{"id":4,"name":"Milepost","value":"0.0209"},{"id":17,"name":"Train ID","value":"106-24"},{"id":16,"name":"Locomotive ID","value":"4021"},{"id":130,"name":"Impact","value":""},{"id":150,"name":"Time of Event (Mountain Time)","value":"05:55:24"},{"id":151,"name":"Denver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4021 --day 2017-12-24</v>
      </c>
      <c r="AN1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2017-12-24T04:07:31-0700',mode:absolute,to:'2017-12-24T06:55:24-0700'))&amp;_a=(columns:!('Message%20ID',Summary),filters:!(),index:'emp_*',interval:auto,query:(query_string:(analyze_wildcard:!t,query:'%22rtdc.l.rtdc.4021%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668</v>
      </c>
      <c r="B19" s="225">
        <v>4032</v>
      </c>
      <c r="C19" s="227" t="s">
        <v>192</v>
      </c>
      <c r="D19" s="227" t="s">
        <v>538</v>
      </c>
      <c r="E19" s="226">
        <v>43093.182939814818</v>
      </c>
      <c r="F19" s="226">
        <v>43093.1877662037</v>
      </c>
      <c r="G19" s="225">
        <v>71</v>
      </c>
      <c r="H19" s="227" t="s">
        <v>910</v>
      </c>
      <c r="I19" s="226">
        <v>43093.21465277778</v>
      </c>
      <c r="J19" s="225">
        <v>0</v>
      </c>
      <c r="K19" s="237" t="str">
        <f>IF(ISEVEN(B19),(B19-1)&amp;"/"&amp;B19,B19&amp;"/"&amp;(B19+1))</f>
        <v>4031/4032</v>
      </c>
      <c r="L19" s="245" t="str">
        <f>VLOOKUP(A19,'Trips&amp;Operators'!$C$1:$G$99911,5,FALSE)</f>
        <v>PAGE MARCUS</v>
      </c>
      <c r="M19" s="224">
        <f>I19-F19</f>
        <v>2.6886574079981074E-2</v>
      </c>
      <c r="N19" s="225">
        <f>24*60*SUM($M19:$M19)</f>
        <v>38.716666675172746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-24T03:23:26-0700',mode:absolute,to:'2017-12-24T06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4.82E-2</v>
      </c>
      <c r="Z19" s="247">
        <f>RIGHT(H19,LEN(H19)-4)/10000</f>
        <v>23.3338</v>
      </c>
      <c r="AA19" s="247">
        <f>ABS(Z19-Y19)</f>
        <v>23.285599999999999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 &amp; 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/stypes="app*4032*20171224*"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107-24 --locoid 4032 --swversion DE.1.0.9.0 --startMP 204:482 --initTime 2017-12-24T04:23:26 --startdatetime 2017-12-24T04:30:23 --delay 71 --endMP 204:233338 --enddatetime 2017-12-24T05:09:06 --enforcementcount 0 &gt;&gt;%USERPROFILE%\Documents\GitHub\eaglep3-reporting\EC\2017-12-24-refined-times.txt</v>
      </c>
      <c r="AI1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{"issue":{"subject":"","project_id":79,"tracker_id":40,"status_id":1,"priority_id":2,"assigned_to_id":338,"start_date":"2017-12-24","description":"","custom_fields":[{"id":1,"name":"Subdivision","value":"EC"},{"id":4,"name":"Milepost","value":"23.3338"},{"id":17,"name":"Train ID","value":"107-24"},{"id":16,"name":"Locomotive ID","value":"4032"},{"id":130,"name":"Impact","value":""},{"id":150,"name":"Time of Event (Mountain Time)","value":"05:09:06"},{"id":151,"name":"Denver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4032 --day 2017-12-24</v>
      </c>
      <c r="AN1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2017-12-24T03:23:26-0700',mode:absolute,to:'2017-12-24T06:09:06-0700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729</v>
      </c>
      <c r="B20" s="225">
        <v>4031</v>
      </c>
      <c r="C20" s="227" t="s">
        <v>192</v>
      </c>
      <c r="D20" s="227" t="s">
        <v>615</v>
      </c>
      <c r="E20" s="226">
        <v>43093.215821759259</v>
      </c>
      <c r="F20" s="226">
        <v>43093.227326388886</v>
      </c>
      <c r="G20" s="225">
        <v>61</v>
      </c>
      <c r="H20" s="227" t="s">
        <v>521</v>
      </c>
      <c r="I20" s="226">
        <v>43093.259039351855</v>
      </c>
      <c r="J20" s="225">
        <v>0</v>
      </c>
      <c r="K20" s="237" t="str">
        <f>IF(ISEVEN(B20),(B20-1)&amp;"/"&amp;B20,B20&amp;"/"&amp;(B20+1))</f>
        <v>4031/4032</v>
      </c>
      <c r="L20" s="245" t="str">
        <f>VLOOKUP(A20,'Trips&amp;Operators'!$C$1:$G$99911,5,FALSE)</f>
        <v>PAGE MARCUS</v>
      </c>
      <c r="M20" s="224">
        <f>I20-F20</f>
        <v>3.1712962969322689E-2</v>
      </c>
      <c r="N20" s="225">
        <f>24*60*SUM($M20:$M20)</f>
        <v>45.666666675824672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-24T04:10:47-0700',mode:absolute,to:'2017-12-24T07:13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23.300799999999999</v>
      </c>
      <c r="Z20" s="247">
        <f>RIGHT(H20,LEN(H20)-4)/10000</f>
        <v>1.9400000000000001E-2</v>
      </c>
      <c r="AA20" s="247">
        <f>ABS(Z20-Y20)</f>
        <v>23.281399999999998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 &amp; 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/stypes="app*4031*20171224*"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108-24 --locoid 4031 --swversion DE.1.0.9.0 --startMP 204:233008 --initTime 2017-12-24T05:10:47 --startdatetime 2017-12-24T05:27:21 --delay 61 --endMP 204:194 --enddatetime 2017-12-24T06:13:01 --enforcementcount 0 &gt;&gt;%USERPROFILE%\Documents\GitHub\eaglep3-reporting\EC\2017-12-24-refined-times.txt</v>
      </c>
      <c r="AI20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{"issue":{"subject":"","project_id":79,"tracker_id":40,"status_id":1,"priority_id":2,"assigned_to_id":338,"start_date":"2017-12-24","description":"","custom_fields":[{"id":1,"name":"Subdivision","value":"EC"},{"id":4,"name":"Milepost","value":"0.0194"},{"id":17,"name":"Train ID","value":"108-24"},{"id":16,"name":"Locomotive ID","value":"4031"},{"id":130,"name":"Impact","value":""},{"id":150,"name":"Time of Event (Mountain Time)","value":"06:13:01"},{"id":151,"name":"Denver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4031 --day 2017-12-24</v>
      </c>
      <c r="AN20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13:13:01"},{"id":29,"name":"Sharepoint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2017-12-24T04:10:47-0700',mode:absolute,to:'2017-12-24T07:13:01-0700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727</v>
      </c>
      <c r="B21" s="225">
        <v>4062</v>
      </c>
      <c r="C21" s="227" t="s">
        <v>192</v>
      </c>
      <c r="D21" s="227" t="s">
        <v>615</v>
      </c>
      <c r="E21" s="226">
        <v>43093.215821759259</v>
      </c>
      <c r="F21" s="226">
        <v>43093.199571759258</v>
      </c>
      <c r="G21" s="225">
        <v>61</v>
      </c>
      <c r="H21" s="227" t="s">
        <v>521</v>
      </c>
      <c r="I21" s="226">
        <v>43093.231886574074</v>
      </c>
      <c r="J21" s="225">
        <v>0</v>
      </c>
      <c r="K21" s="237" t="str">
        <f>IF(ISEVEN(B21),(B21-1)&amp;"/"&amp;B21,B21&amp;"/"&amp;(B21+1))</f>
        <v>4061/4062</v>
      </c>
      <c r="L21" s="245" t="str">
        <f>VLOOKUP(A21,'Trips&amp;Operators'!$C$1:$G$99911,5,FALSE)</f>
        <v>LANGERAK WILLIAM</v>
      </c>
      <c r="M21" s="224">
        <f>I21-F21</f>
        <v>3.2314814816345461E-2</v>
      </c>
      <c r="N21" s="225">
        <f>24*60*SUM($M21:$M21)</f>
        <v>46.533333335537463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-24T04:10:47-0700',mode:absolute,to:'2017-12-24T06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v>8.0100000000000005E-2</v>
      </c>
      <c r="Z21" s="247">
        <v>23.341799999999999</v>
      </c>
      <c r="AA21" s="247">
        <f>ABS(Z21-Y21)</f>
        <v>23.261699999999998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/stypes="app*4062*20171224*"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ref="AH21" si="10"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"&amp;J21&amp;IF(outputrefinedruntimes," &gt;&gt;"&amp;RefinedRTDCRunTimesOutputFile,"")</f>
        <v>"%USERPROFILE%\Documents\GitHub\eaglep3\Utilities\RefineRTDCRunTimes.py" --tripid 109-24 --locoid 4062 --swversion DE.1.0.9.0 --startMP 204:233008 --initTime 2017-12-24T05:10:47 --startdatetime 2017-12-24T04:47:23 --delay 61 --endMP 204:194 --enddatetime 2017-12-24T05:33:55 --enforcementcount 0 &gt;&gt;%USERPROFILE%\Documents\GitHub\eaglep3-reporting\EC\2017-12-24-refined-times.txt</v>
      </c>
      <c r="AI21" s="238" t="str">
        <f t="shared" ref="AI21" si="11"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Z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{"issue":{"subject":"","project_id":79,"tracker_id":40,"status_id":1,"priority_id":2,"assigned_to_id":338,"start_date":"2017-12-24","description":"","custom_fields":[{"id":1,"name":"Subdivision","value":"EC"},{"id":4,"name":"Milepost","value":"23.3418"},{"id":17,"name":"Train ID","value":"109-24"},{"id":16,"name":"Locomotive ID","value":"4062"},{"id":130,"name":"Impact","value":""},{"id":150,"name":"Time of Event (Mountain Time)","value":"05:33:55"},{"id":151,"name":"Denver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ref="AM21" si="12">"start /low /b "&amp;dls3logs&amp;" --loco "&amp;B21&amp;" --day "&amp;TEXT(F21,"YYYY-MM-DD")</f>
        <v>start /low /b %USERPROFILE%\Documents\GitHub\eaglep3\Utilities\DownloadLogsFromS3.py --loco 4062 --day 2017-12-24</v>
      </c>
      <c r="AN21" s="241" t="str">
        <f t="shared" ref="AN21" si="13">"echo {""issue"":{""subject"":"""&amp;R21&amp;""",""project_id"":30,""tracker_id"":4,""status_id"":"&amp;redmine_status_wcr&amp;",""priority_id"":"&amp;redmine_priority_wcr&amp;",""assigned_to_id"":"&amp;redmine_assignee_wcr&amp;",""start_date"":"""&amp;TEXT(I21-utc_offset/24,"YYYY-mm-dd")&amp;""",""description"":"""&amp;AJ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ref="AO21" si="14"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Message%20ID',Summary),filters:!(),index:'emp_*',interval:auto,query:"&amp;"(query_string:(analyze_wildcard:!t,query:'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-24T04:10:47-0700',mode:absolute,to:'2017-12-24T06:33:55-0700'))&amp;_a=(columns:!('Message%20ID',Summary),filters:!(),index:'emp_*',interval:auto,query:(query_string:(analyze_wildcard:!t,query:'%22rtdc.l.rtdc.4062%22')),sort:!(Time.ISO8601,asc))</v>
      </c>
      <c r="AP21" s="223"/>
      <c r="AQ21" s="223"/>
      <c r="AR21" s="223"/>
      <c r="AS21" s="223"/>
      <c r="AT21" s="223"/>
      <c r="AU21" s="223"/>
      <c r="AV21" s="223"/>
      <c r="AW21" s="223"/>
      <c r="AX21" s="223"/>
      <c r="AY21" s="223"/>
      <c r="AZ21" s="223"/>
      <c r="BA21" s="223"/>
      <c r="BB21" s="223"/>
      <c r="BC21" s="223"/>
      <c r="BD21" s="223"/>
      <c r="BE21" s="223"/>
      <c r="BF21" s="223"/>
      <c r="BG21" s="223"/>
      <c r="BH21" s="223"/>
      <c r="BI21" s="223"/>
      <c r="BJ21" s="223"/>
      <c r="BK21" s="223"/>
      <c r="BL21" s="223"/>
      <c r="BM21" s="223"/>
      <c r="BN21" s="223"/>
      <c r="BO21" s="223"/>
      <c r="BP21" s="223"/>
      <c r="BQ21" s="223"/>
      <c r="BR21" s="223"/>
      <c r="BS21" s="223"/>
      <c r="BT21" s="223"/>
      <c r="BU21" s="223"/>
      <c r="BV21" s="223"/>
      <c r="BW21" s="223"/>
      <c r="BX21" s="223"/>
      <c r="BY21" s="223"/>
      <c r="BZ21" s="223"/>
      <c r="CA21" s="223"/>
      <c r="CB21" s="223"/>
      <c r="CC21" s="223"/>
      <c r="CD21" s="223"/>
      <c r="CE21" s="223"/>
      <c r="CF21" s="223"/>
      <c r="CG21" s="223"/>
      <c r="CH21" s="223"/>
      <c r="CI21" s="223"/>
      <c r="CJ21" s="223"/>
      <c r="CK21" s="223"/>
      <c r="CL21" s="223"/>
      <c r="CM21" s="223"/>
    </row>
    <row r="22" spans="1:91" s="1" customFormat="1" x14ac:dyDescent="0.3">
      <c r="A22" s="229" t="s">
        <v>735</v>
      </c>
      <c r="B22" s="225">
        <v>4061</v>
      </c>
      <c r="C22" s="227" t="s">
        <v>192</v>
      </c>
      <c r="D22" s="227" t="s">
        <v>911</v>
      </c>
      <c r="E22" s="226">
        <v>43093.237800925926</v>
      </c>
      <c r="F22" s="226">
        <v>43093.239606481482</v>
      </c>
      <c r="G22" s="225">
        <v>54</v>
      </c>
      <c r="H22" s="227" t="s">
        <v>912</v>
      </c>
      <c r="I22" s="226">
        <v>43093.273865740739</v>
      </c>
      <c r="J22" s="225">
        <v>0</v>
      </c>
      <c r="K22" s="237" t="str">
        <f>IF(ISEVEN(B22),(B22-1)&amp;"/"&amp;B22,B22&amp;"/"&amp;(B22+1))</f>
        <v>4061/4062</v>
      </c>
      <c r="L22" s="245" t="str">
        <f>VLOOKUP(A22,'Trips&amp;Operators'!$C$1:$G$99911,5,FALSE)</f>
        <v>LANGERAK WILLIAM</v>
      </c>
      <c r="M22" s="224">
        <f>I22-F22</f>
        <v>3.4259259256941732E-2</v>
      </c>
      <c r="N22" s="225">
        <f>24*60*SUM($M22:$M22)</f>
        <v>49.333333329996094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-24T04:42:26-0700',mode:absolute,to:'2017-12-24T07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23.291899999999998</v>
      </c>
      <c r="Z22" s="247">
        <f>RIGHT(H22,LEN(H22)-4)/10000</f>
        <v>2.5999999999999999E-2</v>
      </c>
      <c r="AA22" s="247">
        <f>ABS(Z22-Y22)</f>
        <v>23.265899999999998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/stypes="app*4061*20171224*"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110-24 --locoid 4061 --swversion DE.1.0.9.0 --startMP 204:232919 --initTime 2017-12-24T05:42:26 --startdatetime 2017-12-24T05:45:02 --delay 54 --endMP 204:260 --enddatetime 2017-12-24T06:34:22 --enforcementcount 0 &gt;&gt;%USERPROFILE%\Documents\GitHub\eaglep3-reporting\EC\2017-12-24-refined-times.txt</v>
      </c>
      <c r="AI22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{"issue":{"subject":"","project_id":79,"tracker_id":40,"status_id":1,"priority_id":2,"assigned_to_id":338,"start_date":"2017-12-24","description":"","custom_fields":[{"id":1,"name":"Subdivision","value":"EC"},{"id":4,"name":"Milepost","value":"0.026"},{"id":17,"name":"Train ID","value":"110-24"},{"id":16,"name":"Locomotive ID","value":"4061"},{"id":130,"name":"Impact","value":""},{"id":150,"name":"Time of Event (Mountain Time)","value":"06:34:22"},{"id":151,"name":"Denver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4061 --day 2017-12-24</v>
      </c>
      <c r="AN22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2017-12-24T04:42:26-0700',mode:absolute,to:'2017-12-24T07:34:22-0700'))&amp;_a=(columns:!('Message%20ID',Summary),filters:!(),index:'emp_*',interval:auto,query:(query_string:(analyze_wildcard:!t,query:'%22rtdc.l.rtdc.4061%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669</v>
      </c>
      <c r="B23" s="225">
        <v>4044</v>
      </c>
      <c r="C23" s="227" t="s">
        <v>192</v>
      </c>
      <c r="D23" s="227" t="s">
        <v>561</v>
      </c>
      <c r="E23" s="226">
        <v>43093.208437499998</v>
      </c>
      <c r="F23" s="226">
        <v>43093.210335648146</v>
      </c>
      <c r="G23" s="225">
        <v>83</v>
      </c>
      <c r="H23" s="227" t="s">
        <v>913</v>
      </c>
      <c r="I23" s="226">
        <v>43093.238657407404</v>
      </c>
      <c r="J23" s="225">
        <v>0</v>
      </c>
      <c r="K23" s="237" t="str">
        <f>IF(ISEVEN(B23),(B23-1)&amp;"/"&amp;B23,B23&amp;"/"&amp;(B23+1))</f>
        <v>4043/4044</v>
      </c>
      <c r="L23" s="245" t="str">
        <f>VLOOKUP(A23,'Trips&amp;Operators'!$C$1:$G$99911,5,FALSE)</f>
        <v>THOMPSON LESTER</v>
      </c>
      <c r="M23" s="224">
        <f>I23-F23</f>
        <v>2.8321759258687962E-2</v>
      </c>
      <c r="N23" s="225">
        <f>24*60*SUM($M23:$M23)</f>
        <v>40.783333332510665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-24T04:00:09-0700',mode:absolute,to:'2017-12-24T06:43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5.2200000000000003E-2</v>
      </c>
      <c r="Z23" s="247">
        <f>RIGHT(H23,LEN(H23)-4)/10000</f>
        <v>23.330200000000001</v>
      </c>
      <c r="AA23" s="247">
        <f>ABS(Z23-Y23)</f>
        <v>23.278000000000002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/stypes="app*4044*20171224*"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111-24 --locoid 4044 --swversion DE.1.0.9.0 --startMP 204:522 --initTime 2017-12-24T05:00:09 --startdatetime 2017-12-24T05:02:53 --delay 83 --endMP 204:233302 --enddatetime 2017-12-24T05:43:40 --enforcementcount 0 &gt;&gt;%USERPROFILE%\Documents\GitHub\eaglep3-reporting\EC\2017-12-24-refined-times.txt</v>
      </c>
      <c r="AI23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{"issue":{"subject":"","project_id":79,"tracker_id":40,"status_id":1,"priority_id":2,"assigned_to_id":338,"start_date":"2017-12-24","description":"","custom_fields":[{"id":1,"name":"Subdivision","value":"EC"},{"id":4,"name":"Milepost","value":"23.3302"},{"id":17,"name":"Train ID","value":"111-24"},{"id":16,"name":"Locomotive ID","value":"4044"},{"id":130,"name":"Impact","value":""},{"id":150,"name":"Time of Event (Mountain Time)","value":"05:43:40"},{"id":151,"name":"Denver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4044 --day 2017-12-24</v>
      </c>
      <c r="AN23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12:43:40"},{"id":29,"name":"Sharepoint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2017-12-24T04:00:09-0700',mode:absolute,to:'2017-12-24T06:43:40-0700'))&amp;_a=(columns:!('Message%20ID',Summary),filters:!(),index:'emp_*',interval:auto,query:(query_string:(analyze_wildcard:!t,query:'%22rtdc.l.rtdc.4044%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738</v>
      </c>
      <c r="B24" s="225">
        <v>4043</v>
      </c>
      <c r="C24" s="227" t="s">
        <v>192</v>
      </c>
      <c r="D24" s="227" t="s">
        <v>914</v>
      </c>
      <c r="E24" s="226">
        <v>43093.246435185189</v>
      </c>
      <c r="F24" s="226">
        <v>43093.248240740744</v>
      </c>
      <c r="G24" s="225">
        <v>83</v>
      </c>
      <c r="H24" s="227" t="s">
        <v>543</v>
      </c>
      <c r="I24" s="226">
        <v>43093.280231481483</v>
      </c>
      <c r="J24" s="225">
        <v>0</v>
      </c>
      <c r="K24" s="237" t="str">
        <f>IF(ISEVEN(B24),(B24-1)&amp;"/"&amp;B24,B24&amp;"/"&amp;(B24+1))</f>
        <v>4043/4044</v>
      </c>
      <c r="L24" s="245" t="str">
        <f>VLOOKUP(A24,'Trips&amp;Operators'!$C$1:$G$99911,5,FALSE)</f>
        <v>THOMPSON LESTER</v>
      </c>
      <c r="M24" s="224">
        <f>I24-F24</f>
        <v>3.199074073927477E-2</v>
      </c>
      <c r="N24" s="225">
        <f>24*60*SUM($M24:$M24)</f>
        <v>46.066666664555669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-24T04:54:52-0700',mode:absolute,to:'2017-12-24T07:43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23.299099999999999</v>
      </c>
      <c r="Z24" s="247">
        <f>RIGHT(H24,LEN(H24)-4)/10000</f>
        <v>1.6E-2</v>
      </c>
      <c r="AA24" s="247">
        <f>ABS(Z24-Y24)</f>
        <v>23.283100000000001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/stypes="app*4043*20171224*"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112-24 --locoid 4043 --swversion DE.1.0.9.0 --startMP 204:232991 --initTime 2017-12-24T05:54:52 --startdatetime 2017-12-24T05:57:28 --delay 83 --endMP 204:160 --enddatetime 2017-12-24T06:43:32 --enforcementcount 0 &gt;&gt;%USERPROFILE%\Documents\GitHub\eaglep3-reporting\EC\2017-12-24-refined-times.txt</v>
      </c>
      <c r="AI24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{"issue":{"subject":"","project_id":79,"tracker_id":40,"status_id":1,"priority_id":2,"assigned_to_id":338,"start_date":"2017-12-24","description":"","custom_fields":[{"id":1,"name":"Subdivision","value":"EC"},{"id":4,"name":"Milepost","value":"0.016"},{"id":17,"name":"Train ID","value":"112-24"},{"id":16,"name":"Locomotive ID","value":"4043"},{"id":130,"name":"Impact","value":""},{"id":150,"name":"Time of Event (Mountain Time)","value":"06:43:32"},{"id":151,"name":"Denver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4043 --day 2017-12-24</v>
      </c>
      <c r="AN24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13:43:32"},{"id":29,"name":"Sharepoint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2017-12-24T04:54:52-0700',mode:absolute,to:'2017-12-24T07:43:32-0700'))&amp;_a=(columns:!('Message%20ID',Summary),filters:!(),index:'emp_*',interval:auto,query:(query_string:(analyze_wildcard:!t,query:'%22rtdc.l.rtdc.4043%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730</v>
      </c>
      <c r="B25" s="225">
        <v>4014</v>
      </c>
      <c r="C25" s="227" t="s">
        <v>192</v>
      </c>
      <c r="D25" s="227" t="s">
        <v>519</v>
      </c>
      <c r="E25" s="226">
        <v>43093.215729166666</v>
      </c>
      <c r="F25" s="226">
        <v>43093.219039351854</v>
      </c>
      <c r="G25" s="225">
        <v>124</v>
      </c>
      <c r="H25" s="227" t="s">
        <v>915</v>
      </c>
      <c r="I25" s="226">
        <v>43093.248865740738</v>
      </c>
      <c r="J25" s="225">
        <v>0</v>
      </c>
      <c r="K25" s="237" t="str">
        <f>IF(ISEVEN(B25),(B25-1)&amp;"/"&amp;B25,B25&amp;"/"&amp;(B25+1))</f>
        <v>4013/4014</v>
      </c>
      <c r="L25" s="245" t="str">
        <f>VLOOKUP(A25,'Trips&amp;Operators'!$C$1:$G$99911,5,FALSE)</f>
        <v>WILLIAMS DONTE</v>
      </c>
      <c r="M25" s="224">
        <f>I25-F25</f>
        <v>2.9826388883520849E-2</v>
      </c>
      <c r="N25" s="225">
        <f>24*60*SUM($M25:$M25)</f>
        <v>42.949999992270023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-24T04:10:39-0700',mode:absolute,to:'2017-12-24T06:58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4.6600000000000003E-2</v>
      </c>
      <c r="Z25" s="247">
        <f>RIGHT(H25,LEN(H25)-4)/10000</f>
        <v>23.3216</v>
      </c>
      <c r="AA25" s="247">
        <f>ABS(Z25-Y25)</f>
        <v>23.274999999999999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/stypes="app*4014*20171224*"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113-24 --locoid 4014 --swversion DE.1.0.9.0 --startMP 204:466 --initTime 2017-12-24T05:10:39 --startdatetime 2017-12-24T05:15:25 --delay 124 --endMP 204:233216 --enddatetime 2017-12-24T05:58:22 --enforcementcount 0 &gt;&gt;%USERPROFILE%\Documents\GitHub\eaglep3-reporting\EC\2017-12-24-refined-times.txt</v>
      </c>
      <c r="AI25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{"issue":{"subject":"","project_id":79,"tracker_id":40,"status_id":1,"priority_id":2,"assigned_to_id":338,"start_date":"2017-12-24","description":"","custom_fields":[{"id":1,"name":"Subdivision","value":"EC"},{"id":4,"name":"Milepost","value":"23.3216"},{"id":17,"name":"Train ID","value":"113-24"},{"id":16,"name":"Locomotive ID","value":"4014"},{"id":130,"name":"Impact","value":""},{"id":150,"name":"Time of Event (Mountain Time)","value":"05:58:22"},{"id":151,"name":"Denver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4014 --day 2017-12-24</v>
      </c>
      <c r="AN25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12:58:22"},{"id":29,"name":"Sharepoint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2017-12-24T04:10:39-0700',mode:absolute,to:'2017-12-24T06:58:22-0700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740</v>
      </c>
      <c r="B26" s="225">
        <v>4013</v>
      </c>
      <c r="C26" s="227" t="s">
        <v>192</v>
      </c>
      <c r="D26" s="227" t="s">
        <v>916</v>
      </c>
      <c r="E26" s="226">
        <v>43093.25304398148</v>
      </c>
      <c r="F26" s="226">
        <v>43093.258622685185</v>
      </c>
      <c r="G26" s="225">
        <v>79</v>
      </c>
      <c r="H26" s="227" t="s">
        <v>466</v>
      </c>
      <c r="I26" s="226">
        <v>43093.290856481479</v>
      </c>
      <c r="J26" s="225">
        <v>0</v>
      </c>
      <c r="K26" s="237" t="str">
        <f>IF(ISEVEN(B26),(B26-1)&amp;"/"&amp;B26,B26&amp;"/"&amp;(B26+1))</f>
        <v>4013/4014</v>
      </c>
      <c r="L26" s="245" t="str">
        <f>VLOOKUP(A26,'Trips&amp;Operators'!$C$1:$G$99911,5,FALSE)</f>
        <v>WILLIAMS DONTE</v>
      </c>
      <c r="M26" s="224">
        <f>I26-F26</f>
        <v>3.2233796293439809E-2</v>
      </c>
      <c r="N26" s="225">
        <f>24*60*SUM($M26:$M26)</f>
        <v>46.416666662553325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-24T05:04:23-0700',mode:absolute,to:'2017-12-24T07:58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23.2927</v>
      </c>
      <c r="Z26" s="247">
        <f>RIGHT(H26,LEN(H26)-4)/10000</f>
        <v>2.1100000000000001E-2</v>
      </c>
      <c r="AA26" s="247">
        <f>ABS(Z26-Y26)</f>
        <v>23.271599999999999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/stypes="app*4013*20171224*"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114-24 --locoid 4013 --swversion DE.1.0.9.0 --startMP 204:232927 --initTime 2017-12-24T06:04:23 --startdatetime 2017-12-24T06:12:25 --delay 79 --endMP 204:211 --enddatetime 2017-12-24T06:58:50 --enforcementcount 0 &gt;&gt;%USERPROFILE%\Documents\GitHub\eaglep3-reporting\EC\2017-12-24-refined-times.txt</v>
      </c>
      <c r="AI26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{"issue":{"subject":"","project_id":79,"tracker_id":40,"status_id":1,"priority_id":2,"assigned_to_id":338,"start_date":"2017-12-24","description":"","custom_fields":[{"id":1,"name":"Subdivision","value":"EC"},{"id":4,"name":"Milepost","value":"0.0211"},{"id":17,"name":"Train ID","value":"114-24"},{"id":16,"name":"Locomotive ID","value":"4013"},{"id":130,"name":"Impact","value":""},{"id":150,"name":"Time of Event (Mountain Time)","value":"06:58:50"},{"id":151,"name":"Denver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4013 --day 2017-12-24</v>
      </c>
      <c r="AN26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13:58:50"},{"id":29,"name":"Sharepoint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2017-12-24T05:04:23-0700',mode:absolute,to:'2017-12-24T07:58:50-0700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670</v>
      </c>
      <c r="B27" s="225">
        <v>4006</v>
      </c>
      <c r="C27" s="227" t="s">
        <v>192</v>
      </c>
      <c r="D27" s="227" t="s">
        <v>917</v>
      </c>
      <c r="E27" s="226">
        <v>43093.226840277777</v>
      </c>
      <c r="F27" s="226">
        <v>43093.230138888888</v>
      </c>
      <c r="G27" s="225">
        <v>75</v>
      </c>
      <c r="H27" s="227" t="s">
        <v>567</v>
      </c>
      <c r="I27" s="226">
        <v>43093.257280092592</v>
      </c>
      <c r="J27" s="225">
        <v>0</v>
      </c>
      <c r="K27" s="237" t="str">
        <f>IF(ISEVEN(B27),(B27-1)&amp;"/"&amp;B27,B27&amp;"/"&amp;(B27+1))</f>
        <v>4005/4006</v>
      </c>
      <c r="L27" s="245" t="str">
        <f>VLOOKUP(A27,'Trips&amp;Operators'!$C$1:$G$99911,5,FALSE)</f>
        <v>MAELZER KURT</v>
      </c>
      <c r="M27" s="224">
        <f>I27-F27</f>
        <v>2.7141203703649808E-2</v>
      </c>
      <c r="N27" s="225">
        <f>24*60*SUM($M27:$M27)</f>
        <v>39.083333333255723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-24T04:26:39-0700',mode:absolute,to:'2017-12-24T07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0.22070000000000001</v>
      </c>
      <c r="Z27" s="247">
        <f>RIGHT(H27,LEN(H27)-4)/10000</f>
        <v>23.3291</v>
      </c>
      <c r="AA27" s="247">
        <f>ABS(Z27-Y27)</f>
        <v>23.1084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/stypes="app*4006*20171224*"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115-24 --locoid 4006 --swversion DE.1.0.9.0 --startMP 204:2207 --initTime 2017-12-24T05:26:39 --startdatetime 2017-12-24T05:31:24 --delay 75 --endMP 204:233291 --enddatetime 2017-12-24T06:10:29 --enforcementcount 0 &gt;&gt;%USERPROFILE%\Documents\GitHub\eaglep3-reporting\EC\2017-12-24-refined-times.txt</v>
      </c>
      <c r="AI2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{"issue":{"subject":"","project_id":79,"tracker_id":40,"status_id":1,"priority_id":2,"assigned_to_id":338,"start_date":"2017-12-24","description":"","custom_fields":[{"id":1,"name":"Subdivision","value":"EC"},{"id":4,"name":"Milepost","value":"23.3291"},{"id":17,"name":"Train ID","value":"115-24"},{"id":16,"name":"Locomotive ID","value":"4006"},{"id":130,"name":"Impact","value":""},{"id":150,"name":"Time of Event (Mountain Time)","value":"06:10:29"},{"id":151,"name":"Denver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4006 --day 2017-12-24</v>
      </c>
      <c r="AN2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2017-12-24T04:26:39-0700',mode:absolute,to:'2017-12-24T07:10:29-0700'))&amp;_a=(columns:!('Message%20ID',Summary),filters:!(),index:'emp_*',interval:auto,query:(query_string:(analyze_wildcard:!t,query:'%22rtdc.l.rtdc.4006%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743</v>
      </c>
      <c r="B28" s="225">
        <v>4005</v>
      </c>
      <c r="C28" s="227" t="s">
        <v>192</v>
      </c>
      <c r="D28" s="227" t="s">
        <v>555</v>
      </c>
      <c r="E28" s="226">
        <v>43093.266412037039</v>
      </c>
      <c r="F28" s="226">
        <v>43093.269050925926</v>
      </c>
      <c r="G28" s="225">
        <v>54</v>
      </c>
      <c r="H28" s="227" t="s">
        <v>564</v>
      </c>
      <c r="I28" s="226">
        <v>43093.297881944447</v>
      </c>
      <c r="J28" s="225">
        <v>0</v>
      </c>
      <c r="K28" s="237" t="str">
        <f>IF(ISEVEN(B28),(B28-1)&amp;"/"&amp;B28,B28&amp;"/"&amp;(B28+1))</f>
        <v>4005/4006</v>
      </c>
      <c r="L28" s="245" t="str">
        <f>VLOOKUP(A28,'Trips&amp;Operators'!$C$1:$G$99911,5,FALSE)</f>
        <v>MAELZER KURT</v>
      </c>
      <c r="M28" s="224">
        <f>I28-F28</f>
        <v>2.8831018520577345E-2</v>
      </c>
      <c r="N28" s="225">
        <f>24*60*SUM($M28:$M28)</f>
        <v>41.516666669631377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-24T05:23:38-0700',mode:absolute,to:'2017-12-24T08:08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23.299600000000002</v>
      </c>
      <c r="Z28" s="247">
        <f>RIGHT(H28,LEN(H28)-4)/10000</f>
        <v>0.02</v>
      </c>
      <c r="AA28" s="247">
        <f>ABS(Z28-Y28)</f>
        <v>23.279600000000002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/stypes="app*4005*20171224*"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116-24 --locoid 4005 --swversion DE.1.0.9.0 --startMP 204:232996 --initTime 2017-12-24T06:23:38 --startdatetime 2017-12-24T06:27:26 --delay 54 --endMP 204:200 --enddatetime 2017-12-24T07:08:57 --enforcementcount 0 &gt;&gt;%USERPROFILE%\Documents\GitHub\eaglep3-reporting\EC\2017-12-24-refined-times.txt</v>
      </c>
      <c r="AI2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{"issue":{"subject":"","project_id":79,"tracker_id":40,"status_id":1,"priority_id":2,"assigned_to_id":338,"start_date":"2017-12-24","description":"","custom_fields":[{"id":1,"name":"Subdivision","value":"EC"},{"id":4,"name":"Milepost","value":"0.02"},{"id":17,"name":"Train ID","value":"116-24"},{"id":16,"name":"Locomotive ID","value":"4005"},{"id":130,"name":"Impact","value":""},{"id":150,"name":"Time of Event (Mountain Time)","value":"07:08:57"},{"id":151,"name":"Denver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4005 --day 2017-12-24</v>
      </c>
      <c r="AN2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14:08:57"},{"id":29,"name":"Sharepoint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2017-12-24T05:23:38-0700',mode:absolute,to:'2017-12-24T08:08:57-0700'))&amp;_a=(columns:!('Message%20ID',Summary),filters:!(),index:'emp_*',interval:auto,query:(query_string:(analyze_wildcard:!t,query:'%22rtdc.l.rtdc.4005%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737</v>
      </c>
      <c r="B29" s="225">
        <v>4050</v>
      </c>
      <c r="C29" s="227" t="s">
        <v>192</v>
      </c>
      <c r="D29" s="227" t="s">
        <v>918</v>
      </c>
      <c r="E29" s="226">
        <v>43093.23709490741</v>
      </c>
      <c r="F29" s="226">
        <v>43093.239803240744</v>
      </c>
      <c r="G29" s="225">
        <v>78</v>
      </c>
      <c r="H29" s="227" t="s">
        <v>919</v>
      </c>
      <c r="I29" s="226">
        <v>43093.267222222225</v>
      </c>
      <c r="J29" s="225">
        <v>0</v>
      </c>
      <c r="K29" s="237" t="str">
        <f>IF(ISEVEN(B29),(B29-1)&amp;"/"&amp;B29,B29&amp;"/"&amp;(B29+1))</f>
        <v>4049/4050</v>
      </c>
      <c r="L29" s="245" t="str">
        <f>VLOOKUP(A29,'Trips&amp;Operators'!$C$1:$G$99911,5,FALSE)</f>
        <v>LAMAR NEKESHA</v>
      </c>
      <c r="M29" s="224">
        <f>I29-F29</f>
        <v>2.7418981480877846E-2</v>
      </c>
      <c r="N29" s="225">
        <f>24*60*SUM($M29:$M29)</f>
        <v>39.483333332464099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-24T04:41:25-0700',mode:absolute,to:'2017-12-24T07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4.8000000000000001E-2</v>
      </c>
      <c r="Z29" s="247">
        <f>RIGHT(H29,LEN(H29)-4)/10000</f>
        <v>23.328900000000001</v>
      </c>
      <c r="AA29" s="247">
        <f>ABS(Z29-Y29)</f>
        <v>23.280900000000003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/stypes="app*4050*20171224*"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117-24 --locoid 4050 --swversion DE.1.0.9.0 --startMP 204:480 --initTime 2017-12-24T05:41:25 --startdatetime 2017-12-24T05:45:19 --delay 78 --endMP 204:233289 --enddatetime 2017-12-24T06:24:48 --enforcementcount 0 &gt;&gt;%USERPROFILE%\Documents\GitHub\eaglep3-reporting\EC\2017-12-24-refined-times.txt</v>
      </c>
      <c r="AI2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{"issue":{"subject":"","project_id":79,"tracker_id":40,"status_id":1,"priority_id":2,"assigned_to_id":338,"start_date":"2017-12-24","description":"","custom_fields":[{"id":1,"name":"Subdivision","value":"EC"},{"id":4,"name":"Milepost","value":"23.3289"},{"id":17,"name":"Train ID","value":"117-24"},{"id":16,"name":"Locomotive ID","value":"4050"},{"id":130,"name":"Impact","value":""},{"id":150,"name":"Time of Event (Mountain Time)","value":"06:24:48"},{"id":151,"name":"Denver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4050 --day 2017-12-24</v>
      </c>
      <c r="AN2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2017-12-24T04:41:25-0700',mode:absolute,to:'2017-12-24T07:24:48-0700'))&amp;_a=(columns:!('Message%20ID',Summary),filters:!(),index:'emp_*',interval:auto,query:(query_string:(analyze_wildcard:!t,query:'%22rtdc.l.rtdc.4050%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747</v>
      </c>
      <c r="B30" s="225">
        <v>4049</v>
      </c>
      <c r="C30" s="227" t="s">
        <v>192</v>
      </c>
      <c r="D30" s="227" t="s">
        <v>518</v>
      </c>
      <c r="E30" s="226">
        <v>43093.278622685182</v>
      </c>
      <c r="F30" s="226">
        <v>43093.279918981483</v>
      </c>
      <c r="G30" s="225">
        <v>61</v>
      </c>
      <c r="H30" s="227" t="s">
        <v>466</v>
      </c>
      <c r="I30" s="226">
        <v>43093.311180555553</v>
      </c>
      <c r="J30" s="225">
        <v>0</v>
      </c>
      <c r="K30" s="237" t="str">
        <f>IF(ISEVEN(B30),(B30-1)&amp;"/"&amp;B30,B30&amp;"/"&amp;(B30+1))</f>
        <v>4049/4050</v>
      </c>
      <c r="L30" s="245" t="str">
        <f>VLOOKUP(A30,'Trips&amp;Operators'!$C$1:$G$99911,5,FALSE)</f>
        <v>LAMAR NEKESHA</v>
      </c>
      <c r="M30" s="224">
        <f>I30-F30</f>
        <v>3.1261574069503695E-2</v>
      </c>
      <c r="N30" s="225">
        <f>24*60*SUM($M30:$M30)</f>
        <v>45.01666666008532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-24T05:41:13-0700',mode:absolute,to:'2017-12-24T08:28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23.297799999999999</v>
      </c>
      <c r="Z30" s="247">
        <f>RIGHT(H30,LEN(H30)-4)/10000</f>
        <v>2.1100000000000001E-2</v>
      </c>
      <c r="AA30" s="247">
        <f>ABS(Z30-Y30)</f>
        <v>23.276699999999998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/stypes="app*4049*20171224*"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118-24 --locoid 4049 --swversion DE.1.0.9.0 --startMP 204:232978 --initTime 2017-12-24T06:41:13 --startdatetime 2017-12-24T06:43:05 --delay 61 --endMP 204:211 --enddatetime 2017-12-24T07:28:06 --enforcementcount 0 &gt;&gt;%USERPROFILE%\Documents\GitHub\eaglep3-reporting\EC\2017-12-24-refined-times.txt</v>
      </c>
      <c r="AI30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{"issue":{"subject":"","project_id":79,"tracker_id":40,"status_id":1,"priority_id":2,"assigned_to_id":338,"start_date":"2017-12-24","description":"","custom_fields":[{"id":1,"name":"Subdivision","value":"EC"},{"id":4,"name":"Milepost","value":"0.0211"},{"id":17,"name":"Train ID","value":"118-24"},{"id":16,"name":"Locomotive ID","value":"4049"},{"id":130,"name":"Impact","value":""},{"id":150,"name":"Time of Event (Mountain Time)","value":"07:28:06"},{"id":151,"name":"Denver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4049 --day 2017-12-24</v>
      </c>
      <c r="AN30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14:28:06"},{"id":29,"name":"Sharepoint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2017-12-24T05:41:13-0700',mode:absolute,to:'2017-12-24T08:28:06-0700'))&amp;_a=(columns:!('Message%20ID',Summary),filters:!(),index:'emp_*',interval:auto,query:(query_string:(analyze_wildcard:!t,query:'%22rtdc.l.rtdc.4049%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739</v>
      </c>
      <c r="B31" s="225">
        <v>4022</v>
      </c>
      <c r="C31" s="227" t="s">
        <v>192</v>
      </c>
      <c r="D31" s="227" t="s">
        <v>617</v>
      </c>
      <c r="E31" s="226">
        <v>43093.247858796298</v>
      </c>
      <c r="F31" s="226">
        <v>43093.250173611108</v>
      </c>
      <c r="G31" s="225">
        <v>77</v>
      </c>
      <c r="H31" s="227" t="s">
        <v>920</v>
      </c>
      <c r="I31" s="226">
        <v>43093.27615740741</v>
      </c>
      <c r="J31" s="225">
        <v>0</v>
      </c>
      <c r="K31" s="237" t="str">
        <f>IF(ISEVEN(B31),(B31-1)&amp;"/"&amp;B31,B31&amp;"/"&amp;(B31+1))</f>
        <v>4021/4022</v>
      </c>
      <c r="L31" s="245" t="str">
        <f>VLOOKUP(A31,'Trips&amp;Operators'!$C$1:$G$99911,5,FALSE)</f>
        <v>LOPES KIMBERLY</v>
      </c>
      <c r="M31" s="224">
        <f>I31-F31</f>
        <v>2.5983796302170958E-2</v>
      </c>
      <c r="N31" s="225">
        <f>24*60*SUM($M31:$M31)</f>
        <v>37.41666667512618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-24T04:56:55-0700',mode:absolute,to:'2017-12-24T07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5.3900000000000003E-2</v>
      </c>
      <c r="Z31" s="247">
        <f>RIGHT(H31,LEN(H31)-4)/10000</f>
        <v>23.331499999999998</v>
      </c>
      <c r="AA31" s="247">
        <f>ABS(Z31-Y31)</f>
        <v>23.2776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/stypes="app*4022*20171224*"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119-24 --locoid 4022 --swversion DE.1.0.9.0 --startMP 204:539 --initTime 2017-12-24T05:56:55 --startdatetime 2017-12-24T06:00:15 --delay 77 --endMP 204:233315 --enddatetime 2017-12-24T06:37:40 --enforcementcount 0 &gt;&gt;%USERPROFILE%\Documents\GitHub\eaglep3-reporting\EC\2017-12-24-refined-times.txt</v>
      </c>
      <c r="AI31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{"issue":{"subject":"","project_id":79,"tracker_id":40,"status_id":1,"priority_id":2,"assigned_to_id":338,"start_date":"2017-12-24","description":"","custom_fields":[{"id":1,"name":"Subdivision","value":"EC"},{"id":4,"name":"Milepost","value":"23.3315"},{"id":17,"name":"Train ID","value":"119-24"},{"id":16,"name":"Locomotive ID","value":"4022"},{"id":130,"name":"Impact","value":""},{"id":150,"name":"Time of Event (Mountain Time)","value":"06:37:40"},{"id":151,"name":"Denver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4022 --day 2017-12-24</v>
      </c>
      <c r="AN31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2017-12-24T04:56:55-0700',mode:absolute,to:'2017-12-24T07:37:40-0700'))&amp;_a=(columns:!('Message%20ID',Summary),filters:!(),index:'emp_*',interval:auto,query:(query_string:(analyze_wildcard:!t,query:'%22rtdc.l.rtdc.4022%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748</v>
      </c>
      <c r="B32" s="225">
        <v>4021</v>
      </c>
      <c r="C32" s="227" t="s">
        <v>192</v>
      </c>
      <c r="D32" s="227" t="s">
        <v>612</v>
      </c>
      <c r="E32" s="226">
        <v>43093.278807870367</v>
      </c>
      <c r="F32" s="226">
        <v>43093.289756944447</v>
      </c>
      <c r="G32" s="225">
        <v>58</v>
      </c>
      <c r="H32" s="227" t="s">
        <v>466</v>
      </c>
      <c r="I32" s="226">
        <v>43093.321412037039</v>
      </c>
      <c r="J32" s="225">
        <v>0</v>
      </c>
      <c r="K32" s="237" t="str">
        <f>IF(ISEVEN(B32),(B32-1)&amp;"/"&amp;B32,B32&amp;"/"&amp;(B32+1))</f>
        <v>4021/4022</v>
      </c>
      <c r="L32" s="245" t="str">
        <f>VLOOKUP(A32,'Trips&amp;Operators'!$C$1:$G$99911,5,FALSE)</f>
        <v>LOPES KIMBERLY</v>
      </c>
      <c r="M32" s="224">
        <f>I32-F32</f>
        <v>3.1655092592700385E-2</v>
      </c>
      <c r="N32" s="225">
        <f>24*60*SUM($M32:$M32)</f>
        <v>45.583333333488554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-24T05:41:29-0700',mode:absolute,to:'2017-12-24T08:42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23.299800000000001</v>
      </c>
      <c r="Z32" s="247">
        <f>RIGHT(H32,LEN(H32)-4)/10000</f>
        <v>2.1100000000000001E-2</v>
      </c>
      <c r="AA32" s="247">
        <f>ABS(Z32-Y32)</f>
        <v>23.278700000000001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/stypes="app*4021*20171224*"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120-24 --locoid 4021 --swversion DE.1.0.9.0 --startMP 204:232998 --initTime 2017-12-24T06:41:29 --startdatetime 2017-12-24T06:57:15 --delay 58 --endMP 204:211 --enddatetime 2017-12-24T07:42:50 --enforcementcount 0 &gt;&gt;%USERPROFILE%\Documents\GitHub\eaglep3-reporting\EC\2017-12-24-refined-times.txt</v>
      </c>
      <c r="AI32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{"issue":{"subject":"","project_id":79,"tracker_id":40,"status_id":1,"priority_id":2,"assigned_to_id":338,"start_date":"2017-12-24","description":"","custom_fields":[{"id":1,"name":"Subdivision","value":"EC"},{"id":4,"name":"Milepost","value":"0.0211"},{"id":17,"name":"Train ID","value":"120-24"},{"id":16,"name":"Locomotive ID","value":"4021"},{"id":130,"name":"Impact","value":""},{"id":150,"name":"Time of Event (Mountain Time)","value":"07:42:50"},{"id":151,"name":"Denver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4021 --day 2017-12-24</v>
      </c>
      <c r="AN32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2017-12-24T05:41:29-0700',mode:absolute,to:'2017-12-24T08:42:50-0700'))&amp;_a=(columns:!('Message%20ID',Summary),filters:!(),index:'emp_*',interval:auto,query:(query_string:(analyze_wildcard:!t,query:'%22rtdc.l.rtdc.4021%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742</v>
      </c>
      <c r="B33" s="225">
        <v>4032</v>
      </c>
      <c r="C33" s="227" t="s">
        <v>192</v>
      </c>
      <c r="D33" s="227" t="s">
        <v>534</v>
      </c>
      <c r="E33" s="226">
        <v>43093.26017361111</v>
      </c>
      <c r="F33" s="226">
        <v>43093.261678240742</v>
      </c>
      <c r="G33" s="225">
        <v>52</v>
      </c>
      <c r="H33" s="227" t="s">
        <v>921</v>
      </c>
      <c r="I33" s="226">
        <v>43093.287812499999</v>
      </c>
      <c r="J33" s="225">
        <v>0</v>
      </c>
      <c r="K33" s="237" t="str">
        <f>IF(ISEVEN(B33),(B33-1)&amp;"/"&amp;B33,B33&amp;"/"&amp;(B33+1))</f>
        <v>4031/4032</v>
      </c>
      <c r="L33" s="245" t="str">
        <f>VLOOKUP(A33,'Trips&amp;Operators'!$C$1:$G$99911,5,FALSE)</f>
        <v>PAGE MARCUS</v>
      </c>
      <c r="M33" s="224">
        <f>I33-F33</f>
        <v>2.6134259256650694E-2</v>
      </c>
      <c r="N33" s="225">
        <f>24*60*SUM($M33:$M33)</f>
        <v>37.633333329576999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-24T05:14:39-0700',mode:absolute,to:'2017-12-24T07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5.04E-2</v>
      </c>
      <c r="Z33" s="247">
        <f>RIGHT(H33,LEN(H33)-4)/10000</f>
        <v>23.3309</v>
      </c>
      <c r="AA33" s="247">
        <f>ABS(Z33-Y33)</f>
        <v>23.2805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 &amp; 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/stypes="app*4032*20171224*"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121-24 --locoid 4032 --swversion DE.1.0.9.0 --startMP 204:504 --initTime 2017-12-24T06:14:39 --startdatetime 2017-12-24T06:16:49 --delay 52 --endMP 204:233309 --enddatetime 2017-12-24T06:54:27 --enforcementcount 0 &gt;&gt;%USERPROFILE%\Documents\GitHub\eaglep3-reporting\EC\2017-12-24-refined-times.txt</v>
      </c>
      <c r="AI33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{"issue":{"subject":"","project_id":79,"tracker_id":40,"status_id":1,"priority_id":2,"assigned_to_id":338,"start_date":"2017-12-24","description":"","custom_fields":[{"id":1,"name":"Subdivision","value":"EC"},{"id":4,"name":"Milepost","value":"23.3309"},{"id":17,"name":"Train ID","value":"121-24"},{"id":16,"name":"Locomotive ID","value":"4032"},{"id":130,"name":"Impact","value":""},{"id":150,"name":"Time of Event (Mountain Time)","value":"06:54:27"},{"id":151,"name":"Denver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4032 --day 2017-12-24</v>
      </c>
      <c r="AN33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2017-12-24T05:14:39-0700',mode:absolute,to:'2017-12-24T07:54:27-0700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750</v>
      </c>
      <c r="B34" s="225">
        <v>4031</v>
      </c>
      <c r="C34" s="227" t="s">
        <v>192</v>
      </c>
      <c r="D34" s="227" t="s">
        <v>518</v>
      </c>
      <c r="E34" s="226">
        <v>43093.289988425924</v>
      </c>
      <c r="F34" s="226">
        <v>43093.300370370373</v>
      </c>
      <c r="G34" s="225">
        <v>54</v>
      </c>
      <c r="H34" s="227" t="s">
        <v>922</v>
      </c>
      <c r="I34" s="226">
        <v>43093.331261574072</v>
      </c>
      <c r="J34" s="225">
        <v>0</v>
      </c>
      <c r="K34" s="237" t="str">
        <f>IF(ISEVEN(B34),(B34-1)&amp;"/"&amp;B34,B34&amp;"/"&amp;(B34+1))</f>
        <v>4031/4032</v>
      </c>
      <c r="L34" s="245" t="str">
        <f>VLOOKUP(A34,'Trips&amp;Operators'!$C$1:$G$99911,5,FALSE)</f>
        <v>PAGE MARCUS</v>
      </c>
      <c r="M34" s="224">
        <f>I34-F34</f>
        <v>3.089120369986631E-2</v>
      </c>
      <c r="N34" s="225">
        <f>24*60*SUM($M34:$M34)</f>
        <v>44.483333327807486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-24T05:57:35-0700',mode:absolute,to:'2017-12-24T08:57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23.297799999999999</v>
      </c>
      <c r="Z34" s="247">
        <f>RIGHT(H34,LEN(H34)-4)/10000</f>
        <v>1.72E-2</v>
      </c>
      <c r="AA34" s="247">
        <f>ABS(Z34-Y34)</f>
        <v>23.2806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 &amp; 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/stypes="app*4031*20171224*"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122-24 --locoid 4031 --swversion DE.1.0.9.0 --startMP 204:232978 --initTime 2017-12-24T06:57:35 --startdatetime 2017-12-24T07:12:32 --delay 54 --endMP 204:172 --enddatetime 2017-12-24T07:57:01 --enforcementcount 0 &gt;&gt;%USERPROFILE%\Documents\GitHub\eaglep3-reporting\EC\2017-12-24-refined-times.txt</v>
      </c>
      <c r="AI34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{"issue":{"subject":"","project_id":79,"tracker_id":40,"status_id":1,"priority_id":2,"assigned_to_id":338,"start_date":"2017-12-24","description":"","custom_fields":[{"id":1,"name":"Subdivision","value":"EC"},{"id":4,"name":"Milepost","value":"0.0172"},{"id":17,"name":"Train ID","value":"122-24"},{"id":16,"name":"Locomotive ID","value":"4031"},{"id":130,"name":"Impact","value":""},{"id":150,"name":"Time of Event (Mountain Time)","value":"07:57:01"},{"id":151,"name":"Denver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4031 --day 2017-12-24</v>
      </c>
      <c r="AN34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2017-12-24T05:57:35-0700',mode:absolute,to:'2017-12-24T08:57:01-0700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745</v>
      </c>
      <c r="B35" s="225">
        <v>4012</v>
      </c>
      <c r="C35" s="227" t="s">
        <v>192</v>
      </c>
      <c r="D35" s="227" t="s">
        <v>659</v>
      </c>
      <c r="E35" s="226">
        <v>43093.272430555553</v>
      </c>
      <c r="F35" s="226">
        <v>43093.27416666667</v>
      </c>
      <c r="G35" s="225">
        <v>50</v>
      </c>
      <c r="H35" s="227" t="s">
        <v>923</v>
      </c>
      <c r="I35" s="226">
        <v>43093.29965277778</v>
      </c>
      <c r="J35" s="225">
        <v>0</v>
      </c>
      <c r="K35" s="237" t="str">
        <f>IF(ISEVEN(B35),(B35-1)&amp;"/"&amp;B35,B35&amp;"/"&amp;(B35+1))</f>
        <v>4011/4012</v>
      </c>
      <c r="L35" s="245" t="str">
        <f>VLOOKUP(A35,'Trips&amp;Operators'!$C$1:$G$99911,5,FALSE)</f>
        <v>GEBRETEKLE DAGNEW</v>
      </c>
      <c r="M35" s="224">
        <f>I35-F35</f>
        <v>2.548611110978527E-2</v>
      </c>
      <c r="N35" s="225">
        <f>24*60*SUM($M35:$M35)</f>
        <v>36.699999998090789</v>
      </c>
      <c r="O35" s="225"/>
      <c r="P35" s="225"/>
      <c r="Q35" s="228"/>
      <c r="R35" s="242" t="s">
        <v>1082</v>
      </c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-24T05:32:18-0700',mode:absolute,to:'2017-12-24T08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0.14899999999999999</v>
      </c>
      <c r="Z35" s="247">
        <f>RIGHT(H35,LEN(H35)-4)/10000</f>
        <v>23.333200000000001</v>
      </c>
      <c r="AA35" s="247">
        <f>ABS(Z35-Y35)</f>
        <v>23.184200000000001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/stypes="app*4012*20171224*"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123-24 --locoid 4012 --swversion DE.1.0.9.0 --startMP 204:1490 --initTime 2017-12-24T06:32:18 --startdatetime 2017-12-24T06:34:48 --delay 50 --endMP 204:233332 --enddatetime 2017-12-24T07:11:30 --enforcementcount 0 &gt;&gt;%USERPROFILE%\Documents\GitHub\eaglep3-reporting\EC\2017-12-24-refined-times.txt</v>
      </c>
      <c r="AI35" s="238" t="str">
        <f t="shared" si="6"/>
        <v>echo {"issue":{"subject":"Observed unhealthy xing banner at Sable due to Wi-MAX data drop","project_id":79,"tracker_id":40,"status_id":1,"priority_id":2,"assigned_to_id":338,"start_date":"2017-12-24","description":"","custom_fields":[{"id":1,"name":"Subdivision","value":"EC"},{"id":4,"name":"Milepost","value":"23.3332"},{"id":17,"name":"Train ID","value":"123-24"},{"id":16,"name":"Locomotive ID","value":"4012"},{"id":130,"name":"Impact","value":""},{"id":150,"name":"Time of Event (Mountain Time)","value":"07:11:30"},{"id":151,"name":"Denver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4012 --day 2017-12-24</v>
      </c>
      <c r="AN35" s="241" t="str">
        <f t="shared" si="8"/>
        <v>echo {"issue":{"subject":"Observed unhealthy xing banner at Sable due to Wi-MAX data drop","project_id":30,"tracker_id":4,"status_id":1,"priority_id":1,"assigned_to_id":10,"start_date":"2017-12-24","description":"","custom_fields":[{"id":30,"name":"Category","value":"Issue"},{"id":3,"name":"Functional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2017-12-24T05:32:18-0700',mode:absolute,to:'2017-12-24T08:11:30-0700'))&amp;_a=(columns:!('Message%20ID',Summary),filters:!(),index:'emp_*',interval:auto,query:(query_string:(analyze_wildcard:!t,query:'%22rtdc.l.rtdc.4012%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753</v>
      </c>
      <c r="B36" s="225">
        <v>4011</v>
      </c>
      <c r="C36" s="227" t="s">
        <v>192</v>
      </c>
      <c r="D36" s="227" t="s">
        <v>924</v>
      </c>
      <c r="E36" s="226">
        <v>43093.301539351851</v>
      </c>
      <c r="F36" s="226">
        <v>43093.310636574075</v>
      </c>
      <c r="G36" s="225">
        <v>65</v>
      </c>
      <c r="H36" s="227" t="s">
        <v>613</v>
      </c>
      <c r="I36" s="226">
        <v>43093.339004629626</v>
      </c>
      <c r="J36" s="225">
        <v>0</v>
      </c>
      <c r="K36" s="237" t="str">
        <f>IF(ISEVEN(B36),(B36-1)&amp;"/"&amp;B36,B36&amp;"/"&amp;(B36+1))</f>
        <v>4011/4012</v>
      </c>
      <c r="L36" s="245" t="str">
        <f>VLOOKUP(A36,'Trips&amp;Operators'!$C$1:$G$99911,5,FALSE)</f>
        <v>GEBRETEKLE DAGNEW</v>
      </c>
      <c r="M36" s="224">
        <f>I36-F36</f>
        <v>2.8368055551254656E-2</v>
      </c>
      <c r="N36" s="225">
        <f>24*60*SUM($M36:$M36)</f>
        <v>40.849999993806705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-24T06:14:13-0700',mode:absolute,to:'2017-12-24T09:08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23.302099999999999</v>
      </c>
      <c r="Z36" s="247">
        <f>RIGHT(H36,LEN(H36)-4)/10000</f>
        <v>1.52E-2</v>
      </c>
      <c r="AA36" s="247">
        <f>ABS(Z36-Y36)</f>
        <v>23.286899999999999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/stypes="app*4011*20171224*"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124-24 --locoid 4011 --swversion DE.1.0.9.0 --startMP 204:233021 --initTime 2017-12-24T07:14:13 --startdatetime 2017-12-24T07:27:19 --delay 65 --endMP 204:152 --enddatetime 2017-12-24T08:08:10 --enforcementcount 0 &gt;&gt;%USERPROFILE%\Documents\GitHub\eaglep3-reporting\EC\2017-12-24-refined-times.txt</v>
      </c>
      <c r="AI36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{"issue":{"subject":"","project_id":79,"tracker_id":40,"status_id":1,"priority_id":2,"assigned_to_id":338,"start_date":"2017-12-24","description":"","custom_fields":[{"id":1,"name":"Subdivision","value":"EC"},{"id":4,"name":"Milepost","value":"0.0152"},{"id":17,"name":"Train ID","value":"124-24"},{"id":16,"name":"Locomotive ID","value":"4011"},{"id":130,"name":"Impact","value":""},{"id":150,"name":"Time of Event (Mountain Time)","value":"08:08:10"},{"id":151,"name":"Denver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4011 --day 2017-12-24</v>
      </c>
      <c r="AN36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2017-12-24T06:14:13-0700',mode:absolute,to:'2017-12-24T09:08:10-0700'))&amp;_a=(columns:!('Message%20ID',Summary),filters:!(),index:'emp_*',interval:auto,query:(query_string:(analyze_wildcard:!t,query:'%22rtdc.l.rtdc.4011%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749</v>
      </c>
      <c r="B37" s="225">
        <v>4044</v>
      </c>
      <c r="C37" s="227" t="s">
        <v>192</v>
      </c>
      <c r="D37" s="227" t="s">
        <v>664</v>
      </c>
      <c r="E37" s="226">
        <v>43093.281944444447</v>
      </c>
      <c r="F37" s="226">
        <v>43093.283854166664</v>
      </c>
      <c r="G37" s="225">
        <v>63</v>
      </c>
      <c r="H37" s="227" t="s">
        <v>925</v>
      </c>
      <c r="I37" s="226">
        <v>43093.310578703706</v>
      </c>
      <c r="J37" s="225">
        <v>0</v>
      </c>
      <c r="K37" s="237" t="str">
        <f>IF(ISEVEN(B37),(B37-1)&amp;"/"&amp;B37,B37&amp;"/"&amp;(B37+1))</f>
        <v>4043/4044</v>
      </c>
      <c r="L37" s="245" t="str">
        <f>VLOOKUP(A37,'Trips&amp;Operators'!$C$1:$G$99911,5,FALSE)</f>
        <v>THOMPSON LESTER</v>
      </c>
      <c r="M37" s="224">
        <f>I37-F37</f>
        <v>2.6724537041445728E-2</v>
      </c>
      <c r="N37" s="225">
        <f>24*60*SUM($M37:$M37)</f>
        <v>38.483333339681849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-24T05:46:00-0700',mode:absolute,to:'2017-12-24T08:27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4.3700000000000003E-2</v>
      </c>
      <c r="Z37" s="247">
        <f>RIGHT(H37,LEN(H37)-4)/10000</f>
        <v>23.330100000000002</v>
      </c>
      <c r="AA37" s="247">
        <f>ABS(Z37-Y37)</f>
        <v>23.2864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/stypes="app*4044*20171224*"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125-24 --locoid 4044 --swversion DE.1.0.9.0 --startMP 204:437 --initTime 2017-12-24T06:46:00 --startdatetime 2017-12-24T06:48:45 --delay 63 --endMP 204:233301 --enddatetime 2017-12-24T07:27:14 --enforcementcount 0 &gt;&gt;%USERPROFILE%\Documents\GitHub\eaglep3-reporting\EC\2017-12-24-refined-times.txt</v>
      </c>
      <c r="AI3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{"issue":{"subject":"","project_id":79,"tracker_id":40,"status_id":1,"priority_id":2,"assigned_to_id":338,"start_date":"2017-12-24","description":"","custom_fields":[{"id":1,"name":"Subdivision","value":"EC"},{"id":4,"name":"Milepost","value":"23.3301"},{"id":17,"name":"Train ID","value":"125-24"},{"id":16,"name":"Locomotive ID","value":"4044"},{"id":130,"name":"Impact","value":""},{"id":150,"name":"Time of Event (Mountain Time)","value":"07:27:14"},{"id":151,"name":"Denver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4044 --day 2017-12-24</v>
      </c>
      <c r="AN3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14:27:14"},{"id":29,"name":"Sharepoint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2017-12-24T05:46:00-0700',mode:absolute,to:'2017-12-24T08:27:14-0700'))&amp;_a=(columns:!('Message%20ID',Summary),filters:!(),index:'emp_*',interval:auto,query:(query_string:(analyze_wildcard:!t,query:'%22rtdc.l.rtdc.4044%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756</v>
      </c>
      <c r="B38" s="225">
        <v>4043</v>
      </c>
      <c r="C38" s="227" t="s">
        <v>192</v>
      </c>
      <c r="D38" s="227" t="s">
        <v>926</v>
      </c>
      <c r="E38" s="226">
        <v>43093.319780092592</v>
      </c>
      <c r="F38" s="226">
        <v>43093.321157407408</v>
      </c>
      <c r="G38" s="225">
        <v>63</v>
      </c>
      <c r="H38" s="227" t="s">
        <v>582</v>
      </c>
      <c r="I38" s="226">
        <v>43093.349386574075</v>
      </c>
      <c r="J38" s="225">
        <v>0</v>
      </c>
      <c r="K38" s="237" t="str">
        <f>IF(ISEVEN(B38),(B38-1)&amp;"/"&amp;B38,B38&amp;"/"&amp;(B38+1))</f>
        <v>4043/4044</v>
      </c>
      <c r="L38" s="245" t="str">
        <f>VLOOKUP(A38,'Trips&amp;Operators'!$C$1:$G$99911,5,FALSE)</f>
        <v>THOMPSON LESTER</v>
      </c>
      <c r="M38" s="224">
        <f>I38-F38</f>
        <v>2.8229166666278616E-2</v>
      </c>
      <c r="N38" s="225">
        <f>24*60*SUM($M38:$M38)</f>
        <v>40.649999999441206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-24T06:40:29-0700',mode:absolute,to:'2017-12-24T09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23.296900000000001</v>
      </c>
      <c r="Z38" s="247">
        <f>RIGHT(H38,LEN(H38)-4)/10000</f>
        <v>1.6899999999999998E-2</v>
      </c>
      <c r="AA38" s="247">
        <f>ABS(Z38-Y38)</f>
        <v>23.28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/stypes="app*4043*20171224*"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126-24 --locoid 4043 --swversion DE.1.0.9.0 --startMP 204:232969 --initTime 2017-12-24T07:40:29 --startdatetime 2017-12-24T07:42:28 --delay 63 --endMP 204:169 --enddatetime 2017-12-24T08:23:07 --enforcementcount 0 &gt;&gt;%USERPROFILE%\Documents\GitHub\eaglep3-reporting\EC\2017-12-24-refined-times.txt</v>
      </c>
      <c r="AI3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{"issue":{"subject":"","project_id":79,"tracker_id":40,"status_id":1,"priority_id":2,"assigned_to_id":338,"start_date":"2017-12-24","description":"","custom_fields":[{"id":1,"name":"Subdivision","value":"EC"},{"id":4,"name":"Milepost","value":"0.0169"},{"id":17,"name":"Train ID","value":"126-24"},{"id":16,"name":"Locomotive ID","value":"4043"},{"id":130,"name":"Impact","value":""},{"id":150,"name":"Time of Event (Mountain Time)","value":"08:23:07"},{"id":151,"name":"Denver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4043 --day 2017-12-24</v>
      </c>
      <c r="AN3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2017-12-24T06:40:29-0700',mode:absolute,to:'2017-12-24T09:23:07-0700'))&amp;_a=(columns:!('Message%20ID',Summary),filters:!(),index:'emp_*',interval:auto,query:(query_string:(analyze_wildcard:!t,query:'%22rtdc.l.rtdc.4043%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751</v>
      </c>
      <c r="B39" s="225">
        <v>4014</v>
      </c>
      <c r="C39" s="227" t="s">
        <v>192</v>
      </c>
      <c r="D39" s="227" t="s">
        <v>927</v>
      </c>
      <c r="E39" s="226">
        <v>43093.292638888888</v>
      </c>
      <c r="F39" s="226">
        <v>43093.294525462959</v>
      </c>
      <c r="G39" s="225">
        <v>71</v>
      </c>
      <c r="H39" s="227" t="s">
        <v>540</v>
      </c>
      <c r="I39" s="226">
        <v>43093.32439814815</v>
      </c>
      <c r="J39" s="225">
        <v>0</v>
      </c>
      <c r="K39" s="237" t="str">
        <f>IF(ISEVEN(B39),(B39-1)&amp;"/"&amp;B39,B39&amp;"/"&amp;(B39+1))</f>
        <v>4013/4014</v>
      </c>
      <c r="L39" s="245" t="str">
        <f>VLOOKUP(A39,'Trips&amp;Operators'!$C$1:$G$99911,5,FALSE)</f>
        <v>WILLIAMS DONTE</v>
      </c>
      <c r="M39" s="224">
        <f>I39-F39</f>
        <v>2.9872685190639459E-2</v>
      </c>
      <c r="N39" s="225">
        <f>24*60*SUM($M39:$M39)</f>
        <v>43.01666667452082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-24T06:01:24-0700',mode:absolute,to:'2017-12-24T08:47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5.1999999999999998E-2</v>
      </c>
      <c r="Z39" s="247">
        <f>RIGHT(H39,LEN(H39)-4)/10000</f>
        <v>23.322099999999999</v>
      </c>
      <c r="AA39" s="247">
        <f>ABS(Z39-Y39)</f>
        <v>23.270099999999999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/stypes="app*4014*20171224*"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127-24 --locoid 4014 --swversion DE.1.0.9.0 --startMP 204:520 --initTime 2017-12-24T07:01:24 --startdatetime 2017-12-24T07:04:07 --delay 71 --endMP 204:233221 --enddatetime 2017-12-24T07:47:08 --enforcementcount 0 &gt;&gt;%USERPROFILE%\Documents\GitHub\eaglep3-reporting\EC\2017-12-24-refined-times.txt</v>
      </c>
      <c r="AI3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{"issue":{"subject":"","project_id":79,"tracker_id":40,"status_id":1,"priority_id":2,"assigned_to_id":338,"start_date":"2017-12-24","description":"","custom_fields":[{"id":1,"name":"Subdivision","value":"EC"},{"id":4,"name":"Milepost","value":"23.3221"},{"id":17,"name":"Train ID","value":"127-24"},{"id":16,"name":"Locomotive ID","value":"4014"},{"id":130,"name":"Impact","value":""},{"id":150,"name":"Time of Event (Mountain Time)","value":"07:47:08"},{"id":151,"name":"Denver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4014 --day 2017-12-24</v>
      </c>
      <c r="AN3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2017-12-24T06:01:24-0700',mode:absolute,to:'2017-12-24T08:47:08-0700'))&amp;_a=(columns:!('Message%20ID',Summary),filters:!(),index:'emp_*',interval:auto,query:(query_string:(analyze_wildcard:!t,query:'%22rtdc.l.rtdc.4014%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676</v>
      </c>
      <c r="B40" s="225">
        <v>4013</v>
      </c>
      <c r="C40" s="227" t="s">
        <v>192</v>
      </c>
      <c r="D40" s="227" t="s">
        <v>928</v>
      </c>
      <c r="E40" s="226">
        <v>43093.328217592592</v>
      </c>
      <c r="F40" s="226">
        <v>43093.331516203703</v>
      </c>
      <c r="G40" s="225">
        <v>59</v>
      </c>
      <c r="H40" s="227" t="s">
        <v>909</v>
      </c>
      <c r="I40" s="226">
        <v>43093.359814814816</v>
      </c>
      <c r="J40" s="225">
        <v>0</v>
      </c>
      <c r="K40" s="237" t="str">
        <f>IF(ISEVEN(B40),(B40-1)&amp;"/"&amp;B40,B40&amp;"/"&amp;(B40+1))</f>
        <v>4013/4014</v>
      </c>
      <c r="L40" s="245" t="str">
        <f>VLOOKUP(A40,'Trips&amp;Operators'!$C$1:$G$99911,5,FALSE)</f>
        <v>WILLIAMS DONTE</v>
      </c>
      <c r="M40" s="224">
        <f>I40-F40</f>
        <v>2.8298611112404615E-2</v>
      </c>
      <c r="N40" s="225">
        <f>24*60*SUM($M40:$M40)</f>
        <v>40.750000001862645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-24T06:52:38-0700',mode:absolute,to:'2017-12-24T09:38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23.2911</v>
      </c>
      <c r="Z40" s="247">
        <f>RIGHT(H40,LEN(H40)-4)/10000</f>
        <v>2.0899999999999998E-2</v>
      </c>
      <c r="AA40" s="247">
        <f>ABS(Z40-Y40)</f>
        <v>23.270199999999999</v>
      </c>
      <c r="AB40" s="233" t="str">
        <f>VLOOKUP(A40,Enforcements!$C$7:$K$9,8,0)</f>
        <v>Bulletin (2)</v>
      </c>
      <c r="AC40" s="232" t="str">
        <f>VLOOKUP(A40,Enforcements!$C$7:$E$9,3,0)</f>
        <v>GRADE CROSSING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/stypes="app*4013*20171224*"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128-24 --locoid 4013 --swversion DE.1.0.9.0 --startMP 204:232911 --initTime 2017-12-24T07:52:38 --startdatetime 2017-12-24T07:57:23 --delay 59 --endMP 204:209 --enddatetime 2017-12-24T08:38:08 --enforcementcount 0 &gt;&gt;%USERPROFILE%\Documents\GitHub\eaglep3-reporting\EC\2017-12-24-refined-times.txt</v>
      </c>
      <c r="AI40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{"issue":{"subject":"","project_id":79,"tracker_id":40,"status_id":1,"priority_id":2,"assigned_to_id":338,"start_date":"2017-12-24","description":"","custom_fields":[{"id":1,"name":"Subdivision","value":"EC"},{"id":4,"name":"Milepost","value":"0.0209"},{"id":17,"name":"Train ID","value":"128-24"},{"id":16,"name":"Locomotive ID","value":"4013"},{"id":130,"name":"Impact","value":""},{"id":150,"name":"Time of Event (Mountain Time)","value":"08:38:08"},{"id":151,"name":"Denver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4013 --day 2017-12-24</v>
      </c>
      <c r="AN40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2017-12-24T06:52:38-0700',mode:absolute,to:'2017-12-24T09:38:08-0700'))&amp;_a=(columns:!('Message%20ID',Summary),filters:!(),index:'emp_*',interval:auto,query:(query_string:(analyze_wildcard:!t,query:'%22rtdc.l.rtdc.4013%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752</v>
      </c>
      <c r="B41" s="225">
        <v>4006</v>
      </c>
      <c r="C41" s="227" t="s">
        <v>192</v>
      </c>
      <c r="D41" s="227" t="s">
        <v>507</v>
      </c>
      <c r="E41" s="226">
        <v>43093.30028935185</v>
      </c>
      <c r="F41" s="226">
        <v>43093.303344907406</v>
      </c>
      <c r="G41" s="225">
        <v>70</v>
      </c>
      <c r="H41" s="227" t="s">
        <v>535</v>
      </c>
      <c r="I41" s="226">
        <v>43093.331134259257</v>
      </c>
      <c r="J41" s="225">
        <v>0</v>
      </c>
      <c r="K41" s="237" t="str">
        <f>IF(ISEVEN(B41),(B41-1)&amp;"/"&amp;B41,B41&amp;"/"&amp;(B41+1))</f>
        <v>4005/4006</v>
      </c>
      <c r="L41" s="245" t="str">
        <f>VLOOKUP(A41,'Trips&amp;Operators'!$C$1:$G$99911,5,FALSE)</f>
        <v>MAELZER KURT</v>
      </c>
      <c r="M41" s="224">
        <f>I41-F41</f>
        <v>2.7789351850515231E-2</v>
      </c>
      <c r="N41" s="225">
        <f>24*60*SUM($M41:$M41)</f>
        <v>40.016666664741933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-24T06:12:25-0700',mode:absolute,to:'2017-12-24T08:56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v>0.122</v>
      </c>
      <c r="Z41" s="247">
        <v>23.329499999999999</v>
      </c>
      <c r="AA41" s="247">
        <f>ABS(Z41-Y41)</f>
        <v>23.2075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/stypes="app*4006*20171224*"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129-24 --locoid 4006 --swversion DE.1.0.9.0 --startMP 204:506 --initTime 2017-12-24T07:12:25 --startdatetime 2017-12-24T07:16:49 --delay 70 --endMP 204:233295 --enddatetime 2017-12-24T07:56:50 --enforcementcount 0 &gt;&gt;%USERPROFILE%\Documents\GitHub\eaglep3-reporting\EC\2017-12-24-refined-times.txt</v>
      </c>
      <c r="AI41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{"issue":{"subject":"","project_id":79,"tracker_id":40,"status_id":1,"priority_id":2,"assigned_to_id":338,"start_date":"2017-12-24","description":"","custom_fields":[{"id":1,"name":"Subdivision","value":"EC"},{"id":4,"name":"Milepost","value":"23.3295"},{"id":17,"name":"Train ID","value":"129-24"},{"id":16,"name":"Locomotive ID","value":"4006"},{"id":130,"name":"Impact","value":""},{"id":150,"name":"Time of Event (Mountain Time)","value":"07:56:50"},{"id":151,"name":"Denver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4006 --day 2017-12-24</v>
      </c>
      <c r="AN41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2017-12-24T06:12:25-0700',mode:absolute,to:'2017-12-24T08:56:50-0700'))&amp;_a=(columns:!('Message%20ID',Summary),filters:!(),index:'emp_*',interval:auto,query:(query_string:(analyze_wildcard:!t,query:'%22rtdc.l.rtdc.4006%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760</v>
      </c>
      <c r="B42" s="225">
        <v>4005</v>
      </c>
      <c r="C42" s="227" t="s">
        <v>192</v>
      </c>
      <c r="D42" s="227" t="s">
        <v>640</v>
      </c>
      <c r="E42" s="226">
        <v>43093.338414351849</v>
      </c>
      <c r="F42" s="226">
        <v>43093.341898148145</v>
      </c>
      <c r="G42" s="225">
        <v>77</v>
      </c>
      <c r="H42" s="227" t="s">
        <v>517</v>
      </c>
      <c r="I42" s="226">
        <v>43093.368692129632</v>
      </c>
      <c r="J42" s="225">
        <v>0</v>
      </c>
      <c r="K42" s="237" t="str">
        <f>IF(ISEVEN(B42),(B42-1)&amp;"/"&amp;B42,B42&amp;"/"&amp;(B42+1))</f>
        <v>4005/4006</v>
      </c>
      <c r="L42" s="245" t="str">
        <f>VLOOKUP(A42,'Trips&amp;Operators'!$C$1:$G$99911,5,FALSE)</f>
        <v>MAELZER KURT</v>
      </c>
      <c r="M42" s="224">
        <f>I42-F42</f>
        <v>2.6793981487571727E-2</v>
      </c>
      <c r="N42" s="225">
        <f>24*60*SUM($M42:$M42)</f>
        <v>38.583333342103288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-24T07:07:19-0700',mode:absolute,to:'2017-12-24T09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23.298200000000001</v>
      </c>
      <c r="Z42" s="247">
        <f>RIGHT(H42,LEN(H42)-4)/10000</f>
        <v>2.0500000000000001E-2</v>
      </c>
      <c r="AA42" s="247">
        <f>ABS(Z42-Y42)</f>
        <v>23.277700000000003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130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/stypes="app*4005*20171224*" /stext=" 15:.+((SYSTEM_STATE.+slice.+state.+changed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130-24 --locoid 4005 --swversion DE.1.0.9.0 --startMP 204:232982 --initTime 2017-12-24T08:07:19 --startdatetime 2017-12-24T08:12:20 --delay 77 --endMP 204:205 --enddatetime 2017-12-24T08:50:55 --enforcementcount 0 &gt;&gt;%USERPROFILE%\Documents\GitHub\eaglep3-reporting\EC\2017-12-24-refined-times.txt</v>
      </c>
      <c r="AI42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{"issue":{"subject":"","project_id":79,"tracker_id":40,"status_id":1,"priority_id":2,"assigned_to_id":338,"start_date":"2017-12-24","description":"","custom_fields":[{"id":1,"name":"Subdivision","value":"EC"},{"id":4,"name":"Milepost","value":"0.0205"},{"id":17,"name":"Train ID","value":"130-24"},{"id":16,"name":"Locomotive ID","value":"4005"},{"id":130,"name":"Impact","value":""},{"id":150,"name":"Time of Event (Mountain Time)","value":"08:50:55"},{"id":151,"name":"Denver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4005 --day 2017-12-24</v>
      </c>
      <c r="AN42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2017-12-24T07:07:19-0700',mode:absolute,to:'2017-12-24T09:50:55-0700'))&amp;_a=(columns:!('Message%20ID',Summary),filters:!(),index:'emp_*',interval:auto,query:(query_string:(analyze_wildcard:!t,query:'%22rtdc.l.rtdc.4005%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755</v>
      </c>
      <c r="B43" s="225">
        <v>4050</v>
      </c>
      <c r="C43" s="227" t="s">
        <v>192</v>
      </c>
      <c r="D43" s="227" t="s">
        <v>525</v>
      </c>
      <c r="E43" s="226">
        <v>43093.312118055554</v>
      </c>
      <c r="F43" s="226">
        <v>43093.313946759263</v>
      </c>
      <c r="G43" s="225">
        <v>51</v>
      </c>
      <c r="H43" s="227" t="s">
        <v>567</v>
      </c>
      <c r="I43" s="226">
        <v>43093.338414351849</v>
      </c>
      <c r="J43" s="225">
        <v>0</v>
      </c>
      <c r="K43" s="237" t="str">
        <f>IF(ISEVEN(B43),(B43-1)&amp;"/"&amp;B43,B43&amp;"/"&amp;(B43+1))</f>
        <v>4049/4050</v>
      </c>
      <c r="L43" s="245" t="str">
        <f>VLOOKUP(A43,'Trips&amp;Operators'!$C$1:$G$99911,5,FALSE)</f>
        <v>LAMAR NEKESHA</v>
      </c>
      <c r="M43" s="224">
        <f>I43-F43</f>
        <v>2.4467592586006504E-2</v>
      </c>
      <c r="N43" s="225">
        <f>24*60*SUM($M43:$M43)</f>
        <v>35.233333323849365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-24T06:29:27-0700',mode:absolute,to:'2017-12-24T09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5.1700000000000003E-2</v>
      </c>
      <c r="Z43" s="247">
        <f>RIGHT(H43,LEN(H43)-4)/10000</f>
        <v>23.3291</v>
      </c>
      <c r="AA43" s="247">
        <f>ABS(Z43-Y43)</f>
        <v>23.2774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131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/stypes="app*4050*20171224*"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131-24 --locoid 4050 --swversion DE.1.0.9.0 --startMP 204:517 --initTime 2017-12-24T07:29:27 --startdatetime 2017-12-24T07:32:05 --delay 51 --endMP 204:233291 --enddatetime 2017-12-24T08:07:19 --enforcementcount 0 &gt;&gt;%USERPROFILE%\Documents\GitHub\eaglep3-reporting\EC\2017-12-24-refined-times.txt</v>
      </c>
      <c r="AI43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{"issue":{"subject":"","project_id":79,"tracker_id":40,"status_id":1,"priority_id":2,"assigned_to_id":338,"start_date":"2017-12-24","description":"","custom_fields":[{"id":1,"name":"Subdivision","value":"EC"},{"id":4,"name":"Milepost","value":"23.3291"},{"id":17,"name":"Train ID","value":"131-24"},{"id":16,"name":"Locomotive ID","value":"4050"},{"id":130,"name":"Impact","value":""},{"id":150,"name":"Time of Event (Mountain Time)","value":"08:07:19"},{"id":151,"name":"Denver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4050 --day 2017-12-24</v>
      </c>
      <c r="AN43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2017-12-24T06:29:27-0700',mode:absolute,to:'2017-12-24T09:07:19-0700'))&amp;_a=(columns:!('Message%20ID',Summary),filters:!(),index:'emp_*',interval:auto,query:(query_string:(analyze_wildcard:!t,query:'%22rtdc.l.rtdc.4050%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763</v>
      </c>
      <c r="B44" s="225">
        <v>4049</v>
      </c>
      <c r="C44" s="227" t="s">
        <v>192</v>
      </c>
      <c r="D44" s="227" t="s">
        <v>929</v>
      </c>
      <c r="E44" s="226">
        <v>43093.343946759262</v>
      </c>
      <c r="F44" s="226">
        <v>43093.36204861111</v>
      </c>
      <c r="G44" s="225">
        <v>49</v>
      </c>
      <c r="H44" s="227" t="s">
        <v>536</v>
      </c>
      <c r="I44" s="226">
        <v>43093.379930555559</v>
      </c>
      <c r="J44" s="225">
        <v>0</v>
      </c>
      <c r="K44" s="237" t="str">
        <f>IF(ISEVEN(B44),(B44-1)&amp;"/"&amp;B44,B44&amp;"/"&amp;(B44+1))</f>
        <v>4049/4050</v>
      </c>
      <c r="L44" s="245" t="str">
        <f>VLOOKUP(A44,'Trips&amp;Operators'!$C$1:$G$99911,5,FALSE)</f>
        <v>LAMAR NEKESHA</v>
      </c>
      <c r="M44" s="224">
        <f>I44-F44</f>
        <v>1.7881944448163267E-2</v>
      </c>
      <c r="N44" s="225"/>
      <c r="O44" s="225"/>
      <c r="P44" s="225">
        <f>24*60*SUM($M44:$M44)</f>
        <v>25.750000005355105</v>
      </c>
      <c r="Q44" s="228"/>
      <c r="R44" s="242" t="s">
        <v>1080</v>
      </c>
      <c r="S44" s="249">
        <f>1/IF(AG44="EC",12,1)*SUM(U44:U44)</f>
        <v>1</v>
      </c>
      <c r="T44" s="242" t="str">
        <f>IF(ISEVEN(LEFT(AD44,4)),"Southbound","NorthBound")</f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-24T07:15:17-0700',mode:absolute,to:'2017-12-24T10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4" s="247" t="str">
        <f>IF(AA44&lt;VLOOKUP(AG44,Variables!$AC$3:$AD$8,2,FALSE),"Y","N")</f>
        <v>Y</v>
      </c>
      <c r="X44" s="247">
        <f>VALUE(LEFT(AD44,4))-VALUE(LEFT(AD43,4))</f>
        <v>1</v>
      </c>
      <c r="Y44" s="247">
        <f>RIGHT(D44,LEN(D44)-4)/10000</f>
        <v>15.398999999999999</v>
      </c>
      <c r="Z44" s="247">
        <f>RIGHT(H44,LEN(H44)-4)/10000</f>
        <v>1.5599999999999999E-2</v>
      </c>
      <c r="AA44" s="247">
        <f>ABS(Z44-Y44)</f>
        <v>15.3834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132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/stypes="app*4049*20171224*" /stext=" 16:.+((SYSTEM_STATE.+slice.+state.+changed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132-24 --locoid 4049 --swversion DE.1.0.9.0 --startMP 204:153990 --initTime 2017-12-24T08:15:17 --startdatetime 2017-12-24T08:41:21 --delay 49 --endMP 204:156 --enddatetime 2017-12-24T09:07:06 --enforcementcount 0 &gt;&gt;%USERPROFILE%\Documents\GitHub\eaglep3-reporting\EC\2017-12-24-refined-times.txt</v>
      </c>
      <c r="AI44" s="238" t="str">
        <f t="shared" si="6"/>
        <v>echo {"issue":{"subject":"Onboard en route failure","project_id":79,"tracker_id":40,"status_id":1,"priority_id":2,"assigned_to_id":338,"start_date":"2017-12-24","description":"","custom_fields":[{"id":1,"name":"Subdivision","value":"EC"},{"id":4,"name":"Milepost","value":"0.0156"},{"id":17,"name":"Train ID","value":"132-24"},{"id":16,"name":"Locomotive ID","value":"4049"},{"id":130,"name":"Impact","value":""},{"id":150,"name":"Time of Event (Mountain Time)","value":"09:07:06"},{"id":151,"name":"Denver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4049 --day 2017-12-24</v>
      </c>
      <c r="AN44" s="241" t="str">
        <f t="shared" si="8"/>
        <v>echo {"issue":{"subject":"Onboard en route failure","project_id":30,"tracker_id":4,"status_id":1,"priority_id":1,"assigned_to_id":10,"start_date":"2017-12-24","description":"","custom_fields":[{"id":30,"name":"Category","value":"Issue"},{"id":3,"name":"Functional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2017-12-24T07:15:17-0700',mode:absolute,to:'2017-12-24T10:07:06-0700'))&amp;_a=(columns:!('Message%20ID',Summary),filters:!(),index:'emp_*',interval:auto,query:(query_string:(analyze_wildcard:!t,query:'%22rtdc.l.rtdc.4049%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763</v>
      </c>
      <c r="B45" s="225">
        <v>4049</v>
      </c>
      <c r="C45" s="227" t="s">
        <v>192</v>
      </c>
      <c r="D45" s="227" t="s">
        <v>929</v>
      </c>
      <c r="E45" s="226">
        <v>43093.360162037039</v>
      </c>
      <c r="F45" s="226">
        <v>43093.36204861111</v>
      </c>
      <c r="G45" s="225">
        <v>64</v>
      </c>
      <c r="H45" s="227" t="s">
        <v>536</v>
      </c>
      <c r="I45" s="226">
        <v>43093.379930555559</v>
      </c>
      <c r="J45" s="225">
        <v>0</v>
      </c>
      <c r="K45" s="237" t="str">
        <f>IF(ISEVEN(B45),(B45-1)&amp;"/"&amp;B45,B45&amp;"/"&amp;(B45+1))</f>
        <v>4049/4050</v>
      </c>
      <c r="L45" s="245" t="str">
        <f>VLOOKUP(A45,'Trips&amp;Operators'!$C$1:$G$99911,5,FALSE)</f>
        <v>LAMAR NEKESHA</v>
      </c>
      <c r="M45" s="224">
        <f>I45-F45</f>
        <v>1.7881944448163267E-2</v>
      </c>
      <c r="N45" s="225"/>
      <c r="O45" s="225"/>
      <c r="P45" s="225"/>
      <c r="Q45" s="228"/>
      <c r="R45" s="242"/>
      <c r="S45" s="249"/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-24T07:38:38-0700',mode:absolute,to:'2017-12-24T10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5" s="247" t="str">
        <f>IF(AA45&lt;VLOOKUP(AG45,Variables!$AC$3:$AD$8,2,FALSE),"Y","N")</f>
        <v>Y</v>
      </c>
      <c r="X45" s="247">
        <f>VALUE(LEFT(AD45,4))-VALUE(LEFT(AD44,4))</f>
        <v>0</v>
      </c>
      <c r="Y45" s="247">
        <f>RIGHT(D45,LEN(D45)-4)/10000</f>
        <v>15.398999999999999</v>
      </c>
      <c r="Z45" s="247">
        <f>RIGHT(H45,LEN(H45)-4)/10000</f>
        <v>1.5599999999999999E-2</v>
      </c>
      <c r="AA45" s="247">
        <f>ABS(Z45-Y45)</f>
        <v>15.3834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/stypes="app*4049*20171224*"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132-24 --locoid 4049 --swversion DE.1.0.9.0 --startMP 204:153990 --initTime 2017-12-24T08:38:38 --startdatetime 2017-12-24T08:41:21 --delay 64 --endMP 204:156 --enddatetime 2017-12-24T09:07:06 --enforcementcount 0 &gt;&gt;%USERPROFILE%\Documents\GitHub\eaglep3-reporting\EC\2017-12-24-refined-times.txt</v>
      </c>
      <c r="AI45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{"issue":{"subject":"","project_id":79,"tracker_id":40,"status_id":1,"priority_id":2,"assigned_to_id":338,"start_date":"2017-12-24","description":"","custom_fields":[{"id":1,"name":"Subdivision","value":"EC"},{"id":4,"name":"Milepost","value":"0.0156"},{"id":17,"name":"Train ID","value":"132-24"},{"id":16,"name":"Locomotive ID","value":"4049"},{"id":130,"name":"Impact","value":""},{"id":150,"name":"Time of Event (Mountain Time)","value":"09:07:06"},{"id":151,"name":"Denver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4049 --day 2017-12-24</v>
      </c>
      <c r="AN45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2017-12-24T07:38:38-0700',mode:absolute,to:'2017-12-24T10:07:06-0700'))&amp;_a=(columns:!('Message%20ID',Summary),filters:!(),index:'emp_*',interval:auto,query:(query_string:(analyze_wildcard:!t,query:'%22rtdc.l.rtdc.4049%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757</v>
      </c>
      <c r="B46" s="225">
        <v>4022</v>
      </c>
      <c r="C46" s="227" t="s">
        <v>192</v>
      </c>
      <c r="D46" s="227" t="s">
        <v>507</v>
      </c>
      <c r="E46" s="226">
        <v>43093.322094907409</v>
      </c>
      <c r="F46" s="226">
        <v>43093.325127314813</v>
      </c>
      <c r="G46" s="225">
        <v>50</v>
      </c>
      <c r="H46" s="227" t="s">
        <v>572</v>
      </c>
      <c r="I46" s="226">
        <v>43093.34784722222</v>
      </c>
      <c r="J46" s="225">
        <v>0</v>
      </c>
      <c r="K46" s="237" t="str">
        <f>IF(ISEVEN(B46),(B46-1)&amp;"/"&amp;B46,B46&amp;"/"&amp;(B46+1))</f>
        <v>4021/4022</v>
      </c>
      <c r="L46" s="245" t="str">
        <f>VLOOKUP(A46,'Trips&amp;Operators'!$C$1:$G$99911,5,FALSE)</f>
        <v>LOPES KIMBERLY</v>
      </c>
      <c r="M46" s="224">
        <f>I46-F46</f>
        <v>2.2719907407008577E-2</v>
      </c>
      <c r="N46" s="225">
        <f>24*60*SUM($M46:$M46)</f>
        <v>32.716666666092351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-24T06:43:49-0700',mode:absolute,to:'2017-12-24T09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5.0599999999999999E-2</v>
      </c>
      <c r="Z46" s="247">
        <f>RIGHT(H46,LEN(H46)-4)/10000</f>
        <v>23.3278</v>
      </c>
      <c r="AA46" s="247">
        <f>ABS(Z46-Y46)</f>
        <v>23.277200000000001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/stypes="app*4022*20171224*"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133-24 --locoid 4022 --swversion DE.1.0.9.0 --startMP 204:506 --initTime 2017-12-24T07:43:49 --startdatetime 2017-12-24T07:48:11 --delay 50 --endMP 204:233278 --enddatetime 2017-12-24T08:20:54 --enforcementcount 0 &gt;&gt;%USERPROFILE%\Documents\GitHub\eaglep3-reporting\EC\2017-12-24-refined-times.txt</v>
      </c>
      <c r="AI46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{"issue":{"subject":"","project_id":79,"tracker_id":40,"status_id":1,"priority_id":2,"assigned_to_id":338,"start_date":"2017-12-24","description":"","custom_fields":[{"id":1,"name":"Subdivision","value":"EC"},{"id":4,"name":"Milepost","value":"23.3278"},{"id":17,"name":"Train ID","value":"133-24"},{"id":16,"name":"Locomotive ID","value":"4022"},{"id":130,"name":"Impact","value":""},{"id":150,"name":"Time of Event (Mountain Time)","value":"08:20:54"},{"id":151,"name":"Denver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4022 --day 2017-12-24</v>
      </c>
      <c r="AN46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2017-12-24T06:43:49-0700',mode:absolute,to:'2017-12-24T09:20:54-0700'))&amp;_a=(columns:!('Message%20ID',Summary),filters:!(),index:'emp_*',interval:auto,query:(query_string:(analyze_wildcard:!t,query:'%22rtdc.l.rtdc.4022%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764</v>
      </c>
      <c r="B47" s="225">
        <v>4021</v>
      </c>
      <c r="C47" s="227" t="s">
        <v>192</v>
      </c>
      <c r="D47" s="227" t="s">
        <v>624</v>
      </c>
      <c r="E47" s="226">
        <v>43093.349895833337</v>
      </c>
      <c r="F47" s="226">
        <v>43093.362685185188</v>
      </c>
      <c r="G47" s="225">
        <v>50</v>
      </c>
      <c r="H47" s="227" t="s">
        <v>499</v>
      </c>
      <c r="I47" s="226">
        <v>43093.389189814814</v>
      </c>
      <c r="J47" s="225">
        <v>0</v>
      </c>
      <c r="K47" s="237" t="str">
        <f>IF(ISEVEN(B47),(B47-1)&amp;"/"&amp;B47,B47&amp;"/"&amp;(B47+1))</f>
        <v>4021/4022</v>
      </c>
      <c r="L47" s="245" t="str">
        <f>VLOOKUP(A47,'Trips&amp;Operators'!$C$1:$G$99911,5,FALSE)</f>
        <v>LOPES KIMBERLY</v>
      </c>
      <c r="M47" s="224">
        <f>I47-F47</f>
        <v>2.6504629626288079E-2</v>
      </c>
      <c r="N47" s="225">
        <f>24*60*SUM($M47:$M47)</f>
        <v>38.166666661854833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-24T07:23:51-0700',mode:absolute,to:'2017-12-24T10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23.297699999999999</v>
      </c>
      <c r="Z47" s="247">
        <f>RIGHT(H47,LEN(H47)-4)/10000</f>
        <v>1.9099999999999999E-2</v>
      </c>
      <c r="AA47" s="247">
        <f>ABS(Z47-Y47)</f>
        <v>23.278599999999997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/stypes="app*4021*20171224*"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134-24 --locoid 4021 --swversion DE.1.0.9.0 --startMP 204:232977 --initTime 2017-12-24T08:23:51 --startdatetime 2017-12-24T08:42:16 --delay 50 --endMP 204:191 --enddatetime 2017-12-24T09:20:26 --enforcementcount 0 &gt;&gt;%USERPROFILE%\Documents\GitHub\eaglep3-reporting\EC\2017-12-24-refined-times.txt</v>
      </c>
      <c r="AI4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{"issue":{"subject":"","project_id":79,"tracker_id":40,"status_id":1,"priority_id":2,"assigned_to_id":338,"start_date":"2017-12-24","description":"","custom_fields":[{"id":1,"name":"Subdivision","value":"EC"},{"id":4,"name":"Milepost","value":"0.0191"},{"id":17,"name":"Train ID","value":"134-24"},{"id":16,"name":"Locomotive ID","value":"4021"},{"id":130,"name":"Impact","value":""},{"id":150,"name":"Time of Event (Mountain Time)","value":"09:20:26"},{"id":151,"name":"Denver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4021 --day 2017-12-24</v>
      </c>
      <c r="AN4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2017-12-24T07:23:51-0700',mode:absolute,to:'2017-12-24T10:20:26-0700'))&amp;_a=(columns:!('Message%20ID',Summary),filters:!(),index:'emp_*',interval:auto,query:(query_string:(analyze_wildcard:!t,query:'%22rtdc.l.rtdc.4021%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758</v>
      </c>
      <c r="B48" s="225">
        <v>4062</v>
      </c>
      <c r="C48" s="227" t="s">
        <v>192</v>
      </c>
      <c r="D48" s="227" t="s">
        <v>930</v>
      </c>
      <c r="E48" s="226">
        <v>43093.326331018521</v>
      </c>
      <c r="F48" s="226">
        <v>43093.335057870368</v>
      </c>
      <c r="G48" s="225">
        <v>80</v>
      </c>
      <c r="H48" s="227" t="s">
        <v>646</v>
      </c>
      <c r="I48" s="226">
        <v>43093.360775462963</v>
      </c>
      <c r="J48" s="225">
        <v>0</v>
      </c>
      <c r="K48" s="237" t="str">
        <f>IF(ISEVEN(B48),(B48-1)&amp;"/"&amp;B48,B48&amp;"/"&amp;(B48+1))</f>
        <v>4061/4062</v>
      </c>
      <c r="L48" s="245" t="str">
        <f>VLOOKUP(A48,'Trips&amp;Operators'!$C$1:$G$99911,5,FALSE)</f>
        <v>LANGERAK WILLIAM</v>
      </c>
      <c r="M48" s="224">
        <f>I48-F48</f>
        <v>2.5717592594446614E-2</v>
      </c>
      <c r="N48" s="225">
        <f>24*60*SUM($M48:$M48)</f>
        <v>37.033333336003125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-24T06:49:55-0700',mode:absolute,to:'2017-12-24T09:39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0.14829999999999999</v>
      </c>
      <c r="Z48" s="247">
        <f>RIGHT(H48,LEN(H48)-4)/10000</f>
        <v>23.328700000000001</v>
      </c>
      <c r="AA48" s="247">
        <f>ABS(Z48-Y48)</f>
        <v>23.180400000000002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/stypes="app*4062*20171224*"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135-24 --locoid 4062 --swversion DE.1.0.9.0 --startMP 204:1483 --initTime 2017-12-24T07:49:55 --startdatetime 2017-12-24T08:02:29 --delay 80 --endMP 204:233287 --enddatetime 2017-12-24T08:39:31 --enforcementcount 0 &gt;&gt;%USERPROFILE%\Documents\GitHub\eaglep3-reporting\EC\2017-12-24-refined-times.txt</v>
      </c>
      <c r="AI4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{"issue":{"subject":"","project_id":79,"tracker_id":40,"status_id":1,"priority_id":2,"assigned_to_id":338,"start_date":"2017-12-24","description":"","custom_fields":[{"id":1,"name":"Subdivision","value":"EC"},{"id":4,"name":"Milepost","value":"23.3287"},{"id":17,"name":"Train ID","value":"135-24"},{"id":16,"name":"Locomotive ID","value":"4062"},{"id":130,"name":"Impact","value":""},{"id":150,"name":"Time of Event (Mountain Time)","value":"08:39:31"},{"id":151,"name":"Denver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4062 --day 2017-12-24</v>
      </c>
      <c r="AN4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2017-12-24T06:49:55-0700',mode:absolute,to:'2017-12-24T09:39:31-0700'))&amp;_a=(columns:!('Message%20ID',Summary),filters:!(),index:'emp_*',interval:auto,query:(query_string:(analyze_wildcard:!t,query:'%22rtdc.l.rtdc.4062%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766</v>
      </c>
      <c r="B49" s="225">
        <v>4061</v>
      </c>
      <c r="C49" s="227" t="s">
        <v>192</v>
      </c>
      <c r="D49" s="227" t="s">
        <v>931</v>
      </c>
      <c r="E49" s="226">
        <v>43093.36273148148</v>
      </c>
      <c r="F49" s="226">
        <v>43093.373148148145</v>
      </c>
      <c r="G49" s="225">
        <v>63</v>
      </c>
      <c r="H49" s="227" t="s">
        <v>517</v>
      </c>
      <c r="I49" s="226">
        <v>43093.400231481479</v>
      </c>
      <c r="J49" s="225">
        <v>0</v>
      </c>
      <c r="K49" s="237" t="str">
        <f>IF(ISEVEN(B49),(B49-1)&amp;"/"&amp;B49,B49&amp;"/"&amp;(B49+1))</f>
        <v>4061/4062</v>
      </c>
      <c r="L49" s="245" t="str">
        <f>VLOOKUP(A49,'Trips&amp;Operators'!$C$1:$G$99911,5,FALSE)</f>
        <v>LANGERAK WILLIAM</v>
      </c>
      <c r="M49" s="224">
        <f>I49-F49</f>
        <v>2.7083333334303461E-2</v>
      </c>
      <c r="N49" s="225">
        <f>24*60*SUM($M49:$M49)</f>
        <v>39.000000001396984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-24T07:42:20-0700',mode:absolute,to:'2017-12-24T10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23.297000000000001</v>
      </c>
      <c r="Z49" s="247">
        <f>RIGHT(H49,LEN(H49)-4)/10000</f>
        <v>2.0500000000000001E-2</v>
      </c>
      <c r="AA49" s="247">
        <f>ABS(Z49-Y49)</f>
        <v>23.276500000000002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/stypes="app*4061*20171224*"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136-24 --locoid 4061 --swversion DE.1.0.9.0 --startMP 204:232970 --initTime 2017-12-24T08:42:20 --startdatetime 2017-12-24T08:57:20 --delay 63 --endMP 204:205 --enddatetime 2017-12-24T09:36:20 --enforcementcount 0 &gt;&gt;%USERPROFILE%\Documents\GitHub\eaglep3-reporting\EC\2017-12-24-refined-times.txt</v>
      </c>
      <c r="AI4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{"issue":{"subject":"","project_id":79,"tracker_id":40,"status_id":1,"priority_id":2,"assigned_to_id":338,"start_date":"2017-12-24","description":"","custom_fields":[{"id":1,"name":"Subdivision","value":"EC"},{"id":4,"name":"Milepost","value":"0.0205"},{"id":17,"name":"Train ID","value":"136-24"},{"id":16,"name":"Locomotive ID","value":"4061"},{"id":130,"name":"Impact","value":""},{"id":150,"name":"Time of Event (Mountain Time)","value":"09:36:20"},{"id":151,"name":"Denver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4061 --day 2017-12-24</v>
      </c>
      <c r="AN4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2017-12-24T07:42:20-0700',mode:absolute,to:'2017-12-24T10:36:20-0700'))&amp;_a=(columns:!('Message%20ID',Summary),filters:!(),index:'emp_*',interval:auto,query:(query_string:(analyze_wildcard:!t,query:'%22rtdc.l.rtdc.4061%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762</v>
      </c>
      <c r="B50" s="225">
        <v>4012</v>
      </c>
      <c r="C50" s="227" t="s">
        <v>192</v>
      </c>
      <c r="D50" s="227" t="s">
        <v>663</v>
      </c>
      <c r="E50" s="226">
        <v>43093.341053240743</v>
      </c>
      <c r="F50" s="226">
        <v>43093.344097222223</v>
      </c>
      <c r="G50" s="225">
        <v>54</v>
      </c>
      <c r="H50" s="227" t="s">
        <v>530</v>
      </c>
      <c r="I50" s="226">
        <v>43093.368171296293</v>
      </c>
      <c r="J50" s="225">
        <v>0</v>
      </c>
      <c r="K50" s="237" t="str">
        <f>IF(ISEVEN(B50),(B50-1)&amp;"/"&amp;B50,B50&amp;"/"&amp;(B50+1))</f>
        <v>4011/4012</v>
      </c>
      <c r="L50" s="245" t="str">
        <f>VLOOKUP(A50,'Trips&amp;Operators'!$C$1:$G$99911,5,FALSE)</f>
        <v>GEBRETEKLE DAGNEW</v>
      </c>
      <c r="M50" s="224">
        <f>I50-F50</f>
        <v>2.4074074070085771E-2</v>
      </c>
      <c r="N50" s="225">
        <f>24*60*SUM($M50:$M50)</f>
        <v>34.666666660923511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-24T07:11:07-0700',mode:absolute,to:'2017-12-24T09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4.5499999999999999E-2</v>
      </c>
      <c r="Z50" s="247">
        <f>RIGHT(H50,LEN(H50)-4)/10000</f>
        <v>23.328600000000002</v>
      </c>
      <c r="AA50" s="247">
        <f>ABS(Z50-Y50)</f>
        <v>23.283100000000001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/stypes="app*4012*20171224*"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137-24 --locoid 4012 --swversion DE.1.0.9.0 --startMP 204:455 --initTime 2017-12-24T08:11:07 --startdatetime 2017-12-24T08:15:30 --delay 54 --endMP 204:233286 --enddatetime 2017-12-24T08:50:10 --enforcementcount 0 &gt;&gt;%USERPROFILE%\Documents\GitHub\eaglep3-reporting\EC\2017-12-24-refined-times.txt</v>
      </c>
      <c r="AI50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{"issue":{"subject":"","project_id":79,"tracker_id":40,"status_id":1,"priority_id":2,"assigned_to_id":338,"start_date":"2017-12-24","description":"","custom_fields":[{"id":1,"name":"Subdivision","value":"EC"},{"id":4,"name":"Milepost","value":"23.3286"},{"id":17,"name":"Train ID","value":"137-24"},{"id":16,"name":"Locomotive ID","value":"4012"},{"id":130,"name":"Impact","value":""},{"id":150,"name":"Time of Event (Mountain Time)","value":"08:50:10"},{"id":151,"name":"Denver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4012 --day 2017-12-24</v>
      </c>
      <c r="AN50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2017-12-24T07:11:07-0700',mode:absolute,to:'2017-12-24T09:50:10-0700'))&amp;_a=(columns:!('Message%20ID',Summary),filters:!(),index:'emp_*',interval:auto,query:(query_string:(analyze_wildcard:!t,query:'%22rtdc.l.rtdc.4012%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767</v>
      </c>
      <c r="B51" s="225">
        <v>4011</v>
      </c>
      <c r="C51" s="227" t="s">
        <v>192</v>
      </c>
      <c r="D51" s="227" t="s">
        <v>624</v>
      </c>
      <c r="E51" s="226">
        <v>43093.370474537034</v>
      </c>
      <c r="F51" s="226">
        <v>43093.383553240739</v>
      </c>
      <c r="G51" s="225">
        <v>51</v>
      </c>
      <c r="H51" s="227" t="s">
        <v>623</v>
      </c>
      <c r="I51" s="226">
        <v>43093.409942129627</v>
      </c>
      <c r="J51" s="225">
        <v>0</v>
      </c>
      <c r="K51" s="237" t="str">
        <f>IF(ISEVEN(B51),(B51-1)&amp;"/"&amp;B51,B51&amp;"/"&amp;(B51+1))</f>
        <v>4011/4012</v>
      </c>
      <c r="L51" s="245" t="str">
        <f>VLOOKUP(A51,'Trips&amp;Operators'!$C$1:$G$99911,5,FALSE)</f>
        <v>GEBRETEKLE DAGNEW</v>
      </c>
      <c r="M51" s="224">
        <f>I51-F51</f>
        <v>2.6388888887595385E-2</v>
      </c>
      <c r="N51" s="225">
        <f>24*60*SUM($M51:$M51)</f>
        <v>37.999999998137355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-24T07:53:29-0700',mode:absolute,to:'2017-12-24T10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23.297699999999999</v>
      </c>
      <c r="Z51" s="247">
        <f>RIGHT(H51,LEN(H51)-4)/10000</f>
        <v>1.3899999999999999E-2</v>
      </c>
      <c r="AA51" s="247">
        <f>ABS(Z51-Y51)</f>
        <v>23.283799999999999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/stypes="app*4011*20171224*"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138-24 --locoid 4011 --swversion DE.1.0.9.0 --startMP 204:232977 --initTime 2017-12-24T08:53:29 --startdatetime 2017-12-24T09:12:19 --delay 51 --endMP 204:139 --enddatetime 2017-12-24T09:50:19 --enforcementcount 0 &gt;&gt;%USERPROFILE%\Documents\GitHub\eaglep3-reporting\EC\2017-12-24-refined-times.txt</v>
      </c>
      <c r="AI51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{"issue":{"subject":"","project_id":79,"tracker_id":40,"status_id":1,"priority_id":2,"assigned_to_id":338,"start_date":"2017-12-24","description":"","custom_fields":[{"id":1,"name":"Subdivision","value":"EC"},{"id":4,"name":"Milepost","value":"0.0139"},{"id":17,"name":"Train ID","value":"138-24"},{"id":16,"name":"Locomotive ID","value":"4011"},{"id":130,"name":"Impact","value":""},{"id":150,"name":"Time of Event (Mountain Time)","value":"09:50:19"},{"id":151,"name":"Denver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4011 --day 2017-12-24</v>
      </c>
      <c r="AN51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2017-12-24T07:53:29-0700',mode:absolute,to:'2017-12-24T10:50:19-0700'))&amp;_a=(columns:!('Message%20ID',Summary),filters:!(),index:'emp_*',interval:auto,query:(query_string:(analyze_wildcard:!t,query:'%22rtdc.l.rtdc.4011%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677</v>
      </c>
      <c r="B52" s="225">
        <v>4044</v>
      </c>
      <c r="C52" s="227" t="s">
        <v>192</v>
      </c>
      <c r="D52" s="227" t="s">
        <v>624</v>
      </c>
      <c r="E52" s="226">
        <v>43093.370474537034</v>
      </c>
      <c r="F52" s="226">
        <v>43093.354467592595</v>
      </c>
      <c r="G52" s="225">
        <v>51</v>
      </c>
      <c r="H52" s="227" t="s">
        <v>623</v>
      </c>
      <c r="I52" s="226">
        <v>43093.379328703704</v>
      </c>
      <c r="J52" s="225">
        <v>0</v>
      </c>
      <c r="K52" s="237" t="str">
        <f>IF(ISEVEN(B52),(B52-1)&amp;"/"&amp;B52,B52&amp;"/"&amp;(B52+1))</f>
        <v>4043/4044</v>
      </c>
      <c r="L52" s="245" t="str">
        <f>VLOOKUP(A52,'Trips&amp;Operators'!$C$1:$G$99911,5,FALSE)</f>
        <v>THOMPSON LESTER</v>
      </c>
      <c r="M52" s="224">
        <f>I52-F52</f>
        <v>2.4861111109203193E-2</v>
      </c>
      <c r="N52" s="225">
        <f>24*60*SUM($M52:$M52)</f>
        <v>35.799999997252598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-24T07:53:29-0700',mode:absolute,to:'2017-12-24T10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v>7.7499999999999999E-2</v>
      </c>
      <c r="Z52" s="247">
        <v>23.328099999999999</v>
      </c>
      <c r="AA52" s="247">
        <f>ABS(Z52-Y52)</f>
        <v>23.250599999999999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/stypes="app*4044*20171224*"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ref="AH52" si="15"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139-24 --locoid 4044 --swversion DE.1.0.9.0 --startMP 204:232977 --initTime 2017-12-24T08:53:29 --startdatetime 2017-12-24T08:30:26 --delay 51 --endMP 204:139 --enddatetime 2017-12-24T09:06:14 --enforcementcount 0 &gt;&gt;%USERPROFILE%\Documents\GitHub\eaglep3-reporting\EC\2017-12-24-refined-times.txt</v>
      </c>
      <c r="AI52" s="238" t="str">
        <f t="shared" ref="AI52" si="16"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{"issue":{"subject":"","project_id":79,"tracker_id":40,"status_id":1,"priority_id":2,"assigned_to_id":338,"start_date":"2017-12-24","description":"","custom_fields":[{"id":1,"name":"Subdivision","value":"EC"},{"id":4,"name":"Milepost","value":"23.3281"},{"id":17,"name":"Train ID","value":"139-24"},{"id":16,"name":"Locomotive ID","value":"4044"},{"id":130,"name":"Impact","value":""},{"id":150,"name":"Time of Event (Mountain Time)","value":"09:06:14"},{"id":151,"name":"Denver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ref="AM52" si="17">"start /low /b "&amp;dls3logs&amp;" --loco "&amp;B52&amp;" --day "&amp;TEXT(F52,"YYYY-MM-DD")</f>
        <v>start /low /b %USERPROFILE%\Documents\GitHub\eaglep3\Utilities\DownloadLogsFromS3.py --loco 4044 --day 2017-12-24</v>
      </c>
      <c r="AN52" s="241" t="str">
        <f t="shared" ref="AN52" si="18">"echo {""issue"":{""subject"":"""&amp;R52&amp;""",""project_id"":30,""tracker_id"":4,""status_id"":"&amp;redmine_status_wcr&amp;",""priority_id"":"&amp;redmine_priority_wcr&amp;",""assigned_to_id"":"&amp;redmine_assignee_wcr&amp;",""start_date"":"""&amp;TEXT(I52-utc_offset/24,"YYYY-mm-dd")&amp;""",""description"":"""&amp;AJ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ref="AO52" si="19"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Message%20ID',Summary),filters:!(),index:'emp_*',interval:auto,query:"&amp;"(query_string:(analyze_wildcard:!t,query:'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-24T07:53:29-0700',mode:absolute,to:'2017-12-24T10:06:14-0700'))&amp;_a=(columns:!('Message%20ID',Summary),filters:!(),index:'emp_*',interval:auto,query:(query_string:(analyze_wildcard:!t,query:'%22rtdc.l.rtdc.4044%22')),sort:!(Time.ISO8601,asc))</v>
      </c>
      <c r="AP52" s="223"/>
      <c r="AQ52" s="223"/>
      <c r="AR52" s="223"/>
      <c r="AS52" s="223"/>
      <c r="AT52" s="223"/>
      <c r="AU52" s="223"/>
      <c r="AV52" s="223"/>
      <c r="AW52" s="223"/>
      <c r="AX52" s="223"/>
      <c r="AY52" s="223"/>
      <c r="AZ52" s="223"/>
      <c r="BA52" s="223"/>
      <c r="BB52" s="223"/>
      <c r="BC52" s="223"/>
      <c r="BD52" s="223"/>
      <c r="BE52" s="223"/>
      <c r="BF52" s="223"/>
      <c r="BG52" s="223"/>
      <c r="BH52" s="223"/>
      <c r="BI52" s="223"/>
      <c r="BJ52" s="223"/>
      <c r="BK52" s="223"/>
      <c r="BL52" s="223"/>
      <c r="BM52" s="223"/>
      <c r="BN52" s="223"/>
      <c r="BO52" s="223"/>
      <c r="BP52" s="223"/>
      <c r="BQ52" s="223"/>
      <c r="BR52" s="223"/>
      <c r="BS52" s="223"/>
      <c r="BT52" s="223"/>
      <c r="BU52" s="223"/>
      <c r="BV52" s="223"/>
      <c r="BW52" s="223"/>
      <c r="BX52" s="223"/>
      <c r="BY52" s="223"/>
      <c r="BZ52" s="223"/>
      <c r="CA52" s="223"/>
      <c r="CB52" s="223"/>
      <c r="CC52" s="223"/>
      <c r="CD52" s="223"/>
      <c r="CE52" s="223"/>
      <c r="CF52" s="223"/>
      <c r="CG52" s="223"/>
      <c r="CH52" s="223"/>
      <c r="CI52" s="223"/>
      <c r="CJ52" s="223"/>
      <c r="CK52" s="223"/>
      <c r="CL52" s="223"/>
      <c r="CM52" s="223"/>
    </row>
    <row r="53" spans="1:91" s="1" customFormat="1" x14ac:dyDescent="0.3">
      <c r="A53" s="229" t="s">
        <v>772</v>
      </c>
      <c r="B53" s="225">
        <v>4043</v>
      </c>
      <c r="C53" s="227" t="s">
        <v>192</v>
      </c>
      <c r="D53" s="227" t="s">
        <v>932</v>
      </c>
      <c r="E53" s="226">
        <v>43093.392187500001</v>
      </c>
      <c r="F53" s="226">
        <v>43093.393958333334</v>
      </c>
      <c r="G53" s="225">
        <v>55</v>
      </c>
      <c r="H53" s="227" t="s">
        <v>933</v>
      </c>
      <c r="I53" s="226">
        <v>43093.420520833337</v>
      </c>
      <c r="J53" s="225">
        <v>0</v>
      </c>
      <c r="K53" s="237" t="str">
        <f>IF(ISEVEN(B53),(B53-1)&amp;"/"&amp;B53,B53&amp;"/"&amp;(B53+1))</f>
        <v>4043/4044</v>
      </c>
      <c r="L53" s="245" t="str">
        <f>VLOOKUP(A53,'Trips&amp;Operators'!$C$1:$G$99911,5,FALSE)</f>
        <v>THOMPSON LESTER</v>
      </c>
      <c r="M53" s="224">
        <f>I53-F53</f>
        <v>2.6562500002910383E-2</v>
      </c>
      <c r="N53" s="225">
        <f>24*60*SUM($M53:$M53)</f>
        <v>38.250000004190952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-24T08:24:45-0700',mode:absolute,to:'2017-12-24T11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3" s="247" t="str">
        <f>IF(AA53&lt;VLOOKUP(AG53,Variables!$AC$3:$AD$8,2,FALSE),"Y","N")</f>
        <v>N</v>
      </c>
      <c r="X53" s="247">
        <f t="shared" ref="X53:X55" si="20">VALUE(LEFT(AD53,4))-VALUE(LEFT(AD52,4))</f>
        <v>1</v>
      </c>
      <c r="Y53" s="247">
        <f>RIGHT(D53,LEN(D53)-4)/10000</f>
        <v>23.298300000000001</v>
      </c>
      <c r="Z53" s="247">
        <f>RIGHT(H53,LEN(H53)-4)/10000</f>
        <v>1.61E-2</v>
      </c>
      <c r="AA53" s="247">
        <f>ABS(Z53-Y53)</f>
        <v>23.2822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/stypes="app*4043*20171224*"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140-24 --locoid 4043 --swversion DE.1.0.9.0 --startMP 204:232983 --initTime 2017-12-24T09:24:45 --startdatetime 2017-12-24T09:27:18 --delay 55 --endMP 204:161 --enddatetime 2017-12-24T10:05:33 --enforcementcount 0 &gt;&gt;%USERPROFILE%\Documents\GitHub\eaglep3-reporting\EC\2017-12-24-refined-times.txt</v>
      </c>
      <c r="AI53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{"issue":{"subject":"","project_id":79,"tracker_id":40,"status_id":1,"priority_id":2,"assigned_to_id":338,"start_date":"2017-12-24","description":"","custom_fields":[{"id":1,"name":"Subdivision","value":"EC"},{"id":4,"name":"Milepost","value":"0.0161"},{"id":17,"name":"Train ID","value":"140-24"},{"id":16,"name":"Locomotive ID","value":"4043"},{"id":130,"name":"Impact","value":""},{"id":150,"name":"Time of Event (Mountain Time)","value":"10:05:33"},{"id":151,"name":"Denver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4043 --day 2017-12-24</v>
      </c>
      <c r="AN53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2017-12-24T08:24:45-0700',mode:absolute,to:'2017-12-24T11:05:33-0700'))&amp;_a=(columns:!('Message%20ID',Summary),filters:!(),index:'emp_*',interval:auto,query:(query_string:(analyze_wildcard:!t,query:'%22rtdc.l.rtdc.4043%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681</v>
      </c>
      <c r="B54" s="225">
        <v>4014</v>
      </c>
      <c r="C54" s="227" t="s">
        <v>192</v>
      </c>
      <c r="D54" s="227" t="s">
        <v>534</v>
      </c>
      <c r="E54" s="226">
        <v>43093.361550925925</v>
      </c>
      <c r="F54" s="226">
        <v>43093.365034722221</v>
      </c>
      <c r="G54" s="225">
        <v>70</v>
      </c>
      <c r="H54" s="227" t="s">
        <v>575</v>
      </c>
      <c r="I54" s="226">
        <v>43093.391562500001</v>
      </c>
      <c r="J54" s="225">
        <v>0</v>
      </c>
      <c r="K54" s="237" t="str">
        <f>IF(ISEVEN(B54),(B54-1)&amp;"/"&amp;B54,B54&amp;"/"&amp;(B54+1))</f>
        <v>4013/4014</v>
      </c>
      <c r="L54" s="245" t="str">
        <f>VLOOKUP(A54,'Trips&amp;Operators'!$C$1:$G$99911,5,FALSE)</f>
        <v>WILLIAMS DONTE</v>
      </c>
      <c r="M54" s="224">
        <f>I54-F54</f>
        <v>2.6527777779847383E-2</v>
      </c>
      <c r="N54" s="225">
        <f>24*60*SUM($M54:$M54)</f>
        <v>38.200000002980232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-24T07:40:38-0700',mode:absolute,to:'2017-12-24T10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4" s="247" t="str">
        <f>IF(AA54&lt;VLOOKUP(AG54,Variables!$AC$3:$AD$8,2,FALSE),"Y","N")</f>
        <v>N</v>
      </c>
      <c r="X54" s="247">
        <f t="shared" si="20"/>
        <v>1</v>
      </c>
      <c r="Y54" s="247">
        <f>RIGHT(D54,LEN(D54)-4)/10000</f>
        <v>5.04E-2</v>
      </c>
      <c r="Z54" s="247">
        <f>RIGHT(H54,LEN(H54)-4)/10000</f>
        <v>23.3264</v>
      </c>
      <c r="AA54" s="247">
        <f>ABS(Z54-Y54)</f>
        <v>23.276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/stypes="app*4014*20171224*"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141-24 --locoid 4014 --swversion DE.1.0.9.0 --startMP 204:504 --initTime 2017-12-24T08:40:38 --startdatetime 2017-12-24T08:45:39 --delay 70 --endMP 204:233264 --enddatetime 2017-12-24T09:23:51 --enforcementcount 0 &gt;&gt;%USERPROFILE%\Documents\GitHub\eaglep3-reporting\EC\2017-12-24-refined-times.txt</v>
      </c>
      <c r="AI54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{"issue":{"subject":"","project_id":79,"tracker_id":40,"status_id":1,"priority_id":2,"assigned_to_id":338,"start_date":"2017-12-24","description":"","custom_fields":[{"id":1,"name":"Subdivision","value":"EC"},{"id":4,"name":"Milepost","value":"23.3264"},{"id":17,"name":"Train ID","value":"141-24"},{"id":16,"name":"Locomotive ID","value":"4014"},{"id":130,"name":"Impact","value":""},{"id":150,"name":"Time of Event (Mountain Time)","value":"09:23:51"},{"id":151,"name":"Denver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4014 --day 2017-12-24</v>
      </c>
      <c r="AN54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2017-12-24T07:40:38-0700',mode:absolute,to:'2017-12-24T10:23:51-0700'))&amp;_a=(columns:!('Message%20ID',Summary),filters:!(),index:'emp_*',interval:auto,query:(query_string:(analyze_wildcard:!t,query:'%22rtdc.l.rtdc.4014%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774</v>
      </c>
      <c r="B55" s="225">
        <v>4013</v>
      </c>
      <c r="C55" s="227" t="s">
        <v>192</v>
      </c>
      <c r="D55" s="227" t="s">
        <v>911</v>
      </c>
      <c r="E55" s="226">
        <v>43093.398402777777</v>
      </c>
      <c r="F55" s="226">
        <v>43093.404502314814</v>
      </c>
      <c r="G55" s="225">
        <v>56</v>
      </c>
      <c r="H55" s="227" t="s">
        <v>556</v>
      </c>
      <c r="I55" s="226">
        <v>43093.432291666664</v>
      </c>
      <c r="J55" s="225">
        <v>0</v>
      </c>
      <c r="K55" s="237" t="str">
        <f>IF(ISEVEN(B55),(B55-1)&amp;"/"&amp;B55,B55&amp;"/"&amp;(B55+1))</f>
        <v>4013/4014</v>
      </c>
      <c r="L55" s="245" t="str">
        <f>VLOOKUP(A55,'Trips&amp;Operators'!$C$1:$G$99911,5,FALSE)</f>
        <v>WILLIAMS DONTE</v>
      </c>
      <c r="M55" s="224">
        <f>I55-F55</f>
        <v>2.7789351850515231E-2</v>
      </c>
      <c r="N55" s="225">
        <f>24*60*SUM($M55:$M55)</f>
        <v>40.016666664741933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-24T08:33:42-0700',mode:absolute,to:'2017-12-24T11:22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5" s="247" t="str">
        <f>IF(AA55&lt;VLOOKUP(AG55,Variables!$AC$3:$AD$8,2,FALSE),"Y","N")</f>
        <v>N</v>
      </c>
      <c r="X55" s="247">
        <f t="shared" si="20"/>
        <v>1</v>
      </c>
      <c r="Y55" s="247">
        <f>RIGHT(D55,LEN(D55)-4)/10000</f>
        <v>23.291899999999998</v>
      </c>
      <c r="Z55" s="247">
        <f>RIGHT(H55,LEN(H55)-4)/10000</f>
        <v>2.1600000000000001E-2</v>
      </c>
      <c r="AA55" s="247">
        <f>ABS(Z55-Y55)</f>
        <v>23.270299999999999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/stypes="app*4013*20171224*"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142-24 --locoid 4013 --swversion DE.1.0.9.0 --startMP 204:232919 --initTime 2017-12-24T09:33:42 --startdatetime 2017-12-24T09:42:29 --delay 56 --endMP 204:216 --enddatetime 2017-12-24T10:22:30 --enforcementcount 0 &gt;&gt;%USERPROFILE%\Documents\GitHub\eaglep3-reporting\EC\2017-12-24-refined-times.txt</v>
      </c>
      <c r="AI55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{"issue":{"subject":"","project_id":79,"tracker_id":40,"status_id":1,"priority_id":2,"assigned_to_id":338,"start_date":"2017-12-24","description":"","custom_fields":[{"id":1,"name":"Subdivision","value":"EC"},{"id":4,"name":"Milepost","value":"0.0216"},{"id":17,"name":"Train ID","value":"142-24"},{"id":16,"name":"Locomotive ID","value":"4013"},{"id":130,"name":"Impact","value":""},{"id":150,"name":"Time of Event (Mountain Time)","value":"10:22:30"},{"id":151,"name":"Denver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4013 --day 2017-12-24</v>
      </c>
      <c r="AN55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2017-12-24T08:33:42-0700',mode:absolute,to:'2017-12-24T11:22:30-0700'))&amp;_a=(columns:!('Message%20ID',Summary),filters:!(),index:'emp_*',interval:auto,query:(query_string:(analyze_wildcard:!t,query:'%22rtdc.l.rtdc.4013%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768</v>
      </c>
      <c r="B56" s="225">
        <v>4006</v>
      </c>
      <c r="C56" s="227" t="s">
        <v>192</v>
      </c>
      <c r="D56" s="227" t="s">
        <v>934</v>
      </c>
      <c r="E56" s="226">
        <v>43093.372291666667</v>
      </c>
      <c r="F56" s="226">
        <v>43093.375173611108</v>
      </c>
      <c r="G56" s="225">
        <v>45</v>
      </c>
      <c r="H56" s="227" t="s">
        <v>508</v>
      </c>
      <c r="I56" s="226">
        <v>43093.400347222225</v>
      </c>
      <c r="J56" s="225">
        <v>0</v>
      </c>
      <c r="K56" s="237" t="str">
        <f>IF(ISEVEN(B56),(B56-1)&amp;"/"&amp;B56,B56&amp;"/"&amp;(B56+1))</f>
        <v>4005/4006</v>
      </c>
      <c r="L56" s="245" t="str">
        <f>VLOOKUP(A56,'Trips&amp;Operators'!$C$1:$G$99911,5,FALSE)</f>
        <v>MAELZER KURT</v>
      </c>
      <c r="M56" s="224">
        <f>I56-F56</f>
        <v>2.5173611116770189E-2</v>
      </c>
      <c r="N56" s="225">
        <f>24*60*SUM($M56:$M56)</f>
        <v>36.250000008149073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-24T07:56:06-0700',mode:absolute,to:'2017-12-24T10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5.1299999999999998E-2</v>
      </c>
      <c r="Z56" s="247">
        <f>RIGHT(H56,LEN(H56)-4)/10000</f>
        <v>23.329699999999999</v>
      </c>
      <c r="AA56" s="247">
        <f>ABS(Z56-Y56)</f>
        <v>23.278399999999998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/stypes="app*4006*20171224*"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143-24 --locoid 4006 --swversion DE.1.0.9.0 --startMP 204:513 --initTime 2017-12-24T08:56:06 --startdatetime 2017-12-24T09:00:15 --delay 45 --endMP 204:233297 --enddatetime 2017-12-24T09:36:30 --enforcementcount 0 &gt;&gt;%USERPROFILE%\Documents\GitHub\eaglep3-reporting\EC\2017-12-24-refined-times.txt</v>
      </c>
      <c r="AI56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{"issue":{"subject":"","project_id":79,"tracker_id":40,"status_id":1,"priority_id":2,"assigned_to_id":338,"start_date":"2017-12-24","description":"","custom_fields":[{"id":1,"name":"Subdivision","value":"EC"},{"id":4,"name":"Milepost","value":"23.3297"},{"id":17,"name":"Train ID","value":"143-24"},{"id":16,"name":"Locomotive ID","value":"4006"},{"id":130,"name":"Impact","value":""},{"id":150,"name":"Time of Event (Mountain Time)","value":"09:36:30"},{"id":151,"name":"Denver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4006 --day 2017-12-24</v>
      </c>
      <c r="AN56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2017-12-24T07:56:06-0700',mode:absolute,to:'2017-12-24T10:36:30-0700'))&amp;_a=(columns:!('Message%20ID',Summary),filters:!(),index:'emp_*',interval:auto,query:(query_string:(analyze_wildcard:!t,query:'%22rtdc.l.rtdc.4006%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776</v>
      </c>
      <c r="B57" s="225">
        <v>4005</v>
      </c>
      <c r="C57" s="227" t="s">
        <v>192</v>
      </c>
      <c r="D57" s="227" t="s">
        <v>914</v>
      </c>
      <c r="E57" s="226">
        <v>43093.410324074073</v>
      </c>
      <c r="F57" s="226">
        <v>43093.414814814816</v>
      </c>
      <c r="G57" s="225">
        <v>65</v>
      </c>
      <c r="H57" s="227" t="s">
        <v>509</v>
      </c>
      <c r="I57" s="226">
        <v>43093.440439814818</v>
      </c>
      <c r="J57" s="225">
        <v>0</v>
      </c>
      <c r="K57" s="237" t="str">
        <f>IF(ISEVEN(B57),(B57-1)&amp;"/"&amp;B57,B57&amp;"/"&amp;(B57+1))</f>
        <v>4005/4006</v>
      </c>
      <c r="L57" s="245" t="str">
        <f>VLOOKUP(A57,'Trips&amp;Operators'!$C$1:$G$99911,5,FALSE)</f>
        <v>MAELZER KURT</v>
      </c>
      <c r="M57" s="224">
        <f>I57-F57</f>
        <v>2.5625000002037268E-2</v>
      </c>
      <c r="N57" s="225">
        <f>24*60*SUM($M57:$M57)</f>
        <v>36.900000002933666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-24T08:50:52-0700',mode:absolute,to:'2017-12-24T11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23.299099999999999</v>
      </c>
      <c r="Z57" s="247">
        <f>RIGHT(H57,LEN(H57)-4)/10000</f>
        <v>2.01E-2</v>
      </c>
      <c r="AA57" s="247">
        <f>ABS(Z57-Y57)</f>
        <v>23.279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/stypes="app*4005*20171224*"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144-24 --locoid 4005 --swversion DE.1.0.9.0 --startMP 204:232991 --initTime 2017-12-24T09:50:52 --startdatetime 2017-12-24T09:57:20 --delay 65 --endMP 204:201 --enddatetime 2017-12-24T10:34:14 --enforcementcount 0 &gt;&gt;%USERPROFILE%\Documents\GitHub\eaglep3-reporting\EC\2017-12-24-refined-times.txt</v>
      </c>
      <c r="AI5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{"issue":{"subject":"","project_id":79,"tracker_id":40,"status_id":1,"priority_id":2,"assigned_to_id":338,"start_date":"2017-12-24","description":"","custom_fields":[{"id":1,"name":"Subdivision","value":"EC"},{"id":4,"name":"Milepost","value":"0.0201"},{"id":17,"name":"Train ID","value":"144-24"},{"id":16,"name":"Locomotive ID","value":"4005"},{"id":130,"name":"Impact","value":""},{"id":150,"name":"Time of Event (Mountain Time)","value":"10:34:14"},{"id":151,"name":"Denver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4005 --day 2017-12-24</v>
      </c>
      <c r="AN5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2017-12-24T08:50:52-0700',mode:absolute,to:'2017-12-24T11:34:14-0700'))&amp;_a=(columns:!('Message%20ID',Summary),filters:!(),index:'emp_*',interval:auto,query:(query_string:(analyze_wildcard:!t,query:'%22rtdc.l.rtdc.4005%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770</v>
      </c>
      <c r="B58" s="225">
        <v>4050</v>
      </c>
      <c r="C58" s="227" t="s">
        <v>192</v>
      </c>
      <c r="D58" s="227" t="s">
        <v>611</v>
      </c>
      <c r="E58" s="226">
        <v>43093.381504629629</v>
      </c>
      <c r="F58" s="226">
        <v>43093.385601851849</v>
      </c>
      <c r="G58" s="225">
        <v>83</v>
      </c>
      <c r="H58" s="227" t="s">
        <v>935</v>
      </c>
      <c r="I58" s="226">
        <v>43093.409687500003</v>
      </c>
      <c r="J58" s="225">
        <v>0</v>
      </c>
      <c r="K58" s="237" t="str">
        <f>IF(ISEVEN(B58),(B58-1)&amp;"/"&amp;B58,B58&amp;"/"&amp;(B58+1))</f>
        <v>4049/4050</v>
      </c>
      <c r="L58" s="245" t="str">
        <f>VLOOKUP(A58,'Trips&amp;Operators'!$C$1:$G$99911,5,FALSE)</f>
        <v>LAMAR NEKESHA</v>
      </c>
      <c r="M58" s="224">
        <f>I58-F58</f>
        <v>2.4085648154141381E-2</v>
      </c>
      <c r="N58" s="225">
        <f>24*60*SUM($M58:$M58)</f>
        <v>34.683333341963589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-24T08:09:22-0700',mode:absolute,to:'2017-12-24T10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4.5999999999999999E-2</v>
      </c>
      <c r="Z58" s="247">
        <f>RIGHT(H58,LEN(H58)-4)/10000</f>
        <v>23.328800000000001</v>
      </c>
      <c r="AA58" s="247">
        <f>ABS(Z58-Y58)</f>
        <v>23.282800000000002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/stypes="app*4050*20171224*"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145-24 --locoid 4050 --swversion DE.1.0.9.0 --startMP 204:460 --initTime 2017-12-24T09:09:22 --startdatetime 2017-12-24T09:15:16 --delay 83 --endMP 204:233288 --enddatetime 2017-12-24T09:49:57 --enforcementcount 0 &gt;&gt;%USERPROFILE%\Documents\GitHub\eaglep3-reporting\EC\2017-12-24-refined-times.txt</v>
      </c>
      <c r="AI5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{"issue":{"subject":"","project_id":79,"tracker_id":40,"status_id":1,"priority_id":2,"assigned_to_id":338,"start_date":"2017-12-24","description":"","custom_fields":[{"id":1,"name":"Subdivision","value":"EC"},{"id":4,"name":"Milepost","value":"23.3288"},{"id":17,"name":"Train ID","value":"145-24"},{"id":16,"name":"Locomotive ID","value":"4050"},{"id":130,"name":"Impact","value":""},{"id":150,"name":"Time of Event (Mountain Time)","value":"09:49:57"},{"id":151,"name":"Denver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4050 --day 2017-12-24</v>
      </c>
      <c r="AN5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2017-12-24T08:09:22-0700',mode:absolute,to:'2017-12-24T10:49:57-0700'))&amp;_a=(columns:!('Message%20ID',Summary),filters:!(),index:'emp_*',interval:auto,query:(query_string:(analyze_wildcard:!t,query:'%22rtdc.l.rtdc.4050%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778</v>
      </c>
      <c r="B59" s="225">
        <v>4049</v>
      </c>
      <c r="C59" s="227" t="s">
        <v>192</v>
      </c>
      <c r="D59" s="227" t="s">
        <v>622</v>
      </c>
      <c r="E59" s="226">
        <v>43093.423680555556</v>
      </c>
      <c r="F59" s="226">
        <v>43093.425520833334</v>
      </c>
      <c r="G59" s="225">
        <v>90</v>
      </c>
      <c r="H59" s="227" t="s">
        <v>627</v>
      </c>
      <c r="I59" s="226">
        <v>43093.451469907406</v>
      </c>
      <c r="J59" s="225">
        <v>0</v>
      </c>
      <c r="K59" s="237" t="str">
        <f>IF(ISEVEN(B59),(B59-1)&amp;"/"&amp;B59,B59&amp;"/"&amp;(B59+1))</f>
        <v>4049/4050</v>
      </c>
      <c r="L59" s="245" t="str">
        <f>VLOOKUP(A59,'Trips&amp;Operators'!$C$1:$G$99911,5,FALSE)</f>
        <v>LAMAR NEKESHA</v>
      </c>
      <c r="M59" s="224">
        <f>I59-F59</f>
        <v>2.5949074071832001E-2</v>
      </c>
      <c r="N59" s="225">
        <f>24*60*SUM($M59:$M59)</f>
        <v>37.366666663438082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-24T09:10:06-0700',mode:absolute,to:'2017-12-24T11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23.296700000000001</v>
      </c>
      <c r="Z59" s="247">
        <f>RIGHT(H59,LEN(H59)-4)/10000</f>
        <v>1.6299999999999999E-2</v>
      </c>
      <c r="AA59" s="247">
        <f>ABS(Z59-Y59)</f>
        <v>23.2804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/stypes="app*4049*20171224*"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146-24 --locoid 4049 --swversion DE.1.0.9.0 --startMP 204:232967 --initTime 2017-12-24T10:10:06 --startdatetime 2017-12-24T10:12:45 --delay 90 --endMP 204:163 --enddatetime 2017-12-24T10:50:07 --enforcementcount 0 &gt;&gt;%USERPROFILE%\Documents\GitHub\eaglep3-reporting\EC\2017-12-24-refined-times.txt</v>
      </c>
      <c r="AI5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{"issue":{"subject":"","project_id":79,"tracker_id":40,"status_id":1,"priority_id":2,"assigned_to_id":338,"start_date":"2017-12-24","description":"","custom_fields":[{"id":1,"name":"Subdivision","value":"EC"},{"id":4,"name":"Milepost","value":"0.0163"},{"id":17,"name":"Train ID","value":"146-24"},{"id":16,"name":"Locomotive ID","value":"4049"},{"id":130,"name":"Impact","value":""},{"id":150,"name":"Time of Event (Mountain Time)","value":"10:50:07"},{"id":151,"name":"Denver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4049 --day 2017-12-24</v>
      </c>
      <c r="AN5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2017-12-24T09:10:06-0700',mode:absolute,to:'2017-12-24T11:50:07-0700'))&amp;_a=(columns:!('Message%20ID',Summary),filters:!(),index:'emp_*',interval:auto,query:(query_string:(analyze_wildcard:!t,query:'%22rtdc.l.rtdc.4049%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771</v>
      </c>
      <c r="B60" s="225">
        <v>4022</v>
      </c>
      <c r="C60" s="227" t="s">
        <v>192</v>
      </c>
      <c r="D60" s="227" t="s">
        <v>936</v>
      </c>
      <c r="E60" s="226">
        <v>43093.390439814815</v>
      </c>
      <c r="F60" s="226">
        <v>43093.395995370367</v>
      </c>
      <c r="G60" s="225">
        <v>57</v>
      </c>
      <c r="H60" s="227" t="s">
        <v>535</v>
      </c>
      <c r="I60" s="226">
        <v>43093.420682870368</v>
      </c>
      <c r="J60" s="225">
        <v>0</v>
      </c>
      <c r="K60" s="237" t="str">
        <f>IF(ISEVEN(B60),(B60-1)&amp;"/"&amp;B60,B60&amp;"/"&amp;(B60+1))</f>
        <v>4021/4022</v>
      </c>
      <c r="L60" s="245" t="str">
        <f>VLOOKUP(A60,'Trips&amp;Operators'!$C$1:$G$99911,5,FALSE)</f>
        <v>LOPES KIMBERLY</v>
      </c>
      <c r="M60" s="224">
        <f>I60-F60</f>
        <v>2.4687500001164153E-2</v>
      </c>
      <c r="N60" s="225">
        <f>24*60*SUM($M60:$M60)</f>
        <v>35.550000001676381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-24T08:22:14-0700',mode:absolute,to:'2017-12-24T11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4.8599999999999997E-2</v>
      </c>
      <c r="Z60" s="247">
        <f>RIGHT(H60,LEN(H60)-4)/10000</f>
        <v>23.329499999999999</v>
      </c>
      <c r="AA60" s="247">
        <f>ABS(Z60-Y60)</f>
        <v>23.280899999999999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/stypes="app*4022*20171224*"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147-24 --locoid 4022 --swversion DE.1.0.9.0 --startMP 204:486 --initTime 2017-12-24T09:22:14 --startdatetime 2017-12-24T09:30:14 --delay 57 --endMP 204:233295 --enddatetime 2017-12-24T10:05:47 --enforcementcount 0 &gt;&gt;%USERPROFILE%\Documents\GitHub\eaglep3-reporting\EC\2017-12-24-refined-times.txt</v>
      </c>
      <c r="AI60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{"issue":{"subject":"","project_id":79,"tracker_id":40,"status_id":1,"priority_id":2,"assigned_to_id":338,"start_date":"2017-12-24","description":"","custom_fields":[{"id":1,"name":"Subdivision","value":"EC"},{"id":4,"name":"Milepost","value":"23.3295"},{"id":17,"name":"Train ID","value":"147-24"},{"id":16,"name":"Locomotive ID","value":"4022"},{"id":130,"name":"Impact","value":""},{"id":150,"name":"Time of Event (Mountain Time)","value":"10:05:47"},{"id":151,"name":"Denver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4022 --day 2017-12-24</v>
      </c>
      <c r="AN60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2017-12-24T08:22:14-0700',mode:absolute,to:'2017-12-24T11:05:47-0700'))&amp;_a=(columns:!('Message%20ID',Summary),filters:!(),index:'emp_*',interval:auto,query:(query_string:(analyze_wildcard:!t,query:'%22rtdc.l.rtdc.4022%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780</v>
      </c>
      <c r="B61" s="225">
        <v>4021</v>
      </c>
      <c r="C61" s="227" t="s">
        <v>192</v>
      </c>
      <c r="D61" s="227" t="s">
        <v>624</v>
      </c>
      <c r="E61" s="226">
        <v>43093.425578703704</v>
      </c>
      <c r="F61" s="226">
        <v>43093.435590277775</v>
      </c>
      <c r="G61" s="225">
        <v>97</v>
      </c>
      <c r="H61" s="227" t="s">
        <v>613</v>
      </c>
      <c r="I61" s="226">
        <v>43093.461168981485</v>
      </c>
      <c r="J61" s="225">
        <v>0</v>
      </c>
      <c r="K61" s="237" t="str">
        <f>IF(ISEVEN(B61),(B61-1)&amp;"/"&amp;B61,B61&amp;"/"&amp;(B61+1))</f>
        <v>4021/4022</v>
      </c>
      <c r="L61" s="245" t="str">
        <f>VLOOKUP(A61,'Trips&amp;Operators'!$C$1:$G$99911,5,FALSE)</f>
        <v>LOPES KIMBERLY</v>
      </c>
      <c r="M61" s="224">
        <f>I61-F61</f>
        <v>2.5578703709470574E-2</v>
      </c>
      <c r="N61" s="225">
        <f>24*60*SUM($M61:$M61)</f>
        <v>36.833333341637626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-24T09:12:50-0700',mode:absolute,to:'2017-12-24T12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23.297699999999999</v>
      </c>
      <c r="Z61" s="247">
        <f>RIGHT(H61,LEN(H61)-4)/10000</f>
        <v>1.52E-2</v>
      </c>
      <c r="AA61" s="247">
        <f>ABS(Z61-Y61)</f>
        <v>23.282499999999999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/stypes="app*4021*20171224*"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148-24 --locoid 4021 --swversion DE.1.0.9.0 --startMP 204:232977 --initTime 2017-12-24T10:12:50 --startdatetime 2017-12-24T10:27:15 --delay 97 --endMP 204:152 --enddatetime 2017-12-24T11:04:05 --enforcementcount 0 &gt;&gt;%USERPROFILE%\Documents\GitHub\eaglep3-reporting\EC\2017-12-24-refined-times.txt</v>
      </c>
      <c r="AI61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{"issue":{"subject":"","project_id":79,"tracker_id":40,"status_id":1,"priority_id":2,"assigned_to_id":338,"start_date":"2017-12-24","description":"","custom_fields":[{"id":1,"name":"Subdivision","value":"EC"},{"id":4,"name":"Milepost","value":"0.0152"},{"id":17,"name":"Train ID","value":"148-24"},{"id":16,"name":"Locomotive ID","value":"4021"},{"id":130,"name":"Impact","value":""},{"id":150,"name":"Time of Event (Mountain Time)","value":"11:04:05"},{"id":151,"name":"Denver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4021 --day 2017-12-24</v>
      </c>
      <c r="AN61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2017-12-24T09:12:50-0700',mode:absolute,to:'2017-12-24T12:04:05-0700'))&amp;_a=(columns:!('Message%20ID',Summary),filters:!(),index:'emp_*',interval:auto,query:(query_string:(analyze_wildcard:!t,query:'%22rtdc.l.rtdc.4021%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775</v>
      </c>
      <c r="B62" s="225">
        <v>4062</v>
      </c>
      <c r="C62" s="227" t="s">
        <v>192</v>
      </c>
      <c r="D62" s="227" t="s">
        <v>937</v>
      </c>
      <c r="E62" s="226">
        <v>43093.402199074073</v>
      </c>
      <c r="F62" s="226">
        <v>43093.406423611108</v>
      </c>
      <c r="G62" s="225">
        <v>66</v>
      </c>
      <c r="H62" s="227" t="s">
        <v>938</v>
      </c>
      <c r="I62" s="226">
        <v>43093.430555555555</v>
      </c>
      <c r="J62" s="225">
        <v>0</v>
      </c>
      <c r="K62" s="237" t="str">
        <f>IF(ISEVEN(B62),(B62-1)&amp;"/"&amp;B62,B62&amp;"/"&amp;(B62+1))</f>
        <v>4061/4062</v>
      </c>
      <c r="L62" s="245" t="str">
        <f>VLOOKUP(A62,'Trips&amp;Operators'!$C$1:$G$99911,5,FALSE)</f>
        <v>PAGE MARCUS</v>
      </c>
      <c r="M62" s="224">
        <f>I62-F62</f>
        <v>2.4131944446708076E-2</v>
      </c>
      <c r="N62" s="225">
        <f>24*60*SUM($M62:$M62)</f>
        <v>34.750000003259629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-24T08:39:10-0700',mode:absolute,to:'2017-12-24T11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5.0799999999999998E-2</v>
      </c>
      <c r="Z62" s="247">
        <f>RIGHT(H62,LEN(H62)-4)/10000</f>
        <v>23.327999999999999</v>
      </c>
      <c r="AA62" s="247">
        <f>ABS(Z62-Y62)</f>
        <v>23.277200000000001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/stypes="app*4062*20171224*"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149-24 --locoid 4062 --swversion DE.1.0.9.0 --startMP 204:508 --initTime 2017-12-24T09:39:10 --startdatetime 2017-12-24T09:45:15 --delay 66 --endMP 204:233280 --enddatetime 2017-12-24T10:20:00 --enforcementcount 0 &gt;&gt;%USERPROFILE%\Documents\GitHub\eaglep3-reporting\EC\2017-12-24-refined-times.txt</v>
      </c>
      <c r="AI62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{"issue":{"subject":"","project_id":79,"tracker_id":40,"status_id":1,"priority_id":2,"assigned_to_id":338,"start_date":"2017-12-24","description":"","custom_fields":[{"id":1,"name":"Subdivision","value":"EC"},{"id":4,"name":"Milepost","value":"23.328"},{"id":17,"name":"Train ID","value":"149-24"},{"id":16,"name":"Locomotive ID","value":"4062"},{"id":130,"name":"Impact","value":""},{"id":150,"name":"Time of Event (Mountain Time)","value":"10:20:00"},{"id":151,"name":"Denver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4062 --day 2017-12-24</v>
      </c>
      <c r="AN62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2017-12-24T08:39:10-0700',mode:absolute,to:'2017-12-24T11:20:00-0700'))&amp;_a=(columns:!('Message%20ID',Summary),filters:!(),index:'emp_*',interval:auto,query:(query_string:(analyze_wildcard:!t,query:'%22rtdc.l.rtdc.4062%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781</v>
      </c>
      <c r="B63" s="225">
        <v>4061</v>
      </c>
      <c r="C63" s="227" t="s">
        <v>192</v>
      </c>
      <c r="D63" s="227" t="s">
        <v>939</v>
      </c>
      <c r="E63" s="226">
        <v>43093.432557870372</v>
      </c>
      <c r="F63" s="226">
        <v>43093.44604166667</v>
      </c>
      <c r="G63" s="225">
        <v>65</v>
      </c>
      <c r="H63" s="227" t="s">
        <v>627</v>
      </c>
      <c r="I63" s="226">
        <v>43093.47215277778</v>
      </c>
      <c r="J63" s="225">
        <v>0</v>
      </c>
      <c r="K63" s="237" t="str">
        <f>IF(ISEVEN(B63),(B63-1)&amp;"/"&amp;B63,B63&amp;"/"&amp;(B63+1))</f>
        <v>4061/4062</v>
      </c>
      <c r="L63" s="245" t="str">
        <f>VLOOKUP(A63,'Trips&amp;Operators'!$C$1:$G$99911,5,FALSE)</f>
        <v>PAGE MARCUS</v>
      </c>
      <c r="M63" s="224">
        <f>I63-F63</f>
        <v>2.6111111110367347E-2</v>
      </c>
      <c r="N63" s="225">
        <f>24*60*SUM($M63:$M63)</f>
        <v>37.599999998928979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-24T09:22:53-0700',mode:absolute,to:'2017-12-24T12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23.296099999999999</v>
      </c>
      <c r="Z63" s="247">
        <f>RIGHT(H63,LEN(H63)-4)/10000</f>
        <v>1.6299999999999999E-2</v>
      </c>
      <c r="AA63" s="247">
        <f>ABS(Z63-Y63)</f>
        <v>23.279799999999998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/stypes="app*4061*20171224*"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150-24 --locoid 4061 --swversion DE.1.0.9.0 --startMP 204:232961 --initTime 2017-12-24T10:22:53 --startdatetime 2017-12-24T10:42:18 --delay 65 --endMP 204:163 --enddatetime 2017-12-24T11:19:54 --enforcementcount 0 &gt;&gt;%USERPROFILE%\Documents\GitHub\eaglep3-reporting\EC\2017-12-24-refined-times.txt</v>
      </c>
      <c r="AI63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{"issue":{"subject":"","project_id":79,"tracker_id":40,"status_id":1,"priority_id":2,"assigned_to_id":338,"start_date":"2017-12-24","description":"","custom_fields":[{"id":1,"name":"Subdivision","value":"EC"},{"id":4,"name":"Milepost","value":"0.0163"},{"id":17,"name":"Train ID","value":"150-24"},{"id":16,"name":"Locomotive ID","value":"4061"},{"id":130,"name":"Impact","value":""},{"id":150,"name":"Time of Event (Mountain Time)","value":"11:19:54"},{"id":151,"name":"Denver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4061 --day 2017-12-24</v>
      </c>
      <c r="AN63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2017-12-24T09:22:53-0700',mode:absolute,to:'2017-12-24T12:19:54-0700'))&amp;_a=(columns:!('Message%20ID',Summary),filters:!(),index:'emp_*',interval:auto,query:(query_string:(analyze_wildcard:!t,query:'%22rtdc.l.rtdc.4061%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682</v>
      </c>
      <c r="B64" s="225">
        <v>4012</v>
      </c>
      <c r="C64" s="227" t="s">
        <v>192</v>
      </c>
      <c r="D64" s="227" t="s">
        <v>611</v>
      </c>
      <c r="E64" s="226">
        <v>43093.412164351852</v>
      </c>
      <c r="F64" s="226">
        <v>43093.416851851849</v>
      </c>
      <c r="G64" s="225">
        <v>57</v>
      </c>
      <c r="H64" s="227" t="s">
        <v>940</v>
      </c>
      <c r="I64" s="226">
        <v>43093.441990740743</v>
      </c>
      <c r="J64" s="225">
        <v>0</v>
      </c>
      <c r="K64" s="237" t="str">
        <f>IF(ISEVEN(B64),(B64-1)&amp;"/"&amp;B64,B64&amp;"/"&amp;(B64+1))</f>
        <v>4011/4012</v>
      </c>
      <c r="L64" s="245" t="str">
        <f>VLOOKUP(A64,'Trips&amp;Operators'!$C$1:$G$99911,5,FALSE)</f>
        <v>GEBRETEKLE DAGNEW</v>
      </c>
      <c r="M64" s="224">
        <f>I64-F64</f>
        <v>2.513888889370719E-2</v>
      </c>
      <c r="N64" s="225">
        <f>24*60*SUM($M64:$M64)</f>
        <v>36.200000006938353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-24T08:53:31-0700',mode:absolute,to:'2017-12-24T11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4.5999999999999999E-2</v>
      </c>
      <c r="Z64" s="247">
        <f>RIGHT(H64,LEN(H64)-4)/10000</f>
        <v>23.333100000000002</v>
      </c>
      <c r="AA64" s="247">
        <f>ABS(Z64-Y64)</f>
        <v>23.287100000000002</v>
      </c>
      <c r="AB64" s="233" t="str">
        <f>VLOOKUP(A64,Enforcements!$C$7:$K$9,8,0)</f>
        <v>Bulletin (2)</v>
      </c>
      <c r="AC64" s="232" t="str">
        <f>VLOOKUP(A64,Enforcements!$C$7:$E$9,3,0)</f>
        <v>GRADE CROSSING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/stypes="app*4012*20171224*"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151-24 --locoid 4012 --swversion DE.1.0.9.0 --startMP 204:460 --initTime 2017-12-24T09:53:31 --startdatetime 2017-12-24T10:00:16 --delay 57 --endMP 204:233331 --enddatetime 2017-12-24T10:36:28 --enforcementcount 0 &gt;&gt;%USERPROFILE%\Documents\GitHub\eaglep3-reporting\EC\2017-12-24-refined-times.txt</v>
      </c>
      <c r="AI64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{"issue":{"subject":"","project_id":79,"tracker_id":40,"status_id":1,"priority_id":2,"assigned_to_id":338,"start_date":"2017-12-24","description":"","custom_fields":[{"id":1,"name":"Subdivision","value":"EC"},{"id":4,"name":"Milepost","value":"23.3331"},{"id":17,"name":"Train ID","value":"151-24"},{"id":16,"name":"Locomotive ID","value":"4012"},{"id":130,"name":"Impact","value":""},{"id":150,"name":"Time of Event (Mountain Time)","value":"10:36:28"},{"id":151,"name":"Denver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4012 --day 2017-12-24</v>
      </c>
      <c r="AN64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2017-12-24T08:53:31-0700',mode:absolute,to:'2017-12-24T11:36:28-0700'))&amp;_a=(columns:!('Message%20ID',Summary),filters:!(),index:'emp_*',interval:auto,query:(query_string:(analyze_wildcard:!t,query:'%22rtdc.l.rtdc.4012%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784</v>
      </c>
      <c r="B65" s="225">
        <v>4011</v>
      </c>
      <c r="C65" s="227" t="s">
        <v>192</v>
      </c>
      <c r="D65" s="227" t="s">
        <v>621</v>
      </c>
      <c r="E65" s="226">
        <v>43093.443159722221</v>
      </c>
      <c r="F65" s="226">
        <v>43093.45653935185</v>
      </c>
      <c r="G65" s="225">
        <v>54</v>
      </c>
      <c r="H65" s="227" t="s">
        <v>520</v>
      </c>
      <c r="I65" s="226">
        <v>43093.482465277775</v>
      </c>
      <c r="J65" s="225">
        <v>0</v>
      </c>
      <c r="K65" s="237" t="str">
        <f>IF(ISEVEN(B65),(B65-1)&amp;"/"&amp;B65,B65&amp;"/"&amp;(B65+1))</f>
        <v>4011/4012</v>
      </c>
      <c r="L65" s="245" t="str">
        <f>VLOOKUP(A65,'Trips&amp;Operators'!$C$1:$G$99911,5,FALSE)</f>
        <v>GEBRETEKLE DAGNEW</v>
      </c>
      <c r="M65" s="224">
        <f>I65-F65</f>
        <v>2.5925925925548654E-2</v>
      </c>
      <c r="N65" s="225">
        <f>24*60*SUM($M65:$M65)</f>
        <v>37.333333332790062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-24T09:38:09-0700',mode:absolute,to:'2017-12-24T12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23.3002</v>
      </c>
      <c r="Z65" s="247">
        <f>RIGHT(H65,LEN(H65)-4)/10000</f>
        <v>1.49E-2</v>
      </c>
      <c r="AA65" s="247">
        <f>ABS(Z65-Y65)</f>
        <v>23.285299999999999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/stypes="app*4011*20171224*"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152-24 --locoid 4011 --swversion DE.1.0.9.0 --startMP 204:233002 --initTime 2017-12-24T10:38:09 --startdatetime 2017-12-24T10:57:25 --delay 54 --endMP 204:149 --enddatetime 2017-12-24T11:34:45 --enforcementcount 0 &gt;&gt;%USERPROFILE%\Documents\GitHub\eaglep3-reporting\EC\2017-12-24-refined-times.txt</v>
      </c>
      <c r="AI65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{"issue":{"subject":"","project_id":79,"tracker_id":40,"status_id":1,"priority_id":2,"assigned_to_id":338,"start_date":"2017-12-24","description":"","custom_fields":[{"id":1,"name":"Subdivision","value":"EC"},{"id":4,"name":"Milepost","value":"0.0149"},{"id":17,"name":"Train ID","value":"152-24"},{"id":16,"name":"Locomotive ID","value":"4011"},{"id":130,"name":"Impact","value":""},{"id":150,"name":"Time of Event (Mountain Time)","value":"11:34:45"},{"id":151,"name":"Denver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4011 --day 2017-12-24</v>
      </c>
      <c r="AN65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2017-12-24T09:38:09-0700',mode:absolute,to:'2017-12-24T12:34:45-0700'))&amp;_a=(columns:!('Message%20ID',Summary),filters:!(),index:'emp_*',interval:auto,query:(query_string:(analyze_wildcard:!t,query:'%22rtdc.l.rtdc.4011%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779</v>
      </c>
      <c r="B66" s="225">
        <v>4044</v>
      </c>
      <c r="C66" s="227" t="s">
        <v>192</v>
      </c>
      <c r="D66" s="227" t="s">
        <v>620</v>
      </c>
      <c r="E66" s="226">
        <v>43093.424432870372</v>
      </c>
      <c r="F66" s="226">
        <v>43093.427268518521</v>
      </c>
      <c r="G66" s="225">
        <v>71</v>
      </c>
      <c r="H66" s="227" t="s">
        <v>629</v>
      </c>
      <c r="I66" s="226">
        <v>43093.452800925923</v>
      </c>
      <c r="J66" s="225">
        <v>0</v>
      </c>
      <c r="K66" s="237" t="str">
        <f>IF(ISEVEN(B66),(B66-1)&amp;"/"&amp;B66,B66&amp;"/"&amp;(B66+1))</f>
        <v>4043/4044</v>
      </c>
      <c r="L66" s="245" t="str">
        <f>VLOOKUP(A66,'Trips&amp;Operators'!$C$1:$G$99911,5,FALSE)</f>
        <v>BADERTSCHER DIANE</v>
      </c>
      <c r="M66" s="224">
        <f>I66-F66</f>
        <v>2.5532407402351964E-2</v>
      </c>
      <c r="N66" s="225">
        <f>24*60*SUM($M66:$M66)</f>
        <v>36.766666659386829</v>
      </c>
      <c r="O66" s="225"/>
      <c r="P66" s="225"/>
      <c r="Q66" s="228"/>
      <c r="R66" s="242" t="s">
        <v>1082</v>
      </c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-24T09:11:11-0700',mode:absolute,to:'2017-12-24T11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4.6899999999999997E-2</v>
      </c>
      <c r="Z66" s="247">
        <f>RIGHT(H66,LEN(H66)-4)/10000</f>
        <v>23.322600000000001</v>
      </c>
      <c r="AA66" s="247">
        <f>ABS(Z66-Y66)</f>
        <v>23.275700000000001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/stypes="app*4044*20171224*"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153-24 --locoid 4044 --swversion DE.1.0.9.0 --startMP 204:469 --initTime 2017-12-24T10:11:11 --startdatetime 2017-12-24T10:15:16 --delay 71 --endMP 204:233226 --enddatetime 2017-12-24T10:52:02 --enforcementcount 0 &gt;&gt;%USERPROFILE%\Documents\GitHub\eaglep3-reporting\EC\2017-12-24-refined-times.txt</v>
      </c>
      <c r="AI66" s="238" t="str">
        <f t="shared" si="6"/>
        <v>echo {"issue":{"subject":"Observed unhealthy xing banner at Sable due to Wi-MAX data drop","project_id":79,"tracker_id":40,"status_id":1,"priority_id":2,"assigned_to_id":338,"start_date":"2017-12-24","description":"","custom_fields":[{"id":1,"name":"Subdivision","value":"EC"},{"id":4,"name":"Milepost","value":"23.3226"},{"id":17,"name":"Train ID","value":"153-24"},{"id":16,"name":"Locomotive ID","value":"4044"},{"id":130,"name":"Impact","value":""},{"id":150,"name":"Time of Event (Mountain Time)","value":"10:52:02"},{"id":151,"name":"Denver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4044 --day 2017-12-24</v>
      </c>
      <c r="AN66" s="241" t="str">
        <f t="shared" si="8"/>
        <v>echo {"issue":{"subject":"Observed unhealthy xing banner at Sable due to Wi-MAX data drop","project_id":30,"tracker_id":4,"status_id":1,"priority_id":1,"assigned_to_id":10,"start_date":"2017-12-24","description":"","custom_fields":[{"id":30,"name":"Category","value":"Issue"},{"id":3,"name":"Functional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2017-12-24T09:11:11-0700',mode:absolute,to:'2017-12-24T11:52:02-0700'))&amp;_a=(columns:!('Message%20ID',Summary),filters:!(),index:'emp_*',interval:auto,query:(query_string:(analyze_wildcard:!t,query:'%22rtdc.l.rtdc.4044%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788</v>
      </c>
      <c r="B67" s="225">
        <v>4043</v>
      </c>
      <c r="C67" s="227" t="s">
        <v>192</v>
      </c>
      <c r="D67" s="227" t="s">
        <v>653</v>
      </c>
      <c r="E67" s="226">
        <v>43093.460428240738</v>
      </c>
      <c r="F67" s="226">
        <v>43093.466851851852</v>
      </c>
      <c r="G67" s="225">
        <v>103</v>
      </c>
      <c r="H67" s="227" t="s">
        <v>511</v>
      </c>
      <c r="I67" s="226">
        <v>43093.494166666664</v>
      </c>
      <c r="J67" s="225">
        <v>0</v>
      </c>
      <c r="K67" s="237" t="str">
        <f>IF(ISEVEN(B67),(B67-1)&amp;"/"&amp;B67,B67&amp;"/"&amp;(B67+1))</f>
        <v>4043/4044</v>
      </c>
      <c r="L67" s="245" t="str">
        <f>VLOOKUP(A67,'Trips&amp;Operators'!$C$1:$G$99911,5,FALSE)</f>
        <v>BADERTSCHER DIANE</v>
      </c>
      <c r="M67" s="224">
        <f>I67-F67</f>
        <v>2.7314814811688848E-2</v>
      </c>
      <c r="N67" s="225">
        <f>24*60*SUM($M67:$M67)</f>
        <v>39.333333328831941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-24T10:03:01-0700',mode:absolute,to:'2017-12-24T12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23.2942</v>
      </c>
      <c r="Z67" s="247">
        <f>RIGHT(H67,LEN(H67)-4)/10000</f>
        <v>2.18E-2</v>
      </c>
      <c r="AA67" s="247">
        <f>ABS(Z67-Y67)</f>
        <v>23.272400000000001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/stypes="app*4043*20171224*"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154-24 --locoid 4043 --swversion DE.1.0.9.0 --startMP 204:232942 --initTime 2017-12-24T11:03:01 --startdatetime 2017-12-24T11:12:16 --delay 103 --endMP 204:218 --enddatetime 2017-12-24T11:51:36 --enforcementcount 0 &gt;&gt;%USERPROFILE%\Documents\GitHub\eaglep3-reporting\EC\2017-12-24-refined-times.txt</v>
      </c>
      <c r="AI6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{"issue":{"subject":"","project_id":79,"tracker_id":40,"status_id":1,"priority_id":2,"assigned_to_id":338,"start_date":"2017-12-24","description":"","custom_fields":[{"id":1,"name":"Subdivision","value":"EC"},{"id":4,"name":"Milepost","value":"0.0218"},{"id":17,"name":"Train ID","value":"154-24"},{"id":16,"name":"Locomotive ID","value":"4043"},{"id":130,"name":"Impact","value":""},{"id":150,"name":"Time of Event (Mountain Time)","value":"11:51:36"},{"id":151,"name":"Denver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4043 --day 2017-12-24</v>
      </c>
      <c r="AN6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2017-12-24T10:03:01-0700',mode:absolute,to:'2017-12-24T12:51:36-0700'))&amp;_a=(columns:!('Message%20ID',Summary),filters:!(),index:'emp_*',interval:auto,query:(query_string:(analyze_wildcard:!t,query:'%22rtdc.l.rtdc.4043%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783</v>
      </c>
      <c r="B68" s="225">
        <v>4014</v>
      </c>
      <c r="C68" s="227" t="s">
        <v>192</v>
      </c>
      <c r="D68" s="227" t="s">
        <v>507</v>
      </c>
      <c r="E68" s="226">
        <v>43093.434004629627</v>
      </c>
      <c r="F68" s="226">
        <v>43093.437685185185</v>
      </c>
      <c r="G68" s="225">
        <v>94</v>
      </c>
      <c r="H68" s="227" t="s">
        <v>941</v>
      </c>
      <c r="I68" s="226">
        <v>43093.464178240742</v>
      </c>
      <c r="J68" s="225">
        <v>0</v>
      </c>
      <c r="K68" s="237" t="str">
        <f>IF(ISEVEN(B68),(B68-1)&amp;"/"&amp;B68,B68&amp;"/"&amp;(B68+1))</f>
        <v>4013/4014</v>
      </c>
      <c r="L68" s="245" t="str">
        <f>VLOOKUP(A68,'Trips&amp;Operators'!$C$1:$G$99911,5,FALSE)</f>
        <v>WILLIAMS DONTE</v>
      </c>
      <c r="M68" s="224">
        <f>I68-F68</f>
        <v>2.6493055556784384E-2</v>
      </c>
      <c r="N68" s="225">
        <f>24*60*SUM($M68:$M68)</f>
        <v>38.150000001769513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-24T09:24:58-0700',mode:absolute,to:'2017-12-24T12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5.0599999999999999E-2</v>
      </c>
      <c r="Z68" s="247">
        <f>RIGHT(H68,LEN(H68)-4)/10000</f>
        <v>23.322299999999998</v>
      </c>
      <c r="AA68" s="247">
        <f>ABS(Z68-Y68)</f>
        <v>23.271699999999999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/stypes="app*4014*20171224*"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155-24 --locoid 4014 --swversion DE.1.0.9.0 --startMP 204:506 --initTime 2017-12-24T10:24:58 --startdatetime 2017-12-24T10:30:16 --delay 94 --endMP 204:233223 --enddatetime 2017-12-24T11:08:25 --enforcementcount 0 &gt;&gt;%USERPROFILE%\Documents\GitHub\eaglep3-reporting\EC\2017-12-24-refined-times.txt</v>
      </c>
      <c r="AI6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{"issue":{"subject":"","project_id":79,"tracker_id":40,"status_id":1,"priority_id":2,"assigned_to_id":338,"start_date":"2017-12-24","description":"","custom_fields":[{"id":1,"name":"Subdivision","value":"EC"},{"id":4,"name":"Milepost","value":"23.3223"},{"id":17,"name":"Train ID","value":"155-24"},{"id":16,"name":"Locomotive ID","value":"4014"},{"id":130,"name":"Impact","value":""},{"id":150,"name":"Time of Event (Mountain Time)","value":"11:08:25"},{"id":151,"name":"Denver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4014 --day 2017-12-24</v>
      </c>
      <c r="AN6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2017-12-24T09:24:58-0700',mode:absolute,to:'2017-12-24T12:08:25-0700'))&amp;_a=(columns:!('Message%20ID',Summary),filters:!(),index:'emp_*',interval:auto,query:(query_string:(analyze_wildcard:!t,query:'%22rtdc.l.rtdc.4014%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792</v>
      </c>
      <c r="B69" s="225">
        <v>4013</v>
      </c>
      <c r="C69" s="227" t="s">
        <v>192</v>
      </c>
      <c r="D69" s="227" t="s">
        <v>630</v>
      </c>
      <c r="E69" s="226">
        <v>43093.472604166665</v>
      </c>
      <c r="F69" s="226">
        <v>43093.477326388886</v>
      </c>
      <c r="G69" s="225">
        <v>95</v>
      </c>
      <c r="H69" s="227" t="s">
        <v>654</v>
      </c>
      <c r="I69" s="226">
        <v>43093.504641203705</v>
      </c>
      <c r="J69" s="225">
        <v>0</v>
      </c>
      <c r="K69" s="237" t="str">
        <f>IF(ISEVEN(B69),(B69-1)&amp;"/"&amp;B69,B69&amp;"/"&amp;(B69+1))</f>
        <v>4013/4014</v>
      </c>
      <c r="L69" s="245" t="str">
        <f>VLOOKUP(A69,'Trips&amp;Operators'!$C$1:$G$99911,5,FALSE)</f>
        <v>WILLIAMS DONTE</v>
      </c>
      <c r="M69" s="224">
        <f>I69-F69</f>
        <v>2.7314814818964805E-2</v>
      </c>
      <c r="N69" s="225">
        <f>24*60*SUM($M69:$M69)</f>
        <v>39.33333333930932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-24T10:20:33-0700',mode:absolute,to:'2017-12-24T13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23.291499999999999</v>
      </c>
      <c r="Z69" s="247">
        <f>RIGHT(H69,LEN(H69)-4)/10000</f>
        <v>2.4899999999999999E-2</v>
      </c>
      <c r="AA69" s="247">
        <f>ABS(Z69-Y69)</f>
        <v>23.2666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/stypes="app*4013*20171224*"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156-24 --locoid 4013 --swversion DE.1.0.9.0 --startMP 204:232915 --initTime 2017-12-24T11:20:33 --startdatetime 2017-12-24T11:27:21 --delay 95 --endMP 204:249 --enddatetime 2017-12-24T12:06:41 --enforcementcount 0 &gt;&gt;%USERPROFILE%\Documents\GitHub\eaglep3-reporting\EC\2017-12-24-refined-times.txt</v>
      </c>
      <c r="AI6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{"issue":{"subject":"","project_id":79,"tracker_id":40,"status_id":1,"priority_id":2,"assigned_to_id":338,"start_date":"2017-12-24","description":"","custom_fields":[{"id":1,"name":"Subdivision","value":"EC"},{"id":4,"name":"Milepost","value":"0.0249"},{"id":17,"name":"Train ID","value":"156-24"},{"id":16,"name":"Locomotive ID","value":"4013"},{"id":130,"name":"Impact","value":""},{"id":150,"name":"Time of Event (Mountain Time)","value":"12:06:41"},{"id":151,"name":"Denver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4013 --day 2017-12-24</v>
      </c>
      <c r="AN6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2017-12-24T10:20:33-0700',mode:absolute,to:'2017-12-24T13:06:41-0700'))&amp;_a=(columns:!('Message%20ID',Summary),filters:!(),index:'emp_*',interval:auto,query:(query_string:(analyze_wildcard:!t,query:'%22rtdc.l.rtdc.4013%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785</v>
      </c>
      <c r="B70" s="225">
        <v>4006</v>
      </c>
      <c r="C70" s="227" t="s">
        <v>192</v>
      </c>
      <c r="D70" s="227" t="s">
        <v>942</v>
      </c>
      <c r="E70" s="226">
        <v>43093.443472222221</v>
      </c>
      <c r="F70" s="226">
        <v>43093.448125000003</v>
      </c>
      <c r="G70" s="225">
        <v>73</v>
      </c>
      <c r="H70" s="227" t="s">
        <v>629</v>
      </c>
      <c r="I70" s="226">
        <v>43093.472685185188</v>
      </c>
      <c r="J70" s="225">
        <v>0</v>
      </c>
      <c r="K70" s="237" t="str">
        <f>IF(ISEVEN(B70),(B70-1)&amp;"/"&amp;B70,B70&amp;"/"&amp;(B70+1))</f>
        <v>4005/4006</v>
      </c>
      <c r="L70" s="245" t="str">
        <f>VLOOKUP(A70,'Trips&amp;Operators'!$C$1:$G$99911,5,FALSE)</f>
        <v>STEWART MICHAEL</v>
      </c>
      <c r="M70" s="224">
        <f>I70-F70</f>
        <v>2.4560185185691807E-2</v>
      </c>
      <c r="N70" s="225">
        <f>24*60*SUM($M70:$M70)</f>
        <v>35.366666667396203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NorthBound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-24T09:38:36-0700',mode:absolute,to:'2017-12-24T12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0.05</v>
      </c>
      <c r="Z70" s="247">
        <f>RIGHT(H70,LEN(H70)-4)/10000</f>
        <v>23.322600000000001</v>
      </c>
      <c r="AA70" s="247">
        <f>ABS(Z70-Y70)</f>
        <v>23.272600000000001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157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/stypes="app*4006*20171224*" /stext=" 18:.+((SYSTEM_STATE.+slice.+state.+changed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157-24 --locoid 4006 --swversion DE.1.0.9.0 --startMP 204:500 --initTime 2017-12-24T10:38:36 --startdatetime 2017-12-24T10:45:18 --delay 73 --endMP 204:233226 --enddatetime 2017-12-24T11:20:40 --enforcementcount 0 &gt;&gt;%USERPROFILE%\Documents\GitHub\eaglep3-reporting\EC\2017-12-24-refined-times.txt</v>
      </c>
      <c r="AI70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{"issue":{"subject":"","project_id":79,"tracker_id":40,"status_id":1,"priority_id":2,"assigned_to_id":338,"start_date":"2017-12-24","description":"","custom_fields":[{"id":1,"name":"Subdivision","value":"EC"},{"id":4,"name":"Milepost","value":"23.3226"},{"id":17,"name":"Train ID","value":"157-24"},{"id":16,"name":"Locomotive ID","value":"4006"},{"id":130,"name":"Impact","value":""},{"id":150,"name":"Time of Event (Mountain Time)","value":"11:20:40"},{"id":151,"name":"Denver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4006 --day 2017-12-24</v>
      </c>
      <c r="AN70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2017-12-24T09:38:36-0700',mode:absolute,to:'2017-12-24T12:20:40-0700'))&amp;_a=(columns:!('Message%20ID',Summary),filters:!(),index:'emp_*',interval:auto,query:(query_string:(analyze_wildcard:!t,query:'%22rtdc.l.rtdc.4006%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795</v>
      </c>
      <c r="B71" s="225">
        <v>4005</v>
      </c>
      <c r="C71" s="227" t="s">
        <v>192</v>
      </c>
      <c r="D71" s="227" t="s">
        <v>634</v>
      </c>
      <c r="E71" s="226">
        <v>43093.482210648152</v>
      </c>
      <c r="F71" s="226">
        <v>43093.487719907411</v>
      </c>
      <c r="G71" s="225">
        <v>74</v>
      </c>
      <c r="H71" s="227" t="s">
        <v>524</v>
      </c>
      <c r="I71" s="226">
        <v>43093.51457175926</v>
      </c>
      <c r="J71" s="225">
        <v>0</v>
      </c>
      <c r="K71" s="237" t="str">
        <f>IF(ISEVEN(B71),(B71-1)&amp;"/"&amp;B71,B71&amp;"/"&amp;(B71+1))</f>
        <v>4005/4006</v>
      </c>
      <c r="L71" s="245" t="str">
        <f>VLOOKUP(A71,'Trips&amp;Operators'!$C$1:$G$99911,5,FALSE)</f>
        <v>STEWART MICHAEL</v>
      </c>
      <c r="M71" s="224">
        <f>I71-F71</f>
        <v>2.6851851849642117E-2</v>
      </c>
      <c r="N71" s="225">
        <f>24*60*SUM($M71:$M71)</f>
        <v>38.666666663484648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Southbound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-24T10:34:23-0700',mode:absolute,to:'2017-12-24T13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23.290700000000001</v>
      </c>
      <c r="Z71" s="247">
        <f>RIGHT(H71,LEN(H71)-4)/10000</f>
        <v>1.9800000000000002E-2</v>
      </c>
      <c r="AA71" s="247">
        <f>ABS(Z71-Y71)</f>
        <v>23.270900000000001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158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/stypes="app*4005*20171224*" /stext=" 19:.+((SYSTEM_STATE.+slice.+state.+changed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158-24 --locoid 4005 --swversion DE.1.0.9.0 --startMP 204:232907 --initTime 2017-12-24T11:34:23 --startdatetime 2017-12-24T11:42:19 --delay 74 --endMP 204:198 --enddatetime 2017-12-24T12:20:59 --enforcementcount 0 &gt;&gt;%USERPROFILE%\Documents\GitHub\eaglep3-reporting\EC\2017-12-24-refined-times.txt</v>
      </c>
      <c r="AI71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{"issue":{"subject":"","project_id":79,"tracker_id":40,"status_id":1,"priority_id":2,"assigned_to_id":338,"start_date":"2017-12-24","description":"","custom_fields":[{"id":1,"name":"Subdivision","value":"EC"},{"id":4,"name":"Milepost","value":"0.0198"},{"id":17,"name":"Train ID","value":"158-24"},{"id":16,"name":"Locomotive ID","value":"4005"},{"id":130,"name":"Impact","value":""},{"id":150,"name":"Time of Event (Mountain Time)","value":"12:20:59"},{"id":151,"name":"Denver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4005 --day 2017-12-24</v>
      </c>
      <c r="AN71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2017-12-24T10:34:23-0700',mode:absolute,to:'2017-12-24T13:20:59-0700'))&amp;_a=(columns:!('Message%20ID',Summary),filters:!(),index:'emp_*',interval:auto,query:(query_string:(analyze_wildcard:!t,query:'%22rtdc.l.rtdc.4005%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787</v>
      </c>
      <c r="B72" s="225">
        <v>4050</v>
      </c>
      <c r="C72" s="227" t="s">
        <v>192</v>
      </c>
      <c r="D72" s="227" t="s">
        <v>558</v>
      </c>
      <c r="E72" s="226">
        <v>43093.454780092594</v>
      </c>
      <c r="F72" s="226">
        <v>43093.458506944444</v>
      </c>
      <c r="G72" s="225">
        <v>59</v>
      </c>
      <c r="H72" s="227" t="s">
        <v>943</v>
      </c>
      <c r="I72" s="226">
        <v>43093.483287037037</v>
      </c>
      <c r="J72" s="225">
        <v>0</v>
      </c>
      <c r="K72" s="237" t="str">
        <f>IF(ISEVEN(B72),(B72-1)&amp;"/"&amp;B72,B72&amp;"/"&amp;(B72+1))</f>
        <v>4049/4050</v>
      </c>
      <c r="L72" s="245" t="str">
        <f>VLOOKUP(A72,'Trips&amp;Operators'!$C$1:$G$99911,5,FALSE)</f>
        <v>LAMAR NEKESHA</v>
      </c>
      <c r="M72" s="224">
        <f>I72-F72</f>
        <v>2.4780092593573499E-2</v>
      </c>
      <c r="N72" s="225">
        <f>24*60*SUM($M72:$M72)</f>
        <v>35.683333334745839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NorthBound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-24T09:54:53-0700',mode:absolute,to:'2017-12-24T12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4.7699999999999999E-2</v>
      </c>
      <c r="Z72" s="247">
        <f>RIGHT(H72,LEN(H72)-4)/10000</f>
        <v>23.327200000000001</v>
      </c>
      <c r="AA72" s="247">
        <f>ABS(Z72-Y72)</f>
        <v>23.279500000000002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159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/stypes="app*4050*20171224*" /stext=" 18:.+((SYSTEM_STATE.+slice.+state.+changed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159-24 --locoid 4050 --swversion DE.1.0.9.0 --startMP 204:477 --initTime 2017-12-24T10:54:53 --startdatetime 2017-12-24T11:00:15 --delay 59 --endMP 204:233272 --enddatetime 2017-12-24T11:35:56 --enforcementcount 0 &gt;&gt;%USERPROFILE%\Documents\GitHub\eaglep3-reporting\EC\2017-12-24-refined-times.txt</v>
      </c>
      <c r="AI72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{"issue":{"subject":"","project_id":79,"tracker_id":40,"status_id":1,"priority_id":2,"assigned_to_id":338,"start_date":"2017-12-24","description":"","custom_fields":[{"id":1,"name":"Subdivision","value":"EC"},{"id":4,"name":"Milepost","value":"23.3272"},{"id":17,"name":"Train ID","value":"159-24"},{"id":16,"name":"Locomotive ID","value":"4050"},{"id":130,"name":"Impact","value":""},{"id":150,"name":"Time of Event (Mountain Time)","value":"11:35:56"},{"id":151,"name":"Denver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4050 --day 2017-12-24</v>
      </c>
      <c r="AN72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2017-12-24T09:54:53-0700',mode:absolute,to:'2017-12-24T12:35:56-0700'))&amp;_a=(columns:!('Message%20ID',Summary),filters:!(),index:'emp_*',interval:auto,query:(query_string:(analyze_wildcard:!t,query:'%22rtdc.l.rtdc.4050%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798</v>
      </c>
      <c r="B73" s="225">
        <v>4049</v>
      </c>
      <c r="C73" s="227" t="s">
        <v>192</v>
      </c>
      <c r="D73" s="227" t="s">
        <v>944</v>
      </c>
      <c r="E73" s="226">
        <v>43093.494675925926</v>
      </c>
      <c r="F73" s="226">
        <v>43093.498182870368</v>
      </c>
      <c r="G73" s="225">
        <v>59</v>
      </c>
      <c r="H73" s="227" t="s">
        <v>467</v>
      </c>
      <c r="I73" s="226">
        <v>43093.523773148147</v>
      </c>
      <c r="J73" s="225">
        <v>0</v>
      </c>
      <c r="K73" s="237" t="str">
        <f>IF(ISEVEN(B73),(B73-1)&amp;"/"&amp;B73,B73&amp;"/"&amp;(B73+1))</f>
        <v>4049/4050</v>
      </c>
      <c r="L73" s="245" t="str">
        <f>VLOOKUP(A73,'Trips&amp;Operators'!$C$1:$G$99911,5,FALSE)</f>
        <v>LAMAR NEKESHA</v>
      </c>
      <c r="M73" s="224">
        <f>I73-F73</f>
        <v>2.5590277778974269E-2</v>
      </c>
      <c r="N73" s="225">
        <f>24*60*SUM($M73:$M73)</f>
        <v>36.850000001722947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Southbound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-24T10:52:20-0700',mode:absolute,to:'2017-12-24T13:34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23.2957</v>
      </c>
      <c r="Z73" s="247">
        <f>RIGHT(H73,LEN(H73)-4)/10000</f>
        <v>1.9599999999999999E-2</v>
      </c>
      <c r="AA73" s="247">
        <f>ABS(Z73-Y73)</f>
        <v>23.2761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160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/stypes="app*4049*20171224*" /stext=" 19:.+((SYSTEM_STATE.+slice.+state.+changed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160-24 --locoid 4049 --swversion DE.1.0.9.0 --startMP 204:232957 --initTime 2017-12-24T11:52:20 --startdatetime 2017-12-24T11:57:23 --delay 59 --endMP 204:196 --enddatetime 2017-12-24T12:34:14 --enforcementcount 0 &gt;&gt;%USERPROFILE%\Documents\GitHub\eaglep3-reporting\EC\2017-12-24-refined-times.txt</v>
      </c>
      <c r="AI73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{"issue":{"subject":"","project_id":79,"tracker_id":40,"status_id":1,"priority_id":2,"assigned_to_id":338,"start_date":"2017-12-24","description":"","custom_fields":[{"id":1,"name":"Subdivision","value":"EC"},{"id":4,"name":"Milepost","value":"0.0196"},{"id":17,"name":"Train ID","value":"160-24"},{"id":16,"name":"Locomotive ID","value":"4049"},{"id":130,"name":"Impact","value":""},{"id":150,"name":"Time of Event (Mountain Time)","value":"12:34:14"},{"id":151,"name":"Denver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4049 --day 2017-12-24</v>
      </c>
      <c r="AN73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2017-12-24T10:52:20-0700',mode:absolute,to:'2017-12-24T13:34:14-0700'))&amp;_a=(columns:!('Message%20ID',Summary),filters:!(),index:'emp_*',interval:auto,query:(query_string:(analyze_wildcard:!t,query:'%22rtdc.l.rtdc.4049%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789</v>
      </c>
      <c r="B74" s="225">
        <v>4022</v>
      </c>
      <c r="C74" s="227" t="s">
        <v>192</v>
      </c>
      <c r="D74" s="227" t="s">
        <v>570</v>
      </c>
      <c r="E74" s="226">
        <v>43093.463634259257</v>
      </c>
      <c r="F74" s="226">
        <v>43093.468888888892</v>
      </c>
      <c r="G74" s="225">
        <v>93</v>
      </c>
      <c r="H74" s="227" t="s">
        <v>945</v>
      </c>
      <c r="I74" s="226">
        <v>43093.492430555554</v>
      </c>
      <c r="J74" s="225">
        <v>0</v>
      </c>
      <c r="K74" s="237" t="str">
        <f>IF(ISEVEN(B74),(B74-1)&amp;"/"&amp;B74,B74&amp;"/"&amp;(B74+1))</f>
        <v>4021/4022</v>
      </c>
      <c r="L74" s="245" t="str">
        <f>VLOOKUP(A74,'Trips&amp;Operators'!$C$1:$G$99911,5,FALSE)</f>
        <v>BIRENBAUM THOMAS</v>
      </c>
      <c r="M74" s="224">
        <f>I74-F74</f>
        <v>2.3541666661913041E-2</v>
      </c>
      <c r="N74" s="225">
        <f>24*60*SUM($M74:$M74)</f>
        <v>33.899999993154779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NorthBound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-24T10:07:38-0700',mode:absolute,to:'2017-12-24T12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4.3499999999999997E-2</v>
      </c>
      <c r="Z74" s="247">
        <f>RIGHT(H74,LEN(H74)-4)/10000</f>
        <v>23.321300000000001</v>
      </c>
      <c r="AA74" s="247">
        <f>ABS(Z74-Y74)</f>
        <v>23.277799999999999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161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/stypes="app*4022*20171224*" /stext=" 18:.+((SYSTEM_STATE.+slice.+state.+changed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161-24 --locoid 4022 --swversion DE.1.0.9.0 --startMP 204:435 --initTime 2017-12-24T11:07:38 --startdatetime 2017-12-24T11:15:12 --delay 93 --endMP 204:233213 --enddatetime 2017-12-24T11:49:06 --enforcementcount 0 &gt;&gt;%USERPROFILE%\Documents\GitHub\eaglep3-reporting\EC\2017-12-24-refined-times.txt</v>
      </c>
      <c r="AI74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{"issue":{"subject":"","project_id":79,"tracker_id":40,"status_id":1,"priority_id":2,"assigned_to_id":338,"start_date":"2017-12-24","description":"","custom_fields":[{"id":1,"name":"Subdivision","value":"EC"},{"id":4,"name":"Milepost","value":"23.3213"},{"id":17,"name":"Train ID","value":"161-24"},{"id":16,"name":"Locomotive ID","value":"4022"},{"id":130,"name":"Impact","value":""},{"id":150,"name":"Time of Event (Mountain Time)","value":"11:49:06"},{"id":151,"name":"Denver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4022 --day 2017-12-24</v>
      </c>
      <c r="AN74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2017-12-24T10:07:38-0700',mode:absolute,to:'2017-12-24T12:49:06-0700'))&amp;_a=(columns:!('Message%20ID',Summary),filters:!(),index:'emp_*',interval:auto,query:(query_string:(analyze_wildcard:!t,query:'%22rtdc.l.rtdc.4022%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797</v>
      </c>
      <c r="B75" s="225">
        <v>4021</v>
      </c>
      <c r="C75" s="227" t="s">
        <v>192</v>
      </c>
      <c r="D75" s="227" t="s">
        <v>928</v>
      </c>
      <c r="E75" s="226">
        <v>43093.493854166663</v>
      </c>
      <c r="F75" s="226">
        <v>43093.508483796293</v>
      </c>
      <c r="G75" s="225">
        <v>87</v>
      </c>
      <c r="H75" s="227" t="s">
        <v>537</v>
      </c>
      <c r="I75" s="226">
        <v>43093.533738425926</v>
      </c>
      <c r="J75" s="225">
        <v>0</v>
      </c>
      <c r="K75" s="237" t="str">
        <f>IF(ISEVEN(B75),(B75-1)&amp;"/"&amp;B75,B75&amp;"/"&amp;(B75+1))</f>
        <v>4021/4022</v>
      </c>
      <c r="L75" s="245" t="str">
        <f>VLOOKUP(A75,'Trips&amp;Operators'!$C$1:$G$99911,5,FALSE)</f>
        <v>BIRENBAUM THOMAS</v>
      </c>
      <c r="M75" s="224">
        <f>I75-F75</f>
        <v>2.5254629632399883E-2</v>
      </c>
      <c r="N75" s="225">
        <f>24*60*SUM($M75:$M75)</f>
        <v>36.366666670655832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Southbound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-24T10:51:09-0700',mode:absolute,to:'2017-12-24T13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23.2911</v>
      </c>
      <c r="Z75" s="247">
        <f>RIGHT(H75,LEN(H75)-4)/10000</f>
        <v>1.9199999999999998E-2</v>
      </c>
      <c r="AA75" s="247">
        <f>ABS(Z75-Y75)</f>
        <v>23.271899999999999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162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/stypes="app*4021*20171224*"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162-24 --locoid 4021 --swversion DE.1.0.9.0 --startMP 204:232911 --initTime 2017-12-24T11:51:09 --startdatetime 2017-12-24T12:12:13 --delay 87 --endMP 204:192 --enddatetime 2017-12-24T12:48:35 --enforcementcount 0 &gt;&gt;%USERPROFILE%\Documents\GitHub\eaglep3-reporting\EC\2017-12-24-refined-times.txt</v>
      </c>
      <c r="AI75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{"issue":{"subject":"","project_id":79,"tracker_id":40,"status_id":1,"priority_id":2,"assigned_to_id":338,"start_date":"2017-12-24","description":"","custom_fields":[{"id":1,"name":"Subdivision","value":"EC"},{"id":4,"name":"Milepost","value":"0.0192"},{"id":17,"name":"Train ID","value":"162-24"},{"id":16,"name":"Locomotive ID","value":"4021"},{"id":130,"name":"Impact","value":""},{"id":150,"name":"Time of Event (Mountain Time)","value":"12:48:35"},{"id":151,"name":"Denver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4021 --day 2017-12-24</v>
      </c>
      <c r="AN75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2017-12-24T10:51:09-0700',mode:absolute,to:'2017-12-24T13:48:35-0700'))&amp;_a=(columns:!('Message%20ID',Summary),filters:!(),index:'emp_*',interval:auto,query:(query_string:(analyze_wildcard:!t,query:'%22rtdc.l.rtdc.4021%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793</v>
      </c>
      <c r="B76" s="225">
        <v>4062</v>
      </c>
      <c r="C76" s="227" t="s">
        <v>192</v>
      </c>
      <c r="D76" s="227" t="s">
        <v>539</v>
      </c>
      <c r="E76" s="226">
        <v>43093.474432870367</v>
      </c>
      <c r="F76" s="226">
        <v>43093.479363425926</v>
      </c>
      <c r="G76" s="225">
        <v>143</v>
      </c>
      <c r="H76" s="227" t="s">
        <v>529</v>
      </c>
      <c r="I76" s="226">
        <v>43093.504548611112</v>
      </c>
      <c r="J76" s="225">
        <v>0</v>
      </c>
      <c r="K76" s="237" t="str">
        <f>IF(ISEVEN(B76),(B76-1)&amp;"/"&amp;B76,B76&amp;"/"&amp;(B76+1))</f>
        <v>4061/4062</v>
      </c>
      <c r="L76" s="245" t="str">
        <f>VLOOKUP(A76,'Trips&amp;Operators'!$C$1:$G$99911,5,FALSE)</f>
        <v>SAFIEF AEIMEN</v>
      </c>
      <c r="M76" s="224">
        <f>I76-F76</f>
        <v>2.5185185186273884E-2</v>
      </c>
      <c r="N76" s="225">
        <f>24*60*SUM($M76:$M76)</f>
        <v>36.266666668234393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NorthBound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-24T10:23:11-0700',mode:absolute,to:'2017-12-24T13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4.7800000000000002E-2</v>
      </c>
      <c r="Z76" s="247">
        <f>RIGHT(H76,LEN(H76)-4)/10000</f>
        <v>23.3263</v>
      </c>
      <c r="AA76" s="247">
        <f>ABS(Z76-Y76)</f>
        <v>23.278500000000001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163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/stypes="app*4062*20171224*"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163-24 --locoid 4062 --swversion DE.1.0.9.0 --startMP 204:478 --initTime 2017-12-24T11:23:11 --startdatetime 2017-12-24T11:30:17 --delay 143 --endMP 204:233263 --enddatetime 2017-12-24T12:06:33 --enforcementcount 0 &gt;&gt;%USERPROFILE%\Documents\GitHub\eaglep3-reporting\EC\2017-12-24-refined-times.txt</v>
      </c>
      <c r="AI76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{"issue":{"subject":"","project_id":79,"tracker_id":40,"status_id":1,"priority_id":2,"assigned_to_id":338,"start_date":"2017-12-24","description":"","custom_fields":[{"id":1,"name":"Subdivision","value":"EC"},{"id":4,"name":"Milepost","value":"23.3263"},{"id":17,"name":"Train ID","value":"163-24"},{"id":16,"name":"Locomotive ID","value":"4062"},{"id":130,"name":"Impact","value":""},{"id":150,"name":"Time of Event (Mountain Time)","value":"12:06:33"},{"id":151,"name":"Denver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4062 --day 2017-12-24</v>
      </c>
      <c r="AN76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2017-12-24T10:23:11-0700',mode:absolute,to:'2017-12-24T13:06:33-0700'))&amp;_a=(columns:!('Message%20ID',Summary),filters:!(),index:'emp_*',interval:auto,query:(query_string:(analyze_wildcard:!t,query:'%22rtdc.l.rtdc.4062%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802</v>
      </c>
      <c r="B77" s="225">
        <v>4061</v>
      </c>
      <c r="C77" s="227" t="s">
        <v>192</v>
      </c>
      <c r="D77" s="227" t="s">
        <v>641</v>
      </c>
      <c r="E77" s="226">
        <v>43093.507731481484</v>
      </c>
      <c r="F77" s="226">
        <v>43093.518969907411</v>
      </c>
      <c r="G77" s="225">
        <v>124</v>
      </c>
      <c r="H77" s="227" t="s">
        <v>466</v>
      </c>
      <c r="I77" s="226">
        <v>43093.545682870368</v>
      </c>
      <c r="J77" s="225">
        <v>0</v>
      </c>
      <c r="K77" s="237" t="str">
        <f>IF(ISEVEN(B77),(B77-1)&amp;"/"&amp;B77,B77&amp;"/"&amp;(B77+1))</f>
        <v>4061/4062</v>
      </c>
      <c r="L77" s="245" t="str">
        <f>VLOOKUP(A77,'Trips&amp;Operators'!$C$1:$G$99911,5,FALSE)</f>
        <v>SAFIEF AEIMEN</v>
      </c>
      <c r="M77" s="224">
        <f>I77-F77</f>
        <v>2.6712962957390118E-2</v>
      </c>
      <c r="N77" s="225">
        <f>24*60*SUM($M77:$M77)</f>
        <v>38.46666665864177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Southbound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-24T11:11:08-0700',mode:absolute,to:'2017-12-24T14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23.294</v>
      </c>
      <c r="Z77" s="247">
        <f>RIGHT(H77,LEN(H77)-4)/10000</f>
        <v>2.1100000000000001E-2</v>
      </c>
      <c r="AA77" s="247">
        <f>ABS(Z77-Y77)</f>
        <v>23.2729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164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/stypes="app*4061*20171224*" /stext=" 20:.+((SYSTEM_STATE.+slice.+state.+changed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164-24 --locoid 4061 --swversion DE.1.0.9.0 --startMP 204:232940 --initTime 2017-12-24T12:11:08 --startdatetime 2017-12-24T12:27:19 --delay 124 --endMP 204:211 --enddatetime 2017-12-24T13:05:47 --enforcementcount 0 &gt;&gt;%USERPROFILE%\Documents\GitHub\eaglep3-reporting\EC\2017-12-24-refined-times.txt</v>
      </c>
      <c r="AI77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{"issue":{"subject":"","project_id":79,"tracker_id":40,"status_id":1,"priority_id":2,"assigned_to_id":338,"start_date":"2017-12-24","description":"","custom_fields":[{"id":1,"name":"Subdivision","value":"EC"},{"id":4,"name":"Milepost","value":"0.0211"},{"id":17,"name":"Train ID","value":"164-24"},{"id":16,"name":"Locomotive ID","value":"4061"},{"id":130,"name":"Impact","value":""},{"id":150,"name":"Time of Event (Mountain Time)","value":"13:05:47"},{"id":151,"name":"Denver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4061 --day 2017-12-24</v>
      </c>
      <c r="AN77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2017-12-24T11:11:08-0700',mode:absolute,to:'2017-12-24T14:05:47-0700'))&amp;_a=(columns:!('Message%20ID',Summary),filters:!(),index:'emp_*',interval:auto,query:(query_string:(analyze_wildcard:!t,query:'%22rtdc.l.rtdc.4061%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796</v>
      </c>
      <c r="B78" s="225">
        <v>4012</v>
      </c>
      <c r="C78" s="227" t="s">
        <v>192</v>
      </c>
      <c r="D78" s="227" t="s">
        <v>616</v>
      </c>
      <c r="E78" s="226">
        <v>43093.4844212963</v>
      </c>
      <c r="F78" s="226">
        <v>43093.489733796298</v>
      </c>
      <c r="G78" s="225">
        <v>77</v>
      </c>
      <c r="H78" s="227" t="s">
        <v>946</v>
      </c>
      <c r="I78" s="226">
        <v>43093.513749999998</v>
      </c>
      <c r="J78" s="225">
        <v>0</v>
      </c>
      <c r="K78" s="237" t="str">
        <f>IF(ISEVEN(B78),(B78-1)&amp;"/"&amp;B78,B78&amp;"/"&amp;(B78+1))</f>
        <v>4011/4012</v>
      </c>
      <c r="L78" s="245" t="str">
        <f>VLOOKUP(A78,'Trips&amp;Operators'!$C$1:$G$99911,5,FALSE)</f>
        <v>MCREYNOLDS KYLE</v>
      </c>
      <c r="M78" s="224">
        <f>I78-F78</f>
        <v>2.4016203700739425E-2</v>
      </c>
      <c r="N78" s="225">
        <f>24*60*SUM($M78:$M78)</f>
        <v>34.583333329064772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NorthBound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-24T10:37:34-0700',mode:absolute,to:'2017-12-24T13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4.8800000000000003E-2</v>
      </c>
      <c r="Z78" s="247">
        <f>RIGHT(H78,LEN(H78)-4)/10000</f>
        <v>23.3203</v>
      </c>
      <c r="AA78" s="247">
        <f>ABS(Z78-Y78)</f>
        <v>23.2715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165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/stypes="app*4012*20171224*" /stext=" 19:.+((SYSTEM_STATE.+slice.+state.+changed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si="5"/>
        <v>"%USERPROFILE%\Documents\GitHub\eaglep3\Utilities\RefineRTDCRunTimes.py" --tripid 165-24 --locoid 4012 --swversion DE.1.0.9.0 --startMP 204:488 --initTime 2017-12-24T11:37:34 --startdatetime 2017-12-24T11:45:13 --delay 77 --endMP 204:233203 --enddatetime 2017-12-24T12:19:48 --enforcementcount 0 &gt;&gt;%USERPROFILE%\Documents\GitHub\eaglep3-reporting\EC\2017-12-24-refined-times.txt</v>
      </c>
      <c r="AI78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{"issue":{"subject":"","project_id":79,"tracker_id":40,"status_id":1,"priority_id":2,"assigned_to_id":338,"start_date":"2017-12-24","description":"","custom_fields":[{"id":1,"name":"Subdivision","value":"EC"},{"id":4,"name":"Milepost","value":"23.3203"},{"id":17,"name":"Train ID","value":"165-24"},{"id":16,"name":"Locomotive ID","value":"4012"},{"id":130,"name":"Impact","value":""},{"id":150,"name":"Time of Event (Mountain Time)","value":"12:19:48"},{"id":151,"name":"Denver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7"/>
        <v>start /low /b %USERPROFILE%\Documents\GitHub\eaglep3\Utilities\DownloadLogsFromS3.py --loco 4012 --day 2017-12-24</v>
      </c>
      <c r="AN78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9"/>
        <v>https://d0f6bd738d7f1b3e5a7ca70fe4ff75f0.us-east-1.aws.found.io/app/kibana#/discover/Steve-Slow-Train-Analysis-(2080s-and-2083s)?_g=(refreshInterval:(display:Off,pause:!f,section:0,value:0),time:(from:'2017-12-24T10:37:34-0700',mode:absolute,to:'2017-12-24T13:19:48-0700'))&amp;_a=(columns:!('Message%20ID',Summary),filters:!(),index:'emp_*',interval:auto,query:(query_string:(analyze_wildcard:!t,query:'%22rtdc.l.rtdc.4012%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805</v>
      </c>
      <c r="B79" s="225">
        <v>4011</v>
      </c>
      <c r="C79" s="227" t="s">
        <v>192</v>
      </c>
      <c r="D79" s="227" t="s">
        <v>947</v>
      </c>
      <c r="E79" s="226">
        <v>43093.525231481479</v>
      </c>
      <c r="F79" s="226">
        <v>43093.529317129629</v>
      </c>
      <c r="G79" s="225">
        <v>66</v>
      </c>
      <c r="H79" s="227" t="s">
        <v>948</v>
      </c>
      <c r="I79" s="226">
        <v>43093.555162037039</v>
      </c>
      <c r="J79" s="225">
        <v>0</v>
      </c>
      <c r="K79" s="237" t="str">
        <f>IF(ISEVEN(B79),(B79-1)&amp;"/"&amp;B79,B79&amp;"/"&amp;(B79+1))</f>
        <v>4011/4012</v>
      </c>
      <c r="L79" s="245" t="str">
        <f>VLOOKUP(A79,'Trips&amp;Operators'!$C$1:$G$99911,5,FALSE)</f>
        <v>MCREYNOLDS KYLE</v>
      </c>
      <c r="M79" s="224">
        <f>I79-F79</f>
        <v>2.584490740991896E-2</v>
      </c>
      <c r="N79" s="225">
        <f>24*60*SUM($M79:$M79)</f>
        <v>37.216666670283303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Southbound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-24T11:36:20-0700',mode:absolute,to:'2017-12-24T14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23.285399999999999</v>
      </c>
      <c r="Z79" s="247">
        <f>RIGHT(H79,LEN(H79)-4)/10000</f>
        <v>2.5100000000000001E-2</v>
      </c>
      <c r="AA79" s="247">
        <f>ABS(Z79-Y79)</f>
        <v>23.260300000000001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166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/stypes="app*4011*20171224*" /stext=" 20:.+((SYSTEM_STATE.+slice.+state.+changed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5"/>
        <v>"%USERPROFILE%\Documents\GitHub\eaglep3\Utilities\RefineRTDCRunTimes.py" --tripid 166-24 --locoid 4011 --swversion DE.1.0.9.0 --startMP 204:232854 --initTime 2017-12-24T12:36:20 --startdatetime 2017-12-24T12:42:13 --delay 66 --endMP 204:251 --enddatetime 2017-12-24T13:19:26 --enforcementcount 0 &gt;&gt;%USERPROFILE%\Documents\GitHub\eaglep3-reporting\EC\2017-12-24-refined-times.txt</v>
      </c>
      <c r="AI79" s="238" t="str">
        <f t="shared" si="6"/>
        <v>echo {"issue":{"subject":"","project_id":79,"tracker_id":40,"status_id":1,"priority_id":2,"assigned_to_id":338,"start_date":"2017-12-24","description":"","custom_fields":[{"id":1,"name":"Subdivision","value":"EC"},{"id":4,"name":"Milepost","value":"0.0251"},{"id":17,"name":"Train ID","value":"166-24"},{"id":16,"name":"Locomotive ID","value":"4011"},{"id":130,"name":"Impact","value":""},{"id":150,"name":"Time of Event (Mountain Time)","value":"13:19:26"},{"id":151,"name":"Denver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7"/>
        <v>start /low /b %USERPROFILE%\Documents\GitHub\eaglep3\Utilities\DownloadLogsFromS3.py --loco 4011 --day 2017-12-24</v>
      </c>
      <c r="AN79" s="241" t="str">
        <f t="shared" si="8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9"/>
        <v>https://d0f6bd738d7f1b3e5a7ca70fe4ff75f0.us-east-1.aws.found.io/app/kibana#/discover/Steve-Slow-Train-Analysis-(2080s-and-2083s)?_g=(refreshInterval:(display:Off,pause:!f,section:0,value:0),time:(from:'2017-12-24T11:36:20-0700',mode:absolute,to:'2017-12-24T14:19:26-0700'))&amp;_a=(columns:!('Message%20ID',Summary),filters:!(),index:'emp_*',interval:auto,query:(query_string:(analyze_wildcard:!t,query:'%22rtdc.l.rtdc.4011%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799</v>
      </c>
      <c r="B80" s="225">
        <v>4044</v>
      </c>
      <c r="C80" s="227" t="s">
        <v>192</v>
      </c>
      <c r="D80" s="227" t="s">
        <v>656</v>
      </c>
      <c r="E80" s="226">
        <v>43093.496203703704</v>
      </c>
      <c r="F80" s="226">
        <v>43093.500243055554</v>
      </c>
      <c r="G80" s="225">
        <v>61</v>
      </c>
      <c r="H80" s="227" t="s">
        <v>540</v>
      </c>
      <c r="I80" s="226">
        <v>43093.52584490741</v>
      </c>
      <c r="J80" s="225">
        <v>0</v>
      </c>
      <c r="K80" s="237" t="str">
        <f>IF(ISEVEN(B80),(B80-1)&amp;"/"&amp;B80,B80&amp;"/"&amp;(B80+1))</f>
        <v>4043/4044</v>
      </c>
      <c r="L80" s="245" t="str">
        <f>VLOOKUP(A80,'Trips&amp;Operators'!$C$1:$G$99911,5,FALSE)</f>
        <v>BADERTSCHER DIANE</v>
      </c>
      <c r="M80" s="224">
        <f>I80-F80</f>
        <v>2.5601851855753921E-2</v>
      </c>
      <c r="N80" s="225">
        <f>24*60*SUM($M80:$M80)</f>
        <v>36.866666672285646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NorthBound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-24T10:54:32-0700',mode:absolute,to:'2017-12-24T13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5.28E-2</v>
      </c>
      <c r="Z80" s="247">
        <f>RIGHT(H80,LEN(H80)-4)/10000</f>
        <v>23.322099999999999</v>
      </c>
      <c r="AA80" s="247">
        <f>ABS(Z80-Y80)</f>
        <v>23.269299999999998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167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/stypes="app*4044*20171224*" /stext=" 19:.+((SYSTEM_STATE.+slice.+state.+changed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ref="AH80:AH144" si="21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167-24 --locoid 4044 --swversion DE.1.0.9.0 --startMP 204:528 --initTime 2017-12-24T11:54:32 --startdatetime 2017-12-24T12:00:21 --delay 61 --endMP 204:233221 --enddatetime 2017-12-24T12:37:13 --enforcementcount 0 &gt;&gt;%USERPROFILE%\Documents\GitHub\eaglep3-reporting\EC\2017-12-24-refined-times.txt</v>
      </c>
      <c r="AI80" s="238" t="str">
        <f t="shared" ref="AI80:AI144" si="22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{"issue":{"subject":"","project_id":79,"tracker_id":40,"status_id":1,"priority_id":2,"assigned_to_id":338,"start_date":"2017-12-24","description":"","custom_fields":[{"id":1,"name":"Subdivision","value":"EC"},{"id":4,"name":"Milepost","value":"23.3221"},{"id":17,"name":"Train ID","value":"167-24"},{"id":16,"name":"Locomotive ID","value":"4044"},{"id":130,"name":"Impact","value":""},{"id":150,"name":"Time of Event (Mountain Time)","value":"12:37:13"},{"id":151,"name":"Denver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:AM144" si="23">"start /low /b "&amp;dls3logs&amp;" --loco "&amp;B80&amp;" --day "&amp;TEXT(F80,"YYYY-MM-DD")</f>
        <v>start /low /b %USERPROFILE%\Documents\GitHub\eaglep3\Utilities\DownloadLogsFromS3.py --loco 4044 --day 2017-12-24</v>
      </c>
      <c r="AN80" s="241" t="str">
        <f t="shared" ref="AN80:AN144" si="24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:AO144" si="25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-24T10:54:32-0700',mode:absolute,to:'2017-12-24T13:37:13-0700'))&amp;_a=(columns:!('Message%20ID',Summary),filters:!(),index:'emp_*',interval:auto,query:(query_string:(analyze_wildcard:!t,query:'%22rtdc.l.rtdc.4044%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807</v>
      </c>
      <c r="B81" s="225">
        <v>4043</v>
      </c>
      <c r="C81" s="227" t="s">
        <v>192</v>
      </c>
      <c r="D81" s="227" t="s">
        <v>949</v>
      </c>
      <c r="E81" s="226">
        <v>43093.533946759257</v>
      </c>
      <c r="F81" s="226">
        <v>43093.539756944447</v>
      </c>
      <c r="G81" s="225">
        <v>84</v>
      </c>
      <c r="H81" s="227" t="s">
        <v>654</v>
      </c>
      <c r="I81" s="226">
        <v>43093.567164351851</v>
      </c>
      <c r="J81" s="225">
        <v>0</v>
      </c>
      <c r="K81" s="237" t="str">
        <f>IF(ISEVEN(B81),(B81-1)&amp;"/"&amp;B81,B81&amp;"/"&amp;(B81+1))</f>
        <v>4043/4044</v>
      </c>
      <c r="L81" s="245" t="str">
        <f>VLOOKUP(A81,'Trips&amp;Operators'!$C$1:$G$99911,5,FALSE)</f>
        <v>BADERTSCHER DIANE</v>
      </c>
      <c r="M81" s="224">
        <f>I81-F81</f>
        <v>2.7407407404098194E-2</v>
      </c>
      <c r="N81" s="225">
        <f>24*60*SUM($M81:$M81)</f>
        <v>39.466666661901399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Southbound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-24T11:48:53-0700',mode:absolute,to:'2017-12-24T14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23.290900000000001</v>
      </c>
      <c r="Z81" s="247">
        <f>RIGHT(H81,LEN(H81)-4)/10000</f>
        <v>2.4899999999999999E-2</v>
      </c>
      <c r="AA81" s="247">
        <f>ABS(Z81-Y81)</f>
        <v>23.266000000000002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168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/stypes="app*4043*20171224*" /stext=" 20:.+((SYSTEM_STATE.+slice.+state.+changed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21"/>
        <v>"%USERPROFILE%\Documents\GitHub\eaglep3\Utilities\RefineRTDCRunTimes.py" --tripid 168-24 --locoid 4043 --swversion DE.1.0.9.0 --startMP 204:232909 --initTime 2017-12-24T12:48:53 --startdatetime 2017-12-24T12:57:15 --delay 84 --endMP 204:249 --enddatetime 2017-12-24T13:36:43 --enforcementcount 0 &gt;&gt;%USERPROFILE%\Documents\GitHub\eaglep3-reporting\EC\2017-12-24-refined-times.txt</v>
      </c>
      <c r="AI8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{"issue":{"subject":"","project_id":79,"tracker_id":40,"status_id":1,"priority_id":2,"assigned_to_id":338,"start_date":"2017-12-24","description":"","custom_fields":[{"id":1,"name":"Subdivision","value":"EC"},{"id":4,"name":"Milepost","value":"0.0249"},{"id":17,"name":"Train ID","value":"168-24"},{"id":16,"name":"Locomotive ID","value":"4043"},{"id":130,"name":"Impact","value":""},{"id":150,"name":"Time of Event (Mountain Time)","value":"13:36:43"},{"id":151,"name":"Denver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23"/>
        <v>start /low /b %USERPROFILE%\Documents\GitHub\eaglep3\Utilities\DownloadLogsFromS3.py --loco 4043 --day 2017-12-24</v>
      </c>
      <c r="AN81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25"/>
        <v>https://d0f6bd738d7f1b3e5a7ca70fe4ff75f0.us-east-1.aws.found.io/app/kibana#/discover/Steve-Slow-Train-Analysis-(2080s-and-2083s)?_g=(refreshInterval:(display:Off,pause:!f,section:0,value:0),time:(from:'2017-12-24T11:48:53-0700',mode:absolute,to:'2017-12-24T14:36:43-0700'))&amp;_a=(columns:!('Message%20ID',Summary),filters:!(),index:'emp_*',interval:auto,query:(query_string:(analyze_wildcard:!t,query:'%22rtdc.l.rtdc.4043%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801</v>
      </c>
      <c r="B82" s="225">
        <v>4014</v>
      </c>
      <c r="C82" s="227" t="s">
        <v>192</v>
      </c>
      <c r="D82" s="227" t="s">
        <v>628</v>
      </c>
      <c r="E82" s="226">
        <v>43093.506504629629</v>
      </c>
      <c r="F82" s="226">
        <v>43093.510578703703</v>
      </c>
      <c r="G82" s="225">
        <v>108</v>
      </c>
      <c r="H82" s="227" t="s">
        <v>950</v>
      </c>
      <c r="I82" s="226">
        <v>43093.534733796296</v>
      </c>
      <c r="J82" s="225">
        <v>0</v>
      </c>
      <c r="K82" s="237" t="str">
        <f>IF(ISEVEN(B82),(B82-1)&amp;"/"&amp;B82,B82&amp;"/"&amp;(B82+1))</f>
        <v>4013/4014</v>
      </c>
      <c r="L82" s="245" t="str">
        <f>VLOOKUP(A82,'Trips&amp;Operators'!$C$1:$G$99911,5,FALSE)</f>
        <v>MAGEE KENYA</v>
      </c>
      <c r="M82" s="224">
        <f>I82-F82</f>
        <v>2.4155092592991423E-2</v>
      </c>
      <c r="N82" s="225">
        <f>24*60*SUM($M82:$M82)</f>
        <v>34.783333333907649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NorthBound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-24T11:09:22-0700',mode:absolute,to:'2017-12-24T13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5.3100000000000001E-2</v>
      </c>
      <c r="Z82" s="247">
        <f>RIGHT(H82,LEN(H82)-4)/10000</f>
        <v>23.334299999999999</v>
      </c>
      <c r="AA82" s="247">
        <f>ABS(Z82-Y82)</f>
        <v>23.281199999999998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169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/stypes="app*4014*20171224*" /stext=" 19:.+((SYSTEM_STATE.+slice.+state.+changed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21"/>
        <v>"%USERPROFILE%\Documents\GitHub\eaglep3\Utilities\RefineRTDCRunTimes.py" --tripid 169-24 --locoid 4014 --swversion DE.1.0.9.0 --startMP 204:531 --initTime 2017-12-24T12:09:22 --startdatetime 2017-12-24T12:15:14 --delay 108 --endMP 204:233343 --enddatetime 2017-12-24T12:50:01 --enforcementcount 0 &gt;&gt;%USERPROFILE%\Documents\GitHub\eaglep3-reporting\EC\2017-12-24-refined-times.txt</v>
      </c>
      <c r="AI8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{"issue":{"subject":"","project_id":79,"tracker_id":40,"status_id":1,"priority_id":2,"assigned_to_id":338,"start_date":"2017-12-24","description":"","custom_fields":[{"id":1,"name":"Subdivision","value":"EC"},{"id":4,"name":"Milepost","value":"23.3343"},{"id":17,"name":"Train ID","value":"169-24"},{"id":16,"name":"Locomotive ID","value":"4014"},{"id":130,"name":"Impact","value":""},{"id":150,"name":"Time of Event (Mountain Time)","value":"12:50:01"},{"id":151,"name":"Denver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23"/>
        <v>start /low /b %USERPROFILE%\Documents\GitHub\eaglep3\Utilities\DownloadLogsFromS3.py --loco 4014 --day 2017-12-24</v>
      </c>
      <c r="AN82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25"/>
        <v>https://d0f6bd738d7f1b3e5a7ca70fe4ff75f0.us-east-1.aws.found.io/app/kibana#/discover/Steve-Slow-Train-Analysis-(2080s-and-2083s)?_g=(refreshInterval:(display:Off,pause:!f,section:0,value:0),time:(from:'2017-12-24T11:09:22-0700',mode:absolute,to:'2017-12-24T13:50:01-0700'))&amp;_a=(columns:!('Message%20ID',Summary),filters:!(),index:'emp_*',interval:auto,query:(query_string:(analyze_wildcard:!t,query:'%22rtdc.l.rtdc.4014%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683</v>
      </c>
      <c r="B83" s="225">
        <v>4013</v>
      </c>
      <c r="C83" s="227" t="s">
        <v>192</v>
      </c>
      <c r="D83" s="227" t="s">
        <v>951</v>
      </c>
      <c r="E83" s="226">
        <v>43093.537916666668</v>
      </c>
      <c r="F83" s="226">
        <v>43093.550254629627</v>
      </c>
      <c r="G83" s="225">
        <v>85</v>
      </c>
      <c r="H83" s="227" t="s">
        <v>638</v>
      </c>
      <c r="I83" s="226">
        <v>43093.577013888891</v>
      </c>
      <c r="J83" s="225">
        <v>0</v>
      </c>
      <c r="K83" s="237" t="str">
        <f>IF(ISEVEN(B83),(B83-1)&amp;"/"&amp;B83,B83&amp;"/"&amp;(B83+1))</f>
        <v>4013/4014</v>
      </c>
      <c r="L83" s="245" t="str">
        <f>VLOOKUP(A83,'Trips&amp;Operators'!$C$1:$G$99911,5,FALSE)</f>
        <v>MAGEE KENYA</v>
      </c>
      <c r="M83" s="224">
        <f>I83-F83</f>
        <v>2.6759259264508728E-2</v>
      </c>
      <c r="N83" s="225">
        <f>24*60*SUM($M83:$M83)</f>
        <v>38.533333340892568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Southbound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-24T11:54:36-0700',mode:absolute,to:'2017-12-24T14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23.302299999999999</v>
      </c>
      <c r="Z83" s="247">
        <f>RIGHT(H83,LEN(H83)-4)/10000</f>
        <v>2.12E-2</v>
      </c>
      <c r="AA83" s="247">
        <f>ABS(Z83-Y83)</f>
        <v>23.281099999999999</v>
      </c>
      <c r="AB83" s="233" t="str">
        <f>VLOOKUP(A83,Enforcements!$C$7:$K$9,8,0)</f>
        <v>Bulletin (2)</v>
      </c>
      <c r="AC83" s="232" t="str">
        <f>VLOOKUP(A83,Enforcements!$C$7:$E$9,3,0)</f>
        <v>GRADE CROSSING</v>
      </c>
      <c r="AD83" s="243">
        <f>VALUE(LEFT(A83,LEN(A83)-3))</f>
        <v>170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/stypes="app*4013*20171224*"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21"/>
        <v>"%USERPROFILE%\Documents\GitHub\eaglep3\Utilities\RefineRTDCRunTimes.py" --tripid 170-24 --locoid 4013 --swversion DE.1.0.9.0 --startMP 204:233023 --initTime 2017-12-24T12:54:36 --startdatetime 2017-12-24T13:12:22 --delay 85 --endMP 204:212 --enddatetime 2017-12-24T13:50:54 --enforcementcount 0 &gt;&gt;%USERPROFILE%\Documents\GitHub\eaglep3-reporting\EC\2017-12-24-refined-times.txt</v>
      </c>
      <c r="AI83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{"issue":{"subject":"","project_id":79,"tracker_id":40,"status_id":1,"priority_id":2,"assigned_to_id":338,"start_date":"2017-12-24","description":"","custom_fields":[{"id":1,"name":"Subdivision","value":"EC"},{"id":4,"name":"Milepost","value":"0.0212"},{"id":17,"name":"Train ID","value":"170-24"},{"id":16,"name":"Locomotive ID","value":"4013"},{"id":130,"name":"Impact","value":""},{"id":150,"name":"Time of Event (Mountain Time)","value":"13:50:54"},{"id":151,"name":"Denver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23"/>
        <v>start /low /b %USERPROFILE%\Documents\GitHub\eaglep3\Utilities\DownloadLogsFromS3.py --loco 4013 --day 2017-12-24</v>
      </c>
      <c r="AN83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25"/>
        <v>https://d0f6bd738d7f1b3e5a7ca70fe4ff75f0.us-east-1.aws.found.io/app/kibana#/discover/Steve-Slow-Train-Analysis-(2080s-and-2083s)?_g=(refreshInterval:(display:Off,pause:!f,section:0,value:0),time:(from:'2017-12-24T11:54:36-0700',mode:absolute,to:'2017-12-24T14:50:54-0700'))&amp;_a=(columns:!('Message%20ID',Summary),filters:!(),index:'emp_*',interval:auto,query:(query_string:(analyze_wildcard:!t,query:'%22rtdc.l.rtdc.4013%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803</v>
      </c>
      <c r="B84" s="225">
        <v>4006</v>
      </c>
      <c r="C84" s="227" t="s">
        <v>192</v>
      </c>
      <c r="D84" s="227" t="s">
        <v>620</v>
      </c>
      <c r="E84" s="226">
        <v>43093.517418981479</v>
      </c>
      <c r="F84" s="226">
        <v>43093.52107638889</v>
      </c>
      <c r="G84" s="225">
        <v>53</v>
      </c>
      <c r="H84" s="227" t="s">
        <v>952</v>
      </c>
      <c r="I84" s="226">
        <v>43093.546331018515</v>
      </c>
      <c r="J84" s="225">
        <v>0</v>
      </c>
      <c r="K84" s="237" t="str">
        <f>IF(ISEVEN(B84),(B84-1)&amp;"/"&amp;B84,B84&amp;"/"&amp;(B84+1))</f>
        <v>4005/4006</v>
      </c>
      <c r="L84" s="245" t="str">
        <f>VLOOKUP(A84,'Trips&amp;Operators'!$C$1:$G$99911,5,FALSE)</f>
        <v>STEWART MICHAEL</v>
      </c>
      <c r="M84" s="224">
        <f>I84-F84</f>
        <v>2.5254629625123926E-2</v>
      </c>
      <c r="N84" s="225">
        <f>24*60*SUM($M84:$M84)</f>
        <v>36.366666660178453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NorthBound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-24T11:25:05-0700',mode:absolute,to:'2017-12-24T14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4.6899999999999997E-2</v>
      </c>
      <c r="Z84" s="247">
        <f>RIGHT(H84,LEN(H84)-4)/10000</f>
        <v>23.331</v>
      </c>
      <c r="AA84" s="247">
        <f>ABS(Z84-Y84)</f>
        <v>23.284099999999999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171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/stypes="app*4006*20171224*"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21"/>
        <v>"%USERPROFILE%\Documents\GitHub\eaglep3\Utilities\RefineRTDCRunTimes.py" --tripid 171-24 --locoid 4006 --swversion DE.1.0.9.0 --startMP 204:469 --initTime 2017-12-24T12:25:05 --startdatetime 2017-12-24T12:30:21 --delay 53 --endMP 204:233310 --enddatetime 2017-12-24T13:06:43 --enforcementcount 0 &gt;&gt;%USERPROFILE%\Documents\GitHub\eaglep3-reporting\EC\2017-12-24-refined-times.txt</v>
      </c>
      <c r="AI8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{"issue":{"subject":"","project_id":79,"tracker_id":40,"status_id":1,"priority_id":2,"assigned_to_id":338,"start_date":"2017-12-24","description":"","custom_fields":[{"id":1,"name":"Subdivision","value":"EC"},{"id":4,"name":"Milepost","value":"23.331"},{"id":17,"name":"Train ID","value":"171-24"},{"id":16,"name":"Locomotive ID","value":"4006"},{"id":130,"name":"Impact","value":""},{"id":150,"name":"Time of Event (Mountain Time)","value":"13:06:43"},{"id":151,"name":"Denver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23"/>
        <v>start /low /b %USERPROFILE%\Documents\GitHub\eaglep3\Utilities\DownloadLogsFromS3.py --loco 4006 --day 2017-12-24</v>
      </c>
      <c r="AN84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25"/>
        <v>https://d0f6bd738d7f1b3e5a7ca70fe4ff75f0.us-east-1.aws.found.io/app/kibana#/discover/Steve-Slow-Train-Analysis-(2080s-and-2083s)?_g=(refreshInterval:(display:Off,pause:!f,section:0,value:0),time:(from:'2017-12-24T11:25:05-0700',mode:absolute,to:'2017-12-24T14:06:43-0700'))&amp;_a=(columns:!('Message%20ID',Summary),filters:!(),index:'emp_*',interval:auto,query:(query_string:(analyze_wildcard:!t,query:'%22rtdc.l.rtdc.4006%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811</v>
      </c>
      <c r="B85" s="225">
        <v>4005</v>
      </c>
      <c r="C85" s="227" t="s">
        <v>192</v>
      </c>
      <c r="D85" s="227" t="s">
        <v>953</v>
      </c>
      <c r="E85" s="226">
        <v>43093.556585648148</v>
      </c>
      <c r="F85" s="226">
        <v>43093.560648148145</v>
      </c>
      <c r="G85" s="225">
        <v>83</v>
      </c>
      <c r="H85" s="227" t="s">
        <v>545</v>
      </c>
      <c r="I85" s="226">
        <v>43093.586967592593</v>
      </c>
      <c r="J85" s="225">
        <v>0</v>
      </c>
      <c r="K85" s="237" t="str">
        <f>IF(ISEVEN(B85),(B85-1)&amp;"/"&amp;B85,B85&amp;"/"&amp;(B85+1))</f>
        <v>4005/4006</v>
      </c>
      <c r="L85" s="245" t="str">
        <f>VLOOKUP(A85,'Trips&amp;Operators'!$C$1:$G$99911,5,FALSE)</f>
        <v>STEWART MICHAEL</v>
      </c>
      <c r="M85" s="224">
        <f>I85-F85</f>
        <v>2.6319444448745344E-2</v>
      </c>
      <c r="N85" s="225">
        <f>24*60*SUM($M85:$M85)</f>
        <v>37.900000006193295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Southbound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-24T12:21:29-0700',mode:absolute,to:'2017-12-24T15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23.3</v>
      </c>
      <c r="Z85" s="247">
        <f>RIGHT(H85,LEN(H85)-4)/10000</f>
        <v>2.23E-2</v>
      </c>
      <c r="AA85" s="247">
        <f>ABS(Z85-Y85)</f>
        <v>23.277699999999999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172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/stypes="app*4005*20171224*" /stext=" 21:.+((SYSTEM_STATE.+slice.+state.+changed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21"/>
        <v>"%USERPROFILE%\Documents\GitHub\eaglep3\Utilities\RefineRTDCRunTimes.py" --tripid 172-24 --locoid 4005 --swversion DE.1.0.9.0 --startMP 204:233000 --initTime 2017-12-24T13:21:29 --startdatetime 2017-12-24T13:27:20 --delay 83 --endMP 204:223 --enddatetime 2017-12-24T14:05:14 --enforcementcount 0 &gt;&gt;%USERPROFILE%\Documents\GitHub\eaglep3-reporting\EC\2017-12-24-refined-times.txt</v>
      </c>
      <c r="AI85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{"issue":{"subject":"","project_id":79,"tracker_id":40,"status_id":1,"priority_id":2,"assigned_to_id":338,"start_date":"2017-12-24","description":"","custom_fields":[{"id":1,"name":"Subdivision","value":"EC"},{"id":4,"name":"Milepost","value":"0.0223"},{"id":17,"name":"Train ID","value":"172-24"},{"id":16,"name":"Locomotive ID","value":"4005"},{"id":130,"name":"Impact","value":""},{"id":150,"name":"Time of Event (Mountain Time)","value":"14:05:14"},{"id":151,"name":"Denver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23"/>
        <v>start /low /b %USERPROFILE%\Documents\GitHub\eaglep3\Utilities\DownloadLogsFromS3.py --loco 4005 --day 2017-12-24</v>
      </c>
      <c r="AN85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25"/>
        <v>https://d0f6bd738d7f1b3e5a7ca70fe4ff75f0.us-east-1.aws.found.io/app/kibana#/discover/Steve-Slow-Train-Analysis-(2080s-and-2083s)?_g=(refreshInterval:(display:Off,pause:!f,section:0,value:0),time:(from:'2017-12-24T12:21:29-0700',mode:absolute,to:'2017-12-24T15:05:14-0700'))&amp;_a=(columns:!('Message%20ID',Summary),filters:!(),index:'emp_*',interval:auto,query:(query_string:(analyze_wildcard:!t,query:'%22rtdc.l.rtdc.4005%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806</v>
      </c>
      <c r="B86" s="225">
        <v>4050</v>
      </c>
      <c r="C86" s="227" t="s">
        <v>192</v>
      </c>
      <c r="D86" s="227" t="s">
        <v>625</v>
      </c>
      <c r="E86" s="226">
        <v>43093.526620370372</v>
      </c>
      <c r="F86" s="226">
        <v>43093.531493055554</v>
      </c>
      <c r="G86" s="225">
        <v>67</v>
      </c>
      <c r="H86" s="227" t="s">
        <v>954</v>
      </c>
      <c r="I86" s="226">
        <v>43093.556284722225</v>
      </c>
      <c r="J86" s="225">
        <v>0</v>
      </c>
      <c r="K86" s="237" t="str">
        <f>IF(ISEVEN(B86),(B86-1)&amp;"/"&amp;B86,B86&amp;"/"&amp;(B86+1))</f>
        <v>4049/4050</v>
      </c>
      <c r="L86" s="245" t="str">
        <f>VLOOKUP(A86,'Trips&amp;Operators'!$C$1:$G$99911,5,FALSE)</f>
        <v>SMITH MICHAEL</v>
      </c>
      <c r="M86" s="224">
        <f>I86-F86</f>
        <v>2.4791666670353152E-2</v>
      </c>
      <c r="N86" s="225">
        <f>24*60*SUM($M86:$M86)</f>
        <v>35.700000005308539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NorthBound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-24T11:38:20-0700',mode:absolute,to:'2017-12-24T14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4.8899999999999999E-2</v>
      </c>
      <c r="Z86" s="247">
        <f>RIGHT(H86,LEN(H86)-4)/10000</f>
        <v>23.319700000000001</v>
      </c>
      <c r="AA86" s="247">
        <f>ABS(Z86-Y86)</f>
        <v>23.270800000000001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173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/stypes="app*4050*20171224*" /stext=" 20:.+((SYSTEM_STATE.+slice.+state.+changed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21"/>
        <v>"%USERPROFILE%\Documents\GitHub\eaglep3\Utilities\RefineRTDCRunTimes.py" --tripid 173-24 --locoid 4050 --swversion DE.1.0.9.0 --startMP 204:489 --initTime 2017-12-24T12:38:20 --startdatetime 2017-12-24T12:45:21 --delay 67 --endMP 204:233197 --enddatetime 2017-12-24T13:21:03 --enforcementcount 0 &gt;&gt;%USERPROFILE%\Documents\GitHub\eaglep3-reporting\EC\2017-12-24-refined-times.txt</v>
      </c>
      <c r="AI86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{"issue":{"subject":"","project_id":79,"tracker_id":40,"status_id":1,"priority_id":2,"assigned_to_id":338,"start_date":"2017-12-24","description":"","custom_fields":[{"id":1,"name":"Subdivision","value":"EC"},{"id":4,"name":"Milepost","value":"23.3197"},{"id":17,"name":"Train ID","value":"173-24"},{"id":16,"name":"Locomotive ID","value":"4050"},{"id":130,"name":"Impact","value":""},{"id":150,"name":"Time of Event (Mountain Time)","value":"13:21:03"},{"id":151,"name":"Denver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23"/>
        <v>start /low /b %USERPROFILE%\Documents\GitHub\eaglep3\Utilities\DownloadLogsFromS3.py --loco 4050 --day 2017-12-24</v>
      </c>
      <c r="AN86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25"/>
        <v>https://d0f6bd738d7f1b3e5a7ca70fe4ff75f0.us-east-1.aws.found.io/app/kibana#/discover/Steve-Slow-Train-Analysis-(2080s-and-2083s)?_g=(refreshInterval:(display:Off,pause:!f,section:0,value:0),time:(from:'2017-12-24T11:38:20-0700',mode:absolute,to:'2017-12-24T14:21:03-0700'))&amp;_a=(columns:!('Message%20ID',Summary),filters:!(),index:'emp_*',interval:auto,query:(query_string:(analyze_wildcard:!t,query:'%22rtdc.l.rtdc.4050%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814</v>
      </c>
      <c r="B87" s="225">
        <v>4049</v>
      </c>
      <c r="C87" s="227" t="s">
        <v>192</v>
      </c>
      <c r="D87" s="227" t="s">
        <v>610</v>
      </c>
      <c r="E87" s="226">
        <v>43093.563020833331</v>
      </c>
      <c r="F87" s="226">
        <v>43093.571053240739</v>
      </c>
      <c r="G87" s="225">
        <v>82</v>
      </c>
      <c r="H87" s="227" t="s">
        <v>955</v>
      </c>
      <c r="I87" s="226">
        <v>43093.597569444442</v>
      </c>
      <c r="J87" s="225">
        <v>0</v>
      </c>
      <c r="K87" s="237" t="str">
        <f>IF(ISEVEN(B87),(B87-1)&amp;"/"&amp;B87,B87&amp;"/"&amp;(B87+1))</f>
        <v>4049/4050</v>
      </c>
      <c r="L87" s="245" t="str">
        <f>VLOOKUP(A87,'Trips&amp;Operators'!$C$1:$G$99911,5,FALSE)</f>
        <v>SMITH MICHAEL</v>
      </c>
      <c r="M87" s="224">
        <f>I87-F87</f>
        <v>2.6516203703067731E-2</v>
      </c>
      <c r="N87" s="225">
        <f>24*60*SUM($M87:$M87)</f>
        <v>38.183333332417533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Southbound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-24T12:30:45-0700',mode:absolute,to:'2017-12-24T15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23.2879</v>
      </c>
      <c r="Z87" s="247">
        <f>RIGHT(H87,LEN(H87)-4)/10000</f>
        <v>2.4E-2</v>
      </c>
      <c r="AA87" s="247">
        <f>ABS(Z87-Y87)</f>
        <v>23.2639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174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/stypes="app*4049*20171224*" /stext=" 21:.+((SYSTEM_STATE.+slice.+state.+changed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21"/>
        <v>"%USERPROFILE%\Documents\GitHub\eaglep3\Utilities\RefineRTDCRunTimes.py" --tripid 174-24 --locoid 4049 --swversion DE.1.0.9.0 --startMP 204:232879 --initTime 2017-12-24T13:30:45 --startdatetime 2017-12-24T13:42:19 --delay 82 --endMP 204:240 --enddatetime 2017-12-24T14:20:30 --enforcementcount 0 &gt;&gt;%USERPROFILE%\Documents\GitHub\eaglep3-reporting\EC\2017-12-24-refined-times.txt</v>
      </c>
      <c r="AI87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{"issue":{"subject":"","project_id":79,"tracker_id":40,"status_id":1,"priority_id":2,"assigned_to_id":338,"start_date":"2017-12-24","description":"","custom_fields":[{"id":1,"name":"Subdivision","value":"EC"},{"id":4,"name":"Milepost","value":"0.024"},{"id":17,"name":"Train ID","value":"174-24"},{"id":16,"name":"Locomotive ID","value":"4049"},{"id":130,"name":"Impact","value":""},{"id":150,"name":"Time of Event (Mountain Time)","value":"14:20:30"},{"id":151,"name":"Denver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23"/>
        <v>start /low /b %USERPROFILE%\Documents\GitHub\eaglep3\Utilities\DownloadLogsFromS3.py --loco 4049 --day 2017-12-24</v>
      </c>
      <c r="AN87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25"/>
        <v>https://d0f6bd738d7f1b3e5a7ca70fe4ff75f0.us-east-1.aws.found.io/app/kibana#/discover/Steve-Slow-Train-Analysis-(2080s-and-2083s)?_g=(refreshInterval:(display:Off,pause:!f,section:0,value:0),time:(from:'2017-12-24T12:30:45-0700',mode:absolute,to:'2017-12-24T15:20:30-0700'))&amp;_a=(columns:!('Message%20ID',Summary),filters:!(),index:'emp_*',interval:auto,query:(query_string:(analyze_wildcard:!t,query:'%22rtdc.l.rtdc.4049%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808</v>
      </c>
      <c r="B88" s="225">
        <v>4022</v>
      </c>
      <c r="C88" s="227" t="s">
        <v>192</v>
      </c>
      <c r="D88" s="227" t="s">
        <v>619</v>
      </c>
      <c r="E88" s="226">
        <v>43093.538206018522</v>
      </c>
      <c r="F88" s="226">
        <v>43093.541909722226</v>
      </c>
      <c r="G88" s="225">
        <v>57</v>
      </c>
      <c r="H88" s="227" t="s">
        <v>956</v>
      </c>
      <c r="I88" s="226">
        <v>43093.566377314812</v>
      </c>
      <c r="J88" s="225">
        <v>0</v>
      </c>
      <c r="K88" s="237" t="str">
        <f>IF(ISEVEN(B88),(B88-1)&amp;"/"&amp;B88,B88&amp;"/"&amp;(B88+1))</f>
        <v>4021/4022</v>
      </c>
      <c r="L88" s="245" t="str">
        <f>VLOOKUP(A88,'Trips&amp;Operators'!$C$1:$G$99911,5,FALSE)</f>
        <v>BIRENBAUM THOMAS</v>
      </c>
      <c r="M88" s="224">
        <f>I88-F88</f>
        <v>2.4467592586006504E-2</v>
      </c>
      <c r="N88" s="225">
        <f>24*60*SUM($M88:$M88)</f>
        <v>35.233333323849365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NorthBound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-24T11:55:01-0700',mode:absolute,to:'2017-12-24T14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4.9799999999999997E-2</v>
      </c>
      <c r="Z88" s="247">
        <f>RIGHT(H88,LEN(H88)-4)/10000</f>
        <v>23.3246</v>
      </c>
      <c r="AA88" s="247">
        <f>ABS(Z88-Y88)</f>
        <v>23.274799999999999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175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/stypes="app*4022*20171224*" /stext=" 20:.+((SYSTEM_STATE.+slice.+state.+changed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21"/>
        <v>"%USERPROFILE%\Documents\GitHub\eaglep3\Utilities\RefineRTDCRunTimes.py" --tripid 175-24 --locoid 4022 --swversion DE.1.0.9.0 --startMP 204:498 --initTime 2017-12-24T12:55:01 --startdatetime 2017-12-24T13:00:21 --delay 57 --endMP 204:233246 --enddatetime 2017-12-24T13:35:35 --enforcementcount 0 &gt;&gt;%USERPROFILE%\Documents\GitHub\eaglep3-reporting\EC\2017-12-24-refined-times.txt</v>
      </c>
      <c r="AI88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{"issue":{"subject":"","project_id":79,"tracker_id":40,"status_id":1,"priority_id":2,"assigned_to_id":338,"start_date":"2017-12-24","description":"","custom_fields":[{"id":1,"name":"Subdivision","value":"EC"},{"id":4,"name":"Milepost","value":"23.3246"},{"id":17,"name":"Train ID","value":"175-24"},{"id":16,"name":"Locomotive ID","value":"4022"},{"id":130,"name":"Impact","value":""},{"id":150,"name":"Time of Event (Mountain Time)","value":"13:35:35"},{"id":151,"name":"Denver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23"/>
        <v>start /low /b %USERPROFILE%\Documents\GitHub\eaglep3\Utilities\DownloadLogsFromS3.py --loco 4022 --day 2017-12-24</v>
      </c>
      <c r="AN88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25"/>
        <v>https://d0f6bd738d7f1b3e5a7ca70fe4ff75f0.us-east-1.aws.found.io/app/kibana#/discover/Steve-Slow-Train-Analysis-(2080s-and-2083s)?_g=(refreshInterval:(display:Off,pause:!f,section:0,value:0),time:(from:'2017-12-24T11:55:01-0700',mode:absolute,to:'2017-12-24T14:35:35-0700'))&amp;_a=(columns:!('Message%20ID',Summary),filters:!(),index:'emp_*',interval:auto,query:(query_string:(analyze_wildcard:!t,query:'%22rtdc.l.rtdc.4022%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815</v>
      </c>
      <c r="B89" s="225">
        <v>4021</v>
      </c>
      <c r="C89" s="227" t="s">
        <v>192</v>
      </c>
      <c r="D89" s="227" t="s">
        <v>653</v>
      </c>
      <c r="E89" s="226">
        <v>43093.570416666669</v>
      </c>
      <c r="F89" s="226">
        <v>43093.581400462965</v>
      </c>
      <c r="G89" s="225">
        <v>53</v>
      </c>
      <c r="H89" s="227" t="s">
        <v>536</v>
      </c>
      <c r="I89" s="226">
        <v>43093.606481481482</v>
      </c>
      <c r="J89" s="225">
        <v>0</v>
      </c>
      <c r="K89" s="237" t="str">
        <f>IF(ISEVEN(B89),(B89-1)&amp;"/"&amp;B89,B89&amp;"/"&amp;(B89+1))</f>
        <v>4021/4022</v>
      </c>
      <c r="L89" s="245" t="str">
        <f>VLOOKUP(A89,'Trips&amp;Operators'!$C$1:$G$99911,5,FALSE)</f>
        <v>BIRENBAUM THOMAS</v>
      </c>
      <c r="M89" s="224">
        <f>I89-F89</f>
        <v>2.5081018517084885E-2</v>
      </c>
      <c r="N89" s="225">
        <f>24*60*SUM($M89:$M89)</f>
        <v>36.116666664602235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Southbound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-24T12:41:24-0700',mode:absolute,to:'2017-12-24T15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23.2942</v>
      </c>
      <c r="Z89" s="247">
        <f>RIGHT(H89,LEN(H89)-4)/10000</f>
        <v>1.5599999999999999E-2</v>
      </c>
      <c r="AA89" s="247">
        <f>ABS(Z89-Y89)</f>
        <v>23.278600000000001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176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/stypes="app*4021*20171224*" /stext=" 21:.+((SYSTEM_STATE.+slice.+state.+changed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21"/>
        <v>"%USERPROFILE%\Documents\GitHub\eaglep3\Utilities\RefineRTDCRunTimes.py" --tripid 176-24 --locoid 4021 --swversion DE.1.0.9.0 --startMP 204:232942 --initTime 2017-12-24T13:41:24 --startdatetime 2017-12-24T13:57:13 --delay 53 --endMP 204:156 --enddatetime 2017-12-24T14:33:20 --enforcementcount 0 &gt;&gt;%USERPROFILE%\Documents\GitHub\eaglep3-reporting\EC\2017-12-24-refined-times.txt</v>
      </c>
      <c r="AI89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{"issue":{"subject":"","project_id":79,"tracker_id":40,"status_id":1,"priority_id":2,"assigned_to_id":338,"start_date":"2017-12-24","description":"","custom_fields":[{"id":1,"name":"Subdivision","value":"EC"},{"id":4,"name":"Milepost","value":"0.0156"},{"id":17,"name":"Train ID","value":"176-24"},{"id":16,"name":"Locomotive ID","value":"4021"},{"id":130,"name":"Impact","value":""},{"id":150,"name":"Time of Event (Mountain Time)","value":"14:33:20"},{"id":151,"name":"Denver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23"/>
        <v>start /low /b %USERPROFILE%\Documents\GitHub\eaglep3\Utilities\DownloadLogsFromS3.py --loco 4021 --day 2017-12-24</v>
      </c>
      <c r="AN89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25"/>
        <v>https://d0f6bd738d7f1b3e5a7ca70fe4ff75f0.us-east-1.aws.found.io/app/kibana#/discover/Steve-Slow-Train-Analysis-(2080s-and-2083s)?_g=(refreshInterval:(display:Off,pause:!f,section:0,value:0),time:(from:'2017-12-24T12:41:24-0700',mode:absolute,to:'2017-12-24T15:33:20-0700'))&amp;_a=(columns:!('Message%20ID',Summary),filters:!(),index:'emp_*',interval:auto,query:(query_string:(analyze_wildcard:!t,query:'%22rtdc.l.rtdc.4021%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810</v>
      </c>
      <c r="B90" s="225">
        <v>4062</v>
      </c>
      <c r="C90" s="227" t="s">
        <v>192</v>
      </c>
      <c r="D90" s="227" t="s">
        <v>562</v>
      </c>
      <c r="E90" s="226">
        <v>43093.548668981479</v>
      </c>
      <c r="F90" s="226">
        <v>43093.56486111111</v>
      </c>
      <c r="G90" s="225">
        <v>112</v>
      </c>
      <c r="H90" s="227" t="s">
        <v>957</v>
      </c>
      <c r="I90" s="226">
        <v>43093.577638888892</v>
      </c>
      <c r="J90" s="225">
        <v>0</v>
      </c>
      <c r="K90" s="237" t="str">
        <f>IF(ISEVEN(B90),(B90-1)&amp;"/"&amp;B90,B90&amp;"/"&amp;(B90+1))</f>
        <v>4061/4062</v>
      </c>
      <c r="L90" s="245" t="str">
        <f>VLOOKUP(A90,'Trips&amp;Operators'!$C$1:$G$99911,5,FALSE)</f>
        <v>SAFIEF AEIMEN</v>
      </c>
      <c r="M90" s="224">
        <f>I90-F90</f>
        <v>1.2777777781593613E-2</v>
      </c>
      <c r="N90" s="225"/>
      <c r="O90" s="225"/>
      <c r="P90" s="225">
        <f>24*60*SUM($M90:$M90)</f>
        <v>18.400000005494803</v>
      </c>
      <c r="Q90" s="228"/>
      <c r="R90" s="242" t="s">
        <v>1083</v>
      </c>
      <c r="S90" s="249">
        <f>1/IF(AG90="EC",12,1)*SUM(U90:U90+U91)</f>
        <v>0.91666666666666663</v>
      </c>
      <c r="T90" s="242" t="str">
        <f>IF(ISEVEN(LEFT(AD90,4)),"Southbound","NorthBound")</f>
        <v>NorthBound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9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-24T12:10:05-0700',mode:absolute,to:'2017-12-24T14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0" s="247" t="str">
        <f>IF(AA90&lt;VLOOKUP(AG90,Variables!$AC$3:$AD$8,2,FALSE),"Y","N")</f>
        <v>Y</v>
      </c>
      <c r="X90" s="247">
        <f>VALUE(LEFT(AD90,4))-VALUE(LEFT(AD89,4))</f>
        <v>1</v>
      </c>
      <c r="Y90" s="247">
        <f>RIGHT(D90,LEN(D90)-4)/10000</f>
        <v>4.9700000000000001E-2</v>
      </c>
      <c r="Z90" s="247">
        <f>RIGHT(H90,LEN(H90)-4)/10000</f>
        <v>7.6867999999999999</v>
      </c>
      <c r="AA90" s="247">
        <f>ABS(Z90-Y90)</f>
        <v>7.6371000000000002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177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/stypes="app*4062*20171224*" /stext=" 20:.+((SYSTEM_STATE.+slice.+state.+changed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21"/>
        <v>"%USERPROFILE%\Documents\GitHub\eaglep3\Utilities\RefineRTDCRunTimes.py" --tripid 177-24 --locoid 4062 --swversion DE.1.0.9.0 --startMP 204:497 --initTime 2017-12-24T13:10:05 --startdatetime 2017-12-24T13:33:24 --delay 112 --endMP 204:76868 --enddatetime 2017-12-24T13:51:48 --enforcementcount 0 &gt;&gt;%USERPROFILE%\Documents\GitHub\eaglep3-reporting\EC\2017-12-24-refined-times.txt</v>
      </c>
      <c r="AI90" s="238" t="str">
        <f t="shared" si="22"/>
        <v>echo {"issue":{"subject":"Dispatcher selected cutout","project_id":79,"tracker_id":40,"status_id":1,"priority_id":2,"assigned_to_id":338,"start_date":"2017-12-24","description":"","custom_fields":[{"id":1,"name":"Subdivision","value":"EC"},{"id":4,"name":"Milepost","value":"7.6868"},{"id":17,"name":"Train ID","value":"177-24"},{"id":16,"name":"Locomotive ID","value":"4062"},{"id":130,"name":"Impact","value":""},{"id":150,"name":"Time of Event (Mountain Time)","value":"13:51:48"},{"id":151,"name":"Denver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23"/>
        <v>start /low /b %USERPROFILE%\Documents\GitHub\eaglep3\Utilities\DownloadLogsFromS3.py --loco 4062 --day 2017-12-24</v>
      </c>
      <c r="AN90" s="241" t="str">
        <f t="shared" si="24"/>
        <v>echo {"issue":{"subject":"Dispatcher selected cutout","project_id":30,"tracker_id":4,"status_id":1,"priority_id":1,"assigned_to_id":10,"start_date":"2017-12-24","description":"","custom_fields":[{"id":30,"name":"Category","value":"Issue"},{"id":3,"name":"Functional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25"/>
        <v>https://d0f6bd738d7f1b3e5a7ca70fe4ff75f0.us-east-1.aws.found.io/app/kibana#/discover/Steve-Slow-Train-Analysis-(2080s-and-2083s)?_g=(refreshInterval:(display:Off,pause:!f,section:0,value:0),time:(from:'2017-12-24T12:10:05-0700',mode:absolute,to:'2017-12-24T14:51:48-0700'))&amp;_a=(columns:!('Message%20ID',Summary),filters:!(),index:'emp_*',interval:auto,query:(query_string:(analyze_wildcard:!t,query:'%22rtdc.l.rtdc.4062%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810</v>
      </c>
      <c r="B91" s="225">
        <v>4062</v>
      </c>
      <c r="C91" s="227" t="s">
        <v>192</v>
      </c>
      <c r="D91" s="227" t="s">
        <v>958</v>
      </c>
      <c r="E91" s="226">
        <v>43093.564004629632</v>
      </c>
      <c r="F91" s="226">
        <v>43093.56486111111</v>
      </c>
      <c r="G91" s="225">
        <v>42</v>
      </c>
      <c r="H91" s="227" t="s">
        <v>633</v>
      </c>
      <c r="I91" s="226">
        <v>43093.577638888892</v>
      </c>
      <c r="J91" s="225">
        <v>0</v>
      </c>
      <c r="K91" s="237" t="str">
        <f>IF(ISEVEN(B91),(B91-1)&amp;"/"&amp;B91,B91&amp;"/"&amp;(B91+1))</f>
        <v>4061/4062</v>
      </c>
      <c r="L91" s="245" t="str">
        <f>VLOOKUP(A91,'Trips&amp;Operators'!$C$1:$G$99911,5,FALSE)</f>
        <v>SAFIEF AEIMEN</v>
      </c>
      <c r="M91" s="224">
        <f>I91-F91</f>
        <v>1.2777777781593613E-2</v>
      </c>
      <c r="N91" s="225"/>
      <c r="O91" s="225"/>
      <c r="P91" s="225"/>
      <c r="Q91" s="228"/>
      <c r="R91" s="242"/>
      <c r="S91" s="249"/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-24T12:32:10-0700',mode:absolute,to:'2017-12-24T14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1" s="247" t="str">
        <f>IF(AA91&lt;VLOOKUP(AG91,Variables!$AC$3:$AD$8,2,FALSE),"Y","N")</f>
        <v>Y</v>
      </c>
      <c r="X91" s="247">
        <f>VALUE(LEFT(AD91,4))-VALUE(LEFT(AD90,4))</f>
        <v>0</v>
      </c>
      <c r="Y91" s="247">
        <f>RIGHT(D91,LEN(D91)-4)/10000</f>
        <v>8.6374999999999993</v>
      </c>
      <c r="Z91" s="247">
        <f>RIGHT(H91,LEN(H91)-4)/10000</f>
        <v>23.3247</v>
      </c>
      <c r="AA91" s="247">
        <f>ABS(Z91-Y91)</f>
        <v>14.687200000000001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/stypes="app*4062*20171224*"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21"/>
        <v>"%USERPROFILE%\Documents\GitHub\eaglep3\Utilities\RefineRTDCRunTimes.py" --tripid 177-24 --locoid 4062 --swversion DE.1.0.9.0 --startMP 204:86375 --initTime 2017-12-24T13:32:10 --startdatetime 2017-12-24T13:33:24 --delay 42 --endMP 204:233247 --enddatetime 2017-12-24T13:51:48 --enforcementcount 0 &gt;&gt;%USERPROFILE%\Documents\GitHub\eaglep3-reporting\EC\2017-12-24-refined-times.txt</v>
      </c>
      <c r="AI9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{"issue":{"subject":"","project_id":79,"tracker_id":40,"status_id":1,"priority_id":2,"assigned_to_id":338,"start_date":"2017-12-24","description":"","custom_fields":[{"id":1,"name":"Subdivision","value":"EC"},{"id":4,"name":"Milepost","value":"23.3247"},{"id":17,"name":"Train ID","value":"177-24"},{"id":16,"name":"Locomotive ID","value":"4062"},{"id":130,"name":"Impact","value":""},{"id":150,"name":"Time of Event (Mountain Time)","value":"13:51:48"},{"id":151,"name":"Denver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23"/>
        <v>start /low /b %USERPROFILE%\Documents\GitHub\eaglep3\Utilities\DownloadLogsFromS3.py --loco 4062 --day 2017-12-24</v>
      </c>
      <c r="AN91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25"/>
        <v>https://d0f6bd738d7f1b3e5a7ca70fe4ff75f0.us-east-1.aws.found.io/app/kibana#/discover/Steve-Slow-Train-Analysis-(2080s-and-2083s)?_g=(refreshInterval:(display:Off,pause:!f,section:0,value:0),time:(from:'2017-12-24T12:32:10-0700',mode:absolute,to:'2017-12-24T14:51:48-0700'))&amp;_a=(columns:!('Message%20ID',Summary),filters:!(),index:'emp_*',interval:auto,query:(query_string:(analyze_wildcard:!t,query:'%22rtdc.l.rtdc.4062%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816</v>
      </c>
      <c r="B92" s="225">
        <v>4061</v>
      </c>
      <c r="C92" s="227" t="s">
        <v>192</v>
      </c>
      <c r="D92" s="227" t="s">
        <v>653</v>
      </c>
      <c r="E92" s="226">
        <v>43093.580729166664</v>
      </c>
      <c r="F92" s="226">
        <v>43093.591851851852</v>
      </c>
      <c r="G92" s="225">
        <v>76</v>
      </c>
      <c r="H92" s="227" t="s">
        <v>959</v>
      </c>
      <c r="I92" s="226">
        <v>43093.618275462963</v>
      </c>
      <c r="J92" s="225">
        <v>0</v>
      </c>
      <c r="K92" s="237" t="str">
        <f>IF(ISEVEN(B92),(B92-1)&amp;"/"&amp;B92,B92&amp;"/"&amp;(B92+1))</f>
        <v>4061/4062</v>
      </c>
      <c r="L92" s="245" t="str">
        <f>VLOOKUP(A92,'Trips&amp;Operators'!$C$1:$G$99911,5,FALSE)</f>
        <v>SAFIEF AEIMEN</v>
      </c>
      <c r="M92" s="224">
        <f>I92-F92</f>
        <v>2.6423611110658385E-2</v>
      </c>
      <c r="N92" s="225">
        <f>24*60*SUM($M92:$M92)</f>
        <v>38.049999999348074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-24T12:56:15-0700',mode:absolute,to:'2017-12-24T15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23.2942</v>
      </c>
      <c r="Z92" s="247">
        <f>RIGHT(H92,LEN(H92)-4)/10000</f>
        <v>2.0299999999999999E-2</v>
      </c>
      <c r="AA92" s="247">
        <f>ABS(Z92-Y92)</f>
        <v>23.273900000000001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/stypes="app*4061*20171224*"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21"/>
        <v>"%USERPROFILE%\Documents\GitHub\eaglep3\Utilities\RefineRTDCRunTimes.py" --tripid 178-24 --locoid 4061 --swversion DE.1.0.9.0 --startMP 204:232942 --initTime 2017-12-24T13:56:15 --startdatetime 2017-12-24T14:12:16 --delay 76 --endMP 204:203 --enddatetime 2017-12-24T14:50:19 --enforcementcount 0 &gt;&gt;%USERPROFILE%\Documents\GitHub\eaglep3-reporting\EC\2017-12-24-refined-times.txt</v>
      </c>
      <c r="AI9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{"issue":{"subject":"","project_id":79,"tracker_id":40,"status_id":1,"priority_id":2,"assigned_to_id":338,"start_date":"2017-12-24","description":"","custom_fields":[{"id":1,"name":"Subdivision","value":"EC"},{"id":4,"name":"Milepost","value":"0.0203"},{"id":17,"name":"Train ID","value":"178-24"},{"id":16,"name":"Locomotive ID","value":"4061"},{"id":130,"name":"Impact","value":""},{"id":150,"name":"Time of Event (Mountain Time)","value":"14:50:19"},{"id":151,"name":"Denver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23"/>
        <v>start /low /b %USERPROFILE%\Documents\GitHub\eaglep3\Utilities\DownloadLogsFromS3.py --loco 4061 --day 2017-12-24</v>
      </c>
      <c r="AN92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25"/>
        <v>https://d0f6bd738d7f1b3e5a7ca70fe4ff75f0.us-east-1.aws.found.io/app/kibana#/discover/Steve-Slow-Train-Analysis-(2080s-and-2083s)?_g=(refreshInterval:(display:Off,pause:!f,section:0,value:0),time:(from:'2017-12-24T12:56:15-0700',mode:absolute,to:'2017-12-24T15:50:19-0700'))&amp;_a=(columns:!('Message%20ID',Summary),filters:!(),index:'emp_*',interval:auto,query:(query_string:(analyze_wildcard:!t,query:'%22rtdc.l.rtdc.4061%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812</v>
      </c>
      <c r="B93" s="225">
        <v>4012</v>
      </c>
      <c r="C93" s="227" t="s">
        <v>192</v>
      </c>
      <c r="D93" s="227" t="s">
        <v>628</v>
      </c>
      <c r="E93" s="226">
        <v>43093.557187500002</v>
      </c>
      <c r="F93" s="226">
        <v>43093.562673611108</v>
      </c>
      <c r="G93" s="225">
        <v>56</v>
      </c>
      <c r="H93" s="227" t="s">
        <v>500</v>
      </c>
      <c r="I93" s="226">
        <v>43093.587557870371</v>
      </c>
      <c r="J93" s="225">
        <v>0</v>
      </c>
      <c r="K93" s="237" t="str">
        <f>IF(ISEVEN(B93),(B93-1)&amp;"/"&amp;B93,B93&amp;"/"&amp;(B93+1))</f>
        <v>4011/4012</v>
      </c>
      <c r="L93" s="245" t="str">
        <f>VLOOKUP(A93,'Trips&amp;Operators'!$C$1:$G$99911,5,FALSE)</f>
        <v>MCREYNOLDS KYLE</v>
      </c>
      <c r="M93" s="224">
        <f>I93-F93</f>
        <v>2.4884259262762498E-2</v>
      </c>
      <c r="N93" s="225">
        <f>24*60*SUM($M93:$M93)</f>
        <v>35.833333338377997</v>
      </c>
      <c r="O93" s="225"/>
      <c r="P93" s="225"/>
      <c r="Q93" s="228"/>
      <c r="R93" s="242" t="s">
        <v>1082</v>
      </c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-24T12:22:21-0700',mode:absolute,to:'2017-12-24T15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5.3100000000000001E-2</v>
      </c>
      <c r="Z93" s="247">
        <f>RIGHT(H93,LEN(H93)-4)/10000</f>
        <v>23.325299999999999</v>
      </c>
      <c r="AA93" s="247">
        <f>ABS(Z93-Y93)</f>
        <v>23.272199999999998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/stypes="app*4012*20171224*"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21"/>
        <v>"%USERPROFILE%\Documents\GitHub\eaglep3\Utilities\RefineRTDCRunTimes.py" --tripid 179-24 --locoid 4012 --swversion DE.1.0.9.0 --startMP 204:531 --initTime 2017-12-24T13:22:21 --startdatetime 2017-12-24T13:30:15 --delay 56 --endMP 204:233253 --enddatetime 2017-12-24T14:06:05 --enforcementcount 0 &gt;&gt;%USERPROFILE%\Documents\GitHub\eaglep3-reporting\EC\2017-12-24-refined-times.txt</v>
      </c>
      <c r="AI93" s="238" t="str">
        <f t="shared" si="22"/>
        <v>echo {"issue":{"subject":"Observed unhealthy xing banner at Sable due to Wi-MAX data drop","project_id":79,"tracker_id":40,"status_id":1,"priority_id":2,"assigned_to_id":338,"start_date":"2017-12-24","description":"","custom_fields":[{"id":1,"name":"Subdivision","value":"EC"},{"id":4,"name":"Milepost","value":"23.3253"},{"id":17,"name":"Train ID","value":"179-24"},{"id":16,"name":"Locomotive ID","value":"4012"},{"id":130,"name":"Impact","value":""},{"id":150,"name":"Time of Event (Mountain Time)","value":"14:06:05"},{"id":151,"name":"Denver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23"/>
        <v>start /low /b %USERPROFILE%\Documents\GitHub\eaglep3\Utilities\DownloadLogsFromS3.py --loco 4012 --day 2017-12-24</v>
      </c>
      <c r="AN93" s="241" t="str">
        <f t="shared" si="24"/>
        <v>echo {"issue":{"subject":"Observed unhealthy xing banner at Sable due to Wi-MAX data drop","project_id":30,"tracker_id":4,"status_id":1,"priority_id":1,"assigned_to_id":10,"start_date":"2017-12-24","description":"","custom_fields":[{"id":30,"name":"Category","value":"Issue"},{"id":3,"name":"Functional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25"/>
        <v>https://d0f6bd738d7f1b3e5a7ca70fe4ff75f0.us-east-1.aws.found.io/app/kibana#/discover/Steve-Slow-Train-Analysis-(2080s-and-2083s)?_g=(refreshInterval:(display:Off,pause:!f,section:0,value:0),time:(from:'2017-12-24T12:22:21-0700',mode:absolute,to:'2017-12-24T15:06:05-0700'))&amp;_a=(columns:!('Message%20ID',Summary),filters:!(),index:'emp_*',interval:auto,query:(query_string:(analyze_wildcard:!t,query:'%22rtdc.l.rtdc.4012%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819</v>
      </c>
      <c r="B94" s="225">
        <v>4011</v>
      </c>
      <c r="C94" s="227" t="s">
        <v>192</v>
      </c>
      <c r="D94" s="227" t="s">
        <v>643</v>
      </c>
      <c r="E94" s="226">
        <v>43093.59747685185</v>
      </c>
      <c r="F94" s="226">
        <v>43093.602233796293</v>
      </c>
      <c r="G94" s="225">
        <v>57</v>
      </c>
      <c r="H94" s="227" t="s">
        <v>960</v>
      </c>
      <c r="I94" s="226">
        <v>43093.62804398148</v>
      </c>
      <c r="J94" s="225">
        <v>0</v>
      </c>
      <c r="K94" s="237" t="str">
        <f>IF(ISEVEN(B94),(B94-1)&amp;"/"&amp;B94,B94&amp;"/"&amp;(B94+1))</f>
        <v>4011/4012</v>
      </c>
      <c r="L94" s="245" t="str">
        <f>VLOOKUP(A94,'Trips&amp;Operators'!$C$1:$G$99911,5,FALSE)</f>
        <v>MCREYNOLDS KYLE</v>
      </c>
      <c r="M94" s="224">
        <f>I94-F94</f>
        <v>2.5810185186855961E-2</v>
      </c>
      <c r="N94" s="225">
        <f>24*60*SUM($M94:$M94)</f>
        <v>37.166666669072583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-24T13:20:22-0700',mode:absolute,to:'2017-12-24T16:04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23.293199999999999</v>
      </c>
      <c r="Z94" s="247">
        <f>RIGHT(H94,LEN(H94)-4)/10000</f>
        <v>2.3099999999999999E-2</v>
      </c>
      <c r="AA94" s="247">
        <f>ABS(Z94-Y94)</f>
        <v>23.270099999999999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/stypes="app*4011*20171224*"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21"/>
        <v>"%USERPROFILE%\Documents\GitHub\eaglep3\Utilities\RefineRTDCRunTimes.py" --tripid 180-24 --locoid 4011 --swversion DE.1.0.9.0 --startMP 204:232932 --initTime 2017-12-24T14:20:22 --startdatetime 2017-12-24T14:27:13 --delay 57 --endMP 204:231 --enddatetime 2017-12-24T15:04:23 --enforcementcount 0 &gt;&gt;%USERPROFILE%\Documents\GitHub\eaglep3-reporting\EC\2017-12-24-refined-times.txt</v>
      </c>
      <c r="AI9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{"issue":{"subject":"","project_id":79,"tracker_id":40,"status_id":1,"priority_id":2,"assigned_to_id":338,"start_date":"2017-12-24","description":"","custom_fields":[{"id":1,"name":"Subdivision","value":"EC"},{"id":4,"name":"Milepost","value":"0.0231"},{"id":17,"name":"Train ID","value":"180-24"},{"id":16,"name":"Locomotive ID","value":"4011"},{"id":130,"name":"Impact","value":""},{"id":150,"name":"Time of Event (Mountain Time)","value":"15:04:23"},{"id":151,"name":"Denver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23"/>
        <v>start /low /b %USERPROFILE%\Documents\GitHub\eaglep3\Utilities\DownloadLogsFromS3.py --loco 4011 --day 2017-12-24</v>
      </c>
      <c r="AN94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25"/>
        <v>https://d0f6bd738d7f1b3e5a7ca70fe4ff75f0.us-east-1.aws.found.io/app/kibana#/discover/Steve-Slow-Train-Analysis-(2080s-and-2083s)?_g=(refreshInterval:(display:Off,pause:!f,section:0,value:0),time:(from:'2017-12-24T13:20:22-0700',mode:absolute,to:'2017-12-24T16:04:23-0700'))&amp;_a=(columns:!('Message%20ID',Summary),filters:!(),index:'emp_*',interval:auto,query:(query_string:(analyze_wildcard:!t,query:'%22rtdc.l.rtdc.4011%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684</v>
      </c>
      <c r="B95" s="225">
        <v>4044</v>
      </c>
      <c r="C95" s="227" t="s">
        <v>192</v>
      </c>
      <c r="D95" s="227" t="s">
        <v>973</v>
      </c>
      <c r="E95" s="226">
        <v>43093.571585648147</v>
      </c>
      <c r="F95" s="226">
        <v>43093.573240740741</v>
      </c>
      <c r="G95" s="225">
        <v>79</v>
      </c>
      <c r="H95" s="227" t="s">
        <v>974</v>
      </c>
      <c r="I95" s="226">
        <v>43093.599537037036</v>
      </c>
      <c r="J95" s="225">
        <v>0</v>
      </c>
      <c r="K95" s="237" t="str">
        <f>IF(ISEVEN(B95),(B95-1)&amp;"/"&amp;B95,B95&amp;"/"&amp;(B95+1))</f>
        <v>4043/4044</v>
      </c>
      <c r="L95" s="245" t="str">
        <f>VLOOKUP(A95,'Trips&amp;Operators'!$C$1:$G$99911,5,FALSE)</f>
        <v>BADERTSCHER DIANE</v>
      </c>
      <c r="M95" s="224">
        <f>I95-F95</f>
        <v>2.6296296295186039E-2</v>
      </c>
      <c r="N95" s="225">
        <f>24*60*SUM($M95:$M95)</f>
        <v>37.866666665067896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-24T12:43:05-0700',mode:absolute,to:'2017-12-24T15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5.4899999999999997E-2</v>
      </c>
      <c r="Z95" s="247">
        <f>RIGHT(H95,LEN(H95)-4)/10000</f>
        <v>23.327400000000001</v>
      </c>
      <c r="AA95" s="247">
        <f>ABS(Z95-Y95)</f>
        <v>23.272500000000001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/stypes="app*4044*20171224*"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21"/>
        <v>"%USERPROFILE%\Documents\GitHub\eaglep3\Utilities\RefineRTDCRunTimes.py" --tripid 181-24 --locoid 4044 --swversion DE.1.0.9.0 --startMP 204:549 --initTime 2017-12-24T13:43:05 --startdatetime 2017-12-24T13:45:28 --delay 79 --endMP 204:233274 --enddatetime 2017-12-24T14:23:20 --enforcementcount 0 &gt;&gt;%USERPROFILE%\Documents\GitHub\eaglep3-reporting\EC\2017-12-24-refined-times.txt</v>
      </c>
      <c r="AI95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{"issue":{"subject":"","project_id":79,"tracker_id":40,"status_id":1,"priority_id":2,"assigned_to_id":338,"start_date":"2017-12-24","description":"","custom_fields":[{"id":1,"name":"Subdivision","value":"EC"},{"id":4,"name":"Milepost","value":"23.3274"},{"id":17,"name":"Train ID","value":"181-24"},{"id":16,"name":"Locomotive ID","value":"4044"},{"id":130,"name":"Impact","value":""},{"id":150,"name":"Time of Event (Mountain Time)","value":"14:23:20"},{"id":151,"name":"Denver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23"/>
        <v>start /low /b %USERPROFILE%\Documents\GitHub\eaglep3\Utilities\DownloadLogsFromS3.py --loco 4044 --day 2017-12-24</v>
      </c>
      <c r="AN95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25"/>
        <v>https://d0f6bd738d7f1b3e5a7ca70fe4ff75f0.us-east-1.aws.found.io/app/kibana#/discover/Steve-Slow-Train-Analysis-(2080s-and-2083s)?_g=(refreshInterval:(display:Off,pause:!f,section:0,value:0),time:(from:'2017-12-24T12:43:05-0700',mode:absolute,to:'2017-12-24T15:23:20-0700'))&amp;_a=(columns:!('Message%20ID',Summary),filters:!(),index:'emp_*',interval:auto,query:(query_string:(analyze_wildcard:!t,query:'%22rtdc.l.rtdc.4044%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821</v>
      </c>
      <c r="B96" s="225">
        <v>4043</v>
      </c>
      <c r="C96" s="227" t="s">
        <v>192</v>
      </c>
      <c r="D96" s="227" t="s">
        <v>632</v>
      </c>
      <c r="E96" s="226">
        <v>43093.609525462962</v>
      </c>
      <c r="F96" s="226">
        <v>43093.612673611111</v>
      </c>
      <c r="G96" s="225">
        <v>54</v>
      </c>
      <c r="H96" s="227" t="s">
        <v>475</v>
      </c>
      <c r="I96" s="226">
        <v>43093.640219907407</v>
      </c>
      <c r="J96" s="225">
        <v>0</v>
      </c>
      <c r="K96" s="237" t="str">
        <f>IF(ISEVEN(B96),(B96-1)&amp;"/"&amp;B96,B96&amp;"/"&amp;(B96+1))</f>
        <v>4043/4044</v>
      </c>
      <c r="L96" s="245" t="str">
        <f>VLOOKUP(A96,'Trips&amp;Operators'!$C$1:$G$99911,5,FALSE)</f>
        <v>BADERTSCHER DIANE</v>
      </c>
      <c r="M96" s="224">
        <f>I96-F96</f>
        <v>2.7546296296350192E-2</v>
      </c>
      <c r="N96" s="225">
        <f>24*60*SUM($M96:$M96)</f>
        <v>39.666666666744277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-24T13:37:43-0700',mode:absolute,to:'2017-12-24T16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23.2944</v>
      </c>
      <c r="Z96" s="247">
        <f>RIGHT(H96,LEN(H96)-4)/10000</f>
        <v>2.2499999999999999E-2</v>
      </c>
      <c r="AA96" s="247">
        <f>ABS(Z96-Y96)</f>
        <v>23.271899999999999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/stypes="app*4043*20171224*"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21"/>
        <v>"%USERPROFILE%\Documents\GitHub\eaglep3\Utilities\RefineRTDCRunTimes.py" --tripid 182-24 --locoid 4043 --swversion DE.1.0.9.0 --startMP 204:232944 --initTime 2017-12-24T14:37:43 --startdatetime 2017-12-24T14:42:15 --delay 54 --endMP 204:225 --enddatetime 2017-12-24T15:21:55 --enforcementcount 0 &gt;&gt;%USERPROFILE%\Documents\GitHub\eaglep3-reporting\EC\2017-12-24-refined-times.txt</v>
      </c>
      <c r="AI96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{"issue":{"subject":"","project_id":79,"tracker_id":40,"status_id":1,"priority_id":2,"assigned_to_id":338,"start_date":"2017-12-24","description":"","custom_fields":[{"id":1,"name":"Subdivision","value":"EC"},{"id":4,"name":"Milepost","value":"0.0225"},{"id":17,"name":"Train ID","value":"182-24"},{"id":16,"name":"Locomotive ID","value":"4043"},{"id":130,"name":"Impact","value":""},{"id":150,"name":"Time of Event (Mountain Time)","value":"15:21:55"},{"id":151,"name":"Denver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23"/>
        <v>start /low /b %USERPROFILE%\Documents\GitHub\eaglep3\Utilities\DownloadLogsFromS3.py --loco 4043 --day 2017-12-24</v>
      </c>
      <c r="AN96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25"/>
        <v>https://d0f6bd738d7f1b3e5a7ca70fe4ff75f0.us-east-1.aws.found.io/app/kibana#/discover/Steve-Slow-Train-Analysis-(2080s-and-2083s)?_g=(refreshInterval:(display:Off,pause:!f,section:0,value:0),time:(from:'2017-12-24T13:37:43-0700',mode:absolute,to:'2017-12-24T16:21:55-0700'))&amp;_a=(columns:!('Message%20ID',Summary),filters:!(),index:'emp_*',interval:auto,query:(query_string:(analyze_wildcard:!t,query:'%22rtdc.l.rtdc.4043%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817</v>
      </c>
      <c r="B97" s="225">
        <v>4014</v>
      </c>
      <c r="C97" s="227" t="s">
        <v>192</v>
      </c>
      <c r="D97" s="227" t="s">
        <v>651</v>
      </c>
      <c r="E97" s="226">
        <v>43093.580810185187</v>
      </c>
      <c r="F97" s="226">
        <v>43093.583541666667</v>
      </c>
      <c r="G97" s="225">
        <v>84</v>
      </c>
      <c r="H97" s="227" t="s">
        <v>1000</v>
      </c>
      <c r="I97" s="226">
        <v>43093.608148148145</v>
      </c>
      <c r="J97" s="225">
        <v>0</v>
      </c>
      <c r="K97" s="237" t="str">
        <f>IF(ISEVEN(B97),(B97-1)&amp;"/"&amp;B97,B97&amp;"/"&amp;(B97+1))</f>
        <v>4013/4014</v>
      </c>
      <c r="L97" s="245" t="str">
        <f>VLOOKUP(A97,'Trips&amp;Operators'!$C$1:$G$99911,5,FALSE)</f>
        <v>MAGEE KENYA</v>
      </c>
      <c r="M97" s="224">
        <f>I97-F97</f>
        <v>2.4606481478258502E-2</v>
      </c>
      <c r="N97" s="225">
        <f>24*60*SUM($M97:$M97)</f>
        <v>35.433333328692243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-24T12:56:22-0700',mode:absolute,to:'2017-12-24T15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5.1900000000000002E-2</v>
      </c>
      <c r="Z97" s="247">
        <f>RIGHT(H97,LEN(H97)-4)/10000</f>
        <v>23.3308</v>
      </c>
      <c r="AA97" s="247">
        <f>ABS(Z97-Y97)</f>
        <v>23.2789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/stypes="app*4014*20171224*"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21"/>
        <v>"%USERPROFILE%\Documents\GitHub\eaglep3\Utilities\RefineRTDCRunTimes.py" --tripid 183-24 --locoid 4014 --swversion DE.1.0.9.0 --startMP 204:519 --initTime 2017-12-24T13:56:22 --startdatetime 2017-12-24T14:00:18 --delay 84 --endMP 204:233308 --enddatetime 2017-12-24T14:35:44 --enforcementcount 0 &gt;&gt;%USERPROFILE%\Documents\GitHub\eaglep3-reporting\EC\2017-12-24-refined-times.txt</v>
      </c>
      <c r="AI97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{"issue":{"subject":"","project_id":79,"tracker_id":40,"status_id":1,"priority_id":2,"assigned_to_id":338,"start_date":"2017-12-24","description":"","custom_fields":[{"id":1,"name":"Subdivision","value":"EC"},{"id":4,"name":"Milepost","value":"23.3308"},{"id":17,"name":"Train ID","value":"183-24"},{"id":16,"name":"Locomotive ID","value":"4014"},{"id":130,"name":"Impact","value":""},{"id":150,"name":"Time of Event (Mountain Time)","value":"14:35:44"},{"id":151,"name":"Denver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23"/>
        <v>start /low /b %USERPROFILE%\Documents\GitHub\eaglep3\Utilities\DownloadLogsFromS3.py --loco 4014 --day 2017-12-24</v>
      </c>
      <c r="AN97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25"/>
        <v>https://d0f6bd738d7f1b3e5a7ca70fe4ff75f0.us-east-1.aws.found.io/app/kibana#/discover/Steve-Slow-Train-Analysis-(2080s-and-2083s)?_g=(refreshInterval:(display:Off,pause:!f,section:0,value:0),time:(from:'2017-12-24T12:56:22-0700',mode:absolute,to:'2017-12-24T15:35:44-0700'))&amp;_a=(columns:!('Message%20ID',Summary),filters:!(),index:'emp_*',interval:auto,query:(query_string:(analyze_wildcard:!t,query:'%22rtdc.l.rtdc.4014%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688</v>
      </c>
      <c r="B98" s="225">
        <v>4013</v>
      </c>
      <c r="C98" s="227" t="s">
        <v>192</v>
      </c>
      <c r="D98" s="227" t="s">
        <v>563</v>
      </c>
      <c r="E98" s="226">
        <v>43093.620324074072</v>
      </c>
      <c r="F98" s="226">
        <v>43093.623101851852</v>
      </c>
      <c r="G98" s="225">
        <v>105</v>
      </c>
      <c r="H98" s="227" t="s">
        <v>1009</v>
      </c>
      <c r="I98" s="226">
        <v>43093.650023148148</v>
      </c>
      <c r="J98" s="225">
        <v>0</v>
      </c>
      <c r="K98" s="237" t="str">
        <f>IF(ISEVEN(B98),(B98-1)&amp;"/"&amp;B98,B98&amp;"/"&amp;(B98+1))</f>
        <v>4013/4014</v>
      </c>
      <c r="L98" s="245" t="str">
        <f>VLOOKUP(A98,'Trips&amp;Operators'!$C$1:$G$99911,5,FALSE)</f>
        <v>MAGEE KENYA</v>
      </c>
      <c r="M98" s="224">
        <f>I98-F98</f>
        <v>2.6921296295768116E-2</v>
      </c>
      <c r="N98" s="225">
        <f>24*60*SUM($M98:$M98)</f>
        <v>38.766666665906087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-24T13:53:16-0700',mode:absolute,to:'2017-12-24T16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23.2989</v>
      </c>
      <c r="Z98" s="247">
        <f>RIGHT(H98,LEN(H98)-4)/10000</f>
        <v>2.3199999999999998E-2</v>
      </c>
      <c r="AA98" s="247">
        <f>ABS(Z98-Y98)</f>
        <v>23.275700000000001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/stypes="app*4013*20171224*"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21"/>
        <v>"%USERPROFILE%\Documents\GitHub\eaglep3\Utilities\RefineRTDCRunTimes.py" --tripid 184-24 --locoid 4013 --swversion DE.1.0.9.0 --startMP 204:232989 --initTime 2017-12-24T14:53:16 --startdatetime 2017-12-24T14:57:16 --delay 105 --endMP 204:232 --enddatetime 2017-12-24T15:36:02 --enforcementcount 0 &gt;&gt;%USERPROFILE%\Documents\GitHub\eaglep3-reporting\EC\2017-12-24-refined-times.txt</v>
      </c>
      <c r="AI98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{"issue":{"subject":"","project_id":79,"tracker_id":40,"status_id":1,"priority_id":2,"assigned_to_id":338,"start_date":"2017-12-24","description":"","custom_fields":[{"id":1,"name":"Subdivision","value":"EC"},{"id":4,"name":"Milepost","value":"0.0232"},{"id":17,"name":"Train ID","value":"184-24"},{"id":16,"name":"Locomotive ID","value":"4013"},{"id":130,"name":"Impact","value":""},{"id":150,"name":"Time of Event (Mountain Time)","value":"15:36:02"},{"id":151,"name":"Denver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23"/>
        <v>start /low /b %USERPROFILE%\Documents\GitHub\eaglep3\Utilities\DownloadLogsFromS3.py --loco 4013 --day 2017-12-24</v>
      </c>
      <c r="AN98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25"/>
        <v>https://d0f6bd738d7f1b3e5a7ca70fe4ff75f0.us-east-1.aws.found.io/app/kibana#/discover/Steve-Slow-Train-Analysis-(2080s-and-2083s)?_g=(refreshInterval:(display:Off,pause:!f,section:0,value:0),time:(from:'2017-12-24T13:53:16-0700',mode:absolute,to:'2017-12-24T16:36:02-0700'))&amp;_a=(columns:!('Message%20ID',Summary),filters:!(),index:'emp_*',interval:auto,query:(query_string:(analyze_wildcard:!t,query:'%22rtdc.l.rtdc.4013%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818</v>
      </c>
      <c r="B99" s="225">
        <v>4006</v>
      </c>
      <c r="C99" s="227" t="s">
        <v>192</v>
      </c>
      <c r="D99" s="227" t="s">
        <v>651</v>
      </c>
      <c r="E99" s="226">
        <v>43093.589432870373</v>
      </c>
      <c r="F99" s="226">
        <v>43093.593969907408</v>
      </c>
      <c r="G99" s="225">
        <v>71</v>
      </c>
      <c r="H99" s="227" t="s">
        <v>921</v>
      </c>
      <c r="I99" s="226">
        <v>43093.619270833333</v>
      </c>
      <c r="J99" s="225">
        <v>0</v>
      </c>
      <c r="K99" s="237" t="str">
        <f>IF(ISEVEN(B99),(B99-1)&amp;"/"&amp;B99,B99&amp;"/"&amp;(B99+1))</f>
        <v>4005/4006</v>
      </c>
      <c r="L99" s="245" t="str">
        <f>VLOOKUP(A99,'Trips&amp;Operators'!$C$1:$G$99911,5,FALSE)</f>
        <v>STEWART MICHAEL</v>
      </c>
      <c r="M99" s="224">
        <f>I99-F99</f>
        <v>2.5300925924966577E-2</v>
      </c>
      <c r="N99" s="225">
        <f>24*60*SUM($M99:$M99)</f>
        <v>36.433333331951872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-24T13:08:47-0700',mode:absolute,to:'2017-12-24T15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5.1900000000000002E-2</v>
      </c>
      <c r="Z99" s="247">
        <f>RIGHT(H99,LEN(H99)-4)/10000</f>
        <v>23.3309</v>
      </c>
      <c r="AA99" s="247">
        <f>ABS(Z99-Y99)</f>
        <v>23.279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/stypes="app*4006*20171224*"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21"/>
        <v>"%USERPROFILE%\Documents\GitHub\eaglep3\Utilities\RefineRTDCRunTimes.py" --tripid 185-24 --locoid 4006 --swversion DE.1.0.9.0 --startMP 204:519 --initTime 2017-12-24T14:08:47 --startdatetime 2017-12-24T14:15:19 --delay 71 --endMP 204:233309 --enddatetime 2017-12-24T14:51:45 --enforcementcount 0 &gt;&gt;%USERPROFILE%\Documents\GitHub\eaglep3-reporting\EC\2017-12-24-refined-times.txt</v>
      </c>
      <c r="AI99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{"issue":{"subject":"","project_id":79,"tracker_id":40,"status_id":1,"priority_id":2,"assigned_to_id":338,"start_date":"2017-12-24","description":"","custom_fields":[{"id":1,"name":"Subdivision","value":"EC"},{"id":4,"name":"Milepost","value":"23.3309"},{"id":17,"name":"Train ID","value":"185-24"},{"id":16,"name":"Locomotive ID","value":"4006"},{"id":130,"name":"Impact","value":""},{"id":150,"name":"Time of Event (Mountain Time)","value":"14:51:45"},{"id":151,"name":"Denver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23"/>
        <v>start /low /b %USERPROFILE%\Documents\GitHub\eaglep3\Utilities\DownloadLogsFromS3.py --loco 4006 --day 2017-12-24</v>
      </c>
      <c r="AN99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25"/>
        <v>https://d0f6bd738d7f1b3e5a7ca70fe4ff75f0.us-east-1.aws.found.io/app/kibana#/discover/Steve-Slow-Train-Analysis-(2080s-and-2083s)?_g=(refreshInterval:(display:Off,pause:!f,section:0,value:0),time:(from:'2017-12-24T13:08:47-0700',mode:absolute,to:'2017-12-24T15:51:45-0700'))&amp;_a=(columns:!('Message%20ID',Summary),filters:!(),index:'emp_*',interval:auto,query:(query_string:(analyze_wildcard:!t,query:'%22rtdc.l.rtdc.4006%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824</v>
      </c>
      <c r="B100" s="225">
        <v>4005</v>
      </c>
      <c r="C100" s="227" t="s">
        <v>192</v>
      </c>
      <c r="D100" s="227" t="s">
        <v>1010</v>
      </c>
      <c r="E100" s="226">
        <v>43093.62903935185</v>
      </c>
      <c r="F100" s="226">
        <v>43093.633530092593</v>
      </c>
      <c r="G100" s="225">
        <v>70</v>
      </c>
      <c r="H100" s="227" t="s">
        <v>1011</v>
      </c>
      <c r="I100" s="226">
        <v>43093.659675925926</v>
      </c>
      <c r="J100" s="225">
        <v>0</v>
      </c>
      <c r="K100" s="237" t="str">
        <f>IF(ISEVEN(B100),(B100-1)&amp;"/"&amp;B100,B100&amp;"/"&amp;(B100+1))</f>
        <v>4005/4006</v>
      </c>
      <c r="L100" s="245" t="str">
        <f>VLOOKUP(A100,'Trips&amp;Operators'!$C$1:$G$99911,5,FALSE)</f>
        <v>STEWART MICHAEL</v>
      </c>
      <c r="M100" s="224">
        <f>I100-F100</f>
        <v>2.6145833333430346E-2</v>
      </c>
      <c r="N100" s="225">
        <f>24*60*SUM($M100:$M100)</f>
        <v>37.650000000139698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-24T14:05:49-0700',mode:absolute,to:'2017-12-24T16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23.2986</v>
      </c>
      <c r="Z100" s="247">
        <f>RIGHT(H100,LEN(H100)-4)/10000</f>
        <v>1.7399999999999999E-2</v>
      </c>
      <c r="AA100" s="247">
        <f>ABS(Z100-Y100)</f>
        <v>23.281200000000002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/stypes="app*4005*20171224*"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21"/>
        <v>"%USERPROFILE%\Documents\GitHub\eaglep3\Utilities\RefineRTDCRunTimes.py" --tripid 186-24 --locoid 4005 --swversion DE.1.0.9.0 --startMP 204:232986 --initTime 2017-12-24T15:05:49 --startdatetime 2017-12-24T15:12:17 --delay 70 --endMP 204:174 --enddatetime 2017-12-24T15:49:56 --enforcementcount 0 &gt;&gt;%USERPROFILE%\Documents\GitHub\eaglep3-reporting\EC\2017-12-24-refined-times.txt</v>
      </c>
      <c r="AI100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{"issue":{"subject":"","project_id":79,"tracker_id":40,"status_id":1,"priority_id":2,"assigned_to_id":338,"start_date":"2017-12-24","description":"","custom_fields":[{"id":1,"name":"Subdivision","value":"EC"},{"id":4,"name":"Milepost","value":"0.0174"},{"id":17,"name":"Train ID","value":"186-24"},{"id":16,"name":"Locomotive ID","value":"4005"},{"id":130,"name":"Impact","value":""},{"id":150,"name":"Time of Event (Mountain Time)","value":"15:49:56"},{"id":151,"name":"Denver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23"/>
        <v>start /low /b %USERPROFILE%\Documents\GitHub\eaglep3\Utilities\DownloadLogsFromS3.py --loco 4005 --day 2017-12-24</v>
      </c>
      <c r="AN100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25"/>
        <v>https://d0f6bd738d7f1b3e5a7ca70fe4ff75f0.us-east-1.aws.found.io/app/kibana#/discover/Steve-Slow-Train-Analysis-(2080s-and-2083s)?_g=(refreshInterval:(display:Off,pause:!f,section:0,value:0),time:(from:'2017-12-24T14:05:49-0700',mode:absolute,to:'2017-12-24T16:49:56-0700'))&amp;_a=(columns:!('Message%20ID',Summary),filters:!(),index:'emp_*',interval:auto,query:(query_string:(analyze_wildcard:!t,query:'%22rtdc.l.rtdc.4005%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820</v>
      </c>
      <c r="B101" s="225">
        <v>4050</v>
      </c>
      <c r="C101" s="227" t="s">
        <v>192</v>
      </c>
      <c r="D101" s="227" t="s">
        <v>1012</v>
      </c>
      <c r="E101" s="226">
        <v>43093.599652777775</v>
      </c>
      <c r="F101" s="226">
        <v>43093.604386574072</v>
      </c>
      <c r="G101" s="225">
        <v>63</v>
      </c>
      <c r="H101" s="227" t="s">
        <v>1013</v>
      </c>
      <c r="I101" s="226">
        <v>43093.628935185188</v>
      </c>
      <c r="J101" s="225">
        <v>0</v>
      </c>
      <c r="K101" s="237" t="str">
        <f>IF(ISEVEN(B101),(B101-1)&amp;"/"&amp;B101,B101&amp;"/"&amp;(B101+1))</f>
        <v>4049/4050</v>
      </c>
      <c r="L101" s="245" t="str">
        <f>VLOOKUP(A101,'Trips&amp;Operators'!$C$1:$G$99911,5,FALSE)</f>
        <v>SMITH MICHAEL</v>
      </c>
      <c r="M101" s="224">
        <f>I101-F101</f>
        <v>2.4548611116188113E-2</v>
      </c>
      <c r="N101" s="225">
        <f>24*60*SUM($M101:$M101)</f>
        <v>35.350000007310882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-24T13:23:30-0700',mode:absolute,to:'2017-12-24T16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5.5300000000000002E-2</v>
      </c>
      <c r="Z101" s="247">
        <f>RIGHT(H101,LEN(H101)-4)/10000</f>
        <v>23.321899999999999</v>
      </c>
      <c r="AA101" s="247">
        <f>ABS(Z101-Y101)</f>
        <v>23.2666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/stypes="app*4050*20171224*"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21"/>
        <v>"%USERPROFILE%\Documents\GitHub\eaglep3\Utilities\RefineRTDCRunTimes.py" --tripid 187-24 --locoid 4050 --swversion DE.1.0.9.0 --startMP 204:553 --initTime 2017-12-24T14:23:30 --startdatetime 2017-12-24T14:30:19 --delay 63 --endMP 204:233219 --enddatetime 2017-12-24T15:05:40 --enforcementcount 0 &gt;&gt;%USERPROFILE%\Documents\GitHub\eaglep3-reporting\EC\2017-12-24-refined-times.txt</v>
      </c>
      <c r="AI10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{"issue":{"subject":"","project_id":79,"tracker_id":40,"status_id":1,"priority_id":2,"assigned_to_id":338,"start_date":"2017-12-24","description":"","custom_fields":[{"id":1,"name":"Subdivision","value":"EC"},{"id":4,"name":"Milepost","value":"23.3219"},{"id":17,"name":"Train ID","value":"187-24"},{"id":16,"name":"Locomotive ID","value":"4050"},{"id":130,"name":"Impact","value":""},{"id":150,"name":"Time of Event (Mountain Time)","value":"15:05:40"},{"id":151,"name":"Denver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23"/>
        <v>start /low /b %USERPROFILE%\Documents\GitHub\eaglep3\Utilities\DownloadLogsFromS3.py --loco 4050 --day 2017-12-24</v>
      </c>
      <c r="AN101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25"/>
        <v>https://d0f6bd738d7f1b3e5a7ca70fe4ff75f0.us-east-1.aws.found.io/app/kibana#/discover/Steve-Slow-Train-Analysis-(2080s-and-2083s)?_g=(refreshInterval:(display:Off,pause:!f,section:0,value:0),time:(from:'2017-12-24T13:23:30-0700',mode:absolute,to:'2017-12-24T16:05:40-0700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827</v>
      </c>
      <c r="B102" s="225">
        <v>4049</v>
      </c>
      <c r="C102" s="227" t="s">
        <v>192</v>
      </c>
      <c r="D102" s="227" t="s">
        <v>1014</v>
      </c>
      <c r="E102" s="226">
        <v>43093.637569444443</v>
      </c>
      <c r="F102" s="226">
        <v>43093.644108796296</v>
      </c>
      <c r="G102" s="225">
        <v>60</v>
      </c>
      <c r="H102" s="227" t="s">
        <v>568</v>
      </c>
      <c r="I102" s="226">
        <v>43093.669525462959</v>
      </c>
      <c r="J102" s="225">
        <v>0</v>
      </c>
      <c r="K102" s="237" t="str">
        <f>IF(ISEVEN(B102),(B102-1)&amp;"/"&amp;B102,B102&amp;"/"&amp;(B102+1))</f>
        <v>4049/4050</v>
      </c>
      <c r="L102" s="245" t="str">
        <f>VLOOKUP(A102,'Trips&amp;Operators'!$C$1:$G$99911,5,FALSE)</f>
        <v>SMITH MICHAEL</v>
      </c>
      <c r="M102" s="224">
        <f>I102-F102</f>
        <v>2.5416666663659271E-2</v>
      </c>
      <c r="N102" s="225">
        <f>24*60*SUM($M102:$M102)</f>
        <v>36.59999999566935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-24T14:18:06-0700',mode:absolute,to:'2017-12-24T17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23.289200000000001</v>
      </c>
      <c r="Z102" s="247">
        <f>RIGHT(H102,LEN(H102)-4)/10000</f>
        <v>2.4199999999999999E-2</v>
      </c>
      <c r="AA102" s="247">
        <f>ABS(Z102-Y102)</f>
        <v>23.265000000000001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/stypes="app*4049*20171224*"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21"/>
        <v>"%USERPROFILE%\Documents\GitHub\eaglep3\Utilities\RefineRTDCRunTimes.py" --tripid 188-24 --locoid 4049 --swversion DE.1.0.9.0 --startMP 204:232892 --initTime 2017-12-24T15:18:06 --startdatetime 2017-12-24T15:27:31 --delay 60 --endMP 204:242 --enddatetime 2017-12-24T16:04:07 --enforcementcount 0 &gt;&gt;%USERPROFILE%\Documents\GitHub\eaglep3-reporting\EC\2017-12-24-refined-times.txt</v>
      </c>
      <c r="AI10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{"issue":{"subject":"","project_id":79,"tracker_id":40,"status_id":1,"priority_id":2,"assigned_to_id":338,"start_date":"2017-12-24","description":"","custom_fields":[{"id":1,"name":"Subdivision","value":"EC"},{"id":4,"name":"Milepost","value":"0.0242"},{"id":17,"name":"Train ID","value":"188-24"},{"id":16,"name":"Locomotive ID","value":"4049"},{"id":130,"name":"Impact","value":""},{"id":150,"name":"Time of Event (Mountain Time)","value":"16:04:07"},{"id":151,"name":"Denver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23"/>
        <v>start /low /b %USERPROFILE%\Documents\GitHub\eaglep3\Utilities\DownloadLogsFromS3.py --loco 4049 --day 2017-12-24</v>
      </c>
      <c r="AN102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25"/>
        <v>https://d0f6bd738d7f1b3e5a7ca70fe4ff75f0.us-east-1.aws.found.io/app/kibana#/discover/Steve-Slow-Train-Analysis-(2080s-and-2083s)?_g=(refreshInterval:(display:Off,pause:!f,section:0,value:0),time:(from:'2017-12-24T14:18:06-0700',mode:absolute,to:'2017-12-24T17:04:07-0700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822</v>
      </c>
      <c r="B103" s="225">
        <v>4022</v>
      </c>
      <c r="C103" s="227" t="s">
        <v>192</v>
      </c>
      <c r="D103" s="227" t="s">
        <v>558</v>
      </c>
      <c r="E103" s="226">
        <v>43093.61109953704</v>
      </c>
      <c r="F103" s="226">
        <v>43093.614733796298</v>
      </c>
      <c r="G103" s="225">
        <v>47</v>
      </c>
      <c r="H103" s="227" t="s">
        <v>1015</v>
      </c>
      <c r="I103" s="226">
        <v>43093.639120370368</v>
      </c>
      <c r="J103" s="225">
        <v>0</v>
      </c>
      <c r="K103" s="237" t="str">
        <f>IF(ISEVEN(B103),(B103-1)&amp;"/"&amp;B103,B103&amp;"/"&amp;(B103+1))</f>
        <v>4021/4022</v>
      </c>
      <c r="L103" s="245" t="str">
        <f>VLOOKUP(A103,'Trips&amp;Operators'!$C$1:$G$99911,5,FALSE)</f>
        <v>BIRENBAUM THOMAS</v>
      </c>
      <c r="M103" s="224">
        <f>I103-F103</f>
        <v>2.438657407037681E-2</v>
      </c>
      <c r="N103" s="225">
        <f>24*60*SUM($M103:$M103)</f>
        <v>35.116666661342606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-24T13:39:59-0700',mode:absolute,to:'2017-12-24T16:20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4.7699999999999999E-2</v>
      </c>
      <c r="Z103" s="247">
        <f>RIGHT(H103,LEN(H103)-4)/10000</f>
        <v>23.324300000000001</v>
      </c>
      <c r="AA103" s="247">
        <f>ABS(Z103-Y103)</f>
        <v>23.276600000000002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/stypes="app*4022*20171224*"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21"/>
        <v>"%USERPROFILE%\Documents\GitHub\eaglep3\Utilities\RefineRTDCRunTimes.py" --tripid 189-24 --locoid 4022 --swversion DE.1.0.9.0 --startMP 204:477 --initTime 2017-12-24T14:39:59 --startdatetime 2017-12-24T14:45:13 --delay 47 --endMP 204:233243 --enddatetime 2017-12-24T15:20:20 --enforcementcount 0 &gt;&gt;%USERPROFILE%\Documents\GitHub\eaglep3-reporting\EC\2017-12-24-refined-times.txt</v>
      </c>
      <c r="AI103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{"issue":{"subject":"","project_id":79,"tracker_id":40,"status_id":1,"priority_id":2,"assigned_to_id":338,"start_date":"2017-12-24","description":"","custom_fields":[{"id":1,"name":"Subdivision","value":"EC"},{"id":4,"name":"Milepost","value":"23.3243"},{"id":17,"name":"Train ID","value":"189-24"},{"id":16,"name":"Locomotive ID","value":"4022"},{"id":130,"name":"Impact","value":""},{"id":150,"name":"Time of Event (Mountain Time)","value":"15:20:20"},{"id":151,"name":"Denver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23"/>
        <v>start /low /b %USERPROFILE%\Documents\GitHub\eaglep3\Utilities\DownloadLogsFromS3.py --loco 4022 --day 2017-12-24</v>
      </c>
      <c r="AN103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25"/>
        <v>https://d0f6bd738d7f1b3e5a7ca70fe4ff75f0.us-east-1.aws.found.io/app/kibana#/discover/Steve-Slow-Train-Analysis-(2080s-and-2083s)?_g=(refreshInterval:(display:Off,pause:!f,section:0,value:0),time:(from:'2017-12-24T13:39:59-0700',mode:absolute,to:'2017-12-24T16:20:20-0700'))&amp;_a=(columns:!('Message%20ID',Summary),filters:!(),index:'emp_*',interval:auto,query:(query_string:(analyze_wildcard:!t,query:'%22rtdc.l.rtdc.4022%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828</v>
      </c>
      <c r="B104" s="225">
        <v>4021</v>
      </c>
      <c r="C104" s="227" t="s">
        <v>192</v>
      </c>
      <c r="D104" s="227" t="s">
        <v>1016</v>
      </c>
      <c r="E104" s="226">
        <v>43093.640335648146</v>
      </c>
      <c r="F104" s="226">
        <v>43093.654317129629</v>
      </c>
      <c r="G104" s="225">
        <v>50</v>
      </c>
      <c r="H104" s="227" t="s">
        <v>501</v>
      </c>
      <c r="I104" s="226">
        <v>43093.678969907407</v>
      </c>
      <c r="J104" s="225">
        <v>0</v>
      </c>
      <c r="K104" s="237" t="str">
        <f>IF(ISEVEN(B104),(B104-1)&amp;"/"&amp;B104,B104&amp;"/"&amp;(B104+1))</f>
        <v>4021/4022</v>
      </c>
      <c r="L104" s="245" t="str">
        <f>VLOOKUP(A104,'Trips&amp;Operators'!$C$1:$G$99911,5,FALSE)</f>
        <v>BIRENBAUM THOMAS</v>
      </c>
      <c r="M104" s="224">
        <f>I104-F104</f>
        <v>2.4652777778101154E-2</v>
      </c>
      <c r="N104" s="225">
        <f>24*60*SUM($M104:$M104)</f>
        <v>35.500000000465661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-24T14:22:05-0700',mode:absolute,to:'2017-12-24T17:17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23.2925</v>
      </c>
      <c r="Z104" s="247">
        <f>RIGHT(H104,LEN(H104)-4)/10000</f>
        <v>1.89E-2</v>
      </c>
      <c r="AA104" s="247">
        <f>ABS(Z104-Y104)</f>
        <v>23.273600000000002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/stypes="app*4021*20171224*"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21"/>
        <v>"%USERPROFILE%\Documents\GitHub\eaglep3\Utilities\RefineRTDCRunTimes.py" --tripid 190-24 --locoid 4021 --swversion DE.1.0.9.0 --startMP 204:232925 --initTime 2017-12-24T15:22:05 --startdatetime 2017-12-24T15:42:13 --delay 50 --endMP 204:189 --enddatetime 2017-12-24T16:17:43 --enforcementcount 0 &gt;&gt;%USERPROFILE%\Documents\GitHub\eaglep3-reporting\EC\2017-12-24-refined-times.txt</v>
      </c>
      <c r="AI10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{"issue":{"subject":"","project_id":79,"tracker_id":40,"status_id":1,"priority_id":2,"assigned_to_id":338,"start_date":"2017-12-24","description":"","custom_fields":[{"id":1,"name":"Subdivision","value":"EC"},{"id":4,"name":"Milepost","value":"0.0189"},{"id":17,"name":"Train ID","value":"190-24"},{"id":16,"name":"Locomotive ID","value":"4021"},{"id":130,"name":"Impact","value":""},{"id":150,"name":"Time of Event (Mountain Time)","value":"16:17:43"},{"id":151,"name":"Denver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23"/>
        <v>start /low /b %USERPROFILE%\Documents\GitHub\eaglep3\Utilities\DownloadLogsFromS3.py --loco 4021 --day 2017-12-24</v>
      </c>
      <c r="AN104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23:17:43"},{"id":29,"name":"Sharepoint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25"/>
        <v>https://d0f6bd738d7f1b3e5a7ca70fe4ff75f0.us-east-1.aws.found.io/app/kibana#/discover/Steve-Slow-Train-Analysis-(2080s-and-2083s)?_g=(refreshInterval:(display:Off,pause:!f,section:0,value:0),time:(from:'2017-12-24T14:22:05-0700',mode:absolute,to:'2017-12-24T17:17:43-0700'))&amp;_a=(columns:!('Message%20ID',Summary),filters:!(),index:'emp_*',interval:auto,query:(query_string:(analyze_wildcard:!t,query:'%22rtdc.l.rtdc.4021%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823</v>
      </c>
      <c r="B105" s="225">
        <v>4062</v>
      </c>
      <c r="C105" s="227" t="s">
        <v>192</v>
      </c>
      <c r="D105" s="227" t="s">
        <v>942</v>
      </c>
      <c r="E105" s="226">
        <v>43093.622847222221</v>
      </c>
      <c r="F105" s="226">
        <v>43093.625196759262</v>
      </c>
      <c r="G105" s="225">
        <v>82</v>
      </c>
      <c r="H105" s="227" t="s">
        <v>560</v>
      </c>
      <c r="I105" s="226">
        <v>43093.65</v>
      </c>
      <c r="J105" s="225">
        <v>0</v>
      </c>
      <c r="K105" s="237" t="str">
        <f>IF(ISEVEN(B105),(B105-1)&amp;"/"&amp;B105,B105&amp;"/"&amp;(B105+1))</f>
        <v>4061/4062</v>
      </c>
      <c r="L105" s="245" t="str">
        <f>VLOOKUP(A105,'Trips&amp;Operators'!$C$1:$G$99911,5,FALSE)</f>
        <v>SAFIEF AEIMEN</v>
      </c>
      <c r="M105" s="224">
        <f>I105-F105</f>
        <v>2.4803240739856847E-2</v>
      </c>
      <c r="N105" s="225">
        <f>24*60*SUM($M105:$M105)</f>
        <v>35.716666665393859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-24T13:56:54-0700',mode:absolute,to:'2017-12-24T16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0.05</v>
      </c>
      <c r="Z105" s="247">
        <f>RIGHT(H105,LEN(H105)-4)/10000</f>
        <v>23.326599999999999</v>
      </c>
      <c r="AA105" s="247">
        <f>ABS(Z105-Y105)</f>
        <v>23.276599999999998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/stypes="app*4062*20171224*"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21"/>
        <v>"%USERPROFILE%\Documents\GitHub\eaglep3\Utilities\RefineRTDCRunTimes.py" --tripid 191-24 --locoid 4062 --swversion DE.1.0.9.0 --startMP 204:500 --initTime 2017-12-24T14:56:54 --startdatetime 2017-12-24T15:00:17 --delay 82 --endMP 204:233266 --enddatetime 2017-12-24T15:36:00 --enforcementcount 0 &gt;&gt;%USERPROFILE%\Documents\GitHub\eaglep3-reporting\EC\2017-12-24-refined-times.txt</v>
      </c>
      <c r="AI105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{"issue":{"subject":"","project_id":79,"tracker_id":40,"status_id":1,"priority_id":2,"assigned_to_id":338,"start_date":"2017-12-24","description":"","custom_fields":[{"id":1,"name":"Subdivision","value":"EC"},{"id":4,"name":"Milepost","value":"23.3266"},{"id":17,"name":"Train ID","value":"191-24"},{"id":16,"name":"Locomotive ID","value":"4062"},{"id":130,"name":"Impact","value":""},{"id":150,"name":"Time of Event (Mountain Time)","value":"15:36:00"},{"id":151,"name":"Denver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23"/>
        <v>start /low /b %USERPROFILE%\Documents\GitHub\eaglep3\Utilities\DownloadLogsFromS3.py --loco 4062 --day 2017-12-24</v>
      </c>
      <c r="AN105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25"/>
        <v>https://d0f6bd738d7f1b3e5a7ca70fe4ff75f0.us-east-1.aws.found.io/app/kibana#/discover/Steve-Slow-Train-Analysis-(2080s-and-2083s)?_g=(refreshInterval:(display:Off,pause:!f,section:0,value:0),time:(from:'2017-12-24T13:56:54-0700',mode:absolute,to:'2017-12-24T16:36:00-0700'))&amp;_a=(columns:!('Message%20ID',Summary),filters:!(),index:'emp_*',interval:auto,query:(query_string:(analyze_wildcard:!t,query:'%22rtdc.l.rtdc.4062%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832</v>
      </c>
      <c r="B106" s="225">
        <v>4061</v>
      </c>
      <c r="C106" s="227" t="s">
        <v>192</v>
      </c>
      <c r="D106" s="227" t="s">
        <v>641</v>
      </c>
      <c r="E106" s="226">
        <v>43093.655787037038</v>
      </c>
      <c r="F106" s="226">
        <v>43093.664768518516</v>
      </c>
      <c r="G106" s="225">
        <v>106</v>
      </c>
      <c r="H106" s="227" t="s">
        <v>556</v>
      </c>
      <c r="I106" s="226">
        <v>43093.690451388888</v>
      </c>
      <c r="J106" s="225">
        <v>0</v>
      </c>
      <c r="K106" s="237" t="str">
        <f>IF(ISEVEN(B106),(B106-1)&amp;"/"&amp;B106,B106&amp;"/"&amp;(B106+1))</f>
        <v>4061/4062</v>
      </c>
      <c r="L106" s="245" t="str">
        <f>VLOOKUP(A106,'Trips&amp;Operators'!$C$1:$G$99911,5,FALSE)</f>
        <v>SAFIEF AEIMEN</v>
      </c>
      <c r="M106" s="224">
        <f>I106-F106</f>
        <v>2.5682870371383615E-2</v>
      </c>
      <c r="N106" s="225">
        <f>24*60*SUM($M106:$M106)</f>
        <v>36.983333334792405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-24T14:44:20-0700',mode:absolute,to:'2017-12-24T17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23.294</v>
      </c>
      <c r="Z106" s="247">
        <f>RIGHT(H106,LEN(H106)-4)/10000</f>
        <v>2.1600000000000001E-2</v>
      </c>
      <c r="AA106" s="247">
        <f>ABS(Z106-Y106)</f>
        <v>23.272400000000001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/stypes="app*4061*20171224*"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21"/>
        <v>"%USERPROFILE%\Documents\GitHub\eaglep3\Utilities\RefineRTDCRunTimes.py" --tripid 192-24 --locoid 4061 --swversion DE.1.0.9.0 --startMP 204:232940 --initTime 2017-12-24T15:44:20 --startdatetime 2017-12-24T15:57:16 --delay 106 --endMP 204:216 --enddatetime 2017-12-24T16:34:15 --enforcementcount 0 &gt;&gt;%USERPROFILE%\Documents\GitHub\eaglep3-reporting\EC\2017-12-24-refined-times.txt</v>
      </c>
      <c r="AI106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{"issue":{"subject":"","project_id":79,"tracker_id":40,"status_id":1,"priority_id":2,"assigned_to_id":338,"start_date":"2017-12-24","description":"","custom_fields":[{"id":1,"name":"Subdivision","value":"EC"},{"id":4,"name":"Milepost","value":"0.0216"},{"id":17,"name":"Train ID","value":"192-24"},{"id":16,"name":"Locomotive ID","value":"4061"},{"id":130,"name":"Impact","value":""},{"id":150,"name":"Time of Event (Mountain Time)","value":"16:34:15"},{"id":151,"name":"Denver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23"/>
        <v>start /low /b %USERPROFILE%\Documents\GitHub\eaglep3\Utilities\DownloadLogsFromS3.py --loco 4061 --day 2017-12-24</v>
      </c>
      <c r="AN106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25"/>
        <v>https://d0f6bd738d7f1b3e5a7ca70fe4ff75f0.us-east-1.aws.found.io/app/kibana#/discover/Steve-Slow-Train-Analysis-(2080s-and-2083s)?_g=(refreshInterval:(display:Off,pause:!f,section:0,value:0),time:(from:'2017-12-24T14:44:20-0700',mode:absolute,to:'2017-12-24T17:34:15-0700'))&amp;_a=(columns:!('Message%20ID',Summary),filters:!(),index:'emp_*',interval:auto,query:(query_string:(analyze_wildcard:!t,query:'%22rtdc.l.rtdc.4061%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826</v>
      </c>
      <c r="B107" s="225">
        <v>4012</v>
      </c>
      <c r="C107" s="227" t="s">
        <v>192</v>
      </c>
      <c r="D107" s="227" t="s">
        <v>522</v>
      </c>
      <c r="E107" s="226">
        <v>43093.630231481482</v>
      </c>
      <c r="F107" s="226">
        <v>43093.635567129626</v>
      </c>
      <c r="G107" s="225">
        <v>58</v>
      </c>
      <c r="H107" s="227" t="s">
        <v>1020</v>
      </c>
      <c r="I107" s="226">
        <v>43093.660428240742</v>
      </c>
      <c r="J107" s="225">
        <v>0</v>
      </c>
      <c r="K107" s="237" t="str">
        <f>IF(ISEVEN(B107),(B107-1)&amp;"/"&amp;B107,B107&amp;"/"&amp;(B107+1))</f>
        <v>4011/4012</v>
      </c>
      <c r="L107" s="245" t="str">
        <f>VLOOKUP(A107,'Trips&amp;Operators'!$C$1:$G$99911,5,FALSE)</f>
        <v>MCREYNOLDS KYLE</v>
      </c>
      <c r="M107" s="224">
        <f>I107-F107</f>
        <v>2.4861111116479151E-2</v>
      </c>
      <c r="N107" s="225">
        <f>24*60*SUM($M107:$M107)</f>
        <v>35.800000007729977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-24T14:07:32-0700',mode:absolute,to:'2017-12-24T16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5.2600000000000001E-2</v>
      </c>
      <c r="Z107" s="247">
        <f>RIGHT(H107,LEN(H107)-4)/10000</f>
        <v>23.320900000000002</v>
      </c>
      <c r="AA107" s="247">
        <f>ABS(Z107-Y107)</f>
        <v>23.2683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/stypes="app*4012*20171224*"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21"/>
        <v>"%USERPROFILE%\Documents\GitHub\eaglep3\Utilities\RefineRTDCRunTimes.py" --tripid 193-24 --locoid 4012 --swversion DE.1.0.9.0 --startMP 204:526 --initTime 2017-12-24T15:07:32 --startdatetime 2017-12-24T15:15:13 --delay 58 --endMP 204:233209 --enddatetime 2017-12-24T15:51:01 --enforcementcount 0 &gt;&gt;%USERPROFILE%\Documents\GitHub\eaglep3-reporting\EC\2017-12-24-refined-times.txt</v>
      </c>
      <c r="AI107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{"issue":{"subject":"","project_id":79,"tracker_id":40,"status_id":1,"priority_id":2,"assigned_to_id":338,"start_date":"2017-12-24","description":"","custom_fields":[{"id":1,"name":"Subdivision","value":"EC"},{"id":4,"name":"Milepost","value":"23.3209"},{"id":17,"name":"Train ID","value":"193-24"},{"id":16,"name":"Locomotive ID","value":"4012"},{"id":130,"name":"Impact","value":""},{"id":150,"name":"Time of Event (Mountain Time)","value":"15:51:01"},{"id":151,"name":"Denver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23"/>
        <v>start /low /b %USERPROFILE%\Documents\GitHub\eaglep3\Utilities\DownloadLogsFromS3.py --loco 4012 --day 2017-12-24</v>
      </c>
      <c r="AN107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25"/>
        <v>https://d0f6bd738d7f1b3e5a7ca70fe4ff75f0.us-east-1.aws.found.io/app/kibana#/discover/Steve-Slow-Train-Analysis-(2080s-and-2083s)?_g=(refreshInterval:(display:Off,pause:!f,section:0,value:0),time:(from:'2017-12-24T14:07:32-0700',mode:absolute,to:'2017-12-24T16:51:01-0700'))&amp;_a=(columns:!('Message%20ID',Summary),filters:!(),index:'emp_*',interval:auto,query:(query_string:(analyze_wildcard:!t,query:'%22rtdc.l.rtdc.4012%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23" customFormat="1" x14ac:dyDescent="0.3">
      <c r="A108" s="229" t="s">
        <v>834</v>
      </c>
      <c r="B108" s="225">
        <v>4011</v>
      </c>
      <c r="C108" s="227" t="s">
        <v>192</v>
      </c>
      <c r="D108" s="227" t="s">
        <v>522</v>
      </c>
      <c r="E108" s="226">
        <v>43093.630231481482</v>
      </c>
      <c r="F108" s="226">
        <v>43093.675150462965</v>
      </c>
      <c r="G108" s="225">
        <v>58</v>
      </c>
      <c r="H108" s="227" t="s">
        <v>1020</v>
      </c>
      <c r="I108" s="226">
        <v>43093.700601851851</v>
      </c>
      <c r="J108" s="225">
        <v>0</v>
      </c>
      <c r="K108" s="237" t="str">
        <f>IF(ISEVEN(B108),(B108-1)&amp;"/"&amp;B108,B108&amp;"/"&amp;(B108+1))</f>
        <v>4011/4012</v>
      </c>
      <c r="L108" s="245" t="str">
        <f>VLOOKUP(A108,'Trips&amp;Operators'!$C$1:$G$99911,5,FALSE)</f>
        <v>MCREYNOLDS KYLE</v>
      </c>
      <c r="M108" s="224">
        <f>I108-F108</f>
        <v>2.545138888672227E-2</v>
      </c>
      <c r="N108" s="225">
        <f>24*60*SUM($M108:$M108)</f>
        <v>36.649999996880069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-24T14:07:32-0700',mode:absolute,to:'2017-12-24T17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v>23.2666</v>
      </c>
      <c r="Z108" s="247">
        <v>2.29E-2</v>
      </c>
      <c r="AA108" s="247">
        <f>ABS(Z108-Y108)</f>
        <v>23.2437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/stypes="app*4011*20171224*"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ref="AH108" si="26"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194-24 --locoid 4011 --swversion DE.1.0.9.0 --startMP 204:526 --initTime 2017-12-24T15:07:32 --startdatetime 2017-12-24T16:12:13 --delay 58 --endMP 204:233209 --enddatetime 2017-12-24T16:48:52 --enforcementcount 0 &gt;&gt;%USERPROFILE%\Documents\GitHub\eaglep3-reporting\EC\2017-12-24-refined-times.txt</v>
      </c>
      <c r="AI108" s="238" t="str">
        <f t="shared" ref="AI108" si="27"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{"issue":{"subject":"","project_id":79,"tracker_id":40,"status_id":1,"priority_id":2,"assigned_to_id":338,"start_date":"2017-12-24","description":"","custom_fields":[{"id":1,"name":"Subdivision","value":"EC"},{"id":4,"name":"Milepost","value":"0.0229"},{"id":17,"name":"Train ID","value":"194-24"},{"id":16,"name":"Locomotive ID","value":"4011"},{"id":130,"name":"Impact","value":""},{"id":150,"name":"Time of Event (Mountain Time)","value":"16:48:52"},{"id":151,"name":"Denver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231"/>
      <c r="AL108" s="231"/>
      <c r="AM108" s="240" t="str">
        <f t="shared" ref="AM108" si="28">"start /low /b "&amp;dls3logs&amp;" --loco "&amp;B108&amp;" --day "&amp;TEXT(F108,"YYYY-MM-DD")</f>
        <v>start /low /b %USERPROFILE%\Documents\GitHub\eaglep3\Utilities\DownloadLogsFromS3.py --loco 4011 --day 2017-12-24</v>
      </c>
      <c r="AN108" s="241" t="str">
        <f t="shared" ref="AN108" si="29"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ref="AO108" si="30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Message%20ID',Summary),filters:!(),index:'emp_*',interval:auto,query:"&amp;"(query_string:(analyze_wildcard:!t,query:'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-24T14:07:32-0700',mode:absolute,to:'2017-12-24T17:48:52-0700'))&amp;_a=(columns:!('Message%20ID',Summary),filters:!(),index:'emp_*',interval:auto,query:(query_string:(analyze_wildcard:!t,query:'%22rtdc.l.rtdc.4011%22')),sort:!(Time.ISO8601,asc))</v>
      </c>
    </row>
    <row r="109" spans="1:91" s="20" customFormat="1" x14ac:dyDescent="0.3">
      <c r="A109" s="229" t="s">
        <v>829</v>
      </c>
      <c r="B109" s="225">
        <v>4044</v>
      </c>
      <c r="C109" s="227" t="s">
        <v>192</v>
      </c>
      <c r="D109" s="227" t="s">
        <v>927</v>
      </c>
      <c r="E109" s="226">
        <v>43093.643252314818</v>
      </c>
      <c r="F109" s="226">
        <v>43093.646006944444</v>
      </c>
      <c r="G109" s="225">
        <v>64</v>
      </c>
      <c r="H109" s="227" t="s">
        <v>1021</v>
      </c>
      <c r="I109" s="226">
        <v>43093.671342592592</v>
      </c>
      <c r="J109" s="225">
        <v>0</v>
      </c>
      <c r="K109" s="237" t="str">
        <f>IF(ISEVEN(B109),(B109-1)&amp;"/"&amp;B109,B109&amp;"/"&amp;(B109+1))</f>
        <v>4043/4044</v>
      </c>
      <c r="L109" s="245" t="str">
        <f>VLOOKUP(A109,'Trips&amp;Operators'!$C$1:$G$99911,5,FALSE)</f>
        <v>BADERTSCHER DIANE</v>
      </c>
      <c r="M109" s="224">
        <f>I109-F109</f>
        <v>2.5335648148029577E-2</v>
      </c>
      <c r="N109" s="225">
        <f>24*60*SUM($M109:$M109)</f>
        <v>36.483333333162591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-24T14:26:17-0700',mode:absolute,to:'2017-12-24T17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247" t="str">
        <f>IF(AA109&lt;VLOOKUP(AG109,Variables!$AC$3:$AD$8,2,FALSE),"Y","N")</f>
        <v>N</v>
      </c>
      <c r="X109" s="247">
        <f t="shared" ref="X109:X110" si="31">VALUE(LEFT(AD109,4))-VALUE(LEFT(AD108,4))</f>
        <v>1</v>
      </c>
      <c r="Y109" s="247">
        <f>RIGHT(D109,LEN(D109)-4)/10000</f>
        <v>5.1999999999999998E-2</v>
      </c>
      <c r="Z109" s="247">
        <f>RIGHT(H109,LEN(H109)-4)/10000</f>
        <v>23.324000000000002</v>
      </c>
      <c r="AA109" s="247">
        <f>ABS(Z109-Y109)</f>
        <v>23.272000000000002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/stypes="app*4044*20171224*"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21"/>
        <v>"%USERPROFILE%\Documents\GitHub\eaglep3\Utilities\RefineRTDCRunTimes.py" --tripid 195-24 --locoid 4044 --swversion DE.1.0.9.0 --startMP 204:520 --initTime 2017-12-24T15:26:17 --startdatetime 2017-12-24T15:30:15 --delay 64 --endMP 204:233240 --enddatetime 2017-12-24T16:06:44 --enforcementcount 0 &gt;&gt;%USERPROFILE%\Documents\GitHub\eaglep3-reporting\EC\2017-12-24-refined-times.txt</v>
      </c>
      <c r="AI109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{"issue":{"subject":"","project_id":79,"tracker_id":40,"status_id":1,"priority_id":2,"assigned_to_id":338,"start_date":"2017-12-24","description":"","custom_fields":[{"id":1,"name":"Subdivision","value":"EC"},{"id":4,"name":"Milepost","value":"23.324"},{"id":17,"name":"Train ID","value":"195-24"},{"id":16,"name":"Locomotive ID","value":"4044"},{"id":130,"name":"Impact","value":""},{"id":150,"name":"Time of Event (Mountain Time)","value":"16:06:44"},{"id":151,"name":"Denver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23"/>
        <v>start /low /b %USERPROFILE%\Documents\GitHub\eaglep3\Utilities\DownloadLogsFromS3.py --loco 4044 --day 2017-12-24</v>
      </c>
      <c r="AN109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25"/>
        <v>https://d0f6bd738d7f1b3e5a7ca70fe4ff75f0.us-east-1.aws.found.io/app/kibana#/discover/Steve-Slow-Train-Analysis-(2080s-and-2083s)?_g=(refreshInterval:(display:Off,pause:!f,section:0,value:0),time:(from:'2017-12-24T14:26:17-0700',mode:absolute,to:'2017-12-24T17:06:44-0700'))&amp;_a=(columns:!('Message%20ID',Summary),filters:!(),index:'emp_*',interval:auto,query:(query_string:(analyze_wildcard:!t,query:'%22rtdc.l.rtdc.4044%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839</v>
      </c>
      <c r="B110" s="225">
        <v>4043</v>
      </c>
      <c r="C110" s="227" t="s">
        <v>192</v>
      </c>
      <c r="D110" s="227" t="s">
        <v>566</v>
      </c>
      <c r="E110" s="226">
        <v>43093.683252314811</v>
      </c>
      <c r="F110" s="226">
        <v>43093.685590277775</v>
      </c>
      <c r="G110" s="225">
        <v>68</v>
      </c>
      <c r="H110" s="227" t="s">
        <v>948</v>
      </c>
      <c r="I110" s="226">
        <v>43093.712847222225</v>
      </c>
      <c r="J110" s="225">
        <v>0</v>
      </c>
      <c r="K110" s="237" t="str">
        <f>IF(ISEVEN(B110),(B110-1)&amp;"/"&amp;B110,B110&amp;"/"&amp;(B110+1))</f>
        <v>4043/4044</v>
      </c>
      <c r="L110" s="245" t="str">
        <f>VLOOKUP(A110,'Trips&amp;Operators'!$C$1:$G$99911,5,FALSE)</f>
        <v>BADERTSCHER DIANE</v>
      </c>
      <c r="M110" s="224">
        <f>I110-F110</f>
        <v>2.7256944449618459E-2</v>
      </c>
      <c r="N110" s="225">
        <f>24*60*SUM($M110:$M110)</f>
        <v>39.250000007450581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-24T15:23:53-0700',mode:absolute,to:'2017-12-24T18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247" t="str">
        <f>IF(AA110&lt;VLOOKUP(AG110,Variables!$AC$3:$AD$8,2,FALSE),"Y","N")</f>
        <v>N</v>
      </c>
      <c r="X110" s="247">
        <f t="shared" si="31"/>
        <v>1</v>
      </c>
      <c r="Y110" s="247">
        <f>RIGHT(D110,LEN(D110)-4)/10000</f>
        <v>23.292100000000001</v>
      </c>
      <c r="Z110" s="247">
        <f>RIGHT(H110,LEN(H110)-4)/10000</f>
        <v>2.5100000000000001E-2</v>
      </c>
      <c r="AA110" s="247">
        <f>ABS(Z110-Y110)</f>
        <v>23.267000000000003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/stypes="app*4043*20171225*"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21"/>
        <v>"%USERPROFILE%\Documents\GitHub\eaglep3\Utilities\RefineRTDCRunTimes.py" --tripid 196-24 --locoid 4043 --swversion DE.1.0.9.0 --startMP 204:232921 --initTime 2017-12-24T16:23:53 --startdatetime 2017-12-24T16:27:15 --delay 68 --endMP 204:251 --enddatetime 2017-12-24T17:06:30 --enforcementcount 0 &gt;&gt;%USERPROFILE%\Documents\GitHub\eaglep3-reporting\EC\2017-12-24-refined-times.txt</v>
      </c>
      <c r="AI110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{"issue":{"subject":"","project_id":79,"tracker_id":40,"status_id":1,"priority_id":2,"assigned_to_id":338,"start_date":"2017-12-24","description":"","custom_fields":[{"id":1,"name":"Subdivision","value":"EC"},{"id":4,"name":"Milepost","value":"0.0251"},{"id":17,"name":"Train ID","value":"196-24"},{"id":16,"name":"Locomotive ID","value":"4043"},{"id":130,"name":"Impact","value":""},{"id":150,"name":"Time of Event (Mountain Time)","value":"17:06:30"},{"id":151,"name":"Denver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23"/>
        <v>start /low /b %USERPROFILE%\Documents\GitHub\eaglep3\Utilities\DownloadLogsFromS3.py --loco 4043 --day 2017-12-24</v>
      </c>
      <c r="AN110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25"/>
        <v>https://d0f6bd738d7f1b3e5a7ca70fe4ff75f0.us-east-1.aws.found.io/app/kibana#/discover/Steve-Slow-Train-Analysis-(2080s-and-2083s)?_g=(refreshInterval:(display:Off,pause:!f,section:0,value:0),time:(from:'2017-12-24T15:23:53-0700',mode:absolute,to:'2017-12-24T18:06:30-0700'))&amp;_a=(columns:!('Message%20ID',Summary),filters:!(),index:'emp_*',interval:auto,query:(query_string:(analyze_wildcard:!t,query:'%22rtdc.l.rtdc.4043%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831</v>
      </c>
      <c r="B111" s="225">
        <v>4014</v>
      </c>
      <c r="C111" s="227" t="s">
        <v>192</v>
      </c>
      <c r="D111" s="227" t="s">
        <v>576</v>
      </c>
      <c r="E111" s="226">
        <v>43093.652430555558</v>
      </c>
      <c r="F111" s="226">
        <v>43093.656400462962</v>
      </c>
      <c r="G111" s="225">
        <v>66</v>
      </c>
      <c r="H111" s="227" t="s">
        <v>923</v>
      </c>
      <c r="I111" s="226">
        <v>43093.681180555555</v>
      </c>
      <c r="J111" s="225">
        <v>0</v>
      </c>
      <c r="K111" s="237" t="str">
        <f>IF(ISEVEN(B111),(B111-1)&amp;"/"&amp;B111,B111&amp;"/"&amp;(B111+1))</f>
        <v>4013/4014</v>
      </c>
      <c r="L111" s="245" t="str">
        <f>VLOOKUP(A111,'Trips&amp;Operators'!$C$1:$G$99911,5,FALSE)</f>
        <v>MAGEE KENYA</v>
      </c>
      <c r="M111" s="224">
        <f>I111-F111</f>
        <v>2.4780092593573499E-2</v>
      </c>
      <c r="N111" s="225">
        <f>24*60*SUM($M111:$M111)</f>
        <v>35.683333334745839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-24T14:39:30-0700',mode:absolute,to:'2017-12-24T17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5.3699999999999998E-2</v>
      </c>
      <c r="Z111" s="247">
        <f>RIGHT(H111,LEN(H111)-4)/10000</f>
        <v>23.333200000000001</v>
      </c>
      <c r="AA111" s="247">
        <f>ABS(Z111-Y111)</f>
        <v>23.279500000000002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/stypes="app*4014*20171224*"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21"/>
        <v>"%USERPROFILE%\Documents\GitHub\eaglep3\Utilities\RefineRTDCRunTimes.py" --tripid 197-24 --locoid 4014 --swversion DE.1.0.9.0 --startMP 204:537 --initTime 2017-12-24T15:39:30 --startdatetime 2017-12-24T15:45:13 --delay 66 --endMP 204:233332 --enddatetime 2017-12-24T16:20:54 --enforcementcount 0 &gt;&gt;%USERPROFILE%\Documents\GitHub\eaglep3-reporting\EC\2017-12-24-refined-times.txt</v>
      </c>
      <c r="AI11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{"issue":{"subject":"","project_id":79,"tracker_id":40,"status_id":1,"priority_id":2,"assigned_to_id":338,"start_date":"2017-12-24","description":"","custom_fields":[{"id":1,"name":"Subdivision","value":"EC"},{"id":4,"name":"Milepost","value":"23.3332"},{"id":17,"name":"Train ID","value":"197-24"},{"id":16,"name":"Locomotive ID","value":"4014"},{"id":130,"name":"Impact","value":""},{"id":150,"name":"Time of Event (Mountain Time)","value":"16:20:54"},{"id":151,"name":"Denver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23"/>
        <v>start /low /b %USERPROFILE%\Documents\GitHub\eaglep3\Utilities\DownloadLogsFromS3.py --loco 4014 --day 2017-12-24</v>
      </c>
      <c r="AN111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25"/>
        <v>https://d0f6bd738d7f1b3e5a7ca70fe4ff75f0.us-east-1.aws.found.io/app/kibana#/discover/Steve-Slow-Train-Analysis-(2080s-and-2083s)?_g=(refreshInterval:(display:Off,pause:!f,section:0,value:0),time:(from:'2017-12-24T14:39:30-0700',mode:absolute,to:'2017-12-24T17:20:54-0700'))&amp;_a=(columns:!('Message%20ID',Summary),filters:!(),index:'emp_*',interval:auto,query:(query_string:(analyze_wildcard:!t,query:'%22rtdc.l.rtdc.4014%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842</v>
      </c>
      <c r="B112" s="225">
        <v>4013</v>
      </c>
      <c r="C112" s="227" t="s">
        <v>192</v>
      </c>
      <c r="D112" s="227" t="s">
        <v>1022</v>
      </c>
      <c r="E112" s="226">
        <v>43093.69290509259</v>
      </c>
      <c r="F112" s="226">
        <v>43093.69599537037</v>
      </c>
      <c r="G112" s="225">
        <v>103</v>
      </c>
      <c r="H112" s="227" t="s">
        <v>1023</v>
      </c>
      <c r="I112" s="226">
        <v>43093.721655092595</v>
      </c>
      <c r="J112" s="225">
        <v>0</v>
      </c>
      <c r="K112" s="237" t="str">
        <f>IF(ISEVEN(B112),(B112-1)&amp;"/"&amp;B112,B112&amp;"/"&amp;(B112+1))</f>
        <v>4013/4014</v>
      </c>
      <c r="L112" s="245" t="str">
        <f>VLOOKUP(A112,'Trips&amp;Operators'!$C$1:$G$99911,5,FALSE)</f>
        <v>MAGEE KENYA</v>
      </c>
      <c r="M112" s="224">
        <f>I112-F112</f>
        <v>2.5659722225100268E-2</v>
      </c>
      <c r="N112" s="225">
        <f>24*60*SUM($M112:$M112)</f>
        <v>36.950000004144385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-24T15:37:47-0700',mode:absolute,to:'2017-12-24T18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f>RIGHT(D112,LEN(D112)-4)/10000</f>
        <v>23.298999999999999</v>
      </c>
      <c r="Z112" s="247">
        <f>RIGHT(H112,LEN(H112)-4)/10000</f>
        <v>2.29E-2</v>
      </c>
      <c r="AA112" s="247">
        <f>ABS(Z112-Y112)</f>
        <v>23.2761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/stypes="app*4013*20171225*"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21"/>
        <v>"%USERPROFILE%\Documents\GitHub\eaglep3\Utilities\RefineRTDCRunTimes.py" --tripid 198-24 --locoid 4013 --swversion DE.1.0.9.0 --startMP 204:232990 --initTime 2017-12-24T16:37:47 --startdatetime 2017-12-24T16:42:14 --delay 103 --endMP 204:229 --enddatetime 2017-12-24T17:19:11 --enforcementcount 0 &gt;&gt;%USERPROFILE%\Documents\GitHub\eaglep3-reporting\EC\2017-12-24-refined-times.txt</v>
      </c>
      <c r="AI11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{"issue":{"subject":"","project_id":79,"tracker_id":40,"status_id":1,"priority_id":2,"assigned_to_id":338,"start_date":"2017-12-24","description":"","custom_fields":[{"id":1,"name":"Subdivision","value":"EC"},{"id":4,"name":"Milepost","value":"0.0229"},{"id":17,"name":"Train ID","value":"198-24"},{"id":16,"name":"Locomotive ID","value":"4013"},{"id":130,"name":"Impact","value":""},{"id":150,"name":"Time of Event (Mountain Time)","value":"17:19:11"},{"id":151,"name":"Denver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23"/>
        <v>start /low /b %USERPROFILE%\Documents\GitHub\eaglep3\Utilities\DownloadLogsFromS3.py --loco 4013 --day 2017-12-24</v>
      </c>
      <c r="AN112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25"/>
        <v>https://d0f6bd738d7f1b3e5a7ca70fe4ff75f0.us-east-1.aws.found.io/app/kibana#/discover/Steve-Slow-Train-Analysis-(2080s-and-2083s)?_g=(refreshInterval:(display:Off,pause:!f,section:0,value:0),time:(from:'2017-12-24T15:37:47-0700',mode:absolute,to:'2017-12-24T18:19:11-0700'))&amp;_a=(columns:!('Message%20ID',Summary),filters:!(),index:'emp_*',interval:auto,query:(query_string:(analyze_wildcard:!t,query:'%22rtdc.l.rtdc.4013%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29" t="s">
        <v>833</v>
      </c>
      <c r="B113" s="225">
        <v>4006</v>
      </c>
      <c r="C113" s="227" t="s">
        <v>192</v>
      </c>
      <c r="D113" s="227" t="s">
        <v>553</v>
      </c>
      <c r="E113" s="226">
        <v>43093.662488425929</v>
      </c>
      <c r="F113" s="226">
        <v>43093.666909722226</v>
      </c>
      <c r="G113" s="225">
        <v>59</v>
      </c>
      <c r="H113" s="227" t="s">
        <v>567</v>
      </c>
      <c r="I113" s="226">
        <v>43093.692013888889</v>
      </c>
      <c r="J113" s="225">
        <v>0</v>
      </c>
      <c r="K113" s="237" t="str">
        <f>IF(ISEVEN(B113),(B113-1)&amp;"/"&amp;B113,B113&amp;"/"&amp;(B113+1))</f>
        <v>4005/4006</v>
      </c>
      <c r="L113" s="245" t="str">
        <f>VLOOKUP(A113,'Trips&amp;Operators'!$C$1:$G$99911,5,FALSE)</f>
        <v>STEWART MICHAEL</v>
      </c>
      <c r="M113" s="224">
        <f>I113-F113</f>
        <v>2.5104166663368233E-2</v>
      </c>
      <c r="N113" s="225">
        <f>24*60*SUM($M113:$M113)</f>
        <v>36.149999995250255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-24T14:53:59-0700',mode:absolute,to:'2017-12-24T17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247" t="str">
        <f>IF(AA113&lt;VLOOKUP(AG113,Variables!$AC$3:$AD$8,2,FALSE),"Y","N")</f>
        <v>N</v>
      </c>
      <c r="X113" s="247">
        <f t="shared" ref="X113:X114" si="32">VALUE(LEFT(AD113,4))-VALUE(LEFT(AD112,4))</f>
        <v>1</v>
      </c>
      <c r="Y113" s="247">
        <f>RIGHT(D113,LEN(D113)-4)/10000</f>
        <v>4.9299999999999997E-2</v>
      </c>
      <c r="Z113" s="247">
        <f>RIGHT(H113,LEN(H113)-4)/10000</f>
        <v>23.3291</v>
      </c>
      <c r="AA113" s="247">
        <f>ABS(Z113-Y113)</f>
        <v>23.279800000000002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/stypes="app*4006*20171224*"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21"/>
        <v>"%USERPROFILE%\Documents\GitHub\eaglep3\Utilities\RefineRTDCRunTimes.py" --tripid 199-24 --locoid 4006 --swversion DE.1.0.9.0 --startMP 204:493 --initTime 2017-12-24T15:53:59 --startdatetime 2017-12-24T16:00:21 --delay 59 --endMP 204:233291 --enddatetime 2017-12-24T16:36:30 --enforcementcount 0 &gt;&gt;%USERPROFILE%\Documents\GitHub\eaglep3-reporting\EC\2017-12-24-refined-times.txt</v>
      </c>
      <c r="AI113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{"issue":{"subject":"","project_id":79,"tracker_id":40,"status_id":1,"priority_id":2,"assigned_to_id":338,"start_date":"2017-12-24","description":"","custom_fields":[{"id":1,"name":"Subdivision","value":"EC"},{"id":4,"name":"Milepost","value":"23.3291"},{"id":17,"name":"Train ID","value":"199-24"},{"id":16,"name":"Locomotive ID","value":"4006"},{"id":130,"name":"Impact","value":""},{"id":150,"name":"Time of Event (Mountain Time)","value":"16:36:30"},{"id":151,"name":"Denver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23"/>
        <v>start /low /b %USERPROFILE%\Documents\GitHub\eaglep3\Utilities\DownloadLogsFromS3.py --loco 4006 --day 2017-12-24</v>
      </c>
      <c r="AN113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25"/>
        <v>https://d0f6bd738d7f1b3e5a7ca70fe4ff75f0.us-east-1.aws.found.io/app/kibana#/discover/Steve-Slow-Train-Analysis-(2080s-and-2083s)?_g=(refreshInterval:(display:Off,pause:!f,section:0,value:0),time:(from:'2017-12-24T14:53:59-0700',mode:absolute,to:'2017-12-24T17:36:30-0700'))&amp;_a=(columns:!('Message%20ID',Summary),filters:!(),index:'emp_*',interval:auto,query:(query_string:(analyze_wildcard:!t,query:'%22rtdc.l.rtdc.4006%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845</v>
      </c>
      <c r="B114" s="225">
        <v>4005</v>
      </c>
      <c r="C114" s="227" t="s">
        <v>192</v>
      </c>
      <c r="D114" s="227" t="s">
        <v>1024</v>
      </c>
      <c r="E114" s="226">
        <v>43093.703125</v>
      </c>
      <c r="F114" s="226">
        <v>43093.706504629627</v>
      </c>
      <c r="G114" s="225">
        <v>108</v>
      </c>
      <c r="H114" s="227" t="s">
        <v>959</v>
      </c>
      <c r="I114" s="226">
        <v>43093.733124999999</v>
      </c>
      <c r="J114" s="225">
        <v>0</v>
      </c>
      <c r="K114" s="237" t="str">
        <f>IF(ISEVEN(B114),(B114-1)&amp;"/"&amp;B114,B114&amp;"/"&amp;(B114+1))</f>
        <v>4005/4006</v>
      </c>
      <c r="L114" s="245" t="str">
        <f>VLOOKUP(A114,'Trips&amp;Operators'!$C$1:$G$99911,5,FALSE)</f>
        <v>STEWART MICHAEL</v>
      </c>
      <c r="M114" s="224">
        <f>I114-F114</f>
        <v>2.662037037225673E-2</v>
      </c>
      <c r="N114" s="225">
        <f>24*60*SUM($M114:$M114)</f>
        <v>38.333333336049691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-24T15:52:30-0700',mode:absolute,to:'2017-12-24T18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247" t="str">
        <f>IF(AA114&lt;VLOOKUP(AG114,Variables!$AC$3:$AD$8,2,FALSE),"Y","N")</f>
        <v>N</v>
      </c>
      <c r="X114" s="247">
        <f t="shared" si="32"/>
        <v>1</v>
      </c>
      <c r="Y114" s="247">
        <f>RIGHT(D114,LEN(D114)-4)/10000</f>
        <v>23.297599999999999</v>
      </c>
      <c r="Z114" s="247">
        <f>RIGHT(H114,LEN(H114)-4)/10000</f>
        <v>2.0299999999999999E-2</v>
      </c>
      <c r="AA114" s="247">
        <f>ABS(Z114-Y114)</f>
        <v>23.2773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/stypes="app*4005*20171225*"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21"/>
        <v>"%USERPROFILE%\Documents\GitHub\eaglep3\Utilities\RefineRTDCRunTimes.py" --tripid 200-24 --locoid 4005 --swversion DE.1.0.9.0 --startMP 204:232976 --initTime 2017-12-24T16:52:30 --startdatetime 2017-12-24T16:57:22 --delay 108 --endMP 204:203 --enddatetime 2017-12-24T17:35:42 --enforcementcount 0 &gt;&gt;%USERPROFILE%\Documents\GitHub\eaglep3-reporting\EC\2017-12-24-refined-times.txt</v>
      </c>
      <c r="AI11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{"issue":{"subject":"","project_id":79,"tracker_id":40,"status_id":1,"priority_id":2,"assigned_to_id":338,"start_date":"2017-12-24","description":"","custom_fields":[{"id":1,"name":"Subdivision","value":"EC"},{"id":4,"name":"Milepost","value":"0.0203"},{"id":17,"name":"Train ID","value":"200-24"},{"id":16,"name":"Locomotive ID","value":"4005"},{"id":130,"name":"Impact","value":""},{"id":150,"name":"Time of Event (Mountain Time)","value":"17:35:42"},{"id":151,"name":"Denver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23"/>
        <v>start /low /b %USERPROFILE%\Documents\GitHub\eaglep3\Utilities\DownloadLogsFromS3.py --loco 4005 --day 2017-12-24</v>
      </c>
      <c r="AN114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25"/>
        <v>https://d0f6bd738d7f1b3e5a7ca70fe4ff75f0.us-east-1.aws.found.io/app/kibana#/discover/Steve-Slow-Train-Analysis-(2080s-and-2083s)?_g=(refreshInterval:(display:Off,pause:!f,section:0,value:0),time:(from:'2017-12-24T15:52:30-0700',mode:absolute,to:'2017-12-24T18:35:42-0700'))&amp;_a=(columns:!('Message%20ID',Summary),filters:!(),index:'emp_*',interval:auto,query:(query_string:(analyze_wildcard:!t,query:'%22rtdc.l.rtdc.4005%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23" customFormat="1" x14ac:dyDescent="0.3">
      <c r="A115" s="229" t="s">
        <v>835</v>
      </c>
      <c r="B115" s="225">
        <v>4050</v>
      </c>
      <c r="C115" s="227" t="s">
        <v>192</v>
      </c>
      <c r="D115" s="227" t="s">
        <v>542</v>
      </c>
      <c r="E115" s="226">
        <v>43093.671550925923</v>
      </c>
      <c r="F115" s="226">
        <v>43093.677268518521</v>
      </c>
      <c r="G115" s="225">
        <v>64</v>
      </c>
      <c r="H115" s="227" t="s">
        <v>1025</v>
      </c>
      <c r="I115" s="226">
        <v>43093.702430555553</v>
      </c>
      <c r="J115" s="225">
        <v>0</v>
      </c>
      <c r="K115" s="237" t="str">
        <f>IF(ISEVEN(B115),(B115-1)&amp;"/"&amp;B115,B115&amp;"/"&amp;(B115+1))</f>
        <v>4049/4050</v>
      </c>
      <c r="L115" s="245" t="str">
        <f>VLOOKUP(A115,'Trips&amp;Operators'!$C$1:$G$99911,5,FALSE)</f>
        <v>SMITH MICHAEL</v>
      </c>
      <c r="M115" s="224">
        <f>I115-F115</f>
        <v>2.5162037032714579E-2</v>
      </c>
      <c r="N115" s="225">
        <f>24*60*SUM($M115:$M115)</f>
        <v>36.233333327108994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-24T15:07:02-0700',mode:absolute,to:'2017-12-24T17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5.6399999999999999E-2</v>
      </c>
      <c r="Z115" s="247">
        <f>RIGHT(H115,LEN(H115)-4)/10000</f>
        <v>23.3201</v>
      </c>
      <c r="AA115" s="247">
        <f>ABS(Z115-Y115)</f>
        <v>23.2637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/stypes="app*4050*20171224*"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21"/>
        <v>"%USERPROFILE%\Documents\GitHub\eaglep3\Utilities\RefineRTDCRunTimes.py" --tripid 201-24 --locoid 4050 --swversion DE.1.0.9.0 --startMP 204:564 --initTime 2017-12-24T16:07:02 --startdatetime 2017-12-24T16:15:16 --delay 64 --endMP 204:233201 --enddatetime 2017-12-24T16:51:30 --enforcementcount 0 &gt;&gt;%USERPROFILE%\Documents\GitHub\eaglep3-reporting\EC\2017-12-24-refined-times.txt</v>
      </c>
      <c r="AI115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{"issue":{"subject":"","project_id":79,"tracker_id":40,"status_id":1,"priority_id":2,"assigned_to_id":338,"start_date":"2017-12-24","description":"","custom_fields":[{"id":1,"name":"Subdivision","value":"EC"},{"id":4,"name":"Milepost","value":"23.3201"},{"id":17,"name":"Train ID","value":"201-24"},{"id":16,"name":"Locomotive ID","value":"4050"},{"id":130,"name":"Impact","value":""},{"id":150,"name":"Time of Event (Mountain Time)","value":"16:51:30"},{"id":151,"name":"Denver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231"/>
      <c r="AL115" s="231"/>
      <c r="AM115" s="240" t="str">
        <f t="shared" si="23"/>
        <v>start /low /b %USERPROFILE%\Documents\GitHub\eaglep3\Utilities\DownloadLogsFromS3.py --loco 4050 --day 2017-12-24</v>
      </c>
      <c r="AN115" s="241" t="str">
        <f t="shared" si="24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25"/>
        <v>https://d0f6bd738d7f1b3e5a7ca70fe4ff75f0.us-east-1.aws.found.io/app/kibana#/discover/Steve-Slow-Train-Analysis-(2080s-and-2083s)?_g=(refreshInterval:(display:Off,pause:!f,section:0,value:0),time:(from:'2017-12-24T15:07:02-0700',mode:absolute,to:'2017-12-24T17:51:30-0700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3" customFormat="1" x14ac:dyDescent="0.3">
      <c r="A116" s="229" t="s">
        <v>846</v>
      </c>
      <c r="B116" s="225">
        <v>4049</v>
      </c>
      <c r="C116" s="227" t="s">
        <v>192</v>
      </c>
      <c r="D116" s="227" t="s">
        <v>652</v>
      </c>
      <c r="E116" s="226">
        <v>43093.70685185185</v>
      </c>
      <c r="F116" s="226">
        <v>43093.716886574075</v>
      </c>
      <c r="G116" s="225">
        <v>79</v>
      </c>
      <c r="H116" s="227" t="s">
        <v>647</v>
      </c>
      <c r="I116" s="226">
        <v>43093.742743055554</v>
      </c>
      <c r="J116" s="225">
        <v>0</v>
      </c>
      <c r="K116" s="237" t="str">
        <f>IF(ISEVEN(B116),(B116-1)&amp;"/"&amp;B116,B116&amp;"/"&amp;(B116+1))</f>
        <v>4049/4050</v>
      </c>
      <c r="L116" s="245" t="str">
        <f>VLOOKUP(A116,'Trips&amp;Operators'!$C$1:$G$99911,5,FALSE)</f>
        <v>SMITH MICHAEL</v>
      </c>
      <c r="M116" s="224">
        <f>I116-F116</f>
        <v>2.5856481479422655E-2</v>
      </c>
      <c r="N116" s="225">
        <f>24*60*SUM($M116:$M116)</f>
        <v>37.233333330368623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-24T15:57:52-0700',mode:absolute,to:'2017-12-24T18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23.286899999999999</v>
      </c>
      <c r="Z116" s="247">
        <f>RIGHT(H116,LEN(H116)-4)/10000</f>
        <v>2.4500000000000001E-2</v>
      </c>
      <c r="AA116" s="247">
        <f>ABS(Z116-Y116)</f>
        <v>23.2624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/stypes="app*4049*20171225*"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21"/>
        <v>"%USERPROFILE%\Documents\GitHub\eaglep3\Utilities\RefineRTDCRunTimes.py" --tripid 202-24 --locoid 4049 --swversion DE.1.0.9.0 --startMP 204:232869 --initTime 2017-12-24T16:57:52 --startdatetime 2017-12-24T17:12:19 --delay 79 --endMP 204:245 --enddatetime 2017-12-24T17:49:33 --enforcementcount 0 &gt;&gt;%USERPROFILE%\Documents\GitHub\eaglep3-reporting\EC\2017-12-24-refined-times.txt</v>
      </c>
      <c r="AI116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{"issue":{"subject":"","project_id":79,"tracker_id":40,"status_id":1,"priority_id":2,"assigned_to_id":338,"start_date":"2017-12-24","description":"","custom_fields":[{"id":1,"name":"Subdivision","value":"EC"},{"id":4,"name":"Milepost","value":"0.0245"},{"id":17,"name":"Train ID","value":"202-24"},{"id":16,"name":"Locomotive ID","value":"4049"},{"id":130,"name":"Impact","value":""},{"id":150,"name":"Time of Event (Mountain Time)","value":"17:49:33"},{"id":151,"name":"Denver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1"/>
      <c r="AL116" s="231"/>
      <c r="AM116" s="240" t="str">
        <f t="shared" si="23"/>
        <v>start /low /b %USERPROFILE%\Documents\GitHub\eaglep3\Utilities\DownloadLogsFromS3.py --loco 4049 --day 2017-12-24</v>
      </c>
      <c r="AN116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25"/>
        <v>https://d0f6bd738d7f1b3e5a7ca70fe4ff75f0.us-east-1.aws.found.io/app/kibana#/discover/Steve-Slow-Train-Analysis-(2080s-and-2083s)?_g=(refreshInterval:(display:Off,pause:!f,section:0,value:0),time:(from:'2017-12-24T15:57:52-0700',mode:absolute,to:'2017-12-24T18:49:33-0700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29" t="s">
        <v>840</v>
      </c>
      <c r="B117" s="225">
        <v>4022</v>
      </c>
      <c r="C117" s="227" t="s">
        <v>192</v>
      </c>
      <c r="D117" s="227" t="s">
        <v>562</v>
      </c>
      <c r="E117" s="226">
        <v>43093.683391203704</v>
      </c>
      <c r="F117" s="226">
        <v>43093.687650462962</v>
      </c>
      <c r="G117" s="225">
        <v>54</v>
      </c>
      <c r="H117" s="227" t="s">
        <v>498</v>
      </c>
      <c r="I117" s="226">
        <v>43093.711851851855</v>
      </c>
      <c r="J117" s="225">
        <v>0</v>
      </c>
      <c r="K117" s="237" t="str">
        <f>IF(ISEVEN(B117),(B117-1)&amp;"/"&amp;B117,B117&amp;"/"&amp;(B117+1))</f>
        <v>4021/4022</v>
      </c>
      <c r="L117" s="245" t="str">
        <f>VLOOKUP(A117,'Trips&amp;Operators'!$C$1:$G$99911,5,FALSE)</f>
        <v>BIRENBAUM THOMAS</v>
      </c>
      <c r="M117" s="224">
        <f>I117-F117</f>
        <v>2.4201388892834075E-2</v>
      </c>
      <c r="N117" s="225">
        <f>24*60*SUM($M117:$M117)</f>
        <v>34.850000005681068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-24T15:24:05-0700',mode:absolute,to:'2017-12-24T18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4.9700000000000001E-2</v>
      </c>
      <c r="Z117" s="247">
        <f>RIGHT(H117,LEN(H117)-4)/10000</f>
        <v>23.327000000000002</v>
      </c>
      <c r="AA117" s="247">
        <f>ABS(Z117-Y117)</f>
        <v>23.2773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/stypes="app*4022*20171225*"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21"/>
        <v>"%USERPROFILE%\Documents\GitHub\eaglep3\Utilities\RefineRTDCRunTimes.py" --tripid 203-24 --locoid 4022 --swversion DE.1.0.9.0 --startMP 204:497 --initTime 2017-12-24T16:24:05 --startdatetime 2017-12-24T16:30:13 --delay 54 --endMP 204:233270 --enddatetime 2017-12-24T17:05:04 --enforcementcount 0 &gt;&gt;%USERPROFILE%\Documents\GitHub\eaglep3-reporting\EC\2017-12-24-refined-times.txt</v>
      </c>
      <c r="AI117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{"issue":{"subject":"","project_id":79,"tracker_id":40,"status_id":1,"priority_id":2,"assigned_to_id":338,"start_date":"2017-12-24","description":"","custom_fields":[{"id":1,"name":"Subdivision","value":"EC"},{"id":4,"name":"Milepost","value":"23.327"},{"id":17,"name":"Train ID","value":"203-24"},{"id":16,"name":"Locomotive ID","value":"4022"},{"id":130,"name":"Impact","value":""},{"id":150,"name":"Time of Event (Mountain Time)","value":"17:05:04"},{"id":151,"name":"Denver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23"/>
        <v>start /low /b %USERPROFILE%\Documents\GitHub\eaglep3\Utilities\DownloadLogsFromS3.py --loco 4022 --day 2017-12-24</v>
      </c>
      <c r="AN117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25"/>
        <v>https://d0f6bd738d7f1b3e5a7ca70fe4ff75f0.us-east-1.aws.found.io/app/kibana#/discover/Steve-Slow-Train-Analysis-(2080s-and-2083s)?_g=(refreshInterval:(display:Off,pause:!f,section:0,value:0),time:(from:'2017-12-24T15:24:05-0700',mode:absolute,to:'2017-12-24T18:05:04-0700'))&amp;_a=(columns:!('Message%20ID',Summary),filters:!(),index:'emp_*',interval:auto,query:(query_string:(analyze_wildcard:!t,query:'%22rtdc.l.rtdc.4022%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848</v>
      </c>
      <c r="B118" s="225">
        <v>4021</v>
      </c>
      <c r="C118" s="227" t="s">
        <v>192</v>
      </c>
      <c r="D118" s="227" t="s">
        <v>577</v>
      </c>
      <c r="E118" s="226">
        <v>43093.713402777779</v>
      </c>
      <c r="F118" s="226">
        <v>43093.727268518516</v>
      </c>
      <c r="G118" s="225">
        <v>50</v>
      </c>
      <c r="H118" s="227" t="s">
        <v>442</v>
      </c>
      <c r="I118" s="226">
        <v>43093.75203703704</v>
      </c>
      <c r="J118" s="225">
        <v>0</v>
      </c>
      <c r="K118" s="237" t="str">
        <f>IF(ISEVEN(B118),(B118-1)&amp;"/"&amp;B118,B118&amp;"/"&amp;(B118+1))</f>
        <v>4021/4022</v>
      </c>
      <c r="L118" s="245" t="str">
        <f>VLOOKUP(A118,'Trips&amp;Operators'!$C$1:$G$99911,5,FALSE)</f>
        <v>BIRENBAUM THOMAS</v>
      </c>
      <c r="M118" s="224">
        <f>I118-F118</f>
        <v>2.4768518524069805E-2</v>
      </c>
      <c r="N118" s="225">
        <f>24*60*SUM($M118:$M118)</f>
        <v>35.666666674660519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-24T16:07:18-0700',mode:absolute,to:'2017-12-24T19:02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23.2943</v>
      </c>
      <c r="Z118" s="247">
        <f>RIGHT(H118,LEN(H118)-4)/10000</f>
        <v>2.07E-2</v>
      </c>
      <c r="AA118" s="247">
        <f>ABS(Z118-Y118)</f>
        <v>23.273599999999998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/stypes="app*4021*20171225*"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21"/>
        <v>"%USERPROFILE%\Documents\GitHub\eaglep3\Utilities\RefineRTDCRunTimes.py" --tripid 204-24 --locoid 4021 --swversion DE.1.0.9.0 --startMP 204:232943 --initTime 2017-12-24T17:07:18 --startdatetime 2017-12-24T17:27:16 --delay 50 --endMP 204:207 --enddatetime 2017-12-24T18:02:56 --enforcementcount 0 &gt;&gt;%USERPROFILE%\Documents\GitHub\eaglep3-reporting\EC\2017-12-24-refined-times.txt</v>
      </c>
      <c r="AI118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{"issue":{"subject":"","project_id":79,"tracker_id":40,"status_id":1,"priority_id":2,"assigned_to_id":338,"start_date":"2017-12-24","description":"","custom_fields":[{"id":1,"name":"Subdivision","value":"EC"},{"id":4,"name":"Milepost","value":"0.0207"},{"id":17,"name":"Train ID","value":"204-24"},{"id":16,"name":"Locomotive ID","value":"4021"},{"id":130,"name":"Impact","value":""},{"id":150,"name":"Time of Event (Mountain Time)","value":"18:02:56"},{"id":151,"name":"Denver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23"/>
        <v>start /low /b %USERPROFILE%\Documents\GitHub\eaglep3\Utilities\DownloadLogsFromS3.py --loco 4021 --day 2017-12-24</v>
      </c>
      <c r="AN118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25"/>
        <v>https://d0f6bd738d7f1b3e5a7ca70fe4ff75f0.us-east-1.aws.found.io/app/kibana#/discover/Steve-Slow-Train-Analysis-(2080s-and-2083s)?_g=(refreshInterval:(display:Off,pause:!f,section:0,value:0),time:(from:'2017-12-24T16:07:18-0700',mode:absolute,to:'2017-12-24T19:02:56-0700'))&amp;_a=(columns:!('Message%20ID',Summary),filters:!(),index:'emp_*',interval:auto,query:(query_string:(analyze_wildcard:!t,query:'%22rtdc.l.rtdc.4021%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843</v>
      </c>
      <c r="B119" s="225">
        <v>4062</v>
      </c>
      <c r="C119" s="227" t="s">
        <v>192</v>
      </c>
      <c r="D119" s="227" t="s">
        <v>522</v>
      </c>
      <c r="E119" s="226">
        <v>43093.695497685185</v>
      </c>
      <c r="F119" s="226">
        <v>43093.698113425926</v>
      </c>
      <c r="G119" s="225">
        <v>66</v>
      </c>
      <c r="H119" s="227" t="s">
        <v>935</v>
      </c>
      <c r="I119" s="226">
        <v>43093.723194444443</v>
      </c>
      <c r="J119" s="225">
        <v>0</v>
      </c>
      <c r="K119" s="237" t="str">
        <f>IF(ISEVEN(B119),(B119-1)&amp;"/"&amp;B119,B119&amp;"/"&amp;(B119+1))</f>
        <v>4061/4062</v>
      </c>
      <c r="L119" s="245" t="str">
        <f>VLOOKUP(A119,'Trips&amp;Operators'!$C$1:$G$99911,5,FALSE)</f>
        <v>SAFIEF AEIMEN</v>
      </c>
      <c r="M119" s="224">
        <f>I119-F119</f>
        <v>2.5081018517084885E-2</v>
      </c>
      <c r="N119" s="225">
        <f>24*60*SUM($M119:$M119)</f>
        <v>36.116666664602235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-24T15:41:31-0700',mode:absolute,to:'2017-12-24T18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5.2600000000000001E-2</v>
      </c>
      <c r="Z119" s="247">
        <f>RIGHT(H119,LEN(H119)-4)/10000</f>
        <v>23.328800000000001</v>
      </c>
      <c r="AA119" s="247">
        <f>ABS(Z119-Y119)</f>
        <v>23.276199999999999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/stypes="app*4062*20171225*"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21"/>
        <v>"%USERPROFILE%\Documents\GitHub\eaglep3\Utilities\RefineRTDCRunTimes.py" --tripid 205-24 --locoid 4062 --swversion DE.1.0.9.0 --startMP 204:526 --initTime 2017-12-24T16:41:31 --startdatetime 2017-12-24T16:45:17 --delay 66 --endMP 204:233288 --enddatetime 2017-12-24T17:21:24 --enforcementcount 0 &gt;&gt;%USERPROFILE%\Documents\GitHub\eaglep3-reporting\EC\2017-12-24-refined-times.txt</v>
      </c>
      <c r="AI119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{"issue":{"subject":"","project_id":79,"tracker_id":40,"status_id":1,"priority_id":2,"assigned_to_id":338,"start_date":"2017-12-24","description":"","custom_fields":[{"id":1,"name":"Subdivision","value":"EC"},{"id":4,"name":"Milepost","value":"23.3288"},{"id":17,"name":"Train ID","value":"205-24"},{"id":16,"name":"Locomotive ID","value":"4062"},{"id":130,"name":"Impact","value":""},{"id":150,"name":"Time of Event (Mountain Time)","value":"17:21:24"},{"id":151,"name":"Denver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23"/>
        <v>start /low /b %USERPROFILE%\Documents\GitHub\eaglep3\Utilities\DownloadLogsFromS3.py --loco 4062 --day 2017-12-24</v>
      </c>
      <c r="AN119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25"/>
        <v>https://d0f6bd738d7f1b3e5a7ca70fe4ff75f0.us-east-1.aws.found.io/app/kibana#/discover/Steve-Slow-Train-Analysis-(2080s-and-2083s)?_g=(refreshInterval:(display:Off,pause:!f,section:0,value:0),time:(from:'2017-12-24T15:41:31-0700',mode:absolute,to:'2017-12-24T18:21:24-0700'))&amp;_a=(columns:!('Message%20ID',Summary),filters:!(),index:'emp_*',interval:auto,query:(query_string:(analyze_wildcard:!t,query:'%22rtdc.l.rtdc.4062%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29" t="s">
        <v>854</v>
      </c>
      <c r="B120" s="225">
        <v>4061</v>
      </c>
      <c r="C120" s="227" t="s">
        <v>192</v>
      </c>
      <c r="D120" s="227" t="s">
        <v>944</v>
      </c>
      <c r="E120" s="226">
        <v>43093.734016203707</v>
      </c>
      <c r="F120" s="226">
        <v>43093.737673611111</v>
      </c>
      <c r="G120" s="225">
        <v>72</v>
      </c>
      <c r="H120" s="227" t="s">
        <v>645</v>
      </c>
      <c r="I120" s="226">
        <v>43093.763935185183</v>
      </c>
      <c r="J120" s="225">
        <v>0</v>
      </c>
      <c r="K120" s="237" t="str">
        <f>IF(ISEVEN(B120),(B120-1)&amp;"/"&amp;B120,B120&amp;"/"&amp;(B120+1))</f>
        <v>4061/4062</v>
      </c>
      <c r="L120" s="245" t="str">
        <f>VLOOKUP(A120,'Trips&amp;Operators'!$C$1:$G$99911,5,FALSE)</f>
        <v>SAFIEF AEIMEN</v>
      </c>
      <c r="M120" s="224">
        <f>I120-F120</f>
        <v>2.626157407212304E-2</v>
      </c>
      <c r="N120" s="225">
        <f>24*60*SUM($M120:$M120)</f>
        <v>37.816666663857177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-24T16:36:59-0700',mode:absolute,to:'2017-12-24T19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23.2957</v>
      </c>
      <c r="Z120" s="247">
        <f>RIGHT(H120,LEN(H120)-4)/10000</f>
        <v>2.1399999999999999E-2</v>
      </c>
      <c r="AA120" s="247">
        <f>ABS(Z120-Y120)</f>
        <v>23.2743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/stypes="app*4061*20171225*"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21"/>
        <v>"%USERPROFILE%\Documents\GitHub\eaglep3\Utilities\RefineRTDCRunTimes.py" --tripid 206-24 --locoid 4061 --swversion DE.1.0.9.0 --startMP 204:232957 --initTime 2017-12-24T17:36:59 --startdatetime 2017-12-24T17:42:15 --delay 72 --endMP 204:214 --enddatetime 2017-12-24T18:20:04 --enforcementcount 0 &gt;&gt;%USERPROFILE%\Documents\GitHub\eaglep3-reporting\EC\2017-12-24-refined-times.txt</v>
      </c>
      <c r="AI120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{"issue":{"subject":"","project_id":79,"tracker_id":40,"status_id":1,"priority_id":2,"assigned_to_id":338,"start_date":"2017-12-24","description":"","custom_fields":[{"id":1,"name":"Subdivision","value":"EC"},{"id":4,"name":"Milepost","value":"0.0214"},{"id":17,"name":"Train ID","value":"206-24"},{"id":16,"name":"Locomotive ID","value":"4061"},{"id":130,"name":"Impact","value":""},{"id":150,"name":"Time of Event (Mountain Time)","value":"18:20:04"},{"id":151,"name":"Denver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23"/>
        <v>start /low /b %USERPROFILE%\Documents\GitHub\eaglep3\Utilities\DownloadLogsFromS3.py --loco 4061 --day 2017-12-24</v>
      </c>
      <c r="AN120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25"/>
        <v>https://d0f6bd738d7f1b3e5a7ca70fe4ff75f0.us-east-1.aws.found.io/app/kibana#/discover/Steve-Slow-Train-Analysis-(2080s-and-2083s)?_g=(refreshInterval:(display:Off,pause:!f,section:0,value:0),time:(from:'2017-12-24T16:36:59-0700',mode:absolute,to:'2017-12-24T19:20:04-0700'))&amp;_a=(columns:!('Message%20ID',Summary),filters:!(),index:'emp_*',interval:auto,query:(query_string:(analyze_wildcard:!t,query:'%22rtdc.l.rtdc.4061%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29" t="s">
        <v>844</v>
      </c>
      <c r="B121" s="225">
        <v>4012</v>
      </c>
      <c r="C121" s="227" t="s">
        <v>192</v>
      </c>
      <c r="D121" s="227" t="s">
        <v>1026</v>
      </c>
      <c r="E121" s="226">
        <v>43093.703229166669</v>
      </c>
      <c r="F121" s="226">
        <v>43093.708495370367</v>
      </c>
      <c r="G121" s="225">
        <v>58</v>
      </c>
      <c r="H121" s="227" t="s">
        <v>649</v>
      </c>
      <c r="I121" s="226">
        <v>43093.732870370368</v>
      </c>
      <c r="J121" s="225">
        <v>0</v>
      </c>
      <c r="K121" s="237" t="str">
        <f>IF(ISEVEN(B121),(B121-1)&amp;"/"&amp;B121,B121&amp;"/"&amp;(B121+1))</f>
        <v>4011/4012</v>
      </c>
      <c r="L121" s="245" t="str">
        <f>VLOOKUP(A121,'Trips&amp;Operators'!$C$1:$G$99911,5,FALSE)</f>
        <v>MCREYNOLDS KYLE</v>
      </c>
      <c r="M121" s="224">
        <f>I121-F121</f>
        <v>2.4375000000873115E-2</v>
      </c>
      <c r="N121" s="225">
        <f>24*60*SUM($M121:$M121)</f>
        <v>35.100000001257285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-24T15:52:39-0700',mode:absolute,to:'2017-12-24T18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5.3499999999999999E-2</v>
      </c>
      <c r="Z121" s="247">
        <f>RIGHT(H121,LEN(H121)-4)/10000</f>
        <v>23.325500000000002</v>
      </c>
      <c r="AA121" s="247">
        <f>ABS(Z121-Y121)</f>
        <v>23.272000000000002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/stypes="app*4012*20171225*"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21"/>
        <v>"%USERPROFILE%\Documents\GitHub\eaglep3\Utilities\RefineRTDCRunTimes.py" --tripid 207-24 --locoid 4012 --swversion DE.1.0.9.0 --startMP 204:535 --initTime 2017-12-24T16:52:39 --startdatetime 2017-12-24T17:00:14 --delay 58 --endMP 204:233255 --enddatetime 2017-12-24T17:35:20 --enforcementcount 0 &gt;&gt;%USERPROFILE%\Documents\GitHub\eaglep3-reporting\EC\2017-12-24-refined-times.txt</v>
      </c>
      <c r="AI12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{"issue":{"subject":"","project_id":79,"tracker_id":40,"status_id":1,"priority_id":2,"assigned_to_id":338,"start_date":"2017-12-24","description":"","custom_fields":[{"id":1,"name":"Subdivision","value":"EC"},{"id":4,"name":"Milepost","value":"23.3255"},{"id":17,"name":"Train ID","value":"207-24"},{"id":16,"name":"Locomotive ID","value":"4012"},{"id":130,"name":"Impact","value":""},{"id":150,"name":"Time of Event (Mountain Time)","value":"17:35:20"},{"id":151,"name":"Denver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23"/>
        <v>start /low /b %USERPROFILE%\Documents\GitHub\eaglep3\Utilities\DownloadLogsFromS3.py --loco 4012 --day 2017-12-24</v>
      </c>
      <c r="AN121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25"/>
        <v>https://d0f6bd738d7f1b3e5a7ca70fe4ff75f0.us-east-1.aws.found.io/app/kibana#/discover/Steve-Slow-Train-Analysis-(2080s-and-2083s)?_g=(refreshInterval:(display:Off,pause:!f,section:0,value:0),time:(from:'2017-12-24T15:52:39-0700',mode:absolute,to:'2017-12-24T18:35:20-0700'))&amp;_a=(columns:!('Message%20ID',Summary),filters:!(),index:'emp_*',interval:auto,query:(query_string:(analyze_wildcard:!t,query:'%22rtdc.l.rtdc.4012%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856</v>
      </c>
      <c r="B122" s="225">
        <v>4011</v>
      </c>
      <c r="C122" s="227" t="s">
        <v>192</v>
      </c>
      <c r="D122" s="227" t="s">
        <v>577</v>
      </c>
      <c r="E122" s="226">
        <v>43093.742106481484</v>
      </c>
      <c r="F122" s="226">
        <v>43093.748067129629</v>
      </c>
      <c r="G122" s="225">
        <v>64</v>
      </c>
      <c r="H122" s="227" t="s">
        <v>1027</v>
      </c>
      <c r="I122" s="226">
        <v>43093.774189814816</v>
      </c>
      <c r="J122" s="225">
        <v>0</v>
      </c>
      <c r="K122" s="237" t="str">
        <f>IF(ISEVEN(B122),(B122-1)&amp;"/"&amp;B122,B122&amp;"/"&amp;(B122+1))</f>
        <v>4011/4012</v>
      </c>
      <c r="L122" s="245" t="str">
        <f>VLOOKUP(A122,'Trips&amp;Operators'!$C$1:$G$99911,5,FALSE)</f>
        <v>MCREYNOLDS KYLE</v>
      </c>
      <c r="M122" s="224">
        <f>I122-F122</f>
        <v>2.6122685187146999E-2</v>
      </c>
      <c r="N122" s="225">
        <f>24*60*SUM($M122:$M122)</f>
        <v>37.616666669491678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-24T16:48:38-0700',mode:absolute,to:'2017-12-24T19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23.2943</v>
      </c>
      <c r="Z122" s="247">
        <f>RIGHT(H122,LEN(H122)-4)/10000</f>
        <v>1.37E-2</v>
      </c>
      <c r="AA122" s="247">
        <f>ABS(Z122-Y122)</f>
        <v>23.2806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/stypes="app*4011*20171225*"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21"/>
        <v>"%USERPROFILE%\Documents\GitHub\eaglep3\Utilities\RefineRTDCRunTimes.py" --tripid 208-24 --locoid 4011 --swversion DE.1.0.9.0 --startMP 204:232943 --initTime 2017-12-24T17:48:38 --startdatetime 2017-12-24T17:57:13 --delay 64 --endMP 204:137 --enddatetime 2017-12-24T18:34:50 --enforcementcount 0 &gt;&gt;%USERPROFILE%\Documents\GitHub\eaglep3-reporting\EC\2017-12-24-refined-times.txt</v>
      </c>
      <c r="AI12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{"issue":{"subject":"","project_id":79,"tracker_id":40,"status_id":1,"priority_id":2,"assigned_to_id":338,"start_date":"2017-12-24","description":"","custom_fields":[{"id":1,"name":"Subdivision","value":"EC"},{"id":4,"name":"Milepost","value":"0.0137"},{"id":17,"name":"Train ID","value":"208-24"},{"id":16,"name":"Locomotive ID","value":"4011"},{"id":130,"name":"Impact","value":""},{"id":150,"name":"Time of Event (Mountain Time)","value":"18:34:50"},{"id":151,"name":"Denver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23"/>
        <v>start /low /b %USERPROFILE%\Documents\GitHub\eaglep3\Utilities\DownloadLogsFromS3.py --loco 4011 --day 2017-12-24</v>
      </c>
      <c r="AN122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25"/>
        <v>https://d0f6bd738d7f1b3e5a7ca70fe4ff75f0.us-east-1.aws.found.io/app/kibana#/discover/Steve-Slow-Train-Analysis-(2080s-and-2083s)?_g=(refreshInterval:(display:Off,pause:!f,section:0,value:0),time:(from:'2017-12-24T16:48:38-0700',mode:absolute,to:'2017-12-24T19:34:50-0700'))&amp;_a=(columns:!('Message%20ID',Summary),filters:!(),index:'emp_*',interval:auto,query:(query_string:(analyze_wildcard:!t,query:'%22rtdc.l.rtdc.4011%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849</v>
      </c>
      <c r="B123" s="225">
        <v>4044</v>
      </c>
      <c r="C123" s="227" t="s">
        <v>192</v>
      </c>
      <c r="D123" s="227" t="s">
        <v>581</v>
      </c>
      <c r="E123" s="226">
        <v>43093.714745370373</v>
      </c>
      <c r="F123" s="226">
        <v>43093.719039351854</v>
      </c>
      <c r="G123" s="225">
        <v>79</v>
      </c>
      <c r="H123" s="227" t="s">
        <v>925</v>
      </c>
      <c r="I123" s="226">
        <v>43093.743946759256</v>
      </c>
      <c r="J123" s="225">
        <v>0</v>
      </c>
      <c r="K123" s="237" t="str">
        <f>IF(ISEVEN(B123),(B123-1)&amp;"/"&amp;B123,B123&amp;"/"&amp;(B123+1))</f>
        <v>4043/4044</v>
      </c>
      <c r="L123" s="245" t="str">
        <f>VLOOKUP(A123,'Trips&amp;Operators'!$C$1:$G$99911,5,FALSE)</f>
        <v>STAMBAUGH JAMES</v>
      </c>
      <c r="M123" s="224">
        <f>I123-F123</f>
        <v>2.4907407401769888E-2</v>
      </c>
      <c r="N123" s="225">
        <f>24*60*SUM($M123:$M123)</f>
        <v>35.866666658548638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-24T16:09:14-0700',mode:absolute,to:'2017-12-24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5.7299999999999997E-2</v>
      </c>
      <c r="Z123" s="247">
        <f>RIGHT(H123,LEN(H123)-4)/10000</f>
        <v>23.330100000000002</v>
      </c>
      <c r="AA123" s="247">
        <f>ABS(Z123-Y123)</f>
        <v>23.2728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/stypes="app*4044*20171225*"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21"/>
        <v>"%USERPROFILE%\Documents\GitHub\eaglep3\Utilities\RefineRTDCRunTimes.py" --tripid 209-24 --locoid 4044 --swversion DE.1.0.9.0 --startMP 204:573 --initTime 2017-12-24T17:09:14 --startdatetime 2017-12-24T17:15:25 --delay 79 --endMP 204:233301 --enddatetime 2017-12-24T17:51:17 --enforcementcount 0 &gt;&gt;%USERPROFILE%\Documents\GitHub\eaglep3-reporting\EC\2017-12-24-refined-times.txt</v>
      </c>
      <c r="AI123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{"issue":{"subject":"","project_id":79,"tracker_id":40,"status_id":1,"priority_id":2,"assigned_to_id":338,"start_date":"2017-12-24","description":"","custom_fields":[{"id":1,"name":"Subdivision","value":"EC"},{"id":4,"name":"Milepost","value":"23.3301"},{"id":17,"name":"Train ID","value":"209-24"},{"id":16,"name":"Locomotive ID","value":"4044"},{"id":130,"name":"Impact","value":""},{"id":150,"name":"Time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23"/>
        <v>start /low /b %USERPROFILE%\Documents\GitHub\eaglep3\Utilities\DownloadLogsFromS3.py --loco 4044 --day 2017-12-24</v>
      </c>
      <c r="AN123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25"/>
        <v>https://d0f6bd738d7f1b3e5a7ca70fe4ff75f0.us-east-1.aws.found.io/app/kibana#/discover/Steve-Slow-Train-Analysis-(2080s-and-2083s)?_g=(refreshInterval:(display:Off,pause:!f,section:0,value:0),time:(from:'2017-12-24T16:09:14-0700',mode:absolute,to:'2017-12-24T18:51:17-0700'))&amp;_a=(columns:!('Message%20ID',Summary),filters:!(),index:'emp_*',interval:auto,query:(query_string:(analyze_wildcard:!t,query:'%22rtdc.l.rtdc.4044%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860</v>
      </c>
      <c r="B124" s="225">
        <v>4043</v>
      </c>
      <c r="C124" s="227" t="s">
        <v>192</v>
      </c>
      <c r="D124" s="227" t="s">
        <v>624</v>
      </c>
      <c r="E124" s="226">
        <v>43093.75209490741</v>
      </c>
      <c r="F124" s="226">
        <v>43093.758587962962</v>
      </c>
      <c r="G124" s="225">
        <v>90</v>
      </c>
      <c r="H124" s="227" t="s">
        <v>528</v>
      </c>
      <c r="I124" s="226">
        <v>43093.784143518518</v>
      </c>
      <c r="J124" s="225">
        <v>0</v>
      </c>
      <c r="K124" s="237" t="str">
        <f>IF(ISEVEN(B124),(B124-1)&amp;"/"&amp;B124,B124&amp;"/"&amp;(B124+1))</f>
        <v>4043/4044</v>
      </c>
      <c r="L124" s="245" t="str">
        <f>VLOOKUP(A124,'Trips&amp;Operators'!$C$1:$G$99911,5,FALSE)</f>
        <v>STAMBAUGH JAMES</v>
      </c>
      <c r="M124" s="224">
        <f>I124-F124</f>
        <v>2.5555555555911269E-2</v>
      </c>
      <c r="N124" s="225">
        <f>24*60*SUM($M124:$M124)</f>
        <v>36.800000000512227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-24T17:03:01-0700',mode:absolute,to:'2017-12-24T19:49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23.297699999999999</v>
      </c>
      <c r="Z124" s="247">
        <f>RIGHT(H124,LEN(H124)-4)/10000</f>
        <v>2.2100000000000002E-2</v>
      </c>
      <c r="AA124" s="247">
        <f>ABS(Z124-Y124)</f>
        <v>23.275600000000001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/stypes="app*4043*20171225*"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21"/>
        <v>"%USERPROFILE%\Documents\GitHub\eaglep3\Utilities\RefineRTDCRunTimes.py" --tripid 210-24 --locoid 4043 --swversion DE.1.0.9.0 --startMP 204:232977 --initTime 2017-12-24T18:03:01 --startdatetime 2017-12-24T18:12:22 --delay 90 --endMP 204:221 --enddatetime 2017-12-24T18:49:10 --enforcementcount 0 &gt;&gt;%USERPROFILE%\Documents\GitHub\eaglep3-reporting\EC\2017-12-24-refined-times.txt</v>
      </c>
      <c r="AI12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{"issue":{"subject":"","project_id":79,"tracker_id":40,"status_id":1,"priority_id":2,"assigned_to_id":338,"start_date":"2017-12-24","description":"","custom_fields":[{"id":1,"name":"Subdivision","value":"EC"},{"id":4,"name":"Milepost","value":"0.0221"},{"id":17,"name":"Train ID","value":"210-24"},{"id":16,"name":"Locomotive ID","value":"4043"},{"id":130,"name":"Impact","value":""},{"id":150,"name":"Time of Event (Mountain Time)","value":"18:49:10"},{"id":151,"name":"Denver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23"/>
        <v>start /low /b %USERPROFILE%\Documents\GitHub\eaglep3\Utilities\DownloadLogsFromS3.py --loco 4043 --day 2017-12-24</v>
      </c>
      <c r="AN124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25"/>
        <v>https://d0f6bd738d7f1b3e5a7ca70fe4ff75f0.us-east-1.aws.found.io/app/kibana#/discover/Steve-Slow-Train-Analysis-(2080s-and-2083s)?_g=(refreshInterval:(display:Off,pause:!f,section:0,value:0),time:(from:'2017-12-24T17:03:01-0700',mode:absolute,to:'2017-12-24T19:49:10-0700'))&amp;_a=(columns:!('Message%20ID',Summary),filters:!(),index:'emp_*',interval:auto,query:(query_string:(analyze_wildcard:!t,query:'%22rtdc.l.rtdc.4043%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852</v>
      </c>
      <c r="B125" s="225">
        <v>4014</v>
      </c>
      <c r="C125" s="227" t="s">
        <v>192</v>
      </c>
      <c r="D125" s="227" t="s">
        <v>583</v>
      </c>
      <c r="E125" s="226">
        <v>43093.726863425924</v>
      </c>
      <c r="F125" s="226">
        <v>43093.729328703703</v>
      </c>
      <c r="G125" s="225">
        <v>60</v>
      </c>
      <c r="H125" s="227" t="s">
        <v>626</v>
      </c>
      <c r="I125" s="226">
        <v>43093.754756944443</v>
      </c>
      <c r="J125" s="225">
        <v>0</v>
      </c>
      <c r="K125" s="237" t="str">
        <f>IF(ISEVEN(B125),(B125-1)&amp;"/"&amp;B125,B125&amp;"/"&amp;(B125+1))</f>
        <v>4013/4014</v>
      </c>
      <c r="L125" s="245" t="str">
        <f>VLOOKUP(A125,'Trips&amp;Operators'!$C$1:$G$99911,5,FALSE)</f>
        <v>MAGEE KENYA</v>
      </c>
      <c r="M125" s="224">
        <f>I125-F125</f>
        <v>2.5428240740438923E-2</v>
      </c>
      <c r="N125" s="225">
        <f>24*60*SUM($M125:$M125)</f>
        <v>36.616666666232049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-24T16:26:41-0700',mode:absolute,to:'2017-12-24T19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5.4199999999999998E-2</v>
      </c>
      <c r="Z125" s="247">
        <f>RIGHT(H125,LEN(H125)-4)/10000</f>
        <v>23.331199999999999</v>
      </c>
      <c r="AA125" s="247">
        <f>ABS(Z125-Y125)</f>
        <v>23.276999999999997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/stypes="app*4014*20171225*"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21"/>
        <v>"%USERPROFILE%\Documents\GitHub\eaglep3\Utilities\RefineRTDCRunTimes.py" --tripid 211-24 --locoid 4014 --swversion DE.1.0.9.0 --startMP 204:542 --initTime 2017-12-24T17:26:41 --startdatetime 2017-12-24T17:30:14 --delay 60 --endMP 204:233312 --enddatetime 2017-12-24T18:06:51 --enforcementcount 0 &gt;&gt;%USERPROFILE%\Documents\GitHub\eaglep3-reporting\EC\2017-12-24-refined-times.txt</v>
      </c>
      <c r="AI125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{"issue":{"subject":"","project_id":79,"tracker_id":40,"status_id":1,"priority_id":2,"assigned_to_id":338,"start_date":"2017-12-24","description":"","custom_fields":[{"id":1,"name":"Subdivision","value":"EC"},{"id":4,"name":"Milepost","value":"23.3312"},{"id":17,"name":"Train ID","value":"211-24"},{"id":16,"name":"Locomotive ID","value":"4014"},{"id":130,"name":"Impact","value":""},{"id":150,"name":"Time of Event (Mountain Time)","value":"18:06:51"},{"id":151,"name":"Denver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23"/>
        <v>start /low /b %USERPROFILE%\Documents\GitHub\eaglep3\Utilities\DownloadLogsFromS3.py --loco 4014 --day 2017-12-24</v>
      </c>
      <c r="AN125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25"/>
        <v>https://d0f6bd738d7f1b3e5a7ca70fe4ff75f0.us-east-1.aws.found.io/app/kibana#/discover/Steve-Slow-Train-Analysis-(2080s-and-2083s)?_g=(refreshInterval:(display:Off,pause:!f,section:0,value:0),time:(from:'2017-12-24T16:26:41-0700',mode:absolute,to:'2017-12-24T19:06:51-0700'))&amp;_a=(columns:!('Message%20ID',Summary),filters:!(),index:'emp_*',interval:auto,query:(query_string:(analyze_wildcard:!t,query:'%22rtdc.l.rtdc.4014%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862</v>
      </c>
      <c r="B126" s="225">
        <v>4013</v>
      </c>
      <c r="C126" s="227" t="s">
        <v>192</v>
      </c>
      <c r="D126" s="227" t="s">
        <v>583</v>
      </c>
      <c r="E126" s="226">
        <v>43093.726863425924</v>
      </c>
      <c r="F126" s="226">
        <v>43093.769421296296</v>
      </c>
      <c r="G126" s="225">
        <v>60</v>
      </c>
      <c r="H126" s="227" t="s">
        <v>626</v>
      </c>
      <c r="I126" s="226">
        <v>43093.796701388892</v>
      </c>
      <c r="J126" s="225">
        <v>0</v>
      </c>
      <c r="K126" s="237" t="str">
        <f>IF(ISEVEN(B126),(B126-1)&amp;"/"&amp;B126,B126&amp;"/"&amp;(B126+1))</f>
        <v>4013/4014</v>
      </c>
      <c r="L126" s="245" t="str">
        <f>VLOOKUP(A126,'Trips&amp;Operators'!$C$1:$G$99911,5,FALSE)</f>
        <v>MAGEE KENYA</v>
      </c>
      <c r="M126" s="224">
        <f>I126-F126</f>
        <v>2.7280092595901806E-2</v>
      </c>
      <c r="N126" s="225">
        <f>24*60*SUM($M126:$M126)</f>
        <v>39.283333338098601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-24T16:26:41-0700',mode:absolute,to:'2017-12-24T20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v>23.273199999999999</v>
      </c>
      <c r="Z126" s="247">
        <v>2.3199999999999998E-2</v>
      </c>
      <c r="AA126" s="247">
        <f>ABS(Z126-Y126)</f>
        <v>23.25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/stypes="app*4013*20171225*"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ref="AH126" si="33"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212-24 --locoid 4013 --swversion DE.1.0.9.0 --startMP 204:542 --initTime 2017-12-24T17:26:41 --startdatetime 2017-12-24T18:27:58 --delay 60 --endMP 204:233312 --enddatetime 2017-12-24T19:07:15 --enforcementcount 0 &gt;&gt;%USERPROFILE%\Documents\GitHub\eaglep3-reporting\EC\2017-12-24-refined-times.txt</v>
      </c>
      <c r="AI126" s="238" t="str">
        <f t="shared" ref="AI126" si="34"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{"issue":{"subject":"","project_id":79,"tracker_id":40,"status_id":1,"priority_id":2,"assigned_to_id":338,"start_date":"2017-12-24","description":"","custom_fields":[{"id":1,"name":"Subdivision","value":"EC"},{"id":4,"name":"Milepost","value":"0.0232"},{"id":17,"name":"Train ID","value":"212-24"},{"id":16,"name":"Locomotive ID","value":"4013"},{"id":130,"name":"Impact","value":""},{"id":150,"name":"Time of Event (Mountain Time)","value":"19:07:15"},{"id":151,"name":"Denver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ref="AM126" si="35">"start /low /b "&amp;dls3logs&amp;" --loco "&amp;B126&amp;" --day "&amp;TEXT(F126,"YYYY-MM-DD")</f>
        <v>start /low /b %USERPROFILE%\Documents\GitHub\eaglep3\Utilities\DownloadLogsFromS3.py --loco 4013 --day 2017-12-24</v>
      </c>
      <c r="AN126" s="241" t="str">
        <f t="shared" ref="AN126" si="36"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ref="AO126" si="37"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-24T16:26:41-0700',mode:absolute,to:'2017-12-24T20:07:15-0700'))&amp;_a=(columns:!('Message%20ID',Summary),filters:!(),index:'emp_*',interval:auto,query:(query_string:(analyze_wildcard:!t,query:'%22rtdc.l.rtdc.4013%22')),sort:!(Time.ISO8601,asc))</v>
      </c>
    </row>
    <row r="127" spans="1:91" s="223" customFormat="1" x14ac:dyDescent="0.3">
      <c r="A127" s="229" t="s">
        <v>855</v>
      </c>
      <c r="B127" s="225">
        <v>4006</v>
      </c>
      <c r="C127" s="227" t="s">
        <v>192</v>
      </c>
      <c r="D127" s="227" t="s">
        <v>522</v>
      </c>
      <c r="E127" s="226">
        <v>43093.737060185187</v>
      </c>
      <c r="F127" s="226">
        <v>43093.739803240744</v>
      </c>
      <c r="G127" s="225">
        <v>94</v>
      </c>
      <c r="H127" s="227" t="s">
        <v>626</v>
      </c>
      <c r="I127" s="226">
        <v>43093.765775462962</v>
      </c>
      <c r="J127" s="225">
        <v>0</v>
      </c>
      <c r="K127" s="237" t="str">
        <f>IF(ISEVEN(B127),(B127-1)&amp;"/"&amp;B127,B127&amp;"/"&amp;(B127+1))</f>
        <v>4005/4006</v>
      </c>
      <c r="L127" s="245" t="str">
        <f>VLOOKUP(A127,'Trips&amp;Operators'!$C$1:$G$99911,5,FALSE)</f>
        <v>ANDREA WILLIAMS</v>
      </c>
      <c r="M127" s="224">
        <f>I127-F127</f>
        <v>2.5972222218115348E-2</v>
      </c>
      <c r="N127" s="225">
        <f>24*60*SUM($M127:$M127)</f>
        <v>37.399999994086102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-24T16:41:22-0700',mode:absolute,to:'2017-12-24T19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5.2600000000000001E-2</v>
      </c>
      <c r="Z127" s="247">
        <f>RIGHT(H127,LEN(H127)-4)/10000</f>
        <v>23.331199999999999</v>
      </c>
      <c r="AA127" s="247">
        <f>ABS(Z127-Y127)</f>
        <v>23.278599999999997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/stypes="app*4006*20171225*"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21"/>
        <v>"%USERPROFILE%\Documents\GitHub\eaglep3\Utilities\RefineRTDCRunTimes.py" --tripid 213-24 --locoid 4006 --swversion DE.1.0.9.0 --startMP 204:526 --initTime 2017-12-24T17:41:22 --startdatetime 2017-12-24T17:45:19 --delay 94 --endMP 204:233312 --enddatetime 2017-12-24T18:22:43 --enforcementcount 0 &gt;&gt;%USERPROFILE%\Documents\GitHub\eaglep3-reporting\EC\2017-12-24-refined-times.txt</v>
      </c>
      <c r="AI127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{"issue":{"subject":"","project_id":79,"tracker_id":40,"status_id":1,"priority_id":2,"assigned_to_id":338,"start_date":"2017-12-24","description":"","custom_fields":[{"id":1,"name":"Subdivision","value":"EC"},{"id":4,"name":"Milepost","value":"23.3312"},{"id":17,"name":"Train ID","value":"213-24"},{"id":16,"name":"Locomotive ID","value":"4006"},{"id":130,"name":"Impact","value":""},{"id":150,"name":"Time of Event (Mountain Time)","value":"18:22:43"},{"id":151,"name":"Denver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23"/>
        <v>start /low /b %USERPROFILE%\Documents\GitHub\eaglep3\Utilities\DownloadLogsFromS3.py --loco 4006 --day 2017-12-24</v>
      </c>
      <c r="AN127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25"/>
        <v>https://d0f6bd738d7f1b3e5a7ca70fe4ff75f0.us-east-1.aws.found.io/app/kibana#/discover/Steve-Slow-Train-Analysis-(2080s-and-2083s)?_g=(refreshInterval:(display:Off,pause:!f,section:0,value:0),time:(from:'2017-12-24T16:41:22-0700',mode:absolute,to:'2017-12-24T19:22:43-0700'))&amp;_a=(columns:!('Message%20ID',Summary),filters:!(),index:'emp_*',interval:auto,query:(query_string:(analyze_wildcard:!t,query:'%22rtdc.l.rtdc.4006%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865</v>
      </c>
      <c r="B128" s="225">
        <v>4005</v>
      </c>
      <c r="C128" s="227" t="s">
        <v>192</v>
      </c>
      <c r="D128" s="227" t="s">
        <v>640</v>
      </c>
      <c r="E128" s="226">
        <v>43093.771793981483</v>
      </c>
      <c r="F128" s="226">
        <v>43093.779351851852</v>
      </c>
      <c r="G128" s="225">
        <v>98</v>
      </c>
      <c r="H128" s="227" t="s">
        <v>511</v>
      </c>
      <c r="I128" s="226">
        <v>43093.806284722225</v>
      </c>
      <c r="J128" s="225">
        <v>0</v>
      </c>
      <c r="K128" s="237" t="str">
        <f>IF(ISEVEN(B128),(B128-1)&amp;"/"&amp;B128,B128&amp;"/"&amp;(B128+1))</f>
        <v>4005/4006</v>
      </c>
      <c r="L128" s="245" t="str">
        <f>VLOOKUP(A128,'Trips&amp;Operators'!$C$1:$G$99911,5,FALSE)</f>
        <v>ANDREA WILLIAMS</v>
      </c>
      <c r="M128" s="224">
        <f>I128-F128</f>
        <v>2.6932870372547768E-2</v>
      </c>
      <c r="N128" s="225">
        <f>24*60*SUM($M128:$M128)</f>
        <v>38.783333336468786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-24T17:31:23-0700',mode:absolute,to:'2017-12-24T20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23.298200000000001</v>
      </c>
      <c r="Z128" s="247">
        <f>RIGHT(H128,LEN(H128)-4)/10000</f>
        <v>2.18E-2</v>
      </c>
      <c r="AA128" s="247">
        <f>ABS(Z128-Y128)</f>
        <v>23.276400000000002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/stypes="app*4005*20171225*"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21"/>
        <v>"%USERPROFILE%\Documents\GitHub\eaglep3\Utilities\RefineRTDCRunTimes.py" --tripid 214-24 --locoid 4005 --swversion DE.1.0.9.0 --startMP 204:232982 --initTime 2017-12-24T18:31:23 --startdatetime 2017-12-24T18:42:16 --delay 98 --endMP 204:218 --enddatetime 2017-12-24T19:21:03 --enforcementcount 0 &gt;&gt;%USERPROFILE%\Documents\GitHub\eaglep3-reporting\EC\2017-12-24-refined-times.txt</v>
      </c>
      <c r="AI128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{"issue":{"subject":"","project_id":79,"tracker_id":40,"status_id":1,"priority_id":2,"assigned_to_id":338,"start_date":"2017-12-24","description":"","custom_fields":[{"id":1,"name":"Subdivision","value":"EC"},{"id":4,"name":"Milepost","value":"0.0218"},{"id":17,"name":"Train ID","value":"214-24"},{"id":16,"name":"Locomotive ID","value":"4005"},{"id":130,"name":"Impact","value":""},{"id":150,"name":"Time of Event (Mountain Time)","value":"19:21:03"},{"id":151,"name":"Denver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si="23"/>
        <v>start /low /b %USERPROFILE%\Documents\GitHub\eaglep3\Utilities\DownloadLogsFromS3.py --loco 4005 --day 2017-12-24</v>
      </c>
      <c r="AN128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25"/>
        <v>https://d0f6bd738d7f1b3e5a7ca70fe4ff75f0.us-east-1.aws.found.io/app/kibana#/discover/Steve-Slow-Train-Analysis-(2080s-and-2083s)?_g=(refreshInterval:(display:Off,pause:!f,section:0,value:0),time:(from:'2017-12-24T17:31:23-0700',mode:absolute,to:'2017-12-24T20:21:03-0700'))&amp;_a=(columns:!('Message%20ID',Summary),filters:!(),index:'emp_*',interval:auto,query:(query_string:(analyze_wildcard:!t,query:'%22rtdc.l.rtdc.4005%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29" t="s">
        <v>857</v>
      </c>
      <c r="B129" s="225">
        <v>4050</v>
      </c>
      <c r="C129" s="227" t="s">
        <v>192</v>
      </c>
      <c r="D129" s="227" t="s">
        <v>1026</v>
      </c>
      <c r="E129" s="226">
        <v>43093.743877314817</v>
      </c>
      <c r="F129" s="226">
        <v>43093.750196759262</v>
      </c>
      <c r="G129" s="225">
        <v>66</v>
      </c>
      <c r="H129" s="227" t="s">
        <v>1013</v>
      </c>
      <c r="I129" s="226">
        <v>43093.775381944448</v>
      </c>
      <c r="J129" s="225">
        <v>0</v>
      </c>
      <c r="K129" s="237" t="str">
        <f>IF(ISEVEN(B129),(B129-1)&amp;"/"&amp;B129,B129&amp;"/"&amp;(B129+1))</f>
        <v>4049/4050</v>
      </c>
      <c r="L129" s="245" t="str">
        <f>VLOOKUP(A129,'Trips&amp;Operators'!$C$1:$G$99911,5,FALSE)</f>
        <v>SMITH MICHAEL</v>
      </c>
      <c r="M129" s="224">
        <f>I129-F129</f>
        <v>2.5185185186273884E-2</v>
      </c>
      <c r="N129" s="225">
        <f>24*60*SUM($M129:$M129)</f>
        <v>36.266666668234393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-24T16:51:11-0700',mode:absolute,to:'2017-12-24T19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5.3499999999999999E-2</v>
      </c>
      <c r="Z129" s="247">
        <f>RIGHT(H129,LEN(H129)-4)/10000</f>
        <v>23.321899999999999</v>
      </c>
      <c r="AA129" s="247">
        <f>ABS(Z129-Y129)</f>
        <v>23.2684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/stypes="app*4050*20171225*"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21"/>
        <v>"%USERPROFILE%\Documents\GitHub\eaglep3\Utilities\RefineRTDCRunTimes.py" --tripid 215-24 --locoid 4050 --swversion DE.1.0.9.0 --startMP 204:535 --initTime 2017-12-24T17:51:11 --startdatetime 2017-12-24T18:00:17 --delay 66 --endMP 204:233219 --enddatetime 2017-12-24T18:36:33 --enforcementcount 0 &gt;&gt;%USERPROFILE%\Documents\GitHub\eaglep3-reporting\EC\2017-12-24-refined-times.txt</v>
      </c>
      <c r="AI129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{"issue":{"subject":"","project_id":79,"tracker_id":40,"status_id":1,"priority_id":2,"assigned_to_id":338,"start_date":"2017-12-24","description":"","custom_fields":[{"id":1,"name":"Subdivision","value":"EC"},{"id":4,"name":"Milepost","value":"23.3219"},{"id":17,"name":"Train ID","value":"215-24"},{"id":16,"name":"Locomotive ID","value":"4050"},{"id":130,"name":"Impact","value":""},{"id":150,"name":"Time of Event (Mountain Time)","value":"18:36:33"},{"id":151,"name":"Denver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23"/>
        <v>start /low /b %USERPROFILE%\Documents\GitHub\eaglep3\Utilities\DownloadLogsFromS3.py --loco 4050 --day 2017-12-24</v>
      </c>
      <c r="AN129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25"/>
        <v>https://d0f6bd738d7f1b3e5a7ca70fe4ff75f0.us-east-1.aws.found.io/app/kibana#/discover/Steve-Slow-Train-Analysis-(2080s-and-2083s)?_g=(refreshInterval:(display:Off,pause:!f,section:0,value:0),time:(from:'2017-12-24T16:51:11-0700',mode:absolute,to:'2017-12-24T19:36:33-0700'))&amp;_a=(columns:!('Message%20ID',Summary),filters:!(),index:'emp_*',interval:auto,query:(query_string:(analyze_wildcard:!t,query:'%22rtdc.l.rtdc.4050%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867</v>
      </c>
      <c r="B130" s="225">
        <v>4049</v>
      </c>
      <c r="C130" s="227" t="s">
        <v>192</v>
      </c>
      <c r="D130" s="227" t="s">
        <v>1028</v>
      </c>
      <c r="E130" s="226">
        <v>43093.782534722224</v>
      </c>
      <c r="F130" s="226">
        <v>43093.789826388886</v>
      </c>
      <c r="G130" s="225">
        <v>57</v>
      </c>
      <c r="H130" s="227" t="s">
        <v>490</v>
      </c>
      <c r="I130" s="226">
        <v>43093.815196759257</v>
      </c>
      <c r="J130" s="225">
        <v>0</v>
      </c>
      <c r="K130" s="237" t="str">
        <f>IF(ISEVEN(B130),(B130-1)&amp;"/"&amp;B130,B130&amp;"/"&amp;(B130+1))</f>
        <v>4049/4050</v>
      </c>
      <c r="L130" s="245" t="str">
        <f>VLOOKUP(A130,'Trips&amp;Operators'!$C$1:$G$99911,5,FALSE)</f>
        <v>SMITH MICHAEL</v>
      </c>
      <c r="M130" s="224">
        <f>I130-F130</f>
        <v>2.5370370371092577E-2</v>
      </c>
      <c r="N130" s="225">
        <f>24*60*SUM($M130:$M130)</f>
        <v>36.53333333437331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-24T17:46:51-0700',mode:absolute,to:'2017-12-24T20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23.290199999999999</v>
      </c>
      <c r="Z130" s="247">
        <f>RIGHT(H130,LEN(H130)-4)/10000</f>
        <v>2.6499999999999999E-2</v>
      </c>
      <c r="AA130" s="247">
        <f>ABS(Z130-Y130)</f>
        <v>23.2637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/stypes="app*4049*20171225*"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21"/>
        <v>"%USERPROFILE%\Documents\GitHub\eaglep3\Utilities\RefineRTDCRunTimes.py" --tripid 216-24 --locoid 4049 --swversion DE.1.0.9.0 --startMP 204:232902 --initTime 2017-12-24T18:46:51 --startdatetime 2017-12-24T18:57:21 --delay 57 --endMP 204:265 --enddatetime 2017-12-24T19:33:53 --enforcementcount 0 &gt;&gt;%USERPROFILE%\Documents\GitHub\eaglep3-reporting\EC\2017-12-24-refined-times.txt</v>
      </c>
      <c r="AI130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{"issue":{"subject":"","project_id":79,"tracker_id":40,"status_id":1,"priority_id":2,"assigned_to_id":338,"start_date":"2017-12-24","description":"","custom_fields":[{"id":1,"name":"Subdivision","value":"EC"},{"id":4,"name":"Milepost","value":"0.0265"},{"id":17,"name":"Train ID","value":"216-24"},{"id":16,"name":"Locomotive ID","value":"4049"},{"id":130,"name":"Impact","value":""},{"id":150,"name":"Time of Event (Mountain Time)","value":"19:33:53"},{"id":151,"name":"Denver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23"/>
        <v>start /low /b %USERPROFILE%\Documents\GitHub\eaglep3\Utilities\DownloadLogsFromS3.py --loco 4049 --day 2017-12-24</v>
      </c>
      <c r="AN130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25"/>
        <v>https://d0f6bd738d7f1b3e5a7ca70fe4ff75f0.us-east-1.aws.found.io/app/kibana#/discover/Steve-Slow-Train-Analysis-(2080s-and-2083s)?_g=(refreshInterval:(display:Off,pause:!f,section:0,value:0),time:(from:'2017-12-24T17:46:51-0700',mode:absolute,to:'2017-12-24T20:33:53-0700'))&amp;_a=(columns:!('Message%20ID',Summary),filters:!(),index:'emp_*',interval:auto,query:(query_string:(analyze_wildcard:!t,query:'%22rtdc.l.rtdc.4049%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861</v>
      </c>
      <c r="B131" s="225">
        <v>4022</v>
      </c>
      <c r="C131" s="227" t="s">
        <v>192</v>
      </c>
      <c r="D131" s="227" t="s">
        <v>507</v>
      </c>
      <c r="E131" s="226">
        <v>43093.753171296295</v>
      </c>
      <c r="F131" s="226">
        <v>43093.760567129626</v>
      </c>
      <c r="G131" s="225">
        <v>190</v>
      </c>
      <c r="H131" s="227" t="s">
        <v>626</v>
      </c>
      <c r="I131" s="226">
        <v>43093.785231481481</v>
      </c>
      <c r="J131" s="225">
        <v>0</v>
      </c>
      <c r="K131" s="237" t="str">
        <f>IF(ISEVEN(B131),(B131-1)&amp;"/"&amp;B131,B131&amp;"/"&amp;(B131+1))</f>
        <v>4021/4022</v>
      </c>
      <c r="L131" s="245" t="str">
        <f>VLOOKUP(A131,'Trips&amp;Operators'!$C$1:$G$99911,5,FALSE)</f>
        <v>ELBAUM MIKE</v>
      </c>
      <c r="M131" s="224">
        <f>I131-F131</f>
        <v>2.4664351854880806E-2</v>
      </c>
      <c r="N131" s="225">
        <f>24*60*SUM($M131:$M131)</f>
        <v>35.516666671028361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-24T17:04:34-0700',mode:absolute,to:'2017-12-24T19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5.0599999999999999E-2</v>
      </c>
      <c r="Z131" s="247">
        <f>RIGHT(H131,LEN(H131)-4)/10000</f>
        <v>23.331199999999999</v>
      </c>
      <c r="AA131" s="247">
        <f>ABS(Z131-Y131)</f>
        <v>23.2806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/stypes="app*4022*20171225*"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21"/>
        <v>"%USERPROFILE%\Documents\GitHub\eaglep3\Utilities\RefineRTDCRunTimes.py" --tripid 217-24 --locoid 4022 --swversion DE.1.0.9.0 --startMP 204:506 --initTime 2017-12-24T18:04:34 --startdatetime 2017-12-24T18:15:13 --delay 190 --endMP 204:233312 --enddatetime 2017-12-24T18:50:44 --enforcementcount 0 &gt;&gt;%USERPROFILE%\Documents\GitHub\eaglep3-reporting\EC\2017-12-24-refined-times.txt</v>
      </c>
      <c r="AI13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{"issue":{"subject":"","project_id":79,"tracker_id":40,"status_id":1,"priority_id":2,"assigned_to_id":338,"start_date":"2017-12-24","description":"","custom_fields":[{"id":1,"name":"Subdivision","value":"EC"},{"id":4,"name":"Milepost","value":"23.3312"},{"id":17,"name":"Train ID","value":"217-24"},{"id":16,"name":"Locomotive ID","value":"4022"},{"id":130,"name":"Impact","value":""},{"id":150,"name":"Time of Event (Mountain Time)","value":"18:50:44"},{"id":151,"name":"Denver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23"/>
        <v>start /low /b %USERPROFILE%\Documents\GitHub\eaglep3\Utilities\DownloadLogsFromS3.py --loco 4022 --day 2017-12-24</v>
      </c>
      <c r="AN131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25"/>
        <v>https://d0f6bd738d7f1b3e5a7ca70fe4ff75f0.us-east-1.aws.found.io/app/kibana#/discover/Steve-Slow-Train-Analysis-(2080s-and-2083s)?_g=(refreshInterval:(display:Off,pause:!f,section:0,value:0),time:(from:'2017-12-24T17:04:34-0700',mode:absolute,to:'2017-12-24T19:50:44-0700'))&amp;_a=(columns:!('Message%20ID',Summary),filters:!(),index:'emp_*',interval:auto,query:(query_string:(analyze_wildcard:!t,query:'%22rtdc.l.rtdc.4022%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29" t="s">
        <v>868</v>
      </c>
      <c r="B132" s="225">
        <v>4021</v>
      </c>
      <c r="C132" s="227" t="s">
        <v>192</v>
      </c>
      <c r="D132" s="227" t="s">
        <v>1029</v>
      </c>
      <c r="E132" s="226">
        <v>43093.786840277775</v>
      </c>
      <c r="F132" s="226">
        <v>43093.800162037034</v>
      </c>
      <c r="G132" s="225">
        <v>75</v>
      </c>
      <c r="H132" s="227" t="s">
        <v>1030</v>
      </c>
      <c r="I132" s="226">
        <v>43093.825173611112</v>
      </c>
      <c r="J132" s="225">
        <v>0</v>
      </c>
      <c r="K132" s="237" t="str">
        <f>IF(ISEVEN(B132),(B132-1)&amp;"/"&amp;B132,B132&amp;"/"&amp;(B132+1))</f>
        <v>4021/4022</v>
      </c>
      <c r="L132" s="245" t="str">
        <f>VLOOKUP(A132,'Trips&amp;Operators'!$C$1:$G$99911,5,FALSE)</f>
        <v>ELBAUM MIKE</v>
      </c>
      <c r="M132" s="224">
        <f>I132-F132</f>
        <v>2.5011574078234844E-2</v>
      </c>
      <c r="N132" s="225">
        <f>24*60*SUM($M132:$M132)</f>
        <v>36.016666672658175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-24T17:53:03-0700',mode:absolute,to:'2017-12-24T20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23.298400000000001</v>
      </c>
      <c r="Z132" s="247">
        <f>RIGHT(H132,LEN(H132)-4)/10000</f>
        <v>2.5600000000000001E-2</v>
      </c>
      <c r="AA132" s="247">
        <f>ABS(Z132-Y132)</f>
        <v>23.2728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/stypes="app*4021*20171225*"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21"/>
        <v>"%USERPROFILE%\Documents\GitHub\eaglep3\Utilities\RefineRTDCRunTimes.py" --tripid 218-24 --locoid 4021 --swversion DE.1.0.9.0 --startMP 204:232984 --initTime 2017-12-24T18:53:03 --startdatetime 2017-12-24T19:12:14 --delay 75 --endMP 204:256 --enddatetime 2017-12-24T19:48:15 --enforcementcount 0 &gt;&gt;%USERPROFILE%\Documents\GitHub\eaglep3-reporting\EC\2017-12-24-refined-times.txt</v>
      </c>
      <c r="AI13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{"issue":{"subject":"","project_id":79,"tracker_id":40,"status_id":1,"priority_id":2,"assigned_to_id":338,"start_date":"2017-12-24","description":"","custom_fields":[{"id":1,"name":"Subdivision","value":"EC"},{"id":4,"name":"Milepost","value":"0.0256"},{"id":17,"name":"Train ID","value":"218-24"},{"id":16,"name":"Locomotive ID","value":"4021"},{"id":130,"name":"Impact","value":""},{"id":150,"name":"Time of Event (Mountain Time)","value":"19:48:15"},{"id":151,"name":"Denver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23"/>
        <v>start /low /b %USERPROFILE%\Documents\GitHub\eaglep3\Utilities\DownloadLogsFromS3.py --loco 4021 --day 2017-12-24</v>
      </c>
      <c r="AN132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25"/>
        <v>https://d0f6bd738d7f1b3e5a7ca70fe4ff75f0.us-east-1.aws.found.io/app/kibana#/discover/Steve-Slow-Train-Analysis-(2080s-and-2083s)?_g=(refreshInterval:(display:Off,pause:!f,section:0,value:0),time:(from:'2017-12-24T17:53:03-0700',mode:absolute,to:'2017-12-24T20:48:15-0700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863</v>
      </c>
      <c r="B133" s="225">
        <v>4062</v>
      </c>
      <c r="C133" s="227" t="s">
        <v>192</v>
      </c>
      <c r="D133" s="227" t="s">
        <v>644</v>
      </c>
      <c r="E133" s="226">
        <v>43093.765856481485</v>
      </c>
      <c r="F133" s="226">
        <v>43093.77107638889</v>
      </c>
      <c r="G133" s="225">
        <v>84</v>
      </c>
      <c r="H133" s="227" t="s">
        <v>631</v>
      </c>
      <c r="I133" s="226">
        <v>43093.795706018522</v>
      </c>
      <c r="J133" s="225">
        <v>0</v>
      </c>
      <c r="K133" s="237" t="str">
        <f>IF(ISEVEN(B133),(B133-1)&amp;"/"&amp;B133,B133&amp;"/"&amp;(B133+1))</f>
        <v>4061/4062</v>
      </c>
      <c r="L133" s="245" t="str">
        <f>VLOOKUP(A133,'Trips&amp;Operators'!$C$1:$G$99911,5,FALSE)</f>
        <v>RESPASS AARON</v>
      </c>
      <c r="M133" s="224">
        <f>I133-F133</f>
        <v>2.4629629631817807E-2</v>
      </c>
      <c r="N133" s="225">
        <f>24*60*SUM($M133:$M133)</f>
        <v>35.466666669817641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-24T17:22:50-0700',mode:absolute,to:'2017-12-24T20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5.2400000000000002E-2</v>
      </c>
      <c r="Z133" s="247">
        <f>RIGHT(H133,LEN(H133)-4)/10000</f>
        <v>23.326799999999999</v>
      </c>
      <c r="AA133" s="247">
        <f>ABS(Z133-Y133)</f>
        <v>23.2744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/stypes="app*4062*20171225*"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21"/>
        <v>"%USERPROFILE%\Documents\GitHub\eaglep3\Utilities\RefineRTDCRunTimes.py" --tripid 219-24 --locoid 4062 --swversion DE.1.0.9.0 --startMP 204:524 --initTime 2017-12-24T18:22:50 --startdatetime 2017-12-24T18:30:21 --delay 84 --endMP 204:233268 --enddatetime 2017-12-24T19:05:49 --enforcementcount 0 &gt;&gt;%USERPROFILE%\Documents\GitHub\eaglep3-reporting\EC\2017-12-24-refined-times.txt</v>
      </c>
      <c r="AI133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{"issue":{"subject":"","project_id":79,"tracker_id":40,"status_id":1,"priority_id":2,"assigned_to_id":338,"start_date":"2017-12-24","description":"","custom_fields":[{"id":1,"name":"Subdivision","value":"EC"},{"id":4,"name":"Milepost","value":"23.3268"},{"id":17,"name":"Train ID","value":"219-24"},{"id":16,"name":"Locomotive ID","value":"4062"},{"id":130,"name":"Impact","value":""},{"id":150,"name":"Time of Event (Mountain Time)","value":"19:05:49"},{"id":151,"name":"Denver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23"/>
        <v>start /low /b %USERPROFILE%\Documents\GitHub\eaglep3\Utilities\DownloadLogsFromS3.py --loco 4062 --day 2017-12-24</v>
      </c>
      <c r="AN133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25"/>
        <v>https://d0f6bd738d7f1b3e5a7ca70fe4ff75f0.us-east-1.aws.found.io/app/kibana#/discover/Steve-Slow-Train-Analysis-(2080s-and-2083s)?_g=(refreshInterval:(display:Off,pause:!f,section:0,value:0),time:(from:'2017-12-24T17:22:50-0700',mode:absolute,to:'2017-12-24T20:05:49-0700'))&amp;_a=(columns:!('Message%20ID',Summary),filters:!(),index:'emp_*',interval:auto,query:(query_string:(analyze_wildcard:!t,query:'%22rtdc.l.rtdc.4062%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874</v>
      </c>
      <c r="B134" s="225">
        <v>4061</v>
      </c>
      <c r="C134" s="227" t="s">
        <v>192</v>
      </c>
      <c r="D134" s="227" t="s">
        <v>648</v>
      </c>
      <c r="E134" s="226">
        <v>43093.80810185185</v>
      </c>
      <c r="F134" s="226">
        <v>43093.810798611114</v>
      </c>
      <c r="G134" s="225">
        <v>178</v>
      </c>
      <c r="H134" s="227" t="s">
        <v>578</v>
      </c>
      <c r="I134" s="226">
        <v>43093.836365740739</v>
      </c>
      <c r="J134" s="225">
        <v>0</v>
      </c>
      <c r="K134" s="237" t="str">
        <f>IF(ISEVEN(B134),(B134-1)&amp;"/"&amp;B134,B134&amp;"/"&amp;(B134+1))</f>
        <v>4061/4062</v>
      </c>
      <c r="L134" s="245" t="str">
        <f>VLOOKUP(A134,'Trips&amp;Operators'!$C$1:$G$99911,5,FALSE)</f>
        <v>RESPASS AARON</v>
      </c>
      <c r="M134" s="224">
        <f>I134-F134</f>
        <v>2.5567129625414964E-2</v>
      </c>
      <c r="N134" s="225">
        <f>24*60*SUM($M134:$M134)</f>
        <v>36.816666660597548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-24T18:23:40-0700',mode:absolute,to:'2017-12-24T21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23.294899999999998</v>
      </c>
      <c r="Z134" s="247">
        <f>RIGHT(H134,LEN(H134)-4)/10000</f>
        <v>2.63E-2</v>
      </c>
      <c r="AA134" s="247">
        <f>ABS(Z134-Y134)</f>
        <v>23.268599999999999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/stypes="app*4061*20171225*"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21"/>
        <v>"%USERPROFILE%\Documents\GitHub\eaglep3\Utilities\RefineRTDCRunTimes.py" --tripid 220-24 --locoid 4061 --swversion DE.1.0.9.0 --startMP 204:232949 --initTime 2017-12-24T19:23:40 --startdatetime 2017-12-24T19:27:33 --delay 178 --endMP 204:263 --enddatetime 2017-12-24T20:04:22 --enforcementcount 0 &gt;&gt;%USERPROFILE%\Documents\GitHub\eaglep3-reporting\EC\2017-12-24-refined-times.txt</v>
      </c>
      <c r="AI13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{"issue":{"subject":"","project_id":79,"tracker_id":40,"status_id":1,"priority_id":2,"assigned_to_id":338,"start_date":"2017-12-24","description":"","custom_fields":[{"id":1,"name":"Subdivision","value":"EC"},{"id":4,"name":"Milepost","value":"0.0263"},{"id":17,"name":"Train ID","value":"220-24"},{"id":16,"name":"Locomotive ID","value":"4061"},{"id":130,"name":"Impact","value":""},{"id":150,"name":"Time of Event (Mountain Time)","value":"20:04:22"},{"id":151,"name":"Denver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23"/>
        <v>start /low /b %USERPROFILE%\Documents\GitHub\eaglep3\Utilities\DownloadLogsFromS3.py --loco 4061 --day 2017-12-24</v>
      </c>
      <c r="AN134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25"/>
        <v>https://d0f6bd738d7f1b3e5a7ca70fe4ff75f0.us-east-1.aws.found.io/app/kibana#/discover/Steve-Slow-Train-Analysis-(2080s-and-2083s)?_g=(refreshInterval:(display:Off,pause:!f,section:0,value:0),time:(from:'2017-12-24T18:23:40-0700',mode:absolute,to:'2017-12-24T21:04:22-0700'))&amp;_a=(columns:!('Message%20ID',Summary),filters:!(),index:'emp_*',interval:auto,query:(query_string:(analyze_wildcard:!t,query:'%22rtdc.l.rtdc.4061%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869</v>
      </c>
      <c r="B135" s="225">
        <v>4044</v>
      </c>
      <c r="C135" s="227" t="s">
        <v>192</v>
      </c>
      <c r="D135" s="227" t="s">
        <v>609</v>
      </c>
      <c r="E135" s="226">
        <v>43093.788483796299</v>
      </c>
      <c r="F135" s="226">
        <v>43093.792013888888</v>
      </c>
      <c r="G135" s="225">
        <v>70</v>
      </c>
      <c r="H135" s="227" t="s">
        <v>940</v>
      </c>
      <c r="I135" s="226">
        <v>43093.816851851851</v>
      </c>
      <c r="J135" s="225">
        <v>0</v>
      </c>
      <c r="K135" s="237" t="str">
        <f>IF(ISEVEN(B135),(B135-1)&amp;"/"&amp;B135,B135&amp;"/"&amp;(B135+1))</f>
        <v>4043/4044</v>
      </c>
      <c r="L135" s="245" t="str">
        <f>VLOOKUP(A135,'Trips&amp;Operators'!$C$1:$G$99911,5,FALSE)</f>
        <v>STAMBAUGH JAMES</v>
      </c>
      <c r="M135" s="224">
        <f>I135-F135</f>
        <v>2.4837962962919846E-2</v>
      </c>
      <c r="N135" s="225">
        <f>24*60*SUM($M135:$M135)</f>
        <v>35.766666666604578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-24T17:55:25-0700',mode:absolute,to:'2017-12-24T20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4.9500000000000002E-2</v>
      </c>
      <c r="Z135" s="247">
        <f>RIGHT(H135,LEN(H135)-4)/10000</f>
        <v>23.333100000000002</v>
      </c>
      <c r="AA135" s="247">
        <f>ABS(Z135-Y135)</f>
        <v>23.283600000000003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/stypes="app*4044*20171225*"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21"/>
        <v>"%USERPROFILE%\Documents\GitHub\eaglep3\Utilities\RefineRTDCRunTimes.py" --tripid 221-24 --locoid 4044 --swversion DE.1.0.9.0 --startMP 204:495 --initTime 2017-12-24T18:55:25 --startdatetime 2017-12-24T19:00:30 --delay 70 --endMP 204:233331 --enddatetime 2017-12-24T19:36:16 --enforcementcount 0 &gt;&gt;%USERPROFILE%\Documents\GitHub\eaglep3-reporting\EC\2017-12-24-refined-times.txt</v>
      </c>
      <c r="AI135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{"issue":{"subject":"","project_id":79,"tracker_id":40,"status_id":1,"priority_id":2,"assigned_to_id":338,"start_date":"2017-12-24","description":"","custom_fields":[{"id":1,"name":"Subdivision","value":"EC"},{"id":4,"name":"Milepost","value":"23.3331"},{"id":17,"name":"Train ID","value":"221-24"},{"id":16,"name":"Locomotive ID","value":"4044"},{"id":130,"name":"Impact","value":""},{"id":150,"name":"Time of Event (Mountain Time)","value":"19:36:16"},{"id":151,"name":"Denver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23"/>
        <v>start /low /b %USERPROFILE%\Documents\GitHub\eaglep3\Utilities\DownloadLogsFromS3.py --loco 4044 --day 2017-12-24</v>
      </c>
      <c r="AN135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25"/>
        <v>https://d0f6bd738d7f1b3e5a7ca70fe4ff75f0.us-east-1.aws.found.io/app/kibana#/discover/Steve-Slow-Train-Analysis-(2080s-and-2083s)?_g=(refreshInterval:(display:Off,pause:!f,section:0,value:0),time:(from:'2017-12-24T17:55:25-0700',mode:absolute,to:'2017-12-24T20:36:16-0700'))&amp;_a=(columns:!('Message%20ID',Summary),filters:!(),index:'emp_*',interval:auto,query:(query_string:(analyze_wildcard:!t,query:'%22rtdc.l.rtdc.4044%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29" t="s">
        <v>877</v>
      </c>
      <c r="B136" s="225">
        <v>4043</v>
      </c>
      <c r="C136" s="227" t="s">
        <v>192</v>
      </c>
      <c r="D136" s="227" t="s">
        <v>1031</v>
      </c>
      <c r="E136" s="226">
        <v>43093.82675925926</v>
      </c>
      <c r="F136" s="226">
        <v>43093.831550925926</v>
      </c>
      <c r="G136" s="225">
        <v>70</v>
      </c>
      <c r="H136" s="227" t="s">
        <v>960</v>
      </c>
      <c r="I136" s="226">
        <v>43093.857824074075</v>
      </c>
      <c r="J136" s="225">
        <v>0</v>
      </c>
      <c r="K136" s="237" t="str">
        <f>IF(ISEVEN(B136),(B136-1)&amp;"/"&amp;B136,B136&amp;"/"&amp;(B136+1))</f>
        <v>4043/4044</v>
      </c>
      <c r="L136" s="245" t="str">
        <f>VLOOKUP(A136,'Trips&amp;Operators'!$C$1:$G$99911,5,FALSE)</f>
        <v>STAMBAUGH JAMES</v>
      </c>
      <c r="M136" s="224">
        <f>I136-F136</f>
        <v>2.6273148148902692E-2</v>
      </c>
      <c r="N136" s="225">
        <f>24*60*SUM($M136:$M136)</f>
        <v>37.833333334419876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-24T18:50:32-0700',mode:absolute,to:'2017-12-24T21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23.305900000000001</v>
      </c>
      <c r="Z136" s="247">
        <f>RIGHT(H136,LEN(H136)-4)/10000</f>
        <v>2.3099999999999999E-2</v>
      </c>
      <c r="AA136" s="247">
        <f>ABS(Z136-Y136)</f>
        <v>23.282800000000002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/stypes="app*4043*20171225*"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21"/>
        <v>"%USERPROFILE%\Documents\GitHub\eaglep3\Utilities\RefineRTDCRunTimes.py" --tripid 222-24 --locoid 4043 --swversion DE.1.0.9.0 --startMP 204:233059 --initTime 2017-12-24T19:50:32 --startdatetime 2017-12-24T19:57:26 --delay 70 --endMP 204:231 --enddatetime 2017-12-24T20:35:16 --enforcementcount 0 &gt;&gt;%USERPROFILE%\Documents\GitHub\eaglep3-reporting\EC\2017-12-24-refined-times.txt</v>
      </c>
      <c r="AI136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{"issue":{"subject":"","project_id":79,"tracker_id":40,"status_id":1,"priority_id":2,"assigned_to_id":338,"start_date":"2017-12-24","description":"","custom_fields":[{"id":1,"name":"Subdivision","value":"EC"},{"id":4,"name":"Milepost","value":"0.0231"},{"id":17,"name":"Train ID","value":"222-24"},{"id":16,"name":"Locomotive ID","value":"4043"},{"id":130,"name":"Impact","value":""},{"id":150,"name":"Time of Event (Mountain Time)","value":"20:35:16"},{"id":151,"name":"Denver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23"/>
        <v>start /low /b %USERPROFILE%\Documents\GitHub\eaglep3\Utilities\DownloadLogsFromS3.py --loco 4043 --day 2017-12-24</v>
      </c>
      <c r="AN136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25"/>
        <v>https://d0f6bd738d7f1b3e5a7ca70fe4ff75f0.us-east-1.aws.found.io/app/kibana#/discover/Steve-Slow-Train-Analysis-(2080s-and-2083s)?_g=(refreshInterval:(display:Off,pause:!f,section:0,value:0),time:(from:'2017-12-24T18:50:32-0700',mode:absolute,to:'2017-12-24T21:35:16-0700'))&amp;_a=(columns:!('Message%20ID',Summary),filters:!(),index:'emp_*',interval:auto,query:(query_string:(analyze_wildcard:!t,query:'%22rtdc.l.rtdc.4043%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872</v>
      </c>
      <c r="B137" s="225">
        <v>4006</v>
      </c>
      <c r="C137" s="227" t="s">
        <v>192</v>
      </c>
      <c r="D137" s="227" t="s">
        <v>507</v>
      </c>
      <c r="E137" s="226">
        <v>43093.807650462964</v>
      </c>
      <c r="F137" s="226">
        <v>43093.812824074077</v>
      </c>
      <c r="G137" s="225">
        <v>84</v>
      </c>
      <c r="H137" s="227" t="s">
        <v>1032</v>
      </c>
      <c r="I137" s="226">
        <v>43093.838599537034</v>
      </c>
      <c r="J137" s="225">
        <v>0</v>
      </c>
      <c r="K137" s="237" t="str">
        <f>IF(ISEVEN(B137),(B137-1)&amp;"/"&amp;B137,B137&amp;"/"&amp;(B137+1))</f>
        <v>4005/4006</v>
      </c>
      <c r="L137" s="245" t="str">
        <f>VLOOKUP(A137,'Trips&amp;Operators'!$C$1:$G$99911,5,FALSE)</f>
        <v>KILLION DAVID</v>
      </c>
      <c r="M137" s="224">
        <f>I137-F137</f>
        <v>2.5775462956517003E-2</v>
      </c>
      <c r="N137" s="225">
        <f>24*60*SUM($M137:$M137)</f>
        <v>37.116666657384485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-24T18:23:01-0700',mode:absolute,to:'2017-12-24T21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5.0599999999999999E-2</v>
      </c>
      <c r="Z137" s="247">
        <f>RIGHT(H137,LEN(H137)-4)/10000</f>
        <v>23.3276</v>
      </c>
      <c r="AA137" s="247">
        <f>ABS(Z137-Y137)</f>
        <v>23.277000000000001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223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/stypes="app*4006*20171225*"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21"/>
        <v>"%USERPROFILE%\Documents\GitHub\eaglep3\Utilities\RefineRTDCRunTimes.py" --tripid 223-24 --locoid 4006 --swversion DE.1.0.9.0 --startMP 204:506 --initTime 2017-12-24T19:23:01 --startdatetime 2017-12-24T19:30:28 --delay 84 --endMP 204:233276 --enddatetime 2017-12-24T20:07:35 --enforcementcount 0 &gt;&gt;%USERPROFILE%\Documents\GitHub\eaglep3-reporting\EC\2017-12-24-refined-times.txt</v>
      </c>
      <c r="AI137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{"issue":{"subject":"","project_id":79,"tracker_id":40,"status_id":1,"priority_id":2,"assigned_to_id":338,"start_date":"2017-12-24","description":"","custom_fields":[{"id":1,"name":"Subdivision","value":"EC"},{"id":4,"name":"Milepost","value":"23.3276"},{"id":17,"name":"Train ID","value":"223-24"},{"id":16,"name":"Locomotive ID","value":"4006"},{"id":130,"name":"Impact","value":""},{"id":150,"name":"Time of Event (Mountain Time)","value":"20:07:35"},{"id":151,"name":"Denver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23"/>
        <v>start /low /b %USERPROFILE%\Documents\GitHub\eaglep3\Utilities\DownloadLogsFromS3.py --loco 4006 --day 2017-12-24</v>
      </c>
      <c r="AN137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03:07:35"},{"id":29,"name":"Sharepoint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25"/>
        <v>https://d0f6bd738d7f1b3e5a7ca70fe4ff75f0.us-east-1.aws.found.io/app/kibana#/discover/Steve-Slow-Train-Analysis-(2080s-and-2083s)?_g=(refreshInterval:(display:Off,pause:!f,section:0,value:0),time:(from:'2017-12-24T18:23:01-0700',mode:absolute,to:'2017-12-24T21:07:35-0700'))&amp;_a=(columns:!('Message%20ID',Summary),filters:!(),index:'emp_*',interval:auto,query:(query_string:(analyze_wildcard:!t,query:'%22rtdc.l.rtdc.4006%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878</v>
      </c>
      <c r="B138" s="225">
        <v>4005</v>
      </c>
      <c r="C138" s="227" t="s">
        <v>192</v>
      </c>
      <c r="D138" s="227" t="s">
        <v>624</v>
      </c>
      <c r="E138" s="226">
        <v>43093.844502314816</v>
      </c>
      <c r="F138" s="226">
        <v>43093.852268518516</v>
      </c>
      <c r="G138" s="225">
        <v>82</v>
      </c>
      <c r="H138" s="227" t="s">
        <v>569</v>
      </c>
      <c r="I138" s="226">
        <v>43093.879189814812</v>
      </c>
      <c r="J138" s="225">
        <v>0</v>
      </c>
      <c r="K138" s="237" t="str">
        <f>IF(ISEVEN(B138),(B138-1)&amp;"/"&amp;B138,B138&amp;"/"&amp;(B138+1))</f>
        <v>4005/4006</v>
      </c>
      <c r="L138" s="245" t="str">
        <f>VLOOKUP(A138,'Trips&amp;Operators'!$C$1:$G$99911,5,FALSE)</f>
        <v>KILLION DAVID</v>
      </c>
      <c r="M138" s="224">
        <f>I138-F138</f>
        <v>2.6921296295768116E-2</v>
      </c>
      <c r="N138" s="225">
        <f>24*60*SUM($M138:$M138)</f>
        <v>38.766666665906087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-24T19:16:05-0700',mode:absolute,to:'2017-12-24T22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23.297699999999999</v>
      </c>
      <c r="Z138" s="247">
        <f>RIGHT(H138,LEN(H138)-4)/10000</f>
        <v>1.38E-2</v>
      </c>
      <c r="AA138" s="247">
        <f>ABS(Z138-Y138)</f>
        <v>23.283899999999999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224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/stypes="app*4005*20171225*" /stext=" 04:.+((SYSTEM_STATE.+slice.+state.+changed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21"/>
        <v>"%USERPROFILE%\Documents\GitHub\eaglep3\Utilities\RefineRTDCRunTimes.py" --tripid 224-24 --locoid 4005 --swversion DE.1.0.9.0 --startMP 204:232977 --initTime 2017-12-24T20:16:05 --startdatetime 2017-12-24T20:27:16 --delay 82 --endMP 204:138 --enddatetime 2017-12-24T21:06:02 --enforcementcount 0 &gt;&gt;%USERPROFILE%\Documents\GitHub\eaglep3-reporting\EC\2017-12-24-refined-times.txt</v>
      </c>
      <c r="AI138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{"issue":{"subject":"","project_id":79,"tracker_id":40,"status_id":1,"priority_id":2,"assigned_to_id":338,"start_date":"2017-12-24","description":"","custom_fields":[{"id":1,"name":"Subdivision","value":"EC"},{"id":4,"name":"Milepost","value":"0.0138"},{"id":17,"name":"Train ID","value":"224-24"},{"id":16,"name":"Locomotive ID","value":"4005"},{"id":130,"name":"Impact","value":""},{"id":150,"name":"Time of Event (Mountain Time)","value":"21:06:02"},{"id":151,"name":"Denver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23"/>
        <v>start /low /b %USERPROFILE%\Documents\GitHub\eaglep3\Utilities\DownloadLogsFromS3.py --loco 4005 --day 2017-12-24</v>
      </c>
      <c r="AN138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25"/>
        <v>https://d0f6bd738d7f1b3e5a7ca70fe4ff75f0.us-east-1.aws.found.io/app/kibana#/discover/Steve-Slow-Train-Analysis-(2080s-and-2083s)?_g=(refreshInterval:(display:Off,pause:!f,section:0,value:0),time:(from:'2017-12-24T19:16:05-0700',mode:absolute,to:'2017-12-24T22:06:02-0700'))&amp;_a=(columns:!('Message%20ID',Summary),filters:!(),index:'emp_*',interval:auto,query:(query_string:(analyze_wildcard:!t,query:'%22rtdc.l.rtdc.4005%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876</v>
      </c>
      <c r="B139" s="225">
        <v>4022</v>
      </c>
      <c r="C139" s="227" t="s">
        <v>192</v>
      </c>
      <c r="D139" s="227" t="s">
        <v>635</v>
      </c>
      <c r="E139" s="226">
        <v>43093.826493055552</v>
      </c>
      <c r="F139" s="226">
        <v>43093.833483796298</v>
      </c>
      <c r="G139" s="225">
        <v>70</v>
      </c>
      <c r="H139" s="227" t="s">
        <v>535</v>
      </c>
      <c r="I139" s="226">
        <v>43093.857974537037</v>
      </c>
      <c r="J139" s="225">
        <v>0</v>
      </c>
      <c r="K139" s="237" t="str">
        <f>IF(ISEVEN(B139),(B139-1)&amp;"/"&amp;B139,B139&amp;"/"&amp;(B139+1))</f>
        <v>4021/4022</v>
      </c>
      <c r="L139" s="245" t="str">
        <f>VLOOKUP(A139,'Trips&amp;Operators'!$C$1:$G$99911,5,FALSE)</f>
        <v>ELBAUM MIKE</v>
      </c>
      <c r="M139" s="224">
        <f>I139-F139</f>
        <v>2.4490740739565808E-2</v>
      </c>
      <c r="N139" s="225">
        <f>24*60*SUM($M139:$M139)</f>
        <v>35.266666664974764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-24T18:50:09-0700',mode:absolute,to:'2017-12-24T21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5.7700000000000001E-2</v>
      </c>
      <c r="Z139" s="247">
        <f>RIGHT(H139,LEN(H139)-4)/10000</f>
        <v>23.329499999999999</v>
      </c>
      <c r="AA139" s="247">
        <f>ABS(Z139-Y139)</f>
        <v>23.271799999999999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225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/stypes="app*4022*20171225*" /stext=" 03:.+((SYSTEM_STATE.+slice.+state.+changed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21"/>
        <v>"%USERPROFILE%\Documents\GitHub\eaglep3\Utilities\RefineRTDCRunTimes.py" --tripid 225-24 --locoid 4022 --swversion DE.1.0.9.0 --startMP 204:577 --initTime 2017-12-24T19:50:09 --startdatetime 2017-12-24T20:00:13 --delay 70 --endMP 204:233295 --enddatetime 2017-12-24T20:35:29 --enforcementcount 0 &gt;&gt;%USERPROFILE%\Documents\GitHub\eaglep3-reporting\EC\2017-12-24-refined-times.txt</v>
      </c>
      <c r="AI139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{"issue":{"subject":"","project_id":79,"tracker_id":40,"status_id":1,"priority_id":2,"assigned_to_id":338,"start_date":"2017-12-24","description":"","custom_fields":[{"id":1,"name":"Subdivision","value":"EC"},{"id":4,"name":"Milepost","value":"23.3295"},{"id":17,"name":"Train ID","value":"225-24"},{"id":16,"name":"Locomotive ID","value":"4022"},{"id":130,"name":"Impact","value":""},{"id":150,"name":"Time of Event (Mountain Time)","value":"20:35:29"},{"id":151,"name":"Denver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23"/>
        <v>start /low /b %USERPROFILE%\Documents\GitHub\eaglep3\Utilities\DownloadLogsFromS3.py --loco 4022 --day 2017-12-24</v>
      </c>
      <c r="AN139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25"/>
        <v>https://d0f6bd738d7f1b3e5a7ca70fe4ff75f0.us-east-1.aws.found.io/app/kibana#/discover/Steve-Slow-Train-Analysis-(2080s-and-2083s)?_g=(refreshInterval:(display:Off,pause:!f,section:0,value:0),time:(from:'2017-12-24T18:50:09-0700',mode:absolute,to:'2017-12-24T21:35:29-0700'))&amp;_a=(columns:!('Message%20ID',Summary),filters:!(),index:'emp_*',interval:auto,query:(query_string:(analyze_wildcard:!t,query:'%22rtdc.l.rtdc.4022%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692</v>
      </c>
      <c r="B140" s="225">
        <v>4021</v>
      </c>
      <c r="C140" s="227" t="s">
        <v>192</v>
      </c>
      <c r="D140" s="227" t="s">
        <v>1033</v>
      </c>
      <c r="E140" s="226">
        <v>43093.859212962961</v>
      </c>
      <c r="F140" s="226">
        <v>43093.873055555552</v>
      </c>
      <c r="G140" s="225">
        <v>62</v>
      </c>
      <c r="H140" s="227" t="s">
        <v>1034</v>
      </c>
      <c r="I140" s="226">
        <v>43093.899074074077</v>
      </c>
      <c r="J140" s="225">
        <v>0</v>
      </c>
      <c r="K140" s="237" t="str">
        <f>IF(ISEVEN(B140),(B140-1)&amp;"/"&amp;B140,B140&amp;"/"&amp;(B140+1))</f>
        <v>4021/4022</v>
      </c>
      <c r="L140" s="245" t="str">
        <f>VLOOKUP(A140,'Trips&amp;Operators'!$C$1:$G$99911,5,FALSE)</f>
        <v>ELBAUM MIKE</v>
      </c>
      <c r="M140" s="224">
        <f>I140-F140</f>
        <v>2.6018518525233958E-2</v>
      </c>
      <c r="N140" s="225">
        <f>24*60*SUM($M140:$M140)</f>
        <v>37.466666676336899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-24T19:37:16-0700',mode:absolute,to:'2017-12-24T22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23.298500000000001</v>
      </c>
      <c r="Z140" s="247">
        <f>RIGHT(H140,LEN(H140)-4)/10000</f>
        <v>2.52E-2</v>
      </c>
      <c r="AA140" s="247">
        <f>ABS(Z140-Y140)</f>
        <v>23.273299999999999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226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/stypes="app*4021*20171225*" /stext=" 04:.+((SYSTEM_STATE.+slice.+state.+changed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21"/>
        <v>"%USERPROFILE%\Documents\GitHub\eaglep3\Utilities\RefineRTDCRunTimes.py" --tripid 226-24 --locoid 4021 --swversion DE.1.0.9.0 --startMP 204:232985 --initTime 2017-12-24T20:37:16 --startdatetime 2017-12-24T20:57:12 --delay 62 --endMP 204:252 --enddatetime 2017-12-24T21:34:40 --enforcementcount 0 &gt;&gt;%USERPROFILE%\Documents\GitHub\eaglep3-reporting\EC\2017-12-24-refined-times.txt</v>
      </c>
      <c r="AI140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{"issue":{"subject":"","project_id":79,"tracker_id":40,"status_id":1,"priority_id":2,"assigned_to_id":338,"start_date":"2017-12-24","description":"","custom_fields":[{"id":1,"name":"Subdivision","value":"EC"},{"id":4,"name":"Milepost","value":"0.0252"},{"id":17,"name":"Train ID","value":"226-24"},{"id":16,"name":"Locomotive ID","value":"4021"},{"id":130,"name":"Impact","value":""},{"id":150,"name":"Time of Event (Mountain Time)","value":"21:34:40"},{"id":151,"name":"Denver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23"/>
        <v>start /low /b %USERPROFILE%\Documents\GitHub\eaglep3\Utilities\DownloadLogsFromS3.py --loco 4021 --day 2017-12-24</v>
      </c>
      <c r="AN140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04:34:40"},{"id":29,"name":"Sharepoint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25"/>
        <v>https://d0f6bd738d7f1b3e5a7ca70fe4ff75f0.us-east-1.aws.found.io/app/kibana#/discover/Steve-Slow-Train-Analysis-(2080s-and-2083s)?_g=(refreshInterval:(display:Off,pause:!f,section:0,value:0),time:(from:'2017-12-24T19:37:16-0700',mode:absolute,to:'2017-12-24T22:34:40-0700'))&amp;_a=(columns:!('Message%20ID',Summary),filters:!(),index:'emp_*',interval:auto,query:(query_string:(analyze_wildcard:!t,query:'%22rtdc.l.rtdc.4021%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880</v>
      </c>
      <c r="B141" s="225">
        <v>4062</v>
      </c>
      <c r="C141" s="227" t="s">
        <v>192</v>
      </c>
      <c r="D141" s="227" t="s">
        <v>1035</v>
      </c>
      <c r="E141" s="226">
        <v>43093.852025462962</v>
      </c>
      <c r="F141" s="226">
        <v>43093.854502314818</v>
      </c>
      <c r="G141" s="225">
        <v>50</v>
      </c>
      <c r="H141" s="227" t="s">
        <v>907</v>
      </c>
      <c r="I141" s="226">
        <v>43093.879131944443</v>
      </c>
      <c r="J141" s="225">
        <v>0</v>
      </c>
      <c r="K141" s="237" t="str">
        <f>IF(ISEVEN(B141),(B141-1)&amp;"/"&amp;B141,B141&amp;"/"&amp;(B141+1))</f>
        <v>4061/4062</v>
      </c>
      <c r="L141" s="245" t="str">
        <f>VLOOKUP(A141,'Trips&amp;Operators'!$C$1:$G$99911,5,FALSE)</f>
        <v>RESPASS AARON</v>
      </c>
      <c r="M141" s="224">
        <f>I141-F141</f>
        <v>2.4629629624541849E-2</v>
      </c>
      <c r="N141" s="225">
        <f>24*60*SUM($M141:$M141)</f>
        <v>35.466666659340262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-24T19:26:55-0700',mode:absolute,to:'2017-12-24T22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5.5899999999999998E-2</v>
      </c>
      <c r="Z141" s="247">
        <f>RIGHT(H141,LEN(H141)-4)/10000</f>
        <v>23.3249</v>
      </c>
      <c r="AA141" s="247">
        <f>ABS(Z141-Y141)</f>
        <v>23.268999999999998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227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/stypes="app*4062*20171225*"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21"/>
        <v>"%USERPROFILE%\Documents\GitHub\eaglep3\Utilities\RefineRTDCRunTimes.py" --tripid 227-24 --locoid 4062 --swversion DE.1.0.9.0 --startMP 204:559 --initTime 2017-12-24T20:26:55 --startdatetime 2017-12-24T20:30:29 --delay 50 --endMP 204:233249 --enddatetime 2017-12-24T21:05:57 --enforcementcount 0 &gt;&gt;%USERPROFILE%\Documents\GitHub\eaglep3-reporting\EC\2017-12-24-refined-times.txt</v>
      </c>
      <c r="AI141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{"issue":{"subject":"","project_id":79,"tracker_id":40,"status_id":1,"priority_id":2,"assigned_to_id":338,"start_date":"2017-12-24","description":"","custom_fields":[{"id":1,"name":"Subdivision","value":"EC"},{"id":4,"name":"Milepost","value":"23.3249"},{"id":17,"name":"Train ID","value":"227-24"},{"id":16,"name":"Locomotive ID","value":"4062"},{"id":130,"name":"Impact","value":""},{"id":150,"name":"Time of Event (Mountain Time)","value":"21:05:57"},{"id":151,"name":"Denver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23"/>
        <v>start /low /b %USERPROFILE%\Documents\GitHub\eaglep3\Utilities\DownloadLogsFromS3.py --loco 4062 --day 2017-12-24</v>
      </c>
      <c r="AN141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25"/>
        <v>https://d0f6bd738d7f1b3e5a7ca70fe4ff75f0.us-east-1.aws.found.io/app/kibana#/discover/Steve-Slow-Train-Analysis-(2080s-and-2083s)?_g=(refreshInterval:(display:Off,pause:!f,section:0,value:0),time:(from:'2017-12-24T19:26:55-0700',mode:absolute,to:'2017-12-24T22:05:57-0700'))&amp;_a=(columns:!('Message%20ID',Summary),filters:!(),index:'emp_*',interval:auto,query:(query_string:(analyze_wildcard:!t,query:'%22rtdc.l.rtdc.4062%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882</v>
      </c>
      <c r="B142" s="225">
        <v>4061</v>
      </c>
      <c r="C142" s="227" t="s">
        <v>192</v>
      </c>
      <c r="D142" s="227" t="s">
        <v>541</v>
      </c>
      <c r="E142" s="226">
        <v>43093.890405092592</v>
      </c>
      <c r="F142" s="226">
        <v>43093.894131944442</v>
      </c>
      <c r="G142" s="225">
        <v>45</v>
      </c>
      <c r="H142" s="227" t="s">
        <v>1030</v>
      </c>
      <c r="I142" s="226">
        <v>43093.920023148145</v>
      </c>
      <c r="J142" s="225">
        <v>0</v>
      </c>
      <c r="K142" s="237" t="str">
        <f>IF(ISEVEN(B142),(B142-1)&amp;"/"&amp;B142,B142&amp;"/"&amp;(B142+1))</f>
        <v>4061/4062</v>
      </c>
      <c r="L142" s="245" t="str">
        <f>VLOOKUP(A142,'Trips&amp;Operators'!$C$1:$G$99911,5,FALSE)</f>
        <v>RESPASS AARON</v>
      </c>
      <c r="M142" s="224">
        <f>I142-F142</f>
        <v>2.5891203702485655E-2</v>
      </c>
      <c r="N142" s="225">
        <f>24*60*SUM($M142:$M142)</f>
        <v>37.283333331579342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-24T20:22:11-0700',mode:absolute,to:'2017-12-24T23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23.293800000000001</v>
      </c>
      <c r="Z142" s="247">
        <f>RIGHT(H142,LEN(H142)-4)/10000</f>
        <v>2.5600000000000001E-2</v>
      </c>
      <c r="AA142" s="247">
        <f>ABS(Z142-Y142)</f>
        <v>23.2682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228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/stypes="app*4061*20171225*" /stext=" 05:.+((SYSTEM_STATE.+slice.+state.+changed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21"/>
        <v>"%USERPROFILE%\Documents\GitHub\eaglep3\Utilities\RefineRTDCRunTimes.py" --tripid 228-24 --locoid 4061 --swversion DE.1.0.9.0 --startMP 204:232938 --initTime 2017-12-24T21:22:11 --startdatetime 2017-12-24T21:27:33 --delay 45 --endMP 204:256 --enddatetime 2017-12-24T22:04:50 --enforcementcount 0 &gt;&gt;%USERPROFILE%\Documents\GitHub\eaglep3-reporting\EC\2017-12-24-refined-times.txt</v>
      </c>
      <c r="AI142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{"issue":{"subject":"","project_id":79,"tracker_id":40,"status_id":1,"priority_id":2,"assigned_to_id":338,"start_date":"2017-12-24","description":"","custom_fields":[{"id":1,"name":"Subdivision","value":"EC"},{"id":4,"name":"Milepost","value":"0.0256"},{"id":17,"name":"Train ID","value":"228-24"},{"id":16,"name":"Locomotive ID","value":"4061"},{"id":130,"name":"Impact","value":""},{"id":150,"name":"Time of Event (Mountain Time)","value":"22:04:50"},{"id":151,"name":"Denver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23"/>
        <v>start /low /b %USERPROFILE%\Documents\GitHub\eaglep3\Utilities\DownloadLogsFromS3.py --loco 4061 --day 2017-12-24</v>
      </c>
      <c r="AN142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25"/>
        <v>https://d0f6bd738d7f1b3e5a7ca70fe4ff75f0.us-east-1.aws.found.io/app/kibana#/discover/Steve-Slow-Train-Analysis-(2080s-and-2083s)?_g=(refreshInterval:(display:Off,pause:!f,section:0,value:0),time:(from:'2017-12-24T20:22:11-0700',mode:absolute,to:'2017-12-24T23:04:50-0700'))&amp;_a=(columns:!('Message%20ID',Summary),filters:!(),index:'emp_*',interval:auto,query:(query_string:(analyze_wildcard:!t,query:'%22rtdc.l.rtdc.4061%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29" t="s">
        <v>881</v>
      </c>
      <c r="B143" s="225">
        <v>4044</v>
      </c>
      <c r="C143" s="227" t="s">
        <v>192</v>
      </c>
      <c r="D143" s="227" t="s">
        <v>973</v>
      </c>
      <c r="E143" s="226">
        <v>43093.86005787037</v>
      </c>
      <c r="F143" s="226">
        <v>43093.875254629631</v>
      </c>
      <c r="G143" s="225">
        <v>64</v>
      </c>
      <c r="H143" s="227" t="s">
        <v>554</v>
      </c>
      <c r="I143" s="226">
        <v>43093.899722222224</v>
      </c>
      <c r="J143" s="225">
        <v>0</v>
      </c>
      <c r="K143" s="237" t="str">
        <f>IF(ISEVEN(B143),(B143-1)&amp;"/"&amp;B143,B143&amp;"/"&amp;(B143+1))</f>
        <v>4043/4044</v>
      </c>
      <c r="L143" s="245" t="str">
        <f>VLOOKUP(A143,'Trips&amp;Operators'!$C$1:$G$99911,5,FALSE)</f>
        <v>STAMBAUGH JAMES</v>
      </c>
      <c r="M143" s="224">
        <f>I143-F143</f>
        <v>2.4467592593282461E-2</v>
      </c>
      <c r="N143" s="225">
        <f>24*60*SUM($M143:$M143)</f>
        <v>35.233333334326744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-24T19:38:29-0700',mode:absolute,to:'2017-12-24T22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5.4899999999999997E-2</v>
      </c>
      <c r="Z143" s="247">
        <f>RIGHT(H143,LEN(H143)-4)/10000</f>
        <v>23.334900000000001</v>
      </c>
      <c r="AA143" s="247">
        <f>ABS(Z143-Y143)</f>
        <v>23.28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229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/stypes="app*4044*20171225*" /stext=" 04:.+((SYSTEM_STATE.+slice.+state.+changed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21"/>
        <v>"%USERPROFILE%\Documents\GitHub\eaglep3\Utilities\RefineRTDCRunTimes.py" --tripid 229-24 --locoid 4044 --swversion DE.1.0.9.0 --startMP 204:549 --initTime 2017-12-24T20:38:29 --startdatetime 2017-12-24T21:00:22 --delay 64 --endMP 204:233349 --enddatetime 2017-12-24T21:35:36 --enforcementcount 0 &gt;&gt;%USERPROFILE%\Documents\GitHub\eaglep3-reporting\EC\2017-12-24-refined-times.txt</v>
      </c>
      <c r="AI143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{"issue":{"subject":"","project_id":79,"tracker_id":40,"status_id":1,"priority_id":2,"assigned_to_id":338,"start_date":"2017-12-24","description":"","custom_fields":[{"id":1,"name":"Subdivision","value":"EC"},{"id":4,"name":"Milepost","value":"23.3349"},{"id":17,"name":"Train ID","value":"229-24"},{"id":16,"name":"Locomotive ID","value":"4044"},{"id":130,"name":"Impact","value":""},{"id":150,"name":"Time of Event (Mountain Time)","value":"21:35:36"},{"id":151,"name":"Denver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23"/>
        <v>start /low /b %USERPROFILE%\Documents\GitHub\eaglep3\Utilities\DownloadLogsFromS3.py --loco 4044 --day 2017-12-24</v>
      </c>
      <c r="AN143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04:35:36"},{"id":29,"name":"Sharepoint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25"/>
        <v>https://d0f6bd738d7f1b3e5a7ca70fe4ff75f0.us-east-1.aws.found.io/app/kibana#/discover/Steve-Slow-Train-Analysis-(2080s-and-2083s)?_g=(refreshInterval:(display:Off,pause:!f,section:0,value:0),time:(from:'2017-12-24T19:38:29-0700',mode:absolute,to:'2017-12-24T22:35:36-0700'))&amp;_a=(columns:!('Message%20ID',Summary),filters:!(),index:'emp_*',interval:auto,query:(query_string:(analyze_wildcard:!t,query:'%22rtdc.l.rtdc.4044%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29" t="s">
        <v>885</v>
      </c>
      <c r="B144" s="225">
        <v>4043</v>
      </c>
      <c r="C144" s="227" t="s">
        <v>192</v>
      </c>
      <c r="D144" s="227" t="s">
        <v>1036</v>
      </c>
      <c r="E144" s="226">
        <v>43093.908194444448</v>
      </c>
      <c r="F144" s="226">
        <v>43093.914930555555</v>
      </c>
      <c r="G144" s="225">
        <v>64</v>
      </c>
      <c r="H144" s="227" t="s">
        <v>618</v>
      </c>
      <c r="I144" s="226">
        <v>43093.940347222226</v>
      </c>
      <c r="J144" s="225">
        <v>0</v>
      </c>
      <c r="K144" s="237" t="str">
        <f>IF(ISEVEN(B144),(B144-1)&amp;"/"&amp;B144,B144&amp;"/"&amp;(B144+1))</f>
        <v>4043/4044</v>
      </c>
      <c r="L144" s="245" t="str">
        <f>VLOOKUP(A144,'Trips&amp;Operators'!$C$1:$G$99911,5,FALSE)</f>
        <v>STAMBAUGH JAMES</v>
      </c>
      <c r="M144" s="224">
        <f>I144-F144</f>
        <v>2.5416666670935228E-2</v>
      </c>
      <c r="N144" s="225">
        <f>24*60*SUM($M144:$M144)</f>
        <v>36.600000006146729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-24T20:47:48-0700',mode:absolute,to:'2017-12-24T23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23.304300000000001</v>
      </c>
      <c r="Z144" s="247">
        <f>RIGHT(H144,LEN(H144)-4)/10000</f>
        <v>2.2700000000000001E-2</v>
      </c>
      <c r="AA144" s="247">
        <f>ABS(Z144-Y144)</f>
        <v>23.281600000000001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230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/stypes="app*4043*20171225*" /stext=" 05:.+((SYSTEM_STATE.+slice.+state.+changed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21"/>
        <v>"%USERPROFILE%\Documents\GitHub\eaglep3\Utilities\RefineRTDCRunTimes.py" --tripid 230-24 --locoid 4043 --swversion DE.1.0.9.0 --startMP 204:233043 --initTime 2017-12-24T21:47:48 --startdatetime 2017-12-24T21:57:30 --delay 64 --endMP 204:227 --enddatetime 2017-12-24T22:34:06 --enforcementcount 0 &gt;&gt;%USERPROFILE%\Documents\GitHub\eaglep3-reporting\EC\2017-12-24-refined-times.txt</v>
      </c>
      <c r="AI144" s="238" t="str">
        <f t="shared" si="22"/>
        <v>echo {"issue":{"subject":"","project_id":79,"tracker_id":40,"status_id":1,"priority_id":2,"assigned_to_id":338,"start_date":"2017-12-24","description":"","custom_fields":[{"id":1,"name":"Subdivision","value":"EC"},{"id":4,"name":"Milepost","value":"0.0227"},{"id":17,"name":"Train ID","value":"230-24"},{"id":16,"name":"Locomotive ID","value":"4043"},{"id":130,"name":"Impact","value":""},{"id":150,"name":"Time of Event (Mountain Time)","value":"22:34:06"},{"id":151,"name":"Denver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23"/>
        <v>start /low /b %USERPROFILE%\Documents\GitHub\eaglep3\Utilities\DownloadLogsFromS3.py --loco 4043 --day 2017-12-24</v>
      </c>
      <c r="AN144" s="241" t="str">
        <f t="shared" si="24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05:34:06"},{"id":29,"name":"Sharepoint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25"/>
        <v>https://d0f6bd738d7f1b3e5a7ca70fe4ff75f0.us-east-1.aws.found.io/app/kibana#/discover/Steve-Slow-Train-Analysis-(2080s-and-2083s)?_g=(refreshInterval:(display:Off,pause:!f,section:0,value:0),time:(from:'2017-12-24T20:47:48-0700',mode:absolute,to:'2017-12-24T23:34:06-0700'))&amp;_a=(columns:!('Message%20ID',Summary),filters:!(),index:'emp_*',interval:auto,query:(query_string:(analyze_wildcard:!t,query:'%22rtdc.l.rtdc.4043%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29" t="s">
        <v>694</v>
      </c>
      <c r="B145" s="225">
        <v>4006</v>
      </c>
      <c r="C145" s="227" t="s">
        <v>192</v>
      </c>
      <c r="D145" s="227" t="s">
        <v>527</v>
      </c>
      <c r="E145" s="226">
        <v>43093.886886574073</v>
      </c>
      <c r="F145" s="226">
        <v>43093.896064814813</v>
      </c>
      <c r="G145" s="225">
        <v>88</v>
      </c>
      <c r="H145" s="227" t="s">
        <v>1037</v>
      </c>
      <c r="I145" s="226">
        <v>43093.921006944445</v>
      </c>
      <c r="J145" s="225">
        <v>0</v>
      </c>
      <c r="K145" s="237" t="str">
        <f>IF(ISEVEN(B145),(B145-1)&amp;"/"&amp;B145,B145&amp;"/"&amp;(B145+1))</f>
        <v>4005/4006</v>
      </c>
      <c r="L145" s="245" t="str">
        <f>VLOOKUP(A145,'Trips&amp;Operators'!$C$1:$G$99911,5,FALSE)</f>
        <v>ANDREA WILLIAMS</v>
      </c>
      <c r="M145" s="224">
        <f>I145-F145</f>
        <v>2.4942129632108845E-2</v>
      </c>
      <c r="N145" s="225">
        <f>24*60*SUM($M145:$M145)</f>
        <v>35.916666670236737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-24T20:17:07-0700',mode:absolute,to:'2017-12-24T23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4.3999999999999997E-2</v>
      </c>
      <c r="Z145" s="247">
        <f>RIGHT(H145,LEN(H145)-4)/10000</f>
        <v>23.3217</v>
      </c>
      <c r="AA145" s="247">
        <f>ABS(Z145-Y145)</f>
        <v>23.277699999999999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231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/stypes="app*4006*20171225*"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ref="AH145:AH209" si="38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231-24 --locoid 4006 --swversion DE.1.0.9.0 --startMP 204:440 --initTime 2017-12-24T21:17:07 --startdatetime 2017-12-24T21:30:20 --delay 88 --endMP 204:233217 --enddatetime 2017-12-24T22:06:15 --enforcementcount 0 &gt;&gt;%USERPROFILE%\Documents\GitHub\eaglep3-reporting\EC\2017-12-24-refined-times.txt</v>
      </c>
      <c r="AI145" s="238" t="str">
        <f t="shared" ref="AI145:AI209" si="39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{"issue":{"subject":"","project_id":79,"tracker_id":40,"status_id":1,"priority_id":2,"assigned_to_id":338,"start_date":"2017-12-24","description":"","custom_fields":[{"id":1,"name":"Subdivision","value":"EC"},{"id":4,"name":"Milepost","value":"23.3217"},{"id":17,"name":"Train ID","value":"231-24"},{"id":16,"name":"Locomotive ID","value":"4006"},{"id":130,"name":"Impact","value":""},{"id":150,"name":"Time of Event (Mountain Time)","value":"22:06:15"},{"id":151,"name":"Denver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ref="AM145:AM209" si="40">"start /low /b "&amp;dls3logs&amp;" --loco "&amp;B145&amp;" --day "&amp;TEXT(F145,"YYYY-MM-DD")</f>
        <v>start /low /b %USERPROFILE%\Documents\GitHub\eaglep3\Utilities\DownloadLogsFromS3.py --loco 4006 --day 2017-12-24</v>
      </c>
      <c r="AN145" s="241" t="str">
        <f t="shared" ref="AN145:AN209" si="41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05:06:15"},{"id":29,"name":"Sharepoint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ref="AO145:AO209" si="42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-24T20:17:07-0700',mode:absolute,to:'2017-12-24T23:06:15-0700'))&amp;_a=(columns:!('Message%20ID',Summary),filters:!(),index:'emp_*',interval:auto,query:(query_string:(analyze_wildcard:!t,query:'%22rtdc.l.rtdc.4006%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29" t="s">
        <v>696</v>
      </c>
      <c r="B146" s="225">
        <v>4005</v>
      </c>
      <c r="C146" s="227" t="s">
        <v>192</v>
      </c>
      <c r="D146" s="227" t="s">
        <v>1038</v>
      </c>
      <c r="E146" s="226">
        <v>43093.923796296294</v>
      </c>
      <c r="F146" s="226">
        <v>43093.935624999998</v>
      </c>
      <c r="G146" s="225">
        <v>111</v>
      </c>
      <c r="H146" s="227" t="s">
        <v>537</v>
      </c>
      <c r="I146" s="226">
        <v>43093.962893518517</v>
      </c>
      <c r="J146" s="225">
        <v>0</v>
      </c>
      <c r="K146" s="237" t="str">
        <f>IF(ISEVEN(B146),(B146-1)&amp;"/"&amp;B146,B146&amp;"/"&amp;(B146+1))</f>
        <v>4005/4006</v>
      </c>
      <c r="L146" s="245" t="str">
        <f>VLOOKUP(A146,'Trips&amp;Operators'!$C$1:$G$99911,5,FALSE)</f>
        <v>ANDREA WILLIAMS</v>
      </c>
      <c r="M146" s="224">
        <f>I146-F146</f>
        <v>2.7268518519122154E-2</v>
      </c>
      <c r="N146" s="225">
        <f>24*60*SUM($M146:$M146)</f>
        <v>39.266666667535901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-24T21:10:16-0700',mode:absolute,to:'2017-12-25T00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23.2896</v>
      </c>
      <c r="Z146" s="247">
        <f>RIGHT(H146,LEN(H146)-4)/10000</f>
        <v>1.9199999999999998E-2</v>
      </c>
      <c r="AA146" s="247">
        <f>ABS(Z146-Y146)</f>
        <v>23.270399999999999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232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/stypes="app*4005*20171225*" /stext=" 06:.+((SYSTEM_STATE.+slice.+state.+changed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si="38"/>
        <v>"%USERPROFILE%\Documents\GitHub\eaglep3\Utilities\RefineRTDCRunTimes.py" --tripid 232-24 --locoid 4005 --swversion DE.1.0.9.0 --startMP 204:232896 --initTime 2017-12-24T22:10:16 --startdatetime 2017-12-24T22:27:18 --delay 111 --endMP 204:192 --enddatetime 2017-12-24T23:06:34 --enforcementcount 0 &gt;&gt;%USERPROFILE%\Documents\GitHub\eaglep3-reporting\EC\2017-12-24-refined-times.txt</v>
      </c>
      <c r="AI146" s="238" t="str">
        <f t="shared" si="39"/>
        <v>echo {"issue":{"subject":"","project_id":79,"tracker_id":40,"status_id":1,"priority_id":2,"assigned_to_id":338,"start_date":"2017-12-24","description":"","custom_fields":[{"id":1,"name":"Subdivision","value":"EC"},{"id":4,"name":"Milepost","value":"0.0192"},{"id":17,"name":"Train ID","value":"232-24"},{"id":16,"name":"Locomotive ID","value":"4005"},{"id":130,"name":"Impact","value":""},{"id":150,"name":"Time of Event (Mountain Time)","value":"23:06:34"},{"id":151,"name":"Denver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40"/>
        <v>start /low /b %USERPROFILE%\Documents\GitHub\eaglep3\Utilities\DownloadLogsFromS3.py --loco 4005 --day 2017-12-24</v>
      </c>
      <c r="AN146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42"/>
        <v>https://d0f6bd738d7f1b3e5a7ca70fe4ff75f0.us-east-1.aws.found.io/app/kibana#/discover/Steve-Slow-Train-Analysis-(2080s-and-2083s)?_g=(refreshInterval:(display:Off,pause:!f,section:0,value:0),time:(from:'2017-12-24T21:10:16-0700',mode:absolute,to:'2017-12-25T00:06:34-0700'))&amp;_a=(columns:!('Message%20ID',Summary),filters:!(),index:'emp_*',interval:auto,query:(query_string:(analyze_wildcard:!t,query:'%22rtdc.l.rtdc.4005%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884</v>
      </c>
      <c r="B147" s="225">
        <v>4022</v>
      </c>
      <c r="C147" s="227" t="s">
        <v>192</v>
      </c>
      <c r="D147" s="227" t="s">
        <v>1039</v>
      </c>
      <c r="E147" s="226">
        <v>43093.902314814812</v>
      </c>
      <c r="F147" s="226">
        <v>43093.916817129626</v>
      </c>
      <c r="G147" s="225">
        <v>60</v>
      </c>
      <c r="H147" s="227" t="s">
        <v>530</v>
      </c>
      <c r="I147" s="226">
        <v>43093.940752314818</v>
      </c>
      <c r="J147" s="225">
        <v>0</v>
      </c>
      <c r="K147" s="237" t="str">
        <f>IF(ISEVEN(B147),(B147-1)&amp;"/"&amp;B147,B147&amp;"/"&amp;(B147+1))</f>
        <v>4021/4022</v>
      </c>
      <c r="L147" s="245" t="str">
        <f>VLOOKUP(A147,'Trips&amp;Operators'!$C$1:$G$99911,5,FALSE)</f>
        <v>ELBAUM MIKE</v>
      </c>
      <c r="M147" s="224">
        <f>I147-F147</f>
        <v>2.3935185192385688E-2</v>
      </c>
      <c r="N147" s="225">
        <f>24*60*SUM($M147:$M147)</f>
        <v>34.466666677035391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-24T20:39:20-0700',mode:absolute,to:'2017-12-24T23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5.7000000000000002E-2</v>
      </c>
      <c r="Z147" s="247">
        <f>RIGHT(H147,LEN(H147)-4)/10000</f>
        <v>23.328600000000002</v>
      </c>
      <c r="AA147" s="247">
        <f>ABS(Z147-Y147)</f>
        <v>23.271600000000003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233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s3://rtdc.mdm.uploadarchive.raw/RTDC4022/ "%USERPROFILE%\AppData\Local\Temp\OnboardLogs"\RTDC4022\2017-12-24 --exclude "*" --recursive --include "*20171224*" &amp; "%USERPROFILE%\Documents\GitHub\mrs-test-scripts\Headless Mode &amp; Sideloading\WalkAndUnGZ.bat" "%USERPROFILE%\AppData\Local\Temp\OnboardLogs"\RTDC4022\2017-12-24 &amp; 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/stypes="app*4022*20171225*"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38"/>
        <v>"%USERPROFILE%\Documents\GitHub\eaglep3\Utilities\RefineRTDCRunTimes.py" --tripid 233-24 --locoid 4022 --swversion DE.1.0.9.0 --startMP 204:570 --initTime 2017-12-24T21:39:20 --startdatetime 2017-12-24T22:00:13 --delay 60 --endMP 204:233286 --enddatetime 2017-12-24T22:34:41 --enforcementcount 0 &gt;&gt;%USERPROFILE%\Documents\GitHub\eaglep3-reporting\EC\2017-12-24-refined-times.txt</v>
      </c>
      <c r="AI147" s="238" t="str">
        <f t="shared" si="39"/>
        <v>echo {"issue":{"subject":"","project_id":79,"tracker_id":40,"status_id":1,"priority_id":2,"assigned_to_id":338,"start_date":"2017-12-24","description":"","custom_fields":[{"id":1,"name":"Subdivision","value":"EC"},{"id":4,"name":"Milepost","value":"23.3286"},{"id":17,"name":"Train ID","value":"233-24"},{"id":16,"name":"Locomotive ID","value":"4022"},{"id":130,"name":"Impact","value":""},{"id":150,"name":"Time of Event (Mountain Time)","value":"22:34:41"},{"id":151,"name":"Denver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40"/>
        <v>start /low /b %USERPROFILE%\Documents\GitHub\eaglep3\Utilities\DownloadLogsFromS3.py --loco 4022 --day 2017-12-24</v>
      </c>
      <c r="AN147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05:34:41"},{"id":29,"name":"Sharepoint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42"/>
        <v>https://d0f6bd738d7f1b3e5a7ca70fe4ff75f0.us-east-1.aws.found.io/app/kibana#/discover/Steve-Slow-Train-Analysis-(2080s-and-2083s)?_g=(refreshInterval:(display:Off,pause:!f,section:0,value:0),time:(from:'2017-12-24T20:39:20-0700',mode:absolute,to:'2017-12-24T23:34:41-0700'))&amp;_a=(columns:!('Message%20ID',Summary),filters:!(),index:'emp_*',interval:auto,query:(query_string:(analyze_wildcard:!t,query:'%22rtdc.l.rtdc.4022%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889</v>
      </c>
      <c r="B148" s="225">
        <v>4021</v>
      </c>
      <c r="C148" s="227" t="s">
        <v>192</v>
      </c>
      <c r="D148" s="227" t="s">
        <v>546</v>
      </c>
      <c r="E148" s="226">
        <v>43093.945092592592</v>
      </c>
      <c r="F148" s="226">
        <v>43093.956400462965</v>
      </c>
      <c r="G148" s="225">
        <v>48</v>
      </c>
      <c r="H148" s="227" t="s">
        <v>650</v>
      </c>
      <c r="I148" s="226">
        <v>43093.981666666667</v>
      </c>
      <c r="J148" s="225">
        <v>0</v>
      </c>
      <c r="K148" s="237" t="str">
        <f>IF(ISEVEN(B148),(B148-1)&amp;"/"&amp;B148,B148&amp;"/"&amp;(B148+1))</f>
        <v>4021/4022</v>
      </c>
      <c r="L148" s="245" t="str">
        <f>VLOOKUP(A148,'Trips&amp;Operators'!$C$1:$G$99911,5,FALSE)</f>
        <v>ELBAUM MIKE</v>
      </c>
      <c r="M148" s="224">
        <f>I148-F148</f>
        <v>2.5266203701903578E-2</v>
      </c>
      <c r="N148" s="225">
        <f>24*60*SUM($M148:$M148)</f>
        <v>36.383333330741152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-24T21:40:56-0700',mode:absolute,to:'2017-12-25T00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23.2959</v>
      </c>
      <c r="Z148" s="247">
        <f>RIGHT(H148,LEN(H148)-4)/10000</f>
        <v>2.6700000000000002E-2</v>
      </c>
      <c r="AA148" s="247">
        <f>ABS(Z148-Y148)</f>
        <v>23.269199999999998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234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/stypes="app*4021*20171225*" /stext=" 06:.+((SYSTEM_STATE.+slice.+state.+changed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38"/>
        <v>"%USERPROFILE%\Documents\GitHub\eaglep3\Utilities\RefineRTDCRunTimes.py" --tripid 234-24 --locoid 4021 --swversion DE.1.0.9.0 --startMP 204:232959 --initTime 2017-12-24T22:40:56 --startdatetime 2017-12-24T22:57:13 --delay 48 --endMP 204:267 --enddatetime 2017-12-24T23:33:36 --enforcementcount 0 &gt;&gt;%USERPROFILE%\Documents\GitHub\eaglep3-reporting\EC\2017-12-24-refined-times.txt</v>
      </c>
      <c r="AI148" s="238" t="str">
        <f t="shared" si="39"/>
        <v>echo {"issue":{"subject":"","project_id":79,"tracker_id":40,"status_id":1,"priority_id":2,"assigned_to_id":338,"start_date":"2017-12-24","description":"","custom_fields":[{"id":1,"name":"Subdivision","value":"EC"},{"id":4,"name":"Milepost","value":"0.0267"},{"id":17,"name":"Train ID","value":"234-24"},{"id":16,"name":"Locomotive ID","value":"4021"},{"id":130,"name":"Impact","value":""},{"id":150,"name":"Time of Event (Mountain Time)","value":"23:33:36"},{"id":151,"name":"Denver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40"/>
        <v>start /low /b %USERPROFILE%\Documents\GitHub\eaglep3\Utilities\DownloadLogsFromS3.py --loco 4021 --day 2017-12-24</v>
      </c>
      <c r="AN148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06:33:36"},{"id":29,"name":"Sharepoint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42"/>
        <v>https://d0f6bd738d7f1b3e5a7ca70fe4ff75f0.us-east-1.aws.found.io/app/kibana#/discover/Steve-Slow-Train-Analysis-(2080s-and-2083s)?_g=(refreshInterval:(display:Off,pause:!f,section:0,value:0),time:(from:'2017-12-24T21:40:56-0700',mode:absolute,to:'2017-12-25T00:33:36-0700'))&amp;_a=(columns:!('Message%20ID',Summary),filters:!(),index:'emp_*',interval:auto,query:(query_string:(analyze_wildcard:!t,query:'%22rtdc.l.rtdc.4021%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887</v>
      </c>
      <c r="B149" s="225">
        <v>4062</v>
      </c>
      <c r="C149" s="227" t="s">
        <v>192</v>
      </c>
      <c r="D149" s="227" t="s">
        <v>1040</v>
      </c>
      <c r="E149" s="226">
        <v>43093.935844907406</v>
      </c>
      <c r="F149" s="226">
        <v>43093.937893518516</v>
      </c>
      <c r="G149" s="225">
        <v>56</v>
      </c>
      <c r="H149" s="227" t="s">
        <v>642</v>
      </c>
      <c r="I149" s="226">
        <v>43093.962326388886</v>
      </c>
      <c r="J149" s="225">
        <v>0</v>
      </c>
      <c r="K149" s="237" t="str">
        <f>IF(ISEVEN(B149),(B149-1)&amp;"/"&amp;B149,B149&amp;"/"&amp;(B149+1))</f>
        <v>4061/4062</v>
      </c>
      <c r="L149" s="245" t="str">
        <f>VLOOKUP(A149,'Trips&amp;Operators'!$C$1:$G$99911,5,FALSE)</f>
        <v>RESPASS AARON</v>
      </c>
      <c r="M149" s="224">
        <f>I149-F149</f>
        <v>2.4432870370219462E-2</v>
      </c>
      <c r="N149" s="225">
        <f>24*60*SUM($M149:$M149)</f>
        <v>35.183333333116025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-24T21:27:37-0700',mode:absolute,to:'2017-12-25T00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5.62E-2</v>
      </c>
      <c r="Z149" s="247">
        <f>RIGHT(H149,LEN(H149)-4)/10000</f>
        <v>23.325099999999999</v>
      </c>
      <c r="AA149" s="247">
        <f>ABS(Z149-Y149)</f>
        <v>23.268899999999999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235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/stypes="app*4062*20171225*"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38"/>
        <v>"%USERPROFILE%\Documents\GitHub\eaglep3\Utilities\RefineRTDCRunTimes.py" --tripid 235-24 --locoid 4062 --swversion DE.1.0.9.0 --startMP 204:562 --initTime 2017-12-24T22:27:37 --startdatetime 2017-12-24T22:30:34 --delay 56 --endMP 204:233251 --enddatetime 2017-12-24T23:05:45 --enforcementcount 0 &gt;&gt;%USERPROFILE%\Documents\GitHub\eaglep3-reporting\EC\2017-12-24-refined-times.txt</v>
      </c>
      <c r="AI149" s="238" t="str">
        <f t="shared" si="39"/>
        <v>echo {"issue":{"subject":"","project_id":79,"tracker_id":40,"status_id":1,"priority_id":2,"assigned_to_id":338,"start_date":"2017-12-24","description":"","custom_fields":[{"id":1,"name":"Subdivision","value":"EC"},{"id":4,"name":"Milepost","value":"23.3251"},{"id":17,"name":"Train ID","value":"235-24"},{"id":16,"name":"Locomotive ID","value":"4062"},{"id":130,"name":"Impact","value":""},{"id":150,"name":"Time of Event (Mountain Time)","value":"23:05:45"},{"id":151,"name":"Denver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40"/>
        <v>start /low /b %USERPROFILE%\Documents\GitHub\eaglep3\Utilities\DownloadLogsFromS3.py --loco 4062 --day 2017-12-24</v>
      </c>
      <c r="AN149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42"/>
        <v>https://d0f6bd738d7f1b3e5a7ca70fe4ff75f0.us-east-1.aws.found.io/app/kibana#/discover/Steve-Slow-Train-Analysis-(2080s-and-2083s)?_g=(refreshInterval:(display:Off,pause:!f,section:0,value:0),time:(from:'2017-12-24T21:27:37-0700',mode:absolute,to:'2017-12-25T00:05:45-0700'))&amp;_a=(columns:!('Message%20ID',Summary),filters:!(),index:'emp_*',interval:auto,query:(query_string:(analyze_wildcard:!t,query:'%22rtdc.l.rtdc.4062%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892</v>
      </c>
      <c r="B150" s="225">
        <v>4061</v>
      </c>
      <c r="C150" s="227" t="s">
        <v>192</v>
      </c>
      <c r="D150" s="227" t="s">
        <v>565</v>
      </c>
      <c r="E150" s="226">
        <v>43093.975138888891</v>
      </c>
      <c r="F150" s="226">
        <v>43093.97724537037</v>
      </c>
      <c r="G150" s="225">
        <v>60</v>
      </c>
      <c r="H150" s="227" t="s">
        <v>1041</v>
      </c>
      <c r="I150" s="226">
        <v>43094.002893518518</v>
      </c>
      <c r="J150" s="225">
        <v>0</v>
      </c>
      <c r="K150" s="237" t="str">
        <f>IF(ISEVEN(B150),(B150-1)&amp;"/"&amp;B150,B150&amp;"/"&amp;(B150+1))</f>
        <v>4061/4062</v>
      </c>
      <c r="L150" s="245" t="str">
        <f>VLOOKUP(A150,'Trips&amp;Operators'!$C$1:$G$99911,5,FALSE)</f>
        <v>RESPASS AARON</v>
      </c>
      <c r="M150" s="224">
        <f>I150-F150</f>
        <v>2.5648148148320615E-2</v>
      </c>
      <c r="N150" s="225">
        <f>24*60*SUM($M150:$M150)</f>
        <v>36.933333333581686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-24T22:24:12-0700',mode:absolute,to:'2017-12-25T01:04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23.293600000000001</v>
      </c>
      <c r="Z150" s="247">
        <f>RIGHT(H150,LEN(H150)-4)/10000</f>
        <v>2.8299999999999999E-2</v>
      </c>
      <c r="AA150" s="247">
        <f>ABS(Z150-Y150)</f>
        <v>23.2653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236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/stypes="app*4061*20171225*" /stext=" 07:.+((SYSTEM_STATE.+slice.+state.+changed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38"/>
        <v>"%USERPROFILE%\Documents\GitHub\eaglep3\Utilities\RefineRTDCRunTimes.py" --tripid 236-24 --locoid 4061 --swversion DE.1.0.9.0 --startMP 204:232936 --initTime 2017-12-24T23:24:12 --startdatetime 2017-12-24T23:27:14 --delay 60 --endMP 204:283 --enddatetime 2017-12-25T00:04:10 --enforcementcount 0 &gt;&gt;%USERPROFILE%\Documents\GitHub\eaglep3-reporting\EC\2017-12-24-refined-times.txt</v>
      </c>
      <c r="AI150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{"issue":{"subject":"","project_id":79,"tracker_id":40,"status_id":1,"priority_id":2,"assigned_to_id":338,"start_date":"2017-12-25","description":"","custom_fields":[{"id":1,"name":"Subdivision","value":"EC"},{"id":4,"name":"Milepost","value":"0.0283"},{"id":17,"name":"Train ID","value":"236-24"},{"id":16,"name":"Locomotive ID","value":"4061"},{"id":130,"name":"Impact","value":""},{"id":150,"name":"Time of Event (Mountain Time)","value":"00:04:10"},{"id":151,"name":"Denver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40"/>
        <v>start /low /b %USERPROFILE%\Documents\GitHub\eaglep3\Utilities\DownloadLogsFromS3.py --loco 4061 --day 2017-12-24</v>
      </c>
      <c r="AN150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07:04:10"},{"id":29,"name":"Sharepoint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42"/>
        <v>https://d0f6bd738d7f1b3e5a7ca70fe4ff75f0.us-east-1.aws.found.io/app/kibana#/discover/Steve-Slow-Train-Analysis-(2080s-and-2083s)?_g=(refreshInterval:(display:Off,pause:!f,section:0,value:0),time:(from:'2017-12-24T22:24:12-0700',mode:absolute,to:'2017-12-25T01:04:10-0700'))&amp;_a=(columns:!('Message%20ID',Summary),filters:!(),index:'emp_*',interval:auto,query:(query_string:(analyze_wildcard:!t,query:'%22rtdc.l.rtdc.4061%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888</v>
      </c>
      <c r="B151" s="225">
        <v>4044</v>
      </c>
      <c r="C151" s="227" t="s">
        <v>192</v>
      </c>
      <c r="D151" s="227" t="s">
        <v>934</v>
      </c>
      <c r="E151" s="226">
        <v>43093.941458333335</v>
      </c>
      <c r="F151" s="226">
        <v>43093.958645833336</v>
      </c>
      <c r="G151" s="225">
        <v>54</v>
      </c>
      <c r="H151" s="227" t="s">
        <v>614</v>
      </c>
      <c r="I151" s="226">
        <v>43093.982303240744</v>
      </c>
      <c r="J151" s="225">
        <v>0</v>
      </c>
      <c r="K151" s="237" t="str">
        <f>IF(ISEVEN(B151),(B151-1)&amp;"/"&amp;B151,B151&amp;"/"&amp;(B151+1))</f>
        <v>4043/4044</v>
      </c>
      <c r="L151" s="245" t="str">
        <f>VLOOKUP(A151,'Trips&amp;Operators'!$C$1:$G$99911,5,FALSE)</f>
        <v>STAMBAUGH JAMES</v>
      </c>
      <c r="M151" s="224">
        <f>I151-F151</f>
        <v>2.3657407407881692E-2</v>
      </c>
      <c r="N151" s="225">
        <f>24*60*SUM($M151:$M151)</f>
        <v>34.066666667349637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-24T21:35:42-0700',mode:absolute,to:'2017-12-25T00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5.1299999999999998E-2</v>
      </c>
      <c r="Z151" s="247">
        <f>RIGHT(H151,LEN(H151)-4)/10000</f>
        <v>23.332000000000001</v>
      </c>
      <c r="AA151" s="247">
        <f>ABS(Z151-Y151)</f>
        <v>23.2807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237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/stypes="app*4044*20171225*" /stext=" 06:.+((SYSTEM_STATE.+slice.+state.+changed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38"/>
        <v>"%USERPROFILE%\Documents\GitHub\eaglep3\Utilities\RefineRTDCRunTimes.py" --tripid 237-24 --locoid 4044 --swversion DE.1.0.9.0 --startMP 204:513 --initTime 2017-12-24T22:35:42 --startdatetime 2017-12-24T23:00:27 --delay 54 --endMP 204:233320 --enddatetime 2017-12-24T23:34:31 --enforcementcount 0 &gt;&gt;%USERPROFILE%\Documents\GitHub\eaglep3-reporting\EC\2017-12-24-refined-times.txt</v>
      </c>
      <c r="AI151" s="238" t="str">
        <f t="shared" si="39"/>
        <v>echo {"issue":{"subject":"","project_id":79,"tracker_id":40,"status_id":1,"priority_id":2,"assigned_to_id":338,"start_date":"2017-12-24","description":"","custom_fields":[{"id":1,"name":"Subdivision","value":"EC"},{"id":4,"name":"Milepost","value":"23.332"},{"id":17,"name":"Train ID","value":"237-24"},{"id":16,"name":"Locomotive ID","value":"4044"},{"id":130,"name":"Impact","value":""},{"id":150,"name":"Time of Event (Mountain Time)","value":"23:34:31"},{"id":151,"name":"Denver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40"/>
        <v>start /low /b %USERPROFILE%\Documents\GitHub\eaglep3\Utilities\DownloadLogsFromS3.py --loco 4044 --day 2017-12-24</v>
      </c>
      <c r="AN151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06:34:31"},{"id":29,"name":"Sharepoint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42"/>
        <v>https://d0f6bd738d7f1b3e5a7ca70fe4ff75f0.us-east-1.aws.found.io/app/kibana#/discover/Steve-Slow-Train-Analysis-(2080s-and-2083s)?_g=(refreshInterval:(display:Off,pause:!f,section:0,value:0),time:(from:'2017-12-24T21:35:42-0700',mode:absolute,to:'2017-12-25T00:34:31-0700'))&amp;_a=(columns:!('Message%20ID',Summary),filters:!(),index:'emp_*',interval:auto,query:(query_string:(analyze_wildcard:!t,query:'%22rtdc.l.rtdc.4044%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29" t="s">
        <v>895</v>
      </c>
      <c r="B152" s="225">
        <v>4043</v>
      </c>
      <c r="C152" s="227" t="s">
        <v>192</v>
      </c>
      <c r="D152" s="227" t="s">
        <v>555</v>
      </c>
      <c r="E152" s="226">
        <v>43093.995011574072</v>
      </c>
      <c r="F152" s="226">
        <v>43093.998078703706</v>
      </c>
      <c r="G152" s="225">
        <v>50</v>
      </c>
      <c r="H152" s="227" t="s">
        <v>1042</v>
      </c>
      <c r="I152" s="226">
        <v>43094.023645833331</v>
      </c>
      <c r="J152" s="225">
        <v>0</v>
      </c>
      <c r="K152" s="237" t="str">
        <f>IF(ISEVEN(B152),(B152-1)&amp;"/"&amp;B152,B152&amp;"/"&amp;(B152+1))</f>
        <v>4043/4044</v>
      </c>
      <c r="L152" s="245" t="str">
        <f>VLOOKUP(A152,'Trips&amp;Operators'!$C$1:$G$99911,5,FALSE)</f>
        <v>STAMBAUGH JAMES</v>
      </c>
      <c r="M152" s="224">
        <f>I152-F152</f>
        <v>2.5567129625414964E-2</v>
      </c>
      <c r="N152" s="225">
        <f>24*60*SUM($M152:$M152)</f>
        <v>36.816666660597548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-24T22:52:49-0700',mode:absolute,to:'2017-12-25T01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23.299600000000002</v>
      </c>
      <c r="Z152" s="247">
        <f>RIGHT(H152,LEN(H152)-4)/10000</f>
        <v>2.8500000000000001E-2</v>
      </c>
      <c r="AA152" s="247">
        <f>ABS(Z152-Y152)</f>
        <v>23.271100000000001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238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/stypes="app*4043*20171225*" /stext=" 07:.+((SYSTEM_STATE.+slice.+state.+changed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38"/>
        <v>"%USERPROFILE%\Documents\GitHub\eaglep3\Utilities\RefineRTDCRunTimes.py" --tripid 238-24 --locoid 4043 --swversion DE.1.0.9.0 --startMP 204:232996 --initTime 2017-12-24T23:52:49 --startdatetime 2017-12-24T23:57:14 --delay 50 --endMP 204:285 --enddatetime 2017-12-25T00:34:03 --enforcementcount 0 &gt;&gt;%USERPROFILE%\Documents\GitHub\eaglep3-reporting\EC\2017-12-24-refined-times.txt</v>
      </c>
      <c r="AI152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{"issue":{"subject":"","project_id":79,"tracker_id":40,"status_id":1,"priority_id":2,"assigned_to_id":338,"start_date":"2017-12-25","description":"","custom_fields":[{"id":1,"name":"Subdivision","value":"EC"},{"id":4,"name":"Milepost","value":"0.0285"},{"id":17,"name":"Train ID","value":"238-24"},{"id":16,"name":"Locomotive ID","value":"4043"},{"id":130,"name":"Impact","value":""},{"id":150,"name":"Time of Event (Mountain Time)","value":"00:34:03"},{"id":151,"name":"Denver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40"/>
        <v>start /low /b %USERPROFILE%\Documents\GitHub\eaglep3\Utilities\DownloadLogsFromS3.py --loco 4043 --day 2017-12-24</v>
      </c>
      <c r="AN152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07:34:03"},{"id":29,"name":"Sharepoint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42"/>
        <v>https://d0f6bd738d7f1b3e5a7ca70fe4ff75f0.us-east-1.aws.found.io/app/kibana#/discover/Steve-Slow-Train-Analysis-(2080s-and-2083s)?_g=(refreshInterval:(display:Off,pause:!f,section:0,value:0),time:(from:'2017-12-24T22:52:49-0700',mode:absolute,to:'2017-12-25T01:34:03-0700'))&amp;_a=(columns:!('Message%20ID',Summary),filters:!(),index:'emp_*',interval:auto,query:(query_string:(analyze_wildcard:!t,query:'%22rtdc.l.rtdc.4043%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891</v>
      </c>
      <c r="B153" s="225">
        <v>4006</v>
      </c>
      <c r="C153" s="227" t="s">
        <v>192</v>
      </c>
      <c r="D153" s="227" t="s">
        <v>558</v>
      </c>
      <c r="E153" s="226">
        <v>43093.974652777775</v>
      </c>
      <c r="F153" s="226">
        <v>43093.97960648148</v>
      </c>
      <c r="G153" s="225">
        <v>55</v>
      </c>
      <c r="H153" s="227" t="s">
        <v>557</v>
      </c>
      <c r="I153" s="226">
        <v>43094.004745370374</v>
      </c>
      <c r="J153" s="225">
        <v>0</v>
      </c>
      <c r="K153" s="237" t="str">
        <f>IF(ISEVEN(B153),(B153-1)&amp;"/"&amp;B153,B153&amp;"/"&amp;(B153+1))</f>
        <v>4005/4006</v>
      </c>
      <c r="L153" s="245" t="str">
        <f>VLOOKUP(A153,'Trips&amp;Operators'!$C$1:$G$99911,5,FALSE)</f>
        <v>ANDREA WILLIAMS</v>
      </c>
      <c r="M153" s="224">
        <f>I153-F153</f>
        <v>2.513888889370719E-2</v>
      </c>
      <c r="N153" s="225">
        <f>24*60*SUM($M153:$M153)</f>
        <v>36.200000006938353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-24T22:23:30-0700',mode:absolute,to:'2017-12-25T01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4.7699999999999999E-2</v>
      </c>
      <c r="Z153" s="247">
        <f>RIGHT(H153,LEN(H153)-4)/10000</f>
        <v>23.3232</v>
      </c>
      <c r="AA153" s="247">
        <f>ABS(Z153-Y153)</f>
        <v>23.275500000000001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239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/stypes="app*4006*20171225*"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38"/>
        <v>"%USERPROFILE%\Documents\GitHub\eaglep3\Utilities\RefineRTDCRunTimes.py" --tripid 239-24 --locoid 4006 --swversion DE.1.0.9.0 --startMP 204:477 --initTime 2017-12-24T23:23:30 --startdatetime 2017-12-24T23:30:38 --delay 55 --endMP 204:233232 --enddatetime 2017-12-25T00:06:50 --enforcementcount 0 &gt;&gt;%USERPROFILE%\Documents\GitHub\eaglep3-reporting\EC\2017-12-24-refined-times.txt</v>
      </c>
      <c r="AI153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{"issue":{"subject":"","project_id":79,"tracker_id":40,"status_id":1,"priority_id":2,"assigned_to_id":338,"start_date":"2017-12-25","description":"","custom_fields":[{"id":1,"name":"Subdivision","value":"EC"},{"id":4,"name":"Milepost","value":"23.3232"},{"id":17,"name":"Train ID","value":"239-24"},{"id":16,"name":"Locomotive ID","value":"4006"},{"id":130,"name":"Impact","value":""},{"id":150,"name":"Time of Event (Mountain Time)","value":"00:06:50"},{"id":151,"name":"Denver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40"/>
        <v>start /low /b %USERPROFILE%\Documents\GitHub\eaglep3\Utilities\DownloadLogsFromS3.py --loco 4006 --day 2017-12-24</v>
      </c>
      <c r="AN153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42"/>
        <v>https://d0f6bd738d7f1b3e5a7ca70fe4ff75f0.us-east-1.aws.found.io/app/kibana#/discover/Steve-Slow-Train-Analysis-(2080s-and-2083s)?_g=(refreshInterval:(display:Off,pause:!f,section:0,value:0),time:(from:'2017-12-24T22:23:30-0700',mode:absolute,to:'2017-12-25T01:06:50-0700'))&amp;_a=(columns:!('Message%20ID',Summary),filters:!(),index:'emp_*',interval:auto,query:(query_string:(analyze_wildcard:!t,query:'%22rtdc.l.rtdc.4006%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896</v>
      </c>
      <c r="B154" s="225">
        <v>4005</v>
      </c>
      <c r="C154" s="227" t="s">
        <v>192</v>
      </c>
      <c r="D154" s="227" t="s">
        <v>541</v>
      </c>
      <c r="E154" s="226">
        <v>43094.010648148149</v>
      </c>
      <c r="F154" s="226">
        <v>43094.018958333334</v>
      </c>
      <c r="G154" s="225">
        <v>64</v>
      </c>
      <c r="H154" s="227" t="s">
        <v>556</v>
      </c>
      <c r="I154" s="226">
        <v>43094.045034722221</v>
      </c>
      <c r="J154" s="225">
        <v>0</v>
      </c>
      <c r="K154" s="237" t="str">
        <f>IF(ISEVEN(B154),(B154-1)&amp;"/"&amp;B154,B154&amp;"/"&amp;(B154+1))</f>
        <v>4005/4006</v>
      </c>
      <c r="L154" s="245" t="str">
        <f>VLOOKUP(A154,'Trips&amp;Operators'!$C$1:$G$99911,5,FALSE)</f>
        <v>ANDREA WILLIAMS</v>
      </c>
      <c r="M154" s="224">
        <f>I154-F154</f>
        <v>2.6076388887304347E-2</v>
      </c>
      <c r="N154" s="225">
        <f>24*60*SUM($M154:$M154)</f>
        <v>37.54999999771826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-24T23:15:20-0700',mode:absolute,to:'2017-12-25T02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23.293800000000001</v>
      </c>
      <c r="Z154" s="247">
        <f>RIGHT(H154,LEN(H154)-4)/10000</f>
        <v>2.1600000000000001E-2</v>
      </c>
      <c r="AA154" s="247">
        <f>ABS(Z154-Y154)</f>
        <v>23.272200000000002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240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 &amp; aws s3 cp s3://rtdc.mdm.uploadarchive.raw/RTDC4005/ "%USERPROFILE%\AppData\Local\Temp\OnboardLogs"\RTDC4005\2017-12-26 --exclude "*" --recursive --include "*20171226*" &amp; "%USERPROFILE%\Documents\GitHub\mrs-test-scripts\Headless Mode &amp; Sideloading\WalkAndUnGZ.bat" "%USERPROFILE%\AppData\Local\Temp\OnboardLogs"\RTDC4005\2017-12-26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/stypes="app*4005*20171225*" /stext=" 08:.+((SYSTEM_STATE.+slice.+state.+changed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38"/>
        <v>"%USERPROFILE%\Documents\GitHub\eaglep3\Utilities\RefineRTDCRunTimes.py" --tripid 240-24 --locoid 4005 --swversion DE.1.0.9.0 --startMP 204:232938 --initTime 2017-12-25T00:15:20 --startdatetime 2017-12-25T00:27:18 --delay 64 --endMP 204:216 --enddatetime 2017-12-25T01:04:51 --enforcementcount 0 &gt;&gt;%USERPROFILE%\Documents\GitHub\eaglep3-reporting\EC\2017-12-24-refined-times.txt</v>
      </c>
      <c r="AI154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{"issue":{"subject":"","project_id":79,"tracker_id":40,"status_id":1,"priority_id":2,"assigned_to_id":338,"start_date":"2017-12-25","description":"","custom_fields":[{"id":1,"name":"Subdivision","value":"EC"},{"id":4,"name":"Milepost","value":"0.0216"},{"id":17,"name":"Train ID","value":"240-24"},{"id":16,"name":"Locomotive ID","value":"4005"},{"id":130,"name":"Impact","value":""},{"id":150,"name":"Time of Event (Mountain Time)","value":"01:04:51"},{"id":151,"name":"Denver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40"/>
        <v>start /low /b %USERPROFILE%\Documents\GitHub\eaglep3\Utilities\DownloadLogsFromS3.py --loco 4005 --day 2017-12-25</v>
      </c>
      <c r="AN154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08:04:51"},{"id":29,"name":"Sharepoint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42"/>
        <v>https://d0f6bd738d7f1b3e5a7ca70fe4ff75f0.us-east-1.aws.found.io/app/kibana#/discover/Steve-Slow-Train-Analysis-(2080s-and-2083s)?_g=(refreshInterval:(display:Off,pause:!f,section:0,value:0),time:(from:'2017-12-24T23:15:20-0700',mode:absolute,to:'2017-12-25T02:04:51-0700'))&amp;_a=(columns:!('Message%20ID',Summary),filters:!(),index:'emp_*',interval:auto,query:(query_string:(analyze_wildcard:!t,query:'%22rtdc.l.rtdc.4005%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894</v>
      </c>
      <c r="B155" s="225">
        <v>4022</v>
      </c>
      <c r="C155" s="227" t="s">
        <v>192</v>
      </c>
      <c r="D155" s="227" t="s">
        <v>1039</v>
      </c>
      <c r="E155" s="226">
        <v>43093.986087962963</v>
      </c>
      <c r="F155" s="226">
        <v>43094.000138888892</v>
      </c>
      <c r="G155" s="225">
        <v>50</v>
      </c>
      <c r="H155" s="227" t="s">
        <v>529</v>
      </c>
      <c r="I155" s="226">
        <v>43094.023981481485</v>
      </c>
      <c r="J155" s="225">
        <v>0</v>
      </c>
      <c r="K155" s="237" t="str">
        <f>IF(ISEVEN(B155),(B155-1)&amp;"/"&amp;B155,B155&amp;"/"&amp;(B155+1))</f>
        <v>4021/4022</v>
      </c>
      <c r="L155" s="245" t="str">
        <f>VLOOKUP(A155,'Trips&amp;Operators'!$C$1:$G$99911,5,FALSE)</f>
        <v>ELBAUM MIKE</v>
      </c>
      <c r="M155" s="224">
        <f>I155-F155</f>
        <v>2.3842592592700385E-2</v>
      </c>
      <c r="N155" s="225">
        <f>24*60*SUM($M155:$M155)</f>
        <v>34.333333333488554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-24T22:39:58-0700',mode:absolute,to:'2017-12-25T01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5.7000000000000002E-2</v>
      </c>
      <c r="Z155" s="247">
        <f>RIGHT(H155,LEN(H155)-4)/10000</f>
        <v>23.3263</v>
      </c>
      <c r="AA155" s="247">
        <f>ABS(Z155-Y155)</f>
        <v>23.269300000000001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241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 &amp; aws s3 cp s3://rtdc.mdm.uploadarchive.raw/RTDC4022/ "%USERPROFILE%\AppData\Local\Temp\OnboardLogs"\RTDC4022\2017-12-26 --exclude "*" --recursive --include "*20171226*" &amp; "%USERPROFILE%\Documents\GitHub\mrs-test-scripts\Headless Mode &amp; Sideloading\WalkAndUnGZ.bat" "%USERPROFILE%\AppData\Local\Temp\OnboardLogs"\RTDC4022\2017-12-26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/stypes="app*4022*20171225*" /stext=" 07:.+((SYSTEM_STATE.+slice.+state.+changed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38"/>
        <v>"%USERPROFILE%\Documents\GitHub\eaglep3\Utilities\RefineRTDCRunTimes.py" --tripid 241-24 --locoid 4022 --swversion DE.1.0.9.0 --startMP 204:570 --initTime 2017-12-24T23:39:58 --startdatetime 2017-12-25T00:00:12 --delay 50 --endMP 204:233263 --enddatetime 2017-12-25T00:34:32 --enforcementcount 0 &gt;&gt;%USERPROFILE%\Documents\GitHub\eaglep3-reporting\EC\2017-12-24-refined-times.txt</v>
      </c>
      <c r="AI155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{"issue":{"subject":"","project_id":79,"tracker_id":40,"status_id":1,"priority_id":2,"assigned_to_id":338,"start_date":"2017-12-25","description":"","custom_fields":[{"id":1,"name":"Subdivision","value":"EC"},{"id":4,"name":"Milepost","value":"23.3263"},{"id":17,"name":"Train ID","value":"241-24"},{"id":16,"name":"Locomotive ID","value":"4022"},{"id":130,"name":"Impact","value":""},{"id":150,"name":"Time of Event (Mountain Time)","value":"00:34:32"},{"id":151,"name":"Denver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40"/>
        <v>start /low /b %USERPROFILE%\Documents\GitHub\eaglep3\Utilities\DownloadLogsFromS3.py --loco 4022 --day 2017-12-25</v>
      </c>
      <c r="AN155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42"/>
        <v>https://d0f6bd738d7f1b3e5a7ca70fe4ff75f0.us-east-1.aws.found.io/app/kibana#/discover/Steve-Slow-Train-Analysis-(2080s-and-2083s)?_g=(refreshInterval:(display:Off,pause:!f,section:0,value:0),time:(from:'2017-12-24T22:39:58-0700',mode:absolute,to:'2017-12-25T01:34:32-0700'))&amp;_a=(columns:!('Message%20ID',Summary),filters:!(),index:'emp_*',interval:auto,query:(query_string:(analyze_wildcard:!t,query:'%22rtdc.l.rtdc.4022%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898</v>
      </c>
      <c r="B156" s="225">
        <v>4021</v>
      </c>
      <c r="C156" s="227" t="s">
        <v>192</v>
      </c>
      <c r="D156" s="227" t="s">
        <v>643</v>
      </c>
      <c r="E156" s="226">
        <v>43094.025381944448</v>
      </c>
      <c r="F156" s="226">
        <v>43094.039733796293</v>
      </c>
      <c r="G156" s="225">
        <v>97</v>
      </c>
      <c r="H156" s="227" t="s">
        <v>573</v>
      </c>
      <c r="I156" s="226">
        <v>43094.065289351849</v>
      </c>
      <c r="J156" s="225">
        <v>0</v>
      </c>
      <c r="K156" s="237" t="str">
        <f>IF(ISEVEN(B156),(B156-1)&amp;"/"&amp;B156,B156&amp;"/"&amp;(B156+1))</f>
        <v>4021/4022</v>
      </c>
      <c r="L156" s="245" t="str">
        <f>VLOOKUP(A156,'Trips&amp;Operators'!$C$1:$G$99911,5,FALSE)</f>
        <v>ELBAUM MIKE</v>
      </c>
      <c r="M156" s="224">
        <f>I156-F156</f>
        <v>2.5555555555911269E-2</v>
      </c>
      <c r="N156" s="225">
        <f>24*60*SUM($M156:$M156)</f>
        <v>36.800000000512227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-24T23:36:33-0700',mode:absolute,to:'2017-12-25T02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23.293199999999999</v>
      </c>
      <c r="Z156" s="247">
        <f>RIGHT(H156,LEN(H156)-4)/10000</f>
        <v>2.6200000000000001E-2</v>
      </c>
      <c r="AA156" s="247">
        <f>ABS(Z156-Y156)</f>
        <v>23.266999999999999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242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 &amp; aws s3 cp s3://rtdc.mdm.uploadarchive.raw/RTDC4021/ "%USERPROFILE%\AppData\Local\Temp\OnboardLogs"\RTDC4021\2017-12-26 --exclude "*" --recursive --include "*20171226*" &amp; "%USERPROFILE%\Documents\GitHub\mrs-test-scripts\Headless Mode &amp; Sideloading\WalkAndUnGZ.bat" "%USERPROFILE%\AppData\Local\Temp\OnboardLogs"\RTDC4021\2017-12-26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/stypes="app*4021*20171225*" /stext=" 08:.+((SYSTEM_STATE.+slice.+state.+changed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38"/>
        <v>"%USERPROFILE%\Documents\GitHub\eaglep3\Utilities\RefineRTDCRunTimes.py" --tripid 242-24 --locoid 4021 --swversion DE.1.0.9.0 --startMP 204:232932 --initTime 2017-12-25T00:36:33 --startdatetime 2017-12-25T00:57:13 --delay 97 --endMP 204:262 --enddatetime 2017-12-25T01:34:01 --enforcementcount 0 &gt;&gt;%USERPROFILE%\Documents\GitHub\eaglep3-reporting\EC\2017-12-24-refined-times.txt</v>
      </c>
      <c r="AI156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{"issue":{"subject":"","project_id":79,"tracker_id":40,"status_id":1,"priority_id":2,"assigned_to_id":338,"start_date":"2017-12-25","description":"","custom_fields":[{"id":1,"name":"Subdivision","value":"EC"},{"id":4,"name":"Milepost","value":"0.0262"},{"id":17,"name":"Train ID","value":"242-24"},{"id":16,"name":"Locomotive ID","value":"4021"},{"id":130,"name":"Impact","value":""},{"id":150,"name":"Time of Event (Mountain Time)","value":"01:34:01"},{"id":151,"name":"Denver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40"/>
        <v>start /low /b %USERPROFILE%\Documents\GitHub\eaglep3\Utilities\DownloadLogsFromS3.py --loco 4021 --day 2017-12-25</v>
      </c>
      <c r="AN156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08:34:01"},{"id":29,"name":"Sharepoint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42"/>
        <v>https://d0f6bd738d7f1b3e5a7ca70fe4ff75f0.us-east-1.aws.found.io/app/kibana#/discover/Steve-Slow-Train-Analysis-(2080s-and-2083s)?_g=(refreshInterval:(display:Off,pause:!f,section:0,value:0),time:(from:'2017-12-24T23:36:33-0700',mode:absolute,to:'2017-12-25T02:34:01-0700'))&amp;_a=(columns:!('Message%20ID',Summary),filters:!(),index:'emp_*',interval:auto,query:(query_string:(analyze_wildcard:!t,query:'%22rtdc.l.rtdc.4021%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897</v>
      </c>
      <c r="B157" s="225">
        <v>4062</v>
      </c>
      <c r="C157" s="227" t="s">
        <v>192</v>
      </c>
      <c r="D157" s="227" t="s">
        <v>1043</v>
      </c>
      <c r="E157" s="226">
        <v>43094.019317129627</v>
      </c>
      <c r="F157" s="226">
        <v>43094.021041666667</v>
      </c>
      <c r="G157" s="225">
        <v>55</v>
      </c>
      <c r="H157" s="227" t="s">
        <v>956</v>
      </c>
      <c r="I157" s="226">
        <v>43094.045810185184</v>
      </c>
      <c r="J157" s="225">
        <v>0</v>
      </c>
      <c r="K157" s="237" t="str">
        <f>IF(ISEVEN(B157),(B157-1)&amp;"/"&amp;B157,B157&amp;"/"&amp;(B157+1))</f>
        <v>4061/4062</v>
      </c>
      <c r="L157" s="245" t="str">
        <f>VLOOKUP(A157,'Trips&amp;Operators'!$C$1:$G$99911,5,FALSE)</f>
        <v>RESPASS AARON</v>
      </c>
      <c r="M157" s="224">
        <f>I157-F157</f>
        <v>2.4768518516793847E-2</v>
      </c>
      <c r="N157" s="225">
        <f>24*60*SUM($M157:$M157)</f>
        <v>35.66666666418314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-24T23:27:49-0700',mode:absolute,to:'2017-12-25T02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5.57E-2</v>
      </c>
      <c r="Z157" s="247">
        <f>RIGHT(H157,LEN(H157)-4)/10000</f>
        <v>23.3246</v>
      </c>
      <c r="AA157" s="247">
        <f>ABS(Z157-Y157)</f>
        <v>23.268899999999999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243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 &amp; aws s3 cp s3://rtdc.mdm.uploadarchive.raw/RTDC4062/ "%USERPROFILE%\AppData\Local\Temp\OnboardLogs"\RTDC4062\2017-12-26 --exclude "*" --recursive --include "*20171226*" &amp; "%USERPROFILE%\Documents\GitHub\mrs-test-scripts\Headless Mode &amp; Sideloading\WalkAndUnGZ.bat" "%USERPROFILE%\AppData\Local\Temp\OnboardLogs"\RTDC4062\2017-12-26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/stypes="app*4062*20171225*"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38"/>
        <v>"%USERPROFILE%\Documents\GitHub\eaglep3\Utilities\RefineRTDCRunTimes.py" --tripid 243-24 --locoid 4062 --swversion DE.1.0.9.0 --startMP 204:557 --initTime 2017-12-25T00:27:49 --startdatetime 2017-12-25T00:30:18 --delay 55 --endMP 204:233246 --enddatetime 2017-12-25T01:05:58 --enforcementcount 0 &gt;&gt;%USERPROFILE%\Documents\GitHub\eaglep3-reporting\EC\2017-12-24-refined-times.txt</v>
      </c>
      <c r="AI157" s="238" t="str">
        <f t="shared" si="39"/>
        <v>echo {"issue":{"subject":"","project_id":79,"tracker_id":40,"status_id":1,"priority_id":2,"assigned_to_id":338,"start_date":"2017-12-25","description":"","custom_fields":[{"id":1,"name":"Subdivision","value":"EC"},{"id":4,"name":"Milepost","value":"23.3246"},{"id":17,"name":"Train ID","value":"243-24"},{"id":16,"name":"Locomotive ID","value":"4062"},{"id":130,"name":"Impact","value":""},{"id":150,"name":"Time of Event (Mountain Time)","value":"01:05:58"},{"id":151,"name":"Denver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40"/>
        <v>start /low /b %USERPROFILE%\Documents\GitHub\eaglep3\Utilities\DownloadLogsFromS3.py --loco 4062 --day 2017-12-25</v>
      </c>
      <c r="AN157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42"/>
        <v>https://d0f6bd738d7f1b3e5a7ca70fe4ff75f0.us-east-1.aws.found.io/app/kibana#/discover/Steve-Slow-Train-Analysis-(2080s-and-2083s)?_g=(refreshInterval:(display:Off,pause:!f,section:0,value:0),time:(from:'2017-12-24T23:27:49-0700',mode:absolute,to:'2017-12-25T02:05:58-0700'))&amp;_a=(columns:!('Message%20ID',Summary),filters:!(),index:'emp_*',interval:auto,query:(query_string:(analyze_wildcard:!t,query:'%22rtdc.l.rtdc.4062%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900</v>
      </c>
      <c r="B158" s="225">
        <v>4061</v>
      </c>
      <c r="C158" s="227" t="s">
        <v>192</v>
      </c>
      <c r="D158" s="227" t="s">
        <v>1043</v>
      </c>
      <c r="E158" s="226">
        <v>43094.019317129627</v>
      </c>
      <c r="F158" s="226">
        <v>43094.060717592591</v>
      </c>
      <c r="G158" s="225">
        <v>55</v>
      </c>
      <c r="H158" s="227" t="s">
        <v>956</v>
      </c>
      <c r="I158" s="226">
        <v>43094.087210648147</v>
      </c>
      <c r="J158" s="225">
        <v>0</v>
      </c>
      <c r="K158" s="237" t="str">
        <f>IF(ISEVEN(B158),(B158-1)&amp;"/"&amp;B158,B158&amp;"/"&amp;(B158+1))</f>
        <v>4061/4062</v>
      </c>
      <c r="L158" s="245" t="str">
        <f>VLOOKUP(A158,'Trips&amp;Operators'!$C$1:$G$99911,5,FALSE)</f>
        <v>RESPASS AARON</v>
      </c>
      <c r="M158" s="224">
        <f>I158-F158</f>
        <v>2.6493055556784384E-2</v>
      </c>
      <c r="N158" s="225">
        <f>24*60*SUM($M158:$M158)</f>
        <v>38.150000001769513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-24T23:27:49-0700',mode:absolute,to:'2017-12-25T03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v>23.261700000000001</v>
      </c>
      <c r="Z158" s="247">
        <v>2.6200000000000001E-2</v>
      </c>
      <c r="AA158" s="247">
        <f>ABS(Z158-Y158)</f>
        <v>23.235500000000002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244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 &amp; aws s3 cp s3://rtdc.mdm.uploadarchive.raw/RTDC4061/ "%USERPROFILE%\AppData\Local\Temp\OnboardLogs"\RTDC4061\2017-12-26 --exclude "*" --recursive --include "*20171226*" &amp; "%USERPROFILE%\Documents\GitHub\mrs-test-scripts\Headless Mode &amp; Sideloading\WalkAndUnGZ.bat" "%USERPROFILE%\AppData\Local\Temp\OnboardLogs"\RTDC4061\2017-12-26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/stypes="app*4061*20171225*" /stext=" 09:.+((SYSTEM_STATE.+slice.+state.+changed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ref="AH158" si="43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244-24 --locoid 4061 --swversion DE.1.0.9.0 --startMP 204:557 --initTime 2017-12-25T00:27:49 --startdatetime 2017-12-25T01:27:26 --delay 55 --endMP 204:233246 --enddatetime 2017-12-25T02:05:35 --enforcementcount 0 &gt;&gt;%USERPROFILE%\Documents\GitHub\eaglep3-reporting\EC\2017-12-24-refined-times.txt</v>
      </c>
      <c r="AI158" s="238" t="str">
        <f t="shared" ref="AI158" si="44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{"issue":{"subject":"","project_id":79,"tracker_id":40,"status_id":1,"priority_id":2,"assigned_to_id":338,"start_date":"2017-12-25","description":"","custom_fields":[{"id":1,"name":"Subdivision","value":"EC"},{"id":4,"name":"Milepost","value":"0.0262"},{"id":17,"name":"Train ID","value":"244-24"},{"id":16,"name":"Locomotive ID","value":"4061"},{"id":130,"name":"Impact","value":""},{"id":150,"name":"Time of Event (Mountain Time)","value":"02:05:35"},{"id":151,"name":"Denver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45">"start /low /b "&amp;dls3logs&amp;" --loco "&amp;B158&amp;" --day "&amp;TEXT(F158,"YYYY-MM-DD")</f>
        <v>start /low /b %USERPROFILE%\Documents\GitHub\eaglep3\Utilities\DownloadLogsFromS3.py --loco 4061 --day 2017-12-25</v>
      </c>
      <c r="AN158" s="241" t="str">
        <f t="shared" ref="AN158" si="46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09:05:35"},{"id":29,"name":"Sharepoint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47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-24T23:27:49-0700',mode:absolute,to:'2017-12-25T03:05:35-0700'))&amp;_a=(columns:!('Message%20ID',Summary),filters:!(),index:'emp_*',interval:auto,query:(query_string:(analyze_wildcard:!t,query:'%22rtdc.l.rtdc.4061%22')),sort:!(Time.ISO8601,asc))</v>
      </c>
    </row>
    <row r="159" spans="1:91" s="223" customFormat="1" x14ac:dyDescent="0.3">
      <c r="A159" s="229" t="s">
        <v>736</v>
      </c>
      <c r="B159" s="225">
        <v>4057</v>
      </c>
      <c r="C159" s="227" t="s">
        <v>192</v>
      </c>
      <c r="D159" s="227" t="s">
        <v>961</v>
      </c>
      <c r="E159" s="226">
        <v>43093.235543981478</v>
      </c>
      <c r="F159" s="226">
        <v>43093.236805555556</v>
      </c>
      <c r="G159" s="225">
        <v>61</v>
      </c>
      <c r="H159" s="227" t="s">
        <v>582</v>
      </c>
      <c r="I159" s="226">
        <v>43093.24690972222</v>
      </c>
      <c r="J159" s="225">
        <v>0</v>
      </c>
      <c r="K159" s="237" t="str">
        <f>IF(ISEVEN(B159),(B159-1)&amp;"/"&amp;B159,B159&amp;"/"&amp;(B159+1))</f>
        <v>4057/4058</v>
      </c>
      <c r="L159" s="245" t="str">
        <f>VLOOKUP(A159,'Trips&amp;Operators'!$C$1:$G$99911,5,FALSE)</f>
        <v>MACDONALD THOMAS</v>
      </c>
      <c r="M159" s="224">
        <f>I159-F159</f>
        <v>1.0104166663950309E-2</v>
      </c>
      <c r="N159" s="225">
        <f>24*60*SUM($M159:$M159)</f>
        <v>14.549999996088445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-24T04:39:11-0700',mode:absolute,to:'2017-12-24T06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9" s="247" t="str">
        <f>IF(AA159&lt;VLOOKUP(AG159,Variables!$AC$3:$AD$8,2,FALSE),"Y","N")</f>
        <v>N</v>
      </c>
      <c r="X159" s="247">
        <f t="shared" ref="X159:X161" si="48">VALUE(LEFT(AD159,4))-VALUE(LEFT(AD158,4))</f>
        <v>1556</v>
      </c>
      <c r="Y159" s="247">
        <f>RIGHT(D159,LEN(D159)-4)/10000</f>
        <v>5.8589000000000002</v>
      </c>
      <c r="Z159" s="247">
        <f>RIGHT(H159,LEN(H159)-4)/10000</f>
        <v>1.6899999999999998E-2</v>
      </c>
      <c r="AA159" s="247">
        <f>ABS(Z159-Y159)</f>
        <v>5.8420000000000005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1800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/stypes="app*4057*20171224*" /stext=" 12:.+((SYSTEM_STATE.+slice.+state.+changed )|(ment ac)|(multiple cpu faults)|(system.+state.+changed )|(\[timeout)|(PRM\|1\|D)|(kpr)|(kdp)|(train st.+moving)|(\|lc)|(penalty))"</v>
      </c>
      <c r="AG159" s="244" t="str">
        <f>DetSubdiv(A159)</f>
        <v>NW</v>
      </c>
      <c r="AH159" s="236" t="str">
        <f t="shared" si="38"/>
        <v>"%USERPROFILE%\Documents\GitHub\eaglep3\Utilities\RefineRTDCRunTimes.py" --tripid 1800-24 --locoid 4057 --swversion DE.1.0.9.0 --startMP 300:58589 --initTime 2017-12-24T05:39:11 --startdatetime 2017-12-24T05:41:00 --delay 61 --endMP 204:169 --enddatetime 2017-12-24T05:55:33 --enforcementcount 0 &gt;&gt;%USERPROFILE%\Documents\GitHub\eaglep3-reporting\EC\2017-12-24-refined-times.txt</v>
      </c>
      <c r="AI159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{"issue":{"subject":"","project_id":79,"tracker_id":40,"status_id":1,"priority_id":2,"assigned_to_id":338,"start_date":"2017-12-24","description":"","custom_fields":[{"id":1,"name":"Subdivision","value":"NW"},{"id":4,"name":"Milepost","value":"0.0169"},{"id":17,"name":"Train ID","value":"1800-24"},{"id":16,"name":"Locomotive ID","value":"4057"},{"id":130,"name":"Impact","value":""},{"id":150,"name":"Time of Event (Mountain Time)","value":"05:55:33"},{"id":151,"name":"Denver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40"/>
        <v>start /low /b %USERPROFILE%\Documents\GitHub\eaglep3\Utilities\DownloadLogsFromS3.py --loco 4057 --day 2017-12-24</v>
      </c>
      <c r="AN159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42"/>
        <v>https://d0f6bd738d7f1b3e5a7ca70fe4ff75f0.us-east-1.aws.found.io/app/kibana#/discover/Steve-Slow-Train-Analysis-(2080s-and-2083s)?_g=(refreshInterval:(display:Off,pause:!f,section:0,value:0),time:(from:'2017-12-24T04:39:11-0700',mode:absolute,to:'2017-12-24T06:55:33-0700'))&amp;_a=(columns:!('Message%20ID',Summary),filters:!(),index:'emp_*',interval:auto,query:(query_string:(analyze_wildcard:!t,query:'%22rtdc.l.rtdc.4057%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29" t="s">
        <v>741</v>
      </c>
      <c r="B160" s="225">
        <v>4058</v>
      </c>
      <c r="C160" s="227" t="s">
        <v>192</v>
      </c>
      <c r="D160" s="227" t="s">
        <v>639</v>
      </c>
      <c r="E160" s="226">
        <v>43093.254652777781</v>
      </c>
      <c r="F160" s="226">
        <v>43093.256527777776</v>
      </c>
      <c r="G160" s="225">
        <v>54</v>
      </c>
      <c r="H160" s="227" t="s">
        <v>962</v>
      </c>
      <c r="I160" s="226">
        <v>43093.266724537039</v>
      </c>
      <c r="J160" s="225">
        <v>0</v>
      </c>
      <c r="K160" s="237" t="str">
        <f>IF(ISEVEN(B160),(B160-1)&amp;"/"&amp;B160,B160&amp;"/"&amp;(B160+1))</f>
        <v>4057/4058</v>
      </c>
      <c r="L160" s="245" t="str">
        <f>VLOOKUP(A160,'Trips&amp;Operators'!$C$1:$G$99911,5,FALSE)</f>
        <v>MACDONALD THOMAS</v>
      </c>
      <c r="M160" s="224">
        <f>I160-F160</f>
        <v>1.0196759263635613E-2</v>
      </c>
      <c r="N160" s="225">
        <f>24*60*SUM($M160:$M160)</f>
        <v>14.683333339635283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-24T05:06:42-0700',mode:absolute,to:'2017-12-24T07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0" s="247" t="str">
        <f>IF(AA160&lt;VLOOKUP(AG160,Variables!$AC$3:$AD$8,2,FALSE),"Y","N")</f>
        <v>N</v>
      </c>
      <c r="X160" s="247">
        <f t="shared" si="48"/>
        <v>1</v>
      </c>
      <c r="Y160" s="247">
        <f>RIGHT(D160,LEN(D160)-4)/10000</f>
        <v>4.7300000000000002E-2</v>
      </c>
      <c r="Z160" s="247">
        <f>RIGHT(H160,LEN(H160)-4)/10000</f>
        <v>5.8901000000000003</v>
      </c>
      <c r="AA160" s="247">
        <f>ABS(Z160-Y160)</f>
        <v>5.8428000000000004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1801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/stypes="app*4058*20171224*" /stext=" 13:.+((SYSTEM_STATE.+slice.+state.+changed )|(ment ac)|(multiple cpu faults)|(system.+state.+changed )|(\[timeout)|(PRM\|1\|D)|(kpr)|(kdp)|(train st.+moving)|(\|lc)|(penalty))"</v>
      </c>
      <c r="AG160" s="244" t="str">
        <f>DetSubdiv(A160)</f>
        <v>NW</v>
      </c>
      <c r="AH160" s="236" t="str">
        <f t="shared" si="38"/>
        <v>"%USERPROFILE%\Documents\GitHub\eaglep3\Utilities\RefineRTDCRunTimes.py" --tripid 1801-24 --locoid 4058 --swversion DE.1.0.9.0 --startMP 204:473 --initTime 2017-12-24T06:06:42 --startdatetime 2017-12-24T06:09:24 --delay 54 --endMP 300:58901 --enddatetime 2017-12-24T06:24:05 --enforcementcount 0 &gt;&gt;%USERPROFILE%\Documents\GitHub\eaglep3-reporting\EC\2017-12-24-refined-times.txt</v>
      </c>
      <c r="AI160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{"issue":{"subject":"","project_id":79,"tracker_id":40,"status_id":1,"priority_id":2,"assigned_to_id":338,"start_date":"2017-12-24","description":"","custom_fields":[{"id":1,"name":"Subdivision","value":"NW"},{"id":4,"name":"Milepost","value":"5.8901"},{"id":17,"name":"Train ID","value":"1801-24"},{"id":16,"name":"Locomotive ID","value":"4058"},{"id":130,"name":"Impact","value":""},{"id":150,"name":"Time of Event (Mountain Time)","value":"06:24:05"},{"id":151,"name":"Denver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40"/>
        <v>start /low /b %USERPROFILE%\Documents\GitHub\eaglep3\Utilities\DownloadLogsFromS3.py --loco 4058 --day 2017-12-24</v>
      </c>
      <c r="AN160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42"/>
        <v>https://d0f6bd738d7f1b3e5a7ca70fe4ff75f0.us-east-1.aws.found.io/app/kibana#/discover/Steve-Slow-Train-Analysis-(2080s-and-2083s)?_g=(refreshInterval:(display:Off,pause:!f,section:0,value:0),time:(from:'2017-12-24T05:06:42-0700',mode:absolute,to:'2017-12-24T07:24:05-0700'))&amp;_a=(columns:!('Message%20ID',Summary),filters:!(),index:'emp_*',interval:auto,query:(query_string:(analyze_wildcard:!t,query:'%22rtdc.l.rtdc.4058%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744</v>
      </c>
      <c r="B161" s="225">
        <v>4057</v>
      </c>
      <c r="C161" s="227" t="s">
        <v>192</v>
      </c>
      <c r="D161" s="227" t="s">
        <v>963</v>
      </c>
      <c r="E161" s="226">
        <v>43093.267395833333</v>
      </c>
      <c r="F161" s="226">
        <v>43093.280057870368</v>
      </c>
      <c r="G161" s="225">
        <v>97</v>
      </c>
      <c r="H161" s="227" t="s">
        <v>964</v>
      </c>
      <c r="I161" s="226">
        <v>43093.288344907407</v>
      </c>
      <c r="J161" s="225">
        <v>0</v>
      </c>
      <c r="K161" s="237" t="str">
        <f>IF(ISEVEN(B161),(B161-1)&amp;"/"&amp;B161,B161&amp;"/"&amp;(B161+1))</f>
        <v>4057/4058</v>
      </c>
      <c r="L161" s="245" t="str">
        <f>VLOOKUP(A161,'Trips&amp;Operators'!$C$1:$G$99911,5,FALSE)</f>
        <v>MACDONALD THOMAS</v>
      </c>
      <c r="M161" s="224">
        <f>I161-F161</f>
        <v>8.2870370388263837E-3</v>
      </c>
      <c r="N161" s="225">
        <f>24*60*SUM($M161:$M161)</f>
        <v>11.933333335909992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-24T05:25:03-0700',mode:absolute,to:'2017-12-24T07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247" t="str">
        <f>IF(AA161&lt;VLOOKUP(AG161,Variables!$AC$3:$AD$8,2,FALSE),"Y","N")</f>
        <v>N</v>
      </c>
      <c r="X161" s="247">
        <f t="shared" si="48"/>
        <v>1</v>
      </c>
      <c r="Y161" s="247">
        <f>RIGHT(D161,LEN(D161)-4)/10000</f>
        <v>5.8585000000000003</v>
      </c>
      <c r="Z161" s="247">
        <f>RIGHT(H161,LEN(H161)-4)/10000</f>
        <v>1.84E-2</v>
      </c>
      <c r="AA161" s="247">
        <f>ABS(Z161-Y161)</f>
        <v>5.8401000000000005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1802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/stypes="app*4057*20171224*" /stext=" 13:.+((SYSTEM_STATE.+slice.+state.+changed )|(ment ac)|(multiple cpu faults)|(system.+state.+changed )|(\[timeout)|(PRM\|1\|D)|(kpr)|(kdp)|(train st.+moving)|(\|lc)|(penalty))"</v>
      </c>
      <c r="AG161" s="244" t="str">
        <f>DetSubdiv(A161)</f>
        <v>NW</v>
      </c>
      <c r="AH161" s="236" t="str">
        <f t="shared" si="38"/>
        <v>"%USERPROFILE%\Documents\GitHub\eaglep3\Utilities\RefineRTDCRunTimes.py" --tripid 1802-24 --locoid 4057 --swversion DE.1.0.9.0 --startMP 300:58585 --initTime 2017-12-24T06:25:03 --startdatetime 2017-12-24T06:43:17 --delay 97 --endMP 204:184 --enddatetime 2017-12-24T06:55:13 --enforcementcount 0 &gt;&gt;%USERPROFILE%\Documents\GitHub\eaglep3-reporting\EC\2017-12-24-refined-times.txt</v>
      </c>
      <c r="AI161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{"issue":{"subject":"","project_id":79,"tracker_id":40,"status_id":1,"priority_id":2,"assigned_to_id":338,"start_date":"2017-12-24","description":"","custom_fields":[{"id":1,"name":"Subdivision","value":"NW"},{"id":4,"name":"Milepost","value":"0.0184"},{"id":17,"name":"Train ID","value":"1802-24"},{"id":16,"name":"Locomotive ID","value":"4057"},{"id":130,"name":"Impact","value":""},{"id":150,"name":"Time of Event (Mountain Time)","value":"06:55:13"},{"id":151,"name":"Denver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40"/>
        <v>start /low /b %USERPROFILE%\Documents\GitHub\eaglep3\Utilities\DownloadLogsFromS3.py --loco 4057 --day 2017-12-24</v>
      </c>
      <c r="AN161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42"/>
        <v>https://d0f6bd738d7f1b3e5a7ca70fe4ff75f0.us-east-1.aws.found.io/app/kibana#/discover/Steve-Slow-Train-Analysis-(2080s-and-2083s)?_g=(refreshInterval:(display:Off,pause:!f,section:0,value:0),time:(from:'2017-12-24T05:25:03-0700',mode:absolute,to:'2017-12-24T07:55:13-0700'))&amp;_a=(columns:!('Message%20ID',Summary),filters:!(),index:'emp_*',interval:auto,query:(query_string:(analyze_wildcard:!t,query:'%22rtdc.l.rtdc.4057%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29" t="s">
        <v>673</v>
      </c>
      <c r="B162" s="225">
        <v>4058</v>
      </c>
      <c r="C162" s="227" t="s">
        <v>192</v>
      </c>
      <c r="D162" s="227" t="s">
        <v>965</v>
      </c>
      <c r="E162" s="226">
        <v>43093.296712962961</v>
      </c>
      <c r="F162" s="226">
        <v>43093.298136574071</v>
      </c>
      <c r="G162" s="225">
        <v>48</v>
      </c>
      <c r="H162" s="227" t="s">
        <v>966</v>
      </c>
      <c r="I162" s="226">
        <v>43093.307638888888</v>
      </c>
      <c r="J162" s="225">
        <v>0</v>
      </c>
      <c r="K162" s="237" t="str">
        <f>IF(ISEVEN(B162),(B162-1)&amp;"/"&amp;B162,B162&amp;"/"&amp;(B162+1))</f>
        <v>4057/4058</v>
      </c>
      <c r="L162" s="245" t="str">
        <f>VLOOKUP(A162,'Trips&amp;Operators'!$C$1:$G$99911,5,FALSE)</f>
        <v>MACDONALD THOMAS</v>
      </c>
      <c r="M162" s="224">
        <f>I162-F162</f>
        <v>9.5023148169275373E-3</v>
      </c>
      <c r="N162" s="225">
        <f>24*60*SUM($M162:$M162)</f>
        <v>13.683333336375654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-24T06:07:16-0700',mode:absolute,to:'2017-12-24T08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4.6199999999999998E-2</v>
      </c>
      <c r="Z162" s="247">
        <f>RIGHT(H162,LEN(H162)-4)/10000</f>
        <v>5.8897000000000004</v>
      </c>
      <c r="AA162" s="247">
        <f>ABS(Z162-Y162)</f>
        <v>5.8435000000000006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1803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/stypes="app*4058*20171224*" /stext=" 14:.+((SYSTEM_STATE.+slice.+state.+changed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38"/>
        <v>"%USERPROFILE%\Documents\GitHub\eaglep3\Utilities\RefineRTDCRunTimes.py" --tripid 1803-24 --locoid 4058 --swversion DE.1.0.9.0 --startMP 204:462 --initTime 2017-12-24T07:07:16 --startdatetime 2017-12-24T07:09:19 --delay 48 --endMP 300:58897 --enddatetime 2017-12-24T07:23:00 --enforcementcount 0 &gt;&gt;%USERPROFILE%\Documents\GitHub\eaglep3-reporting\EC\2017-12-24-refined-times.txt</v>
      </c>
      <c r="AI162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{"issue":{"subject":"","project_id":79,"tracker_id":40,"status_id":1,"priority_id":2,"assigned_to_id":338,"start_date":"2017-12-24","description":"","custom_fields":[{"id":1,"name":"Subdivision","value":"NW"},{"id":4,"name":"Milepost","value":"5.8897"},{"id":17,"name":"Train ID","value":"1803-24"},{"id":16,"name":"Locomotive ID","value":"4058"},{"id":130,"name":"Impact","value":""},{"id":150,"name":"Time of Event (Mountain Time)","value":"07:23:00"},{"id":151,"name":"Denver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3"/>
      <c r="AK162" s="231"/>
      <c r="AL162" s="231"/>
      <c r="AM162" s="240" t="str">
        <f t="shared" si="40"/>
        <v>start /low /b %USERPROFILE%\Documents\GitHub\eaglep3\Utilities\DownloadLogsFromS3.py --loco 4058 --day 2017-12-24</v>
      </c>
      <c r="AN162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42"/>
        <v>https://d0f6bd738d7f1b3e5a7ca70fe4ff75f0.us-east-1.aws.found.io/app/kibana#/discover/Steve-Slow-Train-Analysis-(2080s-and-2083s)?_g=(refreshInterval:(display:Off,pause:!f,section:0,value:0),time:(from:'2017-12-24T06:07:16-0700',mode:absolute,to:'2017-12-24T08:23:00-0700'))&amp;_a=(columns:!('Message%20ID',Summary),filters:!(),index:'emp_*',interval:auto,query:(query_string:(analyze_wildcard:!t,query:'%22rtdc.l.rtdc.4058%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29" t="s">
        <v>754</v>
      </c>
      <c r="B163" s="225">
        <v>4057</v>
      </c>
      <c r="C163" s="227" t="s">
        <v>192</v>
      </c>
      <c r="D163" s="227" t="s">
        <v>967</v>
      </c>
      <c r="E163" s="226">
        <v>43093.308263888888</v>
      </c>
      <c r="F163" s="226">
        <v>43093.321689814817</v>
      </c>
      <c r="G163" s="225">
        <v>52</v>
      </c>
      <c r="H163" s="227" t="s">
        <v>968</v>
      </c>
      <c r="I163" s="226">
        <v>43093.329780092594</v>
      </c>
      <c r="J163" s="225">
        <v>0</v>
      </c>
      <c r="K163" s="237" t="str">
        <f>IF(ISEVEN(B163),(B163-1)&amp;"/"&amp;B163,B163&amp;"/"&amp;(B163+1))</f>
        <v>4057/4058</v>
      </c>
      <c r="L163" s="245" t="str">
        <f>VLOOKUP(A163,'Trips&amp;Operators'!$C$1:$G$99911,5,FALSE)</f>
        <v>MACDONALD THOMAS</v>
      </c>
      <c r="M163" s="224">
        <f>I163-F163</f>
        <v>8.0902777772280388E-3</v>
      </c>
      <c r="N163" s="225">
        <f>24*60*SUM($M163:$M163)</f>
        <v>11.649999999208376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-24T06:23:54-0700',mode:absolute,to:'2017-12-24T08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1</v>
      </c>
      <c r="Y163" s="247">
        <f>RIGHT(D163,LEN(D163)-4)/10000</f>
        <v>5.8575999999999997</v>
      </c>
      <c r="Z163" s="247">
        <f>RIGHT(H163,LEN(H163)-4)/10000</f>
        <v>1.55E-2</v>
      </c>
      <c r="AA163" s="247">
        <f>ABS(Z163-Y163)</f>
        <v>5.8420999999999994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1804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/stypes="app*4057*20171224*" /stext=" 14:.+((SYSTEM_STATE.+slice.+state.+changed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38"/>
        <v>"%USERPROFILE%\Documents\GitHub\eaglep3\Utilities\RefineRTDCRunTimes.py" --tripid 1804-24 --locoid 4057 --swversion DE.1.0.9.0 --startMP 300:58576 --initTime 2017-12-24T07:23:54 --startdatetime 2017-12-24T07:43:14 --delay 52 --endMP 204:155 --enddatetime 2017-12-24T07:54:53 --enforcementcount 0 &gt;&gt;%USERPROFILE%\Documents\GitHub\eaglep3-reporting\EC\2017-12-24-refined-times.txt</v>
      </c>
      <c r="AI163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{"issue":{"subject":"","project_id":79,"tracker_id":40,"status_id":1,"priority_id":2,"assigned_to_id":338,"start_date":"2017-12-24","description":"","custom_fields":[{"id":1,"name":"Subdivision","value":"NW"},{"id":4,"name":"Milepost","value":"0.0155"},{"id":17,"name":"Train ID","value":"1804-24"},{"id":16,"name":"Locomotive ID","value":"4057"},{"id":130,"name":"Impact","value":""},{"id":150,"name":"Time of Event (Mountain Time)","value":"07:54:53"},{"id":151,"name":"Denver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40"/>
        <v>start /low /b %USERPROFILE%\Documents\GitHub\eaglep3\Utilities\DownloadLogsFromS3.py --loco 4057 --day 2017-12-24</v>
      </c>
      <c r="AN163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14:54:53"},{"id":29,"name":"Sharepoint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42"/>
        <v>https://d0f6bd738d7f1b3e5a7ca70fe4ff75f0.us-east-1.aws.found.io/app/kibana#/discover/Steve-Slow-Train-Analysis-(2080s-and-2083s)?_g=(refreshInterval:(display:Off,pause:!f,section:0,value:0),time:(from:'2017-12-24T06:23:54-0700',mode:absolute,to:'2017-12-24T08:54:53-0700'))&amp;_a=(columns:!('Message%20ID',Summary),filters:!(),index:'emp_*',interval:auto,query:(query_string:(analyze_wildcard:!t,query:'%22rtdc.l.rtdc.4057%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761</v>
      </c>
      <c r="B164" s="225">
        <v>4058</v>
      </c>
      <c r="C164" s="227" t="s">
        <v>192</v>
      </c>
      <c r="D164" s="227" t="s">
        <v>663</v>
      </c>
      <c r="E164" s="226">
        <v>43093.339131944442</v>
      </c>
      <c r="F164" s="226">
        <v>43093.340219907404</v>
      </c>
      <c r="G164" s="225">
        <v>53</v>
      </c>
      <c r="H164" s="227" t="s">
        <v>966</v>
      </c>
      <c r="I164" s="226">
        <v>43093.349444444444</v>
      </c>
      <c r="J164" s="225">
        <v>0</v>
      </c>
      <c r="K164" s="237" t="str">
        <f>IF(ISEVEN(B164),(B164-1)&amp;"/"&amp;B164,B164&amp;"/"&amp;(B164+1))</f>
        <v>4057/4058</v>
      </c>
      <c r="L164" s="245" t="str">
        <f>VLOOKUP(A164,'Trips&amp;Operators'!$C$1:$G$99911,5,FALSE)</f>
        <v>MACDONALD THOMAS</v>
      </c>
      <c r="M164" s="224">
        <f>I164-F164</f>
        <v>9.2245370396994986E-3</v>
      </c>
      <c r="N164" s="225">
        <f>24*60*SUM($M164:$M164)</f>
        <v>13.283333337167278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-24T07:08:21-0700',mode:absolute,to:'2017-12-24T09:23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4.5499999999999999E-2</v>
      </c>
      <c r="Z164" s="247">
        <f>RIGHT(H164,LEN(H164)-4)/10000</f>
        <v>5.8897000000000004</v>
      </c>
      <c r="AA164" s="247">
        <f>ABS(Z164-Y164)</f>
        <v>5.8442000000000007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1805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/stypes="app*4058*20171224*" /stext=" 15:.+((SYSTEM_STATE.+slice.+state.+changed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38"/>
        <v>"%USERPROFILE%\Documents\GitHub\eaglep3\Utilities\RefineRTDCRunTimes.py" --tripid 1805-24 --locoid 4058 --swversion DE.1.0.9.0 --startMP 204:455 --initTime 2017-12-24T08:08:21 --startdatetime 2017-12-24T08:09:55 --delay 53 --endMP 300:58897 --enddatetime 2017-12-24T08:23:12 --enforcementcount 0 &gt;&gt;%USERPROFILE%\Documents\GitHub\eaglep3-reporting\EC\2017-12-24-refined-times.txt</v>
      </c>
      <c r="AI164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{"issue":{"subject":"","project_id":79,"tracker_id":40,"status_id":1,"priority_id":2,"assigned_to_id":338,"start_date":"2017-12-24","description":"","custom_fields":[{"id":1,"name":"Subdivision","value":"NW"},{"id":4,"name":"Milepost","value":"5.8897"},{"id":17,"name":"Train ID","value":"1805-24"},{"id":16,"name":"Locomotive ID","value":"4058"},{"id":130,"name":"Impact","value":""},{"id":150,"name":"Time of Event (Mountain Time)","value":"08:23:12"},{"id":151,"name":"Denver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40"/>
        <v>start /low /b %USERPROFILE%\Documents\GitHub\eaglep3\Utilities\DownloadLogsFromS3.py --loco 4058 --day 2017-12-24</v>
      </c>
      <c r="AN164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42"/>
        <v>https://d0f6bd738d7f1b3e5a7ca70fe4ff75f0.us-east-1.aws.found.io/app/kibana#/discover/Steve-Slow-Train-Analysis-(2080s-and-2083s)?_g=(refreshInterval:(display:Off,pause:!f,section:0,value:0),time:(from:'2017-12-24T07:08:21-0700',mode:absolute,to:'2017-12-24T09:23:12-0700'))&amp;_a=(columns:!('Message%20ID',Summary),filters:!(),index:'emp_*',interval:auto,query:(query_string:(analyze_wildcard:!t,query:'%22rtdc.l.rtdc.4058%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765</v>
      </c>
      <c r="B165" s="225">
        <v>4057</v>
      </c>
      <c r="C165" s="227" t="s">
        <v>192</v>
      </c>
      <c r="D165" s="227" t="s">
        <v>963</v>
      </c>
      <c r="E165" s="226">
        <v>43093.350185185183</v>
      </c>
      <c r="F165" s="226">
        <v>43093.363668981481</v>
      </c>
      <c r="G165" s="225">
        <v>179</v>
      </c>
      <c r="H165" s="227" t="s">
        <v>533</v>
      </c>
      <c r="I165" s="226">
        <v>43093.372129629628</v>
      </c>
      <c r="J165" s="225">
        <v>0</v>
      </c>
      <c r="K165" s="237" t="str">
        <f>IF(ISEVEN(B165),(B165-1)&amp;"/"&amp;B165,B165&amp;"/"&amp;(B165+1))</f>
        <v>4057/4058</v>
      </c>
      <c r="L165" s="245" t="str">
        <f>VLOOKUP(A165,'Trips&amp;Operators'!$C$1:$G$99911,5,FALSE)</f>
        <v>MACDONALD THOMAS</v>
      </c>
      <c r="M165" s="224">
        <f>I165-F165</f>
        <v>8.4606481468654238E-3</v>
      </c>
      <c r="N165" s="225">
        <f>24*60*SUM($M165:$M165)</f>
        <v>12.18333333148621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-24T07:24:16-0700',mode:absolute,to:'2017-12-24T09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5.8585000000000003</v>
      </c>
      <c r="Z165" s="247">
        <f>RIGHT(H165,LEN(H165)-4)/10000</f>
        <v>1.5800000000000002E-2</v>
      </c>
      <c r="AA165" s="247">
        <f>ABS(Z165-Y165)</f>
        <v>5.8427000000000007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1806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/stypes="app*4057*20171224*" /stext=" 15:.+((SYSTEM_STATE.+slice.+state.+changed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38"/>
        <v>"%USERPROFILE%\Documents\GitHub\eaglep3\Utilities\RefineRTDCRunTimes.py" --tripid 1806-24 --locoid 4057 --swversion DE.1.0.9.0 --startMP 300:58585 --initTime 2017-12-24T08:24:16 --startdatetime 2017-12-24T08:43:41 --delay 179 --endMP 204:158 --enddatetime 2017-12-24T08:55:52 --enforcementcount 0 &gt;&gt;%USERPROFILE%\Documents\GitHub\eaglep3-reporting\EC\2017-12-24-refined-times.txt</v>
      </c>
      <c r="AI165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{"issue":{"subject":"","project_id":79,"tracker_id":40,"status_id":1,"priority_id":2,"assigned_to_id":338,"start_date":"2017-12-24","description":"","custom_fields":[{"id":1,"name":"Subdivision","value":"NW"},{"id":4,"name":"Milepost","value":"0.0158"},{"id":17,"name":"Train ID","value":"1806-24"},{"id":16,"name":"Locomotive ID","value":"4057"},{"id":130,"name":"Impact","value":""},{"id":150,"name":"Time of Event (Mountain Time)","value":"08:55:52"},{"id":151,"name":"Denver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40"/>
        <v>start /low /b %USERPROFILE%\Documents\GitHub\eaglep3\Utilities\DownloadLogsFromS3.py --loco 4057 --day 2017-12-24</v>
      </c>
      <c r="AN165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42"/>
        <v>https://d0f6bd738d7f1b3e5a7ca70fe4ff75f0.us-east-1.aws.found.io/app/kibana#/discover/Steve-Slow-Train-Analysis-(2080s-and-2083s)?_g=(refreshInterval:(display:Off,pause:!f,section:0,value:0),time:(from:'2017-12-24T07:24:16-0700',mode:absolute,to:'2017-12-24T09:55:52-0700'))&amp;_a=(columns:!('Message%20ID',Summary),filters:!(),index:'emp_*',interval:auto,query:(query_string:(analyze_wildcard:!t,query:'%22rtdc.l.rtdc.4057%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3">
      <c r="A166" s="229" t="s">
        <v>769</v>
      </c>
      <c r="B166" s="225">
        <v>4058</v>
      </c>
      <c r="C166" s="227" t="s">
        <v>192</v>
      </c>
      <c r="D166" s="227" t="s">
        <v>636</v>
      </c>
      <c r="E166" s="226">
        <v>43093.379270833335</v>
      </c>
      <c r="F166" s="226">
        <v>43093.381724537037</v>
      </c>
      <c r="G166" s="225">
        <v>54</v>
      </c>
      <c r="H166" s="227" t="s">
        <v>969</v>
      </c>
      <c r="I166" s="226">
        <v>43093.391481481478</v>
      </c>
      <c r="J166" s="225">
        <v>0</v>
      </c>
      <c r="K166" s="237" t="str">
        <f>IF(ISEVEN(B166),(B166-1)&amp;"/"&amp;B166,B166&amp;"/"&amp;(B166+1))</f>
        <v>4057/4058</v>
      </c>
      <c r="L166" s="245" t="str">
        <f>VLOOKUP(A166,'Trips&amp;Operators'!$C$1:$G$99911,5,FALSE)</f>
        <v>MACDONALD THOMAS</v>
      </c>
      <c r="M166" s="224">
        <f>I166-F166</f>
        <v>9.7569444405962713E-3</v>
      </c>
      <c r="N166" s="225">
        <f>24*60*SUM($M166:$M166)</f>
        <v>14.049999994458631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-24T08:06:09-0700',mode:absolute,to:'2017-12-24T10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4.53E-2</v>
      </c>
      <c r="Z166" s="247">
        <f>RIGHT(H166,LEN(H166)-4)/10000</f>
        <v>5.8894000000000002</v>
      </c>
      <c r="AA166" s="247">
        <f>ABS(Z166-Y166)</f>
        <v>5.8441000000000001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1807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/stypes="app*4058*20171224*" /stext=" 16:.+((SYSTEM_STATE.+slice.+state.+changed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38"/>
        <v>"%USERPROFILE%\Documents\GitHub\eaglep3\Utilities\RefineRTDCRunTimes.py" --tripid 1807-24 --locoid 4058 --swversion DE.1.0.9.0 --startMP 204:453 --initTime 2017-12-24T09:06:09 --startdatetime 2017-12-24T09:09:41 --delay 54 --endMP 300:58894 --enddatetime 2017-12-24T09:23:44 --enforcementcount 0 &gt;&gt;%USERPROFILE%\Documents\GitHub\eaglep3-reporting\EC\2017-12-24-refined-times.txt</v>
      </c>
      <c r="AI166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{"issue":{"subject":"","project_id":79,"tracker_id":40,"status_id":1,"priority_id":2,"assigned_to_id":338,"start_date":"2017-12-24","description":"","custom_fields":[{"id":1,"name":"Subdivision","value":"NW"},{"id":4,"name":"Milepost","value":"5.8894"},{"id":17,"name":"Train ID","value":"1807-24"},{"id":16,"name":"Locomotive ID","value":"4058"},{"id":130,"name":"Impact","value":""},{"id":150,"name":"Time of Event (Mountain Time)","value":"09:23:44"},{"id":151,"name":"Denver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40"/>
        <v>start /low /b %USERPROFILE%\Documents\GitHub\eaglep3\Utilities\DownloadLogsFromS3.py --loco 4058 --day 2017-12-24</v>
      </c>
      <c r="AN166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42"/>
        <v>https://d0f6bd738d7f1b3e5a7ca70fe4ff75f0.us-east-1.aws.found.io/app/kibana#/discover/Steve-Slow-Train-Analysis-(2080s-and-2083s)?_g=(refreshInterval:(display:Off,pause:!f,section:0,value:0),time:(from:'2017-12-24T08:06:09-0700',mode:absolute,to:'2017-12-24T10:23:44-0700'))&amp;_a=(columns:!('Message%20ID',Summary),filters:!(),index:'emp_*',interval:auto,query:(query_string:(analyze_wildcard:!t,query:'%22rtdc.l.rtdc.4058%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773</v>
      </c>
      <c r="B167" s="225">
        <v>4057</v>
      </c>
      <c r="C167" s="227" t="s">
        <v>192</v>
      </c>
      <c r="D167" s="227" t="s">
        <v>970</v>
      </c>
      <c r="E167" s="226">
        <v>43093.392210648148</v>
      </c>
      <c r="F167" s="226">
        <v>43093.405543981484</v>
      </c>
      <c r="G167" s="225">
        <v>67</v>
      </c>
      <c r="H167" s="227" t="s">
        <v>665</v>
      </c>
      <c r="I167" s="226">
        <v>43093.41369212963</v>
      </c>
      <c r="J167" s="225">
        <v>0</v>
      </c>
      <c r="K167" s="237" t="str">
        <f>IF(ISEVEN(B167),(B167-1)&amp;"/"&amp;B167,B167&amp;"/"&amp;(B167+1))</f>
        <v>4057/4058</v>
      </c>
      <c r="L167" s="245" t="str">
        <f>VLOOKUP(A167,'Trips&amp;Operators'!$C$1:$G$99911,5,FALSE)</f>
        <v>MACDONALD THOMAS</v>
      </c>
      <c r="M167" s="224">
        <f>I167-F167</f>
        <v>8.1481481465743855E-3</v>
      </c>
      <c r="N167" s="225">
        <f>24*60*SUM($M167:$M167)</f>
        <v>11.733333331067115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-24T08:24:47-0700',mode:absolute,to:'2017-12-24T10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5.8581000000000003</v>
      </c>
      <c r="Z167" s="247">
        <f>RIGHT(H167,LEN(H167)-4)/10000</f>
        <v>1.5299999999999999E-2</v>
      </c>
      <c r="AA167" s="247">
        <f>ABS(Z167-Y167)</f>
        <v>5.8428000000000004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1808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/stypes="app*4057*20171224*" /stext=" 16:.+((SYSTEM_STATE.+slice.+state.+changed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38"/>
        <v>"%USERPROFILE%\Documents\GitHub\eaglep3\Utilities\RefineRTDCRunTimes.py" --tripid 1808-24 --locoid 4057 --swversion DE.1.0.9.0 --startMP 300:58581 --initTime 2017-12-24T09:24:47 --startdatetime 2017-12-24T09:43:59 --delay 67 --endMP 204:153 --enddatetime 2017-12-24T09:55:43 --enforcementcount 0 &gt;&gt;%USERPROFILE%\Documents\GitHub\eaglep3-reporting\EC\2017-12-24-refined-times.txt</v>
      </c>
      <c r="AI167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{"issue":{"subject":"","project_id":79,"tracker_id":40,"status_id":1,"priority_id":2,"assigned_to_id":338,"start_date":"2017-12-24","description":"","custom_fields":[{"id":1,"name":"Subdivision","value":"NW"},{"id":4,"name":"Milepost","value":"0.0153"},{"id":17,"name":"Train ID","value":"1808-24"},{"id":16,"name":"Locomotive ID","value":"4057"},{"id":130,"name":"Impact","value":""},{"id":150,"name":"Time of Event (Mountain Time)","value":"09:55:43"},{"id":151,"name":"Denver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40"/>
        <v>start /low /b %USERPROFILE%\Documents\GitHub\eaglep3\Utilities\DownloadLogsFromS3.py --loco 4057 --day 2017-12-24</v>
      </c>
      <c r="AN167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16:55:43"},{"id":29,"name":"Sharepoint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42"/>
        <v>https://d0f6bd738d7f1b3e5a7ca70fe4ff75f0.us-east-1.aws.found.io/app/kibana#/discover/Steve-Slow-Train-Analysis-(2080s-and-2083s)?_g=(refreshInterval:(display:Off,pause:!f,section:0,value:0),time:(from:'2017-12-24T08:24:47-0700',mode:absolute,to:'2017-12-24T10:55:43-0700'))&amp;_a=(columns:!('Message%20ID',Summary),filters:!(),index:'emp_*',interval:auto,query:(query_string:(analyze_wildcard:!t,query:'%22rtdc.l.rtdc.4057%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777</v>
      </c>
      <c r="B168" s="225">
        <v>4058</v>
      </c>
      <c r="C168" s="227" t="s">
        <v>192</v>
      </c>
      <c r="D168" s="227" t="s">
        <v>971</v>
      </c>
      <c r="E168" s="226">
        <v>43093.421886574077</v>
      </c>
      <c r="F168" s="226">
        <v>43093.423217592594</v>
      </c>
      <c r="G168" s="225">
        <v>55</v>
      </c>
      <c r="H168" s="227" t="s">
        <v>972</v>
      </c>
      <c r="I168" s="226">
        <v>43093.432719907411</v>
      </c>
      <c r="J168" s="225">
        <v>0</v>
      </c>
      <c r="K168" s="237" t="str">
        <f>IF(ISEVEN(B168),(B168-1)&amp;"/"&amp;B168,B168&amp;"/"&amp;(B168+1))</f>
        <v>4057/4058</v>
      </c>
      <c r="L168" s="245" t="str">
        <f>VLOOKUP(A168,'Trips&amp;Operators'!$C$1:$G$99911,5,FALSE)</f>
        <v>MACDONALD THOMAS</v>
      </c>
      <c r="M168" s="224">
        <f>I168-F168</f>
        <v>9.5023148169275373E-3</v>
      </c>
      <c r="N168" s="225">
        <f>24*60*SUM($M168:$M168)</f>
        <v>13.683333336375654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-24T09:07:31-0700',mode:absolute,to:'2017-12-24T11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4.7100000000000003E-2</v>
      </c>
      <c r="Z168" s="247">
        <f>RIGHT(H168,LEN(H168)-4)/10000</f>
        <v>5.8906999999999998</v>
      </c>
      <c r="AA168" s="247">
        <f>ABS(Z168-Y168)</f>
        <v>5.8435999999999995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1809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/stypes="app*4058*20171224*" /stext=" 17:.+((SYSTEM_STATE.+slice.+state.+changed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38"/>
        <v>"%USERPROFILE%\Documents\GitHub\eaglep3\Utilities\RefineRTDCRunTimes.py" --tripid 1809-24 --locoid 4058 --swversion DE.1.0.9.0 --startMP 204:471 --initTime 2017-12-24T10:07:31 --startdatetime 2017-12-24T10:09:26 --delay 55 --endMP 300:58907 --enddatetime 2017-12-24T10:23:07 --enforcementcount 0 &gt;&gt;%USERPROFILE%\Documents\GitHub\eaglep3-reporting\EC\2017-12-24-refined-times.txt</v>
      </c>
      <c r="AI168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{"issue":{"subject":"","project_id":79,"tracker_id":40,"status_id":1,"priority_id":2,"assigned_to_id":338,"start_date":"2017-12-24","description":"","custom_fields":[{"id":1,"name":"Subdivision","value":"NW"},{"id":4,"name":"Milepost","value":"5.8907"},{"id":17,"name":"Train ID","value":"1809-24"},{"id":16,"name":"Locomotive ID","value":"4058"},{"id":130,"name":"Impact","value":""},{"id":150,"name":"Time of Event (Mountain Time)","value":"10:23:07"},{"id":151,"name":"Denver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40"/>
        <v>start /low /b %USERPROFILE%\Documents\GitHub\eaglep3\Utilities\DownloadLogsFromS3.py --loco 4058 --day 2017-12-24</v>
      </c>
      <c r="AN168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42"/>
        <v>https://d0f6bd738d7f1b3e5a7ca70fe4ff75f0.us-east-1.aws.found.io/app/kibana#/discover/Steve-Slow-Train-Analysis-(2080s-and-2083s)?_g=(refreshInterval:(display:Off,pause:!f,section:0,value:0),time:(from:'2017-12-24T09:07:31-0700',mode:absolute,to:'2017-12-24T11:23:07-0700'))&amp;_a=(columns:!('Message%20ID',Summary),filters:!(),index:'emp_*',interval:auto,query:(query_string:(analyze_wildcard:!t,query:'%22rtdc.l.rtdc.4058%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3">
      <c r="A169" s="229" t="s">
        <v>782</v>
      </c>
      <c r="B169" s="225">
        <v>4057</v>
      </c>
      <c r="C169" s="227" t="s">
        <v>192</v>
      </c>
      <c r="D169" s="227" t="s">
        <v>961</v>
      </c>
      <c r="E169" s="226">
        <v>43093.43340277778</v>
      </c>
      <c r="F169" s="226">
        <v>43093.446712962963</v>
      </c>
      <c r="G169" s="225">
        <v>67</v>
      </c>
      <c r="H169" s="227" t="s">
        <v>655</v>
      </c>
      <c r="I169" s="226">
        <v>43093.455081018517</v>
      </c>
      <c r="J169" s="225">
        <v>0</v>
      </c>
      <c r="K169" s="237" t="str">
        <f>IF(ISEVEN(B169),(B169-1)&amp;"/"&amp;B169,B169&amp;"/"&amp;(B169+1))</f>
        <v>4057/4058</v>
      </c>
      <c r="L169" s="245" t="str">
        <f>VLOOKUP(A169,'Trips&amp;Operators'!$C$1:$G$99911,5,FALSE)</f>
        <v>MACDONALD THOMAS</v>
      </c>
      <c r="M169" s="224">
        <f>I169-F169</f>
        <v>8.3680555544560775E-3</v>
      </c>
      <c r="N169" s="225">
        <f>24*60*SUM($M169:$M169)</f>
        <v>12.049999998416752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-24T09:24:06-0700',mode:absolute,to:'2017-12-24T11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5.8589000000000002</v>
      </c>
      <c r="Z169" s="247">
        <f>RIGHT(H169,LEN(H169)-4)/10000</f>
        <v>1.7600000000000001E-2</v>
      </c>
      <c r="AA169" s="247">
        <f>ABS(Z169-Y169)</f>
        <v>5.8413000000000004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1810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/stypes="app*4057*20171224*" /stext=" 17:.+((SYSTEM_STATE.+slice.+state.+changed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38"/>
        <v>"%USERPROFILE%\Documents\GitHub\eaglep3\Utilities\RefineRTDCRunTimes.py" --tripid 1810-24 --locoid 4057 --swversion DE.1.0.9.0 --startMP 300:58589 --initTime 2017-12-24T10:24:06 --startdatetime 2017-12-24T10:43:16 --delay 67 --endMP 204:176 --enddatetime 2017-12-24T10:55:19 --enforcementcount 0 &gt;&gt;%USERPROFILE%\Documents\GitHub\eaglep3-reporting\EC\2017-12-24-refined-times.txt</v>
      </c>
      <c r="AI169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{"issue":{"subject":"","project_id":79,"tracker_id":40,"status_id":1,"priority_id":2,"assigned_to_id":338,"start_date":"2017-12-24","description":"","custom_fields":[{"id":1,"name":"Subdivision","value":"NW"},{"id":4,"name":"Milepost","value":"0.0176"},{"id":17,"name":"Train ID","value":"1810-24"},{"id":16,"name":"Locomotive ID","value":"4057"},{"id":130,"name":"Impact","value":""},{"id":150,"name":"Time of Event (Mountain Time)","value":"10:55:19"},{"id":151,"name":"Denver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40"/>
        <v>start /low /b %USERPROFILE%\Documents\GitHub\eaglep3\Utilities\DownloadLogsFromS3.py --loco 4057 --day 2017-12-24</v>
      </c>
      <c r="AN169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42"/>
        <v>https://d0f6bd738d7f1b3e5a7ca70fe4ff75f0.us-east-1.aws.found.io/app/kibana#/discover/Steve-Slow-Train-Analysis-(2080s-and-2083s)?_g=(refreshInterval:(display:Off,pause:!f,section:0,value:0),time:(from:'2017-12-24T09:24:06-0700',mode:absolute,to:'2017-12-24T11:55:19-0700'))&amp;_a=(columns:!('Message%20ID',Summary),filters:!(),index:'emp_*',interval:auto,query:(query_string:(analyze_wildcard:!t,query:'%22rtdc.l.rtdc.4057%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791</v>
      </c>
      <c r="B170" s="225">
        <v>4058</v>
      </c>
      <c r="C170" s="227" t="s">
        <v>192</v>
      </c>
      <c r="D170" s="227" t="s">
        <v>519</v>
      </c>
      <c r="E170" s="226">
        <v>43093.46435185185</v>
      </c>
      <c r="F170" s="226">
        <v>43093.465451388889</v>
      </c>
      <c r="G170" s="225">
        <v>51</v>
      </c>
      <c r="H170" s="227" t="s">
        <v>975</v>
      </c>
      <c r="I170" s="226">
        <v>43093.474930555552</v>
      </c>
      <c r="J170" s="225">
        <v>0</v>
      </c>
      <c r="K170" s="237" t="str">
        <f>IF(ISEVEN(B170),(B170-1)&amp;"/"&amp;B170,B170&amp;"/"&amp;(B170+1))</f>
        <v>4057/4058</v>
      </c>
      <c r="L170" s="245" t="str">
        <f>VLOOKUP(A170,'Trips&amp;Operators'!$C$1:$G$99911,5,FALSE)</f>
        <v>MACDONALD THOMAS</v>
      </c>
      <c r="M170" s="224">
        <f>I170-F170</f>
        <v>9.4791666633682325E-3</v>
      </c>
      <c r="N170" s="225">
        <f>24*60*SUM($M170:$M170)</f>
        <v>13.649999995250255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-24T10:08:40-0700',mode:absolute,to:'2017-12-24T12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4.6600000000000003E-2</v>
      </c>
      <c r="Z170" s="247">
        <f>RIGHT(H170,LEN(H170)-4)/10000</f>
        <v>5.8898999999999999</v>
      </c>
      <c r="AA170" s="247">
        <f>ABS(Z170-Y170)</f>
        <v>5.8433000000000002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1811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/stypes="app*4058*20171224*" /stext=" 18:.+((SYSTEM_STATE.+slice.+state.+changed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38"/>
        <v>"%USERPROFILE%\Documents\GitHub\eaglep3\Utilities\RefineRTDCRunTimes.py" --tripid 1811-24 --locoid 4058 --swversion DE.1.0.9.0 --startMP 204:466 --initTime 2017-12-24T11:08:40 --startdatetime 2017-12-24T11:10:15 --delay 51 --endMP 300:58899 --enddatetime 2017-12-24T11:23:54 --enforcementcount 0 &gt;&gt;%USERPROFILE%\Documents\GitHub\eaglep3-reporting\EC\2017-12-24-refined-times.txt</v>
      </c>
      <c r="AI170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{"issue":{"subject":"","project_id":79,"tracker_id":40,"status_id":1,"priority_id":2,"assigned_to_id":338,"start_date":"2017-12-24","description":"","custom_fields":[{"id":1,"name":"Subdivision","value":"NW"},{"id":4,"name":"Milepost","value":"5.8899"},{"id":17,"name":"Train ID","value":"1811-24"},{"id":16,"name":"Locomotive ID","value":"4058"},{"id":130,"name":"Impact","value":""},{"id":150,"name":"Time of Event (Mountain Time)","value":"11:23:54"},{"id":151,"name":"Denver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40"/>
        <v>start /low /b %USERPROFILE%\Documents\GitHub\eaglep3\Utilities\DownloadLogsFromS3.py --loco 4058 --day 2017-12-24</v>
      </c>
      <c r="AN170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42"/>
        <v>https://d0f6bd738d7f1b3e5a7ca70fe4ff75f0.us-east-1.aws.found.io/app/kibana#/discover/Steve-Slow-Train-Analysis-(2080s-and-2083s)?_g=(refreshInterval:(display:Off,pause:!f,section:0,value:0),time:(from:'2017-12-24T10:08:40-0700',mode:absolute,to:'2017-12-24T12:23:54-0700'))&amp;_a=(columns:!('Message%20ID',Summary),filters:!(),index:'emp_*',interval:auto,query:(query_string:(analyze_wildcard:!t,query:'%22rtdc.l.rtdc.4058%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29" t="s">
        <v>794</v>
      </c>
      <c r="B171" s="225">
        <v>4057</v>
      </c>
      <c r="C171" s="227" t="s">
        <v>192</v>
      </c>
      <c r="D171" s="227" t="s">
        <v>961</v>
      </c>
      <c r="E171" s="226">
        <v>43093.475613425922</v>
      </c>
      <c r="F171" s="226">
        <v>43093.488703703704</v>
      </c>
      <c r="G171" s="225">
        <v>53</v>
      </c>
      <c r="H171" s="227" t="s">
        <v>976</v>
      </c>
      <c r="I171" s="226">
        <v>43093.497083333335</v>
      </c>
      <c r="J171" s="225">
        <v>0</v>
      </c>
      <c r="K171" s="237" t="str">
        <f>IF(ISEVEN(B171),(B171-1)&amp;"/"&amp;B171,B171&amp;"/"&amp;(B171+1))</f>
        <v>4057/4058</v>
      </c>
      <c r="L171" s="245" t="str">
        <f>VLOOKUP(A171,'Trips&amp;Operators'!$C$1:$G$99911,5,FALSE)</f>
        <v>MACDONALD THOMAS</v>
      </c>
      <c r="M171" s="224">
        <f>I171-F171</f>
        <v>8.3796296312357299E-3</v>
      </c>
      <c r="N171" s="225">
        <f>24*60*SUM($M171:$M171)</f>
        <v>12.066666668979451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-24T10:24:53-0700',mode:absolute,to:'2017-12-24T12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5.8589000000000002</v>
      </c>
      <c r="Z171" s="247">
        <f>RIGHT(H171,LEN(H171)-4)/10000</f>
        <v>1.7100000000000001E-2</v>
      </c>
      <c r="AA171" s="247">
        <f>ABS(Z171-Y171)</f>
        <v>5.8418000000000001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1812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/stypes="app*4057*20171224*" /stext=" 18:.+((SYSTEM_STATE.+slice.+state.+changed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38"/>
        <v>"%USERPROFILE%\Documents\GitHub\eaglep3\Utilities\RefineRTDCRunTimes.py" --tripid 1812-24 --locoid 4057 --swversion DE.1.0.9.0 --startMP 300:58589 --initTime 2017-12-24T11:24:53 --startdatetime 2017-12-24T11:43:44 --delay 53 --endMP 204:171 --enddatetime 2017-12-24T11:55:48 --enforcementcount 0 &gt;&gt;%USERPROFILE%\Documents\GitHub\eaglep3-reporting\EC\2017-12-24-refined-times.txt</v>
      </c>
      <c r="AI171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{"issue":{"subject":"","project_id":79,"tracker_id":40,"status_id":1,"priority_id":2,"assigned_to_id":338,"start_date":"2017-12-24","description":"","custom_fields":[{"id":1,"name":"Subdivision","value":"NW"},{"id":4,"name":"Milepost","value":"0.0171"},{"id":17,"name":"Train ID","value":"1812-24"},{"id":16,"name":"Locomotive ID","value":"4057"},{"id":130,"name":"Impact","value":""},{"id":150,"name":"Time of Event (Mountain Time)","value":"11:55:48"},{"id":151,"name":"Denver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40"/>
        <v>start /low /b %USERPROFILE%\Documents\GitHub\eaglep3\Utilities\DownloadLogsFromS3.py --loco 4057 --day 2017-12-24</v>
      </c>
      <c r="AN171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18:55:48"},{"id":29,"name":"Sharepoint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42"/>
        <v>https://d0f6bd738d7f1b3e5a7ca70fe4ff75f0.us-east-1.aws.found.io/app/kibana#/discover/Steve-Slow-Train-Analysis-(2080s-and-2083s)?_g=(refreshInterval:(display:Off,pause:!f,section:0,value:0),time:(from:'2017-12-24T10:24:53-0700',mode:absolute,to:'2017-12-24T12:55:48-0700'))&amp;_a=(columns:!('Message%20ID',Summary),filters:!(),index:'emp_*',interval:auto,query:(query_string:(analyze_wildcard:!t,query:'%22rtdc.l.rtdc.4057%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800</v>
      </c>
      <c r="B172" s="225">
        <v>4058</v>
      </c>
      <c r="C172" s="227" t="s">
        <v>192</v>
      </c>
      <c r="D172" s="227" t="s">
        <v>526</v>
      </c>
      <c r="E172" s="226">
        <v>43093.505300925928</v>
      </c>
      <c r="F172" s="226">
        <v>43093.507615740738</v>
      </c>
      <c r="G172" s="225">
        <v>107</v>
      </c>
      <c r="H172" s="227" t="s">
        <v>977</v>
      </c>
      <c r="I172" s="226">
        <v>43093.517025462963</v>
      </c>
      <c r="J172" s="225">
        <v>0</v>
      </c>
      <c r="K172" s="237" t="str">
        <f>IF(ISEVEN(B172),(B172-1)&amp;"/"&amp;B172,B172&amp;"/"&amp;(B172+1))</f>
        <v>4057/4058</v>
      </c>
      <c r="L172" s="245" t="str">
        <f>VLOOKUP(A172,'Trips&amp;Operators'!$C$1:$G$99911,5,FALSE)</f>
        <v>MACDONALD THOMAS</v>
      </c>
      <c r="M172" s="224">
        <f>I172-F172</f>
        <v>9.4097222245181911E-3</v>
      </c>
      <c r="N172" s="225">
        <f>24*60*SUM($M172:$M172)</f>
        <v>13.550000003306195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-24T11:07:38-0700',mode:absolute,to:'2017-12-24T13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4.6399999999999997E-2</v>
      </c>
      <c r="Z172" s="247">
        <f>RIGHT(H172,LEN(H172)-4)/10000</f>
        <v>5.8920000000000003</v>
      </c>
      <c r="AA172" s="247">
        <f>ABS(Z172-Y172)</f>
        <v>5.8456000000000001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1813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/stypes="app*4058*20171224*" /stext=" 19:.+((SYSTEM_STATE.+slice.+state.+changed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38"/>
        <v>"%USERPROFILE%\Documents\GitHub\eaglep3\Utilities\RefineRTDCRunTimes.py" --tripid 1813-24 --locoid 4058 --swversion DE.1.0.9.0 --startMP 204:464 --initTime 2017-12-24T12:07:38 --startdatetime 2017-12-24T12:10:58 --delay 107 --endMP 300:58920 --enddatetime 2017-12-24T12:24:31 --enforcementcount 0 &gt;&gt;%USERPROFILE%\Documents\GitHub\eaglep3-reporting\EC\2017-12-24-refined-times.txt</v>
      </c>
      <c r="AI172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{"issue":{"subject":"","project_id":79,"tracker_id":40,"status_id":1,"priority_id":2,"assigned_to_id":338,"start_date":"2017-12-24","description":"","custom_fields":[{"id":1,"name":"Subdivision","value":"NW"},{"id":4,"name":"Milepost","value":"5.892"},{"id":17,"name":"Train ID","value":"1813-24"},{"id":16,"name":"Locomotive ID","value":"4058"},{"id":130,"name":"Impact","value":""},{"id":150,"name":"Time of Event (Mountain Time)","value":"12:24:31"},{"id":151,"name":"Denver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40"/>
        <v>start /low /b %USERPROFILE%\Documents\GitHub\eaglep3\Utilities\DownloadLogsFromS3.py --loco 4058 --day 2017-12-24</v>
      </c>
      <c r="AN172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42"/>
        <v>https://d0f6bd738d7f1b3e5a7ca70fe4ff75f0.us-east-1.aws.found.io/app/kibana#/discover/Steve-Slow-Train-Analysis-(2080s-and-2083s)?_g=(refreshInterval:(display:Off,pause:!f,section:0,value:0),time:(from:'2017-12-24T11:07:38-0700',mode:absolute,to:'2017-12-24T13:24:31-0700'))&amp;_a=(columns:!('Message%20ID',Summary),filters:!(),index:'emp_*',interval:auto,query:(query_string:(analyze_wildcard:!t,query:'%22rtdc.l.rtdc.4058%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804</v>
      </c>
      <c r="B173" s="225">
        <v>4057</v>
      </c>
      <c r="C173" s="227" t="s">
        <v>192</v>
      </c>
      <c r="D173" s="227" t="s">
        <v>978</v>
      </c>
      <c r="E173" s="226">
        <v>43093.517685185187</v>
      </c>
      <c r="F173" s="226">
        <v>43093.530289351853</v>
      </c>
      <c r="G173" s="225">
        <v>53</v>
      </c>
      <c r="H173" s="227" t="s">
        <v>979</v>
      </c>
      <c r="I173" s="226">
        <v>43093.538506944446</v>
      </c>
      <c r="J173" s="225">
        <v>0</v>
      </c>
      <c r="K173" s="237" t="str">
        <f>IF(ISEVEN(B173),(B173-1)&amp;"/"&amp;B173,B173&amp;"/"&amp;(B173+1))</f>
        <v>4057/4058</v>
      </c>
      <c r="L173" s="245" t="str">
        <f>VLOOKUP(A173,'Trips&amp;Operators'!$C$1:$G$99911,5,FALSE)</f>
        <v>MACDONALD THOMAS</v>
      </c>
      <c r="M173" s="224">
        <f>I173-F173</f>
        <v>8.2175925927003846E-3</v>
      </c>
      <c r="N173" s="225">
        <f>24*60*SUM($M173:$M173)</f>
        <v>11.833333333488554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-24T11:25:28-0700',mode:absolute,to:'2017-12-24T13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5.8604000000000003</v>
      </c>
      <c r="Z173" s="247">
        <f>RIGHT(H173,LEN(H173)-4)/10000</f>
        <v>1.66E-2</v>
      </c>
      <c r="AA173" s="247">
        <f>ABS(Z173-Y173)</f>
        <v>5.8437999999999999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1814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/stypes="app*4057*20171224*" /stext=" 19:.+((SYSTEM_STATE.+slice.+state.+changed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38"/>
        <v>"%USERPROFILE%\Documents\GitHub\eaglep3\Utilities\RefineRTDCRunTimes.py" --tripid 1814-24 --locoid 4057 --swversion DE.1.0.9.0 --startMP 300:58604 --initTime 2017-12-24T12:25:28 --startdatetime 2017-12-24T12:43:37 --delay 53 --endMP 204:166 --enddatetime 2017-12-24T12:55:27 --enforcementcount 0 &gt;&gt;%USERPROFILE%\Documents\GitHub\eaglep3-reporting\EC\2017-12-24-refined-times.txt</v>
      </c>
      <c r="AI173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{"issue":{"subject":"","project_id":79,"tracker_id":40,"status_id":1,"priority_id":2,"assigned_to_id":338,"start_date":"2017-12-24","description":"","custom_fields":[{"id":1,"name":"Subdivision","value":"NW"},{"id":4,"name":"Milepost","value":"0.0166"},{"id":17,"name":"Train ID","value":"1814-24"},{"id":16,"name":"Locomotive ID","value":"4057"},{"id":130,"name":"Impact","value":""},{"id":150,"name":"Time of Event (Mountain Time)","value":"12:55:27"},{"id":151,"name":"Denver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40"/>
        <v>start /low /b %USERPROFILE%\Documents\GitHub\eaglep3\Utilities\DownloadLogsFromS3.py --loco 4057 --day 2017-12-24</v>
      </c>
      <c r="AN173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19:55:27"},{"id":29,"name":"Sharepoint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42"/>
        <v>https://d0f6bd738d7f1b3e5a7ca70fe4ff75f0.us-east-1.aws.found.io/app/kibana#/discover/Steve-Slow-Train-Analysis-(2080s-and-2083s)?_g=(refreshInterval:(display:Off,pause:!f,section:0,value:0),time:(from:'2017-12-24T11:25:28-0700',mode:absolute,to:'2017-12-24T13:55:27-0700'))&amp;_a=(columns:!('Message%20ID',Summary),filters:!(),index:'emp_*',interval:auto,query:(query_string:(analyze_wildcard:!t,query:'%22rtdc.l.rtdc.4057%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809</v>
      </c>
      <c r="B174" s="225">
        <v>4058</v>
      </c>
      <c r="C174" s="227" t="s">
        <v>192</v>
      </c>
      <c r="D174" s="227" t="s">
        <v>559</v>
      </c>
      <c r="E174" s="226">
        <v>43093.547094907408</v>
      </c>
      <c r="F174" s="226">
        <v>43093.548657407409</v>
      </c>
      <c r="G174" s="225">
        <v>82</v>
      </c>
      <c r="H174" s="227" t="s">
        <v>972</v>
      </c>
      <c r="I174" s="226">
        <v>43093.558206018519</v>
      </c>
      <c r="J174" s="225">
        <v>0</v>
      </c>
      <c r="K174" s="237" t="str">
        <f>IF(ISEVEN(B174),(B174-1)&amp;"/"&amp;B174,B174&amp;"/"&amp;(B174+1))</f>
        <v>4057/4058</v>
      </c>
      <c r="L174" s="245" t="str">
        <f>VLOOKUP(A174,'Trips&amp;Operators'!$C$1:$G$99911,5,FALSE)</f>
        <v>MACDONALD THOMAS</v>
      </c>
      <c r="M174" s="224">
        <f>I174-F174</f>
        <v>9.5486111094942316E-3</v>
      </c>
      <c r="N174" s="225">
        <f>24*60*SUM($M174:$M174)</f>
        <v>13.749999997671694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-24T12:07:49-0700',mode:absolute,to:'2017-12-24T14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4.5100000000000001E-2</v>
      </c>
      <c r="Z174" s="247">
        <f>RIGHT(H174,LEN(H174)-4)/10000</f>
        <v>5.8906999999999998</v>
      </c>
      <c r="AA174" s="247">
        <f>ABS(Z174-Y174)</f>
        <v>5.8456000000000001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1815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/stypes="app*4058*20171224*" /stext=" 20:.+((SYSTEM_STATE.+slice.+state.+changed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38"/>
        <v>"%USERPROFILE%\Documents\GitHub\eaglep3\Utilities\RefineRTDCRunTimes.py" --tripid 1815-24 --locoid 4058 --swversion DE.1.0.9.0 --startMP 204:451 --initTime 2017-12-24T13:07:49 --startdatetime 2017-12-24T13:10:04 --delay 82 --endMP 300:58907 --enddatetime 2017-12-24T13:23:49 --enforcementcount 0 &gt;&gt;%USERPROFILE%\Documents\GitHub\eaglep3-reporting\EC\2017-12-24-refined-times.txt</v>
      </c>
      <c r="AI174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{"issue":{"subject":"","project_id":79,"tracker_id":40,"status_id":1,"priority_id":2,"assigned_to_id":338,"start_date":"2017-12-24","description":"","custom_fields":[{"id":1,"name":"Subdivision","value":"NW"},{"id":4,"name":"Milepost","value":"5.8907"},{"id":17,"name":"Train ID","value":"1815-24"},{"id":16,"name":"Locomotive ID","value":"4058"},{"id":130,"name":"Impact","value":""},{"id":150,"name":"Time of Event (Mountain Time)","value":"13:23:49"},{"id":151,"name":"Denver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40"/>
        <v>start /low /b %USERPROFILE%\Documents\GitHub\eaglep3\Utilities\DownloadLogsFromS3.py --loco 4058 --day 2017-12-24</v>
      </c>
      <c r="AN174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42"/>
        <v>https://d0f6bd738d7f1b3e5a7ca70fe4ff75f0.us-east-1.aws.found.io/app/kibana#/discover/Steve-Slow-Train-Analysis-(2080s-and-2083s)?_g=(refreshInterval:(display:Off,pause:!f,section:0,value:0),time:(from:'2017-12-24T12:07:49-0700',mode:absolute,to:'2017-12-24T14:23:49-0700'))&amp;_a=(columns:!('Message%20ID',Summary),filters:!(),index:'emp_*',interval:auto,query:(query_string:(analyze_wildcard:!t,query:'%22rtdc.l.rtdc.4058%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813</v>
      </c>
      <c r="B175" s="225">
        <v>4057</v>
      </c>
      <c r="C175" s="227" t="s">
        <v>192</v>
      </c>
      <c r="D175" s="227" t="s">
        <v>980</v>
      </c>
      <c r="E175" s="226">
        <v>43093.559027777781</v>
      </c>
      <c r="F175" s="226">
        <v>43093.570798611108</v>
      </c>
      <c r="G175" s="225">
        <v>46</v>
      </c>
      <c r="H175" s="227" t="s">
        <v>981</v>
      </c>
      <c r="I175" s="226">
        <v>43093.58048611111</v>
      </c>
      <c r="J175" s="225">
        <v>0</v>
      </c>
      <c r="K175" s="237" t="str">
        <f>IF(ISEVEN(B175),(B175-1)&amp;"/"&amp;B175,B175&amp;"/"&amp;(B175+1))</f>
        <v>4057/4058</v>
      </c>
      <c r="L175" s="245" t="str">
        <f>VLOOKUP(A175,'Trips&amp;Operators'!$C$1:$G$99911,5,FALSE)</f>
        <v>MACDONALD THOMAS</v>
      </c>
      <c r="M175" s="224">
        <f>I175-F175</f>
        <v>9.6875000017462298E-3</v>
      </c>
      <c r="N175" s="225">
        <f>24*60*SUM($M175:$M175)</f>
        <v>13.950000002514571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-24T12:25:00-0700',mode:absolute,to:'2017-12-24T14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5.8586999999999998</v>
      </c>
      <c r="Z175" s="247">
        <f>RIGHT(H175,LEN(H175)-4)/10000</f>
        <v>1.8200000000000001E-2</v>
      </c>
      <c r="AA175" s="247">
        <f>ABS(Z175-Y175)</f>
        <v>5.8404999999999996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1816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/stypes="app*4057*20171224*" /stext=" 20:.+((SYSTEM_STATE.+slice.+state.+changed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38"/>
        <v>"%USERPROFILE%\Documents\GitHub\eaglep3\Utilities\RefineRTDCRunTimes.py" --tripid 1816-24 --locoid 4057 --swversion DE.1.0.9.0 --startMP 300:58587 --initTime 2017-12-24T13:25:00 --startdatetime 2017-12-24T13:41:57 --delay 46 --endMP 204:182 --enddatetime 2017-12-24T13:55:54 --enforcementcount 0 &gt;&gt;%USERPROFILE%\Documents\GitHub\eaglep3-reporting\EC\2017-12-24-refined-times.txt</v>
      </c>
      <c r="AI175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{"issue":{"subject":"","project_id":79,"tracker_id":40,"status_id":1,"priority_id":2,"assigned_to_id":338,"start_date":"2017-12-24","description":"","custom_fields":[{"id":1,"name":"Subdivision","value":"NW"},{"id":4,"name":"Milepost","value":"0.0182"},{"id":17,"name":"Train ID","value":"1816-24"},{"id":16,"name":"Locomotive ID","value":"4057"},{"id":130,"name":"Impact","value":""},{"id":150,"name":"Time of Event (Mountain Time)","value":"13:55:54"},{"id":151,"name":"Denver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40"/>
        <v>start /low /b %USERPROFILE%\Documents\GitHub\eaglep3\Utilities\DownloadLogsFromS3.py --loco 4057 --day 2017-12-24</v>
      </c>
      <c r="AN175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20:55:54"},{"id":29,"name":"Sharepoint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42"/>
        <v>https://d0f6bd738d7f1b3e5a7ca70fe4ff75f0.us-east-1.aws.found.io/app/kibana#/discover/Steve-Slow-Train-Analysis-(2080s-and-2083s)?_g=(refreshInterval:(display:Off,pause:!f,section:0,value:0),time:(from:'2017-12-24T12:25:00-0700',mode:absolute,to:'2017-12-24T14:55:54-0700'))&amp;_a=(columns:!('Message%20ID',Summary),filters:!(),index:'emp_*',interval:auto,query:(query_string:(analyze_wildcard:!t,query:'%22rtdc.l.rtdc.4057%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685</v>
      </c>
      <c r="B176" s="225">
        <v>4058</v>
      </c>
      <c r="C176" s="227" t="s">
        <v>192</v>
      </c>
      <c r="D176" s="227" t="s">
        <v>982</v>
      </c>
      <c r="E176" s="226">
        <v>43093.585219907407</v>
      </c>
      <c r="F176" s="226">
        <v>43093.589837962965</v>
      </c>
      <c r="G176" s="225">
        <v>69</v>
      </c>
      <c r="H176" s="227" t="s">
        <v>983</v>
      </c>
      <c r="I176" s="226">
        <v>43093.599861111114</v>
      </c>
      <c r="J176" s="225">
        <v>0</v>
      </c>
      <c r="K176" s="237" t="str">
        <f>IF(ISEVEN(B176),(B176-1)&amp;"/"&amp;B176,B176&amp;"/"&amp;(B176+1))</f>
        <v>4057/4058</v>
      </c>
      <c r="L176" s="245" t="str">
        <f>VLOOKUP(A176,'Trips&amp;Operators'!$C$1:$G$99911,5,FALSE)</f>
        <v>HOLCOMB KAMDEN</v>
      </c>
      <c r="M176" s="224">
        <f>I176-F176</f>
        <v>1.0023148148320615E-2</v>
      </c>
      <c r="N176" s="225">
        <f>24*60*SUM($M176:$M176)</f>
        <v>14.433333333581686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-24T13:02:43-0700',mode:absolute,to:'2017-12-24T15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4.6800000000000001E-2</v>
      </c>
      <c r="Z176" s="247">
        <f>RIGHT(H176,LEN(H176)-4)/10000</f>
        <v>5.8992000000000004</v>
      </c>
      <c r="AA176" s="247">
        <f>ABS(Z176-Y176)</f>
        <v>5.8524000000000003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1817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/stypes="app*4058*20171224*" /stext=" 21:.+((SYSTEM_STATE.+slice.+state.+changed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38"/>
        <v>"%USERPROFILE%\Documents\GitHub\eaglep3\Utilities\RefineRTDCRunTimes.py" --tripid 1817-24 --locoid 4058 --swversion DE.1.0.9.0 --startMP 204:468 --initTime 2017-12-24T14:02:43 --startdatetime 2017-12-24T14:09:22 --delay 69 --endMP 300:58992 --enddatetime 2017-12-24T14:23:48 --enforcementcount 0 &gt;&gt;%USERPROFILE%\Documents\GitHub\eaglep3-reporting\EC\2017-12-24-refined-times.txt</v>
      </c>
      <c r="AI176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{"issue":{"subject":"","project_id":79,"tracker_id":40,"status_id":1,"priority_id":2,"assigned_to_id":338,"start_date":"2017-12-24","description":"","custom_fields":[{"id":1,"name":"Subdivision","value":"NW"},{"id":4,"name":"Milepost","value":"5.8992"},{"id":17,"name":"Train ID","value":"1817-24"},{"id":16,"name":"Locomotive ID","value":"4058"},{"id":130,"name":"Impact","value":""},{"id":150,"name":"Time of Event (Mountain Time)","value":"14:23:48"},{"id":151,"name":"Denver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40"/>
        <v>start /low /b %USERPROFILE%\Documents\GitHub\eaglep3\Utilities\DownloadLogsFromS3.py --loco 4058 --day 2017-12-24</v>
      </c>
      <c r="AN176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42"/>
        <v>https://d0f6bd738d7f1b3e5a7ca70fe4ff75f0.us-east-1.aws.found.io/app/kibana#/discover/Steve-Slow-Train-Analysis-(2080s-and-2083s)?_g=(refreshInterval:(display:Off,pause:!f,section:0,value:0),time:(from:'2017-12-24T13:02:43-0700',mode:absolute,to:'2017-12-24T15:23:48-0700'))&amp;_a=(columns:!('Message%20ID',Summary),filters:!(),index:'emp_*',interval:auto,query:(query_string:(analyze_wildcard:!t,query:'%22rtdc.l.rtdc.4058%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687</v>
      </c>
      <c r="B177" s="225">
        <v>4057</v>
      </c>
      <c r="C177" s="227" t="s">
        <v>192</v>
      </c>
      <c r="D177" s="227" t="s">
        <v>984</v>
      </c>
      <c r="E177" s="226">
        <v>43093.600856481484</v>
      </c>
      <c r="F177" s="226">
        <v>43093.613298611112</v>
      </c>
      <c r="G177" s="225">
        <v>66</v>
      </c>
      <c r="H177" s="227" t="s">
        <v>985</v>
      </c>
      <c r="I177" s="226">
        <v>43093.621168981481</v>
      </c>
      <c r="J177" s="225">
        <v>0</v>
      </c>
      <c r="K177" s="237" t="str">
        <f>IF(ISEVEN(B177),(B177-1)&amp;"/"&amp;B177,B177&amp;"/"&amp;(B177+1))</f>
        <v>4057/4058</v>
      </c>
      <c r="L177" s="245" t="str">
        <f>VLOOKUP(A177,'Trips&amp;Operators'!$C$1:$G$99911,5,FALSE)</f>
        <v>HOLCOMB KAMDEN</v>
      </c>
      <c r="M177" s="224">
        <f>I177-F177</f>
        <v>7.8703703693463467E-3</v>
      </c>
      <c r="N177" s="225">
        <f>24*60*SUM($M177:$M177)</f>
        <v>11.333333331858739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-24T13:25:14-0700',mode:absolute,to:'2017-12-24T15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5.8672000000000004</v>
      </c>
      <c r="Z177" s="247">
        <f>RIGHT(H177,LEN(H177)-4)/10000</f>
        <v>1.4200000000000001E-2</v>
      </c>
      <c r="AA177" s="247">
        <f>ABS(Z177-Y177)</f>
        <v>5.8530000000000006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1818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/stypes="app*4057*20171224*" /stext=" 21:.+((SYSTEM_STATE.+slice.+state.+changed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38"/>
        <v>"%USERPROFILE%\Documents\GitHub\eaglep3\Utilities\RefineRTDCRunTimes.py" --tripid 1818-24 --locoid 4057 --swversion DE.1.0.9.0 --startMP 300:58672 --initTime 2017-12-24T14:25:14 --startdatetime 2017-12-24T14:43:09 --delay 66 --endMP 204:142 --enddatetime 2017-12-24T14:54:29 --enforcementcount 0 &gt;&gt;%USERPROFILE%\Documents\GitHub\eaglep3-reporting\EC\2017-12-24-refined-times.txt</v>
      </c>
      <c r="AI177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{"issue":{"subject":"","project_id":79,"tracker_id":40,"status_id":1,"priority_id":2,"assigned_to_id":338,"start_date":"2017-12-24","description":"","custom_fields":[{"id":1,"name":"Subdivision","value":"NW"},{"id":4,"name":"Milepost","value":"0.0142"},{"id":17,"name":"Train ID","value":"1818-24"},{"id":16,"name":"Locomotive ID","value":"4057"},{"id":130,"name":"Impact","value":""},{"id":150,"name":"Time of Event (Mountain Time)","value":"14:54:29"},{"id":151,"name":"Denver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40"/>
        <v>start /low /b %USERPROFILE%\Documents\GitHub\eaglep3\Utilities\DownloadLogsFromS3.py --loco 4057 --day 2017-12-24</v>
      </c>
      <c r="AN177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42"/>
        <v>https://d0f6bd738d7f1b3e5a7ca70fe4ff75f0.us-east-1.aws.found.io/app/kibana#/discover/Steve-Slow-Train-Analysis-(2080s-and-2083s)?_g=(refreshInterval:(display:Off,pause:!f,section:0,value:0),time:(from:'2017-12-24T13:25:14-0700',mode:absolute,to:'2017-12-24T15:54:29-0700'))&amp;_a=(columns:!('Message%20ID',Summary),filters:!(),index:'emp_*',interval:auto,query:(query_string:(analyze_wildcard:!t,query:'%22rtdc.l.rtdc.4057%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825</v>
      </c>
      <c r="B178" s="225">
        <v>4058</v>
      </c>
      <c r="C178" s="227" t="s">
        <v>192</v>
      </c>
      <c r="D178" s="227" t="s">
        <v>663</v>
      </c>
      <c r="E178" s="226">
        <v>43093.629803240743</v>
      </c>
      <c r="F178" s="226">
        <v>43093.631666666668</v>
      </c>
      <c r="G178" s="225">
        <v>49</v>
      </c>
      <c r="H178" s="227" t="s">
        <v>986</v>
      </c>
      <c r="I178" s="226">
        <v>43093.641597222224</v>
      </c>
      <c r="J178" s="225">
        <v>0</v>
      </c>
      <c r="K178" s="237" t="str">
        <f>IF(ISEVEN(B178),(B178-1)&amp;"/"&amp;B178,B178&amp;"/"&amp;(B178+1))</f>
        <v>4057/4058</v>
      </c>
      <c r="L178" s="245" t="str">
        <f>VLOOKUP(A178,'Trips&amp;Operators'!$C$1:$G$99911,5,FALSE)</f>
        <v>HOLCOMB KAMDEN</v>
      </c>
      <c r="M178" s="224">
        <f>I178-F178</f>
        <v>9.930555555911269E-3</v>
      </c>
      <c r="N178" s="225">
        <f>24*60*SUM($M178:$M178)</f>
        <v>14.300000000512227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-24T14:06:55-0700',mode:absolute,to:'2017-12-24T16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4.5499999999999999E-2</v>
      </c>
      <c r="Z178" s="247">
        <f>RIGHT(H178,LEN(H178)-4)/10000</f>
        <v>5.9001000000000001</v>
      </c>
      <c r="AA178" s="247">
        <f>ABS(Z178-Y178)</f>
        <v>5.8546000000000005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1819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/stypes="app*4058*20171224*" /stext=" 22:.+((SYSTEM_STATE.+slice.+state.+changed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38"/>
        <v>"%USERPROFILE%\Documents\GitHub\eaglep3\Utilities\RefineRTDCRunTimes.py" --tripid 1819-24 --locoid 4058 --swversion DE.1.0.9.0 --startMP 204:455 --initTime 2017-12-24T15:06:55 --startdatetime 2017-12-24T15:09:36 --delay 49 --endMP 300:59001 --enddatetime 2017-12-24T15:23:54 --enforcementcount 0 &gt;&gt;%USERPROFILE%\Documents\GitHub\eaglep3-reporting\EC\2017-12-24-refined-times.txt</v>
      </c>
      <c r="AI178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{"issue":{"subject":"","project_id":79,"tracker_id":40,"status_id":1,"priority_id":2,"assigned_to_id":338,"start_date":"2017-12-24","description":"","custom_fields":[{"id":1,"name":"Subdivision","value":"NW"},{"id":4,"name":"Milepost","value":"5.9001"},{"id":17,"name":"Train ID","value":"1819-24"},{"id":16,"name":"Locomotive ID","value":"4058"},{"id":130,"name":"Impact","value":""},{"id":150,"name":"Time of Event (Mountain Time)","value":"15:23:54"},{"id":151,"name":"Denver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40"/>
        <v>start /low /b %USERPROFILE%\Documents\GitHub\eaglep3\Utilities\DownloadLogsFromS3.py --loco 4058 --day 2017-12-24</v>
      </c>
      <c r="AN178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42"/>
        <v>https://d0f6bd738d7f1b3e5a7ca70fe4ff75f0.us-east-1.aws.found.io/app/kibana#/discover/Steve-Slow-Train-Analysis-(2080s-and-2083s)?_g=(refreshInterval:(display:Off,pause:!f,section:0,value:0),time:(from:'2017-12-24T14:06:55-0700',mode:absolute,to:'2017-12-24T16:23:54-0700'))&amp;_a=(columns:!('Message%20ID',Summary),filters:!(),index:'emp_*',interval:auto,query:(query_string:(analyze_wildcard:!t,query:'%22rtdc.l.rtdc.4058%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830</v>
      </c>
      <c r="B179" s="225">
        <v>4057</v>
      </c>
      <c r="C179" s="227" t="s">
        <v>192</v>
      </c>
      <c r="D179" s="227" t="s">
        <v>987</v>
      </c>
      <c r="E179" s="226">
        <v>43093.643506944441</v>
      </c>
      <c r="F179" s="226">
        <v>43093.655023148145</v>
      </c>
      <c r="G179" s="225">
        <v>73</v>
      </c>
      <c r="H179" s="227" t="s">
        <v>988</v>
      </c>
      <c r="I179" s="226">
        <v>43093.662962962961</v>
      </c>
      <c r="J179" s="225">
        <v>0</v>
      </c>
      <c r="K179" s="237" t="str">
        <f>IF(ISEVEN(B179),(B179-1)&amp;"/"&amp;B179,B179&amp;"/"&amp;(B179+1))</f>
        <v>4057/4058</v>
      </c>
      <c r="L179" s="245" t="str">
        <f>VLOOKUP(A179,'Trips&amp;Operators'!$C$1:$G$99911,5,FALSE)</f>
        <v>HOLCOMB KAMDEN</v>
      </c>
      <c r="M179" s="224">
        <f>I179-F179</f>
        <v>7.9398148154723458E-3</v>
      </c>
      <c r="N179" s="225">
        <f>24*60*SUM($M179:$M179)</f>
        <v>11.433333334280178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-24T14:26:39-0700',mode:absolute,to:'2017-12-24T16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5.8689999999999998</v>
      </c>
      <c r="Z179" s="247">
        <f>RIGHT(H179,LEN(H179)-4)/10000</f>
        <v>0.01</v>
      </c>
      <c r="AA179" s="247">
        <f>ABS(Z179-Y179)</f>
        <v>5.859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1820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/stypes="app*4057*20171224*" /stext=" 22:.+((SYSTEM_STATE.+slice.+state.+changed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38"/>
        <v>"%USERPROFILE%\Documents\GitHub\eaglep3\Utilities\RefineRTDCRunTimes.py" --tripid 1820-24 --locoid 4057 --swversion DE.1.0.9.0 --startMP 300:58690 --initTime 2017-12-24T15:26:39 --startdatetime 2017-12-24T15:43:14 --delay 73 --endMP 204:100 --enddatetime 2017-12-24T15:54:40 --enforcementcount 0 &gt;&gt;%USERPROFILE%\Documents\GitHub\eaglep3-reporting\EC\2017-12-24-refined-times.txt</v>
      </c>
      <c r="AI179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{"issue":{"subject":"","project_id":79,"tracker_id":40,"status_id":1,"priority_id":2,"assigned_to_id":338,"start_date":"2017-12-24","description":"","custom_fields":[{"id":1,"name":"Subdivision","value":"NW"},{"id":4,"name":"Milepost","value":"0.01"},{"id":17,"name":"Train ID","value":"1820-24"},{"id":16,"name":"Locomotive ID","value":"4057"},{"id":130,"name":"Impact","value":""},{"id":150,"name":"Time of Event (Mountain Time)","value":"15:54:40"},{"id":151,"name":"Denver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40"/>
        <v>start /low /b %USERPROFILE%\Documents\GitHub\eaglep3\Utilities\DownloadLogsFromS3.py --loco 4057 --day 2017-12-24</v>
      </c>
      <c r="AN179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42"/>
        <v>https://d0f6bd738d7f1b3e5a7ca70fe4ff75f0.us-east-1.aws.found.io/app/kibana#/discover/Steve-Slow-Train-Analysis-(2080s-and-2083s)?_g=(refreshInterval:(display:Off,pause:!f,section:0,value:0),time:(from:'2017-12-24T14:26:39-0700',mode:absolute,to:'2017-12-24T16:54:40-0700'))&amp;_a=(columns:!('Message%20ID',Summary),filters:!(),index:'emp_*',interval:auto,query:(query_string:(analyze_wildcard:!t,query:'%22rtdc.l.rtdc.4057%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689</v>
      </c>
      <c r="B180" s="225">
        <v>4058</v>
      </c>
      <c r="C180" s="227" t="s">
        <v>192</v>
      </c>
      <c r="D180" s="227" t="s">
        <v>987</v>
      </c>
      <c r="E180" s="226">
        <v>43093.643506944441</v>
      </c>
      <c r="F180" s="226">
        <v>43093.673206018517</v>
      </c>
      <c r="G180" s="225">
        <v>73</v>
      </c>
      <c r="H180" s="227" t="s">
        <v>988</v>
      </c>
      <c r="I180" s="226">
        <v>43093.683298611111</v>
      </c>
      <c r="J180" s="225">
        <v>0</v>
      </c>
      <c r="K180" s="237" t="str">
        <f>IF(ISEVEN(B180),(B180-1)&amp;"/"&amp;B180,B180&amp;"/"&amp;(B180+1))</f>
        <v>4057/4058</v>
      </c>
      <c r="L180" s="245" t="str">
        <f>VLOOKUP(A180,'Trips&amp;Operators'!$C$1:$G$99911,5,FALSE)</f>
        <v>HOLCOMB KAMDEN</v>
      </c>
      <c r="M180" s="224">
        <f>I180-F180</f>
        <v>1.0092592594446614E-2</v>
      </c>
      <c r="N180" s="225">
        <f>24*60*SUM($M180:$M180)</f>
        <v>14.533333336003125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-24T14:26:39-0700',mode:absolute,to:'2017-12-24T17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v>6.6699999999999995E-2</v>
      </c>
      <c r="Z180" s="247">
        <v>5.9006999999999996</v>
      </c>
      <c r="AA180" s="247">
        <f>ABS(Z180-Y180)</f>
        <v>5.8339999999999996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1821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/stypes="app*4058*20171224*" /stext=" 23:.+((SYSTEM_STATE.+slice.+state.+changed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ref="AH180" si="49"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1821-24 --locoid 4058 --swversion DE.1.0.9.0 --startMP 300:58690 --initTime 2017-12-24T15:26:39 --startdatetime 2017-12-24T16:09:25 --delay 73 --endMP 204:100 --enddatetime 2017-12-24T16:23:57 --enforcementcount 0 &gt;&gt;%USERPROFILE%\Documents\GitHub\eaglep3-reporting\EC\2017-12-24-refined-times.txt</v>
      </c>
      <c r="AI180" s="238" t="str">
        <f t="shared" ref="AI180" si="50"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{"issue":{"subject":"","project_id":79,"tracker_id":40,"status_id":1,"priority_id":2,"assigned_to_id":338,"start_date":"2017-12-24","description":"","custom_fields":[{"id":1,"name":"Subdivision","value":"NW"},{"id":4,"name":"Milepost","value":"5.9007"},{"id":17,"name":"Train ID","value":"1821-24"},{"id":16,"name":"Locomotive ID","value":"4058"},{"id":130,"name":"Impact","value":""},{"id":150,"name":"Time of Event (Mountain Time)","value":"16:23:57"},{"id":151,"name":"Denver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ref="AM180" si="51">"start /low /b "&amp;dls3logs&amp;" --loco "&amp;B180&amp;" --day "&amp;TEXT(F180,"YYYY-MM-DD")</f>
        <v>start /low /b %USERPROFILE%\Documents\GitHub\eaglep3\Utilities\DownloadLogsFromS3.py --loco 4058 --day 2017-12-24</v>
      </c>
      <c r="AN180" s="241" t="str">
        <f t="shared" ref="AN180" si="52"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ref="AO180" si="53"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-24T14:26:39-0700',mode:absolute,to:'2017-12-24T17:23:57-0700'))&amp;_a=(columns:!('Message%20ID',Summary),filters:!(),index:'emp_*',interval:auto,query:(query_string:(analyze_wildcard:!t,query:'%22rtdc.l.rtdc.4058%22')),sort:!(Time.ISO8601,asc))</v>
      </c>
    </row>
    <row r="181" spans="1:91" s="223" customFormat="1" x14ac:dyDescent="0.3">
      <c r="A181" s="229" t="s">
        <v>841</v>
      </c>
      <c r="B181" s="225">
        <v>4057</v>
      </c>
      <c r="C181" s="227" t="s">
        <v>192</v>
      </c>
      <c r="D181" s="227" t="s">
        <v>989</v>
      </c>
      <c r="E181" s="226">
        <v>43093.684270833335</v>
      </c>
      <c r="F181" s="226">
        <v>43093.69667824074</v>
      </c>
      <c r="G181" s="225">
        <v>77</v>
      </c>
      <c r="H181" s="227" t="s">
        <v>990</v>
      </c>
      <c r="I181" s="226">
        <v>43093.705208333333</v>
      </c>
      <c r="J181" s="225">
        <v>0</v>
      </c>
      <c r="K181" s="237" t="str">
        <f>IF(ISEVEN(B181),(B181-1)&amp;"/"&amp;B181,B181&amp;"/"&amp;(B181+1))</f>
        <v>4057/4058</v>
      </c>
      <c r="L181" s="245" t="str">
        <f>VLOOKUP(A181,'Trips&amp;Operators'!$C$1:$G$99911,5,FALSE)</f>
        <v>HOLCOMB KAMDEN</v>
      </c>
      <c r="M181" s="224">
        <f>I181-F181</f>
        <v>8.5300925929914229E-3</v>
      </c>
      <c r="N181" s="225">
        <f>24*60*SUM($M181:$M181)</f>
        <v>12.283333333907649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-24T15:25:21-0700',mode:absolute,to:'2017-12-24T17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5.8696000000000002</v>
      </c>
      <c r="Z181" s="247">
        <f>RIGHT(H181,LEN(H181)-4)/10000</f>
        <v>1.2800000000000001E-2</v>
      </c>
      <c r="AA181" s="247">
        <f>ABS(Z181-Y181)</f>
        <v>5.8567999999999998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1822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/stypes="app*4057*20171224*" /stext=" 23:.+((SYSTEM_STATE.+slice.+state.+changed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38"/>
        <v>"%USERPROFILE%\Documents\GitHub\eaglep3\Utilities\RefineRTDCRunTimes.py" --tripid 1822-24 --locoid 4057 --swversion DE.1.0.9.0 --startMP 300:58696 --initTime 2017-12-24T16:25:21 --startdatetime 2017-12-24T16:43:13 --delay 77 --endMP 204:128 --enddatetime 2017-12-24T16:55:30 --enforcementcount 0 &gt;&gt;%USERPROFILE%\Documents\GitHub\eaglep3-reporting\EC\2017-12-24-refined-times.txt</v>
      </c>
      <c r="AI181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{"issue":{"subject":"","project_id":79,"tracker_id":40,"status_id":1,"priority_id":2,"assigned_to_id":338,"start_date":"2017-12-24","description":"","custom_fields":[{"id":1,"name":"Subdivision","value":"NW"},{"id":4,"name":"Milepost","value":"0.0128"},{"id":17,"name":"Train ID","value":"1822-24"},{"id":16,"name":"Locomotive ID","value":"4057"},{"id":130,"name":"Impact","value":""},{"id":150,"name":"Time of Event (Mountain Time)","value":"16:55:30"},{"id":151,"name":"Denver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40"/>
        <v>start /low /b %USERPROFILE%\Documents\GitHub\eaglep3\Utilities\DownloadLogsFromS3.py --loco 4057 --day 2017-12-24</v>
      </c>
      <c r="AN181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42"/>
        <v>https://d0f6bd738d7f1b3e5a7ca70fe4ff75f0.us-east-1.aws.found.io/app/kibana#/discover/Steve-Slow-Train-Analysis-(2080s-and-2083s)?_g=(refreshInterval:(display:Off,pause:!f,section:0,value:0),time:(from:'2017-12-24T15:25:21-0700',mode:absolute,to:'2017-12-24T17:55:30-0700'))&amp;_a=(columns:!('Message%20ID',Summary),filters:!(),index:'emp_*',interval:auto,query:(query_string:(analyze_wildcard:!t,query:'%22rtdc.l.rtdc.4057%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29" t="s">
        <v>847</v>
      </c>
      <c r="B182" s="225">
        <v>4058</v>
      </c>
      <c r="C182" s="227" t="s">
        <v>192</v>
      </c>
      <c r="D182" s="227" t="s">
        <v>570</v>
      </c>
      <c r="E182" s="226">
        <v>43093.711493055554</v>
      </c>
      <c r="F182" s="226">
        <v>43093.714791666665</v>
      </c>
      <c r="G182" s="225">
        <v>54</v>
      </c>
      <c r="H182" s="227" t="s">
        <v>991</v>
      </c>
      <c r="I182" s="226">
        <v>43093.724479166667</v>
      </c>
      <c r="J182" s="225">
        <v>0</v>
      </c>
      <c r="K182" s="237" t="str">
        <f>IF(ISEVEN(B182),(B182-1)&amp;"/"&amp;B182,B182&amp;"/"&amp;(B182+1))</f>
        <v>4057/4058</v>
      </c>
      <c r="L182" s="245" t="str">
        <f>VLOOKUP(A182,'Trips&amp;Operators'!$C$1:$G$99911,5,FALSE)</f>
        <v>HOLCOMB KAMDEN</v>
      </c>
      <c r="M182" s="224">
        <f>I182-F182</f>
        <v>9.6875000017462298E-3</v>
      </c>
      <c r="N182" s="225">
        <f>24*60*SUM($M182:$M182)</f>
        <v>13.950000002514571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-24T16:04:33-0700',mode:absolute,to:'2017-12-24T18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4.3499999999999997E-2</v>
      </c>
      <c r="Z182" s="247">
        <f>RIGHT(H182,LEN(H182)-4)/10000</f>
        <v>5.9002999999999997</v>
      </c>
      <c r="AA182" s="247">
        <f>ABS(Z182-Y182)</f>
        <v>5.8567999999999998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1823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/stypes="app*4058*20171225*" /stext=" 00:.+((SYSTEM_STATE.+slice.+state.+changed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38"/>
        <v>"%USERPROFILE%\Documents\GitHub\eaglep3\Utilities\RefineRTDCRunTimes.py" --tripid 1823-24 --locoid 4058 --swversion DE.1.0.9.0 --startMP 204:435 --initTime 2017-12-24T17:04:33 --startdatetime 2017-12-24T17:09:18 --delay 54 --endMP 300:59003 --enddatetime 2017-12-24T17:23:15 --enforcementcount 0 &gt;&gt;%USERPROFILE%\Documents\GitHub\eaglep3-reporting\EC\2017-12-24-refined-times.txt</v>
      </c>
      <c r="AI182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{"issue":{"subject":"","project_id":79,"tracker_id":40,"status_id":1,"priority_id":2,"assigned_to_id":338,"start_date":"2017-12-24","description":"","custom_fields":[{"id":1,"name":"Subdivision","value":"NW"},{"id":4,"name":"Milepost","value":"5.9003"},{"id":17,"name":"Train ID","value":"1823-24"},{"id":16,"name":"Locomotive ID","value":"4058"},{"id":130,"name":"Impact","value":""},{"id":150,"name":"Time of Event (Mountain Time)","value":"17:23:15"},{"id":151,"name":"Denver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40"/>
        <v>start /low /b %USERPROFILE%\Documents\GitHub\eaglep3\Utilities\DownloadLogsFromS3.py --loco 4058 --day 2017-12-24</v>
      </c>
      <c r="AN182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42"/>
        <v>https://d0f6bd738d7f1b3e5a7ca70fe4ff75f0.us-east-1.aws.found.io/app/kibana#/discover/Steve-Slow-Train-Analysis-(2080s-and-2083s)?_g=(refreshInterval:(display:Off,pause:!f,section:0,value:0),time:(from:'2017-12-24T16:04:33-0700',mode:absolute,to:'2017-12-24T18:23:15-0700'))&amp;_a=(columns:!('Message%20ID',Summary),filters:!(),index:'emp_*',interval:auto,query:(query_string:(analyze_wildcard:!t,query:'%22rtdc.l.rtdc.4058%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29" t="s">
        <v>851</v>
      </c>
      <c r="B183" s="225">
        <v>4057</v>
      </c>
      <c r="C183" s="227" t="s">
        <v>192</v>
      </c>
      <c r="D183" s="227" t="s">
        <v>992</v>
      </c>
      <c r="E183" s="226">
        <v>43093.725648148145</v>
      </c>
      <c r="F183" s="226">
        <v>43093.737650462965</v>
      </c>
      <c r="G183" s="225">
        <v>56</v>
      </c>
      <c r="H183" s="227" t="s">
        <v>584</v>
      </c>
      <c r="I183" s="226">
        <v>43093.746817129628</v>
      </c>
      <c r="J183" s="225">
        <v>0</v>
      </c>
      <c r="K183" s="237" t="str">
        <f>IF(ISEVEN(B183),(B183-1)&amp;"/"&amp;B183,B183&amp;"/"&amp;(B183+1))</f>
        <v>4057/4058</v>
      </c>
      <c r="L183" s="245" t="str">
        <f>VLOOKUP(A183,'Trips&amp;Operators'!$C$1:$G$99911,5,FALSE)</f>
        <v>HOLCOMB KAMDEN</v>
      </c>
      <c r="M183" s="224">
        <f>I183-F183</f>
        <v>9.1666666630771942E-3</v>
      </c>
      <c r="N183" s="225">
        <f>24*60*SUM($M183:$M183)</f>
        <v>13.19999999483116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-24T16:24:56-0700',mode:absolute,to:'2017-12-24T18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5.8692000000000002</v>
      </c>
      <c r="Z183" s="247">
        <f>RIGHT(H183,LEN(H183)-4)/10000</f>
        <v>1.26E-2</v>
      </c>
      <c r="AA183" s="247">
        <f>ABS(Z183-Y183)</f>
        <v>5.8566000000000003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1824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/stypes="app*4057*20171225*" /stext=" 00:.+((SYSTEM_STATE.+slice.+state.+changed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38"/>
        <v>"%USERPROFILE%\Documents\GitHub\eaglep3\Utilities\RefineRTDCRunTimes.py" --tripid 1824-24 --locoid 4057 --swversion DE.1.0.9.0 --startMP 300:58692 --initTime 2017-12-24T17:24:56 --startdatetime 2017-12-24T17:42:13 --delay 56 --endMP 204:126 --enddatetime 2017-12-24T17:55:25 --enforcementcount 0 &gt;&gt;%USERPROFILE%\Documents\GitHub\eaglep3-reporting\EC\2017-12-24-refined-times.txt</v>
      </c>
      <c r="AI183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{"issue":{"subject":"","project_id":79,"tracker_id":40,"status_id":1,"priority_id":2,"assigned_to_id":338,"start_date":"2017-12-24","description":"","custom_fields":[{"id":1,"name":"Subdivision","value":"NW"},{"id":4,"name":"Milepost","value":"0.0126"},{"id":17,"name":"Train ID","value":"1824-24"},{"id":16,"name":"Locomotive ID","value":"4057"},{"id":130,"name":"Impact","value":""},{"id":150,"name":"Time of Event (Mountain Time)","value":"17:55:25"},{"id":151,"name":"Denver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40"/>
        <v>start /low /b %USERPROFILE%\Documents\GitHub\eaglep3\Utilities\DownloadLogsFromS3.py --loco 4057 --day 2017-12-24</v>
      </c>
      <c r="AN183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42"/>
        <v>https://d0f6bd738d7f1b3e5a7ca70fe4ff75f0.us-east-1.aws.found.io/app/kibana#/discover/Steve-Slow-Train-Analysis-(2080s-and-2083s)?_g=(refreshInterval:(display:Off,pause:!f,section:0,value:0),time:(from:'2017-12-24T16:24:56-0700',mode:absolute,to:'2017-12-24T18:55:25-0700'))&amp;_a=(columns:!('Message%20ID',Summary),filters:!(),index:'emp_*',interval:auto,query:(query_string:(analyze_wildcard:!t,query:'%22rtdc.l.rtdc.4057%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858</v>
      </c>
      <c r="B184" s="225">
        <v>4058</v>
      </c>
      <c r="C184" s="227" t="s">
        <v>192</v>
      </c>
      <c r="D184" s="227" t="s">
        <v>993</v>
      </c>
      <c r="E184" s="226">
        <v>43093.750023148146</v>
      </c>
      <c r="F184" s="226">
        <v>43093.75644675926</v>
      </c>
      <c r="G184" s="225">
        <v>80</v>
      </c>
      <c r="H184" s="227" t="s">
        <v>991</v>
      </c>
      <c r="I184" s="226">
        <v>43093.767002314817</v>
      </c>
      <c r="J184" s="225">
        <v>0</v>
      </c>
      <c r="K184" s="237" t="str">
        <f>IF(ISEVEN(B184),(B184-1)&amp;"/"&amp;B184,B184&amp;"/"&amp;(B184+1))</f>
        <v>4057/4058</v>
      </c>
      <c r="L184" s="245" t="str">
        <f>VLOOKUP(A184,'Trips&amp;Operators'!$C$1:$G$99911,5,FALSE)</f>
        <v>KILLION DAVID</v>
      </c>
      <c r="M184" s="224">
        <f>I184-F184</f>
        <v>1.0555555556493346E-2</v>
      </c>
      <c r="N184" s="225">
        <f>24*60*SUM($M184:$M184)</f>
        <v>15.200000001350418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-24T17:00:02-0700',mode:absolute,to:'2017-12-24T19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4.1000000000000002E-2</v>
      </c>
      <c r="Z184" s="247">
        <f>RIGHT(H184,LEN(H184)-4)/10000</f>
        <v>5.9002999999999997</v>
      </c>
      <c r="AA184" s="247">
        <f>ABS(Z184-Y184)</f>
        <v>5.8592999999999993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1825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/stypes="app*4058*20171225*" /stext=" 01:.+((SYSTEM_STATE.+slice.+state.+changed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38"/>
        <v>"%USERPROFILE%\Documents\GitHub\eaglep3\Utilities\RefineRTDCRunTimes.py" --tripid 1825-24 --locoid 4058 --swversion DE.1.0.9.0 --startMP 204:410 --initTime 2017-12-24T18:00:02 --startdatetime 2017-12-24T18:09:17 --delay 80 --endMP 300:59003 --enddatetime 2017-12-24T18:24:29 --enforcementcount 0 &gt;&gt;%USERPROFILE%\Documents\GitHub\eaglep3-reporting\EC\2017-12-24-refined-times.txt</v>
      </c>
      <c r="AI184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{"issue":{"subject":"","project_id":79,"tracker_id":40,"status_id":1,"priority_id":2,"assigned_to_id":338,"start_date":"2017-12-24","description":"","custom_fields":[{"id":1,"name":"Subdivision","value":"NW"},{"id":4,"name":"Milepost","value":"5.9003"},{"id":17,"name":"Train ID","value":"1825-24"},{"id":16,"name":"Locomotive ID","value":"4058"},{"id":130,"name":"Impact","value":""},{"id":150,"name":"Time of Event (Mountain Time)","value":"18:24:29"},{"id":151,"name":"Denver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40"/>
        <v>start /low /b %USERPROFILE%\Documents\GitHub\eaglep3\Utilities\DownloadLogsFromS3.py --loco 4058 --day 2017-12-24</v>
      </c>
      <c r="AN184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42"/>
        <v>https://d0f6bd738d7f1b3e5a7ca70fe4ff75f0.us-east-1.aws.found.io/app/kibana#/discover/Steve-Slow-Train-Analysis-(2080s-and-2083s)?_g=(refreshInterval:(display:Off,pause:!f,section:0,value:0),time:(from:'2017-12-24T17:00:02-0700',mode:absolute,to:'2017-12-24T19:24:29-0700'))&amp;_a=(columns:!('Message%20ID',Summary),filters:!(),index:'emp_*',interval:auto,query:(query_string:(analyze_wildcard:!t,query:'%22rtdc.l.rtdc.4058%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29" t="s">
        <v>864</v>
      </c>
      <c r="B185" s="225">
        <v>4057</v>
      </c>
      <c r="C185" s="227" t="s">
        <v>192</v>
      </c>
      <c r="D185" s="227" t="s">
        <v>984</v>
      </c>
      <c r="E185" s="226">
        <v>43093.76871527778</v>
      </c>
      <c r="F185" s="226">
        <v>43093.779814814814</v>
      </c>
      <c r="G185" s="225">
        <v>60</v>
      </c>
      <c r="H185" s="227" t="s">
        <v>994</v>
      </c>
      <c r="I185" s="226">
        <v>43093.789675925924</v>
      </c>
      <c r="J185" s="225">
        <v>0</v>
      </c>
      <c r="K185" s="237" t="str">
        <f>IF(ISEVEN(B185),(B185-1)&amp;"/"&amp;B185,B185&amp;"/"&amp;(B185+1))</f>
        <v>4057/4058</v>
      </c>
      <c r="L185" s="245" t="str">
        <f>VLOOKUP(A185,'Trips&amp;Operators'!$C$1:$G$99911,5,FALSE)</f>
        <v>KILLION DAVID</v>
      </c>
      <c r="M185" s="224">
        <f>I185-F185</f>
        <v>9.8611111097852699E-3</v>
      </c>
      <c r="N185" s="225">
        <f>24*60*SUM($M185:$M185)</f>
        <v>14.199999998090789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-24T17:26:57-0700',mode:absolute,to:'2017-12-24T19:57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5.8672000000000004</v>
      </c>
      <c r="Z185" s="247">
        <f>RIGHT(H185,LEN(H185)-4)/10000</f>
        <v>1.3299999999999999E-2</v>
      </c>
      <c r="AA185" s="247">
        <f>ABS(Z185-Y185)</f>
        <v>5.8539000000000003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1826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/stypes="app*4057*20171225*" /stext=" 01:.+((SYSTEM_STATE.+slice.+state.+changed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38"/>
        <v>"%USERPROFILE%\Documents\GitHub\eaglep3\Utilities\RefineRTDCRunTimes.py" --tripid 1826-24 --locoid 4057 --swversion DE.1.0.9.0 --startMP 300:58672 --initTime 2017-12-24T18:26:57 --startdatetime 2017-12-24T18:42:56 --delay 60 --endMP 204:133 --enddatetime 2017-12-24T18:57:08 --enforcementcount 0 &gt;&gt;%USERPROFILE%\Documents\GitHub\eaglep3-reporting\EC\2017-12-24-refined-times.txt</v>
      </c>
      <c r="AI185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{"issue":{"subject":"","project_id":79,"tracker_id":40,"status_id":1,"priority_id":2,"assigned_to_id":338,"start_date":"2017-12-24","description":"","custom_fields":[{"id":1,"name":"Subdivision","value":"NW"},{"id":4,"name":"Milepost","value":"0.0133"},{"id":17,"name":"Train ID","value":"1826-24"},{"id":16,"name":"Locomotive ID","value":"4057"},{"id":130,"name":"Impact","value":""},{"id":150,"name":"Time of Event (Mountain Time)","value":"18:57:08"},{"id":151,"name":"Denver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40"/>
        <v>start /low /b %USERPROFILE%\Documents\GitHub\eaglep3\Utilities\DownloadLogsFromS3.py --loco 4057 --day 2017-12-24</v>
      </c>
      <c r="AN185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42"/>
        <v>https://d0f6bd738d7f1b3e5a7ca70fe4ff75f0.us-east-1.aws.found.io/app/kibana#/discover/Steve-Slow-Train-Analysis-(2080s-and-2083s)?_g=(refreshInterval:(display:Off,pause:!f,section:0,value:0),time:(from:'2017-12-24T17:26:57-0700',mode:absolute,to:'2017-12-24T19:57:08-0700'))&amp;_a=(columns:!('Message%20ID',Summary),filters:!(),index:'emp_*',interval:auto,query:(query_string:(analyze_wildcard:!t,query:'%22rtdc.l.rtdc.4057%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870</v>
      </c>
      <c r="B186" s="225">
        <v>4058</v>
      </c>
      <c r="C186" s="227" t="s">
        <v>192</v>
      </c>
      <c r="D186" s="227" t="s">
        <v>995</v>
      </c>
      <c r="E186" s="226">
        <v>43093.791863425926</v>
      </c>
      <c r="F186" s="226">
        <v>43093.798194444447</v>
      </c>
      <c r="G186" s="225">
        <v>55</v>
      </c>
      <c r="H186" s="227" t="s">
        <v>996</v>
      </c>
      <c r="I186" s="226">
        <v>43093.807615740741</v>
      </c>
      <c r="J186" s="225">
        <v>0</v>
      </c>
      <c r="K186" s="237" t="str">
        <f>IF(ISEVEN(B186),(B186-1)&amp;"/"&amp;B186,B186&amp;"/"&amp;(B186+1))</f>
        <v>4057/4058</v>
      </c>
      <c r="L186" s="245" t="str">
        <f>VLOOKUP(A186,'Trips&amp;Operators'!$C$1:$G$99911,5,FALSE)</f>
        <v>HOLCOMB KAMDEN</v>
      </c>
      <c r="M186" s="224">
        <f>I186-F186</f>
        <v>9.4212962940218858E-3</v>
      </c>
      <c r="N186" s="225">
        <f>24*60*SUM($M186:$M186)</f>
        <v>13.566666663391516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-24T18:00:17-0700',mode:absolute,to:'2017-12-24T20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4.2099999999999999E-2</v>
      </c>
      <c r="Z186" s="247">
        <f>RIGHT(H186,LEN(H186)-4)/10000</f>
        <v>5.9009999999999998</v>
      </c>
      <c r="AA186" s="247">
        <f>ABS(Z186-Y186)</f>
        <v>5.8589000000000002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1827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/stypes="app*4058*20171225*" /stext=" 02:.+((SYSTEM_STATE.+slice.+state.+changed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38"/>
        <v>"%USERPROFILE%\Documents\GitHub\eaglep3\Utilities\RefineRTDCRunTimes.py" --tripid 1827-24 --locoid 4058 --swversion DE.1.0.9.0 --startMP 204:421 --initTime 2017-12-24T19:00:17 --startdatetime 2017-12-24T19:09:24 --delay 55 --endMP 300:59010 --enddatetime 2017-12-24T19:22:58 --enforcementcount 0 &gt;&gt;%USERPROFILE%\Documents\GitHub\eaglep3-reporting\EC\2017-12-24-refined-times.txt</v>
      </c>
      <c r="AI186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{"issue":{"subject":"","project_id":79,"tracker_id":40,"status_id":1,"priority_id":2,"assigned_to_id":338,"start_date":"2017-12-24","description":"","custom_fields":[{"id":1,"name":"Subdivision","value":"NW"},{"id":4,"name":"Milepost","value":"5.901"},{"id":17,"name":"Train ID","value":"1827-24"},{"id":16,"name":"Locomotive ID","value":"4058"},{"id":130,"name":"Impact","value":""},{"id":150,"name":"Time of Event (Mountain Time)","value":"19:22:58"},{"id":151,"name":"Denver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40"/>
        <v>start /low /b %USERPROFILE%\Documents\GitHub\eaglep3\Utilities\DownloadLogsFromS3.py --loco 4058 --day 2017-12-24</v>
      </c>
      <c r="AN186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42"/>
        <v>https://d0f6bd738d7f1b3e5a7ca70fe4ff75f0.us-east-1.aws.found.io/app/kibana#/discover/Steve-Slow-Train-Analysis-(2080s-and-2083s)?_g=(refreshInterval:(display:Off,pause:!f,section:0,value:0),time:(from:'2017-12-24T18:00:17-0700',mode:absolute,to:'2017-12-24T20:22:58-0700'))&amp;_a=(columns:!('Message%20ID',Summary),filters:!(),index:'emp_*',interval:auto,query:(query_string:(analyze_wildcard:!t,query:'%22rtdc.l.rtdc.4058%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873</v>
      </c>
      <c r="B187" s="225">
        <v>4057</v>
      </c>
      <c r="C187" s="227" t="s">
        <v>192</v>
      </c>
      <c r="D187" s="227" t="s">
        <v>997</v>
      </c>
      <c r="E187" s="226">
        <v>43093.808576388888</v>
      </c>
      <c r="F187" s="226">
        <v>43093.821736111109</v>
      </c>
      <c r="G187" s="225">
        <v>57</v>
      </c>
      <c r="H187" s="227" t="s">
        <v>998</v>
      </c>
      <c r="I187" s="226">
        <v>43093.830462962964</v>
      </c>
      <c r="J187" s="225">
        <v>0</v>
      </c>
      <c r="K187" s="237" t="str">
        <f>IF(ISEVEN(B187),(B187-1)&amp;"/"&amp;B187,B187&amp;"/"&amp;(B187+1))</f>
        <v>4057/4058</v>
      </c>
      <c r="L187" s="245" t="str">
        <f>VLOOKUP(A187,'Trips&amp;Operators'!$C$1:$G$99911,5,FALSE)</f>
        <v>HOLCOMB KAMDEN</v>
      </c>
      <c r="M187" s="224">
        <f>I187-F187</f>
        <v>8.7268518545897678E-3</v>
      </c>
      <c r="N187" s="225">
        <f>24*60*SUM($M187:$M187)</f>
        <v>12.566666670609266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-24T18:24:21-0700',mode:absolute,to:'2017-12-24T20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5.8697999999999997</v>
      </c>
      <c r="Z187" s="247">
        <f>RIGHT(H187,LEN(H187)-4)/10000</f>
        <v>7.4999999999999997E-3</v>
      </c>
      <c r="AA187" s="247">
        <f>ABS(Z187-Y187)</f>
        <v>5.8622999999999994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1828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/stypes="app*4057*20171225*" /stext=" 02:.+((SYSTEM_STATE.+slice.+state.+changed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38"/>
        <v>"%USERPROFILE%\Documents\GitHub\eaglep3\Utilities\RefineRTDCRunTimes.py" --tripid 1828-24 --locoid 4057 --swversion DE.1.0.9.0 --startMP 300:58698 --initTime 2017-12-24T19:24:21 --startdatetime 2017-12-24T19:43:18 --delay 57 --endMP 204:75 --enddatetime 2017-12-24T19:55:52 --enforcementcount 0 &gt;&gt;%USERPROFILE%\Documents\GitHub\eaglep3-reporting\EC\2017-12-24-refined-times.txt</v>
      </c>
      <c r="AI187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{"issue":{"subject":"","project_id":79,"tracker_id":40,"status_id":1,"priority_id":2,"assigned_to_id":338,"start_date":"2017-12-24","description":"","custom_fields":[{"id":1,"name":"Subdivision","value":"NW"},{"id":4,"name":"Milepost","value":"0.0075"},{"id":17,"name":"Train ID","value":"1828-24"},{"id":16,"name":"Locomotive ID","value":"4057"},{"id":130,"name":"Impact","value":""},{"id":150,"name":"Time of Event (Mountain Time)","value":"19:55:52"},{"id":151,"name":"Denver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40"/>
        <v>start /low /b %USERPROFILE%\Documents\GitHub\eaglep3\Utilities\DownloadLogsFromS3.py --loco 4057 --day 2017-12-24</v>
      </c>
      <c r="AN187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42"/>
        <v>https://d0f6bd738d7f1b3e5a7ca70fe4ff75f0.us-east-1.aws.found.io/app/kibana#/discover/Steve-Slow-Train-Analysis-(2080s-and-2083s)?_g=(refreshInterval:(display:Off,pause:!f,section:0,value:0),time:(from:'2017-12-24T18:24:21-0700',mode:absolute,to:'2017-12-24T20:55:52-0700'))&amp;_a=(columns:!('Message%20ID',Summary),filters:!(),index:'emp_*',interval:auto,query:(query_string:(analyze_wildcard:!t,query:'%22rtdc.l.rtdc.4057%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23" customFormat="1" x14ac:dyDescent="0.3">
      <c r="A188" s="229" t="s">
        <v>690</v>
      </c>
      <c r="B188" s="225">
        <v>4058</v>
      </c>
      <c r="C188" s="227" t="s">
        <v>192</v>
      </c>
      <c r="D188" s="227" t="s">
        <v>666</v>
      </c>
      <c r="E188" s="226">
        <v>43093.831655092596</v>
      </c>
      <c r="F188" s="226">
        <v>43093.839791666665</v>
      </c>
      <c r="G188" s="225">
        <v>71</v>
      </c>
      <c r="H188" s="227" t="s">
        <v>999</v>
      </c>
      <c r="I188" s="226">
        <v>43093.849918981483</v>
      </c>
      <c r="J188" s="225">
        <v>0</v>
      </c>
      <c r="K188" s="237" t="str">
        <f>IF(ISEVEN(B188),(B188-1)&amp;"/"&amp;B188,B188&amp;"/"&amp;(B188+1))</f>
        <v>4057/4058</v>
      </c>
      <c r="L188" s="245" t="str">
        <f>VLOOKUP(A188,'Trips&amp;Operators'!$C$1:$G$99911,5,FALSE)</f>
        <v>HOLCOMB KAMDEN</v>
      </c>
      <c r="M188" s="224">
        <f>I188-F188</f>
        <v>1.0127314817509614E-2</v>
      </c>
      <c r="N188" s="225">
        <f>24*60*SUM($M188:$M188)</f>
        <v>14.583333337213844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-24T18:57:35-0700',mode:absolute,to:'2017-12-24T21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3.7900000000000003E-2</v>
      </c>
      <c r="Z188" s="247">
        <f>RIGHT(H188,LEN(H188)-4)/10000</f>
        <v>5.9013999999999998</v>
      </c>
      <c r="AA188" s="247">
        <f>ABS(Z188-Y188)</f>
        <v>5.8635000000000002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1829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/stypes="app*4058*20171225*" /stext=" 03:.+((SYSTEM_STATE.+slice.+state.+changed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38"/>
        <v>"%USERPROFILE%\Documents\GitHub\eaglep3\Utilities\RefineRTDCRunTimes.py" --tripid 1829-24 --locoid 4058 --swversion DE.1.0.9.0 --startMP 204:379 --initTime 2017-12-24T19:57:35 --startdatetime 2017-12-24T20:09:18 --delay 71 --endMP 300:59014 --enddatetime 2017-12-24T20:23:53 --enforcementcount 0 &gt;&gt;%USERPROFILE%\Documents\GitHub\eaglep3-reporting\EC\2017-12-24-refined-times.txt</v>
      </c>
      <c r="AI188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{"issue":{"subject":"","project_id":79,"tracker_id":40,"status_id":1,"priority_id":2,"assigned_to_id":338,"start_date":"2017-12-24","description":"","custom_fields":[{"id":1,"name":"Subdivision","value":"NW"},{"id":4,"name":"Milepost","value":"5.9014"},{"id":17,"name":"Train ID","value":"1829-24"},{"id":16,"name":"Locomotive ID","value":"4058"},{"id":130,"name":"Impact","value":""},{"id":150,"name":"Time of Event (Mountain Time)","value":"20:23:53"},{"id":151,"name":"Denver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231"/>
      <c r="AL188" s="231"/>
      <c r="AM188" s="240" t="str">
        <f t="shared" si="40"/>
        <v>start /low /b %USERPROFILE%\Documents\GitHub\eaglep3\Utilities\DownloadLogsFromS3.py --loco 4058 --day 2017-12-24</v>
      </c>
      <c r="AN188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03:23:53"},{"id":29,"name":"Sharepoint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42"/>
        <v>https://d0f6bd738d7f1b3e5a7ca70fe4ff75f0.us-east-1.aws.found.io/app/kibana#/discover/Steve-Slow-Train-Analysis-(2080s-and-2083s)?_g=(refreshInterval:(display:Off,pause:!f,section:0,value:0),time:(from:'2017-12-24T18:57:35-0700',mode:absolute,to:'2017-12-24T21:23:53-0700'))&amp;_a=(columns:!('Message%20ID',Summary),filters:!(),index:'emp_*',interval:auto,query:(query_string:(analyze_wildcard:!t,query:'%22rtdc.l.rtdc.4058%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879</v>
      </c>
      <c r="B189" s="225">
        <v>4057</v>
      </c>
      <c r="C189" s="227" t="s">
        <v>192</v>
      </c>
      <c r="D189" s="227" t="s">
        <v>1001</v>
      </c>
      <c r="E189" s="226">
        <v>43093.851030092592</v>
      </c>
      <c r="F189" s="226">
        <v>43093.863055555557</v>
      </c>
      <c r="G189" s="225">
        <v>54</v>
      </c>
      <c r="H189" s="227" t="s">
        <v>1002</v>
      </c>
      <c r="I189" s="226">
        <v>43093.872210648151</v>
      </c>
      <c r="J189" s="225">
        <v>0</v>
      </c>
      <c r="K189" s="237" t="str">
        <f>IF(ISEVEN(B189),(B189-1)&amp;"/"&amp;B189,B189&amp;"/"&amp;(B189+1))</f>
        <v>4057/4058</v>
      </c>
      <c r="L189" s="245" t="str">
        <f>VLOOKUP(A189,'Trips&amp;Operators'!$C$1:$G$99911,5,FALSE)</f>
        <v>HOLCOMB KAMDEN</v>
      </c>
      <c r="M189" s="224">
        <f>I189-F189</f>
        <v>9.1550925935734995E-3</v>
      </c>
      <c r="N189" s="225">
        <f>24*60*SUM($M189:$M189)</f>
        <v>13.183333334745839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-24T19:25:29-0700',mode:absolute,to:'2017-12-24T21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5.8711000000000002</v>
      </c>
      <c r="Z189" s="247">
        <f>RIGHT(H189,LEN(H189)-4)/10000</f>
        <v>1.04E-2</v>
      </c>
      <c r="AA189" s="247">
        <f>ABS(Z189-Y189)</f>
        <v>5.8607000000000005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1830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/stypes="app*4057*20171225*" /stext=" 03:.+((SYSTEM_STATE.+slice.+state.+changed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38"/>
        <v>"%USERPROFILE%\Documents\GitHub\eaglep3\Utilities\RefineRTDCRunTimes.py" --tripid 1830-24 --locoid 4057 --swversion DE.1.0.9.0 --startMP 300:58711 --initTime 2017-12-24T20:25:29 --startdatetime 2017-12-24T20:42:48 --delay 54 --endMP 204:104 --enddatetime 2017-12-24T20:55:59 --enforcementcount 0 &gt;&gt;%USERPROFILE%\Documents\GitHub\eaglep3-reporting\EC\2017-12-24-refined-times.txt</v>
      </c>
      <c r="AI189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{"issue":{"subject":"","project_id":79,"tracker_id":40,"status_id":1,"priority_id":2,"assigned_to_id":338,"start_date":"2017-12-24","description":"","custom_fields":[{"id":1,"name":"Subdivision","value":"NW"},{"id":4,"name":"Milepost","value":"0.0104"},{"id":17,"name":"Train ID","value":"1830-24"},{"id":16,"name":"Locomotive ID","value":"4057"},{"id":130,"name":"Impact","value":""},{"id":150,"name":"Time of Event (Mountain Time)","value":"20:55:59"},{"id":151,"name":"Denver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40"/>
        <v>start /low /b %USERPROFILE%\Documents\GitHub\eaglep3\Utilities\DownloadLogsFromS3.py --loco 4057 --day 2017-12-24</v>
      </c>
      <c r="AN189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42"/>
        <v>https://d0f6bd738d7f1b3e5a7ca70fe4ff75f0.us-east-1.aws.found.io/app/kibana#/discover/Steve-Slow-Train-Analysis-(2080s-and-2083s)?_g=(refreshInterval:(display:Off,pause:!f,section:0,value:0),time:(from:'2017-12-24T19:25:29-0700',mode:absolute,to:'2017-12-24T21:55:59-0700'))&amp;_a=(columns:!('Message%20ID',Summary),filters:!(),index:'emp_*',interval:auto,query:(query_string:(analyze_wildcard:!t,query:'%22rtdc.l.rtdc.4057%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693</v>
      </c>
      <c r="B190" s="225">
        <v>4058</v>
      </c>
      <c r="C190" s="227" t="s">
        <v>192</v>
      </c>
      <c r="D190" s="227" t="s">
        <v>1003</v>
      </c>
      <c r="E190" s="226">
        <v>43093.878240740742</v>
      </c>
      <c r="F190" s="226">
        <v>43093.881643518522</v>
      </c>
      <c r="G190" s="225">
        <v>47</v>
      </c>
      <c r="H190" s="227" t="s">
        <v>986</v>
      </c>
      <c r="I190" s="226">
        <v>43093.891643518517</v>
      </c>
      <c r="J190" s="225">
        <v>0</v>
      </c>
      <c r="K190" s="237" t="str">
        <f>IF(ISEVEN(B190),(B190-1)&amp;"/"&amp;B190,B190&amp;"/"&amp;(B190+1))</f>
        <v>4057/4058</v>
      </c>
      <c r="L190" s="245" t="str">
        <f>VLOOKUP(A190,'Trips&amp;Operators'!$C$1:$G$99911,5,FALSE)</f>
        <v>HOLCOMB KAMDEN</v>
      </c>
      <c r="M190" s="224">
        <f>I190-F190</f>
        <v>9.9999999947613105E-3</v>
      </c>
      <c r="N190" s="225">
        <f>24*60*SUM($M190:$M190)</f>
        <v>14.399999992456287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-24T20:04:40-0700',mode:absolute,to:'2017-12-24T22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4.0099999999999997E-2</v>
      </c>
      <c r="Z190" s="247">
        <f>RIGHT(H190,LEN(H190)-4)/10000</f>
        <v>5.9001000000000001</v>
      </c>
      <c r="AA190" s="247">
        <f>ABS(Z190-Y190)</f>
        <v>5.86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1831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/stypes="app*4058*20171225*" /stext=" 04:.+((SYSTEM_STATE.+slice.+state.+changed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38"/>
        <v>"%USERPROFILE%\Documents\GitHub\eaglep3\Utilities\RefineRTDCRunTimes.py" --tripid 1831-24 --locoid 4058 --swversion DE.1.0.9.0 --startMP 204:401 --initTime 2017-12-24T21:04:40 --startdatetime 2017-12-24T21:09:34 --delay 47 --endMP 300:59001 --enddatetime 2017-12-24T21:23:58 --enforcementcount 0 &gt;&gt;%USERPROFILE%\Documents\GitHub\eaglep3-reporting\EC\2017-12-24-refined-times.txt</v>
      </c>
      <c r="AI190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{"issue":{"subject":"","project_id":79,"tracker_id":40,"status_id":1,"priority_id":2,"assigned_to_id":338,"start_date":"2017-12-24","description":"","custom_fields":[{"id":1,"name":"Subdivision","value":"NW"},{"id":4,"name":"Milepost","value":"5.9001"},{"id":17,"name":"Train ID","value":"1831-24"},{"id":16,"name":"Locomotive ID","value":"4058"},{"id":130,"name":"Impact","value":""},{"id":150,"name":"Time of Event (Mountain Time)","value":"21:23:58"},{"id":151,"name":"Denver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40"/>
        <v>start /low /b %USERPROFILE%\Documents\GitHub\eaglep3\Utilities\DownloadLogsFromS3.py --loco 4058 --day 2017-12-24</v>
      </c>
      <c r="AN190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04:23:58"},{"id":29,"name":"Sharepoint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42"/>
        <v>https://d0f6bd738d7f1b3e5a7ca70fe4ff75f0.us-east-1.aws.found.io/app/kibana#/discover/Steve-Slow-Train-Analysis-(2080s-and-2083s)?_g=(refreshInterval:(display:Off,pause:!f,section:0,value:0),time:(from:'2017-12-24T20:04:40-0700',mode:absolute,to:'2017-12-24T22:23:58-0700'))&amp;_a=(columns:!('Message%20ID',Summary),filters:!(),index:'emp_*',interval:auto,query:(query_string:(analyze_wildcard:!t,query:'%22rtdc.l.rtdc.4058%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883</v>
      </c>
      <c r="B191" s="225">
        <v>4057</v>
      </c>
      <c r="C191" s="227" t="s">
        <v>192</v>
      </c>
      <c r="D191" s="227" t="s">
        <v>1004</v>
      </c>
      <c r="E191" s="226">
        <v>43093.89398148148</v>
      </c>
      <c r="F191" s="226">
        <v>43093.904953703706</v>
      </c>
      <c r="G191" s="225">
        <v>49</v>
      </c>
      <c r="H191" s="227" t="s">
        <v>1005</v>
      </c>
      <c r="I191" s="226">
        <v>43093.913611111115</v>
      </c>
      <c r="J191" s="225">
        <v>0</v>
      </c>
      <c r="K191" s="237" t="str">
        <f>IF(ISEVEN(B191),(B191-1)&amp;"/"&amp;B191,B191&amp;"/"&amp;(B191+1))</f>
        <v>4057/4058</v>
      </c>
      <c r="L191" s="245" t="str">
        <f>VLOOKUP(A191,'Trips&amp;Operators'!$C$1:$G$99911,5,FALSE)</f>
        <v>HOLCOMB KAMDEN</v>
      </c>
      <c r="M191" s="224">
        <f>I191-F191</f>
        <v>8.6574074084637687E-3</v>
      </c>
      <c r="N191" s="225">
        <f>24*60*SUM($M191:$M191)</f>
        <v>12.466666668187827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-24T20:27:20-0700',mode:absolute,to:'2017-12-24T22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5.8693999999999997</v>
      </c>
      <c r="Z191" s="247">
        <f>RIGHT(H191,LEN(H191)-4)/10000</f>
        <v>1.2E-2</v>
      </c>
      <c r="AA191" s="247">
        <f>ABS(Z191-Y191)</f>
        <v>5.8574000000000002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1832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/stypes="app*4057*20171225*" /stext=" 04:.+((SYSTEM_STATE.+slice.+state.+changed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38"/>
        <v>"%USERPROFILE%\Documents\GitHub\eaglep3\Utilities\RefineRTDCRunTimes.py" --tripid 1832-24 --locoid 4057 --swversion DE.1.0.9.0 --startMP 300:58694 --initTime 2017-12-24T21:27:20 --startdatetime 2017-12-24T21:43:08 --delay 49 --endMP 204:120 --enddatetime 2017-12-24T21:55:36 --enforcementcount 0 &gt;&gt;%USERPROFILE%\Documents\GitHub\eaglep3-reporting\EC\2017-12-24-refined-times.txt</v>
      </c>
      <c r="AI191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{"issue":{"subject":"","project_id":79,"tracker_id":40,"status_id":1,"priority_id":2,"assigned_to_id":338,"start_date":"2017-12-24","description":"","custom_fields":[{"id":1,"name":"Subdivision","value":"NW"},{"id":4,"name":"Milepost","value":"0.012"},{"id":17,"name":"Train ID","value":"1832-24"},{"id":16,"name":"Locomotive ID","value":"4057"},{"id":130,"name":"Impact","value":""},{"id":150,"name":"Time of Event (Mountain Time)","value":"21:55:36"},{"id":151,"name":"Denver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40"/>
        <v>start /low /b %USERPROFILE%\Documents\GitHub\eaglep3\Utilities\DownloadLogsFromS3.py --loco 4057 --day 2017-12-24</v>
      </c>
      <c r="AN191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04:55:36"},{"id":29,"name":"Sharepoint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42"/>
        <v>https://d0f6bd738d7f1b3e5a7ca70fe4ff75f0.us-east-1.aws.found.io/app/kibana#/discover/Steve-Slow-Train-Analysis-(2080s-and-2083s)?_g=(refreshInterval:(display:Off,pause:!f,section:0,value:0),time:(from:'2017-12-24T20:27:20-0700',mode:absolute,to:'2017-12-24T22:55:36-0700'))&amp;_a=(columns:!('Message%20ID',Summary),filters:!(),index:'emp_*',interval:auto,query:(query_string:(analyze_wildcard:!t,query:'%22rtdc.l.rtdc.4057%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29" t="s">
        <v>695</v>
      </c>
      <c r="B192" s="225">
        <v>4058</v>
      </c>
      <c r="C192" s="227" t="s">
        <v>192</v>
      </c>
      <c r="D192" s="227" t="s">
        <v>1006</v>
      </c>
      <c r="E192" s="226">
        <v>43093.920358796298</v>
      </c>
      <c r="F192" s="226">
        <v>43093.923101851855</v>
      </c>
      <c r="G192" s="225">
        <v>51</v>
      </c>
      <c r="H192" s="227" t="s">
        <v>983</v>
      </c>
      <c r="I192" s="226">
        <v>43093.93340277778</v>
      </c>
      <c r="J192" s="225">
        <v>0</v>
      </c>
      <c r="K192" s="237" t="str">
        <f>IF(ISEVEN(B192),(B192-1)&amp;"/"&amp;B192,B192&amp;"/"&amp;(B192+1))</f>
        <v>4057/4058</v>
      </c>
      <c r="L192" s="245" t="str">
        <f>VLOOKUP(A192,'Trips&amp;Operators'!$C$1:$G$99911,5,FALSE)</f>
        <v>HOLCOMB KAMDEN</v>
      </c>
      <c r="M192" s="224">
        <f>I192-F192</f>
        <v>1.0300925925548654E-2</v>
      </c>
      <c r="N192" s="225">
        <f>24*60*SUM($M192:$M192)</f>
        <v>14.833333332790062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-24T21:05:19-0700',mode:absolute,to:'2017-12-24T23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4.1500000000000002E-2</v>
      </c>
      <c r="Z192" s="247">
        <f>RIGHT(H192,LEN(H192)-4)/10000</f>
        <v>5.8992000000000004</v>
      </c>
      <c r="AA192" s="247">
        <f>ABS(Z192-Y192)</f>
        <v>5.8577000000000004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1833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/stypes="app*4058*20171225*" /stext=" 05:.+((SYSTEM_STATE.+slice.+state.+changed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38"/>
        <v>"%USERPROFILE%\Documents\GitHub\eaglep3\Utilities\RefineRTDCRunTimes.py" --tripid 1833-24 --locoid 4058 --swversion DE.1.0.9.0 --startMP 204:415 --initTime 2017-12-24T22:05:19 --startdatetime 2017-12-24T22:09:16 --delay 51 --endMP 300:58992 --enddatetime 2017-12-24T22:24:06 --enforcementcount 0 &gt;&gt;%USERPROFILE%\Documents\GitHub\eaglep3-reporting\EC\2017-12-24-refined-times.txt</v>
      </c>
      <c r="AI192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{"issue":{"subject":"","project_id":79,"tracker_id":40,"status_id":1,"priority_id":2,"assigned_to_id":338,"start_date":"2017-12-24","description":"","custom_fields":[{"id":1,"name":"Subdivision","value":"NW"},{"id":4,"name":"Milepost","value":"5.8992"},{"id":17,"name":"Train ID","value":"1833-24"},{"id":16,"name":"Locomotive ID","value":"4058"},{"id":130,"name":"Impact","value":""},{"id":150,"name":"Time of Event (Mountain Time)","value":"22:24:06"},{"id":151,"name":"Denver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40"/>
        <v>start /low /b %USERPROFILE%\Documents\GitHub\eaglep3\Utilities\DownloadLogsFromS3.py --loco 4058 --day 2017-12-24</v>
      </c>
      <c r="AN192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05:24:06"},{"id":29,"name":"Sharepoint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42"/>
        <v>https://d0f6bd738d7f1b3e5a7ca70fe4ff75f0.us-east-1.aws.found.io/app/kibana#/discover/Steve-Slow-Train-Analysis-(2080s-and-2083s)?_g=(refreshInterval:(display:Off,pause:!f,section:0,value:0),time:(from:'2017-12-24T21:05:19-0700',mode:absolute,to:'2017-12-24T23:24:06-0700'))&amp;_a=(columns:!('Message%20ID',Summary),filters:!(),index:'emp_*',interval:auto,query:(query_string:(analyze_wildcard:!t,query:'%22rtdc.l.rtdc.4058%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29" t="s">
        <v>886</v>
      </c>
      <c r="B193" s="225">
        <v>4057</v>
      </c>
      <c r="C193" s="227" t="s">
        <v>192</v>
      </c>
      <c r="D193" s="227" t="s">
        <v>1007</v>
      </c>
      <c r="E193" s="226">
        <v>43093.934583333335</v>
      </c>
      <c r="F193" s="226">
        <v>43093.945983796293</v>
      </c>
      <c r="G193" s="225">
        <v>50</v>
      </c>
      <c r="H193" s="227" t="s">
        <v>662</v>
      </c>
      <c r="I193" s="226">
        <v>43093.955081018517</v>
      </c>
      <c r="J193" s="225">
        <v>0</v>
      </c>
      <c r="K193" s="237" t="str">
        <f>IF(ISEVEN(B193),(B193-1)&amp;"/"&amp;B193,B193&amp;"/"&amp;(B193+1))</f>
        <v>4057/4058</v>
      </c>
      <c r="L193" s="245" t="str">
        <f>VLOOKUP(A193,'Trips&amp;Operators'!$C$1:$G$99911,5,FALSE)</f>
        <v>HOLCOMB KAMDEN</v>
      </c>
      <c r="M193" s="224">
        <f>I193-F193</f>
        <v>9.0972222242271528E-3</v>
      </c>
      <c r="N193" s="225">
        <f>24*60*SUM($M193:$M193)</f>
        <v>13.1000000028871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-24T21:25:48-0700',mode:absolute,to:'2017-12-24T23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5.8663999999999996</v>
      </c>
      <c r="Z193" s="247">
        <f>RIGHT(H193,LEN(H193)-4)/10000</f>
        <v>1.06E-2</v>
      </c>
      <c r="AA193" s="247">
        <f>ABS(Z193-Y193)</f>
        <v>5.8557999999999995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1834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/stypes="app*4057*20171225*" /stext=" 05:.+((SYSTEM_STATE.+slice.+state.+changed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38"/>
        <v>"%USERPROFILE%\Documents\GitHub\eaglep3\Utilities\RefineRTDCRunTimes.py" --tripid 1834-24 --locoid 4057 --swversion DE.1.0.9.0 --startMP 300:58664 --initTime 2017-12-24T22:25:48 --startdatetime 2017-12-24T22:42:13 --delay 50 --endMP 204:106 --enddatetime 2017-12-24T22:55:19 --enforcementcount 0 &gt;&gt;%USERPROFILE%\Documents\GitHub\eaglep3-reporting\EC\2017-12-24-refined-times.txt</v>
      </c>
      <c r="AI193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{"issue":{"subject":"","project_id":79,"tracker_id":40,"status_id":1,"priority_id":2,"assigned_to_id":338,"start_date":"2017-12-24","description":"","custom_fields":[{"id":1,"name":"Subdivision","value":"NW"},{"id":4,"name":"Milepost","value":"0.0106"},{"id":17,"name":"Train ID","value":"1834-24"},{"id":16,"name":"Locomotive ID","value":"4057"},{"id":130,"name":"Impact","value":""},{"id":150,"name":"Time of Event (Mountain Time)","value":"22:55:19"},{"id":151,"name":"Denver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40"/>
        <v>start /low /b %USERPROFILE%\Documents\GitHub\eaglep3\Utilities\DownloadLogsFromS3.py --loco 4057 --day 2017-12-24</v>
      </c>
      <c r="AN193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05:55:19"},{"id":29,"name":"Sharepoint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42"/>
        <v>https://d0f6bd738d7f1b3e5a7ca70fe4ff75f0.us-east-1.aws.found.io/app/kibana#/discover/Steve-Slow-Train-Analysis-(2080s-and-2083s)?_g=(refreshInterval:(display:Off,pause:!f,section:0,value:0),time:(from:'2017-12-24T21:25:48-0700',mode:absolute,to:'2017-12-24T23:55:19-0700'))&amp;_a=(columns:!('Message%20ID',Summary),filters:!(),index:'emp_*',interval:auto,query:(query_string:(analyze_wildcard:!t,query:'%22rtdc.l.rtdc.4057%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890</v>
      </c>
      <c r="B194" s="225">
        <v>4058</v>
      </c>
      <c r="C194" s="227" t="s">
        <v>192</v>
      </c>
      <c r="D194" s="227" t="s">
        <v>1008</v>
      </c>
      <c r="E194" s="226">
        <v>43093.959560185183</v>
      </c>
      <c r="F194" s="226">
        <v>43093.964780092596</v>
      </c>
      <c r="G194" s="225">
        <v>67</v>
      </c>
      <c r="H194" s="227" t="s">
        <v>991</v>
      </c>
      <c r="I194" s="226">
        <v>43093.974629629629</v>
      </c>
      <c r="J194" s="225">
        <v>0</v>
      </c>
      <c r="K194" s="237" t="str">
        <f>IF(ISEVEN(B194),(B194-1)&amp;"/"&amp;B194,B194&amp;"/"&amp;(B194+1))</f>
        <v>4057/4058</v>
      </c>
      <c r="L194" s="245" t="str">
        <f>VLOOKUP(A194,'Trips&amp;Operators'!$C$1:$G$99911,5,FALSE)</f>
        <v>KILLION DAVID</v>
      </c>
      <c r="M194" s="224">
        <f>I194-F194</f>
        <v>9.8495370330056176E-3</v>
      </c>
      <c r="N194" s="225">
        <f>24*60*SUM($M194:$M194)</f>
        <v>14.183333327528089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-24T22:01:46-0700',mode:absolute,to:'2017-12-25T00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4.1300000000000003E-2</v>
      </c>
      <c r="Z194" s="247">
        <f>RIGHT(H194,LEN(H194)-4)/10000</f>
        <v>5.9002999999999997</v>
      </c>
      <c r="AA194" s="247">
        <f>ABS(Z194-Y194)</f>
        <v>5.859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1835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/stypes="app*4058*20171225*" /stext=" 06:.+((SYSTEM_STATE.+slice.+state.+changed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38"/>
        <v>"%USERPROFILE%\Documents\GitHub\eaglep3\Utilities\RefineRTDCRunTimes.py" --tripid 1835-24 --locoid 4058 --swversion DE.1.0.9.0 --startMP 204:413 --initTime 2017-12-24T23:01:46 --startdatetime 2017-12-24T23:09:17 --delay 67 --endMP 300:59003 --enddatetime 2017-12-24T23:23:28 --enforcementcount 0 &gt;&gt;%USERPROFILE%\Documents\GitHub\eaglep3-reporting\EC\2017-12-24-refined-times.txt</v>
      </c>
      <c r="AI194" s="238" t="str">
        <f t="shared" si="39"/>
        <v>echo {"issue":{"subject":"","project_id":79,"tracker_id":40,"status_id":1,"priority_id":2,"assigned_to_id":338,"start_date":"2017-12-24","description":"","custom_fields":[{"id":1,"name":"Subdivision","value":"NW"},{"id":4,"name":"Milepost","value":"5.9003"},{"id":17,"name":"Train ID","value":"1835-24"},{"id":16,"name":"Locomotive ID","value":"4058"},{"id":130,"name":"Impact","value":""},{"id":150,"name":"Time of Event (Mountain Time)","value":"23:23:28"},{"id":151,"name":"Denver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40"/>
        <v>start /low /b %USERPROFILE%\Documents\GitHub\eaglep3\Utilities\DownloadLogsFromS3.py --loco 4058 --day 2017-12-24</v>
      </c>
      <c r="AN194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06:23:28"},{"id":29,"name":"Sharepoint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42"/>
        <v>https://d0f6bd738d7f1b3e5a7ca70fe4ff75f0.us-east-1.aws.found.io/app/kibana#/discover/Steve-Slow-Train-Analysis-(2080s-and-2083s)?_g=(refreshInterval:(display:Off,pause:!f,section:0,value:0),time:(from:'2017-12-24T22:01:46-0700',mode:absolute,to:'2017-12-25T00:23:28-0700'))&amp;_a=(columns:!('Message%20ID',Summary),filters:!(),index:'emp_*',interval:auto,query:(query_string:(analyze_wildcard:!t,query:'%22rtdc.l.rtdc.4058%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712</v>
      </c>
      <c r="B195" s="225">
        <v>4043</v>
      </c>
      <c r="C195" s="227" t="s">
        <v>192</v>
      </c>
      <c r="D195" s="227" t="s">
        <v>1044</v>
      </c>
      <c r="E195" s="226">
        <v>43093.126331018517</v>
      </c>
      <c r="F195" s="226">
        <v>43093.12976851852</v>
      </c>
      <c r="G195" s="225">
        <v>115</v>
      </c>
      <c r="H195" s="227" t="s">
        <v>1045</v>
      </c>
      <c r="I195" s="226">
        <v>43093.137048611112</v>
      </c>
      <c r="J195" s="225">
        <v>0</v>
      </c>
      <c r="K195" s="237" t="str">
        <f>IF(ISEVEN(B195),(B195-1)&amp;"/"&amp;B195,B195&amp;"/"&amp;(B195+1))</f>
        <v>4043/4044</v>
      </c>
      <c r="L195" s="245" t="str">
        <f>VLOOKUP(A195,'Trips&amp;Operators'!$C$1:$G$99911,5,FALSE)</f>
        <v>THOMPSON LESTER</v>
      </c>
      <c r="M195" s="224">
        <f>I195-F195</f>
        <v>7.2800925918272696E-3</v>
      </c>
      <c r="N195" s="225">
        <f>24*60*SUM($M195:$M195)</f>
        <v>10.483333332231268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-24T02:01:55-0700',mode:absolute,to:'2017-12-24T04:17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5" s="247" t="str">
        <f>IF(AA195&lt;VLOOKUP(AG195,Variables!$AC$3:$AD$8,2,FALSE),"Y","N")</f>
        <v>Y</v>
      </c>
      <c r="X195" s="247">
        <f>VALUE(LEFT(AD195,4))-VALUE(LEFT(AD194,4))</f>
        <v>-1535</v>
      </c>
      <c r="Y195" s="247">
        <f>RIGHT(D195,LEN(D195)-4)/10000</f>
        <v>2.3650000000000002</v>
      </c>
      <c r="Z195" s="247">
        <f>RIGHT(H195,LEN(H195)-4)/10000</f>
        <v>1.6500000000000001E-2</v>
      </c>
      <c r="AA195" s="247">
        <f>ABS(Z195-Y195)</f>
        <v>2.3485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300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s3://rtdc.mdm.uploadarchive.raw/RTDC4043/ "%USERPROFILE%\AppData\Local\Temp\OnboardLogs"\RTDC4043\2017-12-24 --exclude "*" --recursive --include "*20171224*" &amp; "%USERPROFILE%\Documents\GitHub\mrs-test-scripts\Headless Mode &amp; Sideloading\WalkAndUnGZ.bat" "%USERPROFILE%\AppData\Local\Temp\OnboardLogs"\RTDC4043\2017-12-24 &amp; aws s3 cp s3://rtdc.mdm.uploadarchive.raw/RTDC4043/ "%USERPROFILE%\AppData\Local\Temp\OnboardLogs"\RTDC4043\2017-12-25 --exclude "*" --recursive --include "*20171225*" &amp; "%USERPROFILE%\Documents\GitHub\mrs-test-scripts\Headless Mode &amp; Sideloading\WalkAndUnGZ.bat" "%USERPROFILE%\AppData\Local\Temp\OnboardLogs"\RTDC4043\2017-12-25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/stypes="app*4043*20171224*" /stext=" 10:.+((SYSTEM_STATE.+slice.+state.+changed )|(ment ac)|(multiple cpu faults)|(system.+state.+changed )|(\[timeout)|(PRM\|1\|D)|(kpr)|(kdp)|(train st.+moving)|(\|lc)|(penalty))"</v>
      </c>
      <c r="AG195" s="244" t="str">
        <f>DetSubdiv(A195)</f>
        <v>Other</v>
      </c>
      <c r="AH195" s="236" t="str">
        <f t="shared" si="38"/>
        <v>"%USERPROFILE%\Documents\GitHub\eaglep3\Utilities\RefineRTDCRunTimes.py" --tripid 300-24 --locoid 4043 --swversion DE.1.0.9.0 --startMP 300:23650 --initTime 2017-12-24T03:01:55 --startdatetime 2017-12-24T03:06:52 --delay 115 --endMP 204:165 --enddatetime 2017-12-24T03:17:21 --enforcementcount 0 &gt;&gt;%USERPROFILE%\Documents\GitHub\eaglep3-reporting\EC\2017-12-24-refined-times.txt</v>
      </c>
      <c r="AI195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{"issue":{"subject":"","project_id":79,"tracker_id":40,"status_id":1,"priority_id":2,"assigned_to_id":338,"start_date":"2017-12-24","description":"","custom_fields":[{"id":1,"name":"Subdivision","value":"Other"},{"id":4,"name":"Milepost","value":"0.0165"},{"id":17,"name":"Train ID","value":"300-24"},{"id":16,"name":"Locomotive ID","value":"4043"},{"id":130,"name":"Impact","value":""},{"id":150,"name":"Time of Event (Mountain Time)","value":"03:17:21"},{"id":151,"name":"Denver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40"/>
        <v>start /low /b %USERPROFILE%\Documents\GitHub\eaglep3\Utilities\DownloadLogsFromS3.py --loco 4043 --day 2017-12-24</v>
      </c>
      <c r="AN195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10:17:21"},{"id":29,"name":"Sharepoint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42"/>
        <v>https://d0f6bd738d7f1b3e5a7ca70fe4ff75f0.us-east-1.aws.found.io/app/kibana#/discover/Steve-Slow-Train-Analysis-(2080s-and-2083s)?_g=(refreshInterval:(display:Off,pause:!f,section:0,value:0),time:(from:'2017-12-24T02:01:55-0700',mode:absolute,to:'2017-12-24T04:17:21-0700'))&amp;_a=(columns:!('Message%20ID',Summary),filters:!(),index:'emp_*',interval:auto,query:(query_string:(analyze_wildcard:!t,query:'%22rtdc.l.rtdc.4043%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866</v>
      </c>
      <c r="B196" s="225">
        <v>4012</v>
      </c>
      <c r="C196" s="227" t="s">
        <v>192</v>
      </c>
      <c r="D196" s="227" t="s">
        <v>1046</v>
      </c>
      <c r="E196" s="226">
        <v>43093.777349537035</v>
      </c>
      <c r="F196" s="226">
        <v>43093.778657407405</v>
      </c>
      <c r="G196" s="225">
        <v>61</v>
      </c>
      <c r="H196" s="227" t="s">
        <v>1047</v>
      </c>
      <c r="I196" s="226">
        <v>43093.785092592596</v>
      </c>
      <c r="J196" s="225">
        <v>0</v>
      </c>
      <c r="K196" s="237" t="str">
        <f>IF(ISEVEN(B196),(B196-1)&amp;"/"&amp;B196,B196&amp;"/"&amp;(B196+1))</f>
        <v>4011/4012</v>
      </c>
      <c r="L196" s="245" t="str">
        <f>VLOOKUP(A196,'Trips&amp;Operators'!$C$1:$G$99911,5,FALSE)</f>
        <v>MCREYNOLDS KYLE</v>
      </c>
      <c r="M196" s="224">
        <f>I196-F196</f>
        <v>6.4351851906394586E-3</v>
      </c>
      <c r="N196" s="225">
        <f>24*60*SUM($M196:$M196)</f>
        <v>9.2666666745208204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-24T17:39:23-0700',mode:absolute,to:'2017-12-24T19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6" s="247" t="str">
        <f>IF(AA196&lt;VLOOKUP(AG196,Variables!$AC$3:$AD$8,2,FALSE),"Y","N")</f>
        <v>Y</v>
      </c>
      <c r="X196" s="247">
        <f>VALUE(LEFT(AD196,4))-VALUE(LEFT(AD195,4))</f>
        <v>1</v>
      </c>
      <c r="Y196" s="247">
        <f>RIGHT(D196,LEN(D196)-4)/10000</f>
        <v>4.4999999999999998E-2</v>
      </c>
      <c r="Z196" s="247">
        <f>RIGHT(H196,LEN(H196)-4)/10000</f>
        <v>2.3304</v>
      </c>
      <c r="AA196" s="247">
        <f>ABS(Z196-Y196)</f>
        <v>2.2854000000000001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301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/stypes="app*4012*20171225*" /stext=" 01:.+((SYSTEM_STATE.+slice.+state.+changed )|(ment ac)|(multiple cpu faults)|(system.+state.+changed )|(\[timeout)|(PRM\|1\|D)|(kpr)|(kdp)|(train st.+moving)|(\|lc)|(penalty))"</v>
      </c>
      <c r="AG196" s="244" t="str">
        <f>DetSubdiv(A196)</f>
        <v>Other</v>
      </c>
      <c r="AH196" s="236" t="str">
        <f t="shared" si="38"/>
        <v>"%USERPROFILE%\Documents\GitHub\eaglep3\Utilities\RefineRTDCRunTimes.py" --tripid 301-24 --locoid 4012 --swversion DE.1.0.9.0 --startMP 204:450 --initTime 2017-12-24T18:39:23 --startdatetime 2017-12-24T18:41:16 --delay 61 --endMP 300:23304 --enddatetime 2017-12-24T18:50:32 --enforcementcount 0 &gt;&gt;%USERPROFILE%\Documents\GitHub\eaglep3-reporting\EC\2017-12-24-refined-times.txt</v>
      </c>
      <c r="AI196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{"issue":{"subject":"","project_id":79,"tracker_id":40,"status_id":1,"priority_id":2,"assigned_to_id":338,"start_date":"2017-12-24","description":"","custom_fields":[{"id":1,"name":"Subdivision","value":"Other"},{"id":4,"name":"Milepost","value":"2.3304"},{"id":17,"name":"Train ID","value":"301-24"},{"id":16,"name":"Locomotive ID","value":"4012"},{"id":130,"name":"Impact","value":""},{"id":150,"name":"Time of Event (Mountain Time)","value":"18:50:32"},{"id":151,"name":"Denver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40"/>
        <v>start /low /b %USERPROFILE%\Documents\GitHub\eaglep3\Utilities\DownloadLogsFromS3.py --loco 4012 --day 2017-12-24</v>
      </c>
      <c r="AN196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01:50:32"},{"id":29,"name":"Sharepoint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42"/>
        <v>https://d0f6bd738d7f1b3e5a7ca70fe4ff75f0.us-east-1.aws.found.io/app/kibana#/discover/Steve-Slow-Train-Analysis-(2080s-and-2083s)?_g=(refreshInterval:(display:Off,pause:!f,section:0,value:0),time:(from:'2017-12-24T17:39:23-0700',mode:absolute,to:'2017-12-24T19:50:32-0700'))&amp;_a=(columns:!('Message%20ID',Summary),filters:!(),index:'emp_*',interval:auto,query:(query_string:(analyze_wildcard:!t,query:'%22rtdc.l.rtdc.4012%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29" t="s">
        <v>715</v>
      </c>
      <c r="B197" s="225">
        <v>4005</v>
      </c>
      <c r="C197" s="227" t="s">
        <v>192</v>
      </c>
      <c r="D197" s="227" t="s">
        <v>1048</v>
      </c>
      <c r="E197" s="226">
        <v>43093.140277777777</v>
      </c>
      <c r="F197" s="226">
        <v>43093.146273148152</v>
      </c>
      <c r="G197" s="225">
        <v>186</v>
      </c>
      <c r="H197" s="227" t="s">
        <v>510</v>
      </c>
      <c r="I197" s="226">
        <v>43093.151076388887</v>
      </c>
      <c r="J197" s="225">
        <v>0</v>
      </c>
      <c r="K197" s="237" t="str">
        <f>IF(ISEVEN(B197),(B197-1)&amp;"/"&amp;B197,B197&amp;"/"&amp;(B197+1))</f>
        <v>4005/4006</v>
      </c>
      <c r="L197" s="245" t="str">
        <f>VLOOKUP(A197,'Trips&amp;Operators'!$C$1:$G$99911,5,FALSE)</f>
        <v>MAELZER KURT</v>
      </c>
      <c r="M197" s="224">
        <f>I197-F197</f>
        <v>4.8032407357823104E-3</v>
      </c>
      <c r="N197" s="225">
        <f>24*60*SUM($M197:$M197)</f>
        <v>6.9166666595265269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-24T02:22:00-0700',mode:absolute,to:'2017-12-24T04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47" t="str">
        <f>IF(AA197&lt;VLOOKUP(AG197,Variables!$AC$3:$AD$8,2,FALSE),"Y","N")</f>
        <v>Y</v>
      </c>
      <c r="X197" s="247">
        <f>VALUE(LEFT(AD197,4))-VALUE(LEFT(AD196,4))</f>
        <v>1</v>
      </c>
      <c r="Y197" s="247">
        <f>RIGHT(D197,LEN(D197)-4)/10000</f>
        <v>1.9455</v>
      </c>
      <c r="Z197" s="247">
        <f>RIGHT(H197,LEN(H197)-4)/10000</f>
        <v>1.8499999999999999E-2</v>
      </c>
      <c r="AA197" s="247">
        <f>ABS(Z197-Y197)</f>
        <v>1.927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302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/stypes="app*4005*20171224*" /stext=" 10:.+((SYSTEM_STATE.+slice.+state.+changed )|(ment ac)|(multiple cpu faults)|(system.+state.+changed )|(\[timeout)|(PRM\|1\|D)|(kpr)|(kdp)|(train st.+moving)|(\|lc)|(penalty))"</v>
      </c>
      <c r="AG197" s="244" t="str">
        <f>DetSubdiv(A197)</f>
        <v>Other</v>
      </c>
      <c r="AH197" s="236" t="str">
        <f t="shared" si="38"/>
        <v>"%USERPROFILE%\Documents\GitHub\eaglep3\Utilities\RefineRTDCRunTimes.py" --tripid 302-24 --locoid 4005 --swversion DE.1.0.9.0 --startMP 300:19455 --initTime 2017-12-24T03:22:00 --startdatetime 2017-12-24T03:30:38 --delay 186 --endMP 204:185 --enddatetime 2017-12-24T03:37:33 --enforcementcount 0 &gt;&gt;%USERPROFILE%\Documents\GitHub\eaglep3-reporting\EC\2017-12-24-refined-times.txt</v>
      </c>
      <c r="AI197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{"issue":{"subject":"","project_id":79,"tracker_id":40,"status_id":1,"priority_id":2,"assigned_to_id":338,"start_date":"2017-12-24","description":"","custom_fields":[{"id":1,"name":"Subdivision","value":"Other"},{"id":4,"name":"Milepost","value":"0.0185"},{"id":17,"name":"Train ID","value":"302-24"},{"id":16,"name":"Locomotive ID","value":"4005"},{"id":130,"name":"Impact","value":""},{"id":150,"name":"Time of Event (Mountain Time)","value":"03:37:33"},{"id":151,"name":"Denver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40"/>
        <v>start /low /b %USERPROFILE%\Documents\GitHub\eaglep3\Utilities\DownloadLogsFromS3.py --loco 4005 --day 2017-12-24</v>
      </c>
      <c r="AN197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10:37:33"},{"id":29,"name":"Sharepoint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42"/>
        <v>https://d0f6bd738d7f1b3e5a7ca70fe4ff75f0.us-east-1.aws.found.io/app/kibana#/discover/Steve-Slow-Train-Analysis-(2080s-and-2083s)?_g=(refreshInterval:(display:Off,pause:!f,section:0,value:0),time:(from:'2017-12-24T02:22:00-0700',mode:absolute,to:'2017-12-24T04:37:33-0700'))&amp;_a=(columns:!('Message%20ID',Summary),filters:!(),index:'emp_*',interval:auto,query:(query_string:(analyze_wildcard:!t,query:'%22rtdc.l.rtdc.4005%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871</v>
      </c>
      <c r="B198" s="225">
        <v>4014</v>
      </c>
      <c r="C198" s="227" t="s">
        <v>192</v>
      </c>
      <c r="D198" s="227" t="s">
        <v>571</v>
      </c>
      <c r="E198" s="226">
        <v>43093.797199074077</v>
      </c>
      <c r="F198" s="226">
        <v>43093.800486111111</v>
      </c>
      <c r="G198" s="225">
        <v>71</v>
      </c>
      <c r="H198" s="227" t="s">
        <v>580</v>
      </c>
      <c r="I198" s="226">
        <v>43093.807546296295</v>
      </c>
      <c r="J198" s="225">
        <v>0</v>
      </c>
      <c r="K198" s="237" t="str">
        <f>IF(ISEVEN(B198),(B198-1)&amp;"/"&amp;B198,B198&amp;"/"&amp;(B198+1))</f>
        <v>4013/4014</v>
      </c>
      <c r="L198" s="245" t="str">
        <f>VLOOKUP(A198,'Trips&amp;Operators'!$C$1:$G$99911,5,FALSE)</f>
        <v>MAGEE KENYA</v>
      </c>
      <c r="M198" s="224">
        <f>I198-F198</f>
        <v>7.0601851839455776E-3</v>
      </c>
      <c r="N198" s="225">
        <f>24*60*SUM($M198:$M198)</f>
        <v>10.166666664881632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-24T18:07:58-0700',mode:absolute,to:'2017-12-24T20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1</v>
      </c>
      <c r="Y198" s="247">
        <f>RIGHT(D198,LEN(D198)-4)/10000</f>
        <v>5.3999999999999999E-2</v>
      </c>
      <c r="Z198" s="247">
        <f>RIGHT(H198,LEN(H198)-4)/10000</f>
        <v>2.3302</v>
      </c>
      <c r="AA198" s="247">
        <f>ABS(Z198-Y198)</f>
        <v>2.2762000000000002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303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/stypes="app*4014*20171225*" /stext=" 02:.+((SYSTEM_STATE.+slice.+state.+changed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38"/>
        <v>"%USERPROFILE%\Documents\GitHub\eaglep3\Utilities\RefineRTDCRunTimes.py" --tripid 303-24 --locoid 4014 --swversion DE.1.0.9.0 --startMP 204:540 --initTime 2017-12-24T19:07:58 --startdatetime 2017-12-24T19:12:42 --delay 71 --endMP 300:23302 --enddatetime 2017-12-24T19:22:52 --enforcementcount 0 &gt;&gt;%USERPROFILE%\Documents\GitHub\eaglep3-reporting\EC\2017-12-24-refined-times.txt</v>
      </c>
      <c r="AI198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{"issue":{"subject":"","project_id":79,"tracker_id":40,"status_id":1,"priority_id":2,"assigned_to_id":338,"start_date":"2017-12-24","description":"","custom_fields":[{"id":1,"name":"Subdivision","value":"Other"},{"id":4,"name":"Milepost","value":"2.3302"},{"id":17,"name":"Train ID","value":"303-24"},{"id":16,"name":"Locomotive ID","value":"4014"},{"id":130,"name":"Impact","value":""},{"id":150,"name":"Time of Event (Mountain Time)","value":"19:22:52"},{"id":151,"name":"Denver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40"/>
        <v>start /low /b %USERPROFILE%\Documents\GitHub\eaglep3\Utilities\DownloadLogsFromS3.py --loco 4014 --day 2017-12-24</v>
      </c>
      <c r="AN198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42"/>
        <v>https://d0f6bd738d7f1b3e5a7ca70fe4ff75f0.us-east-1.aws.found.io/app/kibana#/discover/Steve-Slow-Train-Analysis-(2080s-and-2083s)?_g=(refreshInterval:(display:Off,pause:!f,section:0,value:0),time:(from:'2017-12-24T18:07:58-0700',mode:absolute,to:'2017-12-24T20:22:52-0700'))&amp;_a=(columns:!('Message%20ID',Summary),filters:!(),index:'emp_*',interval:auto,query:(query_string:(analyze_wildcard:!t,query:'%22rtdc.l.rtdc.4014%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717</v>
      </c>
      <c r="B199" s="225">
        <v>4021</v>
      </c>
      <c r="C199" s="227" t="s">
        <v>192</v>
      </c>
      <c r="D199" s="227" t="s">
        <v>1049</v>
      </c>
      <c r="E199" s="226">
        <v>43093.158229166664</v>
      </c>
      <c r="F199" s="226">
        <v>43093.164166666669</v>
      </c>
      <c r="G199" s="225">
        <v>84</v>
      </c>
      <c r="H199" s="227" t="s">
        <v>499</v>
      </c>
      <c r="I199" s="226">
        <v>43093.169502314813</v>
      </c>
      <c r="J199" s="225">
        <v>0</v>
      </c>
      <c r="K199" s="237" t="str">
        <f>IF(ISEVEN(B199),(B199-1)&amp;"/"&amp;B199,B199&amp;"/"&amp;(B199+1))</f>
        <v>4021/4022</v>
      </c>
      <c r="L199" s="245" t="str">
        <f>VLOOKUP(A199,'Trips&amp;Operators'!$C$1:$G$99911,5,FALSE)</f>
        <v>LOPES KIMBERLY</v>
      </c>
      <c r="M199" s="224">
        <f>I199-F199</f>
        <v>5.3356481439550407E-3</v>
      </c>
      <c r="N199" s="225">
        <f>24*60*SUM($M199:$M199)</f>
        <v>7.6833333272952586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-24T02:47:51-0700',mode:absolute,to:'2017-12-24T05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2.2658</v>
      </c>
      <c r="Z199" s="247">
        <f>RIGHT(H199,LEN(H199)-4)/10000</f>
        <v>1.9099999999999999E-2</v>
      </c>
      <c r="AA199" s="247">
        <f>ABS(Z199-Y199)</f>
        <v>2.2467000000000001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304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/stypes="app*4021*20171224*" /stext=" 11:.+((SYSTEM_STATE.+slice.+state.+changed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38"/>
        <v>"%USERPROFILE%\Documents\GitHub\eaglep3\Utilities\RefineRTDCRunTimes.py" --tripid 304-24 --locoid 4021 --swversion DE.1.0.9.0 --startMP 300:22658 --initTime 2017-12-24T03:47:51 --startdatetime 2017-12-24T03:56:24 --delay 84 --endMP 204:191 --enddatetime 2017-12-24T04:04:05 --enforcementcount 0 &gt;&gt;%USERPROFILE%\Documents\GitHub\eaglep3-reporting\EC\2017-12-24-refined-times.txt</v>
      </c>
      <c r="AI199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{"issue":{"subject":"","project_id":79,"tracker_id":40,"status_id":1,"priority_id":2,"assigned_to_id":338,"start_date":"2017-12-24","description":"","custom_fields":[{"id":1,"name":"Subdivision","value":"Other"},{"id":4,"name":"Milepost","value":"0.0191"},{"id":17,"name":"Train ID","value":"304-24"},{"id":16,"name":"Locomotive ID","value":"4021"},{"id":130,"name":"Impact","value":""},{"id":150,"name":"Time of Event (Mountain Time)","value":"04:04:05"},{"id":151,"name":"Denver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40"/>
        <v>start /low /b %USERPROFILE%\Documents\GitHub\eaglep3\Utilities\DownloadLogsFromS3.py --loco 4021 --day 2017-12-24</v>
      </c>
      <c r="AN199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42"/>
        <v>https://d0f6bd738d7f1b3e5a7ca70fe4ff75f0.us-east-1.aws.found.io/app/kibana#/discover/Steve-Slow-Train-Analysis-(2080s-and-2083s)?_g=(refreshInterval:(display:Off,pause:!f,section:0,value:0),time:(from:'2017-12-24T02:47:51-0700',mode:absolute,to:'2017-12-24T05:04:05-0700'))&amp;_a=(columns:!('Message%20ID',Summary),filters:!(),index:'emp_*',interval:auto,query:(query_string:(analyze_wildcard:!t,query:'%22rtdc.l.rtdc.4021%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29" t="s">
        <v>875</v>
      </c>
      <c r="B200" s="225">
        <v>4050</v>
      </c>
      <c r="C200" s="227" t="s">
        <v>192</v>
      </c>
      <c r="D200" s="227" t="s">
        <v>1050</v>
      </c>
      <c r="E200" s="226">
        <v>43093.817557870374</v>
      </c>
      <c r="F200" s="226">
        <v>43093.81927083333</v>
      </c>
      <c r="G200" s="225">
        <v>70</v>
      </c>
      <c r="H200" s="227" t="s">
        <v>579</v>
      </c>
      <c r="I200" s="226">
        <v>43093.82607638889</v>
      </c>
      <c r="J200" s="225">
        <v>0</v>
      </c>
      <c r="K200" s="237" t="str">
        <f>IF(ISEVEN(B200),(B200-1)&amp;"/"&amp;B200,B200&amp;"/"&amp;(B200+1))</f>
        <v>4049/4050</v>
      </c>
      <c r="L200" s="245" t="str">
        <f>VLOOKUP(A200,'Trips&amp;Operators'!$C$1:$G$99911,5,FALSE)</f>
        <v>SMITH MICHAEL</v>
      </c>
      <c r="M200" s="224">
        <f>I200-F200</f>
        <v>6.8055555602768436E-3</v>
      </c>
      <c r="N200" s="225">
        <f>24*60*SUM($M200:$M200)</f>
        <v>9.8000000067986548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-24T18:37:17-0700',mode:absolute,to:'2017-12-24T20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5.7099999999999998E-2</v>
      </c>
      <c r="Z200" s="247">
        <f>RIGHT(H200,LEN(H200)-4)/10000</f>
        <v>2.3298999999999999</v>
      </c>
      <c r="AA200" s="247">
        <f>ABS(Z200-Y200)</f>
        <v>2.2727999999999997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305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s3://rtdc.mdm.uploadarchive.raw/RTDC4050/ "%USERPROFILE%\AppData\Local\Temp\OnboardLogs"\RTDC4050\2017-12-24 --exclude "*" --recursive --include "*20171224*" &amp; "%USERPROFILE%\Documents\GitHub\mrs-test-scripts\Headless Mode &amp; Sideloading\WalkAndUnGZ.bat" "%USERPROFILE%\AppData\Local\Temp\OnboardLogs"\RTDC4050\2017-12-24 &amp; aws s3 cp s3://rtdc.mdm.uploadarchive.raw/RTDC4050/ "%USERPROFILE%\AppData\Local\Temp\OnboardLogs"\RTDC4050\2017-12-25 --exclude "*" --recursive --include "*20171225*" &amp; "%USERPROFILE%\Documents\GitHub\mrs-test-scripts\Headless Mode &amp; Sideloading\WalkAndUnGZ.bat" "%USERPROFILE%\AppData\Local\Temp\OnboardLogs"\RTDC4050\2017-12-25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/stypes="app*4050*20171225*" /stext=" 02:.+((SYSTEM_STATE.+slice.+state.+changed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38"/>
        <v>"%USERPROFILE%\Documents\GitHub\eaglep3\Utilities\RefineRTDCRunTimes.py" --tripid 305-24 --locoid 4050 --swversion DE.1.0.9.0 --startMP 204:571 --initTime 2017-12-24T19:37:17 --startdatetime 2017-12-24T19:39:45 --delay 70 --endMP 300:23299 --enddatetime 2017-12-24T19:49:33 --enforcementcount 0 &gt;&gt;%USERPROFILE%\Documents\GitHub\eaglep3-reporting\EC\2017-12-24-refined-times.txt</v>
      </c>
      <c r="AI200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{"issue":{"subject":"","project_id":79,"tracker_id":40,"status_id":1,"priority_id":2,"assigned_to_id":338,"start_date":"2017-12-24","description":"","custom_fields":[{"id":1,"name":"Subdivision","value":"Other"},{"id":4,"name":"Milepost","value":"2.3299"},{"id":17,"name":"Train ID","value":"305-24"},{"id":16,"name":"Locomotive ID","value":"4050"},{"id":130,"name":"Impact","value":""},{"id":150,"name":"Time of Event (Mountain Time)","value":"19:49:33"},{"id":151,"name":"Denver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40"/>
        <v>start /low /b %USERPROFILE%\Documents\GitHub\eaglep3\Utilities\DownloadLogsFromS3.py --loco 4050 --day 2017-12-24</v>
      </c>
      <c r="AN200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02:49:33"},{"id":29,"name":"Sharepoint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42"/>
        <v>https://d0f6bd738d7f1b3e5a7ca70fe4ff75f0.us-east-1.aws.found.io/app/kibana#/discover/Steve-Slow-Train-Analysis-(2080s-and-2083s)?_g=(refreshInterval:(display:Off,pause:!f,section:0,value:0),time:(from:'2017-12-24T18:37:17-0700',mode:absolute,to:'2017-12-24T20:49:33-0700'))&amp;_a=(columns:!('Message%20ID',Summary),filters:!(),index:'emp_*',interval:auto,query:(query_string:(analyze_wildcard:!t,query:'%22rtdc.l.rtdc.4050%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719</v>
      </c>
      <c r="B201" s="225">
        <v>4031</v>
      </c>
      <c r="C201" s="227" t="s">
        <v>192</v>
      </c>
      <c r="D201" s="227" t="s">
        <v>1051</v>
      </c>
      <c r="E201" s="226">
        <v>43093.169212962966</v>
      </c>
      <c r="F201" s="226">
        <v>43093.173634259256</v>
      </c>
      <c r="G201" s="225">
        <v>73</v>
      </c>
      <c r="H201" s="227" t="s">
        <v>627</v>
      </c>
      <c r="I201" s="226">
        <v>43093.179618055554</v>
      </c>
      <c r="J201" s="225">
        <v>0</v>
      </c>
      <c r="K201" s="237" t="str">
        <f>IF(ISEVEN(B201),(B201-1)&amp;"/"&amp;B201,B201&amp;"/"&amp;(B201+1))</f>
        <v>4031/4032</v>
      </c>
      <c r="L201" s="245" t="str">
        <f>VLOOKUP(A201,'Trips&amp;Operators'!$C$1:$G$99911,5,FALSE)</f>
        <v>PAGE MARCUS</v>
      </c>
      <c r="M201" s="224">
        <f>I201-F201</f>
        <v>5.9837962980964221E-3</v>
      </c>
      <c r="N201" s="225">
        <f>24*60*SUM($M201:$M201)</f>
        <v>8.6166666692588478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-24T03:03:40-0700',mode:absolute,to:'2017-12-24T05:18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2.3468</v>
      </c>
      <c r="Z201" s="247">
        <f>RIGHT(H201,LEN(H201)-4)/10000</f>
        <v>1.6299999999999999E-2</v>
      </c>
      <c r="AA201" s="247">
        <f>ABS(Z201-Y201)</f>
        <v>2.3304999999999998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306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 &amp; 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/stypes="app*4031*20171224*" /stext=" 11:.+((SYSTEM_STATE.+slice.+state.+changed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38"/>
        <v>"%USERPROFILE%\Documents\GitHub\eaglep3\Utilities\RefineRTDCRunTimes.py" --tripid 306-24 --locoid 4031 --swversion DE.1.0.9.0 --startMP 300:23468 --initTime 2017-12-24T04:03:40 --startdatetime 2017-12-24T04:10:02 --delay 73 --endMP 204:163 --enddatetime 2017-12-24T04:18:39 --enforcementcount 0 &gt;&gt;%USERPROFILE%\Documents\GitHub\eaglep3-reporting\EC\2017-12-24-refined-times.txt</v>
      </c>
      <c r="AI201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{"issue":{"subject":"","project_id":79,"tracker_id":40,"status_id":1,"priority_id":2,"assigned_to_id":338,"start_date":"2017-12-24","description":"","custom_fields":[{"id":1,"name":"Subdivision","value":"Other"},{"id":4,"name":"Milepost","value":"0.0163"},{"id":17,"name":"Train ID","value":"306-24"},{"id":16,"name":"Locomotive ID","value":"4031"},{"id":130,"name":"Impact","value":""},{"id":150,"name":"Time of Event (Mountain Time)","value":"04:18:39"},{"id":151,"name":"Denver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40"/>
        <v>start /low /b %USERPROFILE%\Documents\GitHub\eaglep3\Utilities\DownloadLogsFromS3.py --loco 4031 --day 2017-12-24</v>
      </c>
      <c r="AN201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42"/>
        <v>https://d0f6bd738d7f1b3e5a7ca70fe4ff75f0.us-east-1.aws.found.io/app/kibana#/discover/Steve-Slow-Train-Analysis-(2080s-and-2083s)?_g=(refreshInterval:(display:Off,pause:!f,section:0,value:0),time:(from:'2017-12-24T03:03:40-0700',mode:absolute,to:'2017-12-24T05:18:39-0700'))&amp;_a=(columns:!('Message%20ID',Summary),filters:!(),index:'emp_*',interval:auto,query:(query_string:(analyze_wildcard:!t,query:'%22rtdc.l.rtdc.4031%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29" t="s">
        <v>724</v>
      </c>
      <c r="B202" s="225">
        <v>4011</v>
      </c>
      <c r="C202" s="227" t="s">
        <v>192</v>
      </c>
      <c r="D202" s="227" t="s">
        <v>1052</v>
      </c>
      <c r="E202" s="226">
        <v>43093.174409722225</v>
      </c>
      <c r="F202" s="226">
        <v>43093.192650462966</v>
      </c>
      <c r="G202" s="225">
        <v>99</v>
      </c>
      <c r="H202" s="227" t="s">
        <v>657</v>
      </c>
      <c r="I202" s="226">
        <v>43093.198935185188</v>
      </c>
      <c r="J202" s="225">
        <v>0</v>
      </c>
      <c r="K202" s="237" t="str">
        <f>IF(ISEVEN(B202),(B202-1)&amp;"/"&amp;B202,B202&amp;"/"&amp;(B202+1))</f>
        <v>4011/4012</v>
      </c>
      <c r="L202" s="245" t="str">
        <f>VLOOKUP(A202,'Trips&amp;Operators'!$C$1:$G$99911,5,FALSE)</f>
        <v>GEBRETEKLE DAGNEW</v>
      </c>
      <c r="M202" s="224">
        <f>I202-F202</f>
        <v>6.284722221607808E-3</v>
      </c>
      <c r="N202" s="225">
        <f>24*60*SUM($M202:$M202)</f>
        <v>9.0499999991152436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-24T03:11:09-0700',mode:absolute,to:'2017-12-24T05:46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2</v>
      </c>
      <c r="Y202" s="247">
        <f>RIGHT(D202,LEN(D202)-4)/10000</f>
        <v>2.3572000000000002</v>
      </c>
      <c r="Z202" s="247">
        <f>RIGHT(H202,LEN(H202)-4)/10000</f>
        <v>0.1179</v>
      </c>
      <c r="AA202" s="247">
        <f>ABS(Z202-Y202)</f>
        <v>2.2393000000000001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308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s3://rtdc.mdm.uploadarchive.raw/RTDC4011/ "%USERPROFILE%\AppData\Local\Temp\OnboardLogs"\RTDC4011\2017-12-24 --exclude "*" --recursive --include "*20171224*" &amp; "%USERPROFILE%\Documents\GitHub\mrs-test-scripts\Headless Mode &amp; Sideloading\WalkAndUnGZ.bat" "%USERPROFILE%\AppData\Local\Temp\OnboardLogs"\RTDC4011\2017-12-24 &amp; aws s3 cp s3://rtdc.mdm.uploadarchive.raw/RTDC4011/ "%USERPROFILE%\AppData\Local\Temp\OnboardLogs"\RTDC4011\2017-12-25 --exclude "*" --recursive --include "*20171225*" &amp; "%USERPROFILE%\Documents\GitHub\mrs-test-scripts\Headless Mode &amp; Sideloading\WalkAndUnGZ.bat" "%USERPROFILE%\AppData\Local\Temp\OnboardLogs"\RTDC4011\2017-12-25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/stypes="app*4011*20171224*" /stext=" 11:.+((SYSTEM_STATE.+slice.+state.+changed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38"/>
        <v>"%USERPROFILE%\Documents\GitHub\eaglep3\Utilities\RefineRTDCRunTimes.py" --tripid 308-24 --locoid 4011 --swversion DE.1.0.9.0 --startMP 300:23572 --initTime 2017-12-24T04:11:09 --startdatetime 2017-12-24T04:37:25 --delay 99 --endMP 204:1179 --enddatetime 2017-12-24T04:46:28 --enforcementcount 0 &gt;&gt;%USERPROFILE%\Documents\GitHub\eaglep3-reporting\EC\2017-12-24-refined-times.txt</v>
      </c>
      <c r="AI202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{"issue":{"subject":"","project_id":79,"tracker_id":40,"status_id":1,"priority_id":2,"assigned_to_id":338,"start_date":"2017-12-24","description":"","custom_fields":[{"id":1,"name":"Subdivision","value":"Other"},{"id":4,"name":"Milepost","value":"0.1179"},{"id":17,"name":"Train ID","value":"308-24"},{"id":16,"name":"Locomotive ID","value":"4011"},{"id":130,"name":"Impact","value":""},{"id":150,"name":"Time of Event (Mountain Time)","value":"04:46:28"},{"id":151,"name":"Denver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40"/>
        <v>start /low /b %USERPROFILE%\Documents\GitHub\eaglep3\Utilities\DownloadLogsFromS3.py --loco 4011 --day 2017-12-24</v>
      </c>
      <c r="AN202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11:46:28"},{"id":29,"name":"Sharepoint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42"/>
        <v>https://d0f6bd738d7f1b3e5a7ca70fe4ff75f0.us-east-1.aws.found.io/app/kibana#/discover/Steve-Slow-Train-Analysis-(2080s-and-2083s)?_g=(refreshInterval:(display:Off,pause:!f,section:0,value:0),time:(from:'2017-12-24T03:11:09-0700',mode:absolute,to:'2017-12-24T05:46:28-0700'))&amp;_a=(columns:!('Message%20ID',Summary),filters:!(),index:'emp_*',interval:auto,query:(query_string:(analyze_wildcard:!t,query:'%22rtdc.l.rtdc.4011%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901</v>
      </c>
      <c r="B203" s="225">
        <v>4022</v>
      </c>
      <c r="C203" s="227" t="s">
        <v>192</v>
      </c>
      <c r="D203" s="227" t="s">
        <v>1053</v>
      </c>
      <c r="E203" s="226">
        <v>43094.066145833334</v>
      </c>
      <c r="F203" s="226">
        <v>43094.067557870374</v>
      </c>
      <c r="G203" s="225">
        <v>66</v>
      </c>
      <c r="H203" s="227" t="s">
        <v>658</v>
      </c>
      <c r="I203" s="226">
        <v>43094.075509259259</v>
      </c>
      <c r="J203" s="225">
        <v>0</v>
      </c>
      <c r="K203" s="237" t="str">
        <f>IF(ISEVEN(B203),(B203-1)&amp;"/"&amp;B203,B203&amp;"/"&amp;(B203+1))</f>
        <v>4021/4022</v>
      </c>
      <c r="L203" s="245" t="str">
        <f>VLOOKUP(A203,'Trips&amp;Operators'!$C$1:$G$99911,5,FALSE)</f>
        <v>ELBAUM MIKE</v>
      </c>
      <c r="M203" s="224">
        <f>I203-F203</f>
        <v>7.9513888849760406E-3</v>
      </c>
      <c r="N203" s="225">
        <f>24*60*SUM($M203:$M203)</f>
        <v>11.449999994365498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-25T00:35:15-0700',mode:absolute,to:'2017-12-25T02:48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5.8000000000000003E-2</v>
      </c>
      <c r="Z203" s="247">
        <f>RIGHT(H203,LEN(H203)-4)/10000</f>
        <v>2.3308</v>
      </c>
      <c r="AA203" s="247">
        <f>ABS(Z203-Y203)</f>
        <v>2.2728000000000002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309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s3://rtdc.mdm.uploadarchive.raw/RTDC4022/ "%USERPROFILE%\AppData\Local\Temp\OnboardLogs"\RTDC4022\2017-12-25 --exclude "*" --recursive --include "*20171225*" &amp; "%USERPROFILE%\Documents\GitHub\mrs-test-scripts\Headless Mode &amp; Sideloading\WalkAndUnGZ.bat" "%USERPROFILE%\AppData\Local\Temp\OnboardLogs"\RTDC4022\2017-12-25 &amp; aws s3 cp s3://rtdc.mdm.uploadarchive.raw/RTDC4022/ "%USERPROFILE%\AppData\Local\Temp\OnboardLogs"\RTDC4022\2017-12-26 --exclude "*" --recursive --include "*20171226*" &amp; "%USERPROFILE%\Documents\GitHub\mrs-test-scripts\Headless Mode &amp; Sideloading\WalkAndUnGZ.bat" "%USERPROFILE%\AppData\Local\Temp\OnboardLogs"\RTDC4022\2017-12-26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/stypes="app*4022*20171225*" /stext=" 08:.+((SYSTEM_STATE.+slice.+state.+changed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38"/>
        <v>"%USERPROFILE%\Documents\GitHub\eaglep3\Utilities\RefineRTDCRunTimes.py" --tripid 309-24 --locoid 4022 --swversion DE.1.0.9.0 --startMP 204:580 --initTime 2017-12-25T01:35:15 --startdatetime 2017-12-25T01:37:17 --delay 66 --endMP 300:23308 --enddatetime 2017-12-25T01:48:44 --enforcementcount 0 &gt;&gt;%USERPROFILE%\Documents\GitHub\eaglep3-reporting\EC\2017-12-24-refined-times.txt</v>
      </c>
      <c r="AI203" s="238" t="str">
        <f t="shared" si="39"/>
        <v>echo {"issue":{"subject":"","project_id":79,"tracker_id":40,"status_id":1,"priority_id":2,"assigned_to_id":338,"start_date":"2017-12-25","description":"","custom_fields":[{"id":1,"name":"Subdivision","value":"Other"},{"id":4,"name":"Milepost","value":"2.3308"},{"id":17,"name":"Train ID","value":"309-24"},{"id":16,"name":"Locomotive ID","value":"4022"},{"id":130,"name":"Impact","value":""},{"id":150,"name":"Time of Event (Mountain Time)","value":"01:48:44"},{"id":151,"name":"Denver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40"/>
        <v>start /low /b %USERPROFILE%\Documents\GitHub\eaglep3\Utilities\DownloadLogsFromS3.py --loco 4022 --day 2017-12-25</v>
      </c>
      <c r="AN203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08:48:44"},{"id":29,"name":"Sharepoint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42"/>
        <v>https://d0f6bd738d7f1b3e5a7ca70fe4ff75f0.us-east-1.aws.found.io/app/kibana#/discover/Steve-Slow-Train-Analysis-(2080s-and-2083s)?_g=(refreshInterval:(display:Off,pause:!f,section:0,value:0),time:(from:'2017-12-25T00:35:15-0700',mode:absolute,to:'2017-12-25T02:48:44-0700'))&amp;_a=(columns:!('Message%20ID',Summary),filters:!(),index:'emp_*',interval:auto,query:(query_string:(analyze_wildcard:!t,query:'%22rtdc.l.rtdc.4022%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726</v>
      </c>
      <c r="B204" s="225">
        <v>4013</v>
      </c>
      <c r="C204" s="227" t="s">
        <v>192</v>
      </c>
      <c r="D204" s="227" t="s">
        <v>1054</v>
      </c>
      <c r="E204" s="226">
        <v>43093.195983796293</v>
      </c>
      <c r="F204" s="226">
        <v>43093.200266203705</v>
      </c>
      <c r="G204" s="225">
        <v>97</v>
      </c>
      <c r="H204" s="227" t="s">
        <v>475</v>
      </c>
      <c r="I204" s="226">
        <v>43093.213460648149</v>
      </c>
      <c r="J204" s="225">
        <v>0</v>
      </c>
      <c r="K204" s="237" t="str">
        <f>IF(ISEVEN(B204),(B204-1)&amp;"/"&amp;B204,B204&amp;"/"&amp;(B204+1))</f>
        <v>4013/4014</v>
      </c>
      <c r="L204" s="245" t="str">
        <f>VLOOKUP(A204,'Trips&amp;Operators'!$C$1:$G$99911,5,FALSE)</f>
        <v>WILLIAMS DONTE</v>
      </c>
      <c r="M204" s="224">
        <f>I204-F204</f>
        <v>1.3194444443797693E-2</v>
      </c>
      <c r="N204" s="225">
        <f>24*60*SUM($M204:$M204)</f>
        <v>18.999999999068677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-24T03:42:13-0700',mode:absolute,to:'2017-12-24T06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2.3589000000000002</v>
      </c>
      <c r="Z204" s="247">
        <f>RIGHT(H204,LEN(H204)-4)/10000</f>
        <v>2.2499999999999999E-2</v>
      </c>
      <c r="AA204" s="247">
        <f>ABS(Z204-Y204)</f>
        <v>2.3364000000000003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310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/stypes="app*4013*20171224*" /stext=" 12:.+((SYSTEM_STATE.+slice.+state.+changed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38"/>
        <v>"%USERPROFILE%\Documents\GitHub\eaglep3\Utilities\RefineRTDCRunTimes.py" --tripid 310-24 --locoid 4013 --swversion DE.1.0.9.0 --startMP 300:23589 --initTime 2017-12-24T04:42:13 --startdatetime 2017-12-24T04:48:23 --delay 97 --endMP 204:225 --enddatetime 2017-12-24T05:07:23 --enforcementcount 0 &gt;&gt;%USERPROFILE%\Documents\GitHub\eaglep3-reporting\EC\2017-12-24-refined-times.txt</v>
      </c>
      <c r="AI204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{"issue":{"subject":"","project_id":79,"tracker_id":40,"status_id":1,"priority_id":2,"assigned_to_id":338,"start_date":"2017-12-24","description":"","custom_fields":[{"id":1,"name":"Subdivision","value":"Other"},{"id":4,"name":"Milepost","value":"0.0225"},{"id":17,"name":"Train ID","value":"310-24"},{"id":16,"name":"Locomotive ID","value":"4013"},{"id":130,"name":"Impact","value":""},{"id":150,"name":"Time of Event (Mountain Time)","value":"05:07:23"},{"id":151,"name":"Denver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40"/>
        <v>start /low /b %USERPROFILE%\Documents\GitHub\eaglep3\Utilities\DownloadLogsFromS3.py --loco 4013 --day 2017-12-24</v>
      </c>
      <c r="AN204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42"/>
        <v>https://d0f6bd738d7f1b3e5a7ca70fe4ff75f0.us-east-1.aws.found.io/app/kibana#/discover/Steve-Slow-Train-Analysis-(2080s-and-2083s)?_g=(refreshInterval:(display:Off,pause:!f,section:0,value:0),time:(from:'2017-12-24T03:42:13-0700',mode:absolute,to:'2017-12-24T06:07:23-0700'))&amp;_a=(columns:!('Message%20ID',Summary),filters:!(),index:'emp_*',interval:auto,query:(query_string:(analyze_wildcard:!t,query:'%22rtdc.l.rtdc.4013%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29" t="s">
        <v>732</v>
      </c>
      <c r="B205" s="225">
        <v>4049</v>
      </c>
      <c r="C205" s="227" t="s">
        <v>192</v>
      </c>
      <c r="D205" s="227" t="s">
        <v>1055</v>
      </c>
      <c r="E205" s="226">
        <v>43093.22619212963</v>
      </c>
      <c r="F205" s="226">
        <v>43093.230127314811</v>
      </c>
      <c r="G205" s="225">
        <v>84</v>
      </c>
      <c r="H205" s="227" t="s">
        <v>537</v>
      </c>
      <c r="I205" s="226">
        <v>43093.235011574077</v>
      </c>
      <c r="J205" s="225">
        <v>0</v>
      </c>
      <c r="K205" s="237" t="str">
        <f>IF(ISEVEN(B205),(B205-1)&amp;"/"&amp;B205,B205&amp;"/"&amp;(B205+1))</f>
        <v>4049/4050</v>
      </c>
      <c r="L205" s="245" t="str">
        <f>VLOOKUP(A205,'Trips&amp;Operators'!$C$1:$G$99911,5,FALSE)</f>
        <v>LAMAR NEKESHA</v>
      </c>
      <c r="M205" s="224">
        <f>I205-F205</f>
        <v>4.8842592659639195E-3</v>
      </c>
      <c r="N205" s="225">
        <f>24*60*SUM($M205:$M205)</f>
        <v>7.033333342988044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-24T04:25:43-0700',mode:absolute,to:'2017-12-24T06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2</v>
      </c>
      <c r="Y205" s="247">
        <f>RIGHT(D205,LEN(D205)-4)/10000</f>
        <v>2.2410000000000001</v>
      </c>
      <c r="Z205" s="247">
        <f>RIGHT(H205,LEN(H205)-4)/10000</f>
        <v>1.9199999999999998E-2</v>
      </c>
      <c r="AA205" s="247">
        <f>ABS(Z205-Y205)</f>
        <v>2.2218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312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s3://rtdc.mdm.uploadarchive.raw/RTDC4049/ "%USERPROFILE%\AppData\Local\Temp\OnboardLogs"\RTDC4049\2017-12-24 --exclude "*" --recursive --include "*20171224*" &amp; "%USERPROFILE%\Documents\GitHub\mrs-test-scripts\Headless Mode &amp; Sideloading\WalkAndUnGZ.bat" "%USERPROFILE%\AppData\Local\Temp\OnboardLogs"\RTDC4049\2017-12-24 &amp; aws s3 cp s3://rtdc.mdm.uploadarchive.raw/RTDC4049/ "%USERPROFILE%\AppData\Local\Temp\OnboardLogs"\RTDC4049\2017-12-25 --exclude "*" --recursive --include "*20171225*" &amp; "%USERPROFILE%\Documents\GitHub\mrs-test-scripts\Headless Mode &amp; Sideloading\WalkAndUnGZ.bat" "%USERPROFILE%\AppData\Local\Temp\OnboardLogs"\RTDC4049\2017-12-25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/stypes="app*4049*20171224*" /stext=" 12:.+((SYSTEM_STATE.+slice.+state.+changed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38"/>
        <v>"%USERPROFILE%\Documents\GitHub\eaglep3\Utilities\RefineRTDCRunTimes.py" --tripid 312-24 --locoid 4049 --swversion DE.1.0.9.0 --startMP 300:22410 --initTime 2017-12-24T05:25:43 --startdatetime 2017-12-24T05:31:23 --delay 84 --endMP 204:192 --enddatetime 2017-12-24T05:38:25 --enforcementcount 0 &gt;&gt;%USERPROFILE%\Documents\GitHub\eaglep3-reporting\EC\2017-12-24-refined-times.txt</v>
      </c>
      <c r="AI205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{"issue":{"subject":"","project_id":79,"tracker_id":40,"status_id":1,"priority_id":2,"assigned_to_id":338,"start_date":"2017-12-24","description":"","custom_fields":[{"id":1,"name":"Subdivision","value":"Other"},{"id":4,"name":"Milepost","value":"0.0192"},{"id":17,"name":"Train ID","value":"312-24"},{"id":16,"name":"Locomotive ID","value":"4049"},{"id":130,"name":"Impact","value":""},{"id":150,"name":"Time of Event (Mountain Time)","value":"05:38:25"},{"id":151,"name":"Denver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40"/>
        <v>start /low /b %USERPROFILE%\Documents\GitHub\eaglep3\Utilities\DownloadLogsFromS3.py --loco 4049 --day 2017-12-24</v>
      </c>
      <c r="AN205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42"/>
        <v>https://d0f6bd738d7f1b3e5a7ca70fe4ff75f0.us-east-1.aws.found.io/app/kibana#/discover/Steve-Slow-Train-Analysis-(2080s-and-2083s)?_g=(refreshInterval:(display:Off,pause:!f,section:0,value:0),time:(from:'2017-12-24T04:25:43-0700',mode:absolute,to:'2017-12-24T06:38:25-0700'))&amp;_a=(columns:!('Message%20ID',Summary),filters:!(),index:'emp_*',interval:auto,query:(query_string:(analyze_wildcard:!t,query:'%22rtdc.l.rtdc.4049%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697</v>
      </c>
      <c r="B206" s="225">
        <v>4044</v>
      </c>
      <c r="C206" s="227" t="s">
        <v>192</v>
      </c>
      <c r="D206" s="227" t="s">
        <v>973</v>
      </c>
      <c r="E206" s="226">
        <v>43094.024745370371</v>
      </c>
      <c r="F206" s="226">
        <v>43094.026759259257</v>
      </c>
      <c r="G206" s="225">
        <v>137</v>
      </c>
      <c r="H206" s="227" t="s">
        <v>547</v>
      </c>
      <c r="I206" s="226">
        <v>43094.034432870372</v>
      </c>
      <c r="J206" s="225">
        <v>0</v>
      </c>
      <c r="K206" s="237" t="str">
        <f>IF(ISEVEN(B206),(B206-1)&amp;"/"&amp;B206,B206&amp;"/"&amp;(B206+1))</f>
        <v>4043/4044</v>
      </c>
      <c r="L206" s="245" t="str">
        <f>VLOOKUP(A206,'Trips&amp;Operators'!$C$1:$G$99911,5,FALSE)</f>
        <v>STAMBAUGH JAMES</v>
      </c>
      <c r="M206" s="224">
        <f>I206-F206</f>
        <v>7.6736111150239594E-3</v>
      </c>
      <c r="N206" s="225">
        <f>24*60*SUM($M206:$M206)</f>
        <v>11.050000005634502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-24T23:35:38-0700',mode:absolute,to:'2017-12-25T01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5.4899999999999997E-2</v>
      </c>
      <c r="Z206" s="247">
        <f>RIGHT(H206,LEN(H206)-4)/10000</f>
        <v>2.3311999999999999</v>
      </c>
      <c r="AA206" s="247">
        <f>ABS(Z206-Y206)</f>
        <v>2.2763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313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 &amp; aws s3 cp s3://rtdc.mdm.uploadarchive.raw/RTDC4044/ "%USERPROFILE%\AppData\Local\Temp\OnboardLogs"\RTDC4044\2017-12-26 --exclude "*" --recursive --include "*20171226*" &amp; "%USERPROFILE%\Documents\GitHub\mrs-test-scripts\Headless Mode &amp; Sideloading\WalkAndUnGZ.bat" "%USERPROFILE%\AppData\Local\Temp\OnboardLogs"\RTDC4044\2017-12-26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/stypes="app*4044*20171225*" /stext=" 07:.+((SYSTEM_STATE.+slice.+state.+changed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38"/>
        <v>"%USERPROFILE%\Documents\GitHub\eaglep3\Utilities\RefineRTDCRunTimes.py" --tripid 313-24 --locoid 4044 --swversion DE.1.0.9.0 --startMP 204:549 --initTime 2017-12-25T00:35:38 --startdatetime 2017-12-25T00:38:32 --delay 137 --endMP 300:23312 --enddatetime 2017-12-25T00:49:35 --enforcementcount 0 &gt;&gt;%USERPROFILE%\Documents\GitHub\eaglep3-reporting\EC\2017-12-24-refined-times.txt</v>
      </c>
      <c r="AI206" s="238" t="str">
        <f t="shared" si="39"/>
        <v>echo {"issue":{"subject":"","project_id":79,"tracker_id":40,"status_id":1,"priority_id":2,"assigned_to_id":338,"start_date":"2017-12-25","description":"","custom_fields":[{"id":1,"name":"Subdivision","value":"Other"},{"id":4,"name":"Milepost","value":"2.3312"},{"id":17,"name":"Train ID","value":"313-24"},{"id":16,"name":"Locomotive ID","value":"4044"},{"id":130,"name":"Impact","value":""},{"id":150,"name":"Time of Event (Mountain Time)","value":"00:49:35"},{"id":151,"name":"Denver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40"/>
        <v>start /low /b %USERPROFILE%\Documents\GitHub\eaglep3\Utilities\DownloadLogsFromS3.py --loco 4044 --day 2017-12-25</v>
      </c>
      <c r="AN206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07:49:35"},{"id":29,"name":"Sharepoint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42"/>
        <v>https://d0f6bd738d7f1b3e5a7ca70fe4ff75f0.us-east-1.aws.found.io/app/kibana#/discover/Steve-Slow-Train-Analysis-(2080s-and-2083s)?_g=(refreshInterval:(display:Off,pause:!f,section:0,value:0),time:(from:'2017-12-24T23:35:38-0700',mode:absolute,to:'2017-12-25T01:49:35-0700'))&amp;_a=(columns:!('Message%20ID',Summary),filters:!(),index:'emp_*',interval:auto,query:(query_string:(analyze_wildcard:!t,query:'%22rtdc.l.rtdc.4044%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29" t="s">
        <v>731</v>
      </c>
      <c r="B207" s="225">
        <v>4058</v>
      </c>
      <c r="C207" s="227" t="s">
        <v>192</v>
      </c>
      <c r="D207" s="227" t="s">
        <v>1017</v>
      </c>
      <c r="E207" s="226">
        <v>43093.225451388891</v>
      </c>
      <c r="F207" s="226">
        <v>43093.229687500003</v>
      </c>
      <c r="G207" s="225">
        <v>66</v>
      </c>
      <c r="H207" s="227" t="s">
        <v>661</v>
      </c>
      <c r="I207" s="226">
        <v>43093.234722222223</v>
      </c>
      <c r="J207" s="225">
        <v>0</v>
      </c>
      <c r="K207" s="237" t="str">
        <f>IF(ISEVEN(B207),(B207-1)&amp;"/"&amp;B207,B207&amp;"/"&amp;(B207+1))</f>
        <v>4057/4058</v>
      </c>
      <c r="L207" s="245" t="str">
        <f>VLOOKUP(A207,'Trips&amp;Operators'!$C$1:$G$99911,5,FALSE)</f>
        <v>MACDONALD THOMAS</v>
      </c>
      <c r="M207" s="224">
        <f>I207-F207</f>
        <v>5.0347222204436548E-3</v>
      </c>
      <c r="N207" s="225">
        <f>24*60*SUM($M207:$M207)</f>
        <v>7.2499999974388629</v>
      </c>
      <c r="O207" s="225"/>
      <c r="P207" s="225"/>
      <c r="Q207" s="228"/>
      <c r="R207" s="242"/>
      <c r="S207" s="249">
        <f>1/IF(AG207="EC",12,1)*SUM(U207:U207)</f>
        <v>0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-24T04:24:39-0700',mode:absolute,to:'2017-12-24T06:38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1588</v>
      </c>
      <c r="Y207" s="247">
        <f>RIGHT(D207,LEN(D207)-4)/10000</f>
        <v>3.0072000000000001</v>
      </c>
      <c r="Z207" s="247">
        <f>RIGHT(H207,LEN(H207)-4)/10000</f>
        <v>5.8914</v>
      </c>
      <c r="AA207" s="247">
        <f>ABS(Z207-Y207)</f>
        <v>2.8841999999999999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1901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/stypes="app*4058*20171224*" /stext=" 12:.+((SYSTEM_STATE.+slice.+state.+changed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38"/>
        <v>"%USERPROFILE%\Documents\GitHub\eaglep3\Utilities\RefineRTDCRunTimes.py" --tripid 1901-24 --locoid 4058 --swversion DE.1.0.9.0 --startMP 300:30072 --initTime 2017-12-24T05:24:39 --startdatetime 2017-12-24T05:30:45 --delay 66 --endMP 300:58914 --enddatetime 2017-12-24T05:38:00 --enforcementcount 0 &gt;&gt;%USERPROFILE%\Documents\GitHub\eaglep3-reporting\EC\2017-12-24-refined-times.txt</v>
      </c>
      <c r="AI207" s="238" t="str">
        <f t="shared" si="39"/>
        <v>echo {"issue":{"subject":"","project_id":79,"tracker_id":40,"status_id":1,"priority_id":2,"assigned_to_id":338,"start_date":"2017-12-24","description":"","custom_fields":[{"id":1,"name":"Subdivision","value":"Other"},{"id":4,"name":"Milepost","value":"5.8914"},{"id":17,"name":"Train ID","value":"1901-24"},{"id":16,"name":"Locomotive ID","value":"4058"},{"id":130,"name":"Impact","value":""},{"id":150,"name":"Time of Event (Mountain Time)","value":"05:38:00"},{"id":151,"name":"Denver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40"/>
        <v>start /low /b %USERPROFILE%\Documents\GitHub\eaglep3\Utilities\DownloadLogsFromS3.py --loco 4058 --day 2017-12-24</v>
      </c>
      <c r="AN207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12:38:00"},{"id":29,"name":"Sharepoint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42"/>
        <v>https://d0f6bd738d7f1b3e5a7ca70fe4ff75f0.us-east-1.aws.found.io/app/kibana#/discover/Steve-Slow-Train-Analysis-(2080s-and-2083s)?_g=(refreshInterval:(display:Off,pause:!f,section:0,value:0),time:(from:'2017-12-24T04:24:39-0700',mode:absolute,to:'2017-12-24T06:38:00-0700'))&amp;_a=(columns:!('Message%20ID',Summary),filters:!(),index:'emp_*',interval:auto,query:(query_string:(analyze_wildcard:!t,query:'%22rtdc.l.rtdc.4058%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893</v>
      </c>
      <c r="B208" s="225">
        <v>4057</v>
      </c>
      <c r="C208" s="227" t="s">
        <v>192</v>
      </c>
      <c r="D208" s="227" t="s">
        <v>1018</v>
      </c>
      <c r="E208" s="226">
        <v>43093.975752314815</v>
      </c>
      <c r="F208" s="226">
        <v>43093.977905092594</v>
      </c>
      <c r="G208" s="225">
        <v>70</v>
      </c>
      <c r="H208" s="227" t="s">
        <v>1019</v>
      </c>
      <c r="I208" s="226">
        <v>43094.025925925926</v>
      </c>
      <c r="J208" s="225">
        <v>0</v>
      </c>
      <c r="K208" s="237" t="str">
        <f>IF(ISEVEN(B208),(B208-1)&amp;"/"&amp;B208,B208&amp;"/"&amp;(B208+1))</f>
        <v>4057/4058</v>
      </c>
      <c r="L208" s="245" t="str">
        <f>VLOOKUP(A208,'Trips&amp;Operators'!$C$1:$G$99911,5,FALSE)</f>
        <v>KILLION DAVID</v>
      </c>
      <c r="M208" s="224">
        <f>I208-F208</f>
        <v>4.8020833331975155E-2</v>
      </c>
      <c r="N208" s="225">
        <f>24*60*SUM($M208:$M208)</f>
        <v>69.149999998044223</v>
      </c>
      <c r="O208" s="225"/>
      <c r="P208" s="225"/>
      <c r="Q208" s="228"/>
      <c r="R208" s="242"/>
      <c r="S208" s="249">
        <f>1/IF(AG208="EC",12,1)*SUM(U208:U208)</f>
        <v>0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-24T22:25:05-0700',mode:absolute,to:'2017-12-25T01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5.8686999999999996</v>
      </c>
      <c r="Z208" s="247">
        <f>RIGHT(H208,LEN(H208)-4)/10000</f>
        <v>2.8797000000000001</v>
      </c>
      <c r="AA208" s="247">
        <f>ABS(Z208-Y208)</f>
        <v>2.9889999999999994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1902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s3://rtdc.mdm.uploadarchive.raw/RTDC4057/ "%USERPROFILE%\AppData\Local\Temp\OnboardLogs"\RTDC4057\2017-12-24 --exclude "*" --recursive --include "*20171224*" &amp; "%USERPROFILE%\Documents\GitHub\mrs-test-scripts\Headless Mode &amp; Sideloading\WalkAndUnGZ.bat" "%USERPROFILE%\AppData\Local\Temp\OnboardLogs"\RTDC4057\2017-12-24 &amp; aws s3 cp s3://rtdc.mdm.uploadarchive.raw/RTDC4057/ "%USERPROFILE%\AppData\Local\Temp\OnboardLogs"\RTDC4057\2017-12-25 --exclude "*" --recursive --include "*20171225*" &amp; "%USERPROFILE%\Documents\GitHub\mrs-test-scripts\Headless Mode &amp; Sideloading\WalkAndUnGZ.bat" "%USERPROFILE%\AppData\Local\Temp\OnboardLogs"\RTDC4057\2017-12-25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/stypes="app*4057*20171225*" /stext=" 07:.+((SYSTEM_STATE.+slice.+state.+changed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38"/>
        <v>"%USERPROFILE%\Documents\GitHub\eaglep3\Utilities\RefineRTDCRunTimes.py" --tripid 1902-24 --locoid 4057 --swversion DE.1.0.9.0 --startMP 300:58687 --initTime 2017-12-24T23:25:05 --startdatetime 2017-12-24T23:28:11 --delay 70 --endMP 300:28797 --enddatetime 2017-12-25T00:37:20 --enforcementcount 0 &gt;&gt;%USERPROFILE%\Documents\GitHub\eaglep3-reporting\EC\2017-12-24-refined-times.txt</v>
      </c>
      <c r="AI208" s="238" t="str">
        <f t="shared" si="39"/>
        <v>echo {"issue":{"subject":"","project_id":79,"tracker_id":40,"status_id":1,"priority_id":2,"assigned_to_id":338,"start_date":"2017-12-25","description":"","custom_fields":[{"id":1,"name":"Subdivision","value":"Other"},{"id":4,"name":"Milepost","value":"2.8797"},{"id":17,"name":"Train ID","value":"1902-24"},{"id":16,"name":"Locomotive ID","value":"4057"},{"id":130,"name":"Impact","value":""},{"id":150,"name":"Time of Event (Mountain Time)","value":"00:37:20"},{"id":151,"name":"Denver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40"/>
        <v>start /low /b %USERPROFILE%\Documents\GitHub\eaglep3\Utilities\DownloadLogsFromS3.py --loco 4057 --day 2017-12-24</v>
      </c>
      <c r="AN208" s="241" t="str">
        <f t="shared" si="41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07:37:20"},{"id":29,"name":"Sharepoint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42"/>
        <v>https://d0f6bd738d7f1b3e5a7ca70fe4ff75f0.us-east-1.aws.found.io/app/kibana#/discover/Steve-Slow-Train-Analysis-(2080s-and-2083s)?_g=(refreshInterval:(display:Off,pause:!f,section:0,value:0),time:(from:'2017-12-24T22:25:05-0700',mode:absolute,to:'2017-12-25T01:37:20-0700'))&amp;_a=(columns:!('Message%20ID',Summary),filters:!(),index:'emp_*',interval:auto,query:(query_string:(analyze_wildcard:!t,query:'%22rtdc.l.rtdc.4057%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29" t="s">
        <v>708</v>
      </c>
      <c r="B209" s="225">
        <v>4061</v>
      </c>
      <c r="C209" s="227" t="s">
        <v>192</v>
      </c>
      <c r="D209" s="227" t="s">
        <v>1056</v>
      </c>
      <c r="E209" s="226">
        <v>43093.125671296293</v>
      </c>
      <c r="F209" s="226">
        <v>43093.132233796299</v>
      </c>
      <c r="G209" s="225">
        <v>148</v>
      </c>
      <c r="H209" s="227" t="s">
        <v>1057</v>
      </c>
      <c r="I209" s="226">
        <v>43093.140428240738</v>
      </c>
      <c r="J209" s="225">
        <v>0</v>
      </c>
      <c r="K209" s="237" t="str">
        <f>IF(ISEVEN(B209),(B209-1)&amp;"/"&amp;B209,B209&amp;"/"&amp;(B209+1))</f>
        <v>4061/4062</v>
      </c>
      <c r="L209" s="245" t="str">
        <f>VLOOKUP(A209,'Trips&amp;Operators'!$C$1:$G$99911,5,FALSE)</f>
        <v>LANGERAK WILLIAM</v>
      </c>
      <c r="M209" s="224">
        <f>I209-F209</f>
        <v>8.1944444391410798E-3</v>
      </c>
      <c r="N209" s="225">
        <f>24*60*SUM($M209:$M209)</f>
        <v>11.799999992363155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-24T02:00:58-0700',mode:absolute,to:'2017-12-24T04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-1852</v>
      </c>
      <c r="Y209" s="247">
        <f>RIGHT(D209,LEN(D209)-4)/10000</f>
        <v>2.2896000000000001</v>
      </c>
      <c r="Z209" s="247">
        <f>RIGHT(H209,LEN(H209)-4)/10000</f>
        <v>0.1162</v>
      </c>
      <c r="AA209" s="247">
        <f>ABS(Z209-Y209)</f>
        <v>2.1734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50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/stypes="app*4061*20171224*" /stext=" 10:.+((SYSTEM_STATE.+slice.+state.+changed )|(ment ac)|(multiple cpu faults)|(system.+state.+changed )|(\[timeout)|(PRM\|1\|D)|(kpr)|(kdp)|(train st.+moving)|(\|lc)|(penalty))"</v>
      </c>
      <c r="AG209" s="244" t="str">
        <f>DetSubdiv(A209)</f>
        <v>Shuttle/Test</v>
      </c>
      <c r="AH209" s="236" t="str">
        <f t="shared" si="38"/>
        <v>"%USERPROFILE%\Documents\GitHub\eaglep3\Utilities\RefineRTDCRunTimes.py" --tripid 50-24 --locoid 4061 --swversion DE.1.0.9.0 --startMP 300:22896 --initTime 2017-12-24T03:00:58 --startdatetime 2017-12-24T03:10:25 --delay 148 --endMP 204:1162 --enddatetime 2017-12-24T03:22:13 --enforcementcount 0 &gt;&gt;%USERPROFILE%\Documents\GitHub\eaglep3-reporting\EC\2017-12-24-refined-times.txt</v>
      </c>
      <c r="AI209" s="238" t="str">
        <f t="shared" si="39"/>
        <v>echo {"issue":{"subject":"","project_id":79,"tracker_id":40,"status_id":1,"priority_id":2,"assigned_to_id":338,"start_date":"2017-12-24","description":"","custom_fields":[{"id":1,"name":"Subdivision","value":"Shuttle/Test"},{"id":4,"name":"Milepost","value":"0.1162"},{"id":17,"name":"Train ID","value":"50-24"},{"id":16,"name":"Locomotive ID","value":"4061"},{"id":130,"name":"Impact","value":""},{"id":150,"name":"Time of Event (Mountain Time)","value":"03:22:13"},{"id":151,"name":"Denver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40"/>
        <v>start /low /b %USERPROFILE%\Documents\GitHub\eaglep3\Utilities\DownloadLogsFromS3.py --loco 4061 --day 2017-12-24</v>
      </c>
      <c r="AN209" s="241" t="str">
        <f t="shared" si="41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10:22:13"},{"id":29,"name":"Sharepoint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42"/>
        <v>https://d0f6bd738d7f1b3e5a7ca70fe4ff75f0.us-east-1.aws.found.io/app/kibana#/discover/Steve-Slow-Train-Analysis-(2080s-and-2083s)?_g=(refreshInterval:(display:Off,pause:!f,section:0,value:0),time:(from:'2017-12-24T02:00:58-0700',mode:absolute,to:'2017-12-24T04:22:13-0700'))&amp;_a=(columns:!('Message%20ID',Summary),filters:!(),index:'emp_*',interval:auto,query:(query_string:(analyze_wildcard:!t,query:'%22rtdc.l.rtdc.4061%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708</v>
      </c>
      <c r="B210" s="225">
        <v>4062</v>
      </c>
      <c r="C210" s="227" t="s">
        <v>192</v>
      </c>
      <c r="D210" s="227" t="s">
        <v>1058</v>
      </c>
      <c r="E210" s="226">
        <v>43093.189143518517</v>
      </c>
      <c r="F210" s="226">
        <v>43093.194918981484</v>
      </c>
      <c r="G210" s="225">
        <v>72</v>
      </c>
      <c r="H210" s="227" t="s">
        <v>1059</v>
      </c>
      <c r="I210" s="226">
        <v>43093.196377314816</v>
      </c>
      <c r="J210" s="225">
        <v>0</v>
      </c>
      <c r="K210" s="237" t="str">
        <f>IF(ISEVEN(B210),(B210-1)&amp;"/"&amp;B210,B210&amp;"/"&amp;(B210+1))</f>
        <v>4061/4062</v>
      </c>
      <c r="L210" s="245" t="str">
        <f>VLOOKUP(A210,'Trips&amp;Operators'!$C$1:$G$99911,5,FALSE)</f>
        <v>LANGERAK WILLIAM</v>
      </c>
      <c r="M210" s="224">
        <f>I210-F210</f>
        <v>1.4583333322661929E-3</v>
      </c>
      <c r="N210" s="225">
        <f>24*60*SUM($M210:$M210)</f>
        <v>2.0999999984633178</v>
      </c>
      <c r="O210" s="225"/>
      <c r="P210" s="225"/>
      <c r="Q210" s="228"/>
      <c r="R210" s="242"/>
      <c r="S210" s="249">
        <f>1/IF(AG210="EC",12,1)*SUM(U210:U210)</f>
        <v>0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-24T03:32:22-0700',mode:absolute,to:'2017-12-24T05:42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0</v>
      </c>
      <c r="Y210" s="247">
        <f>RIGHT(D210,LEN(D210)-4)/10000</f>
        <v>0.1484</v>
      </c>
      <c r="Z210" s="247">
        <f>RIGHT(H210,LEN(H210)-4)/10000</f>
        <v>0.3508</v>
      </c>
      <c r="AA210" s="247">
        <f>ABS(Z210-Y210)</f>
        <v>0.2024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50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/stypes="app*4062*20171224*" /stext=" 11:.+((SYSTEM_STATE.+slice.+state.+changed )|(ment ac)|(multiple cpu faults)|(system.+state.+changed )|(\[timeout)|(PRM\|1\|D)|(kpr)|(kdp)|(train st.+moving)|(\|lc)|(penalty))"</v>
      </c>
      <c r="AG210" s="244" t="str">
        <f>DetSubdiv(A210)</f>
        <v>Shuttle/Test</v>
      </c>
      <c r="AH210" s="236" t="str">
        <f t="shared" ref="AH210:AH218" si="54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50-24 --locoid 4062 --swversion DE.1.0.9.0 --startMP 204:1484 --initTime 2017-12-24T04:32:22 --startdatetime 2017-12-24T04:40:41 --delay 72 --endMP 204:3508 --enddatetime 2017-12-24T04:42:47 --enforcementcount 0 &gt;&gt;%USERPROFILE%\Documents\GitHub\eaglep3-reporting\EC\2017-12-24-refined-times.txt</v>
      </c>
      <c r="AI210" s="238" t="str">
        <f t="shared" ref="AI210:AI218" si="55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Shuttle/Test"},{"id":4,"name":"Milepost","value":"0.3508"},{"id":17,"name":"Train ID","value":"50-24"},{"id":16,"name":"Locomotive ID","value":"4062"},{"id":130,"name":"Impact","value":""},{"id":150,"name":"Time of Event (Mountain Time)","value":"04:42:47"},{"id":151,"name":"Denver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ref="AM210:AM218" si="56">"start /low /b "&amp;dls3logs&amp;" --loco "&amp;B210&amp;" --day "&amp;TEXT(F210,"YYYY-MM-DD")</f>
        <v>start /low /b %USERPROFILE%\Documents\GitHub\eaglep3\Utilities\DownloadLogsFromS3.py --loco 4062 --day 2017-12-24</v>
      </c>
      <c r="AN210" s="241" t="str">
        <f t="shared" ref="AN210:AN218" si="57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:AO218" si="58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-24T03:32:22-0700',mode:absolute,to:'2017-12-24T05:42:47-0700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708</v>
      </c>
      <c r="B211" s="225">
        <v>4061</v>
      </c>
      <c r="C211" s="227" t="s">
        <v>192</v>
      </c>
      <c r="D211" s="227" t="s">
        <v>1060</v>
      </c>
      <c r="E211" s="226">
        <v>43093.192986111113</v>
      </c>
      <c r="F211" s="226">
        <v>43093.194918981484</v>
      </c>
      <c r="G211" s="225">
        <v>67</v>
      </c>
      <c r="H211" s="227" t="s">
        <v>568</v>
      </c>
      <c r="I211" s="226">
        <v>43093.196377314816</v>
      </c>
      <c r="J211" s="225">
        <v>0</v>
      </c>
      <c r="K211" s="237" t="str">
        <f>IF(ISEVEN(B211),(B211-1)&amp;"/"&amp;B211,B211&amp;"/"&amp;(B211+1))</f>
        <v>4061/4062</v>
      </c>
      <c r="L211" s="245" t="str">
        <f>VLOOKUP(A211,'Trips&amp;Operators'!$C$1:$G$99911,5,FALSE)</f>
        <v>LANGERAK WILLIAM</v>
      </c>
      <c r="M211" s="224">
        <f>I211-F211</f>
        <v>1.4583333322661929E-3</v>
      </c>
      <c r="N211" s="225">
        <f>24*60*SUM($M211:$M211)</f>
        <v>2.0999999984633178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-24T03:37:54-0700',mode:absolute,to:'2017-12-24T05:42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0</v>
      </c>
      <c r="Y211" s="247">
        <f>RIGHT(D211,LEN(D211)-4)/10000</f>
        <v>0.31990000000000002</v>
      </c>
      <c r="Z211" s="247">
        <f>RIGHT(H211,LEN(H211)-4)/10000</f>
        <v>2.4199999999999999E-2</v>
      </c>
      <c r="AA211" s="247">
        <f>ABS(Z211-Y211)</f>
        <v>0.29570000000000002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50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/stypes="app*4061*20171224*" /stext=" 11:.+((SYSTEM_STATE.+slice.+state.+changed )|(ment ac)|(multiple cpu faults)|(system.+state.+changed )|(\[timeout)|(PRM\|1\|D)|(kpr)|(kdp)|(train st.+moving)|(\|lc)|(penalty))"</v>
      </c>
      <c r="AG211" s="244" t="str">
        <f>DetSubdiv(A211)</f>
        <v>Shuttle/Test</v>
      </c>
      <c r="AH211" s="236" t="str">
        <f t="shared" si="54"/>
        <v>"%USERPROFILE%\Documents\GitHub\eaglep3\Utilities\RefineRTDCRunTimes.py" --tripid 50-24 --locoid 4061 --swversion DE.1.0.9.0 --startMP 204:3199 --initTime 2017-12-24T04:37:54 --startdatetime 2017-12-24T04:40:41 --delay 67 --endMP 204:242 --enddatetime 2017-12-24T04:42:47 --enforcementcount 0 &gt;&gt;%USERPROFILE%\Documents\GitHub\eaglep3-reporting\EC\2017-12-24-refined-times.txt</v>
      </c>
      <c r="AI211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0.0242"},{"id":17,"name":"Train ID","value":"50-24"},{"id":16,"name":"Locomotive ID","value":"4061"},{"id":130,"name":"Impact","value":""},{"id":150,"name":"Time of Event (Mountain Time)","value":"04:42:47"},{"id":151,"name":"Denver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56"/>
        <v>start /low /b %USERPROFILE%\Documents\GitHub\eaglep3\Utilities\DownloadLogsFromS3.py --loco 4061 --day 2017-12-24</v>
      </c>
      <c r="AN211" s="241" t="str">
        <f t="shared" si="57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11:42:47"},{"id":29,"name":"Sharepoint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58"/>
        <v>https://d0f6bd738d7f1b3e5a7ca70fe4ff75f0.us-east-1.aws.found.io/app/kibana#/discover/Steve-Slow-Train-Analysis-(2080s-and-2083s)?_g=(refreshInterval:(display:Off,pause:!f,section:0,value:0),time:(from:'2017-12-24T03:37:54-0700',mode:absolute,to:'2017-12-24T05:42:47-0700'))&amp;_a=(columns:!('Message%20ID',Summary),filters:!(),index:'emp_*',interval:auto,query:(query_string:(analyze_wildcard:!t,query:'%22rtdc.l.rtdc.4061%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29" t="s">
        <v>746</v>
      </c>
      <c r="B212" s="225">
        <v>4061</v>
      </c>
      <c r="C212" s="227" t="s">
        <v>192</v>
      </c>
      <c r="D212" s="227" t="s">
        <v>1061</v>
      </c>
      <c r="E212" s="226">
        <v>43093.280104166668</v>
      </c>
      <c r="F212" s="226">
        <v>43093.28162037037</v>
      </c>
      <c r="G212" s="225">
        <v>57</v>
      </c>
      <c r="H212" s="227" t="s">
        <v>660</v>
      </c>
      <c r="I212" s="226">
        <v>43093.282905092594</v>
      </c>
      <c r="J212" s="225">
        <v>0</v>
      </c>
      <c r="K212" s="237" t="str">
        <f>IF(ISEVEN(B212),(B212-1)&amp;"/"&amp;B212,B212&amp;"/"&amp;(B212+1))</f>
        <v>4061/4062</v>
      </c>
      <c r="L212" s="245" t="str">
        <f>VLOOKUP(A212,'Trips&amp;Operators'!$C$1:$G$99911,5,FALSE)</f>
        <v>LANGERAK WILLIAM</v>
      </c>
      <c r="M212" s="224">
        <f>I212-F212</f>
        <v>1.2847222242271528E-3</v>
      </c>
      <c r="N212" s="225">
        <f>24*60*SUM($M212:$M212)</f>
        <v>1.8500000028871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-24T05:43:21-0700',mode:absolute,to:'2017-12-24T07:47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0.35560000000000003</v>
      </c>
      <c r="Z212" s="247">
        <f>RIGHT(H212,LEN(H212)-4)/10000</f>
        <v>0.1158</v>
      </c>
      <c r="AA212" s="247">
        <f>ABS(Z212-Y212)</f>
        <v>0.23980000000000001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51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s3://rtdc.mdm.uploadarchive.raw/RTDC4061/ "%USERPROFILE%\AppData\Local\Temp\OnboardLogs"\RTDC4061\2017-12-24 --exclude "*" --recursive --include "*20171224*" &amp; "%USERPROFILE%\Documents\GitHub\mrs-test-scripts\Headless Mode &amp; Sideloading\WalkAndUnGZ.bat" "%USERPROFILE%\AppData\Local\Temp\OnboardLogs"\RTDC4061\2017-12-24 &amp; aws s3 cp s3://rtdc.mdm.uploadarchive.raw/RTDC4061/ "%USERPROFILE%\AppData\Local\Temp\OnboardLogs"\RTDC4061\2017-12-25 --exclude "*" --recursive --include "*20171225*" &amp; "%USERPROFILE%\Documents\GitHub\mrs-test-scripts\Headless Mode &amp; Sideloading\WalkAndUnGZ.bat" "%USERPROFILE%\AppData\Local\Temp\OnboardLogs"\RTDC4061\2017-12-25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/stypes="app*4061*20171224*" /stext=" 13:.+((SYSTEM_STATE.+slice.+state.+changed )|(ment ac)|(multiple cpu faults)|(system.+state.+changed )|(\[timeout)|(PRM\|1\|D)|(kpr)|(kdp)|(train st.+moving)|(\|lc)|(penalty))"</v>
      </c>
      <c r="AG212" s="244" t="str">
        <f>DetSubdiv(A212)</f>
        <v>Shuttle/Test</v>
      </c>
      <c r="AH212" s="236" t="str">
        <f t="shared" si="54"/>
        <v>"%USERPROFILE%\Documents\GitHub\eaglep3\Utilities\RefineRTDCRunTimes.py" --tripid 51-24 --locoid 4061 --swversion DE.1.0.9.0 --startMP 204:3556 --initTime 2017-12-24T06:43:21 --startdatetime 2017-12-24T06:45:32 --delay 57 --endMP 204:1158 --enddatetime 2017-12-24T06:47:23 --enforcementcount 0 &gt;&gt;%USERPROFILE%\Documents\GitHub\eaglep3-reporting\EC\2017-12-24-refined-times.txt</v>
      </c>
      <c r="AI212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0.1158"},{"id":17,"name":"Train ID","value":"51-24"},{"id":16,"name":"Locomotive ID","value":"4061"},{"id":130,"name":"Impact","value":""},{"id":150,"name":"Time of Event (Mountain Time)","value":"06:47:23"},{"id":151,"name":"Denver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56"/>
        <v>start /low /b %USERPROFILE%\Documents\GitHub\eaglep3\Utilities\DownloadLogsFromS3.py --loco 4061 --day 2017-12-24</v>
      </c>
      <c r="AN212" s="241" t="str">
        <f t="shared" si="57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13:47:23"},{"id":29,"name":"Sharepoint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58"/>
        <v>https://d0f6bd738d7f1b3e5a7ca70fe4ff75f0.us-east-1.aws.found.io/app/kibana#/discover/Steve-Slow-Train-Analysis-(2080s-and-2083s)?_g=(refreshInterval:(display:Off,pause:!f,section:0,value:0),time:(from:'2017-12-24T05:43:21-0700',mode:absolute,to:'2017-12-24T07:47:23-0700'))&amp;_a=(columns:!('Message%20ID',Summary),filters:!(),index:'emp_*',interval:auto,query:(query_string:(analyze_wildcard:!t,query:'%22rtdc.l.rtdc.4061%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29" t="s">
        <v>746</v>
      </c>
      <c r="B213" s="225">
        <v>4062</v>
      </c>
      <c r="C213" s="227" t="s">
        <v>192</v>
      </c>
      <c r="D213" s="227" t="s">
        <v>973</v>
      </c>
      <c r="E213" s="226">
        <v>43093.276238425926</v>
      </c>
      <c r="F213" s="226">
        <v>43093.28162037037</v>
      </c>
      <c r="G213" s="225">
        <v>65</v>
      </c>
      <c r="H213" s="227" t="s">
        <v>1062</v>
      </c>
      <c r="I213" s="226">
        <v>43093.282905092594</v>
      </c>
      <c r="J213" s="225">
        <v>0</v>
      </c>
      <c r="K213" s="237" t="str">
        <f>IF(ISEVEN(B213),(B213-1)&amp;"/"&amp;B213,B213&amp;"/"&amp;(B213+1))</f>
        <v>4061/4062</v>
      </c>
      <c r="L213" s="245" t="str">
        <f>VLOOKUP(A213,'Trips&amp;Operators'!$C$1:$G$99911,5,FALSE)</f>
        <v>LANGERAK WILLIAM</v>
      </c>
      <c r="M213" s="224">
        <f>I213-F213</f>
        <v>1.2847222242271528E-3</v>
      </c>
      <c r="N213" s="225">
        <f>24*60*SUM($M213:$M213)</f>
        <v>1.8500000028871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-24T05:37:47-0700',mode:absolute,to:'2017-12-24T07:47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0</v>
      </c>
      <c r="Y213" s="247">
        <f>RIGHT(D213,LEN(D213)-4)/10000</f>
        <v>5.4899999999999997E-2</v>
      </c>
      <c r="Z213" s="247">
        <f>RIGHT(H213,LEN(H213)-4)/10000</f>
        <v>0.38450000000000001</v>
      </c>
      <c r="AA213" s="247">
        <f>ABS(Z213-Y213)</f>
        <v>0.3296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51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s3://rtdc.mdm.uploadarchive.raw/RTDC4062/ "%USERPROFILE%\AppData\Local\Temp\OnboardLogs"\RTDC4062\2017-12-24 --exclude "*" --recursive --include "*20171224*" &amp; "%USERPROFILE%\Documents\GitHub\mrs-test-scripts\Headless Mode &amp; Sideloading\WalkAndUnGZ.bat" "%USERPROFILE%\AppData\Local\Temp\OnboardLogs"\RTDC4062\2017-12-24 &amp; aws s3 cp s3://rtdc.mdm.uploadarchive.raw/RTDC4062/ "%USERPROFILE%\AppData\Local\Temp\OnboardLogs"\RTDC4062\2017-12-25 --exclude "*" --recursive --include "*20171225*" &amp; "%USERPROFILE%\Documents\GitHub\mrs-test-scripts\Headless Mode &amp; Sideloading\WalkAndUnGZ.bat" "%USERPROFILE%\AppData\Local\Temp\OnboardLogs"\RTDC4062\2017-12-25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/stypes="app*4062*20171224*" /stext=" 13:.+((SYSTEM_STATE.+slice.+state.+changed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si="54"/>
        <v>"%USERPROFILE%\Documents\GitHub\eaglep3\Utilities\RefineRTDCRunTimes.py" --tripid 51-24 --locoid 4062 --swversion DE.1.0.9.0 --startMP 204:549 --initTime 2017-12-24T06:37:47 --startdatetime 2017-12-24T06:45:32 --delay 65 --endMP 204:3845 --enddatetime 2017-12-24T06:47:23 --enforcementcount 0 &gt;&gt;%USERPROFILE%\Documents\GitHub\eaglep3-reporting\EC\2017-12-24-refined-times.txt</v>
      </c>
      <c r="AI213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0.3845"},{"id":17,"name":"Train ID","value":"51-24"},{"id":16,"name":"Locomotive ID","value":"4062"},{"id":130,"name":"Impact","value":""},{"id":150,"name":"Time of Event (Mountain Time)","value":"06:47:23"},{"id":151,"name":"Denver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56"/>
        <v>start /low /b %USERPROFILE%\Documents\GitHub\eaglep3\Utilities\DownloadLogsFromS3.py --loco 4062 --day 2017-12-24</v>
      </c>
      <c r="AN213" s="241" t="str">
        <f t="shared" si="57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13:47:23"},{"id":29,"name":"Sharepoint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58"/>
        <v>https://d0f6bd738d7f1b3e5a7ca70fe4ff75f0.us-east-1.aws.found.io/app/kibana#/discover/Steve-Slow-Train-Analysis-(2080s-and-2083s)?_g=(refreshInterval:(display:Off,pause:!f,section:0,value:0),time:(from:'2017-12-24T05:37:47-0700',mode:absolute,to:'2017-12-24T07:47:23-0700'))&amp;_a=(columns:!('Message%20ID',Summary),filters:!(),index:'emp_*',interval:auto,query:(query_string:(analyze_wildcard:!t,query:'%22rtdc.l.rtdc.4062%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759</v>
      </c>
      <c r="B214" s="225">
        <v>4031</v>
      </c>
      <c r="C214" s="227" t="s">
        <v>192</v>
      </c>
      <c r="D214" s="227" t="s">
        <v>1063</v>
      </c>
      <c r="E214" s="226">
        <v>43093.341192129628</v>
      </c>
      <c r="F214" s="226">
        <v>43093.342835648145</v>
      </c>
      <c r="G214" s="225">
        <v>77</v>
      </c>
      <c r="H214" s="227" t="s">
        <v>1057</v>
      </c>
      <c r="I214" s="226">
        <v>43093.3437962963</v>
      </c>
      <c r="J214" s="225">
        <v>0</v>
      </c>
      <c r="K214" s="237" t="str">
        <f>IF(ISEVEN(B214),(B214-1)&amp;"/"&amp;B214,B214&amp;"/"&amp;(B214+1))</f>
        <v>4031/4032</v>
      </c>
      <c r="L214" s="245" t="str">
        <f>VLOOKUP(A214,'Trips&amp;Operators'!$C$1:$G$99911,5,FALSE)</f>
        <v>PAGE MARCUS</v>
      </c>
      <c r="M214" s="224">
        <f>I214-F214</f>
        <v>9.6064815443241969E-4</v>
      </c>
      <c r="N214" s="225">
        <f>24*60*SUM($M214:$M214)</f>
        <v>1.3833333423826844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-24T07:11:19-0700',mode:absolute,to:'2017-12-24T09:15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2</v>
      </c>
      <c r="Y214" s="247">
        <f>RIGHT(D214,LEN(D214)-4)/10000</f>
        <v>0.3261</v>
      </c>
      <c r="Z214" s="247">
        <f>RIGHT(H214,LEN(H214)-4)/10000</f>
        <v>0.1162</v>
      </c>
      <c r="AA214" s="247">
        <f>ABS(Z214-Y214)</f>
        <v>0.2099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53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s3://rtdc.mdm.uploadarchive.raw/RTDC4031/ "%USERPROFILE%\AppData\Local\Temp\OnboardLogs"\RTDC4031\2017-12-24 --exclude "*" --recursive --include "*20171224*" &amp; "%USERPROFILE%\Documents\GitHub\mrs-test-scripts\Headless Mode &amp; Sideloading\WalkAndUnGZ.bat" "%USERPROFILE%\AppData\Local\Temp\OnboardLogs"\RTDC4031\2017-12-24 &amp; aws s3 cp s3://rtdc.mdm.uploadarchive.raw/RTDC4031/ "%USERPROFILE%\AppData\Local\Temp\OnboardLogs"\RTDC4031\2017-12-25 --exclude "*" --recursive --include "*20171225*" &amp; "%USERPROFILE%\Documents\GitHub\mrs-test-scripts\Headless Mode &amp; Sideloading\WalkAndUnGZ.bat" "%USERPROFILE%\AppData\Local\Temp\OnboardLogs"\RTDC4031\2017-12-25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/stypes="app*4031*20171224*" /stext=" 15:.+((SYSTEM_STATE.+slice.+state.+changed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54"/>
        <v>"%USERPROFILE%\Documents\GitHub\eaglep3\Utilities\RefineRTDCRunTimes.py" --tripid 53-24 --locoid 4031 --swversion DE.1.0.9.0 --startMP 204:3261 --initTime 2017-12-24T08:11:19 --startdatetime 2017-12-24T08:13:41 --delay 77 --endMP 204:1162 --enddatetime 2017-12-24T08:15:04 --enforcementcount 0 &gt;&gt;%USERPROFILE%\Documents\GitHub\eaglep3-reporting\EC\2017-12-24-refined-times.txt</v>
      </c>
      <c r="AI214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0.1162"},{"id":17,"name":"Train ID","value":"53-24"},{"id":16,"name":"Locomotive ID","value":"4031"},{"id":130,"name":"Impact","value":""},{"id":150,"name":"Time of Event (Mountain Time)","value":"08:15:04"},{"id":151,"name":"Denver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56"/>
        <v>start /low /b %USERPROFILE%\Documents\GitHub\eaglep3\Utilities\DownloadLogsFromS3.py --loco 4031 --day 2017-12-24</v>
      </c>
      <c r="AN214" s="241" t="str">
        <f t="shared" si="57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15:15:04"},{"id":29,"name":"Sharepoint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58"/>
        <v>https://d0f6bd738d7f1b3e5a7ca70fe4ff75f0.us-east-1.aws.found.io/app/kibana#/discover/Steve-Slow-Train-Analysis-(2080s-and-2083s)?_g=(refreshInterval:(display:Off,pause:!f,section:0,value:0),time:(from:'2017-12-24T07:11:19-0700',mode:absolute,to:'2017-12-24T09:15:04-0700'))&amp;_a=(columns:!('Message%20ID',Summary),filters:!(),index:'emp_*',interval:auto,query:(query_string:(analyze_wildcard:!t,query:'%22rtdc.l.rtdc.4031%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29" t="s">
        <v>759</v>
      </c>
      <c r="B215" s="225">
        <v>4032</v>
      </c>
      <c r="C215" s="227" t="s">
        <v>192</v>
      </c>
      <c r="D215" s="227" t="s">
        <v>619</v>
      </c>
      <c r="E215" s="226">
        <v>43093.334780092591</v>
      </c>
      <c r="F215" s="226">
        <v>43093.342835648145</v>
      </c>
      <c r="G215" s="225">
        <v>65</v>
      </c>
      <c r="H215" s="227" t="s">
        <v>1064</v>
      </c>
      <c r="I215" s="226">
        <v>43093.3437962963</v>
      </c>
      <c r="J215" s="225">
        <v>0</v>
      </c>
      <c r="K215" s="237" t="str">
        <f>IF(ISEVEN(B215),(B215-1)&amp;"/"&amp;B215,B215&amp;"/"&amp;(B215+1))</f>
        <v>4031/4032</v>
      </c>
      <c r="L215" s="245" t="str">
        <f>VLOOKUP(A215,'Trips&amp;Operators'!$C$1:$G$99911,5,FALSE)</f>
        <v>PAGE MARCUS</v>
      </c>
      <c r="M215" s="224">
        <f>I215-F215</f>
        <v>9.6064815443241969E-4</v>
      </c>
      <c r="N215" s="225">
        <f>24*60*SUM($M215:$M215)</f>
        <v>1.3833333423826844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-24T07:02:05-0700',mode:absolute,to:'2017-12-24T09:15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0</v>
      </c>
      <c r="Y215" s="247">
        <f>RIGHT(D215,LEN(D215)-4)/10000</f>
        <v>4.9799999999999997E-2</v>
      </c>
      <c r="Z215" s="247">
        <f>RIGHT(H215,LEN(H215)-4)/10000</f>
        <v>0.3574</v>
      </c>
      <c r="AA215" s="247">
        <f>ABS(Z215-Y215)</f>
        <v>0.30759999999999998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53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 &amp; 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/stypes="app*4032*20171224*" /stext=" 15:.+((SYSTEM_STATE.+slice.+state.+changed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54"/>
        <v>"%USERPROFILE%\Documents\GitHub\eaglep3\Utilities\RefineRTDCRunTimes.py" --tripid 53-24 --locoid 4032 --swversion DE.1.0.9.0 --startMP 204:498 --initTime 2017-12-24T08:02:05 --startdatetime 2017-12-24T08:13:41 --delay 65 --endMP 204:3574 --enddatetime 2017-12-24T08:15:04 --enforcementcount 0 &gt;&gt;%USERPROFILE%\Documents\GitHub\eaglep3-reporting\EC\2017-12-24-refined-times.txt</v>
      </c>
      <c r="AI215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0.3574"},{"id":17,"name":"Train ID","value":"53-24"},{"id":16,"name":"Locomotive ID","value":"4032"},{"id":130,"name":"Impact","value":""},{"id":150,"name":"Time of Event (Mountain Time)","value":"08:15:04"},{"id":151,"name":"Denver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3"/>
      <c r="AK215" s="231"/>
      <c r="AL215" s="231"/>
      <c r="AM215" s="240" t="str">
        <f t="shared" si="56"/>
        <v>start /low /b %USERPROFILE%\Documents\GitHub\eaglep3\Utilities\DownloadLogsFromS3.py --loco 4032 --day 2017-12-24</v>
      </c>
      <c r="AN215" s="241" t="str">
        <f t="shared" si="57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15:15:04"},{"id":29,"name":"Sharepoint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58"/>
        <v>https://d0f6bd738d7f1b3e5a7ca70fe4ff75f0.us-east-1.aws.found.io/app/kibana#/discover/Steve-Slow-Train-Analysis-(2080s-and-2083s)?_g=(refreshInterval:(display:Off,pause:!f,section:0,value:0),time:(from:'2017-12-24T07:02:05-0700',mode:absolute,to:'2017-12-24T09:15:04-0700'))&amp;_a=(columns:!('Message%20ID',Summary),filters:!(),index:'emp_*',interval:auto,query:(query_string:(analyze_wildcard:!t,query:'%22rtdc.l.rtdc.4032%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836</v>
      </c>
      <c r="B216" s="225">
        <v>4032</v>
      </c>
      <c r="C216" s="227" t="s">
        <v>192</v>
      </c>
      <c r="D216" s="227" t="s">
        <v>1065</v>
      </c>
      <c r="E216" s="226">
        <v>43093.681319444448</v>
      </c>
      <c r="F216" s="226">
        <v>43093.683958333335</v>
      </c>
      <c r="G216" s="225">
        <v>68</v>
      </c>
      <c r="H216" s="227" t="s">
        <v>658</v>
      </c>
      <c r="I216" s="226">
        <v>43093.690474537034</v>
      </c>
      <c r="J216" s="225">
        <v>0</v>
      </c>
      <c r="K216" s="237" t="str">
        <f>IF(ISEVEN(B216),(B216-1)&amp;"/"&amp;B216,B216&amp;"/"&amp;(B216+1))</f>
        <v>4031/4032</v>
      </c>
      <c r="L216" s="245" t="str">
        <f>VLOOKUP(A216,'Trips&amp;Operators'!$C$1:$G$99911,5,FALSE)</f>
        <v>BROWN JACOB</v>
      </c>
      <c r="M216" s="224">
        <f>I216-F216</f>
        <v>6.5162036989931948E-3</v>
      </c>
      <c r="N216" s="225">
        <f>24*60*SUM($M216:$M216)</f>
        <v>9.3833333265502006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-24T15:21:06-0700',mode:absolute,to:'2017-12-24T17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22</v>
      </c>
      <c r="Y216" s="247">
        <f>RIGHT(D216,LEN(D216)-4)/10000</f>
        <v>0.1492</v>
      </c>
      <c r="Z216" s="247">
        <f>RIGHT(H216,LEN(H216)-4)/10000</f>
        <v>2.3308</v>
      </c>
      <c r="AA216" s="247">
        <f>ABS(Z216-Y216)</f>
        <v>2.1816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75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 &amp; 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/stypes="app*4032*20171224*" /stext=" 23:.+((SYSTEM_STATE.+slice.+state.+changed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54"/>
        <v>"%USERPROFILE%\Documents\GitHub\eaglep3\Utilities\RefineRTDCRunTimes.py" --tripid 75-24 --locoid 4032 --swversion DE.1.0.9.0 --startMP 204:1492 --initTime 2017-12-24T16:21:06 --startdatetime 2017-12-24T16:24:54 --delay 68 --endMP 300:23308 --enddatetime 2017-12-24T16:34:17 --enforcementcount 0 &gt;&gt;%USERPROFILE%\Documents\GitHub\eaglep3-reporting\EC\2017-12-24-refined-times.txt</v>
      </c>
      <c r="AI216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2.3308"},{"id":17,"name":"Train ID","value":"75-24"},{"id":16,"name":"Locomotive ID","value":"4032"},{"id":130,"name":"Impact","value":""},{"id":150,"name":"Time of Event (Mountain Time)","value":"16:34:17"},{"id":151,"name":"Denver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56"/>
        <v>start /low /b %USERPROFILE%\Documents\GitHub\eaglep3\Utilities\DownloadLogsFromS3.py --loco 4032 --day 2017-12-24</v>
      </c>
      <c r="AN216" s="241" t="str">
        <f t="shared" si="57"/>
        <v>echo {"issue":{"subject":"","project_id":30,"tracker_id":4,"status_id":1,"priority_id":1,"assigned_to_id":10,"start_date":"2017-12-24","description":"","custom_fields":[{"id":30,"name":"Category","value":"Issue"},{"id":3,"name":"Functional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UTC","value":"2017-12-24 23:34:17"},{"id":29,"name":"Sharepoint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58"/>
        <v>https://d0f6bd738d7f1b3e5a7ca70fe4ff75f0.us-east-1.aws.found.io/app/kibana#/discover/Steve-Slow-Train-Analysis-(2080s-and-2083s)?_g=(refreshInterval:(display:Off,pause:!f,section:0,value:0),time:(from:'2017-12-24T15:21:06-0700',mode:absolute,to:'2017-12-24T17:34:17-0700'))&amp;_a=(columns:!('Message%20ID',Summary),filters:!(),index:'emp_*',interval:auto,query:(query_string:(analyze_wildcard:!t,query:'%22rtdc.l.rtdc.4032%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853</v>
      </c>
      <c r="B217" s="225">
        <v>4029</v>
      </c>
      <c r="C217" s="227" t="s">
        <v>192</v>
      </c>
      <c r="D217" s="227" t="s">
        <v>1066</v>
      </c>
      <c r="E217" s="226">
        <v>43093.733368055553</v>
      </c>
      <c r="F217" s="226">
        <v>43093.736168981479</v>
      </c>
      <c r="G217" s="225">
        <v>67</v>
      </c>
      <c r="H217" s="227" t="s">
        <v>1067</v>
      </c>
      <c r="I217" s="226">
        <v>43093.744050925925</v>
      </c>
      <c r="J217" s="225">
        <v>0</v>
      </c>
      <c r="K217" s="237" t="str">
        <f>IF(ISEVEN(B217),(B217-1)&amp;"/"&amp;B217,B217&amp;"/"&amp;(B217+1))</f>
        <v>4029/4030</v>
      </c>
      <c r="L217" s="245" t="str">
        <f>VLOOKUP(A217,'Trips&amp;Operators'!$C$1:$G$99911,5,FALSE)</f>
        <v>HAMMOND JUSTYNN</v>
      </c>
      <c r="M217" s="224">
        <f>I217-F217</f>
        <v>7.8819444461259991E-3</v>
      </c>
      <c r="N217" s="225">
        <f>24*60*SUM($M217:$M217)</f>
        <v>11.350000002421439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-24T16:36:03-0700',mode:absolute,to:'2017-12-24T18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2.3797999999999999</v>
      </c>
      <c r="Z217" s="247">
        <f>RIGHT(H217,LEN(H217)-4)/10000</f>
        <v>0.18060000000000001</v>
      </c>
      <c r="AA217" s="247">
        <f>ABS(Z217-Y217)</f>
        <v>2.1991999999999998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76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s3://rtdc.mdm.uploadarchive.raw/RTDC4029/ "%USERPROFILE%\AppData\Local\Temp\OnboardLogs"\RTDC4029\2017-12-24 --exclude "*" --recursive --include "*20171224*" &amp; "%USERPROFILE%\Documents\GitHub\mrs-test-scripts\Headless Mode &amp; Sideloading\WalkAndUnGZ.bat" "%USERPROFILE%\AppData\Local\Temp\OnboardLogs"\RTDC4029\2017-12-24 &amp; aws s3 cp s3://rtdc.mdm.uploadarchive.raw/RTDC4029/ "%USERPROFILE%\AppData\Local\Temp\OnboardLogs"\RTDC4029\2017-12-25 --exclude "*" --recursive --include "*20171225*" &amp; "%USERPROFILE%\Documents\GitHub\mrs-test-scripts\Headless Mode &amp; Sideloading\WalkAndUnGZ.bat" "%USERPROFILE%\AppData\Local\Temp\OnboardLogs"\RTDC4029\2017-12-25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/stypes="app*4029*20171225*" /stext=" 00:.+((SYSTEM_STATE.+slice.+state.+changed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54"/>
        <v>"%USERPROFILE%\Documents\GitHub\eaglep3\Utilities\RefineRTDCRunTimes.py" --tripid 76-24 --locoid 4029 --swversion DE.1.0.9.0 --startMP 300:23798 --initTime 2017-12-24T17:36:03 --startdatetime 2017-12-24T17:40:05 --delay 67 --endMP 204:1806 --enddatetime 2017-12-24T17:51:26 --enforcementcount 0 &gt;&gt;%USERPROFILE%\Documents\GitHub\eaglep3-reporting\EC\2017-12-24-refined-times.txt</v>
      </c>
      <c r="AI217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0.1806"},{"id":17,"name":"Train ID","value":"76-24"},{"id":16,"name":"Locomotive ID","value":"4029"},{"id":130,"name":"Impact","value":""},{"id":150,"name":"Time of Event (Mountain Time)","value":"17:51:26"},{"id":151,"name":"Denver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56"/>
        <v>start /low /b %USERPROFILE%\Documents\GitHub\eaglep3\Utilities\DownloadLogsFromS3.py --loco 4029 --day 2017-12-24</v>
      </c>
      <c r="AN217" s="241" t="str">
        <f t="shared" si="57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58"/>
        <v>https://d0f6bd738d7f1b3e5a7ca70fe4ff75f0.us-east-1.aws.found.io/app/kibana#/discover/Steve-Slow-Train-Analysis-(2080s-and-2083s)?_g=(refreshInterval:(display:Off,pause:!f,section:0,value:0),time:(from:'2017-12-24T16:36:03-0700',mode:absolute,to:'2017-12-24T18:51:26-0700'))&amp;_a=(columns:!('Message%20ID',Summary),filters:!(),index:'emp_*',interval:auto,query:(query_string:(analyze_wildcard:!t,query:'%22rtdc.l.rtdc.4029%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850</v>
      </c>
      <c r="B218" s="225">
        <v>4042</v>
      </c>
      <c r="C218" s="227" t="s">
        <v>192</v>
      </c>
      <c r="D218" s="227" t="s">
        <v>1057</v>
      </c>
      <c r="E218" s="226">
        <v>43093.718564814815</v>
      </c>
      <c r="F218" s="226">
        <v>43093.721620370372</v>
      </c>
      <c r="G218" s="225">
        <v>59</v>
      </c>
      <c r="H218" s="227" t="s">
        <v>1047</v>
      </c>
      <c r="I218" s="226">
        <v>43093.729594907411</v>
      </c>
      <c r="J218" s="225">
        <v>0</v>
      </c>
      <c r="K218" s="237" t="str">
        <f>IF(ISEVEN(B218),(B218-1)&amp;"/"&amp;B218,B218&amp;"/"&amp;(B218+1))</f>
        <v>4041/4042</v>
      </c>
      <c r="L218" s="245" t="str">
        <f>VLOOKUP(A218,'Trips&amp;Operators'!$C$1:$G$99911,5,FALSE)</f>
        <v>GONZALEZ ARMANDO</v>
      </c>
      <c r="M218" s="224">
        <f>I218-F218</f>
        <v>7.9745370385353453E-3</v>
      </c>
      <c r="N218" s="225">
        <f>24*60*SUM($M218:$M218)</f>
        <v>11.483333335490897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Southbound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-24T16:14:44-0700',mode:absolute,to:'2017-12-24T18:30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12</v>
      </c>
      <c r="Y218" s="247">
        <f>RIGHT(D218,LEN(D218)-4)/10000</f>
        <v>0.1162</v>
      </c>
      <c r="Z218" s="247">
        <f>RIGHT(H218,LEN(H218)-4)/10000</f>
        <v>2.3304</v>
      </c>
      <c r="AA218" s="247">
        <f>ABS(Z218-Y218)</f>
        <v>2.2141999999999999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88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s3://rtdc.mdm.uploadarchive.raw/RTDC4042/ "%USERPROFILE%\AppData\Local\Temp\OnboardLogs"\RTDC4042\2017-12-24 --exclude "*" --recursive --include "*20171224*" &amp; "%USERPROFILE%\Documents\GitHub\mrs-test-scripts\Headless Mode &amp; Sideloading\WalkAndUnGZ.bat" "%USERPROFILE%\AppData\Local\Temp\OnboardLogs"\RTDC4042\2017-12-24 &amp; aws s3 cp s3://rtdc.mdm.uploadarchive.raw/RTDC4042/ "%USERPROFILE%\AppData\Local\Temp\OnboardLogs"\RTDC4042\2017-12-25 --exclude "*" --recursive --include "*20171225*" &amp; "%USERPROFILE%\Documents\GitHub\mrs-test-scripts\Headless Mode &amp; Sideloading\WalkAndUnGZ.bat" "%USERPROFILE%\AppData\Local\Temp\OnboardLogs"\RTDC4042\2017-12-25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/stypes="app*4042*20171225*" /stext=" 00:.+((SYSTEM_STATE.+slice.+state.+changed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54"/>
        <v>"%USERPROFILE%\Documents\GitHub\eaglep3\Utilities\RefineRTDCRunTimes.py" --tripid 88-24 --locoid 4042 --swversion DE.1.0.9.0 --startMP 204:1162 --initTime 2017-12-24T17:14:44 --startdatetime 2017-12-24T17:19:08 --delay 59 --endMP 300:23304 --enddatetime 2017-12-24T17:30:37 --enforcementcount 0 &gt;&gt;%USERPROFILE%\Documents\GitHub\eaglep3-reporting\EC\2017-12-24-refined-times.txt</v>
      </c>
      <c r="AI218" s="238" t="str">
        <f t="shared" si="55"/>
        <v>echo {"issue":{"subject":"","project_id":79,"tracker_id":40,"status_id":1,"priority_id":2,"assigned_to_id":338,"start_date":"2017-12-24","description":"","custom_fields":[{"id":1,"name":"Subdivision","value":"Shuttle/Test"},{"id":4,"name":"Milepost","value":"2.3304"},{"id":17,"name":"Train ID","value":"88-24"},{"id":16,"name":"Locomotive ID","value":"4042"},{"id":130,"name":"Impact","value":""},{"id":150,"name":"Time of Event (Mountain Time)","value":"17:30:37"},{"id":151,"name":"Denver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56"/>
        <v>start /low /b %USERPROFILE%\Documents\GitHub\eaglep3\Utilities\DownloadLogsFromS3.py --loco 4042 --day 2017-12-24</v>
      </c>
      <c r="AN218" s="241" t="str">
        <f t="shared" si="57"/>
        <v>echo {"issue":{"subject":"","project_id":30,"tracker_id":4,"status_id":1,"priority_id":1,"assigned_to_id":10,"start_date":"2017-12-25","description":"","custom_fields":[{"id":30,"name":"Category","value":"Issue"},{"id":3,"name":"Functional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UTC","value":"2017-12-25 00:30:37"},{"id":29,"name":"Sharepoint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58"/>
        <v>https://d0f6bd738d7f1b3e5a7ca70fe4ff75f0.us-east-1.aws.found.io/app/kibana#/discover/Steve-Slow-Train-Analysis-(2080s-and-2083s)?_g=(refreshInterval:(display:Off,pause:!f,section:0,value:0),time:(from:'2017-12-24T16:14:44-0700',mode:absolute,to:'2017-12-24T18:30:37-0700'))&amp;_a=(columns:!('Message%20ID',Summary),filters:!(),index:'emp_*',interval:auto,query:(query_string:(analyze_wildcard:!t,query:'%22rtdc.l.rtdc.4042%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3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s="20" customFormat="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4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4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4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4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4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4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4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4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4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4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4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4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</sheetData>
  <autoFilter ref="A12:AG527">
    <sortState ref="A13:AG527">
      <sortCondition ref="AG13:AG218"/>
      <sortCondition ref="AD13:AD218"/>
    </sortState>
  </autoFilter>
  <sortState ref="A13:AN432">
    <sortCondition ref="AG13:AG432"/>
    <sortCondition ref="AD13:AD432"/>
  </sortState>
  <mergeCells count="1">
    <mergeCell ref="A11:P11"/>
  </mergeCells>
  <conditionalFormatting sqref="W11:W12 W533:X1048576 W13:X218">
    <cfRule type="cellIs" dxfId="10" priority="472" operator="equal">
      <formula>"Y"</formula>
    </cfRule>
  </conditionalFormatting>
  <conditionalFormatting sqref="X533:X1048576 X13:X218">
    <cfRule type="cellIs" dxfId="9" priority="455" operator="greaterThan">
      <formula>1</formula>
    </cfRule>
  </conditionalFormatting>
  <conditionalFormatting sqref="X533:X1048576 X12:X218">
    <cfRule type="cellIs" dxfId="8" priority="452" operator="equal">
      <formula>0</formula>
    </cfRule>
  </conditionalFormatting>
  <conditionalFormatting sqref="A13:S218">
    <cfRule type="expression" dxfId="7" priority="446" stopIfTrue="1">
      <formula>$P13&gt;0</formula>
    </cfRule>
    <cfRule type="expression" dxfId="6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4"/>
  <sheetViews>
    <sheetView topLeftCell="A2" zoomScaleNormal="100" workbookViewId="0">
      <selection activeCell="P18" sqref="P18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COUNTIF($O$7:$O$149,"=Y")</f>
        <v>1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COUNTA($O$7:$O$149)-O2</f>
        <v>16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- 2017-12-24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43093.57135416667</v>
      </c>
      <c r="B7" s="30" t="s">
        <v>675</v>
      </c>
      <c r="C7" s="30" t="s">
        <v>683</v>
      </c>
      <c r="D7" s="30" t="s">
        <v>95</v>
      </c>
      <c r="E7" s="30" t="s">
        <v>183</v>
      </c>
      <c r="F7" s="42">
        <v>130</v>
      </c>
      <c r="G7" s="42">
        <v>181</v>
      </c>
      <c r="H7" s="42">
        <v>27053</v>
      </c>
      <c r="I7" s="42">
        <v>26714</v>
      </c>
      <c r="J7" s="30" t="s">
        <v>184</v>
      </c>
      <c r="K7" s="42">
        <v>27350</v>
      </c>
      <c r="L7" s="131" t="s">
        <v>51</v>
      </c>
      <c r="M7" s="132">
        <f>CONVERT((I7-K7)/10000,"mi","ft")*IF(L7="Increasing Mileposts (1)",-1,1)</f>
        <v>-335.80799999999999</v>
      </c>
      <c r="N7" s="133" t="str">
        <f>VLOOKUP(C7,'Trips&amp;Operators'!$C$1:$G$99911,5,FALSE)</f>
        <v>MAGEE KENYA</v>
      </c>
      <c r="O7" s="175" t="s">
        <v>178</v>
      </c>
      <c r="P7" s="239" t="s">
        <v>523</v>
      </c>
      <c r="Q7" s="30"/>
      <c r="R7" s="81" t="str">
        <f>VLOOKUP(C7,'Train Runs'!$A$13:$AE$10186,31,0)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S7" s="84" t="str">
        <f>VLOOKUP(C7,'Train Runs'!$A$13:$AE$10186,22,0)</f>
        <v>https://d0f6bd738d7f1b3e5a7ca70fe4ff75f0.us-east-1.aws.found.io/app/kibana#/discover/Steve-Slow-Train-Analysis-(2080s-and-2083s)?_g=(refreshInterval:(display:Off,pause:!f,section:0,value:0),time:(from:'2017-12-24T11:54:36-0700',mode:absolute,to:'2017-12-24T14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/stypes="*4013*201712242*" /stext=" 20:.+((SYSTEM_STATE.+slice.+state.+changed )|(ment ac)|(multiple cpu faults)|(system.+state.+changed )|(\[timeout)|(PRM\|1\|D)|(kpr)|(kdp)|(train st.+moving)|(\|lc)|(penalty))"</v>
      </c>
      <c r="U7" s="9" t="str">
        <f>MID(B7,13,4)</f>
        <v>4013</v>
      </c>
      <c r="V7" s="31">
        <f>A7-utc_offset/24</f>
        <v>43093.863020833334</v>
      </c>
      <c r="W7" s="45" t="str">
        <f>DetSubdiv(C7)</f>
        <v>EC</v>
      </c>
      <c r="X7" s="22">
        <f>VALUE(LEFT(C7,LEN(C7)-3))</f>
        <v>170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Arrival","project_id":79,"tracker_id":40,"status_id":1,"priority_id":2,"assigned_to_id":338,"start_date":"2017-12-24","description":"","custom_fields":[{"id":1,"name":"Subdivision","value":"EC"},{"id":4,"name":"Milepost","value":"2.735"},{"id":17,"name":"Train ID","value":"170-24"},{"id":16,"name":"Locomotive ID","value":"4013"},{"id":130,"name":"Impact","value":""},{"id":150,"name":"Time of Event (Mountain Time)","value":"13:42:45"},{"id":151,"name":"Denver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/c/Users/stu/AppData/Local/Temp/OnboardLogs/RTDC4013 --include="*4013*201712242*"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"%USERPROFILE%\AppData\Local\Temp\OnboardLogs"\RTDC4013\*4013*201712242* &gt;&gt; 2017-12-24-SliceDisagreementCheck.txt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4013 --day 2017-12-24</v>
      </c>
    </row>
    <row r="8" spans="1:32" s="1" customFormat="1" x14ac:dyDescent="0.3">
      <c r="A8" s="31">
        <v>43093.422094907408</v>
      </c>
      <c r="B8" s="30" t="s">
        <v>370</v>
      </c>
      <c r="C8" s="30" t="s">
        <v>682</v>
      </c>
      <c r="D8" s="30" t="s">
        <v>49</v>
      </c>
      <c r="E8" s="30" t="s">
        <v>183</v>
      </c>
      <c r="F8" s="42">
        <v>0</v>
      </c>
      <c r="G8" s="42">
        <v>184</v>
      </c>
      <c r="H8" s="42">
        <v>30741</v>
      </c>
      <c r="I8" s="42">
        <v>30922</v>
      </c>
      <c r="J8" s="30" t="s">
        <v>184</v>
      </c>
      <c r="K8" s="42">
        <v>30830</v>
      </c>
      <c r="L8" s="131" t="s">
        <v>50</v>
      </c>
      <c r="M8" s="132">
        <f>CONVERT((I8-K8)/10000,"mi","ft")*IF(L8="Increasing Mileposts (1)",-1,1)</f>
        <v>-48.576000000000001</v>
      </c>
      <c r="N8" s="133" t="str">
        <f>VLOOKUP(C8,'Trips&amp;Operators'!$C$1:$G$99911,5,FALSE)</f>
        <v>GEBRETEKLE DAGNEW</v>
      </c>
      <c r="O8" s="175" t="s">
        <v>178</v>
      </c>
      <c r="P8" s="239" t="s">
        <v>523</v>
      </c>
      <c r="Q8" s="30"/>
      <c r="R8" s="81" t="str">
        <f>VLOOKUP(C8,'Train Runs'!$A$13:$AE$10186,31,0)</f>
        <v>aws s3 cp s3://rtdc.mdm.uploadarchive.raw/RTDC4012/ "%USERPROFILE%\AppData\Local\Temp\OnboardLogs"\RTDC4012\2017-12-24 --exclude "*" --recursive --include "*20171224*" &amp; "%USERPROFILE%\Documents\GitHub\mrs-test-scripts\Headless Mode &amp; Sideloading\WalkAndUnGZ.bat" "%USERPROFILE%\AppData\Local\Temp\OnboardLogs"\RTDC4012\2017-12-24 &amp; aws s3 cp s3://rtdc.mdm.uploadarchive.raw/RTDC4012/ "%USERPROFILE%\AppData\Local\Temp\OnboardLogs"\RTDC4012\2017-12-25 --exclude "*" --recursive --include "*20171225*" &amp; "%USERPROFILE%\Documents\GitHub\mrs-test-scripts\Headless Mode &amp; Sideloading\WalkAndUnGZ.bat" "%USERPROFILE%\AppData\Local\Temp\OnboardLogs"\RTDC4012\2017-12-25</v>
      </c>
      <c r="S8" s="84" t="str">
        <f>VLOOKUP(C8,'Train Runs'!$A$13:$AE$10186,22,0)</f>
        <v>https://d0f6bd738d7f1b3e5a7ca70fe4ff75f0.us-east-1.aws.found.io/app/kibana#/discover/Steve-Slow-Train-Analysis-(2080s-and-2083s)?_g=(refreshInterval:(display:Off,pause:!f,section:0,value:0),time:(from:'2017-12-24T08:53:31-0700',mode:absolute,to:'2017-12-24T11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/stypes="*4012*201712241*" /stext=" 17:.+((SYSTEM_STATE.+slice.+state.+changed )|(ment ac)|(multiple cpu faults)|(system.+state.+changed )|(\[timeout)|(PRM\|1\|D)|(kpr)|(kdp)|(train st.+moving)|(\|lc)|(penalty))"</v>
      </c>
      <c r="U8" s="9" t="str">
        <f>MID(B8,13,4)</f>
        <v>4012</v>
      </c>
      <c r="V8" s="31">
        <f>A8-utc_offset/24</f>
        <v>43093.713761574072</v>
      </c>
      <c r="W8" s="45" t="str">
        <f>DetSubdiv(C8)</f>
        <v>EC</v>
      </c>
      <c r="X8" s="228">
        <f>VALUE(LEFT(C8,LEN(C8)-3))</f>
        <v>151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Arrival","project_id":79,"tracker_id":40,"status_id":1,"priority_id":2,"assigned_to_id":338,"start_date":"2017-12-24","description":"","custom_fields":[{"id":1,"name":"Subdivision","value":"EC"},{"id":4,"name":"Milepost","value":"3.083"},{"id":17,"name":"Train ID","value":"151-24"},{"id":16,"name":"Locomotive ID","value":"4012"},{"id":130,"name":"Impact","value":""},{"id":150,"name":"Time of Event (Mountain Time)","value":"10:07:49"},{"id":151,"name":"Denver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/c/Users/stu/AppData/Local/Temp/OnboardLogs/RTDC4012 --include="*4012*201712241*"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"%USERPROFILE%\AppData\Local\Temp\OnboardLogs"\RTDC4012\*4012*201712241* &gt;&gt; 2017-12-24-SliceDisagreementCheck.txt</v>
      </c>
      <c r="AE8" s="144" t="str">
        <f t="shared" ref="AE8:AE23" si="1">"start /low /b "&amp;dls3logs&amp;" --loco "&amp;U8&amp;" --day "&amp;TEXT(V8,"YYYY-MM-DD")</f>
        <v>start /low /b %USERPROFILE%\Documents\GitHub\eaglep3\Utilities\DownloadLogsFromS3.py --loco 4012 --day 2017-12-24</v>
      </c>
    </row>
    <row r="9" spans="1:32" s="1" customFormat="1" x14ac:dyDescent="0.3">
      <c r="A9" s="31">
        <v>43093.349803240744</v>
      </c>
      <c r="B9" s="30" t="s">
        <v>675</v>
      </c>
      <c r="C9" s="30" t="s">
        <v>676</v>
      </c>
      <c r="D9" s="30" t="s">
        <v>49</v>
      </c>
      <c r="E9" s="30" t="s">
        <v>183</v>
      </c>
      <c r="F9" s="42">
        <v>470</v>
      </c>
      <c r="G9" s="42">
        <v>538</v>
      </c>
      <c r="H9" s="42">
        <v>54492</v>
      </c>
      <c r="I9" s="42">
        <v>52542</v>
      </c>
      <c r="J9" s="30" t="s">
        <v>184</v>
      </c>
      <c r="K9" s="42">
        <v>53277</v>
      </c>
      <c r="L9" s="131" t="s">
        <v>51</v>
      </c>
      <c r="M9" s="132">
        <f>CONVERT((I9-K9)/10000,"mi","ft")*IF(L9="Increasing Mileposts (1)",-1,1)</f>
        <v>-388.08</v>
      </c>
      <c r="N9" s="133" t="str">
        <f>VLOOKUP(C9,'Trips&amp;Operators'!$C$1:$G$99911,5,FALSE)</f>
        <v>WILLIAMS DONTE</v>
      </c>
      <c r="O9" s="175" t="s">
        <v>178</v>
      </c>
      <c r="P9" s="239" t="s">
        <v>523</v>
      </c>
      <c r="Q9" s="30"/>
      <c r="R9" s="81" t="str">
        <f>VLOOKUP(C9,'Train Runs'!$A$13:$AE$10186,31,0)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S9" s="84" t="str">
        <f>VLOOKUP(C9,'Train Runs'!$A$13:$AE$10186,22,0)</f>
        <v>https://d0f6bd738d7f1b3e5a7ca70fe4ff75f0.us-east-1.aws.found.io/app/kibana#/discover/Steve-Slow-Train-Analysis-(2080s-and-2083s)?_g=(refreshInterval:(display:Off,pause:!f,section:0,value:0),time:(from:'2017-12-24T06:52:38-0700',mode:absolute,to:'2017-12-24T09:38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/stypes="*4013*201712241*" /stext=" 15:.+((SYSTEM_STATE.+slice.+state.+changed )|(ment ac)|(multiple cpu faults)|(system.+state.+changed )|(\[timeout)|(PRM\|1\|D)|(kpr)|(kdp)|(train st.+moving)|(\|lc)|(penalty))"</v>
      </c>
      <c r="U9" s="9" t="str">
        <f>MID(B9,13,4)</f>
        <v>4013</v>
      </c>
      <c r="V9" s="31">
        <f>A9-utc_offset/24</f>
        <v>43093.641469907408</v>
      </c>
      <c r="W9" s="45" t="str">
        <f>DetSubdiv(C9)</f>
        <v>EC</v>
      </c>
      <c r="X9" s="228">
        <f>VALUE(LEFT(C9,LEN(C9)-3))</f>
        <v>128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Arrival","project_id":79,"tracker_id":40,"status_id":1,"priority_id":2,"assigned_to_id":338,"start_date":"2017-12-24","description":"","custom_fields":[{"id":1,"name":"Subdivision","value":"EC"},{"id":4,"name":"Milepost","value":"5.3277"},{"id":17,"name":"Train ID","value":"128-24"},{"id":16,"name":"Locomotive ID","value":"4013"},{"id":130,"name":"Impact","value":""},{"id":150,"name":"Time of Event (Mountain Time)","value":"08:23:43"},{"id":151,"name":"Denver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/c/Users/stu/AppData/Local/Temp/OnboardLogs/RTDC4013 --include="*4013*201712241*"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"%USERPROFILE%\AppData\Local\Temp\OnboardLogs"\RTDC4013\*4013*201712241* &gt;&gt; 2017-12-24-SliceDisagreementCheck.txt</v>
      </c>
      <c r="AE9" s="144" t="str">
        <f t="shared" si="1"/>
        <v>start /low /b %USERPROFILE%\Documents\GitHub\eaglep3\Utilities\DownloadLogsFromS3.py --loco 4013 --day 2017-12-24</v>
      </c>
    </row>
    <row r="10" spans="1:32" x14ac:dyDescent="0.3">
      <c r="A10" s="31">
        <v>43093.890011574076</v>
      </c>
      <c r="B10" s="30" t="s">
        <v>691</v>
      </c>
      <c r="C10" s="30" t="s">
        <v>692</v>
      </c>
      <c r="D10" s="30" t="s">
        <v>49</v>
      </c>
      <c r="E10" s="30" t="s">
        <v>183</v>
      </c>
      <c r="F10" s="42">
        <v>520</v>
      </c>
      <c r="G10" s="42">
        <v>585</v>
      </c>
      <c r="H10" s="42">
        <v>54946</v>
      </c>
      <c r="I10" s="42">
        <v>53188</v>
      </c>
      <c r="J10" s="30" t="s">
        <v>184</v>
      </c>
      <c r="K10" s="42">
        <v>53277</v>
      </c>
      <c r="L10" s="131" t="s">
        <v>51</v>
      </c>
      <c r="M10" s="132">
        <f>CONVERT((I10-K10)/10000,"mi","ft")*IF(L10="Increasing Mileposts (1)",-1,1)</f>
        <v>-46.991999999999997</v>
      </c>
      <c r="N10" s="133" t="str">
        <f>VLOOKUP(C10,'Trips&amp;Operators'!$C$1:$G$99911,5,FALSE)</f>
        <v>ELBAUM MIKE</v>
      </c>
      <c r="O10" s="175" t="s">
        <v>178</v>
      </c>
      <c r="P10" s="239" t="s">
        <v>523</v>
      </c>
      <c r="Q10" s="30"/>
      <c r="R10" s="81" t="str">
        <f>VLOOKUP(C10,'Train Runs'!$A$13:$AE$10186,31,0)</f>
        <v>aws s3 cp s3://rtdc.mdm.uploadarchive.raw/RTDC4021/ "%USERPROFILE%\AppData\Local\Temp\OnboardLogs"\RTDC4021\2017-12-24 --exclude "*" --recursive --include "*20171224*" &amp; "%USERPROFILE%\Documents\GitHub\mrs-test-scripts\Headless Mode &amp; Sideloading\WalkAndUnGZ.bat" "%USERPROFILE%\AppData\Local\Temp\OnboardLogs"\RTDC4021\2017-12-24 &amp; aws s3 cp s3://rtdc.mdm.uploadarchive.raw/RTDC4021/ "%USERPROFILE%\AppData\Local\Temp\OnboardLogs"\RTDC4021\2017-12-25 --exclude "*" --recursive --include "*20171225*" &amp; "%USERPROFILE%\Documents\GitHub\mrs-test-scripts\Headless Mode &amp; Sideloading\WalkAndUnGZ.bat" "%USERPROFILE%\AppData\Local\Temp\OnboardLogs"\RTDC4021\2017-12-25</v>
      </c>
      <c r="S10" s="84" t="str">
        <f>VLOOKUP(C10,'Train Runs'!$A$13:$AE$10186,22,0)</f>
        <v>https://d0f6bd738d7f1b3e5a7ca70fe4ff75f0.us-east-1.aws.found.io/app/kibana#/discover/Steve-Slow-Train-Analysis-(2080s-and-2083s)?_g=(refreshInterval:(display:Off,pause:!f,section:0,value:0),time:(from:'2017-12-24T19:37:16-0700',mode:absolute,to:'2017-12-24T22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/stypes="*4021*201712250*" /stext=" 04:.+((SYSTEM_STATE.+slice.+state.+changed )|(ment ac)|(multiple cpu faults)|(system.+state.+changed )|(\[timeout)|(PRM\|1\|D)|(kpr)|(kdp)|(train st.+moving)|(\|lc)|(penalty))"</v>
      </c>
      <c r="U10" s="9" t="str">
        <f>MID(B10,13,4)</f>
        <v>4021</v>
      </c>
      <c r="V10" s="31">
        <f>A10-utc_offset/24</f>
        <v>43094.18167824074</v>
      </c>
      <c r="W10" s="45" t="str">
        <f>DetSubdiv(C10)</f>
        <v>EC</v>
      </c>
      <c r="X10" s="228">
        <f>VALUE(LEFT(C10,LEN(C10)-3))</f>
        <v>226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Arrival","project_id":79,"tracker_id":40,"status_id":1,"priority_id":2,"assigned_to_id":338,"start_date":"2017-12-24","description":"","custom_fields":[{"id":1,"name":"Subdivision","value":"EC"},{"id":4,"name":"Milepost","value":"5.3277"},{"id":17,"name":"Train ID","value":"226-24"},{"id":16,"name":"Locomotive ID","value":"4021"},{"id":130,"name":"Impact","value":""},{"id":150,"name":"Time of Event (Mountain Time)","value":"21:21:37"},{"id":151,"name":"Denver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/c/Users/stu/AppData/Local/Temp/OnboardLogs/RTDC4021 --include="*4021*201712250*"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"%USERPROFILE%\AppData\Local\Temp\OnboardLogs"\RTDC4021\*4021*201712250* &gt;&gt; 2017-12-24-SliceDisagreementCheck.txt</v>
      </c>
      <c r="AE10" s="144" t="str">
        <f t="shared" si="1"/>
        <v>start /low /b %USERPROFILE%\Documents\GitHub\eaglep3\Utilities\DownloadLogsFromS3.py --loco 4021 --day 2017-12-25</v>
      </c>
      <c r="AF10" s="1"/>
    </row>
    <row r="11" spans="1:32" x14ac:dyDescent="0.3">
      <c r="A11" s="31">
        <v>43093.952939814815</v>
      </c>
      <c r="B11" s="30" t="s">
        <v>480</v>
      </c>
      <c r="C11" s="30" t="s">
        <v>696</v>
      </c>
      <c r="D11" s="30" t="s">
        <v>49</v>
      </c>
      <c r="E11" s="30" t="s">
        <v>183</v>
      </c>
      <c r="F11" s="42">
        <v>390</v>
      </c>
      <c r="G11" s="42">
        <v>448</v>
      </c>
      <c r="H11" s="42">
        <v>58965</v>
      </c>
      <c r="I11" s="42">
        <v>57377</v>
      </c>
      <c r="J11" s="30" t="s">
        <v>184</v>
      </c>
      <c r="K11" s="42">
        <v>58301</v>
      </c>
      <c r="L11" s="131" t="s">
        <v>51</v>
      </c>
      <c r="M11" s="132">
        <f>CONVERT((I11-K11)/10000,"mi","ft")*IF(L11="Increasing Mileposts (1)",-1,1)</f>
        <v>-487.87200000000001</v>
      </c>
      <c r="N11" s="133" t="str">
        <f>VLOOKUP(C11,'Trips&amp;Operators'!$C$1:$G$99911,5,FALSE)</f>
        <v>ANDREA WILLIAMS</v>
      </c>
      <c r="O11" s="175" t="s">
        <v>178</v>
      </c>
      <c r="P11" s="239" t="s">
        <v>523</v>
      </c>
      <c r="Q11" s="30"/>
      <c r="R11" s="81" t="str">
        <f>VLOOKUP(C11,'Train Runs'!$A$13:$AE$10186,31,0)</f>
        <v>aws s3 cp s3://rtdc.mdm.uploadarchive.raw/RTDC4005/ "%USERPROFILE%\AppData\Local\Temp\OnboardLogs"\RTDC4005\2017-12-24 --exclude "*" --recursive --include "*20171224*" &amp; "%USERPROFILE%\Documents\GitHub\mrs-test-scripts\Headless Mode &amp; Sideloading\WalkAndUnGZ.bat" "%USERPROFILE%\AppData\Local\Temp\OnboardLogs"\RTDC4005\2017-12-24 &amp; aws s3 cp s3://rtdc.mdm.uploadarchive.raw/RTDC4005/ "%USERPROFILE%\AppData\Local\Temp\OnboardLogs"\RTDC4005\2017-12-25 --exclude "*" --recursive --include "*20171225*" &amp; "%USERPROFILE%\Documents\GitHub\mrs-test-scripts\Headless Mode &amp; Sideloading\WalkAndUnGZ.bat" "%USERPROFILE%\AppData\Local\Temp\OnboardLogs"\RTDC4005\2017-12-25</v>
      </c>
      <c r="S11" s="84" t="str">
        <f>VLOOKUP(C11,'Train Runs'!$A$13:$AE$10186,22,0)</f>
        <v>https://d0f6bd738d7f1b3e5a7ca70fe4ff75f0.us-east-1.aws.found.io/app/kibana#/discover/Steve-Slow-Train-Analysis-(2080s-and-2083s)?_g=(refreshInterval:(display:Off,pause:!f,section:0,value:0),time:(from:'2017-12-24T21:10:16-0700',mode:absolute,to:'2017-12-25T00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/stypes="*4005*201712250*" /stext=" 05:.+((SYSTEM_STATE.+slice.+state.+changed )|(ment ac)|(multiple cpu faults)|(system.+state.+changed )|(\[timeout)|(PRM\|1\|D)|(kpr)|(kdp)|(train st.+moving)|(\|lc)|(penalty))"</v>
      </c>
      <c r="U11" s="9" t="str">
        <f>MID(B11,13,4)</f>
        <v>4005</v>
      </c>
      <c r="V11" s="31">
        <f>A11-utc_offset/24</f>
        <v>43094.244606481479</v>
      </c>
      <c r="W11" s="45" t="str">
        <f>DetSubdiv(C11)</f>
        <v>EC</v>
      </c>
      <c r="X11" s="228">
        <f>VALUE(LEFT(C11,LEN(C11)-3))</f>
        <v>232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Arrival","project_id":79,"tracker_id":40,"status_id":1,"priority_id":2,"assigned_to_id":338,"start_date":"2017-12-24","description":"","custom_fields":[{"id":1,"name":"Subdivision","value":"EC"},{"id":4,"name":"Milepost","value":"5.8301"},{"id":17,"name":"Train ID","value":"232-24"},{"id":16,"name":"Locomotive ID","value":"4005"},{"id":130,"name":"Impact","value":""},{"id":150,"name":"Time of Event (Mountain Time)","value":"22:52:14"},{"id":151,"name":"Denver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/c/Users/stu/AppData/Local/Temp/OnboardLogs/RTDC4005 --include="*4005*201712250*"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"%USERPROFILE%\AppData\Local\Temp\OnboardLogs"\RTDC4005\*4005*201712250* &gt;&gt; 2017-12-24-SliceDisagreementCheck.txt</v>
      </c>
      <c r="AE11" s="144" t="str">
        <f t="shared" si="1"/>
        <v>start /low /b %USERPROFILE%\Documents\GitHub\eaglep3\Utilities\DownloadLogsFromS3.py --loco 4005 --day 2017-12-25</v>
      </c>
      <c r="AF11" s="1"/>
    </row>
    <row r="12" spans="1:32" x14ac:dyDescent="0.3">
      <c r="A12" s="31">
        <v>43093.196875000001</v>
      </c>
      <c r="B12" s="30" t="s">
        <v>667</v>
      </c>
      <c r="C12" s="30" t="s">
        <v>668</v>
      </c>
      <c r="D12" s="30" t="s">
        <v>49</v>
      </c>
      <c r="E12" s="30" t="s">
        <v>183</v>
      </c>
      <c r="F12" s="42">
        <v>0</v>
      </c>
      <c r="G12" s="42">
        <v>117</v>
      </c>
      <c r="H12" s="42">
        <v>58153</v>
      </c>
      <c r="I12" s="42">
        <v>58258</v>
      </c>
      <c r="J12" s="30" t="s">
        <v>184</v>
      </c>
      <c r="K12" s="42">
        <v>58783</v>
      </c>
      <c r="L12" s="131" t="s">
        <v>50</v>
      </c>
      <c r="M12" s="132">
        <f>CONVERT((I12-K12)/10000,"mi","ft")*IF(L12="Increasing Mileposts (1)",-1,1)</f>
        <v>277.2</v>
      </c>
      <c r="N12" s="133" t="str">
        <f>VLOOKUP(C12,'Trips&amp;Operators'!$C$1:$G$99911,5,FALSE)</f>
        <v>PAGE MARCUS</v>
      </c>
      <c r="O12" s="175" t="s">
        <v>178</v>
      </c>
      <c r="P12" s="239" t="s">
        <v>1081</v>
      </c>
      <c r="Q12" s="30"/>
      <c r="R12" s="81" t="str">
        <f>VLOOKUP(C12,'Train Runs'!$A$13:$AE$10186,31,0)</f>
        <v>aws s3 cp s3://rtdc.mdm.uploadarchive.raw/RTDC4032/ "%USERPROFILE%\AppData\Local\Temp\OnboardLogs"\RTDC4032\2017-12-24 --exclude "*" --recursive --include "*20171224*" &amp; "%USERPROFILE%\Documents\GitHub\mrs-test-scripts\Headless Mode &amp; Sideloading\WalkAndUnGZ.bat" "%USERPROFILE%\AppData\Local\Temp\OnboardLogs"\RTDC4032\2017-12-24 &amp; aws s3 cp s3://rtdc.mdm.uploadarchive.raw/RTDC4032/ "%USERPROFILE%\AppData\Local\Temp\OnboardLogs"\RTDC4032\2017-12-25 --exclude "*" --recursive --include "*20171225*" &amp; "%USERPROFILE%\Documents\GitHub\mrs-test-scripts\Headless Mode &amp; Sideloading\WalkAndUnGZ.bat" "%USERPROFILE%\AppData\Local\Temp\OnboardLogs"\RTDC4032\2017-12-25</v>
      </c>
      <c r="S12" s="84" t="str">
        <f>VLOOKUP(C12,'Train Runs'!$A$13:$AE$10186,22,0)</f>
        <v>https://d0f6bd738d7f1b3e5a7ca70fe4ff75f0.us-east-1.aws.found.io/app/kibana#/discover/Steve-Slow-Train-Analysis-(2080s-and-2083s)?_g=(refreshInterval:(display:Off,pause:!f,section:0,value:0),time:(from:'2017-12-24T03:23:26-0700',mode:absolute,to:'2017-12-24T06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/stypes="*4032*201712241*" /stext=" 11:.+((SYSTEM_STATE.+slice.+state.+changed )|(ment ac)|(multiple cpu faults)|(system.+state.+changed )|(\[timeout)|(PRM\|1\|D)|(kpr)|(kdp)|(train st.+moving)|(\|lc)|(penalty))"</v>
      </c>
      <c r="U12" s="9" t="str">
        <f>MID(B12,13,4)</f>
        <v>4032</v>
      </c>
      <c r="V12" s="31">
        <f>A12-utc_offset/24</f>
        <v>43093.488541666666</v>
      </c>
      <c r="W12" s="45" t="str">
        <f>DetSubdiv(C12)</f>
        <v>EC</v>
      </c>
      <c r="X12" s="228">
        <f>VALUE(LEFT(C12,LEN(C12)-3))</f>
        <v>107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C","project_id":79,"tracker_id":40,"status_id":1,"priority_id":2,"assigned_to_id":338,"start_date":"2017-12-24","description":"","custom_fields":[{"id":1,"name":"Subdivision","value":"EC"},{"id":4,"name":"Milepost","value":"5.8783"},{"id":17,"name":"Train ID","value":"107-24"},{"id":16,"name":"Locomotive ID","value":"4032"},{"id":130,"name":"Impact","value":""},{"id":150,"name":"Time of Event (Mountain Time)","value":"04:43:30"},{"id":151,"name":"Denver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/c/Users/stu/AppData/Local/Temp/OnboardLogs/RTDC4032 --include="*4032*201712241*"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"%USERPROFILE%\AppData\Local\Temp\OnboardLogs"\RTDC4032\*4032*201712241* &gt;&gt; 2017-12-24-SliceDisagreementCheck.txt</v>
      </c>
      <c r="AE12" s="144" t="str">
        <f t="shared" si="1"/>
        <v>start /low /b %USERPROFILE%\Documents\GitHub\eaglep3\Utilities\DownloadLogsFromS3.py --loco 4032 --day 2017-12-24</v>
      </c>
      <c r="AF12" s="1"/>
    </row>
    <row r="13" spans="1:32" x14ac:dyDescent="0.3">
      <c r="A13" s="31">
        <v>43093.219907407409</v>
      </c>
      <c r="B13" s="30" t="s">
        <v>513</v>
      </c>
      <c r="C13" s="30" t="s">
        <v>669</v>
      </c>
      <c r="D13" s="30" t="s">
        <v>49</v>
      </c>
      <c r="E13" s="30" t="s">
        <v>183</v>
      </c>
      <c r="F13" s="42">
        <v>0</v>
      </c>
      <c r="G13" s="42">
        <v>123</v>
      </c>
      <c r="H13" s="42">
        <v>57600</v>
      </c>
      <c r="I13" s="42">
        <v>57891</v>
      </c>
      <c r="J13" s="30" t="s">
        <v>184</v>
      </c>
      <c r="K13" s="42">
        <v>58783</v>
      </c>
      <c r="L13" s="131" t="s">
        <v>50</v>
      </c>
      <c r="M13" s="132">
        <f>CONVERT((I13-K13)/10000,"mi","ft")*IF(L13="Increasing Mileposts (1)",-1,1)</f>
        <v>470.976</v>
      </c>
      <c r="N13" s="133" t="str">
        <f>VLOOKUP(C13,'Trips&amp;Operators'!$C$1:$G$99911,5,FALSE)</f>
        <v>THOMPSON LESTER</v>
      </c>
      <c r="O13" s="175" t="s">
        <v>178</v>
      </c>
      <c r="P13" s="239" t="s">
        <v>1081</v>
      </c>
      <c r="Q13" s="30"/>
      <c r="R13" s="81" t="str">
        <f>VLOOKUP(C13,'Train Runs'!$A$13:$AE$10186,31,0)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S13" s="84" t="str">
        <f>VLOOKUP(C13,'Train Runs'!$A$13:$AE$10186,22,0)</f>
        <v>https://d0f6bd738d7f1b3e5a7ca70fe4ff75f0.us-east-1.aws.found.io/app/kibana#/discover/Steve-Slow-Train-Analysis-(2080s-and-2083s)?_g=(refreshInterval:(display:Off,pause:!f,section:0,value:0),time:(from:'2017-12-24T04:00:09-0700',mode:absolute,to:'2017-12-24T06:43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/stypes="*4044*201712241*" /stext=" 12:.+((SYSTEM_STATE.+slice.+state.+changed )|(ment ac)|(multiple cpu faults)|(system.+state.+changed )|(\[timeout)|(PRM\|1\|D)|(kpr)|(kdp)|(train st.+moving)|(\|lc)|(penalty))"</v>
      </c>
      <c r="U13" s="9" t="str">
        <f>MID(B13,13,4)</f>
        <v>4044</v>
      </c>
      <c r="V13" s="31">
        <f>A13-utc_offset/24</f>
        <v>43093.511574074073</v>
      </c>
      <c r="W13" s="45" t="str">
        <f>DetSubdiv(C13)</f>
        <v>EC</v>
      </c>
      <c r="X13" s="228">
        <f>VALUE(LEFT(C13,LEN(C13)-3))</f>
        <v>111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C","project_id":79,"tracker_id":40,"status_id":1,"priority_id":2,"assigned_to_id":338,"start_date":"2017-12-24","description":"","custom_fields":[{"id":1,"name":"Subdivision","value":"EC"},{"id":4,"name":"Milepost","value":"5.8783"},{"id":17,"name":"Train ID","value":"111-24"},{"id":16,"name":"Locomotive ID","value":"4044"},{"id":130,"name":"Impact","value":""},{"id":150,"name":"Time of Event (Mountain Time)","value":"05:16:40"},{"id":151,"name":"Denver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/c/Users/stu/AppData/Local/Temp/OnboardLogs/RTDC4044 --include="*4044*201712241*"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"%USERPROFILE%\AppData\Local\Temp\OnboardLogs"\RTDC4044\*4044*201712241* &gt;&gt; 2017-12-24-SliceDisagreementCheck.txt</v>
      </c>
      <c r="AE13" s="144" t="str">
        <f t="shared" si="1"/>
        <v>start /low /b %USERPROFILE%\Documents\GitHub\eaglep3\Utilities\DownloadLogsFromS3.py --loco 4044 --day 2017-12-24</v>
      </c>
      <c r="AF13" s="1"/>
    </row>
    <row r="14" spans="1:32" x14ac:dyDescent="0.3">
      <c r="A14" s="31">
        <v>43093.220347222225</v>
      </c>
      <c r="B14" s="30" t="s">
        <v>513</v>
      </c>
      <c r="C14" s="30" t="s">
        <v>669</v>
      </c>
      <c r="D14" s="30" t="s">
        <v>49</v>
      </c>
      <c r="E14" s="30" t="s">
        <v>183</v>
      </c>
      <c r="F14" s="42">
        <v>50</v>
      </c>
      <c r="G14" s="42">
        <v>106</v>
      </c>
      <c r="H14" s="42">
        <v>58119</v>
      </c>
      <c r="I14" s="42">
        <v>58235</v>
      </c>
      <c r="J14" s="30" t="s">
        <v>184</v>
      </c>
      <c r="K14" s="42">
        <v>58783</v>
      </c>
      <c r="L14" s="131" t="s">
        <v>50</v>
      </c>
      <c r="M14" s="132">
        <f>CONVERT((I14-K14)/10000,"mi","ft")*IF(L14="Increasing Mileposts (1)",-1,1)</f>
        <v>289.34399999999999</v>
      </c>
      <c r="N14" s="133" t="str">
        <f>VLOOKUP(C14,'Trips&amp;Operators'!$C$1:$G$99911,5,FALSE)</f>
        <v>THOMPSON LESTER</v>
      </c>
      <c r="O14" s="175" t="s">
        <v>178</v>
      </c>
      <c r="P14" s="239" t="s">
        <v>523</v>
      </c>
      <c r="Q14" s="30"/>
      <c r="R14" s="81" t="str">
        <f>VLOOKUP(C14,'Train Runs'!$A$13:$AE$10186,31,0)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S14" s="84" t="str">
        <f>VLOOKUP(C14,'Train Runs'!$A$13:$AE$10186,22,0)</f>
        <v>https://d0f6bd738d7f1b3e5a7ca70fe4ff75f0.us-east-1.aws.found.io/app/kibana#/discover/Steve-Slow-Train-Analysis-(2080s-and-2083s)?_g=(refreshInterval:(display:Off,pause:!f,section:0,value:0),time:(from:'2017-12-24T04:00:09-0700',mode:absolute,to:'2017-12-24T06:43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/stypes="*4044*201712241*" /stext=" 12:.+((SYSTEM_STATE.+slice.+state.+changed )|(ment ac)|(multiple cpu faults)|(system.+state.+changed )|(\[timeout)|(PRM\|1\|D)|(kpr)|(kdp)|(train st.+moving)|(\|lc)|(penalty))"</v>
      </c>
      <c r="U14" s="9" t="str">
        <f>MID(B14,13,4)</f>
        <v>4044</v>
      </c>
      <c r="V14" s="31">
        <f>A14-utc_offset/24</f>
        <v>43093.512013888889</v>
      </c>
      <c r="W14" s="45" t="str">
        <f>DetSubdiv(C14)</f>
        <v>EC</v>
      </c>
      <c r="X14" s="228">
        <f>VALUE(LEFT(C14,LEN(C14)-3))</f>
        <v>111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Arrival","project_id":79,"tracker_id":40,"status_id":1,"priority_id":2,"assigned_to_id":338,"start_date":"2017-12-24","description":"","custom_fields":[{"id":1,"name":"Subdivision","value":"EC"},{"id":4,"name":"Milepost","value":"5.8783"},{"id":17,"name":"Train ID","value":"111-24"},{"id":16,"name":"Locomotive ID","value":"4044"},{"id":130,"name":"Impact","value":""},{"id":150,"name":"Time of Event (Mountain Time)","value":"05:17:18"},{"id":151,"name":"Denver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/c/Users/stu/AppData/Local/Temp/OnboardLogs/RTDC4044 --include="*4044*201712241*"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"%USERPROFILE%\AppData\Local\Temp\OnboardLogs"\RTDC4044\*4044*201712241* &gt;&gt; 2017-12-24-SliceDisagreementCheck.txt</v>
      </c>
      <c r="AE14" s="144" t="str">
        <f t="shared" si="1"/>
        <v>start /low /b %USERPROFILE%\Documents\GitHub\eaglep3\Utilities\DownloadLogsFromS3.py --loco 4044 --day 2017-12-24</v>
      </c>
      <c r="AF14" s="1"/>
    </row>
    <row r="15" spans="1:32" x14ac:dyDescent="0.3">
      <c r="A15" s="31">
        <v>43093.637928240743</v>
      </c>
      <c r="B15" s="30" t="s">
        <v>675</v>
      </c>
      <c r="C15" s="30" t="s">
        <v>688</v>
      </c>
      <c r="D15" s="30" t="s">
        <v>49</v>
      </c>
      <c r="E15" s="30" t="s">
        <v>183</v>
      </c>
      <c r="F15" s="42">
        <v>0</v>
      </c>
      <c r="G15" s="42">
        <v>676</v>
      </c>
      <c r="H15" s="42">
        <v>67110</v>
      </c>
      <c r="I15" s="42">
        <v>64659</v>
      </c>
      <c r="J15" s="30" t="s">
        <v>184</v>
      </c>
      <c r="K15" s="42">
        <v>63309</v>
      </c>
      <c r="L15" s="131" t="s">
        <v>51</v>
      </c>
      <c r="M15" s="132">
        <f>CONVERT((I15-K15)/10000,"mi","ft")*IF(L15="Increasing Mileposts (1)",-1,1)</f>
        <v>712.80000000000007</v>
      </c>
      <c r="N15" s="133" t="str">
        <f>VLOOKUP(C15,'Trips&amp;Operators'!$C$1:$G$99911,5,FALSE)</f>
        <v>MAGEE KENYA</v>
      </c>
      <c r="O15" s="175" t="s">
        <v>178</v>
      </c>
      <c r="P15" s="239" t="s">
        <v>523</v>
      </c>
      <c r="Q15" s="30"/>
      <c r="R15" s="81" t="str">
        <f>VLOOKUP(C15,'Train Runs'!$A$13:$AE$10186,31,0)</f>
        <v>aws s3 cp s3://rtdc.mdm.uploadarchive.raw/RTDC4013/ "%USERPROFILE%\AppData\Local\Temp\OnboardLogs"\RTDC4013\2017-12-24 --exclude "*" --recursive --include "*20171224*" &amp; "%USERPROFILE%\Documents\GitHub\mrs-test-scripts\Headless Mode &amp; Sideloading\WalkAndUnGZ.bat" "%USERPROFILE%\AppData\Local\Temp\OnboardLogs"\RTDC4013\2017-12-24 &amp; aws s3 cp s3://rtdc.mdm.uploadarchive.raw/RTDC4013/ "%USERPROFILE%\AppData\Local\Temp\OnboardLogs"\RTDC4013\2017-12-25 --exclude "*" --recursive --include "*20171225*" &amp; "%USERPROFILE%\Documents\GitHub\mrs-test-scripts\Headless Mode &amp; Sideloading\WalkAndUnGZ.bat" "%USERPROFILE%\AppData\Local\Temp\OnboardLogs"\RTDC4013\2017-12-25</v>
      </c>
      <c r="S15" s="84" t="str">
        <f>VLOOKUP(C15,'Train Runs'!$A$13:$AE$10186,22,0)</f>
        <v>https://d0f6bd738d7f1b3e5a7ca70fe4ff75f0.us-east-1.aws.found.io/app/kibana#/discover/Steve-Slow-Train-Analysis-(2080s-and-2083s)?_g=(refreshInterval:(display:Off,pause:!f,section:0,value:0),time:(from:'2017-12-24T13:53:16-0700',mode:absolute,to:'2017-12-24T16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/stypes="*4013*201712242*" /stext=" 22:.+((SYSTEM_STATE.+slice.+state.+changed )|(ment ac)|(multiple cpu faults)|(system.+state.+changed )|(\[timeout)|(PRM\|1\|D)|(kpr)|(kdp)|(train st.+moving)|(\|lc)|(penalty))"</v>
      </c>
      <c r="U15" s="9" t="str">
        <f>MID(B15,13,4)</f>
        <v>4013</v>
      </c>
      <c r="V15" s="31">
        <f>A15-utc_offset/24</f>
        <v>43093.929594907408</v>
      </c>
      <c r="W15" s="45" t="str">
        <f>DetSubdiv(C15)</f>
        <v>EC</v>
      </c>
      <c r="X15" s="228">
        <f>VALUE(LEFT(C15,LEN(C15)-3))</f>
        <v>184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Arrival","project_id":79,"tracker_id":40,"status_id":1,"priority_id":2,"assigned_to_id":338,"start_date":"2017-12-24","description":"","custom_fields":[{"id":1,"name":"Subdivision","value":"EC"},{"id":4,"name":"Milepost","value":"6.3309"},{"id":17,"name":"Train ID","value":"184-24"},{"id":16,"name":"Locomotive ID","value":"4013"},{"id":130,"name":"Impact","value":""},{"id":150,"name":"Time of Event (Mountain Time)","value":"15:18:37"},{"id":151,"name":"Denver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/c/Users/stu/AppData/Local/Temp/OnboardLogs/RTDC4013 --include="*4013*201712242*"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"%USERPROFILE%\AppData\Local\Temp\OnboardLogs"\RTDC4013\*4013*201712242* &gt;&gt; 2017-12-24-SliceDisagreementCheck.txt</v>
      </c>
      <c r="AE15" s="144" t="str">
        <f t="shared" si="1"/>
        <v>start /low /b %USERPROFILE%\Documents\GitHub\eaglep3\Utilities\DownloadLogsFromS3.py --loco 4013 --day 2017-12-24</v>
      </c>
      <c r="AF15" s="1"/>
    </row>
    <row r="16" spans="1:32" x14ac:dyDescent="0.3">
      <c r="A16" s="31">
        <v>43093.577025462961</v>
      </c>
      <c r="B16" s="30" t="s">
        <v>513</v>
      </c>
      <c r="C16" s="30" t="s">
        <v>684</v>
      </c>
      <c r="D16" s="30" t="s">
        <v>49</v>
      </c>
      <c r="E16" s="30" t="s">
        <v>190</v>
      </c>
      <c r="F16" s="42">
        <v>300</v>
      </c>
      <c r="G16" s="42">
        <v>359</v>
      </c>
      <c r="H16" s="42">
        <v>20308</v>
      </c>
      <c r="I16" s="42">
        <v>21234</v>
      </c>
      <c r="J16" s="30" t="s">
        <v>191</v>
      </c>
      <c r="K16" s="42">
        <v>20338</v>
      </c>
      <c r="L16" s="131" t="s">
        <v>50</v>
      </c>
      <c r="M16" s="132">
        <f>CONVERT((I16-K16)/10000,"mi","ft")*IF(L16="Increasing Mileposts (1)",-1,1)</f>
        <v>-473.08800000000002</v>
      </c>
      <c r="N16" s="133" t="str">
        <f>VLOOKUP(C16,'Trips&amp;Operators'!$C$1:$G$99911,5,FALSE)</f>
        <v>BADERTSCHER DIANE</v>
      </c>
      <c r="O16" s="175" t="s">
        <v>178</v>
      </c>
      <c r="P16" s="239"/>
      <c r="Q16" s="30"/>
      <c r="R16" s="81" t="str">
        <f>VLOOKUP(C16,'Train Runs'!$A$13:$AE$10186,31,0)</f>
        <v>aws s3 cp s3://rtdc.mdm.uploadarchive.raw/RTDC4044/ "%USERPROFILE%\AppData\Local\Temp\OnboardLogs"\RTDC4044\2017-12-24 --exclude "*" --recursive --include "*20171224*" &amp; "%USERPROFILE%\Documents\GitHub\mrs-test-scripts\Headless Mode &amp; Sideloading\WalkAndUnGZ.bat" "%USERPROFILE%\AppData\Local\Temp\OnboardLogs"\RTDC4044\2017-12-24 &amp; 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</v>
      </c>
      <c r="S16" s="84" t="str">
        <f>VLOOKUP(C16,'Train Runs'!$A$13:$AE$10186,22,0)</f>
        <v>https://d0f6bd738d7f1b3e5a7ca70fe4ff75f0.us-east-1.aws.found.io/app/kibana#/discover/Steve-Slow-Train-Analysis-(2080s-and-2083s)?_g=(refreshInterval:(display:Off,pause:!f,section:0,value:0),time:(from:'2017-12-24T12:43:05-0700',mode:absolute,to:'2017-12-24T15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/stypes="*4044*201712242*" /stext=" 20:.+((SYSTEM_STATE.+slice.+state.+changed )|(ment ac)|(multiple cpu faults)|(system.+state.+changed )|(\[timeout)|(PRM\|1\|D)|(kpr)|(kdp)|(train st.+moving)|(\|lc)|(penalty))"</v>
      </c>
      <c r="U16" s="9" t="str">
        <f>MID(B16,13,4)</f>
        <v>4044</v>
      </c>
      <c r="V16" s="31">
        <f>A16-utc_offset/24</f>
        <v>43093.868692129625</v>
      </c>
      <c r="W16" s="45" t="str">
        <f>DetSubdiv(C16)</f>
        <v>EC</v>
      </c>
      <c r="X16" s="228">
        <f>VALUE(LEFT(C16,LEN(C16)-3))</f>
        <v>181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{"issue":{"subject":"","project_id":79,"tracker_id":40,"status_id":1,"priority_id":2,"assigned_to_id":338,"start_date":"2017-12-24","description":"","custom_fields":[{"id":1,"name":"Subdivision","value":"EC"},{"id":4,"name":"Milepost","value":"2.0338"},{"id":17,"name":"Train ID","value":"181-24"},{"id":16,"name":"Locomotive ID","value":"4044"},{"id":130,"name":"Impact","value":""},{"id":150,"name":"Time of Event (Mountain Time)","value":"13:50:55"},{"id":151,"name":"Denver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/c/Users/stu/AppData/Local/Temp/OnboardLogs/RTDC4044 --include="*4044*201712242*"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"%USERPROFILE%\AppData\Local\Temp\OnboardLogs"\RTDC4044\*4044*201712242* &gt;&gt; 2017-12-24-SliceDisagreementCheck.txt</v>
      </c>
      <c r="AE16" s="144" t="str">
        <f t="shared" si="1"/>
        <v>start /low /b %USERPROFILE%\Documents\GitHub\eaglep3\Utilities\DownloadLogsFromS3.py --loco 4044 --day 2017-12-24</v>
      </c>
      <c r="AF16" s="1"/>
    </row>
    <row r="17" spans="1:32" x14ac:dyDescent="0.3">
      <c r="A17" s="31">
        <v>43093.246736111112</v>
      </c>
      <c r="B17" s="30" t="s">
        <v>477</v>
      </c>
      <c r="C17" s="30" t="s">
        <v>670</v>
      </c>
      <c r="D17" s="30" t="s">
        <v>49</v>
      </c>
      <c r="E17" s="30" t="s">
        <v>671</v>
      </c>
      <c r="F17" s="42">
        <v>0</v>
      </c>
      <c r="G17" s="42">
        <v>588</v>
      </c>
      <c r="H17" s="42">
        <v>123522</v>
      </c>
      <c r="I17" s="42">
        <v>126422</v>
      </c>
      <c r="J17" s="30" t="s">
        <v>672</v>
      </c>
      <c r="K17" s="42">
        <v>126678</v>
      </c>
      <c r="L17" s="131" t="s">
        <v>50</v>
      </c>
      <c r="M17" s="132">
        <f>CONVERT((I17-K17)/10000,"mi","ft")*IF(L17="Increasing Mileposts (1)",-1,1)</f>
        <v>135.16800000000001</v>
      </c>
      <c r="N17" s="133" t="str">
        <f>VLOOKUP(C17,'Trips&amp;Operators'!$C$1:$G$99911,5,FALSE)</f>
        <v>MAELZER KURT</v>
      </c>
      <c r="O17" s="175" t="s">
        <v>348</v>
      </c>
      <c r="P17" s="239" t="s">
        <v>468</v>
      </c>
      <c r="Q17" s="30"/>
      <c r="R17" s="81" t="str">
        <f>VLOOKUP(C17,'Train Runs'!$A$13:$AE$10186,31,0)</f>
        <v>aws s3 cp s3://rtdc.mdm.uploadarchive.raw/RTDC4006/ "%USERPROFILE%\AppData\Local\Temp\OnboardLogs"\RTDC4006\2017-12-24 --exclude "*" --recursive --include "*20171224*" &amp; "%USERPROFILE%\Documents\GitHub\mrs-test-scripts\Headless Mode &amp; Sideloading\WalkAndUnGZ.bat" "%USERPROFILE%\AppData\Local\Temp\OnboardLogs"\RTDC4006\2017-12-24 &amp; aws s3 cp s3://rtdc.mdm.uploadarchive.raw/RTDC4006/ "%USERPROFILE%\AppData\Local\Temp\OnboardLogs"\RTDC4006\2017-12-25 --exclude "*" --recursive --include "*20171225*" &amp; "%USERPROFILE%\Documents\GitHub\mrs-test-scripts\Headless Mode &amp; Sideloading\WalkAndUnGZ.bat" "%USERPROFILE%\AppData\Local\Temp\OnboardLogs"\RTDC4006\2017-12-25</v>
      </c>
      <c r="S17" s="84" t="str">
        <f>VLOOKUP(C17,'Train Runs'!$A$13:$AE$10186,22,0)</f>
        <v>https://d0f6bd738d7f1b3e5a7ca70fe4ff75f0.us-east-1.aws.found.io/app/kibana#/discover/Steve-Slow-Train-Analysis-(2080s-and-2083s)?_g=(refreshInterval:(display:Off,pause:!f,section:0,value:0),time:(from:'2017-12-24T04:26:39-0700',mode:absolute,to:'2017-12-24T07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/stypes="*4006*201712241*" /stext=" 12:.+((SYSTEM_STATE.+slice.+state.+changed )|(ment ac)|(multiple cpu faults)|(system.+state.+changed )|(\[timeout)|(PRM\|1\|D)|(kpr)|(kdp)|(train st.+moving)|(\|lc)|(penalty))"</v>
      </c>
      <c r="U17" s="9" t="str">
        <f>MID(B17,13,4)</f>
        <v>4006</v>
      </c>
      <c r="V17" s="31">
        <f>A17-utc_offset/24</f>
        <v>43093.538402777776</v>
      </c>
      <c r="W17" s="45" t="str">
        <f>DetSubdiv(C17)</f>
        <v>EC</v>
      </c>
      <c r="X17" s="228">
        <f>VALUE(LEFT(C17,LEN(C17)-3))</f>
        <v>115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drop","project_id":79,"tracker_id":40,"status_id":1,"priority_id":2,"assigned_to_id":338,"start_date":"2017-12-24","description":"","custom_fields":[{"id":1,"name":"Subdivision","value":"EC"},{"id":4,"name":"Milepost","value":"12.6678"},{"id":17,"name":"Train ID","value":"115-24"},{"id":16,"name":"Locomotive ID","value":"4006"},{"id":130,"name":"Impact","value":""},{"id":150,"name":"Time of Event (Mountain Time)","value":"05:55:18"},{"id":151,"name":"Denver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/c/Users/stu/AppData/Local/Temp/OnboardLogs/RTDC4006 --include="*4006*201712241*"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"%USERPROFILE%\AppData\Local\Temp\OnboardLogs"\RTDC4006\*4006*201712241* &gt;&gt; 2017-12-24-SliceDisagreementCheck.txt</v>
      </c>
      <c r="AE17" s="144" t="str">
        <f t="shared" si="1"/>
        <v>start /low /b %USERPROFILE%\Documents\GitHub\eaglep3\Utilities\DownloadLogsFromS3.py --loco 4006 --day 2017-12-24</v>
      </c>
      <c r="AF17" s="1"/>
    </row>
    <row r="18" spans="1:32" x14ac:dyDescent="0.3">
      <c r="A18" s="31">
        <v>43093.3909375</v>
      </c>
      <c r="B18" s="30" t="s">
        <v>680</v>
      </c>
      <c r="C18" s="30" t="s">
        <v>681</v>
      </c>
      <c r="D18" s="30" t="s">
        <v>49</v>
      </c>
      <c r="E18" s="30" t="s">
        <v>678</v>
      </c>
      <c r="F18" s="42">
        <v>0</v>
      </c>
      <c r="G18" s="42">
        <v>150</v>
      </c>
      <c r="H18" s="42">
        <v>232821</v>
      </c>
      <c r="I18" s="42">
        <v>233019</v>
      </c>
      <c r="J18" s="30" t="s">
        <v>679</v>
      </c>
      <c r="K18" s="42">
        <v>233491</v>
      </c>
      <c r="L18" s="131" t="s">
        <v>50</v>
      </c>
      <c r="M18" s="132">
        <f>CONVERT((I18-K18)/10000,"mi","ft")*IF(L18="Increasing Mileposts (1)",-1,1)</f>
        <v>249.21600000000001</v>
      </c>
      <c r="N18" s="133" t="str">
        <f>VLOOKUP(C18,'Trips&amp;Operators'!$C$1:$G$99911,5,FALSE)</f>
        <v>WILLIAMS DONTE</v>
      </c>
      <c r="O18" s="175" t="s">
        <v>178</v>
      </c>
      <c r="P18" s="239"/>
      <c r="Q18" s="30"/>
      <c r="R18" s="81" t="str">
        <f>VLOOKUP(C18,'Train Runs'!$A$13:$AE$10186,31,0)</f>
        <v>aws s3 cp s3://rtdc.mdm.uploadarchive.raw/RTDC4014/ "%USERPROFILE%\AppData\Local\Temp\OnboardLogs"\RTDC4014\2017-12-24 --exclude "*" --recursive --include "*20171224*" &amp; "%USERPROFILE%\Documents\GitHub\mrs-test-scripts\Headless Mode &amp; Sideloading\WalkAndUnGZ.bat" "%USERPROFILE%\AppData\Local\Temp\OnboardLogs"\RTDC4014\2017-12-24 &amp; aws s3 cp s3://rtdc.mdm.uploadarchive.raw/RTDC4014/ "%USERPROFILE%\AppData\Local\Temp\OnboardLogs"\RTDC4014\2017-12-25 --exclude "*" --recursive --include "*20171225*" &amp; "%USERPROFILE%\Documents\GitHub\mrs-test-scripts\Headless Mode &amp; Sideloading\WalkAndUnGZ.bat" "%USERPROFILE%\AppData\Local\Temp\OnboardLogs"\RTDC4014\2017-12-25</v>
      </c>
      <c r="S18" s="84" t="str">
        <f>VLOOKUP(C18,'Train Runs'!$A$13:$AE$10186,22,0)</f>
        <v>https://d0f6bd738d7f1b3e5a7ca70fe4ff75f0.us-east-1.aws.found.io/app/kibana#/discover/Steve-Slow-Train-Analysis-(2080s-and-2083s)?_g=(refreshInterval:(display:Off,pause:!f,section:0,value:0),time:(from:'2017-12-24T07:40:38-0700',mode:absolute,to:'2017-12-24T10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/stypes="*4014*201712241*" /stext=" 16:.+((SYSTEM_STATE.+slice.+state.+changed )|(ment ac)|(multiple cpu faults)|(system.+state.+changed )|(\[timeout)|(PRM\|1\|D)|(kpr)|(kdp)|(train st.+moving)|(\|lc)|(penalty))"</v>
      </c>
      <c r="U18" s="9" t="str">
        <f>MID(B18,13,4)</f>
        <v>4014</v>
      </c>
      <c r="V18" s="31">
        <f>A18-utc_offset/24</f>
        <v>43093.682604166665</v>
      </c>
      <c r="W18" s="45" t="str">
        <f>DetSubdiv(C18)</f>
        <v>EC</v>
      </c>
      <c r="X18" s="228">
        <f>VALUE(LEFT(C18,LEN(C18)-3))</f>
        <v>141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{"issue":{"subject":"","project_id":79,"tracker_id":40,"status_id":1,"priority_id":2,"assigned_to_id":338,"start_date":"2017-12-24","description":"","custom_fields":[{"id":1,"name":"Subdivision","value":"EC"},{"id":4,"name":"Milepost","value":"23.3491"},{"id":17,"name":"Train ID","value":"141-24"},{"id":16,"name":"Locomotive ID","value":"4014"},{"id":130,"name":"Impact","value":""},{"id":150,"name":"Time of Event (Mountain Time)","value":"09:22:57"},{"id":151,"name":"Denver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/c/Users/stu/AppData/Local/Temp/OnboardLogs/RTDC4014 --include="*4014*201712241*"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"%USERPROFILE%\AppData\Local\Temp\OnboardLogs"\RTDC4014\*4014*201712241* &gt;&gt; 2017-12-24-SliceDisagreementCheck.txt</v>
      </c>
      <c r="AE18" s="144" t="str">
        <f t="shared" si="1"/>
        <v>start /low /b %USERPROFILE%\Documents\GitHub\eaglep3\Utilities\DownloadLogsFromS3.py --loco 4014 --day 2017-12-24</v>
      </c>
      <c r="AF18" s="1"/>
    </row>
    <row r="19" spans="1:32" x14ac:dyDescent="0.3">
      <c r="A19" s="31">
        <v>43093.84480324074</v>
      </c>
      <c r="B19" s="30" t="s">
        <v>548</v>
      </c>
      <c r="C19" s="30" t="s">
        <v>690</v>
      </c>
      <c r="D19" s="30" t="s">
        <v>49</v>
      </c>
      <c r="E19" s="30" t="s">
        <v>190</v>
      </c>
      <c r="F19" s="42">
        <v>400</v>
      </c>
      <c r="G19" s="42">
        <v>507</v>
      </c>
      <c r="H19" s="42">
        <v>34731</v>
      </c>
      <c r="I19" s="42">
        <v>36741</v>
      </c>
      <c r="J19" s="30" t="s">
        <v>191</v>
      </c>
      <c r="K19" s="42">
        <v>38172</v>
      </c>
      <c r="L19" s="131" t="s">
        <v>50</v>
      </c>
      <c r="M19" s="132">
        <f>CONVERT((I19-K19)/10000,"mi","ft")*IF(L19="Increasing Mileposts (1)",-1,1)</f>
        <v>755.56799999999998</v>
      </c>
      <c r="N19" s="133" t="str">
        <f>VLOOKUP(C19,'Trips&amp;Operators'!$C$1:$G$99911,5,FALSE)</f>
        <v>HOLCOMB KAMDEN</v>
      </c>
      <c r="O19" s="175" t="s">
        <v>178</v>
      </c>
      <c r="P19" s="239"/>
      <c r="Q19" s="30"/>
      <c r="R19" s="81" t="str">
        <f>VLOOKUP(C19,'Train Runs'!$A$13:$AE$10186,31,0)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S19" s="84" t="str">
        <f>VLOOKUP(C19,'Train Runs'!$A$13:$AE$10186,22,0)</f>
        <v>https://d0f6bd738d7f1b3e5a7ca70fe4ff75f0.us-east-1.aws.found.io/app/kibana#/discover/Steve-Slow-Train-Analysis-(2080s-and-2083s)?_g=(refreshInterval:(display:Off,pause:!f,section:0,value:0),time:(from:'2017-12-24T18:57:35-0700',mode:absolute,to:'2017-12-24T21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/stypes="*4058*201712250*" /stext=" 03:.+((SYSTEM_STATE.+slice.+state.+changed )|(ment ac)|(multiple cpu faults)|(system.+state.+changed )|(\[timeout)|(PRM\|1\|D)|(kpr)|(kdp)|(train st.+moving)|(\|lc)|(penalty))"</v>
      </c>
      <c r="U19" s="9" t="str">
        <f>MID(B19,13,4)</f>
        <v>4058</v>
      </c>
      <c r="V19" s="31">
        <f>A19-utc_offset/24</f>
        <v>43094.136469907404</v>
      </c>
      <c r="W19" s="45" t="str">
        <f>DetSubdiv(C19)</f>
        <v>NW</v>
      </c>
      <c r="X19" s="228">
        <f>VALUE(LEFT(C19,LEN(C19)-3))</f>
        <v>1829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{"issue":{"subject":"","project_id":79,"tracker_id":40,"status_id":1,"priority_id":2,"assigned_to_id":338,"start_date":"2017-12-24","description":"","custom_fields":[{"id":1,"name":"Subdivision","value":"NW"},{"id":4,"name":"Milepost","value":"3.8172"},{"id":17,"name":"Train ID","value":"1829-24"},{"id":16,"name":"Locomotive ID","value":"4058"},{"id":130,"name":"Impact","value":""},{"id":150,"name":"Time of Event (Mountain Time)","value":"20:16:31"},{"id":151,"name":"Denver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/c/Users/stu/AppData/Local/Temp/OnboardLogs/RTDC4058 --include="*4058*201712250*"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"%USERPROFILE%\AppData\Local\Temp\OnboardLogs"\RTDC4058\*4058*201712250* &gt;&gt; 2017-12-24-SliceDisagreementCheck.txt</v>
      </c>
      <c r="AE19" s="144" t="str">
        <f t="shared" si="1"/>
        <v>start /low /b %USERPROFILE%\Documents\GitHub\eaglep3\Utilities\DownloadLogsFromS3.py --loco 4058 --day 2017-12-25</v>
      </c>
      <c r="AF19" s="1"/>
    </row>
    <row r="20" spans="1:32" x14ac:dyDescent="0.3">
      <c r="A20" s="31">
        <v>43093.928171296298</v>
      </c>
      <c r="B20" s="30" t="s">
        <v>548</v>
      </c>
      <c r="C20" s="30" t="s">
        <v>695</v>
      </c>
      <c r="D20" s="30" t="s">
        <v>49</v>
      </c>
      <c r="E20" s="30" t="s">
        <v>190</v>
      </c>
      <c r="F20" s="42">
        <v>400</v>
      </c>
      <c r="G20" s="42">
        <v>477</v>
      </c>
      <c r="H20" s="42">
        <v>35151</v>
      </c>
      <c r="I20" s="42">
        <v>37222</v>
      </c>
      <c r="J20" s="30" t="s">
        <v>191</v>
      </c>
      <c r="K20" s="42">
        <v>38172</v>
      </c>
      <c r="L20" s="131" t="s">
        <v>50</v>
      </c>
      <c r="M20" s="132">
        <f>CONVERT((I20-K20)/10000,"mi","ft")*IF(L20="Increasing Mileposts (1)",-1,1)</f>
        <v>501.6</v>
      </c>
      <c r="N20" s="133" t="str">
        <f>VLOOKUP(C20,'Trips&amp;Operators'!$C$1:$G$99911,5,FALSE)</f>
        <v>HOLCOMB KAMDEN</v>
      </c>
      <c r="O20" s="175" t="s">
        <v>178</v>
      </c>
      <c r="P20" s="239"/>
      <c r="Q20" s="30"/>
      <c r="R20" s="81" t="str">
        <f>VLOOKUP(C20,'Train Runs'!$A$13:$AE$10186,31,0)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S20" s="84" t="str">
        <f>VLOOKUP(C20,'Train Runs'!$A$13:$AE$10186,22,0)</f>
        <v>https://d0f6bd738d7f1b3e5a7ca70fe4ff75f0.us-east-1.aws.found.io/app/kibana#/discover/Steve-Slow-Train-Analysis-(2080s-and-2083s)?_g=(refreshInterval:(display:Off,pause:!f,section:0,value:0),time:(from:'2017-12-24T21:05:19-0700',mode:absolute,to:'2017-12-24T23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/stypes="*4058*201712250*" /stext=" 05:.+((SYSTEM_STATE.+slice.+state.+changed )|(ment ac)|(multiple cpu faults)|(system.+state.+changed )|(\[timeout)|(PRM\|1\|D)|(kpr)|(kdp)|(train st.+moving)|(\|lc)|(penalty))"</v>
      </c>
      <c r="U20" s="9" t="str">
        <f>MID(B20,13,4)</f>
        <v>4058</v>
      </c>
      <c r="V20" s="31">
        <f>A20-utc_offset/24</f>
        <v>43094.219837962963</v>
      </c>
      <c r="W20" s="45" t="str">
        <f>DetSubdiv(C20)</f>
        <v>NW</v>
      </c>
      <c r="X20" s="228">
        <f>VALUE(LEFT(C20,LEN(C20)-3))</f>
        <v>1833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{"issue":{"subject":"","project_id":79,"tracker_id":40,"status_id":1,"priority_id":2,"assigned_to_id":338,"start_date":"2017-12-24","description":"","custom_fields":[{"id":1,"name":"Subdivision","value":"NW"},{"id":4,"name":"Milepost","value":"3.8172"},{"id":17,"name":"Train ID","value":"1833-24"},{"id":16,"name":"Locomotive ID","value":"4058"},{"id":130,"name":"Impact","value":""},{"id":150,"name":"Time of Event (Mountain Time)","value":"22:16:34"},{"id":151,"name":"Denver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/c/Users/stu/AppData/Local/Temp/OnboardLogs/RTDC4058 --include="*4058*201712250*"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"%USERPROFILE%\AppData\Local\Temp\OnboardLogs"\RTDC4058\*4058*201712250* &gt;&gt; 2017-12-24-SliceDisagreementCheck.txt</v>
      </c>
      <c r="AE20" s="144" t="str">
        <f t="shared" si="1"/>
        <v>start /low /b %USERPROFILE%\Documents\GitHub\eaglep3\Utilities\DownloadLogsFromS3.py --loco 4058 --day 2017-12-25</v>
      </c>
      <c r="AF20" s="1"/>
    </row>
    <row r="21" spans="1:32" x14ac:dyDescent="0.3">
      <c r="A21" s="31">
        <v>43093.59752314815</v>
      </c>
      <c r="B21" s="30" t="s">
        <v>548</v>
      </c>
      <c r="C21" s="30" t="s">
        <v>685</v>
      </c>
      <c r="D21" s="30" t="s">
        <v>49</v>
      </c>
      <c r="E21" s="30" t="s">
        <v>190</v>
      </c>
      <c r="F21" s="42">
        <v>150</v>
      </c>
      <c r="G21" s="42">
        <v>347</v>
      </c>
      <c r="H21" s="42">
        <v>55317</v>
      </c>
      <c r="I21" s="42">
        <v>56057</v>
      </c>
      <c r="J21" s="30" t="s">
        <v>191</v>
      </c>
      <c r="K21" s="42">
        <v>57008</v>
      </c>
      <c r="L21" s="131" t="s">
        <v>50</v>
      </c>
      <c r="M21" s="132">
        <f>CONVERT((I21-K21)/10000,"mi","ft")*IF(L21="Increasing Mileposts (1)",-1,1)</f>
        <v>502.12799999999999</v>
      </c>
      <c r="N21" s="133" t="str">
        <f>VLOOKUP(C21,'Trips&amp;Operators'!$C$1:$G$99911,5,FALSE)</f>
        <v>HOLCOMB KAMDEN</v>
      </c>
      <c r="O21" s="175" t="s">
        <v>178</v>
      </c>
      <c r="P21" s="239"/>
      <c r="Q21" s="30"/>
      <c r="R21" s="81" t="str">
        <f>VLOOKUP(C21,'Train Runs'!$A$13:$AE$10186,31,0)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S21" s="84" t="str">
        <f>VLOOKUP(C21,'Train Runs'!$A$13:$AE$10186,22,0)</f>
        <v>https://d0f6bd738d7f1b3e5a7ca70fe4ff75f0.us-east-1.aws.found.io/app/kibana#/discover/Steve-Slow-Train-Analysis-(2080s-and-2083s)?_g=(refreshInterval:(display:Off,pause:!f,section:0,value:0),time:(from:'2017-12-24T13:02:43-0700',mode:absolute,to:'2017-12-24T15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/stypes="*4058*201712242*" /stext=" 21:.+((SYSTEM_STATE.+slice.+state.+changed )|(ment ac)|(multiple cpu faults)|(system.+state.+changed )|(\[timeout)|(PRM\|1\|D)|(kpr)|(kdp)|(train st.+moving)|(\|lc)|(penalty))"</v>
      </c>
      <c r="U21" s="9" t="str">
        <f>MID(B21,13,4)</f>
        <v>4058</v>
      </c>
      <c r="V21" s="31">
        <f>A21-utc_offset/24</f>
        <v>43093.889189814814</v>
      </c>
      <c r="W21" s="45" t="str">
        <f>DetSubdiv(C21)</f>
        <v>NW</v>
      </c>
      <c r="X21" s="228">
        <f>VALUE(LEFT(C21,LEN(C21)-3))</f>
        <v>1817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{"issue":{"subject":"","project_id":79,"tracker_id":40,"status_id":1,"priority_id":2,"assigned_to_id":338,"start_date":"2017-12-24","description":"","custom_fields":[{"id":1,"name":"Subdivision","value":"NW"},{"id":4,"name":"Milepost","value":"5.7008"},{"id":17,"name":"Train ID","value":"1817-24"},{"id":16,"name":"Locomotive ID","value":"4058"},{"id":130,"name":"Impact","value":""},{"id":150,"name":"Time of Event (Mountain Time)","value":"14:20:26"},{"id":151,"name":"Denver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/c/Users/stu/AppData/Local/Temp/OnboardLogs/RTDC4058 --include="*4058*201712242*"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"%USERPROFILE%\AppData\Local\Temp\OnboardLogs"\RTDC4058\*4058*201712242* &gt;&gt; 2017-12-24-SliceDisagreementCheck.txt</v>
      </c>
      <c r="AE21" s="144" t="str">
        <f t="shared" si="1"/>
        <v>start /low /b %USERPROFILE%\Documents\GitHub\eaglep3\Utilities\DownloadLogsFromS3.py --loco 4058 --day 2017-12-24</v>
      </c>
      <c r="AF21" s="1"/>
    </row>
    <row r="22" spans="1:32" x14ac:dyDescent="0.3">
      <c r="A22" s="31">
        <v>43093.299050925925</v>
      </c>
      <c r="B22" s="30" t="s">
        <v>548</v>
      </c>
      <c r="C22" s="30" t="s">
        <v>673</v>
      </c>
      <c r="D22" s="30" t="s">
        <v>49</v>
      </c>
      <c r="E22" s="30" t="s">
        <v>674</v>
      </c>
      <c r="F22" s="42">
        <v>100</v>
      </c>
      <c r="G22" s="42">
        <v>163</v>
      </c>
      <c r="H22" s="42">
        <v>3398</v>
      </c>
      <c r="I22" s="42">
        <v>3713</v>
      </c>
      <c r="J22" s="30" t="s">
        <v>184</v>
      </c>
      <c r="K22" s="42">
        <v>3900</v>
      </c>
      <c r="L22" s="131" t="s">
        <v>50</v>
      </c>
      <c r="M22" s="132">
        <f>CONVERT((I22-K22)/10000,"mi","ft")*IF(L22="Increasing Mileposts (1)",-1,1)</f>
        <v>98.736000000000004</v>
      </c>
      <c r="N22" s="133" t="str">
        <f>VLOOKUP(C22,'Trips&amp;Operators'!$C$1:$G$99911,5,FALSE)</f>
        <v>MACDONALD THOMAS</v>
      </c>
      <c r="O22" s="175" t="s">
        <v>178</v>
      </c>
      <c r="P22" s="239"/>
      <c r="Q22" s="30"/>
      <c r="R22" s="81" t="str">
        <f>VLOOKUP(C22,'Train Runs'!$A$13:$AE$10186,31,0)</f>
        <v>aws s3 cp s3://rtdc.mdm.uploadarchive.raw/RTDC4058/ "%USERPROFILE%\AppData\Local\Temp\OnboardLogs"\RTDC4058\2017-12-24 --exclude "*" --recursive --include "*20171224*" &amp; "%USERPROFILE%\Documents\GitHub\mrs-test-scripts\Headless Mode &amp; Sideloading\WalkAndUnGZ.bat" "%USERPROFILE%\AppData\Local\Temp\OnboardLogs"\RTDC4058\2017-12-24 &amp; aws s3 cp s3://rtdc.mdm.uploadarchive.raw/RTDC4058/ "%USERPROFILE%\AppData\Local\Temp\OnboardLogs"\RTDC4058\2017-12-25 --exclude "*" --recursive --include "*20171225*" &amp; "%USERPROFILE%\Documents\GitHub\mrs-test-scripts\Headless Mode &amp; Sideloading\WalkAndUnGZ.bat" "%USERPROFILE%\AppData\Local\Temp\OnboardLogs"\RTDC4058\2017-12-25</v>
      </c>
      <c r="S22" s="84" t="str">
        <f>VLOOKUP(C22,'Train Runs'!$A$13:$AE$10186,22,0)</f>
        <v>https://d0f6bd738d7f1b3e5a7ca70fe4ff75f0.us-east-1.aws.found.io/app/kibana#/discover/Steve-Slow-Train-Analysis-(2080s-and-2083s)?_g=(refreshInterval:(display:Off,pause:!f,section:0,value:0),time:(from:'2017-12-24T06:07:16-0700',mode:absolute,to:'2017-12-24T08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/stypes="*4058*201712241*" /stext=" 14:.+((SYSTEM_STATE.+slice.+state.+changed )|(ment ac)|(multiple cpu faults)|(system.+state.+changed )|(\[timeout)|(PRM\|1\|D)|(kpr)|(kdp)|(train st.+moving)|(\|lc)|(penalty))"</v>
      </c>
      <c r="U22" s="9" t="str">
        <f>MID(B22,13,4)</f>
        <v>4058</v>
      </c>
      <c r="V22" s="31">
        <f>A22-utc_offset/24</f>
        <v>43093.590717592589</v>
      </c>
      <c r="W22" s="45" t="str">
        <f>DetSubdiv(C22)</f>
        <v>NW</v>
      </c>
      <c r="X22" s="228">
        <f>VALUE(LEFT(C22,LEN(C22)-3))</f>
        <v>1803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{"issue":{"subject":"","project_id":79,"tracker_id":40,"status_id":1,"priority_id":2,"assigned_to_id":338,"start_date":"2017-12-24","description":"","custom_fields":[{"id":1,"name":"Subdivision","value":"NW"},{"id":4,"name":"Milepost","value":"0.39"},{"id":17,"name":"Train ID","value":"1803-24"},{"id":16,"name":"Locomotive ID","value":"4058"},{"id":130,"name":"Impact","value":""},{"id":150,"name":"Time of Event (Mountain Time)","value":"07:10:38"},{"id":151,"name":"Denver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/c/Users/stu/AppData/Local/Temp/OnboardLogs/RTDC4058 --include="*4058*201712241*"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"%USERPROFILE%\AppData\Local\Temp\OnboardLogs"\RTDC4058\*4058*201712241* &gt;&gt; 2017-12-24-SliceDisagreementCheck.txt</v>
      </c>
      <c r="AE22" s="144" t="str">
        <f t="shared" si="1"/>
        <v>start /low /b %USERPROFILE%\Documents\GitHub\eaglep3\Utilities\DownloadLogsFromS3.py --loco 4058 --day 2017-12-24</v>
      </c>
      <c r="AF22" s="1"/>
    </row>
    <row r="23" spans="1:32" x14ac:dyDescent="0.3">
      <c r="A23" s="31">
        <v>43094.029016203705</v>
      </c>
      <c r="B23" s="30" t="s">
        <v>513</v>
      </c>
      <c r="C23" s="30" t="s">
        <v>697</v>
      </c>
      <c r="D23" s="30" t="s">
        <v>49</v>
      </c>
      <c r="E23" s="30" t="s">
        <v>354</v>
      </c>
      <c r="F23" s="42">
        <v>0</v>
      </c>
      <c r="G23" s="42">
        <v>226</v>
      </c>
      <c r="H23" s="42">
        <v>10335</v>
      </c>
      <c r="I23" s="42">
        <v>10767</v>
      </c>
      <c r="J23" s="30" t="s">
        <v>355</v>
      </c>
      <c r="K23" s="42">
        <v>10988</v>
      </c>
      <c r="L23" s="131" t="s">
        <v>50</v>
      </c>
      <c r="M23" s="132">
        <f>CONVERT((I23-K23)/10000,"mi","ft")*IF(L23="Increasing Mileposts (1)",-1,1)</f>
        <v>116.688</v>
      </c>
      <c r="N23" s="133" t="str">
        <f>VLOOKUP(C23,'Trips&amp;Operators'!$C$1:$G$99911,5,FALSE)</f>
        <v>STAMBAUGH JAMES</v>
      </c>
      <c r="O23" s="175" t="s">
        <v>178</v>
      </c>
      <c r="P23" s="239"/>
      <c r="Q23" s="30"/>
      <c r="R23" s="81" t="str">
        <f>VLOOKUP(C23,'Train Runs'!$A$13:$AE$10186,31,0)</f>
        <v>aws s3 cp s3://rtdc.mdm.uploadarchive.raw/RTDC4044/ "%USERPROFILE%\AppData\Local\Temp\OnboardLogs"\RTDC4044\2017-12-25 --exclude "*" --recursive --include "*20171225*" &amp; "%USERPROFILE%\Documents\GitHub\mrs-test-scripts\Headless Mode &amp; Sideloading\WalkAndUnGZ.bat" "%USERPROFILE%\AppData\Local\Temp\OnboardLogs"\RTDC4044\2017-12-25 &amp; aws s3 cp s3://rtdc.mdm.uploadarchive.raw/RTDC4044/ "%USERPROFILE%\AppData\Local\Temp\OnboardLogs"\RTDC4044\2017-12-26 --exclude "*" --recursive --include "*20171226*" &amp; "%USERPROFILE%\Documents\GitHub\mrs-test-scripts\Headless Mode &amp; Sideloading\WalkAndUnGZ.bat" "%USERPROFILE%\AppData\Local\Temp\OnboardLogs"\RTDC4044\2017-12-26</v>
      </c>
      <c r="S23" s="84" t="str">
        <f>VLOOKUP(C23,'Train Runs'!$A$13:$AE$10186,22,0)</f>
        <v>https://d0f6bd738d7f1b3e5a7ca70fe4ff75f0.us-east-1.aws.found.io/app/kibana#/discover/Steve-Slow-Train-Analysis-(2080s-and-2083s)?_g=(refreshInterval:(display:Off,pause:!f,section:0,value:0),time:(from:'2017-12-24T23:35:38-0700',mode:absolute,to:'2017-12-25T01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/stypes="*4044*201712250*" /stext=" 07:.+((SYSTEM_STATE.+slice.+state.+changed )|(ment ac)|(multiple cpu faults)|(system.+state.+changed )|(\[timeout)|(PRM\|1\|D)|(kpr)|(kdp)|(train st.+moving)|(\|lc)|(penalty))"</v>
      </c>
      <c r="U23" s="9" t="str">
        <f>MID(B23,13,4)</f>
        <v>4044</v>
      </c>
      <c r="V23" s="31">
        <f>A23-utc_offset/24</f>
        <v>43094.32068287037</v>
      </c>
      <c r="W23" s="45" t="str">
        <f>DetSubdiv(C23)</f>
        <v>Other</v>
      </c>
      <c r="X23" s="228">
        <f>VALUE(LEFT(C23,LEN(C23)-3))</f>
        <v>313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{"issue":{"subject":"","project_id":79,"tracker_id":40,"status_id":1,"priority_id":2,"assigned_to_id":338,"start_date":"2017-12-25","description":"","custom_fields":[{"id":1,"name":"Subdivision","value":"Other"},{"id":4,"name":"Milepost","value":"1.0988"},{"id":17,"name":"Train ID","value":"313-24"},{"id":16,"name":"Locomotive ID","value":"4044"},{"id":130,"name":"Impact","value":""},{"id":150,"name":"Time of Event (Mountain Time)","value":"00:41:47"},{"id":151,"name":"Denver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/c/Users/stu/AppData/Local/Temp/OnboardLogs/RTDC4044 --include="*4044*201712250*"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"%USERPROFILE%\AppData\Local\Temp\OnboardLogs"\RTDC4044\*4044*201712250* &gt;&gt; 2017-12-24-SliceDisagreementCheck.txt</v>
      </c>
      <c r="AE23" s="144" t="str">
        <f t="shared" si="1"/>
        <v>start /low /b %USERPROFILE%\Documents\GitHub\eaglep3\Utilities\DownloadLogsFromS3.py --loco 4044 --day 2017-12-25</v>
      </c>
      <c r="AF23" s="1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</sheetData>
  <autoFilter ref="A6:AC15">
    <sortState ref="A7:AC23">
      <sortCondition ref="W7:W23"/>
      <sortCondition ref="E7:E23"/>
      <sortCondition ref="K7:K23"/>
      <sortCondition ref="F7:F23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25:O1048576 O7:O23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3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2017-12-24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139</v>
      </c>
      <c r="B3" s="42" t="str">
        <f>A3&amp;"-"&amp;IF(DAY(Variables!$A$2)&lt;10,0,"")&amp;DAY(Variables!$A$2)</f>
        <v>139-24</v>
      </c>
      <c r="C3" s="134"/>
      <c r="D3" s="152" t="str">
        <f>VLOOKUP(B3,'Trips&amp;Operators'!$C$1:$H$1072,6,FALSE)</f>
        <v>4044</v>
      </c>
      <c r="E3" s="30"/>
      <c r="F3" s="227" t="str">
        <f>VLOOKUP(B3,'Trips&amp;Operators'!$C$2:$E$9912,3,FALSE)</f>
        <v>THOMPSON</v>
      </c>
      <c r="G3" s="21" t="str">
        <f>VLOOKUP(B3,'Trips&amp;Operators'!$C$1:$F$9912,4,FALSE)</f>
        <v>LESTER</v>
      </c>
      <c r="H3" s="29" t="str">
        <f>VLOOKUP(B3,'Trips&amp;Operators'!$C$1:$H$9912,5,FALSE)</f>
        <v>THOMPSON LESTER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22139-24%22)),sort:!(Time.ISO8601,asc))</v>
      </c>
      <c r="J3" s="30" t="str">
        <f>VLOOKUP(B3,'Train Runs'!$A$13:$A$100183,1,FALSE)</f>
        <v>139-24</v>
      </c>
    </row>
    <row r="4" spans="1:10" x14ac:dyDescent="0.3">
      <c r="A4" s="197"/>
      <c r="B4" s="42" t="str">
        <f>A4&amp;"-"&amp;IF(DAY(Variables!$A$2)&lt;10,0,"")&amp;DAY(Variables!$A$2)</f>
        <v>-24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Runs'!$A$13:$A$100183,1,FALSE)</f>
        <v>#N/A</v>
      </c>
    </row>
    <row r="5" spans="1:10" x14ac:dyDescent="0.3">
      <c r="A5" s="197"/>
      <c r="B5" s="42" t="str">
        <f>A5&amp;"-"&amp;IF(DAY(Variables!$A$2)&lt;10,0,"")&amp;DAY(Variables!$A$2)</f>
        <v>-24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Runs'!$A$13:$A$100183,1,FALSE)</f>
        <v>#N/A</v>
      </c>
    </row>
    <row r="6" spans="1:10" x14ac:dyDescent="0.3">
      <c r="A6" s="197"/>
      <c r="B6" s="42" t="str">
        <f>A6&amp;"-"&amp;IF(DAY(Variables!$A$2)&lt;10,0,"")&amp;DAY(Variables!$A$2)</f>
        <v>-24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Runs'!$A$13:$A$100183,1,FALSE)</f>
        <v>#N/A</v>
      </c>
    </row>
    <row r="7" spans="1:10" x14ac:dyDescent="0.3">
      <c r="A7" s="197"/>
      <c r="B7" s="42" t="str">
        <f>A7&amp;"-"&amp;IF(DAY(Variables!$A$2)&lt;10,0,"")&amp;DAY(Variables!$A$2)</f>
        <v>-24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Runs'!$A$13:$A$100183,1,FALSE)</f>
        <v>#N/A</v>
      </c>
    </row>
    <row r="8" spans="1:10" x14ac:dyDescent="0.3">
      <c r="A8" s="197"/>
      <c r="B8" s="42" t="str">
        <f>A8&amp;"-"&amp;IF(DAY(Variables!$A$2)&lt;10,0,"")&amp;DAY(Variables!$A$2)</f>
        <v>-24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Runs'!$A$13:$A$100183,1,FALSE)</f>
        <v>#N/A</v>
      </c>
    </row>
    <row r="9" spans="1:10" x14ac:dyDescent="0.3">
      <c r="A9" s="197"/>
      <c r="B9" s="42" t="str">
        <f>A9&amp;"-"&amp;IF(DAY(Variables!$A$2)&lt;10,0,"")&amp;DAY(Variables!$A$2)</f>
        <v>-24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Runs'!$A$13:$A$100183,1,FALSE)</f>
        <v>#N/A</v>
      </c>
    </row>
    <row r="10" spans="1:10" x14ac:dyDescent="0.3">
      <c r="A10" s="197"/>
      <c r="B10" s="42" t="str">
        <f>A10&amp;"-"&amp;IF(DAY(Variables!$A$2)&lt;10,0,"")&amp;DAY(Variables!$A$2)</f>
        <v>-24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Runs'!$A$13:$A$100183,1,FALSE)</f>
        <v>#N/A</v>
      </c>
    </row>
    <row r="11" spans="1:10" x14ac:dyDescent="0.3">
      <c r="A11" s="197"/>
      <c r="B11" s="42" t="str">
        <f>A11&amp;"-"&amp;IF(DAY(Variables!$A$2)&lt;10,0,"")&amp;DAY(Variables!$A$2)</f>
        <v>-24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Runs'!$A$13:$A$100183,1,FALSE)</f>
        <v>#N/A</v>
      </c>
    </row>
    <row r="12" spans="1:10" x14ac:dyDescent="0.3">
      <c r="A12" s="197"/>
      <c r="B12" s="42" t="str">
        <f>A12&amp;"-"&amp;IF(DAY(Variables!$A$2)&lt;10,0,"")&amp;DAY(Variables!$A$2)</f>
        <v>-24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Runs'!$A$13:$A$100183,1,FALSE)</f>
        <v>#N/A</v>
      </c>
    </row>
    <row r="13" spans="1:10" x14ac:dyDescent="0.3">
      <c r="A13" s="197"/>
      <c r="B13" s="42" t="str">
        <f>A13&amp;"-"&amp;IF(DAY(Variables!$A$2)&lt;10,0,"")&amp;DAY(Variables!$A$2)</f>
        <v>-24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Runs'!$A$13:$A$100183,1,FALSE)</f>
        <v>#N/A</v>
      </c>
    </row>
    <row r="14" spans="1:10" x14ac:dyDescent="0.3">
      <c r="A14" s="197"/>
      <c r="B14" s="42" t="str">
        <f>A14&amp;"-"&amp;IF(DAY(Variables!$A$2)&lt;10,0,"")&amp;DAY(Variables!$A$2)</f>
        <v>-24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Runs'!$A$13:$A$100183,1,FALSE)</f>
        <v>#N/A</v>
      </c>
    </row>
    <row r="15" spans="1:10" x14ac:dyDescent="0.3">
      <c r="A15" s="197"/>
      <c r="B15" s="42" t="str">
        <f>A15&amp;"-"&amp;IF(DAY(Variables!$A$2)&lt;10,0,"")&amp;DAY(Variables!$A$2)</f>
        <v>-24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Runs'!$A$13:$A$100183,1,FALSE)</f>
        <v>#N/A</v>
      </c>
    </row>
    <row r="16" spans="1:10" x14ac:dyDescent="0.3">
      <c r="A16" s="197"/>
      <c r="B16" s="42" t="str">
        <f>A16&amp;"-"&amp;IF(DAY(Variables!$A$2)&lt;10,0,"")&amp;DAY(Variables!$A$2)</f>
        <v>-24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Runs'!$A$13:$A$100183,1,FALSE)</f>
        <v>#N/A</v>
      </c>
    </row>
    <row r="17" spans="1:10" x14ac:dyDescent="0.3">
      <c r="A17" s="197"/>
      <c r="B17" s="42" t="str">
        <f>A17&amp;"-"&amp;IF(DAY(Variables!$A$2)&lt;10,0,"")&amp;DAY(Variables!$A$2)</f>
        <v>-24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Runs'!$A$13:$A$100183,1,FALSE)</f>
        <v>#N/A</v>
      </c>
    </row>
    <row r="18" spans="1:10" x14ac:dyDescent="0.3">
      <c r="A18" s="197"/>
      <c r="B18" s="42" t="str">
        <f>A18&amp;"-"&amp;IF(DAY(Variables!$A$2)&lt;10,0,"")&amp;DAY(Variables!$A$2)</f>
        <v>-24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Runs'!$A$13:$A$100183,1,FALSE)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43093.039050925923</v>
      </c>
      <c r="B2" s="20" t="s">
        <v>698</v>
      </c>
      <c r="C2" s="20" t="s">
        <v>699</v>
      </c>
      <c r="D2" s="137">
        <v>3700000</v>
      </c>
      <c r="E2" s="20" t="s">
        <v>446</v>
      </c>
      <c r="F2" s="20" t="s">
        <v>369</v>
      </c>
      <c r="G2" s="8" t="str">
        <f>E2&amp;" "&amp;F2</f>
        <v>AUSTIN THOMPSON</v>
      </c>
      <c r="H2" t="str">
        <f>MID(B2,13,4)</f>
        <v>4002</v>
      </c>
    </row>
    <row r="3" spans="1:8" x14ac:dyDescent="0.3">
      <c r="A3" s="8">
        <v>43093.052442129629</v>
      </c>
      <c r="B3" s="20" t="s">
        <v>700</v>
      </c>
      <c r="C3" s="20" t="s">
        <v>701</v>
      </c>
      <c r="D3" s="137">
        <v>3000000</v>
      </c>
      <c r="E3" s="20" t="s">
        <v>469</v>
      </c>
      <c r="F3" s="20" t="s">
        <v>470</v>
      </c>
      <c r="G3" s="8" t="str">
        <f t="shared" ref="G3:G66" si="0">E3&amp;" "&amp;F3</f>
        <v>FORTUNATO FRANK</v>
      </c>
      <c r="H3" s="20" t="str">
        <f t="shared" ref="H3:H66" si="1">MID(B3,13,4)</f>
        <v>4046</v>
      </c>
    </row>
    <row r="4" spans="1:8" x14ac:dyDescent="0.3">
      <c r="A4" s="8">
        <v>43093.057256944441</v>
      </c>
      <c r="B4" s="20" t="s">
        <v>367</v>
      </c>
      <c r="C4" s="20" t="s">
        <v>702</v>
      </c>
      <c r="D4" s="137">
        <v>3320000</v>
      </c>
      <c r="E4" s="20" t="s">
        <v>363</v>
      </c>
      <c r="F4" s="20" t="s">
        <v>364</v>
      </c>
      <c r="G4" s="8" t="str">
        <f t="shared" si="0"/>
        <v>NICHOLSON WESLEY</v>
      </c>
      <c r="H4" s="20" t="str">
        <f t="shared" si="1"/>
        <v>4035</v>
      </c>
    </row>
    <row r="5" spans="1:8" x14ac:dyDescent="0.3">
      <c r="A5" s="8">
        <v>43093.069004629629</v>
      </c>
      <c r="B5" s="20" t="s">
        <v>703</v>
      </c>
      <c r="C5" s="20" t="s">
        <v>704</v>
      </c>
      <c r="D5" s="137">
        <v>3340000</v>
      </c>
      <c r="E5" s="20" t="s">
        <v>464</v>
      </c>
      <c r="F5" s="20" t="s">
        <v>465</v>
      </c>
      <c r="G5" s="8" t="str">
        <f t="shared" si="0"/>
        <v>ELBAUM MIKE</v>
      </c>
      <c r="H5" s="20" t="str">
        <f t="shared" si="1"/>
        <v>4026</v>
      </c>
    </row>
    <row r="6" spans="1:8" x14ac:dyDescent="0.3">
      <c r="A6" s="8">
        <v>43093.079687500001</v>
      </c>
      <c r="B6" s="20" t="s">
        <v>705</v>
      </c>
      <c r="C6" s="20" t="s">
        <v>706</v>
      </c>
      <c r="D6" s="137">
        <v>3700000</v>
      </c>
      <c r="E6" s="20" t="s">
        <v>446</v>
      </c>
      <c r="F6" s="20" t="s">
        <v>369</v>
      </c>
      <c r="G6" s="8" t="str">
        <f t="shared" si="0"/>
        <v>AUSTIN THOMPSON</v>
      </c>
      <c r="H6" s="20" t="str">
        <f t="shared" si="1"/>
        <v>4001</v>
      </c>
    </row>
    <row r="7" spans="1:8" x14ac:dyDescent="0.3">
      <c r="A7" s="8">
        <v>43093.092361111114</v>
      </c>
      <c r="B7" s="20" t="s">
        <v>366</v>
      </c>
      <c r="C7" s="20" t="s">
        <v>707</v>
      </c>
      <c r="D7" s="137">
        <v>3320000</v>
      </c>
      <c r="E7" s="20" t="s">
        <v>363</v>
      </c>
      <c r="F7" s="20" t="s">
        <v>364</v>
      </c>
      <c r="G7" s="8" t="str">
        <f t="shared" si="0"/>
        <v>NICHOLSON WESLEY</v>
      </c>
      <c r="H7" s="20" t="str">
        <f t="shared" si="1"/>
        <v>4036</v>
      </c>
    </row>
    <row r="8" spans="1:8" x14ac:dyDescent="0.3">
      <c r="A8" s="8">
        <v>43093.107638888891</v>
      </c>
      <c r="B8" s="20" t="s">
        <v>514</v>
      </c>
      <c r="C8" s="20" t="s">
        <v>708</v>
      </c>
      <c r="D8" s="137">
        <v>3300000</v>
      </c>
      <c r="E8" s="20" t="s">
        <v>709</v>
      </c>
      <c r="F8" s="20" t="s">
        <v>710</v>
      </c>
      <c r="G8" s="8" t="str">
        <f t="shared" si="0"/>
        <v>LANGERAK WILLIAM</v>
      </c>
      <c r="H8" s="20" t="str">
        <f t="shared" si="1"/>
        <v>4043</v>
      </c>
    </row>
    <row r="9" spans="1:8" ht="15" thickBot="1" x14ac:dyDescent="0.35">
      <c r="A9" s="24">
        <v>43093.109548611108</v>
      </c>
      <c r="B9" s="20" t="s">
        <v>698</v>
      </c>
      <c r="C9" s="20" t="s">
        <v>711</v>
      </c>
      <c r="D9" s="137">
        <v>3700000</v>
      </c>
      <c r="E9" s="20" t="s">
        <v>446</v>
      </c>
      <c r="F9" s="20" t="s">
        <v>369</v>
      </c>
      <c r="G9" s="8" t="str">
        <f t="shared" si="0"/>
        <v>AUSTIN THOMPSON</v>
      </c>
      <c r="H9" s="20" t="str">
        <f t="shared" si="1"/>
        <v>4002</v>
      </c>
    </row>
    <row r="10" spans="1:8" x14ac:dyDescent="0.3">
      <c r="A10" s="8">
        <v>43093.114548611113</v>
      </c>
      <c r="B10" s="20" t="s">
        <v>514</v>
      </c>
      <c r="C10" s="20" t="s">
        <v>708</v>
      </c>
      <c r="D10" s="137">
        <v>3300000</v>
      </c>
      <c r="E10" s="20" t="s">
        <v>709</v>
      </c>
      <c r="F10" s="20" t="s">
        <v>710</v>
      </c>
      <c r="G10" s="8" t="str">
        <f t="shared" si="0"/>
        <v>LANGERAK WILLIAM</v>
      </c>
      <c r="H10" s="20" t="str">
        <f t="shared" si="1"/>
        <v>4043</v>
      </c>
    </row>
    <row r="11" spans="1:8" x14ac:dyDescent="0.3">
      <c r="A11" s="8">
        <v>43093.126446759263</v>
      </c>
      <c r="B11" s="20" t="s">
        <v>385</v>
      </c>
      <c r="C11" s="20" t="s">
        <v>708</v>
      </c>
      <c r="D11" s="137">
        <v>3300000</v>
      </c>
      <c r="E11" s="20" t="s">
        <v>709</v>
      </c>
      <c r="F11" s="20" t="s">
        <v>710</v>
      </c>
      <c r="G11" s="8" t="str">
        <f t="shared" si="0"/>
        <v>LANGERAK WILLIAM</v>
      </c>
      <c r="H11" s="20" t="str">
        <f t="shared" si="1"/>
        <v>4061</v>
      </c>
    </row>
    <row r="12" spans="1:8" x14ac:dyDescent="0.3">
      <c r="A12" s="8">
        <v>43093.127141203702</v>
      </c>
      <c r="B12" s="20" t="s">
        <v>385</v>
      </c>
      <c r="C12" s="20" t="s">
        <v>708</v>
      </c>
      <c r="D12" s="137">
        <v>3300000</v>
      </c>
      <c r="E12" s="20" t="s">
        <v>709</v>
      </c>
      <c r="F12" s="20" t="s">
        <v>710</v>
      </c>
      <c r="G12" s="8" t="str">
        <f t="shared" si="0"/>
        <v>LANGERAK WILLIAM</v>
      </c>
      <c r="H12" s="20" t="str">
        <f t="shared" si="1"/>
        <v>4061</v>
      </c>
    </row>
    <row r="13" spans="1:8" x14ac:dyDescent="0.3">
      <c r="A13" s="8">
        <v>43093.127395833333</v>
      </c>
      <c r="B13" s="20" t="s">
        <v>514</v>
      </c>
      <c r="C13" s="20" t="s">
        <v>712</v>
      </c>
      <c r="D13" s="137">
        <v>3120000</v>
      </c>
      <c r="E13" s="20" t="s">
        <v>369</v>
      </c>
      <c r="F13" s="20" t="s">
        <v>713</v>
      </c>
      <c r="G13" s="8" t="str">
        <f t="shared" si="0"/>
        <v>THOMPSON LESTER</v>
      </c>
      <c r="H13" s="20" t="str">
        <f t="shared" si="1"/>
        <v>4043</v>
      </c>
    </row>
    <row r="14" spans="1:8" x14ac:dyDescent="0.3">
      <c r="A14" s="8">
        <v>43093.139803240738</v>
      </c>
      <c r="B14" s="20" t="s">
        <v>513</v>
      </c>
      <c r="C14" s="20" t="s">
        <v>714</v>
      </c>
      <c r="D14" s="137">
        <v>3120000</v>
      </c>
      <c r="E14" s="20" t="s">
        <v>369</v>
      </c>
      <c r="F14" s="20" t="s">
        <v>713</v>
      </c>
      <c r="G14" s="8" t="str">
        <f t="shared" si="0"/>
        <v>THOMPSON LESTER</v>
      </c>
      <c r="H14" s="20" t="str">
        <f t="shared" si="1"/>
        <v>4044</v>
      </c>
    </row>
    <row r="15" spans="1:8" x14ac:dyDescent="0.3">
      <c r="A15" s="8">
        <v>43093.142175925925</v>
      </c>
      <c r="B15" s="20" t="s">
        <v>480</v>
      </c>
      <c r="C15" s="20" t="s">
        <v>715</v>
      </c>
      <c r="D15" s="137">
        <v>2010000</v>
      </c>
      <c r="E15" s="20" t="s">
        <v>491</v>
      </c>
      <c r="F15" s="20" t="s">
        <v>492</v>
      </c>
      <c r="G15" s="8" t="str">
        <f t="shared" si="0"/>
        <v>MAELZER KURT</v>
      </c>
      <c r="H15" s="20" t="str">
        <f t="shared" si="1"/>
        <v>4005</v>
      </c>
    </row>
    <row r="16" spans="1:8" x14ac:dyDescent="0.3">
      <c r="A16" s="8">
        <v>43093.153414351851</v>
      </c>
      <c r="B16" s="20" t="s">
        <v>477</v>
      </c>
      <c r="C16" s="20" t="s">
        <v>716</v>
      </c>
      <c r="D16" s="137">
        <v>2010000</v>
      </c>
      <c r="E16" s="20" t="s">
        <v>491</v>
      </c>
      <c r="F16" s="20" t="s">
        <v>492</v>
      </c>
      <c r="G16" s="8" t="str">
        <f t="shared" si="0"/>
        <v>MAELZER KURT</v>
      </c>
      <c r="H16" s="20" t="str">
        <f t="shared" si="1"/>
        <v>4006</v>
      </c>
    </row>
    <row r="17" spans="1:8" x14ac:dyDescent="0.3">
      <c r="A17" s="8">
        <v>43093.158993055556</v>
      </c>
      <c r="B17" s="20" t="s">
        <v>691</v>
      </c>
      <c r="C17" s="20" t="s">
        <v>717</v>
      </c>
      <c r="D17" s="137">
        <v>2440000</v>
      </c>
      <c r="E17" s="20" t="s">
        <v>451</v>
      </c>
      <c r="F17" s="20" t="s">
        <v>452</v>
      </c>
      <c r="G17" s="8" t="str">
        <f t="shared" si="0"/>
        <v>LOPES KIMBERLY</v>
      </c>
      <c r="H17" s="20" t="str">
        <f t="shared" si="1"/>
        <v>4021</v>
      </c>
    </row>
    <row r="18" spans="1:8" x14ac:dyDescent="0.3">
      <c r="A18" s="8">
        <v>43093.16982638889</v>
      </c>
      <c r="B18" s="20" t="s">
        <v>718</v>
      </c>
      <c r="C18" s="20" t="s">
        <v>719</v>
      </c>
      <c r="D18" s="137">
        <v>3260000</v>
      </c>
      <c r="E18" s="20" t="s">
        <v>720</v>
      </c>
      <c r="F18" s="20" t="s">
        <v>721</v>
      </c>
      <c r="G18" s="8" t="str">
        <f t="shared" si="0"/>
        <v>PAGE MARCUS</v>
      </c>
      <c r="H18" s="20" t="str">
        <f t="shared" si="1"/>
        <v>4031</v>
      </c>
    </row>
    <row r="19" spans="1:8" x14ac:dyDescent="0.3">
      <c r="A19" s="8">
        <v>43093.172048611108</v>
      </c>
      <c r="B19" s="20" t="s">
        <v>384</v>
      </c>
      <c r="C19" s="20" t="s">
        <v>722</v>
      </c>
      <c r="D19" s="137">
        <v>2440000</v>
      </c>
      <c r="E19" s="20" t="s">
        <v>451</v>
      </c>
      <c r="F19" s="20" t="s">
        <v>452</v>
      </c>
      <c r="G19" s="8" t="str">
        <f t="shared" si="0"/>
        <v>LOPES KIMBERLY</v>
      </c>
      <c r="H19" s="20" t="str">
        <f t="shared" si="1"/>
        <v>4022</v>
      </c>
    </row>
    <row r="20" spans="1:8" x14ac:dyDescent="0.3">
      <c r="A20" s="8">
        <v>43093.174467592595</v>
      </c>
      <c r="B20" s="20" t="s">
        <v>514</v>
      </c>
      <c r="C20" s="20" t="s">
        <v>723</v>
      </c>
      <c r="D20" s="137">
        <v>3120000</v>
      </c>
      <c r="E20" s="20" t="s">
        <v>369</v>
      </c>
      <c r="F20" s="20" t="s">
        <v>713</v>
      </c>
      <c r="G20" s="8" t="str">
        <f t="shared" si="0"/>
        <v>THOMPSON LESTER</v>
      </c>
      <c r="H20" s="20" t="str">
        <f t="shared" si="1"/>
        <v>4043</v>
      </c>
    </row>
    <row r="21" spans="1:8" x14ac:dyDescent="0.3">
      <c r="A21" s="8">
        <v>43093.175300925926</v>
      </c>
      <c r="B21" s="20" t="s">
        <v>371</v>
      </c>
      <c r="C21" s="20" t="s">
        <v>724</v>
      </c>
      <c r="D21" s="137">
        <v>1100000</v>
      </c>
      <c r="E21" s="20" t="s">
        <v>503</v>
      </c>
      <c r="F21" s="20" t="s">
        <v>504</v>
      </c>
      <c r="G21" s="8" t="str">
        <f t="shared" si="0"/>
        <v>GEBRETEKLE DAGNEW</v>
      </c>
      <c r="H21" s="20" t="str">
        <f t="shared" si="1"/>
        <v>4011</v>
      </c>
    </row>
    <row r="22" spans="1:8" x14ac:dyDescent="0.3">
      <c r="A22" s="26">
        <v>43093.183541666665</v>
      </c>
      <c r="B22" s="20" t="s">
        <v>667</v>
      </c>
      <c r="C22" s="20" t="s">
        <v>668</v>
      </c>
      <c r="D22" s="137">
        <v>3260000</v>
      </c>
      <c r="E22" s="20" t="s">
        <v>720</v>
      </c>
      <c r="F22" s="20" t="s">
        <v>721</v>
      </c>
      <c r="G22" s="8" t="str">
        <f t="shared" si="0"/>
        <v>PAGE MARCUS</v>
      </c>
      <c r="H22" s="20" t="str">
        <f t="shared" si="1"/>
        <v>4032</v>
      </c>
    </row>
    <row r="23" spans="1:8" x14ac:dyDescent="0.3">
      <c r="A23" s="8">
        <v>43093.188900462963</v>
      </c>
      <c r="B23" s="20" t="s">
        <v>480</v>
      </c>
      <c r="C23" s="20" t="s">
        <v>725</v>
      </c>
      <c r="D23" s="137">
        <v>2010000</v>
      </c>
      <c r="E23" s="20" t="s">
        <v>491</v>
      </c>
      <c r="F23" s="20" t="s">
        <v>492</v>
      </c>
      <c r="G23" s="8" t="str">
        <f t="shared" si="0"/>
        <v>MAELZER KURT</v>
      </c>
      <c r="H23" s="20" t="str">
        <f t="shared" si="1"/>
        <v>4005</v>
      </c>
    </row>
    <row r="24" spans="1:8" x14ac:dyDescent="0.3">
      <c r="A24" s="8">
        <v>43093.189768518518</v>
      </c>
      <c r="B24" s="20" t="s">
        <v>383</v>
      </c>
      <c r="C24" s="20" t="s">
        <v>708</v>
      </c>
      <c r="D24" s="137">
        <v>3300000</v>
      </c>
      <c r="E24" s="20" t="s">
        <v>709</v>
      </c>
      <c r="F24" s="20" t="s">
        <v>710</v>
      </c>
      <c r="G24" s="8" t="str">
        <f t="shared" si="0"/>
        <v>LANGERAK WILLIAM</v>
      </c>
      <c r="H24" s="20" t="str">
        <f t="shared" si="1"/>
        <v>4062</v>
      </c>
    </row>
    <row r="25" spans="1:8" x14ac:dyDescent="0.3">
      <c r="A25" s="8">
        <v>43093.193530092591</v>
      </c>
      <c r="B25" s="20" t="s">
        <v>385</v>
      </c>
      <c r="C25" s="20" t="s">
        <v>708</v>
      </c>
      <c r="D25" s="137">
        <v>3300000</v>
      </c>
      <c r="E25" s="20" t="s">
        <v>709</v>
      </c>
      <c r="F25" s="20" t="s">
        <v>710</v>
      </c>
      <c r="G25" s="8" t="str">
        <f t="shared" si="0"/>
        <v>LANGERAK WILLIAM</v>
      </c>
      <c r="H25" s="20" t="str">
        <f t="shared" si="1"/>
        <v>4061</v>
      </c>
    </row>
    <row r="26" spans="1:8" x14ac:dyDescent="0.3">
      <c r="A26" s="8">
        <v>43093.196747685186</v>
      </c>
      <c r="B26" s="20" t="s">
        <v>675</v>
      </c>
      <c r="C26" s="20" t="s">
        <v>726</v>
      </c>
      <c r="D26" s="137">
        <v>3040000</v>
      </c>
      <c r="E26" s="20" t="s">
        <v>368</v>
      </c>
      <c r="F26" s="20" t="s">
        <v>493</v>
      </c>
      <c r="G26" s="8" t="str">
        <f t="shared" si="0"/>
        <v>WILLIAMS DONTE</v>
      </c>
      <c r="H26" s="20" t="str">
        <f t="shared" si="1"/>
        <v>4013</v>
      </c>
    </row>
    <row r="27" spans="1:8" x14ac:dyDescent="0.3">
      <c r="A27" s="8">
        <v>43093.198287037034</v>
      </c>
      <c r="B27" s="20" t="s">
        <v>383</v>
      </c>
      <c r="C27" s="20" t="s">
        <v>727</v>
      </c>
      <c r="D27" s="137">
        <v>3300000</v>
      </c>
      <c r="E27" s="20" t="s">
        <v>709</v>
      </c>
      <c r="F27" s="20" t="s">
        <v>710</v>
      </c>
      <c r="G27" s="8" t="str">
        <f t="shared" si="0"/>
        <v>LANGERAK WILLIAM</v>
      </c>
      <c r="H27" s="20" t="str">
        <f t="shared" si="1"/>
        <v>4062</v>
      </c>
    </row>
    <row r="28" spans="1:8" x14ac:dyDescent="0.3">
      <c r="A28" s="8">
        <v>43093.209189814814</v>
      </c>
      <c r="B28" s="20" t="s">
        <v>513</v>
      </c>
      <c r="C28" s="20" t="s">
        <v>669</v>
      </c>
      <c r="D28" s="137">
        <v>3120000</v>
      </c>
      <c r="E28" s="20" t="s">
        <v>369</v>
      </c>
      <c r="F28" s="20" t="s">
        <v>713</v>
      </c>
      <c r="G28" s="8" t="str">
        <f t="shared" si="0"/>
        <v>THOMPSON LESTER</v>
      </c>
      <c r="H28" s="20" t="str">
        <f t="shared" si="1"/>
        <v>4044</v>
      </c>
    </row>
    <row r="29" spans="1:8" x14ac:dyDescent="0.3">
      <c r="A29" s="8">
        <v>43093.214039351849</v>
      </c>
      <c r="B29" s="20" t="s">
        <v>691</v>
      </c>
      <c r="C29" s="20" t="s">
        <v>728</v>
      </c>
      <c r="D29" s="137">
        <v>2440000</v>
      </c>
      <c r="E29" s="20" t="s">
        <v>451</v>
      </c>
      <c r="F29" s="20" t="s">
        <v>452</v>
      </c>
      <c r="G29" s="8" t="str">
        <f t="shared" si="0"/>
        <v>LOPES KIMBERLY</v>
      </c>
      <c r="H29" s="20" t="str">
        <f t="shared" si="1"/>
        <v>4021</v>
      </c>
    </row>
    <row r="30" spans="1:8" x14ac:dyDescent="0.3">
      <c r="A30" s="8">
        <v>43093.216284722221</v>
      </c>
      <c r="B30" s="20" t="s">
        <v>718</v>
      </c>
      <c r="C30" s="20" t="s">
        <v>729</v>
      </c>
      <c r="D30" s="137">
        <v>3260000</v>
      </c>
      <c r="E30" s="20" t="s">
        <v>720</v>
      </c>
      <c r="F30" s="20" t="s">
        <v>721</v>
      </c>
      <c r="G30" s="8" t="str">
        <f t="shared" si="0"/>
        <v>PAGE MARCUS</v>
      </c>
      <c r="H30" s="20" t="str">
        <f t="shared" si="1"/>
        <v>4031</v>
      </c>
    </row>
    <row r="31" spans="1:8" x14ac:dyDescent="0.3">
      <c r="A31" s="8">
        <v>43093.216886574075</v>
      </c>
      <c r="B31" s="20" t="s">
        <v>680</v>
      </c>
      <c r="C31" s="20" t="s">
        <v>730</v>
      </c>
      <c r="D31" s="137">
        <v>3040000</v>
      </c>
      <c r="E31" s="20" t="s">
        <v>368</v>
      </c>
      <c r="F31" s="20" t="s">
        <v>493</v>
      </c>
      <c r="G31" s="8" t="str">
        <f t="shared" si="0"/>
        <v>WILLIAMS DONTE</v>
      </c>
      <c r="H31" s="20" t="str">
        <f t="shared" si="1"/>
        <v>4014</v>
      </c>
    </row>
    <row r="32" spans="1:8" x14ac:dyDescent="0.3">
      <c r="A32" s="8">
        <v>43093.21802083333</v>
      </c>
      <c r="B32" s="20" t="s">
        <v>680</v>
      </c>
      <c r="C32" s="20" t="s">
        <v>730</v>
      </c>
      <c r="D32" s="137">
        <v>3040000</v>
      </c>
      <c r="E32" s="20" t="s">
        <v>368</v>
      </c>
      <c r="F32" s="20" t="s">
        <v>493</v>
      </c>
      <c r="G32" s="8" t="str">
        <f t="shared" si="0"/>
        <v>WILLIAMS DONTE</v>
      </c>
      <c r="H32" s="20" t="str">
        <f t="shared" si="1"/>
        <v>4014</v>
      </c>
    </row>
    <row r="33" spans="1:8" x14ac:dyDescent="0.3">
      <c r="A33" s="8">
        <v>43093.225983796299</v>
      </c>
      <c r="B33" s="20" t="s">
        <v>548</v>
      </c>
      <c r="C33" s="20" t="s">
        <v>731</v>
      </c>
      <c r="D33" s="137">
        <v>2560000</v>
      </c>
      <c r="E33" s="20" t="s">
        <v>589</v>
      </c>
      <c r="F33" s="20" t="s">
        <v>590</v>
      </c>
      <c r="G33" s="8" t="str">
        <f t="shared" si="0"/>
        <v>MACDONALD THOMAS</v>
      </c>
      <c r="H33" s="20" t="str">
        <f t="shared" si="1"/>
        <v>4058</v>
      </c>
    </row>
    <row r="34" spans="1:8" x14ac:dyDescent="0.3">
      <c r="A34" s="8">
        <v>43093.226944444446</v>
      </c>
      <c r="B34" s="20" t="s">
        <v>444</v>
      </c>
      <c r="C34" s="20" t="s">
        <v>732</v>
      </c>
      <c r="D34" s="137">
        <v>3090000</v>
      </c>
      <c r="E34" s="20" t="s">
        <v>733</v>
      </c>
      <c r="F34" s="20" t="s">
        <v>734</v>
      </c>
      <c r="G34" s="8" t="str">
        <f t="shared" si="0"/>
        <v>LAMAR NEKESHA</v>
      </c>
      <c r="H34" s="20" t="str">
        <f t="shared" si="1"/>
        <v>4049</v>
      </c>
    </row>
    <row r="35" spans="1:8" x14ac:dyDescent="0.3">
      <c r="A35" s="8">
        <v>43093.227500000001</v>
      </c>
      <c r="B35" s="20" t="s">
        <v>477</v>
      </c>
      <c r="C35" s="20" t="s">
        <v>670</v>
      </c>
      <c r="D35" s="137">
        <v>2010000</v>
      </c>
      <c r="E35" s="20" t="s">
        <v>491</v>
      </c>
      <c r="F35" s="20" t="s">
        <v>492</v>
      </c>
      <c r="G35" s="8" t="str">
        <f t="shared" si="0"/>
        <v>MAELZER KURT</v>
      </c>
      <c r="H35" s="20" t="str">
        <f t="shared" si="1"/>
        <v>4006</v>
      </c>
    </row>
    <row r="36" spans="1:8" x14ac:dyDescent="0.3">
      <c r="A36" s="8">
        <v>43093.235868055555</v>
      </c>
      <c r="B36" s="20" t="s">
        <v>385</v>
      </c>
      <c r="C36" s="20" t="s">
        <v>735</v>
      </c>
      <c r="D36" s="137">
        <v>3300000</v>
      </c>
      <c r="E36" s="20" t="s">
        <v>709</v>
      </c>
      <c r="F36" s="20" t="s">
        <v>710</v>
      </c>
      <c r="G36" s="8" t="str">
        <f t="shared" si="0"/>
        <v>LANGERAK WILLIAM</v>
      </c>
      <c r="H36" s="20" t="str">
        <f t="shared" si="1"/>
        <v>4061</v>
      </c>
    </row>
    <row r="37" spans="1:8" x14ac:dyDescent="0.3">
      <c r="A37" s="8">
        <v>43093.235995370371</v>
      </c>
      <c r="B37" s="20" t="s">
        <v>686</v>
      </c>
      <c r="C37" s="20" t="s">
        <v>736</v>
      </c>
      <c r="D37" s="137">
        <v>2560000</v>
      </c>
      <c r="E37" s="20" t="s">
        <v>589</v>
      </c>
      <c r="F37" s="20" t="s">
        <v>590</v>
      </c>
      <c r="G37" s="8" t="str">
        <f t="shared" si="0"/>
        <v>MACDONALD THOMAS</v>
      </c>
      <c r="H37" s="20" t="str">
        <f t="shared" si="1"/>
        <v>4057</v>
      </c>
    </row>
    <row r="38" spans="1:8" x14ac:dyDescent="0.3">
      <c r="A38" s="8">
        <v>43093.236793981479</v>
      </c>
      <c r="B38" s="20" t="s">
        <v>385</v>
      </c>
      <c r="C38" s="20" t="s">
        <v>735</v>
      </c>
      <c r="D38" s="137">
        <v>3300000</v>
      </c>
      <c r="E38" s="20" t="s">
        <v>709</v>
      </c>
      <c r="F38" s="20" t="s">
        <v>710</v>
      </c>
      <c r="G38" s="8" t="str">
        <f t="shared" si="0"/>
        <v>LANGERAK WILLIAM</v>
      </c>
      <c r="H38" s="20" t="str">
        <f t="shared" si="1"/>
        <v>4061</v>
      </c>
    </row>
    <row r="39" spans="1:8" x14ac:dyDescent="0.3">
      <c r="A39" s="8">
        <v>43093.237766203703</v>
      </c>
      <c r="B39" s="20" t="s">
        <v>445</v>
      </c>
      <c r="C39" s="20" t="s">
        <v>737</v>
      </c>
      <c r="D39" s="137">
        <v>3090000</v>
      </c>
      <c r="E39" s="20" t="s">
        <v>733</v>
      </c>
      <c r="F39" s="20" t="s">
        <v>734</v>
      </c>
      <c r="G39" s="8" t="str">
        <f t="shared" si="0"/>
        <v>LAMAR NEKESHA</v>
      </c>
      <c r="H39" s="20" t="str">
        <f t="shared" si="1"/>
        <v>4050</v>
      </c>
    </row>
    <row r="40" spans="1:8" x14ac:dyDescent="0.3">
      <c r="A40" s="8">
        <v>43093.23814814815</v>
      </c>
      <c r="B40" s="25" t="s">
        <v>385</v>
      </c>
      <c r="C40" s="20" t="s">
        <v>735</v>
      </c>
      <c r="D40" s="137">
        <v>3300000</v>
      </c>
      <c r="E40" s="20" t="s">
        <v>709</v>
      </c>
      <c r="F40" s="20" t="s">
        <v>710</v>
      </c>
      <c r="G40" s="8" t="str">
        <f t="shared" si="0"/>
        <v>LANGERAK WILLIAM</v>
      </c>
      <c r="H40" s="20" t="str">
        <f t="shared" si="1"/>
        <v>4061</v>
      </c>
    </row>
    <row r="41" spans="1:8" x14ac:dyDescent="0.3">
      <c r="A41" s="8">
        <v>43093.247071759259</v>
      </c>
      <c r="B41" s="20" t="s">
        <v>514</v>
      </c>
      <c r="C41" s="20" t="s">
        <v>738</v>
      </c>
      <c r="D41" s="137">
        <v>3120000</v>
      </c>
      <c r="E41" s="20" t="s">
        <v>369</v>
      </c>
      <c r="F41" s="20" t="s">
        <v>713</v>
      </c>
      <c r="G41" s="8" t="str">
        <f t="shared" si="0"/>
        <v>THOMPSON LESTER</v>
      </c>
      <c r="H41" s="20" t="str">
        <f t="shared" si="1"/>
        <v>4043</v>
      </c>
    </row>
    <row r="42" spans="1:8" x14ac:dyDescent="0.3">
      <c r="A42" s="8">
        <v>43093.248506944445</v>
      </c>
      <c r="B42" s="20" t="s">
        <v>384</v>
      </c>
      <c r="C42" s="20" t="s">
        <v>739</v>
      </c>
      <c r="D42" s="137">
        <v>2440000</v>
      </c>
      <c r="E42" s="20" t="s">
        <v>451</v>
      </c>
      <c r="F42" s="20" t="s">
        <v>452</v>
      </c>
      <c r="G42" s="8" t="str">
        <f t="shared" si="0"/>
        <v>LOPES KIMBERLY</v>
      </c>
      <c r="H42" s="20" t="str">
        <f t="shared" si="1"/>
        <v>4022</v>
      </c>
    </row>
    <row r="43" spans="1:8" x14ac:dyDescent="0.3">
      <c r="A43" s="8">
        <v>43093.253611111111</v>
      </c>
      <c r="B43" s="20" t="s">
        <v>675</v>
      </c>
      <c r="C43" s="20" t="s">
        <v>740</v>
      </c>
      <c r="D43" s="137">
        <v>3040000</v>
      </c>
      <c r="E43" s="20" t="s">
        <v>368</v>
      </c>
      <c r="F43" s="20" t="s">
        <v>493</v>
      </c>
      <c r="G43" s="8" t="str">
        <f t="shared" si="0"/>
        <v>WILLIAMS DONTE</v>
      </c>
      <c r="H43" s="20" t="str">
        <f t="shared" si="1"/>
        <v>4013</v>
      </c>
    </row>
    <row r="44" spans="1:8" x14ac:dyDescent="0.3">
      <c r="A44" s="8">
        <v>43093.255057870374</v>
      </c>
      <c r="B44" s="20" t="s">
        <v>548</v>
      </c>
      <c r="C44" s="20" t="s">
        <v>741</v>
      </c>
      <c r="D44" s="137">
        <v>2560000</v>
      </c>
      <c r="E44" s="20" t="s">
        <v>589</v>
      </c>
      <c r="F44" s="20" t="s">
        <v>590</v>
      </c>
      <c r="G44" s="8" t="str">
        <f t="shared" si="0"/>
        <v>MACDONALD THOMAS</v>
      </c>
      <c r="H44" s="20" t="str">
        <f t="shared" si="1"/>
        <v>4058</v>
      </c>
    </row>
    <row r="45" spans="1:8" x14ac:dyDescent="0.3">
      <c r="A45" s="8">
        <v>43093.260567129626</v>
      </c>
      <c r="B45" s="20" t="s">
        <v>667</v>
      </c>
      <c r="C45" s="20" t="s">
        <v>742</v>
      </c>
      <c r="D45" s="137">
        <v>3260000</v>
      </c>
      <c r="E45" s="20" t="s">
        <v>720</v>
      </c>
      <c r="F45" s="20" t="s">
        <v>721</v>
      </c>
      <c r="G45" s="8" t="str">
        <f t="shared" si="0"/>
        <v>PAGE MARCUS</v>
      </c>
      <c r="H45" s="20" t="str">
        <f t="shared" si="1"/>
        <v>4032</v>
      </c>
    </row>
    <row r="46" spans="1:8" x14ac:dyDescent="0.3">
      <c r="A46" s="8">
        <v>43093.266724537039</v>
      </c>
      <c r="B46" s="20" t="s">
        <v>480</v>
      </c>
      <c r="C46" s="20" t="s">
        <v>743</v>
      </c>
      <c r="D46" s="137">
        <v>2010000</v>
      </c>
      <c r="E46" s="20" t="s">
        <v>491</v>
      </c>
      <c r="F46" s="20" t="s">
        <v>492</v>
      </c>
      <c r="G46" s="8" t="str">
        <f t="shared" si="0"/>
        <v>MAELZER KURT</v>
      </c>
      <c r="H46" s="20" t="str">
        <f t="shared" si="1"/>
        <v>4005</v>
      </c>
    </row>
    <row r="47" spans="1:8" x14ac:dyDescent="0.3">
      <c r="A47" s="8">
        <v>43093.268287037034</v>
      </c>
      <c r="B47" s="20" t="s">
        <v>686</v>
      </c>
      <c r="C47" s="20" t="s">
        <v>744</v>
      </c>
      <c r="D47" s="137">
        <v>2560000</v>
      </c>
      <c r="E47" s="20" t="s">
        <v>589</v>
      </c>
      <c r="F47" s="20" t="s">
        <v>590</v>
      </c>
      <c r="G47" s="8" t="str">
        <f t="shared" si="0"/>
        <v>MACDONALD THOMAS</v>
      </c>
      <c r="H47" s="20" t="str">
        <f t="shared" si="1"/>
        <v>4057</v>
      </c>
    </row>
    <row r="48" spans="1:8" x14ac:dyDescent="0.3">
      <c r="A48" s="8">
        <v>43093.271921296298</v>
      </c>
      <c r="B48" s="20" t="s">
        <v>370</v>
      </c>
      <c r="C48" s="20" t="s">
        <v>745</v>
      </c>
      <c r="D48" s="137">
        <v>1100000</v>
      </c>
      <c r="E48" s="20" t="s">
        <v>503</v>
      </c>
      <c r="F48" s="20" t="s">
        <v>504</v>
      </c>
      <c r="G48" s="8" t="str">
        <f t="shared" si="0"/>
        <v>GEBRETEKLE DAGNEW</v>
      </c>
      <c r="H48" s="20" t="str">
        <f t="shared" si="1"/>
        <v>4012</v>
      </c>
    </row>
    <row r="49" spans="1:8" x14ac:dyDescent="0.3">
      <c r="A49" s="8">
        <v>43093.272800925923</v>
      </c>
      <c r="B49" s="20" t="s">
        <v>370</v>
      </c>
      <c r="C49" s="20" t="s">
        <v>745</v>
      </c>
      <c r="D49" s="137">
        <v>1100000</v>
      </c>
      <c r="E49" s="20" t="s">
        <v>503</v>
      </c>
      <c r="F49" s="20" t="s">
        <v>504</v>
      </c>
      <c r="G49" s="8" t="str">
        <f t="shared" si="0"/>
        <v>GEBRETEKLE DAGNEW</v>
      </c>
      <c r="H49" s="20" t="str">
        <f t="shared" si="1"/>
        <v>4012</v>
      </c>
    </row>
    <row r="50" spans="1:8" x14ac:dyDescent="0.3">
      <c r="A50" s="8">
        <v>43093.276770833334</v>
      </c>
      <c r="B50" s="20" t="s">
        <v>383</v>
      </c>
      <c r="C50" s="20" t="s">
        <v>746</v>
      </c>
      <c r="D50" s="137">
        <v>3300000</v>
      </c>
      <c r="E50" s="20" t="s">
        <v>709</v>
      </c>
      <c r="F50" s="20" t="s">
        <v>710</v>
      </c>
      <c r="G50" s="8" t="str">
        <f t="shared" si="0"/>
        <v>LANGERAK WILLIAM</v>
      </c>
      <c r="H50" s="20" t="str">
        <f t="shared" si="1"/>
        <v>4062</v>
      </c>
    </row>
    <row r="51" spans="1:8" x14ac:dyDescent="0.3">
      <c r="A51" s="8">
        <v>43093.278993055559</v>
      </c>
      <c r="B51" s="20" t="s">
        <v>444</v>
      </c>
      <c r="C51" s="20" t="s">
        <v>747</v>
      </c>
      <c r="D51" s="137">
        <v>3090000</v>
      </c>
      <c r="E51" s="20" t="s">
        <v>733</v>
      </c>
      <c r="F51" s="20" t="s">
        <v>734</v>
      </c>
      <c r="G51" s="8" t="str">
        <f t="shared" si="0"/>
        <v>LAMAR NEKESHA</v>
      </c>
      <c r="H51" s="20" t="str">
        <f t="shared" si="1"/>
        <v>4049</v>
      </c>
    </row>
    <row r="52" spans="1:8" x14ac:dyDescent="0.3">
      <c r="A52" s="8">
        <v>43093.27921296296</v>
      </c>
      <c r="B52" s="20" t="s">
        <v>691</v>
      </c>
      <c r="C52" s="20" t="s">
        <v>748</v>
      </c>
      <c r="D52" s="137">
        <v>2440000</v>
      </c>
      <c r="E52" s="20" t="s">
        <v>451</v>
      </c>
      <c r="F52" s="20" t="s">
        <v>452</v>
      </c>
      <c r="G52" s="8" t="str">
        <f t="shared" si="0"/>
        <v>LOPES KIMBERLY</v>
      </c>
      <c r="H52" s="20" t="str">
        <f t="shared" si="1"/>
        <v>4021</v>
      </c>
    </row>
    <row r="53" spans="1:8" x14ac:dyDescent="0.3">
      <c r="A53" s="8">
        <v>43093.28056712963</v>
      </c>
      <c r="B53" s="20" t="s">
        <v>385</v>
      </c>
      <c r="C53" s="20" t="s">
        <v>746</v>
      </c>
      <c r="D53" s="137">
        <v>3300000</v>
      </c>
      <c r="E53" s="20" t="s">
        <v>709</v>
      </c>
      <c r="F53" s="20" t="s">
        <v>710</v>
      </c>
      <c r="G53" s="8" t="str">
        <f t="shared" si="0"/>
        <v>LANGERAK WILLIAM</v>
      </c>
      <c r="H53" s="20" t="str">
        <f t="shared" si="1"/>
        <v>4061</v>
      </c>
    </row>
    <row r="54" spans="1:8" x14ac:dyDescent="0.3">
      <c r="A54" s="8">
        <v>43093.282453703701</v>
      </c>
      <c r="B54" s="20" t="s">
        <v>513</v>
      </c>
      <c r="C54" s="20" t="s">
        <v>749</v>
      </c>
      <c r="D54" s="137">
        <v>3120000</v>
      </c>
      <c r="E54" s="20" t="s">
        <v>369</v>
      </c>
      <c r="F54" s="20" t="s">
        <v>713</v>
      </c>
      <c r="G54" s="8" t="str">
        <f t="shared" si="0"/>
        <v>THOMPSON LESTER</v>
      </c>
      <c r="H54" s="20" t="str">
        <f t="shared" si="1"/>
        <v>4044</v>
      </c>
    </row>
    <row r="55" spans="1:8" x14ac:dyDescent="0.3">
      <c r="A55" s="8">
        <v>43093.290381944447</v>
      </c>
      <c r="B55" s="20" t="s">
        <v>718</v>
      </c>
      <c r="C55" s="20" t="s">
        <v>750</v>
      </c>
      <c r="D55" s="137">
        <v>3260000</v>
      </c>
      <c r="E55" s="20" t="s">
        <v>720</v>
      </c>
      <c r="F55" s="20" t="s">
        <v>721</v>
      </c>
      <c r="G55" s="8" t="str">
        <f t="shared" si="0"/>
        <v>PAGE MARCUS</v>
      </c>
      <c r="H55" s="20" t="str">
        <f t="shared" si="1"/>
        <v>4031</v>
      </c>
    </row>
    <row r="56" spans="1:8" x14ac:dyDescent="0.3">
      <c r="A56" s="8">
        <v>43093.293206018519</v>
      </c>
      <c r="B56" s="20" t="s">
        <v>680</v>
      </c>
      <c r="C56" s="20" t="s">
        <v>751</v>
      </c>
      <c r="D56" s="137">
        <v>3040000</v>
      </c>
      <c r="E56" s="20" t="s">
        <v>368</v>
      </c>
      <c r="F56" s="20" t="s">
        <v>493</v>
      </c>
      <c r="G56" s="8" t="str">
        <f t="shared" si="0"/>
        <v>WILLIAMS DONTE</v>
      </c>
      <c r="H56" s="20" t="str">
        <f t="shared" si="1"/>
        <v>4014</v>
      </c>
    </row>
    <row r="57" spans="1:8" x14ac:dyDescent="0.3">
      <c r="A57" s="8">
        <v>43093.297048611108</v>
      </c>
      <c r="B57" s="20" t="s">
        <v>548</v>
      </c>
      <c r="C57" s="20" t="s">
        <v>673</v>
      </c>
      <c r="D57" s="137">
        <v>2560000</v>
      </c>
      <c r="E57" s="20" t="s">
        <v>589</v>
      </c>
      <c r="F57" s="20" t="s">
        <v>590</v>
      </c>
      <c r="G57" s="8" t="str">
        <f t="shared" si="0"/>
        <v>MACDONALD THOMAS</v>
      </c>
      <c r="H57" s="20" t="str">
        <f t="shared" si="1"/>
        <v>4058</v>
      </c>
    </row>
    <row r="58" spans="1:8" x14ac:dyDescent="0.3">
      <c r="A58" s="8">
        <v>43093.300891203704</v>
      </c>
      <c r="B58" s="20" t="s">
        <v>477</v>
      </c>
      <c r="C58" s="20" t="s">
        <v>752</v>
      </c>
      <c r="D58" s="137">
        <v>2010000</v>
      </c>
      <c r="E58" s="20" t="s">
        <v>491</v>
      </c>
      <c r="F58" s="20" t="s">
        <v>492</v>
      </c>
      <c r="G58" s="8" t="str">
        <f t="shared" si="0"/>
        <v>MAELZER KURT</v>
      </c>
      <c r="H58" s="20" t="str">
        <f t="shared" si="1"/>
        <v>4006</v>
      </c>
    </row>
    <row r="59" spans="1:8" x14ac:dyDescent="0.3">
      <c r="A59" s="8">
        <v>43093.302071759259</v>
      </c>
      <c r="B59" s="20" t="s">
        <v>371</v>
      </c>
      <c r="C59" s="20" t="s">
        <v>753</v>
      </c>
      <c r="D59" s="137">
        <v>1100000</v>
      </c>
      <c r="E59" s="20" t="s">
        <v>503</v>
      </c>
      <c r="F59" s="20" t="s">
        <v>504</v>
      </c>
      <c r="G59" s="8" t="str">
        <f t="shared" si="0"/>
        <v>GEBRETEKLE DAGNEW</v>
      </c>
      <c r="H59" s="20" t="str">
        <f t="shared" si="1"/>
        <v>4011</v>
      </c>
    </row>
    <row r="60" spans="1:8" x14ac:dyDescent="0.3">
      <c r="A60" s="8">
        <v>43093.308645833335</v>
      </c>
      <c r="B60" s="20" t="s">
        <v>686</v>
      </c>
      <c r="C60" s="20" t="s">
        <v>754</v>
      </c>
      <c r="D60" s="137">
        <v>2560000</v>
      </c>
      <c r="E60" s="20" t="s">
        <v>589</v>
      </c>
      <c r="F60" s="20" t="s">
        <v>590</v>
      </c>
      <c r="G60" s="8" t="str">
        <f t="shared" si="0"/>
        <v>MACDONALD THOMAS</v>
      </c>
      <c r="H60" s="20" t="str">
        <f t="shared" si="1"/>
        <v>4057</v>
      </c>
    </row>
    <row r="61" spans="1:8" x14ac:dyDescent="0.3">
      <c r="A61" s="8">
        <v>43093.3125</v>
      </c>
      <c r="B61" s="20" t="s">
        <v>445</v>
      </c>
      <c r="C61" s="20" t="s">
        <v>755</v>
      </c>
      <c r="D61" s="137">
        <v>3090000</v>
      </c>
      <c r="E61" s="20" t="s">
        <v>733</v>
      </c>
      <c r="F61" s="20" t="s">
        <v>734</v>
      </c>
      <c r="G61" s="8" t="str">
        <f t="shared" si="0"/>
        <v>LAMAR NEKESHA</v>
      </c>
      <c r="H61" s="20" t="str">
        <f t="shared" si="1"/>
        <v>4050</v>
      </c>
    </row>
    <row r="62" spans="1:8" x14ac:dyDescent="0.3">
      <c r="A62" s="8">
        <v>43093.320277777777</v>
      </c>
      <c r="B62" s="20" t="s">
        <v>514</v>
      </c>
      <c r="C62" s="20" t="s">
        <v>756</v>
      </c>
      <c r="D62" s="137">
        <v>3120000</v>
      </c>
      <c r="E62" s="20" t="s">
        <v>369</v>
      </c>
      <c r="F62" s="20" t="s">
        <v>713</v>
      </c>
      <c r="G62" s="8" t="str">
        <f t="shared" si="0"/>
        <v>THOMPSON LESTER</v>
      </c>
      <c r="H62" s="20" t="str">
        <f t="shared" si="1"/>
        <v>4043</v>
      </c>
    </row>
    <row r="63" spans="1:8" x14ac:dyDescent="0.3">
      <c r="A63" s="8">
        <v>43093.322465277779</v>
      </c>
      <c r="B63" s="20" t="s">
        <v>384</v>
      </c>
      <c r="C63" s="20" t="s">
        <v>757</v>
      </c>
      <c r="D63" s="137">
        <v>2440000</v>
      </c>
      <c r="E63" s="20" t="s">
        <v>451</v>
      </c>
      <c r="F63" s="20" t="s">
        <v>452</v>
      </c>
      <c r="G63" s="8" t="str">
        <f t="shared" si="0"/>
        <v>LOPES KIMBERLY</v>
      </c>
      <c r="H63" s="20" t="str">
        <f t="shared" si="1"/>
        <v>4022</v>
      </c>
    </row>
    <row r="64" spans="1:8" x14ac:dyDescent="0.3">
      <c r="A64" s="26">
        <v>43093.327002314814</v>
      </c>
      <c r="B64" s="20" t="s">
        <v>383</v>
      </c>
      <c r="C64" s="20" t="s">
        <v>758</v>
      </c>
      <c r="D64" s="137">
        <v>3300000</v>
      </c>
      <c r="E64" s="20" t="s">
        <v>709</v>
      </c>
      <c r="F64" s="20" t="s">
        <v>710</v>
      </c>
      <c r="G64" s="8" t="str">
        <f t="shared" si="0"/>
        <v>LANGERAK WILLIAM</v>
      </c>
      <c r="H64" s="20" t="str">
        <f t="shared" si="1"/>
        <v>4062</v>
      </c>
    </row>
    <row r="65" spans="1:8" x14ac:dyDescent="0.3">
      <c r="A65" s="8">
        <v>43093.328680555554</v>
      </c>
      <c r="B65" s="20" t="s">
        <v>675</v>
      </c>
      <c r="C65" s="20" t="s">
        <v>676</v>
      </c>
      <c r="D65" s="137">
        <v>3040000</v>
      </c>
      <c r="E65" s="20" t="s">
        <v>368</v>
      </c>
      <c r="F65" s="20" t="s">
        <v>493</v>
      </c>
      <c r="G65" s="8" t="str">
        <f t="shared" si="0"/>
        <v>WILLIAMS DONTE</v>
      </c>
      <c r="H65" s="20" t="str">
        <f t="shared" si="1"/>
        <v>4013</v>
      </c>
    </row>
    <row r="66" spans="1:8" x14ac:dyDescent="0.3">
      <c r="A66" s="8">
        <v>43093.335127314815</v>
      </c>
      <c r="B66" s="20" t="s">
        <v>667</v>
      </c>
      <c r="C66" s="20" t="s">
        <v>759</v>
      </c>
      <c r="D66" s="137">
        <v>3260000</v>
      </c>
      <c r="E66" s="20" t="s">
        <v>720</v>
      </c>
      <c r="F66" s="20" t="s">
        <v>721</v>
      </c>
      <c r="G66" s="8" t="str">
        <f t="shared" si="0"/>
        <v>PAGE MARCUS</v>
      </c>
      <c r="H66" s="20" t="str">
        <f t="shared" si="1"/>
        <v>4032</v>
      </c>
    </row>
    <row r="67" spans="1:8" x14ac:dyDescent="0.3">
      <c r="A67" s="8">
        <v>43093.339016203703</v>
      </c>
      <c r="B67" s="20" t="s">
        <v>480</v>
      </c>
      <c r="C67" s="20" t="s">
        <v>760</v>
      </c>
      <c r="D67" s="137">
        <v>2010000</v>
      </c>
      <c r="E67" s="20" t="s">
        <v>491</v>
      </c>
      <c r="F67" s="20" t="s">
        <v>492</v>
      </c>
      <c r="G67" s="8" t="str">
        <f t="shared" ref="G67:G130" si="2">E67&amp;" "&amp;F67</f>
        <v>MAELZER KURT</v>
      </c>
      <c r="H67" s="20" t="str">
        <f t="shared" ref="H67:H130" si="3">MID(B67,13,4)</f>
        <v>4005</v>
      </c>
    </row>
    <row r="68" spans="1:8" x14ac:dyDescent="0.3">
      <c r="A68" s="8">
        <v>43093.339490740742</v>
      </c>
      <c r="B68" s="20" t="s">
        <v>548</v>
      </c>
      <c r="C68" s="20" t="s">
        <v>761</v>
      </c>
      <c r="D68" s="137">
        <v>2560000</v>
      </c>
      <c r="E68" s="20" t="s">
        <v>589</v>
      </c>
      <c r="F68" s="20" t="s">
        <v>590</v>
      </c>
      <c r="G68" s="8" t="str">
        <f t="shared" si="2"/>
        <v>MACDONALD THOMAS</v>
      </c>
      <c r="H68" s="20" t="str">
        <f t="shared" si="3"/>
        <v>4058</v>
      </c>
    </row>
    <row r="69" spans="1:8" x14ac:dyDescent="0.3">
      <c r="A69" s="8">
        <v>43093.341435185182</v>
      </c>
      <c r="B69" s="20" t="s">
        <v>370</v>
      </c>
      <c r="C69" s="20" t="s">
        <v>762</v>
      </c>
      <c r="D69" s="137">
        <v>1100000</v>
      </c>
      <c r="E69" s="20" t="s">
        <v>503</v>
      </c>
      <c r="F69" s="20" t="s">
        <v>504</v>
      </c>
      <c r="G69" s="8" t="str">
        <f t="shared" si="2"/>
        <v>GEBRETEKLE DAGNEW</v>
      </c>
      <c r="H69" s="20" t="str">
        <f t="shared" si="3"/>
        <v>4012</v>
      </c>
    </row>
    <row r="70" spans="1:8" x14ac:dyDescent="0.3">
      <c r="A70" s="8">
        <v>43093.34171296296</v>
      </c>
      <c r="B70" s="20" t="s">
        <v>718</v>
      </c>
      <c r="C70" s="20" t="s">
        <v>759</v>
      </c>
      <c r="D70" s="137">
        <v>3260000</v>
      </c>
      <c r="E70" s="20" t="s">
        <v>720</v>
      </c>
      <c r="F70" s="20" t="s">
        <v>721</v>
      </c>
      <c r="G70" s="8" t="str">
        <f t="shared" si="2"/>
        <v>PAGE MARCUS</v>
      </c>
      <c r="H70" s="20" t="str">
        <f t="shared" si="3"/>
        <v>4031</v>
      </c>
    </row>
    <row r="71" spans="1:8" x14ac:dyDescent="0.3">
      <c r="A71" s="8">
        <v>43093.344293981485</v>
      </c>
      <c r="B71" s="20" t="s">
        <v>444</v>
      </c>
      <c r="C71" s="20" t="s">
        <v>763</v>
      </c>
      <c r="D71" s="137">
        <v>3090000</v>
      </c>
      <c r="E71" s="20" t="s">
        <v>733</v>
      </c>
      <c r="F71" s="20" t="s">
        <v>734</v>
      </c>
      <c r="G71" s="8" t="str">
        <f t="shared" si="2"/>
        <v>LAMAR NEKESHA</v>
      </c>
      <c r="H71" s="20" t="str">
        <f t="shared" si="3"/>
        <v>4049</v>
      </c>
    </row>
    <row r="72" spans="1:8" x14ac:dyDescent="0.3">
      <c r="A72" s="8">
        <v>43093.350266203706</v>
      </c>
      <c r="B72" s="20" t="s">
        <v>691</v>
      </c>
      <c r="C72" s="20" t="s">
        <v>764</v>
      </c>
      <c r="D72" s="137">
        <v>2440000</v>
      </c>
      <c r="E72" s="20" t="s">
        <v>451</v>
      </c>
      <c r="F72" s="20" t="s">
        <v>452</v>
      </c>
      <c r="G72" s="8" t="str">
        <f t="shared" si="2"/>
        <v>LOPES KIMBERLY</v>
      </c>
      <c r="H72" s="20" t="str">
        <f t="shared" si="3"/>
        <v>4021</v>
      </c>
    </row>
    <row r="73" spans="1:8" x14ac:dyDescent="0.3">
      <c r="A73" s="8">
        <v>43093.351724537039</v>
      </c>
      <c r="B73" s="20" t="s">
        <v>686</v>
      </c>
      <c r="C73" s="20" t="s">
        <v>765</v>
      </c>
      <c r="D73" s="137">
        <v>2560000</v>
      </c>
      <c r="E73" s="20" t="s">
        <v>589</v>
      </c>
      <c r="F73" s="20" t="s">
        <v>590</v>
      </c>
      <c r="G73" s="8" t="str">
        <f t="shared" si="2"/>
        <v>MACDONALD THOMAS</v>
      </c>
      <c r="H73" s="20" t="str">
        <f t="shared" si="3"/>
        <v>4057</v>
      </c>
    </row>
    <row r="74" spans="1:8" x14ac:dyDescent="0.3">
      <c r="A74" s="8">
        <v>43093.352199074077</v>
      </c>
      <c r="B74" s="20" t="s">
        <v>513</v>
      </c>
      <c r="C74" s="20" t="s">
        <v>677</v>
      </c>
      <c r="D74" s="137">
        <v>3120000</v>
      </c>
      <c r="E74" s="20" t="s">
        <v>369</v>
      </c>
      <c r="F74" s="20" t="s">
        <v>713</v>
      </c>
      <c r="G74" s="8" t="str">
        <f t="shared" si="2"/>
        <v>THOMPSON LESTER</v>
      </c>
      <c r="H74" s="20" t="str">
        <f t="shared" si="3"/>
        <v>4044</v>
      </c>
    </row>
    <row r="75" spans="1:8" x14ac:dyDescent="0.3">
      <c r="A75" s="8">
        <v>43093.360694444447</v>
      </c>
      <c r="B75" s="20" t="s">
        <v>444</v>
      </c>
      <c r="C75" s="20" t="s">
        <v>763</v>
      </c>
      <c r="D75" s="137">
        <v>3090000</v>
      </c>
      <c r="E75" s="20" t="s">
        <v>733</v>
      </c>
      <c r="F75" s="20" t="s">
        <v>734</v>
      </c>
      <c r="G75" s="8" t="str">
        <f t="shared" si="2"/>
        <v>LAMAR NEKESHA</v>
      </c>
      <c r="H75" s="20" t="str">
        <f t="shared" si="3"/>
        <v>4049</v>
      </c>
    </row>
    <row r="76" spans="1:8" x14ac:dyDescent="0.3">
      <c r="A76" s="8">
        <v>43093.36209490741</v>
      </c>
      <c r="B76" s="20" t="s">
        <v>680</v>
      </c>
      <c r="C76" s="20" t="s">
        <v>681</v>
      </c>
      <c r="D76" s="137">
        <v>3040000</v>
      </c>
      <c r="E76" s="20" t="s">
        <v>368</v>
      </c>
      <c r="F76" s="20" t="s">
        <v>493</v>
      </c>
      <c r="G76" s="8" t="str">
        <f t="shared" si="2"/>
        <v>WILLIAMS DONTE</v>
      </c>
      <c r="H76" s="20" t="str">
        <f t="shared" si="3"/>
        <v>4014</v>
      </c>
    </row>
    <row r="77" spans="1:8" x14ac:dyDescent="0.3">
      <c r="A77" s="8">
        <v>43093.363252314812</v>
      </c>
      <c r="B77" s="20" t="s">
        <v>385</v>
      </c>
      <c r="C77" s="20" t="s">
        <v>766</v>
      </c>
      <c r="D77" s="137">
        <v>3300000</v>
      </c>
      <c r="E77" s="20" t="s">
        <v>709</v>
      </c>
      <c r="F77" s="20" t="s">
        <v>710</v>
      </c>
      <c r="G77" s="8" t="str">
        <f t="shared" si="2"/>
        <v>LANGERAK WILLIAM</v>
      </c>
      <c r="H77" s="20" t="str">
        <f t="shared" si="3"/>
        <v>4061</v>
      </c>
    </row>
    <row r="78" spans="1:8" x14ac:dyDescent="0.3">
      <c r="A78" s="8">
        <v>43093.370833333334</v>
      </c>
      <c r="B78" s="20" t="s">
        <v>371</v>
      </c>
      <c r="C78" s="20" t="s">
        <v>767</v>
      </c>
      <c r="D78" s="137">
        <v>1100000</v>
      </c>
      <c r="E78" s="20" t="s">
        <v>503</v>
      </c>
      <c r="F78" s="20" t="s">
        <v>504</v>
      </c>
      <c r="G78" s="8" t="str">
        <f t="shared" si="2"/>
        <v>GEBRETEKLE DAGNEW</v>
      </c>
      <c r="H78" s="20" t="str">
        <f t="shared" si="3"/>
        <v>4011</v>
      </c>
    </row>
    <row r="79" spans="1:8" x14ac:dyDescent="0.3">
      <c r="A79" s="8">
        <v>43093.372615740744</v>
      </c>
      <c r="B79" s="20" t="s">
        <v>477</v>
      </c>
      <c r="C79" s="20" t="s">
        <v>768</v>
      </c>
      <c r="D79" s="137">
        <v>2010000</v>
      </c>
      <c r="E79" s="20" t="s">
        <v>491</v>
      </c>
      <c r="F79" s="20" t="s">
        <v>492</v>
      </c>
      <c r="G79" s="8" t="str">
        <f t="shared" si="2"/>
        <v>MAELZER KURT</v>
      </c>
      <c r="H79" s="20" t="str">
        <f t="shared" si="3"/>
        <v>4006</v>
      </c>
    </row>
    <row r="80" spans="1:8" x14ac:dyDescent="0.3">
      <c r="A80" s="8">
        <v>43093.379664351851</v>
      </c>
      <c r="B80" s="20" t="s">
        <v>548</v>
      </c>
      <c r="C80" s="20" t="s">
        <v>769</v>
      </c>
      <c r="D80" s="137">
        <v>2560000</v>
      </c>
      <c r="E80" s="20" t="s">
        <v>589</v>
      </c>
      <c r="F80" s="20" t="s">
        <v>590</v>
      </c>
      <c r="G80" s="8" t="str">
        <f t="shared" si="2"/>
        <v>MACDONALD THOMAS</v>
      </c>
      <c r="H80" s="20" t="str">
        <f t="shared" si="3"/>
        <v>4058</v>
      </c>
    </row>
    <row r="81" spans="1:8" x14ac:dyDescent="0.3">
      <c r="A81" s="8">
        <v>43093.382233796299</v>
      </c>
      <c r="B81" s="20" t="s">
        <v>445</v>
      </c>
      <c r="C81" s="20" t="s">
        <v>770</v>
      </c>
      <c r="D81" s="137">
        <v>3090000</v>
      </c>
      <c r="E81" s="20" t="s">
        <v>733</v>
      </c>
      <c r="F81" s="20" t="s">
        <v>734</v>
      </c>
      <c r="G81" s="8" t="str">
        <f t="shared" si="2"/>
        <v>LAMAR NEKESHA</v>
      </c>
      <c r="H81" s="20" t="str">
        <f t="shared" si="3"/>
        <v>4050</v>
      </c>
    </row>
    <row r="82" spans="1:8" x14ac:dyDescent="0.3">
      <c r="A82" s="8">
        <v>43093.390879629631</v>
      </c>
      <c r="B82" s="20" t="s">
        <v>384</v>
      </c>
      <c r="C82" s="20" t="s">
        <v>771</v>
      </c>
      <c r="D82" s="137">
        <v>2440000</v>
      </c>
      <c r="E82" s="20" t="s">
        <v>451</v>
      </c>
      <c r="F82" s="20" t="s">
        <v>452</v>
      </c>
      <c r="G82" s="8" t="str">
        <f t="shared" si="2"/>
        <v>LOPES KIMBERLY</v>
      </c>
      <c r="H82" s="20" t="str">
        <f t="shared" si="3"/>
        <v>4022</v>
      </c>
    </row>
    <row r="83" spans="1:8" x14ac:dyDescent="0.3">
      <c r="A83" s="8">
        <v>43093.392581018517</v>
      </c>
      <c r="B83" s="20" t="s">
        <v>514</v>
      </c>
      <c r="C83" s="20" t="s">
        <v>772</v>
      </c>
      <c r="D83" s="137">
        <v>3120000</v>
      </c>
      <c r="E83" s="20" t="s">
        <v>369</v>
      </c>
      <c r="F83" s="20" t="s">
        <v>713</v>
      </c>
      <c r="G83" s="8" t="str">
        <f t="shared" si="2"/>
        <v>THOMPSON LESTER</v>
      </c>
      <c r="H83" s="20" t="str">
        <f t="shared" si="3"/>
        <v>4043</v>
      </c>
    </row>
    <row r="84" spans="1:8" x14ac:dyDescent="0.3">
      <c r="A84" s="8">
        <v>43093.39267361111</v>
      </c>
      <c r="B84" s="20" t="s">
        <v>686</v>
      </c>
      <c r="C84" s="20" t="s">
        <v>773</v>
      </c>
      <c r="D84" s="137">
        <v>2560000</v>
      </c>
      <c r="E84" s="20" t="s">
        <v>589</v>
      </c>
      <c r="F84" s="20" t="s">
        <v>590</v>
      </c>
      <c r="G84" s="8" t="str">
        <f t="shared" si="2"/>
        <v>MACDONALD THOMAS</v>
      </c>
      <c r="H84" s="20" t="str">
        <f t="shared" si="3"/>
        <v>4057</v>
      </c>
    </row>
    <row r="85" spans="1:8" x14ac:dyDescent="0.3">
      <c r="A85" s="8">
        <v>43093.398831018516</v>
      </c>
      <c r="B85" s="20" t="s">
        <v>675</v>
      </c>
      <c r="C85" s="20" t="s">
        <v>774</v>
      </c>
      <c r="D85" s="137">
        <v>3040000</v>
      </c>
      <c r="E85" s="20" t="s">
        <v>368</v>
      </c>
      <c r="F85" s="20" t="s">
        <v>493</v>
      </c>
      <c r="G85" s="8" t="str">
        <f t="shared" si="2"/>
        <v>WILLIAMS DONTE</v>
      </c>
      <c r="H85" s="20" t="str">
        <f t="shared" si="3"/>
        <v>4013</v>
      </c>
    </row>
    <row r="86" spans="1:8" x14ac:dyDescent="0.3">
      <c r="A86" s="8">
        <v>43093.402743055558</v>
      </c>
      <c r="B86" s="20" t="s">
        <v>383</v>
      </c>
      <c r="C86" s="20" t="s">
        <v>775</v>
      </c>
      <c r="D86" s="137">
        <v>3260000</v>
      </c>
      <c r="E86" s="20" t="s">
        <v>720</v>
      </c>
      <c r="F86" s="20" t="s">
        <v>721</v>
      </c>
      <c r="G86" s="8" t="str">
        <f t="shared" si="2"/>
        <v>PAGE MARCUS</v>
      </c>
      <c r="H86" s="20" t="str">
        <f t="shared" si="3"/>
        <v>4062</v>
      </c>
    </row>
    <row r="87" spans="1:8" x14ac:dyDescent="0.3">
      <c r="A87" s="8">
        <v>43093.410844907405</v>
      </c>
      <c r="B87" s="20" t="s">
        <v>480</v>
      </c>
      <c r="C87" s="20" t="s">
        <v>776</v>
      </c>
      <c r="D87" s="137">
        <v>2010000</v>
      </c>
      <c r="E87" s="20" t="s">
        <v>491</v>
      </c>
      <c r="F87" s="20" t="s">
        <v>492</v>
      </c>
      <c r="G87" s="8" t="str">
        <f t="shared" si="2"/>
        <v>MAELZER KURT</v>
      </c>
      <c r="H87" s="20" t="str">
        <f t="shared" si="3"/>
        <v>4005</v>
      </c>
    </row>
    <row r="88" spans="1:8" x14ac:dyDescent="0.3">
      <c r="A88" s="8">
        <v>43093.412604166668</v>
      </c>
      <c r="B88" s="20" t="s">
        <v>370</v>
      </c>
      <c r="C88" s="20" t="s">
        <v>682</v>
      </c>
      <c r="D88" s="137">
        <v>1100000</v>
      </c>
      <c r="E88" s="20" t="s">
        <v>503</v>
      </c>
      <c r="F88" s="20" t="s">
        <v>504</v>
      </c>
      <c r="G88" s="8" t="str">
        <f t="shared" si="2"/>
        <v>GEBRETEKLE DAGNEW</v>
      </c>
      <c r="H88" s="20" t="str">
        <f t="shared" si="3"/>
        <v>4012</v>
      </c>
    </row>
    <row r="89" spans="1:8" x14ac:dyDescent="0.3">
      <c r="A89" s="8">
        <v>43093.422314814816</v>
      </c>
      <c r="B89" s="20" t="s">
        <v>548</v>
      </c>
      <c r="C89" s="20" t="s">
        <v>777</v>
      </c>
      <c r="D89" s="137">
        <v>2560000</v>
      </c>
      <c r="E89" s="20" t="s">
        <v>589</v>
      </c>
      <c r="F89" s="20" t="s">
        <v>590</v>
      </c>
      <c r="G89" s="8" t="str">
        <f t="shared" si="2"/>
        <v>MACDONALD THOMAS</v>
      </c>
      <c r="H89" s="20" t="str">
        <f t="shared" si="3"/>
        <v>4058</v>
      </c>
    </row>
    <row r="90" spans="1:8" x14ac:dyDescent="0.3">
      <c r="A90" s="8">
        <v>43093.424467592595</v>
      </c>
      <c r="B90" s="20" t="s">
        <v>444</v>
      </c>
      <c r="C90" s="20" t="s">
        <v>778</v>
      </c>
      <c r="D90" s="137">
        <v>3090000</v>
      </c>
      <c r="E90" s="20" t="s">
        <v>733</v>
      </c>
      <c r="F90" s="20" t="s">
        <v>734</v>
      </c>
      <c r="G90" s="8" t="str">
        <f t="shared" si="2"/>
        <v>LAMAR NEKESHA</v>
      </c>
      <c r="H90" s="20" t="str">
        <f t="shared" si="3"/>
        <v>4049</v>
      </c>
    </row>
    <row r="91" spans="1:8" x14ac:dyDescent="0.3">
      <c r="A91" s="8">
        <v>43093.425034722219</v>
      </c>
      <c r="B91" s="20" t="s">
        <v>513</v>
      </c>
      <c r="C91" s="20" t="s">
        <v>779</v>
      </c>
      <c r="D91" s="137">
        <v>2550000</v>
      </c>
      <c r="E91" s="20" t="s">
        <v>494</v>
      </c>
      <c r="F91" s="20" t="s">
        <v>495</v>
      </c>
      <c r="G91" s="8" t="str">
        <f t="shared" si="2"/>
        <v>BADERTSCHER DIANE</v>
      </c>
      <c r="H91" s="20" t="str">
        <f t="shared" si="3"/>
        <v>4044</v>
      </c>
    </row>
    <row r="92" spans="1:8" x14ac:dyDescent="0.3">
      <c r="A92" s="8">
        <v>43093.426435185182</v>
      </c>
      <c r="B92" s="20" t="s">
        <v>691</v>
      </c>
      <c r="C92" s="20" t="s">
        <v>780</v>
      </c>
      <c r="D92" s="137">
        <v>2440000</v>
      </c>
      <c r="E92" s="20" t="s">
        <v>451</v>
      </c>
      <c r="F92" s="20" t="s">
        <v>452</v>
      </c>
      <c r="G92" s="8" t="str">
        <f t="shared" si="2"/>
        <v>LOPES KIMBERLY</v>
      </c>
      <c r="H92" s="20" t="str">
        <f t="shared" si="3"/>
        <v>4021</v>
      </c>
    </row>
    <row r="93" spans="1:8" x14ac:dyDescent="0.3">
      <c r="A93" s="8">
        <v>43093.43309027778</v>
      </c>
      <c r="B93" s="20" t="s">
        <v>385</v>
      </c>
      <c r="C93" s="20" t="s">
        <v>781</v>
      </c>
      <c r="D93" s="137">
        <v>3260000</v>
      </c>
      <c r="E93" s="20" t="s">
        <v>720</v>
      </c>
      <c r="F93" s="20" t="s">
        <v>721</v>
      </c>
      <c r="G93" s="8" t="str">
        <f t="shared" si="2"/>
        <v>PAGE MARCUS</v>
      </c>
      <c r="H93" s="20" t="str">
        <f t="shared" si="3"/>
        <v>4061</v>
      </c>
    </row>
    <row r="94" spans="1:8" x14ac:dyDescent="0.3">
      <c r="A94" s="8">
        <v>43093.433796296296</v>
      </c>
      <c r="B94" s="20" t="s">
        <v>686</v>
      </c>
      <c r="C94" s="20" t="s">
        <v>782</v>
      </c>
      <c r="D94" s="137">
        <v>2560000</v>
      </c>
      <c r="E94" s="20" t="s">
        <v>589</v>
      </c>
      <c r="F94" s="20" t="s">
        <v>590</v>
      </c>
      <c r="G94" s="8" t="str">
        <f t="shared" si="2"/>
        <v>MACDONALD THOMAS</v>
      </c>
      <c r="H94" s="20" t="str">
        <f t="shared" si="3"/>
        <v>4057</v>
      </c>
    </row>
    <row r="95" spans="1:8" x14ac:dyDescent="0.3">
      <c r="A95" s="8">
        <v>43093.43482638889</v>
      </c>
      <c r="B95" s="20" t="s">
        <v>680</v>
      </c>
      <c r="C95" s="20" t="s">
        <v>783</v>
      </c>
      <c r="D95" s="137">
        <v>3040000</v>
      </c>
      <c r="E95" s="20" t="s">
        <v>368</v>
      </c>
      <c r="F95" s="20" t="s">
        <v>493</v>
      </c>
      <c r="G95" s="8" t="str">
        <f t="shared" si="2"/>
        <v>WILLIAMS DONTE</v>
      </c>
      <c r="H95" s="20" t="str">
        <f t="shared" si="3"/>
        <v>4014</v>
      </c>
    </row>
    <row r="96" spans="1:8" x14ac:dyDescent="0.3">
      <c r="A96" s="8">
        <v>43093.443518518521</v>
      </c>
      <c r="B96" s="20" t="s">
        <v>371</v>
      </c>
      <c r="C96" s="20" t="s">
        <v>784</v>
      </c>
      <c r="D96" s="137">
        <v>1100000</v>
      </c>
      <c r="E96" s="20" t="s">
        <v>503</v>
      </c>
      <c r="F96" s="20" t="s">
        <v>504</v>
      </c>
      <c r="G96" s="8" t="str">
        <f t="shared" si="2"/>
        <v>GEBRETEKLE DAGNEW</v>
      </c>
      <c r="H96" s="20" t="str">
        <f t="shared" si="3"/>
        <v>4011</v>
      </c>
    </row>
    <row r="97" spans="1:8" x14ac:dyDescent="0.3">
      <c r="A97" s="8">
        <v>43093.444085648145</v>
      </c>
      <c r="B97" s="20" t="s">
        <v>477</v>
      </c>
      <c r="C97" s="20" t="s">
        <v>785</v>
      </c>
      <c r="D97" s="137">
        <v>880000</v>
      </c>
      <c r="E97" s="20" t="s">
        <v>786</v>
      </c>
      <c r="F97" s="20" t="s">
        <v>352</v>
      </c>
      <c r="G97" s="8" t="str">
        <f t="shared" si="2"/>
        <v>STEWART MICHAEL</v>
      </c>
      <c r="H97" s="20" t="str">
        <f t="shared" si="3"/>
        <v>4006</v>
      </c>
    </row>
    <row r="98" spans="1:8" x14ac:dyDescent="0.3">
      <c r="A98" s="8">
        <v>43093.455127314817</v>
      </c>
      <c r="B98" s="20" t="s">
        <v>445</v>
      </c>
      <c r="C98" s="20" t="s">
        <v>787</v>
      </c>
      <c r="D98" s="137">
        <v>3090000</v>
      </c>
      <c r="E98" s="20" t="s">
        <v>733</v>
      </c>
      <c r="F98" s="20" t="s">
        <v>734</v>
      </c>
      <c r="G98" s="8" t="str">
        <f t="shared" si="2"/>
        <v>LAMAR NEKESHA</v>
      </c>
      <c r="H98" s="20" t="str">
        <f t="shared" si="3"/>
        <v>4050</v>
      </c>
    </row>
    <row r="99" spans="1:8" x14ac:dyDescent="0.3">
      <c r="A99" s="8">
        <v>43093.461284722223</v>
      </c>
      <c r="B99" s="20" t="s">
        <v>514</v>
      </c>
      <c r="C99" s="20" t="s">
        <v>788</v>
      </c>
      <c r="D99" s="137">
        <v>2550000</v>
      </c>
      <c r="E99" s="20" t="s">
        <v>494</v>
      </c>
      <c r="F99" s="20" t="s">
        <v>495</v>
      </c>
      <c r="G99" s="8" t="str">
        <f t="shared" si="2"/>
        <v>BADERTSCHER DIANE</v>
      </c>
      <c r="H99" s="20" t="str">
        <f t="shared" si="3"/>
        <v>4043</v>
      </c>
    </row>
    <row r="100" spans="1:8" x14ac:dyDescent="0.3">
      <c r="A100" s="8">
        <v>43093.464502314811</v>
      </c>
      <c r="B100" s="20" t="s">
        <v>384</v>
      </c>
      <c r="C100" s="20" t="s">
        <v>789</v>
      </c>
      <c r="D100" s="137">
        <v>3030000</v>
      </c>
      <c r="E100" s="20" t="s">
        <v>790</v>
      </c>
      <c r="F100" s="20" t="s">
        <v>590</v>
      </c>
      <c r="G100" s="8" t="str">
        <f t="shared" si="2"/>
        <v>BIRENBAUM THOMAS</v>
      </c>
      <c r="H100" s="20" t="str">
        <f t="shared" si="3"/>
        <v>4022</v>
      </c>
    </row>
    <row r="101" spans="1:8" x14ac:dyDescent="0.3">
      <c r="A101" s="8">
        <v>43093.464733796296</v>
      </c>
      <c r="B101" s="20" t="s">
        <v>548</v>
      </c>
      <c r="C101" s="20" t="s">
        <v>791</v>
      </c>
      <c r="D101" s="137">
        <v>2560000</v>
      </c>
      <c r="E101" s="20" t="s">
        <v>589</v>
      </c>
      <c r="F101" s="20" t="s">
        <v>590</v>
      </c>
      <c r="G101" s="8" t="str">
        <f t="shared" si="2"/>
        <v>MACDONALD THOMAS</v>
      </c>
      <c r="H101" s="20" t="str">
        <f t="shared" si="3"/>
        <v>4058</v>
      </c>
    </row>
    <row r="102" spans="1:8" x14ac:dyDescent="0.3">
      <c r="A102" s="8">
        <v>43093.473391203705</v>
      </c>
      <c r="B102" s="20" t="s">
        <v>675</v>
      </c>
      <c r="C102" s="20" t="s">
        <v>792</v>
      </c>
      <c r="D102" s="137">
        <v>3040000</v>
      </c>
      <c r="E102" s="20" t="s">
        <v>368</v>
      </c>
      <c r="F102" s="20" t="s">
        <v>493</v>
      </c>
      <c r="G102" s="8" t="str">
        <f t="shared" si="2"/>
        <v>WILLIAMS DONTE</v>
      </c>
      <c r="H102" s="20" t="str">
        <f t="shared" si="3"/>
        <v>4013</v>
      </c>
    </row>
    <row r="103" spans="1:8" x14ac:dyDescent="0.3">
      <c r="A103" s="8">
        <v>43093.475810185184</v>
      </c>
      <c r="B103" s="20" t="s">
        <v>383</v>
      </c>
      <c r="C103" s="20" t="s">
        <v>793</v>
      </c>
      <c r="D103" s="137">
        <v>2630000</v>
      </c>
      <c r="E103" s="20" t="s">
        <v>372</v>
      </c>
      <c r="F103" s="20" t="s">
        <v>373</v>
      </c>
      <c r="G103" s="8" t="str">
        <f t="shared" si="2"/>
        <v>SAFIEF AEIMEN</v>
      </c>
      <c r="H103" s="20" t="str">
        <f t="shared" si="3"/>
        <v>4062</v>
      </c>
    </row>
    <row r="104" spans="1:8" x14ac:dyDescent="0.3">
      <c r="A104" s="8">
        <v>43093.475995370369</v>
      </c>
      <c r="B104" s="20" t="s">
        <v>686</v>
      </c>
      <c r="C104" s="20" t="s">
        <v>794</v>
      </c>
      <c r="D104" s="137">
        <v>2560000</v>
      </c>
      <c r="E104" s="20" t="s">
        <v>589</v>
      </c>
      <c r="F104" s="20" t="s">
        <v>590</v>
      </c>
      <c r="G104" s="8" t="str">
        <f t="shared" si="2"/>
        <v>MACDONALD THOMAS</v>
      </c>
      <c r="H104" s="20" t="str">
        <f t="shared" si="3"/>
        <v>4057</v>
      </c>
    </row>
    <row r="105" spans="1:8" x14ac:dyDescent="0.3">
      <c r="A105" s="8">
        <v>43093.482847222222</v>
      </c>
      <c r="B105" s="20" t="s">
        <v>480</v>
      </c>
      <c r="C105" s="20" t="s">
        <v>795</v>
      </c>
      <c r="D105" s="137">
        <v>880000</v>
      </c>
      <c r="E105" s="20" t="s">
        <v>786</v>
      </c>
      <c r="F105" s="20" t="s">
        <v>352</v>
      </c>
      <c r="G105" s="8" t="str">
        <f t="shared" si="2"/>
        <v>STEWART MICHAEL</v>
      </c>
      <c r="H105" s="20" t="str">
        <f t="shared" si="3"/>
        <v>4005</v>
      </c>
    </row>
    <row r="106" spans="1:8" x14ac:dyDescent="0.3">
      <c r="A106" s="8">
        <v>43093.485092592593</v>
      </c>
      <c r="B106" s="20" t="s">
        <v>370</v>
      </c>
      <c r="C106" s="20" t="s">
        <v>796</v>
      </c>
      <c r="D106" s="137">
        <v>2540000</v>
      </c>
      <c r="E106" s="20" t="s">
        <v>453</v>
      </c>
      <c r="F106" s="20" t="s">
        <v>454</v>
      </c>
      <c r="G106" s="8" t="str">
        <f t="shared" si="2"/>
        <v>MCREYNOLDS KYLE</v>
      </c>
      <c r="H106" s="20" t="str">
        <f t="shared" si="3"/>
        <v>4012</v>
      </c>
    </row>
    <row r="107" spans="1:8" x14ac:dyDescent="0.3">
      <c r="A107" s="8">
        <v>43093.494652777779</v>
      </c>
      <c r="B107" s="20" t="s">
        <v>691</v>
      </c>
      <c r="C107" s="20" t="s">
        <v>797</v>
      </c>
      <c r="D107" s="137">
        <v>3030000</v>
      </c>
      <c r="E107" s="20" t="s">
        <v>790</v>
      </c>
      <c r="F107" s="20" t="s">
        <v>590</v>
      </c>
      <c r="G107" s="8" t="str">
        <f t="shared" si="2"/>
        <v>BIRENBAUM THOMAS</v>
      </c>
      <c r="H107" s="20" t="str">
        <f t="shared" si="3"/>
        <v>4021</v>
      </c>
    </row>
    <row r="108" spans="1:8" x14ac:dyDescent="0.3">
      <c r="A108" s="8">
        <v>43093.495104166665</v>
      </c>
      <c r="B108" s="20" t="s">
        <v>444</v>
      </c>
      <c r="C108" s="20" t="s">
        <v>798</v>
      </c>
      <c r="D108" s="137">
        <v>3090000</v>
      </c>
      <c r="E108" s="20" t="s">
        <v>733</v>
      </c>
      <c r="F108" s="20" t="s">
        <v>734</v>
      </c>
      <c r="G108" s="8" t="str">
        <f t="shared" si="2"/>
        <v>LAMAR NEKESHA</v>
      </c>
      <c r="H108" s="20" t="str">
        <f t="shared" si="3"/>
        <v>4049</v>
      </c>
    </row>
    <row r="109" spans="1:8" x14ac:dyDescent="0.3">
      <c r="A109" s="8">
        <v>43093.496666666666</v>
      </c>
      <c r="B109" s="20" t="s">
        <v>513</v>
      </c>
      <c r="C109" s="20" t="s">
        <v>799</v>
      </c>
      <c r="D109" s="137">
        <v>2550000</v>
      </c>
      <c r="E109" s="20" t="s">
        <v>494</v>
      </c>
      <c r="F109" s="20" t="s">
        <v>495</v>
      </c>
      <c r="G109" s="8" t="str">
        <f t="shared" si="2"/>
        <v>BADERTSCHER DIANE</v>
      </c>
      <c r="H109" s="20" t="str">
        <f t="shared" si="3"/>
        <v>4044</v>
      </c>
    </row>
    <row r="110" spans="1:8" x14ac:dyDescent="0.3">
      <c r="A110" s="8">
        <v>43093.506145833337</v>
      </c>
      <c r="B110" s="20" t="s">
        <v>548</v>
      </c>
      <c r="C110" s="20" t="s">
        <v>800</v>
      </c>
      <c r="D110" s="137">
        <v>2560000</v>
      </c>
      <c r="E110" s="20" t="s">
        <v>589</v>
      </c>
      <c r="F110" s="20" t="s">
        <v>590</v>
      </c>
      <c r="G110" s="8" t="str">
        <f t="shared" si="2"/>
        <v>MACDONALD THOMAS</v>
      </c>
      <c r="H110" s="20" t="str">
        <f t="shared" si="3"/>
        <v>4058</v>
      </c>
    </row>
    <row r="111" spans="1:8" x14ac:dyDescent="0.3">
      <c r="A111" s="8">
        <v>43093.507476851853</v>
      </c>
      <c r="B111" s="20" t="s">
        <v>680</v>
      </c>
      <c r="C111" s="20" t="s">
        <v>801</v>
      </c>
      <c r="D111" s="137">
        <v>2610000</v>
      </c>
      <c r="E111" s="20" t="s">
        <v>380</v>
      </c>
      <c r="F111" s="20" t="s">
        <v>381</v>
      </c>
      <c r="G111" s="8" t="str">
        <f t="shared" si="2"/>
        <v>MAGEE KENYA</v>
      </c>
      <c r="H111" s="20" t="str">
        <f t="shared" si="3"/>
        <v>4014</v>
      </c>
    </row>
    <row r="112" spans="1:8" x14ac:dyDescent="0.3">
      <c r="A112" s="8">
        <v>43093.508888888886</v>
      </c>
      <c r="B112" s="20" t="s">
        <v>385</v>
      </c>
      <c r="C112" s="20" t="s">
        <v>802</v>
      </c>
      <c r="D112" s="137">
        <v>2630000</v>
      </c>
      <c r="E112" s="20" t="s">
        <v>372</v>
      </c>
      <c r="F112" s="20" t="s">
        <v>373</v>
      </c>
      <c r="G112" s="8" t="str">
        <f t="shared" si="2"/>
        <v>SAFIEF AEIMEN</v>
      </c>
      <c r="H112" s="20" t="str">
        <f t="shared" si="3"/>
        <v>4061</v>
      </c>
    </row>
    <row r="113" spans="1:8" x14ac:dyDescent="0.3">
      <c r="A113" s="8">
        <v>43093.517824074072</v>
      </c>
      <c r="B113" s="20" t="s">
        <v>477</v>
      </c>
      <c r="C113" s="20" t="s">
        <v>803</v>
      </c>
      <c r="D113" s="137">
        <v>880000</v>
      </c>
      <c r="E113" s="20" t="s">
        <v>786</v>
      </c>
      <c r="F113" s="20" t="s">
        <v>352</v>
      </c>
      <c r="G113" s="8" t="str">
        <f t="shared" si="2"/>
        <v>STEWART MICHAEL</v>
      </c>
      <c r="H113" s="20" t="str">
        <f t="shared" si="3"/>
        <v>4006</v>
      </c>
    </row>
    <row r="114" spans="1:8" x14ac:dyDescent="0.3">
      <c r="A114" s="8">
        <v>43093.518090277779</v>
      </c>
      <c r="B114" s="20" t="s">
        <v>686</v>
      </c>
      <c r="C114" s="20" t="s">
        <v>804</v>
      </c>
      <c r="D114" s="137">
        <v>2560000</v>
      </c>
      <c r="E114" s="20" t="s">
        <v>589</v>
      </c>
      <c r="F114" s="20" t="s">
        <v>590</v>
      </c>
      <c r="G114" s="8" t="str">
        <f t="shared" si="2"/>
        <v>MACDONALD THOMAS</v>
      </c>
      <c r="H114" s="20" t="str">
        <f t="shared" si="3"/>
        <v>4057</v>
      </c>
    </row>
    <row r="115" spans="1:8" x14ac:dyDescent="0.3">
      <c r="A115" s="8">
        <v>43093.525740740741</v>
      </c>
      <c r="B115" s="20" t="s">
        <v>371</v>
      </c>
      <c r="C115" s="20" t="s">
        <v>805</v>
      </c>
      <c r="D115" s="137">
        <v>2540000</v>
      </c>
      <c r="E115" s="20" t="s">
        <v>453</v>
      </c>
      <c r="F115" s="20" t="s">
        <v>454</v>
      </c>
      <c r="G115" s="8" t="str">
        <f t="shared" si="2"/>
        <v>MCREYNOLDS KYLE</v>
      </c>
      <c r="H115" s="20" t="str">
        <f t="shared" si="3"/>
        <v>4011</v>
      </c>
    </row>
    <row r="116" spans="1:8" x14ac:dyDescent="0.3">
      <c r="A116" s="8">
        <v>43093.527175925927</v>
      </c>
      <c r="B116" s="20" t="s">
        <v>445</v>
      </c>
      <c r="C116" s="20" t="s">
        <v>806</v>
      </c>
      <c r="D116" s="137">
        <v>2230000</v>
      </c>
      <c r="E116" s="20" t="s">
        <v>393</v>
      </c>
      <c r="F116" s="20" t="s">
        <v>352</v>
      </c>
      <c r="G116" s="8" t="str">
        <f t="shared" si="2"/>
        <v>SMITH MICHAEL</v>
      </c>
      <c r="H116" s="20" t="str">
        <f t="shared" si="3"/>
        <v>4050</v>
      </c>
    </row>
    <row r="117" spans="1:8" x14ac:dyDescent="0.3">
      <c r="A117" s="8">
        <v>43093.53465277778</v>
      </c>
      <c r="B117" s="20" t="s">
        <v>514</v>
      </c>
      <c r="C117" s="20" t="s">
        <v>807</v>
      </c>
      <c r="D117" s="137">
        <v>2550000</v>
      </c>
      <c r="E117" s="20" t="s">
        <v>494</v>
      </c>
      <c r="F117" s="20" t="s">
        <v>495</v>
      </c>
      <c r="G117" s="8" t="str">
        <f t="shared" si="2"/>
        <v>BADERTSCHER DIANE</v>
      </c>
      <c r="H117" s="20" t="str">
        <f t="shared" si="3"/>
        <v>4043</v>
      </c>
    </row>
    <row r="118" spans="1:8" x14ac:dyDescent="0.3">
      <c r="A118" s="8">
        <v>43093.538576388892</v>
      </c>
      <c r="B118" s="20" t="s">
        <v>384</v>
      </c>
      <c r="C118" s="20" t="s">
        <v>808</v>
      </c>
      <c r="D118" s="137">
        <v>3030000</v>
      </c>
      <c r="E118" s="20" t="s">
        <v>790</v>
      </c>
      <c r="F118" s="20" t="s">
        <v>590</v>
      </c>
      <c r="G118" s="8" t="str">
        <f t="shared" si="2"/>
        <v>BIRENBAUM THOMAS</v>
      </c>
      <c r="H118" s="20" t="str">
        <f t="shared" si="3"/>
        <v>4022</v>
      </c>
    </row>
    <row r="119" spans="1:8" x14ac:dyDescent="0.3">
      <c r="A119" s="8">
        <v>43093.538587962961</v>
      </c>
      <c r="B119" s="20" t="s">
        <v>675</v>
      </c>
      <c r="C119" s="20" t="s">
        <v>683</v>
      </c>
      <c r="D119" s="137">
        <v>2610000</v>
      </c>
      <c r="E119" s="20" t="s">
        <v>380</v>
      </c>
      <c r="F119" s="20" t="s">
        <v>381</v>
      </c>
      <c r="G119" s="8" t="str">
        <f t="shared" si="2"/>
        <v>MAGEE KENYA</v>
      </c>
      <c r="H119" s="20" t="str">
        <f t="shared" si="3"/>
        <v>4013</v>
      </c>
    </row>
    <row r="120" spans="1:8" x14ac:dyDescent="0.3">
      <c r="A120" s="8">
        <v>43093.547430555554</v>
      </c>
      <c r="B120" s="20" t="s">
        <v>548</v>
      </c>
      <c r="C120" s="20" t="s">
        <v>809</v>
      </c>
      <c r="D120" s="137">
        <v>2560000</v>
      </c>
      <c r="E120" s="20" t="s">
        <v>589</v>
      </c>
      <c r="F120" s="20" t="s">
        <v>590</v>
      </c>
      <c r="G120" s="8" t="str">
        <f t="shared" si="2"/>
        <v>MACDONALD THOMAS</v>
      </c>
      <c r="H120" s="20" t="str">
        <f t="shared" si="3"/>
        <v>4058</v>
      </c>
    </row>
    <row r="121" spans="1:8" x14ac:dyDescent="0.3">
      <c r="A121" s="8">
        <v>43093.549664351849</v>
      </c>
      <c r="B121" s="20" t="s">
        <v>383</v>
      </c>
      <c r="C121" s="20" t="s">
        <v>810</v>
      </c>
      <c r="D121" s="137">
        <v>2630000</v>
      </c>
      <c r="E121" s="20" t="s">
        <v>372</v>
      </c>
      <c r="F121" s="20" t="s">
        <v>373</v>
      </c>
      <c r="G121" s="8" t="str">
        <f t="shared" si="2"/>
        <v>SAFIEF AEIMEN</v>
      </c>
      <c r="H121" s="20" t="str">
        <f t="shared" si="3"/>
        <v>4062</v>
      </c>
    </row>
    <row r="122" spans="1:8" x14ac:dyDescent="0.3">
      <c r="A122" s="8">
        <v>43093.557349537034</v>
      </c>
      <c r="B122" s="25" t="s">
        <v>480</v>
      </c>
      <c r="C122" s="20" t="s">
        <v>811</v>
      </c>
      <c r="D122" s="137">
        <v>880000</v>
      </c>
      <c r="E122" s="20" t="s">
        <v>786</v>
      </c>
      <c r="F122" s="20" t="s">
        <v>352</v>
      </c>
      <c r="G122" s="8" t="str">
        <f t="shared" si="2"/>
        <v>STEWART MICHAEL</v>
      </c>
      <c r="H122" s="20" t="str">
        <f t="shared" si="3"/>
        <v>4005</v>
      </c>
    </row>
    <row r="123" spans="1:8" x14ac:dyDescent="0.3">
      <c r="A123" s="8">
        <v>43093.557615740741</v>
      </c>
      <c r="B123" s="20" t="s">
        <v>370</v>
      </c>
      <c r="C123" s="20" t="s">
        <v>812</v>
      </c>
      <c r="D123" s="137">
        <v>2540000</v>
      </c>
      <c r="E123" s="20" t="s">
        <v>453</v>
      </c>
      <c r="F123" s="20" t="s">
        <v>454</v>
      </c>
      <c r="G123" s="8" t="str">
        <f t="shared" si="2"/>
        <v>MCREYNOLDS KYLE</v>
      </c>
      <c r="H123" s="20" t="str">
        <f t="shared" si="3"/>
        <v>4012</v>
      </c>
    </row>
    <row r="124" spans="1:8" x14ac:dyDescent="0.3">
      <c r="A124" s="8">
        <v>43093.559340277781</v>
      </c>
      <c r="B124" s="20" t="s">
        <v>686</v>
      </c>
      <c r="C124" s="20" t="s">
        <v>813</v>
      </c>
      <c r="D124" s="137">
        <v>2560000</v>
      </c>
      <c r="E124" s="20" t="s">
        <v>589</v>
      </c>
      <c r="F124" s="20" t="s">
        <v>590</v>
      </c>
      <c r="G124" s="8" t="str">
        <f t="shared" si="2"/>
        <v>MACDONALD THOMAS</v>
      </c>
      <c r="H124" s="20" t="str">
        <f t="shared" si="3"/>
        <v>4057</v>
      </c>
    </row>
    <row r="125" spans="1:8" x14ac:dyDescent="0.3">
      <c r="A125" s="8">
        <v>43093.563703703701</v>
      </c>
      <c r="B125" s="20" t="s">
        <v>444</v>
      </c>
      <c r="C125" s="20" t="s">
        <v>814</v>
      </c>
      <c r="D125" s="137">
        <v>2230000</v>
      </c>
      <c r="E125" s="20" t="s">
        <v>393</v>
      </c>
      <c r="F125" s="20" t="s">
        <v>352</v>
      </c>
      <c r="G125" s="8" t="str">
        <f t="shared" si="2"/>
        <v>SMITH MICHAEL</v>
      </c>
      <c r="H125" s="20" t="str">
        <f t="shared" si="3"/>
        <v>4049</v>
      </c>
    </row>
    <row r="126" spans="1:8" x14ac:dyDescent="0.3">
      <c r="A126" s="8">
        <v>43093.56422453704</v>
      </c>
      <c r="B126" s="20" t="s">
        <v>383</v>
      </c>
      <c r="C126" s="20" t="s">
        <v>810</v>
      </c>
      <c r="D126" s="137">
        <v>2630000</v>
      </c>
      <c r="E126" s="20" t="s">
        <v>372</v>
      </c>
      <c r="F126" s="20" t="s">
        <v>373</v>
      </c>
      <c r="G126" s="8" t="str">
        <f t="shared" si="2"/>
        <v>SAFIEF AEIMEN</v>
      </c>
      <c r="H126" s="20" t="str">
        <f t="shared" si="3"/>
        <v>4062</v>
      </c>
    </row>
    <row r="127" spans="1:8" x14ac:dyDescent="0.3">
      <c r="A127" s="8">
        <v>43093.570833333331</v>
      </c>
      <c r="B127" s="20" t="s">
        <v>691</v>
      </c>
      <c r="C127" s="20" t="s">
        <v>815</v>
      </c>
      <c r="D127" s="137">
        <v>3030000</v>
      </c>
      <c r="E127" s="20" t="s">
        <v>790</v>
      </c>
      <c r="F127" s="20" t="s">
        <v>590</v>
      </c>
      <c r="G127" s="8" t="str">
        <f t="shared" si="2"/>
        <v>BIRENBAUM THOMAS</v>
      </c>
      <c r="H127" s="20" t="str">
        <f t="shared" si="3"/>
        <v>4021</v>
      </c>
    </row>
    <row r="128" spans="1:8" x14ac:dyDescent="0.3">
      <c r="A128" s="8">
        <v>43093.572199074071</v>
      </c>
      <c r="B128" s="20" t="s">
        <v>513</v>
      </c>
      <c r="C128" s="20" t="s">
        <v>684</v>
      </c>
      <c r="D128" s="137">
        <v>2550000</v>
      </c>
      <c r="E128" s="20" t="s">
        <v>494</v>
      </c>
      <c r="F128" s="20" t="s">
        <v>495</v>
      </c>
      <c r="G128" s="8" t="str">
        <f t="shared" si="2"/>
        <v>BADERTSCHER DIANE</v>
      </c>
      <c r="H128" s="20" t="str">
        <f t="shared" si="3"/>
        <v>4044</v>
      </c>
    </row>
    <row r="129" spans="1:8" x14ac:dyDescent="0.3">
      <c r="A129" s="8">
        <v>43093.581400462965</v>
      </c>
      <c r="B129" s="20" t="s">
        <v>385</v>
      </c>
      <c r="C129" s="20" t="s">
        <v>816</v>
      </c>
      <c r="D129" s="137">
        <v>2630000</v>
      </c>
      <c r="E129" s="20" t="s">
        <v>372</v>
      </c>
      <c r="F129" s="20" t="s">
        <v>373</v>
      </c>
      <c r="G129" s="8" t="str">
        <f t="shared" si="2"/>
        <v>SAFIEF AEIMEN</v>
      </c>
      <c r="H129" s="20" t="str">
        <f t="shared" si="3"/>
        <v>4061</v>
      </c>
    </row>
    <row r="130" spans="1:8" x14ac:dyDescent="0.3">
      <c r="A130" s="8">
        <v>43093.581574074073</v>
      </c>
      <c r="B130" s="20" t="s">
        <v>680</v>
      </c>
      <c r="C130" s="20" t="s">
        <v>817</v>
      </c>
      <c r="D130" s="137">
        <v>2610000</v>
      </c>
      <c r="E130" s="20" t="s">
        <v>380</v>
      </c>
      <c r="F130" s="20" t="s">
        <v>381</v>
      </c>
      <c r="G130" s="8" t="str">
        <f t="shared" si="2"/>
        <v>MAGEE KENYA</v>
      </c>
      <c r="H130" s="20" t="str">
        <f t="shared" si="3"/>
        <v>4014</v>
      </c>
    </row>
    <row r="131" spans="1:8" x14ac:dyDescent="0.3">
      <c r="A131" s="8">
        <v>43093.585590277777</v>
      </c>
      <c r="B131" s="20" t="s">
        <v>548</v>
      </c>
      <c r="C131" s="20" t="s">
        <v>685</v>
      </c>
      <c r="D131" s="137">
        <v>2420000</v>
      </c>
      <c r="E131" s="20" t="s">
        <v>505</v>
      </c>
      <c r="F131" s="20" t="s">
        <v>506</v>
      </c>
      <c r="G131" s="8" t="str">
        <f t="shared" ref="G131:G194" si="4">E131&amp;" "&amp;F131</f>
        <v>HOLCOMB KAMDEN</v>
      </c>
      <c r="H131" s="20" t="str">
        <f t="shared" ref="H131:H194" si="5">MID(B131,13,4)</f>
        <v>4058</v>
      </c>
    </row>
    <row r="132" spans="1:8" x14ac:dyDescent="0.3">
      <c r="A132" s="8">
        <v>43093.590046296296</v>
      </c>
      <c r="B132" s="20" t="s">
        <v>477</v>
      </c>
      <c r="C132" s="20" t="s">
        <v>818</v>
      </c>
      <c r="D132" s="137">
        <v>880000</v>
      </c>
      <c r="E132" s="20" t="s">
        <v>786</v>
      </c>
      <c r="F132" s="20" t="s">
        <v>352</v>
      </c>
      <c r="G132" s="8" t="str">
        <f t="shared" si="4"/>
        <v>STEWART MICHAEL</v>
      </c>
      <c r="H132" s="20" t="str">
        <f t="shared" si="5"/>
        <v>4006</v>
      </c>
    </row>
    <row r="133" spans="1:8" x14ac:dyDescent="0.3">
      <c r="A133" s="8">
        <v>43093.597916666666</v>
      </c>
      <c r="B133" s="20" t="s">
        <v>371</v>
      </c>
      <c r="C133" s="20" t="s">
        <v>819</v>
      </c>
      <c r="D133" s="137">
        <v>2540000</v>
      </c>
      <c r="E133" s="20" t="s">
        <v>453</v>
      </c>
      <c r="F133" s="20" t="s">
        <v>454</v>
      </c>
      <c r="G133" s="8" t="str">
        <f t="shared" si="4"/>
        <v>MCREYNOLDS KYLE</v>
      </c>
      <c r="H133" s="20" t="str">
        <f t="shared" si="5"/>
        <v>4011</v>
      </c>
    </row>
    <row r="134" spans="1:8" x14ac:dyDescent="0.3">
      <c r="A134" s="8">
        <v>43093.600138888891</v>
      </c>
      <c r="B134" s="20" t="s">
        <v>445</v>
      </c>
      <c r="C134" s="20" t="s">
        <v>820</v>
      </c>
      <c r="D134" s="137">
        <v>2230000</v>
      </c>
      <c r="E134" s="20" t="s">
        <v>393</v>
      </c>
      <c r="F134" s="20" t="s">
        <v>352</v>
      </c>
      <c r="G134" s="8" t="str">
        <f t="shared" si="4"/>
        <v>SMITH MICHAEL</v>
      </c>
      <c r="H134" s="20" t="str">
        <f t="shared" si="5"/>
        <v>4050</v>
      </c>
    </row>
    <row r="135" spans="1:8" x14ac:dyDescent="0.3">
      <c r="A135" s="8">
        <v>43093.601354166669</v>
      </c>
      <c r="B135" s="20" t="s">
        <v>686</v>
      </c>
      <c r="C135" s="20" t="s">
        <v>687</v>
      </c>
      <c r="D135" s="137">
        <v>2420000</v>
      </c>
      <c r="E135" s="20" t="s">
        <v>505</v>
      </c>
      <c r="F135" s="20" t="s">
        <v>506</v>
      </c>
      <c r="G135" s="8" t="str">
        <f t="shared" si="4"/>
        <v>HOLCOMB KAMDEN</v>
      </c>
      <c r="H135" s="20" t="str">
        <f t="shared" si="5"/>
        <v>4057</v>
      </c>
    </row>
    <row r="136" spans="1:8" x14ac:dyDescent="0.3">
      <c r="A136" s="8">
        <v>43093.609918981485</v>
      </c>
      <c r="B136" s="20" t="s">
        <v>514</v>
      </c>
      <c r="C136" s="20" t="s">
        <v>821</v>
      </c>
      <c r="D136" s="137">
        <v>2550000</v>
      </c>
      <c r="E136" s="20" t="s">
        <v>494</v>
      </c>
      <c r="F136" s="20" t="s">
        <v>495</v>
      </c>
      <c r="G136" s="8" t="str">
        <f t="shared" si="4"/>
        <v>BADERTSCHER DIANE</v>
      </c>
      <c r="H136" s="20" t="str">
        <f t="shared" si="5"/>
        <v>4043</v>
      </c>
    </row>
    <row r="137" spans="1:8" x14ac:dyDescent="0.3">
      <c r="A137" s="8">
        <v>43093.611435185187</v>
      </c>
      <c r="B137" s="20" t="s">
        <v>384</v>
      </c>
      <c r="C137" s="20" t="s">
        <v>822</v>
      </c>
      <c r="D137" s="137">
        <v>3030000</v>
      </c>
      <c r="E137" s="20" t="s">
        <v>790</v>
      </c>
      <c r="F137" s="20" t="s">
        <v>590</v>
      </c>
      <c r="G137" s="8" t="str">
        <f t="shared" si="4"/>
        <v>BIRENBAUM THOMAS</v>
      </c>
      <c r="H137" s="20" t="str">
        <f t="shared" si="5"/>
        <v>4022</v>
      </c>
    </row>
    <row r="138" spans="1:8" x14ac:dyDescent="0.3">
      <c r="A138" s="8">
        <v>43093.621215277781</v>
      </c>
      <c r="B138" s="20" t="s">
        <v>675</v>
      </c>
      <c r="C138" s="20" t="s">
        <v>688</v>
      </c>
      <c r="D138" s="137">
        <v>2610000</v>
      </c>
      <c r="E138" s="20" t="s">
        <v>380</v>
      </c>
      <c r="F138" s="20" t="s">
        <v>381</v>
      </c>
      <c r="G138" s="8" t="str">
        <f t="shared" si="4"/>
        <v>MAGEE KENYA</v>
      </c>
      <c r="H138" s="20" t="str">
        <f t="shared" si="5"/>
        <v>4013</v>
      </c>
    </row>
    <row r="139" spans="1:8" x14ac:dyDescent="0.3">
      <c r="A139" s="8">
        <v>43093.623506944445</v>
      </c>
      <c r="B139" s="20" t="s">
        <v>383</v>
      </c>
      <c r="C139" s="20" t="s">
        <v>823</v>
      </c>
      <c r="D139" s="137">
        <v>2630000</v>
      </c>
      <c r="E139" s="20" t="s">
        <v>372</v>
      </c>
      <c r="F139" s="20" t="s">
        <v>373</v>
      </c>
      <c r="G139" s="8" t="str">
        <f t="shared" si="4"/>
        <v>SAFIEF AEIMEN</v>
      </c>
      <c r="H139" s="20" t="str">
        <f t="shared" si="5"/>
        <v>4062</v>
      </c>
    </row>
    <row r="140" spans="1:8" x14ac:dyDescent="0.3">
      <c r="A140" s="8">
        <v>43093.629629629628</v>
      </c>
      <c r="B140" s="20" t="s">
        <v>480</v>
      </c>
      <c r="C140" s="20" t="s">
        <v>824</v>
      </c>
      <c r="D140" s="137">
        <v>880000</v>
      </c>
      <c r="E140" s="20" t="s">
        <v>786</v>
      </c>
      <c r="F140" s="20" t="s">
        <v>352</v>
      </c>
      <c r="G140" s="8" t="str">
        <f t="shared" si="4"/>
        <v>STEWART MICHAEL</v>
      </c>
      <c r="H140" s="20" t="str">
        <f t="shared" si="5"/>
        <v>4005</v>
      </c>
    </row>
    <row r="141" spans="1:8" x14ac:dyDescent="0.3">
      <c r="A141" s="8">
        <v>43093.630150462966</v>
      </c>
      <c r="B141" s="20" t="s">
        <v>548</v>
      </c>
      <c r="C141" s="20" t="s">
        <v>825</v>
      </c>
      <c r="D141" s="137">
        <v>2420000</v>
      </c>
      <c r="E141" s="20" t="s">
        <v>505</v>
      </c>
      <c r="F141" s="20" t="s">
        <v>506</v>
      </c>
      <c r="G141" s="8" t="str">
        <f t="shared" si="4"/>
        <v>HOLCOMB KAMDEN</v>
      </c>
      <c r="H141" s="20" t="str">
        <f t="shared" si="5"/>
        <v>4058</v>
      </c>
    </row>
    <row r="142" spans="1:8" x14ac:dyDescent="0.3">
      <c r="A142" s="8">
        <v>43093.630601851852</v>
      </c>
      <c r="B142" s="20" t="s">
        <v>370</v>
      </c>
      <c r="C142" s="20" t="s">
        <v>826</v>
      </c>
      <c r="D142" s="137">
        <v>2540000</v>
      </c>
      <c r="E142" s="20" t="s">
        <v>453</v>
      </c>
      <c r="F142" s="20" t="s">
        <v>454</v>
      </c>
      <c r="G142" s="8" t="str">
        <f t="shared" si="4"/>
        <v>MCREYNOLDS KYLE</v>
      </c>
      <c r="H142" s="20" t="str">
        <f t="shared" si="5"/>
        <v>4012</v>
      </c>
    </row>
    <row r="143" spans="1:8" x14ac:dyDescent="0.3">
      <c r="A143" s="8">
        <v>43093.638055555559</v>
      </c>
      <c r="B143" s="20" t="s">
        <v>444</v>
      </c>
      <c r="C143" s="20" t="s">
        <v>827</v>
      </c>
      <c r="D143" s="137">
        <v>2230000</v>
      </c>
      <c r="E143" s="20" t="s">
        <v>393</v>
      </c>
      <c r="F143" s="20" t="s">
        <v>352</v>
      </c>
      <c r="G143" s="8" t="str">
        <f t="shared" si="4"/>
        <v>SMITH MICHAEL</v>
      </c>
      <c r="H143" s="20" t="str">
        <f t="shared" si="5"/>
        <v>4049</v>
      </c>
    </row>
    <row r="144" spans="1:8" x14ac:dyDescent="0.3">
      <c r="A144" s="8">
        <v>43093.640706018516</v>
      </c>
      <c r="B144" s="20" t="s">
        <v>691</v>
      </c>
      <c r="C144" s="20" t="s">
        <v>828</v>
      </c>
      <c r="D144" s="137">
        <v>3030000</v>
      </c>
      <c r="E144" s="20" t="s">
        <v>790</v>
      </c>
      <c r="F144" s="20" t="s">
        <v>590</v>
      </c>
      <c r="G144" s="8" t="str">
        <f t="shared" si="4"/>
        <v>BIRENBAUM THOMAS</v>
      </c>
      <c r="H144" s="20" t="str">
        <f t="shared" si="5"/>
        <v>4021</v>
      </c>
    </row>
    <row r="145" spans="1:8" x14ac:dyDescent="0.3">
      <c r="A145" s="8">
        <v>43093.643773148149</v>
      </c>
      <c r="B145" s="20" t="s">
        <v>513</v>
      </c>
      <c r="C145" s="20" t="s">
        <v>829</v>
      </c>
      <c r="D145" s="137">
        <v>2550000</v>
      </c>
      <c r="E145" s="20" t="s">
        <v>494</v>
      </c>
      <c r="F145" s="20" t="s">
        <v>495</v>
      </c>
      <c r="G145" s="8" t="str">
        <f t="shared" si="4"/>
        <v>BADERTSCHER DIANE</v>
      </c>
      <c r="H145" s="20" t="str">
        <f t="shared" si="5"/>
        <v>4044</v>
      </c>
    </row>
    <row r="146" spans="1:8" x14ac:dyDescent="0.3">
      <c r="A146" s="8">
        <v>43093.643900462965</v>
      </c>
      <c r="B146" s="20" t="s">
        <v>686</v>
      </c>
      <c r="C146" s="20" t="s">
        <v>830</v>
      </c>
      <c r="D146" s="137">
        <v>2420000</v>
      </c>
      <c r="E146" s="20" t="s">
        <v>505</v>
      </c>
      <c r="F146" s="20" t="s">
        <v>506</v>
      </c>
      <c r="G146" s="8" t="str">
        <f t="shared" si="4"/>
        <v>HOLCOMB KAMDEN</v>
      </c>
      <c r="H146" s="20" t="str">
        <f t="shared" si="5"/>
        <v>4057</v>
      </c>
    </row>
    <row r="147" spans="1:8" x14ac:dyDescent="0.3">
      <c r="A147" s="8">
        <v>43093.652951388889</v>
      </c>
      <c r="B147" s="20" t="s">
        <v>680</v>
      </c>
      <c r="C147" s="20" t="s">
        <v>831</v>
      </c>
      <c r="D147" s="137">
        <v>2610000</v>
      </c>
      <c r="E147" s="20" t="s">
        <v>380</v>
      </c>
      <c r="F147" s="20" t="s">
        <v>381</v>
      </c>
      <c r="G147" s="8" t="str">
        <f t="shared" si="4"/>
        <v>MAGEE KENYA</v>
      </c>
      <c r="H147" s="20" t="str">
        <f t="shared" si="5"/>
        <v>4014</v>
      </c>
    </row>
    <row r="148" spans="1:8" x14ac:dyDescent="0.3">
      <c r="A148" s="8">
        <v>43093.656215277777</v>
      </c>
      <c r="B148" s="20" t="s">
        <v>385</v>
      </c>
      <c r="C148" s="20" t="s">
        <v>832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4061</v>
      </c>
    </row>
    <row r="149" spans="1:8" x14ac:dyDescent="0.3">
      <c r="A149" s="8">
        <v>43093.662928240738</v>
      </c>
      <c r="B149" s="20" t="s">
        <v>477</v>
      </c>
      <c r="C149" s="20" t="s">
        <v>833</v>
      </c>
      <c r="D149" s="137">
        <v>880000</v>
      </c>
      <c r="E149" s="20" t="s">
        <v>786</v>
      </c>
      <c r="F149" s="20" t="s">
        <v>352</v>
      </c>
      <c r="G149" s="8" t="str">
        <f t="shared" si="4"/>
        <v>STEWART MICHAEL</v>
      </c>
      <c r="H149" s="20" t="str">
        <f t="shared" si="5"/>
        <v>4006</v>
      </c>
    </row>
    <row r="150" spans="1:8" x14ac:dyDescent="0.3">
      <c r="A150" s="8">
        <v>43093.668935185182</v>
      </c>
      <c r="B150" s="20" t="s">
        <v>548</v>
      </c>
      <c r="C150" s="20" t="s">
        <v>689</v>
      </c>
      <c r="D150" s="137">
        <v>2420000</v>
      </c>
      <c r="E150" s="20" t="s">
        <v>505</v>
      </c>
      <c r="F150" s="20" t="s">
        <v>506</v>
      </c>
      <c r="G150" s="8" t="str">
        <f t="shared" si="4"/>
        <v>HOLCOMB KAMDEN</v>
      </c>
      <c r="H150" s="20" t="str">
        <f t="shared" si="5"/>
        <v>4058</v>
      </c>
    </row>
    <row r="151" spans="1:8" x14ac:dyDescent="0.3">
      <c r="A151" s="8">
        <v>43093.670497685183</v>
      </c>
      <c r="B151" s="20" t="s">
        <v>371</v>
      </c>
      <c r="C151" s="20" t="s">
        <v>834</v>
      </c>
      <c r="D151" s="137">
        <v>2540000</v>
      </c>
      <c r="E151" s="20" t="s">
        <v>453</v>
      </c>
      <c r="F151" s="20" t="s">
        <v>454</v>
      </c>
      <c r="G151" s="8" t="str">
        <f t="shared" si="4"/>
        <v>MCREYNOLDS KYLE</v>
      </c>
      <c r="H151" s="20" t="str">
        <f t="shared" si="5"/>
        <v>4011</v>
      </c>
    </row>
    <row r="152" spans="1:8" x14ac:dyDescent="0.3">
      <c r="A152" s="8">
        <v>43093.672060185185</v>
      </c>
      <c r="B152" s="20" t="s">
        <v>445</v>
      </c>
      <c r="C152" s="20" t="s">
        <v>835</v>
      </c>
      <c r="D152" s="137">
        <v>2230000</v>
      </c>
      <c r="E152" s="20" t="s">
        <v>393</v>
      </c>
      <c r="F152" s="20" t="s">
        <v>352</v>
      </c>
      <c r="G152" s="8" t="str">
        <f t="shared" si="4"/>
        <v>SMITH MICHAEL</v>
      </c>
      <c r="H152" s="20" t="str">
        <f t="shared" si="5"/>
        <v>4050</v>
      </c>
    </row>
    <row r="153" spans="1:8" x14ac:dyDescent="0.3">
      <c r="A153" s="8">
        <v>43093.681898148148</v>
      </c>
      <c r="B153" s="20" t="s">
        <v>667</v>
      </c>
      <c r="C153" s="20" t="s">
        <v>836</v>
      </c>
      <c r="D153" s="137">
        <v>2270000</v>
      </c>
      <c r="E153" s="20" t="s">
        <v>837</v>
      </c>
      <c r="F153" s="20" t="s">
        <v>838</v>
      </c>
      <c r="G153" s="8" t="str">
        <f t="shared" si="4"/>
        <v>BROWN JACOB</v>
      </c>
      <c r="H153" s="20" t="str">
        <f t="shared" si="5"/>
        <v>4032</v>
      </c>
    </row>
    <row r="154" spans="1:8" x14ac:dyDescent="0.3">
      <c r="A154" s="8">
        <v>43093.683680555558</v>
      </c>
      <c r="B154" s="20" t="s">
        <v>514</v>
      </c>
      <c r="C154" s="20" t="s">
        <v>839</v>
      </c>
      <c r="D154" s="137">
        <v>2550000</v>
      </c>
      <c r="E154" s="20" t="s">
        <v>494</v>
      </c>
      <c r="F154" s="20" t="s">
        <v>495</v>
      </c>
      <c r="G154" s="8" t="str">
        <f t="shared" si="4"/>
        <v>BADERTSCHER DIANE</v>
      </c>
      <c r="H154" s="20" t="str">
        <f t="shared" si="5"/>
        <v>4043</v>
      </c>
    </row>
    <row r="155" spans="1:8" x14ac:dyDescent="0.3">
      <c r="A155" s="8">
        <v>43093.683807870373</v>
      </c>
      <c r="B155" s="20" t="s">
        <v>384</v>
      </c>
      <c r="C155" s="20" t="s">
        <v>840</v>
      </c>
      <c r="D155" s="137">
        <v>3030000</v>
      </c>
      <c r="E155" s="20" t="s">
        <v>790</v>
      </c>
      <c r="F155" s="20" t="s">
        <v>590</v>
      </c>
      <c r="G155" s="8" t="str">
        <f t="shared" si="4"/>
        <v>BIRENBAUM THOMAS</v>
      </c>
      <c r="H155" s="20" t="str">
        <f t="shared" si="5"/>
        <v>4022</v>
      </c>
    </row>
    <row r="156" spans="1:8" x14ac:dyDescent="0.3">
      <c r="A156" s="8">
        <v>43093.684930555559</v>
      </c>
      <c r="B156" s="20" t="s">
        <v>686</v>
      </c>
      <c r="C156" s="20" t="s">
        <v>841</v>
      </c>
      <c r="D156" s="137">
        <v>2420000</v>
      </c>
      <c r="E156" s="20" t="s">
        <v>505</v>
      </c>
      <c r="F156" s="20" t="s">
        <v>506</v>
      </c>
      <c r="G156" s="8" t="str">
        <f t="shared" si="4"/>
        <v>HOLCOMB KAMDEN</v>
      </c>
      <c r="H156" s="20" t="str">
        <f t="shared" si="5"/>
        <v>4057</v>
      </c>
    </row>
    <row r="157" spans="1:8" x14ac:dyDescent="0.3">
      <c r="A157" s="8">
        <v>43093.693865740737</v>
      </c>
      <c r="B157" s="20" t="s">
        <v>675</v>
      </c>
      <c r="C157" s="20" t="s">
        <v>842</v>
      </c>
      <c r="D157" s="137">
        <v>2610000</v>
      </c>
      <c r="E157" s="20" t="s">
        <v>380</v>
      </c>
      <c r="F157" s="20" t="s">
        <v>381</v>
      </c>
      <c r="G157" s="8" t="str">
        <f t="shared" si="4"/>
        <v>MAGEE KENYA</v>
      </c>
      <c r="H157" s="20" t="str">
        <f t="shared" si="5"/>
        <v>4013</v>
      </c>
    </row>
    <row r="158" spans="1:8" x14ac:dyDescent="0.3">
      <c r="A158" s="8">
        <v>43093.695150462961</v>
      </c>
      <c r="B158" s="20" t="s">
        <v>675</v>
      </c>
      <c r="C158" s="20" t="s">
        <v>842</v>
      </c>
      <c r="D158" s="137">
        <v>2610000</v>
      </c>
      <c r="E158" s="20" t="s">
        <v>380</v>
      </c>
      <c r="F158" s="20" t="s">
        <v>381</v>
      </c>
      <c r="G158" s="8" t="str">
        <f t="shared" si="4"/>
        <v>MAGEE KENYA</v>
      </c>
      <c r="H158" s="20" t="str">
        <f t="shared" si="5"/>
        <v>4013</v>
      </c>
    </row>
    <row r="159" spans="1:8" x14ac:dyDescent="0.3">
      <c r="A159" s="8">
        <v>43093.696053240739</v>
      </c>
      <c r="B159" s="20" t="s">
        <v>383</v>
      </c>
      <c r="C159" s="20" t="s">
        <v>843</v>
      </c>
      <c r="D159" s="137">
        <v>2630000</v>
      </c>
      <c r="E159" s="20" t="s">
        <v>372</v>
      </c>
      <c r="F159" s="20" t="s">
        <v>373</v>
      </c>
      <c r="G159" s="8" t="str">
        <f t="shared" si="4"/>
        <v>SAFIEF AEIMEN</v>
      </c>
      <c r="H159" s="20" t="str">
        <f t="shared" si="5"/>
        <v>4062</v>
      </c>
    </row>
    <row r="160" spans="1:8" x14ac:dyDescent="0.3">
      <c r="A160" s="8">
        <v>43093.703645833331</v>
      </c>
      <c r="B160" s="20" t="s">
        <v>370</v>
      </c>
      <c r="C160" s="20" t="s">
        <v>844</v>
      </c>
      <c r="D160" s="137">
        <v>2540000</v>
      </c>
      <c r="E160" s="20" t="s">
        <v>453</v>
      </c>
      <c r="F160" s="20" t="s">
        <v>454</v>
      </c>
      <c r="G160" s="8" t="str">
        <f t="shared" si="4"/>
        <v>MCREYNOLDS KYLE</v>
      </c>
      <c r="H160" s="20" t="str">
        <f t="shared" si="5"/>
        <v>4012</v>
      </c>
    </row>
    <row r="161" spans="1:8" x14ac:dyDescent="0.3">
      <c r="A161" s="8">
        <v>43093.704062500001</v>
      </c>
      <c r="B161" s="20" t="s">
        <v>480</v>
      </c>
      <c r="C161" s="20" t="s">
        <v>845</v>
      </c>
      <c r="D161" s="137">
        <v>880000</v>
      </c>
      <c r="E161" s="20" t="s">
        <v>786</v>
      </c>
      <c r="F161" s="20" t="s">
        <v>352</v>
      </c>
      <c r="G161" s="8" t="str">
        <f t="shared" si="4"/>
        <v>STEWART MICHAEL</v>
      </c>
      <c r="H161" s="20" t="str">
        <f t="shared" si="5"/>
        <v>4005</v>
      </c>
    </row>
    <row r="162" spans="1:8" x14ac:dyDescent="0.3">
      <c r="A162" s="8">
        <v>43093.707546296297</v>
      </c>
      <c r="B162" s="20" t="s">
        <v>444</v>
      </c>
      <c r="C162" s="20" t="s">
        <v>846</v>
      </c>
      <c r="D162" s="137">
        <v>2230000</v>
      </c>
      <c r="E162" s="20" t="s">
        <v>393</v>
      </c>
      <c r="F162" s="20" t="s">
        <v>352</v>
      </c>
      <c r="G162" s="8" t="str">
        <f t="shared" si="4"/>
        <v>SMITH MICHAEL</v>
      </c>
      <c r="H162" s="20" t="str">
        <f t="shared" si="5"/>
        <v>4049</v>
      </c>
    </row>
    <row r="163" spans="1:8" x14ac:dyDescent="0.3">
      <c r="A163" s="8">
        <v>43093.711828703701</v>
      </c>
      <c r="B163" s="20" t="s">
        <v>548</v>
      </c>
      <c r="C163" s="20" t="s">
        <v>847</v>
      </c>
      <c r="D163" s="137">
        <v>2420000</v>
      </c>
      <c r="E163" s="20" t="s">
        <v>505</v>
      </c>
      <c r="F163" s="20" t="s">
        <v>506</v>
      </c>
      <c r="G163" s="8" t="str">
        <f t="shared" si="4"/>
        <v>HOLCOMB KAMDEN</v>
      </c>
      <c r="H163" s="20" t="str">
        <f t="shared" si="5"/>
        <v>4058</v>
      </c>
    </row>
    <row r="164" spans="1:8" x14ac:dyDescent="0.3">
      <c r="A164" s="8">
        <v>43093.713773148149</v>
      </c>
      <c r="B164" s="20" t="s">
        <v>691</v>
      </c>
      <c r="C164" s="20" t="s">
        <v>848</v>
      </c>
      <c r="D164" s="137">
        <v>3030000</v>
      </c>
      <c r="E164" s="20" t="s">
        <v>790</v>
      </c>
      <c r="F164" s="20" t="s">
        <v>590</v>
      </c>
      <c r="G164" s="8" t="str">
        <f t="shared" si="4"/>
        <v>BIRENBAUM THOMAS</v>
      </c>
      <c r="H164" s="20" t="str">
        <f t="shared" si="5"/>
        <v>4021</v>
      </c>
    </row>
    <row r="165" spans="1:8" x14ac:dyDescent="0.3">
      <c r="A165" s="8">
        <v>43093.715416666666</v>
      </c>
      <c r="B165" s="20" t="s">
        <v>513</v>
      </c>
      <c r="C165" s="20" t="s">
        <v>849</v>
      </c>
      <c r="D165" s="137">
        <v>2000000</v>
      </c>
      <c r="E165" s="20" t="s">
        <v>394</v>
      </c>
      <c r="F165" s="20" t="s">
        <v>395</v>
      </c>
      <c r="G165" s="8" t="str">
        <f t="shared" si="4"/>
        <v>STAMBAUGH JAMES</v>
      </c>
      <c r="H165" s="20" t="str">
        <f t="shared" si="5"/>
        <v>4044</v>
      </c>
    </row>
    <row r="166" spans="1:8" x14ac:dyDescent="0.3">
      <c r="A166" s="8">
        <v>43093.7190162037</v>
      </c>
      <c r="B166" s="20" t="s">
        <v>447</v>
      </c>
      <c r="C166" s="20" t="s">
        <v>850</v>
      </c>
      <c r="D166" s="137">
        <v>3330000</v>
      </c>
      <c r="E166" s="20" t="s">
        <v>515</v>
      </c>
      <c r="F166" s="20" t="s">
        <v>516</v>
      </c>
      <c r="G166" s="8" t="str">
        <f t="shared" si="4"/>
        <v>GONZALEZ ARMANDO</v>
      </c>
      <c r="H166" s="20" t="str">
        <f t="shared" si="5"/>
        <v>4042</v>
      </c>
    </row>
    <row r="167" spans="1:8" x14ac:dyDescent="0.3">
      <c r="A167" s="8">
        <v>43093.726041666669</v>
      </c>
      <c r="B167" s="20" t="s">
        <v>686</v>
      </c>
      <c r="C167" s="20" t="s">
        <v>851</v>
      </c>
      <c r="D167" s="137">
        <v>2420000</v>
      </c>
      <c r="E167" s="20" t="s">
        <v>505</v>
      </c>
      <c r="F167" s="20" t="s">
        <v>506</v>
      </c>
      <c r="G167" s="8" t="str">
        <f t="shared" si="4"/>
        <v>HOLCOMB KAMDEN</v>
      </c>
      <c r="H167" s="20" t="str">
        <f t="shared" si="5"/>
        <v>4057</v>
      </c>
    </row>
    <row r="168" spans="1:8" x14ac:dyDescent="0.3">
      <c r="A168" s="8">
        <v>43093.727326388886</v>
      </c>
      <c r="B168" s="20" t="s">
        <v>680</v>
      </c>
      <c r="C168" s="20" t="s">
        <v>852</v>
      </c>
      <c r="D168" s="137">
        <v>2610000</v>
      </c>
      <c r="E168" s="20" t="s">
        <v>380</v>
      </c>
      <c r="F168" s="20" t="s">
        <v>381</v>
      </c>
      <c r="G168" s="8" t="str">
        <f t="shared" si="4"/>
        <v>MAGEE KENYA</v>
      </c>
      <c r="H168" s="20" t="str">
        <f t="shared" si="5"/>
        <v>4014</v>
      </c>
    </row>
    <row r="169" spans="1:8" x14ac:dyDescent="0.3">
      <c r="A169" s="8">
        <v>43093.733888888892</v>
      </c>
      <c r="B169" s="20" t="s">
        <v>386</v>
      </c>
      <c r="C169" s="20" t="s">
        <v>853</v>
      </c>
      <c r="D169" s="137">
        <v>3680000</v>
      </c>
      <c r="E169" s="20" t="s">
        <v>471</v>
      </c>
      <c r="F169" s="20" t="s">
        <v>472</v>
      </c>
      <c r="G169" s="8" t="str">
        <f t="shared" si="4"/>
        <v>HAMMOND JUSTYNN</v>
      </c>
      <c r="H169" s="20" t="str">
        <f t="shared" si="5"/>
        <v>4029</v>
      </c>
    </row>
    <row r="170" spans="1:8" x14ac:dyDescent="0.3">
      <c r="A170" s="8">
        <v>43093.7346412037</v>
      </c>
      <c r="B170" s="20" t="s">
        <v>385</v>
      </c>
      <c r="C170" s="20" t="s">
        <v>854</v>
      </c>
      <c r="D170" s="137">
        <v>2630000</v>
      </c>
      <c r="E170" s="20" t="s">
        <v>372</v>
      </c>
      <c r="F170" s="20" t="s">
        <v>373</v>
      </c>
      <c r="G170" s="8" t="str">
        <f t="shared" si="4"/>
        <v>SAFIEF AEIMEN</v>
      </c>
      <c r="H170" s="20" t="str">
        <f t="shared" si="5"/>
        <v>4061</v>
      </c>
    </row>
    <row r="171" spans="1:8" x14ac:dyDescent="0.3">
      <c r="A171" s="8">
        <v>43093.737916666665</v>
      </c>
      <c r="B171" s="20" t="s">
        <v>477</v>
      </c>
      <c r="C171" s="20" t="s">
        <v>855</v>
      </c>
      <c r="D171" s="137">
        <v>3670000</v>
      </c>
      <c r="E171" s="20" t="s">
        <v>382</v>
      </c>
      <c r="F171" s="20" t="s">
        <v>368</v>
      </c>
      <c r="G171" s="8" t="str">
        <f t="shared" si="4"/>
        <v>ANDREA WILLIAMS</v>
      </c>
      <c r="H171" s="20" t="str">
        <f t="shared" si="5"/>
        <v>4006</v>
      </c>
    </row>
    <row r="172" spans="1:8" x14ac:dyDescent="0.3">
      <c r="A172" s="8">
        <v>43093.742592592593</v>
      </c>
      <c r="B172" s="20" t="s">
        <v>371</v>
      </c>
      <c r="C172" s="20" t="s">
        <v>856</v>
      </c>
      <c r="D172" s="137">
        <v>2540000</v>
      </c>
      <c r="E172" s="20" t="s">
        <v>453</v>
      </c>
      <c r="F172" s="20" t="s">
        <v>454</v>
      </c>
      <c r="G172" s="8" t="str">
        <f t="shared" si="4"/>
        <v>MCREYNOLDS KYLE</v>
      </c>
      <c r="H172" s="20" t="str">
        <f t="shared" si="5"/>
        <v>4011</v>
      </c>
    </row>
    <row r="173" spans="1:8" x14ac:dyDescent="0.3">
      <c r="A173" s="8">
        <v>43093.744328703702</v>
      </c>
      <c r="B173" s="20" t="s">
        <v>445</v>
      </c>
      <c r="C173" s="20" t="s">
        <v>857</v>
      </c>
      <c r="D173" s="137">
        <v>2230000</v>
      </c>
      <c r="E173" s="20" t="s">
        <v>393</v>
      </c>
      <c r="F173" s="20" t="s">
        <v>352</v>
      </c>
      <c r="G173" s="8" t="str">
        <f t="shared" si="4"/>
        <v>SMITH MICHAEL</v>
      </c>
      <c r="H173" s="20" t="str">
        <f t="shared" si="5"/>
        <v>4050</v>
      </c>
    </row>
    <row r="174" spans="1:8" x14ac:dyDescent="0.3">
      <c r="A174" s="8">
        <v>43093.750567129631</v>
      </c>
      <c r="B174" s="20" t="s">
        <v>548</v>
      </c>
      <c r="C174" s="20" t="s">
        <v>858</v>
      </c>
      <c r="D174" s="137">
        <v>2030000</v>
      </c>
      <c r="E174" s="20" t="s">
        <v>859</v>
      </c>
      <c r="F174" s="20" t="s">
        <v>549</v>
      </c>
      <c r="G174" s="8" t="str">
        <f t="shared" si="4"/>
        <v>KILLION DAVID</v>
      </c>
      <c r="H174" s="20" t="str">
        <f t="shared" si="5"/>
        <v>4058</v>
      </c>
    </row>
    <row r="175" spans="1:8" x14ac:dyDescent="0.3">
      <c r="A175" s="8">
        <v>43093.752847222226</v>
      </c>
      <c r="B175" s="20" t="s">
        <v>514</v>
      </c>
      <c r="C175" s="20" t="s">
        <v>860</v>
      </c>
      <c r="D175" s="137">
        <v>2000000</v>
      </c>
      <c r="E175" s="20" t="s">
        <v>394</v>
      </c>
      <c r="F175" s="20" t="s">
        <v>395</v>
      </c>
      <c r="G175" s="8" t="str">
        <f t="shared" si="4"/>
        <v>STAMBAUGH JAMES</v>
      </c>
      <c r="H175" s="20" t="str">
        <f t="shared" si="5"/>
        <v>4043</v>
      </c>
    </row>
    <row r="176" spans="1:8" x14ac:dyDescent="0.3">
      <c r="A176" s="8">
        <v>43093.755162037036</v>
      </c>
      <c r="B176" s="20" t="s">
        <v>384</v>
      </c>
      <c r="C176" s="20" t="s">
        <v>861</v>
      </c>
      <c r="D176" s="137">
        <v>3340000</v>
      </c>
      <c r="E176" s="20" t="s">
        <v>464</v>
      </c>
      <c r="F176" s="20" t="s">
        <v>465</v>
      </c>
      <c r="G176" s="8" t="str">
        <f t="shared" si="4"/>
        <v>ELBAUM MIKE</v>
      </c>
      <c r="H176" s="20" t="str">
        <f t="shared" si="5"/>
        <v>4022</v>
      </c>
    </row>
    <row r="177" spans="1:8" x14ac:dyDescent="0.3">
      <c r="A177" s="8">
        <v>43093.758229166669</v>
      </c>
      <c r="B177" s="20" t="s">
        <v>675</v>
      </c>
      <c r="C177" s="20" t="s">
        <v>862</v>
      </c>
      <c r="D177" s="137">
        <v>2610000</v>
      </c>
      <c r="E177" s="20" t="s">
        <v>380</v>
      </c>
      <c r="F177" s="20" t="s">
        <v>381</v>
      </c>
      <c r="G177" s="8" t="str">
        <f t="shared" si="4"/>
        <v>MAGEE KENYA</v>
      </c>
      <c r="H177" s="20" t="str">
        <f t="shared" si="5"/>
        <v>4013</v>
      </c>
    </row>
    <row r="178" spans="1:8" x14ac:dyDescent="0.3">
      <c r="A178" s="8">
        <v>43093.766597222224</v>
      </c>
      <c r="B178" s="20" t="s">
        <v>383</v>
      </c>
      <c r="C178" s="20" t="s">
        <v>863</v>
      </c>
      <c r="D178" s="137">
        <v>3220000</v>
      </c>
      <c r="E178" s="20" t="s">
        <v>378</v>
      </c>
      <c r="F178" s="20" t="s">
        <v>379</v>
      </c>
      <c r="G178" s="8" t="str">
        <f t="shared" si="4"/>
        <v>RESPASS AARON</v>
      </c>
      <c r="H178" s="20" t="str">
        <f t="shared" si="5"/>
        <v>4062</v>
      </c>
    </row>
    <row r="179" spans="1:8" x14ac:dyDescent="0.3">
      <c r="A179" s="8">
        <v>43093.768460648149</v>
      </c>
      <c r="B179" s="20" t="s">
        <v>675</v>
      </c>
      <c r="C179" s="20" t="s">
        <v>862</v>
      </c>
      <c r="D179" s="137">
        <v>2610000</v>
      </c>
      <c r="E179" s="20" t="s">
        <v>380</v>
      </c>
      <c r="F179" s="20" t="s">
        <v>381</v>
      </c>
      <c r="G179" s="8" t="str">
        <f t="shared" si="4"/>
        <v>MAGEE KENYA</v>
      </c>
      <c r="H179" s="20" t="str">
        <f t="shared" si="5"/>
        <v>4013</v>
      </c>
    </row>
    <row r="180" spans="1:8" x14ac:dyDescent="0.3">
      <c r="A180" s="8">
        <v>43093.769189814811</v>
      </c>
      <c r="B180" s="20" t="s">
        <v>686</v>
      </c>
      <c r="C180" s="20" t="s">
        <v>864</v>
      </c>
      <c r="D180" s="137">
        <v>2030000</v>
      </c>
      <c r="E180" s="20" t="s">
        <v>859</v>
      </c>
      <c r="F180" s="20" t="s">
        <v>549</v>
      </c>
      <c r="G180" s="8" t="str">
        <f t="shared" si="4"/>
        <v>KILLION DAVID</v>
      </c>
      <c r="H180" s="20" t="str">
        <f t="shared" si="5"/>
        <v>4057</v>
      </c>
    </row>
    <row r="181" spans="1:8" x14ac:dyDescent="0.3">
      <c r="A181" s="8">
        <v>43093.772662037038</v>
      </c>
      <c r="B181" s="20" t="s">
        <v>480</v>
      </c>
      <c r="C181" s="20" t="s">
        <v>865</v>
      </c>
      <c r="D181" s="137">
        <v>3670000</v>
      </c>
      <c r="E181" s="20" t="s">
        <v>382</v>
      </c>
      <c r="F181" s="20" t="s">
        <v>368</v>
      </c>
      <c r="G181" s="8" t="str">
        <f t="shared" si="4"/>
        <v>ANDREA WILLIAMS</v>
      </c>
      <c r="H181" s="20" t="str">
        <f t="shared" si="5"/>
        <v>4005</v>
      </c>
    </row>
    <row r="182" spans="1:8" x14ac:dyDescent="0.3">
      <c r="A182" s="8">
        <v>43093.77783564815</v>
      </c>
      <c r="B182" s="20" t="s">
        <v>370</v>
      </c>
      <c r="C182" s="20" t="s">
        <v>866</v>
      </c>
      <c r="D182" s="137">
        <v>2540000</v>
      </c>
      <c r="E182" s="20" t="s">
        <v>453</v>
      </c>
      <c r="F182" s="20" t="s">
        <v>454</v>
      </c>
      <c r="G182" s="8" t="str">
        <f t="shared" si="4"/>
        <v>MCREYNOLDS KYLE</v>
      </c>
      <c r="H182" s="20" t="str">
        <f t="shared" si="5"/>
        <v>4012</v>
      </c>
    </row>
    <row r="183" spans="1:8" x14ac:dyDescent="0.3">
      <c r="A183" s="8">
        <v>43093.78297453704</v>
      </c>
      <c r="B183" s="20" t="s">
        <v>444</v>
      </c>
      <c r="C183" s="20" t="s">
        <v>867</v>
      </c>
      <c r="D183" s="137">
        <v>2230000</v>
      </c>
      <c r="E183" s="20" t="s">
        <v>393</v>
      </c>
      <c r="F183" s="20" t="s">
        <v>352</v>
      </c>
      <c r="G183" s="8" t="str">
        <f t="shared" si="4"/>
        <v>SMITH MICHAEL</v>
      </c>
      <c r="H183" s="20" t="str">
        <f t="shared" si="5"/>
        <v>4049</v>
      </c>
    </row>
    <row r="184" spans="1:8" x14ac:dyDescent="0.3">
      <c r="A184" s="8">
        <v>43093.787465277775</v>
      </c>
      <c r="B184" s="20" t="s">
        <v>691</v>
      </c>
      <c r="C184" s="20" t="s">
        <v>868</v>
      </c>
      <c r="D184" s="137">
        <v>3340000</v>
      </c>
      <c r="E184" s="20" t="s">
        <v>464</v>
      </c>
      <c r="F184" s="20" t="s">
        <v>465</v>
      </c>
      <c r="G184" s="8" t="str">
        <f t="shared" si="4"/>
        <v>ELBAUM MIKE</v>
      </c>
      <c r="H184" s="20" t="str">
        <f t="shared" si="5"/>
        <v>4021</v>
      </c>
    </row>
    <row r="185" spans="1:8" x14ac:dyDescent="0.3">
      <c r="A185" s="8">
        <v>43093.7890625</v>
      </c>
      <c r="B185" s="20" t="s">
        <v>513</v>
      </c>
      <c r="C185" s="20" t="s">
        <v>869</v>
      </c>
      <c r="D185" s="137">
        <v>2000000</v>
      </c>
      <c r="E185" s="20" t="s">
        <v>394</v>
      </c>
      <c r="F185" s="20" t="s">
        <v>395</v>
      </c>
      <c r="G185" s="8" t="str">
        <f t="shared" si="4"/>
        <v>STAMBAUGH JAMES</v>
      </c>
      <c r="H185" s="20" t="str">
        <f t="shared" si="5"/>
        <v>4044</v>
      </c>
    </row>
    <row r="186" spans="1:8" x14ac:dyDescent="0.3">
      <c r="A186" s="8">
        <v>43093.792280092595</v>
      </c>
      <c r="B186" s="20" t="s">
        <v>548</v>
      </c>
      <c r="C186" s="20" t="s">
        <v>870</v>
      </c>
      <c r="D186" s="137">
        <v>2420000</v>
      </c>
      <c r="E186" s="20" t="s">
        <v>505</v>
      </c>
      <c r="F186" s="20" t="s">
        <v>506</v>
      </c>
      <c r="G186" s="8" t="str">
        <f t="shared" si="4"/>
        <v>HOLCOMB KAMDEN</v>
      </c>
      <c r="H186" s="20" t="str">
        <f t="shared" si="5"/>
        <v>4058</v>
      </c>
    </row>
    <row r="187" spans="1:8" x14ac:dyDescent="0.3">
      <c r="A187" s="8">
        <v>43093.797800925924</v>
      </c>
      <c r="B187" s="20" t="s">
        <v>680</v>
      </c>
      <c r="C187" s="20" t="s">
        <v>871</v>
      </c>
      <c r="D187" s="137">
        <v>2610000</v>
      </c>
      <c r="E187" s="20" t="s">
        <v>380</v>
      </c>
      <c r="F187" s="20" t="s">
        <v>381</v>
      </c>
      <c r="G187" s="8" t="str">
        <f t="shared" si="4"/>
        <v>MAGEE KENYA</v>
      </c>
      <c r="H187" s="20" t="str">
        <f t="shared" si="5"/>
        <v>4014</v>
      </c>
    </row>
    <row r="188" spans="1:8" x14ac:dyDescent="0.3">
      <c r="A188" s="8">
        <v>43093.808333333334</v>
      </c>
      <c r="B188" s="20" t="s">
        <v>477</v>
      </c>
      <c r="C188" s="20" t="s">
        <v>872</v>
      </c>
      <c r="D188" s="137">
        <v>2030000</v>
      </c>
      <c r="E188" s="20" t="s">
        <v>859</v>
      </c>
      <c r="F188" s="20" t="s">
        <v>549</v>
      </c>
      <c r="G188" s="8" t="str">
        <f t="shared" si="4"/>
        <v>KILLION DAVID</v>
      </c>
      <c r="H188" s="20" t="str">
        <f t="shared" si="5"/>
        <v>4006</v>
      </c>
    </row>
    <row r="189" spans="1:8" x14ac:dyDescent="0.3">
      <c r="A189" s="8">
        <v>43093.809004629627</v>
      </c>
      <c r="B189" s="20" t="s">
        <v>686</v>
      </c>
      <c r="C189" s="20" t="s">
        <v>873</v>
      </c>
      <c r="D189" s="137">
        <v>2420000</v>
      </c>
      <c r="E189" s="20" t="s">
        <v>505</v>
      </c>
      <c r="F189" s="20" t="s">
        <v>506</v>
      </c>
      <c r="G189" s="8" t="str">
        <f t="shared" si="4"/>
        <v>HOLCOMB KAMDEN</v>
      </c>
      <c r="H189" s="20" t="str">
        <f t="shared" si="5"/>
        <v>4057</v>
      </c>
    </row>
    <row r="190" spans="1:8" x14ac:dyDescent="0.3">
      <c r="A190" s="8">
        <v>43093.809942129628</v>
      </c>
      <c r="B190" s="20" t="s">
        <v>385</v>
      </c>
      <c r="C190" s="20" t="s">
        <v>874</v>
      </c>
      <c r="D190" s="137">
        <v>3220000</v>
      </c>
      <c r="E190" s="20" t="s">
        <v>378</v>
      </c>
      <c r="F190" s="20" t="s">
        <v>379</v>
      </c>
      <c r="G190" s="8" t="str">
        <f t="shared" si="4"/>
        <v>RESPASS AARON</v>
      </c>
      <c r="H190" s="20" t="str">
        <f t="shared" si="5"/>
        <v>4061</v>
      </c>
    </row>
    <row r="191" spans="1:8" x14ac:dyDescent="0.3">
      <c r="A191" s="8">
        <v>43093.818148148152</v>
      </c>
      <c r="B191" s="20" t="s">
        <v>445</v>
      </c>
      <c r="C191" s="20" t="s">
        <v>875</v>
      </c>
      <c r="D191" s="137">
        <v>2230000</v>
      </c>
      <c r="E191" s="20" t="s">
        <v>393</v>
      </c>
      <c r="F191" s="20" t="s">
        <v>352</v>
      </c>
      <c r="G191" s="8" t="str">
        <f t="shared" si="4"/>
        <v>SMITH MICHAEL</v>
      </c>
      <c r="H191" s="20" t="str">
        <f t="shared" si="5"/>
        <v>4050</v>
      </c>
    </row>
    <row r="192" spans="1:8" x14ac:dyDescent="0.3">
      <c r="A192" s="8">
        <v>43093.827094907407</v>
      </c>
      <c r="B192" s="20" t="s">
        <v>384</v>
      </c>
      <c r="C192" s="20" t="s">
        <v>876</v>
      </c>
      <c r="D192" s="137">
        <v>3340000</v>
      </c>
      <c r="E192" s="20" t="s">
        <v>464</v>
      </c>
      <c r="F192" s="20" t="s">
        <v>465</v>
      </c>
      <c r="G192" s="8" t="str">
        <f t="shared" si="4"/>
        <v>ELBAUM MIKE</v>
      </c>
      <c r="H192" s="20" t="str">
        <f t="shared" si="5"/>
        <v>4022</v>
      </c>
    </row>
    <row r="193" spans="1:8" x14ac:dyDescent="0.3">
      <c r="A193" s="8">
        <v>43093.827326388891</v>
      </c>
      <c r="B193" s="20" t="s">
        <v>514</v>
      </c>
      <c r="C193" s="20" t="s">
        <v>877</v>
      </c>
      <c r="D193" s="137">
        <v>2000000</v>
      </c>
      <c r="E193" s="20" t="s">
        <v>394</v>
      </c>
      <c r="F193" s="20" t="s">
        <v>395</v>
      </c>
      <c r="G193" s="8" t="str">
        <f t="shared" si="4"/>
        <v>STAMBAUGH JAMES</v>
      </c>
      <c r="H193" s="20" t="str">
        <f t="shared" si="5"/>
        <v>4043</v>
      </c>
    </row>
    <row r="194" spans="1:8" x14ac:dyDescent="0.3">
      <c r="A194" s="8">
        <v>43093.83221064815</v>
      </c>
      <c r="B194" s="20" t="s">
        <v>548</v>
      </c>
      <c r="C194" s="20" t="s">
        <v>690</v>
      </c>
      <c r="D194" s="137">
        <v>2420000</v>
      </c>
      <c r="E194" s="20" t="s">
        <v>505</v>
      </c>
      <c r="F194" s="20" t="s">
        <v>506</v>
      </c>
      <c r="G194" s="8" t="str">
        <f t="shared" si="4"/>
        <v>HOLCOMB KAMDEN</v>
      </c>
      <c r="H194" s="20" t="str">
        <f t="shared" si="5"/>
        <v>4058</v>
      </c>
    </row>
    <row r="195" spans="1:8" x14ac:dyDescent="0.3">
      <c r="A195" s="8">
        <v>43093.845219907409</v>
      </c>
      <c r="B195" s="20" t="s">
        <v>480</v>
      </c>
      <c r="C195" s="20" t="s">
        <v>878</v>
      </c>
      <c r="D195" s="137">
        <v>2030000</v>
      </c>
      <c r="E195" s="20" t="s">
        <v>859</v>
      </c>
      <c r="F195" s="20" t="s">
        <v>549</v>
      </c>
      <c r="G195" s="8" t="str">
        <f t="shared" ref="G195:G258" si="6">E195&amp;" "&amp;F195</f>
        <v>KILLION DAVID</v>
      </c>
      <c r="H195" s="20" t="str">
        <f t="shared" ref="H195:H258" si="7">MID(B195,13,4)</f>
        <v>4005</v>
      </c>
    </row>
    <row r="196" spans="1:8" x14ac:dyDescent="0.3">
      <c r="A196" s="8">
        <v>43093.851423611108</v>
      </c>
      <c r="B196" s="20" t="s">
        <v>686</v>
      </c>
      <c r="C196" s="20" t="s">
        <v>879</v>
      </c>
      <c r="D196" s="137">
        <v>2420000</v>
      </c>
      <c r="E196" s="20" t="s">
        <v>505</v>
      </c>
      <c r="F196" s="20" t="s">
        <v>506</v>
      </c>
      <c r="G196" s="8" t="str">
        <f t="shared" si="6"/>
        <v>HOLCOMB KAMDEN</v>
      </c>
      <c r="H196" s="20" t="str">
        <f t="shared" si="7"/>
        <v>4057</v>
      </c>
    </row>
    <row r="197" spans="1:8" x14ac:dyDescent="0.3">
      <c r="A197" s="8">
        <v>43093.852384259262</v>
      </c>
      <c r="B197" s="20" t="s">
        <v>383</v>
      </c>
      <c r="C197" s="20" t="s">
        <v>880</v>
      </c>
      <c r="D197" s="137">
        <v>3220000</v>
      </c>
      <c r="E197" s="20" t="s">
        <v>378</v>
      </c>
      <c r="F197" s="20" t="s">
        <v>379</v>
      </c>
      <c r="G197" s="8" t="str">
        <f t="shared" si="6"/>
        <v>RESPASS AARON</v>
      </c>
      <c r="H197" s="20" t="str">
        <f t="shared" si="7"/>
        <v>4062</v>
      </c>
    </row>
    <row r="198" spans="1:8" x14ac:dyDescent="0.3">
      <c r="A198" s="8">
        <v>43093.859722222223</v>
      </c>
      <c r="B198" s="20" t="s">
        <v>691</v>
      </c>
      <c r="C198" s="20" t="s">
        <v>692</v>
      </c>
      <c r="D198" s="137">
        <v>3340000</v>
      </c>
      <c r="E198" s="20" t="s">
        <v>464</v>
      </c>
      <c r="F198" s="20" t="s">
        <v>465</v>
      </c>
      <c r="G198" s="8" t="str">
        <f t="shared" si="6"/>
        <v>ELBAUM MIKE</v>
      </c>
      <c r="H198" s="20" t="str">
        <f t="shared" si="7"/>
        <v>4021</v>
      </c>
    </row>
    <row r="199" spans="1:8" x14ac:dyDescent="0.3">
      <c r="A199" s="8">
        <v>43093.860578703701</v>
      </c>
      <c r="B199" s="20" t="s">
        <v>513</v>
      </c>
      <c r="C199" s="20" t="s">
        <v>881</v>
      </c>
      <c r="D199" s="137">
        <v>2000000</v>
      </c>
      <c r="E199" s="20" t="s">
        <v>394</v>
      </c>
      <c r="F199" s="20" t="s">
        <v>395</v>
      </c>
      <c r="G199" s="8" t="str">
        <f t="shared" si="6"/>
        <v>STAMBAUGH JAMES</v>
      </c>
      <c r="H199" s="20" t="str">
        <f t="shared" si="7"/>
        <v>4044</v>
      </c>
    </row>
    <row r="200" spans="1:8" x14ac:dyDescent="0.3">
      <c r="A200" s="8">
        <v>43093.878553240742</v>
      </c>
      <c r="B200" s="20" t="s">
        <v>548</v>
      </c>
      <c r="C200" s="20" t="s">
        <v>693</v>
      </c>
      <c r="D200" s="137">
        <v>2420000</v>
      </c>
      <c r="E200" s="20" t="s">
        <v>505</v>
      </c>
      <c r="F200" s="20" t="s">
        <v>506</v>
      </c>
      <c r="G200" s="8" t="str">
        <f t="shared" si="6"/>
        <v>HOLCOMB KAMDEN</v>
      </c>
      <c r="H200" s="20" t="str">
        <f t="shared" si="7"/>
        <v>4058</v>
      </c>
    </row>
    <row r="201" spans="1:8" x14ac:dyDescent="0.3">
      <c r="A201" s="8">
        <v>43093.887685185182</v>
      </c>
      <c r="B201" s="20" t="s">
        <v>477</v>
      </c>
      <c r="C201" s="20" t="s">
        <v>694</v>
      </c>
      <c r="D201" s="137">
        <v>3670000</v>
      </c>
      <c r="E201" s="20" t="s">
        <v>382</v>
      </c>
      <c r="F201" s="20" t="s">
        <v>368</v>
      </c>
      <c r="G201" s="8" t="str">
        <f t="shared" si="6"/>
        <v>ANDREA WILLIAMS</v>
      </c>
      <c r="H201" s="20" t="str">
        <f t="shared" si="7"/>
        <v>4006</v>
      </c>
    </row>
    <row r="202" spans="1:8" x14ac:dyDescent="0.3">
      <c r="A202" s="26">
        <v>43093.890729166669</v>
      </c>
      <c r="B202" s="20" t="s">
        <v>385</v>
      </c>
      <c r="C202" s="20" t="s">
        <v>882</v>
      </c>
      <c r="D202" s="137">
        <v>3220000</v>
      </c>
      <c r="E202" s="20" t="s">
        <v>378</v>
      </c>
      <c r="F202" s="20" t="s">
        <v>379</v>
      </c>
      <c r="G202" s="8" t="str">
        <f t="shared" si="6"/>
        <v>RESPASS AARON</v>
      </c>
      <c r="H202" s="20" t="str">
        <f t="shared" si="7"/>
        <v>4061</v>
      </c>
    </row>
    <row r="203" spans="1:8" x14ac:dyDescent="0.3">
      <c r="A203" s="8">
        <v>43093.894328703704</v>
      </c>
      <c r="B203" s="20" t="s">
        <v>686</v>
      </c>
      <c r="C203" s="20" t="s">
        <v>883</v>
      </c>
      <c r="D203" s="137">
        <v>2420000</v>
      </c>
      <c r="E203" s="20" t="s">
        <v>505</v>
      </c>
      <c r="F203" s="20" t="s">
        <v>506</v>
      </c>
      <c r="G203" s="8" t="str">
        <f t="shared" si="6"/>
        <v>HOLCOMB KAMDEN</v>
      </c>
      <c r="H203" s="20" t="str">
        <f t="shared" si="7"/>
        <v>4057</v>
      </c>
    </row>
    <row r="204" spans="1:8" x14ac:dyDescent="0.3">
      <c r="A204" s="8">
        <v>43093.902789351851</v>
      </c>
      <c r="B204" s="20" t="s">
        <v>384</v>
      </c>
      <c r="C204" s="20" t="s">
        <v>884</v>
      </c>
      <c r="D204" s="137">
        <v>3340000</v>
      </c>
      <c r="E204" s="20" t="s">
        <v>464</v>
      </c>
      <c r="F204" s="20" t="s">
        <v>465</v>
      </c>
      <c r="G204" s="8" t="str">
        <f t="shared" si="6"/>
        <v>ELBAUM MIKE</v>
      </c>
      <c r="H204" s="20" t="str">
        <f t="shared" si="7"/>
        <v>4022</v>
      </c>
    </row>
    <row r="205" spans="1:8" x14ac:dyDescent="0.3">
      <c r="A205" s="8">
        <v>43093.908668981479</v>
      </c>
      <c r="B205" s="20" t="s">
        <v>514</v>
      </c>
      <c r="C205" s="20" t="s">
        <v>885</v>
      </c>
      <c r="D205" s="137">
        <v>2000000</v>
      </c>
      <c r="E205" s="20" t="s">
        <v>394</v>
      </c>
      <c r="F205" s="20" t="s">
        <v>395</v>
      </c>
      <c r="G205" s="8" t="str">
        <f t="shared" si="6"/>
        <v>STAMBAUGH JAMES</v>
      </c>
      <c r="H205" s="20" t="str">
        <f t="shared" si="7"/>
        <v>4043</v>
      </c>
    </row>
    <row r="206" spans="1:8" x14ac:dyDescent="0.3">
      <c r="A206" s="8">
        <v>43093.920729166668</v>
      </c>
      <c r="B206" s="20" t="s">
        <v>548</v>
      </c>
      <c r="C206" s="20" t="s">
        <v>695</v>
      </c>
      <c r="D206" s="137">
        <v>2420000</v>
      </c>
      <c r="E206" s="20" t="s">
        <v>505</v>
      </c>
      <c r="F206" s="20" t="s">
        <v>506</v>
      </c>
      <c r="G206" s="8" t="str">
        <f t="shared" si="6"/>
        <v>HOLCOMB KAMDEN</v>
      </c>
      <c r="H206" s="20" t="str">
        <f t="shared" si="7"/>
        <v>4058</v>
      </c>
    </row>
    <row r="207" spans="1:8" x14ac:dyDescent="0.3">
      <c r="A207" s="8">
        <v>43093.924849537034</v>
      </c>
      <c r="B207" s="20" t="s">
        <v>480</v>
      </c>
      <c r="C207" s="20" t="s">
        <v>696</v>
      </c>
      <c r="D207" s="137">
        <v>3670000</v>
      </c>
      <c r="E207" s="20" t="s">
        <v>382</v>
      </c>
      <c r="F207" s="20" t="s">
        <v>368</v>
      </c>
      <c r="G207" s="8" t="str">
        <f t="shared" si="6"/>
        <v>ANDREA WILLIAMS</v>
      </c>
      <c r="H207" s="20" t="str">
        <f t="shared" si="7"/>
        <v>4005</v>
      </c>
    </row>
    <row r="208" spans="1:8" x14ac:dyDescent="0.3">
      <c r="A208" s="8">
        <v>43093.934942129628</v>
      </c>
      <c r="B208" s="20" t="s">
        <v>686</v>
      </c>
      <c r="C208" s="20" t="s">
        <v>886</v>
      </c>
      <c r="D208" s="137">
        <v>2420000</v>
      </c>
      <c r="E208" s="20" t="s">
        <v>505</v>
      </c>
      <c r="F208" s="20" t="s">
        <v>506</v>
      </c>
      <c r="G208" s="8" t="str">
        <f t="shared" si="6"/>
        <v>HOLCOMB KAMDEN</v>
      </c>
      <c r="H208" s="20" t="str">
        <f t="shared" si="7"/>
        <v>4057</v>
      </c>
    </row>
    <row r="209" spans="1:8" x14ac:dyDescent="0.3">
      <c r="A209" s="8">
        <v>43093.936284722222</v>
      </c>
      <c r="B209" s="20" t="s">
        <v>383</v>
      </c>
      <c r="C209" s="20" t="s">
        <v>887</v>
      </c>
      <c r="D209" s="137">
        <v>3220000</v>
      </c>
      <c r="E209" s="20" t="s">
        <v>378</v>
      </c>
      <c r="F209" s="20" t="s">
        <v>379</v>
      </c>
      <c r="G209" s="8" t="str">
        <f t="shared" si="6"/>
        <v>RESPASS AARON</v>
      </c>
      <c r="H209" s="20" t="str">
        <f t="shared" si="7"/>
        <v>4062</v>
      </c>
    </row>
    <row r="210" spans="1:8" x14ac:dyDescent="0.3">
      <c r="A210" s="8">
        <v>43093.941863425927</v>
      </c>
      <c r="B210" s="20" t="s">
        <v>513</v>
      </c>
      <c r="C210" s="20" t="s">
        <v>888</v>
      </c>
      <c r="D210" s="137">
        <v>2000000</v>
      </c>
      <c r="E210" s="20" t="s">
        <v>394</v>
      </c>
      <c r="F210" s="20" t="s">
        <v>395</v>
      </c>
      <c r="G210" s="8" t="str">
        <f t="shared" si="6"/>
        <v>STAMBAUGH JAMES</v>
      </c>
      <c r="H210" s="20" t="str">
        <f t="shared" si="7"/>
        <v>4044</v>
      </c>
    </row>
    <row r="211" spans="1:8" x14ac:dyDescent="0.3">
      <c r="A211" s="8">
        <v>43093.945428240739</v>
      </c>
      <c r="B211" s="20" t="s">
        <v>691</v>
      </c>
      <c r="C211" s="20" t="s">
        <v>889</v>
      </c>
      <c r="D211" s="137">
        <v>3340000</v>
      </c>
      <c r="E211" s="20" t="s">
        <v>464</v>
      </c>
      <c r="F211" s="20" t="s">
        <v>465</v>
      </c>
      <c r="G211" s="8" t="str">
        <f t="shared" si="6"/>
        <v>ELBAUM MIKE</v>
      </c>
      <c r="H211" s="20" t="str">
        <f t="shared" si="7"/>
        <v>4021</v>
      </c>
    </row>
    <row r="212" spans="1:8" x14ac:dyDescent="0.3">
      <c r="A212" s="8">
        <v>43093.960057870368</v>
      </c>
      <c r="B212" s="20" t="s">
        <v>548</v>
      </c>
      <c r="C212" s="20" t="s">
        <v>890</v>
      </c>
      <c r="D212" s="137">
        <v>2030000</v>
      </c>
      <c r="E212" s="20" t="s">
        <v>859</v>
      </c>
      <c r="F212" s="20" t="s">
        <v>549</v>
      </c>
      <c r="G212" s="8" t="str">
        <f t="shared" si="6"/>
        <v>KILLION DAVID</v>
      </c>
      <c r="H212" s="20" t="str">
        <f t="shared" si="7"/>
        <v>4058</v>
      </c>
    </row>
    <row r="213" spans="1:8" x14ac:dyDescent="0.3">
      <c r="A213" s="8">
        <v>43093.967048611114</v>
      </c>
      <c r="B213" s="20" t="s">
        <v>477</v>
      </c>
      <c r="C213" s="20" t="s">
        <v>891</v>
      </c>
      <c r="D213" s="137">
        <v>3670000</v>
      </c>
      <c r="E213" s="20" t="s">
        <v>382</v>
      </c>
      <c r="F213" s="20" t="s">
        <v>368</v>
      </c>
      <c r="G213" s="8" t="str">
        <f t="shared" si="6"/>
        <v>ANDREA WILLIAMS</v>
      </c>
      <c r="H213" s="20" t="str">
        <f t="shared" si="7"/>
        <v>4006</v>
      </c>
    </row>
    <row r="214" spans="1:8" x14ac:dyDescent="0.3">
      <c r="A214" s="8">
        <v>43093.975069444445</v>
      </c>
      <c r="B214" s="20" t="s">
        <v>477</v>
      </c>
      <c r="C214" s="20" t="s">
        <v>891</v>
      </c>
      <c r="D214" s="137">
        <v>3670000</v>
      </c>
      <c r="E214" s="20" t="s">
        <v>382</v>
      </c>
      <c r="F214" s="20" t="s">
        <v>368</v>
      </c>
      <c r="G214" s="8" t="str">
        <f t="shared" si="6"/>
        <v>ANDREA WILLIAMS</v>
      </c>
      <c r="H214" s="20" t="str">
        <f t="shared" si="7"/>
        <v>4006</v>
      </c>
    </row>
    <row r="215" spans="1:8" x14ac:dyDescent="0.3">
      <c r="A215" s="8">
        <v>43093.975543981483</v>
      </c>
      <c r="B215" s="20" t="s">
        <v>385</v>
      </c>
      <c r="C215" s="20" t="s">
        <v>892</v>
      </c>
      <c r="D215" s="137">
        <v>3220000</v>
      </c>
      <c r="E215" s="20" t="s">
        <v>378</v>
      </c>
      <c r="F215" s="20" t="s">
        <v>379</v>
      </c>
      <c r="G215" s="8" t="str">
        <f t="shared" si="6"/>
        <v>RESPASS AARON</v>
      </c>
      <c r="H215" s="20" t="str">
        <f t="shared" si="7"/>
        <v>4061</v>
      </c>
    </row>
    <row r="216" spans="1:8" x14ac:dyDescent="0.3">
      <c r="A216" s="8">
        <v>43093.9762962963</v>
      </c>
      <c r="B216" s="20" t="s">
        <v>686</v>
      </c>
      <c r="C216" s="20" t="s">
        <v>893</v>
      </c>
      <c r="D216" s="137">
        <v>2030000</v>
      </c>
      <c r="E216" s="20" t="s">
        <v>859</v>
      </c>
      <c r="F216" s="20" t="s">
        <v>549</v>
      </c>
      <c r="G216" s="8" t="str">
        <f t="shared" si="6"/>
        <v>KILLION DAVID</v>
      </c>
      <c r="H216" s="20" t="str">
        <f t="shared" si="7"/>
        <v>4057</v>
      </c>
    </row>
    <row r="217" spans="1:8" x14ac:dyDescent="0.3">
      <c r="A217" s="8">
        <v>43093.98641203704</v>
      </c>
      <c r="B217" s="20" t="s">
        <v>384</v>
      </c>
      <c r="C217" s="20" t="s">
        <v>894</v>
      </c>
      <c r="D217" s="137">
        <v>3340000</v>
      </c>
      <c r="E217" s="20" t="s">
        <v>464</v>
      </c>
      <c r="F217" s="20" t="s">
        <v>465</v>
      </c>
      <c r="G217" s="8" t="str">
        <f t="shared" si="6"/>
        <v>ELBAUM MIKE</v>
      </c>
      <c r="H217" s="20" t="str">
        <f t="shared" si="7"/>
        <v>4022</v>
      </c>
    </row>
    <row r="218" spans="1:8" x14ac:dyDescent="0.3">
      <c r="A218" s="8">
        <v>43093.995370370372</v>
      </c>
      <c r="B218" s="20" t="s">
        <v>514</v>
      </c>
      <c r="C218" s="20" t="s">
        <v>895</v>
      </c>
      <c r="D218" s="137">
        <v>2000000</v>
      </c>
      <c r="E218" s="20" t="s">
        <v>394</v>
      </c>
      <c r="F218" s="20" t="s">
        <v>395</v>
      </c>
      <c r="G218" s="8" t="str">
        <f t="shared" si="6"/>
        <v>STAMBAUGH JAMES</v>
      </c>
      <c r="H218" s="20" t="str">
        <f t="shared" si="7"/>
        <v>4043</v>
      </c>
    </row>
    <row r="219" spans="1:8" x14ac:dyDescent="0.3">
      <c r="A219" s="8">
        <v>43094.011099537034</v>
      </c>
      <c r="B219" s="20" t="s">
        <v>480</v>
      </c>
      <c r="C219" s="20" t="s">
        <v>896</v>
      </c>
      <c r="D219" s="137">
        <v>3670000</v>
      </c>
      <c r="E219" s="20" t="s">
        <v>382</v>
      </c>
      <c r="F219" s="20" t="s">
        <v>368</v>
      </c>
      <c r="G219" s="8" t="str">
        <f t="shared" si="6"/>
        <v>ANDREA WILLIAMS</v>
      </c>
      <c r="H219" s="20" t="str">
        <f t="shared" si="7"/>
        <v>4005</v>
      </c>
    </row>
    <row r="220" spans="1:8" x14ac:dyDescent="0.3">
      <c r="A220" s="8">
        <v>43094.01972222222</v>
      </c>
      <c r="B220" s="20" t="s">
        <v>383</v>
      </c>
      <c r="C220" s="20" t="s">
        <v>897</v>
      </c>
      <c r="D220" s="137">
        <v>3220000</v>
      </c>
      <c r="E220" s="20" t="s">
        <v>378</v>
      </c>
      <c r="F220" s="20" t="s">
        <v>379</v>
      </c>
      <c r="G220" s="8" t="str">
        <f t="shared" si="6"/>
        <v>RESPASS AARON</v>
      </c>
      <c r="H220" s="20" t="str">
        <f t="shared" si="7"/>
        <v>4062</v>
      </c>
    </row>
    <row r="221" spans="1:8" x14ac:dyDescent="0.3">
      <c r="A221" s="8">
        <v>43094.026018518518</v>
      </c>
      <c r="B221" s="20" t="s">
        <v>513</v>
      </c>
      <c r="C221" s="20" t="s">
        <v>697</v>
      </c>
      <c r="D221" s="137">
        <v>2000000</v>
      </c>
      <c r="E221" s="20" t="s">
        <v>394</v>
      </c>
      <c r="F221" s="20" t="s">
        <v>395</v>
      </c>
      <c r="G221" s="8" t="str">
        <f t="shared" si="6"/>
        <v>STAMBAUGH JAMES</v>
      </c>
      <c r="H221" s="20" t="str">
        <f t="shared" si="7"/>
        <v>4044</v>
      </c>
    </row>
    <row r="222" spans="1:8" x14ac:dyDescent="0.3">
      <c r="A222" s="8">
        <v>43094.026284722226</v>
      </c>
      <c r="B222" s="20" t="s">
        <v>691</v>
      </c>
      <c r="C222" s="20" t="s">
        <v>898</v>
      </c>
      <c r="D222" s="137">
        <v>3340000</v>
      </c>
      <c r="E222" s="20" t="s">
        <v>464</v>
      </c>
      <c r="F222" s="20" t="s">
        <v>465</v>
      </c>
      <c r="G222" s="8" t="str">
        <f t="shared" si="6"/>
        <v>ELBAUM MIKE</v>
      </c>
      <c r="H222" s="20" t="str">
        <f t="shared" si="7"/>
        <v>4021</v>
      </c>
    </row>
    <row r="223" spans="1:8" x14ac:dyDescent="0.3">
      <c r="A223" s="8">
        <v>43094.04787037037</v>
      </c>
      <c r="B223" s="20" t="s">
        <v>477</v>
      </c>
      <c r="C223" s="20" t="s">
        <v>899</v>
      </c>
      <c r="D223" s="137">
        <v>3670000</v>
      </c>
      <c r="E223" s="20" t="s">
        <v>382</v>
      </c>
      <c r="F223" s="20" t="s">
        <v>368</v>
      </c>
      <c r="G223" s="8" t="str">
        <f t="shared" si="6"/>
        <v>ANDREA WILLIAMS</v>
      </c>
      <c r="H223" s="20" t="str">
        <f t="shared" si="7"/>
        <v>4006</v>
      </c>
    </row>
    <row r="224" spans="1:8" x14ac:dyDescent="0.3">
      <c r="A224" s="8">
        <v>43094.056921296295</v>
      </c>
      <c r="B224" t="s">
        <v>385</v>
      </c>
      <c r="C224" t="s">
        <v>900</v>
      </c>
      <c r="D224" s="137">
        <v>3220000</v>
      </c>
      <c r="E224" t="s">
        <v>378</v>
      </c>
      <c r="F224" s="20" t="s">
        <v>379</v>
      </c>
      <c r="G224" s="8" t="str">
        <f t="shared" si="6"/>
        <v>RESPASS AARON</v>
      </c>
      <c r="H224" s="20" t="str">
        <f t="shared" si="7"/>
        <v>4061</v>
      </c>
    </row>
    <row r="225" spans="1:8" x14ac:dyDescent="0.3">
      <c r="A225" s="8">
        <v>43094.066689814812</v>
      </c>
      <c r="B225" t="s">
        <v>384</v>
      </c>
      <c r="C225" t="s">
        <v>901</v>
      </c>
      <c r="D225" s="137">
        <v>3340000</v>
      </c>
      <c r="E225" t="s">
        <v>464</v>
      </c>
      <c r="F225" s="20" t="s">
        <v>465</v>
      </c>
      <c r="G225" s="8" t="str">
        <f t="shared" si="6"/>
        <v>ELBAUM MIKE</v>
      </c>
      <c r="H225" s="20" t="str">
        <f t="shared" si="7"/>
        <v>4022</v>
      </c>
    </row>
    <row r="226" spans="1:8" x14ac:dyDescent="0.3">
      <c r="A226" s="8">
        <v>43094.088518518518</v>
      </c>
      <c r="B226" t="s">
        <v>383</v>
      </c>
      <c r="C226" t="s">
        <v>902</v>
      </c>
      <c r="D226" s="137">
        <v>3220000</v>
      </c>
      <c r="E226" t="s">
        <v>378</v>
      </c>
      <c r="F226" s="20" t="s">
        <v>379</v>
      </c>
      <c r="G226" s="8" t="str">
        <f t="shared" si="6"/>
        <v>RESPASS AARON</v>
      </c>
      <c r="H226" s="20" t="str">
        <f t="shared" si="7"/>
        <v>4062</v>
      </c>
    </row>
    <row r="227" spans="1:8" x14ac:dyDescent="0.3">
      <c r="A227" s="8">
        <v>43094.112060185187</v>
      </c>
      <c r="B227" t="s">
        <v>587</v>
      </c>
      <c r="C227" t="s">
        <v>903</v>
      </c>
      <c r="D227" s="137">
        <v>1090000</v>
      </c>
      <c r="E227" t="s">
        <v>586</v>
      </c>
      <c r="F227" s="20" t="s">
        <v>352</v>
      </c>
      <c r="G227" s="8" t="str">
        <f t="shared" si="6"/>
        <v>SPECTOR MICHAEL</v>
      </c>
      <c r="H227" s="20" t="str">
        <f t="shared" si="7"/>
        <v>4019</v>
      </c>
    </row>
    <row r="228" spans="1:8" x14ac:dyDescent="0.3">
      <c r="A228" s="8">
        <v>43094.114317129628</v>
      </c>
      <c r="B228" t="s">
        <v>591</v>
      </c>
      <c r="C228" t="s">
        <v>904</v>
      </c>
      <c r="D228" s="137">
        <v>3120000</v>
      </c>
      <c r="E228" t="s">
        <v>369</v>
      </c>
      <c r="F228" s="20" t="s">
        <v>713</v>
      </c>
      <c r="G228" s="8" t="str">
        <f t="shared" si="6"/>
        <v>THOMPSON LESTER</v>
      </c>
      <c r="H228" s="20" t="str">
        <f t="shared" si="7"/>
        <v>4045</v>
      </c>
    </row>
    <row r="229" spans="1:8" x14ac:dyDescent="0.3">
      <c r="A229" s="8">
        <v>43091.881898148145</v>
      </c>
      <c r="B229" t="s">
        <v>513</v>
      </c>
      <c r="C229" t="s">
        <v>593</v>
      </c>
      <c r="D229" s="137">
        <v>2600000</v>
      </c>
      <c r="E229" t="s">
        <v>592</v>
      </c>
      <c r="F229" s="20" t="s">
        <v>549</v>
      </c>
      <c r="G229" s="8" t="str">
        <f t="shared" si="6"/>
        <v>DAVIDSON DAVID</v>
      </c>
      <c r="H229" s="20" t="str">
        <f t="shared" si="7"/>
        <v>4044</v>
      </c>
    </row>
    <row r="230" spans="1:8" x14ac:dyDescent="0.3">
      <c r="A230" s="8">
        <v>43091.894293981481</v>
      </c>
      <c r="B230" t="s">
        <v>476</v>
      </c>
      <c r="C230" t="s">
        <v>594</v>
      </c>
      <c r="D230" s="137">
        <v>2230000</v>
      </c>
      <c r="E230" t="s">
        <v>393</v>
      </c>
      <c r="F230" s="20" t="s">
        <v>352</v>
      </c>
      <c r="G230" s="8" t="str">
        <f t="shared" si="6"/>
        <v>SMITH MICHAEL</v>
      </c>
      <c r="H230" s="20" t="str">
        <f t="shared" si="7"/>
        <v>4015</v>
      </c>
    </row>
    <row r="231" spans="1:8" x14ac:dyDescent="0.3">
      <c r="A231" s="8">
        <v>43091.910416666666</v>
      </c>
      <c r="B231" t="s">
        <v>588</v>
      </c>
      <c r="C231" t="s">
        <v>595</v>
      </c>
      <c r="D231" s="137">
        <v>3320000</v>
      </c>
      <c r="E231" t="s">
        <v>363</v>
      </c>
      <c r="F231" s="20" t="s">
        <v>364</v>
      </c>
      <c r="G231" s="8" t="str">
        <f t="shared" si="6"/>
        <v>NICHOLSON WESLEY</v>
      </c>
      <c r="H231" s="20" t="str">
        <f t="shared" si="7"/>
        <v>4020</v>
      </c>
    </row>
    <row r="232" spans="1:8" x14ac:dyDescent="0.3">
      <c r="A232" s="8">
        <v>43091.912476851852</v>
      </c>
      <c r="B232" t="s">
        <v>502</v>
      </c>
      <c r="C232" t="s">
        <v>585</v>
      </c>
      <c r="D232" s="137">
        <v>3700000</v>
      </c>
      <c r="E232" t="s">
        <v>446</v>
      </c>
      <c r="F232" s="20" t="s">
        <v>369</v>
      </c>
      <c r="G232" s="8" t="str">
        <f t="shared" si="6"/>
        <v>AUSTIN THOMPSON</v>
      </c>
      <c r="H232" s="20" t="str">
        <f t="shared" si="7"/>
        <v>4009</v>
      </c>
    </row>
    <row r="233" spans="1:8" x14ac:dyDescent="0.3">
      <c r="A233" s="8">
        <v>43091.916250000002</v>
      </c>
      <c r="B233" t="s">
        <v>478</v>
      </c>
      <c r="C233" t="s">
        <v>596</v>
      </c>
      <c r="D233" s="137">
        <v>2230000</v>
      </c>
      <c r="E233" t="s">
        <v>393</v>
      </c>
      <c r="F233" s="20" t="s">
        <v>352</v>
      </c>
      <c r="G233" s="8" t="str">
        <f t="shared" si="6"/>
        <v>SMITH MICHAEL</v>
      </c>
      <c r="H233" s="20" t="str">
        <f t="shared" si="7"/>
        <v>4016</v>
      </c>
    </row>
    <row r="234" spans="1:8" x14ac:dyDescent="0.3">
      <c r="A234" s="8">
        <v>43091.920706018522</v>
      </c>
      <c r="B234" t="s">
        <v>477</v>
      </c>
      <c r="C234" t="s">
        <v>597</v>
      </c>
      <c r="D234" s="137">
        <v>3340000</v>
      </c>
      <c r="E234" t="s">
        <v>464</v>
      </c>
      <c r="F234" s="20" t="s">
        <v>465</v>
      </c>
      <c r="G234" s="8" t="str">
        <f t="shared" si="6"/>
        <v>ELBAUM MIKE</v>
      </c>
      <c r="H234" s="20" t="str">
        <f t="shared" si="7"/>
        <v>4006</v>
      </c>
    </row>
    <row r="235" spans="1:8" x14ac:dyDescent="0.3">
      <c r="A235" s="8">
        <v>43091.925208333334</v>
      </c>
      <c r="B235" t="s">
        <v>514</v>
      </c>
      <c r="C235" t="s">
        <v>598</v>
      </c>
      <c r="D235" s="137">
        <v>2600000</v>
      </c>
      <c r="E235" t="s">
        <v>592</v>
      </c>
      <c r="F235" s="20" t="s">
        <v>549</v>
      </c>
      <c r="G235" s="8" t="str">
        <f t="shared" si="6"/>
        <v>DAVIDSON DAVID</v>
      </c>
      <c r="H235" s="20" t="str">
        <f t="shared" si="7"/>
        <v>4043</v>
      </c>
    </row>
    <row r="236" spans="1:8" x14ac:dyDescent="0.3">
      <c r="A236" s="8">
        <v>43091.935162037036</v>
      </c>
      <c r="B236" t="s">
        <v>476</v>
      </c>
      <c r="C236" t="s">
        <v>599</v>
      </c>
      <c r="D236" s="137">
        <v>2230000</v>
      </c>
      <c r="E236" t="s">
        <v>393</v>
      </c>
      <c r="F236" s="20" t="s">
        <v>352</v>
      </c>
      <c r="G236" s="8" t="str">
        <f t="shared" si="6"/>
        <v>SMITH MICHAEL</v>
      </c>
      <c r="H236" s="20" t="str">
        <f t="shared" si="7"/>
        <v>4015</v>
      </c>
    </row>
    <row r="237" spans="1:8" x14ac:dyDescent="0.3">
      <c r="A237" s="8">
        <v>43091.948634259257</v>
      </c>
      <c r="B237" t="s">
        <v>587</v>
      </c>
      <c r="C237" t="s">
        <v>600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4019</v>
      </c>
    </row>
    <row r="238" spans="1:8" x14ac:dyDescent="0.3">
      <c r="A238" s="8">
        <v>43091.956342592595</v>
      </c>
      <c r="B238" t="s">
        <v>443</v>
      </c>
      <c r="C238" t="s">
        <v>601</v>
      </c>
      <c r="D238" s="137">
        <v>3310000</v>
      </c>
      <c r="E238" t="s">
        <v>496</v>
      </c>
      <c r="F238" s="20" t="s">
        <v>497</v>
      </c>
      <c r="G238" s="8" t="str">
        <f t="shared" si="6"/>
        <v>ANDERS STEVEN</v>
      </c>
      <c r="H238" s="20" t="str">
        <f t="shared" si="7"/>
        <v>4010</v>
      </c>
    </row>
    <row r="239" spans="1:8" x14ac:dyDescent="0.3">
      <c r="A239" s="8">
        <v>43091.957974537036</v>
      </c>
      <c r="B239" t="s">
        <v>478</v>
      </c>
      <c r="C239" t="s">
        <v>602</v>
      </c>
      <c r="D239" s="137">
        <v>2230000</v>
      </c>
      <c r="E239" t="s">
        <v>393</v>
      </c>
      <c r="F239" s="20" t="s">
        <v>352</v>
      </c>
      <c r="G239" s="8" t="str">
        <f t="shared" si="6"/>
        <v>SMITH MICHAEL</v>
      </c>
      <c r="H239" s="20" t="str">
        <f t="shared" si="7"/>
        <v>4016</v>
      </c>
    </row>
    <row r="240" spans="1:8" x14ac:dyDescent="0.3">
      <c r="A240" s="8">
        <v>43091.966365740744</v>
      </c>
      <c r="B240" t="s">
        <v>480</v>
      </c>
      <c r="C240" t="s">
        <v>603</v>
      </c>
      <c r="D240" s="137">
        <v>3340000</v>
      </c>
      <c r="E240" t="s">
        <v>464</v>
      </c>
      <c r="F240" s="20" t="s">
        <v>465</v>
      </c>
      <c r="G240" s="8" t="str">
        <f t="shared" si="6"/>
        <v>ELBAUM MIKE</v>
      </c>
      <c r="H240" s="20" t="str">
        <f t="shared" si="7"/>
        <v>4005</v>
      </c>
    </row>
    <row r="241" spans="1:8" x14ac:dyDescent="0.3">
      <c r="A241" s="8">
        <v>43091.968842592592</v>
      </c>
      <c r="B241" t="s">
        <v>513</v>
      </c>
      <c r="C241" t="s">
        <v>604</v>
      </c>
      <c r="D241" s="137">
        <v>2600000</v>
      </c>
      <c r="E241" t="s">
        <v>592</v>
      </c>
      <c r="F241" s="20" t="s">
        <v>549</v>
      </c>
      <c r="G241" s="8" t="str">
        <f t="shared" si="6"/>
        <v>DAVIDSON DAVID</v>
      </c>
      <c r="H241" s="20" t="str">
        <f t="shared" si="7"/>
        <v>4044</v>
      </c>
    </row>
    <row r="242" spans="1:8" x14ac:dyDescent="0.3">
      <c r="A242" s="8">
        <v>43091.976944444446</v>
      </c>
      <c r="B242" t="s">
        <v>476</v>
      </c>
      <c r="C242" t="s">
        <v>605</v>
      </c>
      <c r="D242" s="137">
        <v>2230000</v>
      </c>
      <c r="E242" t="s">
        <v>393</v>
      </c>
      <c r="F242" s="20" t="s">
        <v>352</v>
      </c>
      <c r="G242" s="8" t="str">
        <f t="shared" si="6"/>
        <v>SMITH MICHAEL</v>
      </c>
      <c r="H242" s="20" t="str">
        <f t="shared" si="7"/>
        <v>4015</v>
      </c>
    </row>
    <row r="243" spans="1:8" x14ac:dyDescent="0.3">
      <c r="A243" s="8">
        <v>43091.986886574072</v>
      </c>
      <c r="B243" t="s">
        <v>502</v>
      </c>
      <c r="C243" t="s">
        <v>481</v>
      </c>
      <c r="D243" s="137">
        <v>3310000</v>
      </c>
      <c r="E243" t="s">
        <v>496</v>
      </c>
      <c r="F243" s="20" t="s">
        <v>497</v>
      </c>
      <c r="G243" s="8" t="str">
        <f t="shared" si="6"/>
        <v>ANDERS STEVEN</v>
      </c>
      <c r="H243" s="20" t="str">
        <f t="shared" si="7"/>
        <v>4009</v>
      </c>
    </row>
    <row r="244" spans="1:8" x14ac:dyDescent="0.3">
      <c r="A244" s="8">
        <v>43091.991770833331</v>
      </c>
      <c r="B244" t="s">
        <v>588</v>
      </c>
      <c r="C244" t="s">
        <v>606</v>
      </c>
      <c r="D244" s="137">
        <v>3320000</v>
      </c>
      <c r="E244" t="s">
        <v>363</v>
      </c>
      <c r="F244" s="20" t="s">
        <v>364</v>
      </c>
      <c r="G244" s="8" t="str">
        <f t="shared" si="6"/>
        <v>NICHOLSON WESLEY</v>
      </c>
      <c r="H244" s="20" t="str">
        <f t="shared" si="7"/>
        <v>4020</v>
      </c>
    </row>
    <row r="245" spans="1:8" x14ac:dyDescent="0.3">
      <c r="A245" s="8">
        <v>43092.006620370368</v>
      </c>
      <c r="B245" t="s">
        <v>514</v>
      </c>
      <c r="C245" t="s">
        <v>479</v>
      </c>
      <c r="D245" s="137">
        <v>2600000</v>
      </c>
      <c r="E245" t="s">
        <v>592</v>
      </c>
      <c r="F245" s="20" t="s">
        <v>549</v>
      </c>
      <c r="G245" s="8" t="str">
        <f t="shared" si="6"/>
        <v>DAVIDSON DAVID</v>
      </c>
      <c r="H245" s="20" t="str">
        <f t="shared" si="7"/>
        <v>4043</v>
      </c>
    </row>
    <row r="246" spans="1:8" x14ac:dyDescent="0.3">
      <c r="A246" s="8">
        <v>43092.007326388892</v>
      </c>
      <c r="B246" t="s">
        <v>477</v>
      </c>
      <c r="C246" t="s">
        <v>482</v>
      </c>
      <c r="D246" s="137">
        <v>3340000</v>
      </c>
      <c r="E246" t="s">
        <v>464</v>
      </c>
      <c r="F246" s="20" t="s">
        <v>465</v>
      </c>
      <c r="G246" s="8" t="str">
        <f t="shared" si="6"/>
        <v>ELBAUM MIKE</v>
      </c>
      <c r="H246" s="20" t="str">
        <f t="shared" si="7"/>
        <v>4006</v>
      </c>
    </row>
    <row r="247" spans="1:8" x14ac:dyDescent="0.3">
      <c r="A247" s="8">
        <v>43092.036180555559</v>
      </c>
      <c r="B247" t="s">
        <v>587</v>
      </c>
      <c r="C247" t="s">
        <v>484</v>
      </c>
      <c r="D247" s="137">
        <v>3320000</v>
      </c>
      <c r="E247" t="s">
        <v>363</v>
      </c>
      <c r="F247" s="20" t="s">
        <v>364</v>
      </c>
      <c r="G247" s="8" t="str">
        <f t="shared" si="6"/>
        <v>NICHOLSON WESLEY</v>
      </c>
      <c r="H247" s="20" t="str">
        <f t="shared" si="7"/>
        <v>4019</v>
      </c>
    </row>
    <row r="248" spans="1:8" x14ac:dyDescent="0.3">
      <c r="A248" s="8">
        <v>43092.040810185186</v>
      </c>
      <c r="B248" t="s">
        <v>443</v>
      </c>
      <c r="C248" t="s">
        <v>607</v>
      </c>
      <c r="D248" s="137">
        <v>3310000</v>
      </c>
      <c r="E248" t="s">
        <v>496</v>
      </c>
      <c r="F248" s="20" t="s">
        <v>497</v>
      </c>
      <c r="G248" s="8" t="str">
        <f t="shared" si="6"/>
        <v>ANDERS STEVEN</v>
      </c>
      <c r="H248" s="20" t="str">
        <f t="shared" si="7"/>
        <v>4010</v>
      </c>
    </row>
    <row r="249" spans="1:8" x14ac:dyDescent="0.3">
      <c r="A249" s="8">
        <v>43092.047118055554</v>
      </c>
      <c r="B249" t="s">
        <v>480</v>
      </c>
      <c r="C249" t="s">
        <v>486</v>
      </c>
      <c r="D249" s="137">
        <v>3340000</v>
      </c>
      <c r="E249" t="s">
        <v>464</v>
      </c>
      <c r="F249" s="20" t="s">
        <v>465</v>
      </c>
      <c r="G249" s="8" t="str">
        <f t="shared" si="6"/>
        <v>ELBAUM MIKE</v>
      </c>
      <c r="H249" s="20" t="str">
        <f t="shared" si="7"/>
        <v>4005</v>
      </c>
    </row>
    <row r="250" spans="1:8" x14ac:dyDescent="0.3">
      <c r="A250" s="8">
        <v>43092.048067129632</v>
      </c>
      <c r="B250" t="s">
        <v>513</v>
      </c>
      <c r="C250" t="s">
        <v>485</v>
      </c>
      <c r="D250" s="137">
        <v>2600000</v>
      </c>
      <c r="E250" t="s">
        <v>592</v>
      </c>
      <c r="F250" s="20" t="s">
        <v>549</v>
      </c>
      <c r="G250" s="8" t="str">
        <f t="shared" si="6"/>
        <v>DAVIDSON DAVID</v>
      </c>
      <c r="H250" s="20" t="str">
        <f t="shared" si="7"/>
        <v>4044</v>
      </c>
    </row>
    <row r="251" spans="1:8" x14ac:dyDescent="0.3">
      <c r="A251" s="8">
        <v>43092.069814814815</v>
      </c>
      <c r="B251" t="s">
        <v>588</v>
      </c>
      <c r="C251" t="s">
        <v>487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502</v>
      </c>
      <c r="C252" t="s">
        <v>608</v>
      </c>
      <c r="D252" s="137">
        <v>3310000</v>
      </c>
      <c r="E252" t="s">
        <v>496</v>
      </c>
      <c r="F252" s="20" t="s">
        <v>497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477</v>
      </c>
      <c r="C253" t="s">
        <v>488</v>
      </c>
      <c r="D253" s="137">
        <v>3340000</v>
      </c>
      <c r="E253" t="s">
        <v>464</v>
      </c>
      <c r="F253" s="20" t="s">
        <v>465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443</v>
      </c>
      <c r="C254" t="s">
        <v>483</v>
      </c>
      <c r="D254" s="137">
        <v>3310000</v>
      </c>
      <c r="E254" t="s">
        <v>496</v>
      </c>
      <c r="F254" s="20" t="s">
        <v>497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447</v>
      </c>
      <c r="C255" t="s">
        <v>473</v>
      </c>
      <c r="D255" s="137">
        <v>3340000</v>
      </c>
      <c r="E255" t="s">
        <v>464</v>
      </c>
      <c r="F255" s="20" t="s">
        <v>465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443</v>
      </c>
      <c r="C256" t="s">
        <v>474</v>
      </c>
      <c r="D256" s="137">
        <v>3680000</v>
      </c>
      <c r="E256" t="s">
        <v>471</v>
      </c>
      <c r="F256" s="20" t="s">
        <v>472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444</v>
      </c>
      <c r="C257" t="s">
        <v>455</v>
      </c>
      <c r="D257" s="137">
        <v>2540000</v>
      </c>
      <c r="E257" t="s">
        <v>453</v>
      </c>
      <c r="F257" s="20" t="s">
        <v>454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449</v>
      </c>
      <c r="D258" s="137">
        <v>3700000</v>
      </c>
      <c r="E258" t="s">
        <v>446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443</v>
      </c>
      <c r="C259" t="s">
        <v>456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450</v>
      </c>
      <c r="C260" t="s">
        <v>457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445</v>
      </c>
      <c r="C261" t="s">
        <v>458</v>
      </c>
      <c r="D261" s="137">
        <v>2440000</v>
      </c>
      <c r="E261" t="s">
        <v>451</v>
      </c>
      <c r="F261" s="20" t="s">
        <v>452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459</v>
      </c>
      <c r="D262" s="137">
        <v>3700000</v>
      </c>
      <c r="E262" t="s">
        <v>446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448</v>
      </c>
      <c r="C263" t="s">
        <v>460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461</v>
      </c>
      <c r="D264" s="137">
        <v>3700000</v>
      </c>
      <c r="E264" t="s">
        <v>446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550</v>
      </c>
      <c r="I1" s="217" t="s">
        <v>162</v>
      </c>
      <c r="J1" s="217" t="s">
        <v>163</v>
      </c>
      <c r="K1" s="217" t="s">
        <v>551</v>
      </c>
      <c r="L1" s="217" t="s">
        <v>157</v>
      </c>
      <c r="M1" s="217" t="s">
        <v>155</v>
      </c>
      <c r="N1" s="217" t="s">
        <v>150</v>
      </c>
      <c r="O1" s="217" t="s">
        <v>160</v>
      </c>
      <c r="P1" s="217" t="s">
        <v>334</v>
      </c>
      <c r="Q1" s="217" t="s">
        <v>154</v>
      </c>
      <c r="R1" s="217" t="s">
        <v>161</v>
      </c>
      <c r="S1" s="217" t="s">
        <v>335</v>
      </c>
      <c r="T1" s="217" t="s">
        <v>158</v>
      </c>
    </row>
    <row r="2" spans="1:20" x14ac:dyDescent="0.3">
      <c r="A2" s="195">
        <v>9.74</v>
      </c>
      <c r="B2" s="195">
        <v>0.67</v>
      </c>
      <c r="C2" s="195">
        <v>5.98</v>
      </c>
      <c r="D2" s="8">
        <v>43093.083333333336</v>
      </c>
      <c r="E2" s="195">
        <v>0.84</v>
      </c>
      <c r="F2" s="195" t="s">
        <v>531</v>
      </c>
      <c r="G2" s="195">
        <v>331.68</v>
      </c>
      <c r="H2" s="195">
        <v>1.7999999999999999E-2</v>
      </c>
      <c r="I2" s="195">
        <v>8.9999999999999998E-4</v>
      </c>
      <c r="J2" s="195">
        <v>0.08</v>
      </c>
      <c r="K2" s="195" t="s">
        <v>552</v>
      </c>
      <c r="L2" s="195">
        <v>1029.25</v>
      </c>
      <c r="M2" s="195" t="s">
        <v>905</v>
      </c>
      <c r="N2" s="195">
        <v>9.74</v>
      </c>
      <c r="O2" s="195">
        <v>1514098800</v>
      </c>
      <c r="P2" s="195">
        <v>0</v>
      </c>
      <c r="Q2" s="195">
        <v>2.21</v>
      </c>
      <c r="R2" s="195">
        <v>27</v>
      </c>
      <c r="S2" s="195">
        <v>2.15</v>
      </c>
      <c r="T2" s="195">
        <v>0.62</v>
      </c>
    </row>
    <row r="3" spans="1:20" x14ac:dyDescent="0.3">
      <c r="A3" s="195">
        <v>8.42</v>
      </c>
      <c r="B3" s="195">
        <v>0.48</v>
      </c>
      <c r="C3" s="195">
        <v>4.5199999999999996</v>
      </c>
      <c r="D3" s="8">
        <v>43093.125</v>
      </c>
      <c r="E3" s="195">
        <v>0.84</v>
      </c>
      <c r="F3" s="195" t="s">
        <v>531</v>
      </c>
      <c r="G3" s="195">
        <v>331.59</v>
      </c>
      <c r="H3" s="195">
        <v>7.0000000000000001E-3</v>
      </c>
      <c r="I3" s="195">
        <v>4.0000000000000002E-4</v>
      </c>
      <c r="J3" s="195">
        <v>0.05</v>
      </c>
      <c r="K3" s="195" t="s">
        <v>552</v>
      </c>
      <c r="L3" s="195">
        <v>1027.3900000000001</v>
      </c>
      <c r="M3" s="195" t="s">
        <v>532</v>
      </c>
      <c r="N3" s="195">
        <v>8.42</v>
      </c>
      <c r="O3" s="195">
        <v>1514102400</v>
      </c>
      <c r="P3" s="195">
        <v>0</v>
      </c>
      <c r="Q3" s="195">
        <v>3.11</v>
      </c>
      <c r="R3" s="195">
        <v>183</v>
      </c>
      <c r="S3" s="195">
        <v>2.57</v>
      </c>
      <c r="T3" s="195">
        <v>0.6</v>
      </c>
    </row>
    <row r="4" spans="1:20" x14ac:dyDescent="0.3">
      <c r="A4" s="195">
        <v>7.42</v>
      </c>
      <c r="B4" s="195">
        <v>0.22</v>
      </c>
      <c r="C4" s="195">
        <v>2.99</v>
      </c>
      <c r="D4" s="8">
        <v>43093.166666666664</v>
      </c>
      <c r="E4" s="195">
        <v>0.82</v>
      </c>
      <c r="F4" s="195" t="s">
        <v>463</v>
      </c>
      <c r="G4" s="195">
        <v>331.49</v>
      </c>
      <c r="H4" s="195">
        <v>0</v>
      </c>
      <c r="I4" s="195">
        <v>1E-4</v>
      </c>
      <c r="J4" s="195">
        <v>0.02</v>
      </c>
      <c r="K4" s="195" t="s">
        <v>552</v>
      </c>
      <c r="L4" s="195">
        <v>1028.55</v>
      </c>
      <c r="M4" s="195" t="s">
        <v>462</v>
      </c>
      <c r="N4" s="195">
        <v>7.42</v>
      </c>
      <c r="O4" s="195">
        <v>1514106000</v>
      </c>
      <c r="P4" s="195">
        <v>0</v>
      </c>
      <c r="Q4" s="195">
        <v>3.47</v>
      </c>
      <c r="R4" s="195">
        <v>158</v>
      </c>
      <c r="S4" s="195">
        <v>3.29</v>
      </c>
      <c r="T4" s="195">
        <v>1.05</v>
      </c>
    </row>
    <row r="5" spans="1:20" x14ac:dyDescent="0.3">
      <c r="A5" s="195">
        <v>6.71</v>
      </c>
      <c r="B5" s="195">
        <v>0.05</v>
      </c>
      <c r="C5" s="195">
        <v>2.38</v>
      </c>
      <c r="D5" s="8">
        <v>43093.208333333336</v>
      </c>
      <c r="E5" s="195">
        <v>0.82</v>
      </c>
      <c r="F5" s="195" t="s">
        <v>463</v>
      </c>
      <c r="G5" s="195">
        <v>331.49</v>
      </c>
      <c r="H5" s="195"/>
      <c r="I5" s="195">
        <v>0</v>
      </c>
      <c r="J5" s="195">
        <v>0</v>
      </c>
      <c r="K5" s="195"/>
      <c r="L5" s="195">
        <v>1027.8499999999999</v>
      </c>
      <c r="M5" s="195" t="s">
        <v>462</v>
      </c>
      <c r="N5" s="195">
        <v>6.71</v>
      </c>
      <c r="O5" s="195">
        <v>1514109600</v>
      </c>
      <c r="P5" s="195">
        <v>0</v>
      </c>
      <c r="Q5" s="195">
        <v>4.16</v>
      </c>
      <c r="R5" s="195">
        <v>163</v>
      </c>
      <c r="S5" s="195">
        <v>4.13</v>
      </c>
      <c r="T5" s="195">
        <v>1.8</v>
      </c>
    </row>
    <row r="6" spans="1:20" x14ac:dyDescent="0.3">
      <c r="A6" s="195">
        <v>5.6</v>
      </c>
      <c r="B6" s="195">
        <v>0.03</v>
      </c>
      <c r="C6" s="195">
        <v>1.1599999999999999</v>
      </c>
      <c r="D6" s="8">
        <v>43093.25</v>
      </c>
      <c r="E6" s="195">
        <v>0.81</v>
      </c>
      <c r="F6" s="195" t="s">
        <v>463</v>
      </c>
      <c r="G6" s="195">
        <v>331.59</v>
      </c>
      <c r="H6" s="195"/>
      <c r="I6" s="195">
        <v>0</v>
      </c>
      <c r="J6" s="195">
        <v>0</v>
      </c>
      <c r="K6" s="195"/>
      <c r="L6" s="195">
        <v>1027.75</v>
      </c>
      <c r="M6" s="195" t="s">
        <v>462</v>
      </c>
      <c r="N6" s="195">
        <v>5.6</v>
      </c>
      <c r="O6" s="195">
        <v>1514113200</v>
      </c>
      <c r="P6" s="195">
        <v>0</v>
      </c>
      <c r="Q6" s="195">
        <v>4.1900000000000004</v>
      </c>
      <c r="R6" s="195">
        <v>172</v>
      </c>
      <c r="S6" s="195">
        <v>3.86</v>
      </c>
      <c r="T6" s="195">
        <v>1.41</v>
      </c>
    </row>
    <row r="7" spans="1:20" x14ac:dyDescent="0.3">
      <c r="A7" s="195">
        <v>4.84</v>
      </c>
      <c r="B7" s="195">
        <v>0.09</v>
      </c>
      <c r="C7" s="195">
        <v>0.13</v>
      </c>
      <c r="D7" s="8">
        <v>43093.291666666664</v>
      </c>
      <c r="E7" s="195">
        <v>0.8</v>
      </c>
      <c r="F7" s="195" t="s">
        <v>463</v>
      </c>
      <c r="G7" s="195">
        <v>335.32</v>
      </c>
      <c r="H7" s="195"/>
      <c r="I7" s="195">
        <v>0</v>
      </c>
      <c r="J7" s="195">
        <v>0</v>
      </c>
      <c r="K7" s="195"/>
      <c r="L7" s="195">
        <v>1028.23</v>
      </c>
      <c r="M7" s="195" t="s">
        <v>462</v>
      </c>
      <c r="N7" s="195">
        <v>4.84</v>
      </c>
      <c r="O7" s="195">
        <v>1514116800</v>
      </c>
      <c r="P7" s="195">
        <v>0</v>
      </c>
      <c r="Q7" s="195">
        <v>2.64</v>
      </c>
      <c r="R7" s="195">
        <v>168</v>
      </c>
      <c r="S7" s="195">
        <v>3.91</v>
      </c>
      <c r="T7" s="195">
        <v>1.61</v>
      </c>
    </row>
    <row r="8" spans="1:20" x14ac:dyDescent="0.3">
      <c r="A8" s="195">
        <v>3.98</v>
      </c>
      <c r="B8" s="195">
        <v>0.03</v>
      </c>
      <c r="C8" s="195">
        <v>-0.4</v>
      </c>
      <c r="D8" s="8">
        <v>43093.333333333336</v>
      </c>
      <c r="E8" s="195">
        <v>0.82</v>
      </c>
      <c r="F8" s="195" t="s">
        <v>463</v>
      </c>
      <c r="G8" s="195">
        <v>333.69</v>
      </c>
      <c r="H8" s="195"/>
      <c r="I8" s="195">
        <v>0</v>
      </c>
      <c r="J8" s="195">
        <v>0</v>
      </c>
      <c r="K8" s="195"/>
      <c r="L8" s="195">
        <v>1028.98</v>
      </c>
      <c r="M8" s="195" t="s">
        <v>462</v>
      </c>
      <c r="N8" s="195">
        <v>3.98</v>
      </c>
      <c r="O8" s="195">
        <v>1514120400</v>
      </c>
      <c r="P8" s="195">
        <v>0</v>
      </c>
      <c r="Q8" s="195">
        <v>4.21</v>
      </c>
      <c r="R8" s="195">
        <v>161</v>
      </c>
      <c r="S8" s="195">
        <v>3.67</v>
      </c>
      <c r="T8" s="195">
        <v>1.28</v>
      </c>
    </row>
    <row r="9" spans="1:20" x14ac:dyDescent="0.3">
      <c r="A9" s="195">
        <v>3.7</v>
      </c>
      <c r="B9" s="195">
        <v>0.05</v>
      </c>
      <c r="C9" s="195">
        <v>-0.48</v>
      </c>
      <c r="D9" s="8">
        <v>43093.375</v>
      </c>
      <c r="E9" s="195">
        <v>0.82</v>
      </c>
      <c r="F9" s="195" t="s">
        <v>463</v>
      </c>
      <c r="G9" s="195">
        <v>330.73</v>
      </c>
      <c r="H9" s="195"/>
      <c r="I9" s="195">
        <v>0</v>
      </c>
      <c r="J9" s="195">
        <v>0</v>
      </c>
      <c r="K9" s="195"/>
      <c r="L9" s="195">
        <v>1031.21</v>
      </c>
      <c r="M9" s="195" t="s">
        <v>462</v>
      </c>
      <c r="N9" s="195">
        <v>3.7</v>
      </c>
      <c r="O9" s="195">
        <v>1514124000</v>
      </c>
      <c r="P9" s="195">
        <v>0</v>
      </c>
      <c r="Q9" s="195">
        <v>4.8</v>
      </c>
      <c r="R9" s="195">
        <v>169</v>
      </c>
      <c r="S9" s="195">
        <v>3.65</v>
      </c>
      <c r="T9" s="195">
        <v>1.28</v>
      </c>
    </row>
    <row r="10" spans="1:20" x14ac:dyDescent="0.3">
      <c r="A10" s="195">
        <v>5.13</v>
      </c>
      <c r="B10" s="195">
        <v>0.02</v>
      </c>
      <c r="C10" s="195">
        <v>0.33</v>
      </c>
      <c r="D10" s="8">
        <v>43093.416666666664</v>
      </c>
      <c r="E10" s="195">
        <v>0.8</v>
      </c>
      <c r="F10" s="195" t="s">
        <v>489</v>
      </c>
      <c r="G10" s="195">
        <v>327.76</v>
      </c>
      <c r="H10" s="195">
        <v>4.2999999999999997E-2</v>
      </c>
      <c r="I10" s="195">
        <v>2.3E-3</v>
      </c>
      <c r="J10" s="195">
        <v>0.02</v>
      </c>
      <c r="K10" s="195" t="s">
        <v>552</v>
      </c>
      <c r="L10" s="195">
        <v>1031.97</v>
      </c>
      <c r="M10" s="195" t="s">
        <v>462</v>
      </c>
      <c r="N10" s="195">
        <v>5.13</v>
      </c>
      <c r="O10" s="195">
        <v>1514127600</v>
      </c>
      <c r="P10" s="195">
        <v>0</v>
      </c>
      <c r="Q10" s="195">
        <v>3.49</v>
      </c>
      <c r="R10" s="195">
        <v>165</v>
      </c>
      <c r="S10" s="195">
        <v>3.37</v>
      </c>
      <c r="T10" s="195">
        <v>1.01</v>
      </c>
    </row>
    <row r="11" spans="1:20" x14ac:dyDescent="0.3">
      <c r="A11" s="195">
        <v>10.02</v>
      </c>
      <c r="B11" s="195">
        <v>0.02</v>
      </c>
      <c r="C11" s="195">
        <v>4.71</v>
      </c>
      <c r="D11" s="8">
        <v>43093.458333333336</v>
      </c>
      <c r="E11" s="195">
        <v>0.79</v>
      </c>
      <c r="F11" s="195" t="s">
        <v>489</v>
      </c>
      <c r="G11" s="195">
        <v>325</v>
      </c>
      <c r="H11" s="195"/>
      <c r="I11" s="195">
        <v>0</v>
      </c>
      <c r="J11" s="195">
        <v>0</v>
      </c>
      <c r="K11" s="195"/>
      <c r="L11" s="195">
        <v>1030.8800000000001</v>
      </c>
      <c r="M11" s="195" t="s">
        <v>462</v>
      </c>
      <c r="N11" s="195">
        <v>10.02</v>
      </c>
      <c r="O11" s="195">
        <v>1514131200</v>
      </c>
      <c r="P11" s="195">
        <v>1</v>
      </c>
      <c r="Q11" s="195">
        <v>4.8099999999999996</v>
      </c>
      <c r="R11" s="195">
        <v>162</v>
      </c>
      <c r="S11" s="195">
        <v>3.57</v>
      </c>
      <c r="T11" s="195">
        <v>1.2</v>
      </c>
    </row>
    <row r="12" spans="1:20" x14ac:dyDescent="0.3">
      <c r="A12" s="195">
        <v>15.82</v>
      </c>
      <c r="B12" s="195">
        <v>0.02</v>
      </c>
      <c r="C12" s="195">
        <v>8.57</v>
      </c>
      <c r="D12" s="8">
        <v>43093.5</v>
      </c>
      <c r="E12" s="195">
        <v>0.72</v>
      </c>
      <c r="F12" s="195" t="s">
        <v>489</v>
      </c>
      <c r="G12" s="195">
        <v>322.22000000000003</v>
      </c>
      <c r="H12" s="195">
        <v>5.0000000000000001E-3</v>
      </c>
      <c r="I12" s="195">
        <v>2.9999999999999997E-4</v>
      </c>
      <c r="J12" s="195">
        <v>7.0000000000000007E-2</v>
      </c>
      <c r="K12" s="195" t="s">
        <v>552</v>
      </c>
      <c r="L12" s="195">
        <v>1029.68</v>
      </c>
      <c r="M12" s="195" t="s">
        <v>462</v>
      </c>
      <c r="N12" s="195">
        <v>15.82</v>
      </c>
      <c r="O12" s="195">
        <v>1514134800</v>
      </c>
      <c r="P12" s="195">
        <v>1</v>
      </c>
      <c r="Q12" s="195">
        <v>4.92</v>
      </c>
      <c r="R12" s="195">
        <v>159</v>
      </c>
      <c r="S12" s="195">
        <v>4.0999999999999996</v>
      </c>
      <c r="T12" s="195">
        <v>1.02</v>
      </c>
    </row>
    <row r="13" spans="1:20" x14ac:dyDescent="0.3">
      <c r="A13" s="195">
        <v>21.32</v>
      </c>
      <c r="B13" s="195">
        <v>0.04</v>
      </c>
      <c r="C13" s="195">
        <v>11.1</v>
      </c>
      <c r="D13" s="8">
        <v>43093.541666666664</v>
      </c>
      <c r="E13" s="195">
        <v>0.64</v>
      </c>
      <c r="F13" s="195" t="s">
        <v>489</v>
      </c>
      <c r="G13" s="195">
        <v>316.70999999999998</v>
      </c>
      <c r="H13" s="195">
        <v>3.9E-2</v>
      </c>
      <c r="I13" s="195">
        <v>2.7000000000000001E-3</v>
      </c>
      <c r="J13" s="195">
        <v>0.26</v>
      </c>
      <c r="K13" s="195" t="s">
        <v>552</v>
      </c>
      <c r="L13" s="195">
        <v>1028.3</v>
      </c>
      <c r="M13" s="195" t="s">
        <v>462</v>
      </c>
      <c r="N13" s="195">
        <v>21.32</v>
      </c>
      <c r="O13" s="195">
        <v>1514138400</v>
      </c>
      <c r="P13" s="195">
        <v>2</v>
      </c>
      <c r="Q13" s="195">
        <v>5.04</v>
      </c>
      <c r="R13" s="195">
        <v>137</v>
      </c>
      <c r="S13" s="195">
        <v>4.6100000000000003</v>
      </c>
      <c r="T13" s="195">
        <v>1.49</v>
      </c>
    </row>
    <row r="14" spans="1:20" x14ac:dyDescent="0.3">
      <c r="A14" s="195">
        <v>25.25</v>
      </c>
      <c r="B14" s="195">
        <v>7.0000000000000007E-2</v>
      </c>
      <c r="C14" s="195">
        <v>11.55</v>
      </c>
      <c r="D14" s="8">
        <v>43093.583333333336</v>
      </c>
      <c r="E14" s="195">
        <v>0.55000000000000004</v>
      </c>
      <c r="F14" s="195" t="s">
        <v>489</v>
      </c>
      <c r="G14" s="195">
        <v>313.14</v>
      </c>
      <c r="H14" s="195">
        <v>6.2E-2</v>
      </c>
      <c r="I14" s="195">
        <v>5.1999999999999998E-3</v>
      </c>
      <c r="J14" s="195">
        <v>0.35</v>
      </c>
      <c r="K14" s="195" t="s">
        <v>552</v>
      </c>
      <c r="L14" s="195">
        <v>1026.6199999999999</v>
      </c>
      <c r="M14" s="195" t="s">
        <v>462</v>
      </c>
      <c r="N14" s="195">
        <v>25.25</v>
      </c>
      <c r="O14" s="195">
        <v>1514142000</v>
      </c>
      <c r="P14" s="195">
        <v>2</v>
      </c>
      <c r="Q14" s="195">
        <v>4.6399999999999997</v>
      </c>
      <c r="R14" s="195">
        <v>110</v>
      </c>
      <c r="S14" s="195">
        <v>6.85</v>
      </c>
      <c r="T14" s="195">
        <v>2.4900000000000002</v>
      </c>
    </row>
    <row r="15" spans="1:20" x14ac:dyDescent="0.3">
      <c r="A15" s="195">
        <v>27.11</v>
      </c>
      <c r="B15" s="195">
        <v>0.06</v>
      </c>
      <c r="C15" s="195">
        <v>12.05</v>
      </c>
      <c r="D15" s="8">
        <v>43093.625</v>
      </c>
      <c r="E15" s="195">
        <v>0.52</v>
      </c>
      <c r="F15" s="195" t="s">
        <v>552</v>
      </c>
      <c r="G15" s="195">
        <v>309.76</v>
      </c>
      <c r="H15" s="195">
        <v>7.0000000000000007E-2</v>
      </c>
      <c r="I15" s="195">
        <v>6.4999999999999997E-3</v>
      </c>
      <c r="J15" s="195">
        <v>0.4</v>
      </c>
      <c r="K15" s="195" t="s">
        <v>552</v>
      </c>
      <c r="L15" s="195">
        <v>1025.49</v>
      </c>
      <c r="M15" s="195" t="s">
        <v>906</v>
      </c>
      <c r="N15" s="195">
        <v>27.11</v>
      </c>
      <c r="O15" s="195">
        <v>1514145600</v>
      </c>
      <c r="P15" s="195">
        <v>2</v>
      </c>
      <c r="Q15" s="195">
        <v>4.8099999999999996</v>
      </c>
      <c r="R15" s="195">
        <v>117</v>
      </c>
      <c r="S15" s="195">
        <v>6.05</v>
      </c>
      <c r="T15" s="195">
        <v>1.84</v>
      </c>
    </row>
    <row r="16" spans="1:20" x14ac:dyDescent="0.3">
      <c r="A16" s="195">
        <v>27.74</v>
      </c>
      <c r="B16" s="195">
        <v>0.08</v>
      </c>
      <c r="C16" s="195">
        <v>11.74</v>
      </c>
      <c r="D16" s="8">
        <v>43093.666666666664</v>
      </c>
      <c r="E16" s="195">
        <v>0.5</v>
      </c>
      <c r="F16" s="195" t="s">
        <v>489</v>
      </c>
      <c r="G16" s="195">
        <v>306.76</v>
      </c>
      <c r="H16" s="195">
        <v>5.8999999999999997E-2</v>
      </c>
      <c r="I16" s="195">
        <v>5.7000000000000002E-3</v>
      </c>
      <c r="J16" s="195">
        <v>0.43</v>
      </c>
      <c r="K16" s="195" t="s">
        <v>552</v>
      </c>
      <c r="L16" s="195">
        <v>1025.1500000000001</v>
      </c>
      <c r="M16" s="195" t="s">
        <v>462</v>
      </c>
      <c r="N16" s="195">
        <v>27.74</v>
      </c>
      <c r="O16" s="195">
        <v>1514149200</v>
      </c>
      <c r="P16" s="195">
        <v>1</v>
      </c>
      <c r="Q16" s="195">
        <v>4.53</v>
      </c>
      <c r="R16" s="195">
        <v>112</v>
      </c>
      <c r="S16" s="195">
        <v>5.0199999999999996</v>
      </c>
      <c r="T16" s="195">
        <v>1.03</v>
      </c>
    </row>
    <row r="17" spans="1:20" x14ac:dyDescent="0.3">
      <c r="A17" s="195">
        <v>27.92</v>
      </c>
      <c r="B17" s="195">
        <v>0.09</v>
      </c>
      <c r="C17" s="195">
        <v>12.57</v>
      </c>
      <c r="D17" s="8">
        <v>43093.708333333336</v>
      </c>
      <c r="E17" s="195">
        <v>0.52</v>
      </c>
      <c r="F17" s="195" t="s">
        <v>489</v>
      </c>
      <c r="G17" s="195">
        <v>304.27999999999997</v>
      </c>
      <c r="H17" s="195">
        <v>4.5999999999999999E-2</v>
      </c>
      <c r="I17" s="195">
        <v>4.4999999999999997E-3</v>
      </c>
      <c r="J17" s="195">
        <v>0.31</v>
      </c>
      <c r="K17" s="195" t="s">
        <v>552</v>
      </c>
      <c r="L17" s="195">
        <v>1024.27</v>
      </c>
      <c r="M17" s="195" t="s">
        <v>462</v>
      </c>
      <c r="N17" s="195">
        <v>27.92</v>
      </c>
      <c r="O17" s="195">
        <v>1514152800</v>
      </c>
      <c r="P17" s="195">
        <v>1</v>
      </c>
      <c r="Q17" s="195">
        <v>3.32</v>
      </c>
      <c r="R17" s="195">
        <v>69</v>
      </c>
      <c r="S17" s="195">
        <v>4.8</v>
      </c>
      <c r="T17" s="195">
        <v>0.68</v>
      </c>
    </row>
    <row r="18" spans="1:20" x14ac:dyDescent="0.3">
      <c r="A18" s="195">
        <v>26.71</v>
      </c>
      <c r="B18" s="195">
        <v>7.0000000000000007E-2</v>
      </c>
      <c r="C18" s="195">
        <v>12.21</v>
      </c>
      <c r="D18" s="8">
        <v>43093.75</v>
      </c>
      <c r="E18" s="195">
        <v>0.54</v>
      </c>
      <c r="F18" s="195" t="s">
        <v>489</v>
      </c>
      <c r="G18" s="195">
        <v>302.33</v>
      </c>
      <c r="H18" s="195">
        <v>1.2999999999999999E-2</v>
      </c>
      <c r="I18" s="195">
        <v>1.1999999999999999E-3</v>
      </c>
      <c r="J18" s="195">
        <v>0.17</v>
      </c>
      <c r="K18" s="195" t="s">
        <v>552</v>
      </c>
      <c r="L18" s="195">
        <v>1024.06</v>
      </c>
      <c r="M18" s="195" t="s">
        <v>462</v>
      </c>
      <c r="N18" s="195">
        <v>26.71</v>
      </c>
      <c r="O18" s="195">
        <v>1514156400</v>
      </c>
      <c r="P18" s="195">
        <v>0</v>
      </c>
      <c r="Q18" s="195">
        <v>4.8099999999999996</v>
      </c>
      <c r="R18" s="195">
        <v>23</v>
      </c>
      <c r="S18" s="195">
        <v>4.45</v>
      </c>
      <c r="T18" s="195">
        <v>0.46</v>
      </c>
    </row>
    <row r="19" spans="1:20" x14ac:dyDescent="0.3">
      <c r="A19" s="195">
        <v>21.15</v>
      </c>
      <c r="B19" s="195">
        <v>0.08</v>
      </c>
      <c r="C19" s="195">
        <v>11.14</v>
      </c>
      <c r="D19" s="8">
        <v>43093.791666666664</v>
      </c>
      <c r="E19" s="195">
        <v>0.65</v>
      </c>
      <c r="F19" s="195" t="s">
        <v>463</v>
      </c>
      <c r="G19" s="195">
        <v>292.35000000000002</v>
      </c>
      <c r="H19" s="195">
        <v>5.0000000000000001E-3</v>
      </c>
      <c r="I19" s="195">
        <v>4.0000000000000002E-4</v>
      </c>
      <c r="J19" s="195">
        <v>0.05</v>
      </c>
      <c r="K19" s="195" t="s">
        <v>552</v>
      </c>
      <c r="L19" s="195">
        <v>1024.6500000000001</v>
      </c>
      <c r="M19" s="195" t="s">
        <v>462</v>
      </c>
      <c r="N19" s="195">
        <v>21.15</v>
      </c>
      <c r="O19" s="195">
        <v>1514160000</v>
      </c>
      <c r="P19" s="195">
        <v>0</v>
      </c>
      <c r="Q19" s="195">
        <v>4.6500000000000004</v>
      </c>
      <c r="R19" s="195">
        <v>342</v>
      </c>
      <c r="S19" s="195">
        <v>5.08</v>
      </c>
      <c r="T19" s="195">
        <v>1.28</v>
      </c>
    </row>
    <row r="20" spans="1:20" x14ac:dyDescent="0.3">
      <c r="A20" s="195">
        <v>18.489999999999998</v>
      </c>
      <c r="B20" s="195">
        <v>7.0000000000000007E-2</v>
      </c>
      <c r="C20" s="195">
        <v>9.51</v>
      </c>
      <c r="D20" s="8">
        <v>43093.833333333336</v>
      </c>
      <c r="E20" s="195">
        <v>0.67</v>
      </c>
      <c r="F20" s="195" t="s">
        <v>463</v>
      </c>
      <c r="G20" s="195">
        <v>291.79000000000002</v>
      </c>
      <c r="H20" s="195">
        <v>0</v>
      </c>
      <c r="I20" s="195">
        <v>1E-4</v>
      </c>
      <c r="J20" s="195">
        <v>0.02</v>
      </c>
      <c r="K20" s="195" t="s">
        <v>552</v>
      </c>
      <c r="L20" s="195">
        <v>1025.04</v>
      </c>
      <c r="M20" s="195" t="s">
        <v>462</v>
      </c>
      <c r="N20" s="195">
        <v>18.489999999999998</v>
      </c>
      <c r="O20" s="195">
        <v>1514163600</v>
      </c>
      <c r="P20" s="195">
        <v>0</v>
      </c>
      <c r="Q20" s="195">
        <v>4.83</v>
      </c>
      <c r="R20" s="195">
        <v>341</v>
      </c>
      <c r="S20" s="195">
        <v>4.25</v>
      </c>
      <c r="T20" s="195">
        <v>1.03</v>
      </c>
    </row>
    <row r="21" spans="1:20" x14ac:dyDescent="0.3">
      <c r="A21" s="195">
        <v>16.75</v>
      </c>
      <c r="B21" s="195">
        <v>0.1</v>
      </c>
      <c r="C21" s="195">
        <v>8.7799999999999994</v>
      </c>
      <c r="D21" s="8">
        <v>43093.875</v>
      </c>
      <c r="E21" s="195">
        <v>0.7</v>
      </c>
      <c r="F21" s="195" t="s">
        <v>463</v>
      </c>
      <c r="G21" s="195">
        <v>293.14</v>
      </c>
      <c r="H21" s="195"/>
      <c r="I21" s="195">
        <v>0</v>
      </c>
      <c r="J21" s="195">
        <v>0</v>
      </c>
      <c r="K21" s="195"/>
      <c r="L21" s="195">
        <v>1025.29</v>
      </c>
      <c r="M21" s="195" t="s">
        <v>462</v>
      </c>
      <c r="N21" s="195">
        <v>16.75</v>
      </c>
      <c r="O21" s="195">
        <v>1514167200</v>
      </c>
      <c r="P21" s="195">
        <v>0</v>
      </c>
      <c r="Q21" s="195">
        <v>4.83</v>
      </c>
      <c r="R21" s="195">
        <v>334</v>
      </c>
      <c r="S21" s="195">
        <v>4.12</v>
      </c>
      <c r="T21" s="195">
        <v>0.79</v>
      </c>
    </row>
    <row r="22" spans="1:20" x14ac:dyDescent="0.3">
      <c r="A22" s="195">
        <v>16.11</v>
      </c>
      <c r="B22" s="195">
        <v>0.11</v>
      </c>
      <c r="C22" s="195">
        <v>8.4700000000000006</v>
      </c>
      <c r="D22" s="8">
        <v>43093.916666666664</v>
      </c>
      <c r="E22" s="195">
        <v>0.71</v>
      </c>
      <c r="F22" s="195" t="s">
        <v>463</v>
      </c>
      <c r="G22" s="195">
        <v>293.81</v>
      </c>
      <c r="H22" s="195"/>
      <c r="I22" s="195">
        <v>0</v>
      </c>
      <c r="J22" s="195">
        <v>0</v>
      </c>
      <c r="K22" s="195"/>
      <c r="L22" s="195">
        <v>1025.32</v>
      </c>
      <c r="M22" s="195" t="s">
        <v>462</v>
      </c>
      <c r="N22" s="195">
        <v>16.11</v>
      </c>
      <c r="O22" s="195">
        <v>1514170800</v>
      </c>
      <c r="P22" s="195">
        <v>0</v>
      </c>
      <c r="Q22" s="195">
        <v>4.84</v>
      </c>
      <c r="R22" s="195">
        <v>323</v>
      </c>
      <c r="S22" s="195">
        <v>3.87</v>
      </c>
      <c r="T22" s="195">
        <v>1.2</v>
      </c>
    </row>
    <row r="23" spans="1:20" x14ac:dyDescent="0.3">
      <c r="A23" s="195">
        <v>15.45</v>
      </c>
      <c r="B23" s="195">
        <v>0.12</v>
      </c>
      <c r="C23" s="195">
        <v>7.88</v>
      </c>
      <c r="D23" s="8">
        <v>43093.958333333336</v>
      </c>
      <c r="E23" s="195">
        <v>0.71</v>
      </c>
      <c r="F23" s="195" t="s">
        <v>463</v>
      </c>
      <c r="G23" s="195">
        <v>292.91000000000003</v>
      </c>
      <c r="H23" s="195"/>
      <c r="I23" s="195">
        <v>0</v>
      </c>
      <c r="J23" s="195">
        <v>0</v>
      </c>
      <c r="K23" s="195"/>
      <c r="L23" s="195">
        <v>1024.31</v>
      </c>
      <c r="M23" s="195" t="s">
        <v>462</v>
      </c>
      <c r="N23" s="195">
        <v>15.45</v>
      </c>
      <c r="O23" s="195">
        <v>1514174400</v>
      </c>
      <c r="P23" s="195">
        <v>0</v>
      </c>
      <c r="Q23" s="195">
        <v>4.62</v>
      </c>
      <c r="R23" s="195">
        <v>311</v>
      </c>
      <c r="S23" s="195">
        <v>3.95</v>
      </c>
      <c r="T23" s="195">
        <v>0.99</v>
      </c>
    </row>
    <row r="24" spans="1:20" x14ac:dyDescent="0.3">
      <c r="A24" s="195">
        <v>14.73</v>
      </c>
      <c r="B24" s="195">
        <v>0.06</v>
      </c>
      <c r="C24" s="195">
        <v>7.48</v>
      </c>
      <c r="D24" s="8">
        <v>43094</v>
      </c>
      <c r="E24" s="195">
        <v>0.72</v>
      </c>
      <c r="F24" s="195" t="s">
        <v>463</v>
      </c>
      <c r="G24" s="195">
        <v>291.56</v>
      </c>
      <c r="H24" s="195"/>
      <c r="I24" s="195">
        <v>0</v>
      </c>
      <c r="J24" s="195">
        <v>0</v>
      </c>
      <c r="K24" s="195"/>
      <c r="L24" s="195">
        <v>1023.11</v>
      </c>
      <c r="M24" s="195" t="s">
        <v>462</v>
      </c>
      <c r="N24" s="195">
        <v>14.73</v>
      </c>
      <c r="O24" s="195">
        <v>1514178000</v>
      </c>
      <c r="P24" s="195">
        <v>0</v>
      </c>
      <c r="Q24" s="195">
        <v>3.8</v>
      </c>
      <c r="R24" s="195">
        <v>298</v>
      </c>
      <c r="S24" s="195">
        <v>3.85</v>
      </c>
      <c r="T24" s="195">
        <v>0.59</v>
      </c>
    </row>
    <row r="25" spans="1:20" x14ac:dyDescent="0.3">
      <c r="A25" s="195">
        <v>14.45</v>
      </c>
      <c r="B25" s="195">
        <v>0.05</v>
      </c>
      <c r="C25" s="195">
        <v>7.43</v>
      </c>
      <c r="D25" s="8">
        <v>43094.041666666664</v>
      </c>
      <c r="E25" s="195">
        <v>0.73</v>
      </c>
      <c r="F25" s="195" t="s">
        <v>463</v>
      </c>
      <c r="G25" s="195">
        <v>290.20999999999998</v>
      </c>
      <c r="H25" s="195"/>
      <c r="I25" s="195">
        <v>0</v>
      </c>
      <c r="J25" s="195">
        <v>0</v>
      </c>
      <c r="K25" s="195"/>
      <c r="L25" s="195">
        <v>1022.54</v>
      </c>
      <c r="M25" s="195" t="s">
        <v>462</v>
      </c>
      <c r="N25" s="195">
        <v>14.45</v>
      </c>
      <c r="O25" s="195">
        <v>1514181600</v>
      </c>
      <c r="P25" s="195">
        <v>0</v>
      </c>
      <c r="Q25" s="195">
        <v>4.21</v>
      </c>
      <c r="R25" s="195">
        <v>301</v>
      </c>
      <c r="S25" s="195">
        <v>3.23</v>
      </c>
      <c r="T25" s="195">
        <v>0.78</v>
      </c>
    </row>
    <row r="26" spans="1:20" x14ac:dyDescent="0.3">
      <c r="A26" s="195">
        <v>14.08</v>
      </c>
      <c r="B26" s="195">
        <v>0.03</v>
      </c>
      <c r="C26" s="195">
        <v>6.95</v>
      </c>
      <c r="D26" s="8">
        <v>43094.083333333336</v>
      </c>
      <c r="E26" s="195">
        <v>0.73</v>
      </c>
      <c r="F26" s="195" t="s">
        <v>463</v>
      </c>
      <c r="G26" s="195">
        <v>288.95999999999998</v>
      </c>
      <c r="H26" s="195"/>
      <c r="I26" s="195">
        <v>0</v>
      </c>
      <c r="J26" s="195">
        <v>0</v>
      </c>
      <c r="K26" s="195"/>
      <c r="L26" s="195">
        <v>1022.01</v>
      </c>
      <c r="M26" s="195" t="s">
        <v>462</v>
      </c>
      <c r="N26" s="195">
        <v>14.08</v>
      </c>
      <c r="O26" s="195">
        <v>1514185200</v>
      </c>
      <c r="P26" s="195">
        <v>0</v>
      </c>
      <c r="Q26" s="195">
        <v>4</v>
      </c>
      <c r="R26" s="195">
        <v>311</v>
      </c>
      <c r="S26" s="195">
        <v>2.4300000000000002</v>
      </c>
      <c r="T26" s="195">
        <v>0.75</v>
      </c>
    </row>
    <row r="27" spans="1:20" x14ac:dyDescent="0.3">
      <c r="A27" s="195">
        <v>14.36</v>
      </c>
      <c r="B27" s="195">
        <v>0.04</v>
      </c>
      <c r="C27" s="195">
        <v>7.13</v>
      </c>
      <c r="D27" s="8">
        <v>43094.125</v>
      </c>
      <c r="E27" s="195">
        <v>0.72</v>
      </c>
      <c r="F27" s="195" t="s">
        <v>463</v>
      </c>
      <c r="G27" s="195">
        <v>287.83</v>
      </c>
      <c r="H27" s="195"/>
      <c r="I27" s="195">
        <v>0</v>
      </c>
      <c r="J27" s="195">
        <v>0</v>
      </c>
      <c r="K27" s="195"/>
      <c r="L27" s="195">
        <v>1020.67</v>
      </c>
      <c r="M27" s="195" t="s">
        <v>462</v>
      </c>
      <c r="N27" s="195">
        <v>14.36</v>
      </c>
      <c r="O27" s="195">
        <v>1514188800</v>
      </c>
      <c r="P27" s="195">
        <v>0</v>
      </c>
      <c r="Q27" s="195">
        <v>4.21</v>
      </c>
      <c r="R27" s="195">
        <v>313</v>
      </c>
      <c r="S27" s="195">
        <v>2.89</v>
      </c>
      <c r="T27" s="195">
        <v>0.56000000000000005</v>
      </c>
    </row>
    <row r="28" spans="1:20" x14ac:dyDescent="0.3">
      <c r="A28" s="195">
        <v>13.96</v>
      </c>
      <c r="B28" s="195">
        <v>0.08</v>
      </c>
      <c r="C28" s="195">
        <v>6.92</v>
      </c>
      <c r="D28" s="8">
        <v>43094.166666666664</v>
      </c>
      <c r="E28" s="195">
        <v>0.73</v>
      </c>
      <c r="F28" s="195" t="s">
        <v>463</v>
      </c>
      <c r="G28" s="195">
        <v>287.72000000000003</v>
      </c>
      <c r="H28" s="195"/>
      <c r="I28" s="195">
        <v>0</v>
      </c>
      <c r="J28" s="195">
        <v>0</v>
      </c>
      <c r="K28" s="195"/>
      <c r="L28" s="195">
        <v>1020.49</v>
      </c>
      <c r="M28" s="195" t="s">
        <v>462</v>
      </c>
      <c r="N28" s="195">
        <v>13.96</v>
      </c>
      <c r="O28" s="195">
        <v>1514192400</v>
      </c>
      <c r="P28" s="195">
        <v>0</v>
      </c>
      <c r="Q28" s="195">
        <v>3.88</v>
      </c>
      <c r="R28" s="195">
        <v>273</v>
      </c>
      <c r="S28" s="195">
        <v>2.04</v>
      </c>
      <c r="T28" s="195">
        <v>0.42</v>
      </c>
    </row>
    <row r="29" spans="1:20" x14ac:dyDescent="0.3">
      <c r="A29" s="195">
        <v>15.19</v>
      </c>
      <c r="B29" s="195">
        <v>0.24</v>
      </c>
      <c r="C29" s="195">
        <v>7.65</v>
      </c>
      <c r="D29" s="8">
        <v>43094.208333333336</v>
      </c>
      <c r="E29" s="195">
        <v>0.71</v>
      </c>
      <c r="F29" s="195" t="s">
        <v>463</v>
      </c>
      <c r="G29" s="195">
        <v>289.33</v>
      </c>
      <c r="H29" s="195"/>
      <c r="I29" s="195">
        <v>0</v>
      </c>
      <c r="J29" s="195">
        <v>0</v>
      </c>
      <c r="K29" s="195"/>
      <c r="L29" s="195">
        <v>1020.87</v>
      </c>
      <c r="M29" s="195" t="s">
        <v>462</v>
      </c>
      <c r="N29" s="195">
        <v>15.19</v>
      </c>
      <c r="O29" s="195">
        <v>1514196000</v>
      </c>
      <c r="P29" s="195">
        <v>0</v>
      </c>
      <c r="Q29" s="195">
        <v>5.61</v>
      </c>
      <c r="R29" s="195">
        <v>22</v>
      </c>
      <c r="S29" s="195">
        <v>2.94</v>
      </c>
      <c r="T29" s="195">
        <v>2.0699999999999998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43093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1068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1069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1070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1071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1072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1073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1074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1075</v>
      </c>
      <c r="J25" s="139" t="s">
        <v>144</v>
      </c>
      <c r="M25" s="153" t="b">
        <v>1</v>
      </c>
    </row>
    <row r="26" spans="3:24" x14ac:dyDescent="0.3">
      <c r="C26" t="s">
        <v>1076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%USERPROFILE%\Documents\GitHub\eaglep3-reporting\EC\2017-12-24-refined-times.txt</v>
      </c>
    </row>
    <row r="27" spans="3:24" x14ac:dyDescent="0.3">
      <c r="C27" t="s">
        <v>1077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%USERPROFILE%\Documents\GitHub\eaglep3-reporting\EC\2017-12-24-Enforcements.txt</v>
      </c>
    </row>
    <row r="28" spans="3:24" x14ac:dyDescent="0.3">
      <c r="C28" t="s">
        <v>1078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%USERPROFILE%\Documents\GitHub\eaglep3-reporting\EC\2017-12-24-Runs-refined.txt</v>
      </c>
    </row>
    <row r="29" spans="3:24" x14ac:dyDescent="0.3">
      <c r="C29" t="s">
        <v>1079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%USERPROFILE%\Documents\GitHub\eaglep3-reporting\EC\2017-12-24-Trips.txt</v>
      </c>
    </row>
    <row r="30" spans="3:24" x14ac:dyDescent="0.3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%USERPROFILE%\Documents\GitHub\eaglep3-reporting\EC\2017-12-24-Weather.txt</v>
      </c>
    </row>
    <row r="31" spans="3:24" x14ac:dyDescent="0.3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2017-12-27T15:47:33Z</dcterms:modified>
</cp:coreProperties>
</file>