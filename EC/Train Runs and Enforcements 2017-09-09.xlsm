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Trips'!$A$2:$J$30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2" i="1" l="1"/>
  <c r="K176" i="1" l="1"/>
  <c r="L176" i="1"/>
  <c r="M176" i="1"/>
  <c r="N176" i="1" s="1"/>
  <c r="V176" i="1"/>
  <c r="AA176" i="1"/>
  <c r="AB176" i="1"/>
  <c r="AC176" i="1"/>
  <c r="AD176" i="1"/>
  <c r="T176" i="1" s="1"/>
  <c r="AE176" i="1"/>
  <c r="AF176" i="1"/>
  <c r="AH176" i="1"/>
  <c r="AM176" i="1"/>
  <c r="AN176" i="1"/>
  <c r="Y156" i="1"/>
  <c r="K155" i="1"/>
  <c r="L155" i="1"/>
  <c r="M155" i="1"/>
  <c r="N155" i="1" s="1"/>
  <c r="V155" i="1"/>
  <c r="AA155" i="1"/>
  <c r="AB155" i="1"/>
  <c r="AC155" i="1"/>
  <c r="AD155" i="1"/>
  <c r="T155" i="1" s="1"/>
  <c r="AE155" i="1"/>
  <c r="AF155" i="1"/>
  <c r="AH155" i="1"/>
  <c r="AM155" i="1"/>
  <c r="AN155" i="1"/>
  <c r="K154" i="1"/>
  <c r="L154" i="1"/>
  <c r="M154" i="1"/>
  <c r="N154" i="1" s="1"/>
  <c r="V154" i="1"/>
  <c r="AA154" i="1"/>
  <c r="AB154" i="1"/>
  <c r="AC154" i="1"/>
  <c r="AD154" i="1"/>
  <c r="T154" i="1" s="1"/>
  <c r="AE154" i="1"/>
  <c r="R31" i="3" s="1"/>
  <c r="AF154" i="1"/>
  <c r="AH154" i="1"/>
  <c r="AM154" i="1"/>
  <c r="AN154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K116" i="1"/>
  <c r="L116" i="1"/>
  <c r="M116" i="1"/>
  <c r="P116" i="1" s="1"/>
  <c r="V116" i="1"/>
  <c r="S18" i="3" s="1"/>
  <c r="AA116" i="1"/>
  <c r="AB116" i="1"/>
  <c r="AC116" i="1"/>
  <c r="AD116" i="1"/>
  <c r="AE116" i="1"/>
  <c r="R18" i="3" s="1"/>
  <c r="AF116" i="1"/>
  <c r="AH116" i="1"/>
  <c r="AM116" i="1"/>
  <c r="AN11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14" i="3" s="1"/>
  <c r="Y32" i="1"/>
  <c r="Z32" i="1"/>
  <c r="AB32" i="1"/>
  <c r="AC32" i="1"/>
  <c r="AD32" i="1"/>
  <c r="T32" i="1" s="1"/>
  <c r="AE32" i="1"/>
  <c r="R14" i="3" s="1"/>
  <c r="AF32" i="1"/>
  <c r="AH32" i="1"/>
  <c r="AM32" i="1"/>
  <c r="AN32" i="1"/>
  <c r="K33" i="1"/>
  <c r="L33" i="1"/>
  <c r="M33" i="1"/>
  <c r="N33" i="1" s="1"/>
  <c r="V33" i="1"/>
  <c r="S15" i="3" s="1"/>
  <c r="Y33" i="1"/>
  <c r="Z33" i="1"/>
  <c r="AB33" i="1"/>
  <c r="AC33" i="1"/>
  <c r="AD33" i="1"/>
  <c r="T33" i="1" s="1"/>
  <c r="AE33" i="1"/>
  <c r="R15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19" i="3" s="1"/>
  <c r="Y59" i="1"/>
  <c r="Z59" i="1"/>
  <c r="AB59" i="1"/>
  <c r="AC59" i="1"/>
  <c r="AD59" i="1"/>
  <c r="T59" i="1" s="1"/>
  <c r="AE59" i="1"/>
  <c r="R19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S22" i="3" s="1"/>
  <c r="Y73" i="1"/>
  <c r="Z73" i="1"/>
  <c r="AB73" i="1"/>
  <c r="AC73" i="1"/>
  <c r="AD73" i="1"/>
  <c r="T73" i="1" s="1"/>
  <c r="AE73" i="1"/>
  <c r="R22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10" i="3" s="1"/>
  <c r="Y80" i="1"/>
  <c r="Z80" i="1"/>
  <c r="AB80" i="1"/>
  <c r="AC80" i="1"/>
  <c r="AD80" i="1"/>
  <c r="AE80" i="1"/>
  <c r="R10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13" i="3" s="1"/>
  <c r="Y82" i="1"/>
  <c r="Z82" i="1"/>
  <c r="AB82" i="1"/>
  <c r="AC82" i="1"/>
  <c r="AD82" i="1"/>
  <c r="T82" i="1" s="1"/>
  <c r="AE82" i="1"/>
  <c r="R1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S25" i="3" s="1"/>
  <c r="Y86" i="1"/>
  <c r="Z86" i="1"/>
  <c r="AB86" i="1"/>
  <c r="AC86" i="1"/>
  <c r="AD86" i="1"/>
  <c r="T86" i="1" s="1"/>
  <c r="AE86" i="1"/>
  <c r="R9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26" i="3" s="1"/>
  <c r="Y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1" i="1"/>
  <c r="AM101" i="1"/>
  <c r="AN101" i="1"/>
  <c r="K169" i="1"/>
  <c r="L169" i="1"/>
  <c r="M169" i="1"/>
  <c r="P169" i="1" s="1"/>
  <c r="V169" i="1"/>
  <c r="Y169" i="1"/>
  <c r="Z169" i="1"/>
  <c r="AB169" i="1"/>
  <c r="AC169" i="1"/>
  <c r="AD169" i="1"/>
  <c r="T169" i="1" s="1"/>
  <c r="AE169" i="1"/>
  <c r="AF169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S33" i="3" s="1"/>
  <c r="Y171" i="1"/>
  <c r="Z171" i="1"/>
  <c r="AB171" i="1"/>
  <c r="AC171" i="1"/>
  <c r="AD171" i="1"/>
  <c r="AE171" i="1"/>
  <c r="R33" i="3" s="1"/>
  <c r="AF171" i="1"/>
  <c r="AH105" i="1"/>
  <c r="AM105" i="1"/>
  <c r="AN105" i="1"/>
  <c r="K172" i="1"/>
  <c r="L172" i="1"/>
  <c r="M172" i="1"/>
  <c r="N172" i="1" s="1"/>
  <c r="V172" i="1"/>
  <c r="S35" i="3" s="1"/>
  <c r="Y172" i="1"/>
  <c r="Z172" i="1"/>
  <c r="AB172" i="1"/>
  <c r="AC172" i="1"/>
  <c r="AD172" i="1"/>
  <c r="T172" i="1" s="1"/>
  <c r="AE172" i="1"/>
  <c r="R35" i="3" s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2" i="1"/>
  <c r="AM112" i="1"/>
  <c r="AN112" i="1"/>
  <c r="K94" i="1"/>
  <c r="L94" i="1"/>
  <c r="M94" i="1"/>
  <c r="N94" i="1" s="1"/>
  <c r="V94" i="1"/>
  <c r="S27" i="3" s="1"/>
  <c r="Y94" i="1"/>
  <c r="Z94" i="1"/>
  <c r="AB94" i="1"/>
  <c r="AC94" i="1"/>
  <c r="AD94" i="1"/>
  <c r="T94" i="1" s="1"/>
  <c r="AE94" i="1"/>
  <c r="R27" i="3" s="1"/>
  <c r="AF94" i="1"/>
  <c r="AH113" i="1"/>
  <c r="AM113" i="1"/>
  <c r="AN113" i="1"/>
  <c r="K180" i="1"/>
  <c r="L180" i="1"/>
  <c r="M180" i="1"/>
  <c r="N180" i="1" s="1"/>
  <c r="V180" i="1"/>
  <c r="S32" i="3" s="1"/>
  <c r="Y180" i="1"/>
  <c r="Z180" i="1"/>
  <c r="AB180" i="1"/>
  <c r="AC180" i="1"/>
  <c r="AD180" i="1"/>
  <c r="T180" i="1" s="1"/>
  <c r="AE180" i="1"/>
  <c r="R32" i="3" s="1"/>
  <c r="AF180" i="1"/>
  <c r="AH114" i="1"/>
  <c r="AM114" i="1"/>
  <c r="AN11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5" i="1"/>
  <c r="AM115" i="1"/>
  <c r="AN115" i="1"/>
  <c r="K182" i="1"/>
  <c r="L182" i="1"/>
  <c r="M182" i="1"/>
  <c r="V182" i="1"/>
  <c r="S34" i="3" s="1"/>
  <c r="Y182" i="1"/>
  <c r="Z182" i="1"/>
  <c r="AB182" i="1"/>
  <c r="AC182" i="1"/>
  <c r="AD182" i="1"/>
  <c r="T182" i="1" s="1"/>
  <c r="AE182" i="1"/>
  <c r="R34" i="3" s="1"/>
  <c r="AF182" i="1"/>
  <c r="AH117" i="1"/>
  <c r="AM117" i="1"/>
  <c r="AN11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0" i="1"/>
  <c r="AM130" i="1"/>
  <c r="AN13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1" i="1"/>
  <c r="AM131" i="1"/>
  <c r="AN131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2" i="1"/>
  <c r="AM132" i="1"/>
  <c r="AN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4" i="1"/>
  <c r="AM134" i="1"/>
  <c r="AN134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5" i="1"/>
  <c r="AM135" i="1"/>
  <c r="AN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S30" i="3" s="1"/>
  <c r="Y101" i="1"/>
  <c r="Z101" i="1"/>
  <c r="AB101" i="1"/>
  <c r="AC101" i="1"/>
  <c r="AD101" i="1"/>
  <c r="AE101" i="1"/>
  <c r="R30" i="3" s="1"/>
  <c r="AF101" i="1"/>
  <c r="AH136" i="1"/>
  <c r="AM136" i="1"/>
  <c r="AN136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7" i="1"/>
  <c r="AM137" i="1"/>
  <c r="AN13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38" i="1"/>
  <c r="AM138" i="1"/>
  <c r="AN13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39" i="1"/>
  <c r="AM139" i="1"/>
  <c r="AN139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K110" i="1"/>
  <c r="L110" i="1"/>
  <c r="M110" i="1"/>
  <c r="N110" i="1" s="1"/>
  <c r="V110" i="1"/>
  <c r="S16" i="3" s="1"/>
  <c r="Y110" i="1"/>
  <c r="Z110" i="1"/>
  <c r="AB110" i="1"/>
  <c r="AC110" i="1"/>
  <c r="AD110" i="1"/>
  <c r="T110" i="1" s="1"/>
  <c r="AE110" i="1"/>
  <c r="R16" i="3" s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0" i="1"/>
  <c r="AM150" i="1"/>
  <c r="AN150" i="1"/>
  <c r="K114" i="1"/>
  <c r="L114" i="1"/>
  <c r="M114" i="1"/>
  <c r="N114" i="1" s="1"/>
  <c r="V114" i="1"/>
  <c r="S8" i="3" s="1"/>
  <c r="Y114" i="1"/>
  <c r="Z114" i="1"/>
  <c r="AB114" i="1"/>
  <c r="AC114" i="1"/>
  <c r="AD114" i="1"/>
  <c r="T114" i="1" s="1"/>
  <c r="AE114" i="1"/>
  <c r="R7" i="3" s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AM156" i="1"/>
  <c r="AN156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7" i="1"/>
  <c r="AM157" i="1"/>
  <c r="AN157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8" i="1"/>
  <c r="AM158" i="1"/>
  <c r="AN158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9" i="1"/>
  <c r="AM159" i="1"/>
  <c r="AN159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0" i="1"/>
  <c r="AM160" i="1"/>
  <c r="AN160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1" i="1"/>
  <c r="AM161" i="1"/>
  <c r="AN161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2" i="1"/>
  <c r="AM162" i="1"/>
  <c r="AN162" i="1"/>
  <c r="K125" i="1"/>
  <c r="L125" i="1"/>
  <c r="M125" i="1"/>
  <c r="N125" i="1" s="1"/>
  <c r="V125" i="1"/>
  <c r="S12" i="3" s="1"/>
  <c r="Y125" i="1"/>
  <c r="Z125" i="1"/>
  <c r="AB125" i="1"/>
  <c r="AC125" i="1"/>
  <c r="AD125" i="1"/>
  <c r="AE125" i="1"/>
  <c r="R12" i="3" s="1"/>
  <c r="AF125" i="1"/>
  <c r="AH163" i="1"/>
  <c r="AM163" i="1"/>
  <c r="AN163" i="1"/>
  <c r="K126" i="1"/>
  <c r="L126" i="1"/>
  <c r="M126" i="1"/>
  <c r="N126" i="1" s="1"/>
  <c r="V126" i="1"/>
  <c r="S11" i="3" s="1"/>
  <c r="Y126" i="1"/>
  <c r="Z126" i="1"/>
  <c r="AB126" i="1"/>
  <c r="AC126" i="1"/>
  <c r="AD126" i="1"/>
  <c r="AE126" i="1"/>
  <c r="R11" i="3" s="1"/>
  <c r="AF126" i="1"/>
  <c r="AH164" i="1"/>
  <c r="AM164" i="1"/>
  <c r="AN164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5" i="1"/>
  <c r="AM165" i="1"/>
  <c r="AN165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6" i="1"/>
  <c r="AM166" i="1"/>
  <c r="AN166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7" i="1"/>
  <c r="AM167" i="1"/>
  <c r="AN167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8" i="1"/>
  <c r="AM168" i="1"/>
  <c r="AN168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9" i="1"/>
  <c r="AM169" i="1"/>
  <c r="AN169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0" i="1"/>
  <c r="AM170" i="1"/>
  <c r="AN170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1" i="1"/>
  <c r="AM171" i="1"/>
  <c r="AN171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2" i="1"/>
  <c r="AM172" i="1"/>
  <c r="AN172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3" i="1"/>
  <c r="AM173" i="1"/>
  <c r="AN173" i="1"/>
  <c r="AH174" i="1"/>
  <c r="AM174" i="1"/>
  <c r="AN174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5" i="1"/>
  <c r="AM175" i="1"/>
  <c r="AN175" i="1"/>
  <c r="K137" i="1"/>
  <c r="L137" i="1"/>
  <c r="M137" i="1"/>
  <c r="P137" i="1" s="1"/>
  <c r="V137" i="1"/>
  <c r="Y137" i="1"/>
  <c r="Z137" i="1"/>
  <c r="AB137" i="1"/>
  <c r="AC137" i="1"/>
  <c r="AD137" i="1"/>
  <c r="AE137" i="1"/>
  <c r="AF137" i="1"/>
  <c r="AH177" i="1"/>
  <c r="AM177" i="1"/>
  <c r="AN177" i="1"/>
  <c r="K138" i="1"/>
  <c r="L138" i="1"/>
  <c r="M138" i="1"/>
  <c r="V138" i="1"/>
  <c r="Y138" i="1"/>
  <c r="Z138" i="1"/>
  <c r="AB138" i="1"/>
  <c r="AC138" i="1"/>
  <c r="AD138" i="1"/>
  <c r="T138" i="1" s="1"/>
  <c r="AE138" i="1"/>
  <c r="AF138" i="1"/>
  <c r="AH178" i="1"/>
  <c r="AM178" i="1"/>
  <c r="AN178" i="1"/>
  <c r="K139" i="1"/>
  <c r="L139" i="1"/>
  <c r="M139" i="1"/>
  <c r="N139" i="1" s="1"/>
  <c r="V139" i="1"/>
  <c r="S20" i="3" s="1"/>
  <c r="Y139" i="1"/>
  <c r="Z139" i="1"/>
  <c r="AB139" i="1"/>
  <c r="AC139" i="1"/>
  <c r="AD139" i="1"/>
  <c r="AE139" i="1"/>
  <c r="R20" i="3" s="1"/>
  <c r="AF139" i="1"/>
  <c r="AH179" i="1"/>
  <c r="AM179" i="1"/>
  <c r="AN17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80" i="1"/>
  <c r="AM180" i="1"/>
  <c r="AN180" i="1"/>
  <c r="K141" i="1"/>
  <c r="L141" i="1"/>
  <c r="M141" i="1"/>
  <c r="N141" i="1" s="1"/>
  <c r="V141" i="1"/>
  <c r="S28" i="3" s="1"/>
  <c r="Y141" i="1"/>
  <c r="Z141" i="1"/>
  <c r="AB141" i="1"/>
  <c r="AC141" i="1"/>
  <c r="AD141" i="1"/>
  <c r="T141" i="1" s="1"/>
  <c r="AE141" i="1"/>
  <c r="R28" i="3" s="1"/>
  <c r="AF141" i="1"/>
  <c r="AH181" i="1"/>
  <c r="AM181" i="1"/>
  <c r="AN18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K143" i="1"/>
  <c r="L143" i="1"/>
  <c r="M143" i="1"/>
  <c r="N143" i="1" s="1"/>
  <c r="V143" i="1"/>
  <c r="S29" i="3" s="1"/>
  <c r="Y143" i="1"/>
  <c r="Z143" i="1"/>
  <c r="AB143" i="1"/>
  <c r="AC143" i="1"/>
  <c r="AD143" i="1"/>
  <c r="T143" i="1" s="1"/>
  <c r="AE143" i="1"/>
  <c r="R29" i="3" s="1"/>
  <c r="AF143" i="1"/>
  <c r="AH183" i="1"/>
  <c r="AM183" i="1"/>
  <c r="AN183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4" i="1"/>
  <c r="AM184" i="1"/>
  <c r="AN184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5" i="1"/>
  <c r="AM185" i="1"/>
  <c r="AN18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6" i="1"/>
  <c r="AM186" i="1"/>
  <c r="AN186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7" i="1"/>
  <c r="AM187" i="1"/>
  <c r="AN187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8" i="1"/>
  <c r="AM188" i="1"/>
  <c r="AN188" i="1"/>
  <c r="AH189" i="1"/>
  <c r="AM189" i="1"/>
  <c r="AN18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90" i="1"/>
  <c r="AM190" i="1"/>
  <c r="AN19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1" i="1"/>
  <c r="AM191" i="1"/>
  <c r="AN19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2" i="1"/>
  <c r="AM192" i="1"/>
  <c r="AN19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3" i="1"/>
  <c r="AM193" i="1"/>
  <c r="AN193" i="1"/>
  <c r="K156" i="1"/>
  <c r="L156" i="1"/>
  <c r="M156" i="1"/>
  <c r="N156" i="1" s="1"/>
  <c r="V156" i="1"/>
  <c r="Z156" i="1"/>
  <c r="AB156" i="1"/>
  <c r="AC156" i="1"/>
  <c r="AD156" i="1"/>
  <c r="T156" i="1" s="1"/>
  <c r="AE156" i="1"/>
  <c r="AF156" i="1"/>
  <c r="AH194" i="1"/>
  <c r="AM194" i="1"/>
  <c r="AN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AM196" i="1"/>
  <c r="AN19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S36" i="3" s="1"/>
  <c r="Y201" i="1"/>
  <c r="Z201" i="1"/>
  <c r="AB201" i="1"/>
  <c r="AC201" i="1"/>
  <c r="AD201" i="1"/>
  <c r="T201" i="1" s="1"/>
  <c r="AE201" i="1"/>
  <c r="R37" i="3" s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S38" i="3" s="1"/>
  <c r="Y215" i="1"/>
  <c r="Z215" i="1"/>
  <c r="AB215" i="1"/>
  <c r="AC215" i="1"/>
  <c r="AD215" i="1"/>
  <c r="T215" i="1" s="1"/>
  <c r="AE215" i="1"/>
  <c r="R38" i="3" s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M15" i="3"/>
  <c r="U15" i="3"/>
  <c r="T15" i="3" s="1"/>
  <c r="V15" i="3"/>
  <c r="X15" i="3"/>
  <c r="M14" i="3"/>
  <c r="U14" i="3"/>
  <c r="AC14" i="3" s="1"/>
  <c r="V14" i="3"/>
  <c r="X14" i="3"/>
  <c r="M19" i="3"/>
  <c r="U19" i="3"/>
  <c r="AC19" i="3" s="1"/>
  <c r="V19" i="3"/>
  <c r="X19" i="3"/>
  <c r="M33" i="3"/>
  <c r="U33" i="3"/>
  <c r="AC33" i="3" s="1"/>
  <c r="V33" i="3"/>
  <c r="X33" i="3"/>
  <c r="M22" i="3"/>
  <c r="U22" i="3"/>
  <c r="T22" i="3" s="1"/>
  <c r="V22" i="3"/>
  <c r="X22" i="3"/>
  <c r="M35" i="3"/>
  <c r="U35" i="3"/>
  <c r="AC35" i="3" s="1"/>
  <c r="V35" i="3"/>
  <c r="X35" i="3"/>
  <c r="M10" i="3"/>
  <c r="U10" i="3"/>
  <c r="AC10" i="3" s="1"/>
  <c r="V10" i="3"/>
  <c r="X10" i="3"/>
  <c r="M13" i="3"/>
  <c r="U13" i="3"/>
  <c r="AC13" i="3" s="1"/>
  <c r="V13" i="3"/>
  <c r="X13" i="3"/>
  <c r="M9" i="3"/>
  <c r="U9" i="3"/>
  <c r="T9" i="3" s="1"/>
  <c r="V9" i="3"/>
  <c r="X9" i="3"/>
  <c r="M25" i="3"/>
  <c r="U25" i="3"/>
  <c r="AC25" i="3" s="1"/>
  <c r="V25" i="3"/>
  <c r="X25" i="3"/>
  <c r="M23" i="3"/>
  <c r="U23" i="3"/>
  <c r="AC23" i="3" s="1"/>
  <c r="V23" i="3"/>
  <c r="X23" i="3"/>
  <c r="M26" i="3"/>
  <c r="U26" i="3"/>
  <c r="AC26" i="3" s="1"/>
  <c r="V26" i="3"/>
  <c r="X26" i="3"/>
  <c r="M27" i="3"/>
  <c r="U27" i="3"/>
  <c r="T27" i="3" s="1"/>
  <c r="V27" i="3"/>
  <c r="X27" i="3"/>
  <c r="M30" i="3"/>
  <c r="U30" i="3"/>
  <c r="AC30" i="3" s="1"/>
  <c r="V30" i="3"/>
  <c r="X30" i="3"/>
  <c r="M32" i="3"/>
  <c r="U32" i="3"/>
  <c r="AC32" i="3" s="1"/>
  <c r="V32" i="3"/>
  <c r="X32" i="3"/>
  <c r="M34" i="3"/>
  <c r="U34" i="3"/>
  <c r="T34" i="3" s="1"/>
  <c r="V34" i="3"/>
  <c r="X34" i="3"/>
  <c r="AD23" i="3"/>
  <c r="M38" i="3"/>
  <c r="U38" i="3"/>
  <c r="AC38" i="3" s="1"/>
  <c r="V38" i="3"/>
  <c r="X38" i="3"/>
  <c r="M16" i="3"/>
  <c r="U16" i="3"/>
  <c r="T16" i="3" s="1"/>
  <c r="V16" i="3"/>
  <c r="X16" i="3"/>
  <c r="M8" i="3"/>
  <c r="U8" i="3"/>
  <c r="AC8" i="3" s="1"/>
  <c r="V8" i="3"/>
  <c r="X8" i="3"/>
  <c r="M7" i="3"/>
  <c r="U7" i="3"/>
  <c r="AC7" i="3" s="1"/>
  <c r="V7" i="3"/>
  <c r="X7" i="3"/>
  <c r="M12" i="3"/>
  <c r="U12" i="3"/>
  <c r="AD12" i="3" s="1"/>
  <c r="V12" i="3"/>
  <c r="X12" i="3"/>
  <c r="M21" i="3"/>
  <c r="U21" i="3"/>
  <c r="V21" i="3"/>
  <c r="X21" i="3"/>
  <c r="M18" i="3"/>
  <c r="U18" i="3"/>
  <c r="V18" i="3"/>
  <c r="X18" i="3"/>
  <c r="M11" i="3"/>
  <c r="U11" i="3"/>
  <c r="AC11" i="3" s="1"/>
  <c r="V11" i="3"/>
  <c r="X11" i="3"/>
  <c r="M36" i="3"/>
  <c r="U36" i="3"/>
  <c r="T36" i="3" s="1"/>
  <c r="V36" i="3"/>
  <c r="X36" i="3"/>
  <c r="M37" i="3"/>
  <c r="U37" i="3"/>
  <c r="T37" i="3" s="1"/>
  <c r="V37" i="3"/>
  <c r="X37" i="3"/>
  <c r="M17" i="3"/>
  <c r="U17" i="3"/>
  <c r="AC17" i="3" s="1"/>
  <c r="V17" i="3"/>
  <c r="X17" i="3"/>
  <c r="M20" i="3"/>
  <c r="U20" i="3"/>
  <c r="T20" i="3" s="1"/>
  <c r="V20" i="3"/>
  <c r="X20" i="3"/>
  <c r="M28" i="3"/>
  <c r="U28" i="3"/>
  <c r="T28" i="3" s="1"/>
  <c r="V28" i="3"/>
  <c r="X28" i="3"/>
  <c r="M29" i="3"/>
  <c r="U29" i="3"/>
  <c r="V29" i="3"/>
  <c r="X29" i="3"/>
  <c r="M31" i="3"/>
  <c r="S31" i="3"/>
  <c r="U31" i="3"/>
  <c r="AC31" i="3" s="1"/>
  <c r="V31" i="3"/>
  <c r="X31" i="3"/>
  <c r="AG176" i="1"/>
  <c r="AG155" i="1"/>
  <c r="AG154" i="1"/>
  <c r="AG144" i="1"/>
  <c r="AG116" i="1"/>
  <c r="AG20" i="1"/>
  <c r="AG36" i="1"/>
  <c r="AG52" i="1"/>
  <c r="AG27" i="1"/>
  <c r="AG43" i="1"/>
  <c r="AG18" i="1"/>
  <c r="AG34" i="1"/>
  <c r="AG50" i="1"/>
  <c r="AG29" i="1"/>
  <c r="AG45" i="1"/>
  <c r="AG60" i="1"/>
  <c r="AG76" i="1"/>
  <c r="AG92" i="1"/>
  <c r="AG67" i="1"/>
  <c r="AG83" i="1"/>
  <c r="AG55" i="1"/>
  <c r="AG70" i="1"/>
  <c r="AG86" i="1"/>
  <c r="AG73" i="1"/>
  <c r="AG89" i="1"/>
  <c r="AG172" i="1"/>
  <c r="AG188" i="1"/>
  <c r="AG171" i="1"/>
  <c r="AG187" i="1"/>
  <c r="AG102" i="1"/>
  <c r="AG174" i="1"/>
  <c r="AG95" i="1"/>
  <c r="AG166" i="1"/>
  <c r="AG181" i="1"/>
  <c r="AG96" i="1"/>
  <c r="AG111" i="1"/>
  <c r="AG128" i="1"/>
  <c r="AG106" i="1"/>
  <c r="AG123" i="1"/>
  <c r="AG105" i="1"/>
  <c r="AG122" i="1"/>
  <c r="AG104" i="1"/>
  <c r="AG121" i="1"/>
  <c r="AG134" i="1"/>
  <c r="AG148" i="1"/>
  <c r="AG201" i="1"/>
  <c r="AG207" i="1"/>
  <c r="AG206" i="1"/>
  <c r="AG147" i="1"/>
  <c r="AG200" i="1"/>
  <c r="AG199" i="1"/>
  <c r="AG212" i="1"/>
  <c r="AG140" i="1"/>
  <c r="AG198" i="1"/>
  <c r="AG24" i="1"/>
  <c r="AG15" i="1"/>
  <c r="AG31" i="1"/>
  <c r="AG22" i="1"/>
  <c r="AG38" i="1"/>
  <c r="AG33" i="1"/>
  <c r="AG49" i="1"/>
  <c r="AG80" i="1"/>
  <c r="AG71" i="1"/>
  <c r="AG87" i="1"/>
  <c r="AG74" i="1"/>
  <c r="AG61" i="1"/>
  <c r="AG77" i="1"/>
  <c r="AG177" i="1"/>
  <c r="AG175" i="1"/>
  <c r="AG163" i="1"/>
  <c r="AG179" i="1"/>
  <c r="AG93" i="1"/>
  <c r="AG100" i="1"/>
  <c r="AG115" i="1"/>
  <c r="AG110" i="1"/>
  <c r="AG109" i="1"/>
  <c r="AG108" i="1"/>
  <c r="AG205" i="1"/>
  <c r="AG145" i="1"/>
  <c r="AG150" i="1"/>
  <c r="AG203" i="1"/>
  <c r="AG153" i="1"/>
  <c r="AG84" i="1"/>
  <c r="AG91" i="1"/>
  <c r="AG78" i="1"/>
  <c r="AG81" i="1"/>
  <c r="AG180" i="1"/>
  <c r="AG94" i="1"/>
  <c r="AG167" i="1"/>
  <c r="AG97" i="1"/>
  <c r="AG189" i="1"/>
  <c r="AG120" i="1"/>
  <c r="AG114" i="1"/>
  <c r="AG113" i="1"/>
  <c r="AG112" i="1"/>
  <c r="AG139" i="1"/>
  <c r="AG211" i="1"/>
  <c r="AG138" i="1"/>
  <c r="AG210" i="1"/>
  <c r="AG141" i="1"/>
  <c r="AG168" i="1"/>
  <c r="AG178" i="1"/>
  <c r="AG107" i="1"/>
  <c r="AG119" i="1"/>
  <c r="AG117" i="1"/>
  <c r="AG143" i="1"/>
  <c r="AG215" i="1"/>
  <c r="AG196" i="1"/>
  <c r="AG146" i="1"/>
  <c r="AG40" i="1"/>
  <c r="AG47" i="1"/>
  <c r="AG17" i="1"/>
  <c r="AG64" i="1"/>
  <c r="AG56" i="1"/>
  <c r="AG58" i="1"/>
  <c r="AG90" i="1"/>
  <c r="AG160" i="1"/>
  <c r="AG191" i="1"/>
  <c r="AG190" i="1"/>
  <c r="AG193" i="1"/>
  <c r="AG185" i="1"/>
  <c r="AG132" i="1"/>
  <c r="AG127" i="1"/>
  <c r="AG126" i="1"/>
  <c r="AG125" i="1"/>
  <c r="AG151" i="1"/>
  <c r="AG135" i="1"/>
  <c r="AG204" i="1"/>
  <c r="AG137" i="1"/>
  <c r="AG216" i="1"/>
  <c r="AG208" i="1"/>
  <c r="AG149" i="1"/>
  <c r="AG118" i="1"/>
  <c r="AG214" i="1"/>
  <c r="AG28" i="1"/>
  <c r="AG44" i="1"/>
  <c r="AG19" i="1"/>
  <c r="AG35" i="1"/>
  <c r="AG51" i="1"/>
  <c r="AG26" i="1"/>
  <c r="AG42" i="1"/>
  <c r="AG21" i="1"/>
  <c r="AG37" i="1"/>
  <c r="AG53" i="1"/>
  <c r="AG68" i="1"/>
  <c r="AG59" i="1"/>
  <c r="AG75" i="1"/>
  <c r="AG62" i="1"/>
  <c r="AG161" i="1"/>
  <c r="AG65" i="1"/>
  <c r="AG165" i="1"/>
  <c r="AG164" i="1"/>
  <c r="AG194" i="1"/>
  <c r="AG182" i="1"/>
  <c r="AG173" i="1"/>
  <c r="AG103" i="1"/>
  <c r="AG131" i="1"/>
  <c r="AG130" i="1"/>
  <c r="AG129" i="1"/>
  <c r="AG157" i="1"/>
  <c r="AG158" i="1"/>
  <c r="AG156" i="1"/>
  <c r="AG213" i="1"/>
  <c r="AG159" i="1"/>
  <c r="AG57" i="1"/>
  <c r="AG79" i="1"/>
  <c r="AG82" i="1"/>
  <c r="AG69" i="1"/>
  <c r="AG169" i="1"/>
  <c r="AG183" i="1"/>
  <c r="AG170" i="1"/>
  <c r="AG186" i="1"/>
  <c r="AG192" i="1"/>
  <c r="AG209" i="1"/>
  <c r="AG99" i="1"/>
  <c r="AG197" i="1"/>
  <c r="AG202" i="1"/>
  <c r="AG136" i="1"/>
  <c r="AG152" i="1"/>
  <c r="AG16" i="1"/>
  <c r="AG32" i="1"/>
  <c r="AG48" i="1"/>
  <c r="AG23" i="1"/>
  <c r="AG39" i="1"/>
  <c r="AG14" i="1"/>
  <c r="AG30" i="1"/>
  <c r="AG46" i="1"/>
  <c r="AG25" i="1"/>
  <c r="AG41" i="1"/>
  <c r="AG72" i="1"/>
  <c r="AG88" i="1"/>
  <c r="AG63" i="1"/>
  <c r="AG162" i="1"/>
  <c r="AG66" i="1"/>
  <c r="AG54" i="1"/>
  <c r="AG85" i="1"/>
  <c r="AG184" i="1"/>
  <c r="AG98" i="1"/>
  <c r="AG101" i="1"/>
  <c r="AG124" i="1"/>
  <c r="AG195" i="1"/>
  <c r="AG133" i="1"/>
  <c r="AG142" i="1"/>
  <c r="AG217" i="1"/>
  <c r="W35" i="3"/>
  <c r="W8" i="3"/>
  <c r="W31" i="3"/>
  <c r="W19" i="3"/>
  <c r="W38" i="3"/>
  <c r="W21" i="3"/>
  <c r="W12" i="3"/>
  <c r="W9" i="3"/>
  <c r="W30" i="3"/>
  <c r="W17" i="3"/>
  <c r="W36" i="3"/>
  <c r="W23" i="3"/>
  <c r="W11" i="3"/>
  <c r="W34" i="3"/>
  <c r="W13" i="3"/>
  <c r="W15" i="3"/>
  <c r="W25" i="3"/>
  <c r="W18" i="3"/>
  <c r="W10" i="3"/>
  <c r="W7" i="3"/>
  <c r="W20" i="3"/>
  <c r="W33" i="3"/>
  <c r="W27" i="3"/>
  <c r="W14" i="3"/>
  <c r="W29" i="3"/>
  <c r="W28" i="3"/>
  <c r="W32" i="3"/>
  <c r="W16" i="3"/>
  <c r="W26" i="3"/>
  <c r="W22" i="3"/>
  <c r="W37" i="3"/>
  <c r="S9" i="3" l="1"/>
  <c r="AA216" i="1"/>
  <c r="R25" i="3"/>
  <c r="X80" i="1"/>
  <c r="X17" i="1"/>
  <c r="AA82" i="1"/>
  <c r="R21" i="3"/>
  <c r="X138" i="1"/>
  <c r="AA132" i="1"/>
  <c r="X108" i="1"/>
  <c r="T80" i="1"/>
  <c r="X102" i="1"/>
  <c r="AA147" i="1"/>
  <c r="AA107" i="1"/>
  <c r="X178" i="1"/>
  <c r="X98" i="1"/>
  <c r="AA100" i="1"/>
  <c r="AA98" i="1"/>
  <c r="AA55" i="1"/>
  <c r="W55" i="1" s="1"/>
  <c r="AA35" i="1"/>
  <c r="W35" i="1" s="1"/>
  <c r="X155" i="1"/>
  <c r="X212" i="1"/>
  <c r="AA135" i="1"/>
  <c r="W135" i="1" s="1"/>
  <c r="X151" i="1"/>
  <c r="X154" i="1"/>
  <c r="X179" i="1"/>
  <c r="T108" i="1"/>
  <c r="U108" i="1" s="1"/>
  <c r="S108" i="1" s="1"/>
  <c r="AA15" i="1"/>
  <c r="W15" i="1" s="1"/>
  <c r="X150" i="1"/>
  <c r="AD35" i="3"/>
  <c r="AA117" i="1"/>
  <c r="W117" i="1" s="1"/>
  <c r="AA108" i="1"/>
  <c r="W108" i="1" s="1"/>
  <c r="AA96" i="1"/>
  <c r="AA194" i="1"/>
  <c r="W194" i="1" s="1"/>
  <c r="AA51" i="1"/>
  <c r="W51" i="1" s="1"/>
  <c r="X156" i="1"/>
  <c r="X177" i="1"/>
  <c r="AI176" i="1"/>
  <c r="U176" i="1"/>
  <c r="S176" i="1" s="1"/>
  <c r="W176" i="1"/>
  <c r="X176" i="1"/>
  <c r="W155" i="1"/>
  <c r="U155" i="1"/>
  <c r="S155" i="1" s="1"/>
  <c r="AI155" i="1"/>
  <c r="U154" i="1"/>
  <c r="S154" i="1" s="1"/>
  <c r="AI154" i="1"/>
  <c r="W154" i="1"/>
  <c r="R8" i="3"/>
  <c r="S21" i="3"/>
  <c r="AI217" i="1"/>
  <c r="AI142" i="1"/>
  <c r="AI133" i="1"/>
  <c r="AI195" i="1"/>
  <c r="AI124" i="1"/>
  <c r="AI101" i="1"/>
  <c r="AI98" i="1"/>
  <c r="AI184" i="1"/>
  <c r="AI85" i="1"/>
  <c r="AI54" i="1"/>
  <c r="AI66" i="1"/>
  <c r="AI162" i="1"/>
  <c r="AI63" i="1"/>
  <c r="AI88" i="1"/>
  <c r="AI72" i="1"/>
  <c r="AI41" i="1"/>
  <c r="AI25" i="1"/>
  <c r="AI46" i="1"/>
  <c r="AI30" i="1"/>
  <c r="AI14" i="1"/>
  <c r="AI39" i="1"/>
  <c r="AI23" i="1"/>
  <c r="AI48" i="1"/>
  <c r="AI32" i="1"/>
  <c r="AI16" i="1"/>
  <c r="AI152" i="1"/>
  <c r="AI136" i="1"/>
  <c r="AI202" i="1"/>
  <c r="AI197" i="1"/>
  <c r="AI99" i="1"/>
  <c r="AI209" i="1"/>
  <c r="AI192" i="1"/>
  <c r="AI186" i="1"/>
  <c r="AI170" i="1"/>
  <c r="AI183" i="1"/>
  <c r="AI169" i="1"/>
  <c r="AI69" i="1"/>
  <c r="AI82" i="1"/>
  <c r="AI79" i="1"/>
  <c r="AI57" i="1"/>
  <c r="AI159" i="1"/>
  <c r="AI213" i="1"/>
  <c r="AI156" i="1"/>
  <c r="AI158" i="1"/>
  <c r="AI157" i="1"/>
  <c r="AI129" i="1"/>
  <c r="AI130" i="1"/>
  <c r="AI131" i="1"/>
  <c r="AI103" i="1"/>
  <c r="AI173" i="1"/>
  <c r="AI182" i="1"/>
  <c r="AI194" i="1"/>
  <c r="AI164" i="1"/>
  <c r="AI165" i="1"/>
  <c r="AI65" i="1"/>
  <c r="AI161" i="1"/>
  <c r="AI62" i="1"/>
  <c r="AI75" i="1"/>
  <c r="AI59" i="1"/>
  <c r="AI68" i="1"/>
  <c r="AI53" i="1"/>
  <c r="AI37" i="1"/>
  <c r="AI21" i="1"/>
  <c r="AI42" i="1"/>
  <c r="AI26" i="1"/>
  <c r="AI51" i="1"/>
  <c r="AI35" i="1"/>
  <c r="AI19" i="1"/>
  <c r="AI44" i="1"/>
  <c r="AI28" i="1"/>
  <c r="AI214" i="1"/>
  <c r="AI118" i="1"/>
  <c r="AI149" i="1"/>
  <c r="AI208" i="1"/>
  <c r="AI216" i="1"/>
  <c r="AI137" i="1"/>
  <c r="AI204" i="1"/>
  <c r="AI135" i="1"/>
  <c r="AI151" i="1"/>
  <c r="AI125" i="1"/>
  <c r="AI126" i="1"/>
  <c r="AI127" i="1"/>
  <c r="AI132" i="1"/>
  <c r="AI185" i="1"/>
  <c r="AI193" i="1"/>
  <c r="AI190" i="1"/>
  <c r="AI191" i="1"/>
  <c r="AI160" i="1"/>
  <c r="AI90" i="1"/>
  <c r="AI58" i="1"/>
  <c r="AI56" i="1"/>
  <c r="AI64" i="1"/>
  <c r="AI17" i="1"/>
  <c r="AI47" i="1"/>
  <c r="AI40" i="1"/>
  <c r="AI146" i="1"/>
  <c r="AI196" i="1"/>
  <c r="AI215" i="1"/>
  <c r="AI143" i="1"/>
  <c r="AI117" i="1"/>
  <c r="AI119" i="1"/>
  <c r="AI107" i="1"/>
  <c r="AI178" i="1"/>
  <c r="AI168" i="1"/>
  <c r="AI141" i="1"/>
  <c r="AI210" i="1"/>
  <c r="AI138" i="1"/>
  <c r="AI211" i="1"/>
  <c r="AI139" i="1"/>
  <c r="AI112" i="1"/>
  <c r="AI113" i="1"/>
  <c r="AI114" i="1"/>
  <c r="AI120" i="1"/>
  <c r="AI189" i="1"/>
  <c r="AI97" i="1"/>
  <c r="AI167" i="1"/>
  <c r="AI94" i="1"/>
  <c r="AI180" i="1"/>
  <c r="AI81" i="1"/>
  <c r="AI78" i="1"/>
  <c r="AI91" i="1"/>
  <c r="AI84" i="1"/>
  <c r="AI153" i="1"/>
  <c r="AI203" i="1"/>
  <c r="AI150" i="1"/>
  <c r="AI145" i="1"/>
  <c r="AI205" i="1"/>
  <c r="AI108" i="1"/>
  <c r="AI109" i="1"/>
  <c r="AI110" i="1"/>
  <c r="AI115" i="1"/>
  <c r="AI100" i="1"/>
  <c r="AI93" i="1"/>
  <c r="AI179" i="1"/>
  <c r="AI163" i="1"/>
  <c r="AI175" i="1"/>
  <c r="AI177" i="1"/>
  <c r="AI77" i="1"/>
  <c r="AI61" i="1"/>
  <c r="AI74" i="1"/>
  <c r="AI87" i="1"/>
  <c r="AI71" i="1"/>
  <c r="AI80" i="1"/>
  <c r="AI49" i="1"/>
  <c r="AI33" i="1"/>
  <c r="AI38" i="1"/>
  <c r="AI22" i="1"/>
  <c r="AI31" i="1"/>
  <c r="AI15" i="1"/>
  <c r="AI24" i="1"/>
  <c r="AI198" i="1"/>
  <c r="AI140" i="1"/>
  <c r="AI212" i="1"/>
  <c r="AI199" i="1"/>
  <c r="AI200" i="1"/>
  <c r="AI147" i="1"/>
  <c r="AI206" i="1"/>
  <c r="AI207" i="1"/>
  <c r="AI201" i="1"/>
  <c r="AI148" i="1"/>
  <c r="AI134" i="1"/>
  <c r="AI121" i="1"/>
  <c r="AI104" i="1"/>
  <c r="AI122" i="1"/>
  <c r="AI105" i="1"/>
  <c r="AI123" i="1"/>
  <c r="AI106" i="1"/>
  <c r="AI128" i="1"/>
  <c r="AI111" i="1"/>
  <c r="AI96" i="1"/>
  <c r="AI181" i="1"/>
  <c r="AI166" i="1"/>
  <c r="AI95" i="1"/>
  <c r="AI174" i="1"/>
  <c r="AI102" i="1"/>
  <c r="AI187" i="1"/>
  <c r="AI171" i="1"/>
  <c r="AI188" i="1"/>
  <c r="AI172" i="1"/>
  <c r="AI89" i="1"/>
  <c r="AI73" i="1"/>
  <c r="AI86" i="1"/>
  <c r="AI70" i="1"/>
  <c r="AI55" i="1"/>
  <c r="AI83" i="1"/>
  <c r="AI67" i="1"/>
  <c r="AI92" i="1"/>
  <c r="AI76" i="1"/>
  <c r="AI60" i="1"/>
  <c r="AI45" i="1"/>
  <c r="AI29" i="1"/>
  <c r="AI50" i="1"/>
  <c r="AI34" i="1"/>
  <c r="AI18" i="1"/>
  <c r="AI43" i="1"/>
  <c r="AI27" i="1"/>
  <c r="AI52" i="1"/>
  <c r="AI36" i="1"/>
  <c r="AI20" i="1"/>
  <c r="AI116" i="1"/>
  <c r="AA206" i="1"/>
  <c r="W206" i="1" s="1"/>
  <c r="AA159" i="1"/>
  <c r="W159" i="1" s="1"/>
  <c r="AA157" i="1"/>
  <c r="W157" i="1" s="1"/>
  <c r="AA151" i="1"/>
  <c r="T145" i="1"/>
  <c r="U145" i="1" s="1"/>
  <c r="S145" i="1" s="1"/>
  <c r="X145" i="1"/>
  <c r="T136" i="1"/>
  <c r="X136" i="1"/>
  <c r="X118" i="1"/>
  <c r="X194" i="1"/>
  <c r="T49" i="1"/>
  <c r="U49" i="1" s="1"/>
  <c r="S49" i="1" s="1"/>
  <c r="X49" i="1"/>
  <c r="T139" i="1"/>
  <c r="U139" i="1" s="1"/>
  <c r="S139" i="1" s="1"/>
  <c r="X139" i="1"/>
  <c r="T137" i="1"/>
  <c r="U137" i="1" s="1"/>
  <c r="S137" i="1" s="1"/>
  <c r="X137" i="1"/>
  <c r="T21" i="3"/>
  <c r="AC21" i="3"/>
  <c r="AA188" i="1"/>
  <c r="W188" i="1" s="1"/>
  <c r="AA182" i="1"/>
  <c r="AA169" i="1"/>
  <c r="W169" i="1" s="1"/>
  <c r="R26" i="3"/>
  <c r="R23" i="3"/>
  <c r="X84" i="1"/>
  <c r="AA211" i="1"/>
  <c r="W211" i="1" s="1"/>
  <c r="AA196" i="1"/>
  <c r="W196" i="1" s="1"/>
  <c r="AA150" i="1"/>
  <c r="W150" i="1" s="1"/>
  <c r="AA141" i="1"/>
  <c r="AA139" i="1"/>
  <c r="W139" i="1" s="1"/>
  <c r="X187" i="1"/>
  <c r="X183" i="1"/>
  <c r="AA181" i="1"/>
  <c r="W181" i="1" s="1"/>
  <c r="X88" i="1"/>
  <c r="AA87" i="1"/>
  <c r="W87" i="1" s="1"/>
  <c r="AA78" i="1"/>
  <c r="W78" i="1" s="1"/>
  <c r="X72" i="1"/>
  <c r="X57" i="1"/>
  <c r="X16" i="1"/>
  <c r="AA19" i="1"/>
  <c r="W19" i="1" s="1"/>
  <c r="X135" i="1"/>
  <c r="U144" i="1"/>
  <c r="S144" i="1" s="1"/>
  <c r="AI144" i="1"/>
  <c r="W144" i="1"/>
  <c r="X144" i="1"/>
  <c r="Y37" i="3"/>
  <c r="Y22" i="3"/>
  <c r="Y26" i="3"/>
  <c r="Y16" i="3"/>
  <c r="Y32" i="3"/>
  <c r="Y28" i="3"/>
  <c r="Y29" i="3"/>
  <c r="Y14" i="3"/>
  <c r="Y27" i="3"/>
  <c r="Y33" i="3"/>
  <c r="Y20" i="3"/>
  <c r="Y7" i="3"/>
  <c r="Y10" i="3"/>
  <c r="Y18" i="3"/>
  <c r="Y25" i="3"/>
  <c r="Y15" i="3"/>
  <c r="Y13" i="3"/>
  <c r="Y34" i="3"/>
  <c r="Y11" i="3"/>
  <c r="Y23" i="3"/>
  <c r="Y36" i="3"/>
  <c r="Y17" i="3"/>
  <c r="Y30" i="3"/>
  <c r="Y9" i="3"/>
  <c r="Y12" i="3"/>
  <c r="Y21" i="3"/>
  <c r="Y38" i="3"/>
  <c r="Y19" i="3"/>
  <c r="Y31" i="3"/>
  <c r="Y8" i="3"/>
  <c r="Y35" i="3"/>
  <c r="AA201" i="1"/>
  <c r="W201" i="1" s="1"/>
  <c r="X112" i="1"/>
  <c r="X104" i="1"/>
  <c r="AA193" i="1"/>
  <c r="W193" i="1" s="1"/>
  <c r="R17" i="3"/>
  <c r="S7" i="3"/>
  <c r="S23" i="3"/>
  <c r="AD15" i="3"/>
  <c r="AA114" i="1"/>
  <c r="W114" i="1" s="1"/>
  <c r="AA112" i="1"/>
  <c r="W112" i="1" s="1"/>
  <c r="AA111" i="1"/>
  <c r="W111" i="1" s="1"/>
  <c r="AA104" i="1"/>
  <c r="W104" i="1" s="1"/>
  <c r="AA103" i="1"/>
  <c r="AA192" i="1"/>
  <c r="W192" i="1" s="1"/>
  <c r="AA190" i="1"/>
  <c r="W190" i="1" s="1"/>
  <c r="AA179" i="1"/>
  <c r="W179" i="1" s="1"/>
  <c r="AA67" i="1"/>
  <c r="W67" i="1" s="1"/>
  <c r="AA38" i="1"/>
  <c r="W38" i="1" s="1"/>
  <c r="AA36" i="1"/>
  <c r="W36" i="1" s="1"/>
  <c r="AA30" i="1"/>
  <c r="W30" i="1" s="1"/>
  <c r="AA24" i="1"/>
  <c r="X23" i="1"/>
  <c r="AA17" i="1"/>
  <c r="W17" i="1" s="1"/>
  <c r="T17" i="1"/>
  <c r="U17" i="1" s="1"/>
  <c r="S17" i="1" s="1"/>
  <c r="AA16" i="1"/>
  <c r="W16" i="1" s="1"/>
  <c r="AA14" i="1"/>
  <c r="W14" i="1" s="1"/>
  <c r="AD34" i="3"/>
  <c r="AD32" i="3"/>
  <c r="AD19" i="3"/>
  <c r="X59" i="1"/>
  <c r="X116" i="1"/>
  <c r="AD30" i="3"/>
  <c r="AE35" i="3"/>
  <c r="AC15" i="3"/>
  <c r="AA215" i="1"/>
  <c r="W215" i="1" s="1"/>
  <c r="AA142" i="1"/>
  <c r="W142" i="1" s="1"/>
  <c r="AA138" i="1"/>
  <c r="W138" i="1" s="1"/>
  <c r="AA133" i="1"/>
  <c r="W133" i="1" s="1"/>
  <c r="AA129" i="1"/>
  <c r="W129" i="1" s="1"/>
  <c r="AA101" i="1"/>
  <c r="W101" i="1" s="1"/>
  <c r="AA97" i="1"/>
  <c r="W97" i="1" s="1"/>
  <c r="X164" i="1"/>
  <c r="AA162" i="1"/>
  <c r="W162" i="1" s="1"/>
  <c r="AA91" i="1"/>
  <c r="W91" i="1" s="1"/>
  <c r="AA81" i="1"/>
  <c r="W81" i="1" s="1"/>
  <c r="X64" i="1"/>
  <c r="AA56" i="1"/>
  <c r="W56" i="1" s="1"/>
  <c r="AA54" i="1"/>
  <c r="W54" i="1" s="1"/>
  <c r="AA52" i="1"/>
  <c r="W52" i="1" s="1"/>
  <c r="AA48" i="1"/>
  <c r="W48" i="1" s="1"/>
  <c r="AA46" i="1"/>
  <c r="W46" i="1" s="1"/>
  <c r="AA42" i="1"/>
  <c r="W42" i="1" s="1"/>
  <c r="X41" i="1"/>
  <c r="X15" i="1"/>
  <c r="X58" i="1"/>
  <c r="T116" i="1"/>
  <c r="U116" i="1" s="1"/>
  <c r="S116" i="1" s="1"/>
  <c r="X117" i="1"/>
  <c r="W116" i="1"/>
  <c r="T212" i="1"/>
  <c r="U212" i="1" s="1"/>
  <c r="S212" i="1" s="1"/>
  <c r="X202" i="1"/>
  <c r="X129" i="1"/>
  <c r="T118" i="1"/>
  <c r="U118" i="1" s="1"/>
  <c r="S118" i="1" s="1"/>
  <c r="AD27" i="3"/>
  <c r="X125" i="1"/>
  <c r="T183" i="1"/>
  <c r="U183" i="1" s="1"/>
  <c r="S183" i="1" s="1"/>
  <c r="X45" i="1"/>
  <c r="X35" i="1"/>
  <c r="AD37" i="3"/>
  <c r="AD36" i="3"/>
  <c r="AC20" i="3"/>
  <c r="AE30" i="3"/>
  <c r="AE26" i="3"/>
  <c r="AD22" i="3"/>
  <c r="AE15" i="3"/>
  <c r="T33" i="3"/>
  <c r="AA214" i="1"/>
  <c r="W214" i="1" s="1"/>
  <c r="X205" i="1"/>
  <c r="AA203" i="1"/>
  <c r="W203" i="1" s="1"/>
  <c r="AA198" i="1"/>
  <c r="W198" i="1" s="1"/>
  <c r="AA152" i="1"/>
  <c r="W152" i="1" s="1"/>
  <c r="X149" i="1"/>
  <c r="AA145" i="1"/>
  <c r="AA136" i="1"/>
  <c r="W136" i="1" s="1"/>
  <c r="X175" i="1"/>
  <c r="AA173" i="1"/>
  <c r="W173" i="1" s="1"/>
  <c r="AA166" i="1"/>
  <c r="W166" i="1" s="1"/>
  <c r="AA90" i="1"/>
  <c r="W90" i="1" s="1"/>
  <c r="T88" i="1"/>
  <c r="U88" i="1" s="1"/>
  <c r="S88" i="1" s="1"/>
  <c r="X63" i="1"/>
  <c r="AA59" i="1"/>
  <c r="W59" i="1" s="1"/>
  <c r="AA44" i="1"/>
  <c r="W44" i="1" s="1"/>
  <c r="X43" i="1"/>
  <c r="AA34" i="1"/>
  <c r="W34" i="1" s="1"/>
  <c r="AA32" i="1"/>
  <c r="W32" i="1" s="1"/>
  <c r="X31" i="1"/>
  <c r="X29" i="1"/>
  <c r="AA23" i="1"/>
  <c r="AC12" i="3"/>
  <c r="T12" i="3"/>
  <c r="AD26" i="3"/>
  <c r="T38" i="3"/>
  <c r="AE22" i="3"/>
  <c r="AC27" i="3"/>
  <c r="AC22" i="3"/>
  <c r="AA213" i="1"/>
  <c r="W213" i="1" s="1"/>
  <c r="AA205" i="1"/>
  <c r="W205" i="1" s="1"/>
  <c r="AA204" i="1"/>
  <c r="W204" i="1" s="1"/>
  <c r="X201" i="1"/>
  <c r="AA197" i="1"/>
  <c r="W197" i="1" s="1"/>
  <c r="X158" i="1"/>
  <c r="AA148" i="1"/>
  <c r="W148" i="1" s="1"/>
  <c r="AA143" i="1"/>
  <c r="W143" i="1" s="1"/>
  <c r="X140" i="1"/>
  <c r="AA95" i="1"/>
  <c r="AA186" i="1"/>
  <c r="W186" i="1" s="1"/>
  <c r="AA174" i="1"/>
  <c r="W174" i="1" s="1"/>
  <c r="AA170" i="1"/>
  <c r="AA163" i="1"/>
  <c r="W163" i="1" s="1"/>
  <c r="AA89" i="1"/>
  <c r="W89" i="1" s="1"/>
  <c r="AA83" i="1"/>
  <c r="W83" i="1" s="1"/>
  <c r="AA79" i="1"/>
  <c r="W79" i="1" s="1"/>
  <c r="AA75" i="1"/>
  <c r="W75" i="1" s="1"/>
  <c r="AA63" i="1"/>
  <c r="W63" i="1" s="1"/>
  <c r="AA40" i="1"/>
  <c r="W40" i="1" s="1"/>
  <c r="X39" i="1"/>
  <c r="AA31" i="1"/>
  <c r="W31" i="1" s="1"/>
  <c r="AA28" i="1"/>
  <c r="W28" i="1" s="1"/>
  <c r="X215" i="1"/>
  <c r="X197" i="1"/>
  <c r="X37" i="1"/>
  <c r="X33" i="1"/>
  <c r="AA27" i="1"/>
  <c r="W27" i="1" s="1"/>
  <c r="T202" i="1"/>
  <c r="U202" i="1" s="1"/>
  <c r="S202" i="1" s="1"/>
  <c r="T149" i="1"/>
  <c r="U149" i="1" s="1"/>
  <c r="S149" i="1" s="1"/>
  <c r="S37" i="3"/>
  <c r="X211" i="1"/>
  <c r="AA207" i="1"/>
  <c r="W207" i="1" s="1"/>
  <c r="X206" i="1"/>
  <c r="AA202" i="1"/>
  <c r="W202" i="1" s="1"/>
  <c r="AA200" i="1"/>
  <c r="W200" i="1" s="1"/>
  <c r="X157" i="1"/>
  <c r="AA153" i="1"/>
  <c r="W153" i="1" s="1"/>
  <c r="X152" i="1"/>
  <c r="AA149" i="1"/>
  <c r="W149" i="1" s="1"/>
  <c r="AA128" i="1"/>
  <c r="W128" i="1" s="1"/>
  <c r="AA124" i="1"/>
  <c r="W124" i="1" s="1"/>
  <c r="X190" i="1"/>
  <c r="AA185" i="1"/>
  <c r="W185" i="1" s="1"/>
  <c r="AA183" i="1"/>
  <c r="W183" i="1" s="1"/>
  <c r="AA175" i="1"/>
  <c r="T175" i="1"/>
  <c r="U175" i="1" s="1"/>
  <c r="S175" i="1" s="1"/>
  <c r="AA93" i="1"/>
  <c r="W93" i="1" s="1"/>
  <c r="X167" i="1"/>
  <c r="AA165" i="1"/>
  <c r="W165" i="1" s="1"/>
  <c r="AA160" i="1"/>
  <c r="W160" i="1" s="1"/>
  <c r="X92" i="1"/>
  <c r="AA86" i="1"/>
  <c r="W86" i="1" s="1"/>
  <c r="T84" i="1"/>
  <c r="U84" i="1" s="1"/>
  <c r="S84" i="1" s="1"/>
  <c r="AA77" i="1"/>
  <c r="W77" i="1" s="1"/>
  <c r="X76" i="1"/>
  <c r="AA74" i="1"/>
  <c r="T72" i="1"/>
  <c r="U72" i="1" s="1"/>
  <c r="S72" i="1" s="1"/>
  <c r="AA69" i="1"/>
  <c r="W69" i="1" s="1"/>
  <c r="X68" i="1"/>
  <c r="AA66" i="1"/>
  <c r="T64" i="1"/>
  <c r="AA61" i="1"/>
  <c r="W61" i="1" s="1"/>
  <c r="X60" i="1"/>
  <c r="AA58" i="1"/>
  <c r="AA57" i="1"/>
  <c r="W57" i="1" s="1"/>
  <c r="X53" i="1"/>
  <c r="AA53" i="1"/>
  <c r="W53" i="1" s="1"/>
  <c r="AA47" i="1"/>
  <c r="AA43" i="1"/>
  <c r="AA39" i="1"/>
  <c r="W39" i="1" s="1"/>
  <c r="T29" i="1"/>
  <c r="U29" i="1" s="1"/>
  <c r="S29" i="1" s="1"/>
  <c r="X126" i="1"/>
  <c r="X75" i="1"/>
  <c r="X67" i="1"/>
  <c r="X27" i="1"/>
  <c r="X25" i="1"/>
  <c r="AA217" i="1"/>
  <c r="W217" i="1" s="1"/>
  <c r="X216" i="1"/>
  <c r="AA212" i="1"/>
  <c r="W212" i="1" s="1"/>
  <c r="AA210" i="1"/>
  <c r="AA199" i="1"/>
  <c r="X198" i="1"/>
  <c r="AA158" i="1"/>
  <c r="W158" i="1" s="1"/>
  <c r="AA156" i="1"/>
  <c r="W156" i="1" s="1"/>
  <c r="AA146" i="1"/>
  <c r="AA140" i="1"/>
  <c r="W140" i="1" s="1"/>
  <c r="AA125" i="1"/>
  <c r="W125" i="1" s="1"/>
  <c r="AA115" i="1"/>
  <c r="W115" i="1" s="1"/>
  <c r="AA189" i="1"/>
  <c r="W189" i="1" s="1"/>
  <c r="AA187" i="1"/>
  <c r="W187" i="1" s="1"/>
  <c r="AA180" i="1"/>
  <c r="W180" i="1" s="1"/>
  <c r="AA172" i="1"/>
  <c r="W172" i="1" s="1"/>
  <c r="X170" i="1"/>
  <c r="AA167" i="1"/>
  <c r="W167" i="1" s="1"/>
  <c r="AA161" i="1"/>
  <c r="W161" i="1" s="1"/>
  <c r="AA85" i="1"/>
  <c r="W85" i="1" s="1"/>
  <c r="AA73" i="1"/>
  <c r="AA70" i="1"/>
  <c r="W70" i="1" s="1"/>
  <c r="AA65" i="1"/>
  <c r="W65" i="1" s="1"/>
  <c r="AA62" i="1"/>
  <c r="W62" i="1" s="1"/>
  <c r="X47" i="1"/>
  <c r="AA20" i="1"/>
  <c r="W20" i="1" s="1"/>
  <c r="X148" i="1"/>
  <c r="X143" i="1"/>
  <c r="X134" i="1"/>
  <c r="AA131" i="1"/>
  <c r="W131" i="1" s="1"/>
  <c r="X130" i="1"/>
  <c r="AA126" i="1"/>
  <c r="W126" i="1" s="1"/>
  <c r="T126" i="1"/>
  <c r="AA123" i="1"/>
  <c r="W123" i="1" s="1"/>
  <c r="X122" i="1"/>
  <c r="X121" i="1"/>
  <c r="T113" i="1"/>
  <c r="U113" i="1" s="1"/>
  <c r="S113" i="1" s="1"/>
  <c r="X113" i="1"/>
  <c r="T105" i="1"/>
  <c r="U105" i="1" s="1"/>
  <c r="S105" i="1" s="1"/>
  <c r="X105" i="1"/>
  <c r="X184" i="1"/>
  <c r="T184" i="1"/>
  <c r="U184" i="1" s="1"/>
  <c r="S184" i="1" s="1"/>
  <c r="T125" i="1"/>
  <c r="U125" i="1" s="1"/>
  <c r="S125" i="1" s="1"/>
  <c r="X188" i="1"/>
  <c r="T188" i="1"/>
  <c r="U188" i="1" s="1"/>
  <c r="S188" i="1" s="1"/>
  <c r="T187" i="1"/>
  <c r="U187" i="1" s="1"/>
  <c r="S187" i="1" s="1"/>
  <c r="X171" i="1"/>
  <c r="T171" i="1"/>
  <c r="AA137" i="1"/>
  <c r="W137" i="1" s="1"/>
  <c r="AA134" i="1"/>
  <c r="W134" i="1" s="1"/>
  <c r="AA130" i="1"/>
  <c r="W130" i="1" s="1"/>
  <c r="AA127" i="1"/>
  <c r="AA122" i="1"/>
  <c r="AA121" i="1"/>
  <c r="W121" i="1" s="1"/>
  <c r="AA120" i="1"/>
  <c r="W120" i="1" s="1"/>
  <c r="AA118" i="1"/>
  <c r="W118" i="1" s="1"/>
  <c r="X109" i="1"/>
  <c r="T109" i="1"/>
  <c r="U109" i="1" s="1"/>
  <c r="S109" i="1" s="1"/>
  <c r="X208" i="1"/>
  <c r="T208" i="1"/>
  <c r="U208" i="1" s="1"/>
  <c r="S208" i="1" s="1"/>
  <c r="X99" i="1"/>
  <c r="T99" i="1"/>
  <c r="U99" i="1" s="1"/>
  <c r="S99" i="1" s="1"/>
  <c r="X195" i="1"/>
  <c r="T195" i="1"/>
  <c r="U195" i="1" s="1"/>
  <c r="S195" i="1" s="1"/>
  <c r="X191" i="1"/>
  <c r="T191" i="1"/>
  <c r="U191" i="1" s="1"/>
  <c r="S191" i="1" s="1"/>
  <c r="R36" i="3"/>
  <c r="X163" i="1"/>
  <c r="X56" i="1"/>
  <c r="X52" i="1"/>
  <c r="AA26" i="1"/>
  <c r="W26" i="1" s="1"/>
  <c r="AA22" i="1"/>
  <c r="W22" i="1" s="1"/>
  <c r="X21" i="1"/>
  <c r="AA18" i="1"/>
  <c r="W18" i="1" s="1"/>
  <c r="T16" i="1"/>
  <c r="U16" i="1" s="1"/>
  <c r="S16" i="1" s="1"/>
  <c r="AA109" i="1"/>
  <c r="W109" i="1" s="1"/>
  <c r="AA106" i="1"/>
  <c r="W106" i="1" s="1"/>
  <c r="AA99" i="1"/>
  <c r="W99" i="1" s="1"/>
  <c r="AA195" i="1"/>
  <c r="W195" i="1" s="1"/>
  <c r="AA191" i="1"/>
  <c r="W191" i="1" s="1"/>
  <c r="AA184" i="1"/>
  <c r="W184" i="1" s="1"/>
  <c r="X94" i="1"/>
  <c r="X174" i="1"/>
  <c r="AA171" i="1"/>
  <c r="W171" i="1" s="1"/>
  <c r="X168" i="1"/>
  <c r="AA164" i="1"/>
  <c r="W164" i="1" s="1"/>
  <c r="T164" i="1"/>
  <c r="U164" i="1" s="1"/>
  <c r="S164" i="1" s="1"/>
  <c r="X162" i="1"/>
  <c r="X91" i="1"/>
  <c r="X87" i="1"/>
  <c r="X83" i="1"/>
  <c r="X79" i="1"/>
  <c r="T57" i="1"/>
  <c r="U57" i="1" s="1"/>
  <c r="S57" i="1" s="1"/>
  <c r="T53" i="1"/>
  <c r="U53" i="1" s="1"/>
  <c r="S53" i="1" s="1"/>
  <c r="X51" i="1"/>
  <c r="X48" i="1"/>
  <c r="X44" i="1"/>
  <c r="X40" i="1"/>
  <c r="X36" i="1"/>
  <c r="X32" i="1"/>
  <c r="X28" i="1"/>
  <c r="X24" i="1"/>
  <c r="X20" i="1"/>
  <c r="T15" i="1"/>
  <c r="U15" i="1" s="1"/>
  <c r="S15" i="1" s="1"/>
  <c r="AA21" i="1"/>
  <c r="W21" i="1" s="1"/>
  <c r="X19" i="1"/>
  <c r="AA119" i="1"/>
  <c r="W119" i="1" s="1"/>
  <c r="AA113" i="1"/>
  <c r="W113" i="1" s="1"/>
  <c r="AA110" i="1"/>
  <c r="W110" i="1" s="1"/>
  <c r="AA105" i="1"/>
  <c r="W105" i="1" s="1"/>
  <c r="AA209" i="1"/>
  <c r="W209" i="1" s="1"/>
  <c r="X182" i="1"/>
  <c r="AA94" i="1"/>
  <c r="W94" i="1" s="1"/>
  <c r="AA178" i="1"/>
  <c r="W178" i="1" s="1"/>
  <c r="AA177" i="1"/>
  <c r="W177" i="1" s="1"/>
  <c r="AA168" i="1"/>
  <c r="W168" i="1" s="1"/>
  <c r="AA92" i="1"/>
  <c r="W92" i="1" s="1"/>
  <c r="AA88" i="1"/>
  <c r="W88" i="1" s="1"/>
  <c r="AA84" i="1"/>
  <c r="W84" i="1" s="1"/>
  <c r="AA80" i="1"/>
  <c r="W80" i="1" s="1"/>
  <c r="AA76" i="1"/>
  <c r="W76" i="1" s="1"/>
  <c r="AA72" i="1"/>
  <c r="W72" i="1" s="1"/>
  <c r="AA68" i="1"/>
  <c r="W68" i="1" s="1"/>
  <c r="AA64" i="1"/>
  <c r="W64" i="1" s="1"/>
  <c r="AA60" i="1"/>
  <c r="W60" i="1" s="1"/>
  <c r="AA50" i="1"/>
  <c r="W50" i="1" s="1"/>
  <c r="AA49" i="1"/>
  <c r="W49" i="1" s="1"/>
  <c r="AA45" i="1"/>
  <c r="W45" i="1" s="1"/>
  <c r="AA41" i="1"/>
  <c r="W41" i="1" s="1"/>
  <c r="AA37" i="1"/>
  <c r="W37" i="1" s="1"/>
  <c r="AA33" i="1"/>
  <c r="W33" i="1" s="1"/>
  <c r="AA29" i="1"/>
  <c r="W29" i="1" s="1"/>
  <c r="AA25" i="1"/>
  <c r="W25" i="1" s="1"/>
  <c r="U198" i="1"/>
  <c r="S198" i="1" s="1"/>
  <c r="U152" i="1"/>
  <c r="S152" i="1" s="1"/>
  <c r="U216" i="1"/>
  <c r="S216" i="1" s="1"/>
  <c r="U140" i="1"/>
  <c r="S140" i="1" s="1"/>
  <c r="U217" i="1"/>
  <c r="S217" i="1" s="1"/>
  <c r="U159" i="1"/>
  <c r="S159" i="1" s="1"/>
  <c r="U153" i="1"/>
  <c r="S153" i="1" s="1"/>
  <c r="U146" i="1"/>
  <c r="S146" i="1" s="1"/>
  <c r="U141" i="1"/>
  <c r="S141" i="1" s="1"/>
  <c r="U136" i="1"/>
  <c r="S136" i="1" s="1"/>
  <c r="U213" i="1"/>
  <c r="S213" i="1" s="1"/>
  <c r="U203" i="1"/>
  <c r="S203" i="1" s="1"/>
  <c r="U199" i="1"/>
  <c r="S199" i="1" s="1"/>
  <c r="U214" i="1"/>
  <c r="S214" i="1" s="1"/>
  <c r="U210" i="1"/>
  <c r="S210" i="1" s="1"/>
  <c r="U204" i="1"/>
  <c r="S204" i="1" s="1"/>
  <c r="U200" i="1"/>
  <c r="S200" i="1" s="1"/>
  <c r="U196" i="1"/>
  <c r="S196" i="1" s="1"/>
  <c r="U156" i="1"/>
  <c r="S156" i="1" s="1"/>
  <c r="U150" i="1"/>
  <c r="S150" i="1" s="1"/>
  <c r="U147" i="1"/>
  <c r="S147" i="1" s="1"/>
  <c r="U142" i="1"/>
  <c r="S142" i="1" s="1"/>
  <c r="U138" i="1"/>
  <c r="U135" i="1"/>
  <c r="S135" i="1" s="1"/>
  <c r="U206" i="1"/>
  <c r="S206" i="1" s="1"/>
  <c r="U158" i="1"/>
  <c r="S158" i="1" s="1"/>
  <c r="U207" i="1"/>
  <c r="S207" i="1" s="1"/>
  <c r="U215" i="1"/>
  <c r="S215" i="1" s="1"/>
  <c r="U211" i="1"/>
  <c r="S211" i="1" s="1"/>
  <c r="U205" i="1"/>
  <c r="S205" i="1" s="1"/>
  <c r="U201" i="1"/>
  <c r="S201" i="1" s="1"/>
  <c r="U197" i="1"/>
  <c r="S197" i="1" s="1"/>
  <c r="U157" i="1"/>
  <c r="S157" i="1" s="1"/>
  <c r="U151" i="1"/>
  <c r="S151" i="1" s="1"/>
  <c r="U148" i="1"/>
  <c r="S148" i="1" s="1"/>
  <c r="U143" i="1"/>
  <c r="S143" i="1" s="1"/>
  <c r="U134" i="1"/>
  <c r="S134" i="1" s="1"/>
  <c r="U133" i="1"/>
  <c r="S133" i="1" s="1"/>
  <c r="U129" i="1"/>
  <c r="S129" i="1" s="1"/>
  <c r="U121" i="1"/>
  <c r="S121" i="1" s="1"/>
  <c r="U117" i="1"/>
  <c r="S117" i="1" s="1"/>
  <c r="U112" i="1"/>
  <c r="S112" i="1" s="1"/>
  <c r="U104" i="1"/>
  <c r="S104" i="1" s="1"/>
  <c r="U130" i="1"/>
  <c r="S130" i="1" s="1"/>
  <c r="U126" i="1"/>
  <c r="S126" i="1" s="1"/>
  <c r="U122" i="1"/>
  <c r="S122" i="1" s="1"/>
  <c r="U131" i="1"/>
  <c r="S131" i="1" s="1"/>
  <c r="U127" i="1"/>
  <c r="S127" i="1" s="1"/>
  <c r="U123" i="1"/>
  <c r="S123" i="1" s="1"/>
  <c r="U119" i="1"/>
  <c r="S119" i="1" s="1"/>
  <c r="U114" i="1"/>
  <c r="S114" i="1" s="1"/>
  <c r="U110" i="1"/>
  <c r="S110" i="1" s="1"/>
  <c r="U106" i="1"/>
  <c r="S106" i="1" s="1"/>
  <c r="U128" i="1"/>
  <c r="S128" i="1" s="1"/>
  <c r="U124" i="1"/>
  <c r="S124" i="1" s="1"/>
  <c r="U120" i="1"/>
  <c r="S120" i="1" s="1"/>
  <c r="U115" i="1"/>
  <c r="S115" i="1" s="1"/>
  <c r="U111" i="1"/>
  <c r="S111" i="1" s="1"/>
  <c r="U107" i="1"/>
  <c r="S107" i="1" s="1"/>
  <c r="U103" i="1"/>
  <c r="S103" i="1" s="1"/>
  <c r="U192" i="1"/>
  <c r="S192" i="1" s="1"/>
  <c r="U189" i="1"/>
  <c r="S189" i="1" s="1"/>
  <c r="U185" i="1"/>
  <c r="S185" i="1" s="1"/>
  <c r="U93" i="1"/>
  <c r="S93" i="1" s="1"/>
  <c r="U166" i="1"/>
  <c r="S166" i="1" s="1"/>
  <c r="U97" i="1"/>
  <c r="S97" i="1" s="1"/>
  <c r="U193" i="1"/>
  <c r="S193" i="1" s="1"/>
  <c r="U95" i="1"/>
  <c r="S95" i="1" s="1"/>
  <c r="U186" i="1"/>
  <c r="S186" i="1" s="1"/>
  <c r="U182" i="1"/>
  <c r="S182" i="1" s="1"/>
  <c r="U179" i="1"/>
  <c r="S179" i="1" s="1"/>
  <c r="U174" i="1"/>
  <c r="S174" i="1" s="1"/>
  <c r="U170" i="1"/>
  <c r="S170" i="1" s="1"/>
  <c r="U167" i="1"/>
  <c r="S167" i="1" s="1"/>
  <c r="U163" i="1"/>
  <c r="S163" i="1" s="1"/>
  <c r="U102" i="1"/>
  <c r="S102" i="1" s="1"/>
  <c r="U98" i="1"/>
  <c r="S98" i="1" s="1"/>
  <c r="U194" i="1"/>
  <c r="S194" i="1" s="1"/>
  <c r="U190" i="1"/>
  <c r="S190" i="1" s="1"/>
  <c r="U94" i="1"/>
  <c r="S94" i="1" s="1"/>
  <c r="U171" i="1"/>
  <c r="S171" i="1" s="1"/>
  <c r="U168" i="1"/>
  <c r="S168" i="1" s="1"/>
  <c r="U180" i="1"/>
  <c r="S180" i="1" s="1"/>
  <c r="U177" i="1"/>
  <c r="S177" i="1" s="1"/>
  <c r="U172" i="1"/>
  <c r="S172" i="1" s="1"/>
  <c r="U169" i="1"/>
  <c r="S169" i="1" s="1"/>
  <c r="U165" i="1"/>
  <c r="S165" i="1" s="1"/>
  <c r="U160" i="1"/>
  <c r="S160" i="1" s="1"/>
  <c r="U89" i="1"/>
  <c r="S89" i="1" s="1"/>
  <c r="U85" i="1"/>
  <c r="S85" i="1" s="1"/>
  <c r="U81" i="1"/>
  <c r="S81" i="1" s="1"/>
  <c r="U77" i="1"/>
  <c r="S77" i="1" s="1"/>
  <c r="U73" i="1"/>
  <c r="S73" i="1" s="1"/>
  <c r="U69" i="1"/>
  <c r="S69" i="1" s="1"/>
  <c r="U65" i="1"/>
  <c r="S65" i="1" s="1"/>
  <c r="U61" i="1"/>
  <c r="S61" i="1" s="1"/>
  <c r="U54" i="1"/>
  <c r="S54" i="1" s="1"/>
  <c r="U161" i="1"/>
  <c r="S161" i="1" s="1"/>
  <c r="U90" i="1"/>
  <c r="S90" i="1" s="1"/>
  <c r="U86" i="1"/>
  <c r="S86" i="1" s="1"/>
  <c r="U82" i="1"/>
  <c r="S82" i="1" s="1"/>
  <c r="U78" i="1"/>
  <c r="S78" i="1" s="1"/>
  <c r="U74" i="1"/>
  <c r="S74" i="1" s="1"/>
  <c r="U70" i="1"/>
  <c r="S70" i="1" s="1"/>
  <c r="U66" i="1"/>
  <c r="S66" i="1" s="1"/>
  <c r="U62" i="1"/>
  <c r="S62" i="1" s="1"/>
  <c r="U58" i="1"/>
  <c r="S58" i="1" s="1"/>
  <c r="U55" i="1"/>
  <c r="S55" i="1" s="1"/>
  <c r="U162" i="1"/>
  <c r="S162" i="1" s="1"/>
  <c r="U91" i="1"/>
  <c r="S91" i="1" s="1"/>
  <c r="U87" i="1"/>
  <c r="S87" i="1" s="1"/>
  <c r="U83" i="1"/>
  <c r="S83" i="1" s="1"/>
  <c r="U79" i="1"/>
  <c r="S79" i="1" s="1"/>
  <c r="U75" i="1"/>
  <c r="S75" i="1" s="1"/>
  <c r="U71" i="1"/>
  <c r="S71" i="1" s="1"/>
  <c r="U67" i="1"/>
  <c r="S67" i="1" s="1"/>
  <c r="U63" i="1"/>
  <c r="S63" i="1" s="1"/>
  <c r="U59" i="1"/>
  <c r="S59" i="1" s="1"/>
  <c r="U56" i="1"/>
  <c r="S56" i="1" s="1"/>
  <c r="U92" i="1"/>
  <c r="S92" i="1" s="1"/>
  <c r="U80" i="1"/>
  <c r="S80" i="1" s="1"/>
  <c r="U76" i="1"/>
  <c r="S76" i="1" s="1"/>
  <c r="U68" i="1"/>
  <c r="S68" i="1" s="1"/>
  <c r="U64" i="1"/>
  <c r="S64" i="1" s="1"/>
  <c r="U60" i="1"/>
  <c r="S60" i="1" s="1"/>
  <c r="U45" i="1"/>
  <c r="S45" i="1" s="1"/>
  <c r="U41" i="1"/>
  <c r="S41" i="1" s="1"/>
  <c r="U37" i="1"/>
  <c r="S37" i="1" s="1"/>
  <c r="U33" i="1"/>
  <c r="S33" i="1" s="1"/>
  <c r="U25" i="1"/>
  <c r="S25" i="1" s="1"/>
  <c r="U21" i="1"/>
  <c r="S21" i="1" s="1"/>
  <c r="U50" i="1"/>
  <c r="S50" i="1" s="1"/>
  <c r="U46" i="1"/>
  <c r="S46" i="1" s="1"/>
  <c r="U42" i="1"/>
  <c r="S42" i="1" s="1"/>
  <c r="U38" i="1"/>
  <c r="S38" i="1" s="1"/>
  <c r="U34" i="1"/>
  <c r="S34" i="1" s="1"/>
  <c r="U30" i="1"/>
  <c r="S30" i="1" s="1"/>
  <c r="U26" i="1"/>
  <c r="S26" i="1" s="1"/>
  <c r="U22" i="1"/>
  <c r="S22" i="1" s="1"/>
  <c r="U18" i="1"/>
  <c r="S18" i="1" s="1"/>
  <c r="U14" i="1"/>
  <c r="S14" i="1" s="1"/>
  <c r="U51" i="1"/>
  <c r="S51" i="1" s="1"/>
  <c r="U47" i="1"/>
  <c r="S47" i="1" s="1"/>
  <c r="U43" i="1"/>
  <c r="S43" i="1" s="1"/>
  <c r="U39" i="1"/>
  <c r="S39" i="1" s="1"/>
  <c r="U35" i="1"/>
  <c r="S35" i="1" s="1"/>
  <c r="U31" i="1"/>
  <c r="S31" i="1" s="1"/>
  <c r="U27" i="1"/>
  <c r="S27" i="1" s="1"/>
  <c r="U23" i="1"/>
  <c r="S23" i="1" s="1"/>
  <c r="U19" i="1"/>
  <c r="S19" i="1" s="1"/>
  <c r="U52" i="1"/>
  <c r="S52" i="1" s="1"/>
  <c r="U48" i="1"/>
  <c r="S48" i="1" s="1"/>
  <c r="U44" i="1"/>
  <c r="S44" i="1" s="1"/>
  <c r="U40" i="1"/>
  <c r="S40" i="1" s="1"/>
  <c r="U36" i="1"/>
  <c r="S36" i="1" s="1"/>
  <c r="U32" i="1"/>
  <c r="S32" i="1" s="1"/>
  <c r="U28" i="1"/>
  <c r="S28" i="1" s="1"/>
  <c r="U24" i="1"/>
  <c r="S24" i="1" s="1"/>
  <c r="U20" i="1"/>
  <c r="S20" i="1" s="1"/>
  <c r="W216" i="1"/>
  <c r="W151" i="1"/>
  <c r="W145" i="1"/>
  <c r="W132" i="1"/>
  <c r="W210" i="1"/>
  <c r="W199" i="1"/>
  <c r="W147" i="1"/>
  <c r="W146" i="1"/>
  <c r="W141" i="1"/>
  <c r="T132" i="1"/>
  <c r="U132" i="1" s="1"/>
  <c r="S132" i="1" s="1"/>
  <c r="X132" i="1"/>
  <c r="W103" i="1"/>
  <c r="W102" i="1"/>
  <c r="S17" i="3"/>
  <c r="X217" i="1"/>
  <c r="X213" i="1"/>
  <c r="X207" i="1"/>
  <c r="X203" i="1"/>
  <c r="X199" i="1"/>
  <c r="X159" i="1"/>
  <c r="X153" i="1"/>
  <c r="X146" i="1"/>
  <c r="X141" i="1"/>
  <c r="X133" i="1"/>
  <c r="W107" i="1"/>
  <c r="X214" i="1"/>
  <c r="X210" i="1"/>
  <c r="X204" i="1"/>
  <c r="X200" i="1"/>
  <c r="X196" i="1"/>
  <c r="X147" i="1"/>
  <c r="X142" i="1"/>
  <c r="W127" i="1"/>
  <c r="W122" i="1"/>
  <c r="X128" i="1"/>
  <c r="X124" i="1"/>
  <c r="X120" i="1"/>
  <c r="X115" i="1"/>
  <c r="X111" i="1"/>
  <c r="X107" i="1"/>
  <c r="X103" i="1"/>
  <c r="AA208" i="1"/>
  <c r="W208" i="1" s="1"/>
  <c r="T96" i="1"/>
  <c r="U96" i="1" s="1"/>
  <c r="S96" i="1" s="1"/>
  <c r="X96" i="1"/>
  <c r="W175" i="1"/>
  <c r="T209" i="1"/>
  <c r="U209" i="1" s="1"/>
  <c r="S209" i="1" s="1"/>
  <c r="X209" i="1"/>
  <c r="W100" i="1"/>
  <c r="W170" i="1"/>
  <c r="T100" i="1"/>
  <c r="U100" i="1" s="1"/>
  <c r="S100" i="1" s="1"/>
  <c r="X100" i="1"/>
  <c r="W95" i="1"/>
  <c r="W182" i="1"/>
  <c r="X131" i="1"/>
  <c r="X127" i="1"/>
  <c r="X123" i="1"/>
  <c r="X119" i="1"/>
  <c r="X114" i="1"/>
  <c r="X110" i="1"/>
  <c r="X106" i="1"/>
  <c r="T101" i="1"/>
  <c r="U101" i="1" s="1"/>
  <c r="S101" i="1" s="1"/>
  <c r="X101" i="1"/>
  <c r="W98" i="1"/>
  <c r="W96" i="1"/>
  <c r="X180" i="1"/>
  <c r="X172" i="1"/>
  <c r="X169" i="1"/>
  <c r="X165" i="1"/>
  <c r="W82" i="1"/>
  <c r="W74" i="1"/>
  <c r="W73" i="1"/>
  <c r="W66" i="1"/>
  <c r="W58" i="1"/>
  <c r="X192" i="1"/>
  <c r="X189" i="1"/>
  <c r="X185" i="1"/>
  <c r="X181" i="1"/>
  <c r="T181" i="1"/>
  <c r="U181" i="1" s="1"/>
  <c r="S181" i="1" s="1"/>
  <c r="T178" i="1"/>
  <c r="U178" i="1" s="1"/>
  <c r="S178" i="1" s="1"/>
  <c r="X173" i="1"/>
  <c r="T173" i="1"/>
  <c r="U173" i="1" s="1"/>
  <c r="S173" i="1" s="1"/>
  <c r="X93" i="1"/>
  <c r="X166" i="1"/>
  <c r="X97" i="1"/>
  <c r="X193" i="1"/>
  <c r="X95" i="1"/>
  <c r="X186" i="1"/>
  <c r="W71" i="1"/>
  <c r="X160" i="1"/>
  <c r="X89" i="1"/>
  <c r="X85" i="1"/>
  <c r="X81" i="1"/>
  <c r="X77" i="1"/>
  <c r="X73" i="1"/>
  <c r="X69" i="1"/>
  <c r="X65" i="1"/>
  <c r="X61" i="1"/>
  <c r="X54" i="1"/>
  <c r="X161" i="1"/>
  <c r="X90" i="1"/>
  <c r="X86" i="1"/>
  <c r="X82" i="1"/>
  <c r="X78" i="1"/>
  <c r="X74" i="1"/>
  <c r="X70" i="1"/>
  <c r="X66" i="1"/>
  <c r="X62" i="1"/>
  <c r="X55" i="1"/>
  <c r="W24" i="1"/>
  <c r="W47" i="1"/>
  <c r="W43" i="1"/>
  <c r="W23" i="1"/>
  <c r="X50" i="1"/>
  <c r="X46" i="1"/>
  <c r="X42" i="1"/>
  <c r="X38" i="1"/>
  <c r="X34" i="1"/>
  <c r="X30" i="1"/>
  <c r="X26" i="1"/>
  <c r="X22" i="1"/>
  <c r="X18" i="1"/>
  <c r="AC28" i="3"/>
  <c r="AD31" i="3"/>
  <c r="AE18" i="3"/>
  <c r="AD17" i="3"/>
  <c r="AD13" i="3"/>
  <c r="AD18" i="3"/>
  <c r="T26" i="3"/>
  <c r="AD16" i="3"/>
  <c r="T13" i="3"/>
  <c r="AD28" i="3"/>
  <c r="AD20" i="3"/>
  <c r="AE11" i="3"/>
  <c r="AD9" i="3"/>
  <c r="AD11" i="3"/>
  <c r="AD8" i="3"/>
  <c r="AC29" i="3"/>
  <c r="AC37" i="3"/>
  <c r="AE34" i="3"/>
  <c r="AC34" i="3"/>
  <c r="AC9" i="3"/>
  <c r="AC36" i="3"/>
  <c r="AC18" i="3"/>
  <c r="AC16" i="3"/>
  <c r="AE23" i="3"/>
  <c r="AE21" i="3"/>
  <c r="T32" i="3"/>
  <c r="T23" i="3"/>
  <c r="AE14" i="3"/>
  <c r="T10" i="3"/>
  <c r="AE10" i="3"/>
  <c r="T19" i="3"/>
  <c r="AE33" i="3"/>
  <c r="AE25" i="3"/>
  <c r="AE37" i="3"/>
  <c r="T29" i="3"/>
  <c r="AD33" i="3"/>
  <c r="AE32" i="3"/>
  <c r="T18" i="3"/>
  <c r="AD29" i="3"/>
  <c r="AE28" i="3"/>
  <c r="T8" i="3"/>
  <c r="AD25" i="3"/>
  <c r="AD21" i="3"/>
  <c r="AE20" i="3"/>
  <c r="T30" i="3"/>
  <c r="AE17" i="3"/>
  <c r="T25" i="3"/>
  <c r="AD14" i="3"/>
  <c r="AE13" i="3"/>
  <c r="T35" i="3"/>
  <c r="AD10" i="3"/>
  <c r="AE9" i="3"/>
  <c r="T14" i="3"/>
  <c r="AE38" i="3"/>
  <c r="T31" i="3"/>
  <c r="T11" i="3"/>
  <c r="AE29" i="3"/>
  <c r="T7" i="3"/>
  <c r="AD38" i="3"/>
  <c r="T17" i="3"/>
  <c r="AE36" i="3"/>
  <c r="AE31" i="3"/>
  <c r="AE27" i="3"/>
  <c r="AE19" i="3"/>
  <c r="AE16" i="3"/>
  <c r="AE12" i="3"/>
  <c r="AE8" i="3"/>
  <c r="M24" i="3"/>
  <c r="R24" i="3"/>
  <c r="S24" i="3"/>
  <c r="U24" i="3"/>
  <c r="T24" i="3" s="1"/>
  <c r="V24" i="3"/>
  <c r="X24" i="3"/>
  <c r="W24" i="3"/>
  <c r="Y24" i="3" l="1"/>
  <c r="AE24" i="3"/>
  <c r="AD24" i="3"/>
  <c r="AC24" i="3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B3" i="6" l="1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15" i="3" s="1"/>
  <c r="G40" i="4"/>
  <c r="G41" i="4"/>
  <c r="G42" i="4"/>
  <c r="G43" i="4"/>
  <c r="G44" i="4"/>
  <c r="G45" i="4"/>
  <c r="N14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19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22" i="3" s="1"/>
  <c r="G99" i="4"/>
  <c r="G100" i="4"/>
  <c r="N33" i="3" s="1"/>
  <c r="G101" i="4"/>
  <c r="G102" i="4"/>
  <c r="G103" i="4"/>
  <c r="G104" i="4"/>
  <c r="N35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N10" i="3" s="1"/>
  <c r="G117" i="4"/>
  <c r="G118" i="4"/>
  <c r="G119" i="4"/>
  <c r="N13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27" i="3" s="1"/>
  <c r="G136" i="4"/>
  <c r="G137" i="4"/>
  <c r="N30" i="3" s="1"/>
  <c r="G138" i="4"/>
  <c r="G139" i="4"/>
  <c r="G140" i="4"/>
  <c r="G141" i="4"/>
  <c r="G142" i="4"/>
  <c r="G143" i="4"/>
  <c r="N32" i="3" s="1"/>
  <c r="G144" i="4"/>
  <c r="G145" i="4"/>
  <c r="G146" i="4"/>
  <c r="N24" i="3" s="1"/>
  <c r="G147" i="4"/>
  <c r="G148" i="4"/>
  <c r="G149" i="4"/>
  <c r="G150" i="4"/>
  <c r="G151" i="4"/>
  <c r="G152" i="4"/>
  <c r="G153" i="4"/>
  <c r="G154" i="4"/>
  <c r="G155" i="4"/>
  <c r="N16" i="3" s="1"/>
  <c r="G156" i="4"/>
  <c r="G157" i="4"/>
  <c r="G158" i="4"/>
  <c r="G159" i="4"/>
  <c r="N38" i="3" s="1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2" i="3" s="1"/>
  <c r="G174" i="4"/>
  <c r="G175" i="4"/>
  <c r="G176" i="4"/>
  <c r="G177" i="4"/>
  <c r="G178" i="4"/>
  <c r="G179" i="4"/>
  <c r="G180" i="4"/>
  <c r="N11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0" i="3" s="1"/>
  <c r="G203" i="4"/>
  <c r="G204" i="4"/>
  <c r="G205" i="4"/>
  <c r="G206" i="4"/>
  <c r="N28" i="3" s="1"/>
  <c r="G207" i="4"/>
  <c r="G208" i="4"/>
  <c r="G209" i="4"/>
  <c r="G210" i="4"/>
  <c r="N29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31" i="3" s="1"/>
  <c r="G2" i="4"/>
  <c r="N17" i="3" l="1"/>
  <c r="N21" i="3"/>
  <c r="N18" i="3"/>
  <c r="N37" i="3"/>
  <c r="N36" i="3"/>
  <c r="N34" i="3"/>
  <c r="N25" i="3"/>
  <c r="N9" i="3"/>
  <c r="N8" i="3"/>
  <c r="N7" i="3"/>
  <c r="N26" i="3"/>
  <c r="N2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B4" i="6" l="1"/>
  <c r="S9" i="1"/>
  <c r="J9" i="1"/>
  <c r="B5" i="6" l="1"/>
  <c r="H4" i="6"/>
  <c r="J4" i="6"/>
  <c r="F4" i="6"/>
  <c r="G4" i="6"/>
  <c r="I4" i="6"/>
  <c r="S11" i="1"/>
  <c r="A11" i="1"/>
  <c r="F5" i="6" l="1"/>
  <c r="I5" i="6"/>
  <c r="J5" i="6"/>
  <c r="G5" i="6"/>
  <c r="H5" i="6"/>
  <c r="B1" i="6"/>
  <c r="A5" i="3"/>
  <c r="B6" i="6" l="1"/>
  <c r="H6" i="6" l="1"/>
  <c r="F6" i="6"/>
  <c r="G6" i="6"/>
  <c r="I6" i="6"/>
  <c r="J6" i="6"/>
  <c r="B7" i="6"/>
  <c r="B8" i="6" l="1"/>
  <c r="G7" i="6"/>
  <c r="H7" i="6"/>
  <c r="I7" i="6"/>
  <c r="J7" i="6"/>
  <c r="F7" i="6"/>
  <c r="B9" i="6" l="1"/>
  <c r="I8" i="6"/>
  <c r="G8" i="6"/>
  <c r="F8" i="6"/>
  <c r="H8" i="6"/>
  <c r="J8" i="6"/>
  <c r="G9" i="6" l="1"/>
  <c r="F9" i="6"/>
  <c r="H9" i="6"/>
  <c r="I9" i="6"/>
  <c r="J9" i="6"/>
  <c r="B10" i="6"/>
  <c r="H10" i="6" l="1"/>
  <c r="J10" i="6"/>
  <c r="F10" i="6"/>
  <c r="G10" i="6"/>
  <c r="I10" i="6"/>
  <c r="B11" i="6"/>
  <c r="B12" i="6" l="1"/>
  <c r="F11" i="6"/>
  <c r="G11" i="6"/>
  <c r="I11" i="6"/>
  <c r="H11" i="6"/>
  <c r="J11" i="6"/>
  <c r="F12" i="6" l="1"/>
  <c r="G12" i="6"/>
  <c r="J12" i="6"/>
  <c r="H12" i="6"/>
  <c r="I12" i="6"/>
  <c r="B13" i="6"/>
  <c r="G13" i="6" l="1"/>
  <c r="J13" i="6"/>
  <c r="F13" i="6"/>
  <c r="H13" i="6"/>
  <c r="I13" i="6"/>
  <c r="B14" i="6"/>
  <c r="B15" i="6" l="1"/>
  <c r="F14" i="6"/>
  <c r="G14" i="6"/>
  <c r="H14" i="6"/>
  <c r="I14" i="6"/>
  <c r="J14" i="6"/>
  <c r="B16" i="6" l="1"/>
  <c r="J15" i="6"/>
  <c r="F15" i="6"/>
  <c r="I15" i="6"/>
  <c r="G15" i="6"/>
  <c r="H15" i="6"/>
  <c r="B17" i="6" l="1"/>
  <c r="G16" i="6"/>
  <c r="H16" i="6"/>
  <c r="F16" i="6"/>
  <c r="I16" i="6"/>
  <c r="J16" i="6"/>
  <c r="G17" i="6" l="1"/>
  <c r="I17" i="6"/>
  <c r="J17" i="6"/>
  <c r="F17" i="6"/>
  <c r="H17" i="6"/>
  <c r="B18" i="6"/>
  <c r="B19" i="6" l="1"/>
  <c r="J18" i="6"/>
  <c r="F18" i="6"/>
  <c r="H18" i="6"/>
  <c r="G18" i="6"/>
  <c r="I18" i="6"/>
  <c r="B20" i="6" l="1"/>
  <c r="H19" i="6"/>
  <c r="F19" i="6"/>
  <c r="I19" i="6"/>
  <c r="J19" i="6"/>
  <c r="G19" i="6"/>
  <c r="B22" i="6" l="1"/>
  <c r="B21" i="6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<sst xmlns="http://schemas.openxmlformats.org/spreadsheetml/2006/main" count="2610" uniqueCount="985">
  <si>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</si>
  <si>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</si>
  <si>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</si>
  <si>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</si>
  <si>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</si>
  <si>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</si>
  <si>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</si>
  <si>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</si>
  <si>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</si>
  <si>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</si>
  <si>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</si>
  <si>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</si>
  <si>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</si>
  <si>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</si>
  <si>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</si>
  <si>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</si>
  <si>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</si>
  <si>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</si>
  <si>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</si>
  <si>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</si>
  <si>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</si>
  <si>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</si>
  <si>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</si>
  <si>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</si>
  <si>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</si>
  <si>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</si>
  <si>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</si>
  <si>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</si>
  <si>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</si>
  <si>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</si>
  <si>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</si>
  <si>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</si>
  <si>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</si>
  <si>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</si>
  <si>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</si>
  <si>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</si>
  <si>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</si>
  <si>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</si>
  <si>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</si>
  <si>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</si>
  <si>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</si>
  <si>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</si>
  <si>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</si>
  <si>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</si>
  <si>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</si>
  <si>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</si>
  <si>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</si>
  <si>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</si>
  <si>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</si>
  <si>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</si>
  <si>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</si>
  <si>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</si>
  <si>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</si>
  <si>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</si>
  <si>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</si>
  <si>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</si>
  <si>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</si>
  <si>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</si>
  <si>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</si>
  <si>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</si>
  <si>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</si>
  <si>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</si>
  <si>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</si>
  <si>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</si>
  <si>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</si>
  <si>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</si>
  <si>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</si>
  <si>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</si>
  <si>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</si>
  <si>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</si>
  <si>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</si>
  <si>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</si>
  <si>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</si>
  <si>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</si>
  <si>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</si>
  <si>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</si>
  <si>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</si>
  <si>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</si>
  <si>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</si>
  <si>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</si>
  <si>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</si>
  <si>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</si>
  <si>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</si>
  <si>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</si>
  <si>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</si>
  <si>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</si>
  <si>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</si>
  <si>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</si>
  <si>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</si>
  <si>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</si>
  <si>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</si>
  <si>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</si>
  <si>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</si>
  <si>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</si>
  <si>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</si>
  <si>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</si>
  <si>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</si>
  <si>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</si>
  <si>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</si>
  <si>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</si>
  <si>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</si>
  <si>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</si>
  <si>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</si>
  <si>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</si>
  <si>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</si>
  <si>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</si>
  <si>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</si>
  <si>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</si>
  <si>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</si>
  <si>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</si>
  <si>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</si>
  <si>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</si>
  <si>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</si>
  <si>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</si>
  <si>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</si>
  <si>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</si>
  <si>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</si>
  <si>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</si>
  <si>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</si>
  <si>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</si>
  <si>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</si>
  <si>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</si>
  <si>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</si>
  <si>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</si>
  <si>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</si>
  <si>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</si>
  <si>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</si>
  <si>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</si>
  <si>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</si>
  <si>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</si>
  <si>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</si>
  <si>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</si>
  <si>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</si>
  <si>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</si>
  <si>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</si>
  <si>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</si>
  <si>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</si>
  <si>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</si>
  <si>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</si>
  <si>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</si>
  <si>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</si>
  <si>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</si>
  <si>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</si>
  <si>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</si>
  <si>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</si>
  <si>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</si>
  <si>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</si>
  <si>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</si>
  <si>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</si>
  <si>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</si>
  <si>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</si>
  <si>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</si>
  <si>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</si>
  <si>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</si>
  <si>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</si>
  <si>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</si>
  <si>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</si>
  <si>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</si>
  <si>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</si>
  <si>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</si>
  <si>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</si>
  <si>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</si>
  <si>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</si>
  <si>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</si>
  <si>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</si>
  <si>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</si>
  <si>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</si>
  <si>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</si>
  <si>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</si>
  <si>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</si>
  <si>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</si>
  <si>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</si>
  <si>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</si>
  <si>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</si>
  <si>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</si>
  <si>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</si>
  <si>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</si>
  <si>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</si>
  <si>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</si>
  <si>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</si>
  <si>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</si>
  <si>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</si>
  <si>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</si>
  <si>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</si>
  <si>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</si>
  <si>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</si>
  <si>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</si>
  <si>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</si>
  <si>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</si>
  <si>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</si>
  <si>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</si>
  <si>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</si>
  <si>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</si>
  <si>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</si>
  <si>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</si>
  <si>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</si>
  <si>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</si>
  <si>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</si>
  <si>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</si>
  <si>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</si>
  <si>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</si>
  <si>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</si>
  <si>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</si>
  <si>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</si>
  <si>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</si>
  <si>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</si>
  <si>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</si>
  <si>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</si>
  <si>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</si>
  <si>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</si>
  <si>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</si>
  <si>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</si>
  <si>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</si>
  <si>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</si>
  <si>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</si>
  <si>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</si>
  <si>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</si>
  <si>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</si>
  <si>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</si>
  <si>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</si>
  <si>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</si>
  <si>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</si>
  <si>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</si>
  <si>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</si>
  <si>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</si>
  <si>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</si>
  <si>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</si>
  <si>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</si>
  <si>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</si>
  <si>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</si>
  <si>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</si>
  <si>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</si>
  <si>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</si>
  <si>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</si>
  <si>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</si>
  <si>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</si>
  <si>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</si>
  <si>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</si>
  <si>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</si>
  <si>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</si>
  <si>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</si>
  <si>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</si>
  <si>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</si>
  <si>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</si>
  <si>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</si>
  <si>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</si>
  <si>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</si>
  <si>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</si>
  <si>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</si>
  <si>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</si>
  <si>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</si>
  <si>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</si>
  <si>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</si>
  <si>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</si>
  <si>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</si>
  <si>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</si>
  <si>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</si>
  <si>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</si>
  <si>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</si>
  <si>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</si>
  <si>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</si>
  <si>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</si>
  <si>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</si>
  <si>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</si>
  <si>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</si>
  <si>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</si>
  <si>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</si>
  <si>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</si>
  <si>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</si>
  <si>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</si>
  <si>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</si>
  <si>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</si>
  <si>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</si>
  <si>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</si>
  <si>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</si>
  <si>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</si>
  <si>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</si>
  <si>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</si>
  <si>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</si>
  <si>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</si>
  <si>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</si>
  <si>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</si>
  <si>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</si>
  <si>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</si>
  <si>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</si>
  <si>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</si>
  <si>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</si>
  <si>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</si>
  <si>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</si>
  <si>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</si>
  <si>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</si>
  <si>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</si>
  <si>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</si>
  <si>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</si>
  <si>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</si>
  <si>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</si>
  <si>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</si>
  <si>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</si>
  <si>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</si>
  <si>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</si>
  <si>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</si>
  <si>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</si>
  <si>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</si>
  <si>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</si>
  <si>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</si>
  <si>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</si>
  <si>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</si>
  <si>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</si>
  <si>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</si>
  <si>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</si>
  <si>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</si>
  <si>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</si>
  <si>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</si>
  <si>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</si>
  <si>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</si>
  <si>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</si>
  <si>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</si>
  <si>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</si>
  <si>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</si>
  <si>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</si>
  <si>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</si>
  <si>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</si>
  <si>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</si>
  <si>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</si>
  <si>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</si>
  <si>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</si>
  <si>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</si>
  <si>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</si>
  <si>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</si>
  <si>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</si>
  <si>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</si>
  <si>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</si>
  <si>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</si>
  <si>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</si>
  <si>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</si>
  <si>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</si>
  <si>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</si>
  <si>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</si>
  <si>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</si>
  <si>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</si>
  <si>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</si>
  <si>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</si>
  <si>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</si>
  <si>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</si>
  <si>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</si>
  <si>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204:154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</si>
  <si>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</si>
  <si>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</si>
  <si>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</si>
  <si>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</si>
  <si>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</si>
  <si>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</si>
  <si>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</si>
  <si>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</si>
  <si>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</si>
  <si>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</si>
  <si>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</si>
  <si>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</si>
  <si>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</si>
  <si>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</si>
  <si>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</si>
  <si>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</si>
  <si>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</si>
  <si>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</si>
  <si>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</si>
  <si>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</si>
  <si>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</si>
  <si>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</si>
  <si>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</si>
  <si>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</si>
  <si>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</si>
  <si>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</si>
  <si>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</si>
  <si>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</si>
  <si>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</si>
  <si>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</si>
  <si>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</si>
  <si>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</si>
  <si>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</si>
  <si>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</si>
  <si>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</si>
  <si>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rtdc.l.rtdc.4030:itc</t>
  </si>
  <si>
    <t>FORTUNATO</t>
  </si>
  <si>
    <t>FRANK</t>
  </si>
  <si>
    <t>204:469</t>
  </si>
  <si>
    <t>204:161</t>
  </si>
  <si>
    <t>RESPASS</t>
  </si>
  <si>
    <t>AARON</t>
  </si>
  <si>
    <t>204:233305</t>
  </si>
  <si>
    <t>204:167</t>
  </si>
  <si>
    <t>204:437</t>
  </si>
  <si>
    <t>204:442</t>
  </si>
  <si>
    <t>JAMES</t>
  </si>
  <si>
    <t>204:160</t>
  </si>
  <si>
    <t>204:460</t>
  </si>
  <si>
    <t>300:58943</t>
  </si>
  <si>
    <t>204:158</t>
  </si>
  <si>
    <t>204:232978</t>
  </si>
  <si>
    <t>LEVERE</t>
  </si>
  <si>
    <t>CRAIG</t>
  </si>
  <si>
    <t>rtdc.l.rtdc.4032:itc</t>
  </si>
  <si>
    <t>204:232986</t>
  </si>
  <si>
    <t>204:232994</t>
  </si>
  <si>
    <t>204:232975</t>
  </si>
  <si>
    <t>204:233302</t>
  </si>
  <si>
    <t>204:233314</t>
  </si>
  <si>
    <t>rtdc.l.rtdc.4009:itc</t>
  </si>
  <si>
    <t>rtdc.l.rtdc.4033:itc</t>
  </si>
  <si>
    <t>rtdc.l.rtdc.4034:itc</t>
  </si>
  <si>
    <t>rtdc.l.rtdc.4010:itc</t>
  </si>
  <si>
    <t>DUNCAN</t>
  </si>
  <si>
    <t>SHEILA</t>
  </si>
  <si>
    <t>rtdc.l.rtdc.4061:itc</t>
  </si>
  <si>
    <t>204:233001</t>
  </si>
  <si>
    <t>204:233322</t>
  </si>
  <si>
    <t>204:134</t>
  </si>
  <si>
    <t>204:965</t>
  </si>
  <si>
    <t>300:58958</t>
  </si>
  <si>
    <t>rtdc.l.rtdc.4020:itc</t>
  </si>
  <si>
    <t>rtdc.l.rtdc.4019:itc</t>
  </si>
  <si>
    <t>BRUDER</t>
  </si>
  <si>
    <t>RICHARD</t>
  </si>
  <si>
    <t>NEWELL</t>
  </si>
  <si>
    <t>MOSES</t>
  </si>
  <si>
    <t>BRADLEY</t>
  </si>
  <si>
    <t>PERKINS</t>
  </si>
  <si>
    <t>DARREN</t>
  </si>
  <si>
    <t>HART</t>
  </si>
  <si>
    <t>KEVIN</t>
  </si>
  <si>
    <t>BIRKHOLZ</t>
  </si>
  <si>
    <t>NADINE</t>
  </si>
  <si>
    <t>204:233293</t>
  </si>
  <si>
    <t>204:232988</t>
  </si>
  <si>
    <t>204:233317</t>
  </si>
  <si>
    <t>204:440</t>
  </si>
  <si>
    <t>204:233303</t>
  </si>
  <si>
    <t>204:233304</t>
  </si>
  <si>
    <t>204:233004</t>
  </si>
  <si>
    <t>204:233000</t>
  </si>
  <si>
    <t>204:433</t>
  </si>
  <si>
    <t>204:139</t>
  </si>
  <si>
    <t>204:233310</t>
  </si>
  <si>
    <t>300:58624</t>
  </si>
  <si>
    <t>rtdc.l.rtdc.4031:itc</t>
  </si>
  <si>
    <t>rtdc.l.rtdc.4059:itc</t>
  </si>
  <si>
    <t>rtdc.l.rtdc.4015:itc</t>
  </si>
  <si>
    <t>rtdc.l.rtdc.4016:itc</t>
  </si>
  <si>
    <t>313-06</t>
  </si>
  <si>
    <t>WENDY</t>
  </si>
  <si>
    <t>DE LA ROSA</t>
  </si>
  <si>
    <t>ALEX</t>
  </si>
  <si>
    <t>rtdc.l.rtdc.4060:itc</t>
  </si>
  <si>
    <t>PAGE</t>
  </si>
  <si>
    <t>MARCUS</t>
  </si>
  <si>
    <t>rtdc.l.rtdc.4062:itc</t>
  </si>
  <si>
    <t>DELGADO</t>
  </si>
  <si>
    <t>DIANAH</t>
  </si>
  <si>
    <t>HOLCOMB</t>
  </si>
  <si>
    <t>KAMDEN</t>
  </si>
  <si>
    <t>DAVID</t>
  </si>
  <si>
    <t>305-06</t>
  </si>
  <si>
    <t>222-06</t>
  </si>
  <si>
    <t>225-06</t>
  </si>
  <si>
    <t>843-06</t>
  </si>
  <si>
    <t>224-06</t>
  </si>
  <si>
    <t>227-06</t>
  </si>
  <si>
    <t>842-06</t>
  </si>
  <si>
    <t>229-06</t>
  </si>
  <si>
    <t>226-06</t>
  </si>
  <si>
    <t>845-06</t>
  </si>
  <si>
    <t>231-06</t>
  </si>
  <si>
    <t>844-06</t>
  </si>
  <si>
    <t>228-06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</si>
  <si>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</si>
  <si>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</si>
  <si>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</si>
  <si>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</si>
  <si>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</si>
  <si>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</si>
  <si>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</si>
  <si>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</si>
  <si>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</si>
  <si>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</si>
  <si>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</si>
  <si>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</si>
  <si>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</si>
  <si>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</si>
  <si>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</si>
  <si>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</si>
  <si>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</si>
  <si>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</si>
  <si>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</si>
  <si>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</si>
  <si>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</si>
  <si>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</si>
  <si>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</si>
  <si>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204:480</t>
  </si>
  <si>
    <t>204:232991</t>
  </si>
  <si>
    <t>204:475</t>
  </si>
  <si>
    <t>204:233315</t>
  </si>
  <si>
    <t>204:232987</t>
  </si>
  <si>
    <t>204:136</t>
  </si>
  <si>
    <t>204:163</t>
  </si>
  <si>
    <t>204:233283</t>
  </si>
  <si>
    <t>204:233299</t>
  </si>
  <si>
    <t>204:462</t>
  </si>
  <si>
    <t>204:233320</t>
  </si>
  <si>
    <t>300:23299</t>
  </si>
  <si>
    <t>300:58609</t>
  </si>
  <si>
    <t>300:58948</t>
  </si>
  <si>
    <t>300:58634</t>
  </si>
  <si>
    <t>rtdc.l.rtdc.4050:itc</t>
  </si>
  <si>
    <t>MAELZER</t>
  </si>
  <si>
    <t>KURT</t>
  </si>
  <si>
    <t>rtdc.l.rtdc.4049:itc</t>
  </si>
  <si>
    <t>rtdc.l.rtdc.4046:itc</t>
  </si>
  <si>
    <t>WILLIAMS</t>
  </si>
  <si>
    <t>DONTE</t>
  </si>
  <si>
    <t>CASSIDY</t>
  </si>
  <si>
    <t>BRANDON</t>
  </si>
  <si>
    <t>BADERTSCHER</t>
  </si>
  <si>
    <t>DIANE</t>
  </si>
  <si>
    <t>MCREYNOLDS</t>
  </si>
  <si>
    <t>KYLE</t>
  </si>
  <si>
    <t>204:232996</t>
  </si>
  <si>
    <t>204:233324</t>
  </si>
  <si>
    <t>204:233295</t>
  </si>
  <si>
    <t>204:451</t>
  </si>
  <si>
    <t>204:232992</t>
  </si>
  <si>
    <t>204:444</t>
  </si>
  <si>
    <t>204:132</t>
  </si>
  <si>
    <t>204:962</t>
  </si>
  <si>
    <t>300:58973</t>
  </si>
  <si>
    <t>204:673</t>
  </si>
  <si>
    <t>204:663</t>
  </si>
  <si>
    <t>rtdc.l.rtdc.4001:itc</t>
  </si>
  <si>
    <t>rtdc.l.rtdc.4044:itc</t>
  </si>
  <si>
    <t>TEMPORARY SPEED RESTRICTION</t>
  </si>
  <si>
    <t>rtdc.l.rtdc.4058:itc</t>
  </si>
  <si>
    <t>rtdc.l.rtdc.4002:itc</t>
  </si>
  <si>
    <t>rtdc.l.rtdc.4029:itc</t>
  </si>
  <si>
    <t>rtdc.l.rtdc.4057:itc</t>
  </si>
  <si>
    <t>rtdc.l.rtdc.4006:itc</t>
  </si>
  <si>
    <t>rtdc.l.rtdc.4043:itc</t>
  </si>
  <si>
    <t>MACDONALD</t>
  </si>
  <si>
    <t>THOMAS</t>
  </si>
  <si>
    <t>LALONDE</t>
  </si>
  <si>
    <t>GREGORY</t>
  </si>
  <si>
    <t>HUFFSMITH</t>
  </si>
  <si>
    <t>MONTY</t>
  </si>
  <si>
    <t>SAFIEF</t>
  </si>
  <si>
    <t>AEIMEN</t>
  </si>
  <si>
    <t>SMITH</t>
  </si>
  <si>
    <t>ELBAUM</t>
  </si>
  <si>
    <t>MIKE</t>
  </si>
  <si>
    <t>rtdc.l.rtdc.4026:itc</t>
  </si>
  <si>
    <t>DAVIDSON</t>
  </si>
  <si>
    <t>245-08</t>
  </si>
  <si>
    <t>307-08</t>
  </si>
  <si>
    <t>244-08</t>
  </si>
  <si>
    <t>309-08</t>
  </si>
  <si>
    <t>246-08</t>
  </si>
  <si>
    <t>311-08</t>
  </si>
  <si>
    <t>313-08</t>
  </si>
  <si>
    <t>precipType</t>
  </si>
  <si>
    <t>Partly Cloudy</t>
  </si>
  <si>
    <t>partly-cloudy-night</t>
  </si>
  <si>
    <t>rain</t>
  </si>
  <si>
    <t>204:232979</t>
  </si>
  <si>
    <t>204:233319</t>
  </si>
  <si>
    <t>204:466</t>
  </si>
  <si>
    <t>204:232976</t>
  </si>
  <si>
    <t>204:233297</t>
  </si>
  <si>
    <t>204:233286</t>
  </si>
  <si>
    <t>204:233289</t>
  </si>
  <si>
    <t>204:232973</t>
  </si>
  <si>
    <t>204:232972</t>
  </si>
  <si>
    <t>204:232983</t>
  </si>
  <si>
    <t>204:477</t>
  </si>
  <si>
    <t>204:232959</t>
  </si>
  <si>
    <t>204:233300</t>
  </si>
  <si>
    <t>204:233010</t>
  </si>
  <si>
    <t>204:233284</t>
  </si>
  <si>
    <t>204:232963</t>
  </si>
  <si>
    <t>204:233291</t>
  </si>
  <si>
    <t>204:233272</t>
  </si>
  <si>
    <t>204:233268</t>
  </si>
  <si>
    <t>204:233338</t>
  </si>
  <si>
    <t>204:233051</t>
  </si>
  <si>
    <t>204:233008</t>
  </si>
  <si>
    <t>204:233288</t>
  </si>
  <si>
    <t>204:232965</t>
  </si>
  <si>
    <t>204:130</t>
  </si>
  <si>
    <t>204:427</t>
  </si>
  <si>
    <t>204:176</t>
  </si>
  <si>
    <t>204:165</t>
  </si>
  <si>
    <t>300:23304</t>
  </si>
  <si>
    <t>204:3558</t>
  </si>
  <si>
    <t>204:1150</t>
  </si>
  <si>
    <t>300:58653</t>
  </si>
  <si>
    <t>300:58975</t>
  </si>
  <si>
    <t>204:677</t>
  </si>
  <si>
    <t>300:58941</t>
  </si>
  <si>
    <t>204:957</t>
  </si>
  <si>
    <t>204:960</t>
  </si>
  <si>
    <t>300:58658</t>
  </si>
  <si>
    <t>204:661</t>
  </si>
  <si>
    <t>300:58984</t>
  </si>
  <si>
    <t>204:642</t>
  </si>
  <si>
    <t>300:58693</t>
  </si>
  <si>
    <t>204:936</t>
  </si>
  <si>
    <t>start /low /b %USERPROFILE%\Documents\GitHub\eaglep3\Utilities\DownloadLogsFromS3.py --loco 4030 --day 2017-09-09</t>
  </si>
  <si>
    <t>106-09</t>
  </si>
  <si>
    <t>121-09</t>
  </si>
  <si>
    <t>120-09</t>
  </si>
  <si>
    <t>147-09</t>
  </si>
  <si>
    <t>1811-09</t>
  </si>
  <si>
    <t>161-09</t>
  </si>
  <si>
    <t>SWITCH UNKNOWN</t>
  </si>
  <si>
    <t>Track device (7)</t>
  </si>
  <si>
    <t>1812-09</t>
  </si>
  <si>
    <t>rtdc.l.rtdc.4053:itc</t>
  </si>
  <si>
    <t>168-09</t>
  </si>
  <si>
    <t>170-09</t>
  </si>
  <si>
    <t>rtdc.l.rtdc.4045:itc</t>
  </si>
  <si>
    <t>174-09</t>
  </si>
  <si>
    <t>176-09</t>
  </si>
  <si>
    <t>182-09</t>
  </si>
  <si>
    <t>189-09</t>
  </si>
  <si>
    <t>1820-09</t>
  </si>
  <si>
    <t>1822-09</t>
  </si>
  <si>
    <t>75-09</t>
  </si>
  <si>
    <t>198-09</t>
  </si>
  <si>
    <t>202-09</t>
  </si>
  <si>
    <t>213-09</t>
  </si>
  <si>
    <t>204-09</t>
  </si>
  <si>
    <t>214-09</t>
  </si>
  <si>
    <t>305-09</t>
  </si>
  <si>
    <t>225-09</t>
  </si>
  <si>
    <t>226-09</t>
  </si>
  <si>
    <t>rtdc.l.rtdc.4025:itc</t>
  </si>
  <si>
    <t>228-09</t>
  </si>
  <si>
    <t>230-09</t>
  </si>
  <si>
    <t>241-09</t>
  </si>
  <si>
    <t>300-09</t>
  </si>
  <si>
    <t>rtdc.l.rtdc.4054:itc</t>
  </si>
  <si>
    <t>101-09</t>
  </si>
  <si>
    <t>302-09</t>
  </si>
  <si>
    <t>rtdc.l.rtdc.4017:itc</t>
  </si>
  <si>
    <t>50-09</t>
  </si>
  <si>
    <t>103-09</t>
  </si>
  <si>
    <t>304-09</t>
  </si>
  <si>
    <t>105-09</t>
  </si>
  <si>
    <t>102-09</t>
  </si>
  <si>
    <t>306-09</t>
  </si>
  <si>
    <t>GEBRETEKLE</t>
  </si>
  <si>
    <t>DAGNEW</t>
  </si>
  <si>
    <t>308-09</t>
  </si>
  <si>
    <t>107-09</t>
  </si>
  <si>
    <t>109-09</t>
  </si>
  <si>
    <t>104-09</t>
  </si>
  <si>
    <t>310-09</t>
  </si>
  <si>
    <t>111-09</t>
  </si>
  <si>
    <t>113-09</t>
  </si>
  <si>
    <t>108-09</t>
  </si>
  <si>
    <t>312-09</t>
  </si>
  <si>
    <t>rtdc.l.rtdc.4012:itc</t>
  </si>
  <si>
    <t>1901-09</t>
  </si>
  <si>
    <t>110-09</t>
  </si>
  <si>
    <t>115-09</t>
  </si>
  <si>
    <t>rtdc.l.rtdc.4011:itc</t>
  </si>
  <si>
    <t>1800-09</t>
  </si>
  <si>
    <t>117-09</t>
  </si>
  <si>
    <t>112-09</t>
  </si>
  <si>
    <t>119-09</t>
  </si>
  <si>
    <t>1801-09</t>
  </si>
  <si>
    <t>114-09</t>
  </si>
  <si>
    <t>116-09</t>
  </si>
  <si>
    <t>1802-09</t>
  </si>
  <si>
    <t>123-09</t>
  </si>
  <si>
    <t>118-09</t>
  </si>
  <si>
    <t>125-09</t>
  </si>
  <si>
    <t>122-09</t>
  </si>
  <si>
    <t>1803-09</t>
  </si>
  <si>
    <t>127-09</t>
  </si>
  <si>
    <t>124-09</t>
  </si>
  <si>
    <t>129-09</t>
  </si>
  <si>
    <t>1804-09</t>
  </si>
  <si>
    <t>131-09</t>
  </si>
  <si>
    <t>BROWN</t>
  </si>
  <si>
    <t>JACOB</t>
  </si>
  <si>
    <t>126-09</t>
  </si>
  <si>
    <t>133-09</t>
  </si>
  <si>
    <t>128-09</t>
  </si>
  <si>
    <t>135-09</t>
  </si>
  <si>
    <t>130-09</t>
  </si>
  <si>
    <t>1805-09</t>
  </si>
  <si>
    <t>137-09</t>
  </si>
  <si>
    <t>132-09</t>
  </si>
  <si>
    <t>1806-09</t>
  </si>
  <si>
    <t>139-09</t>
  </si>
  <si>
    <t>134-09</t>
  </si>
  <si>
    <t>141-09</t>
  </si>
  <si>
    <t>136-09</t>
  </si>
  <si>
    <t>138-09</t>
  </si>
  <si>
    <t>143-09</t>
  </si>
  <si>
    <t>1807-09</t>
  </si>
  <si>
    <t>145-09</t>
  </si>
  <si>
    <t>140-09</t>
  </si>
  <si>
    <t>1808-09</t>
  </si>
  <si>
    <t>149-09</t>
  </si>
  <si>
    <t>142-09</t>
  </si>
  <si>
    <t>144-09</t>
  </si>
  <si>
    <t>151-09</t>
  </si>
  <si>
    <t>1809-09</t>
  </si>
  <si>
    <t>146-09</t>
  </si>
  <si>
    <t>153-09</t>
  </si>
  <si>
    <t>148-09</t>
  </si>
  <si>
    <t>150-09</t>
  </si>
  <si>
    <t>155-09</t>
  </si>
  <si>
    <t>51-09</t>
  </si>
  <si>
    <t>LOPES</t>
  </si>
  <si>
    <t>KIMBERLY</t>
  </si>
  <si>
    <t>152-09</t>
  </si>
  <si>
    <t>157-09</t>
  </si>
  <si>
    <t>159-09</t>
  </si>
  <si>
    <t>154-09</t>
  </si>
  <si>
    <t>1810-09</t>
  </si>
  <si>
    <t>156-09</t>
  </si>
  <si>
    <t>163-09</t>
  </si>
  <si>
    <t>165-09</t>
  </si>
  <si>
    <t>GUZMAN</t>
  </si>
  <si>
    <t>DANNY</t>
  </si>
  <si>
    <t>158-09</t>
  </si>
  <si>
    <t>160-09</t>
  </si>
  <si>
    <t>167-09</t>
  </si>
  <si>
    <t>1813-09</t>
  </si>
  <si>
    <t>162-09</t>
  </si>
  <si>
    <t>169-09</t>
  </si>
  <si>
    <t>164-09</t>
  </si>
  <si>
    <t>166-09</t>
  </si>
  <si>
    <t>171-09</t>
  </si>
  <si>
    <t>1814-09</t>
  </si>
  <si>
    <t>173-09</t>
  </si>
  <si>
    <t>71-09</t>
  </si>
  <si>
    <t>175-09</t>
  </si>
  <si>
    <t>1815-09</t>
  </si>
  <si>
    <t>177-09</t>
  </si>
  <si>
    <t>172-09</t>
  </si>
  <si>
    <t>179-09</t>
  </si>
  <si>
    <t>1816-09</t>
  </si>
  <si>
    <t>80-09</t>
  </si>
  <si>
    <t>181-09</t>
  </si>
  <si>
    <t>183-09</t>
  </si>
  <si>
    <t>178-09</t>
  </si>
  <si>
    <t>1817-09</t>
  </si>
  <si>
    <t>180-09</t>
  </si>
  <si>
    <t>185-09</t>
  </si>
  <si>
    <t>187-09</t>
  </si>
  <si>
    <t>1818-09</t>
  </si>
  <si>
    <t>184-09</t>
  </si>
  <si>
    <t>191-09</t>
  </si>
  <si>
    <t>1819-09</t>
  </si>
  <si>
    <t>186-09</t>
  </si>
  <si>
    <t>193-09</t>
  </si>
  <si>
    <t>188-09</t>
  </si>
  <si>
    <t>195-09</t>
  </si>
  <si>
    <t>190-09</t>
  </si>
  <si>
    <t>197-09</t>
  </si>
  <si>
    <t>192-09</t>
  </si>
  <si>
    <t>194-09</t>
  </si>
  <si>
    <t>199-09</t>
  </si>
  <si>
    <t>1821-09</t>
  </si>
  <si>
    <t>201-09</t>
  </si>
  <si>
    <t>196-09</t>
  </si>
  <si>
    <t>203-09</t>
  </si>
  <si>
    <t>205-09</t>
  </si>
  <si>
    <t>200-09</t>
  </si>
  <si>
    <t>207-09</t>
  </si>
  <si>
    <t>1823-09</t>
  </si>
  <si>
    <t>209-09</t>
  </si>
  <si>
    <t>rtdc.l.rtdc.4066:itc</t>
  </si>
  <si>
    <t>211-09</t>
  </si>
  <si>
    <t>76-09</t>
  </si>
  <si>
    <t>1824-09</t>
  </si>
  <si>
    <t>206-09</t>
  </si>
  <si>
    <t>208-09</t>
  </si>
  <si>
    <t>215-09</t>
  </si>
  <si>
    <t>1825-09</t>
  </si>
  <si>
    <t>210-09</t>
  </si>
  <si>
    <t>212-09</t>
  </si>
  <si>
    <t>217-09</t>
  </si>
  <si>
    <t>219-09</t>
  </si>
  <si>
    <t>1826-09</t>
  </si>
  <si>
    <t>301-09</t>
  </si>
  <si>
    <t>216-09</t>
  </si>
  <si>
    <t>221-09</t>
  </si>
  <si>
    <t>1827-09</t>
  </si>
  <si>
    <t>218-09</t>
  </si>
  <si>
    <t>303-09</t>
  </si>
  <si>
    <t>220-09</t>
  </si>
  <si>
    <t>1828-09</t>
  </si>
  <si>
    <t>223-09</t>
  </si>
  <si>
    <t>222-09</t>
  </si>
  <si>
    <t>1829-09</t>
  </si>
  <si>
    <t>224-09</t>
  </si>
  <si>
    <t>227-09</t>
  </si>
  <si>
    <t>1830-09</t>
  </si>
  <si>
    <t>229-09</t>
  </si>
  <si>
    <t>1831-09</t>
  </si>
  <si>
    <t>ANDERS</t>
  </si>
  <si>
    <t>STEVEN</t>
  </si>
  <si>
    <t>231-09</t>
  </si>
  <si>
    <t>1832-09</t>
  </si>
  <si>
    <t>233-09</t>
  </si>
  <si>
    <t>1833-09</t>
  </si>
  <si>
    <t>232-09</t>
  </si>
  <si>
    <t>235-09</t>
  </si>
  <si>
    <t>1834-09</t>
  </si>
  <si>
    <t>234-09</t>
  </si>
  <si>
    <t>237-09</t>
  </si>
  <si>
    <t>1835-09</t>
  </si>
  <si>
    <t>239-09</t>
  </si>
  <si>
    <t>236-09</t>
  </si>
  <si>
    <t>1902-09</t>
  </si>
  <si>
    <t>238-09</t>
  </si>
  <si>
    <t>240-09</t>
  </si>
  <si>
    <t>243-09</t>
  </si>
  <si>
    <t>242-09</t>
  </si>
  <si>
    <t>245-09</t>
  </si>
  <si>
    <t>53-09</t>
  </si>
  <si>
    <t>307-09</t>
  </si>
  <si>
    <t>54-09</t>
  </si>
  <si>
    <t>244-09</t>
  </si>
  <si>
    <t>309-09</t>
  </si>
  <si>
    <t>246-09</t>
  </si>
  <si>
    <t>311-09</t>
  </si>
  <si>
    <t>313-09</t>
  </si>
  <si>
    <t>rtdc.l.rtdc.4055:itc</t>
  </si>
  <si>
    <t>300-10</t>
  </si>
  <si>
    <t>THOMPSON</t>
  </si>
  <si>
    <t>LESTER</t>
  </si>
  <si>
    <t>204:233380</t>
  </si>
  <si>
    <t>204:233301</t>
  </si>
  <si>
    <t>204:232982</t>
  </si>
  <si>
    <t>204:201</t>
  </si>
  <si>
    <t>204:233318</t>
  </si>
  <si>
    <t>204:233007</t>
  </si>
  <si>
    <t>204:232985</t>
  </si>
  <si>
    <t>204:482</t>
  </si>
  <si>
    <t>204:233280</t>
  </si>
  <si>
    <t>204:511</t>
  </si>
  <si>
    <t>204:233307</t>
  </si>
  <si>
    <t>204:233332</t>
  </si>
  <si>
    <t>204:233253</t>
  </si>
  <si>
    <t>204:233312</t>
  </si>
  <si>
    <t>204:473</t>
  </si>
  <si>
    <t>204:232989</t>
  </si>
  <si>
    <t>204:447</t>
  </si>
  <si>
    <t>204:232946</t>
  </si>
  <si>
    <t>204:233326</t>
  </si>
  <si>
    <t>204:233006</t>
  </si>
  <si>
    <t>204:471</t>
  </si>
  <si>
    <t>204:233323</t>
  </si>
  <si>
    <t>204:233287</t>
  </si>
  <si>
    <t>204:478</t>
  </si>
  <si>
    <t>204:233019</t>
  </si>
  <si>
    <t>204:174</t>
  </si>
  <si>
    <t>204:170</t>
  </si>
  <si>
    <t>204:233325</t>
  </si>
  <si>
    <t>204:77481</t>
  </si>
  <si>
    <t>300:58659</t>
  </si>
  <si>
    <t>300:58976</t>
  </si>
  <si>
    <t>204:652</t>
  </si>
  <si>
    <t>204:930</t>
  </si>
  <si>
    <t>300:58664</t>
  </si>
  <si>
    <t>204:657</t>
  </si>
  <si>
    <t>204:943</t>
  </si>
  <si>
    <t>204:944</t>
  </si>
  <si>
    <t>204:650</t>
  </si>
  <si>
    <t>204:4063</t>
  </si>
  <si>
    <t>300:58967</t>
  </si>
  <si>
    <t>204:666</t>
  </si>
  <si>
    <t>300:58651</t>
  </si>
  <si>
    <t>300:58988</t>
  </si>
  <si>
    <t>204:941</t>
  </si>
  <si>
    <t>300:58933</t>
  </si>
  <si>
    <t>300:58608</t>
  </si>
  <si>
    <t>300:58638</t>
  </si>
  <si>
    <t>300:13828</t>
  </si>
  <si>
    <t>300:58960</t>
  </si>
  <si>
    <t>204:670</t>
  </si>
  <si>
    <t>204:946</t>
  </si>
  <si>
    <t>300:58615</t>
  </si>
  <si>
    <t>204:955</t>
  </si>
  <si>
    <t>300:58628</t>
  </si>
  <si>
    <t>204:948</t>
  </si>
  <si>
    <t>300:58642</t>
  </si>
  <si>
    <t>204:974</t>
  </si>
  <si>
    <t>300:58626</t>
  </si>
  <si>
    <t>204:932</t>
  </si>
  <si>
    <t>300:58952</t>
  </si>
  <si>
    <t>204:636</t>
  </si>
  <si>
    <t>300:59011</t>
  </si>
  <si>
    <t>204:232966</t>
  </si>
  <si>
    <t>300:30040</t>
  </si>
  <si>
    <t>300:58986</t>
  </si>
  <si>
    <t>300:28795</t>
  </si>
  <si>
    <t>204:233331</t>
  </si>
  <si>
    <t>204:424</t>
  </si>
  <si>
    <t>204:232998</t>
  </si>
  <si>
    <t>204:232961</t>
  </si>
  <si>
    <t>204:233429</t>
  </si>
  <si>
    <t>204:486</t>
  </si>
  <si>
    <t>204:233003</t>
  </si>
  <si>
    <t>204:331</t>
  </si>
  <si>
    <t>204:493</t>
  </si>
  <si>
    <t>204:233266</t>
  </si>
  <si>
    <t>204:347</t>
  </si>
  <si>
    <t>204:233298</t>
  </si>
  <si>
    <t>204:340</t>
  </si>
  <si>
    <t>204:1162</t>
  </si>
  <si>
    <t>204:1847</t>
  </si>
  <si>
    <t>204:639</t>
  </si>
  <si>
    <t>204:641</t>
  </si>
  <si>
    <t>204:662</t>
  </si>
  <si>
    <t>204:311</t>
  </si>
  <si>
    <t>204:37095</t>
  </si>
  <si>
    <t>204:64679</t>
  </si>
  <si>
    <t>204:232990</t>
  </si>
  <si>
    <t>204:2471</t>
  </si>
  <si>
    <t>204:233438</t>
  </si>
  <si>
    <t>204:187</t>
  </si>
  <si>
    <t>204:502</t>
  </si>
  <si>
    <t>204:178</t>
  </si>
  <si>
    <t>204:233282</t>
  </si>
  <si>
    <t>300:21973</t>
  </si>
  <si>
    <t>300:23310</t>
  </si>
  <si>
    <t>300:18932</t>
  </si>
  <si>
    <t>300:21776</t>
  </si>
  <si>
    <t>300:22210</t>
  </si>
  <si>
    <t>300:23601</t>
  </si>
  <si>
    <t>300:23481</t>
  </si>
  <si>
    <t>300:22935</t>
  </si>
  <si>
    <t>300:22366</t>
  </si>
  <si>
    <t>300:23648</t>
  </si>
  <si>
    <t>204:121</t>
  </si>
  <si>
    <t>300:23688</t>
  </si>
  <si>
    <t>204:1158</t>
  </si>
  <si>
    <t>204:1481</t>
  </si>
  <si>
    <t>300:5301</t>
  </si>
  <si>
    <t>300:4957</t>
  </si>
  <si>
    <t>204:705</t>
  </si>
  <si>
    <t>204:432</t>
  </si>
  <si>
    <t>204:1137</t>
  </si>
  <si>
    <t>300:23306</t>
  </si>
  <si>
    <t>204:1477</t>
  </si>
  <si>
    <t>204:3285</t>
  </si>
  <si>
    <t>300:22151</t>
  </si>
  <si>
    <t>204:1152</t>
  </si>
  <si>
    <t>start /low /b %USERPROFILE%\Documents\GitHub\eaglep3\Utilities\DownloadLogsFromS3.py --loco 4049 --day 2017-09-09</t>
  </si>
  <si>
    <t>start /low /b %USERPROFILE%\Documents\GitHub\eaglep3\Utilities\DownloadLogsFromS3.py --loco 4050 --day 2017-09-09</t>
  </si>
  <si>
    <t>start /low /b %USERPROFILE%\Documents\GitHub\eaglep3\Utilities\DownloadLogsFromS3.py --loco 4025 --day 2017-09-09</t>
  </si>
  <si>
    <t>start /low /b %USERPROFILE%\Documents\GitHub\eaglep3\Utilities\DownloadLogsFromS3.py --loco 4012 --day 2017-09-09</t>
  </si>
  <si>
    <t>start /low /b %USERPROFILE%\Documents\GitHub\eaglep3\Utilities\DownloadLogsFromS3.py --loco 4029 --day 2017-09-09</t>
  </si>
  <si>
    <t>start /low /b %USERPROFILE%\Documents\GitHub\eaglep3\Utilities\DownloadLogsFromS3.py --loco 4045 --day 2017-09-09</t>
  </si>
  <si>
    <t>start /low /b %USERPROFILE%\Documents\GitHub\eaglep3\Utilities\DownloadLogsFromS3.py --loco 4053 --day 2017-09-09</t>
  </si>
  <si>
    <t>start /low /b %USERPROFILE%\Documents\GitHub\eaglep3\Utilities\DownloadLogsFromS3.py --loco 4043 --day 2017-09-10</t>
  </si>
  <si>
    <t>start /low /b %USERPROFILE%\Documents\GitHub\eaglep3\Utilities\DownloadLogsFromS3.py --loco 4044 --day 2017-09-09</t>
  </si>
  <si>
    <t>start /low /b %USERPROFILE%\Documents\GitHub\eaglep3\Utilities\DownloadLogsFromS3.py --loco 4009 --day 2017-09-09</t>
  </si>
  <si>
    <t>start /low /b %USERPROFILE%\Documents\GitHub\eaglep3\Utilities\DownloadLogsFromS3.py --loco 4026 --day 2017-09-09</t>
  </si>
  <si>
    <t>start /low /b %USERPROFILE%\Documents\GitHub\eaglep3\Utilities\DownloadLogsFromS3.py --loco 4050 --day 2017-09-10</t>
  </si>
  <si>
    <t>start /low /b %USERPROFILE%\Documents\GitHub\eaglep3\Utilities\DownloadLogsFromS3.py --loco 4049 --day 2017-09-10</t>
  </si>
  <si>
    <t>start /low /b %USERPROFILE%\Documents\GitHub\eaglep3\Utilities\DownloadLogsFromS3.py --loco 4025 --day 2017-09-10</t>
  </si>
  <si>
    <t>start /low /b %USERPROFILE%\Documents\GitHub\eaglep3\Utilities\DownloadLogsFromS3.py --loco 4053 --day 2017-09-10</t>
  </si>
  <si>
    <t>start /low /b %USERPROFILE%\Documents\GitHub\eaglep3\Utilities\DownloadLogsFromS3.py --loco 4062 --day 2017-09-10</t>
  </si>
  <si>
    <t>Minor onboard in-route failure caused PTC screen to go blank until another processor took over</t>
  </si>
  <si>
    <t>Wi-MAX data drop</t>
  </si>
  <si>
    <t>Premature downgrade at EC0365RH 27-1T 1N</t>
  </si>
  <si>
    <t>20:08:48 - signal dropped from 270 to 0 while train was approx 50 ft away, do logs show anything unusual?</t>
  </si>
  <si>
    <t>ATC issue caused train to lose BPP (no PTC enforcements found)</t>
  </si>
  <si>
    <t>Consist spam observed</t>
  </si>
  <si>
    <t>Unhealthy at Chambers due to train stop</t>
  </si>
  <si>
    <t>Early Arrival, repeated early arrival due to conservative approach times after an enforcement</t>
  </si>
  <si>
    <t>Wi-MAX data drop (incident 53673)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</si>
</sst>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topLeftCell="A81" zoomScaleNormal="100" workbookViewId="0">
      <selection activeCell="R99" sqref="R9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42987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42987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36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144</v>
      </c>
      <c r="K5" s="39"/>
      <c r="L5" s="184"/>
      <c r="M5" s="40">
        <f>AVERAGEIFS($N$13:$N$9314,$AG$13:$AG$9314,I1)</f>
        <v>37.549768518292694</v>
      </c>
      <c r="N5" s="38">
        <f t="array" ref="N5">MIN(IF($AG$13:$AG$9314=I1,IF(ISNUMBER($N$13:$N$9314),IF($N$13:$N$9314&gt;0,$N$13:$N$9314))))</f>
        <v>33.350000000791624</v>
      </c>
      <c r="O5" s="3">
        <f t="array" ref="O5">MAX(IF($AG$13:$AG$9314=I1,IF(ISNUMBER($N$13:$N$9314),IF($N$13:$N$9314&gt;0,$N$13:$N$9314))))</f>
        <v>47.333333333954215</v>
      </c>
      <c r="P5" s="2"/>
      <c r="R5" s="163" t="s">
        <v>17</v>
      </c>
      <c r="S5" s="183">
        <f>COUNTIFS($N$13:$N$9314,"&gt;0",$AG$13:$AG$9314,R1)</f>
        <v>34</v>
      </c>
      <c r="T5" s="184"/>
      <c r="U5" s="184"/>
      <c r="V5" s="180">
        <f>AVERAGEIFS($N$13:$N$9314,$AG$13:$AG$9314,R1)</f>
        <v>15.143627449630431</v>
      </c>
      <c r="W5" s="181">
        <f t="array" ref="W5">MIN(IF($AG$13:$AG$9314=R1,IF(ISNUMBER($N$13:$N$9314),IF($N$13:$N$9314&gt;0,$N$13:$N$9314))))</f>
        <v>11.550000007264316</v>
      </c>
      <c r="X5" s="182">
        <f t="array" ref="X5">MAX(IF($AG$13:$AG$9314=R1,IF(ISNUMBER($N$13:$N$9314),IF($N$13:$N$9314&gt;0,$N$13:$N$9314))))</f>
        <v>23.449999991571531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COUNT($O$13:$O$136)</f>
        <v>0</v>
      </c>
      <c r="K6" s="39"/>
      <c r="L6" s="184"/>
      <c r="M6" s="40">
        <f>IFERROR(AVERAGE($O$13:$O$136),0)</f>
        <v>0</v>
      </c>
      <c r="N6" s="38">
        <f>MIN($O$13:$O$136)</f>
        <v>0</v>
      </c>
      <c r="O6" s="3">
        <f>MAX($O$13:$O$136)</f>
        <v>0</v>
      </c>
      <c r="P6" s="2"/>
      <c r="R6" s="164" t="s">
        <v>43</v>
      </c>
      <c r="S6" s="183">
        <f>COUNT($O$13:$O$136)</f>
        <v>0</v>
      </c>
      <c r="T6" s="184"/>
      <c r="U6" s="184"/>
      <c r="V6" s="180">
        <f>IFERROR(AVERAGE($O$13:$O$136),0)</f>
        <v>0</v>
      </c>
      <c r="W6" s="181">
        <f>MIN($O$13:$O$136)</f>
        <v>0</v>
      </c>
      <c r="X6" s="182">
        <f>MAX($O$13:$O$136)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2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COUNTIFS($P$13:$P$9314,"&gt;0",$AG$13:$AG$9314,R1)</f>
        <v>2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84"/>
      <c r="M8" s="40">
        <f>M5</f>
        <v>37.549768518292694</v>
      </c>
      <c r="N8" s="38">
        <f>N5</f>
        <v>33.350000000791624</v>
      </c>
      <c r="O8" s="3">
        <f>O5</f>
        <v>47.333333333954215</v>
      </c>
      <c r="P8" s="2"/>
      <c r="R8" s="163" t="s">
        <v>16</v>
      </c>
      <c r="S8" s="183">
        <f>S5</f>
        <v>34</v>
      </c>
      <c r="T8" s="184"/>
      <c r="U8" s="184"/>
      <c r="V8" s="180">
        <f>V5</f>
        <v>15.143627449630431</v>
      </c>
      <c r="W8" s="181">
        <f>W5</f>
        <v>11.550000007264316</v>
      </c>
      <c r="X8" s="182">
        <f>X5</f>
        <v>23.449999991571531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0.94444444444444442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- 2017-09-09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AVERAGE(S13:S107)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646</v>
      </c>
      <c r="B13" s="7">
        <v>4054</v>
      </c>
      <c r="C13" s="21" t="s">
        <v>197</v>
      </c>
      <c r="D13" s="21" t="s">
        <v>375</v>
      </c>
      <c r="E13" s="13">
        <v>42987.131064814814</v>
      </c>
      <c r="F13" s="13">
        <v>42987.135613425926</v>
      </c>
      <c r="G13" s="7">
        <v>93</v>
      </c>
      <c r="H13" s="21" t="s">
        <v>431</v>
      </c>
      <c r="I13" s="13">
        <v>42987.160891203705</v>
      </c>
      <c r="J13" s="7">
        <v>0</v>
      </c>
      <c r="K13" s="89" t="str">
        <f t="shared" ref="K13:K76" si="0">IF(ISEVEN(B13),(B13-1)&amp;"/"&amp;B13,B13&amp;"/"&amp;(B13+1))</f>
        <v>4053/4054</v>
      </c>
      <c r="L13" s="214" t="str">
        <f>VLOOKUP(A13,'Trips&amp;Operators'!$C$1:$G$99911,5,FALSE)</f>
        <v>DE LA ROSA ALEX</v>
      </c>
      <c r="M13" s="6">
        <f t="shared" ref="M13:M76" si="1">I13-F13</f>
        <v>2.527777777868323E-2</v>
      </c>
      <c r="N13" s="7">
        <f t="shared" ref="N13:N44" si="2">24*60*SUM($M13:$M13)</f>
        <v>36.400000001303852</v>
      </c>
      <c r="O13" s="7"/>
      <c r="P13" s="7"/>
      <c r="Q13" s="22"/>
      <c r="R13" s="167"/>
      <c r="S13" s="210">
        <f t="shared" ref="S13:S44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-09T02:08:44-0600',mode:absolute,to:'2017-09-09T04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4" t="str">
        <f>IF(AA13&lt;VLOOKUP(AG13,Variables!$AC$3:$AD$8,2,FALSE),"Y","N")</f>
        <v>N</v>
      </c>
      <c r="X13" s="194" t="e">
        <f t="shared" ref="X13:X56" si="6">VALUE(LEFT(AD13,4))-VALUE(LEFT(AD12,4))</f>
        <v>#VALUE!</v>
      </c>
      <c r="Y13" s="194">
        <f t="shared" ref="Y13:Y44" si="7">RIGHT(D13,LEN(D13)-4)/10000</f>
        <v>4.6699999999999998E-2</v>
      </c>
      <c r="Z13" s="194">
        <f t="shared" ref="Z13:Z44" si="8">RIGHT(H13,LEN(H13)-4)/10000</f>
        <v>23.3293</v>
      </c>
      <c r="AA13" s="194">
        <f t="shared" ref="AA13:AA76" si="9">ABS(Z13-Y13)</f>
        <v>23.282599999999999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/stypes="app*4054*20170909*"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4054 --swversion DE.1.0.9.0 --startMP 204:467 --initTime 2017-09-09T03:08:44 --startdatetime 2017-09-09T03:15:17 --delay 93 --endMP 204:233293 --enddatetime 2017-09-09T03:51:41 --enforcementcount 0 &gt;&gt;C:\Users\stu\Documents\GitHub\eaglep3-reporting\EC\2017-09-09-refined-times.txt</v>
      </c>
      <c r="AI13" s="96" t="str">
        <f t="shared" ref="AI13:AI76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{"issue":{"subject":"","project_id":79,"tracker_id":40,"status_id":1,"priority_id":2,"assigned_to_id":338,"start_date":"2017-09-09","description":"","custom_fields":[{"id":1,"name":"Subdivision","value":"EC"},{"id":4,"name":"Milepost","value":"23.3293"},{"id":17,"name":"Train ID","value":"101-09"},{"id":16,"name":"Locomotive ID","value":"4054"},{"id":130,"name":"Impact","value":""},{"id":150,"name":"Time of Event (Mountain Time)","value":"03:51:41"},{"id":151,"name":"Denver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2017-09-09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653</v>
      </c>
      <c r="B14" s="7">
        <v>4053</v>
      </c>
      <c r="C14" s="21" t="s">
        <v>197</v>
      </c>
      <c r="D14" s="21" t="s">
        <v>583</v>
      </c>
      <c r="E14" s="13">
        <v>42987.171666666669</v>
      </c>
      <c r="F14" s="13">
        <v>42987.175266203703</v>
      </c>
      <c r="G14" s="7">
        <v>59</v>
      </c>
      <c r="H14" s="21" t="s">
        <v>501</v>
      </c>
      <c r="I14" s="13">
        <v>42987.201435185183</v>
      </c>
      <c r="J14" s="7">
        <v>0</v>
      </c>
      <c r="K14" s="89" t="str">
        <f t="shared" si="0"/>
        <v>4053/4054</v>
      </c>
      <c r="L14" s="214" t="str">
        <f>VLOOKUP(A14,'Trips&amp;Operators'!$C$1:$G$99911,5,FALSE)</f>
        <v>DE LA ROSA ALEX</v>
      </c>
      <c r="M14" s="6">
        <f t="shared" si="1"/>
        <v>2.6168981479713693E-2</v>
      </c>
      <c r="N14" s="7">
        <f t="shared" si="2"/>
        <v>37.683333330787718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-09T03:07:12-0600',mode:absolute,to:'2017-09-09T05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23.296299999999999</v>
      </c>
      <c r="Z14" s="194">
        <f t="shared" si="8"/>
        <v>1.3599999999999999E-2</v>
      </c>
      <c r="AA14" s="194">
        <f t="shared" si="9"/>
        <v>23.282699999999998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4" s="74" t="str">
        <f t="shared" si="12"/>
        <v>"C:\Program Files (x86)\AstroGrep\AstroGrep.exe" /e /r /s /spath="%USERPROFILE%\AppData\Local\Temp\OnboardLogs" /stypes="app*4053*20170909*"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4053 --swversion DE.1.0.9.0 --startMP 204:232963 --initTime 2017-09-09T04:07:12 --startdatetime 2017-09-09T04:12:23 --delay 59 --endMP 204:136 --enddatetime 2017-09-09T04:50:04 --enforcementcount 0 &gt;&gt;C:\Users\stu\Documents\GitHub\eaglep3-reporting\EC\2017-09-09-refined-times.txt</v>
      </c>
      <c r="AI1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{"issue":{"subject":"","project_id":79,"tracker_id":40,"status_id":1,"priority_id":2,"assigned_to_id":338,"start_date":"2017-09-09","description":"","custom_fields":[{"id":1,"name":"Subdivision","value":"EC"},{"id":4,"name":"Milepost","value":"0.0136"},{"id":17,"name":"Train ID","value":"102-09"},{"id":16,"name":"Locomotive ID","value":"4053"},{"id":130,"name":"Impact","value":""},{"id":150,"name":"Time of Event (Mountain Time)","value":"04:50:04"},{"id":151,"name":"Denver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19">"start /low /b "&amp;dls3logs&amp;" --loco "&amp;B14&amp;" --day "&amp;TEXT(F14,"YYYY-MM-DD")</f>
        <v>start /low /b %USERPROFILE%\Documents\GitHub\eaglep3\Utilities\DownloadLogsFromS3.py --loco 4053 --day 2017-09-09</v>
      </c>
      <c r="AN14" s="151" t="str">
        <f t="shared" ref="AN14:AN76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4044</v>
      </c>
      <c r="C15" s="21" t="s">
        <v>197</v>
      </c>
      <c r="D15" s="21" t="s">
        <v>390</v>
      </c>
      <c r="E15" s="13">
        <v>42987.148599537039</v>
      </c>
      <c r="F15" s="13">
        <v>42987.156469907408</v>
      </c>
      <c r="G15" s="7">
        <v>59</v>
      </c>
      <c r="H15" s="21" t="s">
        <v>842</v>
      </c>
      <c r="I15" s="13">
        <v>42987.180787037039</v>
      </c>
      <c r="J15" s="7">
        <v>0</v>
      </c>
      <c r="K15" s="89" t="str">
        <f t="shared" si="0"/>
        <v>4043/4044</v>
      </c>
      <c r="L15" s="214" t="str">
        <f>VLOOKUP(A15,'Trips&amp;Operators'!$C$1:$G$99911,5,FALSE)</f>
        <v>MAELZER KURT</v>
      </c>
      <c r="M15" s="6">
        <f t="shared" si="1"/>
        <v>2.4317129631526768E-2</v>
      </c>
      <c r="N15" s="7">
        <f t="shared" si="2"/>
        <v>35.016666669398546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-09T02:33:59-0600',mode:absolute,to:'2017-09-09T05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4.3700000000000003E-2</v>
      </c>
      <c r="Z15" s="194">
        <f t="shared" si="8"/>
        <v>23.338000000000001</v>
      </c>
      <c r="AA15" s="194">
        <f t="shared" si="9"/>
        <v>23.2943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15" s="74" t="str">
        <f t="shared" si="12"/>
        <v>"C:\Program Files (x86)\AstroGrep\AstroGrep.exe" /e /r /s /spath="%USERPROFILE%\AppData\Local\Temp\OnboardLogs" /stypes="app*4044*20170909*"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103-09 --locoid 4044 --swversion DE.1.0.9.0 --startMP 204:437 --initTime 2017-09-09T03:33:59 --startdatetime 2017-09-09T03:45:19 --delay 59 --endMP 204:233380 --enddatetime 2017-09-09T04:20:20 --enforcementcount 0 &gt;&gt;C:\Users\stu\Documents\GitHub\eaglep3-reporting\EC\2017-09-09-refined-times.txt</v>
      </c>
      <c r="AI1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{"issue":{"subject":"","project_id":79,"tracker_id":40,"status_id":1,"priority_id":2,"assigned_to_id":338,"start_date":"2017-09-09","description":"","custom_fields":[{"id":1,"name":"Subdivision","value":"EC"},{"id":4,"name":"Milepost","value":"23.338"},{"id":17,"name":"Train ID","value":"103-09"},{"id":16,"name":"Locomotive ID","value":"4044"},{"id":130,"name":"Impact","value":""},{"id":150,"name":"Time of Event (Mountain Time)","value":"04:20:20"},{"id":151,"name":"Denver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4044 --day 2017-09-09</v>
      </c>
      <c r="AN1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660</v>
      </c>
      <c r="B16" s="7">
        <v>4043</v>
      </c>
      <c r="C16" s="21" t="s">
        <v>197</v>
      </c>
      <c r="D16" s="21" t="s">
        <v>588</v>
      </c>
      <c r="E16" s="13">
        <v>42987.193622685183</v>
      </c>
      <c r="F16" s="13">
        <v>42987.19604166667</v>
      </c>
      <c r="G16" s="7">
        <v>48</v>
      </c>
      <c r="H16" s="21" t="s">
        <v>501</v>
      </c>
      <c r="I16" s="13">
        <v>42987.222557870373</v>
      </c>
      <c r="J16" s="7">
        <v>0</v>
      </c>
      <c r="K16" s="89" t="str">
        <f t="shared" si="0"/>
        <v>4043/4044</v>
      </c>
      <c r="L16" s="214" t="str">
        <f>VLOOKUP(A16,'Trips&amp;Operators'!$C$1:$G$99911,5,FALSE)</f>
        <v>MAELZER KURT</v>
      </c>
      <c r="M16" s="6">
        <f t="shared" si="1"/>
        <v>2.6516203703067731E-2</v>
      </c>
      <c r="N16" s="7">
        <f t="shared" si="2"/>
        <v>38.183333332417533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-09T03:38:49-0600',mode:absolute,to:'2017-09-09T06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23.305099999999999</v>
      </c>
      <c r="Z16" s="194">
        <f t="shared" si="8"/>
        <v>1.3599999999999999E-2</v>
      </c>
      <c r="AA16" s="194">
        <f t="shared" si="9"/>
        <v>23.291499999999999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16" s="74" t="str">
        <f t="shared" si="12"/>
        <v>"C:\Program Files (x86)\AstroGrep\AstroGrep.exe" /e /r /s /spath="%USERPROFILE%\AppData\Local\Temp\OnboardLogs" /stypes="app*4043*20170909*"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104-09 --locoid 4043 --swversion DE.1.0.9.0 --startMP 204:233051 --initTime 2017-09-09T04:38:49 --startdatetime 2017-09-09T04:42:18 --delay 48 --endMP 204:136 --enddatetime 2017-09-09T05:20:29 --enforcementcount 0 &gt;&gt;C:\Users\stu\Documents\GitHub\eaglep3-reporting\EC\2017-09-09-refined-times.txt</v>
      </c>
      <c r="AI1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{"issue":{"subject":"","project_id":79,"tracker_id":40,"status_id":1,"priority_id":2,"assigned_to_id":338,"start_date":"2017-09-09","description":"","custom_fields":[{"id":1,"name":"Subdivision","value":"EC"},{"id":4,"name":"Milepost","value":"0.0136"},{"id":17,"name":"Train ID","value":"104-09"},{"id":16,"name":"Locomotive ID","value":"4043"},{"id":130,"name":"Impact","value":""},{"id":150,"name":"Time of Event (Mountain Time)","value":"05:20:29"},{"id":151,"name":"Denver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4043 --day 2017-09-09</v>
      </c>
      <c r="AN1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652</v>
      </c>
      <c r="B17" s="7">
        <v>4050</v>
      </c>
      <c r="C17" s="21" t="s">
        <v>197</v>
      </c>
      <c r="D17" s="21" t="s">
        <v>570</v>
      </c>
      <c r="E17" s="13">
        <v>42987.171018518522</v>
      </c>
      <c r="F17" s="13">
        <v>42987.177256944444</v>
      </c>
      <c r="G17" s="7">
        <v>84</v>
      </c>
      <c r="H17" s="21" t="s">
        <v>843</v>
      </c>
      <c r="I17" s="13">
        <v>42987.203773148147</v>
      </c>
      <c r="J17" s="7">
        <v>0</v>
      </c>
      <c r="K17" s="89" t="str">
        <f t="shared" si="0"/>
        <v>4049/4050</v>
      </c>
      <c r="L17" s="214" t="str">
        <f>VLOOKUP(A17,'Trips&amp;Operators'!$C$1:$G$99911,5,FALSE)</f>
        <v>DAVIS WENDY</v>
      </c>
      <c r="M17" s="6">
        <f t="shared" si="1"/>
        <v>2.6516203703067731E-2</v>
      </c>
      <c r="N17" s="7">
        <f t="shared" si="2"/>
        <v>38.183333332417533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-09T03:06:16-0600',mode:absolute,to:'2017-09-09T05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4.6600000000000003E-2</v>
      </c>
      <c r="Z17" s="194">
        <f t="shared" si="8"/>
        <v>23.330100000000002</v>
      </c>
      <c r="AA17" s="194">
        <f t="shared" si="9"/>
        <v>23.2835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17" s="74" t="str">
        <f t="shared" si="12"/>
        <v>"C:\Program Files (x86)\AstroGrep\AstroGrep.exe" /e /r /s /spath="%USERPROFILE%\AppData\Local\Temp\OnboardLogs" /stypes="app*4050*20170909*"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105-09 --locoid 4050 --swversion DE.1.0.9.0 --startMP 204:466 --initTime 2017-09-09T04:06:16 --startdatetime 2017-09-09T04:15:15 --delay 84 --endMP 204:233301 --enddatetime 2017-09-09T04:53:26 --enforcementcount 0 &gt;&gt;C:\Users\stu\Documents\GitHub\eaglep3-reporting\EC\2017-09-09-refined-times.txt</v>
      </c>
      <c r="AI17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{"issue":{"subject":"","project_id":79,"tracker_id":40,"status_id":1,"priority_id":2,"assigned_to_id":338,"start_date":"2017-09-09","description":"","custom_fields":[{"id":1,"name":"Subdivision","value":"EC"},{"id":4,"name":"Milepost","value":"23.3301"},{"id":17,"name":"Train ID","value":"105-09"},{"id":16,"name":"Locomotive ID","value":"4050"},{"id":130,"name":"Impact","value":""},{"id":150,"name":"Time of Event (Mountain Time)","value":"04:53:26"},{"id":151,"name":"Denver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4050 --day 2017-09-09</v>
      </c>
      <c r="AN17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612</v>
      </c>
      <c r="B18" s="7">
        <v>4049</v>
      </c>
      <c r="C18" s="21" t="s">
        <v>197</v>
      </c>
      <c r="D18" s="21" t="s">
        <v>844</v>
      </c>
      <c r="E18" s="13">
        <v>42987.205300925925</v>
      </c>
      <c r="F18" s="13">
        <v>42987.216828703706</v>
      </c>
      <c r="G18" s="7">
        <v>70</v>
      </c>
      <c r="H18" s="21" t="s">
        <v>845</v>
      </c>
      <c r="I18" s="13">
        <v>42987.245775462965</v>
      </c>
      <c r="J18" s="7">
        <v>0</v>
      </c>
      <c r="K18" s="89" t="str">
        <f t="shared" si="0"/>
        <v>4049/4050</v>
      </c>
      <c r="L18" s="214" t="str">
        <f>VLOOKUP(A18,'Trips&amp;Operators'!$C$1:$G$99911,5,FALSE)</f>
        <v>DAVIS WENDY</v>
      </c>
      <c r="M18" s="6">
        <f t="shared" si="1"/>
        <v>2.8946759259270038E-2</v>
      </c>
      <c r="N18" s="7">
        <f t="shared" si="2"/>
        <v>41.683333333348855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-09T03:55:38-0600',mode:absolute,to:'2017-09-09T06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23.298200000000001</v>
      </c>
      <c r="Z18" s="194">
        <f t="shared" si="8"/>
        <v>2.01E-2</v>
      </c>
      <c r="AA18" s="194">
        <f t="shared" si="9"/>
        <v>23.278100000000002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18" s="74" t="str">
        <f t="shared" si="12"/>
        <v>"C:\Program Files (x86)\AstroGrep\AstroGrep.exe" /e /r /s /spath="%USERPROFILE%\AppData\Local\Temp\OnboardLogs" /stypes="app*4049*20170909*"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106-09 --locoid 4049 --swversion DE.1.0.9.0 --startMP 204:232982 --initTime 2017-09-09T04:55:38 --startdatetime 2017-09-09T05:12:14 --delay 70 --endMP 204:201 --enddatetime 2017-09-09T05:53:55 --enforcementcount 0 &gt;&gt;C:\Users\stu\Documents\GitHub\eaglep3-reporting\EC\2017-09-09-refined-times.txt</v>
      </c>
      <c r="AI18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{"issue":{"subject":"","project_id":79,"tracker_id":40,"status_id":1,"priority_id":2,"assigned_to_id":338,"start_date":"2017-09-09","description":"","custom_fields":[{"id":1,"name":"Subdivision","value":"EC"},{"id":4,"name":"Milepost","value":"0.0201"},{"id":17,"name":"Train ID","value":"106-09"},{"id":16,"name":"Locomotive ID","value":"4049"},{"id":130,"name":"Impact","value":""},{"id":150,"name":"Time of Event (Mountain Time)","value":"05:53:55"},{"id":151,"name":"Denver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4049 --day 2017-09-09</v>
      </c>
      <c r="AN18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658</v>
      </c>
      <c r="B19" s="7">
        <v>4026</v>
      </c>
      <c r="C19" s="21" t="s">
        <v>197</v>
      </c>
      <c r="D19" s="21" t="s">
        <v>529</v>
      </c>
      <c r="E19" s="13">
        <v>42987.183865740742</v>
      </c>
      <c r="F19" s="13">
        <v>42987.187719907408</v>
      </c>
      <c r="G19" s="7">
        <v>122</v>
      </c>
      <c r="H19" s="21" t="s">
        <v>580</v>
      </c>
      <c r="I19" s="13">
        <v>42987.212175925924</v>
      </c>
      <c r="J19" s="7">
        <v>0</v>
      </c>
      <c r="K19" s="89" t="str">
        <f t="shared" si="0"/>
        <v>4025/4026</v>
      </c>
      <c r="L19" s="214" t="str">
        <f>VLOOKUP(A19,'Trips&amp;Operators'!$C$1:$G$99911,5,FALSE)</f>
        <v>GEBRETEKLE DAGNEW</v>
      </c>
      <c r="M19" s="6">
        <f t="shared" si="1"/>
        <v>2.4456018516502809E-2</v>
      </c>
      <c r="N19" s="7">
        <f t="shared" si="2"/>
        <v>35.216666663764045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-09T03:24:46-0600',mode:absolute,to:'2017-09-09T06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4.4400000000000002E-2</v>
      </c>
      <c r="Z19" s="194">
        <f t="shared" si="8"/>
        <v>23.33</v>
      </c>
      <c r="AA19" s="194">
        <f t="shared" si="9"/>
        <v>23.285599999999999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19" s="74" t="str">
        <f t="shared" si="12"/>
        <v>"C:\Program Files (x86)\AstroGrep\AstroGrep.exe" /e /r /s /spath="%USERPROFILE%\AppData\Local\Temp\OnboardLogs" /stypes="app*4026*20170909*"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107-09 --locoid 4026 --swversion DE.1.0.9.0 --startMP 204:444 --initTime 2017-09-09T04:24:46 --startdatetime 2017-09-09T04:30:19 --delay 122 --endMP 204:233300 --enddatetime 2017-09-09T05:05:32 --enforcementcount 0 &gt;&gt;C:\Users\stu\Documents\GitHub\eaglep3-reporting\EC\2017-09-09-refined-times.txt</v>
      </c>
      <c r="AI19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{"issue":{"subject":"","project_id":79,"tracker_id":40,"status_id":1,"priority_id":2,"assigned_to_id":338,"start_date":"2017-09-09","description":"","custom_fields":[{"id":1,"name":"Subdivision","value":"EC"},{"id":4,"name":"Milepost","value":"23.33"},{"id":17,"name":"Train ID","value":"107-09"},{"id":16,"name":"Locomotive ID","value":"4026"},{"id":130,"name":"Impact","value":""},{"id":150,"name":"Time of Event (Mountain Time)","value":"05:05:32"},{"id":151,"name":"Denver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4026 --day 2017-09-09</v>
      </c>
      <c r="AN19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664</v>
      </c>
      <c r="B20" s="7">
        <v>4025</v>
      </c>
      <c r="C20" s="21" t="s">
        <v>197</v>
      </c>
      <c r="D20" s="21" t="s">
        <v>497</v>
      </c>
      <c r="E20" s="13">
        <v>42987.213321759256</v>
      </c>
      <c r="F20" s="13">
        <v>42987.227326388886</v>
      </c>
      <c r="G20" s="7">
        <v>58</v>
      </c>
      <c r="H20" s="21" t="s">
        <v>393</v>
      </c>
      <c r="I20" s="13">
        <v>42987.253263888888</v>
      </c>
      <c r="J20" s="7">
        <v>0</v>
      </c>
      <c r="K20" s="89" t="str">
        <f t="shared" si="0"/>
        <v>4025/4026</v>
      </c>
      <c r="L20" s="214" t="str">
        <f>VLOOKUP(A20,'Trips&amp;Operators'!$C$1:$G$99911,5,FALSE)</f>
        <v>GEBRETEKLE DAGNEW</v>
      </c>
      <c r="M20" s="6">
        <f t="shared" si="1"/>
        <v>2.5937500002328306E-2</v>
      </c>
      <c r="N20" s="7">
        <f t="shared" si="2"/>
        <v>37.350000003352761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-09T04:07:11-0600',mode:absolute,to:'2017-09-09T07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23.299099999999999</v>
      </c>
      <c r="Z20" s="194">
        <f t="shared" si="8"/>
        <v>1.6E-2</v>
      </c>
      <c r="AA20" s="194">
        <f t="shared" si="9"/>
        <v>23.283100000000001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20" s="74" t="str">
        <f t="shared" si="12"/>
        <v>"C:\Program Files (x86)\AstroGrep\AstroGrep.exe" /e /r /s /spath="%USERPROFILE%\AppData\Local\Temp\OnboardLogs" /stypes="app*4025*20170909*"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108-09 --locoid 4025 --swversion DE.1.0.9.0 --startMP 204:232991 --initTime 2017-09-09T05:07:11 --startdatetime 2017-09-09T05:27:21 --delay 58 --endMP 204:160 --enddatetime 2017-09-09T06:04:42 --enforcementcount 0 &gt;&gt;C:\Users\stu\Documents\GitHub\eaglep3-reporting\EC\2017-09-09-refined-times.txt</v>
      </c>
      <c r="AI20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{"issue":{"subject":"","project_id":79,"tracker_id":40,"status_id":1,"priority_id":2,"assigned_to_id":338,"start_date":"2017-09-09","description":"","custom_fields":[{"id":1,"name":"Subdivision","value":"EC"},{"id":4,"name":"Milepost","value":"0.016"},{"id":17,"name":"Train ID","value":"108-09"},{"id":16,"name":"Locomotive ID","value":"4025"},{"id":130,"name":"Impact","value":""},{"id":150,"name":"Time of Event (Mountain Time)","value":"06:04:42"},{"id":151,"name":"Denver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4025 --day 2017-09-09</v>
      </c>
      <c r="AN20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659</v>
      </c>
      <c r="B21" s="7">
        <v>4058</v>
      </c>
      <c r="C21" s="21" t="s">
        <v>197</v>
      </c>
      <c r="D21" s="21" t="s">
        <v>527</v>
      </c>
      <c r="E21" s="13">
        <v>42987.191817129627</v>
      </c>
      <c r="F21" s="13">
        <v>42987.198078703703</v>
      </c>
      <c r="G21" s="7">
        <v>62</v>
      </c>
      <c r="H21" s="21" t="s">
        <v>846</v>
      </c>
      <c r="I21" s="13">
        <v>42987.22184027778</v>
      </c>
      <c r="J21" s="7">
        <v>0</v>
      </c>
      <c r="K21" s="89" t="str">
        <f t="shared" si="0"/>
        <v>4057/4058</v>
      </c>
      <c r="L21" s="214" t="str">
        <f>VLOOKUP(A21,'Trips&amp;Operators'!$C$1:$G$99911,5,FALSE)</f>
        <v>LALONDE GREGORY</v>
      </c>
      <c r="M21" s="6">
        <f t="shared" si="1"/>
        <v>2.3761574077070691E-2</v>
      </c>
      <c r="N21" s="7">
        <f t="shared" si="2"/>
        <v>34.216666670981795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-09T03:36:13-0600',mode:absolute,to:'2017-09-09T06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4.5100000000000001E-2</v>
      </c>
      <c r="Z21" s="194">
        <f t="shared" si="8"/>
        <v>23.331800000000001</v>
      </c>
      <c r="AA21" s="194">
        <f t="shared" si="9"/>
        <v>23.2867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21" s="74" t="str">
        <f t="shared" si="12"/>
        <v>"C:\Program Files (x86)\AstroGrep\AstroGrep.exe" /e /r /s /spath="%USERPROFILE%\AppData\Local\Temp\OnboardLogs" /stypes="app*4058*20170909*"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109-09 --locoid 4058 --swversion DE.1.0.9.0 --startMP 204:451 --initTime 2017-09-09T04:36:13 --startdatetime 2017-09-09T04:45:14 --delay 62 --endMP 204:233318 --enddatetime 2017-09-09T05:19:27 --enforcementcount 0 &gt;&gt;C:\Users\stu\Documents\GitHub\eaglep3-reporting\EC\2017-09-09-refined-times.txt</v>
      </c>
      <c r="AI21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{"issue":{"subject":"","project_id":79,"tracker_id":40,"status_id":1,"priority_id":2,"assigned_to_id":338,"start_date":"2017-09-09","description":"","custom_fields":[{"id":1,"name":"Subdivision","value":"EC"},{"id":4,"name":"Milepost","value":"23.3318"},{"id":17,"name":"Train ID","value":"109-09"},{"id":16,"name":"Locomotive ID","value":"4058"},{"id":130,"name":"Impact","value":""},{"id":150,"name":"Time of Event (Mountain Time)","value":"05:19:27"},{"id":151,"name":"Denver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4058 --day 2017-09-09</v>
      </c>
      <c r="AN21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668</v>
      </c>
      <c r="B22" s="7">
        <v>4057</v>
      </c>
      <c r="C22" s="21" t="s">
        <v>197</v>
      </c>
      <c r="D22" s="21" t="s">
        <v>847</v>
      </c>
      <c r="E22" s="13">
        <v>42987.225810185184</v>
      </c>
      <c r="F22" s="13">
        <v>42987.237650462965</v>
      </c>
      <c r="G22" s="7">
        <v>57</v>
      </c>
      <c r="H22" s="21" t="s">
        <v>342</v>
      </c>
      <c r="I22" s="13">
        <v>42987.262662037036</v>
      </c>
      <c r="J22" s="7">
        <v>0</v>
      </c>
      <c r="K22" s="89" t="str">
        <f t="shared" si="0"/>
        <v>4057/4058</v>
      </c>
      <c r="L22" s="214" t="str">
        <f>VLOOKUP(A22,'Trips&amp;Operators'!$C$1:$G$99911,5,FALSE)</f>
        <v>LALONDE GREGORY</v>
      </c>
      <c r="M22" s="6">
        <f t="shared" si="1"/>
        <v>2.5011574070958886E-2</v>
      </c>
      <c r="N22" s="7">
        <f t="shared" si="2"/>
        <v>36.016666662180796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-09T04:25:10-0600',mode:absolute,to:'2017-09-09T07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23.300699999999999</v>
      </c>
      <c r="Z22" s="194">
        <f t="shared" si="8"/>
        <v>1.41E-2</v>
      </c>
      <c r="AA22" s="194">
        <f t="shared" si="9"/>
        <v>23.2866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22" s="74" t="str">
        <f t="shared" si="12"/>
        <v>"C:\Program Files (x86)\AstroGrep\AstroGrep.exe" /e /r /s /spath="%USERPROFILE%\AppData\Local\Temp\OnboardLogs" /stypes="app*4057*20170909*"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110-09 --locoid 4057 --swversion DE.1.0.9.0 --startMP 204:233007 --initTime 2017-09-09T05:25:10 --startdatetime 2017-09-09T05:42:13 --delay 57 --endMP 204:141 --enddatetime 2017-09-09T06:18:14 --enforcementcount 0 &gt;&gt;C:\Users\stu\Documents\GitHub\eaglep3-reporting\EC\2017-09-09-refined-times.txt</v>
      </c>
      <c r="AI22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{"issue":{"subject":"","project_id":79,"tracker_id":40,"status_id":1,"priority_id":2,"assigned_to_id":338,"start_date":"2017-09-09","description":"","custom_fields":[{"id":1,"name":"Subdivision","value":"EC"},{"id":4,"name":"Milepost","value":"0.0141"},{"id":17,"name":"Train ID","value":"110-09"},{"id":16,"name":"Locomotive ID","value":"4057"},{"id":130,"name":"Impact","value":""},{"id":150,"name":"Time of Event (Mountain Time)","value":"06:18:14"},{"id":151,"name":"Denver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4057 --day 2017-09-09</v>
      </c>
      <c r="AN22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662</v>
      </c>
      <c r="B23" s="7">
        <v>4054</v>
      </c>
      <c r="C23" s="21" t="s">
        <v>197</v>
      </c>
      <c r="D23" s="21" t="s">
        <v>593</v>
      </c>
      <c r="E23" s="13">
        <v>42987.20616898148</v>
      </c>
      <c r="F23" s="13">
        <v>42987.20857638889</v>
      </c>
      <c r="G23" s="7">
        <v>53</v>
      </c>
      <c r="H23" s="21" t="s">
        <v>433</v>
      </c>
      <c r="I23" s="13">
        <v>42987.234467592592</v>
      </c>
      <c r="J23" s="7">
        <v>0</v>
      </c>
      <c r="K23" s="89" t="str">
        <f t="shared" si="0"/>
        <v>4053/4054</v>
      </c>
      <c r="L23" s="214" t="str">
        <f>VLOOKUP(A23,'Trips&amp;Operators'!$C$1:$G$99911,5,FALSE)</f>
        <v>DE LA ROSA ALEX</v>
      </c>
      <c r="M23" s="6">
        <f t="shared" si="1"/>
        <v>2.5891203702485655E-2</v>
      </c>
      <c r="N23" s="7">
        <f t="shared" si="2"/>
        <v>37.283333331579342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-09T03:56:53-0600',mode:absolute,to:'2017-09-09T06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4.2700000000000002E-2</v>
      </c>
      <c r="Z23" s="194">
        <f t="shared" si="8"/>
        <v>23.331700000000001</v>
      </c>
      <c r="AA23" s="194">
        <f t="shared" si="9"/>
        <v>23.289000000000001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23" s="74" t="str">
        <f t="shared" si="12"/>
        <v>"C:\Program Files (x86)\AstroGrep\AstroGrep.exe" /e /r /s /spath="%USERPROFILE%\AppData\Local\Temp\OnboardLogs" /stypes="app*4054*20170909*"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111-09 --locoid 4054 --swversion DE.1.0.9.0 --startMP 204:427 --initTime 2017-09-09T04:56:53 --startdatetime 2017-09-09T05:00:21 --delay 53 --endMP 204:233317 --enddatetime 2017-09-09T05:37:38 --enforcementcount 0 &gt;&gt;C:\Users\stu\Documents\GitHub\eaglep3-reporting\EC\2017-09-09-refined-times.txt</v>
      </c>
      <c r="AI23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{"issue":{"subject":"","project_id":79,"tracker_id":40,"status_id":1,"priority_id":2,"assigned_to_id":338,"start_date":"2017-09-09","description":"","custom_fields":[{"id":1,"name":"Subdivision","value":"EC"},{"id":4,"name":"Milepost","value":"23.3317"},{"id":17,"name":"Train ID","value":"111-09"},{"id":16,"name":"Locomotive ID","value":"4054"},{"id":130,"name":"Impact","value":""},{"id":150,"name":"Time of Event (Mountain Time)","value":"05:37:38"},{"id":151,"name":"Denver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4054 --day 2017-09-09</v>
      </c>
      <c r="AN23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673</v>
      </c>
      <c r="B24" s="7">
        <v>4053</v>
      </c>
      <c r="C24" s="21" t="s">
        <v>197</v>
      </c>
      <c r="D24" s="21" t="s">
        <v>848</v>
      </c>
      <c r="E24" s="13">
        <v>42987.24523148148</v>
      </c>
      <c r="F24" s="13">
        <v>42987.248136574075</v>
      </c>
      <c r="G24" s="7">
        <v>51</v>
      </c>
      <c r="H24" s="21" t="s">
        <v>343</v>
      </c>
      <c r="I24" s="13">
        <v>42987.274236111109</v>
      </c>
      <c r="J24" s="7">
        <v>0</v>
      </c>
      <c r="K24" s="89" t="str">
        <f t="shared" si="0"/>
        <v>4053/4054</v>
      </c>
      <c r="L24" s="214" t="str">
        <f>VLOOKUP(A24,'Trips&amp;Operators'!$C$1:$G$99911,5,FALSE)</f>
        <v>DE LA ROSA ALEX</v>
      </c>
      <c r="M24" s="6">
        <f t="shared" si="1"/>
        <v>2.6099537033587694E-2</v>
      </c>
      <c r="N24" s="7">
        <f t="shared" si="2"/>
        <v>37.58333332836628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-09T04:53:08-0600',mode:absolute,to:'2017-09-09T07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23.298500000000001</v>
      </c>
      <c r="Z24" s="194">
        <f t="shared" si="8"/>
        <v>1.47E-2</v>
      </c>
      <c r="AA24" s="194">
        <f t="shared" si="9"/>
        <v>23.283799999999999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24" s="74" t="str">
        <f t="shared" si="12"/>
        <v>"C:\Program Files (x86)\AstroGrep\AstroGrep.exe" /e /r /s /spath="%USERPROFILE%\AppData\Local\Temp\OnboardLogs" /stypes="app*4053*20170909*"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112-09 --locoid 4053 --swversion DE.1.0.9.0 --startMP 204:232985 --initTime 2017-09-09T05:53:08 --startdatetime 2017-09-09T05:57:19 --delay 51 --endMP 204:147 --enddatetime 2017-09-09T06:34:54 --enforcementcount 0 &gt;&gt;C:\Users\stu\Documents\GitHub\eaglep3-reporting\EC\2017-09-09-refined-times.txt</v>
      </c>
      <c r="AI2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{"issue":{"subject":"","project_id":79,"tracker_id":40,"status_id":1,"priority_id":2,"assigned_to_id":338,"start_date":"2017-09-09","description":"","custom_fields":[{"id":1,"name":"Subdivision","value":"EC"},{"id":4,"name":"Milepost","value":"0.0147"},{"id":17,"name":"Train ID","value":"112-09"},{"id":16,"name":"Locomotive ID","value":"4053"},{"id":130,"name":"Impact","value":""},{"id":150,"name":"Time of Event (Mountain Time)","value":"06:34:54"},{"id":151,"name":"Denver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4053 --day 2017-09-09</v>
      </c>
      <c r="AN24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663</v>
      </c>
      <c r="B25" s="7">
        <v>4010</v>
      </c>
      <c r="C25" s="21" t="s">
        <v>197</v>
      </c>
      <c r="D25" s="21" t="s">
        <v>849</v>
      </c>
      <c r="E25" s="13">
        <v>42987.209074074075</v>
      </c>
      <c r="F25" s="13">
        <v>42987.218993055554</v>
      </c>
      <c r="G25" s="7">
        <v>553</v>
      </c>
      <c r="H25" s="21" t="s">
        <v>850</v>
      </c>
      <c r="I25" s="13">
        <v>42987.243171296293</v>
      </c>
      <c r="J25" s="7">
        <v>0</v>
      </c>
      <c r="K25" s="89" t="str">
        <f t="shared" si="0"/>
        <v>4009/4010</v>
      </c>
      <c r="L25" s="214" t="str">
        <f>VLOOKUP(A25,'Trips&amp;Operators'!$C$1:$G$99911,5,FALSE)</f>
        <v>MACDONALD THOMAS</v>
      </c>
      <c r="M25" s="6">
        <f t="shared" si="1"/>
        <v>2.417824073927477E-2</v>
      </c>
      <c r="N25" s="7">
        <f t="shared" si="2"/>
        <v>34.816666664555669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-09T04:01:04-0600',mode:absolute,to:'2017-09-09T06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4.82E-2</v>
      </c>
      <c r="Z25" s="194">
        <f t="shared" si="8"/>
        <v>23.327999999999999</v>
      </c>
      <c r="AA25" s="194">
        <f t="shared" si="9"/>
        <v>23.279799999999998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25" s="74" t="str">
        <f t="shared" si="12"/>
        <v>"C:\Program Files (x86)\AstroGrep\AstroGrep.exe" /e /r /s /spath="%USERPROFILE%\AppData\Local\Temp\OnboardLogs" /stypes="app*4010*20170909*"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113-09 --locoid 4010 --swversion DE.1.0.9.0 --startMP 204:482 --initTime 2017-09-09T05:01:04 --startdatetime 2017-09-09T05:15:21 --delay 553 --endMP 204:233280 --enddatetime 2017-09-09T05:50:10 --enforcementcount 0 &gt;&gt;C:\Users\stu\Documents\GitHub\eaglep3-reporting\EC\2017-09-09-refined-times.txt</v>
      </c>
      <c r="AI2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{"issue":{"subject":"","project_id":79,"tracker_id":40,"status_id":1,"priority_id":2,"assigned_to_id":338,"start_date":"2017-09-09","description":"","custom_fields":[{"id":1,"name":"Subdivision","value":"EC"},{"id":4,"name":"Milepost","value":"23.328"},{"id":17,"name":"Train ID","value":"113-09"},{"id":16,"name":"Locomotive ID","value":"4010"},{"id":130,"name":"Impact","value":""},{"id":150,"name":"Time of Event (Mountain Time)","value":"05:50:10"},{"id":151,"name":"Denver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4010 --day 2017-09-09</v>
      </c>
      <c r="AN2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676</v>
      </c>
      <c r="B26" s="7">
        <v>4009</v>
      </c>
      <c r="C26" s="21" t="s">
        <v>197</v>
      </c>
      <c r="D26" s="21" t="s">
        <v>579</v>
      </c>
      <c r="E26" s="13">
        <v>42987.257581018515</v>
      </c>
      <c r="F26" s="13">
        <v>42987.258645833332</v>
      </c>
      <c r="G26" s="7">
        <v>52</v>
      </c>
      <c r="H26" s="21" t="s">
        <v>385</v>
      </c>
      <c r="I26" s="13">
        <v>42987.285428240742</v>
      </c>
      <c r="J26" s="7">
        <v>0</v>
      </c>
      <c r="K26" s="89" t="str">
        <f t="shared" si="0"/>
        <v>4009/4010</v>
      </c>
      <c r="L26" s="214" t="str">
        <f>VLOOKUP(A26,'Trips&amp;Operators'!$C$1:$G$99911,5,FALSE)</f>
        <v>MACDONALD THOMAS</v>
      </c>
      <c r="M26" s="6">
        <f t="shared" si="1"/>
        <v>2.6782407410792075E-2</v>
      </c>
      <c r="N26" s="7">
        <f t="shared" si="2"/>
        <v>38.566666671540588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-09T05:10:55-0600',mode:absolute,to:'2017-09-09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23.2959</v>
      </c>
      <c r="Z26" s="194">
        <f t="shared" si="8"/>
        <v>1.61E-2</v>
      </c>
      <c r="AA26" s="194">
        <f t="shared" si="9"/>
        <v>23.279799999999998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26" s="74" t="str">
        <f t="shared" si="12"/>
        <v>"C:\Program Files (x86)\AstroGrep\AstroGrep.exe" /e /r /s /spath="%USERPROFILE%\AppData\Local\Temp\OnboardLogs" /stypes="app*4009*20170909*"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114-09 --locoid 4009 --swversion DE.1.0.9.0 --startMP 204:232959 --initTime 2017-09-09T06:10:55 --startdatetime 2017-09-09T06:12:27 --delay 52 --endMP 204:161 --enddatetime 2017-09-09T06:51:01 --enforcementcount 0 &gt;&gt;C:\Users\stu\Documents\GitHub\eaglep3-reporting\EC\2017-09-09-refined-times.txt</v>
      </c>
      <c r="AI2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{"issue":{"subject":"","project_id":79,"tracker_id":40,"status_id":1,"priority_id":2,"assigned_to_id":338,"start_date":"2017-09-09","description":"","custom_fields":[{"id":1,"name":"Subdivision","value":"EC"},{"id":4,"name":"Milepost","value":"0.0161"},{"id":17,"name":"Train ID","value":"114-09"},{"id":16,"name":"Locomotive ID","value":"4009"},{"id":130,"name":"Impact","value":""},{"id":150,"name":"Time of Event (Mountain Time)","value":"06:51:01"},{"id":151,"name":"Denver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4009 --day 2017-09-09</v>
      </c>
      <c r="AN2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669</v>
      </c>
      <c r="B27" s="7">
        <v>4044</v>
      </c>
      <c r="C27" s="21" t="s">
        <v>197</v>
      </c>
      <c r="D27" s="21" t="s">
        <v>434</v>
      </c>
      <c r="E27" s="13">
        <v>42987.226793981485</v>
      </c>
      <c r="F27" s="13">
        <v>42987.229386574072</v>
      </c>
      <c r="G27" s="7">
        <v>47</v>
      </c>
      <c r="H27" s="21" t="s">
        <v>569</v>
      </c>
      <c r="I27" s="13">
        <v>42987.254050925927</v>
      </c>
      <c r="J27" s="7">
        <v>0</v>
      </c>
      <c r="K27" s="89" t="str">
        <f t="shared" si="0"/>
        <v>4043/4044</v>
      </c>
      <c r="L27" s="214" t="str">
        <f>VLOOKUP(A27,'Trips&amp;Operators'!$C$1:$G$99911,5,FALSE)</f>
        <v>MAELZER KURT</v>
      </c>
      <c r="M27" s="6">
        <f t="shared" si="1"/>
        <v>2.4664351854880806E-2</v>
      </c>
      <c r="N27" s="7">
        <f t="shared" si="2"/>
        <v>35.516666671028361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-09T04:26:35-0600',mode:absolute,to:'2017-09-09T07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4.3999999999999997E-2</v>
      </c>
      <c r="Z27" s="194">
        <f t="shared" si="8"/>
        <v>23.331900000000001</v>
      </c>
      <c r="AA27" s="194">
        <f t="shared" si="9"/>
        <v>23.2879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27" s="74" t="str">
        <f t="shared" si="12"/>
        <v>"C:\Program Files (x86)\AstroGrep\AstroGrep.exe" /e /r /s /spath="%USERPROFILE%\AppData\Local\Temp\OnboardLogs" /stypes="app*4044*20170909*"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115-09 --locoid 4044 --swversion DE.1.0.9.0 --startMP 204:440 --initTime 2017-09-09T05:26:35 --startdatetime 2017-09-09T05:30:19 --delay 47 --endMP 204:233319 --enddatetime 2017-09-09T06:05:50 --enforcementcount 0 &gt;&gt;C:\Users\stu\Documents\GitHub\eaglep3-reporting\EC\2017-09-09-refined-times.txt</v>
      </c>
      <c r="AI27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{"issue":{"subject":"","project_id":79,"tracker_id":40,"status_id":1,"priority_id":2,"assigned_to_id":338,"start_date":"2017-09-09","description":"","custom_fields":[{"id":1,"name":"Subdivision","value":"EC"},{"id":4,"name":"Milepost","value":"23.3319"},{"id":17,"name":"Train ID","value":"115-09"},{"id":16,"name":"Locomotive ID","value":"4044"},{"id":130,"name":"Impact","value":""},{"id":150,"name":"Time of Event (Mountain Time)","value":"06:05:50"},{"id":151,"name":"Denver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4044 --day 2017-09-09</v>
      </c>
      <c r="AN27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677</v>
      </c>
      <c r="B28" s="7">
        <v>4043</v>
      </c>
      <c r="C28" s="21" t="s">
        <v>197</v>
      </c>
      <c r="D28" s="21" t="s">
        <v>437</v>
      </c>
      <c r="E28" s="13">
        <v>42987.261516203704</v>
      </c>
      <c r="F28" s="13">
        <v>42987.269074074073</v>
      </c>
      <c r="G28" s="7">
        <v>50</v>
      </c>
      <c r="H28" s="21" t="s">
        <v>530</v>
      </c>
      <c r="I28" s="13">
        <v>42987.294976851852</v>
      </c>
      <c r="J28" s="7">
        <v>0</v>
      </c>
      <c r="K28" s="89" t="str">
        <f t="shared" si="0"/>
        <v>4043/4044</v>
      </c>
      <c r="L28" s="214" t="str">
        <f>VLOOKUP(A28,'Trips&amp;Operators'!$C$1:$G$99911,5,FALSE)</f>
        <v>MAELZER KURT</v>
      </c>
      <c r="M28" s="6">
        <f t="shared" si="1"/>
        <v>2.5902777779265307E-2</v>
      </c>
      <c r="N28" s="7">
        <f t="shared" si="2"/>
        <v>37.300000002142042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-09T05:16:35-0600',mode:absolute,to:'2017-09-09T08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23.3004</v>
      </c>
      <c r="Z28" s="194">
        <f t="shared" si="8"/>
        <v>1.32E-2</v>
      </c>
      <c r="AA28" s="194">
        <f t="shared" si="9"/>
        <v>23.287199999999999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28" s="74" t="str">
        <f t="shared" si="12"/>
        <v>"C:\Program Files (x86)\AstroGrep\AstroGrep.exe" /e /r /s /spath="%USERPROFILE%\AppData\Local\Temp\OnboardLogs" /stypes="app*4043*20170909*"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116-09 --locoid 4043 --swversion DE.1.0.9.0 --startMP 204:233004 --initTime 2017-09-09T06:16:35 --startdatetime 2017-09-09T06:27:28 --delay 50 --endMP 204:132 --enddatetime 2017-09-09T07:04:46 --enforcementcount 0 &gt;&gt;C:\Users\stu\Documents\GitHub\eaglep3-reporting\EC\2017-09-09-refined-times.txt</v>
      </c>
      <c r="AI28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{"issue":{"subject":"","project_id":79,"tracker_id":40,"status_id":1,"priority_id":2,"assigned_to_id":338,"start_date":"2017-09-09","description":"","custom_fields":[{"id":1,"name":"Subdivision","value":"EC"},{"id":4,"name":"Milepost","value":"0.0132"},{"id":17,"name":"Train ID","value":"116-09"},{"id":16,"name":"Locomotive ID","value":"4043"},{"id":130,"name":"Impact","value":""},{"id":150,"name":"Time of Event (Mountain Time)","value":"07:04:46"},{"id":151,"name":"Denver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4043 --day 2017-09-09</v>
      </c>
      <c r="AN28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672</v>
      </c>
      <c r="B29" s="7">
        <v>4046</v>
      </c>
      <c r="C29" s="21" t="s">
        <v>197</v>
      </c>
      <c r="D29" s="21" t="s">
        <v>341</v>
      </c>
      <c r="E29" s="13">
        <v>42987.237442129626</v>
      </c>
      <c r="F29" s="13">
        <v>42987.239849537036</v>
      </c>
      <c r="G29" s="7">
        <v>80</v>
      </c>
      <c r="H29" s="21" t="s">
        <v>504</v>
      </c>
      <c r="I29" s="13">
        <v>42987.272719907407</v>
      </c>
      <c r="J29" s="7">
        <v>0</v>
      </c>
      <c r="K29" s="89" t="str">
        <f t="shared" si="0"/>
        <v>4045/4046</v>
      </c>
      <c r="L29" s="214" t="str">
        <f>VLOOKUP(A29,'Trips&amp;Operators'!$C$1:$G$99911,5,FALSE)</f>
        <v>WILLIAMS DONTE</v>
      </c>
      <c r="M29" s="6">
        <f t="shared" si="1"/>
        <v>3.2870370370801538E-2</v>
      </c>
      <c r="N29" s="7">
        <f t="shared" si="2"/>
        <v>47.333333333954215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-09T04:41:55-0600',mode:absolute,to:'2017-09-09T07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4.53E-2</v>
      </c>
      <c r="Z29" s="194">
        <f t="shared" si="8"/>
        <v>23.329899999999999</v>
      </c>
      <c r="AA29" s="194">
        <f t="shared" si="9"/>
        <v>23.284599999999998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29" s="74" t="str">
        <f t="shared" si="12"/>
        <v>"C:\Program Files (x86)\AstroGrep\AstroGrep.exe" /e /r /s /spath="%USERPROFILE%\AppData\Local\Temp\OnboardLogs" /stypes="app*4046*20170909*"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117-09 --locoid 4046 --swversion DE.1.0.9.0 --startMP 204:453 --initTime 2017-09-09T05:41:55 --startdatetime 2017-09-09T05:45:23 --delay 80 --endMP 204:233299 --enddatetime 2017-09-09T06:32:43 --enforcementcount 0 &gt;&gt;C:\Users\stu\Documents\GitHub\eaglep3-reporting\EC\2017-09-09-refined-times.txt</v>
      </c>
      <c r="AI29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{"issue":{"subject":"","project_id":79,"tracker_id":40,"status_id":1,"priority_id":2,"assigned_to_id":338,"start_date":"2017-09-09","description":"","custom_fields":[{"id":1,"name":"Subdivision","value":"EC"},{"id":4,"name":"Milepost","value":"23.3299"},{"id":17,"name":"Train ID","value":"117-09"},{"id":16,"name":"Locomotive ID","value":"4046"},{"id":130,"name":"Impact","value":""},{"id":150,"name":"Time of Event (Mountain Time)","value":"06:32:43"},{"id":151,"name":"Denver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4046 --day 2017-09-09</v>
      </c>
      <c r="AN29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680</v>
      </c>
      <c r="B30" s="7">
        <v>4045</v>
      </c>
      <c r="C30" s="21" t="s">
        <v>197</v>
      </c>
      <c r="D30" s="21" t="s">
        <v>403</v>
      </c>
      <c r="E30" s="13">
        <v>42987.275543981479</v>
      </c>
      <c r="F30" s="13">
        <v>42987.279432870368</v>
      </c>
      <c r="G30" s="7">
        <v>95</v>
      </c>
      <c r="H30" s="21" t="s">
        <v>396</v>
      </c>
      <c r="I30" s="13">
        <v>42987.306064814817</v>
      </c>
      <c r="J30" s="7">
        <v>0</v>
      </c>
      <c r="K30" s="89" t="str">
        <f t="shared" si="0"/>
        <v>4045/4046</v>
      </c>
      <c r="L30" s="214" t="str">
        <f>VLOOKUP(A30,'Trips&amp;Operators'!$C$1:$G$99911,5,FALSE)</f>
        <v>WILLIAMS DONTE</v>
      </c>
      <c r="M30" s="6">
        <f t="shared" si="1"/>
        <v>2.6631944449036382E-2</v>
      </c>
      <c r="N30" s="7">
        <f t="shared" si="2"/>
        <v>38.35000000661239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-09T05:36:47-0600',mode:absolute,to:'2017-09-09T08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23.297499999999999</v>
      </c>
      <c r="Z30" s="194">
        <f t="shared" si="8"/>
        <v>1.5800000000000002E-2</v>
      </c>
      <c r="AA30" s="194">
        <f t="shared" si="9"/>
        <v>23.281700000000001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30" s="74" t="str">
        <f t="shared" si="12"/>
        <v>"C:\Program Files (x86)\AstroGrep\AstroGrep.exe" /e /r /s /spath="%USERPROFILE%\AppData\Local\Temp\OnboardLogs" /stypes="app*4045*20170909*"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118-09 --locoid 4045 --swversion DE.1.0.9.0 --startMP 204:232975 --initTime 2017-09-09T06:36:47 --startdatetime 2017-09-09T06:42:23 --delay 95 --endMP 204:158 --enddatetime 2017-09-09T07:20:44 --enforcementcount 0 &gt;&gt;C:\Users\stu\Documents\GitHub\eaglep3-reporting\EC\2017-09-09-refined-times.txt</v>
      </c>
      <c r="AI30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{"issue":{"subject":"","project_id":79,"tracker_id":40,"status_id":1,"priority_id":2,"assigned_to_id":338,"start_date":"2017-09-09","description":"","custom_fields":[{"id":1,"name":"Subdivision","value":"EC"},{"id":4,"name":"Milepost","value":"0.0158"},{"id":17,"name":"Train ID","value":"118-09"},{"id":16,"name":"Locomotive ID","value":"4045"},{"id":130,"name":"Impact","value":""},{"id":150,"name":"Time of Event (Mountain Time)","value":"07:20:44"},{"id":151,"name":"Denver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4045 --day 2017-09-09</v>
      </c>
      <c r="AN30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674</v>
      </c>
      <c r="B31" s="7">
        <v>4050</v>
      </c>
      <c r="C31" s="21" t="s">
        <v>197</v>
      </c>
      <c r="D31" s="21" t="s">
        <v>851</v>
      </c>
      <c r="E31" s="13">
        <v>42987.24732638889</v>
      </c>
      <c r="F31" s="13">
        <v>42987.250185185185</v>
      </c>
      <c r="G31" s="7">
        <v>61</v>
      </c>
      <c r="H31" s="21" t="s">
        <v>405</v>
      </c>
      <c r="I31" s="13">
        <v>42987.276747685188</v>
      </c>
      <c r="J31" s="7">
        <v>0</v>
      </c>
      <c r="K31" s="89" t="str">
        <f t="shared" si="0"/>
        <v>4049/4050</v>
      </c>
      <c r="L31" s="214" t="str">
        <f>VLOOKUP(A31,'Trips&amp;Operators'!$C$1:$G$99911,5,FALSE)</f>
        <v>DAVIS WENDY</v>
      </c>
      <c r="M31" s="6">
        <f t="shared" si="1"/>
        <v>2.6562500002910383E-2</v>
      </c>
      <c r="N31" s="7">
        <f t="shared" si="2"/>
        <v>38.250000004190952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-09T04:56:09-0600',mode:absolute,to:'2017-09-09T07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5.11E-2</v>
      </c>
      <c r="Z31" s="194">
        <f t="shared" si="8"/>
        <v>23.331399999999999</v>
      </c>
      <c r="AA31" s="194">
        <f t="shared" si="9"/>
        <v>23.280299999999997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31" s="74" t="str">
        <f t="shared" si="12"/>
        <v>"C:\Program Files (x86)\AstroGrep\AstroGrep.exe" /e /r /s /spath="%USERPROFILE%\AppData\Local\Temp\OnboardLogs" /stypes="app*4050*20170909*"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119-09 --locoid 4050 --swversion DE.1.0.9.0 --startMP 204:511 --initTime 2017-09-09T05:56:09 --startdatetime 2017-09-09T06:00:16 --delay 61 --endMP 204:233314 --enddatetime 2017-09-09T06:38:31 --enforcementcount 0 &gt;&gt;C:\Users\stu\Documents\GitHub\eaglep3-reporting\EC\2017-09-09-refined-times.txt</v>
      </c>
      <c r="AI31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{"issue":{"subject":"","project_id":79,"tracker_id":40,"status_id":1,"priority_id":2,"assigned_to_id":338,"start_date":"2017-09-09","description":"","custom_fields":[{"id":1,"name":"Subdivision","value":"EC"},{"id":4,"name":"Milepost","value":"23.3314"},{"id":17,"name":"Train ID","value":"119-09"},{"id":16,"name":"Locomotive ID","value":"4050"},{"id":130,"name":"Impact","value":""},{"id":150,"name":"Time of Event (Mountain Time)","value":"06:38:31"},{"id":151,"name":"Denver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4050 --day 2017-09-09</v>
      </c>
      <c r="AN31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614</v>
      </c>
      <c r="B32" s="7">
        <v>4049</v>
      </c>
      <c r="C32" s="21" t="s">
        <v>197</v>
      </c>
      <c r="D32" s="21" t="s">
        <v>577</v>
      </c>
      <c r="E32" s="13">
        <v>42987.278171296297</v>
      </c>
      <c r="F32" s="13">
        <v>42987.289756944447</v>
      </c>
      <c r="G32" s="7">
        <v>70</v>
      </c>
      <c r="H32" s="21" t="s">
        <v>339</v>
      </c>
      <c r="I32" s="13">
        <v>42987.316712962966</v>
      </c>
      <c r="J32" s="7">
        <v>0</v>
      </c>
      <c r="K32" s="89" t="str">
        <f t="shared" si="0"/>
        <v>4049/4050</v>
      </c>
      <c r="L32" s="214" t="str">
        <f>VLOOKUP(A32,'Trips&amp;Operators'!$C$1:$G$99911,5,FALSE)</f>
        <v>DAVIS WENDY</v>
      </c>
      <c r="M32" s="6">
        <f t="shared" si="1"/>
        <v>2.6956018518831115E-2</v>
      </c>
      <c r="N32" s="7">
        <f t="shared" si="2"/>
        <v>38.816666667116806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-09T05:40:34-0600',mode:absolute,to:'2017-09-09T08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23.298300000000001</v>
      </c>
      <c r="Z32" s="194">
        <f t="shared" si="8"/>
        <v>1.49E-2</v>
      </c>
      <c r="AA32" s="194">
        <f t="shared" si="9"/>
        <v>23.2834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32" s="74" t="str">
        <f t="shared" si="12"/>
        <v>"C:\Program Files (x86)\AstroGrep\AstroGrep.exe" /e /r /s /spath="%USERPROFILE%\AppData\Local\Temp\OnboardLogs" /stypes="app*4049*20170909*"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120-09 --locoid 4049 --swversion DE.1.0.9.0 --startMP 204:232983 --initTime 2017-09-09T06:40:34 --startdatetime 2017-09-09T06:57:15 --delay 70 --endMP 204:149 --enddatetime 2017-09-09T07:36:04 --enforcementcount 0 &gt;&gt;C:\Users\stu\Documents\GitHub\eaglep3-reporting\EC\2017-09-09-refined-times.txt</v>
      </c>
      <c r="AI32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{"issue":{"subject":"","project_id":79,"tracker_id":40,"status_id":1,"priority_id":2,"assigned_to_id":338,"start_date":"2017-09-09","description":"","custom_fields":[{"id":1,"name":"Subdivision","value":"EC"},{"id":4,"name":"Milepost","value":"0.0149"},{"id":17,"name":"Train ID","value":"120-09"},{"id":16,"name":"Locomotive ID","value":"4049"},{"id":130,"name":"Impact","value":""},{"id":150,"name":"Time of Event (Mountain Time)","value":"07:36:04"},{"id":151,"name":"Denver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4049 --day 2017-09-09</v>
      </c>
      <c r="AN32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613</v>
      </c>
      <c r="B33" s="7">
        <v>4026</v>
      </c>
      <c r="C33" s="21" t="s">
        <v>197</v>
      </c>
      <c r="D33" s="21" t="s">
        <v>391</v>
      </c>
      <c r="E33" s="13">
        <v>42987.255335648151</v>
      </c>
      <c r="F33" s="13">
        <v>42987.26059027778</v>
      </c>
      <c r="G33" s="7">
        <v>57</v>
      </c>
      <c r="H33" s="21" t="s">
        <v>852</v>
      </c>
      <c r="I33" s="13">
        <v>42987.285752314812</v>
      </c>
      <c r="J33" s="7">
        <v>0</v>
      </c>
      <c r="K33" s="89" t="str">
        <f t="shared" si="0"/>
        <v>4025/4026</v>
      </c>
      <c r="L33" s="214" t="str">
        <f>VLOOKUP(A33,'Trips&amp;Operators'!$C$1:$G$99911,5,FALSE)</f>
        <v>GEBRETEKLE DAGNEW</v>
      </c>
      <c r="M33" s="6">
        <f t="shared" si="1"/>
        <v>2.5162037032714579E-2</v>
      </c>
      <c r="N33" s="7">
        <f t="shared" si="2"/>
        <v>36.233333327108994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-09T05:07:41-0600',mode:absolute,to:'2017-09-09T07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4.4200000000000003E-2</v>
      </c>
      <c r="Z33" s="194">
        <f t="shared" si="8"/>
        <v>23.3307</v>
      </c>
      <c r="AA33" s="194">
        <f t="shared" si="9"/>
        <v>23.2865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33" s="74" t="str">
        <f t="shared" si="12"/>
        <v>"C:\Program Files (x86)\AstroGrep\AstroGrep.exe" /e /r /s /spath="%USERPROFILE%\AppData\Local\Temp\OnboardLogs" /stypes="app*4026*20170909*"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121-09 --locoid 4026 --swversion DE.1.0.9.0 --startMP 204:442 --initTime 2017-09-09T06:07:41 --startdatetime 2017-09-09T06:15:15 --delay 57 --endMP 204:233307 --enddatetime 2017-09-09T06:51:29 --enforcementcount 0 &gt;&gt;C:\Users\stu\Documents\GitHub\eaglep3-reporting\EC\2017-09-09-refined-times.txt</v>
      </c>
      <c r="AI33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{"issue":{"subject":"","project_id":79,"tracker_id":40,"status_id":1,"priority_id":2,"assigned_to_id":338,"start_date":"2017-09-09","description":"","custom_fields":[{"id":1,"name":"Subdivision","value":"EC"},{"id":4,"name":"Milepost","value":"23.3307"},{"id":17,"name":"Train ID","value":"121-09"},{"id":16,"name":"Locomotive ID","value":"4026"},{"id":130,"name":"Impact","value":""},{"id":150,"name":"Time of Event (Mountain Time)","value":"06:51:29"},{"id":151,"name":"Denver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4026 --day 2017-09-09</v>
      </c>
      <c r="AN33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682</v>
      </c>
      <c r="B34" s="7">
        <v>4025</v>
      </c>
      <c r="C34" s="21" t="s">
        <v>197</v>
      </c>
      <c r="D34" s="21" t="s">
        <v>380</v>
      </c>
      <c r="E34" s="13">
        <v>42987.287488425929</v>
      </c>
      <c r="F34" s="13">
        <v>42987.300173611111</v>
      </c>
      <c r="G34" s="7">
        <v>52</v>
      </c>
      <c r="H34" s="21" t="s">
        <v>361</v>
      </c>
      <c r="I34" s="13">
        <v>42987.32603009259</v>
      </c>
      <c r="J34" s="7">
        <v>0</v>
      </c>
      <c r="K34" s="89" t="str">
        <f t="shared" si="0"/>
        <v>4025/4026</v>
      </c>
      <c r="L34" s="214" t="str">
        <f>VLOOKUP(A34,'Trips&amp;Operators'!$C$1:$G$99911,5,FALSE)</f>
        <v>GEBRETEKLE DAGNEW</v>
      </c>
      <c r="M34" s="6">
        <f t="shared" si="1"/>
        <v>2.5856481479422655E-2</v>
      </c>
      <c r="N34" s="7">
        <f t="shared" si="2"/>
        <v>37.233333330368623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-09T05:53:59-0600',mode:absolute,to:'2017-09-09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23.297699999999999</v>
      </c>
      <c r="Z34" s="194">
        <f t="shared" si="8"/>
        <v>1.52E-2</v>
      </c>
      <c r="AA34" s="194">
        <f t="shared" si="9"/>
        <v>23.282499999999999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34" s="74" t="str">
        <f t="shared" si="12"/>
        <v>"C:\Program Files (x86)\AstroGrep\AstroGrep.exe" /e /r /s /spath="%USERPROFILE%\AppData\Local\Temp\OnboardLogs" /stypes="app*4025*20170909*"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122-09 --locoid 4025 --swversion DE.1.0.9.0 --startMP 204:232977 --initTime 2017-09-09T06:53:59 --startdatetime 2017-09-09T07:12:15 --delay 52 --endMP 204:152 --enddatetime 2017-09-09T07:49:29 --enforcementcount 0 &gt;&gt;C:\Users\stu\Documents\GitHub\eaglep3-reporting\EC\2017-09-09-refined-times.txt</v>
      </c>
      <c r="AI3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{"issue":{"subject":"","project_id":79,"tracker_id":40,"status_id":1,"priority_id":2,"assigned_to_id":338,"start_date":"2017-09-09","description":"","custom_fields":[{"id":1,"name":"Subdivision","value":"EC"},{"id":4,"name":"Milepost","value":"0.0152"},{"id":17,"name":"Train ID","value":"122-09"},{"id":16,"name":"Locomotive ID","value":"4025"},{"id":130,"name":"Impact","value":""},{"id":150,"name":"Time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4025 --day 2017-09-09</v>
      </c>
      <c r="AN34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679</v>
      </c>
      <c r="B35" s="7">
        <v>4058</v>
      </c>
      <c r="C35" s="21" t="s">
        <v>197</v>
      </c>
      <c r="D35" s="21" t="s">
        <v>337</v>
      </c>
      <c r="E35" s="13">
        <v>42987.268761574072</v>
      </c>
      <c r="F35" s="13">
        <v>42987.270983796298</v>
      </c>
      <c r="G35" s="7">
        <v>50</v>
      </c>
      <c r="H35" s="21" t="s">
        <v>853</v>
      </c>
      <c r="I35" s="13">
        <v>42987.295243055552</v>
      </c>
      <c r="J35" s="7">
        <v>0</v>
      </c>
      <c r="K35" s="89" t="str">
        <f t="shared" si="0"/>
        <v>4057/4058</v>
      </c>
      <c r="L35" s="214" t="str">
        <f>VLOOKUP(A35,'Trips&amp;Operators'!$C$1:$G$99911,5,FALSE)</f>
        <v>LALONDE GREGORY</v>
      </c>
      <c r="M35" s="6">
        <f t="shared" si="1"/>
        <v>2.4259259254904464E-2</v>
      </c>
      <c r="N35" s="7">
        <f t="shared" si="2"/>
        <v>34.933333327062428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-09T05:27:01-0600',mode:absolute,to:'2017-09-09T08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4.4600000000000001E-2</v>
      </c>
      <c r="Z35" s="194">
        <f t="shared" si="8"/>
        <v>23.333200000000001</v>
      </c>
      <c r="AA35" s="194">
        <f t="shared" si="9"/>
        <v>23.288600000000002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35" s="74" t="str">
        <f t="shared" si="12"/>
        <v>"C:\Program Files (x86)\AstroGrep\AstroGrep.exe" /e /r /s /spath="%USERPROFILE%\AppData\Local\Temp\OnboardLogs" /stypes="app*4058*20170909*"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123-09 --locoid 4058 --swversion DE.1.0.9.0 --startMP 204:446 --initTime 2017-09-09T06:27:01 --startdatetime 2017-09-09T06:30:13 --delay 50 --endMP 204:233332 --enddatetime 2017-09-09T07:05:09 --enforcementcount 0 &gt;&gt;C:\Users\stu\Documents\GitHub\eaglep3-reporting\EC\2017-09-09-refined-times.txt</v>
      </c>
      <c r="AI3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{"issue":{"subject":"","project_id":79,"tracker_id":40,"status_id":1,"priority_id":2,"assigned_to_id":338,"start_date":"2017-09-09","description":"","custom_fields":[{"id":1,"name":"Subdivision","value":"EC"},{"id":4,"name":"Milepost","value":"23.3332"},{"id":17,"name":"Train ID","value":"123-09"},{"id":16,"name":"Locomotive ID","value":"4058"},{"id":130,"name":"Impact","value":""},{"id":150,"name":"Time of Event (Mountain Time)","value":"07:05:09"},{"id":151,"name":"Denver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4058 --day 2017-09-09</v>
      </c>
      <c r="AN3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685</v>
      </c>
      <c r="B36" s="7">
        <v>4057</v>
      </c>
      <c r="C36" s="21" t="s">
        <v>197</v>
      </c>
      <c r="D36" s="21" t="s">
        <v>581</v>
      </c>
      <c r="E36" s="13">
        <v>42987.296331018515</v>
      </c>
      <c r="F36" s="13">
        <v>42987.310578703706</v>
      </c>
      <c r="G36" s="7">
        <v>54</v>
      </c>
      <c r="H36" s="21" t="s">
        <v>368</v>
      </c>
      <c r="I36" s="13">
        <v>42987.335497685184</v>
      </c>
      <c r="J36" s="7">
        <v>0</v>
      </c>
      <c r="K36" s="89" t="str">
        <f t="shared" si="0"/>
        <v>4057/4058</v>
      </c>
      <c r="L36" s="214" t="str">
        <f>VLOOKUP(A36,'Trips&amp;Operators'!$C$1:$G$99911,5,FALSE)</f>
        <v>LALONDE GREGORY</v>
      </c>
      <c r="M36" s="6">
        <f t="shared" si="1"/>
        <v>2.491898147854954E-2</v>
      </c>
      <c r="N36" s="7">
        <f t="shared" si="2"/>
        <v>35.883333329111338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-09T06:06:43-0600',mode:absolute,to:'2017-09-09T09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23.300999999999998</v>
      </c>
      <c r="Z36" s="194">
        <f t="shared" si="8"/>
        <v>1.4500000000000001E-2</v>
      </c>
      <c r="AA36" s="194">
        <f t="shared" si="9"/>
        <v>23.286499999999997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36" s="74" t="str">
        <f t="shared" si="12"/>
        <v>"C:\Program Files (x86)\AstroGrep\AstroGrep.exe" /e /r /s /spath="%USERPROFILE%\AppData\Local\Temp\OnboardLogs" /stypes="app*4057*20170909*"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124-09 --locoid 4057 --swversion DE.1.0.9.0 --startMP 204:233010 --initTime 2017-09-09T07:06:43 --startdatetime 2017-09-09T07:27:14 --delay 54 --endMP 204:145 --enddatetime 2017-09-09T08:03:07 --enforcementcount 0 &gt;&gt;C:\Users\stu\Documents\GitHub\eaglep3-reporting\EC\2017-09-09-refined-times.txt</v>
      </c>
      <c r="AI3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{"issue":{"subject":"","project_id":79,"tracker_id":40,"status_id":1,"priority_id":2,"assigned_to_id":338,"start_date":"2017-09-09","description":"","custom_fields":[{"id":1,"name":"Subdivision","value":"EC"},{"id":4,"name":"Milepost","value":"0.0145"},{"id":17,"name":"Train ID","value":"124-09"},{"id":16,"name":"Locomotive ID","value":"4057"},{"id":130,"name":"Impact","value":""},{"id":150,"name":"Time of Event (Mountain Time)","value":"08:03:07"},{"id":151,"name":"Denver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4057 --day 2017-09-09</v>
      </c>
      <c r="AN3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681</v>
      </c>
      <c r="B37" s="7">
        <v>4054</v>
      </c>
      <c r="C37" s="21" t="s">
        <v>197</v>
      </c>
      <c r="D37" s="21" t="s">
        <v>394</v>
      </c>
      <c r="E37" s="13">
        <v>42987.279027777775</v>
      </c>
      <c r="F37" s="13">
        <v>42987.281504629631</v>
      </c>
      <c r="G37" s="7">
        <v>49</v>
      </c>
      <c r="H37" s="21" t="s">
        <v>590</v>
      </c>
      <c r="I37" s="13">
        <v>42987.305520833332</v>
      </c>
      <c r="J37" s="7">
        <v>0</v>
      </c>
      <c r="K37" s="89" t="str">
        <f t="shared" si="0"/>
        <v>4053/4054</v>
      </c>
      <c r="L37" s="214" t="str">
        <f>VLOOKUP(A37,'Trips&amp;Operators'!$C$1:$G$99911,5,FALSE)</f>
        <v>DE LA ROSA ALEX</v>
      </c>
      <c r="M37" s="6">
        <f t="shared" si="1"/>
        <v>2.4016203700739425E-2</v>
      </c>
      <c r="N37" s="7">
        <f t="shared" si="2"/>
        <v>34.583333329064772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-09T05:41:48-0600',mode:absolute,to:'2017-09-09T08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4.5999999999999999E-2</v>
      </c>
      <c r="Z37" s="194">
        <f t="shared" si="8"/>
        <v>23.328800000000001</v>
      </c>
      <c r="AA37" s="194">
        <f t="shared" si="9"/>
        <v>23.282800000000002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37" s="74" t="str">
        <f t="shared" si="12"/>
        <v>"C:\Program Files (x86)\AstroGrep\AstroGrep.exe" /e /r /s /spath="%USERPROFILE%\AppData\Local\Temp\OnboardLogs" /stypes="app*4054*20170909*"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125-09 --locoid 4054 --swversion DE.1.0.9.0 --startMP 204:460 --initTime 2017-09-09T06:41:48 --startdatetime 2017-09-09T06:45:22 --delay 49 --endMP 204:233288 --enddatetime 2017-09-09T07:19:57 --enforcementcount 0 &gt;&gt;C:\Users\stu\Documents\GitHub\eaglep3-reporting\EC\2017-09-09-refined-times.txt</v>
      </c>
      <c r="AI37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{"issue":{"subject":"","project_id":79,"tracker_id":40,"status_id":1,"priority_id":2,"assigned_to_id":338,"start_date":"2017-09-09","description":"","custom_fields":[{"id":1,"name":"Subdivision","value":"EC"},{"id":4,"name":"Milepost","value":"23.3288"},{"id":17,"name":"Train ID","value":"125-09"},{"id":16,"name":"Locomotive ID","value":"4054"},{"id":130,"name":"Impact","value":""},{"id":150,"name":"Time of Event (Mountain Time)","value":"07:19:57"},{"id":151,"name":"Denver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4054 --day 2017-09-09</v>
      </c>
      <c r="AN37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691</v>
      </c>
      <c r="B38" s="7">
        <v>4053</v>
      </c>
      <c r="C38" s="21" t="s">
        <v>197</v>
      </c>
      <c r="D38" s="21" t="s">
        <v>380</v>
      </c>
      <c r="E38" s="13">
        <v>42987.31689814815</v>
      </c>
      <c r="F38" s="13">
        <v>42987.32136574074</v>
      </c>
      <c r="G38" s="7">
        <v>84</v>
      </c>
      <c r="H38" s="21" t="s">
        <v>393</v>
      </c>
      <c r="I38" s="13">
        <v>42987.347372685188</v>
      </c>
      <c r="J38" s="7">
        <v>0</v>
      </c>
      <c r="K38" s="89" t="str">
        <f t="shared" si="0"/>
        <v>4053/4054</v>
      </c>
      <c r="L38" s="214" t="str">
        <f>VLOOKUP(A38,'Trips&amp;Operators'!$C$1:$G$99911,5,FALSE)</f>
        <v>DE LA ROSA ALEX</v>
      </c>
      <c r="M38" s="6">
        <f t="shared" si="1"/>
        <v>2.6006944448454306E-2</v>
      </c>
      <c r="N38" s="7">
        <f t="shared" si="2"/>
        <v>37.4500000057742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-09T06:36:20-0600',mode:absolute,to:'2017-09-09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23.297699999999999</v>
      </c>
      <c r="Z38" s="194">
        <f t="shared" si="8"/>
        <v>1.6E-2</v>
      </c>
      <c r="AA38" s="194">
        <f t="shared" si="9"/>
        <v>23.281700000000001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38" s="74" t="str">
        <f t="shared" si="12"/>
        <v>"C:\Program Files (x86)\AstroGrep\AstroGrep.exe" /e /r /s /spath="%USERPROFILE%\AppData\Local\Temp\OnboardLogs" /stypes="app*4053*20170909*"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126-09 --locoid 4053 --swversion DE.1.0.9.0 --startMP 204:232977 --initTime 2017-09-09T07:36:20 --startdatetime 2017-09-09T07:42:46 --delay 84 --endMP 204:160 --enddatetime 2017-09-09T08:20:13 --enforcementcount 0 &gt;&gt;C:\Users\stu\Documents\GitHub\eaglep3-reporting\EC\2017-09-09-refined-times.txt</v>
      </c>
      <c r="AI38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{"issue":{"subject":"","project_id":79,"tracker_id":40,"status_id":1,"priority_id":2,"assigned_to_id":338,"start_date":"2017-09-09","description":"","custom_fields":[{"id":1,"name":"Subdivision","value":"EC"},{"id":4,"name":"Milepost","value":"0.016"},{"id":17,"name":"Train ID","value":"126-09"},{"id":16,"name":"Locomotive ID","value":"4053"},{"id":130,"name":"Impact","value":""},{"id":150,"name":"Time of Event (Mountain Time)","value":"08:20:13"},{"id":151,"name":"Denver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4053 --day 2017-09-09</v>
      </c>
      <c r="AN38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684</v>
      </c>
      <c r="B39" s="7">
        <v>4010</v>
      </c>
      <c r="C39" s="21" t="s">
        <v>197</v>
      </c>
      <c r="D39" s="21" t="s">
        <v>366</v>
      </c>
      <c r="E39" s="13">
        <v>42987.290509259263</v>
      </c>
      <c r="F39" s="13">
        <v>42987.292118055557</v>
      </c>
      <c r="G39" s="7">
        <v>72</v>
      </c>
      <c r="H39" s="21" t="s">
        <v>854</v>
      </c>
      <c r="I39" s="13">
        <v>42987.316944444443</v>
      </c>
      <c r="J39" s="7">
        <v>0</v>
      </c>
      <c r="K39" s="89" t="str">
        <f t="shared" si="0"/>
        <v>4009/4010</v>
      </c>
      <c r="L39" s="214" t="str">
        <f>VLOOKUP(A39,'Trips&amp;Operators'!$C$1:$G$99911,5,FALSE)</f>
        <v>PAGE MARCUS</v>
      </c>
      <c r="M39" s="6">
        <f t="shared" si="1"/>
        <v>2.4826388886140194E-2</v>
      </c>
      <c r="N39" s="7">
        <f t="shared" si="2"/>
        <v>35.749999996041879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-09T05:58:20-0600',mode:absolute,to:'2017-09-09T08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4.6399999999999997E-2</v>
      </c>
      <c r="Z39" s="194">
        <f t="shared" si="8"/>
        <v>23.325299999999999</v>
      </c>
      <c r="AA39" s="194">
        <f t="shared" si="9"/>
        <v>23.2789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39" s="74" t="str">
        <f t="shared" si="12"/>
        <v>"C:\Program Files (x86)\AstroGrep\AstroGrep.exe" /e /r /s /spath="%USERPROFILE%\AppData\Local\Temp\OnboardLogs" /stypes="app*4010*20170909*"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127-09 --locoid 4010 --swversion DE.1.0.9.0 --startMP 204:464 --initTime 2017-09-09T06:58:20 --startdatetime 2017-09-09T07:00:39 --delay 72 --endMP 204:233253 --enddatetime 2017-09-09T07:36:24 --enforcementcount 0 &gt;&gt;C:\Users\stu\Documents\GitHub\eaglep3-reporting\EC\2017-09-09-refined-times.txt</v>
      </c>
      <c r="AI39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{"issue":{"subject":"","project_id":79,"tracker_id":40,"status_id":1,"priority_id":2,"assigned_to_id":338,"start_date":"2017-09-09","description":"","custom_fields":[{"id":1,"name":"Subdivision","value":"EC"},{"id":4,"name":"Milepost","value":"23.3253"},{"id":17,"name":"Train ID","value":"127-09"},{"id":16,"name":"Locomotive ID","value":"4010"},{"id":130,"name":"Impact","value":""},{"id":150,"name":"Time of Event (Mountain Time)","value":"07:36:24"},{"id":151,"name":"Denver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4010 --day 2017-09-09</v>
      </c>
      <c r="AN39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693</v>
      </c>
      <c r="B40" s="7">
        <v>4009</v>
      </c>
      <c r="C40" s="21" t="s">
        <v>197</v>
      </c>
      <c r="D40" s="21" t="s">
        <v>571</v>
      </c>
      <c r="E40" s="13">
        <v>42987.326956018522</v>
      </c>
      <c r="F40" s="13">
        <v>42987.331469907411</v>
      </c>
      <c r="G40" s="7">
        <v>67</v>
      </c>
      <c r="H40" s="21" t="s">
        <v>502</v>
      </c>
      <c r="I40" s="13">
        <v>42987.358425925922</v>
      </c>
      <c r="J40" s="7">
        <v>0</v>
      </c>
      <c r="K40" s="89" t="str">
        <f t="shared" si="0"/>
        <v>4009/4010</v>
      </c>
      <c r="L40" s="214" t="str">
        <f>VLOOKUP(A40,'Trips&amp;Operators'!$C$1:$G$99911,5,FALSE)</f>
        <v>PAGE MARCUS</v>
      </c>
      <c r="M40" s="6">
        <f t="shared" si="1"/>
        <v>2.6956018511555158E-2</v>
      </c>
      <c r="N40" s="7">
        <f t="shared" si="2"/>
        <v>38.816666656639427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-09T06:50:49-0600',mode:absolute,to:'2017-09-09T09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23.297599999999999</v>
      </c>
      <c r="Z40" s="194">
        <f t="shared" si="8"/>
        <v>1.6299999999999999E-2</v>
      </c>
      <c r="AA40" s="194">
        <f t="shared" si="9"/>
        <v>23.281299999999998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40" s="74" t="str">
        <f t="shared" si="12"/>
        <v>"C:\Program Files (x86)\AstroGrep\AstroGrep.exe" /e /r /s /spath="%USERPROFILE%\AppData\Local\Temp\OnboardLogs" /stypes="app*4009*20170909*"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128-09 --locoid 4009 --swversion DE.1.0.9.0 --startMP 204:232976 --initTime 2017-09-09T07:50:49 --startdatetime 2017-09-09T07:57:19 --delay 67 --endMP 204:163 --enddatetime 2017-09-09T08:36:08 --enforcementcount 0 &gt;&gt;C:\Users\stu\Documents\GitHub\eaglep3-reporting\EC\2017-09-09-refined-times.txt</v>
      </c>
      <c r="AI40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{"issue":{"subject":"","project_id":79,"tracker_id":40,"status_id":1,"priority_id":2,"assigned_to_id":338,"start_date":"2017-09-09","description":"","custom_fields":[{"id":1,"name":"Subdivision","value":"EC"},{"id":4,"name":"Milepost","value":"0.0163"},{"id":17,"name":"Train ID","value":"128-09"},{"id":16,"name":"Locomotive ID","value":"4009"},{"id":130,"name":"Impact","value":""},{"id":150,"name":"Time of Event (Mountain Time)","value":"08:36:08"},{"id":151,"name":"Denver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4009 --day 2017-09-09</v>
      </c>
      <c r="AN40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686</v>
      </c>
      <c r="B41" s="7">
        <v>4044</v>
      </c>
      <c r="C41" s="21" t="s">
        <v>197</v>
      </c>
      <c r="D41" s="21" t="s">
        <v>434</v>
      </c>
      <c r="E41" s="13">
        <v>42987.298344907409</v>
      </c>
      <c r="F41" s="13">
        <v>42987.302291666667</v>
      </c>
      <c r="G41" s="7">
        <v>77</v>
      </c>
      <c r="H41" s="21" t="s">
        <v>855</v>
      </c>
      <c r="I41" s="13">
        <v>42987.32640046296</v>
      </c>
      <c r="J41" s="7">
        <v>0</v>
      </c>
      <c r="K41" s="89" t="str">
        <f t="shared" si="0"/>
        <v>4043/4044</v>
      </c>
      <c r="L41" s="214" t="str">
        <f>VLOOKUP(A41,'Trips&amp;Operators'!$C$1:$G$99911,5,FALSE)</f>
        <v>MAELZER KURT</v>
      </c>
      <c r="M41" s="6">
        <f t="shared" si="1"/>
        <v>2.4108796293148771E-2</v>
      </c>
      <c r="N41" s="7">
        <f t="shared" si="2"/>
        <v>34.71666666213423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-09T06:09:37-0600',mode:absolute,to:'2017-09-09T08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4.3999999999999997E-2</v>
      </c>
      <c r="Z41" s="194">
        <f t="shared" si="8"/>
        <v>23.331199999999999</v>
      </c>
      <c r="AA41" s="194">
        <f t="shared" si="9"/>
        <v>23.287199999999999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41" s="74" t="str">
        <f t="shared" si="12"/>
        <v>"C:\Program Files (x86)\AstroGrep\AstroGrep.exe" /e /r /s /spath="%USERPROFILE%\AppData\Local\Temp\OnboardLogs" /stypes="app*4044*20170909*"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129-09 --locoid 4044 --swversion DE.1.0.9.0 --startMP 204:440 --initTime 2017-09-09T07:09:37 --startdatetime 2017-09-09T07:15:18 --delay 77 --endMP 204:233312 --enddatetime 2017-09-09T07:50:01 --enforcementcount 0 &gt;&gt;C:\Users\stu\Documents\GitHub\eaglep3-reporting\EC\2017-09-09-refined-times.txt</v>
      </c>
      <c r="AI41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{"issue":{"subject":"","project_id":79,"tracker_id":40,"status_id":1,"priority_id":2,"assigned_to_id":338,"start_date":"2017-09-09","description":"","custom_fields":[{"id":1,"name":"Subdivision","value":"EC"},{"id":4,"name":"Milepost","value":"23.3312"},{"id":17,"name":"Train ID","value":"129-09"},{"id":16,"name":"Locomotive ID","value":"4044"},{"id":130,"name":"Impact","value":""},{"id":150,"name":"Time of Event (Mountain Time)","value":"07:50:01"},{"id":151,"name":"Denver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4044 --day 2017-09-09</v>
      </c>
      <c r="AN41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695</v>
      </c>
      <c r="B42" s="7">
        <v>4043</v>
      </c>
      <c r="C42" s="21" t="s">
        <v>197</v>
      </c>
      <c r="D42" s="21" t="s">
        <v>413</v>
      </c>
      <c r="E42" s="13">
        <v>42987.330983796295</v>
      </c>
      <c r="F42" s="13">
        <v>42987.341886574075</v>
      </c>
      <c r="G42" s="7">
        <v>54</v>
      </c>
      <c r="H42" s="21" t="s">
        <v>345</v>
      </c>
      <c r="I42" s="13">
        <v>42987.367731481485</v>
      </c>
      <c r="J42" s="7">
        <v>0</v>
      </c>
      <c r="K42" s="89" t="str">
        <f t="shared" si="0"/>
        <v>4043/4044</v>
      </c>
      <c r="L42" s="214" t="str">
        <f>VLOOKUP(A42,'Trips&amp;Operators'!$C$1:$G$99911,5,FALSE)</f>
        <v>MAELZER KURT</v>
      </c>
      <c r="M42" s="6">
        <f t="shared" si="1"/>
        <v>2.584490740991896E-2</v>
      </c>
      <c r="N42" s="7">
        <f t="shared" si="2"/>
        <v>37.216666670283303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-09T06:56:37-0600',mode:absolute,to:'2017-09-09T09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23.3001</v>
      </c>
      <c r="Z42" s="194">
        <f t="shared" si="8"/>
        <v>1.54E-2</v>
      </c>
      <c r="AA42" s="194">
        <f t="shared" si="9"/>
        <v>23.284700000000001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42" s="74" t="str">
        <f t="shared" si="12"/>
        <v>"C:\Program Files (x86)\AstroGrep\AstroGrep.exe" /e /r /s /spath="%USERPROFILE%\AppData\Local\Temp\OnboardLogs" /stypes="app*4043*20170909*"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130-09 --locoid 4043 --swversion DE.1.0.9.0 --startMP 204:233001 --initTime 2017-09-09T07:56:37 --startdatetime 2017-09-09T08:12:19 --delay 54 --endMP 204:154 --enddatetime 2017-09-09T08:49:32 --enforcementcount 0 &gt;&gt;C:\Users\stu\Documents\GitHub\eaglep3-reporting\EC\2017-09-09-refined-times.txt</v>
      </c>
      <c r="AI42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{"issue":{"subject":"","project_id":79,"tracker_id":40,"status_id":1,"priority_id":2,"assigned_to_id":338,"start_date":"2017-09-09","description":"","custom_fields":[{"id":1,"name":"Subdivision","value":"EC"},{"id":4,"name":"Milepost","value":"0.0154"},{"id":17,"name":"Train ID","value":"130-09"},{"id":16,"name":"Locomotive ID","value":"4043"},{"id":130,"name":"Impact","value":""},{"id":150,"name":"Time of Event (Mountain Time)","value":"08:49:32"},{"id":151,"name":"Denver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4043 --day 2017-09-09</v>
      </c>
      <c r="AN42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688</v>
      </c>
      <c r="B43" s="7">
        <v>4046</v>
      </c>
      <c r="C43" s="21" t="s">
        <v>197</v>
      </c>
      <c r="D43" s="21" t="s">
        <v>856</v>
      </c>
      <c r="E43" s="13">
        <v>42987.309594907405</v>
      </c>
      <c r="F43" s="13">
        <v>42987.312696759262</v>
      </c>
      <c r="G43" s="7">
        <v>138</v>
      </c>
      <c r="H43" s="21" t="s">
        <v>585</v>
      </c>
      <c r="I43" s="13">
        <v>42987.340069444443</v>
      </c>
      <c r="J43" s="7">
        <v>0</v>
      </c>
      <c r="K43" s="89" t="str">
        <f t="shared" si="0"/>
        <v>4045/4046</v>
      </c>
      <c r="L43" s="214" t="str">
        <f>VLOOKUP(A43,'Trips&amp;Operators'!$C$1:$G$99911,5,FALSE)</f>
        <v>BROWN JACOB</v>
      </c>
      <c r="M43" s="6">
        <f t="shared" si="1"/>
        <v>2.7372685181035195E-2</v>
      </c>
      <c r="N43" s="7">
        <f t="shared" si="2"/>
        <v>39.41666666069068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-09T06:25:49-0600',mode:absolute,to:'2017-09-09T09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4.7300000000000002E-2</v>
      </c>
      <c r="Z43" s="194">
        <f t="shared" si="8"/>
        <v>23.327200000000001</v>
      </c>
      <c r="AA43" s="194">
        <f t="shared" si="9"/>
        <v>23.279900000000001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43" s="74" t="str">
        <f t="shared" si="12"/>
        <v>"C:\Program Files (x86)\AstroGrep\AstroGrep.exe" /e /r /s /spath="%USERPROFILE%\AppData\Local\Temp\OnboardLogs" /stypes="app*4046*20170909*"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131-09 --locoid 4046 --swversion DE.1.0.9.0 --startMP 204:473 --initTime 2017-09-09T07:25:49 --startdatetime 2017-09-09T07:30:17 --delay 138 --endMP 204:233272 --enddatetime 2017-09-09T08:09:42 --enforcementcount 0 &gt;&gt;C:\Users\stu\Documents\GitHub\eaglep3-reporting\EC\2017-09-09-refined-times.txt</v>
      </c>
      <c r="AI43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{"issue":{"subject":"","project_id":79,"tracker_id":40,"status_id":1,"priority_id":2,"assigned_to_id":338,"start_date":"2017-09-09","description":"","custom_fields":[{"id":1,"name":"Subdivision","value":"EC"},{"id":4,"name":"Milepost","value":"23.3272"},{"id":17,"name":"Train ID","value":"131-09"},{"id":16,"name":"Locomotive ID","value":"4046"},{"id":130,"name":"Impact","value":""},{"id":150,"name":"Time of Event (Mountain Time)","value":"08:09:42"},{"id":151,"name":"Denver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4046 --day 2017-09-09</v>
      </c>
      <c r="AN43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698</v>
      </c>
      <c r="B44" s="7">
        <v>4045</v>
      </c>
      <c r="C44" s="21" t="s">
        <v>197</v>
      </c>
      <c r="D44" s="21" t="s">
        <v>857</v>
      </c>
      <c r="E44" s="13">
        <v>42987.344317129631</v>
      </c>
      <c r="F44" s="13">
        <v>42987.352280092593</v>
      </c>
      <c r="G44" s="7">
        <v>78</v>
      </c>
      <c r="H44" s="21" t="s">
        <v>340</v>
      </c>
      <c r="I44" s="13">
        <v>42987.378611111111</v>
      </c>
      <c r="J44" s="7">
        <v>0</v>
      </c>
      <c r="K44" s="89" t="str">
        <f t="shared" si="0"/>
        <v>4045/4046</v>
      </c>
      <c r="L44" s="214" t="str">
        <f>VLOOKUP(A44,'Trips&amp;Operators'!$C$1:$G$99911,5,FALSE)</f>
        <v>BROWN JACOB</v>
      </c>
      <c r="M44" s="6">
        <f t="shared" si="1"/>
        <v>2.6331018518249039E-2</v>
      </c>
      <c r="N44" s="7">
        <f t="shared" si="2"/>
        <v>37.916666666278616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-09T07:15:49-0600',mode:absolute,to:'2017-09-09T10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23.2989</v>
      </c>
      <c r="Z44" s="194">
        <f t="shared" si="8"/>
        <v>1.43E-2</v>
      </c>
      <c r="AA44" s="194">
        <f t="shared" si="9"/>
        <v>23.284600000000001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44" s="74" t="str">
        <f t="shared" si="12"/>
        <v>"C:\Program Files (x86)\AstroGrep\AstroGrep.exe" /e /r /s /spath="%USERPROFILE%\AppData\Local\Temp\OnboardLogs" /stypes="app*4045*20170909*"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132-09 --locoid 4045 --swversion DE.1.0.9.0 --startMP 204:232989 --initTime 2017-09-09T08:15:49 --startdatetime 2017-09-09T08:27:17 --delay 78 --endMP 204:143 --enddatetime 2017-09-09T09:05:12 --enforcementcount 0 &gt;&gt;C:\Users\stu\Documents\GitHub\eaglep3-reporting\EC\2017-09-09-refined-times.txt</v>
      </c>
      <c r="AI4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{"issue":{"subject":"","project_id":79,"tracker_id":40,"status_id":1,"priority_id":2,"assigned_to_id":338,"start_date":"2017-09-09","description":"","custom_fields":[{"id":1,"name":"Subdivision","value":"EC"},{"id":4,"name":"Milepost","value":"0.0143"},{"id":17,"name":"Train ID","value":"132-09"},{"id":16,"name":"Locomotive ID","value":"4045"},{"id":130,"name":"Impact","value":""},{"id":150,"name":"Time of Event (Mountain Time)","value":"09:05:12"},{"id":151,"name":"Denver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4045 --day 2017-09-09</v>
      </c>
      <c r="AN44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692</v>
      </c>
      <c r="B45" s="7">
        <v>4050</v>
      </c>
      <c r="C45" s="21" t="s">
        <v>197</v>
      </c>
      <c r="D45" s="21" t="s">
        <v>858</v>
      </c>
      <c r="E45" s="13">
        <v>42987.31863425926</v>
      </c>
      <c r="F45" s="13">
        <v>42987.323101851849</v>
      </c>
      <c r="G45" s="7">
        <v>56</v>
      </c>
      <c r="H45" s="21" t="s">
        <v>586</v>
      </c>
      <c r="I45" s="13">
        <v>42987.349293981482</v>
      </c>
      <c r="J45" s="7">
        <v>0</v>
      </c>
      <c r="K45" s="89" t="str">
        <f t="shared" si="0"/>
        <v>4049/4050</v>
      </c>
      <c r="L45" s="214" t="str">
        <f>VLOOKUP(A45,'Trips&amp;Operators'!$C$1:$G$99911,5,FALSE)</f>
        <v>DAVIS WENDY</v>
      </c>
      <c r="M45" s="6">
        <f t="shared" si="1"/>
        <v>2.6192129633272998E-2</v>
      </c>
      <c r="N45" s="7">
        <f t="shared" ref="N45:N76" si="21">24*60*SUM($M45:$M45)</f>
        <v>37.716666671913117</v>
      </c>
      <c r="O45" s="7"/>
      <c r="P45" s="7"/>
      <c r="Q45" s="22"/>
      <c r="R45" s="167"/>
      <c r="S45" s="210">
        <f t="shared" ref="S45:S76" si="22">1/IF(AG45="EC",12,1)*SUM(U45:U45)</f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-09T06:38:50-0600',mode:absolute,to:'2017-09-09T09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194" t="str">
        <f>IF(AA45&lt;VLOOKUP(AG45,Variables!$AC$3:$AD$8,2,FALSE),"Y","N")</f>
        <v>N</v>
      </c>
      <c r="X45" s="194">
        <f t="shared" si="6"/>
        <v>1</v>
      </c>
      <c r="Y45" s="194">
        <f t="shared" ref="Y45:Y76" si="23">RIGHT(D45,LEN(D45)-4)/10000</f>
        <v>4.4699999999999997E-2</v>
      </c>
      <c r="Z45" s="194">
        <f t="shared" ref="Z45:Z76" si="24">RIGHT(H45,LEN(H45)-4)/10000</f>
        <v>23.326799999999999</v>
      </c>
      <c r="AA45" s="194">
        <f t="shared" si="9"/>
        <v>23.2821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45" s="74" t="str">
        <f t="shared" si="12"/>
        <v>"C:\Program Files (x86)\AstroGrep\AstroGrep.exe" /e /r /s /spath="%USERPROFILE%\AppData\Local\Temp\OnboardLogs" /stypes="app*4050*20170909*"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133-09 --locoid 4050 --swversion DE.1.0.9.0 --startMP 204:447 --initTime 2017-09-09T07:38:50 --startdatetime 2017-09-09T07:45:16 --delay 56 --endMP 204:233268 --enddatetime 2017-09-09T08:22:59 --enforcementcount 0 &gt;&gt;C:\Users\stu\Documents\GitHub\eaglep3-reporting\EC\2017-09-09-refined-times.txt</v>
      </c>
      <c r="AI4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{"issue":{"subject":"","project_id":79,"tracker_id":40,"status_id":1,"priority_id":2,"assigned_to_id":338,"start_date":"2017-09-09","description":"","custom_fields":[{"id":1,"name":"Subdivision","value":"EC"},{"id":4,"name":"Milepost","value":"23.3268"},{"id":17,"name":"Train ID","value":"133-09"},{"id":16,"name":"Locomotive ID","value":"4050"},{"id":130,"name":"Impact","value":""},{"id":150,"name":"Time of Event (Mountain Time)","value":"08:22:59"},{"id":151,"name":"Denver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4050 --day 2017-09-09</v>
      </c>
      <c r="AN4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701</v>
      </c>
      <c r="B46" s="7">
        <v>4049</v>
      </c>
      <c r="C46" s="21" t="s">
        <v>197</v>
      </c>
      <c r="D46" s="21" t="s">
        <v>859</v>
      </c>
      <c r="E46" s="13">
        <v>42987.357708333337</v>
      </c>
      <c r="F46" s="13">
        <v>42987.36273148148</v>
      </c>
      <c r="G46" s="7">
        <v>76</v>
      </c>
      <c r="H46" s="21" t="s">
        <v>345</v>
      </c>
      <c r="I46" s="13">
        <v>42987.389398148145</v>
      </c>
      <c r="J46" s="7">
        <v>0</v>
      </c>
      <c r="K46" s="89" t="str">
        <f t="shared" si="0"/>
        <v>4049/4050</v>
      </c>
      <c r="L46" s="214" t="str">
        <f>VLOOKUP(A46,'Trips&amp;Operators'!$C$1:$G$99911,5,FALSE)</f>
        <v>DAVIS WENDY</v>
      </c>
      <c r="M46" s="6">
        <f t="shared" si="1"/>
        <v>2.6666666664823424E-2</v>
      </c>
      <c r="N46" s="7">
        <f t="shared" si="21"/>
        <v>38.399999997345731</v>
      </c>
      <c r="O46" s="7"/>
      <c r="P46" s="7"/>
      <c r="Q46" s="22"/>
      <c r="R46" s="167"/>
      <c r="S46" s="210">
        <f t="shared" si="22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-09T07:35:06-0600',mode:absolute,to:'2017-09-09T10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194" t="str">
        <f>IF(AA46&lt;VLOOKUP(AG46,Variables!$AC$3:$AD$8,2,FALSE),"Y","N")</f>
        <v>N</v>
      </c>
      <c r="X46" s="194">
        <f t="shared" si="6"/>
        <v>1</v>
      </c>
      <c r="Y46" s="194">
        <f t="shared" si="23"/>
        <v>23.294599999999999</v>
      </c>
      <c r="Z46" s="194">
        <f t="shared" si="24"/>
        <v>1.54E-2</v>
      </c>
      <c r="AA46" s="194">
        <f t="shared" si="9"/>
        <v>23.279199999999999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46" s="74" t="str">
        <f t="shared" si="12"/>
        <v>"C:\Program Files (x86)\AstroGrep\AstroGrep.exe" /e /r /s /spath="%USERPROFILE%\AppData\Local\Temp\OnboardLogs" /stypes="app*4049*20170909*"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134-09 --locoid 4049 --swversion DE.1.0.9.0 --startMP 204:232946 --initTime 2017-09-09T08:35:06 --startdatetime 2017-09-09T08:42:20 --delay 76 --endMP 204:154 --enddatetime 2017-09-09T09:20:44 --enforcementcount 0 &gt;&gt;C:\Users\stu\Documents\GitHub\eaglep3-reporting\EC\2017-09-09-refined-times.txt</v>
      </c>
      <c r="AI4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{"issue":{"subject":"","project_id":79,"tracker_id":40,"status_id":1,"priority_id":2,"assigned_to_id":338,"start_date":"2017-09-09","description":"","custom_fields":[{"id":1,"name":"Subdivision","value":"EC"},{"id":4,"name":"Milepost","value":"0.0154"},{"id":17,"name":"Train ID","value":"134-09"},{"id":16,"name":"Locomotive ID","value":"4049"},{"id":130,"name":"Impact","value":""},{"id":150,"name":"Time of Event (Mountain Time)","value":"09:20:44"},{"id":151,"name":"Denver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4049 --day 2017-09-09</v>
      </c>
      <c r="AN4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694</v>
      </c>
      <c r="B47" s="7">
        <v>4026</v>
      </c>
      <c r="C47" s="21" t="s">
        <v>197</v>
      </c>
      <c r="D47" s="21" t="s">
        <v>496</v>
      </c>
      <c r="E47" s="13">
        <v>42987.328194444446</v>
      </c>
      <c r="F47" s="13">
        <v>42987.333645833336</v>
      </c>
      <c r="G47" s="7">
        <v>57</v>
      </c>
      <c r="H47" s="21" t="s">
        <v>584</v>
      </c>
      <c r="I47" s="13">
        <v>42987.358263888891</v>
      </c>
      <c r="J47" s="7">
        <v>0</v>
      </c>
      <c r="K47" s="89" t="str">
        <f t="shared" si="0"/>
        <v>4025/4026</v>
      </c>
      <c r="L47" s="214" t="str">
        <f>VLOOKUP(A47,'Trips&amp;Operators'!$C$1:$G$99911,5,FALSE)</f>
        <v>GEBRETEKLE DAGNEW</v>
      </c>
      <c r="M47" s="6">
        <f t="shared" si="1"/>
        <v>2.4618055555038154E-2</v>
      </c>
      <c r="N47" s="7">
        <f t="shared" si="21"/>
        <v>35.449999999254942</v>
      </c>
      <c r="O47" s="7"/>
      <c r="P47" s="7"/>
      <c r="Q47" s="22"/>
      <c r="R47" s="167"/>
      <c r="S47" s="210">
        <f t="shared" si="22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-09T06:52:36-0600',mode:absolute,to:'2017-09-09T09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194" t="str">
        <f>IF(AA47&lt;VLOOKUP(AG47,Variables!$AC$3:$AD$8,2,FALSE),"Y","N")</f>
        <v>N</v>
      </c>
      <c r="X47" s="194">
        <f t="shared" si="6"/>
        <v>1</v>
      </c>
      <c r="Y47" s="194">
        <f t="shared" si="23"/>
        <v>4.8000000000000001E-2</v>
      </c>
      <c r="Z47" s="194">
        <f t="shared" si="24"/>
        <v>23.3291</v>
      </c>
      <c r="AA47" s="194">
        <f t="shared" si="9"/>
        <v>23.281100000000002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47" s="74" t="str">
        <f t="shared" si="12"/>
        <v>"C:\Program Files (x86)\AstroGrep\AstroGrep.exe" /e /r /s /spath="%USERPROFILE%\AppData\Local\Temp\OnboardLogs" /stypes="app*4026*20170909*"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135-09 --locoid 4026 --swversion DE.1.0.9.0 --startMP 204:480 --initTime 2017-09-09T07:52:36 --startdatetime 2017-09-09T08:00:27 --delay 57 --endMP 204:233291 --enddatetime 2017-09-09T08:35:54 --enforcementcount 0 &gt;&gt;C:\Users\stu\Documents\GitHub\eaglep3-reporting\EC\2017-09-09-refined-times.txt</v>
      </c>
      <c r="AI47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{"issue":{"subject":"","project_id":79,"tracker_id":40,"status_id":1,"priority_id":2,"assigned_to_id":338,"start_date":"2017-09-09","description":"","custom_fields":[{"id":1,"name":"Subdivision","value":"EC"},{"id":4,"name":"Milepost","value":"23.3291"},{"id":17,"name":"Train ID","value":"135-09"},{"id":16,"name":"Locomotive ID","value":"4026"},{"id":130,"name":"Impact","value":""},{"id":150,"name":"Time of Event (Mountain Time)","value":"08:35:54"},{"id":151,"name":"Denver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4026 --day 2017-09-09</v>
      </c>
      <c r="AN47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703</v>
      </c>
      <c r="B48" s="7">
        <v>4025</v>
      </c>
      <c r="C48" s="21" t="s">
        <v>197</v>
      </c>
      <c r="D48" s="21" t="s">
        <v>571</v>
      </c>
      <c r="E48" s="13">
        <v>42987.36141203704</v>
      </c>
      <c r="F48" s="13">
        <v>42987.373090277775</v>
      </c>
      <c r="G48" s="7">
        <v>51</v>
      </c>
      <c r="H48" s="21" t="s">
        <v>342</v>
      </c>
      <c r="I48" s="13">
        <v>42987.398113425923</v>
      </c>
      <c r="J48" s="7">
        <v>0</v>
      </c>
      <c r="K48" s="89" t="str">
        <f t="shared" si="0"/>
        <v>4025/4026</v>
      </c>
      <c r="L48" s="214" t="str">
        <f>VLOOKUP(A48,'Trips&amp;Operators'!$C$1:$G$99911,5,FALSE)</f>
        <v>GEBRETEKLE DAGNEW</v>
      </c>
      <c r="M48" s="6">
        <f t="shared" si="1"/>
        <v>2.5023148147738539E-2</v>
      </c>
      <c r="N48" s="7">
        <f t="shared" si="21"/>
        <v>36.033333332743496</v>
      </c>
      <c r="O48" s="7"/>
      <c r="P48" s="7"/>
      <c r="Q48" s="22"/>
      <c r="R48" s="167"/>
      <c r="S48" s="210">
        <f t="shared" si="22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-09T07:40:26-0600',mode:absolute,to:'2017-09-09T10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194" t="str">
        <f>IF(AA48&lt;VLOOKUP(AG48,Variables!$AC$3:$AD$8,2,FALSE),"Y","N")</f>
        <v>N</v>
      </c>
      <c r="X48" s="194">
        <f t="shared" si="6"/>
        <v>1</v>
      </c>
      <c r="Y48" s="194">
        <f t="shared" si="23"/>
        <v>23.297599999999999</v>
      </c>
      <c r="Z48" s="194">
        <f t="shared" si="24"/>
        <v>1.41E-2</v>
      </c>
      <c r="AA48" s="194">
        <f t="shared" si="9"/>
        <v>23.2835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48" s="74" t="str">
        <f t="shared" si="12"/>
        <v>"C:\Program Files (x86)\AstroGrep\AstroGrep.exe" /e /r /s /spath="%USERPROFILE%\AppData\Local\Temp\OnboardLogs" /stypes="app*4025*20170909*"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136-09 --locoid 4025 --swversion DE.1.0.9.0 --startMP 204:232976 --initTime 2017-09-09T08:40:26 --startdatetime 2017-09-09T08:57:15 --delay 51 --endMP 204:141 --enddatetime 2017-09-09T09:33:17 --enforcementcount 0 &gt;&gt;C:\Users\stu\Documents\GitHub\eaglep3-reporting\EC\2017-09-09-refined-times.txt</v>
      </c>
      <c r="AI48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{"issue":{"subject":"","project_id":79,"tracker_id":40,"status_id":1,"priority_id":2,"assigned_to_id":338,"start_date":"2017-09-09","description":"","custom_fields":[{"id":1,"name":"Subdivision","value":"EC"},{"id":4,"name":"Milepost","value":"0.0141"},{"id":17,"name":"Train ID","value":"136-09"},{"id":16,"name":"Locomotive ID","value":"4025"},{"id":130,"name":"Impact","value":""},{"id":150,"name":"Time of Event (Mountain Time)","value":"09:33:17"},{"id":151,"name":"Denver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4025 --day 2017-09-09</v>
      </c>
      <c r="AN48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697</v>
      </c>
      <c r="B49" s="7">
        <v>4058</v>
      </c>
      <c r="C49" s="21" t="s">
        <v>197</v>
      </c>
      <c r="D49" s="21" t="s">
        <v>351</v>
      </c>
      <c r="E49" s="13">
        <v>42987.340486111112</v>
      </c>
      <c r="F49" s="13">
        <v>42987.343912037039</v>
      </c>
      <c r="G49" s="7">
        <v>65</v>
      </c>
      <c r="H49" s="21" t="s">
        <v>860</v>
      </c>
      <c r="I49" s="13">
        <v>42987.367395833331</v>
      </c>
      <c r="J49" s="7">
        <v>0</v>
      </c>
      <c r="K49" s="89" t="str">
        <f t="shared" si="0"/>
        <v>4057/4058</v>
      </c>
      <c r="L49" s="214" t="str">
        <f>VLOOKUP(A49,'Trips&amp;Operators'!$C$1:$G$99911,5,FALSE)</f>
        <v>LALONDE GREGORY</v>
      </c>
      <c r="M49" s="6">
        <f t="shared" si="1"/>
        <v>2.3483796292566694E-2</v>
      </c>
      <c r="N49" s="7">
        <f t="shared" si="21"/>
        <v>33.81666666129604</v>
      </c>
      <c r="O49" s="7"/>
      <c r="P49" s="7"/>
      <c r="Q49" s="22"/>
      <c r="R49" s="167"/>
      <c r="S49" s="210">
        <f t="shared" si="22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-09T07:10:18-0600',mode:absolute,to:'2017-09-09T09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194" t="str">
        <f>IF(AA49&lt;VLOOKUP(AG49,Variables!$AC$3:$AD$8,2,FALSE),"Y","N")</f>
        <v>N</v>
      </c>
      <c r="X49" s="194">
        <f t="shared" si="6"/>
        <v>1</v>
      </c>
      <c r="Y49" s="194">
        <f t="shared" si="23"/>
        <v>4.5499999999999999E-2</v>
      </c>
      <c r="Z49" s="194">
        <f t="shared" si="24"/>
        <v>23.332599999999999</v>
      </c>
      <c r="AA49" s="194">
        <f t="shared" si="9"/>
        <v>23.287099999999999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49" s="74" t="str">
        <f t="shared" si="12"/>
        <v>"C:\Program Files (x86)\AstroGrep\AstroGrep.exe" /e /r /s /spath="%USERPROFILE%\AppData\Local\Temp\OnboardLogs" /stypes="app*4058*20170909*"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137-09 --locoid 4058 --swversion DE.1.0.9.0 --startMP 204:455 --initTime 2017-09-09T08:10:18 --startdatetime 2017-09-09T08:15:14 --delay 65 --endMP 204:233326 --enddatetime 2017-09-09T08:49:03 --enforcementcount 0 &gt;&gt;C:\Users\stu\Documents\GitHub\eaglep3-reporting\EC\2017-09-09-refined-times.txt</v>
      </c>
      <c r="AI49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{"issue":{"subject":"","project_id":79,"tracker_id":40,"status_id":1,"priority_id":2,"assigned_to_id":338,"start_date":"2017-09-09","description":"","custom_fields":[{"id":1,"name":"Subdivision","value":"EC"},{"id":4,"name":"Milepost","value":"23.3326"},{"id":17,"name":"Train ID","value":"137-09"},{"id":16,"name":"Locomotive ID","value":"4058"},{"id":130,"name":"Impact","value":""},{"id":150,"name":"Time of Event (Mountain Time)","value":"08:49:03"},{"id":151,"name":"Denver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4058 --day 2017-09-09</v>
      </c>
      <c r="AN49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704</v>
      </c>
      <c r="B50" s="7">
        <v>4057</v>
      </c>
      <c r="C50" s="21" t="s">
        <v>197</v>
      </c>
      <c r="D50" s="21" t="s">
        <v>528</v>
      </c>
      <c r="E50" s="13">
        <v>42987.368622685186</v>
      </c>
      <c r="F50" s="13">
        <v>42987.383518518516</v>
      </c>
      <c r="G50" s="7">
        <v>48</v>
      </c>
      <c r="H50" s="21" t="s">
        <v>501</v>
      </c>
      <c r="I50" s="13">
        <v>42987.408831018518</v>
      </c>
      <c r="J50" s="7">
        <v>0</v>
      </c>
      <c r="K50" s="89" t="str">
        <f t="shared" si="0"/>
        <v>4057/4058</v>
      </c>
      <c r="L50" s="214" t="str">
        <f>VLOOKUP(A50,'Trips&amp;Operators'!$C$1:$G$99911,5,FALSE)</f>
        <v>LALONDE GREGORY</v>
      </c>
      <c r="M50" s="6">
        <f t="shared" si="1"/>
        <v>2.531250000174623E-2</v>
      </c>
      <c r="N50" s="7">
        <f t="shared" si="21"/>
        <v>36.450000002514571</v>
      </c>
      <c r="O50" s="7"/>
      <c r="P50" s="7"/>
      <c r="Q50" s="22"/>
      <c r="R50" s="167"/>
      <c r="S50" s="210">
        <f t="shared" si="22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-09T07:50:49-0600',mode:absolute,to:'2017-09-09T10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194" t="str">
        <f>IF(AA50&lt;VLOOKUP(AG50,Variables!$AC$3:$AD$8,2,FALSE),"Y","N")</f>
        <v>N</v>
      </c>
      <c r="X50" s="194">
        <f t="shared" si="6"/>
        <v>1</v>
      </c>
      <c r="Y50" s="194">
        <f t="shared" si="23"/>
        <v>23.299199999999999</v>
      </c>
      <c r="Z50" s="194">
        <f t="shared" si="24"/>
        <v>1.3599999999999999E-2</v>
      </c>
      <c r="AA50" s="194">
        <f t="shared" si="9"/>
        <v>23.285599999999999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138</v>
      </c>
      <c r="AE50" s="77" t="str">
        <f t="shared" si="11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50" s="74" t="str">
        <f t="shared" si="12"/>
        <v>"C:\Program Files (x86)\AstroGrep\AstroGrep.exe" /e /r /s /spath="%USERPROFILE%\AppData\Local\Temp\OnboardLogs" /stypes="app*4057*20170909*"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138-09 --locoid 4057 --swversion DE.1.0.9.0 --startMP 204:232992 --initTime 2017-09-09T08:50:49 --startdatetime 2017-09-09T09:12:16 --delay 48 --endMP 204:136 --enddatetime 2017-09-09T09:48:43 --enforcementcount 0 &gt;&gt;C:\Users\stu\Documents\GitHub\eaglep3-reporting\EC\2017-09-09-refined-times.txt</v>
      </c>
      <c r="AI50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{"issue":{"subject":"","project_id":79,"tracker_id":40,"status_id":1,"priority_id":2,"assigned_to_id":338,"start_date":"2017-09-09","description":"","custom_fields":[{"id":1,"name":"Subdivision","value":"EC"},{"id":4,"name":"Milepost","value":"0.0136"},{"id":17,"name":"Train ID","value":"138-09"},{"id":16,"name":"Locomotive ID","value":"4057"},{"id":130,"name":"Impact","value":""},{"id":150,"name":"Time of Event (Mountain Time)","value":"09:48:43"},{"id":151,"name":"Denver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4057 --day 2017-09-09</v>
      </c>
      <c r="AN50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700</v>
      </c>
      <c r="B51" s="7">
        <v>4054</v>
      </c>
      <c r="C51" s="21" t="s">
        <v>197</v>
      </c>
      <c r="D51" s="21" t="s">
        <v>529</v>
      </c>
      <c r="E51" s="13">
        <v>42987.349548611113</v>
      </c>
      <c r="F51" s="13">
        <v>42987.354525462964</v>
      </c>
      <c r="G51" s="7">
        <v>301</v>
      </c>
      <c r="H51" s="21" t="s">
        <v>441</v>
      </c>
      <c r="I51" s="13">
        <v>42987.37908564815</v>
      </c>
      <c r="J51" s="7">
        <v>0</v>
      </c>
      <c r="K51" s="89" t="str">
        <f t="shared" si="0"/>
        <v>4053/4054</v>
      </c>
      <c r="L51" s="214" t="str">
        <f>VLOOKUP(A51,'Trips&amp;Operators'!$C$1:$G$99911,5,FALSE)</f>
        <v>DE LA ROSA ALEX</v>
      </c>
      <c r="M51" s="6">
        <f t="shared" si="1"/>
        <v>2.4560185185691807E-2</v>
      </c>
      <c r="N51" s="7">
        <f t="shared" si="21"/>
        <v>35.366666667396203</v>
      </c>
      <c r="O51" s="7"/>
      <c r="P51" s="7"/>
      <c r="Q51" s="22"/>
      <c r="R51" s="167"/>
      <c r="S51" s="210">
        <f t="shared" si="22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-09T07:23:21-0600',mode:absolute,to:'2017-09-09T10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194" t="str">
        <f>IF(AA51&lt;VLOOKUP(AG51,Variables!$AC$3:$AD$8,2,FALSE),"Y","N")</f>
        <v>N</v>
      </c>
      <c r="X51" s="194">
        <f t="shared" si="6"/>
        <v>1</v>
      </c>
      <c r="Y51" s="194">
        <f t="shared" si="23"/>
        <v>4.4400000000000002E-2</v>
      </c>
      <c r="Z51" s="194">
        <f t="shared" si="24"/>
        <v>23.331</v>
      </c>
      <c r="AA51" s="194">
        <f t="shared" si="9"/>
        <v>23.2866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51" s="74" t="str">
        <f t="shared" si="12"/>
        <v>"C:\Program Files (x86)\AstroGrep\AstroGrep.exe" /e /r /s /spath="%USERPROFILE%\AppData\Local\Temp\OnboardLogs" /stypes="app*4054*20170909*"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139-09 --locoid 4054 --swversion DE.1.0.9.0 --startMP 204:444 --initTime 2017-09-09T08:23:21 --startdatetime 2017-09-09T08:30:31 --delay 301 --endMP 204:233310 --enddatetime 2017-09-09T09:05:53 --enforcementcount 0 &gt;&gt;C:\Users\stu\Documents\GitHub\eaglep3-reporting\EC\2017-09-09-refined-times.txt</v>
      </c>
      <c r="AI51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{"issue":{"subject":"","project_id":79,"tracker_id":40,"status_id":1,"priority_id":2,"assigned_to_id":338,"start_date":"2017-09-09","description":"","custom_fields":[{"id":1,"name":"Subdivision","value":"EC"},{"id":4,"name":"Milepost","value":"23.331"},{"id":17,"name":"Train ID","value":"139-09"},{"id":16,"name":"Locomotive ID","value":"4054"},{"id":130,"name":"Impact","value":""},{"id":150,"name":"Time of Event (Mountain Time)","value":"09:05:53"},{"id":151,"name":"Denver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4054 --day 2017-09-09</v>
      </c>
      <c r="AN51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708</v>
      </c>
      <c r="B52" s="7">
        <v>4053</v>
      </c>
      <c r="C52" s="21" t="s">
        <v>197</v>
      </c>
      <c r="D52" s="21" t="s">
        <v>524</v>
      </c>
      <c r="E52" s="13">
        <v>42987.390138888892</v>
      </c>
      <c r="F52" s="13">
        <v>42987.393993055557</v>
      </c>
      <c r="G52" s="7">
        <v>75</v>
      </c>
      <c r="H52" s="21" t="s">
        <v>440</v>
      </c>
      <c r="I52" s="13">
        <v>42987.419537037036</v>
      </c>
      <c r="J52" s="7">
        <v>0</v>
      </c>
      <c r="K52" s="89" t="str">
        <f t="shared" si="0"/>
        <v>4053/4054</v>
      </c>
      <c r="L52" s="214" t="str">
        <f>VLOOKUP(A52,'Trips&amp;Operators'!$C$1:$G$99911,5,FALSE)</f>
        <v>DE LA ROSA ALEX</v>
      </c>
      <c r="M52" s="6">
        <f t="shared" si="1"/>
        <v>2.5543981479131617E-2</v>
      </c>
      <c r="N52" s="7">
        <f t="shared" si="21"/>
        <v>36.783333329949528</v>
      </c>
      <c r="O52" s="7"/>
      <c r="P52" s="7"/>
      <c r="Q52" s="22"/>
      <c r="R52" s="167"/>
      <c r="S52" s="210">
        <f t="shared" si="22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-09T08:21:48-0600',mode:absolute,to:'2017-09-09T11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194" t="str">
        <f>IF(AA52&lt;VLOOKUP(AG52,Variables!$AC$3:$AD$8,2,FALSE),"Y","N")</f>
        <v>N</v>
      </c>
      <c r="X52" s="194">
        <f t="shared" si="6"/>
        <v>1</v>
      </c>
      <c r="Y52" s="194">
        <f t="shared" si="23"/>
        <v>23.299600000000002</v>
      </c>
      <c r="Z52" s="194">
        <f t="shared" si="24"/>
        <v>1.3899999999999999E-2</v>
      </c>
      <c r="AA52" s="194">
        <f t="shared" si="9"/>
        <v>23.285700000000002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52" s="74" t="str">
        <f t="shared" si="12"/>
        <v>"C:\Program Files (x86)\AstroGrep\AstroGrep.exe" /e /r /s /spath="%USERPROFILE%\AppData\Local\Temp\OnboardLogs" /stypes="app*4053*20170909*"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140-09 --locoid 4053 --swversion DE.1.0.9.0 --startMP 204:232996 --initTime 2017-09-09T09:21:48 --startdatetime 2017-09-09T09:27:21 --delay 75 --endMP 204:139 --enddatetime 2017-09-09T10:04:08 --enforcementcount 0 &gt;&gt;C:\Users\stu\Documents\GitHub\eaglep3-reporting\EC\2017-09-09-refined-times.txt</v>
      </c>
      <c r="AI52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{"issue":{"subject":"","project_id":79,"tracker_id":40,"status_id":1,"priority_id":2,"assigned_to_id":338,"start_date":"2017-09-09","description":"","custom_fields":[{"id":1,"name":"Subdivision","value":"EC"},{"id":4,"name":"Milepost","value":"0.0139"},{"id":17,"name":"Train ID","value":"140-09"},{"id":16,"name":"Locomotive ID","value":"4053"},{"id":130,"name":"Impact","value":""},{"id":150,"name":"Time of Event (Mountain Time)","value":"10:04:08"},{"id":151,"name":"Denver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4053 --day 2017-09-09</v>
      </c>
      <c r="AN52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702</v>
      </c>
      <c r="B53" s="7">
        <v>4010</v>
      </c>
      <c r="C53" s="21" t="s">
        <v>197</v>
      </c>
      <c r="D53" s="21" t="s">
        <v>439</v>
      </c>
      <c r="E53" s="13">
        <v>42987.359664351854</v>
      </c>
      <c r="F53" s="13">
        <v>42987.364849537036</v>
      </c>
      <c r="G53" s="7">
        <v>105</v>
      </c>
      <c r="H53" s="21" t="s">
        <v>852</v>
      </c>
      <c r="I53" s="13">
        <v>42987.389016203706</v>
      </c>
      <c r="J53" s="7">
        <v>0</v>
      </c>
      <c r="K53" s="89" t="str">
        <f t="shared" si="0"/>
        <v>4009/4010</v>
      </c>
      <c r="L53" s="214" t="str">
        <f>VLOOKUP(A53,'Trips&amp;Operators'!$C$1:$G$99911,5,FALSE)</f>
        <v>MACDONALD THOMAS</v>
      </c>
      <c r="M53" s="6">
        <f t="shared" si="1"/>
        <v>2.4166666669771075E-2</v>
      </c>
      <c r="N53" s="7">
        <f t="shared" si="21"/>
        <v>34.800000004470348</v>
      </c>
      <c r="O53" s="7"/>
      <c r="P53" s="7"/>
      <c r="Q53" s="22"/>
      <c r="R53" s="167"/>
      <c r="S53" s="210">
        <f t="shared" si="22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-09T07:37:55-0600',mode:absolute,to:'2017-09-09T10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194" t="str">
        <f>IF(AA53&lt;VLOOKUP(AG53,Variables!$AC$3:$AD$8,2,FALSE),"Y","N")</f>
        <v>N</v>
      </c>
      <c r="X53" s="194">
        <f t="shared" si="6"/>
        <v>1</v>
      </c>
      <c r="Y53" s="194">
        <f t="shared" si="23"/>
        <v>4.3299999999999998E-2</v>
      </c>
      <c r="Z53" s="194">
        <f t="shared" si="24"/>
        <v>23.3307</v>
      </c>
      <c r="AA53" s="194">
        <f t="shared" si="9"/>
        <v>23.287400000000002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53" s="74" t="str">
        <f t="shared" si="12"/>
        <v>"C:\Program Files (x86)\AstroGrep\AstroGrep.exe" /e /r /s /spath="%USERPROFILE%\AppData\Local\Temp\OnboardLogs" /stypes="app*4010*20170909*"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141-09 --locoid 4010 --swversion DE.1.0.9.0 --startMP 204:433 --initTime 2017-09-09T08:37:55 --startdatetime 2017-09-09T08:45:23 --delay 105 --endMP 204:233307 --enddatetime 2017-09-09T09:20:11 --enforcementcount 0 &gt;&gt;C:\Users\stu\Documents\GitHub\eaglep3-reporting\EC\2017-09-09-refined-times.txt</v>
      </c>
      <c r="AI53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{"issue":{"subject":"","project_id":79,"tracker_id":40,"status_id":1,"priority_id":2,"assigned_to_id":338,"start_date":"2017-09-09","description":"","custom_fields":[{"id":1,"name":"Subdivision","value":"EC"},{"id":4,"name":"Milepost","value":"23.3307"},{"id":17,"name":"Train ID","value":"141-09"},{"id":16,"name":"Locomotive ID","value":"4010"},{"id":130,"name":"Impact","value":""},{"id":150,"name":"Time of Event (Mountain Time)","value":"09:20:11"},{"id":151,"name":"Denver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4010 --day 2017-09-09</v>
      </c>
      <c r="AN53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711</v>
      </c>
      <c r="B54" s="7">
        <v>4009</v>
      </c>
      <c r="C54" s="21" t="s">
        <v>197</v>
      </c>
      <c r="D54" s="21" t="s">
        <v>380</v>
      </c>
      <c r="E54" s="13">
        <v>42987.399074074077</v>
      </c>
      <c r="F54" s="13">
        <v>42987.404953703706</v>
      </c>
      <c r="G54" s="7">
        <v>398</v>
      </c>
      <c r="H54" s="21" t="s">
        <v>389</v>
      </c>
      <c r="I54" s="13">
        <v>42987.432152777779</v>
      </c>
      <c r="J54" s="7">
        <v>0</v>
      </c>
      <c r="K54" s="89" t="str">
        <f t="shared" si="0"/>
        <v>4009/4010</v>
      </c>
      <c r="L54" s="214" t="str">
        <f>VLOOKUP(A54,'Trips&amp;Operators'!$C$1:$G$99911,5,FALSE)</f>
        <v>MACDONALD THOMAS</v>
      </c>
      <c r="M54" s="6">
        <f t="shared" si="1"/>
        <v>2.7199074072996154E-2</v>
      </c>
      <c r="N54" s="7">
        <f t="shared" si="21"/>
        <v>39.166666665114462</v>
      </c>
      <c r="O54" s="7"/>
      <c r="P54" s="7"/>
      <c r="Q54" s="22"/>
      <c r="R54" s="167"/>
      <c r="S54" s="210">
        <f t="shared" si="22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-09T08:34:40-0600',mode:absolute,to:'2017-09-09T11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194" t="str">
        <f>IF(AA54&lt;VLOOKUP(AG54,Variables!$AC$3:$AD$8,2,FALSE),"Y","N")</f>
        <v>N</v>
      </c>
      <c r="X54" s="194">
        <f t="shared" si="6"/>
        <v>1</v>
      </c>
      <c r="Y54" s="194">
        <f t="shared" si="23"/>
        <v>23.297699999999999</v>
      </c>
      <c r="Z54" s="194">
        <f t="shared" si="24"/>
        <v>1.67E-2</v>
      </c>
      <c r="AA54" s="194">
        <f t="shared" si="9"/>
        <v>23.280999999999999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54" s="74" t="str">
        <f t="shared" si="12"/>
        <v>"C:\Program Files (x86)\AstroGrep\AstroGrep.exe" /e /r /s /spath="%USERPROFILE%\AppData\Local\Temp\OnboardLogs" /stypes="app*4009*20170909*"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142-09 --locoid 4009 --swversion DE.1.0.9.0 --startMP 204:232977 --initTime 2017-09-09T09:34:40 --startdatetime 2017-09-09T09:43:08 --delay 398 --endMP 204:167 --enddatetime 2017-09-09T10:22:18 --enforcementcount 0 &gt;&gt;C:\Users\stu\Documents\GitHub\eaglep3-reporting\EC\2017-09-09-refined-times.txt</v>
      </c>
      <c r="AI5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{"issue":{"subject":"","project_id":79,"tracker_id":40,"status_id":1,"priority_id":2,"assigned_to_id":338,"start_date":"2017-09-09","description":"","custom_fields":[{"id":1,"name":"Subdivision","value":"EC"},{"id":4,"name":"Milepost","value":"0.0167"},{"id":17,"name":"Train ID","value":"142-09"},{"id":16,"name":"Locomotive ID","value":"4009"},{"id":130,"name":"Impact","value":""},{"id":150,"name":"Time of Event (Mountain Time)","value":"10:22:18"},{"id":151,"name":"Denver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4009 --day 2017-09-09</v>
      </c>
      <c r="AN54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705</v>
      </c>
      <c r="B55" s="7">
        <v>4044</v>
      </c>
      <c r="C55" s="21" t="s">
        <v>197</v>
      </c>
      <c r="D55" s="21" t="s">
        <v>527</v>
      </c>
      <c r="E55" s="13">
        <v>42987.371770833335</v>
      </c>
      <c r="F55" s="13">
        <v>42987.414733796293</v>
      </c>
      <c r="G55" s="7">
        <v>57</v>
      </c>
      <c r="H55" s="21" t="s">
        <v>855</v>
      </c>
      <c r="I55" s="13">
        <v>42987.441064814811</v>
      </c>
      <c r="J55" s="7">
        <v>0</v>
      </c>
      <c r="K55" s="89" t="str">
        <f t="shared" si="0"/>
        <v>4043/4044</v>
      </c>
      <c r="L55" s="214" t="str">
        <f>VLOOKUP(A55,'Trips&amp;Operators'!$C$1:$G$99911,5,FALSE)</f>
        <v>MAELZER KURT</v>
      </c>
      <c r="M55" s="6">
        <f t="shared" si="1"/>
        <v>2.6331018518249039E-2</v>
      </c>
      <c r="N55" s="7">
        <f t="shared" si="21"/>
        <v>37.916666666278616</v>
      </c>
      <c r="O55" s="7"/>
      <c r="P55" s="7"/>
      <c r="Q55" s="22"/>
      <c r="R55" s="167"/>
      <c r="S55" s="210">
        <f t="shared" si="22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-09T07:55:21-0600',mode:absolute,to:'2017-09-09T11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4" t="str">
        <f>IF(AA55&lt;VLOOKUP(AG55,Variables!$AC$3:$AD$8,2,FALSE),"Y","N")</f>
        <v>N</v>
      </c>
      <c r="X55" s="194">
        <f t="shared" si="6"/>
        <v>1</v>
      </c>
      <c r="Y55" s="194">
        <f t="shared" si="23"/>
        <v>4.5100000000000001E-2</v>
      </c>
      <c r="Z55" s="194">
        <f t="shared" si="24"/>
        <v>23.331199999999999</v>
      </c>
      <c r="AA55" s="194">
        <f t="shared" si="9"/>
        <v>23.286099999999998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55" s="74" t="str">
        <f t="shared" si="12"/>
        <v>"C:\Program Files (x86)\AstroGrep\AstroGrep.exe" /e /r /s /spath="%USERPROFILE%\AppData\Local\Temp\OnboardLogs" /stypes="app*4044*20170909*" /stext=" 16:.+((SYSTEM_STATE.+slice.+state.+changed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143-09 --locoid 4044 --swversion DE.1.0.9.0 --startMP 204:451 --initTime 2017-09-09T08:55:21 --startdatetime 2017-09-09T09:57:13 --delay 57 --endMP 204:233312 --enddatetime 2017-09-09T10:35:08 --enforcementcount 0 &gt;&gt;C:\Users\stu\Documents\GitHub\eaglep3-reporting\EC\2017-09-09-refined-times.txt</v>
      </c>
      <c r="AI5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{"issue":{"subject":"","project_id":79,"tracker_id":40,"status_id":1,"priority_id":2,"assigned_to_id":338,"start_date":"2017-09-09","description":"","custom_fields":[{"id":1,"name":"Subdivision","value":"EC"},{"id":4,"name":"Milepost","value":"23.3312"},{"id":17,"name":"Train ID","value":"143-09"},{"id":16,"name":"Locomotive ID","value":"4044"},{"id":130,"name":"Impact","value":""},{"id":150,"name":"Time of Event (Mountain Time)","value":"10:35:08"},{"id":151,"name":"Denver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4044 --day 2017-09-09</v>
      </c>
      <c r="AN5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712</v>
      </c>
      <c r="B56" s="7">
        <v>4043</v>
      </c>
      <c r="C56" s="21" t="s">
        <v>197</v>
      </c>
      <c r="D56" s="21" t="s">
        <v>861</v>
      </c>
      <c r="E56" s="13">
        <v>42987.408692129633</v>
      </c>
      <c r="F56" s="13">
        <v>42987.414733796293</v>
      </c>
      <c r="G56" s="7">
        <v>58</v>
      </c>
      <c r="H56" s="21" t="s">
        <v>345</v>
      </c>
      <c r="I56" s="13">
        <v>42987.441064814811</v>
      </c>
      <c r="J56" s="7">
        <v>0</v>
      </c>
      <c r="K56" s="89" t="str">
        <f t="shared" si="0"/>
        <v>4043/4044</v>
      </c>
      <c r="L56" s="214" t="str">
        <f>VLOOKUP(A56,'Trips&amp;Operators'!$C$1:$G$99911,5,FALSE)</f>
        <v>MAELZER KURT</v>
      </c>
      <c r="M56" s="6">
        <f t="shared" si="1"/>
        <v>2.6331018518249039E-2</v>
      </c>
      <c r="N56" s="7">
        <f t="shared" si="21"/>
        <v>37.916666666278616</v>
      </c>
      <c r="O56" s="7"/>
      <c r="P56" s="7"/>
      <c r="Q56" s="22"/>
      <c r="R56" s="167"/>
      <c r="S56" s="210">
        <f t="shared" si="22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-09T08:48:31-0600',mode:absolute,to:'2017-09-09T11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4" t="str">
        <f>IF(AA56&lt;VLOOKUP(AG56,Variables!$AC$3:$AD$8,2,FALSE),"Y","N")</f>
        <v>N</v>
      </c>
      <c r="X56" s="194">
        <f t="shared" si="6"/>
        <v>1</v>
      </c>
      <c r="Y56" s="194">
        <f t="shared" si="23"/>
        <v>23.300599999999999</v>
      </c>
      <c r="Z56" s="194">
        <f t="shared" si="24"/>
        <v>1.54E-2</v>
      </c>
      <c r="AA56" s="194">
        <f t="shared" si="9"/>
        <v>23.2852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56" s="74" t="str">
        <f t="shared" si="12"/>
        <v>"C:\Program Files (x86)\AstroGrep\AstroGrep.exe" /e /r /s /spath="%USERPROFILE%\AppData\Local\Temp\OnboardLogs" /stypes="app*4043*20170909*"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144-09 --locoid 4043 --swversion DE.1.0.9.0 --startMP 204:233006 --initTime 2017-09-09T09:48:31 --startdatetime 2017-09-09T09:57:13 --delay 58 --endMP 204:154 --enddatetime 2017-09-09T10:35:08 --enforcementcount 0 &gt;&gt;C:\Users\stu\Documents\GitHub\eaglep3-reporting\EC\2017-09-09-refined-times.txt</v>
      </c>
      <c r="AI5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{"issue":{"subject":"","project_id":79,"tracker_id":40,"status_id":1,"priority_id":2,"assigned_to_id":338,"start_date":"2017-09-09","description":"","custom_fields":[{"id":1,"name":"Subdivision","value":"EC"},{"id":4,"name":"Milepost","value":"0.0154"},{"id":17,"name":"Train ID","value":"144-09"},{"id":16,"name":"Locomotive ID","value":"4043"},{"id":130,"name":"Impact","value":""},{"id":150,"name":"Time of Event (Mountain Time)","value":"10:35:08"},{"id":151,"name":"Denver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4043 --day 2017-09-09</v>
      </c>
      <c r="AN5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707</v>
      </c>
      <c r="B57" s="7">
        <v>4046</v>
      </c>
      <c r="C57" s="21" t="s">
        <v>197</v>
      </c>
      <c r="D57" s="21" t="s">
        <v>862</v>
      </c>
      <c r="E57" s="13">
        <v>42987.381261574075</v>
      </c>
      <c r="F57" s="13">
        <v>42987.38559027778</v>
      </c>
      <c r="G57" s="7">
        <v>62</v>
      </c>
      <c r="H57" s="21" t="s">
        <v>574</v>
      </c>
      <c r="I57" s="13">
        <v>42987.410451388889</v>
      </c>
      <c r="J57" s="7">
        <v>0</v>
      </c>
      <c r="K57" s="89" t="str">
        <f t="shared" si="0"/>
        <v>4045/4046</v>
      </c>
      <c r="L57" s="214" t="str">
        <f>VLOOKUP(A57,'Trips&amp;Operators'!$C$1:$G$99911,5,FALSE)</f>
        <v>WILLIAMS DONTE</v>
      </c>
      <c r="M57" s="6">
        <f t="shared" si="1"/>
        <v>2.4861111109203193E-2</v>
      </c>
      <c r="N57" s="7">
        <f t="shared" si="21"/>
        <v>35.799999997252598</v>
      </c>
      <c r="O57" s="7"/>
      <c r="P57" s="7"/>
      <c r="Q57" s="22"/>
      <c r="R57" s="167"/>
      <c r="S57" s="210">
        <f t="shared" si="22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-09T08:09:01-0600',mode:absolute,to:'2017-09-09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94" t="str">
        <f>IF(AA57&lt;VLOOKUP(AG57,Variables!$AC$3:$AD$8,2,FALSE),"Y","N")</f>
        <v>N</v>
      </c>
      <c r="X57" s="194">
        <f t="shared" ref="X57:X59" si="25">VALUE(LEFT(AD57,4))-VALUE(LEFT(AD56,4))</f>
        <v>1</v>
      </c>
      <c r="Y57" s="194">
        <f t="shared" si="23"/>
        <v>4.7100000000000003E-2</v>
      </c>
      <c r="Z57" s="194">
        <f t="shared" si="24"/>
        <v>23.328900000000001</v>
      </c>
      <c r="AA57" s="194">
        <f t="shared" si="9"/>
        <v>23.2818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57" s="74" t="str">
        <f t="shared" si="12"/>
        <v>"C:\Program Files (x86)\AstroGrep\AstroGrep.exe" /e /r /s /spath="%USERPROFILE%\AppData\Local\Temp\OnboardLogs" /stypes="app*4046*20170909*"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145-09 --locoid 4046 --swversion DE.1.0.9.0 --startMP 204:471 --initTime 2017-09-09T09:09:01 --startdatetime 2017-09-09T09:15:15 --delay 62 --endMP 204:233289 --enddatetime 2017-09-09T09:51:03 --enforcementcount 0 &gt;&gt;C:\Users\stu\Documents\GitHub\eaglep3-reporting\EC\2017-09-09-refined-times.txt</v>
      </c>
      <c r="AI57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{"issue":{"subject":"","project_id":79,"tracker_id":40,"status_id":1,"priority_id":2,"assigned_to_id":338,"start_date":"2017-09-09","description":"","custom_fields":[{"id":1,"name":"Subdivision","value":"EC"},{"id":4,"name":"Milepost","value":"23.3289"},{"id":17,"name":"Train ID","value":"145-09"},{"id":16,"name":"Locomotive ID","value":"4046"},{"id":130,"name":"Impact","value":""},{"id":150,"name":"Time of Event (Mountain Time)","value":"09:51:03"},{"id":151,"name":"Denver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4046 --day 2017-09-09</v>
      </c>
      <c r="AN57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715</v>
      </c>
      <c r="B58" s="7">
        <v>4045</v>
      </c>
      <c r="C58" s="21" t="s">
        <v>197</v>
      </c>
      <c r="D58" s="21" t="s">
        <v>432</v>
      </c>
      <c r="E58" s="13">
        <v>42987.418773148151</v>
      </c>
      <c r="F58" s="13">
        <v>42987.425173611111</v>
      </c>
      <c r="G58" s="7">
        <v>71</v>
      </c>
      <c r="H58" s="21" t="s">
        <v>396</v>
      </c>
      <c r="I58" s="13">
        <v>42987.453425925924</v>
      </c>
      <c r="J58" s="7">
        <v>0</v>
      </c>
      <c r="K58" s="89" t="str">
        <f t="shared" si="0"/>
        <v>4045/4046</v>
      </c>
      <c r="L58" s="214" t="str">
        <f>VLOOKUP(A58,'Trips&amp;Operators'!$C$1:$G$99911,5,FALSE)</f>
        <v>WILLIAMS DONTE</v>
      </c>
      <c r="M58" s="6">
        <f t="shared" si="1"/>
        <v>2.8252314812561963E-2</v>
      </c>
      <c r="N58" s="7">
        <f t="shared" si="21"/>
        <v>40.683333330089226</v>
      </c>
      <c r="O58" s="7"/>
      <c r="P58" s="7"/>
      <c r="Q58" s="22"/>
      <c r="R58" s="167"/>
      <c r="S58" s="210">
        <f t="shared" si="22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-09T09:03:02-0600',mode:absolute,to:'2017-09-09T11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94" t="str">
        <f>IF(AA58&lt;VLOOKUP(AG58,Variables!$AC$3:$AD$8,2,FALSE),"Y","N")</f>
        <v>N</v>
      </c>
      <c r="X58" s="194">
        <f t="shared" si="25"/>
        <v>1</v>
      </c>
      <c r="Y58" s="194">
        <f t="shared" si="23"/>
        <v>23.2988</v>
      </c>
      <c r="Z58" s="194">
        <f t="shared" si="24"/>
        <v>1.5800000000000002E-2</v>
      </c>
      <c r="AA58" s="194">
        <f t="shared" si="9"/>
        <v>23.283000000000001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58" s="74" t="str">
        <f t="shared" si="12"/>
        <v>"C:\Program Files (x86)\AstroGrep\AstroGrep.exe" /e /r /s /spath="%USERPROFILE%\AppData\Local\Temp\OnboardLogs" /stypes="app*4045*20170909*"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146-09 --locoid 4045 --swversion DE.1.0.9.0 --startMP 204:232988 --initTime 2017-09-09T10:03:02 --startdatetime 2017-09-09T10:12:15 --delay 71 --endMP 204:158 --enddatetime 2017-09-09T10:52:56 --enforcementcount 0 &gt;&gt;C:\Users\stu\Documents\GitHub\eaglep3-reporting\EC\2017-09-09-refined-times.txt</v>
      </c>
      <c r="AI58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{"issue":{"subject":"","project_id":79,"tracker_id":40,"status_id":1,"priority_id":2,"assigned_to_id":338,"start_date":"2017-09-09","description":"","custom_fields":[{"id":1,"name":"Subdivision","value":"EC"},{"id":4,"name":"Milepost","value":"0.0158"},{"id":17,"name":"Train ID","value":"146-09"},{"id":16,"name":"Locomotive ID","value":"4045"},{"id":130,"name":"Impact","value":""},{"id":150,"name":"Time of Event (Mountain Time)","value":"10:52:56"},{"id":151,"name":"Denver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4045 --day 2017-09-09</v>
      </c>
      <c r="AN58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615</v>
      </c>
      <c r="B59" s="7">
        <v>4050</v>
      </c>
      <c r="C59" s="21" t="s">
        <v>197</v>
      </c>
      <c r="D59" s="21" t="s">
        <v>363</v>
      </c>
      <c r="E59" s="13">
        <v>42987.390798611108</v>
      </c>
      <c r="F59" s="13">
        <v>42987.396053240744</v>
      </c>
      <c r="G59" s="7">
        <v>73</v>
      </c>
      <c r="H59" s="21" t="s">
        <v>863</v>
      </c>
      <c r="I59" s="13">
        <v>42987.421863425923</v>
      </c>
      <c r="J59" s="7">
        <v>0</v>
      </c>
      <c r="K59" s="89" t="str">
        <f t="shared" si="0"/>
        <v>4049/4050</v>
      </c>
      <c r="L59" s="214" t="str">
        <f>VLOOKUP(A59,'Trips&amp;Operators'!$C$1:$G$99911,5,FALSE)</f>
        <v>DAVIS WENDY</v>
      </c>
      <c r="M59" s="6">
        <f t="shared" si="1"/>
        <v>2.5810185179580003E-2</v>
      </c>
      <c r="N59" s="7">
        <f t="shared" si="21"/>
        <v>37.166666658595204</v>
      </c>
      <c r="O59" s="7"/>
      <c r="P59" s="7"/>
      <c r="Q59" s="22"/>
      <c r="R59" s="167"/>
      <c r="S59" s="210">
        <f t="shared" si="22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-09T08:22:45-0600',mode:absolute,to:'2017-09-09T11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194" t="str">
        <f>IF(AA59&lt;VLOOKUP(AG59,Variables!$AC$3:$AD$8,2,FALSE),"Y","N")</f>
        <v>N</v>
      </c>
      <c r="X59" s="194">
        <f t="shared" si="25"/>
        <v>1</v>
      </c>
      <c r="Y59" s="194">
        <f t="shared" si="23"/>
        <v>4.5699999999999998E-2</v>
      </c>
      <c r="Z59" s="194">
        <f t="shared" si="24"/>
        <v>23.3323</v>
      </c>
      <c r="AA59" s="194">
        <f t="shared" si="9"/>
        <v>23.2866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59" s="74" t="str">
        <f t="shared" si="12"/>
        <v>"C:\Program Files (x86)\AstroGrep\AstroGrep.exe" /e /r /s /spath="%USERPROFILE%\AppData\Local\Temp\OnboardLogs" /stypes="app*4050*20170909*"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147-09 --locoid 4050 --swversion DE.1.0.9.0 --startMP 204:457 --initTime 2017-09-09T09:22:45 --startdatetime 2017-09-09T09:30:19 --delay 73 --endMP 204:233323 --enddatetime 2017-09-09T10:07:29 --enforcementcount 0 &gt;&gt;C:\Users\stu\Documents\GitHub\eaglep3-reporting\EC\2017-09-09-refined-times.txt</v>
      </c>
      <c r="AI59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{"issue":{"subject":"","project_id":79,"tracker_id":40,"status_id":1,"priority_id":2,"assigned_to_id":338,"start_date":"2017-09-09","description":"","custom_fields":[{"id":1,"name":"Subdivision","value":"EC"},{"id":4,"name":"Milepost","value":"23.3323"},{"id":17,"name":"Train ID","value":"147-09"},{"id":16,"name":"Locomotive ID","value":"4050"},{"id":130,"name":"Impact","value":""},{"id":150,"name":"Time of Event (Mountain Time)","value":"10:07:29"},{"id":151,"name":"Denver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4050 --day 2017-09-09</v>
      </c>
      <c r="AN59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717</v>
      </c>
      <c r="B60" s="7">
        <v>4049</v>
      </c>
      <c r="C60" s="21" t="s">
        <v>197</v>
      </c>
      <c r="D60" s="21" t="s">
        <v>497</v>
      </c>
      <c r="E60" s="13">
        <v>42987.42931712963</v>
      </c>
      <c r="F60" s="13">
        <v>42987.435601851852</v>
      </c>
      <c r="G60" s="7">
        <v>97</v>
      </c>
      <c r="H60" s="21" t="s">
        <v>385</v>
      </c>
      <c r="I60" s="13">
        <v>42987.463252314818</v>
      </c>
      <c r="J60" s="7">
        <v>0</v>
      </c>
      <c r="K60" s="89" t="str">
        <f t="shared" si="0"/>
        <v>4049/4050</v>
      </c>
      <c r="L60" s="214" t="str">
        <f>VLOOKUP(A60,'Trips&amp;Operators'!$C$1:$G$99911,5,FALSE)</f>
        <v>DAVIS WENDY</v>
      </c>
      <c r="M60" s="6">
        <f t="shared" si="1"/>
        <v>2.7650462965539191E-2</v>
      </c>
      <c r="N60" s="7">
        <f t="shared" si="21"/>
        <v>39.816666670376435</v>
      </c>
      <c r="O60" s="7"/>
      <c r="P60" s="7"/>
      <c r="Q60" s="22"/>
      <c r="R60" s="167"/>
      <c r="S60" s="210">
        <f t="shared" si="22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-09T09:18:13-0600',mode:absolute,to:'2017-09-09T12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194" t="str">
        <f>IF(AA60&lt;VLOOKUP(AG60,Variables!$AC$3:$AD$8,2,FALSE),"Y","N")</f>
        <v>N</v>
      </c>
      <c r="X60" s="194">
        <f t="shared" ref="X60:X91" si="26">VALUE(LEFT(AD60,4))-VALUE(LEFT(AD59,4))</f>
        <v>1</v>
      </c>
      <c r="Y60" s="194">
        <f t="shared" si="23"/>
        <v>23.299099999999999</v>
      </c>
      <c r="Z60" s="194">
        <f t="shared" si="24"/>
        <v>1.61E-2</v>
      </c>
      <c r="AA60" s="194">
        <f t="shared" si="9"/>
        <v>23.282999999999998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60" s="74" t="str">
        <f t="shared" si="12"/>
        <v>"C:\Program Files (x86)\AstroGrep\AstroGrep.exe" /e /r /s /spath="%USERPROFILE%\AppData\Local\Temp\OnboardLogs" /stypes="app*4049*20170909*"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148-09 --locoid 4049 --swversion DE.1.0.9.0 --startMP 204:232991 --initTime 2017-09-09T10:18:13 --startdatetime 2017-09-09T10:27:16 --delay 97 --endMP 204:161 --enddatetime 2017-09-09T11:07:05 --enforcementcount 0 &gt;&gt;C:\Users\stu\Documents\GitHub\eaglep3-reporting\EC\2017-09-09-refined-times.txt</v>
      </c>
      <c r="AI60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{"issue":{"subject":"","project_id":79,"tracker_id":40,"status_id":1,"priority_id":2,"assigned_to_id":338,"start_date":"2017-09-09","description":"","custom_fields":[{"id":1,"name":"Subdivision","value":"EC"},{"id":4,"name":"Milepost","value":"0.0161"},{"id":17,"name":"Train ID","value":"148-09"},{"id":16,"name":"Locomotive ID","value":"4049"},{"id":130,"name":"Impact","value":""},{"id":150,"name":"Time of Event (Mountain Time)","value":"11:07:05"},{"id":151,"name":"Denver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4049 --day 2017-09-09</v>
      </c>
      <c r="AN60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710</v>
      </c>
      <c r="B61" s="7">
        <v>4026</v>
      </c>
      <c r="C61" s="21" t="s">
        <v>197</v>
      </c>
      <c r="D61" s="21" t="s">
        <v>337</v>
      </c>
      <c r="E61" s="13">
        <v>42987.400613425925</v>
      </c>
      <c r="F61" s="13">
        <v>42987.406423611108</v>
      </c>
      <c r="G61" s="7">
        <v>59</v>
      </c>
      <c r="H61" s="21" t="s">
        <v>572</v>
      </c>
      <c r="I61" s="13">
        <v>42987.430173611108</v>
      </c>
      <c r="J61" s="7">
        <v>0</v>
      </c>
      <c r="K61" s="89" t="str">
        <f t="shared" si="0"/>
        <v>4025/4026</v>
      </c>
      <c r="L61" s="214" t="str">
        <f>VLOOKUP(A61,'Trips&amp;Operators'!$C$1:$G$99911,5,FALSE)</f>
        <v>GEBRETEKLE DAGNEW</v>
      </c>
      <c r="M61" s="6">
        <f t="shared" si="1"/>
        <v>2.3750000000291038E-2</v>
      </c>
      <c r="N61" s="7">
        <f t="shared" si="21"/>
        <v>34.200000000419095</v>
      </c>
      <c r="O61" s="7"/>
      <c r="P61" s="7"/>
      <c r="Q61" s="22"/>
      <c r="R61" s="167"/>
      <c r="S61" s="210">
        <f t="shared" si="22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-09T08:36:53-0600',mode:absolute,to:'2017-09-09T11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194" t="str">
        <f>IF(AA61&lt;VLOOKUP(AG61,Variables!$AC$3:$AD$8,2,FALSE),"Y","N")</f>
        <v>N</v>
      </c>
      <c r="X61" s="194">
        <f t="shared" si="26"/>
        <v>1</v>
      </c>
      <c r="Y61" s="194">
        <f t="shared" si="23"/>
        <v>4.4600000000000001E-2</v>
      </c>
      <c r="Z61" s="194">
        <f t="shared" si="24"/>
        <v>23.329699999999999</v>
      </c>
      <c r="AA61" s="194">
        <f t="shared" si="9"/>
        <v>23.2851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61" s="74" t="str">
        <f t="shared" si="12"/>
        <v>"C:\Program Files (x86)\AstroGrep\AstroGrep.exe" /e /r /s /spath="%USERPROFILE%\AppData\Local\Temp\OnboardLogs" /stypes="app*4026*20170909*"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149-09 --locoid 4026 --swversion DE.1.0.9.0 --startMP 204:446 --initTime 2017-09-09T09:36:53 --startdatetime 2017-09-09T09:45:15 --delay 59 --endMP 204:233297 --enddatetime 2017-09-09T10:19:27 --enforcementcount 0 &gt;&gt;C:\Users\stu\Documents\GitHub\eaglep3-reporting\EC\2017-09-09-refined-times.txt</v>
      </c>
      <c r="AI61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{"issue":{"subject":"","project_id":79,"tracker_id":40,"status_id":1,"priority_id":2,"assigned_to_id":338,"start_date":"2017-09-09","description":"","custom_fields":[{"id":1,"name":"Subdivision","value":"EC"},{"id":4,"name":"Milepost","value":"23.3297"},{"id":17,"name":"Train ID","value":"149-09"},{"id":16,"name":"Locomotive ID","value":"4026"},{"id":130,"name":"Impact","value":""},{"id":150,"name":"Time of Event (Mountain Time)","value":"10:19:27"},{"id":151,"name":"Denver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4026 --day 2017-09-09</v>
      </c>
      <c r="AN61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718</v>
      </c>
      <c r="B62" s="7">
        <v>4025</v>
      </c>
      <c r="C62" s="21" t="s">
        <v>197</v>
      </c>
      <c r="D62" s="21" t="s">
        <v>591</v>
      </c>
      <c r="E62" s="13">
        <v>42987.431435185186</v>
      </c>
      <c r="F62" s="13">
        <v>42987.446006944447</v>
      </c>
      <c r="G62" s="7">
        <v>51</v>
      </c>
      <c r="H62" s="21" t="s">
        <v>440</v>
      </c>
      <c r="I62" s="13">
        <v>42987.47247685185</v>
      </c>
      <c r="J62" s="7">
        <v>0</v>
      </c>
      <c r="K62" s="89" t="str">
        <f t="shared" si="0"/>
        <v>4025/4026</v>
      </c>
      <c r="L62" s="214" t="str">
        <f>VLOOKUP(A62,'Trips&amp;Operators'!$C$1:$G$99911,5,FALSE)</f>
        <v>GEBRETEKLE DAGNEW</v>
      </c>
      <c r="M62" s="6">
        <f t="shared" si="1"/>
        <v>2.6469907403225079E-2</v>
      </c>
      <c r="N62" s="7">
        <f t="shared" si="21"/>
        <v>38.116666660644114</v>
      </c>
      <c r="O62" s="7"/>
      <c r="P62" s="7"/>
      <c r="Q62" s="22"/>
      <c r="R62" s="167"/>
      <c r="S62" s="210">
        <f t="shared" si="22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-09T09:21:16-0600',mode:absolute,to:'2017-09-09T12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94" t="str">
        <f>IF(AA62&lt;VLOOKUP(AG62,Variables!$AC$3:$AD$8,2,FALSE),"Y","N")</f>
        <v>N</v>
      </c>
      <c r="X62" s="194">
        <f t="shared" si="26"/>
        <v>1</v>
      </c>
      <c r="Y62" s="194">
        <f t="shared" si="23"/>
        <v>23.296500000000002</v>
      </c>
      <c r="Z62" s="194">
        <f t="shared" si="24"/>
        <v>1.3899999999999999E-2</v>
      </c>
      <c r="AA62" s="194">
        <f t="shared" si="9"/>
        <v>23.282600000000002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62" s="74" t="str">
        <f t="shared" si="12"/>
        <v>"C:\Program Files (x86)\AstroGrep\AstroGrep.exe" /e /r /s /spath="%USERPROFILE%\AppData\Local\Temp\OnboardLogs" /stypes="app*4025*20170909*"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150-09 --locoid 4025 --swversion DE.1.0.9.0 --startMP 204:232965 --initTime 2017-09-09T10:21:16 --startdatetime 2017-09-09T10:42:15 --delay 51 --endMP 204:139 --enddatetime 2017-09-09T11:20:22 --enforcementcount 0 &gt;&gt;C:\Users\stu\Documents\GitHub\eaglep3-reporting\EC\2017-09-09-refined-times.txt</v>
      </c>
      <c r="AI62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{"issue":{"subject":"","project_id":79,"tracker_id":40,"status_id":1,"priority_id":2,"assigned_to_id":338,"start_date":"2017-09-09","description":"","custom_fields":[{"id":1,"name":"Subdivision","value":"EC"},{"id":4,"name":"Milepost","value":"0.0139"},{"id":17,"name":"Train ID","value":"150-09"},{"id":16,"name":"Locomotive ID","value":"4025"},{"id":130,"name":"Impact","value":""},{"id":150,"name":"Time of Event (Mountain Time)","value":"11:20:22"},{"id":151,"name":"Denver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4025 --day 2017-09-09</v>
      </c>
      <c r="AN62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713</v>
      </c>
      <c r="B63" s="7">
        <v>4058</v>
      </c>
      <c r="C63" s="21" t="s">
        <v>197</v>
      </c>
      <c r="D63" s="21" t="s">
        <v>360</v>
      </c>
      <c r="E63" s="13">
        <v>42987.411990740744</v>
      </c>
      <c r="F63" s="13">
        <v>42987.41684027778</v>
      </c>
      <c r="G63" s="7">
        <v>59</v>
      </c>
      <c r="H63" s="21" t="s">
        <v>587</v>
      </c>
      <c r="I63" s="13">
        <v>42987.441354166665</v>
      </c>
      <c r="J63" s="7">
        <v>0</v>
      </c>
      <c r="K63" s="89" t="str">
        <f t="shared" si="0"/>
        <v>4057/4058</v>
      </c>
      <c r="L63" s="214" t="str">
        <f>VLOOKUP(A63,'Trips&amp;Operators'!$C$1:$G$99911,5,FALSE)</f>
        <v>LALONDE GREGORY</v>
      </c>
      <c r="M63" s="6">
        <f t="shared" si="1"/>
        <v>2.4513888885849155E-2</v>
      </c>
      <c r="N63" s="7">
        <f t="shared" si="21"/>
        <v>35.299999995622784</v>
      </c>
      <c r="O63" s="7"/>
      <c r="P63" s="7"/>
      <c r="Q63" s="22"/>
      <c r="R63" s="167"/>
      <c r="S63" s="210">
        <f t="shared" si="22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-09T08:53:16-0600',mode:absolute,to:'2017-09-09T11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194" t="str">
        <f>IF(AA63&lt;VLOOKUP(AG63,Variables!$AC$3:$AD$8,2,FALSE),"Y","N")</f>
        <v>N</v>
      </c>
      <c r="X63" s="194">
        <f t="shared" si="26"/>
        <v>1</v>
      </c>
      <c r="Y63" s="194">
        <f t="shared" si="23"/>
        <v>4.58E-2</v>
      </c>
      <c r="Z63" s="194">
        <f t="shared" si="24"/>
        <v>23.3338</v>
      </c>
      <c r="AA63" s="194">
        <f t="shared" si="9"/>
        <v>23.288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63" s="74" t="str">
        <f t="shared" si="12"/>
        <v>"C:\Program Files (x86)\AstroGrep\AstroGrep.exe" /e /r /s /spath="%USERPROFILE%\AppData\Local\Temp\OnboardLogs" /stypes="app*4058*20170909*"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151-09 --locoid 4058 --swversion DE.1.0.9.0 --startMP 204:458 --initTime 2017-09-09T09:53:16 --startdatetime 2017-09-09T10:00:15 --delay 59 --endMP 204:233338 --enddatetime 2017-09-09T10:35:33 --enforcementcount 0 &gt;&gt;C:\Users\stu\Documents\GitHub\eaglep3-reporting\EC\2017-09-09-refined-times.txt</v>
      </c>
      <c r="AI63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{"issue":{"subject":"","project_id":79,"tracker_id":40,"status_id":1,"priority_id":2,"assigned_to_id":338,"start_date":"2017-09-09","description":"","custom_fields":[{"id":1,"name":"Subdivision","value":"EC"},{"id":4,"name":"Milepost","value":"23.3338"},{"id":17,"name":"Train ID","value":"151-09"},{"id":16,"name":"Locomotive ID","value":"4058"},{"id":130,"name":"Impact","value":""},{"id":150,"name":"Time of Event (Mountain Time)","value":"10:35:33"},{"id":151,"name":"Denver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4058 --day 2017-09-09</v>
      </c>
      <c r="AN63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723</v>
      </c>
      <c r="B64" s="7">
        <v>4057</v>
      </c>
      <c r="C64" s="21" t="s">
        <v>197</v>
      </c>
      <c r="D64" s="21" t="s">
        <v>589</v>
      </c>
      <c r="E64" s="13">
        <v>42987.44259259259</v>
      </c>
      <c r="F64" s="13">
        <v>42987.456446759257</v>
      </c>
      <c r="G64" s="7">
        <v>70</v>
      </c>
      <c r="H64" s="21" t="s">
        <v>338</v>
      </c>
      <c r="I64" s="13">
        <v>42987.481261574074</v>
      </c>
      <c r="J64" s="7">
        <v>0</v>
      </c>
      <c r="K64" s="89" t="str">
        <f t="shared" si="0"/>
        <v>4057/4058</v>
      </c>
      <c r="L64" s="214" t="str">
        <f>VLOOKUP(A64,'Trips&amp;Operators'!$C$1:$G$99911,5,FALSE)</f>
        <v>LALONDE GREGORY</v>
      </c>
      <c r="M64" s="6">
        <f t="shared" si="1"/>
        <v>2.4814814816636499E-2</v>
      </c>
      <c r="N64" s="7">
        <f t="shared" si="21"/>
        <v>35.733333335956559</v>
      </c>
      <c r="O64" s="7"/>
      <c r="P64" s="7"/>
      <c r="Q64" s="22"/>
      <c r="R64" s="167"/>
      <c r="S64" s="210">
        <f t="shared" si="22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-09T09:37:20-0600',mode:absolute,to:'2017-09-09T12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194" t="str">
        <f>IF(AA64&lt;VLOOKUP(AG64,Variables!$AC$3:$AD$8,2,FALSE),"Y","N")</f>
        <v>N</v>
      </c>
      <c r="X64" s="194">
        <f t="shared" si="26"/>
        <v>1</v>
      </c>
      <c r="Y64" s="194">
        <f t="shared" si="23"/>
        <v>23.300799999999999</v>
      </c>
      <c r="Z64" s="194">
        <f t="shared" si="24"/>
        <v>1.4999999999999999E-2</v>
      </c>
      <c r="AA64" s="194">
        <f t="shared" si="9"/>
        <v>23.285799999999998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64" s="74" t="str">
        <f t="shared" si="12"/>
        <v>"C:\Program Files (x86)\AstroGrep\AstroGrep.exe" /e /r /s /spath="%USERPROFILE%\AppData\Local\Temp\OnboardLogs" /stypes="app*4057*20170909*"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152-09 --locoid 4057 --swversion DE.1.0.9.0 --startMP 204:233008 --initTime 2017-09-09T10:37:20 --startdatetime 2017-09-09T10:57:17 --delay 70 --endMP 204:150 --enddatetime 2017-09-09T11:33:01 --enforcementcount 0 &gt;&gt;C:\Users\stu\Documents\GitHub\eaglep3-reporting\EC\2017-09-09-refined-times.txt</v>
      </c>
      <c r="AI6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{"issue":{"subject":"","project_id":79,"tracker_id":40,"status_id":1,"priority_id":2,"assigned_to_id":338,"start_date":"2017-09-09","description":"","custom_fields":[{"id":1,"name":"Subdivision","value":"EC"},{"id":4,"name":"Milepost","value":"0.015"},{"id":17,"name":"Train ID","value":"152-09"},{"id":16,"name":"Locomotive ID","value":"4057"},{"id":130,"name":"Impact","value":""},{"id":150,"name":"Time of Event (Mountain Time)","value":"11:33:01"},{"id":151,"name":"Denver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4057 --day 2017-09-09</v>
      </c>
      <c r="AN64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17:33:01"},{"id":29,"name":"Sharepoint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716</v>
      </c>
      <c r="B65" s="7">
        <v>4054</v>
      </c>
      <c r="C65" s="21" t="s">
        <v>197</v>
      </c>
      <c r="D65" s="21" t="s">
        <v>505</v>
      </c>
      <c r="E65" s="13">
        <v>42987.422118055554</v>
      </c>
      <c r="F65" s="13">
        <v>42987.427256944444</v>
      </c>
      <c r="G65" s="7">
        <v>67</v>
      </c>
      <c r="H65" s="21" t="s">
        <v>506</v>
      </c>
      <c r="I65" s="13">
        <v>42987.452037037037</v>
      </c>
      <c r="J65" s="7">
        <v>0</v>
      </c>
      <c r="K65" s="89" t="str">
        <f t="shared" si="0"/>
        <v>4053/4054</v>
      </c>
      <c r="L65" s="214" t="str">
        <f>VLOOKUP(A65,'Trips&amp;Operators'!$C$1:$G$99911,5,FALSE)</f>
        <v>BADERTSCHER DIANE</v>
      </c>
      <c r="M65" s="6">
        <f t="shared" si="1"/>
        <v>2.4780092593573499E-2</v>
      </c>
      <c r="N65" s="7">
        <f t="shared" si="21"/>
        <v>35.683333334745839</v>
      </c>
      <c r="O65" s="7"/>
      <c r="P65" s="7"/>
      <c r="Q65" s="22"/>
      <c r="R65" s="167"/>
      <c r="S65" s="210">
        <f t="shared" si="22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-09T09:07:51-0600',mode:absolute,to:'2017-09-09T11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194" t="str">
        <f>IF(AA65&lt;VLOOKUP(AG65,Variables!$AC$3:$AD$8,2,FALSE),"Y","N")</f>
        <v>N</v>
      </c>
      <c r="X65" s="194">
        <f t="shared" si="26"/>
        <v>1</v>
      </c>
      <c r="Y65" s="194">
        <f t="shared" si="23"/>
        <v>4.6199999999999998E-2</v>
      </c>
      <c r="Z65" s="194">
        <f t="shared" si="24"/>
        <v>23.332000000000001</v>
      </c>
      <c r="AA65" s="194">
        <f t="shared" si="9"/>
        <v>23.285800000000002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65" s="74" t="str">
        <f t="shared" si="12"/>
        <v>"C:\Program Files (x86)\AstroGrep\AstroGrep.exe" /e /r /s /spath="%USERPROFILE%\AppData\Local\Temp\OnboardLogs" /stypes="app*4054*20170909*"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153-09 --locoid 4054 --swversion DE.1.0.9.0 --startMP 204:462 --initTime 2017-09-09T10:07:51 --startdatetime 2017-09-09T10:15:15 --delay 67 --endMP 204:233320 --enddatetime 2017-09-09T10:50:56 --enforcementcount 0 &gt;&gt;C:\Users\stu\Documents\GitHub\eaglep3-reporting\EC\2017-09-09-refined-times.txt</v>
      </c>
      <c r="AI6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{"issue":{"subject":"","project_id":79,"tracker_id":40,"status_id":1,"priority_id":2,"assigned_to_id":338,"start_date":"2017-09-09","description":"","custom_fields":[{"id":1,"name":"Subdivision","value":"EC"},{"id":4,"name":"Milepost","value":"23.332"},{"id":17,"name":"Train ID","value":"153-09"},{"id":16,"name":"Locomotive ID","value":"4054"},{"id":130,"name":"Impact","value":""},{"id":150,"name":"Time of Event (Mountain Time)","value":"10:50:56"},{"id":151,"name":"Denver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4054 --day 2017-09-09</v>
      </c>
      <c r="AN6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726</v>
      </c>
      <c r="B66" s="7">
        <v>4053</v>
      </c>
      <c r="C66" s="21" t="s">
        <v>197</v>
      </c>
      <c r="D66" s="21" t="s">
        <v>524</v>
      </c>
      <c r="E66" s="13">
        <v>42987.459490740737</v>
      </c>
      <c r="F66" s="13">
        <v>42987.466840277775</v>
      </c>
      <c r="G66" s="7">
        <v>91</v>
      </c>
      <c r="H66" s="21" t="s">
        <v>501</v>
      </c>
      <c r="I66" s="13">
        <v>42987.495462962965</v>
      </c>
      <c r="J66" s="7">
        <v>0</v>
      </c>
      <c r="K66" s="89" t="str">
        <f t="shared" si="0"/>
        <v>4053/4054</v>
      </c>
      <c r="L66" s="214" t="str">
        <f>VLOOKUP(A66,'Trips&amp;Operators'!$C$1:$G$99911,5,FALSE)</f>
        <v>BADERTSCHER DIANE</v>
      </c>
      <c r="M66" s="6">
        <f t="shared" si="1"/>
        <v>2.8622685189475305E-2</v>
      </c>
      <c r="N66" s="7">
        <f t="shared" si="21"/>
        <v>41.21666667284444</v>
      </c>
      <c r="O66" s="7"/>
      <c r="P66" s="7"/>
      <c r="Q66" s="22"/>
      <c r="R66" s="167"/>
      <c r="S66" s="210">
        <f t="shared" si="22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-09T10:01:40-0600',mode:absolute,to:'2017-09-09T12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94" t="str">
        <f>IF(AA66&lt;VLOOKUP(AG66,Variables!$AC$3:$AD$8,2,FALSE),"Y","N")</f>
        <v>N</v>
      </c>
      <c r="X66" s="194">
        <f t="shared" si="26"/>
        <v>1</v>
      </c>
      <c r="Y66" s="194">
        <f t="shared" si="23"/>
        <v>23.299600000000002</v>
      </c>
      <c r="Z66" s="194">
        <f t="shared" si="24"/>
        <v>1.3599999999999999E-2</v>
      </c>
      <c r="AA66" s="194">
        <f t="shared" si="9"/>
        <v>23.286000000000001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66" s="74" t="str">
        <f t="shared" si="12"/>
        <v>"C:\Program Files (x86)\AstroGrep\AstroGrep.exe" /e /r /s /spath="%USERPROFILE%\AppData\Local\Temp\OnboardLogs" /stypes="app*4053*20170909*"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154-09 --locoid 4053 --swversion DE.1.0.9.0 --startMP 204:232996 --initTime 2017-09-09T11:01:40 --startdatetime 2017-09-09T11:12:15 --delay 91 --endMP 204:136 --enddatetime 2017-09-09T11:53:28 --enforcementcount 0 &gt;&gt;C:\Users\stu\Documents\GitHub\eaglep3-reporting\EC\2017-09-09-refined-times.txt</v>
      </c>
      <c r="AI6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{"issue":{"subject":"","project_id":79,"tracker_id":40,"status_id":1,"priority_id":2,"assigned_to_id":338,"start_date":"2017-09-09","description":"","custom_fields":[{"id":1,"name":"Subdivision","value":"EC"},{"id":4,"name":"Milepost","value":"0.0136"},{"id":17,"name":"Train ID","value":"154-09"},{"id":16,"name":"Locomotive ID","value":"4053"},{"id":130,"name":"Impact","value":""},{"id":150,"name":"Time of Event (Mountain Time)","value":"11:53:28"},{"id":151,"name":"Denver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4053 --day 2017-09-09</v>
      </c>
      <c r="AN6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719</v>
      </c>
      <c r="B67" s="7">
        <v>4010</v>
      </c>
      <c r="C67" s="21" t="s">
        <v>197</v>
      </c>
      <c r="D67" s="21" t="s">
        <v>384</v>
      </c>
      <c r="E67" s="13">
        <v>42987.435729166667</v>
      </c>
      <c r="F67" s="13">
        <v>42987.437777777777</v>
      </c>
      <c r="G67" s="7">
        <v>53</v>
      </c>
      <c r="H67" s="21" t="s">
        <v>864</v>
      </c>
      <c r="I67" s="13">
        <v>42987.462384259263</v>
      </c>
      <c r="J67" s="7">
        <v>0</v>
      </c>
      <c r="K67" s="89" t="str">
        <f t="shared" si="0"/>
        <v>4009/4010</v>
      </c>
      <c r="L67" s="214" t="str">
        <f>VLOOKUP(A67,'Trips&amp;Operators'!$C$1:$G$99911,5,FALSE)</f>
        <v>MACDONALD THOMAS</v>
      </c>
      <c r="M67" s="6">
        <f t="shared" si="1"/>
        <v>2.4606481485534459E-2</v>
      </c>
      <c r="N67" s="7">
        <f t="shared" si="21"/>
        <v>35.433333339169621</v>
      </c>
      <c r="O67" s="7"/>
      <c r="P67" s="7"/>
      <c r="Q67" s="22"/>
      <c r="R67" s="167"/>
      <c r="S67" s="210">
        <f t="shared" si="22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-09T09:27:27-0600',mode:absolute,to:'2017-09-09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194" t="str">
        <f>IF(AA67&lt;VLOOKUP(AG67,Variables!$AC$3:$AD$8,2,FALSE),"Y","N")</f>
        <v>N</v>
      </c>
      <c r="X67" s="194">
        <f t="shared" si="26"/>
        <v>1</v>
      </c>
      <c r="Y67" s="194">
        <f t="shared" si="23"/>
        <v>4.6899999999999997E-2</v>
      </c>
      <c r="Z67" s="194">
        <f t="shared" si="24"/>
        <v>23.328700000000001</v>
      </c>
      <c r="AA67" s="194">
        <f t="shared" si="9"/>
        <v>23.2818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67" s="74" t="str">
        <f t="shared" si="12"/>
        <v>"C:\Program Files (x86)\AstroGrep\AstroGrep.exe" /e /r /s /spath="%USERPROFILE%\AppData\Local\Temp\OnboardLogs" /stypes="app*4010*20170909*"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155-09 --locoid 4010 --swversion DE.1.0.9.0 --startMP 204:469 --initTime 2017-09-09T10:27:27 --startdatetime 2017-09-09T10:30:24 --delay 53 --endMP 204:233287 --enddatetime 2017-09-09T11:05:50 --enforcementcount 0 &gt;&gt;C:\Users\stu\Documents\GitHub\eaglep3-reporting\EC\2017-09-09-refined-times.txt</v>
      </c>
      <c r="AI67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{"issue":{"subject":"","project_id":79,"tracker_id":40,"status_id":1,"priority_id":2,"assigned_to_id":338,"start_date":"2017-09-09","description":"","custom_fields":[{"id":1,"name":"Subdivision","value":"EC"},{"id":4,"name":"Milepost","value":"23.3287"},{"id":17,"name":"Train ID","value":"155-09"},{"id":16,"name":"Locomotive ID","value":"4010"},{"id":130,"name":"Impact","value":""},{"id":150,"name":"Time of Event (Mountain Time)","value":"11:05:50"},{"id":151,"name":"Denver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4010 --day 2017-09-09</v>
      </c>
      <c r="AN67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728</v>
      </c>
      <c r="B68" s="7">
        <v>4009</v>
      </c>
      <c r="C68" s="21" t="s">
        <v>197</v>
      </c>
      <c r="D68" s="21" t="s">
        <v>576</v>
      </c>
      <c r="E68" s="13">
        <v>42987.47515046296</v>
      </c>
      <c r="F68" s="13">
        <v>42987.477476851855</v>
      </c>
      <c r="G68" s="7">
        <v>47</v>
      </c>
      <c r="H68" s="21" t="s">
        <v>339</v>
      </c>
      <c r="I68" s="13">
        <v>42987.507326388892</v>
      </c>
      <c r="J68" s="7">
        <v>0</v>
      </c>
      <c r="K68" s="89" t="str">
        <f t="shared" si="0"/>
        <v>4009/4010</v>
      </c>
      <c r="L68" s="214" t="str">
        <f>VLOOKUP(A68,'Trips&amp;Operators'!$C$1:$G$99911,5,FALSE)</f>
        <v>MACDONALD THOMAS</v>
      </c>
      <c r="M68" s="6">
        <f t="shared" si="1"/>
        <v>2.9849537037080154E-2</v>
      </c>
      <c r="N68" s="7">
        <f t="shared" si="21"/>
        <v>42.983333333395422</v>
      </c>
      <c r="O68" s="7"/>
      <c r="P68" s="7"/>
      <c r="Q68" s="22"/>
      <c r="R68" s="167"/>
      <c r="S68" s="210">
        <f t="shared" si="22"/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-09T10:24:13-0600',mode:absolute,to:'2017-09-09T13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194" t="str">
        <f>IF(AA68&lt;VLOOKUP(AG68,Variables!$AC$3:$AD$8,2,FALSE),"Y","N")</f>
        <v>N</v>
      </c>
      <c r="X68" s="194">
        <f t="shared" si="26"/>
        <v>1</v>
      </c>
      <c r="Y68" s="194">
        <f t="shared" si="23"/>
        <v>23.2972</v>
      </c>
      <c r="Z68" s="194">
        <f t="shared" si="24"/>
        <v>1.49E-2</v>
      </c>
      <c r="AA68" s="194">
        <f t="shared" si="9"/>
        <v>23.282299999999999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68" s="74" t="str">
        <f t="shared" si="12"/>
        <v>"C:\Program Files (x86)\AstroGrep\AstroGrep.exe" /e /r /s /spath="%USERPROFILE%\AppData\Local\Temp\OnboardLogs" /stypes="app*4009*20170909*"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156-09 --locoid 4009 --swversion DE.1.0.9.0 --startMP 204:232972 --initTime 2017-09-09T11:24:13 --startdatetime 2017-09-09T11:27:34 --delay 47 --endMP 204:149 --enddatetime 2017-09-09T12:10:33 --enforcementcount 0 &gt;&gt;C:\Users\stu\Documents\GitHub\eaglep3-reporting\EC\2017-09-09-refined-times.txt</v>
      </c>
      <c r="AI68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{"issue":{"subject":"","project_id":79,"tracker_id":40,"status_id":1,"priority_id":2,"assigned_to_id":338,"start_date":"2017-09-09","description":"","custom_fields":[{"id":1,"name":"Subdivision","value":"EC"},{"id":4,"name":"Milepost","value":"0.0149"},{"id":17,"name":"Train ID","value":"156-09"},{"id":16,"name":"Locomotive ID","value":"4009"},{"id":130,"name":"Impact","value":""},{"id":150,"name":"Time of Event (Mountain Time)","value":"12:10:33"},{"id":151,"name":"Denver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4009 --day 2017-09-09</v>
      </c>
      <c r="AN68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724</v>
      </c>
      <c r="B69" s="7">
        <v>4044</v>
      </c>
      <c r="C69" s="21" t="s">
        <v>197</v>
      </c>
      <c r="D69" s="21" t="s">
        <v>341</v>
      </c>
      <c r="E69" s="13">
        <v>42987.445347222223</v>
      </c>
      <c r="F69" s="13">
        <v>42987.448078703703</v>
      </c>
      <c r="G69" s="7">
        <v>112</v>
      </c>
      <c r="H69" s="21" t="s">
        <v>572</v>
      </c>
      <c r="I69" s="13">
        <v>42987.471550925926</v>
      </c>
      <c r="J69" s="7">
        <v>0</v>
      </c>
      <c r="K69" s="89" t="str">
        <f t="shared" si="0"/>
        <v>4043/4044</v>
      </c>
      <c r="L69" s="214" t="str">
        <f>VLOOKUP(A69,'Trips&amp;Operators'!$C$1:$G$99911,5,FALSE)</f>
        <v>BRUDER RICHARD</v>
      </c>
      <c r="M69" s="6">
        <f t="shared" si="1"/>
        <v>2.3472222223063E-2</v>
      </c>
      <c r="N69" s="7">
        <f t="shared" si="21"/>
        <v>33.800000001210719</v>
      </c>
      <c r="O69" s="7"/>
      <c r="P69" s="7"/>
      <c r="Q69" s="22"/>
      <c r="R69" s="167"/>
      <c r="S69" s="210">
        <f t="shared" si="22"/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-09T09:41:18-0600',mode:absolute,to:'2017-09-09T12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94" t="str">
        <f>IF(AA69&lt;VLOOKUP(AG69,Variables!$AC$3:$AD$8,2,FALSE),"Y","N")</f>
        <v>N</v>
      </c>
      <c r="X69" s="194">
        <f t="shared" si="26"/>
        <v>1</v>
      </c>
      <c r="Y69" s="194">
        <f t="shared" si="23"/>
        <v>4.53E-2</v>
      </c>
      <c r="Z69" s="194">
        <f t="shared" si="24"/>
        <v>23.329699999999999</v>
      </c>
      <c r="AA69" s="194">
        <f t="shared" si="9"/>
        <v>23.284399999999998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157</v>
      </c>
      <c r="AE69" s="77" t="str">
        <f t="shared" si="11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69" s="74" t="str">
        <f t="shared" si="12"/>
        <v>"C:\Program Files (x86)\AstroGrep\AstroGrep.exe" /e /r /s /spath="%USERPROFILE%\AppData\Local\Temp\OnboardLogs" /stypes="app*4044*20170909*"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157-09 --locoid 4044 --swversion DE.1.0.9.0 --startMP 204:453 --initTime 2017-09-09T10:41:18 --startdatetime 2017-09-09T10:45:14 --delay 112 --endMP 204:233297 --enddatetime 2017-09-09T11:19:02 --enforcementcount 0 &gt;&gt;C:\Users\stu\Documents\GitHub\eaglep3-reporting\EC\2017-09-09-refined-times.txt</v>
      </c>
      <c r="AI69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{"issue":{"subject":"","project_id":79,"tracker_id":40,"status_id":1,"priority_id":2,"assigned_to_id":338,"start_date":"2017-09-09","description":"","custom_fields":[{"id":1,"name":"Subdivision","value":"EC"},{"id":4,"name":"Milepost","value":"23.3297"},{"id":17,"name":"Train ID","value":"157-09"},{"id":16,"name":"Locomotive ID","value":"4044"},{"id":130,"name":"Impact","value":""},{"id":150,"name":"Time of Event (Mountain Time)","value":"11:19:02"},{"id":151,"name":"Denver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4044 --day 2017-09-09</v>
      </c>
      <c r="AN69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733</v>
      </c>
      <c r="B70" s="7">
        <v>4043</v>
      </c>
      <c r="C70" s="21" t="s">
        <v>197</v>
      </c>
      <c r="D70" s="21" t="s">
        <v>401</v>
      </c>
      <c r="E70" s="13">
        <v>42987.484583333331</v>
      </c>
      <c r="F70" s="13">
        <v>42987.488217592596</v>
      </c>
      <c r="G70" s="7">
        <v>108</v>
      </c>
      <c r="H70" s="21" t="s">
        <v>502</v>
      </c>
      <c r="I70" s="13">
        <v>42987.514421296299</v>
      </c>
      <c r="J70" s="7">
        <v>0</v>
      </c>
      <c r="K70" s="89" t="str">
        <f t="shared" si="0"/>
        <v>4043/4044</v>
      </c>
      <c r="L70" s="214" t="str">
        <f>VLOOKUP(A70,'Trips&amp;Operators'!$C$1:$G$99911,5,FALSE)</f>
        <v>BRUDER RICHARD</v>
      </c>
      <c r="M70" s="6">
        <f t="shared" si="1"/>
        <v>2.6203703702776693E-2</v>
      </c>
      <c r="N70" s="7">
        <f t="shared" si="21"/>
        <v>37.733333331998438</v>
      </c>
      <c r="O70" s="7"/>
      <c r="P70" s="7"/>
      <c r="Q70" s="22"/>
      <c r="R70" s="167"/>
      <c r="S70" s="210">
        <f t="shared" si="22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-09T10:37:48-0600',mode:absolute,to:'2017-09-09T13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94" t="str">
        <f>IF(AA70&lt;VLOOKUP(AG70,Variables!$AC$3:$AD$8,2,FALSE),"Y","N")</f>
        <v>N</v>
      </c>
      <c r="X70" s="194">
        <f t="shared" si="26"/>
        <v>1</v>
      </c>
      <c r="Y70" s="194">
        <f t="shared" si="23"/>
        <v>23.2986</v>
      </c>
      <c r="Z70" s="194">
        <f t="shared" si="24"/>
        <v>1.6299999999999999E-2</v>
      </c>
      <c r="AA70" s="194">
        <f t="shared" si="9"/>
        <v>23.282299999999999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158</v>
      </c>
      <c r="AE70" s="77" t="str">
        <f t="shared" si="11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70" s="74" t="str">
        <f t="shared" si="12"/>
        <v>"C:\Program Files (x86)\AstroGrep\AstroGrep.exe" /e /r /s /spath="%USERPROFILE%\AppData\Local\Temp\OnboardLogs" /stypes="app*4043*20170909*"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158-09 --locoid 4043 --swversion DE.1.0.9.0 --startMP 204:232986 --initTime 2017-09-09T11:37:48 --startdatetime 2017-09-09T11:43:02 --delay 108 --endMP 204:163 --enddatetime 2017-09-09T12:20:46 --enforcementcount 0 &gt;&gt;C:\Users\stu\Documents\GitHub\eaglep3-reporting\EC\2017-09-09-refined-times.txt</v>
      </c>
      <c r="AI70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{"issue":{"subject":"","project_id":79,"tracker_id":40,"status_id":1,"priority_id":2,"assigned_to_id":338,"start_date":"2017-09-09","description":"","custom_fields":[{"id":1,"name":"Subdivision","value":"EC"},{"id":4,"name":"Milepost","value":"0.0163"},{"id":17,"name":"Train ID","value":"158-09"},{"id":16,"name":"Locomotive ID","value":"4043"},{"id":130,"name":"Impact","value":""},{"id":150,"name":"Time of Event (Mountain Time)","value":"12:20:46"},{"id":151,"name":"Denver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4043 --day 2017-09-09</v>
      </c>
      <c r="AN70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725</v>
      </c>
      <c r="B71" s="7">
        <v>4046</v>
      </c>
      <c r="C71" s="21" t="s">
        <v>197</v>
      </c>
      <c r="D71" s="21" t="s">
        <v>865</v>
      </c>
      <c r="E71" s="13">
        <v>42987.455266203702</v>
      </c>
      <c r="F71" s="13">
        <v>42987.459166666667</v>
      </c>
      <c r="G71" s="7">
        <v>68</v>
      </c>
      <c r="H71" s="21" t="s">
        <v>503</v>
      </c>
      <c r="I71" s="13">
        <v>42987.488217592596</v>
      </c>
      <c r="J71" s="7">
        <v>0</v>
      </c>
      <c r="K71" s="89" t="str">
        <f t="shared" si="0"/>
        <v>4045/4046</v>
      </c>
      <c r="L71" s="214" t="str">
        <f>VLOOKUP(A71,'Trips&amp;Operators'!$C$1:$G$99911,5,FALSE)</f>
        <v>WILLIAMS DONTE</v>
      </c>
      <c r="M71" s="6">
        <f t="shared" si="1"/>
        <v>2.9050925928459037E-2</v>
      </c>
      <c r="N71" s="7">
        <f t="shared" si="21"/>
        <v>41.833333336981013</v>
      </c>
      <c r="O71" s="7"/>
      <c r="P71" s="7"/>
      <c r="Q71" s="22"/>
      <c r="R71" s="167"/>
      <c r="S71" s="210">
        <f t="shared" si="22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-09T09:55:35-0600',mode:absolute,to:'2017-09-09T12:43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94" t="str">
        <f>IF(AA71&lt;VLOOKUP(AG71,Variables!$AC$3:$AD$8,2,FALSE),"Y","N")</f>
        <v>N</v>
      </c>
      <c r="X71" s="194">
        <f t="shared" si="26"/>
        <v>1</v>
      </c>
      <c r="Y71" s="194">
        <f t="shared" si="23"/>
        <v>4.7800000000000002E-2</v>
      </c>
      <c r="Z71" s="194">
        <f t="shared" si="24"/>
        <v>23.328299999999999</v>
      </c>
      <c r="AA71" s="194">
        <f t="shared" si="9"/>
        <v>23.2805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159</v>
      </c>
      <c r="AE71" s="77" t="str">
        <f t="shared" si="11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71" s="74" t="str">
        <f t="shared" si="12"/>
        <v>"C:\Program Files (x86)\AstroGrep\AstroGrep.exe" /e /r /s /spath="%USERPROFILE%\AppData\Local\Temp\OnboardLogs" /stypes="app*4046*20170909*"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159-09 --locoid 4046 --swversion DE.1.0.9.0 --startMP 204:478 --initTime 2017-09-09T10:55:35 --startdatetime 2017-09-09T11:01:12 --delay 68 --endMP 204:233283 --enddatetime 2017-09-09T11:43:02 --enforcementcount 0 &gt;&gt;C:\Users\stu\Documents\GitHub\eaglep3-reporting\EC\2017-09-09-refined-times.txt</v>
      </c>
      <c r="AI71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{"issue":{"subject":"","project_id":79,"tracker_id":40,"status_id":1,"priority_id":2,"assigned_to_id":338,"start_date":"2017-09-09","description":"","custom_fields":[{"id":1,"name":"Subdivision","value":"EC"},{"id":4,"name":"Milepost","value":"23.3283"},{"id":17,"name":"Train ID","value":"159-09"},{"id":16,"name":"Locomotive ID","value":"4046"},{"id":130,"name":"Impact","value":""},{"id":150,"name":"Time of Event (Mountain Time)","value":"11:43:02"},{"id":151,"name":"Denver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4046 --day 2017-09-09</v>
      </c>
      <c r="AN71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17:43:02"},{"id":29,"name":"Sharepoint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734</v>
      </c>
      <c r="B72" s="7">
        <v>4045</v>
      </c>
      <c r="C72" s="21" t="s">
        <v>197</v>
      </c>
      <c r="D72" s="21" t="s">
        <v>577</v>
      </c>
      <c r="E72" s="13">
        <v>42987.494814814818</v>
      </c>
      <c r="F72" s="13">
        <v>42987.498159722221</v>
      </c>
      <c r="G72" s="7">
        <v>60</v>
      </c>
      <c r="H72" s="21" t="s">
        <v>338</v>
      </c>
      <c r="I72" s="13">
        <v>42987.524583333332</v>
      </c>
      <c r="J72" s="7">
        <v>0</v>
      </c>
      <c r="K72" s="89" t="str">
        <f t="shared" si="0"/>
        <v>4045/4046</v>
      </c>
      <c r="L72" s="214" t="str">
        <f>VLOOKUP(A72,'Trips&amp;Operators'!$C$1:$G$99911,5,FALSE)</f>
        <v>WILLIAMS DONTE</v>
      </c>
      <c r="M72" s="6">
        <f t="shared" si="1"/>
        <v>2.6423611110658385E-2</v>
      </c>
      <c r="N72" s="7">
        <f t="shared" si="21"/>
        <v>38.049999999348074</v>
      </c>
      <c r="O72" s="7"/>
      <c r="P72" s="7"/>
      <c r="Q72" s="22"/>
      <c r="R72" s="167"/>
      <c r="S72" s="210">
        <f t="shared" si="22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-09T10:52:32-0600',mode:absolute,to:'2017-09-09T13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94" t="str">
        <f>IF(AA72&lt;VLOOKUP(AG72,Variables!$AC$3:$AD$8,2,FALSE),"Y","N")</f>
        <v>N</v>
      </c>
      <c r="X72" s="194">
        <f t="shared" si="26"/>
        <v>1</v>
      </c>
      <c r="Y72" s="194">
        <f t="shared" si="23"/>
        <v>23.298300000000001</v>
      </c>
      <c r="Z72" s="194">
        <f t="shared" si="24"/>
        <v>1.4999999999999999E-2</v>
      </c>
      <c r="AA72" s="194">
        <f t="shared" si="9"/>
        <v>23.283300000000001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160</v>
      </c>
      <c r="AE72" s="77" t="str">
        <f t="shared" si="11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72" s="74" t="str">
        <f t="shared" si="12"/>
        <v>"C:\Program Files (x86)\AstroGrep\AstroGrep.exe" /e /r /s /spath="%USERPROFILE%\AppData\Local\Temp\OnboardLogs" /stypes="app*4045*20170909*"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160-09 --locoid 4045 --swversion DE.1.0.9.0 --startMP 204:232983 --initTime 2017-09-09T11:52:32 --startdatetime 2017-09-09T11:57:21 --delay 60 --endMP 204:150 --enddatetime 2017-09-09T12:35:24 --enforcementcount 0 &gt;&gt;C:\Users\stu\Documents\GitHub\eaglep3-reporting\EC\2017-09-09-refined-times.txt</v>
      </c>
      <c r="AI72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{"issue":{"subject":"","project_id":79,"tracker_id":40,"status_id":1,"priority_id":2,"assigned_to_id":338,"start_date":"2017-09-09","description":"","custom_fields":[{"id":1,"name":"Subdivision","value":"EC"},{"id":4,"name":"Milepost","value":"0.015"},{"id":17,"name":"Train ID","value":"160-09"},{"id":16,"name":"Locomotive ID","value":"4045"},{"id":130,"name":"Impact","value":""},{"id":150,"name":"Time of Event (Mountain Time)","value":"12:35:24"},{"id":151,"name":"Denver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4045 --day 2017-09-09</v>
      </c>
      <c r="AN72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617</v>
      </c>
      <c r="B73" s="7">
        <v>4050</v>
      </c>
      <c r="C73" s="21" t="s">
        <v>197</v>
      </c>
      <c r="D73" s="21" t="s">
        <v>498</v>
      </c>
      <c r="E73" s="13">
        <v>42987.465891203705</v>
      </c>
      <c r="F73" s="13">
        <v>42987.469155092593</v>
      </c>
      <c r="G73" s="7">
        <v>95</v>
      </c>
      <c r="H73" s="21" t="s">
        <v>526</v>
      </c>
      <c r="I73" s="13">
        <v>42987.496689814812</v>
      </c>
      <c r="J73" s="7">
        <v>0</v>
      </c>
      <c r="K73" s="89" t="str">
        <f t="shared" si="0"/>
        <v>4049/4050</v>
      </c>
      <c r="L73" s="214" t="str">
        <f>VLOOKUP(A73,'Trips&amp;Operators'!$C$1:$G$99911,5,FALSE)</f>
        <v>DAVIS MICHAEL</v>
      </c>
      <c r="M73" s="6">
        <f t="shared" si="1"/>
        <v>2.753472221957054E-2</v>
      </c>
      <c r="N73" s="7">
        <f t="shared" si="21"/>
        <v>39.649999996181577</v>
      </c>
      <c r="O73" s="7"/>
      <c r="P73" s="7"/>
      <c r="Q73" s="22"/>
      <c r="R73" s="167"/>
      <c r="S73" s="210">
        <f t="shared" si="22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-09T10:10:53-0600',mode:absolute,to:'2017-09-09T12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194" t="str">
        <f>IF(AA73&lt;VLOOKUP(AG73,Variables!$AC$3:$AD$8,2,FALSE),"Y","N")</f>
        <v>N</v>
      </c>
      <c r="X73" s="194">
        <f t="shared" si="26"/>
        <v>1</v>
      </c>
      <c r="Y73" s="194">
        <f t="shared" si="23"/>
        <v>4.7500000000000001E-2</v>
      </c>
      <c r="Z73" s="194">
        <f t="shared" si="24"/>
        <v>23.329499999999999</v>
      </c>
      <c r="AA73" s="194">
        <f t="shared" si="9"/>
        <v>23.282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161</v>
      </c>
      <c r="AE73" s="77" t="str">
        <f t="shared" si="11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73" s="74" t="str">
        <f t="shared" si="12"/>
        <v>"C:\Program Files (x86)\AstroGrep\AstroGrep.exe" /e /r /s /spath="%USERPROFILE%\AppData\Local\Temp\OnboardLogs" /stypes="app*4050*20170909*"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161-09 --locoid 4050 --swversion DE.1.0.9.0 --startMP 204:475 --initTime 2017-09-09T11:10:53 --startdatetime 2017-09-09T11:15:35 --delay 95 --endMP 204:233295 --enddatetime 2017-09-09T11:55:14 --enforcementcount 0 &gt;&gt;C:\Users\stu\Documents\GitHub\eaglep3-reporting\EC\2017-09-09-refined-times.txt</v>
      </c>
      <c r="AI73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{"issue":{"subject":"","project_id":79,"tracker_id":40,"status_id":1,"priority_id":2,"assigned_to_id":338,"start_date":"2017-09-09","description":"","custom_fields":[{"id":1,"name":"Subdivision","value":"EC"},{"id":4,"name":"Milepost","value":"23.3295"},{"id":17,"name":"Train ID","value":"161-09"},{"id":16,"name":"Locomotive ID","value":"4050"},{"id":130,"name":"Impact","value":""},{"id":150,"name":"Time of Event (Mountain Time)","value":"11:55:14"},{"id":151,"name":"Denver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4050 --day 2017-09-09</v>
      </c>
      <c r="AN73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737</v>
      </c>
      <c r="B74" s="7">
        <v>4049</v>
      </c>
      <c r="C74" s="21" t="s">
        <v>197</v>
      </c>
      <c r="D74" s="21" t="s">
        <v>402</v>
      </c>
      <c r="E74" s="13">
        <v>42987.506412037037</v>
      </c>
      <c r="F74" s="13">
        <v>42987.508645833332</v>
      </c>
      <c r="G74" s="7">
        <v>74</v>
      </c>
      <c r="H74" s="21" t="s">
        <v>342</v>
      </c>
      <c r="I74" s="13">
        <v>42987.537222222221</v>
      </c>
      <c r="J74" s="7">
        <v>0</v>
      </c>
      <c r="K74" s="89" t="str">
        <f t="shared" si="0"/>
        <v>4049/4050</v>
      </c>
      <c r="L74" s="214" t="str">
        <f>VLOOKUP(A74,'Trips&amp;Operators'!$C$1:$G$99911,5,FALSE)</f>
        <v>DAVIS MICHAEL</v>
      </c>
      <c r="M74" s="6">
        <f t="shared" si="1"/>
        <v>2.8576388889632653E-2</v>
      </c>
      <c r="N74" s="7">
        <f t="shared" si="21"/>
        <v>41.150000001071021</v>
      </c>
      <c r="O74" s="7"/>
      <c r="P74" s="7"/>
      <c r="Q74" s="22"/>
      <c r="R74" s="167"/>
      <c r="S74" s="210">
        <f t="shared" si="22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-09T11:09:14-0600',mode:absolute,to:'2017-09-09T13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194" t="str">
        <f>IF(AA74&lt;VLOOKUP(AG74,Variables!$AC$3:$AD$8,2,FALSE),"Y","N")</f>
        <v>N</v>
      </c>
      <c r="X74" s="194">
        <f t="shared" si="26"/>
        <v>1</v>
      </c>
      <c r="Y74" s="194">
        <f t="shared" si="23"/>
        <v>23.299399999999999</v>
      </c>
      <c r="Z74" s="194">
        <f t="shared" si="24"/>
        <v>1.41E-2</v>
      </c>
      <c r="AA74" s="194">
        <f t="shared" si="9"/>
        <v>23.285299999999999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162</v>
      </c>
      <c r="AE74" s="77" t="str">
        <f t="shared" si="11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74" s="74" t="str">
        <f t="shared" si="12"/>
        <v>"C:\Program Files (x86)\AstroGrep\AstroGrep.exe" /e /r /s /spath="%USERPROFILE%\AppData\Local\Temp\OnboardLogs" /stypes="app*4049*20170909*"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162-09 --locoid 4049 --swversion DE.1.0.9.0 --startMP 204:232994 --initTime 2017-09-09T12:09:14 --startdatetime 2017-09-09T12:12:27 --delay 74 --endMP 204:141 --enddatetime 2017-09-09T12:53:36 --enforcementcount 0 &gt;&gt;C:\Users\stu\Documents\GitHub\eaglep3-reporting\EC\2017-09-09-refined-times.txt</v>
      </c>
      <c r="AI74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{"issue":{"subject":"","project_id":79,"tracker_id":40,"status_id":1,"priority_id":2,"assigned_to_id":338,"start_date":"2017-09-09","description":"","custom_fields":[{"id":1,"name":"Subdivision","value":"EC"},{"id":4,"name":"Milepost","value":"0.0141"},{"id":17,"name":"Train ID","value":"162-09"},{"id":16,"name":"Locomotive ID","value":"4049"},{"id":130,"name":"Impact","value":""},{"id":150,"name":"Time of Event (Mountain Time)","value":"12:53:36"},{"id":151,"name":"Denver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4049 --day 2017-09-09</v>
      </c>
      <c r="AN74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729</v>
      </c>
      <c r="B75" s="7">
        <v>4026</v>
      </c>
      <c r="C75" s="21" t="s">
        <v>197</v>
      </c>
      <c r="D75" s="21" t="s">
        <v>858</v>
      </c>
      <c r="E75" s="13">
        <v>42987.474907407406</v>
      </c>
      <c r="F75" s="13">
        <v>42987.479351851849</v>
      </c>
      <c r="G75" s="7">
        <v>113</v>
      </c>
      <c r="H75" s="21" t="s">
        <v>499</v>
      </c>
      <c r="I75" s="13">
        <v>42987.505115740743</v>
      </c>
      <c r="J75" s="7">
        <v>0</v>
      </c>
      <c r="K75" s="89" t="str">
        <f t="shared" si="0"/>
        <v>4025/4026</v>
      </c>
      <c r="L75" s="214" t="str">
        <f>VLOOKUP(A75,'Trips&amp;Operators'!$C$1:$G$99911,5,FALSE)</f>
        <v>SAFIEF AEIMEN</v>
      </c>
      <c r="M75" s="6">
        <f t="shared" si="1"/>
        <v>2.5763888894289266E-2</v>
      </c>
      <c r="N75" s="7">
        <f t="shared" si="21"/>
        <v>37.100000007776543</v>
      </c>
      <c r="O75" s="7"/>
      <c r="P75" s="7"/>
      <c r="Q75" s="22"/>
      <c r="R75" s="167"/>
      <c r="S75" s="210">
        <f t="shared" si="22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-09T10:23:52-0600',mode:absolute,to:'2017-09-09T13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194" t="str">
        <f>IF(AA75&lt;VLOOKUP(AG75,Variables!$AC$3:$AD$8,2,FALSE),"Y","N")</f>
        <v>N</v>
      </c>
      <c r="X75" s="194">
        <f t="shared" si="26"/>
        <v>1</v>
      </c>
      <c r="Y75" s="194">
        <f t="shared" si="23"/>
        <v>4.4699999999999997E-2</v>
      </c>
      <c r="Z75" s="194">
        <f t="shared" si="24"/>
        <v>23.331499999999998</v>
      </c>
      <c r="AA75" s="194">
        <f t="shared" si="9"/>
        <v>23.286799999999999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163</v>
      </c>
      <c r="AE75" s="77" t="str">
        <f t="shared" si="11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75" s="74" t="str">
        <f t="shared" si="12"/>
        <v>"C:\Program Files (x86)\AstroGrep\AstroGrep.exe" /e /r /s /spath="%USERPROFILE%\AppData\Local\Temp\OnboardLogs" /stypes="app*4026*20170909*"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163-09 --locoid 4026 --swversion DE.1.0.9.0 --startMP 204:447 --initTime 2017-09-09T11:23:52 --startdatetime 2017-09-09T11:30:16 --delay 113 --endMP 204:233315 --enddatetime 2017-09-09T12:07:22 --enforcementcount 0 &gt;&gt;C:\Users\stu\Documents\GitHub\eaglep3-reporting\EC\2017-09-09-refined-times.txt</v>
      </c>
      <c r="AI75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{"issue":{"subject":"","project_id":79,"tracker_id":40,"status_id":1,"priority_id":2,"assigned_to_id":338,"start_date":"2017-09-09","description":"","custom_fields":[{"id":1,"name":"Subdivision","value":"EC"},{"id":4,"name":"Milepost","value":"23.3315"},{"id":17,"name":"Train ID","value":"163-09"},{"id":16,"name":"Locomotive ID","value":"4026"},{"id":130,"name":"Impact","value":""},{"id":150,"name":"Time of Event (Mountain Time)","value":"12:07:22"},{"id":151,"name":"Denver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4026 --day 2017-09-09</v>
      </c>
      <c r="AN75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739</v>
      </c>
      <c r="B76" s="7">
        <v>4025</v>
      </c>
      <c r="C76" s="21" t="s">
        <v>197</v>
      </c>
      <c r="D76" s="21" t="s">
        <v>589</v>
      </c>
      <c r="E76" s="13">
        <v>42987.508819444447</v>
      </c>
      <c r="F76" s="13">
        <v>42987.518969907411</v>
      </c>
      <c r="G76" s="7">
        <v>96</v>
      </c>
      <c r="H76" s="21" t="s">
        <v>340</v>
      </c>
      <c r="I76" s="13">
        <v>42987.544953703706</v>
      </c>
      <c r="J76" s="7">
        <v>0</v>
      </c>
      <c r="K76" s="89" t="str">
        <f t="shared" si="0"/>
        <v>4025/4026</v>
      </c>
      <c r="L76" s="214" t="str">
        <f>VLOOKUP(A76,'Trips&amp;Operators'!$C$1:$G$99911,5,FALSE)</f>
        <v>SAFIEF AEIMEN</v>
      </c>
      <c r="M76" s="6">
        <f t="shared" si="1"/>
        <v>2.5983796294895001E-2</v>
      </c>
      <c r="N76" s="7">
        <f t="shared" si="21"/>
        <v>37.416666664648801</v>
      </c>
      <c r="O76" s="7"/>
      <c r="P76" s="7"/>
      <c r="Q76" s="22"/>
      <c r="R76" s="167"/>
      <c r="S76" s="210">
        <f t="shared" si="22"/>
        <v>1</v>
      </c>
      <c r="T76" s="192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-09T11:12:42-0600',mode:absolute,to:'2017-09-09T14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94" t="str">
        <f>IF(AA76&lt;VLOOKUP(AG76,Variables!$AC$3:$AD$8,2,FALSE),"Y","N")</f>
        <v>N</v>
      </c>
      <c r="X76" s="194">
        <f t="shared" si="26"/>
        <v>1</v>
      </c>
      <c r="Y76" s="194">
        <f t="shared" si="23"/>
        <v>23.300799999999999</v>
      </c>
      <c r="Z76" s="194">
        <f t="shared" si="24"/>
        <v>1.43E-2</v>
      </c>
      <c r="AA76" s="194">
        <f t="shared" si="9"/>
        <v>23.2865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164</v>
      </c>
      <c r="AE76" s="77" t="str">
        <f t="shared" si="11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76" s="74" t="str">
        <f t="shared" si="12"/>
        <v>"C:\Program Files (x86)\AstroGrep\AstroGrep.exe" /e /r /s /spath="%USERPROFILE%\AppData\Local\Temp\OnboardLogs" /stypes="app*4025*20170909*" /stext=" 19:.+((SYSTEM_STATE.+slice.+state.+changed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164-09 --locoid 4025 --swversion DE.1.0.9.0 --startMP 204:233008 --initTime 2017-09-09T12:12:42 --startdatetime 2017-09-09T12:27:19 --delay 96 --endMP 204:143 --enddatetime 2017-09-09T13:04:44 --enforcementcount 0 &gt;&gt;C:\Users\stu\Documents\GitHub\eaglep3-reporting\EC\2017-09-09-refined-times.txt</v>
      </c>
      <c r="AI76" s="96" t="str">
        <f t="shared" si="15"/>
        <v>echo {"issue":{"subject":"","project_id":79,"tracker_id":40,"status_id":1,"priority_id":2,"assigned_to_id":338,"start_date":"2017-09-09","description":"","custom_fields":[{"id":1,"name":"Subdivision","value":"EC"},{"id":4,"name":"Milepost","value":"0.0143"},{"id":17,"name":"Train ID","value":"164-09"},{"id":16,"name":"Locomotive ID","value":"4025"},{"id":130,"name":"Impact","value":""},{"id":150,"name":"Time of Event (Mountain Time)","value":"13:04:44"},{"id":151,"name":"Denver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4025 --day 2017-09-09</v>
      </c>
      <c r="AN76" s="151" t="str">
        <f t="shared" si="20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730</v>
      </c>
      <c r="B77" s="7">
        <v>4058</v>
      </c>
      <c r="C77" s="21" t="s">
        <v>197</v>
      </c>
      <c r="D77" s="21" t="s">
        <v>434</v>
      </c>
      <c r="E77" s="13">
        <v>42987.483159722222</v>
      </c>
      <c r="F77" s="13">
        <v>42987.489745370367</v>
      </c>
      <c r="G77" s="7">
        <v>73</v>
      </c>
      <c r="H77" s="21" t="s">
        <v>573</v>
      </c>
      <c r="I77" s="13">
        <v>42987.513831018521</v>
      </c>
      <c r="J77" s="7">
        <v>0</v>
      </c>
      <c r="K77" s="89" t="str">
        <f t="shared" ref="K77:K140" si="27">IF(ISEVEN(B77),(B77-1)&amp;"/"&amp;B77,B77&amp;"/"&amp;(B77+1))</f>
        <v>4057/4058</v>
      </c>
      <c r="L77" s="214" t="str">
        <f>VLOOKUP(A77,'Trips&amp;Operators'!$C$1:$G$99911,5,FALSE)</f>
        <v>GUZMAN DANNY</v>
      </c>
      <c r="M77" s="6">
        <f t="shared" ref="M77:M140" si="28">I77-F77</f>
        <v>2.4085648154141381E-2</v>
      </c>
      <c r="N77" s="7">
        <f t="shared" ref="N77:N108" si="29">24*60*SUM($M77:$M77)</f>
        <v>34.683333341963589</v>
      </c>
      <c r="O77" s="7"/>
      <c r="P77" s="7"/>
      <c r="Q77" s="22"/>
      <c r="R77" s="167"/>
      <c r="S77" s="210">
        <f t="shared" ref="S77:S108" si="30">1/IF(AG77="EC",12,1)*SUM(U77:U77)</f>
        <v>1</v>
      </c>
      <c r="T77" s="192" t="str">
        <f t="shared" ref="T77:T140" si="31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-09T10:35:45-0600',mode:absolute,to:'2017-09-09T13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194" t="str">
        <f>IF(AA77&lt;VLOOKUP(AG77,Variables!$AC$3:$AD$8,2,FALSE),"Y","N")</f>
        <v>N</v>
      </c>
      <c r="X77" s="194">
        <f t="shared" si="26"/>
        <v>1</v>
      </c>
      <c r="Y77" s="194">
        <f t="shared" ref="Y77:Y108" si="33">RIGHT(D77,LEN(D77)-4)/10000</f>
        <v>4.3999999999999997E-2</v>
      </c>
      <c r="Z77" s="194">
        <f t="shared" ref="Z77:Z87" si="34">RIGHT(H77,LEN(H77)-4)/10000</f>
        <v>23.328600000000002</v>
      </c>
      <c r="AA77" s="194">
        <f t="shared" ref="AA77:AA140" si="35">ABS(Z77-Y77)</f>
        <v>23.284600000000001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/stypes="app*4058*20170909*" /stext=" 18:.+((SYSTEM_STATE.+slice.+state.+changed )|(ment ac)|(multiple cpu faults)|(system.+state.+changed )|(\[timeout)|(PRM\|1\|D)|(kpr)|(kdp)|(train st.+moving)|(\|lc)|(penalty))"</v>
      </c>
      <c r="AG77" s="206" t="str">
        <f t="shared" ref="AG77:AG140" si="39">DetSubdiv(A77)</f>
        <v>EC</v>
      </c>
      <c r="AH77" s="78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165-09 --locoid 4058 --swversion DE.1.0.9.0 --startMP 204:440 --initTime 2017-09-09T11:35:45 --startdatetime 2017-09-09T11:45:14 --delay 73 --endMP 204:233286 --enddatetime 2017-09-09T12:19:55 --enforcementcount 0 &gt;&gt;C:\Users\stu\Documents\GitHub\eaglep3-reporting\EC\2017-09-09-refined-times.txt</v>
      </c>
      <c r="AI77" s="96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{"issue":{"subject":"","project_id":79,"tracker_id":40,"status_id":1,"priority_id":2,"assigned_to_id":338,"start_date":"2017-09-09","description":"","custom_fields":[{"id":1,"name":"Subdivision","value":"EC"},{"id":4,"name":"Milepost","value":"23.3286"},{"id":17,"name":"Train ID","value":"165-09"},{"id":16,"name":"Locomotive ID","value":"4058"},{"id":130,"name":"Impact","value":""},{"id":150,"name":"Time of Event (Mountain Time)","value":"12:19:55"},{"id":151,"name":"Denver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42">"start /low /b "&amp;dls3logs&amp;" --loco "&amp;B77&amp;" --day "&amp;TEXT(F77,"YYYY-MM-DD")</f>
        <v>start /low /b %USERPROFILE%\Documents\GitHub\eaglep3\Utilities\DownloadLogsFromS3.py --loco 4058 --day 2017-09-09</v>
      </c>
      <c r="AN77" s="151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740</v>
      </c>
      <c r="B78" s="7">
        <v>4057</v>
      </c>
      <c r="C78" s="21" t="s">
        <v>197</v>
      </c>
      <c r="D78" s="21" t="s">
        <v>380</v>
      </c>
      <c r="E78" s="13">
        <v>42987.516770833332</v>
      </c>
      <c r="F78" s="13">
        <v>42987.529432870368</v>
      </c>
      <c r="G78" s="7">
        <v>63</v>
      </c>
      <c r="H78" s="21" t="s">
        <v>368</v>
      </c>
      <c r="I78" s="13">
        <v>42987.556226851855</v>
      </c>
      <c r="J78" s="7">
        <v>0</v>
      </c>
      <c r="K78" s="89" t="str">
        <f t="shared" si="27"/>
        <v>4057/4058</v>
      </c>
      <c r="L78" s="214" t="str">
        <f>VLOOKUP(A78,'Trips&amp;Operators'!$C$1:$G$99911,5,FALSE)</f>
        <v>GUZMAN DANNY</v>
      </c>
      <c r="M78" s="6">
        <f t="shared" si="28"/>
        <v>2.6793981487571727E-2</v>
      </c>
      <c r="N78" s="7">
        <f t="shared" si="29"/>
        <v>38.583333342103288</v>
      </c>
      <c r="O78" s="7"/>
      <c r="P78" s="7"/>
      <c r="Q78" s="22"/>
      <c r="R78" s="167"/>
      <c r="S78" s="210">
        <f t="shared" si="30"/>
        <v>1</v>
      </c>
      <c r="T78" s="192" t="str">
        <f t="shared" si="31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32"/>
        <v>https://d0f6bd738d7f1b3e5a7ca70fe4ff75f0.us-east-1.aws.found.io/app/kibana#/discover/Steve-Slow-Train-Analysis-(2080s-and-2083s)?_g=(refreshInterval:(display:Off,pause:!f,section:0,value:0),time:(from:'2017-09-09T11:24:09-0600',mode:absolute,to:'2017-09-09T14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194" t="str">
        <f>IF(AA78&lt;VLOOKUP(AG78,Variables!$AC$3:$AD$8,2,FALSE),"Y","N")</f>
        <v>N</v>
      </c>
      <c r="X78" s="194">
        <f t="shared" si="26"/>
        <v>1</v>
      </c>
      <c r="Y78" s="194">
        <f t="shared" si="33"/>
        <v>23.297699999999999</v>
      </c>
      <c r="Z78" s="194">
        <f t="shared" si="34"/>
        <v>1.4500000000000001E-2</v>
      </c>
      <c r="AA78" s="194">
        <f t="shared" si="35"/>
        <v>23.283199999999997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6"/>
        <v>166</v>
      </c>
      <c r="AE78" s="77" t="str">
        <f t="shared" si="37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78" s="74" t="str">
        <f t="shared" si="38"/>
        <v>"C:\Program Files (x86)\AstroGrep\AstroGrep.exe" /e /r /s /spath="%USERPROFILE%\AppData\Local\Temp\OnboardLogs" /stypes="app*4057*20170909*" /stext=" 19:.+((SYSTEM_STATE.+slice.+state.+changed )|(ment ac)|(multiple cpu faults)|(system.+state.+changed )|(\[timeout)|(PRM\|1\|D)|(kpr)|(kdp)|(train st.+moving)|(\|lc)|(penalty))"</v>
      </c>
      <c r="AG78" s="206" t="str">
        <f t="shared" si="39"/>
        <v>EC</v>
      </c>
      <c r="AH78" s="78" t="str">
        <f t="shared" si="40"/>
        <v>"%USERPROFILE%\Documents\GitHub\eaglep3\Utilities\RefineRTDCRunTimes.py" --tripid 166-09 --locoid 4057 --swversion DE.1.0.9.0 --startMP 204:232977 --initTime 2017-09-09T12:24:09 --startdatetime 2017-09-09T12:42:23 --delay 63 --endMP 204:145 --enddatetime 2017-09-09T13:20:58 --enforcementcount 0 &gt;&gt;C:\Users\stu\Documents\GitHub\eaglep3-reporting\EC\2017-09-09-refined-times.txt</v>
      </c>
      <c r="AI78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{"issue":{"subject":"","project_id":79,"tracker_id":40,"status_id":1,"priority_id":2,"assigned_to_id":338,"start_date":"2017-09-09","description":"","custom_fields":[{"id":1,"name":"Subdivision","value":"EC"},{"id":4,"name":"Milepost","value":"0.0145"},{"id":17,"name":"Train ID","value":"166-09"},{"id":16,"name":"Locomotive ID","value":"4057"},{"id":130,"name":"Impact","value":""},{"id":150,"name":"Time of Event (Mountain Time)","value":"13:20:58"},{"id":151,"name":"Denver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2"/>
        <v>start /low /b %USERPROFILE%\Documents\GitHub\eaglep3\Utilities\DownloadLogsFromS3.py --loco 4057 --day 2017-09-09</v>
      </c>
      <c r="AN78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735</v>
      </c>
      <c r="B79" s="7">
        <v>4054</v>
      </c>
      <c r="C79" s="21" t="s">
        <v>197</v>
      </c>
      <c r="D79" s="21" t="s">
        <v>529</v>
      </c>
      <c r="E79" s="13">
        <v>42987.497685185182</v>
      </c>
      <c r="F79" s="13">
        <v>42987.500162037039</v>
      </c>
      <c r="G79" s="7">
        <v>64</v>
      </c>
      <c r="H79" s="21" t="s">
        <v>441</v>
      </c>
      <c r="I79" s="13">
        <v>42987.525775462964</v>
      </c>
      <c r="J79" s="7">
        <v>0</v>
      </c>
      <c r="K79" s="89" t="str">
        <f t="shared" si="27"/>
        <v>4053/4054</v>
      </c>
      <c r="L79" s="214" t="str">
        <f>VLOOKUP(A79,'Trips&amp;Operators'!$C$1:$G$99911,5,FALSE)</f>
        <v>BADERTSCHER DIANE</v>
      </c>
      <c r="M79" s="6">
        <f t="shared" si="28"/>
        <v>2.5613425925257616E-2</v>
      </c>
      <c r="N79" s="7">
        <f t="shared" si="29"/>
        <v>36.883333332370967</v>
      </c>
      <c r="O79" s="7"/>
      <c r="P79" s="7"/>
      <c r="Q79" s="22"/>
      <c r="R79" s="167"/>
      <c r="S79" s="210">
        <f t="shared" si="30"/>
        <v>1</v>
      </c>
      <c r="T79" s="192" t="str">
        <f t="shared" si="31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32"/>
        <v>https://d0f6bd738d7f1b3e5a7ca70fe4ff75f0.us-east-1.aws.found.io/app/kibana#/discover/Steve-Slow-Train-Analysis-(2080s-and-2083s)?_g=(refreshInterval:(display:Off,pause:!f,section:0,value:0),time:(from:'2017-09-09T10:56:40-0600',mode:absolute,to:'2017-09-09T13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194" t="str">
        <f>IF(AA79&lt;VLOOKUP(AG79,Variables!$AC$3:$AD$8,2,FALSE),"Y","N")</f>
        <v>N</v>
      </c>
      <c r="X79" s="194">
        <f t="shared" si="26"/>
        <v>1</v>
      </c>
      <c r="Y79" s="194">
        <f t="shared" si="33"/>
        <v>4.4400000000000002E-2</v>
      </c>
      <c r="Z79" s="194">
        <f t="shared" si="34"/>
        <v>23.331</v>
      </c>
      <c r="AA79" s="194">
        <f t="shared" si="35"/>
        <v>23.2866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6"/>
        <v>167</v>
      </c>
      <c r="AE79" s="77" t="str">
        <f t="shared" si="37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79" s="74" t="str">
        <f t="shared" si="38"/>
        <v>"C:\Program Files (x86)\AstroGrep\AstroGrep.exe" /e /r /s /spath="%USERPROFILE%\AppData\Local\Temp\OnboardLogs" /stypes="app*4054*20170909*" /stext=" 18:.+((SYSTEM_STATE.+slice.+state.+changed )|(ment ac)|(multiple cpu faults)|(system.+state.+changed )|(\[timeout)|(PRM\|1\|D)|(kpr)|(kdp)|(train st.+moving)|(\|lc)|(penalty))"</v>
      </c>
      <c r="AG79" s="206" t="str">
        <f t="shared" si="39"/>
        <v>EC</v>
      </c>
      <c r="AH79" s="78" t="str">
        <f t="shared" si="40"/>
        <v>"%USERPROFILE%\Documents\GitHub\eaglep3\Utilities\RefineRTDCRunTimes.py" --tripid 167-09 --locoid 4054 --swversion DE.1.0.9.0 --startMP 204:444 --initTime 2017-09-09T11:56:40 --startdatetime 2017-09-09T12:00:14 --delay 64 --endMP 204:233310 --enddatetime 2017-09-09T12:37:07 --enforcementcount 0 &gt;&gt;C:\Users\stu\Documents\GitHub\eaglep3-reporting\EC\2017-09-09-refined-times.txt</v>
      </c>
      <c r="AI79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{"issue":{"subject":"","project_id":79,"tracker_id":40,"status_id":1,"priority_id":2,"assigned_to_id":338,"start_date":"2017-09-09","description":"","custom_fields":[{"id":1,"name":"Subdivision","value":"EC"},{"id":4,"name":"Milepost","value":"23.331"},{"id":17,"name":"Train ID","value":"167-09"},{"id":16,"name":"Locomotive ID","value":"4054"},{"id":130,"name":"Impact","value":""},{"id":150,"name":"Time of Event (Mountain Time)","value":"12:37:07"},{"id":151,"name":"Denver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4054 --day 2017-09-09</v>
      </c>
      <c r="AN79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622</v>
      </c>
      <c r="B80" s="7">
        <v>4053</v>
      </c>
      <c r="C80" s="21" t="s">
        <v>197</v>
      </c>
      <c r="D80" s="21" t="s">
        <v>524</v>
      </c>
      <c r="E80" s="13">
        <v>42987.535127314812</v>
      </c>
      <c r="F80" s="13">
        <v>42987.539780092593</v>
      </c>
      <c r="G80" s="7">
        <v>56</v>
      </c>
      <c r="H80" s="21" t="s">
        <v>396</v>
      </c>
      <c r="I80" s="13">
        <v>42987.567488425928</v>
      </c>
      <c r="J80" s="7">
        <v>0</v>
      </c>
      <c r="K80" s="89" t="str">
        <f t="shared" si="27"/>
        <v>4053/4054</v>
      </c>
      <c r="L80" s="214" t="str">
        <f>VLOOKUP(A80,'Trips&amp;Operators'!$C$1:$G$99911,5,FALSE)</f>
        <v>BADERTSCHER DIANE</v>
      </c>
      <c r="M80" s="6">
        <f t="shared" si="28"/>
        <v>2.7708333334885538E-2</v>
      </c>
      <c r="N80" s="7">
        <f t="shared" si="29"/>
        <v>39.900000002235174</v>
      </c>
      <c r="O80" s="7"/>
      <c r="P80" s="7"/>
      <c r="Q80" s="22"/>
      <c r="R80" s="167"/>
      <c r="S80" s="210">
        <f t="shared" si="30"/>
        <v>1</v>
      </c>
      <c r="T80" s="192" t="str">
        <f t="shared" si="31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32"/>
        <v>https://d0f6bd738d7f1b3e5a7ca70fe4ff75f0.us-east-1.aws.found.io/app/kibana#/discover/Steve-Slow-Train-Analysis-(2080s-and-2083s)?_g=(refreshInterval:(display:Off,pause:!f,section:0,value:0),time:(from:'2017-09-09T11:50:35-0600',mode:absolute,to:'2017-09-09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94" t="str">
        <f>IF(AA80&lt;VLOOKUP(AG80,Variables!$AC$3:$AD$8,2,FALSE),"Y","N")</f>
        <v>N</v>
      </c>
      <c r="X80" s="194">
        <f t="shared" si="26"/>
        <v>1</v>
      </c>
      <c r="Y80" s="194">
        <f t="shared" si="33"/>
        <v>23.299600000000002</v>
      </c>
      <c r="Z80" s="194">
        <f t="shared" si="34"/>
        <v>1.5800000000000002E-2</v>
      </c>
      <c r="AA80" s="194">
        <f t="shared" si="35"/>
        <v>23.283800000000003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203">
        <f t="shared" si="36"/>
        <v>168</v>
      </c>
      <c r="AE80" s="77" t="str">
        <f t="shared" si="37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80" s="74" t="str">
        <f t="shared" si="38"/>
        <v>"C:\Program Files (x86)\AstroGrep\AstroGrep.exe" /e /r /s /spath="%USERPROFILE%\AppData\Local\Temp\OnboardLogs" /stypes="app*4053*20170909*" /stext=" 19:.+((SYSTEM_STATE.+slice.+state.+changed )|(ment ac)|(multiple cpu faults)|(system.+state.+changed )|(\[timeout)|(PRM\|1\|D)|(kpr)|(kdp)|(train st.+moving)|(\|lc)|(penalty))"</v>
      </c>
      <c r="AG80" s="206" t="str">
        <f t="shared" si="39"/>
        <v>EC</v>
      </c>
      <c r="AH80" s="78" t="str">
        <f t="shared" si="40"/>
        <v>"%USERPROFILE%\Documents\GitHub\eaglep3\Utilities\RefineRTDCRunTimes.py" --tripid 168-09 --locoid 4053 --swversion DE.1.0.9.0 --startMP 204:232996 --initTime 2017-09-09T12:50:35 --startdatetime 2017-09-09T12:57:17 --delay 56 --endMP 204:158 --enddatetime 2017-09-09T13:37:11 --enforcementcount 0 &gt;&gt;C:\Users\stu\Documents\GitHub\eaglep3-reporting\EC\2017-09-09-refined-times.txt</v>
      </c>
      <c r="AI8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{"issue":{"subject":"","project_id":79,"tracker_id":40,"status_id":1,"priority_id":2,"assigned_to_id":338,"start_date":"2017-09-09","description":"","custom_fields":[{"id":1,"name":"Subdivision","value":"EC"},{"id":4,"name":"Milepost","value":"0.0158"},{"id":17,"name":"Train ID","value":"168-09"},{"id":16,"name":"Locomotive ID","value":"4053"},{"id":130,"name":"Impact","value":""},{"id":150,"name":"Time of Event (Mountain Time)","value":"13:37:11"},{"id":151,"name":"Denver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4053 --day 2017-09-09</v>
      </c>
      <c r="AN80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738</v>
      </c>
      <c r="B81" s="7">
        <v>4010</v>
      </c>
      <c r="C81" s="21" t="s">
        <v>197</v>
      </c>
      <c r="D81" s="21" t="s">
        <v>849</v>
      </c>
      <c r="E81" s="13">
        <v>42987.508773148147</v>
      </c>
      <c r="F81" s="13">
        <v>42987.51085648148</v>
      </c>
      <c r="G81" s="7">
        <v>70</v>
      </c>
      <c r="H81" s="21" t="s">
        <v>860</v>
      </c>
      <c r="I81" s="13">
        <v>42987.535011574073</v>
      </c>
      <c r="J81" s="7">
        <v>0</v>
      </c>
      <c r="K81" s="89" t="str">
        <f t="shared" si="27"/>
        <v>4009/4010</v>
      </c>
      <c r="L81" s="214" t="str">
        <f>VLOOKUP(A81,'Trips&amp;Operators'!$C$1:$G$99911,5,FALSE)</f>
        <v>MOSES BRADLEY</v>
      </c>
      <c r="M81" s="6">
        <f t="shared" si="28"/>
        <v>2.4155092592991423E-2</v>
      </c>
      <c r="N81" s="7">
        <f t="shared" si="29"/>
        <v>34.783333333907649</v>
      </c>
      <c r="O81" s="7"/>
      <c r="P81" s="7"/>
      <c r="Q81" s="22"/>
      <c r="R81" s="167"/>
      <c r="S81" s="210">
        <f t="shared" si="30"/>
        <v>1</v>
      </c>
      <c r="T81" s="192" t="str">
        <f t="shared" si="31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32"/>
        <v>https://d0f6bd738d7f1b3e5a7ca70fe4ff75f0.us-east-1.aws.found.io/app/kibana#/discover/Steve-Slow-Train-Analysis-(2080s-and-2083s)?_g=(refreshInterval:(display:Off,pause:!f,section:0,value:0),time:(from:'2017-09-09T11:12:38-0600',mode:absolute,to:'2017-09-09T13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194" t="str">
        <f>IF(AA81&lt;VLOOKUP(AG81,Variables!$AC$3:$AD$8,2,FALSE),"Y","N")</f>
        <v>N</v>
      </c>
      <c r="X81" s="194">
        <f t="shared" si="26"/>
        <v>1</v>
      </c>
      <c r="Y81" s="194">
        <f t="shared" si="33"/>
        <v>4.82E-2</v>
      </c>
      <c r="Z81" s="194">
        <f t="shared" si="34"/>
        <v>23.332599999999999</v>
      </c>
      <c r="AA81" s="194">
        <f t="shared" si="35"/>
        <v>23.284399999999998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6"/>
        <v>169</v>
      </c>
      <c r="AE81" s="77" t="str">
        <f t="shared" si="37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81" s="74" t="str">
        <f t="shared" si="38"/>
        <v>"C:\Program Files (x86)\AstroGrep\AstroGrep.exe" /e /r /s /spath="%USERPROFILE%\AppData\Local\Temp\OnboardLogs" /stypes="app*4010*20170909*" /stext=" 18:.+((SYSTEM_STATE.+slice.+state.+changed )|(ment ac)|(multiple cpu faults)|(system.+state.+changed )|(\[timeout)|(PRM\|1\|D)|(kpr)|(kdp)|(train st.+moving)|(\|lc)|(penalty))"</v>
      </c>
      <c r="AG81" s="206" t="str">
        <f t="shared" si="39"/>
        <v>EC</v>
      </c>
      <c r="AH81" s="78" t="str">
        <f t="shared" si="40"/>
        <v>"%USERPROFILE%\Documents\GitHub\eaglep3\Utilities\RefineRTDCRunTimes.py" --tripid 169-09 --locoid 4010 --swversion DE.1.0.9.0 --startMP 204:482 --initTime 2017-09-09T12:12:38 --startdatetime 2017-09-09T12:15:38 --delay 70 --endMP 204:233326 --enddatetime 2017-09-09T12:50:25 --enforcementcount 0 &gt;&gt;C:\Users\stu\Documents\GitHub\eaglep3-reporting\EC\2017-09-09-refined-times.txt</v>
      </c>
      <c r="AI81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{"issue":{"subject":"","project_id":79,"tracker_id":40,"status_id":1,"priority_id":2,"assigned_to_id":338,"start_date":"2017-09-09","description":"","custom_fields":[{"id":1,"name":"Subdivision","value":"EC"},{"id":4,"name":"Milepost","value":"23.3326"},{"id":17,"name":"Train ID","value":"169-09"},{"id":16,"name":"Locomotive ID","value":"4010"},{"id":130,"name":"Impact","value":""},{"id":150,"name":"Time of Event (Mountain Time)","value":"12:50:25"},{"id":151,"name":"Denver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4010 --day 2017-09-09</v>
      </c>
      <c r="AN81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623</v>
      </c>
      <c r="B82" s="7">
        <v>4009</v>
      </c>
      <c r="C82" s="21" t="s">
        <v>197</v>
      </c>
      <c r="D82" s="21" t="s">
        <v>866</v>
      </c>
      <c r="E82" s="13">
        <v>42987.545115740744</v>
      </c>
      <c r="F82" s="13">
        <v>42987.550243055557</v>
      </c>
      <c r="G82" s="7">
        <v>103</v>
      </c>
      <c r="H82" s="21" t="s">
        <v>867</v>
      </c>
      <c r="I82" s="13">
        <v>42987.577060185184</v>
      </c>
      <c r="J82" s="7">
        <v>0</v>
      </c>
      <c r="K82" s="89" t="str">
        <f t="shared" si="27"/>
        <v>4009/4010</v>
      </c>
      <c r="L82" s="214" t="str">
        <f>VLOOKUP(A82,'Trips&amp;Operators'!$C$1:$G$99911,5,FALSE)</f>
        <v>MOSES BRADLEY</v>
      </c>
      <c r="M82" s="6">
        <f t="shared" si="28"/>
        <v>2.6817129626579117E-2</v>
      </c>
      <c r="N82" s="7">
        <f t="shared" si="29"/>
        <v>38.616666662273929</v>
      </c>
      <c r="O82" s="7"/>
      <c r="P82" s="7"/>
      <c r="Q82" s="22"/>
      <c r="R82" s="167"/>
      <c r="S82" s="210">
        <f t="shared" si="30"/>
        <v>1</v>
      </c>
      <c r="T82" s="192" t="str">
        <f t="shared" si="31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32"/>
        <v>https://d0f6bd738d7f1b3e5a7ca70fe4ff75f0.us-east-1.aws.found.io/app/kibana#/discover/Steve-Slow-Train-Analysis-(2080s-and-2083s)?_g=(refreshInterval:(display:Off,pause:!f,section:0,value:0),time:(from:'2017-09-09T12:04:58-0600',mode:absolute,to:'2017-09-09T14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194" t="str">
        <f>IF(AA82&lt;VLOOKUP(AG82,Variables!$AC$3:$AD$8,2,FALSE),"Y","N")</f>
        <v>N</v>
      </c>
      <c r="X82" s="194">
        <f t="shared" si="26"/>
        <v>1</v>
      </c>
      <c r="Y82" s="194">
        <f t="shared" si="33"/>
        <v>23.3019</v>
      </c>
      <c r="Z82" s="194">
        <f t="shared" si="34"/>
        <v>1.7399999999999999E-2</v>
      </c>
      <c r="AA82" s="194">
        <f t="shared" si="35"/>
        <v>23.284500000000001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36"/>
        <v>170</v>
      </c>
      <c r="AE82" s="77" t="str">
        <f t="shared" si="37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82" s="74" t="str">
        <f t="shared" si="38"/>
        <v>"C:\Program Files (x86)\AstroGrep\AstroGrep.exe" /e /r /s /spath="%USERPROFILE%\AppData\Local\Temp\OnboardLogs" /stypes="app*4009*20170909*" /stext=" 19:.+((SYSTEM_STATE.+slice.+state.+changed )|(ment ac)|(multiple cpu faults)|(system.+state.+changed )|(\[timeout)|(PRM\|1\|D)|(kpr)|(kdp)|(train st.+moving)|(\|lc)|(penalty))"</v>
      </c>
      <c r="AG82" s="206" t="str">
        <f t="shared" si="39"/>
        <v>EC</v>
      </c>
      <c r="AH82" s="78" t="str">
        <f t="shared" si="40"/>
        <v>"%USERPROFILE%\Documents\GitHub\eaglep3\Utilities\RefineRTDCRunTimes.py" --tripid 170-09 --locoid 4009 --swversion DE.1.0.9.0 --startMP 204:233019 --initTime 2017-09-09T13:04:58 --startdatetime 2017-09-09T13:12:21 --delay 103 --endMP 204:174 --enddatetime 2017-09-09T13:50:58 --enforcementcount 0 &gt;&gt;C:\Users\stu\Documents\GitHub\eaglep3-reporting\EC\2017-09-09-refined-times.txt</v>
      </c>
      <c r="AI82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{"issue":{"subject":"","project_id":79,"tracker_id":40,"status_id":1,"priority_id":2,"assigned_to_id":338,"start_date":"2017-09-09","description":"","custom_fields":[{"id":1,"name":"Subdivision","value":"EC"},{"id":4,"name":"Milepost","value":"0.0174"},{"id":17,"name":"Train ID","value":"170-09"},{"id":16,"name":"Locomotive ID","value":"4009"},{"id":130,"name":"Impact","value":""},{"id":150,"name":"Time of Event (Mountain Time)","value":"13:50:58"},{"id":151,"name":"Denver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4009 --day 2017-09-09</v>
      </c>
      <c r="AN82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741</v>
      </c>
      <c r="B83" s="7">
        <v>4044</v>
      </c>
      <c r="C83" s="21" t="s">
        <v>197</v>
      </c>
      <c r="D83" s="21" t="s">
        <v>366</v>
      </c>
      <c r="E83" s="13">
        <v>42987.516956018517</v>
      </c>
      <c r="F83" s="13">
        <v>42987.521006944444</v>
      </c>
      <c r="G83" s="7">
        <v>62</v>
      </c>
      <c r="H83" s="21" t="s">
        <v>499</v>
      </c>
      <c r="I83" s="13">
        <v>42987.54546296296</v>
      </c>
      <c r="J83" s="7">
        <v>0</v>
      </c>
      <c r="K83" s="89" t="str">
        <f t="shared" si="27"/>
        <v>4043/4044</v>
      </c>
      <c r="L83" s="214" t="str">
        <f>VLOOKUP(A83,'Trips&amp;Operators'!$C$1:$G$99911,5,FALSE)</f>
        <v>BRUDER RICHARD</v>
      </c>
      <c r="M83" s="6">
        <f t="shared" si="28"/>
        <v>2.4456018516502809E-2</v>
      </c>
      <c r="N83" s="7">
        <f t="shared" si="29"/>
        <v>35.216666663764045</v>
      </c>
      <c r="O83" s="7"/>
      <c r="P83" s="7"/>
      <c r="Q83" s="22"/>
      <c r="R83" s="167"/>
      <c r="S83" s="210">
        <f t="shared" si="30"/>
        <v>1</v>
      </c>
      <c r="T83" s="192" t="str">
        <f t="shared" si="31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32"/>
        <v>https://d0f6bd738d7f1b3e5a7ca70fe4ff75f0.us-east-1.aws.found.io/app/kibana#/discover/Steve-Slow-Train-Analysis-(2080s-and-2083s)?_g=(refreshInterval:(display:Off,pause:!f,section:0,value:0),time:(from:'2017-09-09T11:24:25-0600',mode:absolute,to:'2017-09-09T14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94" t="str">
        <f>IF(AA83&lt;VLOOKUP(AG83,Variables!$AC$3:$AD$8,2,FALSE),"Y","N")</f>
        <v>N</v>
      </c>
      <c r="X83" s="194">
        <f t="shared" si="26"/>
        <v>1</v>
      </c>
      <c r="Y83" s="194">
        <f t="shared" si="33"/>
        <v>4.6399999999999997E-2</v>
      </c>
      <c r="Z83" s="194">
        <f t="shared" si="34"/>
        <v>23.331499999999998</v>
      </c>
      <c r="AA83" s="194">
        <f t="shared" si="35"/>
        <v>23.2851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6"/>
        <v>171</v>
      </c>
      <c r="AE83" s="77" t="str">
        <f t="shared" si="37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83" s="74" t="str">
        <f t="shared" si="38"/>
        <v>"C:\Program Files (x86)\AstroGrep\AstroGrep.exe" /e /r /s /spath="%USERPROFILE%\AppData\Local\Temp\OnboardLogs" /stypes="app*4044*20170909*" /stext=" 19:.+((SYSTEM_STATE.+slice.+state.+changed )|(ment ac)|(multiple cpu faults)|(system.+state.+changed )|(\[timeout)|(PRM\|1\|D)|(kpr)|(kdp)|(train st.+moving)|(\|lc)|(penalty))"</v>
      </c>
      <c r="AG83" s="206" t="str">
        <f t="shared" si="39"/>
        <v>EC</v>
      </c>
      <c r="AH83" s="78" t="str">
        <f t="shared" si="40"/>
        <v>"%USERPROFILE%\Documents\GitHub\eaglep3\Utilities\RefineRTDCRunTimes.py" --tripid 171-09 --locoid 4044 --swversion DE.1.0.9.0 --startMP 204:464 --initTime 2017-09-09T12:24:25 --startdatetime 2017-09-09T12:30:15 --delay 62 --endMP 204:233315 --enddatetime 2017-09-09T13:05:28 --enforcementcount 0 &gt;&gt;C:\Users\stu\Documents\GitHub\eaglep3-reporting\EC\2017-09-09-refined-times.txt</v>
      </c>
      <c r="AI83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{"issue":{"subject":"","project_id":79,"tracker_id":40,"status_id":1,"priority_id":2,"assigned_to_id":338,"start_date":"2017-09-09","description":"","custom_fields":[{"id":1,"name":"Subdivision","value":"EC"},{"id":4,"name":"Milepost","value":"23.3315"},{"id":17,"name":"Train ID","value":"171-09"},{"id":16,"name":"Locomotive ID","value":"4044"},{"id":130,"name":"Impact","value":""},{"id":150,"name":"Time of Event (Mountain Time)","value":"13:05:28"},{"id":151,"name":"Denver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4044 --day 2017-09-09</v>
      </c>
      <c r="AN83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748</v>
      </c>
      <c r="B84" s="7">
        <v>4043</v>
      </c>
      <c r="C84" s="21" t="s">
        <v>197</v>
      </c>
      <c r="D84" s="21" t="s">
        <v>500</v>
      </c>
      <c r="E84" s="13">
        <v>42987.557789351849</v>
      </c>
      <c r="F84" s="13">
        <v>42987.560578703706</v>
      </c>
      <c r="G84" s="7">
        <v>58</v>
      </c>
      <c r="H84" s="21" t="s">
        <v>374</v>
      </c>
      <c r="I84" s="13">
        <v>42987.586631944447</v>
      </c>
      <c r="J84" s="7">
        <v>0</v>
      </c>
      <c r="K84" s="89" t="str">
        <f t="shared" si="27"/>
        <v>4043/4044</v>
      </c>
      <c r="L84" s="214" t="str">
        <f>VLOOKUP(A84,'Trips&amp;Operators'!$C$1:$G$99911,5,FALSE)</f>
        <v>BRUDER RICHARD</v>
      </c>
      <c r="M84" s="6">
        <f t="shared" si="28"/>
        <v>2.6053240741021E-2</v>
      </c>
      <c r="N84" s="7">
        <f t="shared" si="29"/>
        <v>37.51666666707024</v>
      </c>
      <c r="O84" s="7"/>
      <c r="P84" s="7"/>
      <c r="Q84" s="22"/>
      <c r="R84" s="167"/>
      <c r="S84" s="210">
        <f t="shared" si="30"/>
        <v>1</v>
      </c>
      <c r="T84" s="192" t="str">
        <f t="shared" si="31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32"/>
        <v>https://d0f6bd738d7f1b3e5a7ca70fe4ff75f0.us-east-1.aws.found.io/app/kibana#/discover/Steve-Slow-Train-Analysis-(2080s-and-2083s)?_g=(refreshInterval:(display:Off,pause:!f,section:0,value:0),time:(from:'2017-09-09T12:23:13-0600',mode:absolute,to:'2017-09-09T15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94" t="str">
        <f>IF(AA84&lt;VLOOKUP(AG84,Variables!$AC$3:$AD$8,2,FALSE),"Y","N")</f>
        <v>N</v>
      </c>
      <c r="X84" s="194">
        <f t="shared" si="26"/>
        <v>1</v>
      </c>
      <c r="Y84" s="194">
        <f t="shared" si="33"/>
        <v>23.2987</v>
      </c>
      <c r="Z84" s="194">
        <f t="shared" si="34"/>
        <v>1.5599999999999999E-2</v>
      </c>
      <c r="AA84" s="194">
        <f t="shared" si="35"/>
        <v>23.283100000000001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6"/>
        <v>172</v>
      </c>
      <c r="AE84" s="77" t="str">
        <f t="shared" si="37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84" s="74" t="str">
        <f t="shared" si="38"/>
        <v>"C:\Program Files (x86)\AstroGrep\AstroGrep.exe" /e /r /s /spath="%USERPROFILE%\AppData\Local\Temp\OnboardLogs" /stypes="app*4043*20170909*" /stext=" 20:.+((SYSTEM_STATE.+slice.+state.+changed )|(ment ac)|(multiple cpu faults)|(system.+state.+changed )|(\[timeout)|(PRM\|1\|D)|(kpr)|(kdp)|(train st.+moving)|(\|lc)|(penalty))"</v>
      </c>
      <c r="AG84" s="206" t="str">
        <f t="shared" si="39"/>
        <v>EC</v>
      </c>
      <c r="AH84" s="78" t="str">
        <f t="shared" si="40"/>
        <v>"%USERPROFILE%\Documents\GitHub\eaglep3\Utilities\RefineRTDCRunTimes.py" --tripid 172-09 --locoid 4043 --swversion DE.1.0.9.0 --startMP 204:232987 --initTime 2017-09-09T13:23:13 --startdatetime 2017-09-09T13:27:14 --delay 58 --endMP 204:156 --enddatetime 2017-09-09T14:04:45 --enforcementcount 0 &gt;&gt;C:\Users\stu\Documents\GitHub\eaglep3-reporting\EC\2017-09-09-refined-times.txt</v>
      </c>
      <c r="AI84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{"issue":{"subject":"","project_id":79,"tracker_id":40,"status_id":1,"priority_id":2,"assigned_to_id":338,"start_date":"2017-09-09","description":"","custom_fields":[{"id":1,"name":"Subdivision","value":"EC"},{"id":4,"name":"Milepost","value":"0.0156"},{"id":17,"name":"Train ID","value":"172-09"},{"id":16,"name":"Locomotive ID","value":"4043"},{"id":130,"name":"Impact","value":""},{"id":150,"name":"Time of Event (Mountain Time)","value":"14:04:45"},{"id":151,"name":"Denver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4043 --day 2017-09-09</v>
      </c>
      <c r="AN84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743</v>
      </c>
      <c r="B85" s="7">
        <v>4046</v>
      </c>
      <c r="C85" s="21" t="s">
        <v>197</v>
      </c>
      <c r="D85" s="21" t="s">
        <v>498</v>
      </c>
      <c r="E85" s="13">
        <v>42987.527928240743</v>
      </c>
      <c r="F85" s="13">
        <v>42987.531412037039</v>
      </c>
      <c r="G85" s="7">
        <v>73</v>
      </c>
      <c r="H85" s="21" t="s">
        <v>431</v>
      </c>
      <c r="I85" s="13">
        <v>42987.554571759261</v>
      </c>
      <c r="J85" s="7">
        <v>0</v>
      </c>
      <c r="K85" s="89" t="str">
        <f t="shared" si="27"/>
        <v>4045/4046</v>
      </c>
      <c r="L85" s="214" t="str">
        <f>VLOOKUP(A85,'Trips&amp;Operators'!$C$1:$G$99911,5,FALSE)</f>
        <v>HOLCOMB KAMDEN</v>
      </c>
      <c r="M85" s="6">
        <f t="shared" si="28"/>
        <v>2.3159722222771961E-2</v>
      </c>
      <c r="N85" s="7">
        <f t="shared" si="29"/>
        <v>33.350000000791624</v>
      </c>
      <c r="O85" s="7"/>
      <c r="P85" s="7"/>
      <c r="Q85" s="22"/>
      <c r="R85" s="167"/>
      <c r="S85" s="210">
        <f t="shared" si="30"/>
        <v>1</v>
      </c>
      <c r="T85" s="192" t="str">
        <f t="shared" si="31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32"/>
        <v>https://d0f6bd738d7f1b3e5a7ca70fe4ff75f0.us-east-1.aws.found.io/app/kibana#/discover/Steve-Slow-Train-Analysis-(2080s-and-2083s)?_g=(refreshInterval:(display:Off,pause:!f,section:0,value:0),time:(from:'2017-09-09T11:40:13-0600',mode:absolute,to:'2017-09-09T14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94" t="str">
        <f>IF(AA85&lt;VLOOKUP(AG85,Variables!$AC$3:$AD$8,2,FALSE),"Y","N")</f>
        <v>N</v>
      </c>
      <c r="X85" s="194">
        <f t="shared" si="26"/>
        <v>1</v>
      </c>
      <c r="Y85" s="194">
        <f t="shared" si="33"/>
        <v>4.7500000000000001E-2</v>
      </c>
      <c r="Z85" s="194">
        <f t="shared" si="34"/>
        <v>23.3293</v>
      </c>
      <c r="AA85" s="194">
        <f t="shared" si="35"/>
        <v>23.2818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6"/>
        <v>173</v>
      </c>
      <c r="AE85" s="77" t="str">
        <f t="shared" si="37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85" s="74" t="str">
        <f t="shared" si="38"/>
        <v>"C:\Program Files (x86)\AstroGrep\AstroGrep.exe" /e /r /s /spath="%USERPROFILE%\AppData\Local\Temp\OnboardLogs" /stypes="app*4046*20170909*" /stext=" 19:.+((SYSTEM_STATE.+slice.+state.+changed )|(ment ac)|(multiple cpu faults)|(system.+state.+changed )|(\[timeout)|(PRM\|1\|D)|(kpr)|(kdp)|(train st.+moving)|(\|lc)|(penalty))"</v>
      </c>
      <c r="AG85" s="206" t="str">
        <f t="shared" si="39"/>
        <v>EC</v>
      </c>
      <c r="AH85" s="78" t="str">
        <f t="shared" si="40"/>
        <v>"%USERPROFILE%\Documents\GitHub\eaglep3\Utilities\RefineRTDCRunTimes.py" --tripid 173-09 --locoid 4046 --swversion DE.1.0.9.0 --startMP 204:475 --initTime 2017-09-09T12:40:13 --startdatetime 2017-09-09T12:45:14 --delay 73 --endMP 204:233293 --enddatetime 2017-09-09T13:18:35 --enforcementcount 0 &gt;&gt;C:\Users\stu\Documents\GitHub\eaglep3-reporting\EC\2017-09-09-refined-times.txt</v>
      </c>
      <c r="AI85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{"issue":{"subject":"","project_id":79,"tracker_id":40,"status_id":1,"priority_id":2,"assigned_to_id":338,"start_date":"2017-09-09","description":"","custom_fields":[{"id":1,"name":"Subdivision","value":"EC"},{"id":4,"name":"Milepost","value":"23.3293"},{"id":17,"name":"Train ID","value":"173-09"},{"id":16,"name":"Locomotive ID","value":"4046"},{"id":130,"name":"Impact","value":""},{"id":150,"name":"Time of Event (Mountain Time)","value":"13:18:35"},{"id":151,"name":"Denver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4046 --day 2017-09-09</v>
      </c>
      <c r="AN85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625</v>
      </c>
      <c r="B86" s="7">
        <v>4045</v>
      </c>
      <c r="C86" s="21" t="s">
        <v>197</v>
      </c>
      <c r="D86" s="21" t="s">
        <v>844</v>
      </c>
      <c r="E86" s="13">
        <v>42987.568032407406</v>
      </c>
      <c r="F86" s="13">
        <v>42987.571006944447</v>
      </c>
      <c r="G86" s="7">
        <v>65</v>
      </c>
      <c r="H86" s="21" t="s">
        <v>868</v>
      </c>
      <c r="I86" s="13">
        <v>42987.597372685188</v>
      </c>
      <c r="J86" s="7">
        <v>0</v>
      </c>
      <c r="K86" s="89" t="str">
        <f t="shared" si="27"/>
        <v>4045/4046</v>
      </c>
      <c r="L86" s="214" t="str">
        <f>VLOOKUP(A86,'Trips&amp;Operators'!$C$1:$G$99911,5,FALSE)</f>
        <v>HOLCOMB KAMDEN</v>
      </c>
      <c r="M86" s="6">
        <f t="shared" si="28"/>
        <v>2.6365740741312038E-2</v>
      </c>
      <c r="N86" s="7">
        <f t="shared" si="29"/>
        <v>37.966666667489335</v>
      </c>
      <c r="O86" s="7"/>
      <c r="P86" s="7"/>
      <c r="Q86" s="22"/>
      <c r="R86" s="167"/>
      <c r="S86" s="210">
        <f t="shared" si="30"/>
        <v>1</v>
      </c>
      <c r="T86" s="192" t="str">
        <f t="shared" si="31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32"/>
        <v>https://d0f6bd738d7f1b3e5a7ca70fe4ff75f0.us-east-1.aws.found.io/app/kibana#/discover/Steve-Slow-Train-Analysis-(2080s-and-2083s)?_g=(refreshInterval:(display:Off,pause:!f,section:0,value:0),time:(from:'2017-09-09T12:37:58-0600',mode:absolute,to:'2017-09-09T15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94" t="str">
        <f>IF(AA86&lt;VLOOKUP(AG86,Variables!$AC$3:$AD$8,2,FALSE),"Y","N")</f>
        <v>N</v>
      </c>
      <c r="X86" s="194">
        <f t="shared" si="26"/>
        <v>1</v>
      </c>
      <c r="Y86" s="194">
        <f t="shared" si="33"/>
        <v>23.298200000000001</v>
      </c>
      <c r="Z86" s="194">
        <f t="shared" si="34"/>
        <v>1.7000000000000001E-2</v>
      </c>
      <c r="AA86" s="194">
        <f t="shared" si="35"/>
        <v>23.281200000000002</v>
      </c>
      <c r="AB86" s="54" t="str">
        <f>VLOOKUP(A86,Enforcements!$C$7:$K$11,8,0)</f>
        <v>Bulletin (2)</v>
      </c>
      <c r="AC86" s="51" t="str">
        <f>VLOOKUP(A86,Enforcements!$C$7:$E$11,3,0)</f>
        <v>GRADE CROSSING</v>
      </c>
      <c r="AD86" s="203">
        <f t="shared" si="36"/>
        <v>174</v>
      </c>
      <c r="AE86" s="77" t="str">
        <f t="shared" si="37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86" s="74" t="str">
        <f t="shared" si="38"/>
        <v>"C:\Program Files (x86)\AstroGrep\AstroGrep.exe" /e /r /s /spath="%USERPROFILE%\AppData\Local\Temp\OnboardLogs" /stypes="app*4045*20170909*" /stext=" 20:.+((SYSTEM_STATE.+slice.+state.+changed )|(ment ac)|(multiple cpu faults)|(system.+state.+changed )|(\[timeout)|(PRM\|1\|D)|(kpr)|(kdp)|(train st.+moving)|(\|lc)|(penalty))"</v>
      </c>
      <c r="AG86" s="206" t="str">
        <f t="shared" si="39"/>
        <v>EC</v>
      </c>
      <c r="AH86" s="78" t="str">
        <f t="shared" si="40"/>
        <v>"%USERPROFILE%\Documents\GitHub\eaglep3\Utilities\RefineRTDCRunTimes.py" --tripid 174-09 --locoid 4045 --swversion DE.1.0.9.0 --startMP 204:232982 --initTime 2017-09-09T13:37:58 --startdatetime 2017-09-09T13:42:15 --delay 65 --endMP 204:170 --enddatetime 2017-09-09T14:20:13 --enforcementcount 0 &gt;&gt;C:\Users\stu\Documents\GitHub\eaglep3-reporting\EC\2017-09-09-refined-times.txt</v>
      </c>
      <c r="AI86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{"issue":{"subject":"","project_id":79,"tracker_id":40,"status_id":1,"priority_id":2,"assigned_to_id":338,"start_date":"2017-09-09","description":"","custom_fields":[{"id":1,"name":"Subdivision","value":"EC"},{"id":4,"name":"Milepost","value":"0.017"},{"id":17,"name":"Train ID","value":"174-09"},{"id":16,"name":"Locomotive ID","value":"4045"},{"id":130,"name":"Impact","value":""},{"id":150,"name":"Time of Event (Mountain Time)","value":"14:20:13"},{"id":151,"name":"Denver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4045 --day 2017-09-09</v>
      </c>
      <c r="AN86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745</v>
      </c>
      <c r="B87" s="7">
        <v>4050</v>
      </c>
      <c r="C87" s="21" t="s">
        <v>197</v>
      </c>
      <c r="D87" s="21" t="s">
        <v>363</v>
      </c>
      <c r="E87" s="13">
        <v>42987.539675925924</v>
      </c>
      <c r="F87" s="13">
        <v>42987.542326388888</v>
      </c>
      <c r="G87" s="7">
        <v>85</v>
      </c>
      <c r="H87" s="21" t="s">
        <v>869</v>
      </c>
      <c r="I87" s="13">
        <v>42987.568912037037</v>
      </c>
      <c r="J87" s="7">
        <v>0</v>
      </c>
      <c r="K87" s="89" t="str">
        <f t="shared" si="27"/>
        <v>4049/4050</v>
      </c>
      <c r="L87" s="214" t="str">
        <f>VLOOKUP(A87,'Trips&amp;Operators'!$C$1:$G$99911,5,FALSE)</f>
        <v>DAVIS MICHAEL</v>
      </c>
      <c r="M87" s="6">
        <f t="shared" si="28"/>
        <v>2.658564814919373E-2</v>
      </c>
      <c r="N87" s="7">
        <f t="shared" si="29"/>
        <v>38.283333334838971</v>
      </c>
      <c r="O87" s="7"/>
      <c r="P87" s="7"/>
      <c r="Q87" s="22"/>
      <c r="R87" s="167"/>
      <c r="S87" s="210">
        <f t="shared" si="30"/>
        <v>1</v>
      </c>
      <c r="T87" s="192" t="str">
        <f t="shared" si="31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32"/>
        <v>https://d0f6bd738d7f1b3e5a7ca70fe4ff75f0.us-east-1.aws.found.io/app/kibana#/discover/Steve-Slow-Train-Analysis-(2080s-and-2083s)?_g=(refreshInterval:(display:Off,pause:!f,section:0,value:0),time:(from:'2017-09-09T11:57:08-0600',mode:absolute,to:'2017-09-09T14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194" t="str">
        <f>IF(AA87&lt;VLOOKUP(AG87,Variables!$AC$3:$AD$8,2,FALSE),"Y","N")</f>
        <v>N</v>
      </c>
      <c r="X87" s="194">
        <f t="shared" si="26"/>
        <v>1</v>
      </c>
      <c r="Y87" s="194">
        <f t="shared" si="33"/>
        <v>4.5699999999999998E-2</v>
      </c>
      <c r="Z87" s="194">
        <f t="shared" si="34"/>
        <v>23.3325</v>
      </c>
      <c r="AA87" s="194">
        <f t="shared" si="35"/>
        <v>23.286799999999999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6"/>
        <v>175</v>
      </c>
      <c r="AE87" s="77" t="str">
        <f t="shared" si="37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87" s="74" t="str">
        <f t="shared" si="38"/>
        <v>"C:\Program Files (x86)\AstroGrep\AstroGrep.exe" /e /r /s /spath="%USERPROFILE%\AppData\Local\Temp\OnboardLogs" /stypes="app*4050*20170909*" /stext=" 19:.+((SYSTEM_STATE.+slice.+state.+changed )|(ment ac)|(multiple cpu faults)|(system.+state.+changed )|(\[timeout)|(PRM\|1\|D)|(kpr)|(kdp)|(train st.+moving)|(\|lc)|(penalty))"</v>
      </c>
      <c r="AG87" s="206" t="str">
        <f t="shared" si="39"/>
        <v>EC</v>
      </c>
      <c r="AH87" s="78" t="str">
        <f t="shared" si="40"/>
        <v>"%USERPROFILE%\Documents\GitHub\eaglep3\Utilities\RefineRTDCRunTimes.py" --tripid 175-09 --locoid 4050 --swversion DE.1.0.9.0 --startMP 204:457 --initTime 2017-09-09T12:57:08 --startdatetime 2017-09-09T13:00:57 --delay 85 --endMP 204:233325 --enddatetime 2017-09-09T13:39:14 --enforcementcount 0 &gt;&gt;C:\Users\stu\Documents\GitHub\eaglep3-reporting\EC\2017-09-09-refined-times.txt</v>
      </c>
      <c r="AI87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{"issue":{"subject":"","project_id":79,"tracker_id":40,"status_id":1,"priority_id":2,"assigned_to_id":338,"start_date":"2017-09-09","description":"","custom_fields":[{"id":1,"name":"Subdivision","value":"EC"},{"id":4,"name":"Milepost","value":"23.3325"},{"id":17,"name":"Train ID","value":"175-09"},{"id":16,"name":"Locomotive ID","value":"4050"},{"id":130,"name":"Impact","value":""},{"id":150,"name":"Time of Event (Mountain Time)","value":"13:39:14"},{"id":151,"name":"Denver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4050 --day 2017-09-09</v>
      </c>
      <c r="AN87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626</v>
      </c>
      <c r="B88" s="7">
        <v>4049</v>
      </c>
      <c r="C88" s="21" t="s">
        <v>197</v>
      </c>
      <c r="D88" s="21" t="s">
        <v>437</v>
      </c>
      <c r="E88" s="13">
        <v>42987.5781712963</v>
      </c>
      <c r="F88" s="13">
        <v>42987.581747685188</v>
      </c>
      <c r="G88" s="7">
        <v>81</v>
      </c>
      <c r="H88" s="21" t="s">
        <v>870</v>
      </c>
      <c r="I88" s="13">
        <v>42987.614351851851</v>
      </c>
      <c r="J88" s="7">
        <v>0</v>
      </c>
      <c r="K88" s="89" t="str">
        <f t="shared" si="27"/>
        <v>4049/4050</v>
      </c>
      <c r="L88" s="214" t="str">
        <f>VLOOKUP(A88,'Trips&amp;Operators'!$C$1:$G$99911,5,FALSE)</f>
        <v>DAVIS MICHAEL</v>
      </c>
      <c r="M88" s="6">
        <f t="shared" si="28"/>
        <v>3.2604166663077194E-2</v>
      </c>
      <c r="N88" s="7">
        <f t="shared" si="29"/>
        <v>46.94999999483116</v>
      </c>
      <c r="O88" s="7"/>
      <c r="P88" s="7"/>
      <c r="Q88" s="22"/>
      <c r="R88" s="167" t="s">
        <v>976</v>
      </c>
      <c r="S88" s="210">
        <f t="shared" si="30"/>
        <v>1</v>
      </c>
      <c r="T88" s="192" t="str">
        <f t="shared" si="31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32"/>
        <v>https://d0f6bd738d7f1b3e5a7ca70fe4ff75f0.us-east-1.aws.found.io/app/kibana#/discover/Steve-Slow-Train-Analysis-(2080s-and-2083s)?_g=(refreshInterval:(display:Off,pause:!f,section:0,value:0),time:(from:'2017-09-09T12:52:34-0600',mode:absolute,to:'2017-09-09T15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194" t="str">
        <f>IF(AA88&lt;VLOOKUP(AG88,Variables!$AC$3:$AD$8,2,FALSE),"Y","N")</f>
        <v>N</v>
      </c>
      <c r="X88" s="194">
        <f t="shared" si="26"/>
        <v>1</v>
      </c>
      <c r="Y88" s="194">
        <f t="shared" si="33"/>
        <v>23.3004</v>
      </c>
      <c r="Z88" s="194">
        <v>0.01</v>
      </c>
      <c r="AA88" s="194">
        <f t="shared" si="35"/>
        <v>23.290399999999998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6"/>
        <v>176</v>
      </c>
      <c r="AE88" s="77" t="str">
        <f t="shared" si="37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88" s="74" t="str">
        <f t="shared" si="38"/>
        <v>"C:\Program Files (x86)\AstroGrep\AstroGrep.exe" /e /r /s /spath="%USERPROFILE%\AppData\Local\Temp\OnboardLogs" /stypes="app*4049*20170909*" /stext=" 20:.+((SYSTEM_STATE.+slice.+state.+changed )|(ment ac)|(multiple cpu faults)|(system.+state.+changed )|(\[timeout)|(PRM\|1\|D)|(kpr)|(kdp)|(train st.+moving)|(\|lc)|(penalty))"</v>
      </c>
      <c r="AG88" s="206" t="str">
        <f t="shared" si="39"/>
        <v>EC</v>
      </c>
      <c r="AH88" s="78" t="str">
        <f t="shared" si="40"/>
        <v>"%USERPROFILE%\Documents\GitHub\eaglep3\Utilities\RefineRTDCRunTimes.py" --tripid 176-09 --locoid 4049 --swversion DE.1.0.9.0 --startMP 204:233004 --initTime 2017-09-09T13:52:34 --startdatetime 2017-09-09T13:57:43 --delay 81 --endMP 204:77481 --enddatetime 2017-09-09T14:44:40 --enforcementcount 0 &gt;&gt;C:\Users\stu\Documents\GitHub\eaglep3-reporting\EC\2017-09-09-refined-times.txt</v>
      </c>
      <c r="AI88" s="96" t="str">
        <f t="shared" si="41"/>
        <v>echo {"issue":{"subject":"Minor onboard in-route failure caused PTC screen to go blank until another processor took over","project_id":79,"tracker_id":40,"status_id":1,"priority_id":2,"assigned_to_id":338,"start_date":"2017-09-09","description":"","custom_fields":[{"id":1,"name":"Subdivision","value":"EC"},{"id":4,"name":"Milepost","value":"0.01"},{"id":17,"name":"Train ID","value":"176-09"},{"id":16,"name":"Locomotive ID","value":"4049"},{"id":130,"name":"Impact","value":""},{"id":150,"name":"Time of Event (Mountain Time)","value":"14:44:40"},{"id":151,"name":"Denver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4049 --day 2017-09-09</v>
      </c>
      <c r="AN88" s="151" t="str">
        <f t="shared" si="43"/>
        <v>echo {"issue":{"subject":"Minor onboard in-route failure caused PTC screen to go blank until another processor took over","project_id":30,"tracker_id":4,"status_id":1,"priority_id":1,"assigned_to_id":10,"start_date":"2017-09-09","description":"","custom_fields":[{"id":30,"name":"Category","value":"Issue"},{"id":3,"name":"Functional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20:44:40"},{"id":29,"name":"Sharepoint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747</v>
      </c>
      <c r="B89" s="7">
        <v>4026</v>
      </c>
      <c r="C89" s="21" t="s">
        <v>197</v>
      </c>
      <c r="D89" s="21" t="s">
        <v>363</v>
      </c>
      <c r="E89" s="13">
        <v>42987.546712962961</v>
      </c>
      <c r="F89" s="13">
        <v>42987.552337962959</v>
      </c>
      <c r="G89" s="7">
        <v>72</v>
      </c>
      <c r="H89" s="21" t="s">
        <v>414</v>
      </c>
      <c r="I89" s="13">
        <v>42987.57640046296</v>
      </c>
      <c r="J89" s="7">
        <v>0</v>
      </c>
      <c r="K89" s="89" t="str">
        <f t="shared" si="27"/>
        <v>4025/4026</v>
      </c>
      <c r="L89" s="214" t="str">
        <f>VLOOKUP(A89,'Trips&amp;Operators'!$C$1:$G$99911,5,FALSE)</f>
        <v>SAFIEF AEIMEN</v>
      </c>
      <c r="M89" s="6">
        <f t="shared" si="28"/>
        <v>2.4062500000582077E-2</v>
      </c>
      <c r="N89" s="7">
        <f t="shared" si="29"/>
        <v>34.65000000083819</v>
      </c>
      <c r="O89" s="7"/>
      <c r="P89" s="7"/>
      <c r="Q89" s="22"/>
      <c r="R89" s="167"/>
      <c r="S89" s="210">
        <f t="shared" si="30"/>
        <v>1</v>
      </c>
      <c r="T89" s="192" t="str">
        <f t="shared" si="31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32"/>
        <v>https://d0f6bd738d7f1b3e5a7ca70fe4ff75f0.us-east-1.aws.found.io/app/kibana#/discover/Steve-Slow-Train-Analysis-(2080s-and-2083s)?_g=(refreshInterval:(display:Off,pause:!f,section:0,value:0),time:(from:'2017-09-09T12:07:16-0600',mode:absolute,to:'2017-09-09T14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194" t="str">
        <f>IF(AA89&lt;VLOOKUP(AG89,Variables!$AC$3:$AD$8,2,FALSE),"Y","N")</f>
        <v>N</v>
      </c>
      <c r="X89" s="194">
        <f t="shared" si="26"/>
        <v>1</v>
      </c>
      <c r="Y89" s="194">
        <f t="shared" si="33"/>
        <v>4.5699999999999998E-2</v>
      </c>
      <c r="Z89" s="194">
        <f t="shared" ref="Z89:Z115" si="44">RIGHT(H89,LEN(H89)-4)/10000</f>
        <v>23.3322</v>
      </c>
      <c r="AA89" s="194">
        <f t="shared" si="35"/>
        <v>23.2865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6"/>
        <v>177</v>
      </c>
      <c r="AE89" s="77" t="str">
        <f t="shared" si="37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89" s="74" t="str">
        <f t="shared" si="38"/>
        <v>"C:\Program Files (x86)\AstroGrep\AstroGrep.exe" /e /r /s /spath="%USERPROFILE%\AppData\Local\Temp\OnboardLogs" /stypes="app*4026*20170909*" /stext=" 19:.+((SYSTEM_STATE.+slice.+state.+changed )|(ment ac)|(multiple cpu faults)|(system.+state.+changed )|(\[timeout)|(PRM\|1\|D)|(kpr)|(kdp)|(train st.+moving)|(\|lc)|(penalty))"</v>
      </c>
      <c r="AG89" s="206" t="str">
        <f t="shared" si="39"/>
        <v>EC</v>
      </c>
      <c r="AH89" s="78" t="str">
        <f t="shared" si="40"/>
        <v>"%USERPROFILE%\Documents\GitHub\eaglep3\Utilities\RefineRTDCRunTimes.py" --tripid 177-09 --locoid 4026 --swversion DE.1.0.9.0 --startMP 204:457 --initTime 2017-09-09T13:07:16 --startdatetime 2017-09-09T13:15:22 --delay 72 --endMP 204:233322 --enddatetime 2017-09-09T13:50:01 --enforcementcount 0 &gt;&gt;C:\Users\stu\Documents\GitHub\eaglep3-reporting\EC\2017-09-09-refined-times.txt</v>
      </c>
      <c r="AI89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{"issue":{"subject":"","project_id":79,"tracker_id":40,"status_id":1,"priority_id":2,"assigned_to_id":338,"start_date":"2017-09-09","description":"","custom_fields":[{"id":1,"name":"Subdivision","value":"EC"},{"id":4,"name":"Milepost","value":"23.3322"},{"id":17,"name":"Train ID","value":"177-09"},{"id":16,"name":"Locomotive ID","value":"4026"},{"id":130,"name":"Impact","value":""},{"id":150,"name":"Time of Event (Mountain Time)","value":"13:50:01"},{"id":151,"name":"Denver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4026 --day 2017-09-09</v>
      </c>
      <c r="AN89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754</v>
      </c>
      <c r="B90" s="7">
        <v>4025</v>
      </c>
      <c r="C90" s="21" t="s">
        <v>197</v>
      </c>
      <c r="D90" s="21" t="s">
        <v>432</v>
      </c>
      <c r="E90" s="13">
        <v>42987.582106481481</v>
      </c>
      <c r="F90" s="13">
        <v>42987.591909722221</v>
      </c>
      <c r="G90" s="7">
        <v>80</v>
      </c>
      <c r="H90" s="21" t="s">
        <v>368</v>
      </c>
      <c r="I90" s="13">
        <v>42987.621018518519</v>
      </c>
      <c r="J90" s="7">
        <v>0</v>
      </c>
      <c r="K90" s="89" t="str">
        <f t="shared" si="27"/>
        <v>4025/4026</v>
      </c>
      <c r="L90" s="214" t="str">
        <f>VLOOKUP(A90,'Trips&amp;Operators'!$C$1:$G$99911,5,FALSE)</f>
        <v>SAFIEF AEIMEN</v>
      </c>
      <c r="M90" s="6">
        <f t="shared" si="28"/>
        <v>2.9108796297805384E-2</v>
      </c>
      <c r="N90" s="7">
        <f t="shared" si="29"/>
        <v>41.916666668839753</v>
      </c>
      <c r="O90" s="7"/>
      <c r="P90" s="7"/>
      <c r="Q90" s="22"/>
      <c r="R90" s="167"/>
      <c r="S90" s="210">
        <f t="shared" si="30"/>
        <v>1</v>
      </c>
      <c r="T90" s="192" t="str">
        <f t="shared" si="31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32"/>
        <v>https://d0f6bd738d7f1b3e5a7ca70fe4ff75f0.us-east-1.aws.found.io/app/kibana#/discover/Steve-Slow-Train-Analysis-(2080s-and-2083s)?_g=(refreshInterval:(display:Off,pause:!f,section:0,value:0),time:(from:'2017-09-09T12:58:14-0600',mode:absolute,to:'2017-09-09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194" t="str">
        <f>IF(AA90&lt;VLOOKUP(AG90,Variables!$AC$3:$AD$8,2,FALSE),"Y","N")</f>
        <v>N</v>
      </c>
      <c r="X90" s="194">
        <f t="shared" si="26"/>
        <v>1</v>
      </c>
      <c r="Y90" s="194">
        <f t="shared" si="33"/>
        <v>23.2988</v>
      </c>
      <c r="Z90" s="194">
        <f t="shared" si="44"/>
        <v>1.4500000000000001E-2</v>
      </c>
      <c r="AA90" s="194">
        <f t="shared" si="35"/>
        <v>23.284299999999998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6"/>
        <v>178</v>
      </c>
      <c r="AE90" s="77" t="str">
        <f t="shared" si="37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90" s="74" t="str">
        <f t="shared" si="38"/>
        <v>"C:\Program Files (x86)\AstroGrep\AstroGrep.exe" /e /r /s /spath="%USERPROFILE%\AppData\Local\Temp\OnboardLogs" /stypes="app*4025*20170909*" /stext=" 20:.+((SYSTEM_STATE.+slice.+state.+changed )|(ment ac)|(multiple cpu faults)|(system.+state.+changed )|(\[timeout)|(PRM\|1\|D)|(kpr)|(kdp)|(train st.+moving)|(\|lc)|(penalty))"</v>
      </c>
      <c r="AG90" s="206" t="str">
        <f t="shared" si="39"/>
        <v>EC</v>
      </c>
      <c r="AH90" s="78" t="str">
        <f t="shared" si="40"/>
        <v>"%USERPROFILE%\Documents\GitHub\eaglep3\Utilities\RefineRTDCRunTimes.py" --tripid 178-09 --locoid 4025 --swversion DE.1.0.9.0 --startMP 204:232988 --initTime 2017-09-09T13:58:14 --startdatetime 2017-09-09T14:12:21 --delay 80 --endMP 204:145 --enddatetime 2017-09-09T14:54:16 --enforcementcount 0 &gt;&gt;C:\Users\stu\Documents\GitHub\eaglep3-reporting\EC\2017-09-09-refined-times.txt</v>
      </c>
      <c r="AI9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{"issue":{"subject":"","project_id":79,"tracker_id":40,"status_id":1,"priority_id":2,"assigned_to_id":338,"start_date":"2017-09-09","description":"","custom_fields":[{"id":1,"name":"Subdivision","value":"EC"},{"id":4,"name":"Milepost","value":"0.0145"},{"id":17,"name":"Train ID","value":"178-09"},{"id":16,"name":"Locomotive ID","value":"4025"},{"id":130,"name":"Impact","value":""},{"id":150,"name":"Time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4025 --day 2017-09-09</v>
      </c>
      <c r="AN90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749</v>
      </c>
      <c r="B91" s="7">
        <v>4058</v>
      </c>
      <c r="C91" s="21" t="s">
        <v>197</v>
      </c>
      <c r="D91" s="21" t="s">
        <v>527</v>
      </c>
      <c r="E91" s="13">
        <v>42987.559351851851</v>
      </c>
      <c r="F91" s="13">
        <v>42987.562662037039</v>
      </c>
      <c r="G91" s="7">
        <v>45</v>
      </c>
      <c r="H91" s="21" t="s">
        <v>580</v>
      </c>
      <c r="I91" s="13">
        <v>42987.587870370371</v>
      </c>
      <c r="J91" s="7">
        <v>0</v>
      </c>
      <c r="K91" s="89" t="str">
        <f t="shared" si="27"/>
        <v>4057/4058</v>
      </c>
      <c r="L91" s="214" t="str">
        <f>VLOOKUP(A91,'Trips&amp;Operators'!$C$1:$G$99911,5,FALSE)</f>
        <v>GUZMAN DANNY</v>
      </c>
      <c r="M91" s="6">
        <f t="shared" si="28"/>
        <v>2.5208333332557231E-2</v>
      </c>
      <c r="N91" s="7">
        <f t="shared" si="29"/>
        <v>36.299999998882413</v>
      </c>
      <c r="O91" s="7"/>
      <c r="P91" s="7"/>
      <c r="Q91" s="22"/>
      <c r="R91" s="167"/>
      <c r="S91" s="210">
        <f t="shared" si="30"/>
        <v>1</v>
      </c>
      <c r="T91" s="192" t="str">
        <f t="shared" si="31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32"/>
        <v>https://d0f6bd738d7f1b3e5a7ca70fe4ff75f0.us-east-1.aws.found.io/app/kibana#/discover/Steve-Slow-Train-Analysis-(2080s-and-2083s)?_g=(refreshInterval:(display:Off,pause:!f,section:0,value:0),time:(from:'2017-09-09T12:25:28-0600',mode:absolute,to:'2017-09-09T15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194" t="str">
        <f>IF(AA91&lt;VLOOKUP(AG91,Variables!$AC$3:$AD$8,2,FALSE),"Y","N")</f>
        <v>N</v>
      </c>
      <c r="X91" s="194">
        <f t="shared" si="26"/>
        <v>1</v>
      </c>
      <c r="Y91" s="194">
        <f t="shared" si="33"/>
        <v>4.5100000000000001E-2</v>
      </c>
      <c r="Z91" s="194">
        <f t="shared" si="44"/>
        <v>23.33</v>
      </c>
      <c r="AA91" s="194">
        <f t="shared" si="35"/>
        <v>23.284899999999997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36"/>
        <v>179</v>
      </c>
      <c r="AE91" s="77" t="str">
        <f t="shared" si="37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91" s="74" t="str">
        <f t="shared" si="38"/>
        <v>"C:\Program Files (x86)\AstroGrep\AstroGrep.exe" /e /r /s /spath="%USERPROFILE%\AppData\Local\Temp\OnboardLogs" /stypes="app*4058*20170909*" /stext=" 20:.+((SYSTEM_STATE.+slice.+state.+changed )|(ment ac)|(multiple cpu faults)|(system.+state.+changed )|(\[timeout)|(PRM\|1\|D)|(kpr)|(kdp)|(train st.+moving)|(\|lc)|(penalty))"</v>
      </c>
      <c r="AG91" s="206" t="str">
        <f t="shared" si="39"/>
        <v>EC</v>
      </c>
      <c r="AH91" s="78" t="str">
        <f t="shared" si="40"/>
        <v>"%USERPROFILE%\Documents\GitHub\eaglep3\Utilities\RefineRTDCRunTimes.py" --tripid 179-09 --locoid 4058 --swversion DE.1.0.9.0 --startMP 204:451 --initTime 2017-09-09T13:25:28 --startdatetime 2017-09-09T13:30:14 --delay 45 --endMP 204:233300 --enddatetime 2017-09-09T14:06:32 --enforcementcount 0 &gt;&gt;C:\Users\stu\Documents\GitHub\eaglep3-reporting\EC\2017-09-09-refined-times.txt</v>
      </c>
      <c r="AI91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{"issue":{"subject":"","project_id":79,"tracker_id":40,"status_id":1,"priority_id":2,"assigned_to_id":338,"start_date":"2017-09-09","description":"","custom_fields":[{"id":1,"name":"Subdivision","value":"EC"},{"id":4,"name":"Milepost","value":"23.33"},{"id":17,"name":"Train ID","value":"179-09"},{"id":16,"name":"Locomotive ID","value":"4058"},{"id":130,"name":"Impact","value":""},{"id":150,"name":"Time of Event (Mountain Time)","value":"14:06:32"},{"id":151,"name":"Denver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4058 --day 2017-09-09</v>
      </c>
      <c r="AN91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756</v>
      </c>
      <c r="B92" s="7">
        <v>4057</v>
      </c>
      <c r="C92" s="21" t="s">
        <v>197</v>
      </c>
      <c r="D92" s="21" t="s">
        <v>497</v>
      </c>
      <c r="E92" s="13">
        <v>42987.591296296298</v>
      </c>
      <c r="F92" s="13">
        <v>42987.602256944447</v>
      </c>
      <c r="G92" s="7">
        <v>69</v>
      </c>
      <c r="H92" s="21" t="s">
        <v>361</v>
      </c>
      <c r="I92" s="13">
        <v>42987.631180555552</v>
      </c>
      <c r="J92" s="7">
        <v>0</v>
      </c>
      <c r="K92" s="89" t="str">
        <f t="shared" si="27"/>
        <v>4057/4058</v>
      </c>
      <c r="L92" s="214" t="str">
        <f>VLOOKUP(A92,'Trips&amp;Operators'!$C$1:$G$99911,5,FALSE)</f>
        <v>GUZMAN DANNY</v>
      </c>
      <c r="M92" s="6">
        <f t="shared" si="28"/>
        <v>2.8923611105710734E-2</v>
      </c>
      <c r="N92" s="7">
        <f t="shared" si="29"/>
        <v>41.649999992223457</v>
      </c>
      <c r="O92" s="7"/>
      <c r="P92" s="7"/>
      <c r="Q92" s="22"/>
      <c r="R92" s="167"/>
      <c r="S92" s="210">
        <f t="shared" si="30"/>
        <v>1</v>
      </c>
      <c r="T92" s="192" t="str">
        <f t="shared" si="31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32"/>
        <v>https://d0f6bd738d7f1b3e5a7ca70fe4ff75f0.us-east-1.aws.found.io/app/kibana#/discover/Steve-Slow-Train-Analysis-(2080s-and-2083s)?_g=(refreshInterval:(display:Off,pause:!f,section:0,value:0),time:(from:'2017-09-09T13:11:28-0600',mode:absolute,to:'2017-09-09T16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194" t="str">
        <f>IF(AA92&lt;VLOOKUP(AG92,Variables!$AC$3:$AD$8,2,FALSE),"Y","N")</f>
        <v>N</v>
      </c>
      <c r="X92" s="194">
        <f t="shared" ref="X92:X123" si="45">VALUE(LEFT(AD92,4))-VALUE(LEFT(AD91,4))</f>
        <v>1</v>
      </c>
      <c r="Y92" s="194">
        <f t="shared" si="33"/>
        <v>23.299099999999999</v>
      </c>
      <c r="Z92" s="194">
        <f t="shared" si="44"/>
        <v>1.52E-2</v>
      </c>
      <c r="AA92" s="194">
        <f t="shared" si="35"/>
        <v>23.283899999999999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6"/>
        <v>180</v>
      </c>
      <c r="AE92" s="77" t="str">
        <f t="shared" si="37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92" s="74" t="str">
        <f t="shared" si="38"/>
        <v>"C:\Program Files (x86)\AstroGrep\AstroGrep.exe" /e /r /s /spath="%USERPROFILE%\AppData\Local\Temp\OnboardLogs" /stypes="app*4057*20170909*" /stext=" 21:.+((SYSTEM_STATE.+slice.+state.+changed )|(ment ac)|(multiple cpu faults)|(system.+state.+changed )|(\[timeout)|(PRM\|1\|D)|(kpr)|(kdp)|(train st.+moving)|(\|lc)|(penalty))"</v>
      </c>
      <c r="AG92" s="206" t="str">
        <f t="shared" si="39"/>
        <v>EC</v>
      </c>
      <c r="AH92" s="78" t="str">
        <f t="shared" si="40"/>
        <v>"%USERPROFILE%\Documents\GitHub\eaglep3\Utilities\RefineRTDCRunTimes.py" --tripid 180-09 --locoid 4057 --swversion DE.1.0.9.0 --startMP 204:232991 --initTime 2017-09-09T14:11:28 --startdatetime 2017-09-09T14:27:15 --delay 69 --endMP 204:152 --enddatetime 2017-09-09T15:08:54 --enforcementcount 0 &gt;&gt;C:\Users\stu\Documents\GitHub\eaglep3-reporting\EC\2017-09-09-refined-times.txt</v>
      </c>
      <c r="AI92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{"issue":{"subject":"","project_id":79,"tracker_id":40,"status_id":1,"priority_id":2,"assigned_to_id":338,"start_date":"2017-09-09","description":"","custom_fields":[{"id":1,"name":"Subdivision","value":"EC"},{"id":4,"name":"Milepost","value":"0.0152"},{"id":17,"name":"Train ID","value":"180-09"},{"id":16,"name":"Locomotive ID","value":"4057"},{"id":130,"name":"Impact","value":""},{"id":150,"name":"Time of Event (Mountain Time)","value":"15:08:54"},{"id":151,"name":"Denver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4057 --day 2017-09-09</v>
      </c>
      <c r="AN92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752</v>
      </c>
      <c r="B93" s="7">
        <v>4054</v>
      </c>
      <c r="C93" s="21" t="s">
        <v>197</v>
      </c>
      <c r="D93" s="21" t="s">
        <v>337</v>
      </c>
      <c r="E93" s="13">
        <v>42987.568738425929</v>
      </c>
      <c r="F93" s="13">
        <v>42987.57309027778</v>
      </c>
      <c r="G93" s="7">
        <v>60</v>
      </c>
      <c r="H93" s="21" t="s">
        <v>526</v>
      </c>
      <c r="I93" s="13">
        <v>42987.597384259258</v>
      </c>
      <c r="J93" s="7">
        <v>0</v>
      </c>
      <c r="K93" s="89" t="str">
        <f t="shared" si="27"/>
        <v>4053/4054</v>
      </c>
      <c r="L93" s="214" t="str">
        <f>VLOOKUP(A93,'Trips&amp;Operators'!$C$1:$G$99911,5,FALSE)</f>
        <v>LOPES KIMBERLY</v>
      </c>
      <c r="M93" s="6">
        <f t="shared" si="28"/>
        <v>2.4293981477967463E-2</v>
      </c>
      <c r="N93" s="7">
        <f t="shared" si="29"/>
        <v>34.983333328273147</v>
      </c>
      <c r="O93" s="7"/>
      <c r="P93" s="7"/>
      <c r="Q93" s="22"/>
      <c r="R93" s="167"/>
      <c r="S93" s="210">
        <f t="shared" si="30"/>
        <v>1</v>
      </c>
      <c r="T93" s="192" t="str">
        <f t="shared" si="31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32"/>
        <v>https://d0f6bd738d7f1b3e5a7ca70fe4ff75f0.us-east-1.aws.found.io/app/kibana#/discover/Steve-Slow-Train-Analysis-(2080s-and-2083s)?_g=(refreshInterval:(display:Off,pause:!f,section:0,value:0),time:(from:'2017-09-09T12:38:59-0600',mode:absolute,to:'2017-09-09T15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194" t="str">
        <f>IF(AA93&lt;VLOOKUP(AG93,Variables!$AC$3:$AD$8,2,FALSE),"Y","N")</f>
        <v>N</v>
      </c>
      <c r="X93" s="194">
        <f t="shared" si="45"/>
        <v>1</v>
      </c>
      <c r="Y93" s="194">
        <f t="shared" si="33"/>
        <v>4.4600000000000001E-2</v>
      </c>
      <c r="Z93" s="194">
        <f t="shared" si="44"/>
        <v>23.329499999999999</v>
      </c>
      <c r="AA93" s="194">
        <f t="shared" si="35"/>
        <v>23.2849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6"/>
        <v>181</v>
      </c>
      <c r="AE93" s="77" t="str">
        <f t="shared" si="37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93" s="74" t="str">
        <f t="shared" si="38"/>
        <v>"C:\Program Files (x86)\AstroGrep\AstroGrep.exe" /e /r /s /spath="%USERPROFILE%\AppData\Local\Temp\OnboardLogs" /stypes="app*4054*20170909*" /stext=" 20:.+((SYSTEM_STATE.+slice.+state.+changed )|(ment ac)|(multiple cpu faults)|(system.+state.+changed )|(\[timeout)|(PRM\|1\|D)|(kpr)|(kdp)|(train st.+moving)|(\|lc)|(penalty))"</v>
      </c>
      <c r="AG93" s="206" t="str">
        <f t="shared" si="39"/>
        <v>EC</v>
      </c>
      <c r="AH93" s="78" t="str">
        <f t="shared" si="40"/>
        <v>"%USERPROFILE%\Documents\GitHub\eaglep3\Utilities\RefineRTDCRunTimes.py" --tripid 181-09 --locoid 4054 --swversion DE.1.0.9.0 --startMP 204:446 --initTime 2017-09-09T13:38:59 --startdatetime 2017-09-09T13:45:15 --delay 60 --endMP 204:233295 --enddatetime 2017-09-09T14:20:14 --enforcementcount 0 &gt;&gt;C:\Users\stu\Documents\GitHub\eaglep3-reporting\EC\2017-09-09-refined-times.txt</v>
      </c>
      <c r="AI93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{"issue":{"subject":"","project_id":79,"tracker_id":40,"status_id":1,"priority_id":2,"assigned_to_id":338,"start_date":"2017-09-09","description":"","custom_fields":[{"id":1,"name":"Subdivision","value":"EC"},{"id":4,"name":"Milepost","value":"23.3295"},{"id":17,"name":"Train ID","value":"181-09"},{"id":16,"name":"Locomotive ID","value":"4054"},{"id":130,"name":"Impact","value":""},{"id":150,"name":"Time of Event (Mountain Time)","value":"14:20:14"},{"id":151,"name":"Denver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4054 --day 2017-09-09</v>
      </c>
      <c r="AN93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627</v>
      </c>
      <c r="B94" s="7">
        <v>4053</v>
      </c>
      <c r="C94" s="21" t="s">
        <v>197</v>
      </c>
      <c r="D94" s="21" t="s">
        <v>575</v>
      </c>
      <c r="E94" s="13">
        <v>42987.604641203703</v>
      </c>
      <c r="F94" s="13">
        <v>42987.612800925926</v>
      </c>
      <c r="G94" s="7">
        <v>106</v>
      </c>
      <c r="H94" s="21" t="s">
        <v>361</v>
      </c>
      <c r="I94" s="13">
        <v>42987.641377314816</v>
      </c>
      <c r="J94" s="7">
        <v>0</v>
      </c>
      <c r="K94" s="89" t="str">
        <f t="shared" si="27"/>
        <v>4053/4054</v>
      </c>
      <c r="L94" s="214" t="str">
        <f>VLOOKUP(A94,'Trips&amp;Operators'!$C$1:$G$99911,5,FALSE)</f>
        <v>LOPES KIMBERLY</v>
      </c>
      <c r="M94" s="6">
        <f t="shared" si="28"/>
        <v>2.8576388889632653E-2</v>
      </c>
      <c r="N94" s="7">
        <f t="shared" si="29"/>
        <v>41.150000001071021</v>
      </c>
      <c r="O94" s="7"/>
      <c r="P94" s="7"/>
      <c r="Q94" s="22"/>
      <c r="R94" s="167"/>
      <c r="S94" s="210">
        <f t="shared" si="30"/>
        <v>1</v>
      </c>
      <c r="T94" s="192" t="str">
        <f t="shared" si="31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32"/>
        <v>https://d0f6bd738d7f1b3e5a7ca70fe4ff75f0.us-east-1.aws.found.io/app/kibana#/discover/Steve-Slow-Train-Analysis-(2080s-and-2083s)?_g=(refreshInterval:(display:Off,pause:!f,section:0,value:0),time:(from:'2017-09-09T13:30:41-0600',mode:absolute,to:'2017-09-09T16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94" t="str">
        <f>IF(AA94&lt;VLOOKUP(AG94,Variables!$AC$3:$AD$8,2,FALSE),"Y","N")</f>
        <v>N</v>
      </c>
      <c r="X94" s="194">
        <f t="shared" si="45"/>
        <v>1</v>
      </c>
      <c r="Y94" s="194">
        <f t="shared" si="33"/>
        <v>23.2973</v>
      </c>
      <c r="Z94" s="194">
        <f t="shared" si="44"/>
        <v>1.52E-2</v>
      </c>
      <c r="AA94" s="194">
        <f t="shared" si="35"/>
        <v>23.2821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6"/>
        <v>182</v>
      </c>
      <c r="AE94" s="77" t="str">
        <f t="shared" si="37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94" s="74" t="str">
        <f t="shared" si="38"/>
        <v>"C:\Program Files (x86)\AstroGrep\AstroGrep.exe" /e /r /s /spath="%USERPROFILE%\AppData\Local\Temp\OnboardLogs" /stypes="app*4053*20170909*" /stext=" 21:.+((SYSTEM_STATE.+slice.+state.+changed )|(ment ac)|(multiple cpu faults)|(system.+state.+changed )|(\[timeout)|(PRM\|1\|D)|(kpr)|(kdp)|(train st.+moving)|(\|lc)|(penalty))"</v>
      </c>
      <c r="AG94" s="206" t="str">
        <f t="shared" si="39"/>
        <v>EC</v>
      </c>
      <c r="AH94" s="78" t="str">
        <f t="shared" si="40"/>
        <v>"%USERPROFILE%\Documents\GitHub\eaglep3\Utilities\RefineRTDCRunTimes.py" --tripid 182-09 --locoid 4053 --swversion DE.1.0.9.0 --startMP 204:232973 --initTime 2017-09-09T14:30:41 --startdatetime 2017-09-09T14:42:26 --delay 106 --endMP 204:152 --enddatetime 2017-09-09T15:23:35 --enforcementcount 0 &gt;&gt;C:\Users\stu\Documents\GitHub\eaglep3-reporting\EC\2017-09-09-refined-times.txt</v>
      </c>
      <c r="AI94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{"issue":{"subject":"","project_id":79,"tracker_id":40,"status_id":1,"priority_id":2,"assigned_to_id":338,"start_date":"2017-09-09","description":"","custom_fields":[{"id":1,"name":"Subdivision","value":"EC"},{"id":4,"name":"Milepost","value":"0.0152"},{"id":17,"name":"Train ID","value":"182-09"},{"id":16,"name":"Locomotive ID","value":"4053"},{"id":130,"name":"Impact","value":""},{"id":150,"name":"Time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4053 --day 2017-09-09</v>
      </c>
      <c r="AN94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753</v>
      </c>
      <c r="B95" s="7">
        <v>4010</v>
      </c>
      <c r="C95" s="21" t="s">
        <v>197</v>
      </c>
      <c r="D95" s="21" t="s">
        <v>496</v>
      </c>
      <c r="E95" s="13">
        <v>42987.578657407408</v>
      </c>
      <c r="F95" s="13">
        <v>42987.583541666667</v>
      </c>
      <c r="G95" s="7">
        <v>141</v>
      </c>
      <c r="H95" s="21" t="s">
        <v>572</v>
      </c>
      <c r="I95" s="13">
        <v>42987.611250000002</v>
      </c>
      <c r="J95" s="7">
        <v>0</v>
      </c>
      <c r="K95" s="89" t="str">
        <f t="shared" si="27"/>
        <v>4009/4010</v>
      </c>
      <c r="L95" s="214" t="str">
        <f>VLOOKUP(A95,'Trips&amp;Operators'!$C$1:$G$99911,5,FALSE)</f>
        <v>DAVIDSON DAVID</v>
      </c>
      <c r="M95" s="6">
        <f t="shared" si="28"/>
        <v>2.7708333334885538E-2</v>
      </c>
      <c r="N95" s="7">
        <f t="shared" si="29"/>
        <v>39.900000002235174</v>
      </c>
      <c r="O95" s="7"/>
      <c r="P95" s="7"/>
      <c r="Q95" s="22"/>
      <c r="R95" s="167"/>
      <c r="S95" s="210">
        <f t="shared" si="30"/>
        <v>1</v>
      </c>
      <c r="T95" s="192" t="str">
        <f t="shared" si="31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32"/>
        <v>https://d0f6bd738d7f1b3e5a7ca70fe4ff75f0.us-east-1.aws.found.io/app/kibana#/discover/Steve-Slow-Train-Analysis-(2080s-and-2083s)?_g=(refreshInterval:(display:Off,pause:!f,section:0,value:0),time:(from:'2017-09-09T12:53:16-0600',mode:absolute,to:'2017-09-09T15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194" t="str">
        <f>IF(AA95&lt;VLOOKUP(AG95,Variables!$AC$3:$AD$8,2,FALSE),"Y","N")</f>
        <v>N</v>
      </c>
      <c r="X95" s="194">
        <f t="shared" si="45"/>
        <v>1</v>
      </c>
      <c r="Y95" s="194">
        <f t="shared" si="33"/>
        <v>4.8000000000000001E-2</v>
      </c>
      <c r="Z95" s="194">
        <f t="shared" si="44"/>
        <v>23.329699999999999</v>
      </c>
      <c r="AA95" s="194">
        <f t="shared" si="35"/>
        <v>23.281700000000001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6"/>
        <v>183</v>
      </c>
      <c r="AE95" s="77" t="str">
        <f t="shared" si="37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95" s="74" t="str">
        <f t="shared" si="38"/>
        <v>"C:\Program Files (x86)\AstroGrep\AstroGrep.exe" /e /r /s /spath="%USERPROFILE%\AppData\Local\Temp\OnboardLogs" /stypes="app*4010*20170909*" /stext=" 20:.+((SYSTEM_STATE.+slice.+state.+changed )|(ment ac)|(multiple cpu faults)|(system.+state.+changed )|(\[timeout)|(PRM\|1\|D)|(kpr)|(kdp)|(train st.+moving)|(\|lc)|(penalty))"</v>
      </c>
      <c r="AG95" s="206" t="str">
        <f t="shared" si="39"/>
        <v>EC</v>
      </c>
      <c r="AH95" s="78" t="str">
        <f t="shared" si="40"/>
        <v>"%USERPROFILE%\Documents\GitHub\eaglep3\Utilities\RefineRTDCRunTimes.py" --tripid 183-09 --locoid 4010 --swversion DE.1.0.9.0 --startMP 204:480 --initTime 2017-09-09T13:53:16 --startdatetime 2017-09-09T14:00:18 --delay 141 --endMP 204:233297 --enddatetime 2017-09-09T14:40:12 --enforcementcount 0 &gt;&gt;C:\Users\stu\Documents\GitHub\eaglep3-reporting\EC\2017-09-09-refined-times.txt</v>
      </c>
      <c r="AI95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{"issue":{"subject":"","project_id":79,"tracker_id":40,"status_id":1,"priority_id":2,"assigned_to_id":338,"start_date":"2017-09-09","description":"","custom_fields":[{"id":1,"name":"Subdivision","value":"EC"},{"id":4,"name":"Milepost","value":"23.3297"},{"id":17,"name":"Train ID","value":"183-09"},{"id":16,"name":"Locomotive ID","value":"4010"},{"id":130,"name":"Impact","value":""},{"id":150,"name":"Time of Event (Mountain Time)","value":"14:40:12"},{"id":151,"name":"Denver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4010 --day 2017-09-09</v>
      </c>
      <c r="AN95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760</v>
      </c>
      <c r="B96" s="7">
        <v>4009</v>
      </c>
      <c r="C96" s="21" t="s">
        <v>197</v>
      </c>
      <c r="D96" s="21" t="s">
        <v>904</v>
      </c>
      <c r="E96" s="13">
        <v>42987.613437499997</v>
      </c>
      <c r="F96" s="13">
        <v>42987.623101851852</v>
      </c>
      <c r="G96" s="7">
        <v>104</v>
      </c>
      <c r="H96" s="21" t="s">
        <v>393</v>
      </c>
      <c r="I96" s="13">
        <v>42987.651747685188</v>
      </c>
      <c r="J96" s="7">
        <v>0</v>
      </c>
      <c r="K96" s="89" t="str">
        <f t="shared" si="27"/>
        <v>4009/4010</v>
      </c>
      <c r="L96" s="214" t="str">
        <f>VLOOKUP(A96,'Trips&amp;Operators'!$C$1:$G$99911,5,FALSE)</f>
        <v>DAVIDSON DAVID</v>
      </c>
      <c r="M96" s="6">
        <f t="shared" si="28"/>
        <v>2.8645833335758653E-2</v>
      </c>
      <c r="N96" s="7">
        <f t="shared" si="29"/>
        <v>41.25000000349246</v>
      </c>
      <c r="O96" s="7"/>
      <c r="P96" s="7"/>
      <c r="Q96" s="22"/>
      <c r="R96" s="167"/>
      <c r="S96" s="210">
        <f t="shared" si="30"/>
        <v>1</v>
      </c>
      <c r="T96" s="192" t="str">
        <f t="shared" si="31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32"/>
        <v>https://d0f6bd738d7f1b3e5a7ca70fe4ff75f0.us-east-1.aws.found.io/app/kibana#/discover/Steve-Slow-Train-Analysis-(2080s-and-2083s)?_g=(refreshInterval:(display:Off,pause:!f,section:0,value:0),time:(from:'2017-09-09T13:43:21-0600',mode:absolute,to:'2017-09-09T16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194" t="str">
        <f>IF(AA96&lt;VLOOKUP(AG96,Variables!$AC$3:$AD$8,2,FALSE),"Y","N")</f>
        <v>N</v>
      </c>
      <c r="X96" s="194">
        <f t="shared" si="45"/>
        <v>1</v>
      </c>
      <c r="Y96" s="194">
        <f t="shared" si="33"/>
        <v>23.296600000000002</v>
      </c>
      <c r="Z96" s="194">
        <f t="shared" si="44"/>
        <v>1.6E-2</v>
      </c>
      <c r="AA96" s="194">
        <f t="shared" si="35"/>
        <v>23.280600000000003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36"/>
        <v>184</v>
      </c>
      <c r="AE96" s="77" t="str">
        <f t="shared" si="37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96" s="74" t="str">
        <f t="shared" si="38"/>
        <v>"C:\Program Files (x86)\AstroGrep\AstroGrep.exe" /e /r /s /spath="%USERPROFILE%\AppData\Local\Temp\OnboardLogs" /stypes="app*4009*20170909*" /stext=" 21:.+((SYSTEM_STATE.+slice.+state.+changed )|(ment ac)|(multiple cpu faults)|(system.+state.+changed )|(\[timeout)|(PRM\|1\|D)|(kpr)|(kdp)|(train st.+moving)|(\|lc)|(penalty))"</v>
      </c>
      <c r="AG96" s="206" t="str">
        <f t="shared" si="39"/>
        <v>EC</v>
      </c>
      <c r="AH96" s="78" t="str">
        <f t="shared" si="40"/>
        <v>"%USERPROFILE%\Documents\GitHub\eaglep3\Utilities\RefineRTDCRunTimes.py" --tripid 184-09 --locoid 4009 --swversion DE.1.0.9.0 --startMP 204:232966 --initTime 2017-09-09T14:43:21 --startdatetime 2017-09-09T14:57:16 --delay 104 --endMP 204:160 --enddatetime 2017-09-09T15:38:31 --enforcementcount 0 &gt;&gt;C:\Users\stu\Documents\GitHub\eaglep3-reporting\EC\2017-09-09-refined-times.txt</v>
      </c>
      <c r="AI96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{"issue":{"subject":"","project_id":79,"tracker_id":40,"status_id":1,"priority_id":2,"assigned_to_id":338,"start_date":"2017-09-09","description":"","custom_fields":[{"id":1,"name":"Subdivision","value":"EC"},{"id":4,"name":"Milepost","value":"0.016"},{"id":17,"name":"Train ID","value":"184-09"},{"id":16,"name":"Locomotive ID","value":"4009"},{"id":130,"name":"Impact","value":""},{"id":150,"name":"Time of Event (Mountain Time)","value":"15:38:31"},{"id":151,"name":"Denver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4009 --day 2017-09-09</v>
      </c>
      <c r="AN96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757</v>
      </c>
      <c r="B97" s="7">
        <v>4044</v>
      </c>
      <c r="C97" s="21" t="s">
        <v>197</v>
      </c>
      <c r="D97" s="21" t="s">
        <v>360</v>
      </c>
      <c r="E97" s="13">
        <v>42987.590798611112</v>
      </c>
      <c r="F97" s="13">
        <v>42987.593946759262</v>
      </c>
      <c r="G97" s="7">
        <v>127</v>
      </c>
      <c r="H97" s="21" t="s">
        <v>846</v>
      </c>
      <c r="I97" s="13">
        <v>42987.620127314818</v>
      </c>
      <c r="J97" s="7">
        <v>0</v>
      </c>
      <c r="K97" s="89" t="str">
        <f t="shared" si="27"/>
        <v>4043/4044</v>
      </c>
      <c r="L97" s="214" t="str">
        <f>VLOOKUP(A97,'Trips&amp;Operators'!$C$1:$G$99911,5,FALSE)</f>
        <v>BRUDER RICHARD</v>
      </c>
      <c r="M97" s="6">
        <f t="shared" si="28"/>
        <v>2.6180555556493346E-2</v>
      </c>
      <c r="N97" s="7">
        <f t="shared" si="29"/>
        <v>37.700000001350418</v>
      </c>
      <c r="O97" s="7"/>
      <c r="P97" s="7"/>
      <c r="Q97" s="22"/>
      <c r="R97" s="167"/>
      <c r="S97" s="210">
        <f t="shared" si="30"/>
        <v>1</v>
      </c>
      <c r="T97" s="192" t="str">
        <f t="shared" si="31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32"/>
        <v>https://d0f6bd738d7f1b3e5a7ca70fe4ff75f0.us-east-1.aws.found.io/app/kibana#/discover/Steve-Slow-Train-Analysis-(2080s-and-2083s)?_g=(refreshInterval:(display:Off,pause:!f,section:0,value:0),time:(from:'2017-09-09T13:10:45-0600',mode:absolute,to:'2017-09-09T15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94" t="str">
        <f>IF(AA97&lt;VLOOKUP(AG97,Variables!$AC$3:$AD$8,2,FALSE),"Y","N")</f>
        <v>N</v>
      </c>
      <c r="X97" s="194">
        <f t="shared" si="45"/>
        <v>1</v>
      </c>
      <c r="Y97" s="194">
        <f t="shared" si="33"/>
        <v>4.58E-2</v>
      </c>
      <c r="Z97" s="194">
        <f t="shared" si="44"/>
        <v>23.331800000000001</v>
      </c>
      <c r="AA97" s="194">
        <f t="shared" si="35"/>
        <v>23.286000000000001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6"/>
        <v>185</v>
      </c>
      <c r="AE97" s="77" t="str">
        <f t="shared" si="37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97" s="74" t="str">
        <f t="shared" si="38"/>
        <v>"C:\Program Files (x86)\AstroGrep\AstroGrep.exe" /e /r /s /spath="%USERPROFILE%\AppData\Local\Temp\OnboardLogs" /stypes="app*4044*20170909*" /stext=" 20:.+((SYSTEM_STATE.+slice.+state.+changed )|(ment ac)|(multiple cpu faults)|(system.+state.+changed )|(\[timeout)|(PRM\|1\|D)|(kpr)|(kdp)|(train st.+moving)|(\|lc)|(penalty))"</v>
      </c>
      <c r="AG97" s="206" t="str">
        <f t="shared" si="39"/>
        <v>EC</v>
      </c>
      <c r="AH97" s="78" t="str">
        <f t="shared" si="40"/>
        <v>"%USERPROFILE%\Documents\GitHub\eaglep3\Utilities\RefineRTDCRunTimes.py" --tripid 185-09 --locoid 4044 --swversion DE.1.0.9.0 --startMP 204:458 --initTime 2017-09-09T14:10:45 --startdatetime 2017-09-09T14:15:17 --delay 127 --endMP 204:233318 --enddatetime 2017-09-09T14:52:59 --enforcementcount 0 &gt;&gt;C:\Users\stu\Documents\GitHub\eaglep3-reporting\EC\2017-09-09-refined-times.txt</v>
      </c>
      <c r="AI97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{"issue":{"subject":"","project_id":79,"tracker_id":40,"status_id":1,"priority_id":2,"assigned_to_id":338,"start_date":"2017-09-09","description":"","custom_fields":[{"id":1,"name":"Subdivision","value":"EC"},{"id":4,"name":"Milepost","value":"23.3318"},{"id":17,"name":"Train ID","value":"185-09"},{"id":16,"name":"Locomotive ID","value":"4044"},{"id":130,"name":"Impact","value":""},{"id":150,"name":"Time of Event (Mountain Time)","value":"14:52:59"},{"id":151,"name":"Denver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4044 --day 2017-09-09</v>
      </c>
      <c r="AN97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763</v>
      </c>
      <c r="B98" s="7">
        <v>4043</v>
      </c>
      <c r="C98" s="21" t="s">
        <v>197</v>
      </c>
      <c r="D98" s="21" t="s">
        <v>844</v>
      </c>
      <c r="E98" s="13">
        <v>42987.626446759263</v>
      </c>
      <c r="F98" s="13">
        <v>42987.633530092593</v>
      </c>
      <c r="G98" s="7">
        <v>57</v>
      </c>
      <c r="H98" s="21" t="s">
        <v>393</v>
      </c>
      <c r="I98" s="13">
        <v>42987.662349537037</v>
      </c>
      <c r="J98" s="7">
        <v>0</v>
      </c>
      <c r="K98" s="89" t="str">
        <f t="shared" si="27"/>
        <v>4043/4044</v>
      </c>
      <c r="L98" s="214" t="str">
        <f>VLOOKUP(A98,'Trips&amp;Operators'!$C$1:$G$99911,5,FALSE)</f>
        <v>BRUDER RICHARD</v>
      </c>
      <c r="M98" s="6">
        <f t="shared" si="28"/>
        <v>2.8819444443797693E-2</v>
      </c>
      <c r="N98" s="7">
        <f t="shared" si="29"/>
        <v>41.499999999068677</v>
      </c>
      <c r="O98" s="7"/>
      <c r="P98" s="7"/>
      <c r="Q98" s="22"/>
      <c r="R98" s="167"/>
      <c r="S98" s="210">
        <f t="shared" si="30"/>
        <v>1</v>
      </c>
      <c r="T98" s="192" t="str">
        <f t="shared" si="31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32"/>
        <v>https://d0f6bd738d7f1b3e5a7ca70fe4ff75f0.us-east-1.aws.found.io/app/kibana#/discover/Steve-Slow-Train-Analysis-(2080s-and-2083s)?_g=(refreshInterval:(display:Off,pause:!f,section:0,value:0),time:(from:'2017-09-09T14:02:05-0600',mode:absolute,to:'2017-09-09T16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94" t="str">
        <f>IF(AA98&lt;VLOOKUP(AG98,Variables!$AC$3:$AD$8,2,FALSE),"Y","N")</f>
        <v>N</v>
      </c>
      <c r="X98" s="194">
        <f t="shared" si="45"/>
        <v>1</v>
      </c>
      <c r="Y98" s="194">
        <f t="shared" si="33"/>
        <v>23.298200000000001</v>
      </c>
      <c r="Z98" s="194">
        <f t="shared" si="44"/>
        <v>1.6E-2</v>
      </c>
      <c r="AA98" s="194">
        <f t="shared" si="35"/>
        <v>23.282200000000003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6"/>
        <v>186</v>
      </c>
      <c r="AE98" s="77" t="str">
        <f t="shared" si="37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98" s="74" t="str">
        <f t="shared" si="38"/>
        <v>"C:\Program Files (x86)\AstroGrep\AstroGrep.exe" /e /r /s /spath="%USERPROFILE%\AppData\Local\Temp\OnboardLogs" /stypes="app*4043*20170909*" /stext=" 21:.+((SYSTEM_STATE.+slice.+state.+changed )|(ment ac)|(multiple cpu faults)|(system.+state.+changed )|(\[timeout)|(PRM\|1\|D)|(kpr)|(kdp)|(train st.+moving)|(\|lc)|(penalty))"</v>
      </c>
      <c r="AG98" s="206" t="str">
        <f t="shared" si="39"/>
        <v>EC</v>
      </c>
      <c r="AH98" s="78" t="str">
        <f t="shared" si="40"/>
        <v>"%USERPROFILE%\Documents\GitHub\eaglep3\Utilities\RefineRTDCRunTimes.py" --tripid 186-09 --locoid 4043 --swversion DE.1.0.9.0 --startMP 204:232982 --initTime 2017-09-09T15:02:05 --startdatetime 2017-09-09T15:12:17 --delay 57 --endMP 204:160 --enddatetime 2017-09-09T15:53:47 --enforcementcount 0 &gt;&gt;C:\Users\stu\Documents\GitHub\eaglep3-reporting\EC\2017-09-09-refined-times.txt</v>
      </c>
      <c r="AI98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{"issue":{"subject":"","project_id":79,"tracker_id":40,"status_id":1,"priority_id":2,"assigned_to_id":338,"start_date":"2017-09-09","description":"","custom_fields":[{"id":1,"name":"Subdivision","value":"EC"},{"id":4,"name":"Milepost","value":"0.016"},{"id":17,"name":"Train ID","value":"186-09"},{"id":16,"name":"Locomotive ID","value":"4043"},{"id":130,"name":"Impact","value":""},{"id":150,"name":"Time of Event (Mountain Time)","value":"15:53:47"},{"id":151,"name":"Denver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4043 --day 2017-09-09</v>
      </c>
      <c r="AN98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758</v>
      </c>
      <c r="B99" s="7">
        <v>4046</v>
      </c>
      <c r="C99" s="21" t="s">
        <v>197</v>
      </c>
      <c r="D99" s="21" t="s">
        <v>865</v>
      </c>
      <c r="E99" s="13">
        <v>42987.59915509259</v>
      </c>
      <c r="F99" s="13">
        <v>42987.604722222219</v>
      </c>
      <c r="G99" s="7">
        <v>64</v>
      </c>
      <c r="H99" s="21" t="s">
        <v>404</v>
      </c>
      <c r="I99" s="13">
        <v>42987.630752314813</v>
      </c>
      <c r="J99" s="7">
        <v>0</v>
      </c>
      <c r="K99" s="89" t="str">
        <f t="shared" si="27"/>
        <v>4045/4046</v>
      </c>
      <c r="L99" s="214" t="str">
        <f>VLOOKUP(A99,'Trips&amp;Operators'!$C$1:$G$99911,5,FALSE)</f>
        <v>HOLCOMB KAMDEN</v>
      </c>
      <c r="M99" s="6">
        <f t="shared" si="28"/>
        <v>2.6030092594737653E-2</v>
      </c>
      <c r="N99" s="7">
        <f t="shared" si="29"/>
        <v>37.48333333642222</v>
      </c>
      <c r="O99" s="7"/>
      <c r="P99" s="7"/>
      <c r="Q99" s="22"/>
      <c r="R99" s="167" t="s">
        <v>981</v>
      </c>
      <c r="S99" s="210">
        <f t="shared" si="30"/>
        <v>1</v>
      </c>
      <c r="T99" s="192" t="str">
        <f t="shared" si="31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32"/>
        <v>https://d0f6bd738d7f1b3e5a7ca70fe4ff75f0.us-east-1.aws.found.io/app/kibana#/discover/Steve-Slow-Train-Analysis-(2080s-and-2083s)?_g=(refreshInterval:(display:Off,pause:!f,section:0,value:0),time:(from:'2017-09-09T13:22:47-0600',mode:absolute,to:'2017-09-09T16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9" s="194" t="str">
        <f>IF(AA99&lt;VLOOKUP(AG99,Variables!$AC$3:$AD$8,2,FALSE),"Y","N")</f>
        <v>N</v>
      </c>
      <c r="X99" s="194">
        <f t="shared" si="45"/>
        <v>1</v>
      </c>
      <c r="Y99" s="194">
        <f t="shared" si="33"/>
        <v>4.7800000000000002E-2</v>
      </c>
      <c r="Z99" s="194">
        <f t="shared" si="44"/>
        <v>23.330200000000001</v>
      </c>
      <c r="AA99" s="194">
        <f t="shared" si="35"/>
        <v>23.282400000000003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6"/>
        <v>187</v>
      </c>
      <c r="AE99" s="77" t="str">
        <f t="shared" si="37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99" s="74" t="str">
        <f t="shared" si="38"/>
        <v>"C:\Program Files (x86)\AstroGrep\AstroGrep.exe" /e /r /s /spath="%USERPROFILE%\AppData\Local\Temp\OnboardLogs" /stypes="app*4046*20170909*" /stext=" 21:.+((SYSTEM_STATE.+slice.+state.+changed )|(ment ac)|(multiple cpu faults)|(system.+state.+changed )|(\[timeout)|(PRM\|1\|D)|(kpr)|(kdp)|(train st.+moving)|(\|lc)|(penalty))"</v>
      </c>
      <c r="AG99" s="206" t="str">
        <f t="shared" si="39"/>
        <v>EC</v>
      </c>
      <c r="AH99" s="78" t="str">
        <f t="shared" si="40"/>
        <v>"%USERPROFILE%\Documents\GitHub\eaglep3\Utilities\RefineRTDCRunTimes.py" --tripid 187-09 --locoid 4046 --swversion DE.1.0.9.0 --startMP 204:478 --initTime 2017-09-09T14:22:47 --startdatetime 2017-09-09T14:30:48 --delay 64 --endMP 204:233302 --enddatetime 2017-09-09T15:08:17 --enforcementcount 0 &gt;&gt;C:\Users\stu\Documents\GitHub\eaglep3-reporting\EC\2017-09-09-refined-times.txt</v>
      </c>
      <c r="AI99" s="96" t="str">
        <f t="shared" si="41"/>
        <v>echo {"issue":{"subject":"Consist spam observed","project_id":79,"tracker_id":40,"status_id":1,"priority_id":2,"assigned_to_id":338,"start_date":"2017-09-09","description":"","custom_fields":[{"id":1,"name":"Subdivision","value":"EC"},{"id":4,"name":"Milepost","value":"23.3302"},{"id":17,"name":"Train ID","value":"187-09"},{"id":16,"name":"Locomotive ID","value":"4046"},{"id":130,"name":"Impact","value":""},{"id":150,"name":"Time of Event (Mountain Time)","value":"15:08:17"},{"id":151,"name":"Denver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2"/>
        <v>start /low /b %USERPROFILE%\Documents\GitHub\eaglep3\Utilities\DownloadLogsFromS3.py --loco 4046 --day 2017-09-09</v>
      </c>
      <c r="AN99" s="151" t="str">
        <f t="shared" si="43"/>
        <v>echo {"issue":{"subject":"Consist spam observed","project_id":30,"tracker_id":4,"status_id":1,"priority_id":1,"assigned_to_id":10,"start_date":"2017-09-09","description":"","custom_fields":[{"id":30,"name":"Category","value":"Issue"},{"id":3,"name":"Functional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765</v>
      </c>
      <c r="B100" s="7">
        <v>4045</v>
      </c>
      <c r="C100" s="21" t="s">
        <v>197</v>
      </c>
      <c r="D100" s="21" t="s">
        <v>861</v>
      </c>
      <c r="E100" s="13">
        <v>42987.640682870369</v>
      </c>
      <c r="F100" s="13">
        <v>42987.64398148148</v>
      </c>
      <c r="G100" s="7">
        <v>100</v>
      </c>
      <c r="H100" s="21" t="s">
        <v>440</v>
      </c>
      <c r="I100" s="13">
        <v>42987.670532407406</v>
      </c>
      <c r="J100" s="7">
        <v>0</v>
      </c>
      <c r="K100" s="89" t="str">
        <f t="shared" si="27"/>
        <v>4045/4046</v>
      </c>
      <c r="L100" s="214" t="str">
        <f>VLOOKUP(A100,'Trips&amp;Operators'!$C$1:$G$99911,5,FALSE)</f>
        <v>HOLCOMB KAMDEN</v>
      </c>
      <c r="M100" s="6">
        <f t="shared" si="28"/>
        <v>2.6550925926130731E-2</v>
      </c>
      <c r="N100" s="7">
        <f t="shared" si="29"/>
        <v>38.233333333628252</v>
      </c>
      <c r="O100" s="7"/>
      <c r="P100" s="7"/>
      <c r="Q100" s="22"/>
      <c r="R100" s="167"/>
      <c r="S100" s="210">
        <f t="shared" si="30"/>
        <v>1</v>
      </c>
      <c r="T100" s="192" t="str">
        <f t="shared" si="31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32"/>
        <v>https://d0f6bd738d7f1b3e5a7ca70fe4ff75f0.us-east-1.aws.found.io/app/kibana#/discover/Steve-Slow-Train-Analysis-(2080s-and-2083s)?_g=(refreshInterval:(display:Off,pause:!f,section:0,value:0),time:(from:'2017-09-09T14:22:35-0600',mode:absolute,to:'2017-09-09T17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0" s="194" t="str">
        <f>IF(AA100&lt;VLOOKUP(AG100,Variables!$AC$3:$AD$8,2,FALSE),"Y","N")</f>
        <v>N</v>
      </c>
      <c r="X100" s="194">
        <f t="shared" si="45"/>
        <v>1</v>
      </c>
      <c r="Y100" s="194">
        <f t="shared" si="33"/>
        <v>23.300599999999999</v>
      </c>
      <c r="Z100" s="194">
        <f t="shared" si="44"/>
        <v>1.3899999999999999E-2</v>
      </c>
      <c r="AA100" s="194">
        <f t="shared" si="35"/>
        <v>23.2867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6"/>
        <v>188</v>
      </c>
      <c r="AE100" s="77" t="str">
        <f t="shared" si="37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100" s="74" t="str">
        <f t="shared" si="38"/>
        <v>"C:\Program Files (x86)\AstroGrep\AstroGrep.exe" /e /r /s /spath="%USERPROFILE%\AppData\Local\Temp\OnboardLogs" /stypes="app*4045*20170909*" /stext=" 22:.+((SYSTEM_STATE.+slice.+state.+changed )|(ment ac)|(multiple cpu faults)|(system.+state.+changed )|(\[timeout)|(PRM\|1\|D)|(kpr)|(kdp)|(train st.+moving)|(\|lc)|(penalty))"</v>
      </c>
      <c r="AG100" s="206" t="str">
        <f t="shared" si="39"/>
        <v>EC</v>
      </c>
      <c r="AH100" s="78" t="str">
        <f t="shared" si="40"/>
        <v>"%USERPROFILE%\Documents\GitHub\eaglep3\Utilities\RefineRTDCRunTimes.py" --tripid 188-09 --locoid 4045 --swversion DE.1.0.9.0 --startMP 204:233006 --initTime 2017-09-09T15:22:35 --startdatetime 2017-09-09T15:27:20 --delay 100 --endMP 204:139 --enddatetime 2017-09-09T16:05:34 --enforcementcount 0 &gt;&gt;C:\Users\stu\Documents\GitHub\eaglep3-reporting\EC\2017-09-09-refined-times.txt</v>
      </c>
      <c r="AI10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{"issue":{"subject":"","project_id":79,"tracker_id":40,"status_id":1,"priority_id":2,"assigned_to_id":338,"start_date":"2017-09-09","description":"","custom_fields":[{"id":1,"name":"Subdivision","value":"EC"},{"id":4,"name":"Milepost","value":"0.0139"},{"id":17,"name":"Train ID","value":"188-09"},{"id":16,"name":"Locomotive ID","value":"4045"},{"id":130,"name":"Impact","value":""},{"id":150,"name":"Time of Event (Mountain Time)","value":"16:05:34"},{"id":151,"name":"Denver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4045 --day 2017-09-09</v>
      </c>
      <c r="AN100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628</v>
      </c>
      <c r="B101" s="7">
        <v>4050</v>
      </c>
      <c r="C101" s="21" t="s">
        <v>197</v>
      </c>
      <c r="D101" s="21" t="s">
        <v>360</v>
      </c>
      <c r="E101" s="13">
        <v>42987.616296296299</v>
      </c>
      <c r="F101" s="13">
        <v>42987.618078703701</v>
      </c>
      <c r="G101" s="7">
        <v>68</v>
      </c>
      <c r="H101" s="21" t="s">
        <v>843</v>
      </c>
      <c r="I101" s="13">
        <v>42987.644571759258</v>
      </c>
      <c r="J101" s="7">
        <v>0</v>
      </c>
      <c r="K101" s="89" t="str">
        <f t="shared" si="27"/>
        <v>4049/4050</v>
      </c>
      <c r="L101" s="214" t="str">
        <f>VLOOKUP(A101,'Trips&amp;Operators'!$C$1:$G$99911,5,FALSE)</f>
        <v>DAVIS MICHAEL</v>
      </c>
      <c r="M101" s="6">
        <f t="shared" si="28"/>
        <v>2.6493055556784384E-2</v>
      </c>
      <c r="N101" s="7">
        <f t="shared" si="29"/>
        <v>38.150000001769513</v>
      </c>
      <c r="O101" s="7"/>
      <c r="P101" s="7"/>
      <c r="Q101" s="22"/>
      <c r="R101" s="167"/>
      <c r="S101" s="210">
        <f t="shared" si="30"/>
        <v>1</v>
      </c>
      <c r="T101" s="192" t="str">
        <f t="shared" si="31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32"/>
        <v>https://d0f6bd738d7f1b3e5a7ca70fe4ff75f0.us-east-1.aws.found.io/app/kibana#/discover/Steve-Slow-Train-Analysis-(2080s-and-2083s)?_g=(refreshInterval:(display:Off,pause:!f,section:0,value:0),time:(from:'2017-09-09T13:47:28-0600',mode:absolute,to:'2017-09-09T16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194" t="str">
        <f>IF(AA101&lt;VLOOKUP(AG101,Variables!$AC$3:$AD$8,2,FALSE),"Y","N")</f>
        <v>N</v>
      </c>
      <c r="X101" s="194">
        <f t="shared" si="45"/>
        <v>1</v>
      </c>
      <c r="Y101" s="194">
        <f t="shared" si="33"/>
        <v>4.58E-2</v>
      </c>
      <c r="Z101" s="194">
        <f t="shared" si="44"/>
        <v>23.330100000000002</v>
      </c>
      <c r="AA101" s="194">
        <f t="shared" si="35"/>
        <v>23.284300000000002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6"/>
        <v>189</v>
      </c>
      <c r="AE101" s="77" t="str">
        <f t="shared" si="37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101" s="74" t="str">
        <f t="shared" si="38"/>
        <v>"C:\Program Files (x86)\AstroGrep\AstroGrep.exe" /e /r /s /spath="%USERPROFILE%\AppData\Local\Temp\OnboardLogs" /stypes="app*4050*20170909*" /stext=" 21:.+((SYSTEM_STATE.+slice.+state.+changed )|(ment ac)|(multiple cpu faults)|(system.+state.+changed )|(\[timeout)|(PRM\|1\|D)|(kpr)|(kdp)|(train st.+moving)|(\|lc)|(penalty))"</v>
      </c>
      <c r="AG101" s="206" t="str">
        <f t="shared" si="39"/>
        <v>EC</v>
      </c>
      <c r="AH101" s="78" t="str">
        <f t="shared" si="40"/>
        <v>"%USERPROFILE%\Documents\GitHub\eaglep3\Utilities\RefineRTDCRunTimes.py" --tripid 189-09 --locoid 4050 --swversion DE.1.0.9.0 --startMP 204:458 --initTime 2017-09-09T14:47:28 --startdatetime 2017-09-09T14:50:02 --delay 68 --endMP 204:233301 --enddatetime 2017-09-09T15:28:11 --enforcementcount 0 &gt;&gt;C:\Users\stu\Documents\GitHub\eaglep3-reporting\EC\2017-09-09-refined-times.txt</v>
      </c>
      <c r="AI101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{"issue":{"subject":"","project_id":79,"tracker_id":40,"status_id":1,"priority_id":2,"assigned_to_id":338,"start_date":"2017-09-09","description":"","custom_fields":[{"id":1,"name":"Subdivision","value":"EC"},{"id":4,"name":"Milepost","value":"23.3301"},{"id":17,"name":"Train ID","value":"189-09"},{"id":16,"name":"Locomotive ID","value":"4050"},{"id":130,"name":"Impact","value":""},{"id":150,"name":"Time of Event (Mountain Time)","value":"15:28:11"},{"id":151,"name":"Denver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4050 --day 2017-09-09</v>
      </c>
      <c r="AN101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767</v>
      </c>
      <c r="B102" s="7">
        <v>4049</v>
      </c>
      <c r="C102" s="21" t="s">
        <v>197</v>
      </c>
      <c r="D102" s="21" t="s">
        <v>844</v>
      </c>
      <c r="E102" s="13">
        <v>42987.651435185187</v>
      </c>
      <c r="F102" s="13">
        <v>42987.65457175926</v>
      </c>
      <c r="G102" s="7">
        <v>70</v>
      </c>
      <c r="H102" s="21" t="s">
        <v>342</v>
      </c>
      <c r="I102" s="13">
        <v>42987.682349537034</v>
      </c>
      <c r="J102" s="7">
        <v>0</v>
      </c>
      <c r="K102" s="89" t="str">
        <f t="shared" si="27"/>
        <v>4049/4050</v>
      </c>
      <c r="L102" s="214" t="str">
        <f>VLOOKUP(A102,'Trips&amp;Operators'!$C$1:$G$99911,5,FALSE)</f>
        <v>DAVIS MICHAEL</v>
      </c>
      <c r="M102" s="6">
        <f t="shared" si="28"/>
        <v>2.7777777773735579E-2</v>
      </c>
      <c r="N102" s="7">
        <f t="shared" si="29"/>
        <v>39.999999994179234</v>
      </c>
      <c r="O102" s="7"/>
      <c r="P102" s="7"/>
      <c r="Q102" s="22"/>
      <c r="R102" s="167"/>
      <c r="S102" s="210">
        <f t="shared" si="30"/>
        <v>1</v>
      </c>
      <c r="T102" s="192" t="str">
        <f t="shared" si="31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32"/>
        <v>https://d0f6bd738d7f1b3e5a7ca70fe4ff75f0.us-east-1.aws.found.io/app/kibana#/discover/Steve-Slow-Train-Analysis-(2080s-and-2083s)?_g=(refreshInterval:(display:Off,pause:!f,section:0,value:0),time:(from:'2017-09-09T14:38:04-0600',mode:absolute,to:'2017-09-09T17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194" t="str">
        <f>IF(AA102&lt;VLOOKUP(AG102,Variables!$AC$3:$AD$8,2,FALSE),"Y","N")</f>
        <v>N</v>
      </c>
      <c r="X102" s="194">
        <f t="shared" si="45"/>
        <v>1</v>
      </c>
      <c r="Y102" s="194">
        <f t="shared" si="33"/>
        <v>23.298200000000001</v>
      </c>
      <c r="Z102" s="194">
        <f t="shared" si="44"/>
        <v>1.41E-2</v>
      </c>
      <c r="AA102" s="194">
        <f t="shared" si="35"/>
        <v>23.284100000000002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6"/>
        <v>190</v>
      </c>
      <c r="AE102" s="77" t="str">
        <f t="shared" si="37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102" s="74" t="str">
        <f t="shared" si="38"/>
        <v>"C:\Program Files (x86)\AstroGrep\AstroGrep.exe" /e /r /s /spath="%USERPROFILE%\AppData\Local\Temp\OnboardLogs" /stypes="app*4049*20170909*" /stext=" 22:.+((SYSTEM_STATE.+slice.+state.+changed )|(ment ac)|(multiple cpu faults)|(system.+state.+changed )|(\[timeout)|(PRM\|1\|D)|(kpr)|(kdp)|(train st.+moving)|(\|lc)|(penalty))"</v>
      </c>
      <c r="AG102" s="206" t="str">
        <f t="shared" si="39"/>
        <v>EC</v>
      </c>
      <c r="AH102" s="78" t="str">
        <f t="shared" si="40"/>
        <v>"%USERPROFILE%\Documents\GitHub\eaglep3\Utilities\RefineRTDCRunTimes.py" --tripid 190-09 --locoid 4049 --swversion DE.1.0.9.0 --startMP 204:232982 --initTime 2017-09-09T15:38:04 --startdatetime 2017-09-09T15:42:35 --delay 70 --endMP 204:141 --enddatetime 2017-09-09T16:22:35 --enforcementcount 0 &gt;&gt;C:\Users\stu\Documents\GitHub\eaglep3-reporting\EC\2017-09-09-refined-times.txt</v>
      </c>
      <c r="AI102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{"issue":{"subject":"","project_id":79,"tracker_id":40,"status_id":1,"priority_id":2,"assigned_to_id":338,"start_date":"2017-09-09","description":"","custom_fields":[{"id":1,"name":"Subdivision","value":"EC"},{"id":4,"name":"Milepost","value":"0.0141"},{"id":17,"name":"Train ID","value":"190-09"},{"id":16,"name":"Locomotive ID","value":"4049"},{"id":130,"name":"Impact","value":""},{"id":150,"name":"Time of Event (Mountain Time)","value":"16:22:35"},{"id":151,"name":"Denver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4049 --day 2017-09-09</v>
      </c>
      <c r="AN102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761</v>
      </c>
      <c r="B103" s="7">
        <v>4026</v>
      </c>
      <c r="C103" s="21" t="s">
        <v>197</v>
      </c>
      <c r="D103" s="21" t="s">
        <v>390</v>
      </c>
      <c r="E103" s="13">
        <v>42987.622604166667</v>
      </c>
      <c r="F103" s="13">
        <v>42987.625219907408</v>
      </c>
      <c r="G103" s="7">
        <v>74</v>
      </c>
      <c r="H103" s="21" t="s">
        <v>908</v>
      </c>
      <c r="I103" s="13">
        <v>42987.651296296295</v>
      </c>
      <c r="J103" s="7">
        <v>0</v>
      </c>
      <c r="K103" s="89" t="str">
        <f t="shared" si="27"/>
        <v>4025/4026</v>
      </c>
      <c r="L103" s="214" t="str">
        <f>VLOOKUP(A103,'Trips&amp;Operators'!$C$1:$G$99911,5,FALSE)</f>
        <v>SAFIEF AEIMEN</v>
      </c>
      <c r="M103" s="6">
        <f t="shared" si="28"/>
        <v>2.6076388887304347E-2</v>
      </c>
      <c r="N103" s="7">
        <f t="shared" si="29"/>
        <v>37.54999999771826</v>
      </c>
      <c r="O103" s="7"/>
      <c r="P103" s="7"/>
      <c r="Q103" s="22"/>
      <c r="R103" s="167"/>
      <c r="S103" s="210">
        <f t="shared" si="30"/>
        <v>1</v>
      </c>
      <c r="T103" s="192" t="str">
        <f t="shared" si="31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32"/>
        <v>https://d0f6bd738d7f1b3e5a7ca70fe4ff75f0.us-east-1.aws.found.io/app/kibana#/discover/Steve-Slow-Train-Analysis-(2080s-and-2083s)?_g=(refreshInterval:(display:Off,pause:!f,section:0,value:0),time:(from:'2017-09-09T13:56:33-0600',mode:absolute,to:'2017-09-09T16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194" t="str">
        <f>IF(AA103&lt;VLOOKUP(AG103,Variables!$AC$3:$AD$8,2,FALSE),"Y","N")</f>
        <v>N</v>
      </c>
      <c r="X103" s="194">
        <f t="shared" si="45"/>
        <v>1</v>
      </c>
      <c r="Y103" s="194">
        <f t="shared" si="33"/>
        <v>4.3700000000000003E-2</v>
      </c>
      <c r="Z103" s="194">
        <f t="shared" si="44"/>
        <v>23.333100000000002</v>
      </c>
      <c r="AA103" s="194">
        <f t="shared" si="35"/>
        <v>23.289400000000001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6"/>
        <v>191</v>
      </c>
      <c r="AE103" s="77" t="str">
        <f t="shared" si="37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103" s="74" t="str">
        <f t="shared" si="38"/>
        <v>"C:\Program Files (x86)\AstroGrep\AstroGrep.exe" /e /r /s /spath="%USERPROFILE%\AppData\Local\Temp\OnboardLogs" /stypes="app*4026*20170909*" /stext=" 21:.+((SYSTEM_STATE.+slice.+state.+changed )|(ment ac)|(multiple cpu faults)|(system.+state.+changed )|(\[timeout)|(PRM\|1\|D)|(kpr)|(kdp)|(train st.+moving)|(\|lc)|(penalty))"</v>
      </c>
      <c r="AG103" s="206" t="str">
        <f t="shared" si="39"/>
        <v>EC</v>
      </c>
      <c r="AH103" s="78" t="str">
        <f t="shared" si="40"/>
        <v>"%USERPROFILE%\Documents\GitHub\eaglep3\Utilities\RefineRTDCRunTimes.py" --tripid 191-09 --locoid 4026 --swversion DE.1.0.9.0 --startMP 204:437 --initTime 2017-09-09T14:56:33 --startdatetime 2017-09-09T15:00:19 --delay 74 --endMP 204:233331 --enddatetime 2017-09-09T15:37:52 --enforcementcount 0 &gt;&gt;C:\Users\stu\Documents\GitHub\eaglep3-reporting\EC\2017-09-09-refined-times.txt</v>
      </c>
      <c r="AI103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{"issue":{"subject":"","project_id":79,"tracker_id":40,"status_id":1,"priority_id":2,"assigned_to_id":338,"start_date":"2017-09-09","description":"","custom_fields":[{"id":1,"name":"Subdivision","value":"EC"},{"id":4,"name":"Milepost","value":"23.3331"},{"id":17,"name":"Train ID","value":"191-09"},{"id":16,"name":"Locomotive ID","value":"4026"},{"id":130,"name":"Impact","value":""},{"id":150,"name":"Time of Event (Mountain Time)","value":"15:37:52"},{"id":151,"name":"Denver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4026 --day 2017-09-09</v>
      </c>
      <c r="AN103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769</v>
      </c>
      <c r="B104" s="7">
        <v>4025</v>
      </c>
      <c r="C104" s="21" t="s">
        <v>197</v>
      </c>
      <c r="D104" s="21" t="s">
        <v>438</v>
      </c>
      <c r="E104" s="13">
        <v>42987.65520833333</v>
      </c>
      <c r="F104" s="13">
        <v>42987.664814814816</v>
      </c>
      <c r="G104" s="7">
        <v>83</v>
      </c>
      <c r="H104" s="21" t="s">
        <v>339</v>
      </c>
      <c r="I104" s="13">
        <v>42987.691423611112</v>
      </c>
      <c r="J104" s="7">
        <v>0</v>
      </c>
      <c r="K104" s="89" t="str">
        <f t="shared" si="27"/>
        <v>4025/4026</v>
      </c>
      <c r="L104" s="214" t="str">
        <f>VLOOKUP(A104,'Trips&amp;Operators'!$C$1:$G$99911,5,FALSE)</f>
        <v>SAFIEF AEIMEN</v>
      </c>
      <c r="M104" s="6">
        <f t="shared" si="28"/>
        <v>2.6608796295477077E-2</v>
      </c>
      <c r="N104" s="7">
        <f t="shared" si="29"/>
        <v>38.316666665486991</v>
      </c>
      <c r="O104" s="7"/>
      <c r="P104" s="7"/>
      <c r="Q104" s="22"/>
      <c r="R104" s="167"/>
      <c r="S104" s="210">
        <f t="shared" si="30"/>
        <v>1</v>
      </c>
      <c r="T104" s="192" t="str">
        <f t="shared" si="31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32"/>
        <v>https://d0f6bd738d7f1b3e5a7ca70fe4ff75f0.us-east-1.aws.found.io/app/kibana#/discover/Steve-Slow-Train-Analysis-(2080s-and-2083s)?_g=(refreshInterval:(display:Off,pause:!f,section:0,value:0),time:(from:'2017-09-09T14:43:30-0600',mode:absolute,to:'2017-09-09T17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194" t="str">
        <f>IF(AA104&lt;VLOOKUP(AG104,Variables!$AC$3:$AD$8,2,FALSE),"Y","N")</f>
        <v>N</v>
      </c>
      <c r="X104" s="194">
        <f t="shared" si="45"/>
        <v>1</v>
      </c>
      <c r="Y104" s="194">
        <f t="shared" si="33"/>
        <v>23.3</v>
      </c>
      <c r="Z104" s="194">
        <f t="shared" si="44"/>
        <v>1.49E-2</v>
      </c>
      <c r="AA104" s="194">
        <f t="shared" si="35"/>
        <v>23.2851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6"/>
        <v>192</v>
      </c>
      <c r="AE104" s="77" t="str">
        <f t="shared" si="37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104" s="74" t="str">
        <f t="shared" si="38"/>
        <v>"C:\Program Files (x86)\AstroGrep\AstroGrep.exe" /e /r /s /spath="%USERPROFILE%\AppData\Local\Temp\OnboardLogs" /stypes="app*4025*20170909*" /stext=" 22:.+((SYSTEM_STATE.+slice.+state.+changed )|(ment ac)|(multiple cpu faults)|(system.+state.+changed )|(\[timeout)|(PRM\|1\|D)|(kpr)|(kdp)|(train st.+moving)|(\|lc)|(penalty))"</v>
      </c>
      <c r="AG104" s="206" t="str">
        <f t="shared" si="39"/>
        <v>EC</v>
      </c>
      <c r="AH104" s="78" t="str">
        <f t="shared" si="40"/>
        <v>"%USERPROFILE%\Documents\GitHub\eaglep3\Utilities\RefineRTDCRunTimes.py" --tripid 192-09 --locoid 4025 --swversion DE.1.0.9.0 --startMP 204:233000 --initTime 2017-09-09T15:43:30 --startdatetime 2017-09-09T15:57:20 --delay 83 --endMP 204:149 --enddatetime 2017-09-09T16:35:39 --enforcementcount 0 &gt;&gt;C:\Users\stu\Documents\GitHub\eaglep3-reporting\EC\2017-09-09-refined-times.txt</v>
      </c>
      <c r="AI104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{"issue":{"subject":"","project_id":79,"tracker_id":40,"status_id":1,"priority_id":2,"assigned_to_id":338,"start_date":"2017-09-09","description":"","custom_fields":[{"id":1,"name":"Subdivision","value":"EC"},{"id":4,"name":"Milepost","value":"0.0149"},{"id":17,"name":"Train ID","value":"192-09"},{"id":16,"name":"Locomotive ID","value":"4025"},{"id":130,"name":"Impact","value":""},{"id":150,"name":"Time of Event (Mountain Time)","value":"16:35:39"},{"id":151,"name":"Denver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4025 --day 2017-09-09</v>
      </c>
      <c r="AN104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764</v>
      </c>
      <c r="B105" s="7">
        <v>4058</v>
      </c>
      <c r="C105" s="21" t="s">
        <v>197</v>
      </c>
      <c r="D105" s="21" t="s">
        <v>434</v>
      </c>
      <c r="E105" s="13">
        <v>42987.633067129631</v>
      </c>
      <c r="F105" s="13">
        <v>42987.63559027778</v>
      </c>
      <c r="G105" s="7">
        <v>49</v>
      </c>
      <c r="H105" s="21" t="s">
        <v>574</v>
      </c>
      <c r="I105" s="13">
        <v>42987.661481481482</v>
      </c>
      <c r="J105" s="7">
        <v>0</v>
      </c>
      <c r="K105" s="89" t="str">
        <f t="shared" si="27"/>
        <v>4057/4058</v>
      </c>
      <c r="L105" s="214" t="str">
        <f>VLOOKUP(A105,'Trips&amp;Operators'!$C$1:$G$99911,5,FALSE)</f>
        <v>GUZMAN DANNY</v>
      </c>
      <c r="M105" s="6">
        <f t="shared" si="28"/>
        <v>2.5891203702485655E-2</v>
      </c>
      <c r="N105" s="7">
        <f t="shared" si="29"/>
        <v>37.283333331579342</v>
      </c>
      <c r="O105" s="7"/>
      <c r="P105" s="7"/>
      <c r="Q105" s="22"/>
      <c r="R105" s="167"/>
      <c r="S105" s="210">
        <f t="shared" si="30"/>
        <v>1</v>
      </c>
      <c r="T105" s="192" t="str">
        <f t="shared" si="31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32"/>
        <v>https://d0f6bd738d7f1b3e5a7ca70fe4ff75f0.us-east-1.aws.found.io/app/kibana#/discover/Steve-Slow-Train-Analysis-(2080s-and-2083s)?_g=(refreshInterval:(display:Off,pause:!f,section:0,value:0),time:(from:'2017-09-09T14:11:37-0600',mode:absolute,to:'2017-09-09T16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194" t="str">
        <f>IF(AA105&lt;VLOOKUP(AG105,Variables!$AC$3:$AD$8,2,FALSE),"Y","N")</f>
        <v>N</v>
      </c>
      <c r="X105" s="194">
        <f t="shared" si="45"/>
        <v>1</v>
      </c>
      <c r="Y105" s="194">
        <f t="shared" si="33"/>
        <v>4.3999999999999997E-2</v>
      </c>
      <c r="Z105" s="194">
        <f t="shared" si="44"/>
        <v>23.328900000000001</v>
      </c>
      <c r="AA105" s="194">
        <f t="shared" si="35"/>
        <v>23.2849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6"/>
        <v>193</v>
      </c>
      <c r="AE105" s="77" t="str">
        <f t="shared" si="37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105" s="74" t="str">
        <f t="shared" si="38"/>
        <v>"C:\Program Files (x86)\AstroGrep\AstroGrep.exe" /e /r /s /spath="%USERPROFILE%\AppData\Local\Temp\OnboardLogs" /stypes="app*4058*20170909*" /stext=" 21:.+((SYSTEM_STATE.+slice.+state.+changed )|(ment ac)|(multiple cpu faults)|(system.+state.+changed )|(\[timeout)|(PRM\|1\|D)|(kpr)|(kdp)|(train st.+moving)|(\|lc)|(penalty))"</v>
      </c>
      <c r="AG105" s="206" t="str">
        <f t="shared" si="39"/>
        <v>EC</v>
      </c>
      <c r="AH105" s="78" t="str">
        <f t="shared" si="40"/>
        <v>"%USERPROFILE%\Documents\GitHub\eaglep3\Utilities\RefineRTDCRunTimes.py" --tripid 193-09 --locoid 4058 --swversion DE.1.0.9.0 --startMP 204:440 --initTime 2017-09-09T15:11:37 --startdatetime 2017-09-09T15:15:15 --delay 49 --endMP 204:233289 --enddatetime 2017-09-09T15:52:32 --enforcementcount 0 &gt;&gt;C:\Users\stu\Documents\GitHub\eaglep3-reporting\EC\2017-09-09-refined-times.txt</v>
      </c>
      <c r="AI105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{"issue":{"subject":"","project_id":79,"tracker_id":40,"status_id":1,"priority_id":2,"assigned_to_id":338,"start_date":"2017-09-09","description":"","custom_fields":[{"id":1,"name":"Subdivision","value":"EC"},{"id":4,"name":"Milepost","value":"23.3289"},{"id":17,"name":"Train ID","value":"193-09"},{"id":16,"name":"Locomotive ID","value":"4058"},{"id":130,"name":"Impact","value":""},{"id":150,"name":"Time of Event (Mountain Time)","value":"15:52:32"},{"id":151,"name":"Denver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4058 --day 2017-09-09</v>
      </c>
      <c r="AN105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4057</v>
      </c>
      <c r="C106" s="21" t="s">
        <v>197</v>
      </c>
      <c r="D106" s="21" t="s">
        <v>579</v>
      </c>
      <c r="E106" s="13">
        <v>42987.662928240738</v>
      </c>
      <c r="F106" s="13">
        <v>42987.675219907411</v>
      </c>
      <c r="G106" s="7">
        <v>53</v>
      </c>
      <c r="H106" s="21" t="s">
        <v>338</v>
      </c>
      <c r="I106" s="13">
        <v>42987.701249999998</v>
      </c>
      <c r="J106" s="7">
        <v>0</v>
      </c>
      <c r="K106" s="89" t="str">
        <f t="shared" si="27"/>
        <v>4057/4058</v>
      </c>
      <c r="L106" s="214" t="str">
        <f>VLOOKUP(A106,'Trips&amp;Operators'!$C$1:$G$99911,5,FALSE)</f>
        <v>GUZMAN DANNY</v>
      </c>
      <c r="M106" s="6">
        <f t="shared" si="28"/>
        <v>2.6030092587461695E-2</v>
      </c>
      <c r="N106" s="7">
        <f t="shared" si="29"/>
        <v>37.483333325944841</v>
      </c>
      <c r="O106" s="7"/>
      <c r="P106" s="7"/>
      <c r="Q106" s="22"/>
      <c r="R106" s="167"/>
      <c r="S106" s="210">
        <f t="shared" si="30"/>
        <v>1</v>
      </c>
      <c r="T106" s="192" t="str">
        <f t="shared" si="31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32"/>
        <v>https://d0f6bd738d7f1b3e5a7ca70fe4ff75f0.us-east-1.aws.found.io/app/kibana#/discover/Steve-Slow-Train-Analysis-(2080s-and-2083s)?_g=(refreshInterval:(display:Off,pause:!f,section:0,value:0),time:(from:'2017-09-09T14:54:37-0600',mode:absolute,to:'2017-09-09T17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194" t="str">
        <f>IF(AA106&lt;VLOOKUP(AG106,Variables!$AC$3:$AD$8,2,FALSE),"Y","N")</f>
        <v>N</v>
      </c>
      <c r="X106" s="194">
        <f t="shared" si="45"/>
        <v>1</v>
      </c>
      <c r="Y106" s="194">
        <f t="shared" si="33"/>
        <v>23.2959</v>
      </c>
      <c r="Z106" s="194">
        <f t="shared" si="44"/>
        <v>1.4999999999999999E-2</v>
      </c>
      <c r="AA106" s="194">
        <f t="shared" si="35"/>
        <v>23.280899999999999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6"/>
        <v>194</v>
      </c>
      <c r="AE106" s="77" t="str">
        <f t="shared" si="37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106" s="74" t="str">
        <f t="shared" si="38"/>
        <v>"C:\Program Files (x86)\AstroGrep\AstroGrep.exe" /e /r /s /spath="%USERPROFILE%\AppData\Local\Temp\OnboardLogs" /stypes="app*4057*20170909*" /stext=" 22:.+((SYSTEM_STATE.+slice.+state.+changed )|(ment ac)|(multiple cpu faults)|(system.+state.+changed )|(\[timeout)|(PRM\|1\|D)|(kpr)|(kdp)|(train st.+moving)|(\|lc)|(penalty))"</v>
      </c>
      <c r="AG106" s="206" t="str">
        <f t="shared" si="39"/>
        <v>EC</v>
      </c>
      <c r="AH106" s="78" t="str">
        <f t="shared" si="40"/>
        <v>"%USERPROFILE%\Documents\GitHub\eaglep3\Utilities\RefineRTDCRunTimes.py" --tripid 194-09 --locoid 4057 --swversion DE.1.0.9.0 --startMP 204:232959 --initTime 2017-09-09T15:54:37 --startdatetime 2017-09-09T16:12:19 --delay 53 --endMP 204:150 --enddatetime 2017-09-09T16:49:48 --enforcementcount 0 &gt;&gt;C:\Users\stu\Documents\GitHub\eaglep3-reporting\EC\2017-09-09-refined-times.txt</v>
      </c>
      <c r="AI106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{"issue":{"subject":"","project_id":79,"tracker_id":40,"status_id":1,"priority_id":2,"assigned_to_id":338,"start_date":"2017-09-09","description":"","custom_fields":[{"id":1,"name":"Subdivision","value":"EC"},{"id":4,"name":"Milepost","value":"0.015"},{"id":17,"name":"Train ID","value":"194-09"},{"id":16,"name":"Locomotive ID","value":"4057"},{"id":130,"name":"Impact","value":""},{"id":150,"name":"Time of Event (Mountain Time)","value":"16:49:48"},{"id":151,"name":"Denver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4057 --day 2017-09-09</v>
      </c>
      <c r="AN106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766</v>
      </c>
      <c r="B107" s="7">
        <v>4054</v>
      </c>
      <c r="C107" s="21" t="s">
        <v>197</v>
      </c>
      <c r="D107" s="21" t="s">
        <v>909</v>
      </c>
      <c r="E107" s="13">
        <v>42987.643125000002</v>
      </c>
      <c r="F107" s="13">
        <v>42987.64603009259</v>
      </c>
      <c r="G107" s="7">
        <v>82</v>
      </c>
      <c r="H107" s="21" t="s">
        <v>441</v>
      </c>
      <c r="I107" s="13">
        <v>42987.671412037038</v>
      </c>
      <c r="J107" s="7">
        <v>0</v>
      </c>
      <c r="K107" s="89" t="str">
        <f t="shared" si="27"/>
        <v>4053/4054</v>
      </c>
      <c r="L107" s="214" t="str">
        <f>VLOOKUP(A107,'Trips&amp;Operators'!$C$1:$G$99911,5,FALSE)</f>
        <v>BADERTSCHER DIANE</v>
      </c>
      <c r="M107" s="6">
        <f t="shared" si="28"/>
        <v>2.5381944447872229E-2</v>
      </c>
      <c r="N107" s="7">
        <f t="shared" si="29"/>
        <v>36.55000000493601</v>
      </c>
      <c r="O107" s="7"/>
      <c r="P107" s="7"/>
      <c r="Q107" s="22"/>
      <c r="R107" s="167"/>
      <c r="S107" s="210">
        <f t="shared" si="30"/>
        <v>1</v>
      </c>
      <c r="T107" s="192" t="str">
        <f t="shared" si="31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32"/>
        <v>https://d0f6bd738d7f1b3e5a7ca70fe4ff75f0.us-east-1.aws.found.io/app/kibana#/discover/Steve-Slow-Train-Analysis-(2080s-and-2083s)?_g=(refreshInterval:(display:Off,pause:!f,section:0,value:0),time:(from:'2017-09-09T14:26:06-0600',mode:absolute,to:'2017-09-09T17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194" t="str">
        <f>IF(AA107&lt;VLOOKUP(AG107,Variables!$AC$3:$AD$8,2,FALSE),"Y","N")</f>
        <v>N</v>
      </c>
      <c r="X107" s="194">
        <f t="shared" si="45"/>
        <v>1</v>
      </c>
      <c r="Y107" s="194">
        <f t="shared" si="33"/>
        <v>4.24E-2</v>
      </c>
      <c r="Z107" s="194">
        <f t="shared" si="44"/>
        <v>23.331</v>
      </c>
      <c r="AA107" s="194">
        <f t="shared" si="35"/>
        <v>23.288599999999999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6"/>
        <v>195</v>
      </c>
      <c r="AE107" s="77" t="str">
        <f t="shared" si="37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107" s="74" t="str">
        <f t="shared" si="38"/>
        <v>"C:\Program Files (x86)\AstroGrep\AstroGrep.exe" /e /r /s /spath="%USERPROFILE%\AppData\Local\Temp\OnboardLogs" /stypes="app*4054*20170909*" /stext=" 22:.+((SYSTEM_STATE.+slice.+state.+changed )|(ment ac)|(multiple cpu faults)|(system.+state.+changed )|(\[timeout)|(PRM\|1\|D)|(kpr)|(kdp)|(train st.+moving)|(\|lc)|(penalty))"</v>
      </c>
      <c r="AG107" s="206" t="str">
        <f t="shared" si="39"/>
        <v>EC</v>
      </c>
      <c r="AH107" s="78" t="str">
        <f t="shared" si="40"/>
        <v>"%USERPROFILE%\Documents\GitHub\eaglep3\Utilities\RefineRTDCRunTimes.py" --tripid 195-09 --locoid 4054 --swversion DE.1.0.9.0 --startMP 204:424 --initTime 2017-09-09T15:26:06 --startdatetime 2017-09-09T15:30:17 --delay 82 --endMP 204:233310 --enddatetime 2017-09-09T16:06:50 --enforcementcount 0 &gt;&gt;C:\Users\stu\Documents\GitHub\eaglep3-reporting\EC\2017-09-09-refined-times.txt</v>
      </c>
      <c r="AI107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{"issue":{"subject":"","project_id":79,"tracker_id":40,"status_id":1,"priority_id":2,"assigned_to_id":338,"start_date":"2017-09-09","description":"","custom_fields":[{"id":1,"name":"Subdivision","value":"EC"},{"id":4,"name":"Milepost","value":"23.331"},{"id":17,"name":"Train ID","value":"195-09"},{"id":16,"name":"Locomotive ID","value":"4054"},{"id":130,"name":"Impact","value":""},{"id":150,"name":"Time of Event (Mountain Time)","value":"16:06:50"},{"id":151,"name":"Denver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4054 --day 2017-09-09</v>
      </c>
      <c r="AN107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774</v>
      </c>
      <c r="B108" s="7">
        <v>4053</v>
      </c>
      <c r="C108" s="21" t="s">
        <v>197</v>
      </c>
      <c r="D108" s="21" t="s">
        <v>910</v>
      </c>
      <c r="E108" s="13">
        <v>42987.680439814816</v>
      </c>
      <c r="F108" s="13">
        <v>42987.685601851852</v>
      </c>
      <c r="G108" s="7">
        <v>66</v>
      </c>
      <c r="H108" s="21" t="s">
        <v>340</v>
      </c>
      <c r="I108" s="13">
        <v>42987.71261574074</v>
      </c>
      <c r="J108" s="7">
        <v>0</v>
      </c>
      <c r="K108" s="89" t="str">
        <f t="shared" si="27"/>
        <v>4053/4054</v>
      </c>
      <c r="L108" s="214" t="str">
        <f>VLOOKUP(A108,'Trips&amp;Operators'!$C$1:$G$99911,5,FALSE)</f>
        <v>BADERTSCHER DIANE</v>
      </c>
      <c r="M108" s="6">
        <f t="shared" si="28"/>
        <v>2.7013888888177462E-2</v>
      </c>
      <c r="N108" s="7">
        <f t="shared" si="29"/>
        <v>38.899999998975545</v>
      </c>
      <c r="O108" s="7"/>
      <c r="P108" s="7"/>
      <c r="Q108" s="22"/>
      <c r="R108" s="167"/>
      <c r="S108" s="210">
        <f t="shared" si="30"/>
        <v>1</v>
      </c>
      <c r="T108" s="192" t="str">
        <f t="shared" si="31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32"/>
        <v>https://d0f6bd738d7f1b3e5a7ca70fe4ff75f0.us-east-1.aws.found.io/app/kibana#/discover/Steve-Slow-Train-Analysis-(2080s-and-2083s)?_g=(refreshInterval:(display:Off,pause:!f,section:0,value:0),time:(from:'2017-09-09T15:19:50-0600',mode:absolute,to:'2017-09-09T18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94" t="str">
        <f>IF(AA108&lt;VLOOKUP(AG108,Variables!$AC$3:$AD$8,2,FALSE),"Y","N")</f>
        <v>N</v>
      </c>
      <c r="X108" s="194">
        <f t="shared" si="45"/>
        <v>1</v>
      </c>
      <c r="Y108" s="194">
        <f t="shared" si="33"/>
        <v>23.299800000000001</v>
      </c>
      <c r="Z108" s="194">
        <f t="shared" si="44"/>
        <v>1.43E-2</v>
      </c>
      <c r="AA108" s="194">
        <f t="shared" si="35"/>
        <v>23.285500000000003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6"/>
        <v>196</v>
      </c>
      <c r="AE108" s="77" t="str">
        <f t="shared" si="37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08" s="74" t="str">
        <f t="shared" si="38"/>
        <v>"C:\Program Files (x86)\AstroGrep\AstroGrep.exe" /e /r /s /spath="%USERPROFILE%\AppData\Local\Temp\OnboardLogs" /stypes="app*4053*20170909*" /stext=" 23:.+((SYSTEM_STATE.+slice.+state.+changed )|(ment ac)|(multiple cpu faults)|(system.+state.+changed )|(\[timeout)|(PRM\|1\|D)|(kpr)|(kdp)|(train st.+moving)|(\|lc)|(penalty))"</v>
      </c>
      <c r="AG108" s="206" t="str">
        <f t="shared" si="39"/>
        <v>EC</v>
      </c>
      <c r="AH108" s="78" t="str">
        <f t="shared" si="40"/>
        <v>"%USERPROFILE%\Documents\GitHub\eaglep3\Utilities\RefineRTDCRunTimes.py" --tripid 196-09 --locoid 4053 --swversion DE.1.0.9.0 --startMP 204:232998 --initTime 2017-09-09T16:19:50 --startdatetime 2017-09-09T16:27:16 --delay 66 --endMP 204:143 --enddatetime 2017-09-09T17:06:10 --enforcementcount 0 &gt;&gt;C:\Users\stu\Documents\GitHub\eaglep3-reporting\EC\2017-09-09-refined-times.txt</v>
      </c>
      <c r="AI108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{"issue":{"subject":"","project_id":79,"tracker_id":40,"status_id":1,"priority_id":2,"assigned_to_id":338,"start_date":"2017-09-09","description":"","custom_fields":[{"id":1,"name":"Subdivision","value":"EC"},{"id":4,"name":"Milepost","value":"0.0143"},{"id":17,"name":"Train ID","value":"196-09"},{"id":16,"name":"Locomotive ID","value":"4053"},{"id":130,"name":"Impact","value":""},{"id":150,"name":"Time of Event (Mountain Time)","value":"17:06:10"},{"id":151,"name":"Denver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4053 --day 2017-09-09</v>
      </c>
      <c r="AN108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768</v>
      </c>
      <c r="B109" s="7">
        <v>4010</v>
      </c>
      <c r="C109" s="21" t="s">
        <v>197</v>
      </c>
      <c r="D109" s="21" t="s">
        <v>375</v>
      </c>
      <c r="E109" s="13">
        <v>42987.653194444443</v>
      </c>
      <c r="F109" s="13">
        <v>42987.656458333331</v>
      </c>
      <c r="G109" s="7">
        <v>69</v>
      </c>
      <c r="H109" s="21" t="s">
        <v>855</v>
      </c>
      <c r="I109" s="13">
        <v>42987.681956018518</v>
      </c>
      <c r="J109" s="7">
        <v>0</v>
      </c>
      <c r="K109" s="89" t="str">
        <f t="shared" si="27"/>
        <v>4009/4010</v>
      </c>
      <c r="L109" s="214" t="str">
        <f>VLOOKUP(A109,'Trips&amp;Operators'!$C$1:$G$99911,5,FALSE)</f>
        <v>DAVIDSON DAVID</v>
      </c>
      <c r="M109" s="6">
        <f t="shared" si="28"/>
        <v>2.5497685186564922E-2</v>
      </c>
      <c r="N109" s="7">
        <f t="shared" ref="N109:N115" si="46">24*60*SUM($M109:$M109)</f>
        <v>36.716666668653488</v>
      </c>
      <c r="O109" s="7"/>
      <c r="P109" s="7"/>
      <c r="Q109" s="22"/>
      <c r="R109" s="167"/>
      <c r="S109" s="210">
        <f t="shared" ref="S109:S137" si="47">1/IF(AG109="EC",12,1)*SUM(U109:U109)</f>
        <v>1</v>
      </c>
      <c r="T109" s="192" t="str">
        <f t="shared" si="31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32"/>
        <v>https://d0f6bd738d7f1b3e5a7ca70fe4ff75f0.us-east-1.aws.found.io/app/kibana#/discover/Steve-Slow-Train-Analysis-(2080s-and-2083s)?_g=(refreshInterval:(display:Off,pause:!f,section:0,value:0),time:(from:'2017-09-09T14:40:36-0600',mode:absolute,to:'2017-09-09T17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194" t="str">
        <f>IF(AA109&lt;VLOOKUP(AG109,Variables!$AC$3:$AD$8,2,FALSE),"Y","N")</f>
        <v>N</v>
      </c>
      <c r="X109" s="194">
        <f t="shared" si="45"/>
        <v>1</v>
      </c>
      <c r="Y109" s="194">
        <f t="shared" ref="Y109:Y115" si="48">RIGHT(D109,LEN(D109)-4)/10000</f>
        <v>4.6699999999999998E-2</v>
      </c>
      <c r="Z109" s="194">
        <f t="shared" si="44"/>
        <v>23.331199999999999</v>
      </c>
      <c r="AA109" s="194">
        <f t="shared" si="35"/>
        <v>23.284499999999998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6"/>
        <v>197</v>
      </c>
      <c r="AE109" s="77" t="str">
        <f t="shared" si="37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109" s="74" t="str">
        <f t="shared" si="38"/>
        <v>"C:\Program Files (x86)\AstroGrep\AstroGrep.exe" /e /r /s /spath="%USERPROFILE%\AppData\Local\Temp\OnboardLogs" /stypes="app*4010*20170909*" /stext=" 22:.+((SYSTEM_STATE.+slice.+state.+changed )|(ment ac)|(multiple cpu faults)|(system.+state.+changed )|(\[timeout)|(PRM\|1\|D)|(kpr)|(kdp)|(train st.+moving)|(\|lc)|(penalty))"</v>
      </c>
      <c r="AG109" s="206" t="str">
        <f t="shared" si="39"/>
        <v>EC</v>
      </c>
      <c r="AH109" s="78" t="str">
        <f t="shared" si="40"/>
        <v>"%USERPROFILE%\Documents\GitHub\eaglep3\Utilities\RefineRTDCRunTimes.py" --tripid 197-09 --locoid 4010 --swversion DE.1.0.9.0 --startMP 204:467 --initTime 2017-09-09T15:40:36 --startdatetime 2017-09-09T15:45:18 --delay 69 --endMP 204:233312 --enddatetime 2017-09-09T16:22:01 --enforcementcount 0 &gt;&gt;C:\Users\stu\Documents\GitHub\eaglep3-reporting\EC\2017-09-09-refined-times.txt</v>
      </c>
      <c r="AI109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{"issue":{"subject":"","project_id":79,"tracker_id":40,"status_id":1,"priority_id":2,"assigned_to_id":338,"start_date":"2017-09-09","description":"","custom_fields":[{"id":1,"name":"Subdivision","value":"EC"},{"id":4,"name":"Milepost","value":"23.3312"},{"id":17,"name":"Train ID","value":"197-09"},{"id":16,"name":"Locomotive ID","value":"4010"},{"id":130,"name":"Impact","value":""},{"id":150,"name":"Time of Event (Mountain Time)","value":"16:22:01"},{"id":151,"name":"Denver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4010 --day 2017-09-09</v>
      </c>
      <c r="AN109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632</v>
      </c>
      <c r="B110" s="7">
        <v>4009</v>
      </c>
      <c r="C110" s="21" t="s">
        <v>197</v>
      </c>
      <c r="D110" s="21" t="s">
        <v>911</v>
      </c>
      <c r="E110" s="13">
        <v>42987.684560185182</v>
      </c>
      <c r="F110" s="13">
        <v>42987.696053240739</v>
      </c>
      <c r="G110" s="7">
        <v>60</v>
      </c>
      <c r="H110" s="21" t="s">
        <v>343</v>
      </c>
      <c r="I110" s="13">
        <v>42987.723460648151</v>
      </c>
      <c r="J110" s="7">
        <v>0</v>
      </c>
      <c r="K110" s="89" t="str">
        <f t="shared" si="27"/>
        <v>4009/4010</v>
      </c>
      <c r="L110" s="214" t="str">
        <f>VLOOKUP(A110,'Trips&amp;Operators'!$C$1:$G$99911,5,FALSE)</f>
        <v>DAVIDSON DAVID</v>
      </c>
      <c r="M110" s="6">
        <f t="shared" si="28"/>
        <v>2.7407407411374152E-2</v>
      </c>
      <c r="N110" s="7">
        <f t="shared" si="46"/>
        <v>39.466666672378778</v>
      </c>
      <c r="O110" s="7"/>
      <c r="P110" s="7"/>
      <c r="Q110" s="22"/>
      <c r="R110" s="167"/>
      <c r="S110" s="210">
        <f t="shared" si="47"/>
        <v>1</v>
      </c>
      <c r="T110" s="192" t="str">
        <f t="shared" si="31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32"/>
        <v>https://d0f6bd738d7f1b3e5a7ca70fe4ff75f0.us-east-1.aws.found.io/app/kibana#/discover/Steve-Slow-Train-Analysis-(2080s-and-2083s)?_g=(refreshInterval:(display:Off,pause:!f,section:0,value:0),time:(from:'2017-09-09T15:25:46-0600',mode:absolute,to:'2017-09-09T18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194" t="str">
        <f>IF(AA110&lt;VLOOKUP(AG110,Variables!$AC$3:$AD$8,2,FALSE),"Y","N")</f>
        <v>N</v>
      </c>
      <c r="X110" s="194">
        <f t="shared" si="45"/>
        <v>1</v>
      </c>
      <c r="Y110" s="194">
        <f t="shared" si="48"/>
        <v>23.296099999999999</v>
      </c>
      <c r="Z110" s="194">
        <f t="shared" si="44"/>
        <v>1.47E-2</v>
      </c>
      <c r="AA110" s="194">
        <f t="shared" si="35"/>
        <v>23.281399999999998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6"/>
        <v>198</v>
      </c>
      <c r="AE110" s="77" t="str">
        <f t="shared" si="37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110" s="74" t="str">
        <f t="shared" si="38"/>
        <v>"C:\Program Files (x86)\AstroGrep\AstroGrep.exe" /e /r /s /spath="%USERPROFILE%\AppData\Local\Temp\OnboardLogs" /stypes="app*4009*20170909*" /stext=" 23:.+((SYSTEM_STATE.+slice.+state.+changed )|(ment ac)|(multiple cpu faults)|(system.+state.+changed )|(\[timeout)|(PRM\|1\|D)|(kpr)|(kdp)|(train st.+moving)|(\|lc)|(penalty))"</v>
      </c>
      <c r="AG110" s="206" t="str">
        <f t="shared" si="39"/>
        <v>EC</v>
      </c>
      <c r="AH110" s="78" t="str">
        <f t="shared" si="40"/>
        <v>"%USERPROFILE%\Documents\GitHub\eaglep3\Utilities\RefineRTDCRunTimes.py" --tripid 198-09 --locoid 4009 --swversion DE.1.0.9.0 --startMP 204:232961 --initTime 2017-09-09T16:25:46 --startdatetime 2017-09-09T16:42:19 --delay 60 --endMP 204:147 --enddatetime 2017-09-09T17:21:47 --enforcementcount 0 &gt;&gt;C:\Users\stu\Documents\GitHub\eaglep3-reporting\EC\2017-09-09-refined-times.txt</v>
      </c>
      <c r="AI11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{"issue":{"subject":"","project_id":79,"tracker_id":40,"status_id":1,"priority_id":2,"assigned_to_id":338,"start_date":"2017-09-09","description":"","custom_fields":[{"id":1,"name":"Subdivision","value":"EC"},{"id":4,"name":"Milepost","value":"0.0147"},{"id":17,"name":"Train ID","value":"198-09"},{"id":16,"name":"Locomotive ID","value":"4009"},{"id":130,"name":"Impact","value":""},{"id":150,"name":"Time of Event (Mountain Time)","value":"17:21:47"},{"id":151,"name":"Denver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4009 --day 2017-09-09</v>
      </c>
      <c r="AN110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771</v>
      </c>
      <c r="B111" s="7">
        <v>4044</v>
      </c>
      <c r="C111" s="21" t="s">
        <v>197</v>
      </c>
      <c r="D111" s="21" t="s">
        <v>439</v>
      </c>
      <c r="E111" s="13">
        <v>42987.663715277777</v>
      </c>
      <c r="F111" s="13">
        <v>42987.666898148149</v>
      </c>
      <c r="G111" s="7">
        <v>64</v>
      </c>
      <c r="H111" s="21" t="s">
        <v>855</v>
      </c>
      <c r="I111" s="13">
        <v>42987.691168981481</v>
      </c>
      <c r="J111" s="7">
        <v>0</v>
      </c>
      <c r="K111" s="89" t="str">
        <f t="shared" si="27"/>
        <v>4043/4044</v>
      </c>
      <c r="L111" s="214" t="str">
        <f>VLOOKUP(A111,'Trips&amp;Operators'!$C$1:$G$99911,5,FALSE)</f>
        <v>BRUDER RICHARD</v>
      </c>
      <c r="M111" s="6">
        <f t="shared" si="28"/>
        <v>2.4270833331684116E-2</v>
      </c>
      <c r="N111" s="7">
        <f t="shared" si="46"/>
        <v>34.949999997625127</v>
      </c>
      <c r="O111" s="7"/>
      <c r="P111" s="7"/>
      <c r="Q111" s="22"/>
      <c r="R111" s="167"/>
      <c r="S111" s="210">
        <f t="shared" si="47"/>
        <v>1</v>
      </c>
      <c r="T111" s="192" t="str">
        <f t="shared" si="31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32"/>
        <v>https://d0f6bd738d7f1b3e5a7ca70fe4ff75f0.us-east-1.aws.found.io/app/kibana#/discover/Steve-Slow-Train-Analysis-(2080s-and-2083s)?_g=(refreshInterval:(display:Off,pause:!f,section:0,value:0),time:(from:'2017-09-09T14:55:45-0600',mode:absolute,to:'2017-09-09T17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94" t="str">
        <f>IF(AA111&lt;VLOOKUP(AG111,Variables!$AC$3:$AD$8,2,FALSE),"Y","N")</f>
        <v>N</v>
      </c>
      <c r="X111" s="194">
        <f t="shared" si="45"/>
        <v>1</v>
      </c>
      <c r="Y111" s="194">
        <f t="shared" si="48"/>
        <v>4.3299999999999998E-2</v>
      </c>
      <c r="Z111" s="194">
        <f t="shared" si="44"/>
        <v>23.331199999999999</v>
      </c>
      <c r="AA111" s="194">
        <f t="shared" si="35"/>
        <v>23.2879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36"/>
        <v>199</v>
      </c>
      <c r="AE111" s="77" t="str">
        <f t="shared" si="37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111" s="74" t="str">
        <f t="shared" si="38"/>
        <v>"C:\Program Files (x86)\AstroGrep\AstroGrep.exe" /e /r /s /spath="%USERPROFILE%\AppData\Local\Temp\OnboardLogs" /stypes="app*4044*20170909*" /stext=" 22:.+((SYSTEM_STATE.+slice.+state.+changed )|(ment ac)|(multiple cpu faults)|(system.+state.+changed )|(\[timeout)|(PRM\|1\|D)|(kpr)|(kdp)|(train st.+moving)|(\|lc)|(penalty))"</v>
      </c>
      <c r="AG111" s="206" t="str">
        <f t="shared" si="39"/>
        <v>EC</v>
      </c>
      <c r="AH111" s="78" t="str">
        <f t="shared" si="40"/>
        <v>"%USERPROFILE%\Documents\GitHub\eaglep3\Utilities\RefineRTDCRunTimes.py" --tripid 199-09 --locoid 4044 --swversion DE.1.0.9.0 --startMP 204:433 --initTime 2017-09-09T15:55:45 --startdatetime 2017-09-09T16:00:20 --delay 64 --endMP 204:233312 --enddatetime 2017-09-09T16:35:17 --enforcementcount 0 &gt;&gt;C:\Users\stu\Documents\GitHub\eaglep3-reporting\EC\2017-09-09-refined-times.txt</v>
      </c>
      <c r="AI111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{"issue":{"subject":"","project_id":79,"tracker_id":40,"status_id":1,"priority_id":2,"assigned_to_id":338,"start_date":"2017-09-09","description":"","custom_fields":[{"id":1,"name":"Subdivision","value":"EC"},{"id":4,"name":"Milepost","value":"23.3312"},{"id":17,"name":"Train ID","value":"199-09"},{"id":16,"name":"Locomotive ID","value":"4044"},{"id":130,"name":"Impact","value":""},{"id":150,"name":"Time of Event (Mountain Time)","value":"16:35:17"},{"id":151,"name":"Denver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4044 --day 2017-09-09</v>
      </c>
      <c r="AN111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777</v>
      </c>
      <c r="B112" s="7">
        <v>4043</v>
      </c>
      <c r="C112" s="21" t="s">
        <v>197</v>
      </c>
      <c r="D112" s="21" t="s">
        <v>857</v>
      </c>
      <c r="E112" s="13">
        <v>42987.702615740738</v>
      </c>
      <c r="F112" s="13">
        <v>42987.706423611111</v>
      </c>
      <c r="G112" s="7">
        <v>66</v>
      </c>
      <c r="H112" s="21" t="s">
        <v>361</v>
      </c>
      <c r="I112" s="13">
        <v>42987.733437499999</v>
      </c>
      <c r="J112" s="7">
        <v>0</v>
      </c>
      <c r="K112" s="89" t="str">
        <f t="shared" si="27"/>
        <v>4043/4044</v>
      </c>
      <c r="L112" s="214" t="str">
        <f>VLOOKUP(A112,'Trips&amp;Operators'!$C$1:$G$99911,5,FALSE)</f>
        <v>BRUDER RICHARD</v>
      </c>
      <c r="M112" s="6">
        <f t="shared" si="28"/>
        <v>2.7013888888177462E-2</v>
      </c>
      <c r="N112" s="7">
        <f t="shared" si="46"/>
        <v>38.899999998975545</v>
      </c>
      <c r="O112" s="7"/>
      <c r="P112" s="7"/>
      <c r="Q112" s="22"/>
      <c r="R112" s="167"/>
      <c r="S112" s="210">
        <f t="shared" si="47"/>
        <v>1</v>
      </c>
      <c r="T112" s="192" t="str">
        <f t="shared" si="31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32"/>
        <v>https://d0f6bd738d7f1b3e5a7ca70fe4ff75f0.us-east-1.aws.found.io/app/kibana#/discover/Steve-Slow-Train-Analysis-(2080s-and-2083s)?_g=(refreshInterval:(display:Off,pause:!f,section:0,value:0),time:(from:'2017-09-09T15:51:46-0600',mode:absolute,to:'2017-09-09T18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94" t="str">
        <f>IF(AA112&lt;VLOOKUP(AG112,Variables!$AC$3:$AD$8,2,FALSE),"Y","N")</f>
        <v>N</v>
      </c>
      <c r="X112" s="194">
        <f t="shared" si="45"/>
        <v>1</v>
      </c>
      <c r="Y112" s="194">
        <f t="shared" si="48"/>
        <v>23.2989</v>
      </c>
      <c r="Z112" s="194">
        <f t="shared" si="44"/>
        <v>1.52E-2</v>
      </c>
      <c r="AA112" s="194">
        <f t="shared" si="35"/>
        <v>23.2837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6"/>
        <v>200</v>
      </c>
      <c r="AE112" s="77" t="str">
        <f t="shared" si="37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112" s="74" t="str">
        <f t="shared" si="38"/>
        <v>"C:\Program Files (x86)\AstroGrep\AstroGrep.exe" /e /r /s /spath="%USERPROFILE%\AppData\Local\Temp\OnboardLogs" /stypes="app*4043*20170909*" /stext=" 23:.+((SYSTEM_STATE.+slice.+state.+changed )|(ment ac)|(multiple cpu faults)|(system.+state.+changed )|(\[timeout)|(PRM\|1\|D)|(kpr)|(kdp)|(train st.+moving)|(\|lc)|(penalty))"</v>
      </c>
      <c r="AG112" s="206" t="str">
        <f t="shared" si="39"/>
        <v>EC</v>
      </c>
      <c r="AH112" s="78" t="str">
        <f t="shared" si="40"/>
        <v>"%USERPROFILE%\Documents\GitHub\eaglep3\Utilities\RefineRTDCRunTimes.py" --tripid 200-09 --locoid 4043 --swversion DE.1.0.9.0 --startMP 204:232989 --initTime 2017-09-09T16:51:46 --startdatetime 2017-09-09T16:57:15 --delay 66 --endMP 204:152 --enddatetime 2017-09-09T17:36:09 --enforcementcount 0 &gt;&gt;C:\Users\stu\Documents\GitHub\eaglep3-reporting\EC\2017-09-09-refined-times.txt</v>
      </c>
      <c r="AI112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{"issue":{"subject":"","project_id":79,"tracker_id":40,"status_id":1,"priority_id":2,"assigned_to_id":338,"start_date":"2017-09-09","description":"","custom_fields":[{"id":1,"name":"Subdivision","value":"EC"},{"id":4,"name":"Milepost","value":"0.0152"},{"id":17,"name":"Train ID","value":"200-09"},{"id":16,"name":"Locomotive ID","value":"4043"},{"id":130,"name":"Impact","value":""},{"id":150,"name":"Time of Event (Mountain Time)","value":"17:36:09"},{"id":151,"name":"Denver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4043 --day 2017-09-09</v>
      </c>
      <c r="AN112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773</v>
      </c>
      <c r="B113" s="7">
        <v>4046</v>
      </c>
      <c r="C113" s="21" t="s">
        <v>197</v>
      </c>
      <c r="D113" s="21" t="s">
        <v>362</v>
      </c>
      <c r="E113" s="13">
        <v>42987.67496527778</v>
      </c>
      <c r="F113" s="13">
        <v>42987.677881944444</v>
      </c>
      <c r="G113" s="7">
        <v>96</v>
      </c>
      <c r="H113" s="21" t="s">
        <v>584</v>
      </c>
      <c r="I113" s="13">
        <v>42987.701689814814</v>
      </c>
      <c r="J113" s="7">
        <v>0</v>
      </c>
      <c r="K113" s="89" t="str">
        <f t="shared" si="27"/>
        <v>4045/4046</v>
      </c>
      <c r="L113" s="214" t="str">
        <f>VLOOKUP(A113,'Trips&amp;Operators'!$C$1:$G$99911,5,FALSE)</f>
        <v>HOLCOMB KAMDEN</v>
      </c>
      <c r="M113" s="6">
        <f t="shared" si="28"/>
        <v>2.3807870369637385E-2</v>
      </c>
      <c r="N113" s="7">
        <f t="shared" si="46"/>
        <v>34.283333332277834</v>
      </c>
      <c r="O113" s="7"/>
      <c r="P113" s="7"/>
      <c r="Q113" s="22"/>
      <c r="R113" s="167"/>
      <c r="S113" s="210">
        <f t="shared" si="47"/>
        <v>1</v>
      </c>
      <c r="T113" s="192" t="str">
        <f t="shared" si="31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32"/>
        <v>https://d0f6bd738d7f1b3e5a7ca70fe4ff75f0.us-east-1.aws.found.io/app/kibana#/discover/Steve-Slow-Train-Analysis-(2080s-and-2083s)?_g=(refreshInterval:(display:Off,pause:!f,section:0,value:0),time:(from:'2017-09-09T15:11:57-0600',mode:absolute,to:'2017-09-09T17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3" s="194" t="str">
        <f>IF(AA113&lt;VLOOKUP(AG113,Variables!$AC$3:$AD$8,2,FALSE),"Y","N")</f>
        <v>N</v>
      </c>
      <c r="X113" s="194">
        <f t="shared" si="45"/>
        <v>1</v>
      </c>
      <c r="Y113" s="194">
        <f t="shared" si="48"/>
        <v>4.4900000000000002E-2</v>
      </c>
      <c r="Z113" s="194">
        <f t="shared" si="44"/>
        <v>23.3291</v>
      </c>
      <c r="AA113" s="194">
        <f t="shared" si="35"/>
        <v>23.284200000000002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6"/>
        <v>201</v>
      </c>
      <c r="AE113" s="77" t="str">
        <f t="shared" si="37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113" s="74" t="str">
        <f t="shared" si="38"/>
        <v>"C:\Program Files (x86)\AstroGrep\AstroGrep.exe" /e /r /s /spath="%USERPROFILE%\AppData\Local\Temp\OnboardLogs" /stypes="app*4046*20170909*" /stext=" 22:.+((SYSTEM_STATE.+slice.+state.+changed )|(ment ac)|(multiple cpu faults)|(system.+state.+changed )|(\[timeout)|(PRM\|1\|D)|(kpr)|(kdp)|(train st.+moving)|(\|lc)|(penalty))"</v>
      </c>
      <c r="AG113" s="206" t="str">
        <f t="shared" si="39"/>
        <v>EC</v>
      </c>
      <c r="AH113" s="78" t="str">
        <f t="shared" si="40"/>
        <v>"%USERPROFILE%\Documents\GitHub\eaglep3\Utilities\RefineRTDCRunTimes.py" --tripid 201-09 --locoid 4046 --swversion DE.1.0.9.0 --startMP 204:449 --initTime 2017-09-09T16:11:57 --startdatetime 2017-09-09T16:16:09 --delay 96 --endMP 204:233291 --enddatetime 2017-09-09T16:50:26 --enforcementcount 0 &gt;&gt;C:\Users\stu\Documents\GitHub\eaglep3-reporting\EC\2017-09-09-refined-times.txt</v>
      </c>
      <c r="AI113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{"issue":{"subject":"","project_id":79,"tracker_id":40,"status_id":1,"priority_id":2,"assigned_to_id":338,"start_date":"2017-09-09","description":"","custom_fields":[{"id":1,"name":"Subdivision","value":"EC"},{"id":4,"name":"Milepost","value":"23.3291"},{"id":17,"name":"Train ID","value":"201-09"},{"id":16,"name":"Locomotive ID","value":"4046"},{"id":130,"name":"Impact","value":""},{"id":150,"name":"Time of Event (Mountain Time)","value":"16:50:26"},{"id":151,"name":"Denver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4046 --day 2017-09-09</v>
      </c>
      <c r="AN113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633</v>
      </c>
      <c r="B114" s="7">
        <v>4045</v>
      </c>
      <c r="C114" s="21" t="s">
        <v>197</v>
      </c>
      <c r="D114" s="21" t="s">
        <v>844</v>
      </c>
      <c r="E114" s="13">
        <v>42987.714108796295</v>
      </c>
      <c r="F114" s="13">
        <v>42987.717013888891</v>
      </c>
      <c r="G114" s="7">
        <v>50</v>
      </c>
      <c r="H114" s="21" t="s">
        <v>368</v>
      </c>
      <c r="I114" s="13">
        <v>42987.743796296294</v>
      </c>
      <c r="J114" s="7">
        <v>0</v>
      </c>
      <c r="K114" s="89" t="str">
        <f t="shared" si="27"/>
        <v>4045/4046</v>
      </c>
      <c r="L114" s="214" t="str">
        <f>VLOOKUP(A114,'Trips&amp;Operators'!$C$1:$G$99911,5,FALSE)</f>
        <v>HOLCOMB KAMDEN</v>
      </c>
      <c r="M114" s="6">
        <f t="shared" si="28"/>
        <v>2.6782407403516117E-2</v>
      </c>
      <c r="N114" s="7">
        <f t="shared" si="46"/>
        <v>38.566666661063209</v>
      </c>
      <c r="O114" s="7"/>
      <c r="P114" s="7"/>
      <c r="Q114" s="22"/>
      <c r="R114" s="167" t="s">
        <v>982</v>
      </c>
      <c r="S114" s="210">
        <f t="shared" si="47"/>
        <v>1</v>
      </c>
      <c r="T114" s="192" t="str">
        <f t="shared" si="31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32"/>
        <v>https://d0f6bd738d7f1b3e5a7ca70fe4ff75f0.us-east-1.aws.found.io/app/kibana#/discover/Steve-Slow-Train-Analysis-(2080s-and-2083s)?_g=(refreshInterval:(display:Off,pause:!f,section:0,value:0),time:(from:'2017-09-09T16:08:19-0600',mode:absolute,to:'2017-09-09T18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4" s="194" t="str">
        <f>IF(AA114&lt;VLOOKUP(AG114,Variables!$AC$3:$AD$8,2,FALSE),"Y","N")</f>
        <v>N</v>
      </c>
      <c r="X114" s="194">
        <f t="shared" si="45"/>
        <v>1</v>
      </c>
      <c r="Y114" s="194">
        <f t="shared" si="48"/>
        <v>23.298200000000001</v>
      </c>
      <c r="Z114" s="194">
        <f t="shared" si="44"/>
        <v>1.4500000000000001E-2</v>
      </c>
      <c r="AA114" s="194">
        <f t="shared" si="35"/>
        <v>23.2837</v>
      </c>
      <c r="AB114" s="54" t="str">
        <f>VLOOKUP(A114,Enforcements!$C$7:$K$11,8,0)</f>
        <v>Bulletin (2)</v>
      </c>
      <c r="AC114" s="51" t="str">
        <f>VLOOKUP(A114,Enforcements!$C$7:$E$11,3,0)</f>
        <v>GRADE CROSSING</v>
      </c>
      <c r="AD114" s="203">
        <f t="shared" si="36"/>
        <v>202</v>
      </c>
      <c r="AE114" s="77" t="str">
        <f t="shared" si="37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114" s="74" t="str">
        <f t="shared" si="38"/>
        <v>"C:\Program Files (x86)\AstroGrep\AstroGrep.exe" /e /r /s /spath="%USERPROFILE%\AppData\Local\Temp\OnboardLogs" /stypes="app*4045*20170909*" /stext=" 23:.+((SYSTEM_STATE.+slice.+state.+changed )|(ment ac)|(multiple cpu faults)|(system.+state.+changed )|(\[timeout)|(PRM\|1\|D)|(kpr)|(kdp)|(train st.+moving)|(\|lc)|(penalty))"</v>
      </c>
      <c r="AG114" s="206" t="str">
        <f t="shared" si="39"/>
        <v>EC</v>
      </c>
      <c r="AH114" s="78" t="str">
        <f t="shared" si="40"/>
        <v>"%USERPROFILE%\Documents\GitHub\eaglep3\Utilities\RefineRTDCRunTimes.py" --tripid 202-09 --locoid 4045 --swversion DE.1.0.9.0 --startMP 204:232982 --initTime 2017-09-09T17:08:19 --startdatetime 2017-09-09T17:12:30 --delay 50 --endMP 204:145 --enddatetime 2017-09-09T17:51:04 --enforcementcount 0 &gt;&gt;C:\Users\stu\Documents\GitHub\eaglep3-reporting\EC\2017-09-09-refined-times.txt</v>
      </c>
      <c r="AI114" s="96" t="str">
        <f t="shared" si="41"/>
        <v>echo {"issue":{"subject":"Unhealthy at Chambers due to train stop","project_id":79,"tracker_id":40,"status_id":1,"priority_id":2,"assigned_to_id":338,"start_date":"2017-09-09","description":"","custom_fields":[{"id":1,"name":"Subdivision","value":"EC"},{"id":4,"name":"Milepost","value":"0.0145"},{"id":17,"name":"Train ID","value":"202-09"},{"id":16,"name":"Locomotive ID","value":"4045"},{"id":130,"name":"Impact","value":""},{"id":150,"name":"Time of Event (Mountain Time)","value":"17:51:04"},{"id":151,"name":"Denver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4045 --day 2017-09-09</v>
      </c>
      <c r="AN114" s="151" t="str">
        <f t="shared" si="43"/>
        <v>echo {"issue":{"subject":"Unhealthy at Chambers due to train stop","project_id":30,"tracker_id":4,"status_id":1,"priority_id":1,"assigned_to_id":10,"start_date":"2017-09-09","description":"","custom_fields":[{"id":30,"name":"Category","value":"Issue"},{"id":3,"name":"Functional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775</v>
      </c>
      <c r="B115" s="7">
        <v>4050</v>
      </c>
      <c r="C115" s="21" t="s">
        <v>197</v>
      </c>
      <c r="D115" s="21" t="s">
        <v>337</v>
      </c>
      <c r="E115" s="13">
        <v>42987.68440972222</v>
      </c>
      <c r="F115" s="13">
        <v>42987.687835648147</v>
      </c>
      <c r="G115" s="7">
        <v>59</v>
      </c>
      <c r="H115" s="21" t="s">
        <v>912</v>
      </c>
      <c r="I115" s="13">
        <v>42987.713969907411</v>
      </c>
      <c r="J115" s="7">
        <v>0</v>
      </c>
      <c r="K115" s="89" t="str">
        <f t="shared" si="27"/>
        <v>4049/4050</v>
      </c>
      <c r="L115" s="214" t="str">
        <f>VLOOKUP(A115,'Trips&amp;Operators'!$C$1:$G$99911,5,FALSE)</f>
        <v>DAVIS MICHAEL</v>
      </c>
      <c r="M115" s="6">
        <f t="shared" si="28"/>
        <v>2.6134259263926651E-2</v>
      </c>
      <c r="N115" s="7">
        <f t="shared" si="46"/>
        <v>37.633333340054378</v>
      </c>
      <c r="O115" s="7"/>
      <c r="P115" s="7"/>
      <c r="Q115" s="22"/>
      <c r="R115" s="167"/>
      <c r="S115" s="210">
        <f t="shared" si="47"/>
        <v>1</v>
      </c>
      <c r="T115" s="192" t="str">
        <f t="shared" si="31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32"/>
        <v>https://d0f6bd738d7f1b3e5a7ca70fe4ff75f0.us-east-1.aws.found.io/app/kibana#/discover/Steve-Slow-Train-Analysis-(2080s-and-2083s)?_g=(refreshInterval:(display:Off,pause:!f,section:0,value:0),time:(from:'2017-09-09T15:25:33-0600',mode:absolute,to:'2017-09-09T18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194" t="str">
        <f>IF(AA115&lt;VLOOKUP(AG115,Variables!$AC$3:$AD$8,2,FALSE),"Y","N")</f>
        <v>N</v>
      </c>
      <c r="X115" s="194">
        <f t="shared" si="45"/>
        <v>1</v>
      </c>
      <c r="Y115" s="194">
        <f t="shared" si="48"/>
        <v>4.4600000000000001E-2</v>
      </c>
      <c r="Z115" s="194">
        <f t="shared" si="44"/>
        <v>23.3429</v>
      </c>
      <c r="AA115" s="194">
        <f t="shared" si="35"/>
        <v>23.298300000000001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6"/>
        <v>203</v>
      </c>
      <c r="AE115" s="77" t="str">
        <f t="shared" si="37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115" s="74" t="str">
        <f t="shared" si="38"/>
        <v>"C:\Program Files (x86)\AstroGrep\AstroGrep.exe" /e /r /s /spath="%USERPROFILE%\AppData\Local\Temp\OnboardLogs" /stypes="app*4050*20170909*" /stext=" 23:.+((SYSTEM_STATE.+slice.+state.+changed )|(ment ac)|(multiple cpu faults)|(system.+state.+changed )|(\[timeout)|(PRM\|1\|D)|(kpr)|(kdp)|(train st.+moving)|(\|lc)|(penalty))"</v>
      </c>
      <c r="AG115" s="206" t="str">
        <f t="shared" si="39"/>
        <v>EC</v>
      </c>
      <c r="AH115" s="78" t="str">
        <f t="shared" si="40"/>
        <v>"%USERPROFILE%\Documents\GitHub\eaglep3\Utilities\RefineRTDCRunTimes.py" --tripid 203-09 --locoid 4050 --swversion DE.1.0.9.0 --startMP 204:446 --initTime 2017-09-09T16:25:33 --startdatetime 2017-09-09T16:30:29 --delay 59 --endMP 204:233429 --enddatetime 2017-09-09T17:08:07 --enforcementcount 0 &gt;&gt;C:\Users\stu\Documents\GitHub\eaglep3-reporting\EC\2017-09-09-refined-times.txt</v>
      </c>
      <c r="AI115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{"issue":{"subject":"","project_id":79,"tracker_id":40,"status_id":1,"priority_id":2,"assigned_to_id":338,"start_date":"2017-09-09","description":"","custom_fields":[{"id":1,"name":"Subdivision","value":"EC"},{"id":4,"name":"Milepost","value":"23.3429"},{"id":17,"name":"Train ID","value":"203-09"},{"id":16,"name":"Locomotive ID","value":"4050"},{"id":130,"name":"Impact","value":""},{"id":150,"name":"Time of Event (Mountain Time)","value":"17:08:07"},{"id":151,"name":"Denver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4050 --day 2017-09-09</v>
      </c>
      <c r="AN115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635</v>
      </c>
      <c r="B116" s="7">
        <v>4049</v>
      </c>
      <c r="C116" s="21" t="s">
        <v>197</v>
      </c>
      <c r="D116" s="21" t="s">
        <v>337</v>
      </c>
      <c r="E116" s="13">
        <v>42987.68440972222</v>
      </c>
      <c r="F116" s="13">
        <v>42987.727418981478</v>
      </c>
      <c r="G116" s="7">
        <v>59</v>
      </c>
      <c r="H116" s="21" t="s">
        <v>912</v>
      </c>
      <c r="I116" s="13">
        <v>42987.745115740741</v>
      </c>
      <c r="J116" s="7">
        <v>0</v>
      </c>
      <c r="K116" s="89" t="str">
        <f t="shared" si="27"/>
        <v>4049/4050</v>
      </c>
      <c r="L116" s="214" t="str">
        <f>VLOOKUP(A116,'Trips&amp;Operators'!$C$1:$G$99911,5,FALSE)</f>
        <v>DAVIS MICHAEL</v>
      </c>
      <c r="M116" s="6">
        <f t="shared" si="28"/>
        <v>1.7696759263344575E-2</v>
      </c>
      <c r="N116" s="7"/>
      <c r="O116" s="7"/>
      <c r="P116" s="7">
        <f>24*60*SUM($M116:$M116)</f>
        <v>25.483333339216188</v>
      </c>
      <c r="Q116" s="22"/>
      <c r="R116" s="167" t="s">
        <v>977</v>
      </c>
      <c r="S116" s="210">
        <f t="shared" si="47"/>
        <v>0.5</v>
      </c>
      <c r="T116" s="192" t="str">
        <f t="shared" si="31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6</v>
      </c>
      <c r="V116" s="193" t="str">
        <f t="shared" si="32"/>
        <v>https://d0f6bd738d7f1b3e5a7ca70fe4ff75f0.us-east-1.aws.found.io/app/kibana#/discover/Steve-Slow-Train-Analysis-(2080s-and-2083s)?_g=(refreshInterval:(display:Off,pause:!f,section:0,value:0),time:(from:'2017-09-09T15:25:33-0600',mode:absolute,to:'2017-09-09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194" t="str">
        <f>IF(AA116&lt;VLOOKUP(AG116,Variables!$AC$3:$AD$8,2,FALSE),"Y","N")</f>
        <v>Y</v>
      </c>
      <c r="X116" s="194">
        <f t="shared" si="45"/>
        <v>1</v>
      </c>
      <c r="Y116" s="194">
        <v>23.3</v>
      </c>
      <c r="Z116" s="194">
        <v>5.68</v>
      </c>
      <c r="AA116" s="194">
        <f t="shared" si="35"/>
        <v>17.62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6"/>
        <v>204</v>
      </c>
      <c r="AE116" s="77" t="str">
        <f t="shared" si="37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116" s="74" t="str">
        <f t="shared" si="38"/>
        <v>"C:\Program Files (x86)\AstroGrep\AstroGrep.exe" /e /r /s /spath="%USERPROFILE%\AppData\Local\Temp\OnboardLogs" /stypes="app*4049*20170909*" /stext=" 23:.+((SYSTEM_STATE.+slice.+state.+changed )|(ment ac)|(multiple cpu faults)|(system.+state.+changed )|(\[timeout)|(PRM\|1\|D)|(kpr)|(kdp)|(train st.+moving)|(\|lc)|(penalty))"</v>
      </c>
      <c r="AG116" s="206" t="str">
        <f t="shared" si="39"/>
        <v>EC</v>
      </c>
      <c r="AH116" s="78" t="str">
        <f t="shared" ref="AH116" si="49"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204-09 --locoid 4049 --swversion DE.1.0.9.0 --startMP 204:446 --initTime 2017-09-09T16:25:33 --startdatetime 2017-09-09T17:27:29 --delay 59 --endMP 204:233429 --enddatetime 2017-09-09T17:52:58 --enforcementcount 0 &gt;&gt;C:\Users\stu\Documents\GitHub\eaglep3-reporting\EC\2017-09-09-refined-times.txt</v>
      </c>
      <c r="AI116" s="96" t="str">
        <f t="shared" si="41"/>
        <v>echo {"issue":{"subject":"Wi-MAX data drop","project_id":79,"tracker_id":40,"status_id":1,"priority_id":2,"assigned_to_id":338,"start_date":"2017-09-09","description":"","custom_fields":[{"id":1,"name":"Subdivision","value":"EC"},{"id":4,"name":"Milepost","value":"5.68"},{"id":17,"name":"Train ID","value":"204-09"},{"id":16,"name":"Locomotive ID","value":"4049"},{"id":130,"name":"Impact","value":""},{"id":150,"name":"Time of Event (Mountain Time)","value":"17:52:58"},{"id":151,"name":"Denver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ref="AM116" si="50">"start /low /b "&amp;dls3logs&amp;" --loco "&amp;B116&amp;" --day "&amp;TEXT(F116,"YYYY-MM-DD")</f>
        <v>start /low /b %USERPROFILE%\Documents\GitHub\eaglep3\Utilities\DownloadLogsFromS3.py --loco 4049 --day 2017-09-09</v>
      </c>
      <c r="AN116" s="151" t="str">
        <f t="shared" ref="AN116" si="51"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7" spans="1:91" s="20" customFormat="1" x14ac:dyDescent="0.25">
      <c r="A117" s="32" t="s">
        <v>776</v>
      </c>
      <c r="B117" s="7">
        <v>4026</v>
      </c>
      <c r="C117" s="21" t="s">
        <v>197</v>
      </c>
      <c r="D117" s="21" t="s">
        <v>913</v>
      </c>
      <c r="E117" s="13">
        <v>42987.693807870368</v>
      </c>
      <c r="F117" s="13">
        <v>42987.698136574072</v>
      </c>
      <c r="G117" s="7">
        <v>72</v>
      </c>
      <c r="H117" s="21" t="s">
        <v>388</v>
      </c>
      <c r="I117" s="13">
        <v>42987.722986111112</v>
      </c>
      <c r="J117" s="7">
        <v>0</v>
      </c>
      <c r="K117" s="89" t="str">
        <f t="shared" si="27"/>
        <v>4025/4026</v>
      </c>
      <c r="L117" s="214" t="str">
        <f>VLOOKUP(A117,'Trips&amp;Operators'!$C$1:$G$99911,5,FALSE)</f>
        <v>SAFIEF AEIMEN</v>
      </c>
      <c r="M117" s="6">
        <f t="shared" si="28"/>
        <v>2.4849537039699499E-2</v>
      </c>
      <c r="N117" s="7">
        <f t="shared" ref="N117:N136" si="52">24*60*SUM($M117:$M117)</f>
        <v>35.783333337167278</v>
      </c>
      <c r="O117" s="7"/>
      <c r="P117" s="7"/>
      <c r="Q117" s="22"/>
      <c r="R117" s="167"/>
      <c r="S117" s="210">
        <f t="shared" si="47"/>
        <v>1</v>
      </c>
      <c r="T117" s="192" t="str">
        <f t="shared" si="31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32"/>
        <v>https://d0f6bd738d7f1b3e5a7ca70fe4ff75f0.us-east-1.aws.found.io/app/kibana#/discover/Steve-Slow-Train-Analysis-(2080s-and-2083s)?_g=(refreshInterval:(display:Off,pause:!f,section:0,value:0),time:(from:'2017-09-09T15:39:05-0600',mode:absolute,to:'2017-09-09T18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7" s="194" t="str">
        <f>IF(AA117&lt;VLOOKUP(AG117,Variables!$AC$3:$AD$8,2,FALSE),"Y","N")</f>
        <v>N</v>
      </c>
      <c r="X117" s="194">
        <f t="shared" si="45"/>
        <v>1</v>
      </c>
      <c r="Y117" s="194">
        <f t="shared" ref="Y117:Y143" si="53">RIGHT(D117,LEN(D117)-4)/10000</f>
        <v>4.8599999999999997E-2</v>
      </c>
      <c r="Z117" s="194">
        <f t="shared" ref="Z117:Z143" si="54">RIGHT(H117,LEN(H117)-4)/10000</f>
        <v>23.330500000000001</v>
      </c>
      <c r="AA117" s="194">
        <f t="shared" si="35"/>
        <v>23.2819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6"/>
        <v>205</v>
      </c>
      <c r="AE117" s="77" t="str">
        <f t="shared" si="37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117" s="74" t="str">
        <f t="shared" si="38"/>
        <v>"C:\Program Files (x86)\AstroGrep\AstroGrep.exe" /e /r /s /spath="%USERPROFILE%\AppData\Local\Temp\OnboardLogs" /stypes="app*4026*20170909*" /stext=" 23:.+((SYSTEM_STATE.+slice.+state.+changed )|(ment ac)|(multiple cpu faults)|(system.+state.+changed )|(\[timeout)|(PRM\|1\|D)|(kpr)|(kdp)|(train st.+moving)|(\|lc)|(penalty))"</v>
      </c>
      <c r="AG117" s="206" t="str">
        <f t="shared" si="39"/>
        <v>EC</v>
      </c>
      <c r="AH117" s="78" t="str">
        <f t="shared" si="40"/>
        <v>"%USERPROFILE%\Documents\GitHub\eaglep3\Utilities\RefineRTDCRunTimes.py" --tripid 205-09 --locoid 4026 --swversion DE.1.0.9.0 --startMP 204:486 --initTime 2017-09-09T16:39:05 --startdatetime 2017-09-09T16:45:19 --delay 72 --endMP 204:233305 --enddatetime 2017-09-09T17:21:06 --enforcementcount 0 &gt;&gt;C:\Users\stu\Documents\GitHub\eaglep3-reporting\EC\2017-09-09-refined-times.txt</v>
      </c>
      <c r="AI117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{"issue":{"subject":"","project_id":79,"tracker_id":40,"status_id":1,"priority_id":2,"assigned_to_id":338,"start_date":"2017-09-09","description":"","custom_fields":[{"id":1,"name":"Subdivision","value":"EC"},{"id":4,"name":"Milepost","value":"23.3305"},{"id":17,"name":"Train ID","value":"205-09"},{"id":16,"name":"Locomotive ID","value":"4026"},{"id":130,"name":"Impact","value":""},{"id":150,"name":"Time of Event (Mountain Time)","value":"17:21:06"},{"id":151,"name":"Denver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4026 --day 2017-09-09</v>
      </c>
      <c r="AN117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4025</v>
      </c>
      <c r="C118" s="21" t="s">
        <v>197</v>
      </c>
      <c r="D118" s="21" t="s">
        <v>914</v>
      </c>
      <c r="E118" s="13">
        <v>42987.733506944445</v>
      </c>
      <c r="F118" s="13">
        <v>42987.737743055557</v>
      </c>
      <c r="G118" s="7">
        <v>98</v>
      </c>
      <c r="H118" s="21" t="s">
        <v>915</v>
      </c>
      <c r="I118" s="13">
        <v>42987.763888888891</v>
      </c>
      <c r="J118" s="7">
        <v>0</v>
      </c>
      <c r="K118" s="89" t="str">
        <f t="shared" si="27"/>
        <v>4025/4026</v>
      </c>
      <c r="L118" s="214" t="str">
        <f>VLOOKUP(A118,'Trips&amp;Operators'!$C$1:$G$99911,5,FALSE)</f>
        <v>SAFIEF AEIMEN</v>
      </c>
      <c r="M118" s="6">
        <f t="shared" si="28"/>
        <v>2.6145833333430346E-2</v>
      </c>
      <c r="N118" s="7">
        <f t="shared" si="52"/>
        <v>37.650000000139698</v>
      </c>
      <c r="O118" s="7"/>
      <c r="P118" s="7"/>
      <c r="Q118" s="22"/>
      <c r="R118" s="167"/>
      <c r="S118" s="210">
        <f t="shared" si="47"/>
        <v>1</v>
      </c>
      <c r="T118" s="192" t="str">
        <f t="shared" si="31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32"/>
        <v>https://d0f6bd738d7f1b3e5a7ca70fe4ff75f0.us-east-1.aws.found.io/app/kibana#/discover/Steve-Slow-Train-Analysis-(2080s-and-2083s)?_g=(refreshInterval:(display:Off,pause:!f,section:0,value:0),time:(from:'2017-09-09T16:36:15-0600',mode:absolute,to:'2017-09-09T19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8" s="194" t="str">
        <f>IF(AA118&lt;VLOOKUP(AG118,Variables!$AC$3:$AD$8,2,FALSE),"Y","N")</f>
        <v>N</v>
      </c>
      <c r="X118" s="194">
        <f t="shared" si="45"/>
        <v>1</v>
      </c>
      <c r="Y118" s="194">
        <f t="shared" si="53"/>
        <v>23.3003</v>
      </c>
      <c r="Z118" s="194">
        <f t="shared" si="54"/>
        <v>3.3099999999999997E-2</v>
      </c>
      <c r="AA118" s="194">
        <f t="shared" si="35"/>
        <v>23.267199999999999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6"/>
        <v>206</v>
      </c>
      <c r="AE118" s="77" t="str">
        <f t="shared" si="37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118" s="74" t="str">
        <f t="shared" si="38"/>
        <v>"C:\Program Files (x86)\AstroGrep\AstroGrep.exe" /e /r /s /spath="%USERPROFILE%\AppData\Local\Temp\OnboardLogs" /stypes="app*4025*20170910*" /stext=" 00:.+((SYSTEM_STATE.+slice.+state.+changed )|(ment ac)|(multiple cpu faults)|(system.+state.+changed )|(\[timeout)|(PRM\|1\|D)|(kpr)|(kdp)|(train st.+moving)|(\|lc)|(penalty))"</v>
      </c>
      <c r="AG118" s="206" t="str">
        <f t="shared" si="39"/>
        <v>EC</v>
      </c>
      <c r="AH118" s="78" t="str">
        <f t="shared" si="40"/>
        <v>"%USERPROFILE%\Documents\GitHub\eaglep3\Utilities\RefineRTDCRunTimes.py" --tripid 206-09 --locoid 4025 --swversion DE.1.0.9.0 --startMP 204:233003 --initTime 2017-09-09T17:36:15 --startdatetime 2017-09-09T17:42:21 --delay 98 --endMP 204:331 --enddatetime 2017-09-09T18:20:00 --enforcementcount 0 &gt;&gt;C:\Users\stu\Documents\GitHub\eaglep3-reporting\EC\2017-09-09-refined-times.txt</v>
      </c>
      <c r="AI118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{"issue":{"subject":"","project_id":79,"tracker_id":40,"status_id":1,"priority_id":2,"assigned_to_id":338,"start_date":"2017-09-09","description":"","custom_fields":[{"id":1,"name":"Subdivision","value":"EC"},{"id":4,"name":"Milepost","value":"0.0331"},{"id":17,"name":"Train ID","value":"206-09"},{"id":16,"name":"Locomotive ID","value":"4025"},{"id":130,"name":"Impact","value":""},{"id":150,"name":"Time of Event (Mountain Time)","value":"18:20:00"},{"id":151,"name":"Denver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4025 --day 2017-09-09</v>
      </c>
      <c r="AN118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778</v>
      </c>
      <c r="B119" s="7">
        <v>4058</v>
      </c>
      <c r="C119" s="21" t="s">
        <v>197</v>
      </c>
      <c r="D119" s="21" t="s">
        <v>916</v>
      </c>
      <c r="E119" s="13">
        <v>42987.703009259261</v>
      </c>
      <c r="F119" s="13">
        <v>42987.708495370367</v>
      </c>
      <c r="G119" s="7">
        <v>50</v>
      </c>
      <c r="H119" s="21" t="s">
        <v>864</v>
      </c>
      <c r="I119" s="13">
        <v>42987.733472222222</v>
      </c>
      <c r="J119" s="7">
        <v>0</v>
      </c>
      <c r="K119" s="89" t="str">
        <f t="shared" si="27"/>
        <v>4057/4058</v>
      </c>
      <c r="L119" s="214" t="str">
        <f>VLOOKUP(A119,'Trips&amp;Operators'!$C$1:$G$99911,5,FALSE)</f>
        <v>GUZMAN DANNY</v>
      </c>
      <c r="M119" s="6">
        <f t="shared" si="28"/>
        <v>2.4976851855171844E-2</v>
      </c>
      <c r="N119" s="7">
        <f t="shared" si="52"/>
        <v>35.966666671447456</v>
      </c>
      <c r="O119" s="7"/>
      <c r="P119" s="7"/>
      <c r="Q119" s="22"/>
      <c r="R119" s="167"/>
      <c r="S119" s="210">
        <f t="shared" si="47"/>
        <v>1</v>
      </c>
      <c r="T119" s="192" t="str">
        <f t="shared" si="31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32"/>
        <v>https://d0f6bd738d7f1b3e5a7ca70fe4ff75f0.us-east-1.aws.found.io/app/kibana#/discover/Steve-Slow-Train-Analysis-(2080s-and-2083s)?_g=(refreshInterval:(display:Off,pause:!f,section:0,value:0),time:(from:'2017-09-09T15:52:20-0600',mode:absolute,to:'2017-09-09T18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194" t="str">
        <f>IF(AA119&lt;VLOOKUP(AG119,Variables!$AC$3:$AD$8,2,FALSE),"Y","N")</f>
        <v>N</v>
      </c>
      <c r="X119" s="194">
        <f t="shared" si="45"/>
        <v>1</v>
      </c>
      <c r="Y119" s="194">
        <f t="shared" si="53"/>
        <v>4.9299999999999997E-2</v>
      </c>
      <c r="Z119" s="194">
        <f t="shared" si="54"/>
        <v>23.328700000000001</v>
      </c>
      <c r="AA119" s="194">
        <f t="shared" si="35"/>
        <v>23.279400000000003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6"/>
        <v>207</v>
      </c>
      <c r="AE119" s="77" t="str">
        <f t="shared" si="37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119" s="74" t="str">
        <f t="shared" si="38"/>
        <v>"C:\Program Files (x86)\AstroGrep\AstroGrep.exe" /e /r /s /spath="%USERPROFILE%\AppData\Local\Temp\OnboardLogs" /stypes="app*4058*20170909*" /stext=" 23:.+((SYSTEM_STATE.+slice.+state.+changed )|(ment ac)|(multiple cpu faults)|(system.+state.+changed )|(\[timeout)|(PRM\|1\|D)|(kpr)|(kdp)|(train st.+moving)|(\|lc)|(penalty))"</v>
      </c>
      <c r="AG119" s="206" t="str">
        <f t="shared" si="39"/>
        <v>EC</v>
      </c>
      <c r="AH119" s="78" t="str">
        <f t="shared" si="40"/>
        <v>"%USERPROFILE%\Documents\GitHub\eaglep3\Utilities\RefineRTDCRunTimes.py" --tripid 207-09 --locoid 4058 --swversion DE.1.0.9.0 --startMP 204:493 --initTime 2017-09-09T16:52:20 --startdatetime 2017-09-09T17:00:14 --delay 50 --endMP 204:233287 --enddatetime 2017-09-09T17:36:12 --enforcementcount 0 &gt;&gt;C:\Users\stu\Documents\GitHub\eaglep3-reporting\EC\2017-09-09-refined-times.txt</v>
      </c>
      <c r="AI119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{"issue":{"subject":"","project_id":79,"tracker_id":40,"status_id":1,"priority_id":2,"assigned_to_id":338,"start_date":"2017-09-09","description":"","custom_fields":[{"id":1,"name":"Subdivision","value":"EC"},{"id":4,"name":"Milepost","value":"23.3287"},{"id":17,"name":"Train ID","value":"207-09"},{"id":16,"name":"Locomotive ID","value":"4058"},{"id":130,"name":"Impact","value":""},{"id":150,"name":"Time of Event (Mountain Time)","value":"17:36:12"},{"id":151,"name":"Denver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4058 --day 2017-09-09</v>
      </c>
      <c r="AN119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786</v>
      </c>
      <c r="B120" s="7">
        <v>4057</v>
      </c>
      <c r="C120" s="21" t="s">
        <v>197</v>
      </c>
      <c r="D120" s="21" t="s">
        <v>568</v>
      </c>
      <c r="E120" s="13">
        <v>42987.735567129632</v>
      </c>
      <c r="F120" s="13">
        <v>42987.748194444444</v>
      </c>
      <c r="G120" s="7">
        <v>48</v>
      </c>
      <c r="H120" s="21" t="s">
        <v>369</v>
      </c>
      <c r="I120" s="13">
        <v>42987.774571759262</v>
      </c>
      <c r="J120" s="7">
        <v>0</v>
      </c>
      <c r="K120" s="89" t="str">
        <f t="shared" si="27"/>
        <v>4057/4058</v>
      </c>
      <c r="L120" s="214" t="str">
        <f>VLOOKUP(A120,'Trips&amp;Operators'!$C$1:$G$99911,5,FALSE)</f>
        <v>GUZMAN DANNY</v>
      </c>
      <c r="M120" s="6">
        <f t="shared" si="28"/>
        <v>2.6377314818091691E-2</v>
      </c>
      <c r="N120" s="7">
        <f t="shared" si="52"/>
        <v>37.983333338052034</v>
      </c>
      <c r="O120" s="7"/>
      <c r="P120" s="7"/>
      <c r="Q120" s="22"/>
      <c r="R120" s="167"/>
      <c r="S120" s="210">
        <f t="shared" si="47"/>
        <v>1</v>
      </c>
      <c r="T120" s="192" t="str">
        <f t="shared" si="31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32"/>
        <v>https://d0f6bd738d7f1b3e5a7ca70fe4ff75f0.us-east-1.aws.found.io/app/kibana#/discover/Steve-Slow-Train-Analysis-(2080s-and-2083s)?_g=(refreshInterval:(display:Off,pause:!f,section:0,value:0),time:(from:'2017-09-09T16:39:13-0600',mode:absolute,to:'2017-09-09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194" t="str">
        <f>IF(AA120&lt;VLOOKUP(AG120,Variables!$AC$3:$AD$8,2,FALSE),"Y","N")</f>
        <v>N</v>
      </c>
      <c r="X120" s="194">
        <f t="shared" si="45"/>
        <v>1</v>
      </c>
      <c r="Y120" s="194">
        <f t="shared" si="53"/>
        <v>23.297899999999998</v>
      </c>
      <c r="Z120" s="194">
        <f t="shared" si="54"/>
        <v>1.38E-2</v>
      </c>
      <c r="AA120" s="194">
        <f t="shared" si="35"/>
        <v>23.284099999999999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6"/>
        <v>208</v>
      </c>
      <c r="AE120" s="77" t="str">
        <f t="shared" si="37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120" s="74" t="str">
        <f t="shared" si="38"/>
        <v>"C:\Program Files (x86)\AstroGrep\AstroGrep.exe" /e /r /s /spath="%USERPROFILE%\AppData\Local\Temp\OnboardLogs" /stypes="app*4057*20170910*" /stext=" 00:.+((SYSTEM_STATE.+slice.+state.+changed )|(ment ac)|(multiple cpu faults)|(system.+state.+changed )|(\[timeout)|(PRM\|1\|D)|(kpr)|(kdp)|(train st.+moving)|(\|lc)|(penalty))"</v>
      </c>
      <c r="AG120" s="206" t="str">
        <f t="shared" si="39"/>
        <v>EC</v>
      </c>
      <c r="AH120" s="78" t="str">
        <f t="shared" si="40"/>
        <v>"%USERPROFILE%\Documents\GitHub\eaglep3\Utilities\RefineRTDCRunTimes.py" --tripid 208-09 --locoid 4057 --swversion DE.1.0.9.0 --startMP 204:232979 --initTime 2017-09-09T17:39:13 --startdatetime 2017-09-09T17:57:24 --delay 48 --endMP 204:138 --enddatetime 2017-09-09T18:35:23 --enforcementcount 0 &gt;&gt;C:\Users\stu\Documents\GitHub\eaglep3-reporting\EC\2017-09-09-refined-times.txt</v>
      </c>
      <c r="AI12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{"issue":{"subject":"","project_id":79,"tracker_id":40,"status_id":1,"priority_id":2,"assigned_to_id":338,"start_date":"2017-09-09","description":"","custom_fields":[{"id":1,"name":"Subdivision","value":"EC"},{"id":4,"name":"Milepost","value":"0.0138"},{"id":17,"name":"Train ID","value":"208-09"},{"id":16,"name":"Locomotive ID","value":"4057"},{"id":130,"name":"Impact","value":""},{"id":150,"name":"Time of Event (Mountain Time)","value":"18:35:23"},{"id":151,"name":"Denver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4057 --day 2017-09-09</v>
      </c>
      <c r="AN120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780</v>
      </c>
      <c r="B121" s="7">
        <v>4054</v>
      </c>
      <c r="C121" s="21" t="s">
        <v>197</v>
      </c>
      <c r="D121" s="21" t="s">
        <v>337</v>
      </c>
      <c r="E121" s="13">
        <v>42987.714560185188</v>
      </c>
      <c r="F121" s="13">
        <v>42987.718935185185</v>
      </c>
      <c r="G121" s="7">
        <v>94</v>
      </c>
      <c r="H121" s="21" t="s">
        <v>917</v>
      </c>
      <c r="I121" s="13">
        <v>42987.744699074072</v>
      </c>
      <c r="J121" s="7">
        <v>0</v>
      </c>
      <c r="K121" s="89" t="str">
        <f t="shared" si="27"/>
        <v>4053/4054</v>
      </c>
      <c r="L121" s="214" t="str">
        <f>VLOOKUP(A121,'Trips&amp;Operators'!$C$1:$G$99911,5,FALSE)</f>
        <v>BADERTSCHER DIANE</v>
      </c>
      <c r="M121" s="6">
        <f t="shared" si="28"/>
        <v>2.5763888887013309E-2</v>
      </c>
      <c r="N121" s="7">
        <f t="shared" si="52"/>
        <v>37.099999997299165</v>
      </c>
      <c r="O121" s="7"/>
      <c r="P121" s="7"/>
      <c r="Q121" s="22"/>
      <c r="R121" s="167"/>
      <c r="S121" s="210">
        <f t="shared" si="47"/>
        <v>1</v>
      </c>
      <c r="T121" s="192" t="str">
        <f t="shared" si="31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32"/>
        <v>https://d0f6bd738d7f1b3e5a7ca70fe4ff75f0.us-east-1.aws.found.io/app/kibana#/discover/Steve-Slow-Train-Analysis-(2080s-and-2083s)?_g=(refreshInterval:(display:Off,pause:!f,section:0,value:0),time:(from:'2017-09-09T16:08:58-0600',mode:absolute,to:'2017-09-09T18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94" t="str">
        <f>IF(AA121&lt;VLOOKUP(AG121,Variables!$AC$3:$AD$8,2,FALSE),"Y","N")</f>
        <v>N</v>
      </c>
      <c r="X121" s="194">
        <f t="shared" si="45"/>
        <v>1</v>
      </c>
      <c r="Y121" s="194">
        <f t="shared" si="53"/>
        <v>4.4600000000000001E-2</v>
      </c>
      <c r="Z121" s="194">
        <f t="shared" si="54"/>
        <v>23.326599999999999</v>
      </c>
      <c r="AA121" s="194">
        <f t="shared" si="35"/>
        <v>23.282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6"/>
        <v>209</v>
      </c>
      <c r="AE121" s="77" t="str">
        <f t="shared" si="37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121" s="74" t="str">
        <f t="shared" si="38"/>
        <v>"C:\Program Files (x86)\AstroGrep\AstroGrep.exe" /e /r /s /spath="%USERPROFILE%\AppData\Local\Temp\OnboardLogs" /stypes="app*4054*20170909*" /stext=" 23:.+((SYSTEM_STATE.+slice.+state.+changed )|(ment ac)|(multiple cpu faults)|(system.+state.+changed )|(\[timeout)|(PRM\|1\|D)|(kpr)|(kdp)|(train st.+moving)|(\|lc)|(penalty))"</v>
      </c>
      <c r="AG121" s="206" t="str">
        <f t="shared" si="39"/>
        <v>EC</v>
      </c>
      <c r="AH121" s="78" t="str">
        <f t="shared" si="40"/>
        <v>"%USERPROFILE%\Documents\GitHub\eaglep3\Utilities\RefineRTDCRunTimes.py" --tripid 209-09 --locoid 4054 --swversion DE.1.0.9.0 --startMP 204:446 --initTime 2017-09-09T17:08:58 --startdatetime 2017-09-09T17:15:16 --delay 94 --endMP 204:233266 --enddatetime 2017-09-09T17:52:22 --enforcementcount 0 &gt;&gt;C:\Users\stu\Documents\GitHub\eaglep3-reporting\EC\2017-09-09-refined-times.txt</v>
      </c>
      <c r="AI121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{"issue":{"subject":"","project_id":79,"tracker_id":40,"status_id":1,"priority_id":2,"assigned_to_id":338,"start_date":"2017-09-09","description":"","custom_fields":[{"id":1,"name":"Subdivision","value":"EC"},{"id":4,"name":"Milepost","value":"23.3266"},{"id":17,"name":"Train ID","value":"209-09"},{"id":16,"name":"Locomotive ID","value":"4054"},{"id":130,"name":"Impact","value":""},{"id":150,"name":"Time of Event (Mountain Time)","value":"17:52:22"},{"id":151,"name":"Denver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4054 --day 2017-09-09</v>
      </c>
      <c r="AN121" s="151" t="str">
        <f t="shared" si="43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789</v>
      </c>
      <c r="B122" s="7">
        <v>4053</v>
      </c>
      <c r="C122" s="21" t="s">
        <v>197</v>
      </c>
      <c r="D122" s="21" t="s">
        <v>575</v>
      </c>
      <c r="E122" s="13">
        <v>42987.753807870373</v>
      </c>
      <c r="F122" s="13">
        <v>42987.758530092593</v>
      </c>
      <c r="G122" s="7">
        <v>47</v>
      </c>
      <c r="H122" s="21" t="s">
        <v>918</v>
      </c>
      <c r="I122" s="13">
        <v>42987.78633101852</v>
      </c>
      <c r="J122" s="7">
        <v>0</v>
      </c>
      <c r="K122" s="89" t="str">
        <f t="shared" si="27"/>
        <v>4053/4054</v>
      </c>
      <c r="L122" s="214" t="str">
        <f>VLOOKUP(A122,'Trips&amp;Operators'!$C$1:$G$99911,5,FALSE)</f>
        <v>BADERTSCHER DIANE</v>
      </c>
      <c r="M122" s="6">
        <f t="shared" si="28"/>
        <v>2.7800925927294884E-2</v>
      </c>
      <c r="N122" s="7">
        <f t="shared" si="52"/>
        <v>40.033333335304633</v>
      </c>
      <c r="O122" s="7"/>
      <c r="P122" s="7"/>
      <c r="Q122" s="22"/>
      <c r="R122" s="167"/>
      <c r="S122" s="210">
        <f t="shared" si="47"/>
        <v>1</v>
      </c>
      <c r="T122" s="192" t="str">
        <f t="shared" si="31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32"/>
        <v>https://d0f6bd738d7f1b3e5a7ca70fe4ff75f0.us-east-1.aws.found.io/app/kibana#/discover/Steve-Slow-Train-Analysis-(2080s-and-2083s)?_g=(refreshInterval:(display:Off,pause:!f,section:0,value:0),time:(from:'2017-09-09T17:05:29-0600',mode:absolute,to:'2017-09-09T19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94" t="str">
        <f>IF(AA122&lt;VLOOKUP(AG122,Variables!$AC$3:$AD$8,2,FALSE),"Y","N")</f>
        <v>N</v>
      </c>
      <c r="X122" s="194">
        <f t="shared" si="45"/>
        <v>1</v>
      </c>
      <c r="Y122" s="194">
        <f t="shared" si="53"/>
        <v>23.2973</v>
      </c>
      <c r="Z122" s="194">
        <f t="shared" si="54"/>
        <v>3.4700000000000002E-2</v>
      </c>
      <c r="AA122" s="194">
        <f t="shared" si="35"/>
        <v>23.262599999999999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6"/>
        <v>210</v>
      </c>
      <c r="AE122" s="77" t="str">
        <f t="shared" si="37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22" s="74" t="str">
        <f t="shared" si="38"/>
        <v>"C:\Program Files (x86)\AstroGrep\AstroGrep.exe" /e /r /s /spath="%USERPROFILE%\AppData\Local\Temp\OnboardLogs" /stypes="app*4053*20170910*" /stext=" 00:.+((SYSTEM_STATE.+slice.+state.+changed )|(ment ac)|(multiple cpu faults)|(system.+state.+changed )|(\[timeout)|(PRM\|1\|D)|(kpr)|(kdp)|(train st.+moving)|(\|lc)|(penalty))"</v>
      </c>
      <c r="AG122" s="206" t="str">
        <f t="shared" si="39"/>
        <v>EC</v>
      </c>
      <c r="AH122" s="78" t="str">
        <f t="shared" si="40"/>
        <v>"%USERPROFILE%\Documents\GitHub\eaglep3\Utilities\RefineRTDCRunTimes.py" --tripid 210-09 --locoid 4053 --swversion DE.1.0.9.0 --startMP 204:232973 --initTime 2017-09-09T18:05:29 --startdatetime 2017-09-09T18:12:17 --delay 47 --endMP 204:347 --enddatetime 2017-09-09T18:52:19 --enforcementcount 0 &gt;&gt;C:\Users\stu\Documents\GitHub\eaglep3-reporting\EC\2017-09-09-refined-times.txt</v>
      </c>
      <c r="AI122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{"issue":{"subject":"","project_id":79,"tracker_id":40,"status_id":1,"priority_id":2,"assigned_to_id":338,"start_date":"2017-09-09","description":"","custom_fields":[{"id":1,"name":"Subdivision","value":"EC"},{"id":4,"name":"Milepost","value":"0.0347"},{"id":17,"name":"Train ID","value":"210-09"},{"id":16,"name":"Locomotive ID","value":"4053"},{"id":130,"name":"Impact","value":""},{"id":150,"name":"Time of Event (Mountain Time)","value":"18:52:19"},{"id":151,"name":"Denver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4053 --day 2017-09-09</v>
      </c>
      <c r="AN122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782</v>
      </c>
      <c r="B123" s="7">
        <v>4010</v>
      </c>
      <c r="C123" s="21" t="s">
        <v>197</v>
      </c>
      <c r="D123" s="21" t="s">
        <v>858</v>
      </c>
      <c r="E123" s="13">
        <v>42987.725578703707</v>
      </c>
      <c r="F123" s="13">
        <v>42987.729386574072</v>
      </c>
      <c r="G123" s="7">
        <v>63</v>
      </c>
      <c r="H123" s="21" t="s">
        <v>919</v>
      </c>
      <c r="I123" s="13">
        <v>42987.754745370374</v>
      </c>
      <c r="J123" s="7">
        <v>0</v>
      </c>
      <c r="K123" s="89" t="str">
        <f t="shared" si="27"/>
        <v>4009/4010</v>
      </c>
      <c r="L123" s="214" t="str">
        <f>VLOOKUP(A123,'Trips&amp;Operators'!$C$1:$G$99911,5,FALSE)</f>
        <v>DAVIDSON DAVID</v>
      </c>
      <c r="M123" s="6">
        <f t="shared" si="28"/>
        <v>2.5358796301588882E-2</v>
      </c>
      <c r="N123" s="7">
        <f t="shared" si="52"/>
        <v>36.51666667428799</v>
      </c>
      <c r="O123" s="7"/>
      <c r="P123" s="7"/>
      <c r="Q123" s="22"/>
      <c r="R123" s="167"/>
      <c r="S123" s="210">
        <f t="shared" si="47"/>
        <v>1</v>
      </c>
      <c r="T123" s="192" t="str">
        <f t="shared" si="31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32"/>
        <v>https://d0f6bd738d7f1b3e5a7ca70fe4ff75f0.us-east-1.aws.found.io/app/kibana#/discover/Steve-Slow-Train-Analysis-(2080s-and-2083s)?_g=(refreshInterval:(display:Off,pause:!f,section:0,value:0),time:(from:'2017-09-09T16:24:50-0600',mode:absolute,to:'2017-09-09T19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194" t="str">
        <f>IF(AA123&lt;VLOOKUP(AG123,Variables!$AC$3:$AD$8,2,FALSE),"Y","N")</f>
        <v>N</v>
      </c>
      <c r="X123" s="194">
        <f t="shared" si="45"/>
        <v>1</v>
      </c>
      <c r="Y123" s="194">
        <f t="shared" si="53"/>
        <v>4.4699999999999997E-2</v>
      </c>
      <c r="Z123" s="194">
        <f t="shared" si="54"/>
        <v>23.329799999999999</v>
      </c>
      <c r="AA123" s="194">
        <f t="shared" si="35"/>
        <v>23.2851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6"/>
        <v>211</v>
      </c>
      <c r="AE123" s="77" t="str">
        <f t="shared" si="37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123" s="74" t="str">
        <f t="shared" si="38"/>
        <v>"C:\Program Files (x86)\AstroGrep\AstroGrep.exe" /e /r /s /spath="%USERPROFILE%\AppData\Local\Temp\OnboardLogs" /stypes="app*4010*20170910*" /stext=" 00:.+((SYSTEM_STATE.+slice.+state.+changed )|(ment ac)|(multiple cpu faults)|(system.+state.+changed )|(\[timeout)|(PRM\|1\|D)|(kpr)|(kdp)|(train st.+moving)|(\|lc)|(penalty))"</v>
      </c>
      <c r="AG123" s="206" t="str">
        <f t="shared" si="39"/>
        <v>EC</v>
      </c>
      <c r="AH123" s="78" t="str">
        <f t="shared" si="40"/>
        <v>"%USERPROFILE%\Documents\GitHub\eaglep3\Utilities\RefineRTDCRunTimes.py" --tripid 211-09 --locoid 4010 --swversion DE.1.0.9.0 --startMP 204:447 --initTime 2017-09-09T17:24:50 --startdatetime 2017-09-09T17:30:19 --delay 63 --endMP 204:233298 --enddatetime 2017-09-09T18:06:50 --enforcementcount 0 &gt;&gt;C:\Users\stu\Documents\GitHub\eaglep3-reporting\EC\2017-09-09-refined-times.txt</v>
      </c>
      <c r="AI123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{"issue":{"subject":"","project_id":79,"tracker_id":40,"status_id":1,"priority_id":2,"assigned_to_id":338,"start_date":"2017-09-09","description":"","custom_fields":[{"id":1,"name":"Subdivision","value":"EC"},{"id":4,"name":"Milepost","value":"23.3298"},{"id":17,"name":"Train ID","value":"211-09"},{"id":16,"name":"Locomotive ID","value":"4010"},{"id":130,"name":"Impact","value":""},{"id":150,"name":"Time of Event (Mountain Time)","value":"18:06:50"},{"id":151,"name":"Denver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4010 --day 2017-09-09</v>
      </c>
      <c r="AN123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790</v>
      </c>
      <c r="B124" s="7">
        <v>4009</v>
      </c>
      <c r="C124" s="21" t="s">
        <v>197</v>
      </c>
      <c r="D124" s="21" t="s">
        <v>904</v>
      </c>
      <c r="E124" s="13">
        <v>42987.75712962963</v>
      </c>
      <c r="F124" s="13">
        <v>42987.768958333334</v>
      </c>
      <c r="G124" s="7">
        <v>50</v>
      </c>
      <c r="H124" s="21" t="s">
        <v>374</v>
      </c>
      <c r="I124" s="13">
        <v>42987.797662037039</v>
      </c>
      <c r="J124" s="7">
        <v>0</v>
      </c>
      <c r="K124" s="89" t="str">
        <f t="shared" si="27"/>
        <v>4009/4010</v>
      </c>
      <c r="L124" s="214" t="str">
        <f>VLOOKUP(A124,'Trips&amp;Operators'!$C$1:$G$99911,5,FALSE)</f>
        <v>DAVIDSON DAVID</v>
      </c>
      <c r="M124" s="6">
        <f t="shared" si="28"/>
        <v>2.8703703705104999E-2</v>
      </c>
      <c r="N124" s="7">
        <f t="shared" si="52"/>
        <v>41.333333335351199</v>
      </c>
      <c r="O124" s="7"/>
      <c r="P124" s="7"/>
      <c r="Q124" s="22"/>
      <c r="R124" s="167"/>
      <c r="S124" s="210">
        <f t="shared" si="47"/>
        <v>1</v>
      </c>
      <c r="T124" s="192" t="str">
        <f t="shared" si="31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32"/>
        <v>https://d0f6bd738d7f1b3e5a7ca70fe4ff75f0.us-east-1.aws.found.io/app/kibana#/discover/Steve-Slow-Train-Analysis-(2080s-and-2083s)?_g=(refreshInterval:(display:Off,pause:!f,section:0,value:0),time:(from:'2017-09-09T17:10:16-0600',mode:absolute,to:'2017-09-09T20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194" t="str">
        <f>IF(AA124&lt;VLOOKUP(AG124,Variables!$AC$3:$AD$8,2,FALSE),"Y","N")</f>
        <v>N</v>
      </c>
      <c r="X124" s="194">
        <f t="shared" ref="X124:X134" si="55">VALUE(LEFT(AD124,4))-VALUE(LEFT(AD123,4))</f>
        <v>1</v>
      </c>
      <c r="Y124" s="194">
        <f t="shared" si="53"/>
        <v>23.296600000000002</v>
      </c>
      <c r="Z124" s="194">
        <f t="shared" si="54"/>
        <v>1.5599999999999999E-2</v>
      </c>
      <c r="AA124" s="194">
        <f t="shared" si="35"/>
        <v>23.281000000000002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36"/>
        <v>212</v>
      </c>
      <c r="AE124" s="77" t="str">
        <f t="shared" si="37"/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124" s="74" t="str">
        <f t="shared" si="38"/>
        <v>"C:\Program Files (x86)\AstroGrep\AstroGrep.exe" /e /r /s /spath="%USERPROFILE%\AppData\Local\Temp\OnboardLogs" /stypes="app*4009*20170910*" /stext=" 01:.+((SYSTEM_STATE.+slice.+state.+changed )|(ment ac)|(multiple cpu faults)|(system.+state.+changed )|(\[timeout)|(PRM\|1\|D)|(kpr)|(kdp)|(train st.+moving)|(\|lc)|(penalty))"</v>
      </c>
      <c r="AG124" s="206" t="str">
        <f t="shared" si="39"/>
        <v>EC</v>
      </c>
      <c r="AH124" s="78" t="str">
        <f t="shared" si="40"/>
        <v>"%USERPROFILE%\Documents\GitHub\eaglep3\Utilities\RefineRTDCRunTimes.py" --tripid 212-09 --locoid 4009 --swversion DE.1.0.9.0 --startMP 204:232966 --initTime 2017-09-09T18:10:16 --startdatetime 2017-09-09T18:27:18 --delay 50 --endMP 204:156 --enddatetime 2017-09-09T19:08:38 --enforcementcount 0 &gt;&gt;C:\Users\stu\Documents\GitHub\eaglep3-reporting\EC\2017-09-09-refined-times.txt</v>
      </c>
      <c r="AI124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{"issue":{"subject":"","project_id":79,"tracker_id":40,"status_id":1,"priority_id":2,"assigned_to_id":338,"start_date":"2017-09-09","description":"","custom_fields":[{"id":1,"name":"Subdivision","value":"EC"},{"id":4,"name":"Milepost","value":"0.0156"},{"id":17,"name":"Train ID","value":"212-09"},{"id":16,"name":"Locomotive ID","value":"4009"},{"id":130,"name":"Impact","value":""},{"id":150,"name":"Time of Event (Mountain Time)","value":"19:08:38"},{"id":151,"name":"Denver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4009 --day 2017-09-09</v>
      </c>
      <c r="AN124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634</v>
      </c>
      <c r="B125" s="7">
        <v>4044</v>
      </c>
      <c r="C125" s="21" t="s">
        <v>197</v>
      </c>
      <c r="D125" s="21" t="s">
        <v>856</v>
      </c>
      <c r="E125" s="13">
        <v>42987.735868055555</v>
      </c>
      <c r="F125" s="13">
        <v>42987.739733796298</v>
      </c>
      <c r="G125" s="7">
        <v>101</v>
      </c>
      <c r="H125" s="21" t="s">
        <v>855</v>
      </c>
      <c r="I125" s="13">
        <v>42987.765231481484</v>
      </c>
      <c r="J125" s="7">
        <v>0</v>
      </c>
      <c r="K125" s="89" t="str">
        <f t="shared" si="27"/>
        <v>4043/4044</v>
      </c>
      <c r="L125" s="214" t="str">
        <f>VLOOKUP(A125,'Trips&amp;Operators'!$C$1:$G$99911,5,FALSE)</f>
        <v>FORTUNATO FRANK</v>
      </c>
      <c r="M125" s="6">
        <f t="shared" si="28"/>
        <v>2.5497685186564922E-2</v>
      </c>
      <c r="N125" s="7">
        <f t="shared" si="52"/>
        <v>36.716666668653488</v>
      </c>
      <c r="O125" s="7"/>
      <c r="P125" s="7"/>
      <c r="Q125" s="22"/>
      <c r="R125" s="167"/>
      <c r="S125" s="210">
        <f t="shared" si="47"/>
        <v>1</v>
      </c>
      <c r="T125" s="192" t="str">
        <f t="shared" si="31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32"/>
        <v>https://d0f6bd738d7f1b3e5a7ca70fe4ff75f0.us-east-1.aws.found.io/app/kibana#/discover/Steve-Slow-Train-Analysis-(2080s-and-2083s)?_g=(refreshInterval:(display:Off,pause:!f,section:0,value:0),time:(from:'2017-09-09T16:39:39-0600',mode:absolute,to:'2017-09-09T19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94" t="str">
        <f>IF(AA125&lt;VLOOKUP(AG125,Variables!$AC$3:$AD$8,2,FALSE),"Y","N")</f>
        <v>N</v>
      </c>
      <c r="X125" s="194">
        <f t="shared" si="55"/>
        <v>1</v>
      </c>
      <c r="Y125" s="194">
        <f t="shared" si="53"/>
        <v>4.7300000000000002E-2</v>
      </c>
      <c r="Z125" s="194">
        <f t="shared" si="54"/>
        <v>23.331199999999999</v>
      </c>
      <c r="AA125" s="194">
        <f t="shared" si="35"/>
        <v>23.283899999999999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36"/>
        <v>213</v>
      </c>
      <c r="AE125" s="77" t="str">
        <f t="shared" si="37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125" s="74" t="str">
        <f t="shared" si="38"/>
        <v>"C:\Program Files (x86)\AstroGrep\AstroGrep.exe" /e /r /s /spath="%USERPROFILE%\AppData\Local\Temp\OnboardLogs" /stypes="app*4044*20170910*" /stext=" 00:.+((SYSTEM_STATE.+slice.+state.+changed )|(ment ac)|(multiple cpu faults)|(system.+state.+changed )|(\[timeout)|(PRM\|1\|D)|(kpr)|(kdp)|(train st.+moving)|(\|lc)|(penalty))"</v>
      </c>
      <c r="AG125" s="206" t="str">
        <f t="shared" si="39"/>
        <v>EC</v>
      </c>
      <c r="AH125" s="78" t="str">
        <f t="shared" si="40"/>
        <v>"%USERPROFILE%\Documents\GitHub\eaglep3\Utilities\RefineRTDCRunTimes.py" --tripid 213-09 --locoid 4044 --swversion DE.1.0.9.0 --startMP 204:473 --initTime 2017-09-09T17:39:39 --startdatetime 2017-09-09T17:45:13 --delay 101 --endMP 204:233312 --enddatetime 2017-09-09T18:21:56 --enforcementcount 0 &gt;&gt;C:\Users\stu\Documents\GitHub\eaglep3-reporting\EC\2017-09-09-refined-times.txt</v>
      </c>
      <c r="AI125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{"issue":{"subject":"","project_id":79,"tracker_id":40,"status_id":1,"priority_id":2,"assigned_to_id":338,"start_date":"2017-09-09","description":"","custom_fields":[{"id":1,"name":"Subdivision","value":"EC"},{"id":4,"name":"Milepost","value":"23.3312"},{"id":17,"name":"Train ID","value":"213-09"},{"id":16,"name":"Locomotive ID","value":"4044"},{"id":130,"name":"Impact","value":""},{"id":150,"name":"Time of Event (Mountain Time)","value":"18:21:56"},{"id":151,"name":"Denver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4044 --day 2017-09-09</v>
      </c>
      <c r="AN125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636</v>
      </c>
      <c r="B126" s="7">
        <v>4043</v>
      </c>
      <c r="C126" s="21" t="s">
        <v>197</v>
      </c>
      <c r="D126" s="21" t="s">
        <v>910</v>
      </c>
      <c r="E126" s="13">
        <v>42987.767094907409</v>
      </c>
      <c r="F126" s="13">
        <v>42987.779328703706</v>
      </c>
      <c r="G126" s="7">
        <v>88</v>
      </c>
      <c r="H126" s="21" t="s">
        <v>920</v>
      </c>
      <c r="I126" s="13">
        <v>42987.809386574074</v>
      </c>
      <c r="J126" s="7">
        <v>0</v>
      </c>
      <c r="K126" s="89" t="str">
        <f t="shared" si="27"/>
        <v>4043/4044</v>
      </c>
      <c r="L126" s="214" t="str">
        <f>VLOOKUP(A126,'Trips&amp;Operators'!$C$1:$G$99911,5,FALSE)</f>
        <v>FORTUNATO FRANK</v>
      </c>
      <c r="M126" s="6">
        <f t="shared" si="28"/>
        <v>3.0057870368182193E-2</v>
      </c>
      <c r="N126" s="7">
        <f t="shared" si="52"/>
        <v>43.283333330182359</v>
      </c>
      <c r="O126" s="7"/>
      <c r="P126" s="7"/>
      <c r="Q126" s="22"/>
      <c r="R126" s="167"/>
      <c r="S126" s="210">
        <f t="shared" si="47"/>
        <v>1</v>
      </c>
      <c r="T126" s="192" t="str">
        <f t="shared" si="31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32"/>
        <v>https://d0f6bd738d7f1b3e5a7ca70fe4ff75f0.us-east-1.aws.found.io/app/kibana#/discover/Steve-Slow-Train-Analysis-(2080s-and-2083s)?_g=(refreshInterval:(display:Off,pause:!f,section:0,value:0),time:(from:'2017-09-09T17:24:37-0600',mode:absolute,to:'2017-09-09T20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94" t="str">
        <f>IF(AA126&lt;VLOOKUP(AG126,Variables!$AC$3:$AD$8,2,FALSE),"Y","N")</f>
        <v>N</v>
      </c>
      <c r="X126" s="194">
        <f t="shared" si="55"/>
        <v>1</v>
      </c>
      <c r="Y126" s="194">
        <f t="shared" si="53"/>
        <v>23.299800000000001</v>
      </c>
      <c r="Z126" s="194">
        <f t="shared" si="54"/>
        <v>3.4000000000000002E-2</v>
      </c>
      <c r="AA126" s="194">
        <f t="shared" si="35"/>
        <v>23.265800000000002</v>
      </c>
      <c r="AB126" s="54" t="str">
        <f>VLOOKUP(A126,Enforcements!$C$7:$K$11,8,0)</f>
        <v>Bulletin (2)</v>
      </c>
      <c r="AC126" s="51" t="str">
        <f>VLOOKUP(A126,Enforcements!$C$7:$E$11,3,0)</f>
        <v>GRADE CROSSING</v>
      </c>
      <c r="AD126" s="203">
        <f t="shared" si="36"/>
        <v>214</v>
      </c>
      <c r="AE126" s="77" t="str">
        <f t="shared" si="37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126" s="74" t="str">
        <f t="shared" si="38"/>
        <v>"C:\Program Files (x86)\AstroGrep\AstroGrep.exe" /e /r /s /spath="%USERPROFILE%\AppData\Local\Temp\OnboardLogs" /stypes="app*4043*20170910*" /stext=" 01:.+((SYSTEM_STATE.+slice.+state.+changed )|(ment ac)|(multiple cpu faults)|(system.+state.+changed )|(\[timeout)|(PRM\|1\|D)|(kpr)|(kdp)|(train st.+moving)|(\|lc)|(penalty))"</v>
      </c>
      <c r="AG126" s="206" t="str">
        <f t="shared" si="39"/>
        <v>EC</v>
      </c>
      <c r="AH126" s="78" t="str">
        <f t="shared" si="40"/>
        <v>"%USERPROFILE%\Documents\GitHub\eaglep3\Utilities\RefineRTDCRunTimes.py" --tripid 214-09 --locoid 4043 --swversion DE.1.0.9.0 --startMP 204:232998 --initTime 2017-09-09T18:24:37 --startdatetime 2017-09-09T18:42:14 --delay 88 --endMP 204:340 --enddatetime 2017-09-09T19:25:31 --enforcementcount 0 &gt;&gt;C:\Users\stu\Documents\GitHub\eaglep3-reporting\EC\2017-09-09-refined-times.txt</v>
      </c>
      <c r="AI126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{"issue":{"subject":"","project_id":79,"tracker_id":40,"status_id":1,"priority_id":2,"assigned_to_id":338,"start_date":"2017-09-09","description":"","custom_fields":[{"id":1,"name":"Subdivision","value":"EC"},{"id":4,"name":"Milepost","value":"0.034"},{"id":17,"name":"Train ID","value":"214-09"},{"id":16,"name":"Locomotive ID","value":"4043"},{"id":130,"name":"Impact","value":""},{"id":150,"name":"Time of Event (Mountain Time)","value":"19:25:31"},{"id":151,"name":"Denver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4043 --day 2017-09-09</v>
      </c>
      <c r="AN126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787</v>
      </c>
      <c r="B127" s="7">
        <v>4046</v>
      </c>
      <c r="C127" s="21" t="s">
        <v>197</v>
      </c>
      <c r="D127" s="21" t="s">
        <v>341</v>
      </c>
      <c r="E127" s="13">
        <v>42987.746990740743</v>
      </c>
      <c r="F127" s="13">
        <v>42987.750428240739</v>
      </c>
      <c r="G127" s="7">
        <v>49</v>
      </c>
      <c r="H127" s="21" t="s">
        <v>433</v>
      </c>
      <c r="I127" s="13">
        <v>42987.774699074071</v>
      </c>
      <c r="J127" s="7">
        <v>0</v>
      </c>
      <c r="K127" s="89" t="str">
        <f t="shared" si="27"/>
        <v>4045/4046</v>
      </c>
      <c r="L127" s="214" t="str">
        <f>VLOOKUP(A127,'Trips&amp;Operators'!$C$1:$G$99911,5,FALSE)</f>
        <v>HOLCOMB KAMDEN</v>
      </c>
      <c r="M127" s="6">
        <f t="shared" si="28"/>
        <v>2.4270833331684116E-2</v>
      </c>
      <c r="N127" s="7">
        <f t="shared" si="52"/>
        <v>34.949999997625127</v>
      </c>
      <c r="O127" s="7"/>
      <c r="P127" s="7"/>
      <c r="Q127" s="22"/>
      <c r="R127" s="167"/>
      <c r="S127" s="210">
        <f t="shared" si="47"/>
        <v>1</v>
      </c>
      <c r="T127" s="192" t="str">
        <f t="shared" si="31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32"/>
        <v>https://d0f6bd738d7f1b3e5a7ca70fe4ff75f0.us-east-1.aws.found.io/app/kibana#/discover/Steve-Slow-Train-Analysis-(2080s-and-2083s)?_g=(refreshInterval:(display:Off,pause:!f,section:0,value:0),time:(from:'2017-09-09T16:55:40-0600',mode:absolute,to:'2017-09-09T19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7" s="194" t="str">
        <f>IF(AA127&lt;VLOOKUP(AG127,Variables!$AC$3:$AD$8,2,FALSE),"Y","N")</f>
        <v>N</v>
      </c>
      <c r="X127" s="194">
        <f t="shared" si="55"/>
        <v>1</v>
      </c>
      <c r="Y127" s="194">
        <f t="shared" si="53"/>
        <v>4.53E-2</v>
      </c>
      <c r="Z127" s="194">
        <f t="shared" si="54"/>
        <v>23.331700000000001</v>
      </c>
      <c r="AA127" s="194">
        <f t="shared" si="35"/>
        <v>23.2864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6"/>
        <v>215</v>
      </c>
      <c r="AE127" s="77" t="str">
        <f t="shared" si="37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127" s="74" t="str">
        <f t="shared" si="38"/>
        <v>"C:\Program Files (x86)\AstroGrep\AstroGrep.exe" /e /r /s /spath="%USERPROFILE%\AppData\Local\Temp\OnboardLogs" /stypes="app*4046*20170910*" /stext=" 00:.+((SYSTEM_STATE.+slice.+state.+changed )|(ment ac)|(multiple cpu faults)|(system.+state.+changed )|(\[timeout)|(PRM\|1\|D)|(kpr)|(kdp)|(train st.+moving)|(\|lc)|(penalty))"</v>
      </c>
      <c r="AG127" s="206" t="str">
        <f t="shared" si="39"/>
        <v>EC</v>
      </c>
      <c r="AH127" s="78" t="str">
        <f t="shared" si="40"/>
        <v>"%USERPROFILE%\Documents\GitHub\eaglep3\Utilities\RefineRTDCRunTimes.py" --tripid 215-09 --locoid 4046 --swversion DE.1.0.9.0 --startMP 204:453 --initTime 2017-09-09T17:55:40 --startdatetime 2017-09-09T18:00:37 --delay 49 --endMP 204:233317 --enddatetime 2017-09-09T18:35:34 --enforcementcount 0 &gt;&gt;C:\Users\stu\Documents\GitHub\eaglep3-reporting\EC\2017-09-09-refined-times.txt</v>
      </c>
      <c r="AI127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{"issue":{"subject":"","project_id":79,"tracker_id":40,"status_id":1,"priority_id":2,"assigned_to_id":338,"start_date":"2017-09-09","description":"","custom_fields":[{"id":1,"name":"Subdivision","value":"EC"},{"id":4,"name":"Milepost","value":"23.3317"},{"id":17,"name":"Train ID","value":"215-09"},{"id":16,"name":"Locomotive ID","value":"4046"},{"id":130,"name":"Impact","value":""},{"id":150,"name":"Time of Event (Mountain Time)","value":"18:35:34"},{"id":151,"name":"Denver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4046 --day 2017-09-09</v>
      </c>
      <c r="AN127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795</v>
      </c>
      <c r="B128" s="7">
        <v>4045</v>
      </c>
      <c r="C128" s="21" t="s">
        <v>197</v>
      </c>
      <c r="D128" s="21" t="s">
        <v>910</v>
      </c>
      <c r="E128" s="13">
        <v>42987.786863425928</v>
      </c>
      <c r="F128" s="13">
        <v>42987.789814814816</v>
      </c>
      <c r="G128" s="7">
        <v>49</v>
      </c>
      <c r="H128" s="21" t="s">
        <v>592</v>
      </c>
      <c r="I128" s="13">
        <v>42987.816504629627</v>
      </c>
      <c r="J128" s="7">
        <v>0</v>
      </c>
      <c r="K128" s="89" t="str">
        <f t="shared" si="27"/>
        <v>4045/4046</v>
      </c>
      <c r="L128" s="214" t="str">
        <f>VLOOKUP(A128,'Trips&amp;Operators'!$C$1:$G$99911,5,FALSE)</f>
        <v>HOLCOMB KAMDEN</v>
      </c>
      <c r="M128" s="6">
        <f t="shared" si="28"/>
        <v>2.6689814811106771E-2</v>
      </c>
      <c r="N128" s="7">
        <f t="shared" si="52"/>
        <v>38.433333327993751</v>
      </c>
      <c r="O128" s="7"/>
      <c r="P128" s="7"/>
      <c r="Q128" s="22"/>
      <c r="R128" s="167"/>
      <c r="S128" s="210">
        <f t="shared" si="47"/>
        <v>1</v>
      </c>
      <c r="T128" s="192" t="str">
        <f t="shared" si="31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32"/>
        <v>https://d0f6bd738d7f1b3e5a7ca70fe4ff75f0.us-east-1.aws.found.io/app/kibana#/discover/Steve-Slow-Train-Analysis-(2080s-and-2083s)?_g=(refreshInterval:(display:Off,pause:!f,section:0,value:0),time:(from:'2017-09-09T17:53:05-0600',mode:absolute,to:'2017-09-09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8" s="194" t="str">
        <f>IF(AA128&lt;VLOOKUP(AG128,Variables!$AC$3:$AD$8,2,FALSE),"Y","N")</f>
        <v>N</v>
      </c>
      <c r="X128" s="194">
        <f t="shared" si="55"/>
        <v>1</v>
      </c>
      <c r="Y128" s="194">
        <f t="shared" si="53"/>
        <v>23.299800000000001</v>
      </c>
      <c r="Z128" s="194">
        <f t="shared" si="54"/>
        <v>1.2999999999999999E-2</v>
      </c>
      <c r="AA128" s="194">
        <f t="shared" si="35"/>
        <v>23.286799999999999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6"/>
        <v>216</v>
      </c>
      <c r="AE128" s="77" t="str">
        <f t="shared" si="37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128" s="74" t="str">
        <f t="shared" si="38"/>
        <v>"C:\Program Files (x86)\AstroGrep\AstroGrep.exe" /e /r /s /spath="%USERPROFILE%\AppData\Local\Temp\OnboardLogs" /stypes="app*4045*20170910*" /stext=" 01:.+((SYSTEM_STATE.+slice.+state.+changed )|(ment ac)|(multiple cpu faults)|(system.+state.+changed )|(\[timeout)|(PRM\|1\|D)|(kpr)|(kdp)|(train st.+moving)|(\|lc)|(penalty))"</v>
      </c>
      <c r="AG128" s="206" t="str">
        <f t="shared" si="39"/>
        <v>EC</v>
      </c>
      <c r="AH128" s="78" t="str">
        <f t="shared" si="40"/>
        <v>"%USERPROFILE%\Documents\GitHub\eaglep3\Utilities\RefineRTDCRunTimes.py" --tripid 216-09 --locoid 4045 --swversion DE.1.0.9.0 --startMP 204:232998 --initTime 2017-09-09T18:53:05 --startdatetime 2017-09-09T18:57:20 --delay 49 --endMP 204:130 --enddatetime 2017-09-09T19:35:46 --enforcementcount 0 &gt;&gt;C:\Users\stu\Documents\GitHub\eaglep3-reporting\EC\2017-09-09-refined-times.txt</v>
      </c>
      <c r="AI128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{"issue":{"subject":"","project_id":79,"tracker_id":40,"status_id":1,"priority_id":2,"assigned_to_id":338,"start_date":"2017-09-09","description":"","custom_fields":[{"id":1,"name":"Subdivision","value":"EC"},{"id":4,"name":"Milepost","value":"0.013"},{"id":17,"name":"Train ID","value":"216-09"},{"id":16,"name":"Locomotive ID","value":"4045"},{"id":130,"name":"Impact","value":""},{"id":150,"name":"Time of Event (Mountain Time)","value":"19:35:46"},{"id":151,"name":"Denver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4045 --day 2017-09-09</v>
      </c>
      <c r="AN128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791</v>
      </c>
      <c r="B129" s="7">
        <v>4062</v>
      </c>
      <c r="C129" s="21" t="s">
        <v>197</v>
      </c>
      <c r="D129" s="21" t="s">
        <v>921</v>
      </c>
      <c r="E129" s="13">
        <v>42987.759837962964</v>
      </c>
      <c r="F129" s="13">
        <v>42987.764513888891</v>
      </c>
      <c r="G129" s="7">
        <v>96</v>
      </c>
      <c r="H129" s="21" t="s">
        <v>855</v>
      </c>
      <c r="I129" s="13">
        <v>42987.790069444447</v>
      </c>
      <c r="J129" s="7">
        <v>0</v>
      </c>
      <c r="K129" s="89" t="str">
        <f t="shared" si="27"/>
        <v>4061/4062</v>
      </c>
      <c r="L129" s="214" t="str">
        <f>VLOOKUP(A129,'Trips&amp;Operators'!$C$1:$G$99911,5,FALSE)</f>
        <v>CASSIDY BRANDON</v>
      </c>
      <c r="M129" s="6">
        <f t="shared" si="28"/>
        <v>2.5555555555911269E-2</v>
      </c>
      <c r="N129" s="7">
        <f t="shared" si="52"/>
        <v>36.800000000512227</v>
      </c>
      <c r="O129" s="7"/>
      <c r="P129" s="7"/>
      <c r="Q129" s="22"/>
      <c r="R129" s="167"/>
      <c r="S129" s="210">
        <f t="shared" si="47"/>
        <v>1</v>
      </c>
      <c r="T129" s="192" t="str">
        <f t="shared" si="31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32"/>
        <v>https://d0f6bd738d7f1b3e5a7ca70fe4ff75f0.us-east-1.aws.found.io/app/kibana#/discover/Steve-Slow-Train-Analysis-(2080s-and-2083s)?_g=(refreshInterval:(display:Off,pause:!f,section:0,value:0),time:(from:'2017-09-09T17:14:10-0600',mode:absolute,to:'2017-09-09T19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194" t="str">
        <f>IF(AA129&lt;VLOOKUP(AG129,Variables!$AC$3:$AD$8,2,FALSE),"Y","N")</f>
        <v>N</v>
      </c>
      <c r="X129" s="194">
        <f t="shared" si="55"/>
        <v>1</v>
      </c>
      <c r="Y129" s="194">
        <f t="shared" si="53"/>
        <v>0.1162</v>
      </c>
      <c r="Z129" s="194">
        <f t="shared" si="54"/>
        <v>23.331199999999999</v>
      </c>
      <c r="AA129" s="194">
        <f t="shared" si="35"/>
        <v>23.215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6"/>
        <v>217</v>
      </c>
      <c r="AE129" s="77" t="str">
        <f t="shared" si="37"/>
        <v>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 &amp; 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</v>
      </c>
      <c r="AF129" s="74" t="str">
        <f t="shared" si="38"/>
        <v>"C:\Program Files (x86)\AstroGrep\AstroGrep.exe" /e /r /s /spath="%USERPROFILE%\AppData\Local\Temp\OnboardLogs" /stypes="app*4062*20170910*" /stext=" 00:.+((SYSTEM_STATE.+slice.+state.+changed )|(ment ac)|(multiple cpu faults)|(system.+state.+changed )|(\[timeout)|(PRM\|1\|D)|(kpr)|(kdp)|(train st.+moving)|(\|lc)|(penalty))"</v>
      </c>
      <c r="AG129" s="206" t="str">
        <f t="shared" si="39"/>
        <v>EC</v>
      </c>
      <c r="AH129" s="78" t="str">
        <f t="shared" si="40"/>
        <v>"%USERPROFILE%\Documents\GitHub\eaglep3\Utilities\RefineRTDCRunTimes.py" --tripid 217-09 --locoid 4062 --swversion DE.1.0.9.0 --startMP 204:1162 --initTime 2017-09-09T18:14:10 --startdatetime 2017-09-09T18:20:54 --delay 96 --endMP 204:233312 --enddatetime 2017-09-09T18:57:42 --enforcementcount 0 &gt;&gt;C:\Users\stu\Documents\GitHub\eaglep3-reporting\EC\2017-09-09-refined-times.txt</v>
      </c>
      <c r="AI129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{"issue":{"subject":"","project_id":79,"tracker_id":40,"status_id":1,"priority_id":2,"assigned_to_id":338,"start_date":"2017-09-09","description":"","custom_fields":[{"id":1,"name":"Subdivision","value":"EC"},{"id":4,"name":"Milepost","value":"23.3312"},{"id":17,"name":"Train ID","value":"217-09"},{"id":16,"name":"Locomotive ID","value":"4062"},{"id":130,"name":"Impact","value":""},{"id":150,"name":"Time of Event (Mountain Time)","value":"18:57:42"},{"id":151,"name":"Denver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4062 --day 2017-09-09</v>
      </c>
      <c r="AN129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798</v>
      </c>
      <c r="B130" s="7">
        <v>4061</v>
      </c>
      <c r="C130" s="21" t="s">
        <v>197</v>
      </c>
      <c r="D130" s="21" t="s">
        <v>402</v>
      </c>
      <c r="E130" s="13">
        <v>42987.795856481483</v>
      </c>
      <c r="F130" s="13">
        <v>42987.800300925926</v>
      </c>
      <c r="G130" s="7">
        <v>68</v>
      </c>
      <c r="H130" s="21" t="s">
        <v>922</v>
      </c>
      <c r="I130" s="13">
        <v>42987.826261574075</v>
      </c>
      <c r="J130" s="7">
        <v>0</v>
      </c>
      <c r="K130" s="89" t="str">
        <f t="shared" si="27"/>
        <v>4061/4062</v>
      </c>
      <c r="L130" s="214" t="str">
        <f>VLOOKUP(A130,'Trips&amp;Operators'!$C$1:$G$99911,5,FALSE)</f>
        <v>CASSIDY BRANDON</v>
      </c>
      <c r="M130" s="6">
        <f t="shared" si="28"/>
        <v>2.5960648148611654E-2</v>
      </c>
      <c r="N130" s="7">
        <f t="shared" si="52"/>
        <v>37.383333334000781</v>
      </c>
      <c r="O130" s="7"/>
      <c r="P130" s="7"/>
      <c r="Q130" s="22"/>
      <c r="R130" s="167"/>
      <c r="S130" s="210">
        <f t="shared" si="47"/>
        <v>1</v>
      </c>
      <c r="T130" s="192" t="str">
        <f t="shared" si="31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32"/>
        <v>https://d0f6bd738d7f1b3e5a7ca70fe4ff75f0.us-east-1.aws.found.io/app/kibana#/discover/Steve-Slow-Train-Analysis-(2080s-and-2083s)?_g=(refreshInterval:(display:Off,pause:!f,section:0,value:0),time:(from:'2017-09-09T18:06:02-0600',mode:absolute,to:'2017-09-09T20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194" t="str">
        <f>IF(AA130&lt;VLOOKUP(AG130,Variables!$AC$3:$AD$8,2,FALSE),"Y","N")</f>
        <v>N</v>
      </c>
      <c r="X130" s="194">
        <f t="shared" si="55"/>
        <v>1</v>
      </c>
      <c r="Y130" s="194">
        <f t="shared" si="53"/>
        <v>23.299399999999999</v>
      </c>
      <c r="Z130" s="194">
        <f t="shared" si="54"/>
        <v>0.1847</v>
      </c>
      <c r="AA130" s="194">
        <f t="shared" si="35"/>
        <v>23.114699999999999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6"/>
        <v>218</v>
      </c>
      <c r="AE130" s="77" t="str">
        <f t="shared" si="37"/>
        <v>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 &amp; aws s3 cp s3://rtdc.mdm.uploadarchive.raw/RTDC4061/ "%USERPROFILE%\AppData\Local\Temp\OnboardLogs"\RTDC4061\2017-09-10 --exclude "*" --recursive --include "*20170910*" &amp; "%USERPROFILE%\Documents\GitHub\mrs-test-scripts\Headless Mode &amp; Sideloading\WalkAndUnGZ.bat" "%USERPROFILE%\AppData\Local\Temp\OnboardLogs"\RTDC4061\2017-09-10</v>
      </c>
      <c r="AF130" s="74" t="str">
        <f t="shared" si="38"/>
        <v>"C:\Program Files (x86)\AstroGrep\AstroGrep.exe" /e /r /s /spath="%USERPROFILE%\AppData\Local\Temp\OnboardLogs" /stypes="app*4061*20170910*" /stext=" 01:.+((SYSTEM_STATE.+slice.+state.+changed )|(ment ac)|(multiple cpu faults)|(system.+state.+changed )|(\[timeout)|(PRM\|1\|D)|(kpr)|(kdp)|(train st.+moving)|(\|lc)|(penalty))"</v>
      </c>
      <c r="AG130" s="206" t="str">
        <f t="shared" si="39"/>
        <v>EC</v>
      </c>
      <c r="AH130" s="78" t="str">
        <f t="shared" si="40"/>
        <v>"%USERPROFILE%\Documents\GitHub\eaglep3\Utilities\RefineRTDCRunTimes.py" --tripid 218-09 --locoid 4061 --swversion DE.1.0.9.0 --startMP 204:232994 --initTime 2017-09-09T19:06:02 --startdatetime 2017-09-09T19:12:26 --delay 68 --endMP 204:1847 --enddatetime 2017-09-09T19:49:49 --enforcementcount 0 &gt;&gt;C:\Users\stu\Documents\GitHub\eaglep3-reporting\EC\2017-09-09-refined-times.txt</v>
      </c>
      <c r="AI13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{"issue":{"subject":"","project_id":79,"tracker_id":40,"status_id":1,"priority_id":2,"assigned_to_id":338,"start_date":"2017-09-09","description":"","custom_fields":[{"id":1,"name":"Subdivision","value":"EC"},{"id":4,"name":"Milepost","value":"0.1847"},{"id":17,"name":"Train ID","value":"218-09"},{"id":16,"name":"Locomotive ID","value":"4061"},{"id":130,"name":"Impact","value":""},{"id":150,"name":"Time of Event (Mountain Time)","value":"19:49:49"},{"id":151,"name":"Denver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4061 --day 2017-09-09</v>
      </c>
      <c r="AN130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792</v>
      </c>
      <c r="B131" s="7">
        <v>4026</v>
      </c>
      <c r="C131" s="21" t="s">
        <v>197</v>
      </c>
      <c r="D131" s="21" t="s">
        <v>923</v>
      </c>
      <c r="E131" s="13">
        <v>42987.766898148147</v>
      </c>
      <c r="F131" s="13">
        <v>42987.771041666667</v>
      </c>
      <c r="G131" s="7">
        <v>87</v>
      </c>
      <c r="H131" s="21" t="s">
        <v>436</v>
      </c>
      <c r="I131" s="13">
        <v>42987.797615740739</v>
      </c>
      <c r="J131" s="7">
        <v>0</v>
      </c>
      <c r="K131" s="89" t="str">
        <f t="shared" si="27"/>
        <v>4025/4026</v>
      </c>
      <c r="L131" s="214" t="str">
        <f>VLOOKUP(A131,'Trips&amp;Operators'!$C$1:$G$99911,5,FALSE)</f>
        <v>NICHOLSON WESLEY</v>
      </c>
      <c r="M131" s="6">
        <f t="shared" si="28"/>
        <v>2.6574074072414078E-2</v>
      </c>
      <c r="N131" s="7">
        <f t="shared" si="52"/>
        <v>38.266666664276272</v>
      </c>
      <c r="O131" s="7"/>
      <c r="P131" s="7"/>
      <c r="Q131" s="22"/>
      <c r="R131" s="167"/>
      <c r="S131" s="210">
        <f t="shared" si="47"/>
        <v>1</v>
      </c>
      <c r="T131" s="192" t="str">
        <f t="shared" si="31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32"/>
        <v>https://d0f6bd738d7f1b3e5a7ca70fe4ff75f0.us-east-1.aws.found.io/app/kibana#/discover/Steve-Slow-Train-Analysis-(2080s-and-2083s)?_g=(refreshInterval:(display:Off,pause:!f,section:0,value:0),time:(from:'2017-09-09T17:24:20-0600',mode:absolute,to:'2017-09-09T20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1" s="194" t="str">
        <f>IF(AA131&lt;VLOOKUP(AG131,Variables!$AC$3:$AD$8,2,FALSE),"Y","N")</f>
        <v>N</v>
      </c>
      <c r="X131" s="194">
        <f t="shared" si="55"/>
        <v>1</v>
      </c>
      <c r="Y131" s="194">
        <f t="shared" si="53"/>
        <v>6.3899999999999998E-2</v>
      </c>
      <c r="Z131" s="194">
        <f t="shared" si="54"/>
        <v>23.330400000000001</v>
      </c>
      <c r="AA131" s="194">
        <f t="shared" si="35"/>
        <v>23.266500000000001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6"/>
        <v>219</v>
      </c>
      <c r="AE131" s="77" t="str">
        <f t="shared" si="37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131" s="74" t="str">
        <f t="shared" si="38"/>
        <v>"C:\Program Files (x86)\AstroGrep\AstroGrep.exe" /e /r /s /spath="%USERPROFILE%\AppData\Local\Temp\OnboardLogs" /stypes="app*4026*20170910*" /stext=" 01:.+((SYSTEM_STATE.+slice.+state.+changed )|(ment ac)|(multiple cpu faults)|(system.+state.+changed )|(\[timeout)|(PRM\|1\|D)|(kpr)|(kdp)|(train st.+moving)|(\|lc)|(penalty))"</v>
      </c>
      <c r="AG131" s="206" t="str">
        <f t="shared" si="39"/>
        <v>EC</v>
      </c>
      <c r="AH131" s="78" t="str">
        <f t="shared" si="40"/>
        <v>"%USERPROFILE%\Documents\GitHub\eaglep3\Utilities\RefineRTDCRunTimes.py" --tripid 219-09 --locoid 4026 --swversion DE.1.0.9.0 --startMP 204:639 --initTime 2017-09-09T18:24:20 --startdatetime 2017-09-09T18:30:18 --delay 87 --endMP 204:233304 --enddatetime 2017-09-09T19:08:34 --enforcementcount 0 &gt;&gt;C:\Users\stu\Documents\GitHub\eaglep3-reporting\EC\2017-09-09-refined-times.txt</v>
      </c>
      <c r="AI131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{"issue":{"subject":"","project_id":79,"tracker_id":40,"status_id":1,"priority_id":2,"assigned_to_id":338,"start_date":"2017-09-09","description":"","custom_fields":[{"id":1,"name":"Subdivision","value":"EC"},{"id":4,"name":"Milepost","value":"23.3304"},{"id":17,"name":"Train ID","value":"219-09"},{"id":16,"name":"Locomotive ID","value":"4026"},{"id":130,"name":"Impact","value":""},{"id":150,"name":"Time of Event (Mountain Time)","value":"19:08:34"},{"id":151,"name":"Denver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4026 --day 2017-09-09</v>
      </c>
      <c r="AN131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800</v>
      </c>
      <c r="B132" s="7">
        <v>4025</v>
      </c>
      <c r="C132" s="21" t="s">
        <v>197</v>
      </c>
      <c r="D132" s="21" t="s">
        <v>857</v>
      </c>
      <c r="E132" s="13">
        <v>42987.801724537036</v>
      </c>
      <c r="F132" s="13">
        <v>42987.810706018521</v>
      </c>
      <c r="G132" s="7">
        <v>74</v>
      </c>
      <c r="H132" s="21" t="s">
        <v>361</v>
      </c>
      <c r="I132" s="13">
        <v>42987.838171296295</v>
      </c>
      <c r="J132" s="7">
        <v>0</v>
      </c>
      <c r="K132" s="89" t="str">
        <f t="shared" si="27"/>
        <v>4025/4026</v>
      </c>
      <c r="L132" s="214" t="str">
        <f>VLOOKUP(A132,'Trips&amp;Operators'!$C$1:$G$99911,5,FALSE)</f>
        <v>NICHOLSON WESLEY</v>
      </c>
      <c r="M132" s="6">
        <f t="shared" si="28"/>
        <v>2.7465277773444541E-2</v>
      </c>
      <c r="N132" s="7">
        <f t="shared" si="52"/>
        <v>39.549999993760139</v>
      </c>
      <c r="O132" s="7"/>
      <c r="P132" s="7"/>
      <c r="Q132" s="22"/>
      <c r="R132" s="167"/>
      <c r="S132" s="210">
        <f t="shared" si="47"/>
        <v>1</v>
      </c>
      <c r="T132" s="192" t="str">
        <f t="shared" si="31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32"/>
        <v>https://d0f6bd738d7f1b3e5a7ca70fe4ff75f0.us-east-1.aws.found.io/app/kibana#/discover/Steve-Slow-Train-Analysis-(2080s-and-2083s)?_g=(refreshInterval:(display:Off,pause:!f,section:0,value:0),time:(from:'2017-09-09T18:14:29-0600',mode:absolute,to:'2017-09-09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194" t="str">
        <f>IF(AA132&lt;VLOOKUP(AG132,Variables!$AC$3:$AD$8,2,FALSE),"Y","N")</f>
        <v>N</v>
      </c>
      <c r="X132" s="194">
        <f t="shared" si="55"/>
        <v>1</v>
      </c>
      <c r="Y132" s="194">
        <f t="shared" si="53"/>
        <v>23.2989</v>
      </c>
      <c r="Z132" s="194">
        <f t="shared" si="54"/>
        <v>1.52E-2</v>
      </c>
      <c r="AA132" s="194">
        <f t="shared" si="35"/>
        <v>23.2837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6"/>
        <v>220</v>
      </c>
      <c r="AE132" s="77" t="str">
        <f t="shared" si="37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132" s="74" t="str">
        <f t="shared" si="38"/>
        <v>"C:\Program Files (x86)\AstroGrep\AstroGrep.exe" /e /r /s /spath="%USERPROFILE%\AppData\Local\Temp\OnboardLogs" /stypes="app*4025*20170910*" /stext=" 02:.+((SYSTEM_STATE.+slice.+state.+changed )|(ment ac)|(multiple cpu faults)|(system.+state.+changed )|(\[timeout)|(PRM\|1\|D)|(kpr)|(kdp)|(train st.+moving)|(\|lc)|(penalty))"</v>
      </c>
      <c r="AG132" s="206" t="str">
        <f t="shared" si="39"/>
        <v>EC</v>
      </c>
      <c r="AH132" s="78" t="str">
        <f t="shared" si="40"/>
        <v>"%USERPROFILE%\Documents\GitHub\eaglep3\Utilities\RefineRTDCRunTimes.py" --tripid 220-09 --locoid 4025 --swversion DE.1.0.9.0 --startMP 204:232989 --initTime 2017-09-09T19:14:29 --startdatetime 2017-09-09T19:27:25 --delay 74 --endMP 204:152 --enddatetime 2017-09-09T20:06:58 --enforcementcount 0 &gt;&gt;C:\Users\stu\Documents\GitHub\eaglep3-reporting\EC\2017-09-09-refined-times.txt</v>
      </c>
      <c r="AI132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{"issue":{"subject":"","project_id":79,"tracker_id":40,"status_id":1,"priority_id":2,"assigned_to_id":338,"start_date":"2017-09-09","description":"","custom_fields":[{"id":1,"name":"Subdivision","value":"EC"},{"id":4,"name":"Milepost","value":"0.0152"},{"id":17,"name":"Train ID","value":"220-09"},{"id":16,"name":"Locomotive ID","value":"4025"},{"id":130,"name":"Impact","value":""},{"id":150,"name":"Time of Event (Mountain Time)","value":"20:06:58"},{"id":151,"name":"Denver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4025 --day 2017-09-09</v>
      </c>
      <c r="AN132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796</v>
      </c>
      <c r="B133" s="7">
        <v>4054</v>
      </c>
      <c r="C133" s="21" t="s">
        <v>197</v>
      </c>
      <c r="D133" s="21" t="s">
        <v>924</v>
      </c>
      <c r="E133" s="13">
        <v>42987.789664351854</v>
      </c>
      <c r="F133" s="13">
        <v>42987.791909722226</v>
      </c>
      <c r="G133" s="7">
        <v>66</v>
      </c>
      <c r="H133" s="21" t="s">
        <v>431</v>
      </c>
      <c r="I133" s="13">
        <v>42987.816111111111</v>
      </c>
      <c r="J133" s="7">
        <v>0</v>
      </c>
      <c r="K133" s="89" t="str">
        <f t="shared" si="27"/>
        <v>4053/4054</v>
      </c>
      <c r="L133" s="214" t="str">
        <f>VLOOKUP(A133,'Trips&amp;Operators'!$C$1:$G$99911,5,FALSE)</f>
        <v>HART KEVIN</v>
      </c>
      <c r="M133" s="6">
        <f t="shared" si="28"/>
        <v>2.4201388885558117E-2</v>
      </c>
      <c r="N133" s="7">
        <f t="shared" si="52"/>
        <v>34.849999995203689</v>
      </c>
      <c r="O133" s="7"/>
      <c r="P133" s="7"/>
      <c r="Q133" s="22"/>
      <c r="R133" s="167"/>
      <c r="S133" s="210">
        <f t="shared" si="47"/>
        <v>1</v>
      </c>
      <c r="T133" s="192" t="str">
        <f t="shared" si="31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32"/>
        <v>https://d0f6bd738d7f1b3e5a7ca70fe4ff75f0.us-east-1.aws.found.io/app/kibana#/discover/Steve-Slow-Train-Analysis-(2080s-and-2083s)?_g=(refreshInterval:(display:Off,pause:!f,section:0,value:0),time:(from:'2017-09-09T17:57:07-0600',mode:absolute,to:'2017-09-09T20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194" t="str">
        <f>IF(AA133&lt;VLOOKUP(AG133,Variables!$AC$3:$AD$8,2,FALSE),"Y","N")</f>
        <v>N</v>
      </c>
      <c r="X133" s="194">
        <f t="shared" si="55"/>
        <v>1</v>
      </c>
      <c r="Y133" s="194">
        <f t="shared" si="53"/>
        <v>6.4100000000000004E-2</v>
      </c>
      <c r="Z133" s="194">
        <f t="shared" si="54"/>
        <v>23.3293</v>
      </c>
      <c r="AA133" s="194">
        <f t="shared" si="35"/>
        <v>23.2652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6"/>
        <v>221</v>
      </c>
      <c r="AE133" s="77" t="str">
        <f t="shared" si="37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133" s="74" t="str">
        <f t="shared" si="38"/>
        <v>"C:\Program Files (x86)\AstroGrep\AstroGrep.exe" /e /r /s /spath="%USERPROFILE%\AppData\Local\Temp\OnboardLogs" /stypes="app*4054*20170910*" /stext=" 01:.+((SYSTEM_STATE.+slice.+state.+changed )|(ment ac)|(multiple cpu faults)|(system.+state.+changed )|(\[timeout)|(PRM\|1\|D)|(kpr)|(kdp)|(train st.+moving)|(\|lc)|(penalty))"</v>
      </c>
      <c r="AG133" s="206" t="str">
        <f t="shared" si="39"/>
        <v>EC</v>
      </c>
      <c r="AH133" s="78" t="str">
        <f t="shared" si="40"/>
        <v>"%USERPROFILE%\Documents\GitHub\eaglep3\Utilities\RefineRTDCRunTimes.py" --tripid 221-09 --locoid 4054 --swversion DE.1.0.9.0 --startMP 204:641 --initTime 2017-09-09T18:57:07 --startdatetime 2017-09-09T19:00:21 --delay 66 --endMP 204:233293 --enddatetime 2017-09-09T19:35:12 --enforcementcount 0 &gt;&gt;C:\Users\stu\Documents\GitHub\eaglep3-reporting\EC\2017-09-09-refined-times.txt</v>
      </c>
      <c r="AI133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{"issue":{"subject":"","project_id":79,"tracker_id":40,"status_id":1,"priority_id":2,"assigned_to_id":338,"start_date":"2017-09-09","description":"","custom_fields":[{"id":1,"name":"Subdivision","value":"EC"},{"id":4,"name":"Milepost","value":"23.3293"},{"id":17,"name":"Train ID","value":"221-09"},{"id":16,"name":"Locomotive ID","value":"4054"},{"id":130,"name":"Impact","value":""},{"id":150,"name":"Time of Event (Mountain Time)","value":"19:35:12"},{"id":151,"name":"Denver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4054 --day 2017-09-09</v>
      </c>
      <c r="AN133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803</v>
      </c>
      <c r="B134" s="7">
        <v>4053</v>
      </c>
      <c r="C134" s="21" t="s">
        <v>197</v>
      </c>
      <c r="D134" s="21" t="s">
        <v>403</v>
      </c>
      <c r="E134" s="13">
        <v>42987.828298611108</v>
      </c>
      <c r="F134" s="13">
        <v>42987.83152777778</v>
      </c>
      <c r="G134" s="7">
        <v>59</v>
      </c>
      <c r="H134" s="21" t="s">
        <v>361</v>
      </c>
      <c r="I134" s="13">
        <v>42987.856909722221</v>
      </c>
      <c r="J134" s="7">
        <v>0</v>
      </c>
      <c r="K134" s="89" t="str">
        <f t="shared" si="27"/>
        <v>4053/4054</v>
      </c>
      <c r="L134" s="214" t="str">
        <f>VLOOKUP(A134,'Trips&amp;Operators'!$C$1:$G$99911,5,FALSE)</f>
        <v>HART KEVIN</v>
      </c>
      <c r="M134" s="6">
        <f t="shared" si="28"/>
        <v>2.5381944440596271E-2</v>
      </c>
      <c r="N134" s="7">
        <f t="shared" si="52"/>
        <v>36.549999994458631</v>
      </c>
      <c r="O134" s="7"/>
      <c r="P134" s="7"/>
      <c r="Q134" s="22"/>
      <c r="R134" s="167"/>
      <c r="S134" s="210">
        <f t="shared" si="47"/>
        <v>1</v>
      </c>
      <c r="T134" s="192" t="str">
        <f t="shared" si="31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32"/>
        <v>https://d0f6bd738d7f1b3e5a7ca70fe4ff75f0.us-east-1.aws.found.io/app/kibana#/discover/Steve-Slow-Train-Analysis-(2080s-and-2083s)?_g=(refreshInterval:(display:Off,pause:!f,section:0,value:0),time:(from:'2017-09-09T18:52:45-0600',mode:absolute,to:'2017-09-09T21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194" t="str">
        <f>IF(AA134&lt;VLOOKUP(AG134,Variables!$AC$3:$AD$8,2,FALSE),"Y","N")</f>
        <v>N</v>
      </c>
      <c r="X134" s="194">
        <f t="shared" si="55"/>
        <v>1</v>
      </c>
      <c r="Y134" s="194">
        <f t="shared" si="53"/>
        <v>23.297499999999999</v>
      </c>
      <c r="Z134" s="194">
        <f t="shared" si="54"/>
        <v>1.52E-2</v>
      </c>
      <c r="AA134" s="194">
        <f t="shared" si="35"/>
        <v>23.282299999999999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36"/>
        <v>222</v>
      </c>
      <c r="AE134" s="77" t="str">
        <f t="shared" si="37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34" s="74" t="str">
        <f t="shared" si="38"/>
        <v>"C:\Program Files (x86)\AstroGrep\AstroGrep.exe" /e /r /s /spath="%USERPROFILE%\AppData\Local\Temp\OnboardLogs" /stypes="app*4053*20170910*" /stext=" 02:.+((SYSTEM_STATE.+slice.+state.+changed )|(ment ac)|(multiple cpu faults)|(system.+state.+changed )|(\[timeout)|(PRM\|1\|D)|(kpr)|(kdp)|(train st.+moving)|(\|lc)|(penalty))"</v>
      </c>
      <c r="AG134" s="206" t="str">
        <f t="shared" si="39"/>
        <v>EC</v>
      </c>
      <c r="AH134" s="78" t="str">
        <f t="shared" si="40"/>
        <v>"%USERPROFILE%\Documents\GitHub\eaglep3\Utilities\RefineRTDCRunTimes.py" --tripid 222-09 --locoid 4053 --swversion DE.1.0.9.0 --startMP 204:232975 --initTime 2017-09-09T19:52:45 --startdatetime 2017-09-09T19:57:24 --delay 59 --endMP 204:152 --enddatetime 2017-09-09T20:33:57 --enforcementcount 0 &gt;&gt;C:\Users\stu\Documents\GitHub\eaglep3-reporting\EC\2017-09-09-refined-times.txt</v>
      </c>
      <c r="AI134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{"issue":{"subject":"","project_id":79,"tracker_id":40,"status_id":1,"priority_id":2,"assigned_to_id":338,"start_date":"2017-09-09","description":"","custom_fields":[{"id":1,"name":"Subdivision","value":"EC"},{"id":4,"name":"Milepost","value":"0.0152"},{"id":17,"name":"Train ID","value":"222-09"},{"id":16,"name":"Locomotive ID","value":"4053"},{"id":130,"name":"Impact","value":""},{"id":150,"name":"Time of Event (Mountain Time)","value":"20:33:57"},{"id":151,"name":"Denver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4053 --day 2017-09-09</v>
      </c>
      <c r="AN134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802</v>
      </c>
      <c r="B135" s="7">
        <v>4044</v>
      </c>
      <c r="C135" s="21" t="s">
        <v>197</v>
      </c>
      <c r="D135" s="21" t="s">
        <v>925</v>
      </c>
      <c r="E135" s="13">
        <v>42987.811157407406</v>
      </c>
      <c r="F135" s="13">
        <v>42987.812662037039</v>
      </c>
      <c r="G135" s="7">
        <v>50</v>
      </c>
      <c r="H135" s="21" t="s">
        <v>569</v>
      </c>
      <c r="I135" s="13">
        <v>42987.837488425925</v>
      </c>
      <c r="J135" s="7">
        <v>0</v>
      </c>
      <c r="K135" s="89" t="str">
        <f t="shared" si="27"/>
        <v>4043/4044</v>
      </c>
      <c r="L135" s="214" t="str">
        <f>VLOOKUP(A135,'Trips&amp;Operators'!$C$1:$G$99911,5,FALSE)</f>
        <v>FORTUNATO FRANK</v>
      </c>
      <c r="M135" s="6">
        <f t="shared" si="28"/>
        <v>2.4826388886140194E-2</v>
      </c>
      <c r="N135" s="7">
        <f t="shared" si="52"/>
        <v>35.749999996041879</v>
      </c>
      <c r="O135" s="7"/>
      <c r="P135" s="7"/>
      <c r="Q135" s="22"/>
      <c r="R135" s="167"/>
      <c r="S135" s="210">
        <f t="shared" si="47"/>
        <v>1</v>
      </c>
      <c r="T135" s="192" t="str">
        <f t="shared" si="31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32"/>
        <v>https://d0f6bd738d7f1b3e5a7ca70fe4ff75f0.us-east-1.aws.found.io/app/kibana#/discover/Steve-Slow-Train-Analysis-(2080s-and-2083s)?_g=(refreshInterval:(display:Off,pause:!f,section:0,value:0),time:(from:'2017-09-09T18:28:04-0600',mode:absolute,to:'2017-09-09T21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194" t="str">
        <f>IF(AA135&lt;VLOOKUP(AG135,Variables!$AC$3:$AD$8,2,FALSE),"Y","N")</f>
        <v>N</v>
      </c>
      <c r="X135" s="194">
        <f t="shared" ref="X135:X139" si="56">VALUE(LEFT(AD135,4))-VALUE(LEFT(AD134,4))</f>
        <v>1</v>
      </c>
      <c r="Y135" s="194">
        <f t="shared" si="53"/>
        <v>6.6199999999999995E-2</v>
      </c>
      <c r="Z135" s="194">
        <f t="shared" si="54"/>
        <v>23.331900000000001</v>
      </c>
      <c r="AA135" s="194">
        <f t="shared" si="35"/>
        <v>23.265700000000002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6"/>
        <v>223</v>
      </c>
      <c r="AE135" s="77" t="str">
        <f t="shared" si="37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135" s="74" t="str">
        <f t="shared" si="38"/>
        <v>"C:\Program Files (x86)\AstroGrep\AstroGrep.exe" /e /r /s /spath="%USERPROFILE%\AppData\Local\Temp\OnboardLogs" /stypes="app*4044*20170910*" /stext=" 02:.+((SYSTEM_STATE.+slice.+state.+changed )|(ment ac)|(multiple cpu faults)|(system.+state.+changed )|(\[timeout)|(PRM\|1\|D)|(kpr)|(kdp)|(train st.+moving)|(\|lc)|(penalty))"</v>
      </c>
      <c r="AG135" s="206" t="str">
        <f t="shared" si="39"/>
        <v>EC</v>
      </c>
      <c r="AH135" s="78" t="str">
        <f t="shared" si="40"/>
        <v>"%USERPROFILE%\Documents\GitHub\eaglep3\Utilities\RefineRTDCRunTimes.py" --tripid 223-09 --locoid 4044 --swversion DE.1.0.9.0 --startMP 204:662 --initTime 2017-09-09T19:28:04 --startdatetime 2017-09-09T19:30:14 --delay 50 --endMP 204:233319 --enddatetime 2017-09-09T20:05:59 --enforcementcount 0 &gt;&gt;C:\Users\stu\Documents\GitHub\eaglep3-reporting\EC\2017-09-09-refined-times.txt</v>
      </c>
      <c r="AI135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{"issue":{"subject":"","project_id":79,"tracker_id":40,"status_id":1,"priority_id":2,"assigned_to_id":338,"start_date":"2017-09-09","description":"","custom_fields":[{"id":1,"name":"Subdivision","value":"EC"},{"id":4,"name":"Milepost","value":"23.3319"},{"id":17,"name":"Train ID","value":"223-09"},{"id":16,"name":"Locomotive ID","value":"4044"},{"id":130,"name":"Impact","value":""},{"id":150,"name":"Time of Event (Mountain Time)","value":"20:05:59"},{"id":151,"name":"Denver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4044 --day 2017-09-09</v>
      </c>
      <c r="AN135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805</v>
      </c>
      <c r="B136" s="7">
        <v>4043</v>
      </c>
      <c r="C136" s="21" t="s">
        <v>197</v>
      </c>
      <c r="D136" s="21" t="s">
        <v>437</v>
      </c>
      <c r="E136" s="13">
        <v>42987.838958333334</v>
      </c>
      <c r="F136" s="13">
        <v>42987.852222222224</v>
      </c>
      <c r="G136" s="7">
        <v>47</v>
      </c>
      <c r="H136" s="21" t="s">
        <v>385</v>
      </c>
      <c r="I136" s="13">
        <v>42987.881053240744</v>
      </c>
      <c r="J136" s="7">
        <v>0</v>
      </c>
      <c r="K136" s="89" t="str">
        <f t="shared" si="27"/>
        <v>4043/4044</v>
      </c>
      <c r="L136" s="214" t="str">
        <f>VLOOKUP(A136,'Trips&amp;Operators'!$C$1:$G$99911,5,FALSE)</f>
        <v>FORTUNATO FRANK</v>
      </c>
      <c r="M136" s="6">
        <f t="shared" si="28"/>
        <v>2.8831018520577345E-2</v>
      </c>
      <c r="N136" s="7">
        <f t="shared" si="52"/>
        <v>41.516666669631377</v>
      </c>
      <c r="O136" s="7"/>
      <c r="P136" s="7"/>
      <c r="Q136" s="22"/>
      <c r="R136" s="167"/>
      <c r="S136" s="210">
        <f t="shared" si="47"/>
        <v>1</v>
      </c>
      <c r="T136" s="192" t="str">
        <f t="shared" si="31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32"/>
        <v>https://d0f6bd738d7f1b3e5a7ca70fe4ff75f0.us-east-1.aws.found.io/app/kibana#/discover/Steve-Slow-Train-Analysis-(2080s-and-2083s)?_g=(refreshInterval:(display:Off,pause:!f,section:0,value:0),time:(from:'2017-09-09T19:08:06-0600',mode:absolute,to:'2017-09-09T22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194" t="str">
        <f>IF(AA136&lt;VLOOKUP(AG136,Variables!$AC$3:$AD$8,2,FALSE),"Y","N")</f>
        <v>N</v>
      </c>
      <c r="X136" s="194">
        <f t="shared" si="56"/>
        <v>1</v>
      </c>
      <c r="Y136" s="194">
        <f t="shared" si="53"/>
        <v>23.3004</v>
      </c>
      <c r="Z136" s="194">
        <f t="shared" si="54"/>
        <v>1.61E-2</v>
      </c>
      <c r="AA136" s="194">
        <f t="shared" si="35"/>
        <v>23.284299999999998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36"/>
        <v>224</v>
      </c>
      <c r="AE136" s="77" t="str">
        <f t="shared" si="37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136" s="74" t="str">
        <f t="shared" si="38"/>
        <v>"C:\Program Files (x86)\AstroGrep\AstroGrep.exe" /e /r /s /spath="%USERPROFILE%\AppData\Local\Temp\OnboardLogs" /stypes="app*4043*20170910*" /stext=" 03:.+((SYSTEM_STATE.+slice.+state.+changed )|(ment ac)|(multiple cpu faults)|(system.+state.+changed )|(\[timeout)|(PRM\|1\|D)|(kpr)|(kdp)|(train st.+moving)|(\|lc)|(penalty))"</v>
      </c>
      <c r="AG136" s="206" t="str">
        <f t="shared" si="39"/>
        <v>EC</v>
      </c>
      <c r="AH136" s="78" t="str">
        <f t="shared" si="40"/>
        <v>"%USERPROFILE%\Documents\GitHub\eaglep3\Utilities\RefineRTDCRunTimes.py" --tripid 224-09 --locoid 4043 --swversion DE.1.0.9.0 --startMP 204:233004 --initTime 2017-09-09T20:08:06 --startdatetime 2017-09-09T20:27:12 --delay 47 --endMP 204:161 --enddatetime 2017-09-09T21:08:43 --enforcementcount 0 &gt;&gt;C:\Users\stu\Documents\GitHub\eaglep3-reporting\EC\2017-09-09-refined-times.txt</v>
      </c>
      <c r="AI136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{"issue":{"subject":"","project_id":79,"tracker_id":40,"status_id":1,"priority_id":2,"assigned_to_id":338,"start_date":"2017-09-09","description":"","custom_fields":[{"id":1,"name":"Subdivision","value":"EC"},{"id":4,"name":"Milepost","value":"0.0161"},{"id":17,"name":"Train ID","value":"224-09"},{"id":16,"name":"Locomotive ID","value":"4043"},{"id":130,"name":"Impact","value":""},{"id":150,"name":"Time of Event (Mountain Time)","value":"21:08:43"},{"id":151,"name":"Denver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4043 --day 2017-09-09</v>
      </c>
      <c r="AN136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03:08:43"},{"id":29,"name":"Sharepoint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638</v>
      </c>
      <c r="B137" s="7">
        <v>4050</v>
      </c>
      <c r="C137" s="21" t="s">
        <v>197</v>
      </c>
      <c r="D137" s="21" t="s">
        <v>926</v>
      </c>
      <c r="E137" s="13">
        <v>42987.818877314814</v>
      </c>
      <c r="F137" s="13">
        <v>42987.845729166664</v>
      </c>
      <c r="G137" s="7">
        <v>74</v>
      </c>
      <c r="H137" s="21" t="s">
        <v>927</v>
      </c>
      <c r="I137" s="13">
        <v>42987.861793981479</v>
      </c>
      <c r="J137" s="7">
        <v>0</v>
      </c>
      <c r="K137" s="89" t="str">
        <f t="shared" si="27"/>
        <v>4049/4050</v>
      </c>
      <c r="L137" s="214" t="str">
        <f>VLOOKUP(A137,'Trips&amp;Operators'!$C$1:$G$99911,5,FALSE)</f>
        <v>BIRKHOLZ NADINE</v>
      </c>
      <c r="M137" s="6">
        <f t="shared" si="28"/>
        <v>1.6064814815763384E-2</v>
      </c>
      <c r="N137" s="7"/>
      <c r="O137" s="7"/>
      <c r="P137" s="7">
        <f>24*60*SUM($M137:$M137)</f>
        <v>23.133333334699273</v>
      </c>
      <c r="Q137" s="22"/>
      <c r="R137" s="167" t="s">
        <v>978</v>
      </c>
      <c r="S137" s="210">
        <f t="shared" si="47"/>
        <v>0.25</v>
      </c>
      <c r="T137" s="192" t="str">
        <f t="shared" si="31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3</v>
      </c>
      <c r="V137" s="193" t="str">
        <f t="shared" si="32"/>
        <v>https://d0f6bd738d7f1b3e5a7ca70fe4ff75f0.us-east-1.aws.found.io/app/kibana#/discover/Steve-Slow-Train-Analysis-(2080s-and-2083s)?_g=(refreshInterval:(display:Off,pause:!f,section:0,value:0),time:(from:'2017-09-09T18:39:11-0600',mode:absolute,to:'2017-09-09T21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194" t="str">
        <f>IF(AA137&lt;VLOOKUP(AG137,Variables!$AC$3:$AD$8,2,FALSE),"Y","N")</f>
        <v>Y</v>
      </c>
      <c r="X137" s="194">
        <f t="shared" si="56"/>
        <v>1</v>
      </c>
      <c r="Y137" s="194">
        <f t="shared" si="53"/>
        <v>3.1099999999999999E-2</v>
      </c>
      <c r="Z137" s="194">
        <f t="shared" si="54"/>
        <v>3.7094999999999998</v>
      </c>
      <c r="AA137" s="194">
        <f t="shared" si="35"/>
        <v>3.6783999999999999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36"/>
        <v>225</v>
      </c>
      <c r="AE137" s="77" t="str">
        <f t="shared" si="37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137" s="74" t="str">
        <f t="shared" si="38"/>
        <v>"C:\Program Files (x86)\AstroGrep\AstroGrep.exe" /e /r /s /spath="%USERPROFILE%\AppData\Local\Temp\OnboardLogs" /stypes="app*4050*20170910*" /stext=" 02:.+((SYSTEM_STATE.+slice.+state.+changed )|(ment ac)|(multiple cpu faults)|(system.+state.+changed )|(\[timeout)|(PRM\|1\|D)|(kpr)|(kdp)|(train st.+moving)|(\|lc)|(penalty))"</v>
      </c>
      <c r="AG137" s="206" t="str">
        <f t="shared" si="39"/>
        <v>EC</v>
      </c>
      <c r="AH137" s="78" t="str">
        <f t="shared" si="40"/>
        <v>"%USERPROFILE%\Documents\GitHub\eaglep3\Utilities\RefineRTDCRunTimes.py" --tripid 225-09 --locoid 4050 --swversion DE.1.0.9.0 --startMP 204:311 --initTime 2017-09-09T19:39:11 --startdatetime 2017-09-09T20:17:51 --delay 74 --endMP 204:37095 --enddatetime 2017-09-09T20:40:59 --enforcementcount 0 &gt;&gt;C:\Users\stu\Documents\GitHub\eaglep3-reporting\EC\2017-09-09-refined-times.txt</v>
      </c>
      <c r="AI137" s="96" t="str">
        <f t="shared" si="41"/>
        <v>echo {"issue":{"subject":"Premature downgrade at EC0365RH 27-1T 1N","project_id":79,"tracker_id":40,"status_id":1,"priority_id":2,"assigned_to_id":338,"start_date":"2017-09-09","description":"","custom_fields":[{"id":1,"name":"Subdivision","value":"EC"},{"id":4,"name":"Milepost","value":"3.7095"},{"id":17,"name":"Train ID","value":"225-09"},{"id":16,"name":"Locomotive ID","value":"4050"},{"id":130,"name":"Impact","value":""},{"id":150,"name":"Time of Event (Mountain Time)","value":"20:40:59"},{"id":151,"name":"Denver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4050 --day 2017-09-09</v>
      </c>
      <c r="AN137" s="151" t="str">
        <f t="shared" si="43"/>
        <v>echo {"issue":{"subject":"Premature downgrade at EC0365RH 27-1T 1N","project_id":30,"tracker_id":4,"status_id":1,"priority_id":1,"assigned_to_id":10,"start_date":"2017-09-10","description":"","custom_fields":[{"id":30,"name":"Category","value":"Issue"},{"id":3,"name":"Functional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638</v>
      </c>
      <c r="B138" s="7">
        <v>4050</v>
      </c>
      <c r="C138" s="21" t="s">
        <v>197</v>
      </c>
      <c r="D138" s="21" t="s">
        <v>928</v>
      </c>
      <c r="E138" s="13">
        <v>42987.844583333332</v>
      </c>
      <c r="F138" s="13">
        <v>42987.845729166664</v>
      </c>
      <c r="G138" s="7">
        <v>53</v>
      </c>
      <c r="H138" s="21" t="s">
        <v>843</v>
      </c>
      <c r="I138" s="13">
        <v>42987.861793981479</v>
      </c>
      <c r="J138" s="7">
        <v>0</v>
      </c>
      <c r="K138" s="89" t="str">
        <f t="shared" si="27"/>
        <v>4049/4050</v>
      </c>
      <c r="L138" s="214" t="str">
        <f>VLOOKUP(A138,'Trips&amp;Operators'!$C$1:$G$99911,5,FALSE)</f>
        <v>BIRKHOLZ NADINE</v>
      </c>
      <c r="M138" s="6">
        <f t="shared" si="28"/>
        <v>1.6064814815763384E-2</v>
      </c>
      <c r="N138" s="7"/>
      <c r="O138" s="7"/>
      <c r="P138" s="7"/>
      <c r="Q138" s="22"/>
      <c r="R138" s="167"/>
      <c r="S138" s="210"/>
      <c r="T138" s="192" t="str">
        <f t="shared" si="31"/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3</v>
      </c>
      <c r="V138" s="193" t="str">
        <f t="shared" si="32"/>
        <v>https://d0f6bd738d7f1b3e5a7ca70fe4ff75f0.us-east-1.aws.found.io/app/kibana#/discover/Steve-Slow-Train-Analysis-(2080s-and-2083s)?_g=(refreshInterval:(display:Off,pause:!f,section:0,value:0),time:(from:'2017-09-09T19:16:12-0600',mode:absolute,to:'2017-09-09T21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194" t="str">
        <f>IF(AA138&lt;VLOOKUP(AG138,Variables!$AC$3:$AD$8,2,FALSE),"Y","N")</f>
        <v>Y</v>
      </c>
      <c r="X138" s="194">
        <f t="shared" si="56"/>
        <v>0</v>
      </c>
      <c r="Y138" s="194">
        <f t="shared" si="53"/>
        <v>6.4679000000000002</v>
      </c>
      <c r="Z138" s="194">
        <f t="shared" si="54"/>
        <v>23.330100000000002</v>
      </c>
      <c r="AA138" s="194">
        <f t="shared" si="35"/>
        <v>16.862200000000001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6"/>
        <v>225</v>
      </c>
      <c r="AE138" s="77" t="str">
        <f t="shared" si="37"/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AF138" s="74" t="str">
        <f t="shared" si="38"/>
        <v>"C:\Program Files (x86)\AstroGrep\AstroGrep.exe" /e /r /s /spath="%USERPROFILE%\AppData\Local\Temp\OnboardLogs" /stypes="app*4050*20170910*" /stext=" 02:.+((SYSTEM_STATE.+slice.+state.+changed )|(ment ac)|(multiple cpu faults)|(system.+state.+changed )|(\[timeout)|(PRM\|1\|D)|(kpr)|(kdp)|(train st.+moving)|(\|lc)|(penalty))"</v>
      </c>
      <c r="AG138" s="206" t="str">
        <f t="shared" si="39"/>
        <v>EC</v>
      </c>
      <c r="AH138" s="78" t="str">
        <f t="shared" si="40"/>
        <v>"%USERPROFILE%\Documents\GitHub\eaglep3\Utilities\RefineRTDCRunTimes.py" --tripid 225-09 --locoid 4050 --swversion DE.1.0.9.0 --startMP 204:64679 --initTime 2017-09-09T20:16:12 --startdatetime 2017-09-09T20:17:51 --delay 53 --endMP 204:233301 --enddatetime 2017-09-09T20:40:59 --enforcementcount 0 &gt;&gt;C:\Users\stu\Documents\GitHub\eaglep3-reporting\EC\2017-09-09-refined-times.txt</v>
      </c>
      <c r="AI138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{"issue":{"subject":"","project_id":79,"tracker_id":40,"status_id":1,"priority_id":2,"assigned_to_id":338,"start_date":"2017-09-09","description":"","custom_fields":[{"id":1,"name":"Subdivision","value":"EC"},{"id":4,"name":"Milepost","value":"23.3301"},{"id":17,"name":"Train ID","value":"225-09"},{"id":16,"name":"Locomotive ID","value":"4050"},{"id":130,"name":"Impact","value":""},{"id":150,"name":"Time of Event (Mountain Time)","value":"20:40:59"},{"id":151,"name":"Denver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4050 --day 2017-09-09</v>
      </c>
      <c r="AN138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639</v>
      </c>
      <c r="B139" s="7">
        <v>4049</v>
      </c>
      <c r="C139" s="21" t="s">
        <v>197</v>
      </c>
      <c r="D139" s="21" t="s">
        <v>929</v>
      </c>
      <c r="E139" s="13">
        <v>42987.868842592594</v>
      </c>
      <c r="F139" s="13">
        <v>42987.873124999998</v>
      </c>
      <c r="G139" s="7">
        <v>67</v>
      </c>
      <c r="H139" s="21" t="s">
        <v>930</v>
      </c>
      <c r="I139" s="13">
        <v>42987.899733796294</v>
      </c>
      <c r="J139" s="7">
        <v>0</v>
      </c>
      <c r="K139" s="89" t="str">
        <f t="shared" si="27"/>
        <v>4049/4050</v>
      </c>
      <c r="L139" s="214" t="str">
        <f>VLOOKUP(A139,'Trips&amp;Operators'!$C$1:$G$99911,5,FALSE)</f>
        <v>BIRKHOLZ NADINE</v>
      </c>
      <c r="M139" s="6">
        <f t="shared" si="28"/>
        <v>2.6608796295477077E-2</v>
      </c>
      <c r="N139" s="7">
        <f t="shared" ref="N139:N168" si="57">24*60*SUM($M139:$M139)</f>
        <v>38.316666665486991</v>
      </c>
      <c r="O139" s="7"/>
      <c r="P139" s="7"/>
      <c r="Q139" s="22"/>
      <c r="R139" s="167"/>
      <c r="S139" s="210">
        <f t="shared" ref="S139:S170" si="58">1/IF(AG139="EC",12,1)*SUM(U139:U139)</f>
        <v>1</v>
      </c>
      <c r="T139" s="192" t="str">
        <f t="shared" si="31"/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32"/>
        <v>https://d0f6bd738d7f1b3e5a7ca70fe4ff75f0.us-east-1.aws.found.io/app/kibana#/discover/Steve-Slow-Train-Analysis-(2080s-and-2083s)?_g=(refreshInterval:(display:Off,pause:!f,section:0,value:0),time:(from:'2017-09-09T19:51:08-0600',mode:absolute,to:'2017-09-09T22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194" t="str">
        <f>IF(AA139&lt;VLOOKUP(AG139,Variables!$AC$3:$AD$8,2,FALSE),"Y","N")</f>
        <v>N</v>
      </c>
      <c r="X139" s="194">
        <f t="shared" si="56"/>
        <v>1</v>
      </c>
      <c r="Y139" s="194">
        <f t="shared" si="53"/>
        <v>23.298999999999999</v>
      </c>
      <c r="Z139" s="194">
        <f t="shared" si="54"/>
        <v>0.24709999999999999</v>
      </c>
      <c r="AA139" s="194">
        <f t="shared" si="35"/>
        <v>23.0519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36"/>
        <v>226</v>
      </c>
      <c r="AE139" s="77" t="str">
        <f t="shared" si="37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139" s="74" t="str">
        <f t="shared" si="38"/>
        <v>"C:\Program Files (x86)\AstroGrep\AstroGrep.exe" /e /r /s /spath="%USERPROFILE%\AppData\Local\Temp\OnboardLogs" /stypes="app*4049*20170910*" /stext=" 03:.+((SYSTEM_STATE.+slice.+state.+changed )|(ment ac)|(multiple cpu faults)|(system.+state.+changed )|(\[timeout)|(PRM\|1\|D)|(kpr)|(kdp)|(train st.+moving)|(\|lc)|(penalty))"</v>
      </c>
      <c r="AG139" s="206" t="str">
        <f t="shared" si="39"/>
        <v>EC</v>
      </c>
      <c r="AH139" s="78" t="str">
        <f t="shared" si="40"/>
        <v>"%USERPROFILE%\Documents\GitHub\eaglep3\Utilities\RefineRTDCRunTimes.py" --tripid 226-09 --locoid 4049 --swversion DE.1.0.9.0 --startMP 204:232990 --initTime 2017-09-09T20:51:08 --startdatetime 2017-09-09T20:57:18 --delay 67 --endMP 204:2471 --enddatetime 2017-09-09T21:35:37 --enforcementcount 0 &gt;&gt;C:\Users\stu\Documents\GitHub\eaglep3-reporting\EC\2017-09-09-refined-times.txt</v>
      </c>
      <c r="AI139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{"issue":{"subject":"","project_id":79,"tracker_id":40,"status_id":1,"priority_id":2,"assigned_to_id":338,"start_date":"2017-09-09","description":"","custom_fields":[{"id":1,"name":"Subdivision","value":"EC"},{"id":4,"name":"Milepost","value":"0.2471"},{"id":17,"name":"Train ID","value":"226-09"},{"id":16,"name":"Locomotive ID","value":"4049"},{"id":130,"name":"Impact","value":""},{"id":150,"name":"Time of Event (Mountain Time)","value":"21:35:37"},{"id":151,"name":"Denver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4049 --day 2017-09-09</v>
      </c>
      <c r="AN139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806</v>
      </c>
      <c r="B140" s="7">
        <v>4026</v>
      </c>
      <c r="C140" s="21" t="s">
        <v>197</v>
      </c>
      <c r="D140" s="21" t="s">
        <v>363</v>
      </c>
      <c r="E140" s="13">
        <v>42987.841041666667</v>
      </c>
      <c r="F140" s="13">
        <v>42987.854351851849</v>
      </c>
      <c r="G140" s="7">
        <v>105</v>
      </c>
      <c r="H140" s="21" t="s">
        <v>931</v>
      </c>
      <c r="I140" s="13">
        <v>42987.880219907405</v>
      </c>
      <c r="J140" s="7">
        <v>0</v>
      </c>
      <c r="K140" s="89" t="str">
        <f t="shared" si="27"/>
        <v>4025/4026</v>
      </c>
      <c r="L140" s="214" t="str">
        <f>VLOOKUP(A140,'Trips&amp;Operators'!$C$1:$G$99911,5,FALSE)</f>
        <v>NICHOLSON WESLEY</v>
      </c>
      <c r="M140" s="6">
        <f t="shared" si="28"/>
        <v>2.5868055556202307E-2</v>
      </c>
      <c r="N140" s="7">
        <f t="shared" si="57"/>
        <v>37.250000000931323</v>
      </c>
      <c r="O140" s="7"/>
      <c r="P140" s="7"/>
      <c r="Q140" s="22"/>
      <c r="R140" s="167"/>
      <c r="S140" s="210">
        <f t="shared" si="58"/>
        <v>1</v>
      </c>
      <c r="T140" s="192" t="str">
        <f t="shared" si="31"/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32"/>
        <v>https://d0f6bd738d7f1b3e5a7ca70fe4ff75f0.us-east-1.aws.found.io/app/kibana#/discover/Steve-Slow-Train-Analysis-(2080s-and-2083s)?_g=(refreshInterval:(display:Off,pause:!f,section:0,value:0),time:(from:'2017-09-09T19:11:06-0600',mode:absolute,to:'2017-09-09T22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194" t="str">
        <f>IF(AA140&lt;VLOOKUP(AG140,Variables!$AC$3:$AD$8,2,FALSE),"Y","N")</f>
        <v>N</v>
      </c>
      <c r="X140" s="194">
        <f t="shared" ref="X140:X149" si="59">VALUE(LEFT(AD140,4))-VALUE(LEFT(AD139,4))</f>
        <v>1</v>
      </c>
      <c r="Y140" s="194">
        <f t="shared" si="53"/>
        <v>4.5699999999999998E-2</v>
      </c>
      <c r="Z140" s="194">
        <f t="shared" si="54"/>
        <v>23.343800000000002</v>
      </c>
      <c r="AA140" s="194">
        <f t="shared" si="35"/>
        <v>23.298100000000002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36"/>
        <v>227</v>
      </c>
      <c r="AE140" s="77" t="str">
        <f t="shared" si="37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140" s="74" t="str">
        <f t="shared" si="38"/>
        <v>"C:\Program Files (x86)\AstroGrep\AstroGrep.exe" /e /r /s /spath="%USERPROFILE%\AppData\Local\Temp\OnboardLogs" /stypes="app*4026*20170910*" /stext=" 03:.+((SYSTEM_STATE.+slice.+state.+changed )|(ment ac)|(multiple cpu faults)|(system.+state.+changed )|(\[timeout)|(PRM\|1\|D)|(kpr)|(kdp)|(train st.+moving)|(\|lc)|(penalty))"</v>
      </c>
      <c r="AG140" s="206" t="str">
        <f t="shared" si="39"/>
        <v>EC</v>
      </c>
      <c r="AH140" s="78" t="str">
        <f t="shared" si="40"/>
        <v>"%USERPROFILE%\Documents\GitHub\eaglep3\Utilities\RefineRTDCRunTimes.py" --tripid 227-09 --locoid 4026 --swversion DE.1.0.9.0 --startMP 204:457 --initTime 2017-09-09T20:11:06 --startdatetime 2017-09-09T20:30:16 --delay 105 --endMP 204:233438 --enddatetime 2017-09-09T21:07:31 --enforcementcount 0 &gt;&gt;C:\Users\stu\Documents\GitHub\eaglep3-reporting\EC\2017-09-09-refined-times.txt</v>
      </c>
      <c r="AI140" s="96" t="str">
        <f t="shared" si="41"/>
        <v>echo {"issue":{"subject":"","project_id":79,"tracker_id":40,"status_id":1,"priority_id":2,"assigned_to_id":338,"start_date":"2017-09-09","description":"","custom_fields":[{"id":1,"name":"Subdivision","value":"EC"},{"id":4,"name":"Milepost","value":"23.3438"},{"id":17,"name":"Train ID","value":"227-09"},{"id":16,"name":"Locomotive ID","value":"4026"},{"id":130,"name":"Impact","value":""},{"id":150,"name":"Time of Event (Mountain Time)","value":"21:07:31"},{"id":151,"name":"Denver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4026 --day 2017-09-09</v>
      </c>
      <c r="AN140" s="151" t="str">
        <f t="shared" si="43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641</v>
      </c>
      <c r="B141" s="7">
        <v>4025</v>
      </c>
      <c r="C141" s="21" t="s">
        <v>197</v>
      </c>
      <c r="D141" s="21" t="s">
        <v>497</v>
      </c>
      <c r="E141" s="13">
        <v>42987.88962962963</v>
      </c>
      <c r="F141" s="13">
        <v>42987.894050925926</v>
      </c>
      <c r="G141" s="7">
        <v>58</v>
      </c>
      <c r="H141" s="21" t="s">
        <v>594</v>
      </c>
      <c r="I141" s="13">
        <v>42987.921620370369</v>
      </c>
      <c r="J141" s="7">
        <v>0</v>
      </c>
      <c r="K141" s="89" t="str">
        <f t="shared" ref="K141:K204" si="60">IF(ISEVEN(B141),(B141-1)&amp;"/"&amp;B141,B141&amp;"/"&amp;(B141+1))</f>
        <v>4025/4026</v>
      </c>
      <c r="L141" s="214" t="str">
        <f>VLOOKUP(A141,'Trips&amp;Operators'!$C$1:$G$99911,5,FALSE)</f>
        <v>NICHOLSON WESLEY</v>
      </c>
      <c r="M141" s="6">
        <f t="shared" ref="M141:M204" si="61">I141-F141</f>
        <v>2.7569444442633539E-2</v>
      </c>
      <c r="N141" s="7">
        <f t="shared" si="57"/>
        <v>39.699999997392297</v>
      </c>
      <c r="O141" s="7"/>
      <c r="P141" s="7"/>
      <c r="Q141" s="22"/>
      <c r="R141" s="167"/>
      <c r="S141" s="210">
        <f t="shared" si="58"/>
        <v>1</v>
      </c>
      <c r="T141" s="192" t="str">
        <f t="shared" ref="T141:T204" si="62">IF(ISEVEN(LEFT(AD141,4)),"Southbound","NorthBound")</f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-09T20:21:04-0600',mode:absolute,to:'2017-09-09T23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194" t="str">
        <f>IF(AA141&lt;VLOOKUP(AG141,Variables!$AC$3:$AD$8,2,FALSE),"Y","N")</f>
        <v>N</v>
      </c>
      <c r="X141" s="194">
        <f t="shared" si="59"/>
        <v>1</v>
      </c>
      <c r="Y141" s="194">
        <f t="shared" si="53"/>
        <v>23.299099999999999</v>
      </c>
      <c r="Z141" s="194">
        <f t="shared" si="54"/>
        <v>1.7600000000000001E-2</v>
      </c>
      <c r="AA141" s="194">
        <f t="shared" ref="AA141:AA204" si="64">ABS(Z141-Y141)</f>
        <v>23.281499999999998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65">VALUE(LEFT(A141,LEN(A141)-3))</f>
        <v>228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/stypes="app*4025*20170910*" /stext=" 04:.+((SYSTEM_STATE.+slice.+state.+changed )|(ment ac)|(multiple cpu faults)|(system.+state.+changed )|(\[timeout)|(PRM\|1\|D)|(kpr)|(kdp)|(train st.+moving)|(\|lc)|(penalty))"</v>
      </c>
      <c r="AG141" s="206" t="str">
        <f t="shared" ref="AG141:AG204" si="68">DetSubdiv(A141)</f>
        <v>EC</v>
      </c>
      <c r="AH141" s="78" t="str">
        <f t="shared" ref="AH141:AH207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228-09 --locoid 4025 --swversion DE.1.0.9.0 --startMP 204:232991 --initTime 2017-09-09T21:21:04 --startdatetime 2017-09-09T21:27:26 --delay 58 --endMP 204:176 --enddatetime 2017-09-09T22:07:08 --enforcementcount 0 &gt;&gt;C:\Users\stu\Documents\GitHub\eaglep3-reporting\EC\2017-09-09-refined-times.txt</v>
      </c>
      <c r="AI141" s="96" t="str">
        <f t="shared" ref="AI141:AI204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{"issue":{"subject":"","project_id":79,"tracker_id":40,"status_id":1,"priority_id":2,"assigned_to_id":338,"start_date":"2017-09-09","description":"","custom_fields":[{"id":1,"name":"Subdivision","value":"EC"},{"id":4,"name":"Milepost","value":"0.0176"},{"id":17,"name":"Train ID","value":"228-09"},{"id":16,"name":"Locomotive ID","value":"4025"},{"id":130,"name":"Impact","value":""},{"id":150,"name":"Time of Event (Mountain Time)","value":"22:07:08"},{"id":151,"name":"Denver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7" si="71">"start /low /b "&amp;dls3logs&amp;" --loco "&amp;B141&amp;" --day "&amp;TEXT(F141,"YYYY-MM-DD")</f>
        <v>start /low /b %USERPROFILE%\Documents\GitHub\eaglep3\Utilities\DownloadLogsFromS3.py --loco 4025 --day 2017-09-09</v>
      </c>
      <c r="AN141" s="151" t="str">
        <f t="shared" ref="AN141:AN207" si="72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04:07:08"},{"id":29,"name":"Sharepoint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808</v>
      </c>
      <c r="B142" s="7">
        <v>4054</v>
      </c>
      <c r="C142" s="21" t="s">
        <v>197</v>
      </c>
      <c r="D142" s="21" t="s">
        <v>858</v>
      </c>
      <c r="E142" s="13">
        <v>42987.866180555553</v>
      </c>
      <c r="F142" s="13">
        <v>42987.875231481485</v>
      </c>
      <c r="G142" s="7">
        <v>70</v>
      </c>
      <c r="H142" s="21" t="s">
        <v>435</v>
      </c>
      <c r="I142" s="13">
        <v>42987.899282407408</v>
      </c>
      <c r="J142" s="7">
        <v>0</v>
      </c>
      <c r="K142" s="89" t="str">
        <f t="shared" si="60"/>
        <v>4053/4054</v>
      </c>
      <c r="L142" s="214" t="str">
        <f>VLOOKUP(A142,'Trips&amp;Operators'!$C$1:$G$99911,5,FALSE)</f>
        <v>HART KEVIN</v>
      </c>
      <c r="M142" s="6">
        <f t="shared" si="61"/>
        <v>2.4050925923802424E-2</v>
      </c>
      <c r="N142" s="7">
        <f t="shared" si="57"/>
        <v>34.633333330275491</v>
      </c>
      <c r="O142" s="7"/>
      <c r="P142" s="7"/>
      <c r="Q142" s="22"/>
      <c r="R142" s="167"/>
      <c r="S142" s="210">
        <f t="shared" si="58"/>
        <v>1</v>
      </c>
      <c r="T142" s="192" t="str">
        <f t="shared" si="62"/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63"/>
        <v>https://d0f6bd738d7f1b3e5a7ca70fe4ff75f0.us-east-1.aws.found.io/app/kibana#/discover/Steve-Slow-Train-Analysis-(2080s-and-2083s)?_g=(refreshInterval:(display:Off,pause:!f,section:0,value:0),time:(from:'2017-09-09T19:47:18-0600',mode:absolute,to:'2017-09-09T22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94" t="str">
        <f>IF(AA142&lt;VLOOKUP(AG142,Variables!$AC$3:$AD$8,2,FALSE),"Y","N")</f>
        <v>N</v>
      </c>
      <c r="X142" s="194">
        <f t="shared" si="59"/>
        <v>1</v>
      </c>
      <c r="Y142" s="194">
        <f t="shared" si="53"/>
        <v>4.4699999999999997E-2</v>
      </c>
      <c r="Z142" s="194">
        <f t="shared" si="54"/>
        <v>23.330300000000001</v>
      </c>
      <c r="AA142" s="194">
        <f t="shared" si="64"/>
        <v>23.285600000000002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65"/>
        <v>229</v>
      </c>
      <c r="AE142" s="77" t="str">
        <f t="shared" si="66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142" s="74" t="str">
        <f t="shared" si="67"/>
        <v>"C:\Program Files (x86)\AstroGrep\AstroGrep.exe" /e /r /s /spath="%USERPROFILE%\AppData\Local\Temp\OnboardLogs" /stypes="app*4054*20170910*" /stext=" 03:.+((SYSTEM_STATE.+slice.+state.+changed )|(ment ac)|(multiple cpu faults)|(system.+state.+changed )|(\[timeout)|(PRM\|1\|D)|(kpr)|(kdp)|(train st.+moving)|(\|lc)|(penalty))"</v>
      </c>
      <c r="AG142" s="206" t="str">
        <f t="shared" si="68"/>
        <v>EC</v>
      </c>
      <c r="AH142" s="78" t="str">
        <f t="shared" si="69"/>
        <v>"%USERPROFILE%\Documents\GitHub\eaglep3\Utilities\RefineRTDCRunTimes.py" --tripid 229-09 --locoid 4054 --swversion DE.1.0.9.0 --startMP 204:447 --initTime 2017-09-09T20:47:18 --startdatetime 2017-09-09T21:00:20 --delay 70 --endMP 204:233303 --enddatetime 2017-09-09T21:34:58 --enforcementcount 0 &gt;&gt;C:\Users\stu\Documents\GitHub\eaglep3-reporting\EC\2017-09-09-refined-times.txt</v>
      </c>
      <c r="AI142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{"issue":{"subject":"","project_id":79,"tracker_id":40,"status_id":1,"priority_id":2,"assigned_to_id":338,"start_date":"2017-09-09","description":"","custom_fields":[{"id":1,"name":"Subdivision","value":"EC"},{"id":4,"name":"Milepost","value":"23.3303"},{"id":17,"name":"Train ID","value":"229-09"},{"id":16,"name":"Locomotive ID","value":"4054"},{"id":130,"name":"Impact","value":""},{"id":150,"name":"Time of Event (Mountain Time)","value":"21:34:58"},{"id":151,"name":"Denver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1"/>
        <v>start /low /b %USERPROFILE%\Documents\GitHub\eaglep3\Utilities\DownloadLogsFromS3.py --loco 4054 --day 2017-09-09</v>
      </c>
      <c r="AN142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642</v>
      </c>
      <c r="B143" s="7">
        <v>4053</v>
      </c>
      <c r="C143" s="21" t="s">
        <v>197</v>
      </c>
      <c r="D143" s="21" t="s">
        <v>524</v>
      </c>
      <c r="E143" s="13">
        <v>42987.911678240744</v>
      </c>
      <c r="F143" s="13">
        <v>42987.91479166667</v>
      </c>
      <c r="G143" s="7">
        <v>55</v>
      </c>
      <c r="H143" s="21" t="s">
        <v>932</v>
      </c>
      <c r="I143" s="13">
        <v>42987.940115740741</v>
      </c>
      <c r="J143" s="7">
        <v>0</v>
      </c>
      <c r="K143" s="89" t="str">
        <f t="shared" si="60"/>
        <v>4053/4054</v>
      </c>
      <c r="L143" s="214" t="str">
        <f>VLOOKUP(A143,'Trips&amp;Operators'!$C$1:$G$99911,5,FALSE)</f>
        <v>HART KEVIN</v>
      </c>
      <c r="M143" s="6">
        <f t="shared" si="61"/>
        <v>2.5324074071249925E-2</v>
      </c>
      <c r="N143" s="7">
        <f t="shared" si="57"/>
        <v>36.466666662599891</v>
      </c>
      <c r="O143" s="7"/>
      <c r="P143" s="7"/>
      <c r="Q143" s="22"/>
      <c r="R143" s="167"/>
      <c r="S143" s="210">
        <f t="shared" si="58"/>
        <v>1</v>
      </c>
      <c r="T143" s="192" t="str">
        <f t="shared" si="62"/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63"/>
        <v>https://d0f6bd738d7f1b3e5a7ca70fe4ff75f0.us-east-1.aws.found.io/app/kibana#/discover/Steve-Slow-Train-Analysis-(2080s-and-2083s)?_g=(refreshInterval:(display:Off,pause:!f,section:0,value:0),time:(from:'2017-09-09T20:52:49-0600',mode:absolute,to:'2017-09-09T23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194" t="str">
        <f>IF(AA143&lt;VLOOKUP(AG143,Variables!$AC$3:$AD$8,2,FALSE),"Y","N")</f>
        <v>N</v>
      </c>
      <c r="X143" s="194">
        <f t="shared" si="59"/>
        <v>1</v>
      </c>
      <c r="Y143" s="194">
        <f t="shared" si="53"/>
        <v>23.299600000000002</v>
      </c>
      <c r="Z143" s="194">
        <f t="shared" si="54"/>
        <v>1.8700000000000001E-2</v>
      </c>
      <c r="AA143" s="194">
        <f t="shared" si="64"/>
        <v>23.280900000000003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65"/>
        <v>230</v>
      </c>
      <c r="AE143" s="77" t="str">
        <f t="shared" si="66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43" s="74" t="str">
        <f t="shared" si="67"/>
        <v>"C:\Program Files (x86)\AstroGrep\AstroGrep.exe" /e /r /s /spath="%USERPROFILE%\AppData\Local\Temp\OnboardLogs" /stypes="app*4053*20170910*" /stext=" 04:.+((SYSTEM_STATE.+slice.+state.+changed )|(ment ac)|(multiple cpu faults)|(system.+state.+changed )|(\[timeout)|(PRM\|1\|D)|(kpr)|(kdp)|(train st.+moving)|(\|lc)|(penalty))"</v>
      </c>
      <c r="AG143" s="206" t="str">
        <f t="shared" si="68"/>
        <v>EC</v>
      </c>
      <c r="AH143" s="78" t="str">
        <f t="shared" si="69"/>
        <v>"%USERPROFILE%\Documents\GitHub\eaglep3\Utilities\RefineRTDCRunTimes.py" --tripid 230-09 --locoid 4053 --swversion DE.1.0.9.0 --startMP 204:232996 --initTime 2017-09-09T21:52:49 --startdatetime 2017-09-09T21:57:18 --delay 55 --endMP 204:187 --enddatetime 2017-09-09T22:33:46 --enforcementcount 0 &gt;&gt;C:\Users\stu\Documents\GitHub\eaglep3-reporting\EC\2017-09-09-refined-times.txt</v>
      </c>
      <c r="AI143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{"issue":{"subject":"","project_id":79,"tracker_id":40,"status_id":1,"priority_id":2,"assigned_to_id":338,"start_date":"2017-09-09","description":"","custom_fields":[{"id":1,"name":"Subdivision","value":"EC"},{"id":4,"name":"Milepost","value":"0.0187"},{"id":17,"name":"Train ID","value":"230-09"},{"id":16,"name":"Locomotive ID","value":"4053"},{"id":130,"name":"Impact","value":""},{"id":150,"name":"Time of Event (Mountain Time)","value":"22:33:46"},{"id":151,"name":"Denver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4053 --day 2017-09-09</v>
      </c>
      <c r="AN143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04:33:46"},{"id":29,"name":"Sharepoint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812</v>
      </c>
      <c r="B144" s="7">
        <v>4044</v>
      </c>
      <c r="C144" s="21" t="s">
        <v>197</v>
      </c>
      <c r="D144" s="21" t="s">
        <v>524</v>
      </c>
      <c r="E144" s="13">
        <v>42987.911678240744</v>
      </c>
      <c r="F144" s="13">
        <v>42987.895995370367</v>
      </c>
      <c r="G144" s="7">
        <v>55</v>
      </c>
      <c r="H144" s="21" t="s">
        <v>932</v>
      </c>
      <c r="I144" s="13">
        <v>42987.921342592592</v>
      </c>
      <c r="J144" s="7">
        <v>0</v>
      </c>
      <c r="K144" s="89" t="str">
        <f t="shared" si="60"/>
        <v>4043/4044</v>
      </c>
      <c r="L144" s="214" t="str">
        <f>VLOOKUP(A144,'Trips&amp;Operators'!$C$1:$G$99911,5,FALSE)</f>
        <v>FORTUNATO FRANK</v>
      </c>
      <c r="M144" s="6">
        <f t="shared" si="61"/>
        <v>2.5347222224809229E-2</v>
      </c>
      <c r="N144" s="7">
        <f t="shared" si="57"/>
        <v>36.50000000372529</v>
      </c>
      <c r="O144" s="7"/>
      <c r="P144" s="7"/>
      <c r="Q144" s="22"/>
      <c r="R144" s="167"/>
      <c r="S144" s="210">
        <f t="shared" si="58"/>
        <v>1</v>
      </c>
      <c r="T144" s="192" t="str">
        <f t="shared" si="62"/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63"/>
        <v>https://d0f6bd738d7f1b3e5a7ca70fe4ff75f0.us-east-1.aws.found.io/app/kibana#/discover/Steve-Slow-Train-Analysis-(2080s-and-2083s)?_g=(refreshInterval:(display:Off,pause:!f,section:0,value:0),time:(from:'2017-09-09T20:52:49-0600',mode:absolute,to:'2017-09-09T23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194" t="str">
        <f>IF(AA144&lt;VLOOKUP(AG144,Variables!$AC$3:$AD$8,2,FALSE),"Y","N")</f>
        <v>N</v>
      </c>
      <c r="X144" s="194">
        <f t="shared" si="59"/>
        <v>1</v>
      </c>
      <c r="Y144" s="194">
        <v>4.4699999999999997E-2</v>
      </c>
      <c r="Z144" s="194">
        <v>23.330300000000001</v>
      </c>
      <c r="AA144" s="194">
        <f t="shared" si="64"/>
        <v>23.285600000000002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65"/>
        <v>231</v>
      </c>
      <c r="AE144" s="77" t="str">
        <f t="shared" si="66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144" s="74" t="str">
        <f t="shared" si="67"/>
        <v>"C:\Program Files (x86)\AstroGrep\AstroGrep.exe" /e /r /s /spath="%USERPROFILE%\AppData\Local\Temp\OnboardLogs" /stypes="app*4044*20170910*" /stext=" 04:.+((SYSTEM_STATE.+slice.+state.+changed )|(ment ac)|(multiple cpu faults)|(system.+state.+changed )|(\[timeout)|(PRM\|1\|D)|(kpr)|(kdp)|(train st.+moving)|(\|lc)|(penalty))"</v>
      </c>
      <c r="AG144" s="206" t="str">
        <f t="shared" si="68"/>
        <v>EC</v>
      </c>
      <c r="AH144" s="78" t="str">
        <f t="shared" ref="AH144" si="73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231-09 --locoid 4044 --swversion DE.1.0.9.0 --startMP 204:232996 --initTime 2017-09-09T21:52:49 --startdatetime 2017-09-09T21:30:14 --delay 55 --endMP 204:187 --enddatetime 2017-09-09T22:06:44 --enforcementcount 0 &gt;&gt;C:\Users\stu\Documents\GitHub\eaglep3-reporting\EC\2017-09-09-refined-times.txt</v>
      </c>
      <c r="AI144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{"issue":{"subject":"","project_id":79,"tracker_id":40,"status_id":1,"priority_id":2,"assigned_to_id":338,"start_date":"2017-09-09","description":"","custom_fields":[{"id":1,"name":"Subdivision","value":"EC"},{"id":4,"name":"Milepost","value":"23.3303"},{"id":17,"name":"Train ID","value":"231-09"},{"id":16,"name":"Locomotive ID","value":"4044"},{"id":130,"name":"Impact","value":""},{"id":150,"name":"Time of Event (Mountain Time)","value":"22:06:44"},{"id":151,"name":"Denver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" si="74">"start /low /b "&amp;dls3logs&amp;" --loco "&amp;B144&amp;" --day "&amp;TEXT(F144,"YYYY-MM-DD")</f>
        <v>start /low /b %USERPROFILE%\Documents\GitHub\eaglep3\Utilities\DownloadLogsFromS3.py --loco 4044 --day 2017-09-09</v>
      </c>
      <c r="AN144" s="151" t="str">
        <f t="shared" ref="AN144" si="7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04:06:44"},{"id":29,"name":"Sharepoint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2" t="s">
        <v>816</v>
      </c>
      <c r="B145" s="7">
        <v>4043</v>
      </c>
      <c r="C145" s="21" t="s">
        <v>197</v>
      </c>
      <c r="D145" s="21" t="s">
        <v>438</v>
      </c>
      <c r="E145" s="13">
        <v>42987.923113425924</v>
      </c>
      <c r="F145" s="13">
        <v>42987.935555555552</v>
      </c>
      <c r="G145" s="7">
        <v>51</v>
      </c>
      <c r="H145" s="21" t="s">
        <v>502</v>
      </c>
      <c r="I145" s="13">
        <v>42987.961863425924</v>
      </c>
      <c r="J145" s="7">
        <v>0</v>
      </c>
      <c r="K145" s="89" t="str">
        <f t="shared" si="60"/>
        <v>4043/4044</v>
      </c>
      <c r="L145" s="214" t="str">
        <f>VLOOKUP(A145,'Trips&amp;Operators'!$C$1:$G$99911,5,FALSE)</f>
        <v>FORTUNATO FRANK</v>
      </c>
      <c r="M145" s="6">
        <f t="shared" si="61"/>
        <v>2.6307870371965691E-2</v>
      </c>
      <c r="N145" s="7">
        <f t="shared" si="57"/>
        <v>37.883333335630596</v>
      </c>
      <c r="O145" s="7"/>
      <c r="P145" s="7"/>
      <c r="Q145" s="22"/>
      <c r="R145" s="167"/>
      <c r="S145" s="210">
        <f t="shared" si="58"/>
        <v>1</v>
      </c>
      <c r="T145" s="192" t="str">
        <f t="shared" si="62"/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63"/>
        <v>https://d0f6bd738d7f1b3e5a7ca70fe4ff75f0.us-east-1.aws.found.io/app/kibana#/discover/Steve-Slow-Train-Analysis-(2080s-and-2083s)?_g=(refreshInterval:(display:Off,pause:!f,section:0,value:0),time:(from:'2017-09-09T21:09:17-0600',mode:absolute,to:'2017-09-10T00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194" t="str">
        <f>IF(AA145&lt;VLOOKUP(AG145,Variables!$AC$3:$AD$8,2,FALSE),"Y","N")</f>
        <v>N</v>
      </c>
      <c r="X145" s="194">
        <f t="shared" si="59"/>
        <v>1</v>
      </c>
      <c r="Y145" s="194">
        <f t="shared" ref="Y145:Y153" si="76">RIGHT(D145,LEN(D145)-4)/10000</f>
        <v>23.3</v>
      </c>
      <c r="Z145" s="194">
        <f t="shared" ref="Z145:Z153" si="77">RIGHT(H145,LEN(H145)-4)/10000</f>
        <v>1.6299999999999999E-2</v>
      </c>
      <c r="AA145" s="194">
        <f t="shared" si="64"/>
        <v>23.2837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65"/>
        <v>232</v>
      </c>
      <c r="AE145" s="77" t="str">
        <f t="shared" si="66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145" s="74" t="str">
        <f t="shared" si="67"/>
        <v>"C:\Program Files (x86)\AstroGrep\AstroGrep.exe" /e /r /s /spath="%USERPROFILE%\AppData\Local\Temp\OnboardLogs" /stypes="app*4043*20170910*" /stext=" 05:.+((SYSTEM_STATE.+slice.+state.+changed )|(ment ac)|(multiple cpu faults)|(system.+state.+changed )|(\[timeout)|(PRM\|1\|D)|(kpr)|(kdp)|(train st.+moving)|(\|lc)|(penalty))"</v>
      </c>
      <c r="AG145" s="206" t="str">
        <f t="shared" si="68"/>
        <v>EC</v>
      </c>
      <c r="AH145" s="78" t="str">
        <f t="shared" si="69"/>
        <v>"%USERPROFILE%\Documents\GitHub\eaglep3\Utilities\RefineRTDCRunTimes.py" --tripid 232-09 --locoid 4043 --swversion DE.1.0.9.0 --startMP 204:233000 --initTime 2017-09-09T22:09:17 --startdatetime 2017-09-09T22:27:12 --delay 51 --endMP 204:163 --enddatetime 2017-09-09T23:05:05 --enforcementcount 0 &gt;&gt;C:\Users\stu\Documents\GitHub\eaglep3-reporting\EC\2017-09-09-refined-times.txt</v>
      </c>
      <c r="AI145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{"issue":{"subject":"","project_id":79,"tracker_id":40,"status_id":1,"priority_id":2,"assigned_to_id":338,"start_date":"2017-09-09","description":"","custom_fields":[{"id":1,"name":"Subdivision","value":"EC"},{"id":4,"name":"Milepost","value":"0.0163"},{"id":17,"name":"Train ID","value":"232-09"},{"id":16,"name":"Locomotive ID","value":"4043"},{"id":130,"name":"Impact","value":""},{"id":150,"name":"Time of Event (Mountain Time)","value":"23:05:05"},{"id":151,"name":"Denver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4043 --day 2017-09-09</v>
      </c>
      <c r="AN145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05:05:05"},{"id":29,"name":"Sharepoint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814</v>
      </c>
      <c r="B146" s="7">
        <v>4062</v>
      </c>
      <c r="C146" s="21" t="s">
        <v>197</v>
      </c>
      <c r="D146" s="21" t="s">
        <v>570</v>
      </c>
      <c r="E146" s="13">
        <v>42987.905277777776</v>
      </c>
      <c r="F146" s="13">
        <v>42987.917037037034</v>
      </c>
      <c r="G146" s="7">
        <v>76</v>
      </c>
      <c r="H146" s="21" t="s">
        <v>846</v>
      </c>
      <c r="I146" s="13">
        <v>42987.941736111112</v>
      </c>
      <c r="J146" s="7">
        <v>0</v>
      </c>
      <c r="K146" s="89" t="str">
        <f t="shared" si="60"/>
        <v>4061/4062</v>
      </c>
      <c r="L146" s="214" t="str">
        <f>VLOOKUP(A146,'Trips&amp;Operators'!$C$1:$G$99911,5,FALSE)</f>
        <v>CASSIDY BRANDON</v>
      </c>
      <c r="M146" s="6">
        <f t="shared" si="61"/>
        <v>2.4699074077943806E-2</v>
      </c>
      <c r="N146" s="7">
        <f t="shared" si="57"/>
        <v>35.56666667223908</v>
      </c>
      <c r="O146" s="7"/>
      <c r="P146" s="7"/>
      <c r="Q146" s="22"/>
      <c r="R146" s="167"/>
      <c r="S146" s="210">
        <f t="shared" si="58"/>
        <v>1</v>
      </c>
      <c r="T146" s="192" t="str">
        <f t="shared" si="62"/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63"/>
        <v>https://d0f6bd738d7f1b3e5a7ca70fe4ff75f0.us-east-1.aws.found.io/app/kibana#/discover/Steve-Slow-Train-Analysis-(2080s-and-2083s)?_g=(refreshInterval:(display:Off,pause:!f,section:0,value:0),time:(from:'2017-09-09T20:43:36-0600',mode:absolute,to:'2017-09-09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6" s="194" t="str">
        <f>IF(AA146&lt;VLOOKUP(AG146,Variables!$AC$3:$AD$8,2,FALSE),"Y","N")</f>
        <v>N</v>
      </c>
      <c r="X146" s="194">
        <f t="shared" si="59"/>
        <v>1</v>
      </c>
      <c r="Y146" s="194">
        <f t="shared" si="76"/>
        <v>4.6600000000000003E-2</v>
      </c>
      <c r="Z146" s="194">
        <f t="shared" si="77"/>
        <v>23.331800000000001</v>
      </c>
      <c r="AA146" s="194">
        <f t="shared" si="64"/>
        <v>23.2852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65"/>
        <v>233</v>
      </c>
      <c r="AE146" s="77" t="str">
        <f t="shared" si="66"/>
        <v>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 &amp; 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</v>
      </c>
      <c r="AF146" s="74" t="str">
        <f t="shared" si="67"/>
        <v>"C:\Program Files (x86)\AstroGrep\AstroGrep.exe" /e /r /s /spath="%USERPROFILE%\AppData\Local\Temp\OnboardLogs" /stypes="app*4062*20170910*" /stext=" 04:.+((SYSTEM_STATE.+slice.+state.+changed )|(ment ac)|(multiple cpu faults)|(system.+state.+changed )|(\[timeout)|(PRM\|1\|D)|(kpr)|(kdp)|(train st.+moving)|(\|lc)|(penalty))"</v>
      </c>
      <c r="AG146" s="206" t="str">
        <f t="shared" si="68"/>
        <v>EC</v>
      </c>
      <c r="AH146" s="78" t="str">
        <f t="shared" si="69"/>
        <v>"%USERPROFILE%\Documents\GitHub\eaglep3\Utilities\RefineRTDCRunTimes.py" --tripid 233-09 --locoid 4062 --swversion DE.1.0.9.0 --startMP 204:466 --initTime 2017-09-09T21:43:36 --startdatetime 2017-09-09T22:00:32 --delay 76 --endMP 204:233318 --enddatetime 2017-09-09T22:36:06 --enforcementcount 0 &gt;&gt;C:\Users\stu\Documents\GitHub\eaglep3-reporting\EC\2017-09-09-refined-times.txt</v>
      </c>
      <c r="AI146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{"issue":{"subject":"","project_id":79,"tracker_id":40,"status_id":1,"priority_id":2,"assigned_to_id":338,"start_date":"2017-09-09","description":"","custom_fields":[{"id":1,"name":"Subdivision","value":"EC"},{"id":4,"name":"Milepost","value":"23.3318"},{"id":17,"name":"Train ID","value":"233-09"},{"id":16,"name":"Locomotive ID","value":"4062"},{"id":130,"name":"Impact","value":""},{"id":150,"name":"Time of Event (Mountain Time)","value":"22:36:06"},{"id":151,"name":"Denver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4062 --day 2017-09-09</v>
      </c>
      <c r="AN14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819</v>
      </c>
      <c r="B147" s="7">
        <v>4061</v>
      </c>
      <c r="C147" s="21" t="s">
        <v>197</v>
      </c>
      <c r="D147" s="21" t="s">
        <v>575</v>
      </c>
      <c r="E147" s="13">
        <v>42987.949328703704</v>
      </c>
      <c r="F147" s="13">
        <v>42987.956458333334</v>
      </c>
      <c r="G147" s="7">
        <v>94</v>
      </c>
      <c r="H147" s="21" t="s">
        <v>342</v>
      </c>
      <c r="I147" s="13">
        <v>42987.983229166668</v>
      </c>
      <c r="J147" s="7">
        <v>0</v>
      </c>
      <c r="K147" s="89" t="str">
        <f t="shared" si="60"/>
        <v>4061/4062</v>
      </c>
      <c r="L147" s="214" t="str">
        <f>VLOOKUP(A147,'Trips&amp;Operators'!$C$1:$G$99911,5,FALSE)</f>
        <v>CASSIDY BRANDON</v>
      </c>
      <c r="M147" s="6">
        <f t="shared" si="61"/>
        <v>2.6770833334012423E-2</v>
      </c>
      <c r="N147" s="7">
        <f t="shared" si="57"/>
        <v>38.550000000977889</v>
      </c>
      <c r="O147" s="7"/>
      <c r="P147" s="7"/>
      <c r="Q147" s="22"/>
      <c r="R147" s="167"/>
      <c r="S147" s="210">
        <f t="shared" si="58"/>
        <v>1</v>
      </c>
      <c r="T147" s="192" t="str">
        <f t="shared" si="62"/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63"/>
        <v>https://d0f6bd738d7f1b3e5a7ca70fe4ff75f0.us-east-1.aws.found.io/app/kibana#/discover/Steve-Slow-Train-Analysis-(2080s-and-2083s)?_g=(refreshInterval:(display:Off,pause:!f,section:0,value:0),time:(from:'2017-09-09T21:47:02-0600',mode:absolute,to:'2017-09-10T00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7" s="194" t="str">
        <f>IF(AA147&lt;VLOOKUP(AG147,Variables!$AC$3:$AD$8,2,FALSE),"Y","N")</f>
        <v>N</v>
      </c>
      <c r="X147" s="194">
        <f t="shared" si="59"/>
        <v>1</v>
      </c>
      <c r="Y147" s="194">
        <f t="shared" si="76"/>
        <v>23.2973</v>
      </c>
      <c r="Z147" s="194">
        <f t="shared" si="77"/>
        <v>1.41E-2</v>
      </c>
      <c r="AA147" s="194">
        <f t="shared" si="64"/>
        <v>23.283200000000001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65"/>
        <v>234</v>
      </c>
      <c r="AE147" s="77" t="str">
        <f t="shared" si="66"/>
        <v>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 &amp; aws s3 cp s3://rtdc.mdm.uploadarchive.raw/RTDC4061/ "%USERPROFILE%\AppData\Local\Temp\OnboardLogs"\RTDC4061\2017-09-10 --exclude "*" --recursive --include "*20170910*" &amp; "%USERPROFILE%\Documents\GitHub\mrs-test-scripts\Headless Mode &amp; Sideloading\WalkAndUnGZ.bat" "%USERPROFILE%\AppData\Local\Temp\OnboardLogs"\RTDC4061\2017-09-10</v>
      </c>
      <c r="AF147" s="74" t="str">
        <f t="shared" si="67"/>
        <v>"C:\Program Files (x86)\AstroGrep\AstroGrep.exe" /e /r /s /spath="%USERPROFILE%\AppData\Local\Temp\OnboardLogs" /stypes="app*4061*20170910*" /stext=" 05:.+((SYSTEM_STATE.+slice.+state.+changed )|(ment ac)|(multiple cpu faults)|(system.+state.+changed )|(\[timeout)|(PRM\|1\|D)|(kpr)|(kdp)|(train st.+moving)|(\|lc)|(penalty))"</v>
      </c>
      <c r="AG147" s="206" t="str">
        <f t="shared" si="68"/>
        <v>EC</v>
      </c>
      <c r="AH147" s="78" t="str">
        <f t="shared" si="69"/>
        <v>"%USERPROFILE%\Documents\GitHub\eaglep3\Utilities\RefineRTDCRunTimes.py" --tripid 234-09 --locoid 4061 --swversion DE.1.0.9.0 --startMP 204:232973 --initTime 2017-09-09T22:47:02 --startdatetime 2017-09-09T22:57:18 --delay 94 --endMP 204:141 --enddatetime 2017-09-09T23:35:51 --enforcementcount 0 &gt;&gt;C:\Users\stu\Documents\GitHub\eaglep3-reporting\EC\2017-09-09-refined-times.txt</v>
      </c>
      <c r="AI147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{"issue":{"subject":"","project_id":79,"tracker_id":40,"status_id":1,"priority_id":2,"assigned_to_id":338,"start_date":"2017-09-09","description":"","custom_fields":[{"id":1,"name":"Subdivision","value":"EC"},{"id":4,"name":"Milepost","value":"0.0141"},{"id":17,"name":"Train ID","value":"234-09"},{"id":16,"name":"Locomotive ID","value":"4061"},{"id":130,"name":"Impact","value":""},{"id":150,"name":"Time of Event (Mountain Time)","value":"23:35:51"},{"id":151,"name":"Denver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4061 --day 2017-09-09</v>
      </c>
      <c r="AN14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05:35:51"},{"id":29,"name":"Sharepoint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817</v>
      </c>
      <c r="B148" s="7">
        <v>4026</v>
      </c>
      <c r="C148" s="21" t="s">
        <v>197</v>
      </c>
      <c r="D148" s="21" t="s">
        <v>849</v>
      </c>
      <c r="E148" s="13">
        <v>42987.925925925927</v>
      </c>
      <c r="F148" s="13">
        <v>42987.937638888892</v>
      </c>
      <c r="G148" s="7">
        <v>135</v>
      </c>
      <c r="H148" s="21" t="s">
        <v>582</v>
      </c>
      <c r="I148" s="13">
        <v>42987.961956018517</v>
      </c>
      <c r="J148" s="7">
        <v>0</v>
      </c>
      <c r="K148" s="89" t="str">
        <f t="shared" si="60"/>
        <v>4025/4026</v>
      </c>
      <c r="L148" s="214" t="str">
        <f>VLOOKUP(A148,'Trips&amp;Operators'!$C$1:$G$99911,5,FALSE)</f>
        <v>RESPASS AARON</v>
      </c>
      <c r="M148" s="6">
        <f t="shared" si="61"/>
        <v>2.4317129624250811E-2</v>
      </c>
      <c r="N148" s="7">
        <f t="shared" si="57"/>
        <v>35.016666658921167</v>
      </c>
      <c r="O148" s="7"/>
      <c r="P148" s="7"/>
      <c r="Q148" s="22"/>
      <c r="R148" s="167"/>
      <c r="S148" s="210">
        <f t="shared" si="58"/>
        <v>1</v>
      </c>
      <c r="T148" s="192" t="str">
        <f t="shared" si="62"/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63"/>
        <v>https://d0f6bd738d7f1b3e5a7ca70fe4ff75f0.us-east-1.aws.found.io/app/kibana#/discover/Steve-Slow-Train-Analysis-(2080s-and-2083s)?_g=(refreshInterval:(display:Off,pause:!f,section:0,value:0),time:(from:'2017-09-09T21:13:20-0600',mode:absolute,to:'2017-09-10T00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194" t="str">
        <f>IF(AA148&lt;VLOOKUP(AG148,Variables!$AC$3:$AD$8,2,FALSE),"Y","N")</f>
        <v>N</v>
      </c>
      <c r="X148" s="194">
        <f t="shared" si="59"/>
        <v>1</v>
      </c>
      <c r="Y148" s="194">
        <f t="shared" si="76"/>
        <v>4.82E-2</v>
      </c>
      <c r="Z148" s="194">
        <f t="shared" si="77"/>
        <v>23.328399999999998</v>
      </c>
      <c r="AA148" s="194">
        <f t="shared" si="64"/>
        <v>23.280199999999997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65"/>
        <v>235</v>
      </c>
      <c r="AE148" s="77" t="str">
        <f t="shared" si="66"/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AF148" s="74" t="str">
        <f t="shared" si="67"/>
        <v>"C:\Program Files (x86)\AstroGrep\AstroGrep.exe" /e /r /s /spath="%USERPROFILE%\AppData\Local\Temp\OnboardLogs" /stypes="app*4026*20170910*" /stext=" 05:.+((SYSTEM_STATE.+slice.+state.+changed )|(ment ac)|(multiple cpu faults)|(system.+state.+changed )|(\[timeout)|(PRM\|1\|D)|(kpr)|(kdp)|(train st.+moving)|(\|lc)|(penalty))"</v>
      </c>
      <c r="AG148" s="206" t="str">
        <f t="shared" si="68"/>
        <v>EC</v>
      </c>
      <c r="AH148" s="78" t="str">
        <f t="shared" si="69"/>
        <v>"%USERPROFILE%\Documents\GitHub\eaglep3\Utilities\RefineRTDCRunTimes.py" --tripid 235-09 --locoid 4026 --swversion DE.1.0.9.0 --startMP 204:482 --initTime 2017-09-09T22:13:20 --startdatetime 2017-09-09T22:30:12 --delay 135 --endMP 204:233284 --enddatetime 2017-09-09T23:05:13 --enforcementcount 0 &gt;&gt;C:\Users\stu\Documents\GitHub\eaglep3-reporting\EC\2017-09-09-refined-times.txt</v>
      </c>
      <c r="AI148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{"issue":{"subject":"","project_id":79,"tracker_id":40,"status_id":1,"priority_id":2,"assigned_to_id":338,"start_date":"2017-09-09","description":"","custom_fields":[{"id":1,"name":"Subdivision","value":"EC"},{"id":4,"name":"Milepost","value":"23.3284"},{"id":17,"name":"Train ID","value":"235-09"},{"id":16,"name":"Locomotive ID","value":"4026"},{"id":130,"name":"Impact","value":""},{"id":150,"name":"Time of Event (Mountain Time)","value":"23:05:13"},{"id":151,"name":"Denver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4026 --day 2017-09-09</v>
      </c>
      <c r="AN14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823</v>
      </c>
      <c r="B149" s="7">
        <v>4025</v>
      </c>
      <c r="C149" s="21" t="s">
        <v>197</v>
      </c>
      <c r="D149" s="21" t="s">
        <v>575</v>
      </c>
      <c r="E149" s="13">
        <v>42987.970092592594</v>
      </c>
      <c r="F149" s="13">
        <v>42987.977337962962</v>
      </c>
      <c r="G149" s="7">
        <v>50</v>
      </c>
      <c r="H149" s="21" t="s">
        <v>415</v>
      </c>
      <c r="I149" s="13">
        <v>42988.004606481481</v>
      </c>
      <c r="J149" s="7">
        <v>0</v>
      </c>
      <c r="K149" s="89" t="str">
        <f t="shared" si="60"/>
        <v>4025/4026</v>
      </c>
      <c r="L149" s="214" t="str">
        <f>VLOOKUP(A149,'Trips&amp;Operators'!$C$1:$G$99911,5,FALSE)</f>
        <v>RESPASS AARON</v>
      </c>
      <c r="M149" s="6">
        <f t="shared" si="61"/>
        <v>2.7268518519122154E-2</v>
      </c>
      <c r="N149" s="7">
        <f t="shared" si="57"/>
        <v>39.266666667535901</v>
      </c>
      <c r="O149" s="7"/>
      <c r="P149" s="7"/>
      <c r="Q149" s="22"/>
      <c r="R149" s="167"/>
      <c r="S149" s="210">
        <f t="shared" si="58"/>
        <v>1</v>
      </c>
      <c r="T149" s="192" t="str">
        <f t="shared" si="62"/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63"/>
        <v>https://d0f6bd738d7f1b3e5a7ca70fe4ff75f0.us-east-1.aws.found.io/app/kibana#/discover/Steve-Slow-Train-Analysis-(2080s-and-2083s)?_g=(refreshInterval:(display:Off,pause:!f,section:0,value:0),time:(from:'2017-09-09T22:16:56-0600',mode:absolute,to:'2017-09-10T01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194" t="str">
        <f>IF(AA149&lt;VLOOKUP(AG149,Variables!$AC$3:$AD$8,2,FALSE),"Y","N")</f>
        <v>N</v>
      </c>
      <c r="X149" s="194">
        <f t="shared" si="59"/>
        <v>1</v>
      </c>
      <c r="Y149" s="194">
        <f t="shared" si="76"/>
        <v>23.2973</v>
      </c>
      <c r="Z149" s="194">
        <f t="shared" si="77"/>
        <v>1.34E-2</v>
      </c>
      <c r="AA149" s="194">
        <f t="shared" si="64"/>
        <v>23.283899999999999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65"/>
        <v>236</v>
      </c>
      <c r="AE149" s="77" t="str">
        <f t="shared" si="66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149" s="74" t="str">
        <f t="shared" si="67"/>
        <v>"C:\Program Files (x86)\AstroGrep\AstroGrep.exe" /e /r /s /spath="%USERPROFILE%\AppData\Local\Temp\OnboardLogs" /stypes="app*4025*20170910*" /stext=" 06:.+((SYSTEM_STATE.+slice.+state.+changed )|(ment ac)|(multiple cpu faults)|(system.+state.+changed )|(\[timeout)|(PRM\|1\|D)|(kpr)|(kdp)|(train st.+moving)|(\|lc)|(penalty))"</v>
      </c>
      <c r="AG149" s="206" t="str">
        <f t="shared" si="68"/>
        <v>EC</v>
      </c>
      <c r="AH149" s="78" t="str">
        <f t="shared" si="69"/>
        <v>"%USERPROFILE%\Documents\GitHub\eaglep3\Utilities\RefineRTDCRunTimes.py" --tripid 236-09 --locoid 4025 --swversion DE.1.0.9.0 --startMP 204:232973 --initTime 2017-09-09T23:16:56 --startdatetime 2017-09-09T23:27:22 --delay 50 --endMP 204:134 --enddatetime 2017-09-10T00:06:38 --enforcementcount 0 &gt;&gt;C:\Users\stu\Documents\GitHub\eaglep3-reporting\EC\2017-09-09-refined-times.txt</v>
      </c>
      <c r="AI149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{"issue":{"subject":"","project_id":79,"tracker_id":40,"status_id":1,"priority_id":2,"assigned_to_id":338,"start_date":"2017-09-10","description":"","custom_fields":[{"id":1,"name":"Subdivision","value":"EC"},{"id":4,"name":"Milepost","value":"0.0134"},{"id":17,"name":"Train ID","value":"236-09"},{"id":16,"name":"Locomotive ID","value":"4025"},{"id":130,"name":"Impact","value":""},{"id":150,"name":"Time of Event (Mountain Time)","value":"00:06:38"},{"id":151,"name":"Denver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4025 --day 2017-09-09</v>
      </c>
      <c r="AN14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06:06:38"},{"id":29,"name":"Sharepoint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820</v>
      </c>
      <c r="B150" s="7">
        <v>4054</v>
      </c>
      <c r="C150" s="21" t="s">
        <v>197</v>
      </c>
      <c r="D150" s="21" t="s">
        <v>933</v>
      </c>
      <c r="E150" s="13">
        <v>42987.953819444447</v>
      </c>
      <c r="F150" s="13">
        <v>42987.958657407406</v>
      </c>
      <c r="G150" s="7">
        <v>57</v>
      </c>
      <c r="H150" s="21" t="s">
        <v>414</v>
      </c>
      <c r="I150" s="13">
        <v>42987.982557870368</v>
      </c>
      <c r="J150" s="7">
        <v>0</v>
      </c>
      <c r="K150" s="89" t="str">
        <f t="shared" si="60"/>
        <v>4053/4054</v>
      </c>
      <c r="L150" s="214" t="str">
        <f>VLOOKUP(A150,'Trips&amp;Operators'!$C$1:$G$99911,5,FALSE)</f>
        <v>HART KEVIN</v>
      </c>
      <c r="M150" s="6">
        <f t="shared" si="61"/>
        <v>2.3900462962046731E-2</v>
      </c>
      <c r="N150" s="7">
        <f t="shared" si="57"/>
        <v>34.416666665347293</v>
      </c>
      <c r="O150" s="7"/>
      <c r="P150" s="7"/>
      <c r="Q150" s="22"/>
      <c r="R150" s="167"/>
      <c r="S150" s="210">
        <f t="shared" si="58"/>
        <v>1</v>
      </c>
      <c r="T150" s="192" t="str">
        <f t="shared" si="62"/>
        <v>NorthBound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63"/>
        <v>https://d0f6bd738d7f1b3e5a7ca70fe4ff75f0.us-east-1.aws.found.io/app/kibana#/discover/Steve-Slow-Train-Analysis-(2080s-and-2083s)?_g=(refreshInterval:(display:Off,pause:!f,section:0,value:0),time:(from:'2017-09-09T21:53:30-0600',mode:absolute,to:'2017-09-10T00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194" t="str">
        <f>IF(AA150&lt;VLOOKUP(AG150,Variables!$AC$3:$AD$8,2,FALSE),"Y","N")</f>
        <v>N</v>
      </c>
      <c r="X150" s="194">
        <f t="shared" ref="X150:X151" si="78">VALUE(LEFT(AD150,4))-VALUE(LEFT(AD149,4))</f>
        <v>1</v>
      </c>
      <c r="Y150" s="194">
        <f t="shared" si="76"/>
        <v>5.0200000000000002E-2</v>
      </c>
      <c r="Z150" s="194">
        <f t="shared" si="77"/>
        <v>23.3322</v>
      </c>
      <c r="AA150" s="194">
        <f t="shared" si="64"/>
        <v>23.282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65"/>
        <v>237</v>
      </c>
      <c r="AE150" s="77" t="str">
        <f t="shared" si="66"/>
        <v>aws s3 cp s3://rtdc.mdm.uploadarchive.raw/RTDC4054/ "%USERPROFILE%\AppData\Local\Temp\OnboardLogs"\RTDC4054\2017-09-09 --exclude "*" --recursive --include "*20170909*" &amp; "%USERPROFILE%\Documents\GitHub\mrs-test-scripts\Headless Mode &amp; Sideloading\WalkAndUnGZ.bat" "%USERPROFILE%\AppData\Local\Temp\OnboardLogs"\RTDC4054\2017-09-09 &amp; 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</v>
      </c>
      <c r="AF150" s="74" t="str">
        <f t="shared" si="67"/>
        <v>"C:\Program Files (x86)\AstroGrep\AstroGrep.exe" /e /r /s /spath="%USERPROFILE%\AppData\Local\Temp\OnboardLogs" /stypes="app*4054*20170910*" /stext=" 05:.+((SYSTEM_STATE.+slice.+state.+changed )|(ment ac)|(multiple cpu faults)|(system.+state.+changed )|(\[timeout)|(PRM\|1\|D)|(kpr)|(kdp)|(train st.+moving)|(\|lc)|(penalty))"</v>
      </c>
      <c r="AG150" s="206" t="str">
        <f t="shared" si="68"/>
        <v>EC</v>
      </c>
      <c r="AH150" s="78" t="str">
        <f t="shared" si="69"/>
        <v>"%USERPROFILE%\Documents\GitHub\eaglep3\Utilities\RefineRTDCRunTimes.py" --tripid 237-09 --locoid 4054 --swversion DE.1.0.9.0 --startMP 204:502 --initTime 2017-09-09T22:53:30 --startdatetime 2017-09-09T23:00:28 --delay 57 --endMP 204:233322 --enddatetime 2017-09-09T23:34:53 --enforcementcount 0 &gt;&gt;C:\Users\stu\Documents\GitHub\eaglep3-reporting\EC\2017-09-09-refined-times.txt</v>
      </c>
      <c r="AI150" s="96" t="str">
        <f t="shared" si="70"/>
        <v>echo {"issue":{"subject":"","project_id":79,"tracker_id":40,"status_id":1,"priority_id":2,"assigned_to_id":338,"start_date":"2017-09-09","description":"","custom_fields":[{"id":1,"name":"Subdivision","value":"EC"},{"id":4,"name":"Milepost","value":"23.3322"},{"id":17,"name":"Train ID","value":"237-09"},{"id":16,"name":"Locomotive ID","value":"4054"},{"id":130,"name":"Impact","value":""},{"id":150,"name":"Time of Event (Mountain Time)","value":"23:34:53"},{"id":151,"name":"Denver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4054 --day 2017-09-09</v>
      </c>
      <c r="AN150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05:34:53"},{"id":29,"name":"Sharepoint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825</v>
      </c>
      <c r="B151" s="7">
        <v>4053</v>
      </c>
      <c r="C151" s="21" t="s">
        <v>197</v>
      </c>
      <c r="D151" s="21" t="s">
        <v>438</v>
      </c>
      <c r="E151" s="13">
        <v>42987.995486111111</v>
      </c>
      <c r="F151" s="13">
        <v>42987.998240740744</v>
      </c>
      <c r="G151" s="7">
        <v>52</v>
      </c>
      <c r="H151" s="21" t="s">
        <v>343</v>
      </c>
      <c r="I151" s="13">
        <v>42988.024189814816</v>
      </c>
      <c r="J151" s="7">
        <v>0</v>
      </c>
      <c r="K151" s="89" t="str">
        <f t="shared" si="60"/>
        <v>4053/4054</v>
      </c>
      <c r="L151" s="214" t="str">
        <f>VLOOKUP(A151,'Trips&amp;Operators'!$C$1:$G$99911,5,FALSE)</f>
        <v>HART KEVIN</v>
      </c>
      <c r="M151" s="6">
        <f t="shared" si="61"/>
        <v>2.5949074071832001E-2</v>
      </c>
      <c r="N151" s="7">
        <f t="shared" si="57"/>
        <v>37.366666663438082</v>
      </c>
      <c r="O151" s="7"/>
      <c r="P151" s="7"/>
      <c r="Q151" s="22"/>
      <c r="R151" s="167"/>
      <c r="S151" s="210">
        <f t="shared" si="58"/>
        <v>1</v>
      </c>
      <c r="T151" s="192" t="str">
        <f t="shared" si="62"/>
        <v>Southbound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63"/>
        <v>https://d0f6bd738d7f1b3e5a7ca70fe4ff75f0.us-east-1.aws.found.io/app/kibana#/discover/Steve-Slow-Train-Analysis-(2080s-and-2083s)?_g=(refreshInterval:(display:Off,pause:!f,section:0,value:0),time:(from:'2017-09-09T22:53:30-0600',mode:absolute,to:'2017-09-10T01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1" s="194" t="str">
        <f>IF(AA151&lt;VLOOKUP(AG151,Variables!$AC$3:$AD$8,2,FALSE),"Y","N")</f>
        <v>N</v>
      </c>
      <c r="X151" s="194">
        <f t="shared" si="78"/>
        <v>1</v>
      </c>
      <c r="Y151" s="194">
        <f t="shared" si="76"/>
        <v>23.3</v>
      </c>
      <c r="Z151" s="194">
        <f t="shared" si="77"/>
        <v>1.47E-2</v>
      </c>
      <c r="AA151" s="194">
        <f t="shared" si="64"/>
        <v>23.285299999999999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65"/>
        <v>238</v>
      </c>
      <c r="AE151" s="77" t="str">
        <f t="shared" si="66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51" s="74" t="str">
        <f t="shared" si="67"/>
        <v>"C:\Program Files (x86)\AstroGrep\AstroGrep.exe" /e /r /s /spath="%USERPROFILE%\AppData\Local\Temp\OnboardLogs" /stypes="app*4053*20170910*" /stext=" 06:.+((SYSTEM_STATE.+slice.+state.+changed )|(ment ac)|(multiple cpu faults)|(system.+state.+changed )|(\[timeout)|(PRM\|1\|D)|(kpr)|(kdp)|(train st.+moving)|(\|lc)|(penalty))"</v>
      </c>
      <c r="AG151" s="206" t="str">
        <f t="shared" si="68"/>
        <v>EC</v>
      </c>
      <c r="AH151" s="78" t="str">
        <f t="shared" si="69"/>
        <v>"%USERPROFILE%\Documents\GitHub\eaglep3\Utilities\RefineRTDCRunTimes.py" --tripid 238-09 --locoid 4053 --swversion DE.1.0.9.0 --startMP 204:233000 --initTime 2017-09-09T23:53:30 --startdatetime 2017-09-09T23:57:28 --delay 52 --endMP 204:147 --enddatetime 2017-09-10T00:34:50 --enforcementcount 0 &gt;&gt;C:\Users\stu\Documents\GitHub\eaglep3-reporting\EC\2017-09-09-refined-times.txt</v>
      </c>
      <c r="AI151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{"issue":{"subject":"","project_id":79,"tracker_id":40,"status_id":1,"priority_id":2,"assigned_to_id":338,"start_date":"2017-09-10","description":"","custom_fields":[{"id":1,"name":"Subdivision","value":"EC"},{"id":4,"name":"Milepost","value":"0.0147"},{"id":17,"name":"Train ID","value":"238-09"},{"id":16,"name":"Locomotive ID","value":"4053"},{"id":130,"name":"Impact","value":""},{"id":150,"name":"Time of Event (Mountain Time)","value":"00:34:50"},{"id":151,"name":"Denver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4053 --day 2017-09-09</v>
      </c>
      <c r="AN151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822</v>
      </c>
      <c r="B152" s="7">
        <v>4044</v>
      </c>
      <c r="C152" s="21" t="s">
        <v>197</v>
      </c>
      <c r="D152" s="21" t="s">
        <v>570</v>
      </c>
      <c r="E152" s="13">
        <v>42987.963020833333</v>
      </c>
      <c r="F152" s="13">
        <v>42987.979456018518</v>
      </c>
      <c r="G152" s="7">
        <v>47</v>
      </c>
      <c r="H152" s="21" t="s">
        <v>525</v>
      </c>
      <c r="I152" s="13">
        <v>42988.004293981481</v>
      </c>
      <c r="J152" s="7">
        <v>0</v>
      </c>
      <c r="K152" s="89" t="str">
        <f t="shared" si="60"/>
        <v>4043/4044</v>
      </c>
      <c r="L152" s="214" t="str">
        <f>VLOOKUP(A152,'Trips&amp;Operators'!$C$1:$G$99911,5,FALSE)</f>
        <v>FORTUNATO FRANK</v>
      </c>
      <c r="M152" s="6">
        <f t="shared" si="61"/>
        <v>2.4837962962919846E-2</v>
      </c>
      <c r="N152" s="7">
        <f t="shared" si="57"/>
        <v>35.766666666604578</v>
      </c>
      <c r="O152" s="7"/>
      <c r="P152" s="7"/>
      <c r="Q152" s="22"/>
      <c r="R152" s="167"/>
      <c r="S152" s="210">
        <f t="shared" si="58"/>
        <v>1</v>
      </c>
      <c r="T152" s="192" t="str">
        <f t="shared" si="62"/>
        <v>NorthBound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63"/>
        <v>https://d0f6bd738d7f1b3e5a7ca70fe4ff75f0.us-east-1.aws.found.io/app/kibana#/discover/Steve-Slow-Train-Analysis-(2080s-and-2083s)?_g=(refreshInterval:(display:Off,pause:!f,section:0,value:0),time:(from:'2017-09-09T22:06:45-0600',mode:absolute,to:'2017-09-10T01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194" t="str">
        <f>IF(AA152&lt;VLOOKUP(AG152,Variables!$AC$3:$AD$8,2,FALSE),"Y","N")</f>
        <v>N</v>
      </c>
      <c r="X152" s="194">
        <f>VALUE(LEFT(AD152,4))-VALUE(LEFT(AD151,4))</f>
        <v>1</v>
      </c>
      <c r="Y152" s="194">
        <f t="shared" si="76"/>
        <v>4.6600000000000003E-2</v>
      </c>
      <c r="Z152" s="194">
        <f t="shared" si="77"/>
        <v>23.3324</v>
      </c>
      <c r="AA152" s="194">
        <f t="shared" si="64"/>
        <v>23.285799999999998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65"/>
        <v>239</v>
      </c>
      <c r="AE152" s="77" t="str">
        <f t="shared" si="66"/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AF152" s="74" t="str">
        <f t="shared" si="67"/>
        <v>"C:\Program Files (x86)\AstroGrep\AstroGrep.exe" /e /r /s /spath="%USERPROFILE%\AppData\Local\Temp\OnboardLogs" /stypes="app*4044*20170910*" /stext=" 06:.+((SYSTEM_STATE.+slice.+state.+changed )|(ment ac)|(multiple cpu faults)|(system.+state.+changed )|(\[timeout)|(PRM\|1\|D)|(kpr)|(kdp)|(train st.+moving)|(\|lc)|(penalty))"</v>
      </c>
      <c r="AG152" s="206" t="str">
        <f t="shared" si="68"/>
        <v>EC</v>
      </c>
      <c r="AH152" s="78" t="str">
        <f t="shared" si="69"/>
        <v>"%USERPROFILE%\Documents\GitHub\eaglep3\Utilities\RefineRTDCRunTimes.py" --tripid 239-09 --locoid 4044 --swversion DE.1.0.9.0 --startMP 204:466 --initTime 2017-09-09T23:06:45 --startdatetime 2017-09-09T23:30:25 --delay 47 --endMP 204:233324 --enddatetime 2017-09-10T00:06:11 --enforcementcount 0 &gt;&gt;C:\Users\stu\Documents\GitHub\eaglep3-reporting\EC\2017-09-09-refined-times.txt</v>
      </c>
      <c r="AI152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{"issue":{"subject":"","project_id":79,"tracker_id":40,"status_id":1,"priority_id":2,"assigned_to_id":338,"start_date":"2017-09-10","description":"","custom_fields":[{"id":1,"name":"Subdivision","value":"EC"},{"id":4,"name":"Milepost","value":"23.3324"},{"id":17,"name":"Train ID","value":"239-09"},{"id":16,"name":"Locomotive ID","value":"4044"},{"id":130,"name":"Impact","value":""},{"id":150,"name":"Time of Event (Mountain Time)","value":"00:06:11"},{"id":151,"name":"Denver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4044 --day 2017-09-09</v>
      </c>
      <c r="AN152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826</v>
      </c>
      <c r="B153" s="7">
        <v>4043</v>
      </c>
      <c r="C153" s="21" t="s">
        <v>197</v>
      </c>
      <c r="D153" s="21" t="s">
        <v>929</v>
      </c>
      <c r="E153" s="13">
        <v>42988.006030092591</v>
      </c>
      <c r="F153" s="13">
        <v>42988.01898148148</v>
      </c>
      <c r="G153" s="7">
        <v>49</v>
      </c>
      <c r="H153" s="21" t="s">
        <v>934</v>
      </c>
      <c r="I153" s="13">
        <v>42988.045173611114</v>
      </c>
      <c r="J153" s="7">
        <v>0</v>
      </c>
      <c r="K153" s="89" t="str">
        <f t="shared" si="60"/>
        <v>4043/4044</v>
      </c>
      <c r="L153" s="214" t="str">
        <f>VLOOKUP(A153,'Trips&amp;Operators'!$C$1:$G$99911,5,FALSE)</f>
        <v>FORTUNATO FRANK</v>
      </c>
      <c r="M153" s="6">
        <f t="shared" si="61"/>
        <v>2.6192129633272998E-2</v>
      </c>
      <c r="N153" s="7">
        <f t="shared" si="57"/>
        <v>37.716666671913117</v>
      </c>
      <c r="O153" s="7"/>
      <c r="P153" s="7"/>
      <c r="Q153" s="22"/>
      <c r="R153" s="167"/>
      <c r="S153" s="210">
        <f t="shared" si="58"/>
        <v>1</v>
      </c>
      <c r="T153" s="192" t="str">
        <f t="shared" si="62"/>
        <v>Southbound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63"/>
        <v>https://d0f6bd738d7f1b3e5a7ca70fe4ff75f0.us-east-1.aws.found.io/app/kibana#/discover/Steve-Slow-Train-Analysis-(2080s-and-2083s)?_g=(refreshInterval:(display:Off,pause:!f,section:0,value:0),time:(from:'2017-09-09T23:08:41-0600',mode:absolute,to:'2017-09-10T02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194" t="str">
        <f>IF(AA153&lt;VLOOKUP(AG153,Variables!$AC$3:$AD$8,2,FALSE),"Y","N")</f>
        <v>N</v>
      </c>
      <c r="X153" s="194">
        <f>VALUE(LEFT(AD153,4))-VALUE(LEFT(AD152,4))</f>
        <v>1</v>
      </c>
      <c r="Y153" s="194">
        <f t="shared" si="76"/>
        <v>23.298999999999999</v>
      </c>
      <c r="Z153" s="194">
        <f t="shared" si="77"/>
        <v>1.78E-2</v>
      </c>
      <c r="AA153" s="194">
        <f t="shared" si="64"/>
        <v>23.281199999999998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65"/>
        <v>240</v>
      </c>
      <c r="AE153" s="77" t="str">
        <f t="shared" si="66"/>
        <v>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 &amp; aws s3 cp s3://rtdc.mdm.uploadarchive.raw/RTDC4043/ "%USERPROFILE%\AppData\Local\Temp\OnboardLogs"\RTDC4043\2017-09-11 --exclude "*" --recursive --include "*20170911*" &amp; "%USERPROFILE%\Documents\GitHub\mrs-test-scripts\Headless Mode &amp; Sideloading\WalkAndUnGZ.bat" "%USERPROFILE%\AppData\Local\Temp\OnboardLogs"\RTDC4043\2017-09-11</v>
      </c>
      <c r="AF153" s="74" t="str">
        <f t="shared" si="67"/>
        <v>"C:\Program Files (x86)\AstroGrep\AstroGrep.exe" /e /r /s /spath="%USERPROFILE%\AppData\Local\Temp\OnboardLogs" /stypes="app*4043*20170910*" /stext=" 07:.+((SYSTEM_STATE.+slice.+state.+changed )|(ment ac)|(multiple cpu faults)|(system.+state.+changed )|(\[timeout)|(PRM\|1\|D)|(kpr)|(kdp)|(train st.+moving)|(\|lc)|(penalty))"</v>
      </c>
      <c r="AG153" s="206" t="str">
        <f t="shared" si="68"/>
        <v>EC</v>
      </c>
      <c r="AH153" s="78" t="str">
        <f t="shared" si="69"/>
        <v>"%USERPROFILE%\Documents\GitHub\eaglep3\Utilities\RefineRTDCRunTimes.py" --tripid 240-09 --locoid 4043 --swversion DE.1.0.9.0 --startMP 204:232990 --initTime 2017-09-10T00:08:41 --startdatetime 2017-09-10T00:27:20 --delay 49 --endMP 204:178 --enddatetime 2017-09-10T01:05:03 --enforcementcount 0 &gt;&gt;C:\Users\stu\Documents\GitHub\eaglep3-reporting\EC\2017-09-09-refined-times.txt</v>
      </c>
      <c r="AI153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{"issue":{"subject":"","project_id":79,"tracker_id":40,"status_id":1,"priority_id":2,"assigned_to_id":338,"start_date":"2017-09-10","description":"","custom_fields":[{"id":1,"name":"Subdivision","value":"EC"},{"id":4,"name":"Milepost","value":"0.0178"},{"id":17,"name":"Train ID","value":"240-09"},{"id":16,"name":"Locomotive ID","value":"4043"},{"id":130,"name":"Impact","value":""},{"id":150,"name":"Time of Event (Mountain Time)","value":"01:05:03"},{"id":151,"name":"Denver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4043 --day 2017-09-10</v>
      </c>
      <c r="AN153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643</v>
      </c>
      <c r="B154" s="7">
        <v>4062</v>
      </c>
      <c r="C154" s="21" t="s">
        <v>197</v>
      </c>
      <c r="D154" s="21" t="s">
        <v>929</v>
      </c>
      <c r="E154" s="13">
        <v>42988.006030092591</v>
      </c>
      <c r="F154" s="13">
        <v>42988.000347222223</v>
      </c>
      <c r="G154" s="7">
        <v>49</v>
      </c>
      <c r="H154" s="21" t="s">
        <v>934</v>
      </c>
      <c r="I154" s="13">
        <v>42988.024606481478</v>
      </c>
      <c r="J154" s="7">
        <v>0</v>
      </c>
      <c r="K154" s="89" t="str">
        <f t="shared" si="60"/>
        <v>4061/4062</v>
      </c>
      <c r="L154" s="214" t="str">
        <f>VLOOKUP(A154,'Trips&amp;Operators'!$C$1:$G$99911,5,FALSE)</f>
        <v>CASSIDY BRANDON</v>
      </c>
      <c r="M154" s="6">
        <f t="shared" si="61"/>
        <v>2.4259259254904464E-2</v>
      </c>
      <c r="N154" s="7">
        <f t="shared" si="57"/>
        <v>34.933333327062428</v>
      </c>
      <c r="O154" s="7"/>
      <c r="P154" s="7"/>
      <c r="Q154" s="22"/>
      <c r="R154" s="167"/>
      <c r="S154" s="210">
        <f t="shared" si="58"/>
        <v>1</v>
      </c>
      <c r="T154" s="192" t="str">
        <f t="shared" si="62"/>
        <v>NorthBound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63"/>
        <v>https://d0f6bd738d7f1b3e5a7ca70fe4ff75f0.us-east-1.aws.found.io/app/kibana#/discover/Steve-Slow-Train-Analysis-(2080s-and-2083s)?_g=(refreshInterval:(display:Off,pause:!f,section:0,value:0),time:(from:'2017-09-09T23:08:41-0600',mode:absolute,to:'2017-09-10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4" s="194" t="str">
        <f>IF(AA154&lt;VLOOKUP(AG154,Variables!$AC$3:$AD$8,2,FALSE),"Y","N")</f>
        <v>N</v>
      </c>
      <c r="X154" s="194">
        <f t="shared" ref="X154:X156" si="79">VALUE(LEFT(AD154,4))-VALUE(LEFT(AD153,4))</f>
        <v>1</v>
      </c>
      <c r="Y154" s="194">
        <v>4.6600000000000003E-2</v>
      </c>
      <c r="Z154" s="194">
        <v>23.3324</v>
      </c>
      <c r="AA154" s="194">
        <f t="shared" si="64"/>
        <v>23.285799999999998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65"/>
        <v>241</v>
      </c>
      <c r="AE154" s="77" t="str">
        <f t="shared" si="66"/>
        <v>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 &amp; aws s3 cp s3://rtdc.mdm.uploadarchive.raw/RTDC4062/ "%USERPROFILE%\AppData\Local\Temp\OnboardLogs"\RTDC4062\2017-09-11 --exclude "*" --recursive --include "*20170911*" &amp; "%USERPROFILE%\Documents\GitHub\mrs-test-scripts\Headless Mode &amp; Sideloading\WalkAndUnGZ.bat" "%USERPROFILE%\AppData\Local\Temp\OnboardLogs"\RTDC4062\2017-09-11</v>
      </c>
      <c r="AF154" s="74" t="str">
        <f t="shared" si="67"/>
        <v>"C:\Program Files (x86)\AstroGrep\AstroGrep.exe" /e /r /s /spath="%USERPROFILE%\AppData\Local\Temp\OnboardLogs" /stypes="app*4062*20170910*" /stext=" 06:.+((SYSTEM_STATE.+slice.+state.+changed )|(ment ac)|(multiple cpu faults)|(system.+state.+changed )|(\[timeout)|(PRM\|1\|D)|(kpr)|(kdp)|(train st.+moving)|(\|lc)|(penalty))"</v>
      </c>
      <c r="AG154" s="206" t="str">
        <f t="shared" si="68"/>
        <v>EC</v>
      </c>
      <c r="AH154" s="78" t="str">
        <f t="shared" ref="AH154" si="80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241-09 --locoid 4062 --swversion DE.1.0.9.0 --startMP 204:232990 --initTime 2017-09-10T00:08:41 --startdatetime 2017-09-10T00:00:30 --delay 49 --endMP 204:178 --enddatetime 2017-09-10T00:35:26 --enforcementcount 0 &gt;&gt;C:\Users\stu\Documents\GitHub\eaglep3-reporting\EC\2017-09-09-refined-times.txt</v>
      </c>
      <c r="AI154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{"issue":{"subject":"","project_id":79,"tracker_id":40,"status_id":1,"priority_id":2,"assigned_to_id":338,"start_date":"2017-09-10","description":"","custom_fields":[{"id":1,"name":"Subdivision","value":"EC"},{"id":4,"name":"Milepost","value":"23.3324"},{"id":17,"name":"Train ID","value":"241-09"},{"id":16,"name":"Locomotive ID","value":"4062"},{"id":130,"name":"Impact","value":""},{"id":150,"name":"Time of Event (Mountain Time)","value":"00:35:26"},{"id":151,"name":"Denver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ref="AM154" si="81">"start /low /b "&amp;dls3logs&amp;" --loco "&amp;B154&amp;" --day "&amp;TEXT(F154,"YYYY-MM-DD")</f>
        <v>start /low /b %USERPROFILE%\Documents\GitHub\eaglep3\Utilities\DownloadLogsFromS3.py --loco 4062 --day 2017-09-10</v>
      </c>
      <c r="AN154" s="151" t="str">
        <f t="shared" ref="AN154" si="82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828</v>
      </c>
      <c r="B155" s="7">
        <v>4061</v>
      </c>
      <c r="C155" s="21" t="s">
        <v>197</v>
      </c>
      <c r="D155" s="21" t="s">
        <v>929</v>
      </c>
      <c r="E155" s="13">
        <v>42988.006030092591</v>
      </c>
      <c r="F155" s="13">
        <v>42988.039814814816</v>
      </c>
      <c r="G155" s="7">
        <v>49</v>
      </c>
      <c r="H155" s="21" t="s">
        <v>934</v>
      </c>
      <c r="I155" s="13">
        <v>42988.065868055557</v>
      </c>
      <c r="J155" s="7">
        <v>0</v>
      </c>
      <c r="K155" s="89" t="str">
        <f t="shared" si="60"/>
        <v>4061/4062</v>
      </c>
      <c r="L155" s="214" t="str">
        <f>VLOOKUP(A155,'Trips&amp;Operators'!$C$1:$G$99911,5,FALSE)</f>
        <v>CASSIDY BRANDON</v>
      </c>
      <c r="M155" s="6">
        <f t="shared" si="61"/>
        <v>2.6053240741021E-2</v>
      </c>
      <c r="N155" s="7">
        <f t="shared" si="57"/>
        <v>37.51666666707024</v>
      </c>
      <c r="O155" s="7"/>
      <c r="P155" s="7"/>
      <c r="Q155" s="22"/>
      <c r="R155" s="167"/>
      <c r="S155" s="210">
        <f t="shared" si="58"/>
        <v>1</v>
      </c>
      <c r="T155" s="192" t="str">
        <f t="shared" si="62"/>
        <v>Southbound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63"/>
        <v>https://d0f6bd738d7f1b3e5a7ca70fe4ff75f0.us-east-1.aws.found.io/app/kibana#/discover/Steve-Slow-Train-Analysis-(2080s-and-2083s)?_g=(refreshInterval:(display:Off,pause:!f,section:0,value:0),time:(from:'2017-09-09T23:08:41-0600',mode:absolute,to:'2017-09-10T02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5" s="194" t="str">
        <f>IF(AA155&lt;VLOOKUP(AG155,Variables!$AC$3:$AD$8,2,FALSE),"Y","N")</f>
        <v>N</v>
      </c>
      <c r="X155" s="194">
        <f t="shared" si="79"/>
        <v>1</v>
      </c>
      <c r="Y155" s="194">
        <v>23.298999999999999</v>
      </c>
      <c r="Z155" s="194">
        <v>1.78E-2</v>
      </c>
      <c r="AA155" s="194">
        <f t="shared" si="64"/>
        <v>23.281199999999998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65"/>
        <v>242</v>
      </c>
      <c r="AE155" s="77" t="str">
        <f t="shared" si="66"/>
        <v>aws s3 cp s3://rtdc.mdm.uploadarchive.raw/RTDC4061/ "%USERPROFILE%\AppData\Local\Temp\OnboardLogs"\RTDC4061\2017-09-10 --exclude "*" --recursive --include "*20170910*" &amp; "%USERPROFILE%\Documents\GitHub\mrs-test-scripts\Headless Mode &amp; Sideloading\WalkAndUnGZ.bat" "%USERPROFILE%\AppData\Local\Temp\OnboardLogs"\RTDC4061\2017-09-10 &amp; aws s3 cp s3://rtdc.mdm.uploadarchive.raw/RTDC4061/ "%USERPROFILE%\AppData\Local\Temp\OnboardLogs"\RTDC4061\2017-09-11 --exclude "*" --recursive --include "*20170911*" &amp; "%USERPROFILE%\Documents\GitHub\mrs-test-scripts\Headless Mode &amp; Sideloading\WalkAndUnGZ.bat" "%USERPROFILE%\AppData\Local\Temp\OnboardLogs"\RTDC4061\2017-09-11</v>
      </c>
      <c r="AF155" s="74" t="str">
        <f t="shared" si="67"/>
        <v>"C:\Program Files (x86)\AstroGrep\AstroGrep.exe" /e /r /s /spath="%USERPROFILE%\AppData\Local\Temp\OnboardLogs" /stypes="app*4061*20170910*" /stext=" 07:.+((SYSTEM_STATE.+slice.+state.+changed )|(ment ac)|(multiple cpu faults)|(system.+state.+changed )|(\[timeout)|(PRM\|1\|D)|(kpr)|(kdp)|(train st.+moving)|(\|lc)|(penalty))"</v>
      </c>
      <c r="AG155" s="206" t="str">
        <f t="shared" si="68"/>
        <v>EC</v>
      </c>
      <c r="AH155" s="78" t="str">
        <f t="shared" ref="AH155" si="83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242-09 --locoid 4061 --swversion DE.1.0.9.0 --startMP 204:232990 --initTime 2017-09-10T00:08:41 --startdatetime 2017-09-10T00:57:20 --delay 49 --endMP 204:178 --enddatetime 2017-09-10T01:34:51 --enforcementcount 0 &gt;&gt;C:\Users\stu\Documents\GitHub\eaglep3-reporting\EC\2017-09-09-refined-times.txt</v>
      </c>
      <c r="AI155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{"issue":{"subject":"","project_id":79,"tracker_id":40,"status_id":1,"priority_id":2,"assigned_to_id":338,"start_date":"2017-09-10","description":"","custom_fields":[{"id":1,"name":"Subdivision","value":"EC"},{"id":4,"name":"Milepost","value":"0.0178"},{"id":17,"name":"Train ID","value":"242-09"},{"id":16,"name":"Locomotive ID","value":"4061"},{"id":130,"name":"Impact","value":""},{"id":150,"name":"Time of Event (Mountain Time)","value":"01:34:51"},{"id":151,"name":"Denver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ref="AM155" si="84">"start /low /b "&amp;dls3logs&amp;" --loco "&amp;B155&amp;" --day "&amp;TEXT(F155,"YYYY-MM-DD")</f>
        <v>start /low /b %USERPROFILE%\Documents\GitHub\eaglep3\Utilities\DownloadLogsFromS3.py --loco 4061 --day 2017-09-10</v>
      </c>
      <c r="AN155" s="151" t="str">
        <f t="shared" ref="AN155" si="85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07:34:51"},{"id":29,"name":"Sharepoint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827</v>
      </c>
      <c r="B156" s="7">
        <v>4026</v>
      </c>
      <c r="C156" s="21" t="s">
        <v>197</v>
      </c>
      <c r="D156" s="21" t="s">
        <v>527</v>
      </c>
      <c r="E156" s="13">
        <v>42988.007418981484</v>
      </c>
      <c r="F156" s="13">
        <v>42988.021087962959</v>
      </c>
      <c r="G156" s="7">
        <v>189</v>
      </c>
      <c r="H156" s="21" t="s">
        <v>574</v>
      </c>
      <c r="I156" s="13">
        <v>42988.046990740739</v>
      </c>
      <c r="J156" s="7">
        <v>0</v>
      </c>
      <c r="K156" s="89" t="str">
        <f t="shared" si="60"/>
        <v>4025/4026</v>
      </c>
      <c r="L156" s="214" t="str">
        <f>VLOOKUP(A156,'Trips&amp;Operators'!$C$1:$G$99911,5,FALSE)</f>
        <v>NICHOLSON WESLEY</v>
      </c>
      <c r="M156" s="6">
        <f t="shared" si="61"/>
        <v>2.5902777779265307E-2</v>
      </c>
      <c r="N156" s="7">
        <f t="shared" si="57"/>
        <v>37.300000002142042</v>
      </c>
      <c r="O156" s="7"/>
      <c r="P156" s="7"/>
      <c r="Q156" s="22"/>
      <c r="R156" s="167"/>
      <c r="S156" s="210">
        <f t="shared" si="58"/>
        <v>1</v>
      </c>
      <c r="T156" s="192" t="str">
        <f t="shared" si="62"/>
        <v>NorthBound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63"/>
        <v>https://d0f6bd738d7f1b3e5a7ca70fe4ff75f0.us-east-1.aws.found.io/app/kibana#/discover/Steve-Slow-Train-Analysis-(2080s-and-2083s)?_g=(refreshInterval:(display:Off,pause:!f,section:0,value:0),time:(from:'2017-09-09T23:10:41-0600',mode:absolute,to:'2017-09-10T02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6" s="194" t="str">
        <f>IF(AA156&lt;VLOOKUP(AG156,Variables!$AC$3:$AD$8,2,FALSE),"Y","N")</f>
        <v>N</v>
      </c>
      <c r="X156" s="194">
        <f t="shared" si="79"/>
        <v>1</v>
      </c>
      <c r="Y156" s="194">
        <f t="shared" ref="Y156:Y175" si="86">RIGHT(D156,LEN(D156)-4)/10000</f>
        <v>4.5100000000000001E-2</v>
      </c>
      <c r="Z156" s="194">
        <f t="shared" ref="Z156:Z175" si="87">RIGHT(H156,LEN(H156)-4)/10000</f>
        <v>23.328900000000001</v>
      </c>
      <c r="AA156" s="194">
        <f t="shared" si="64"/>
        <v>23.283799999999999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65"/>
        <v>243</v>
      </c>
      <c r="AE156" s="77" t="str">
        <f t="shared" si="66"/>
        <v>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 &amp; 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</v>
      </c>
      <c r="AF156" s="74" t="str">
        <f t="shared" si="67"/>
        <v>"C:\Program Files (x86)\AstroGrep\AstroGrep.exe" /e /r /s /spath="%USERPROFILE%\AppData\Local\Temp\OnboardLogs" /stypes="app*4026*20170910*" /stext=" 07:.+((SYSTEM_STATE.+slice.+state.+changed )|(ment ac)|(multiple cpu faults)|(system.+state.+changed )|(\[timeout)|(PRM\|1\|D)|(kpr)|(kdp)|(train st.+moving)|(\|lc)|(penalty))"</v>
      </c>
      <c r="AG156" s="206" t="str">
        <f t="shared" si="68"/>
        <v>EC</v>
      </c>
      <c r="AH156" s="78" t="str">
        <f t="shared" si="69"/>
        <v>"%USERPROFILE%\Documents\GitHub\eaglep3\Utilities\RefineRTDCRunTimes.py" --tripid 243-09 --locoid 4026 --swversion DE.1.0.9.0 --startMP 204:451 --initTime 2017-09-10T00:10:41 --startdatetime 2017-09-10T00:30:22 --delay 189 --endMP 204:233289 --enddatetime 2017-09-10T01:07:40 --enforcementcount 0 &gt;&gt;C:\Users\stu\Documents\GitHub\eaglep3-reporting\EC\2017-09-09-refined-times.txt</v>
      </c>
      <c r="AI156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{"issue":{"subject":"","project_id":79,"tracker_id":40,"status_id":1,"priority_id":2,"assigned_to_id":338,"start_date":"2017-09-10","description":"","custom_fields":[{"id":1,"name":"Subdivision","value":"EC"},{"id":4,"name":"Milepost","value":"23.3289"},{"id":17,"name":"Train ID","value":"243-09"},{"id":16,"name":"Locomotive ID","value":"4026"},{"id":130,"name":"Impact","value":""},{"id":150,"name":"Time of Event (Mountain Time)","value":"01:07:40"},{"id":151,"name":"Denver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4026 --day 2017-09-10</v>
      </c>
      <c r="AN15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07:07:40"},{"id":29,"name":"Sharepoint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833</v>
      </c>
      <c r="B157" s="7">
        <v>4025</v>
      </c>
      <c r="C157" s="21" t="s">
        <v>197</v>
      </c>
      <c r="D157" s="21" t="s">
        <v>397</v>
      </c>
      <c r="E157" s="13">
        <v>42988.055509259262</v>
      </c>
      <c r="F157" s="13">
        <v>42988.060833333337</v>
      </c>
      <c r="G157" s="7">
        <v>129</v>
      </c>
      <c r="H157" s="21" t="s">
        <v>440</v>
      </c>
      <c r="I157" s="13">
        <v>42988.08865740741</v>
      </c>
      <c r="J157" s="7">
        <v>0</v>
      </c>
      <c r="K157" s="89" t="str">
        <f t="shared" si="60"/>
        <v>4025/4026</v>
      </c>
      <c r="L157" s="214" t="str">
        <f>VLOOKUP(A157,'Trips&amp;Operators'!$C$1:$G$99911,5,FALSE)</f>
        <v>NICHOLSON WESLEY</v>
      </c>
      <c r="M157" s="6">
        <f t="shared" si="61"/>
        <v>2.7824074073578231E-2</v>
      </c>
      <c r="N157" s="7">
        <f t="shared" si="57"/>
        <v>40.066666665952653</v>
      </c>
      <c r="O157" s="7"/>
      <c r="P157" s="7"/>
      <c r="Q157" s="22"/>
      <c r="R157" s="167"/>
      <c r="S157" s="210">
        <f t="shared" si="58"/>
        <v>1</v>
      </c>
      <c r="T157" s="192" t="str">
        <f t="shared" si="62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63"/>
        <v>https://d0f6bd738d7f1b3e5a7ca70fe4ff75f0.us-east-1.aws.found.io/app/kibana#/discover/Steve-Slow-Train-Analysis-(2080s-and-2083s)?_g=(refreshInterval:(display:Off,pause:!f,section:0,value:0),time:(from:'2017-09-10T00:19:56-0600',mode:absolute,to:'2017-09-10T03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194" t="str">
        <f>IF(AA157&lt;VLOOKUP(AG157,Variables!$AC$3:$AD$8,2,FALSE),"Y","N")</f>
        <v>N</v>
      </c>
      <c r="X157" s="194">
        <f t="shared" ref="X157:X176" si="88">VALUE(LEFT(AD157,4))-VALUE(LEFT(AD156,4))</f>
        <v>1</v>
      </c>
      <c r="Y157" s="194">
        <f t="shared" si="86"/>
        <v>23.297799999999999</v>
      </c>
      <c r="Z157" s="194">
        <f t="shared" si="87"/>
        <v>1.3899999999999999E-2</v>
      </c>
      <c r="AA157" s="194">
        <f t="shared" si="64"/>
        <v>23.283899999999999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65"/>
        <v>244</v>
      </c>
      <c r="AE157" s="77" t="str">
        <f t="shared" si="66"/>
        <v>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 &amp; aws s3 cp s3://rtdc.mdm.uploadarchive.raw/RTDC4025/ "%USERPROFILE%\AppData\Local\Temp\OnboardLogs"\RTDC4025\2017-09-11 --exclude "*" --recursive --include "*20170911*" &amp; "%USERPROFILE%\Documents\GitHub\mrs-test-scripts\Headless Mode &amp; Sideloading\WalkAndUnGZ.bat" "%USERPROFILE%\AppData\Local\Temp\OnboardLogs"\RTDC4025\2017-09-11</v>
      </c>
      <c r="AF157" s="74" t="str">
        <f t="shared" si="67"/>
        <v>"C:\Program Files (x86)\AstroGrep\AstroGrep.exe" /e /r /s /spath="%USERPROFILE%\AppData\Local\Temp\OnboardLogs" /stypes="app*4025*20170910*" /stext=" 08:.+((SYSTEM_STATE.+slice.+state.+changed )|(ment ac)|(multiple cpu faults)|(system.+state.+changed )|(\[timeout)|(PRM\|1\|D)|(kpr)|(kdp)|(train st.+moving)|(\|lc)|(penalty))"</v>
      </c>
      <c r="AG157" s="206" t="str">
        <f t="shared" si="68"/>
        <v>EC</v>
      </c>
      <c r="AH157" s="78" t="str">
        <f t="shared" si="69"/>
        <v>"%USERPROFILE%\Documents\GitHub\eaglep3\Utilities\RefineRTDCRunTimes.py" --tripid 244-09 --locoid 4025 --swversion DE.1.0.9.0 --startMP 204:232978 --initTime 2017-09-10T01:19:56 --startdatetime 2017-09-10T01:27:36 --delay 129 --endMP 204:139 --enddatetime 2017-09-10T02:07:40 --enforcementcount 0 &gt;&gt;C:\Users\stu\Documents\GitHub\eaglep3-reporting\EC\2017-09-09-refined-times.txt</v>
      </c>
      <c r="AI157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{"issue":{"subject":"","project_id":79,"tracker_id":40,"status_id":1,"priority_id":2,"assigned_to_id":338,"start_date":"2017-09-10","description":"","custom_fields":[{"id":1,"name":"Subdivision","value":"EC"},{"id":4,"name":"Milepost","value":"0.0139"},{"id":17,"name":"Train ID","value":"244-09"},{"id":16,"name":"Locomotive ID","value":"4025"},{"id":130,"name":"Impact","value":""},{"id":150,"name":"Time of Event (Mountain Time)","value":"02:07:40"},{"id":151,"name":"Denver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4025 --day 2017-09-10</v>
      </c>
      <c r="AN15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08:07:40"},{"id":29,"name":"Sharepoint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829</v>
      </c>
      <c r="B158" s="7">
        <v>4054</v>
      </c>
      <c r="C158" s="21" t="s">
        <v>197</v>
      </c>
      <c r="D158" s="21" t="s">
        <v>366</v>
      </c>
      <c r="E158" s="13">
        <v>42988.038703703707</v>
      </c>
      <c r="F158" s="13">
        <v>42988.042083333334</v>
      </c>
      <c r="G158" s="7">
        <v>47</v>
      </c>
      <c r="H158" s="21" t="s">
        <v>935</v>
      </c>
      <c r="I158" s="13">
        <v>42988.065810185188</v>
      </c>
      <c r="J158" s="7">
        <v>0</v>
      </c>
      <c r="K158" s="89" t="str">
        <f t="shared" si="60"/>
        <v>4053/4054</v>
      </c>
      <c r="L158" s="214" t="str">
        <f>VLOOKUP(A158,'Trips&amp;Operators'!$C$1:$G$99911,5,FALSE)</f>
        <v>HART KEVIN</v>
      </c>
      <c r="M158" s="6">
        <f t="shared" si="61"/>
        <v>2.3726851854007691E-2</v>
      </c>
      <c r="N158" s="7">
        <f t="shared" si="57"/>
        <v>34.166666669771075</v>
      </c>
      <c r="O158" s="7"/>
      <c r="P158" s="7"/>
      <c r="Q158" s="22"/>
      <c r="R158" s="167"/>
      <c r="S158" s="210">
        <f t="shared" si="58"/>
        <v>1</v>
      </c>
      <c r="T158" s="192" t="str">
        <f t="shared" si="62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63"/>
        <v>https://d0f6bd738d7f1b3e5a7ca70fe4ff75f0.us-east-1.aws.found.io/app/kibana#/discover/Steve-Slow-Train-Analysis-(2080s-and-2083s)?_g=(refreshInterval:(display:Off,pause:!f,section:0,value:0),time:(from:'2017-09-09T23:55:44-0600',mode:absolute,to:'2017-09-10T02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94" t="str">
        <f>IF(AA158&lt;VLOOKUP(AG158,Variables!$AC$3:$AD$8,2,FALSE),"Y","N")</f>
        <v>N</v>
      </c>
      <c r="X158" s="194">
        <f t="shared" si="88"/>
        <v>1</v>
      </c>
      <c r="Y158" s="194">
        <f t="shared" si="86"/>
        <v>4.6399999999999997E-2</v>
      </c>
      <c r="Z158" s="194">
        <f t="shared" si="87"/>
        <v>23.328199999999999</v>
      </c>
      <c r="AA158" s="194">
        <f t="shared" si="64"/>
        <v>23.2818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65"/>
        <v>245</v>
      </c>
      <c r="AE158" s="77" t="str">
        <f t="shared" si="66"/>
        <v>aws s3 cp s3://rtdc.mdm.uploadarchive.raw/RTDC4054/ "%USERPROFILE%\AppData\Local\Temp\OnboardLogs"\RTDC4054\2017-09-10 --exclude "*" --recursive --include "*20170910*" &amp; "%USERPROFILE%\Documents\GitHub\mrs-test-scripts\Headless Mode &amp; Sideloading\WalkAndUnGZ.bat" "%USERPROFILE%\AppData\Local\Temp\OnboardLogs"\RTDC4054\2017-09-10 &amp; aws s3 cp s3://rtdc.mdm.uploadarchive.raw/RTDC4054/ "%USERPROFILE%\AppData\Local\Temp\OnboardLogs"\RTDC4054\2017-09-11 --exclude "*" --recursive --include "*20170911*" &amp; "%USERPROFILE%\Documents\GitHub\mrs-test-scripts\Headless Mode &amp; Sideloading\WalkAndUnGZ.bat" "%USERPROFILE%\AppData\Local\Temp\OnboardLogs"\RTDC4054\2017-09-11</v>
      </c>
      <c r="AF158" s="74" t="str">
        <f t="shared" si="67"/>
        <v>"C:\Program Files (x86)\AstroGrep\AstroGrep.exe" /e /r /s /spath="%USERPROFILE%\AppData\Local\Temp\OnboardLogs" /stypes="app*4054*20170910*" /stext=" 07:.+((SYSTEM_STATE.+slice.+state.+changed )|(ment ac)|(multiple cpu faults)|(system.+state.+changed )|(\[timeout)|(PRM\|1\|D)|(kpr)|(kdp)|(train st.+moving)|(\|lc)|(penalty))"</v>
      </c>
      <c r="AG158" s="206" t="str">
        <f t="shared" si="68"/>
        <v>EC</v>
      </c>
      <c r="AH158" s="78" t="str">
        <f t="shared" si="69"/>
        <v>"%USERPROFILE%\Documents\GitHub\eaglep3\Utilities\RefineRTDCRunTimes.py" --tripid 245-09 --locoid 4054 --swversion DE.1.0.9.0 --startMP 204:464 --initTime 2017-09-10T00:55:44 --startdatetime 2017-09-10T01:00:36 --delay 47 --endMP 204:233282 --enddatetime 2017-09-10T01:34:46 --enforcementcount 0 &gt;&gt;C:\Users\stu\Documents\GitHub\eaglep3-reporting\EC\2017-09-09-refined-times.txt</v>
      </c>
      <c r="AI158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{"issue":{"subject":"","project_id":79,"tracker_id":40,"status_id":1,"priority_id":2,"assigned_to_id":338,"start_date":"2017-09-10","description":"","custom_fields":[{"id":1,"name":"Subdivision","value":"EC"},{"id":4,"name":"Milepost","value":"23.3282"},{"id":17,"name":"Train ID","value":"245-09"},{"id":16,"name":"Locomotive ID","value":"4054"},{"id":130,"name":"Impact","value":""},{"id":150,"name":"Time of Event (Mountain Time)","value":"01:34:46"},{"id":151,"name":"Denver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1"/>
        <v>start /low /b %USERPROFILE%\Documents\GitHub\eaglep3\Utilities\DownloadLogsFromS3.py --loco 4054 --day 2017-09-10</v>
      </c>
      <c r="AN15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07:34:46"},{"id":29,"name":"Sharepoint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835</v>
      </c>
      <c r="B159" s="7">
        <v>4053</v>
      </c>
      <c r="C159" s="21" t="s">
        <v>197</v>
      </c>
      <c r="D159" s="21" t="s">
        <v>591</v>
      </c>
      <c r="E159" s="13">
        <v>42988.078935185185</v>
      </c>
      <c r="F159" s="13">
        <v>42988.081504629627</v>
      </c>
      <c r="G159" s="7">
        <v>60</v>
      </c>
      <c r="H159" s="21" t="s">
        <v>845</v>
      </c>
      <c r="I159" s="13">
        <v>42988.106192129628</v>
      </c>
      <c r="J159" s="7">
        <v>0</v>
      </c>
      <c r="K159" s="89" t="str">
        <f t="shared" si="60"/>
        <v>4053/4054</v>
      </c>
      <c r="L159" s="214" t="str">
        <f>VLOOKUP(A159,'Trips&amp;Operators'!$C$1:$G$99911,5,FALSE)</f>
        <v>HART KEVIN</v>
      </c>
      <c r="M159" s="6">
        <f t="shared" si="61"/>
        <v>2.4687500001164153E-2</v>
      </c>
      <c r="N159" s="7">
        <f t="shared" si="57"/>
        <v>35.550000001676381</v>
      </c>
      <c r="O159" s="7"/>
      <c r="P159" s="7"/>
      <c r="Q159" s="22"/>
      <c r="R159" s="167"/>
      <c r="S159" s="210">
        <f t="shared" si="58"/>
        <v>1</v>
      </c>
      <c r="T159" s="192" t="str">
        <f t="shared" si="62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3" t="str">
        <f t="shared" si="63"/>
        <v>https://d0f6bd738d7f1b3e5a7ca70fe4ff75f0.us-east-1.aws.found.io/app/kibana#/discover/Steve-Slow-Train-Analysis-(2080s-and-2083s)?_g=(refreshInterval:(display:Off,pause:!f,section:0,value:0),time:(from:'2017-09-10T00:53:40-0600',mode:absolute,to:'2017-09-10T03:32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194" t="str">
        <f>IF(AA159&lt;VLOOKUP(AG159,Variables!$AC$3:$AD$8,2,FALSE),"Y","N")</f>
        <v>N</v>
      </c>
      <c r="X159" s="194">
        <f t="shared" si="88"/>
        <v>1</v>
      </c>
      <c r="Y159" s="194">
        <f t="shared" si="86"/>
        <v>23.296500000000002</v>
      </c>
      <c r="Z159" s="194">
        <f t="shared" si="87"/>
        <v>2.01E-2</v>
      </c>
      <c r="AA159" s="194">
        <f t="shared" si="64"/>
        <v>23.276400000000002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65"/>
        <v>246</v>
      </c>
      <c r="AE159" s="77" t="str">
        <f t="shared" si="66"/>
        <v>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 &amp; aws s3 cp s3://rtdc.mdm.uploadarchive.raw/RTDC4053/ "%USERPROFILE%\AppData\Local\Temp\OnboardLogs"\RTDC4053\2017-09-11 --exclude "*" --recursive --include "*20170911*" &amp; "%USERPROFILE%\Documents\GitHub\mrs-test-scripts\Headless Mode &amp; Sideloading\WalkAndUnGZ.bat" "%USERPROFILE%\AppData\Local\Temp\OnboardLogs"\RTDC4053\2017-09-11</v>
      </c>
      <c r="AF159" s="74" t="str">
        <f t="shared" si="67"/>
        <v>"C:\Program Files (x86)\AstroGrep\AstroGrep.exe" /e /r /s /spath="%USERPROFILE%\AppData\Local\Temp\OnboardLogs" /stypes="app*4053*20170910*" /stext=" 08:.+((SYSTEM_STATE.+slice.+state.+changed )|(ment ac)|(multiple cpu faults)|(system.+state.+changed )|(\[timeout)|(PRM\|1\|D)|(kpr)|(kdp)|(train st.+moving)|(\|lc)|(penalty))"</v>
      </c>
      <c r="AG159" s="206" t="str">
        <f t="shared" si="68"/>
        <v>EC</v>
      </c>
      <c r="AH159" s="78" t="str">
        <f t="shared" si="69"/>
        <v>"%USERPROFILE%\Documents\GitHub\eaglep3\Utilities\RefineRTDCRunTimes.py" --tripid 246-09 --locoid 4053 --swversion DE.1.0.9.0 --startMP 204:232965 --initTime 2017-09-10T01:53:40 --startdatetime 2017-09-10T01:57:22 --delay 60 --endMP 204:201 --enddatetime 2017-09-10T02:32:55 --enforcementcount 0 &gt;&gt;C:\Users\stu\Documents\GitHub\eaglep3-reporting\EC\2017-09-09-refined-times.txt</v>
      </c>
      <c r="AI159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{"issue":{"subject":"","project_id":79,"tracker_id":40,"status_id":1,"priority_id":2,"assigned_to_id":338,"start_date":"2017-09-10","description":"","custom_fields":[{"id":1,"name":"Subdivision","value":"EC"},{"id":4,"name":"Milepost","value":"0.0201"},{"id":17,"name":"Train ID","value":"246-09"},{"id":16,"name":"Locomotive ID","value":"4053"},{"id":130,"name":"Impact","value":""},{"id":150,"name":"Time of Event (Mountain Time)","value":"02:32:55"},{"id":151,"name":"Denver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1"/>
        <v>start /low /b %USERPROFILE%\Documents\GitHub\eaglep3\Utilities\DownloadLogsFromS3.py --loco 4053 --day 2017-09-10</v>
      </c>
      <c r="AN15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08:32:55"},{"id":29,"name":"Sharepoint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671</v>
      </c>
      <c r="B160" s="7">
        <v>4011</v>
      </c>
      <c r="C160" s="21" t="s">
        <v>197</v>
      </c>
      <c r="D160" s="21" t="s">
        <v>871</v>
      </c>
      <c r="E160" s="13">
        <v>42987.235011574077</v>
      </c>
      <c r="F160" s="13">
        <v>42987.236631944441</v>
      </c>
      <c r="G160" s="7">
        <v>63</v>
      </c>
      <c r="H160" s="21" t="s">
        <v>606</v>
      </c>
      <c r="I160" s="13">
        <v>42987.24722222222</v>
      </c>
      <c r="J160" s="7">
        <v>0</v>
      </c>
      <c r="K160" s="89" t="str">
        <f t="shared" si="60"/>
        <v>4011/4012</v>
      </c>
      <c r="L160" s="214" t="str">
        <f>VLOOKUP(A160,'Trips&amp;Operators'!$C$1:$G$99911,5,FALSE)</f>
        <v>HUFFSMITH MONTY</v>
      </c>
      <c r="M160" s="6">
        <f t="shared" si="61"/>
        <v>1.0590277779556345E-2</v>
      </c>
      <c r="N160" s="7">
        <f t="shared" si="57"/>
        <v>15.250000002561137</v>
      </c>
      <c r="O160" s="7"/>
      <c r="P160" s="7"/>
      <c r="Q160" s="22"/>
      <c r="R160" s="167"/>
      <c r="S160" s="210">
        <f t="shared" si="58"/>
        <v>1</v>
      </c>
      <c r="T160" s="192" t="str">
        <f t="shared" si="62"/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63"/>
        <v>https://d0f6bd738d7f1b3e5a7ca70fe4ff75f0.us-east-1.aws.found.io/app/kibana#/discover/Steve-Slow-Train-Analysis-(2080s-and-2083s)?_g=(refreshInterval:(display:Off,pause:!f,section:0,value:0),time:(from:'2017-09-09T04:38:25-0600',mode:absolute,to:'2017-09-09T06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194" t="str">
        <f>IF(AA160&lt;VLOOKUP(AG160,Variables!$AC$3:$AD$8,2,FALSE),"Y","N")</f>
        <v>N</v>
      </c>
      <c r="X160" s="194">
        <f t="shared" si="88"/>
        <v>1554</v>
      </c>
      <c r="Y160" s="194">
        <f t="shared" si="86"/>
        <v>5.8658999999999999</v>
      </c>
      <c r="Z160" s="194">
        <f t="shared" si="87"/>
        <v>6.6100000000000006E-2</v>
      </c>
      <c r="AA160" s="194">
        <f t="shared" si="64"/>
        <v>5.7998000000000003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65"/>
        <v>1800</v>
      </c>
      <c r="AE160" s="77" t="str">
        <f t="shared" si="66"/>
        <v>aws s3 cp s3://rtdc.mdm.uploadarchive.raw/RTDC4011/ "%USERPROFILE%\AppData\Local\Temp\OnboardLogs"\RTDC4011\2017-09-09 --exclude "*" --recursive --include "*20170909*" &amp; "%USERPROFILE%\Documents\GitHub\mrs-test-scripts\Headless Mode &amp; Sideloading\WalkAndUnGZ.bat" "%USERPROFILE%\AppData\Local\Temp\OnboardLogs"\RTDC4011\2017-09-09 &amp; aws s3 cp s3://rtdc.mdm.uploadarchive.raw/RTDC4011/ "%USERPROFILE%\AppData\Local\Temp\OnboardLogs"\RTDC4011\2017-09-10 --exclude "*" --recursive --include "*20170910*" &amp; "%USERPROFILE%\Documents\GitHub\mrs-test-scripts\Headless Mode &amp; Sideloading\WalkAndUnGZ.bat" "%USERPROFILE%\AppData\Local\Temp\OnboardLogs"\RTDC4011\2017-09-10</v>
      </c>
      <c r="AF160" s="74" t="str">
        <f t="shared" si="67"/>
        <v>"C:\Program Files (x86)\AstroGrep\AstroGrep.exe" /e /r /s /spath="%USERPROFILE%\AppData\Local\Temp\OnboardLogs" /stypes="app*4011*20170909*" /stext=" 11:.+((SYSTEM_STATE.+slice.+state.+changed )|(ment ac)|(multiple cpu faults)|(system.+state.+changed )|(\[timeout)|(PRM\|1\|D)|(kpr)|(kdp)|(train st.+moving)|(\|lc)|(penalty))"</v>
      </c>
      <c r="AG160" s="206" t="str">
        <f t="shared" si="68"/>
        <v>NW</v>
      </c>
      <c r="AH160" s="78" t="str">
        <f t="shared" si="69"/>
        <v>"%USERPROFILE%\Documents\GitHub\eaglep3\Utilities\RefineRTDCRunTimes.py" --tripid 1800-09 --locoid 4011 --swversion DE.1.0.9.0 --startMP 300:58659 --initTime 2017-09-09T05:38:25 --startdatetime 2017-09-09T05:40:45 --delay 63 --endMP 204:661 --enddatetime 2017-09-09T05:56:00 --enforcementcount 0 &gt;&gt;C:\Users\stu\Documents\GitHub\eaglep3-reporting\EC\2017-09-09-refined-times.txt</v>
      </c>
      <c r="AI160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{"issue":{"subject":"","project_id":79,"tracker_id":40,"status_id":1,"priority_id":2,"assigned_to_id":338,"start_date":"2017-09-09","description":"","custom_fields":[{"id":1,"name":"Subdivision","value":"NW"},{"id":4,"name":"Milepost","value":"0.0661"},{"id":17,"name":"Train ID","value":"1800-09"},{"id":16,"name":"Locomotive ID","value":"4011"},{"id":130,"name":"Impact","value":""},{"id":150,"name":"Time of Event (Mountain Time)","value":"05:56:00"},{"id":151,"name":"Denver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1"/>
        <v>start /low /b %USERPROFILE%\Documents\GitHub\eaglep3\Utilities\DownloadLogsFromS3.py --loco 4011 --day 2017-09-09</v>
      </c>
      <c r="AN160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675</v>
      </c>
      <c r="B161" s="7">
        <v>4012</v>
      </c>
      <c r="C161" s="21" t="s">
        <v>197</v>
      </c>
      <c r="D161" s="21" t="s">
        <v>604</v>
      </c>
      <c r="E161" s="13">
        <v>42987.249363425923</v>
      </c>
      <c r="F161" s="13">
        <v>42987.256493055553</v>
      </c>
      <c r="G161" s="7">
        <v>53</v>
      </c>
      <c r="H161" s="21" t="s">
        <v>872</v>
      </c>
      <c r="I161" s="13">
        <v>42987.266504629632</v>
      </c>
      <c r="J161" s="7">
        <v>0</v>
      </c>
      <c r="K161" s="89" t="str">
        <f t="shared" si="60"/>
        <v>4011/4012</v>
      </c>
      <c r="L161" s="214" t="str">
        <f>VLOOKUP(A161,'Trips&amp;Operators'!$C$1:$G$99911,5,FALSE)</f>
        <v>HUFFSMITH MONTY</v>
      </c>
      <c r="M161" s="6">
        <f t="shared" si="61"/>
        <v>1.0011574078816921E-2</v>
      </c>
      <c r="N161" s="7">
        <f t="shared" si="57"/>
        <v>14.416666673496366</v>
      </c>
      <c r="O161" s="7"/>
      <c r="P161" s="7"/>
      <c r="Q161" s="22"/>
      <c r="R161" s="167"/>
      <c r="S161" s="210">
        <f t="shared" si="58"/>
        <v>1</v>
      </c>
      <c r="T161" s="192" t="str">
        <f t="shared" si="62"/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63"/>
        <v>https://d0f6bd738d7f1b3e5a7ca70fe4ff75f0.us-east-1.aws.found.io/app/kibana#/discover/Steve-Slow-Train-Analysis-(2080s-and-2083s)?_g=(refreshInterval:(display:Off,pause:!f,section:0,value:0),time:(from:'2017-09-09T04:59:05-0600',mode:absolute,to:'2017-09-09T07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1" s="194" t="str">
        <f>IF(AA161&lt;VLOOKUP(AG161,Variables!$AC$3:$AD$8,2,FALSE),"Y","N")</f>
        <v>N</v>
      </c>
      <c r="X161" s="194">
        <f t="shared" si="88"/>
        <v>1</v>
      </c>
      <c r="Y161" s="194">
        <f t="shared" si="86"/>
        <v>9.6000000000000002E-2</v>
      </c>
      <c r="Z161" s="194">
        <f t="shared" si="87"/>
        <v>5.8975999999999997</v>
      </c>
      <c r="AA161" s="194">
        <f t="shared" si="64"/>
        <v>5.8015999999999996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65"/>
        <v>1801</v>
      </c>
      <c r="AE161" s="77" t="str">
        <f t="shared" si="66"/>
        <v>aws s3 cp s3://rtdc.mdm.uploadarchive.raw/RTDC4012/ "%USERPROFILE%\AppData\Local\Temp\OnboardLogs"\RTDC4012\2017-09-09 --exclude "*" --recursive --include "*20170909*" &amp; "%USERPROFILE%\Documents\GitHub\mrs-test-scripts\Headless Mode &amp; Sideloading\WalkAndUnGZ.bat" "%USERPROFILE%\AppData\Local\Temp\OnboardLogs"\RTDC4012\2017-09-09 &amp; aws s3 cp s3://rtdc.mdm.uploadarchive.raw/RTDC4012/ "%USERPROFILE%\AppData\Local\Temp\OnboardLogs"\RTDC4012\2017-09-10 --exclude "*" --recursive --include "*20170910*" &amp; "%USERPROFILE%\Documents\GitHub\mrs-test-scripts\Headless Mode &amp; Sideloading\WalkAndUnGZ.bat" "%USERPROFILE%\AppData\Local\Temp\OnboardLogs"\RTDC4012\2017-09-10</v>
      </c>
      <c r="AF161" s="74" t="str">
        <f t="shared" si="67"/>
        <v>"C:\Program Files (x86)\AstroGrep\AstroGrep.exe" /e /r /s /spath="%USERPROFILE%\AppData\Local\Temp\OnboardLogs" /stypes="app*4012*20170909*" /stext=" 12:.+((SYSTEM_STATE.+slice.+state.+changed )|(ment ac)|(multiple cpu faults)|(system.+state.+changed )|(\[timeout)|(PRM\|1\|D)|(kpr)|(kdp)|(train st.+moving)|(\|lc)|(penalty))"</v>
      </c>
      <c r="AG161" s="206" t="str">
        <f t="shared" si="68"/>
        <v>NW</v>
      </c>
      <c r="AH161" s="78" t="str">
        <f t="shared" si="69"/>
        <v>"%USERPROFILE%\Documents\GitHub\eaglep3\Utilities\RefineRTDCRunTimes.py" --tripid 1801-09 --locoid 4012 --swversion DE.1.0.9.0 --startMP 204:960 --initTime 2017-09-09T05:59:05 --startdatetime 2017-09-09T06:09:21 --delay 53 --endMP 300:58976 --enddatetime 2017-09-09T06:23:46 --enforcementcount 0 &gt;&gt;C:\Users\stu\Documents\GitHub\eaglep3-reporting\EC\2017-09-09-refined-times.txt</v>
      </c>
      <c r="AI161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{"issue":{"subject":"","project_id":79,"tracker_id":40,"status_id":1,"priority_id":2,"assigned_to_id":338,"start_date":"2017-09-09","description":"","custom_fields":[{"id":1,"name":"Subdivision","value":"NW"},{"id":4,"name":"Milepost","value":"5.8976"},{"id":17,"name":"Train ID","value":"1801-09"},{"id":16,"name":"Locomotive ID","value":"4012"},{"id":130,"name":"Impact","value":""},{"id":150,"name":"Time of Event (Mountain Time)","value":"06:23:46"},{"id":151,"name":"Denver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1"/>
        <v>start /low /b %USERPROFILE%\Documents\GitHub\eaglep3\Utilities\DownloadLogsFromS3.py --loco 4012 --day 2017-09-09</v>
      </c>
      <c r="AN161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678</v>
      </c>
      <c r="B162" s="7">
        <v>4011</v>
      </c>
      <c r="C162" s="21" t="s">
        <v>197</v>
      </c>
      <c r="D162" s="21" t="s">
        <v>605</v>
      </c>
      <c r="E162" s="13">
        <v>42987.26798611111</v>
      </c>
      <c r="F162" s="13">
        <v>42987.279942129629</v>
      </c>
      <c r="G162" s="7">
        <v>114</v>
      </c>
      <c r="H162" s="21" t="s">
        <v>873</v>
      </c>
      <c r="I162" s="13">
        <v>42987.288576388892</v>
      </c>
      <c r="J162" s="7">
        <v>0</v>
      </c>
      <c r="K162" s="89" t="str">
        <f t="shared" si="60"/>
        <v>4011/4012</v>
      </c>
      <c r="L162" s="214" t="str">
        <f>VLOOKUP(A162,'Trips&amp;Operators'!$C$1:$G$99911,5,FALSE)</f>
        <v>HUFFSMITH MONTY</v>
      </c>
      <c r="M162" s="6">
        <f t="shared" si="61"/>
        <v>8.6342592621804215E-3</v>
      </c>
      <c r="N162" s="7">
        <f t="shared" si="57"/>
        <v>12.433333337539807</v>
      </c>
      <c r="O162" s="7"/>
      <c r="P162" s="7"/>
      <c r="Q162" s="22"/>
      <c r="R162" s="167"/>
      <c r="S162" s="210">
        <f t="shared" si="58"/>
        <v>1</v>
      </c>
      <c r="T162" s="192" t="str">
        <f t="shared" si="62"/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63"/>
        <v>https://d0f6bd738d7f1b3e5a7ca70fe4ff75f0.us-east-1.aws.found.io/app/kibana#/discover/Steve-Slow-Train-Analysis-(2080s-and-2083s)?_g=(refreshInterval:(display:Off,pause:!f,section:0,value:0),time:(from:'2017-09-09T05:25:54-0600',mode:absolute,to:'2017-09-09T07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2" s="194" t="str">
        <f>IF(AA162&lt;VLOOKUP(AG162,Variables!$AC$3:$AD$8,2,FALSE),"Y","N")</f>
        <v>N</v>
      </c>
      <c r="X162" s="194">
        <f t="shared" si="88"/>
        <v>1</v>
      </c>
      <c r="Y162" s="194">
        <f t="shared" si="86"/>
        <v>5.8658000000000001</v>
      </c>
      <c r="Z162" s="194">
        <f t="shared" si="87"/>
        <v>6.5199999999999994E-2</v>
      </c>
      <c r="AA162" s="194">
        <f t="shared" si="64"/>
        <v>5.8006000000000002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65"/>
        <v>1802</v>
      </c>
      <c r="AE162" s="77" t="str">
        <f t="shared" si="66"/>
        <v>aws s3 cp s3://rtdc.mdm.uploadarchive.raw/RTDC4011/ "%USERPROFILE%\AppData\Local\Temp\OnboardLogs"\RTDC4011\2017-09-09 --exclude "*" --recursive --include "*20170909*" &amp; "%USERPROFILE%\Documents\GitHub\mrs-test-scripts\Headless Mode &amp; Sideloading\WalkAndUnGZ.bat" "%USERPROFILE%\AppData\Local\Temp\OnboardLogs"\RTDC4011\2017-09-09 &amp; aws s3 cp s3://rtdc.mdm.uploadarchive.raw/RTDC4011/ "%USERPROFILE%\AppData\Local\Temp\OnboardLogs"\RTDC4011\2017-09-10 --exclude "*" --recursive --include "*20170910*" &amp; "%USERPROFILE%\Documents\GitHub\mrs-test-scripts\Headless Mode &amp; Sideloading\WalkAndUnGZ.bat" "%USERPROFILE%\AppData\Local\Temp\OnboardLogs"\RTDC4011\2017-09-10</v>
      </c>
      <c r="AF162" s="74" t="str">
        <f t="shared" si="67"/>
        <v>"C:\Program Files (x86)\AstroGrep\AstroGrep.exe" /e /r /s /spath="%USERPROFILE%\AppData\Local\Temp\OnboardLogs" /stypes="app*4011*20170909*" /stext=" 12:.+((SYSTEM_STATE.+slice.+state.+changed )|(ment ac)|(multiple cpu faults)|(system.+state.+changed )|(\[timeout)|(PRM\|1\|D)|(kpr)|(kdp)|(train st.+moving)|(\|lc)|(penalty))"</v>
      </c>
      <c r="AG162" s="206" t="str">
        <f t="shared" si="68"/>
        <v>NW</v>
      </c>
      <c r="AH162" s="78" t="str">
        <f t="shared" si="69"/>
        <v>"%USERPROFILE%\Documents\GitHub\eaglep3\Utilities\RefineRTDCRunTimes.py" --tripid 1802-09 --locoid 4011 --swversion DE.1.0.9.0 --startMP 300:58658 --initTime 2017-09-09T06:25:54 --startdatetime 2017-09-09T06:43:07 --delay 114 --endMP 204:652 --enddatetime 2017-09-09T06:55:33 --enforcementcount 0 &gt;&gt;C:\Users\stu\Documents\GitHub\eaglep3-reporting\EC\2017-09-09-refined-times.txt</v>
      </c>
      <c r="AI162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{"issue":{"subject":"","project_id":79,"tracker_id":40,"status_id":1,"priority_id":2,"assigned_to_id":338,"start_date":"2017-09-09","description":"","custom_fields":[{"id":1,"name":"Subdivision","value":"NW"},{"id":4,"name":"Milepost","value":"0.0652"},{"id":17,"name":"Train ID","value":"1802-09"},{"id":16,"name":"Locomotive ID","value":"4011"},{"id":130,"name":"Impact","value":""},{"id":150,"name":"Time of Event (Mountain Time)","value":"06:55:33"},{"id":151,"name":"Denver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1"/>
        <v>start /low /b %USERPROFILE%\Documents\GitHub\eaglep3\Utilities\DownloadLogsFromS3.py --loco 4011 --day 2017-09-09</v>
      </c>
      <c r="AN162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683</v>
      </c>
      <c r="B163" s="7">
        <v>4012</v>
      </c>
      <c r="C163" s="21" t="s">
        <v>197</v>
      </c>
      <c r="D163" s="21" t="s">
        <v>874</v>
      </c>
      <c r="E163" s="13">
        <v>42987.290717592594</v>
      </c>
      <c r="F163" s="13">
        <v>42987.298171296294</v>
      </c>
      <c r="G163" s="7">
        <v>50</v>
      </c>
      <c r="H163" s="21" t="s">
        <v>532</v>
      </c>
      <c r="I163" s="13">
        <v>42987.307569444441</v>
      </c>
      <c r="J163" s="7">
        <v>0</v>
      </c>
      <c r="K163" s="89" t="str">
        <f t="shared" si="60"/>
        <v>4011/4012</v>
      </c>
      <c r="L163" s="214" t="str">
        <f>VLOOKUP(A163,'Trips&amp;Operators'!$C$1:$G$99911,5,FALSE)</f>
        <v>HUFFSMITH MONTY</v>
      </c>
      <c r="M163" s="6">
        <f t="shared" si="61"/>
        <v>9.3981481477385387E-3</v>
      </c>
      <c r="N163" s="7">
        <f t="shared" si="57"/>
        <v>13.533333332743496</v>
      </c>
      <c r="O163" s="7"/>
      <c r="P163" s="7"/>
      <c r="Q163" s="22"/>
      <c r="R163" s="167"/>
      <c r="S163" s="210">
        <f t="shared" si="58"/>
        <v>1</v>
      </c>
      <c r="T163" s="192" t="str">
        <f t="shared" si="62"/>
        <v>NorthBound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63"/>
        <v>https://d0f6bd738d7f1b3e5a7ca70fe4ff75f0.us-east-1.aws.found.io/app/kibana#/discover/Steve-Slow-Train-Analysis-(2080s-and-2083s)?_g=(refreshInterval:(display:Off,pause:!f,section:0,value:0),time:(from:'2017-09-09T05:58:38-0600',mode:absolute,to:'2017-09-09T08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194" t="str">
        <f>IF(AA163&lt;VLOOKUP(AG163,Variables!$AC$3:$AD$8,2,FALSE),"Y","N")</f>
        <v>N</v>
      </c>
      <c r="X163" s="194">
        <f t="shared" si="88"/>
        <v>1</v>
      </c>
      <c r="Y163" s="194">
        <f t="shared" si="86"/>
        <v>9.2999999999999999E-2</v>
      </c>
      <c r="Z163" s="194">
        <f t="shared" si="87"/>
        <v>5.8973000000000004</v>
      </c>
      <c r="AA163" s="194">
        <f t="shared" si="64"/>
        <v>5.8043000000000005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65"/>
        <v>1803</v>
      </c>
      <c r="AE163" s="77" t="str">
        <f t="shared" si="66"/>
        <v>aws s3 cp s3://rtdc.mdm.uploadarchive.raw/RTDC4012/ "%USERPROFILE%\AppData\Local\Temp\OnboardLogs"\RTDC4012\2017-09-09 --exclude "*" --recursive --include "*20170909*" &amp; "%USERPROFILE%\Documents\GitHub\mrs-test-scripts\Headless Mode &amp; Sideloading\WalkAndUnGZ.bat" "%USERPROFILE%\AppData\Local\Temp\OnboardLogs"\RTDC4012\2017-09-09 &amp; aws s3 cp s3://rtdc.mdm.uploadarchive.raw/RTDC4012/ "%USERPROFILE%\AppData\Local\Temp\OnboardLogs"\RTDC4012\2017-09-10 --exclude "*" --recursive --include "*20170910*" &amp; "%USERPROFILE%\Documents\GitHub\mrs-test-scripts\Headless Mode &amp; Sideloading\WalkAndUnGZ.bat" "%USERPROFILE%\AppData\Local\Temp\OnboardLogs"\RTDC4012\2017-09-10</v>
      </c>
      <c r="AF163" s="74" t="str">
        <f t="shared" si="67"/>
        <v>"C:\Program Files (x86)\AstroGrep\AstroGrep.exe" /e /r /s /spath="%USERPROFILE%\AppData\Local\Temp\OnboardLogs" /stypes="app*4012*20170909*" /stext=" 13:.+((SYSTEM_STATE.+slice.+state.+changed )|(ment ac)|(multiple cpu faults)|(system.+state.+changed )|(\[timeout)|(PRM\|1\|D)|(kpr)|(kdp)|(train st.+moving)|(\|lc)|(penalty))"</v>
      </c>
      <c r="AG163" s="206" t="str">
        <f t="shared" si="68"/>
        <v>NW</v>
      </c>
      <c r="AH163" s="78" t="str">
        <f t="shared" si="69"/>
        <v>"%USERPROFILE%\Documents\GitHub\eaglep3\Utilities\RefineRTDCRunTimes.py" --tripid 1803-09 --locoid 4012 --swversion DE.1.0.9.0 --startMP 204:930 --initTime 2017-09-09T06:58:38 --startdatetime 2017-09-09T07:09:22 --delay 50 --endMP 300:58973 --enddatetime 2017-09-09T07:22:54 --enforcementcount 0 &gt;&gt;C:\Users\stu\Documents\GitHub\eaglep3-reporting\EC\2017-09-09-refined-times.txt</v>
      </c>
      <c r="AI163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{"issue":{"subject":"","project_id":79,"tracker_id":40,"status_id":1,"priority_id":2,"assigned_to_id":338,"start_date":"2017-09-09","description":"","custom_fields":[{"id":1,"name":"Subdivision","value":"NW"},{"id":4,"name":"Milepost","value":"5.8973"},{"id":17,"name":"Train ID","value":"1803-09"},{"id":16,"name":"Locomotive ID","value":"4012"},{"id":130,"name":"Impact","value":""},{"id":150,"name":"Time of Event (Mountain Time)","value":"07:22:54"},{"id":151,"name":"Denver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1"/>
        <v>start /low /b %USERPROFILE%\Documents\GitHub\eaglep3\Utilities\DownloadLogsFromS3.py --loco 4012 --day 2017-09-09</v>
      </c>
      <c r="AN163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687</v>
      </c>
      <c r="B164" s="7">
        <v>4011</v>
      </c>
      <c r="C164" s="21" t="s">
        <v>197</v>
      </c>
      <c r="D164" s="21" t="s">
        <v>875</v>
      </c>
      <c r="E164" s="13">
        <v>42987.309236111112</v>
      </c>
      <c r="F164" s="13">
        <v>42987.321620370371</v>
      </c>
      <c r="G164" s="7">
        <v>49</v>
      </c>
      <c r="H164" s="21" t="s">
        <v>876</v>
      </c>
      <c r="I164" s="13">
        <v>42987.330208333333</v>
      </c>
      <c r="J164" s="7">
        <v>0</v>
      </c>
      <c r="K164" s="89" t="str">
        <f t="shared" si="60"/>
        <v>4011/4012</v>
      </c>
      <c r="L164" s="214" t="str">
        <f>VLOOKUP(A164,'Trips&amp;Operators'!$C$1:$G$99911,5,FALSE)</f>
        <v>HUFFSMITH MONTY</v>
      </c>
      <c r="M164" s="6">
        <f t="shared" si="61"/>
        <v>8.5879629623377696E-3</v>
      </c>
      <c r="N164" s="7">
        <f t="shared" si="57"/>
        <v>12.366666665766388</v>
      </c>
      <c r="O164" s="7"/>
      <c r="P164" s="7"/>
      <c r="Q164" s="22"/>
      <c r="R164" s="167"/>
      <c r="S164" s="210">
        <f t="shared" si="58"/>
        <v>1</v>
      </c>
      <c r="T164" s="192" t="str">
        <f t="shared" si="62"/>
        <v>Southbound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63"/>
        <v>https://d0f6bd738d7f1b3e5a7ca70fe4ff75f0.us-east-1.aws.found.io/app/kibana#/discover/Steve-Slow-Train-Analysis-(2080s-and-2083s)?_g=(refreshInterval:(display:Off,pause:!f,section:0,value:0),time:(from:'2017-09-09T06:25:18-0600',mode:absolute,to:'2017-09-09T08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94" t="str">
        <f>IF(AA164&lt;VLOOKUP(AG164,Variables!$AC$3:$AD$8,2,FALSE),"Y","N")</f>
        <v>N</v>
      </c>
      <c r="X164" s="194">
        <f t="shared" si="88"/>
        <v>1</v>
      </c>
      <c r="Y164" s="194">
        <f t="shared" si="86"/>
        <v>5.8663999999999996</v>
      </c>
      <c r="Z164" s="194">
        <f t="shared" si="87"/>
        <v>6.5699999999999995E-2</v>
      </c>
      <c r="AA164" s="194">
        <f t="shared" si="64"/>
        <v>5.8007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65"/>
        <v>1804</v>
      </c>
      <c r="AE164" s="77" t="str">
        <f t="shared" si="66"/>
        <v>aws s3 cp s3://rtdc.mdm.uploadarchive.raw/RTDC4011/ "%USERPROFILE%\AppData\Local\Temp\OnboardLogs"\RTDC4011\2017-09-09 --exclude "*" --recursive --include "*20170909*" &amp; "%USERPROFILE%\Documents\GitHub\mrs-test-scripts\Headless Mode &amp; Sideloading\WalkAndUnGZ.bat" "%USERPROFILE%\AppData\Local\Temp\OnboardLogs"\RTDC4011\2017-09-09 &amp; aws s3 cp s3://rtdc.mdm.uploadarchive.raw/RTDC4011/ "%USERPROFILE%\AppData\Local\Temp\OnboardLogs"\RTDC4011\2017-09-10 --exclude "*" --recursive --include "*20170910*" &amp; "%USERPROFILE%\Documents\GitHub\mrs-test-scripts\Headless Mode &amp; Sideloading\WalkAndUnGZ.bat" "%USERPROFILE%\AppData\Local\Temp\OnboardLogs"\RTDC4011\2017-09-10</v>
      </c>
      <c r="AF164" s="74" t="str">
        <f t="shared" si="67"/>
        <v>"C:\Program Files (x86)\AstroGrep\AstroGrep.exe" /e /r /s /spath="%USERPROFILE%\AppData\Local\Temp\OnboardLogs" /stypes="app*4011*20170909*" /stext=" 13:.+((SYSTEM_STATE.+slice.+state.+changed )|(ment ac)|(multiple cpu faults)|(system.+state.+changed )|(\[timeout)|(PRM\|1\|D)|(kpr)|(kdp)|(train st.+moving)|(\|lc)|(penalty))"</v>
      </c>
      <c r="AG164" s="206" t="str">
        <f t="shared" si="68"/>
        <v>NW</v>
      </c>
      <c r="AH164" s="78" t="str">
        <f t="shared" si="69"/>
        <v>"%USERPROFILE%\Documents\GitHub\eaglep3\Utilities\RefineRTDCRunTimes.py" --tripid 1804-09 --locoid 4011 --swversion DE.1.0.9.0 --startMP 300:58664 --initTime 2017-09-09T07:25:18 --startdatetime 2017-09-09T07:43:08 --delay 49 --endMP 204:657 --enddatetime 2017-09-09T07:55:30 --enforcementcount 0 &gt;&gt;C:\Users\stu\Documents\GitHub\eaglep3-reporting\EC\2017-09-09-refined-times.txt</v>
      </c>
      <c r="AI164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{"issue":{"subject":"","project_id":79,"tracker_id":40,"status_id":1,"priority_id":2,"assigned_to_id":338,"start_date":"2017-09-09","description":"","custom_fields":[{"id":1,"name":"Subdivision","value":"NW"},{"id":4,"name":"Milepost","value":"0.0657"},{"id":17,"name":"Train ID","value":"1804-09"},{"id":16,"name":"Locomotive ID","value":"4011"},{"id":130,"name":"Impact","value":""},{"id":150,"name":"Time of Event (Mountain Time)","value":"07:55:30"},{"id":151,"name":"Denver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1"/>
        <v>start /low /b %USERPROFILE%\Documents\GitHub\eaglep3\Utilities\DownloadLogsFromS3.py --loco 4011 --day 2017-09-09</v>
      </c>
      <c r="AN164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696</v>
      </c>
      <c r="B165" s="7">
        <v>4012</v>
      </c>
      <c r="C165" s="21" t="s">
        <v>197</v>
      </c>
      <c r="D165" s="21" t="s">
        <v>877</v>
      </c>
      <c r="E165" s="13">
        <v>42987.331643518519</v>
      </c>
      <c r="F165" s="13">
        <v>42987.339826388888</v>
      </c>
      <c r="G165" s="7">
        <v>77</v>
      </c>
      <c r="H165" s="21" t="s">
        <v>607</v>
      </c>
      <c r="I165" s="13">
        <v>42987.349652777775</v>
      </c>
      <c r="J165" s="7">
        <v>0</v>
      </c>
      <c r="K165" s="89" t="str">
        <f t="shared" si="60"/>
        <v>4011/4012</v>
      </c>
      <c r="L165" s="214" t="str">
        <f>VLOOKUP(A165,'Trips&amp;Operators'!$C$1:$G$99911,5,FALSE)</f>
        <v>HUFFSMITH MONTY</v>
      </c>
      <c r="M165" s="6">
        <f t="shared" si="61"/>
        <v>9.8263888867222704E-3</v>
      </c>
      <c r="N165" s="7">
        <f t="shared" si="57"/>
        <v>14.149999996880069</v>
      </c>
      <c r="O165" s="7"/>
      <c r="P165" s="7"/>
      <c r="Q165" s="22"/>
      <c r="R165" s="167"/>
      <c r="S165" s="210">
        <f t="shared" si="58"/>
        <v>1</v>
      </c>
      <c r="T165" s="192" t="str">
        <f t="shared" si="62"/>
        <v>NorthBound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63"/>
        <v>https://d0f6bd738d7f1b3e5a7ca70fe4ff75f0.us-east-1.aws.found.io/app/kibana#/discover/Steve-Slow-Train-Analysis-(2080s-and-2083s)?_g=(refreshInterval:(display:Off,pause:!f,section:0,value:0),time:(from:'2017-09-09T06:57:34-0600',mode:absolute,to:'2017-09-09T09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94" t="str">
        <f>IF(AA165&lt;VLOOKUP(AG165,Variables!$AC$3:$AD$8,2,FALSE),"Y","N")</f>
        <v>N</v>
      </c>
      <c r="X165" s="194">
        <f t="shared" si="88"/>
        <v>1</v>
      </c>
      <c r="Y165" s="194">
        <f t="shared" si="86"/>
        <v>9.4299999999999995E-2</v>
      </c>
      <c r="Z165" s="194">
        <f t="shared" si="87"/>
        <v>5.8983999999999996</v>
      </c>
      <c r="AA165" s="194">
        <f t="shared" si="64"/>
        <v>5.8041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65"/>
        <v>1805</v>
      </c>
      <c r="AE165" s="77" t="str">
        <f t="shared" si="66"/>
        <v>aws s3 cp s3://rtdc.mdm.uploadarchive.raw/RTDC4012/ "%USERPROFILE%\AppData\Local\Temp\OnboardLogs"\RTDC4012\2017-09-09 --exclude "*" --recursive --include "*20170909*" &amp; "%USERPROFILE%\Documents\GitHub\mrs-test-scripts\Headless Mode &amp; Sideloading\WalkAndUnGZ.bat" "%USERPROFILE%\AppData\Local\Temp\OnboardLogs"\RTDC4012\2017-09-09 &amp; aws s3 cp s3://rtdc.mdm.uploadarchive.raw/RTDC4012/ "%USERPROFILE%\AppData\Local\Temp\OnboardLogs"\RTDC4012\2017-09-10 --exclude "*" --recursive --include "*20170910*" &amp; "%USERPROFILE%\Documents\GitHub\mrs-test-scripts\Headless Mode &amp; Sideloading\WalkAndUnGZ.bat" "%USERPROFILE%\AppData\Local\Temp\OnboardLogs"\RTDC4012\2017-09-10</v>
      </c>
      <c r="AF165" s="74" t="str">
        <f t="shared" si="67"/>
        <v>"C:\Program Files (x86)\AstroGrep\AstroGrep.exe" /e /r /s /spath="%USERPROFILE%\AppData\Local\Temp\OnboardLogs" /stypes="app*4012*20170909*" /stext=" 14:.+((SYSTEM_STATE.+slice.+state.+changed )|(ment ac)|(multiple cpu faults)|(system.+state.+changed )|(\[timeout)|(PRM\|1\|D)|(kpr)|(kdp)|(train st.+moving)|(\|lc)|(penalty))"</v>
      </c>
      <c r="AG165" s="206" t="str">
        <f t="shared" si="68"/>
        <v>NW</v>
      </c>
      <c r="AH165" s="78" t="str">
        <f t="shared" si="69"/>
        <v>"%USERPROFILE%\Documents\GitHub\eaglep3\Utilities\RefineRTDCRunTimes.py" --tripid 1805-09 --locoid 4012 --swversion DE.1.0.9.0 --startMP 204:943 --initTime 2017-09-09T07:57:34 --startdatetime 2017-09-09T08:09:21 --delay 77 --endMP 300:58984 --enddatetime 2017-09-09T08:23:30 --enforcementcount 0 &gt;&gt;C:\Users\stu\Documents\GitHub\eaglep3-reporting\EC\2017-09-09-refined-times.txt</v>
      </c>
      <c r="AI165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{"issue":{"subject":"","project_id":79,"tracker_id":40,"status_id":1,"priority_id":2,"assigned_to_id":338,"start_date":"2017-09-09","description":"","custom_fields":[{"id":1,"name":"Subdivision","value":"NW"},{"id":4,"name":"Milepost","value":"5.8984"},{"id":17,"name":"Train ID","value":"1805-09"},{"id":16,"name":"Locomotive ID","value":"4012"},{"id":130,"name":"Impact","value":""},{"id":150,"name":"Time of Event (Mountain Time)","value":"08:23:30"},{"id":151,"name":"Denver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1"/>
        <v>start /low /b %USERPROFILE%\Documents\GitHub\eaglep3\Utilities\DownloadLogsFromS3.py --loco 4012 --day 2017-09-09</v>
      </c>
      <c r="AN165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699</v>
      </c>
      <c r="B166" s="7">
        <v>4011</v>
      </c>
      <c r="C166" s="21" t="s">
        <v>197</v>
      </c>
      <c r="D166" s="21" t="s">
        <v>875</v>
      </c>
      <c r="E166" s="13">
        <v>42987.35083333333</v>
      </c>
      <c r="F166" s="13">
        <v>42987.363275462965</v>
      </c>
      <c r="G166" s="7">
        <v>53</v>
      </c>
      <c r="H166" s="21" t="s">
        <v>876</v>
      </c>
      <c r="I166" s="13">
        <v>42987.371759259258</v>
      </c>
      <c r="J166" s="7">
        <v>0</v>
      </c>
      <c r="K166" s="89" t="str">
        <f t="shared" si="60"/>
        <v>4011/4012</v>
      </c>
      <c r="L166" s="214" t="str">
        <f>VLOOKUP(A166,'Trips&amp;Operators'!$C$1:$G$99911,5,FALSE)</f>
        <v>HUFFSMITH MONTY</v>
      </c>
      <c r="M166" s="6">
        <f t="shared" si="61"/>
        <v>8.4837962931487709E-3</v>
      </c>
      <c r="N166" s="7">
        <f t="shared" si="57"/>
        <v>12.21666666213423</v>
      </c>
      <c r="O166" s="7"/>
      <c r="P166" s="7"/>
      <c r="Q166" s="22"/>
      <c r="R166" s="167"/>
      <c r="S166" s="210">
        <f t="shared" si="58"/>
        <v>1</v>
      </c>
      <c r="T166" s="192" t="str">
        <f t="shared" si="62"/>
        <v>Southbound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63"/>
        <v>https://d0f6bd738d7f1b3e5a7ca70fe4ff75f0.us-east-1.aws.found.io/app/kibana#/discover/Steve-Slow-Train-Analysis-(2080s-and-2083s)?_g=(refreshInterval:(display:Off,pause:!f,section:0,value:0),time:(from:'2017-09-09T07:25:12-0600',mode:absolute,to:'2017-09-09T09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6" s="194" t="str">
        <f>IF(AA166&lt;VLOOKUP(AG166,Variables!$AC$3:$AD$8,2,FALSE),"Y","N")</f>
        <v>N</v>
      </c>
      <c r="X166" s="194">
        <f t="shared" si="88"/>
        <v>1</v>
      </c>
      <c r="Y166" s="194">
        <f t="shared" si="86"/>
        <v>5.8663999999999996</v>
      </c>
      <c r="Z166" s="194">
        <f t="shared" si="87"/>
        <v>6.5699999999999995E-2</v>
      </c>
      <c r="AA166" s="194">
        <f t="shared" si="64"/>
        <v>5.8007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65"/>
        <v>1806</v>
      </c>
      <c r="AE166" s="77" t="str">
        <f t="shared" si="66"/>
        <v>aws s3 cp s3://rtdc.mdm.uploadarchive.raw/RTDC4011/ "%USERPROFILE%\AppData\Local\Temp\OnboardLogs"\RTDC4011\2017-09-09 --exclude "*" --recursive --include "*20170909*" &amp; "%USERPROFILE%\Documents\GitHub\mrs-test-scripts\Headless Mode &amp; Sideloading\WalkAndUnGZ.bat" "%USERPROFILE%\AppData\Local\Temp\OnboardLogs"\RTDC4011\2017-09-09 &amp; aws s3 cp s3://rtdc.mdm.uploadarchive.raw/RTDC4011/ "%USERPROFILE%\AppData\Local\Temp\OnboardLogs"\RTDC4011\2017-09-10 --exclude "*" --recursive --include "*20170910*" &amp; "%USERPROFILE%\Documents\GitHub\mrs-test-scripts\Headless Mode &amp; Sideloading\WalkAndUnGZ.bat" "%USERPROFILE%\AppData\Local\Temp\OnboardLogs"\RTDC4011\2017-09-10</v>
      </c>
      <c r="AF166" s="74" t="str">
        <f t="shared" si="67"/>
        <v>"C:\Program Files (x86)\AstroGrep\AstroGrep.exe" /e /r /s /spath="%USERPROFILE%\AppData\Local\Temp\OnboardLogs" /stypes="app*4011*20170909*" /stext=" 14:.+((SYSTEM_STATE.+slice.+state.+changed )|(ment ac)|(multiple cpu faults)|(system.+state.+changed )|(\[timeout)|(PRM\|1\|D)|(kpr)|(kdp)|(train st.+moving)|(\|lc)|(penalty))"</v>
      </c>
      <c r="AG166" s="206" t="str">
        <f t="shared" si="68"/>
        <v>NW</v>
      </c>
      <c r="AH166" s="78" t="str">
        <f t="shared" si="69"/>
        <v>"%USERPROFILE%\Documents\GitHub\eaglep3\Utilities\RefineRTDCRunTimes.py" --tripid 1806-09 --locoid 4011 --swversion DE.1.0.9.0 --startMP 300:58664 --initTime 2017-09-09T08:25:12 --startdatetime 2017-09-09T08:43:07 --delay 53 --endMP 204:657 --enddatetime 2017-09-09T08:55:20 --enforcementcount 0 &gt;&gt;C:\Users\stu\Documents\GitHub\eaglep3-reporting\EC\2017-09-09-refined-times.txt</v>
      </c>
      <c r="AI166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{"issue":{"subject":"","project_id":79,"tracker_id":40,"status_id":1,"priority_id":2,"assigned_to_id":338,"start_date":"2017-09-09","description":"","custom_fields":[{"id":1,"name":"Subdivision","value":"NW"},{"id":4,"name":"Milepost","value":"0.0657"},{"id":17,"name":"Train ID","value":"1806-09"},{"id":16,"name":"Locomotive ID","value":"4011"},{"id":130,"name":"Impact","value":""},{"id":150,"name":"Time of Event (Mountain Time)","value":"08:55:20"},{"id":151,"name":"Denver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1"/>
        <v>start /low /b %USERPROFILE%\Documents\GitHub\eaglep3\Utilities\DownloadLogsFromS3.py --loco 4011 --day 2017-09-09</v>
      </c>
      <c r="AN166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706</v>
      </c>
      <c r="B167" s="7">
        <v>4012</v>
      </c>
      <c r="C167" s="21" t="s">
        <v>197</v>
      </c>
      <c r="D167" s="21" t="s">
        <v>878</v>
      </c>
      <c r="E167" s="13">
        <v>42987.374328703707</v>
      </c>
      <c r="F167" s="13">
        <v>42987.381516203706</v>
      </c>
      <c r="G167" s="7">
        <v>51</v>
      </c>
      <c r="H167" s="21" t="s">
        <v>600</v>
      </c>
      <c r="I167" s="13">
        <v>42987.391030092593</v>
      </c>
      <c r="J167" s="7">
        <v>0</v>
      </c>
      <c r="K167" s="89" t="str">
        <f t="shared" si="60"/>
        <v>4011/4012</v>
      </c>
      <c r="L167" s="214" t="str">
        <f>VLOOKUP(A167,'Trips&amp;Operators'!$C$1:$G$99911,5,FALSE)</f>
        <v>HUFFSMITH MONTY</v>
      </c>
      <c r="M167" s="6">
        <f t="shared" si="61"/>
        <v>9.5138888864312321E-3</v>
      </c>
      <c r="N167" s="7">
        <f t="shared" si="57"/>
        <v>13.699999996460974</v>
      </c>
      <c r="O167" s="7"/>
      <c r="P167" s="7"/>
      <c r="Q167" s="22"/>
      <c r="R167" s="167"/>
      <c r="S167" s="210">
        <f t="shared" si="58"/>
        <v>1</v>
      </c>
      <c r="T167" s="192" t="str">
        <f t="shared" si="62"/>
        <v>NorthBound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63"/>
        <v>https://d0f6bd738d7f1b3e5a7ca70fe4ff75f0.us-east-1.aws.found.io/app/kibana#/discover/Steve-Slow-Train-Analysis-(2080s-and-2083s)?_g=(refreshInterval:(display:Off,pause:!f,section:0,value:0),time:(from:'2017-09-09T07:59:02-0600',mode:absolute,to:'2017-09-09T10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94" t="str">
        <f>IF(AA167&lt;VLOOKUP(AG167,Variables!$AC$3:$AD$8,2,FALSE),"Y","N")</f>
        <v>N</v>
      </c>
      <c r="X167" s="194">
        <f t="shared" si="88"/>
        <v>1</v>
      </c>
      <c r="Y167" s="194">
        <f t="shared" si="86"/>
        <v>9.4399999999999998E-2</v>
      </c>
      <c r="Z167" s="194">
        <f t="shared" si="87"/>
        <v>5.8975</v>
      </c>
      <c r="AA167" s="194">
        <f t="shared" si="64"/>
        <v>5.8030999999999997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65"/>
        <v>1807</v>
      </c>
      <c r="AE167" s="77" t="str">
        <f t="shared" si="66"/>
        <v>aws s3 cp s3://rtdc.mdm.uploadarchive.raw/RTDC4012/ "%USERPROFILE%\AppData\Local\Temp\OnboardLogs"\RTDC4012\2017-09-09 --exclude "*" --recursive --include "*20170909*" &amp; "%USERPROFILE%\Documents\GitHub\mrs-test-scripts\Headless Mode &amp; Sideloading\WalkAndUnGZ.bat" "%USERPROFILE%\AppData\Local\Temp\OnboardLogs"\RTDC4012\2017-09-09 &amp; aws s3 cp s3://rtdc.mdm.uploadarchive.raw/RTDC4012/ "%USERPROFILE%\AppData\Local\Temp\OnboardLogs"\RTDC4012\2017-09-10 --exclude "*" --recursive --include "*20170910*" &amp; "%USERPROFILE%\Documents\GitHub\mrs-test-scripts\Headless Mode &amp; Sideloading\WalkAndUnGZ.bat" "%USERPROFILE%\AppData\Local\Temp\OnboardLogs"\RTDC4012\2017-09-10</v>
      </c>
      <c r="AF167" s="74" t="str">
        <f t="shared" si="67"/>
        <v>"C:\Program Files (x86)\AstroGrep\AstroGrep.exe" /e /r /s /spath="%USERPROFILE%\AppData\Local\Temp\OnboardLogs" /stypes="app*4012*20170909*" /stext=" 15:.+((SYSTEM_STATE.+slice.+state.+changed )|(ment ac)|(multiple cpu faults)|(system.+state.+changed )|(\[timeout)|(PRM\|1\|D)|(kpr)|(kdp)|(train st.+moving)|(\|lc)|(penalty))"</v>
      </c>
      <c r="AG167" s="206" t="str">
        <f t="shared" si="68"/>
        <v>NW</v>
      </c>
      <c r="AH167" s="78" t="str">
        <f t="shared" si="69"/>
        <v>"%USERPROFILE%\Documents\GitHub\eaglep3\Utilities\RefineRTDCRunTimes.py" --tripid 1807-09 --locoid 4012 --swversion DE.1.0.9.0 --startMP 204:944 --initTime 2017-09-09T08:59:02 --startdatetime 2017-09-09T09:09:23 --delay 51 --endMP 300:58975 --enddatetime 2017-09-09T09:23:05 --enforcementcount 0 &gt;&gt;C:\Users\stu\Documents\GitHub\eaglep3-reporting\EC\2017-09-09-refined-times.txt</v>
      </c>
      <c r="AI167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{"issue":{"subject":"","project_id":79,"tracker_id":40,"status_id":1,"priority_id":2,"assigned_to_id":338,"start_date":"2017-09-09","description":"","custom_fields":[{"id":1,"name":"Subdivision","value":"NW"},{"id":4,"name":"Milepost","value":"5.8975"},{"id":17,"name":"Train ID","value":"1807-09"},{"id":16,"name":"Locomotive ID","value":"4012"},{"id":130,"name":"Impact","value":""},{"id":150,"name":"Time of Event (Mountain Time)","value":"09:23:05"},{"id":151,"name":"Denver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4012 --day 2017-09-09</v>
      </c>
      <c r="AN167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709</v>
      </c>
      <c r="B168" s="7">
        <v>4011</v>
      </c>
      <c r="C168" s="21" t="s">
        <v>197</v>
      </c>
      <c r="D168" s="21" t="s">
        <v>875</v>
      </c>
      <c r="E168" s="13">
        <v>42987.392118055555</v>
      </c>
      <c r="F168" s="13">
        <v>42987.405590277776</v>
      </c>
      <c r="G168" s="7">
        <v>48</v>
      </c>
      <c r="H168" s="21" t="s">
        <v>879</v>
      </c>
      <c r="I168" s="13">
        <v>42987.413611111115</v>
      </c>
      <c r="J168" s="7">
        <v>0</v>
      </c>
      <c r="K168" s="89" t="str">
        <f t="shared" si="60"/>
        <v>4011/4012</v>
      </c>
      <c r="L168" s="214" t="str">
        <f>VLOOKUP(A168,'Trips&amp;Operators'!$C$1:$G$99911,5,FALSE)</f>
        <v>HUFFSMITH MONTY</v>
      </c>
      <c r="M168" s="6">
        <f t="shared" si="61"/>
        <v>8.0208333383779973E-3</v>
      </c>
      <c r="N168" s="7">
        <f t="shared" si="57"/>
        <v>11.550000007264316</v>
      </c>
      <c r="O168" s="7"/>
      <c r="P168" s="7"/>
      <c r="Q168" s="22"/>
      <c r="R168" s="167"/>
      <c r="S168" s="210">
        <f t="shared" si="58"/>
        <v>1</v>
      </c>
      <c r="T168" s="192" t="str">
        <f t="shared" si="62"/>
        <v>Southbound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63"/>
        <v>https://d0f6bd738d7f1b3e5a7ca70fe4ff75f0.us-east-1.aws.found.io/app/kibana#/discover/Steve-Slow-Train-Analysis-(2080s-and-2083s)?_g=(refreshInterval:(display:Off,pause:!f,section:0,value:0),time:(from:'2017-09-09T08:24:39-0600',mode:absolute,to:'2017-09-09T10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94" t="str">
        <f>IF(AA168&lt;VLOOKUP(AG168,Variables!$AC$3:$AD$8,2,FALSE),"Y","N")</f>
        <v>N</v>
      </c>
      <c r="X168" s="194">
        <f t="shared" si="88"/>
        <v>1</v>
      </c>
      <c r="Y168" s="194">
        <f t="shared" si="86"/>
        <v>5.8663999999999996</v>
      </c>
      <c r="Z168" s="194">
        <f t="shared" si="87"/>
        <v>6.5000000000000002E-2</v>
      </c>
      <c r="AA168" s="194">
        <f t="shared" si="64"/>
        <v>5.8013999999999992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65"/>
        <v>1808</v>
      </c>
      <c r="AE168" s="77" t="str">
        <f t="shared" si="66"/>
        <v>aws s3 cp s3://rtdc.mdm.uploadarchive.raw/RTDC4011/ "%USERPROFILE%\AppData\Local\Temp\OnboardLogs"\RTDC4011\2017-09-09 --exclude "*" --recursive --include "*20170909*" &amp; "%USERPROFILE%\Documents\GitHub\mrs-test-scripts\Headless Mode &amp; Sideloading\WalkAndUnGZ.bat" "%USERPROFILE%\AppData\Local\Temp\OnboardLogs"\RTDC4011\2017-09-09 &amp; aws s3 cp s3://rtdc.mdm.uploadarchive.raw/RTDC4011/ "%USERPROFILE%\AppData\Local\Temp\OnboardLogs"\RTDC4011\2017-09-10 --exclude "*" --recursive --include "*20170910*" &amp; "%USERPROFILE%\Documents\GitHub\mrs-test-scripts\Headless Mode &amp; Sideloading\WalkAndUnGZ.bat" "%USERPROFILE%\AppData\Local\Temp\OnboardLogs"\RTDC4011\2017-09-10</v>
      </c>
      <c r="AF168" s="74" t="str">
        <f t="shared" si="67"/>
        <v>"C:\Program Files (x86)\AstroGrep\AstroGrep.exe" /e /r /s /spath="%USERPROFILE%\AppData\Local\Temp\OnboardLogs" /stypes="app*4011*20170909*" /stext=" 15:.+((SYSTEM_STATE.+slice.+state.+changed )|(ment ac)|(multiple cpu faults)|(system.+state.+changed )|(\[timeout)|(PRM\|1\|D)|(kpr)|(kdp)|(train st.+moving)|(\|lc)|(penalty))"</v>
      </c>
      <c r="AG168" s="206" t="str">
        <f t="shared" si="68"/>
        <v>NW</v>
      </c>
      <c r="AH168" s="78" t="str">
        <f t="shared" si="69"/>
        <v>"%USERPROFILE%\Documents\GitHub\eaglep3\Utilities\RefineRTDCRunTimes.py" --tripid 1808-09 --locoid 4011 --swversion DE.1.0.9.0 --startMP 300:58664 --initTime 2017-09-09T09:24:39 --startdatetime 2017-09-09T09:44:03 --delay 48 --endMP 204:650 --enddatetime 2017-09-09T09:55:36 --enforcementcount 0 &gt;&gt;C:\Users\stu\Documents\GitHub\eaglep3-reporting\EC\2017-09-09-refined-times.txt</v>
      </c>
      <c r="AI168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{"issue":{"subject":"","project_id":79,"tracker_id":40,"status_id":1,"priority_id":2,"assigned_to_id":338,"start_date":"2017-09-09","description":"","custom_fields":[{"id":1,"name":"Subdivision","value":"NW"},{"id":4,"name":"Milepost","value":"0.065"},{"id":17,"name":"Train ID","value":"1808-09"},{"id":16,"name":"Locomotive ID","value":"4011"},{"id":130,"name":"Impact","value":""},{"id":150,"name":"Time of Event (Mountain Time)","value":"09:55:36"},{"id":151,"name":"Denver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4011 --day 2017-09-09</v>
      </c>
      <c r="AN168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15:55:36"},{"id":29,"name":"Sharepoint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714</v>
      </c>
      <c r="B169" s="7">
        <v>4012</v>
      </c>
      <c r="C169" s="21" t="s">
        <v>197</v>
      </c>
      <c r="D169" s="21" t="s">
        <v>610</v>
      </c>
      <c r="E169" s="13">
        <v>42987.417083333334</v>
      </c>
      <c r="F169" s="13">
        <v>42987.423564814817</v>
      </c>
      <c r="G169" s="7">
        <v>52</v>
      </c>
      <c r="H169" s="21" t="s">
        <v>880</v>
      </c>
      <c r="I169" s="13">
        <v>42987.424502314818</v>
      </c>
      <c r="J169" s="7">
        <v>0</v>
      </c>
      <c r="K169" s="89" t="str">
        <f t="shared" si="60"/>
        <v>4011/4012</v>
      </c>
      <c r="L169" s="214" t="str">
        <f>VLOOKUP(A169,'Trips&amp;Operators'!$C$1:$G$99911,5,FALSE)</f>
        <v>HUFFSMITH MONTY</v>
      </c>
      <c r="M169" s="6">
        <f t="shared" si="61"/>
        <v>9.3750000087311491E-4</v>
      </c>
      <c r="N169" s="7"/>
      <c r="O169" s="7"/>
      <c r="P169" s="7">
        <f>24*60*SUM($M169:$M169)</f>
        <v>1.3500000012572855</v>
      </c>
      <c r="Q169" s="22"/>
      <c r="R169" s="167" t="s">
        <v>980</v>
      </c>
      <c r="S169" s="210">
        <f t="shared" si="58"/>
        <v>0</v>
      </c>
      <c r="T169" s="192" t="str">
        <f t="shared" si="62"/>
        <v>NorthBound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193" t="str">
        <f t="shared" si="63"/>
        <v>https://d0f6bd738d7f1b3e5a7ca70fe4ff75f0.us-east-1.aws.found.io/app/kibana#/discover/Steve-Slow-Train-Analysis-(2080s-and-2083s)?_g=(refreshInterval:(display:Off,pause:!f,section:0,value:0),time:(from:'2017-09-09T09:00:36-0600',mode:absolute,to:'2017-09-09T11:11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94" t="str">
        <f>IF(AA169&lt;VLOOKUP(AG169,Variables!$AC$3:$AD$8,2,FALSE),"Y","N")</f>
        <v>Y</v>
      </c>
      <c r="X169" s="194">
        <f t="shared" si="88"/>
        <v>1</v>
      </c>
      <c r="Y169" s="194">
        <f t="shared" si="86"/>
        <v>9.3600000000000003E-2</v>
      </c>
      <c r="Z169" s="194">
        <f t="shared" si="87"/>
        <v>0.40629999999999999</v>
      </c>
      <c r="AA169" s="194">
        <f t="shared" si="64"/>
        <v>0.31269999999999998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65"/>
        <v>1809</v>
      </c>
      <c r="AE169" s="77" t="str">
        <f t="shared" si="66"/>
        <v>aws s3 cp s3://rtdc.mdm.uploadarchive.raw/RTDC4012/ "%USERPROFILE%\AppData\Local\Temp\OnboardLogs"\RTDC4012\2017-09-09 --exclude "*" --recursive --include "*20170909*" &amp; "%USERPROFILE%\Documents\GitHub\mrs-test-scripts\Headless Mode &amp; Sideloading\WalkAndUnGZ.bat" "%USERPROFILE%\AppData\Local\Temp\OnboardLogs"\RTDC4012\2017-09-09 &amp; aws s3 cp s3://rtdc.mdm.uploadarchive.raw/RTDC4012/ "%USERPROFILE%\AppData\Local\Temp\OnboardLogs"\RTDC4012\2017-09-10 --exclude "*" --recursive --include "*20170910*" &amp; "%USERPROFILE%\Documents\GitHub\mrs-test-scripts\Headless Mode &amp; Sideloading\WalkAndUnGZ.bat" "%USERPROFILE%\AppData\Local\Temp\OnboardLogs"\RTDC4012\2017-09-10</v>
      </c>
      <c r="AF169" s="74" t="str">
        <f t="shared" si="67"/>
        <v>"C:\Program Files (x86)\AstroGrep\AstroGrep.exe" /e /r /s /spath="%USERPROFILE%\AppData\Local\Temp\OnboardLogs" /stypes="app*4012*20170909*" /stext=" 16:.+((SYSTEM_STATE.+slice.+state.+changed )|(ment ac)|(multiple cpu faults)|(system.+state.+changed )|(\[timeout)|(PRM\|1\|D)|(kpr)|(kdp)|(train st.+moving)|(\|lc)|(penalty))"</v>
      </c>
      <c r="AG169" s="206" t="str">
        <f t="shared" si="68"/>
        <v>NW</v>
      </c>
      <c r="AH169" s="78" t="str">
        <f t="shared" si="69"/>
        <v>"%USERPROFILE%\Documents\GitHub\eaglep3\Utilities\RefineRTDCRunTimes.py" --tripid 1809-09 --locoid 4012 --swversion DE.1.0.9.0 --startMP 204:936 --initTime 2017-09-09T10:00:36 --startdatetime 2017-09-09T10:09:56 --delay 52 --endMP 204:4063 --enddatetime 2017-09-09T10:11:17 --enforcementcount 0 &gt;&gt;C:\Users\stu\Documents\GitHub\eaglep3-reporting\EC\2017-09-09-refined-times.txt</v>
      </c>
      <c r="AI169" s="96" t="str">
        <f t="shared" si="70"/>
        <v>echo {"issue":{"subject":"ATC issue caused train to lose BPP (no PTC enforcements found)","project_id":79,"tracker_id":40,"status_id":1,"priority_id":2,"assigned_to_id":338,"start_date":"2017-09-09","description":"","custom_fields":[{"id":1,"name":"Subdivision","value":"NW"},{"id":4,"name":"Milepost","value":"0.4063"},{"id":17,"name":"Train ID","value":"1809-09"},{"id":16,"name":"Locomotive ID","value":"4012"},{"id":130,"name":"Impact","value":""},{"id":150,"name":"Time of Event (Mountain Time)","value":"10:11:17"},{"id":151,"name":"Denver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4012 --day 2017-09-09</v>
      </c>
      <c r="AN169" s="151" t="str">
        <f t="shared" si="72"/>
        <v>echo {"issue":{"subject":"ATC issue caused train to lose BPP (no PTC enforcements found)","project_id":30,"tracker_id":4,"status_id":1,"priority_id":1,"assigned_to_id":10,"start_date":"2017-09-09","description":"","custom_fields":[{"id":30,"name":"Category","value":"Issue"},{"id":3,"name":"Functional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16:11:17"},{"id":29,"name":"Sharepoint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727</v>
      </c>
      <c r="B170" s="7">
        <v>4029</v>
      </c>
      <c r="C170" s="21" t="s">
        <v>197</v>
      </c>
      <c r="D170" s="21" t="s">
        <v>508</v>
      </c>
      <c r="E170" s="13">
        <v>42987.462870370371</v>
      </c>
      <c r="F170" s="13">
        <v>42987.464108796295</v>
      </c>
      <c r="G170" s="7">
        <v>45</v>
      </c>
      <c r="H170" s="21" t="s">
        <v>533</v>
      </c>
      <c r="I170" s="13">
        <v>42987.473553240743</v>
      </c>
      <c r="J170" s="7">
        <v>0</v>
      </c>
      <c r="K170" s="89" t="str">
        <f t="shared" si="60"/>
        <v>4029/4030</v>
      </c>
      <c r="L170" s="214" t="str">
        <f>VLOOKUP(A170,'Trips&amp;Operators'!$C$1:$G$99911,5,FALSE)</f>
        <v>HUFFSMITH MONTY</v>
      </c>
      <c r="M170" s="6">
        <f t="shared" si="61"/>
        <v>9.4444444475811906E-3</v>
      </c>
      <c r="N170" s="7">
        <f t="shared" ref="N170:P217" si="89">24*60*SUM($M170:$M170)</f>
        <v>13.600000004516914</v>
      </c>
      <c r="O170" s="7"/>
      <c r="P170" s="7"/>
      <c r="Q170" s="22"/>
      <c r="R170" s="167"/>
      <c r="S170" s="210">
        <f t="shared" si="58"/>
        <v>1</v>
      </c>
      <c r="T170" s="192" t="str">
        <f t="shared" si="62"/>
        <v>Southbound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63"/>
        <v>https://d0f6bd738d7f1b3e5a7ca70fe4ff75f0.us-east-1.aws.found.io/app/kibana#/discover/Steve-Slow-Train-Analysis-(2080s-and-2083s)?_g=(refreshInterval:(display:Off,pause:!f,section:0,value:0),time:(from:'2017-09-09T10:06:32-0600',mode:absolute,to:'2017-09-09T12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94" t="str">
        <f>IF(AA170&lt;VLOOKUP(AG170,Variables!$AC$3:$AD$8,2,FALSE),"Y","N")</f>
        <v>N</v>
      </c>
      <c r="X170" s="194">
        <f t="shared" si="88"/>
        <v>1</v>
      </c>
      <c r="Y170" s="194">
        <f t="shared" si="86"/>
        <v>5.8609</v>
      </c>
      <c r="Z170" s="194">
        <f t="shared" si="87"/>
        <v>6.7299999999999999E-2</v>
      </c>
      <c r="AA170" s="194">
        <f t="shared" si="64"/>
        <v>5.7935999999999996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65"/>
        <v>1810</v>
      </c>
      <c r="AE170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70" s="74" t="str">
        <f t="shared" si="67"/>
        <v>"C:\Program Files (x86)\AstroGrep\AstroGrep.exe" /e /r /s /spath="%USERPROFILE%\AppData\Local\Temp\OnboardLogs" /stypes="app*4029*20170909*" /stext=" 17:.+((SYSTEM_STATE.+slice.+state.+changed )|(ment ac)|(multiple cpu faults)|(system.+state.+changed )|(\[timeout)|(PRM\|1\|D)|(kpr)|(kdp)|(train st.+moving)|(\|lc)|(penalty))"</v>
      </c>
      <c r="AG170" s="206" t="str">
        <f t="shared" si="68"/>
        <v>NW</v>
      </c>
      <c r="AH170" s="78" t="str">
        <f t="shared" si="69"/>
        <v>"%USERPROFILE%\Documents\GitHub\eaglep3\Utilities\RefineRTDCRunTimes.py" --tripid 1810-09 --locoid 4029 --swversion DE.1.0.9.0 --startMP 300:58609 --initTime 2017-09-09T11:06:32 --startdatetime 2017-09-09T11:08:19 --delay 45 --endMP 204:673 --enddatetime 2017-09-09T11:21:55 --enforcementcount 0 &gt;&gt;C:\Users\stu\Documents\GitHub\eaglep3-reporting\EC\2017-09-09-refined-times.txt</v>
      </c>
      <c r="AI170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{"issue":{"subject":"","project_id":79,"tracker_id":40,"status_id":1,"priority_id":2,"assigned_to_id":338,"start_date":"2017-09-09","description":"","custom_fields":[{"id":1,"name":"Subdivision","value":"NW"},{"id":4,"name":"Milepost","value":"0.0673"},{"id":17,"name":"Train ID","value":"1810-09"},{"id":16,"name":"Locomotive ID","value":"4029"},{"id":130,"name":"Impact","value":""},{"id":150,"name":"Time of Event (Mountain Time)","value":"11:21:55"},{"id":151,"name":"Denver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1"/>
        <v>start /low /b %USERPROFILE%\Documents\GitHub\eaglep3\Utilities\DownloadLogsFromS3.py --loco 4029 --day 2017-09-09</v>
      </c>
      <c r="AN170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616</v>
      </c>
      <c r="B171" s="7">
        <v>4030</v>
      </c>
      <c r="C171" s="21" t="s">
        <v>197</v>
      </c>
      <c r="D171" s="21" t="s">
        <v>531</v>
      </c>
      <c r="E171" s="13">
        <v>42987.475462962961</v>
      </c>
      <c r="F171" s="13">
        <v>42987.478379629632</v>
      </c>
      <c r="G171" s="7">
        <v>58</v>
      </c>
      <c r="H171" s="21" t="s">
        <v>881</v>
      </c>
      <c r="I171" s="13">
        <v>42987.487962962965</v>
      </c>
      <c r="J171" s="7">
        <v>0</v>
      </c>
      <c r="K171" s="89" t="str">
        <f t="shared" si="60"/>
        <v>4029/4030</v>
      </c>
      <c r="L171" s="214" t="str">
        <f>VLOOKUP(A171,'Trips&amp;Operators'!$C$1:$G$99911,5,FALSE)</f>
        <v>HUFFSMITH MONTY</v>
      </c>
      <c r="M171" s="6">
        <f t="shared" si="61"/>
        <v>9.5833333325572312E-3</v>
      </c>
      <c r="N171" s="7">
        <f t="shared" si="89"/>
        <v>13.799999998882413</v>
      </c>
      <c r="O171" s="7"/>
      <c r="P171" s="7"/>
      <c r="Q171" s="22"/>
      <c r="R171" s="167"/>
      <c r="S171" s="210">
        <f t="shared" ref="S171:S202" si="90">1/IF(AG171="EC",12,1)*SUM(U171:U171)</f>
        <v>1</v>
      </c>
      <c r="T171" s="192" t="str">
        <f t="shared" si="62"/>
        <v>NorthBound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63"/>
        <v>https://d0f6bd738d7f1b3e5a7ca70fe4ff75f0.us-east-1.aws.found.io/app/kibana#/discover/Steve-Slow-Train-Analysis-(2080s-and-2083s)?_g=(refreshInterval:(display:Off,pause:!f,section:0,value:0),time:(from:'2017-09-09T10:24:40-0600',mode:absolute,to:'2017-09-09T12:42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94" t="str">
        <f>IF(AA171&lt;VLOOKUP(AG171,Variables!$AC$3:$AD$8,2,FALSE),"Y","N")</f>
        <v>N</v>
      </c>
      <c r="X171" s="194">
        <f t="shared" si="88"/>
        <v>1</v>
      </c>
      <c r="Y171" s="194">
        <f t="shared" si="86"/>
        <v>9.6199999999999994E-2</v>
      </c>
      <c r="Z171" s="194">
        <f t="shared" si="87"/>
        <v>5.8967000000000001</v>
      </c>
      <c r="AA171" s="194">
        <f t="shared" si="64"/>
        <v>5.8005000000000004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65"/>
        <v>1811</v>
      </c>
      <c r="AE171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71" s="74" t="str">
        <f t="shared" si="67"/>
        <v>"C:\Program Files (x86)\AstroGrep\AstroGrep.exe" /e /r /s /spath="%USERPROFILE%\AppData\Local\Temp\OnboardLogs" /stypes="app*4030*20170909*" /stext=" 17:.+((SYSTEM_STATE.+slice.+state.+changed )|(ment ac)|(multiple cpu faults)|(system.+state.+changed )|(\[timeout)|(PRM\|1\|D)|(kpr)|(kdp)|(train st.+moving)|(\|lc)|(penalty))"</v>
      </c>
      <c r="AG171" s="206" t="str">
        <f t="shared" si="68"/>
        <v>NW</v>
      </c>
      <c r="AH171" s="78" t="str">
        <f t="shared" si="69"/>
        <v>"%USERPROFILE%\Documents\GitHub\eaglep3\Utilities\RefineRTDCRunTimes.py" --tripid 1811-09 --locoid 4030 --swversion DE.1.0.9.0 --startMP 204:962 --initTime 2017-09-09T11:24:40 --startdatetime 2017-09-09T11:28:52 --delay 58 --endMP 300:58967 --enddatetime 2017-09-09T11:42:40 --enforcementcount 0 &gt;&gt;C:\Users\stu\Documents\GitHub\eaglep3-reporting\EC\2017-09-09-refined-times.txt</v>
      </c>
      <c r="AI171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{"issue":{"subject":"","project_id":79,"tracker_id":40,"status_id":1,"priority_id":2,"assigned_to_id":338,"start_date":"2017-09-09","description":"","custom_fields":[{"id":1,"name":"Subdivision","value":"NW"},{"id":4,"name":"Milepost","value":"5.8967"},{"id":17,"name":"Train ID","value":"1811-09"},{"id":16,"name":"Locomotive ID","value":"4030"},{"id":130,"name":"Impact","value":""},{"id":150,"name":"Time of Event (Mountain Time)","value":"11:42:40"},{"id":151,"name":"Denver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1"/>
        <v>start /low /b %USERPROFILE%\Documents\GitHub\eaglep3\Utilities\DownloadLogsFromS3.py --loco 4030 --day 2017-09-09</v>
      </c>
      <c r="AN171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17:42:40"},{"id":29,"name":"Sharepoint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620</v>
      </c>
      <c r="B172" s="7">
        <v>4029</v>
      </c>
      <c r="C172" s="21" t="s">
        <v>197</v>
      </c>
      <c r="D172" s="21" t="s">
        <v>599</v>
      </c>
      <c r="E172" s="13">
        <v>42987.48883101852</v>
      </c>
      <c r="F172" s="13">
        <v>42987.490185185183</v>
      </c>
      <c r="G172" s="7">
        <v>50</v>
      </c>
      <c r="H172" s="21" t="s">
        <v>882</v>
      </c>
      <c r="I172" s="13">
        <v>42987.500185185185</v>
      </c>
      <c r="J172" s="7">
        <v>0</v>
      </c>
      <c r="K172" s="89" t="str">
        <f t="shared" si="60"/>
        <v>4029/4030</v>
      </c>
      <c r="L172" s="214" t="str">
        <f>VLOOKUP(A172,'Trips&amp;Operators'!$C$1:$G$99911,5,FALSE)</f>
        <v>HUFFSMITH MONTY</v>
      </c>
      <c r="M172" s="6">
        <f t="shared" si="61"/>
        <v>1.0000000002037268E-2</v>
      </c>
      <c r="N172" s="7">
        <f t="shared" si="89"/>
        <v>14.400000002933666</v>
      </c>
      <c r="O172" s="7"/>
      <c r="P172" s="7"/>
      <c r="Q172" s="22"/>
      <c r="R172" s="167"/>
      <c r="S172" s="210">
        <f t="shared" si="90"/>
        <v>1</v>
      </c>
      <c r="T172" s="192" t="str">
        <f t="shared" si="62"/>
        <v>Southbound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63"/>
        <v>https://d0f6bd738d7f1b3e5a7ca70fe4ff75f0.us-east-1.aws.found.io/app/kibana#/discover/Steve-Slow-Train-Analysis-(2080s-and-2083s)?_g=(refreshInterval:(display:Off,pause:!f,section:0,value:0),time:(from:'2017-09-09T10:43:55-0600',mode:absolute,to:'2017-09-09T13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94" t="str">
        <f>IF(AA172&lt;VLOOKUP(AG172,Variables!$AC$3:$AD$8,2,FALSE),"Y","N")</f>
        <v>N</v>
      </c>
      <c r="X172" s="194">
        <f t="shared" si="88"/>
        <v>1</v>
      </c>
      <c r="Y172" s="194">
        <f t="shared" si="86"/>
        <v>5.8653000000000004</v>
      </c>
      <c r="Z172" s="194">
        <f t="shared" si="87"/>
        <v>6.6600000000000006E-2</v>
      </c>
      <c r="AA172" s="194">
        <f t="shared" si="64"/>
        <v>5.7987000000000002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65"/>
        <v>1812</v>
      </c>
      <c r="AE172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72" s="74" t="str">
        <f t="shared" si="67"/>
        <v>"C:\Program Files (x86)\AstroGrep\AstroGrep.exe" /e /r /s /spath="%USERPROFILE%\AppData\Local\Temp\OnboardLogs" /stypes="app*4029*20170909*" /stext=" 18:.+((SYSTEM_STATE.+slice.+state.+changed )|(ment ac)|(multiple cpu faults)|(system.+state.+changed )|(\[timeout)|(PRM\|1\|D)|(kpr)|(kdp)|(train st.+moving)|(\|lc)|(penalty))"</v>
      </c>
      <c r="AG172" s="206" t="str">
        <f t="shared" si="68"/>
        <v>NW</v>
      </c>
      <c r="AH172" s="78" t="str">
        <f t="shared" si="69"/>
        <v>"%USERPROFILE%\Documents\GitHub\eaglep3\Utilities\RefineRTDCRunTimes.py" --tripid 1812-09 --locoid 4029 --swversion DE.1.0.9.0 --startMP 300:58653 --initTime 2017-09-09T11:43:55 --startdatetime 2017-09-09T11:45:52 --delay 50 --endMP 204:666 --enddatetime 2017-09-09T12:00:16 --enforcementcount 0 &gt;&gt;C:\Users\stu\Documents\GitHub\eaglep3-reporting\EC\2017-09-09-refined-times.txt</v>
      </c>
      <c r="AI172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{"issue":{"subject":"","project_id":79,"tracker_id":40,"status_id":1,"priority_id":2,"assigned_to_id":338,"start_date":"2017-09-09","description":"","custom_fields":[{"id":1,"name":"Subdivision","value":"NW"},{"id":4,"name":"Milepost","value":"0.0666"},{"id":17,"name":"Train ID","value":"1812-09"},{"id":16,"name":"Locomotive ID","value":"4029"},{"id":130,"name":"Impact","value":""},{"id":150,"name":"Time of Event (Mountain Time)","value":"12:00:16"},{"id":151,"name":"Denver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1"/>
        <v>start /low /b %USERPROFILE%\Documents\GitHub\eaglep3\Utilities\DownloadLogsFromS3.py --loco 4029 --day 2017-09-09</v>
      </c>
      <c r="AN172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736</v>
      </c>
      <c r="B173" s="7">
        <v>4030</v>
      </c>
      <c r="C173" s="21" t="s">
        <v>197</v>
      </c>
      <c r="D173" s="21" t="s">
        <v>416</v>
      </c>
      <c r="E173" s="13">
        <v>42987.50167824074</v>
      </c>
      <c r="F173" s="13">
        <v>42987.506481481483</v>
      </c>
      <c r="G173" s="7">
        <v>48</v>
      </c>
      <c r="H173" s="21" t="s">
        <v>872</v>
      </c>
      <c r="I173" s="13">
        <v>42987.516481481478</v>
      </c>
      <c r="J173" s="7">
        <v>0</v>
      </c>
      <c r="K173" s="89" t="str">
        <f t="shared" si="60"/>
        <v>4029/4030</v>
      </c>
      <c r="L173" s="214" t="str">
        <f>VLOOKUP(A173,'Trips&amp;Operators'!$C$1:$G$99911,5,FALSE)</f>
        <v>HUFFSMITH MONTY</v>
      </c>
      <c r="M173" s="6">
        <f t="shared" si="61"/>
        <v>9.9999999947613105E-3</v>
      </c>
      <c r="N173" s="7">
        <f t="shared" si="89"/>
        <v>14.399999992456287</v>
      </c>
      <c r="O173" s="7"/>
      <c r="P173" s="7"/>
      <c r="Q173" s="22"/>
      <c r="R173" s="167"/>
      <c r="S173" s="210">
        <f t="shared" si="90"/>
        <v>1</v>
      </c>
      <c r="T173" s="192" t="str">
        <f t="shared" si="62"/>
        <v>NorthBound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63"/>
        <v>https://d0f6bd738d7f1b3e5a7ca70fe4ff75f0.us-east-1.aws.found.io/app/kibana#/discover/Steve-Slow-Train-Analysis-(2080s-and-2083s)?_g=(refreshInterval:(display:Off,pause:!f,section:0,value:0),time:(from:'2017-09-09T11:02:25-0600',mode:absolute,to:'2017-09-09T13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194" t="str">
        <f>IF(AA173&lt;VLOOKUP(AG173,Variables!$AC$3:$AD$8,2,FALSE),"Y","N")</f>
        <v>N</v>
      </c>
      <c r="X173" s="194">
        <f t="shared" si="88"/>
        <v>1</v>
      </c>
      <c r="Y173" s="194">
        <f t="shared" si="86"/>
        <v>9.6500000000000002E-2</v>
      </c>
      <c r="Z173" s="194">
        <f t="shared" si="87"/>
        <v>5.8975999999999997</v>
      </c>
      <c r="AA173" s="194">
        <f t="shared" si="64"/>
        <v>5.8010999999999999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65"/>
        <v>1813</v>
      </c>
      <c r="AE173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73" s="74" t="str">
        <f t="shared" si="67"/>
        <v>"C:\Program Files (x86)\AstroGrep\AstroGrep.exe" /e /r /s /spath="%USERPROFILE%\AppData\Local\Temp\OnboardLogs" /stypes="app*4030*20170909*" /stext=" 18:.+((SYSTEM_STATE.+slice.+state.+changed )|(ment ac)|(multiple cpu faults)|(system.+state.+changed )|(\[timeout)|(PRM\|1\|D)|(kpr)|(kdp)|(train st.+moving)|(\|lc)|(penalty))"</v>
      </c>
      <c r="AG173" s="206" t="str">
        <f t="shared" si="68"/>
        <v>NW</v>
      </c>
      <c r="AH173" s="78" t="str">
        <f t="shared" si="69"/>
        <v>"%USERPROFILE%\Documents\GitHub\eaglep3\Utilities\RefineRTDCRunTimes.py" --tripid 1813-09 --locoid 4030 --swversion DE.1.0.9.0 --startMP 204:965 --initTime 2017-09-09T12:02:25 --startdatetime 2017-09-09T12:09:20 --delay 48 --endMP 300:58976 --enddatetime 2017-09-09T12:23:44 --enforcementcount 0 &gt;&gt;C:\Users\stu\Documents\GitHub\eaglep3-reporting\EC\2017-09-09-refined-times.txt</v>
      </c>
      <c r="AI173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{"issue":{"subject":"","project_id":79,"tracker_id":40,"status_id":1,"priority_id":2,"assigned_to_id":338,"start_date":"2017-09-09","description":"","custom_fields":[{"id":1,"name":"Subdivision","value":"NW"},{"id":4,"name":"Milepost","value":"5.8976"},{"id":17,"name":"Train ID","value":"1813-09"},{"id":16,"name":"Locomotive ID","value":"4030"},{"id":130,"name":"Impact","value":""},{"id":150,"name":"Time of Event (Mountain Time)","value":"12:23:44"},{"id":151,"name":"Denver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1"/>
        <v>start /low /b %USERPROFILE%\Documents\GitHub\eaglep3\Utilities\DownloadLogsFromS3.py --loco 4030 --day 2017-09-09</v>
      </c>
      <c r="AN173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742</v>
      </c>
      <c r="B174" s="7">
        <v>4029</v>
      </c>
      <c r="C174" s="21" t="s">
        <v>197</v>
      </c>
      <c r="D174" s="21" t="s">
        <v>883</v>
      </c>
      <c r="E174" s="13">
        <v>42987.520694444444</v>
      </c>
      <c r="F174" s="13">
        <v>42987.522233796299</v>
      </c>
      <c r="G174" s="7">
        <v>47</v>
      </c>
      <c r="H174" s="21" t="s">
        <v>608</v>
      </c>
      <c r="I174" s="13">
        <v>42987.538518518515</v>
      </c>
      <c r="J174" s="7">
        <v>0</v>
      </c>
      <c r="K174" s="89" t="str">
        <f t="shared" si="60"/>
        <v>4029/4030</v>
      </c>
      <c r="L174" s="214" t="str">
        <f>VLOOKUP(A174,'Trips&amp;Operators'!$C$1:$G$99911,5,FALSE)</f>
        <v>HUFFSMITH MONTY</v>
      </c>
      <c r="M174" s="6">
        <f t="shared" si="61"/>
        <v>1.6284722216369119E-2</v>
      </c>
      <c r="N174" s="7">
        <f t="shared" si="89"/>
        <v>23.449999991571531</v>
      </c>
      <c r="O174" s="7"/>
      <c r="P174" s="7"/>
      <c r="Q174" s="22"/>
      <c r="R174" s="167"/>
      <c r="S174" s="210">
        <f t="shared" si="90"/>
        <v>1</v>
      </c>
      <c r="T174" s="192" t="str">
        <f t="shared" si="62"/>
        <v>Southbound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63"/>
        <v>https://d0f6bd738d7f1b3e5a7ca70fe4ff75f0.us-east-1.aws.found.io/app/kibana#/discover/Steve-Slow-Train-Analysis-(2080s-and-2083s)?_g=(refreshInterval:(display:Off,pause:!f,section:0,value:0),time:(from:'2017-09-09T11:29:48-0600',mode:absolute,to:'2017-09-09T13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194" t="str">
        <f>IF(AA174&lt;VLOOKUP(AG174,Variables!$AC$3:$AD$8,2,FALSE),"Y","N")</f>
        <v>N</v>
      </c>
      <c r="X174" s="194">
        <f t="shared" si="88"/>
        <v>1</v>
      </c>
      <c r="Y174" s="194">
        <f t="shared" si="86"/>
        <v>5.8651</v>
      </c>
      <c r="Z174" s="194">
        <f t="shared" si="87"/>
        <v>6.4199999999999993E-2</v>
      </c>
      <c r="AA174" s="194">
        <f t="shared" si="64"/>
        <v>5.8009000000000004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65"/>
        <v>1814</v>
      </c>
      <c r="AE174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74" s="74" t="str">
        <f t="shared" si="67"/>
        <v>"C:\Program Files (x86)\AstroGrep\AstroGrep.exe" /e /r /s /spath="%USERPROFILE%\AppData\Local\Temp\OnboardLogs" /stypes="app*4029*20170909*" /stext=" 18:.+((SYSTEM_STATE.+slice.+state.+changed )|(ment ac)|(multiple cpu faults)|(system.+state.+changed )|(\[timeout)|(PRM\|1\|D)|(kpr)|(kdp)|(train st.+moving)|(\|lc)|(penalty))"</v>
      </c>
      <c r="AG174" s="206" t="str">
        <f t="shared" si="68"/>
        <v>NW</v>
      </c>
      <c r="AH174" s="78" t="str">
        <f t="shared" si="69"/>
        <v>"%USERPROFILE%\Documents\GitHub\eaglep3\Utilities\RefineRTDCRunTimes.py" --tripid 1814-09 --locoid 4029 --swversion DE.1.0.9.0 --startMP 300:58651 --initTime 2017-09-09T12:29:48 --startdatetime 2017-09-09T12:32:01 --delay 47 --endMP 204:642 --enddatetime 2017-09-09T12:55:28 --enforcementcount 0 &gt;&gt;C:\Users\stu\Documents\GitHub\eaglep3-reporting\EC\2017-09-09-refined-times.txt</v>
      </c>
      <c r="AI174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{"issue":{"subject":"","project_id":79,"tracker_id":40,"status_id":1,"priority_id":2,"assigned_to_id":338,"start_date":"2017-09-09","description":"","custom_fields":[{"id":1,"name":"Subdivision","value":"NW"},{"id":4,"name":"Milepost","value":"0.0642"},{"id":17,"name":"Train ID","value":"1814-09"},{"id":16,"name":"Locomotive ID","value":"4029"},{"id":130,"name":"Impact","value":""},{"id":150,"name":"Time of Event (Mountain Time)","value":"12:55:28"},{"id":151,"name":"Denver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1"/>
        <v>start /low /b %USERPROFILE%\Documents\GitHub\eaglep3\Utilities\DownloadLogsFromS3.py --loco 4029 --day 2017-09-09</v>
      </c>
      <c r="AN174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18:55:28"},{"id":29,"name":"Sharepoint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746</v>
      </c>
      <c r="B175" s="7">
        <v>4030</v>
      </c>
      <c r="C175" s="21" t="s">
        <v>197</v>
      </c>
      <c r="D175" s="21" t="s">
        <v>874</v>
      </c>
      <c r="E175" s="13">
        <v>42987.543194444443</v>
      </c>
      <c r="F175" s="13">
        <v>42987.548506944448</v>
      </c>
      <c r="G175" s="7">
        <v>49</v>
      </c>
      <c r="H175" s="21" t="s">
        <v>884</v>
      </c>
      <c r="I175" s="13">
        <v>42987.558506944442</v>
      </c>
      <c r="J175" s="7">
        <v>0</v>
      </c>
      <c r="K175" s="89" t="str">
        <f t="shared" si="60"/>
        <v>4029/4030</v>
      </c>
      <c r="L175" s="214" t="str">
        <f>VLOOKUP(A175,'Trips&amp;Operators'!$C$1:$G$99911,5,FALSE)</f>
        <v>HUFFSMITH MONTY</v>
      </c>
      <c r="M175" s="6">
        <f t="shared" si="61"/>
        <v>9.9999999947613105E-3</v>
      </c>
      <c r="N175" s="7">
        <f t="shared" si="89"/>
        <v>14.399999992456287</v>
      </c>
      <c r="O175" s="7"/>
      <c r="P175" s="7"/>
      <c r="Q175" s="22"/>
      <c r="R175" s="167"/>
      <c r="S175" s="210">
        <f t="shared" si="90"/>
        <v>1</v>
      </c>
      <c r="T175" s="192" t="str">
        <f t="shared" si="62"/>
        <v>NorthBound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63"/>
        <v>https://d0f6bd738d7f1b3e5a7ca70fe4ff75f0.us-east-1.aws.found.io/app/kibana#/discover/Steve-Slow-Train-Analysis-(2080s-and-2083s)?_g=(refreshInterval:(display:Off,pause:!f,section:0,value:0),time:(from:'2017-09-09T12:02:12-0600',mode:absolute,to:'2017-09-09T14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194" t="str">
        <f>IF(AA175&lt;VLOOKUP(AG175,Variables!$AC$3:$AD$8,2,FALSE),"Y","N")</f>
        <v>N</v>
      </c>
      <c r="X175" s="194">
        <f t="shared" si="88"/>
        <v>1</v>
      </c>
      <c r="Y175" s="194">
        <f t="shared" si="86"/>
        <v>9.2999999999999999E-2</v>
      </c>
      <c r="Z175" s="194">
        <f t="shared" si="87"/>
        <v>5.8987999999999996</v>
      </c>
      <c r="AA175" s="194">
        <f t="shared" si="64"/>
        <v>5.8057999999999996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65"/>
        <v>1815</v>
      </c>
      <c r="AE175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75" s="74" t="str">
        <f t="shared" si="67"/>
        <v>"C:\Program Files (x86)\AstroGrep\AstroGrep.exe" /e /r /s /spath="%USERPROFILE%\AppData\Local\Temp\OnboardLogs" /stypes="app*4030*20170909*" /stext=" 19:.+((SYSTEM_STATE.+slice.+state.+changed )|(ment ac)|(multiple cpu faults)|(system.+state.+changed )|(\[timeout)|(PRM\|1\|D)|(kpr)|(kdp)|(train st.+moving)|(\|lc)|(penalty))"</v>
      </c>
      <c r="AG175" s="206" t="str">
        <f t="shared" si="68"/>
        <v>NW</v>
      </c>
      <c r="AH175" s="78" t="str">
        <f t="shared" si="69"/>
        <v>"%USERPROFILE%\Documents\GitHub\eaglep3\Utilities\RefineRTDCRunTimes.py" --tripid 1815-09 --locoid 4030 --swversion DE.1.0.9.0 --startMP 204:930 --initTime 2017-09-09T13:02:12 --startdatetime 2017-09-09T13:09:51 --delay 49 --endMP 300:58988 --enddatetime 2017-09-09T13:24:15 --enforcementcount 0 &gt;&gt;C:\Users\stu\Documents\GitHub\eaglep3-reporting\EC\2017-09-09-refined-times.txt</v>
      </c>
      <c r="AI175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{"issue":{"subject":"","project_id":79,"tracker_id":40,"status_id":1,"priority_id":2,"assigned_to_id":338,"start_date":"2017-09-09","description":"","custom_fields":[{"id":1,"name":"Subdivision","value":"NW"},{"id":4,"name":"Milepost","value":"5.8988"},{"id":17,"name":"Train ID","value":"1815-09"},{"id":16,"name":"Locomotive ID","value":"4030"},{"id":130,"name":"Impact","value":""},{"id":150,"name":"Time of Event (Mountain Time)","value":"13:24:15"},{"id":151,"name":"Denver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1"/>
        <v>start /low /b %USERPROFILE%\Documents\GitHub\eaglep3\Utilities\DownloadLogsFromS3.py --loco 4030 --day 2017-09-09</v>
      </c>
      <c r="AN175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750</v>
      </c>
      <c r="B176" s="7">
        <v>4029</v>
      </c>
      <c r="C176" s="21" t="s">
        <v>197</v>
      </c>
      <c r="D176" s="21" t="s">
        <v>874</v>
      </c>
      <c r="E176" s="13">
        <v>42987.543194444443</v>
      </c>
      <c r="F176" s="13">
        <v>42987.571597222224</v>
      </c>
      <c r="G176" s="7">
        <v>49</v>
      </c>
      <c r="H176" s="21" t="s">
        <v>884</v>
      </c>
      <c r="I176" s="13">
        <v>42987.580011574071</v>
      </c>
      <c r="J176" s="7">
        <v>0</v>
      </c>
      <c r="K176" s="89" t="str">
        <f t="shared" si="60"/>
        <v>4029/4030</v>
      </c>
      <c r="L176" s="214" t="str">
        <f>VLOOKUP(A176,'Trips&amp;Operators'!$C$1:$G$99911,5,FALSE)</f>
        <v>HUFFSMITH MONTY</v>
      </c>
      <c r="M176" s="6">
        <f t="shared" si="61"/>
        <v>8.4143518470227718E-3</v>
      </c>
      <c r="N176" s="7">
        <f t="shared" si="89"/>
        <v>12.116666659712791</v>
      </c>
      <c r="O176" s="7"/>
      <c r="P176" s="7"/>
      <c r="Q176" s="22"/>
      <c r="R176" s="167"/>
      <c r="S176" s="210">
        <f t="shared" si="90"/>
        <v>1</v>
      </c>
      <c r="T176" s="192" t="str">
        <f t="shared" si="62"/>
        <v>Southbound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63"/>
        <v>https://d0f6bd738d7f1b3e5a7ca70fe4ff75f0.us-east-1.aws.found.io/app/kibana#/discover/Steve-Slow-Train-Analysis-(2080s-and-2083s)?_g=(refreshInterval:(display:Off,pause:!f,section:0,value:0),time:(from:'2017-09-09T12:02:12-0600',mode:absolute,to:'2017-09-09T14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194" t="str">
        <f>IF(AA176&lt;VLOOKUP(AG176,Variables!$AC$3:$AD$8,2,FALSE),"Y","N")</f>
        <v>N</v>
      </c>
      <c r="X176" s="194">
        <f t="shared" si="88"/>
        <v>1</v>
      </c>
      <c r="Y176" s="194">
        <v>5.8651</v>
      </c>
      <c r="Z176" s="194">
        <v>6.4199999999999993E-2</v>
      </c>
      <c r="AA176" s="194">
        <f t="shared" si="64"/>
        <v>5.8009000000000004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65"/>
        <v>1816</v>
      </c>
      <c r="AE176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76" s="74" t="str">
        <f t="shared" si="67"/>
        <v>"C:\Program Files (x86)\AstroGrep\AstroGrep.exe" /e /r /s /spath="%USERPROFILE%\AppData\Local\Temp\OnboardLogs" /stypes="app*4029*20170909*" /stext=" 19:.+((SYSTEM_STATE.+slice.+state.+changed )|(ment ac)|(multiple cpu faults)|(system.+state.+changed )|(\[timeout)|(PRM\|1\|D)|(kpr)|(kdp)|(train st.+moving)|(\|lc)|(penalty))"</v>
      </c>
      <c r="AG176" s="206" t="str">
        <f t="shared" si="68"/>
        <v>NW</v>
      </c>
      <c r="AH176" s="78" t="str">
        <f t="shared" ref="AH176" si="91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1816-09 --locoid 4029 --swversion DE.1.0.9.0 --startMP 204:930 --initTime 2017-09-09T13:02:12 --startdatetime 2017-09-09T13:43:06 --delay 49 --endMP 300:58988 --enddatetime 2017-09-09T13:55:13 --enforcementcount 0 &gt;&gt;C:\Users\stu\Documents\GitHub\eaglep3-reporting\EC\2017-09-09-refined-times.txt</v>
      </c>
      <c r="AI176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{"issue":{"subject":"","project_id":79,"tracker_id":40,"status_id":1,"priority_id":2,"assigned_to_id":338,"start_date":"2017-09-09","description":"","custom_fields":[{"id":1,"name":"Subdivision","value":"NW"},{"id":4,"name":"Milepost","value":"0.0642"},{"id":17,"name":"Train ID","value":"1816-09"},{"id":16,"name":"Locomotive ID","value":"4029"},{"id":130,"name":"Impact","value":""},{"id":150,"name":"Time of Event (Mountain Time)","value":"13:55:13"},{"id":151,"name":"Denver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ref="AM176" si="92">"start /low /b "&amp;dls3logs&amp;" --loco "&amp;B176&amp;" --day "&amp;TEXT(F176,"YYYY-MM-DD")</f>
        <v>start /low /b %USERPROFILE%\Documents\GitHub\eaglep3\Utilities\DownloadLogsFromS3.py --loco 4029 --day 2017-09-09</v>
      </c>
      <c r="AN176" s="151" t="str">
        <f t="shared" ref="AN176" si="93">"echo {""issue"":{""subject"":"""&amp;R176&amp;""",""project_id"":30,""tracker_id"":4,""status_id"":"&amp;redmine_status_wcr&amp;",""priority_id"":"&amp;redmine_priority_wcr&amp;",""assigned_to_id"":"&amp;redmine_assignee_wcr&amp;",""start_date"":"""&amp;TEXT(I176-utc_offset/24,"YYYY-mm-dd")&amp;""",""description"":"""&amp;AJ176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755</v>
      </c>
      <c r="B177" s="7">
        <v>4030</v>
      </c>
      <c r="C177" s="21" t="s">
        <v>197</v>
      </c>
      <c r="D177" s="21" t="s">
        <v>885</v>
      </c>
      <c r="E177" s="13">
        <v>42987.584479166668</v>
      </c>
      <c r="F177" s="13">
        <v>42987.589791666665</v>
      </c>
      <c r="G177" s="7">
        <v>70</v>
      </c>
      <c r="H177" s="21" t="s">
        <v>886</v>
      </c>
      <c r="I177" s="13">
        <v>42987.600034722222</v>
      </c>
      <c r="J177" s="7">
        <v>0</v>
      </c>
      <c r="K177" s="89" t="str">
        <f t="shared" si="60"/>
        <v>4029/4030</v>
      </c>
      <c r="L177" s="214" t="str">
        <f>VLOOKUP(A177,'Trips&amp;Operators'!$C$1:$G$99911,5,FALSE)</f>
        <v>SMITH MICHAEL</v>
      </c>
      <c r="M177" s="6">
        <f t="shared" si="61"/>
        <v>1.0243055556202307E-2</v>
      </c>
      <c r="N177" s="7">
        <f t="shared" si="89"/>
        <v>14.750000000931323</v>
      </c>
      <c r="O177" s="7"/>
      <c r="P177" s="7"/>
      <c r="Q177" s="22"/>
      <c r="R177" s="167"/>
      <c r="S177" s="210">
        <f t="shared" si="90"/>
        <v>1</v>
      </c>
      <c r="T177" s="192" t="str">
        <f t="shared" si="62"/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63"/>
        <v>https://d0f6bd738d7f1b3e5a7ca70fe4ff75f0.us-east-1.aws.found.io/app/kibana#/discover/Steve-Slow-Train-Analysis-(2080s-and-2083s)?_g=(refreshInterval:(display:Off,pause:!f,section:0,value:0),time:(from:'2017-09-09T13:01:39-0600',mode:absolute,to:'2017-09-09T15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194" t="str">
        <f>IF(AA177&lt;VLOOKUP(AG177,Variables!$AC$3:$AD$8,2,FALSE),"Y","N")</f>
        <v>N</v>
      </c>
      <c r="X177" s="194">
        <f t="shared" ref="X177:X179" si="94">VALUE(LEFT(AD177,4))-VALUE(LEFT(AD176,4))</f>
        <v>1</v>
      </c>
      <c r="Y177" s="194">
        <f t="shared" ref="Y177:Y217" si="95">RIGHT(D177,LEN(D177)-4)/10000</f>
        <v>9.4100000000000003E-2</v>
      </c>
      <c r="Z177" s="194">
        <f t="shared" ref="Z177:Z217" si="96">RIGHT(H177,LEN(H177)-4)/10000</f>
        <v>5.8933</v>
      </c>
      <c r="AA177" s="194">
        <f t="shared" si="64"/>
        <v>5.7991999999999999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65"/>
        <v>1817</v>
      </c>
      <c r="AE177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77" s="74" t="str">
        <f t="shared" si="67"/>
        <v>"C:\Program Files (x86)\AstroGrep\AstroGrep.exe" /e /r /s /spath="%USERPROFILE%\AppData\Local\Temp\OnboardLogs" /stypes="app*4030*20170909*" /stext=" 20:.+((SYSTEM_STATE.+slice.+state.+changed )|(ment ac)|(multiple cpu faults)|(system.+state.+changed )|(\[timeout)|(PRM\|1\|D)|(kpr)|(kdp)|(train st.+moving)|(\|lc)|(penalty))"</v>
      </c>
      <c r="AG177" s="206" t="str">
        <f t="shared" si="68"/>
        <v>NW</v>
      </c>
      <c r="AH177" s="78" t="str">
        <f t="shared" si="69"/>
        <v>"%USERPROFILE%\Documents\GitHub\eaglep3\Utilities\RefineRTDCRunTimes.py" --tripid 1817-09 --locoid 4030 --swversion DE.1.0.9.0 --startMP 204:941 --initTime 2017-09-09T14:01:39 --startdatetime 2017-09-09T14:09:18 --delay 70 --endMP 300:58933 --enddatetime 2017-09-09T14:24:03 --enforcementcount 0 &gt;&gt;C:\Users\stu\Documents\GitHub\eaglep3-reporting\EC\2017-09-09-refined-times.txt</v>
      </c>
      <c r="AI177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{"issue":{"subject":"","project_id":79,"tracker_id":40,"status_id":1,"priority_id":2,"assigned_to_id":338,"start_date":"2017-09-09","description":"","custom_fields":[{"id":1,"name":"Subdivision","value":"NW"},{"id":4,"name":"Milepost","value":"5.8933"},{"id":17,"name":"Train ID","value":"1817-09"},{"id":16,"name":"Locomotive ID","value":"4030"},{"id":130,"name":"Impact","value":""},{"id":150,"name":"Time of Event (Mountain Time)","value":"14:24:03"},{"id":151,"name":"Denver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1"/>
        <v>start /low /b %USERPROFILE%\Documents\GitHub\eaglep3\Utilities\DownloadLogsFromS3.py --loco 4030 --day 2017-09-09</v>
      </c>
      <c r="AN177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759</v>
      </c>
      <c r="B178" s="7">
        <v>4029</v>
      </c>
      <c r="C178" s="21" t="s">
        <v>197</v>
      </c>
      <c r="D178" s="21" t="s">
        <v>887</v>
      </c>
      <c r="E178" s="13">
        <v>42987.601793981485</v>
      </c>
      <c r="F178" s="13">
        <v>42987.609317129631</v>
      </c>
      <c r="G178" s="7">
        <v>76</v>
      </c>
      <c r="H178" s="21" t="s">
        <v>876</v>
      </c>
      <c r="I178" s="13">
        <v>42987.621793981481</v>
      </c>
      <c r="J178" s="7">
        <v>0</v>
      </c>
      <c r="K178" s="89" t="str">
        <f t="shared" si="60"/>
        <v>4029/4030</v>
      </c>
      <c r="L178" s="214" t="str">
        <f>VLOOKUP(A178,'Trips&amp;Operators'!$C$1:$G$99911,5,FALSE)</f>
        <v>SMITH MICHAEL</v>
      </c>
      <c r="M178" s="6">
        <f t="shared" si="61"/>
        <v>1.247685185080627E-2</v>
      </c>
      <c r="N178" s="7">
        <f t="shared" si="89"/>
        <v>17.966666665161029</v>
      </c>
      <c r="O178" s="7"/>
      <c r="P178" s="7"/>
      <c r="Q178" s="22"/>
      <c r="R178" s="167"/>
      <c r="S178" s="210">
        <f t="shared" si="90"/>
        <v>1</v>
      </c>
      <c r="T178" s="192" t="str">
        <f t="shared" si="62"/>
        <v>Southbound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63"/>
        <v>https://d0f6bd738d7f1b3e5a7ca70fe4ff75f0.us-east-1.aws.found.io/app/kibana#/discover/Steve-Slow-Train-Analysis-(2080s-and-2083s)?_g=(refreshInterval:(display:Off,pause:!f,section:0,value:0),time:(from:'2017-09-09T13:26:35-0600',mode:absolute,to:'2017-09-09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194" t="str">
        <f>IF(AA178&lt;VLOOKUP(AG178,Variables!$AC$3:$AD$8,2,FALSE),"Y","N")</f>
        <v>N</v>
      </c>
      <c r="X178" s="194">
        <f t="shared" si="94"/>
        <v>1</v>
      </c>
      <c r="Y178" s="194">
        <f t="shared" si="95"/>
        <v>5.8608000000000002</v>
      </c>
      <c r="Z178" s="194">
        <f t="shared" si="96"/>
        <v>6.5699999999999995E-2</v>
      </c>
      <c r="AA178" s="194">
        <f t="shared" si="64"/>
        <v>5.7951000000000006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65"/>
        <v>1818</v>
      </c>
      <c r="AE178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78" s="74" t="str">
        <f t="shared" si="67"/>
        <v>"C:\Program Files (x86)\AstroGrep\AstroGrep.exe" /e /r /s /spath="%USERPROFILE%\AppData\Local\Temp\OnboardLogs" /stypes="app*4029*20170909*" /stext=" 20:.+((SYSTEM_STATE.+slice.+state.+changed )|(ment ac)|(multiple cpu faults)|(system.+state.+changed )|(\[timeout)|(PRM\|1\|D)|(kpr)|(kdp)|(train st.+moving)|(\|lc)|(penalty))"</v>
      </c>
      <c r="AG178" s="206" t="str">
        <f t="shared" si="68"/>
        <v>NW</v>
      </c>
      <c r="AH178" s="78" t="str">
        <f t="shared" si="69"/>
        <v>"%USERPROFILE%\Documents\GitHub\eaglep3\Utilities\RefineRTDCRunTimes.py" --tripid 1818-09 --locoid 4029 --swversion DE.1.0.9.0 --startMP 300:58608 --initTime 2017-09-09T14:26:35 --startdatetime 2017-09-09T14:37:25 --delay 76 --endMP 204:657 --enddatetime 2017-09-09T14:55:23 --enforcementcount 0 &gt;&gt;C:\Users\stu\Documents\GitHub\eaglep3-reporting\EC\2017-09-09-refined-times.txt</v>
      </c>
      <c r="AI178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{"issue":{"subject":"","project_id":79,"tracker_id":40,"status_id":1,"priority_id":2,"assigned_to_id":338,"start_date":"2017-09-09","description":"","custom_fields":[{"id":1,"name":"Subdivision","value":"NW"},{"id":4,"name":"Milepost","value":"0.0657"},{"id":17,"name":"Train ID","value":"1818-09"},{"id":16,"name":"Locomotive ID","value":"4029"},{"id":130,"name":"Impact","value":""},{"id":150,"name":"Time of Event (Mountain Time)","value":"14:55:23"},{"id":151,"name":"Denver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1"/>
        <v>start /low /b %USERPROFILE%\Documents\GitHub\eaglep3\Utilities\DownloadLogsFromS3.py --loco 4029 --day 2017-09-09</v>
      </c>
      <c r="AN178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762</v>
      </c>
      <c r="B179" s="7">
        <v>4030</v>
      </c>
      <c r="C179" s="21" t="s">
        <v>197</v>
      </c>
      <c r="D179" s="21" t="s">
        <v>877</v>
      </c>
      <c r="E179" s="13">
        <v>42987.62572916667</v>
      </c>
      <c r="F179" s="13">
        <v>42987.631597222222</v>
      </c>
      <c r="G179" s="7">
        <v>60</v>
      </c>
      <c r="H179" s="21" t="s">
        <v>602</v>
      </c>
      <c r="I179" s="13">
        <v>42987.641064814816</v>
      </c>
      <c r="J179" s="7">
        <v>0</v>
      </c>
      <c r="K179" s="89" t="str">
        <f t="shared" si="60"/>
        <v>4029/4030</v>
      </c>
      <c r="L179" s="214" t="str">
        <f>VLOOKUP(A179,'Trips&amp;Operators'!$C$1:$G$99911,5,FALSE)</f>
        <v>SMITH MICHAEL</v>
      </c>
      <c r="M179" s="6">
        <f t="shared" si="61"/>
        <v>9.4675925938645378E-3</v>
      </c>
      <c r="N179" s="7">
        <f t="shared" si="89"/>
        <v>13.633333335164934</v>
      </c>
      <c r="O179" s="7"/>
      <c r="P179" s="7"/>
      <c r="Q179" s="22"/>
      <c r="R179" s="167"/>
      <c r="S179" s="210">
        <f t="shared" si="90"/>
        <v>1</v>
      </c>
      <c r="T179" s="192" t="str">
        <f t="shared" si="62"/>
        <v>NorthBound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63"/>
        <v>https://d0f6bd738d7f1b3e5a7ca70fe4ff75f0.us-east-1.aws.found.io/app/kibana#/discover/Steve-Slow-Train-Analysis-(2080s-and-2083s)?_g=(refreshInterval:(display:Off,pause:!f,section:0,value:0),time:(from:'2017-09-09T14:01:03-0600',mode:absolute,to:'2017-09-09T16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194" t="str">
        <f>IF(AA179&lt;VLOOKUP(AG179,Variables!$AC$3:$AD$8,2,FALSE),"Y","N")</f>
        <v>N</v>
      </c>
      <c r="X179" s="194">
        <f t="shared" si="94"/>
        <v>1</v>
      </c>
      <c r="Y179" s="194">
        <f t="shared" si="95"/>
        <v>9.4299999999999995E-2</v>
      </c>
      <c r="Z179" s="194">
        <f t="shared" si="96"/>
        <v>5.8940999999999999</v>
      </c>
      <c r="AA179" s="194">
        <f t="shared" si="64"/>
        <v>5.7998000000000003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65"/>
        <v>1819</v>
      </c>
      <c r="AE179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79" s="74" t="str">
        <f t="shared" si="67"/>
        <v>"C:\Program Files (x86)\AstroGrep\AstroGrep.exe" /e /r /s /spath="%USERPROFILE%\AppData\Local\Temp\OnboardLogs" /stypes="app*4030*20170909*" /stext=" 21:.+((SYSTEM_STATE.+slice.+state.+changed )|(ment ac)|(multiple cpu faults)|(system.+state.+changed )|(\[timeout)|(PRM\|1\|D)|(kpr)|(kdp)|(train st.+moving)|(\|lc)|(penalty))"</v>
      </c>
      <c r="AG179" s="206" t="str">
        <f t="shared" si="68"/>
        <v>NW</v>
      </c>
      <c r="AH179" s="78" t="str">
        <f t="shared" si="69"/>
        <v>"%USERPROFILE%\Documents\GitHub\eaglep3\Utilities\RefineRTDCRunTimes.py" --tripid 1819-09 --locoid 4030 --swversion DE.1.0.9.0 --startMP 204:943 --initTime 2017-09-09T15:01:03 --startdatetime 2017-09-09T15:09:30 --delay 60 --endMP 300:58941 --enddatetime 2017-09-09T15:23:08 --enforcementcount 0 &gt;&gt;C:\Users\stu\Documents\GitHub\eaglep3-reporting\EC\2017-09-09-refined-times.txt</v>
      </c>
      <c r="AI179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{"issue":{"subject":"","project_id":79,"tracker_id":40,"status_id":1,"priority_id":2,"assigned_to_id":338,"start_date":"2017-09-09","description":"","custom_fields":[{"id":1,"name":"Subdivision","value":"NW"},{"id":4,"name":"Milepost","value":"5.8941"},{"id":17,"name":"Train ID","value":"1819-09"},{"id":16,"name":"Locomotive ID","value":"4030"},{"id":130,"name":"Impact","value":""},{"id":150,"name":"Time of Event (Mountain Time)","value":"15:23:08"},{"id":151,"name":"Denver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1"/>
        <v>start /low /b %USERPROFILE%\Documents\GitHub\eaglep3\Utilities\DownloadLogsFromS3.py --loco 4030 --day 2017-09-09</v>
      </c>
      <c r="AN179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629</v>
      </c>
      <c r="B180" s="7">
        <v>4029</v>
      </c>
      <c r="C180" s="21" t="s">
        <v>197</v>
      </c>
      <c r="D180" s="21" t="s">
        <v>442</v>
      </c>
      <c r="E180" s="13">
        <v>42987.642523148148</v>
      </c>
      <c r="F180" s="13">
        <v>42987.649525462963</v>
      </c>
      <c r="G180" s="7">
        <v>76</v>
      </c>
      <c r="H180" s="21" t="s">
        <v>606</v>
      </c>
      <c r="I180" s="13">
        <v>42987.663402777776</v>
      </c>
      <c r="J180" s="7">
        <v>0</v>
      </c>
      <c r="K180" s="89" t="str">
        <f t="shared" si="60"/>
        <v>4029/4030</v>
      </c>
      <c r="L180" s="214" t="str">
        <f>VLOOKUP(A180,'Trips&amp;Operators'!$C$1:$G$99911,5,FALSE)</f>
        <v>SMITH MICHAEL</v>
      </c>
      <c r="M180" s="6">
        <f t="shared" si="61"/>
        <v>1.3877314813726116E-2</v>
      </c>
      <c r="N180" s="7">
        <f t="shared" si="89"/>
        <v>19.983333331765607</v>
      </c>
      <c r="O180" s="7"/>
      <c r="P180" s="7"/>
      <c r="Q180" s="22"/>
      <c r="R180" s="167"/>
      <c r="S180" s="210">
        <f t="shared" si="90"/>
        <v>1</v>
      </c>
      <c r="T180" s="192" t="str">
        <f t="shared" si="62"/>
        <v>Southbound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63"/>
        <v>https://d0f6bd738d7f1b3e5a7ca70fe4ff75f0.us-east-1.aws.found.io/app/kibana#/discover/Steve-Slow-Train-Analysis-(2080s-and-2083s)?_g=(refreshInterval:(display:Off,pause:!f,section:0,value:0),time:(from:'2017-09-09T14:25:14-0600',mode:absolute,to:'2017-09-09T16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194" t="str">
        <f>IF(AA180&lt;VLOOKUP(AG180,Variables!$AC$3:$AD$8,2,FALSE),"Y","N")</f>
        <v>N</v>
      </c>
      <c r="X180" s="194">
        <f t="shared" ref="X180:X217" si="97">VALUE(LEFT(AD180,4))-VALUE(LEFT(AD179,4))</f>
        <v>1</v>
      </c>
      <c r="Y180" s="194">
        <f t="shared" si="95"/>
        <v>5.8624000000000001</v>
      </c>
      <c r="Z180" s="194">
        <f t="shared" si="96"/>
        <v>6.6100000000000006E-2</v>
      </c>
      <c r="AA180" s="194">
        <f t="shared" si="64"/>
        <v>5.7963000000000005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65"/>
        <v>1820</v>
      </c>
      <c r="AE180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80" s="74" t="str">
        <f t="shared" si="67"/>
        <v>"C:\Program Files (x86)\AstroGrep\AstroGrep.exe" /e /r /s /spath="%USERPROFILE%\AppData\Local\Temp\OnboardLogs" /stypes="app*4029*20170909*" /stext=" 21:.+((SYSTEM_STATE.+slice.+state.+changed )|(ment ac)|(multiple cpu faults)|(system.+state.+changed )|(\[timeout)|(PRM\|1\|D)|(kpr)|(kdp)|(train st.+moving)|(\|lc)|(penalty))"</v>
      </c>
      <c r="AG180" s="206" t="str">
        <f t="shared" si="68"/>
        <v>NW</v>
      </c>
      <c r="AH180" s="78" t="str">
        <f t="shared" si="69"/>
        <v>"%USERPROFILE%\Documents\GitHub\eaglep3\Utilities\RefineRTDCRunTimes.py" --tripid 1820-09 --locoid 4029 --swversion DE.1.0.9.0 --startMP 300:58624 --initTime 2017-09-09T15:25:14 --startdatetime 2017-09-09T15:35:19 --delay 76 --endMP 204:661 --enddatetime 2017-09-09T15:55:18 --enforcementcount 0 &gt;&gt;C:\Users\stu\Documents\GitHub\eaglep3-reporting\EC\2017-09-09-refined-times.txt</v>
      </c>
      <c r="AI180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{"issue":{"subject":"","project_id":79,"tracker_id":40,"status_id":1,"priority_id":2,"assigned_to_id":338,"start_date":"2017-09-09","description":"","custom_fields":[{"id":1,"name":"Subdivision","value":"NW"},{"id":4,"name":"Milepost","value":"0.0661"},{"id":17,"name":"Train ID","value":"1820-09"},{"id":16,"name":"Locomotive ID","value":"4029"},{"id":130,"name":"Impact","value":""},{"id":150,"name":"Time of Event (Mountain Time)","value":"15:55:18"},{"id":151,"name":"Denver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1"/>
        <v>start /low /b %USERPROFILE%\Documents\GitHub\eaglep3\Utilities\DownloadLogsFromS3.py --loco 4029 --day 2017-09-09</v>
      </c>
      <c r="AN180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772</v>
      </c>
      <c r="B181" s="7">
        <v>4030</v>
      </c>
      <c r="C181" s="21" t="s">
        <v>197</v>
      </c>
      <c r="D181" s="21" t="s">
        <v>603</v>
      </c>
      <c r="E181" s="13">
        <v>42987.66710648148</v>
      </c>
      <c r="F181" s="13">
        <v>42987.673136574071</v>
      </c>
      <c r="G181" s="7">
        <v>63</v>
      </c>
      <c r="H181" s="21" t="s">
        <v>509</v>
      </c>
      <c r="I181" s="13">
        <v>42987.682569444441</v>
      </c>
      <c r="J181" s="7">
        <v>0</v>
      </c>
      <c r="K181" s="89" t="str">
        <f t="shared" si="60"/>
        <v>4029/4030</v>
      </c>
      <c r="L181" s="214" t="str">
        <f>VLOOKUP(A181,'Trips&amp;Operators'!$C$1:$G$99911,5,FALSE)</f>
        <v>SMITH MICHAEL</v>
      </c>
      <c r="M181" s="6">
        <f t="shared" si="61"/>
        <v>9.4328703708015382E-3</v>
      </c>
      <c r="N181" s="7">
        <f t="shared" si="89"/>
        <v>13.583333333954215</v>
      </c>
      <c r="O181" s="7"/>
      <c r="P181" s="7"/>
      <c r="Q181" s="22"/>
      <c r="R181" s="167"/>
      <c r="S181" s="210">
        <f t="shared" si="90"/>
        <v>1</v>
      </c>
      <c r="T181" s="192" t="str">
        <f t="shared" si="62"/>
        <v>NorthBound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63"/>
        <v>https://d0f6bd738d7f1b3e5a7ca70fe4ff75f0.us-east-1.aws.found.io/app/kibana#/discover/Steve-Slow-Train-Analysis-(2080s-and-2083s)?_g=(refreshInterval:(display:Off,pause:!f,section:0,value:0),time:(from:'2017-09-09T15:00:38-0600',mode:absolute,to:'2017-09-09T17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194" t="str">
        <f>IF(AA181&lt;VLOOKUP(AG181,Variables!$AC$3:$AD$8,2,FALSE),"Y","N")</f>
        <v>N</v>
      </c>
      <c r="X181" s="194">
        <f t="shared" si="97"/>
        <v>1</v>
      </c>
      <c r="Y181" s="194">
        <f t="shared" si="95"/>
        <v>9.5699999999999993E-2</v>
      </c>
      <c r="Z181" s="194">
        <f t="shared" si="96"/>
        <v>5.8948</v>
      </c>
      <c r="AA181" s="194">
        <f t="shared" si="64"/>
        <v>5.7991000000000001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65"/>
        <v>1821</v>
      </c>
      <c r="AE181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81" s="74" t="str">
        <f t="shared" si="67"/>
        <v>"C:\Program Files (x86)\AstroGrep\AstroGrep.exe" /e /r /s /spath="%USERPROFILE%\AppData\Local\Temp\OnboardLogs" /stypes="app*4030*20170909*" /stext=" 22:.+((SYSTEM_STATE.+slice.+state.+changed )|(ment ac)|(multiple cpu faults)|(system.+state.+changed )|(\[timeout)|(PRM\|1\|D)|(kpr)|(kdp)|(train st.+moving)|(\|lc)|(penalty))"</v>
      </c>
      <c r="AG181" s="206" t="str">
        <f t="shared" si="68"/>
        <v>NW</v>
      </c>
      <c r="AH181" s="78" t="str">
        <f t="shared" si="69"/>
        <v>"%USERPROFILE%\Documents\GitHub\eaglep3\Utilities\RefineRTDCRunTimes.py" --tripid 1821-09 --locoid 4030 --swversion DE.1.0.9.0 --startMP 204:957 --initTime 2017-09-09T16:00:38 --startdatetime 2017-09-09T16:09:19 --delay 63 --endMP 300:58948 --enddatetime 2017-09-09T16:22:54 --enforcementcount 0 &gt;&gt;C:\Users\stu\Documents\GitHub\eaglep3-reporting\EC\2017-09-09-refined-times.txt</v>
      </c>
      <c r="AI181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{"issue":{"subject":"","project_id":79,"tracker_id":40,"status_id":1,"priority_id":2,"assigned_to_id":338,"start_date":"2017-09-09","description":"","custom_fields":[{"id":1,"name":"Subdivision","value":"NW"},{"id":4,"name":"Milepost","value":"5.8948"},{"id":17,"name":"Train ID","value":"1821-09"},{"id":16,"name":"Locomotive ID","value":"4030"},{"id":130,"name":"Impact","value":""},{"id":150,"name":"Time of Event (Mountain Time)","value":"16:22:54"},{"id":151,"name":"Denver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1"/>
        <v>start /low /b %USERPROFILE%\Documents\GitHub\eaglep3\Utilities\DownloadLogsFromS3.py --loco 4030 --day 2017-09-09</v>
      </c>
      <c r="AN181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630</v>
      </c>
      <c r="B182" s="7">
        <v>4029</v>
      </c>
      <c r="C182" s="21" t="s">
        <v>197</v>
      </c>
      <c r="D182" s="21" t="s">
        <v>888</v>
      </c>
      <c r="E182" s="13">
        <v>42987.68409722222</v>
      </c>
      <c r="F182" s="13">
        <v>42987.692083333335</v>
      </c>
      <c r="G182" s="7">
        <v>69</v>
      </c>
      <c r="H182" s="21" t="s">
        <v>889</v>
      </c>
      <c r="I182" s="13">
        <v>42987.702256944445</v>
      </c>
      <c r="J182" s="7">
        <v>0</v>
      </c>
      <c r="K182" s="89" t="str">
        <f t="shared" si="60"/>
        <v>4029/4030</v>
      </c>
      <c r="L182" s="214" t="str">
        <f>VLOOKUP(A182,'Trips&amp;Operators'!$C$1:$G$99911,5,FALSE)</f>
        <v>SMITH MICHAEL</v>
      </c>
      <c r="M182" s="6">
        <f t="shared" si="61"/>
        <v>1.0173611110076308E-2</v>
      </c>
      <c r="N182" s="7"/>
      <c r="O182" s="7"/>
      <c r="P182" s="7">
        <f t="shared" si="89"/>
        <v>14.649999998509884</v>
      </c>
      <c r="Q182" s="22"/>
      <c r="R182" s="167" t="s">
        <v>977</v>
      </c>
      <c r="S182" s="210">
        <f t="shared" si="90"/>
        <v>0</v>
      </c>
      <c r="T182" s="192" t="str">
        <f t="shared" si="62"/>
        <v>Southbound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193" t="str">
        <f t="shared" si="63"/>
        <v>https://d0f6bd738d7f1b3e5a7ca70fe4ff75f0.us-east-1.aws.found.io/app/kibana#/discover/Steve-Slow-Train-Analysis-(2080s-and-2083s)?_g=(refreshInterval:(display:Off,pause:!f,section:0,value:0),time:(from:'2017-09-09T15:25:06-0600',mode:absolute,to:'2017-09-09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94" t="str">
        <f>IF(AA182&lt;VLOOKUP(AG182,Variables!$AC$3:$AD$8,2,FALSE),"Y","N")</f>
        <v>Y</v>
      </c>
      <c r="X182" s="194">
        <f t="shared" si="97"/>
        <v>1</v>
      </c>
      <c r="Y182" s="194">
        <f t="shared" si="95"/>
        <v>5.8638000000000003</v>
      </c>
      <c r="Z182" s="194">
        <f t="shared" si="96"/>
        <v>1.3828</v>
      </c>
      <c r="AA182" s="194">
        <f t="shared" si="64"/>
        <v>4.4809999999999999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65"/>
        <v>1822</v>
      </c>
      <c r="AE182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82" s="74" t="str">
        <f t="shared" si="67"/>
        <v>"C:\Program Files (x86)\AstroGrep\AstroGrep.exe" /e /r /s /spath="%USERPROFILE%\AppData\Local\Temp\OnboardLogs" /stypes="app*4029*20170909*" /stext=" 22:.+((SYSTEM_STATE.+slice.+state.+changed )|(ment ac)|(multiple cpu faults)|(system.+state.+changed )|(\[timeout)|(PRM\|1\|D)|(kpr)|(kdp)|(train st.+moving)|(\|lc)|(penalty))"</v>
      </c>
      <c r="AG182" s="206" t="str">
        <f t="shared" si="68"/>
        <v>NW</v>
      </c>
      <c r="AH182" s="78" t="str">
        <f t="shared" si="69"/>
        <v>"%USERPROFILE%\Documents\GitHub\eaglep3\Utilities\RefineRTDCRunTimes.py" --tripid 1822-09 --locoid 4029 --swversion DE.1.0.9.0 --startMP 300:58638 --initTime 2017-09-09T16:25:06 --startdatetime 2017-09-09T16:36:36 --delay 69 --endMP 300:13828 --enddatetime 2017-09-09T16:51:15 --enforcementcount 0 &gt;&gt;C:\Users\stu\Documents\GitHub\eaglep3-reporting\EC\2017-09-09-refined-times.txt</v>
      </c>
      <c r="AI182" s="96" t="str">
        <f t="shared" si="70"/>
        <v>echo {"issue":{"subject":"Wi-MAX data drop","project_id":79,"tracker_id":40,"status_id":1,"priority_id":2,"assigned_to_id":338,"start_date":"2017-09-09","description":"","custom_fields":[{"id":1,"name":"Subdivision","value":"NW"},{"id":4,"name":"Milepost","value":"1.3828"},{"id":17,"name":"Train ID","value":"1822-09"},{"id":16,"name":"Locomotive ID","value":"4029"},{"id":130,"name":"Impact","value":""},{"id":150,"name":"Time of Event (Mountain Time)","value":"16:51:15"},{"id":151,"name":"Denver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1"/>
        <v>start /low /b %USERPROFILE%\Documents\GitHub\eaglep3\Utilities\DownloadLogsFromS3.py --loco 4029 --day 2017-09-09</v>
      </c>
      <c r="AN182" s="151" t="str">
        <f t="shared" si="72"/>
        <v>echo {"issue":{"subject":"Wi-MAX data drop","project_id":30,"tracker_id":4,"status_id":1,"priority_id":1,"assigned_to_id":10,"start_date":"2017-09-09","description":"","custom_fields":[{"id":30,"name":"Category","value":"Issue"},{"id":3,"name":"Functional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779</v>
      </c>
      <c r="B183" s="7">
        <v>4030</v>
      </c>
      <c r="C183" s="21" t="s">
        <v>197</v>
      </c>
      <c r="D183" s="21" t="s">
        <v>603</v>
      </c>
      <c r="E183" s="13">
        <v>42987.70925925926</v>
      </c>
      <c r="F183" s="13">
        <v>42987.714780092596</v>
      </c>
      <c r="G183" s="7">
        <v>72</v>
      </c>
      <c r="H183" s="21" t="s">
        <v>890</v>
      </c>
      <c r="I183" s="13">
        <v>42987.724282407406</v>
      </c>
      <c r="J183" s="7">
        <v>0</v>
      </c>
      <c r="K183" s="89" t="str">
        <f t="shared" si="60"/>
        <v>4029/4030</v>
      </c>
      <c r="L183" s="214" t="str">
        <f>VLOOKUP(A183,'Trips&amp;Operators'!$C$1:$G$99911,5,FALSE)</f>
        <v>SMITH MICHAEL</v>
      </c>
      <c r="M183" s="6">
        <f t="shared" si="61"/>
        <v>9.5023148096515797E-3</v>
      </c>
      <c r="N183" s="7">
        <f t="shared" si="89"/>
        <v>13.683333325898275</v>
      </c>
      <c r="O183" s="7"/>
      <c r="P183" s="7"/>
      <c r="Q183" s="22"/>
      <c r="R183" s="167"/>
      <c r="S183" s="210">
        <f t="shared" si="90"/>
        <v>1</v>
      </c>
      <c r="T183" s="192" t="str">
        <f t="shared" si="62"/>
        <v>NorthBound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63"/>
        <v>https://d0f6bd738d7f1b3e5a7ca70fe4ff75f0.us-east-1.aws.found.io/app/kibana#/discover/Steve-Slow-Train-Analysis-(2080s-and-2083s)?_g=(refreshInterval:(display:Off,pause:!f,section:0,value:0),time:(from:'2017-09-09T16:01:20-0600',mode:absolute,to:'2017-09-09T18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194" t="str">
        <f>IF(AA183&lt;VLOOKUP(AG183,Variables!$AC$3:$AD$8,2,FALSE),"Y","N")</f>
        <v>N</v>
      </c>
      <c r="X183" s="194">
        <f t="shared" si="97"/>
        <v>1</v>
      </c>
      <c r="Y183" s="194">
        <f t="shared" si="95"/>
        <v>9.5699999999999993E-2</v>
      </c>
      <c r="Z183" s="194">
        <f t="shared" si="96"/>
        <v>5.8959999999999999</v>
      </c>
      <c r="AA183" s="194">
        <f t="shared" si="64"/>
        <v>5.8003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65"/>
        <v>1823</v>
      </c>
      <c r="AE183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83" s="74" t="str">
        <f t="shared" si="67"/>
        <v>"C:\Program Files (x86)\AstroGrep\AstroGrep.exe" /e /r /s /spath="%USERPROFILE%\AppData\Local\Temp\OnboardLogs" /stypes="app*4030*20170909*" /stext=" 23:.+((SYSTEM_STATE.+slice.+state.+changed )|(ment ac)|(multiple cpu faults)|(system.+state.+changed )|(\[timeout)|(PRM\|1\|D)|(kpr)|(kdp)|(train st.+moving)|(\|lc)|(penalty))"</v>
      </c>
      <c r="AG183" s="206" t="str">
        <f t="shared" si="68"/>
        <v>NW</v>
      </c>
      <c r="AH183" s="78" t="str">
        <f t="shared" si="69"/>
        <v>"%USERPROFILE%\Documents\GitHub\eaglep3\Utilities\RefineRTDCRunTimes.py" --tripid 1823-09 --locoid 4030 --swversion DE.1.0.9.0 --startMP 204:957 --initTime 2017-09-09T17:01:20 --startdatetime 2017-09-09T17:09:17 --delay 72 --endMP 300:58960 --enddatetime 2017-09-09T17:22:58 --enforcementcount 0 &gt;&gt;C:\Users\stu\Documents\GitHub\eaglep3-reporting\EC\2017-09-09-refined-times.txt</v>
      </c>
      <c r="AI183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{"issue":{"subject":"","project_id":79,"tracker_id":40,"status_id":1,"priority_id":2,"assigned_to_id":338,"start_date":"2017-09-09","description":"","custom_fields":[{"id":1,"name":"Subdivision","value":"NW"},{"id":4,"name":"Milepost","value":"5.896"},{"id":17,"name":"Train ID","value":"1823-09"},{"id":16,"name":"Locomotive ID","value":"4030"},{"id":130,"name":"Impact","value":""},{"id":150,"name":"Time of Event (Mountain Time)","value":"17:22:58"},{"id":151,"name":"Denver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1"/>
        <v>start /low /b %USERPROFILE%\Documents\GitHub\eaglep3\Utilities\DownloadLogsFromS3.py --loco 4030 --day 2017-09-09</v>
      </c>
      <c r="AN183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784</v>
      </c>
      <c r="B184" s="7">
        <v>4029</v>
      </c>
      <c r="C184" s="21" t="s">
        <v>197</v>
      </c>
      <c r="D184" s="21" t="s">
        <v>510</v>
      </c>
      <c r="E184" s="13">
        <v>42987.726944444446</v>
      </c>
      <c r="F184" s="13">
        <v>42987.734259259261</v>
      </c>
      <c r="G184" s="7">
        <v>107</v>
      </c>
      <c r="H184" s="21" t="s">
        <v>891</v>
      </c>
      <c r="I184" s="13">
        <v>42987.746319444443</v>
      </c>
      <c r="J184" s="7">
        <v>0</v>
      </c>
      <c r="K184" s="89" t="str">
        <f t="shared" si="60"/>
        <v>4029/4030</v>
      </c>
      <c r="L184" s="214" t="str">
        <f>VLOOKUP(A184,'Trips&amp;Operators'!$C$1:$G$99911,5,FALSE)</f>
        <v>SMITH MICHAEL</v>
      </c>
      <c r="M184" s="6">
        <f t="shared" si="61"/>
        <v>1.2060185181326233E-2</v>
      </c>
      <c r="N184" s="7">
        <f t="shared" si="89"/>
        <v>17.366666661109775</v>
      </c>
      <c r="O184" s="7"/>
      <c r="P184" s="7"/>
      <c r="Q184" s="22"/>
      <c r="R184" s="167"/>
      <c r="S184" s="210">
        <f t="shared" si="90"/>
        <v>1</v>
      </c>
      <c r="T184" s="192" t="str">
        <f t="shared" si="62"/>
        <v>Southbound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63"/>
        <v>https://d0f6bd738d7f1b3e5a7ca70fe4ff75f0.us-east-1.aws.found.io/app/kibana#/discover/Steve-Slow-Train-Analysis-(2080s-and-2083s)?_g=(refreshInterval:(display:Off,pause:!f,section:0,value:0),time:(from:'2017-09-09T16:26:48-0600',mode:absolute,to:'2017-09-09T18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194" t="str">
        <f>IF(AA184&lt;VLOOKUP(AG184,Variables!$AC$3:$AD$8,2,FALSE),"Y","N")</f>
        <v>N</v>
      </c>
      <c r="X184" s="194">
        <f t="shared" si="97"/>
        <v>1</v>
      </c>
      <c r="Y184" s="194">
        <f t="shared" si="95"/>
        <v>5.8634000000000004</v>
      </c>
      <c r="Z184" s="194">
        <f t="shared" si="96"/>
        <v>6.7000000000000004E-2</v>
      </c>
      <c r="AA184" s="194">
        <f t="shared" si="64"/>
        <v>5.7964000000000002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65"/>
        <v>1824</v>
      </c>
      <c r="AE184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84" s="74" t="str">
        <f t="shared" si="67"/>
        <v>"C:\Program Files (x86)\AstroGrep\AstroGrep.exe" /e /r /s /spath="%USERPROFILE%\AppData\Local\Temp\OnboardLogs" /stypes="app*4029*20170909*" /stext=" 23:.+((SYSTEM_STATE.+slice.+state.+changed )|(ment ac)|(multiple cpu faults)|(system.+state.+changed )|(\[timeout)|(PRM\|1\|D)|(kpr)|(kdp)|(train st.+moving)|(\|lc)|(penalty))"</v>
      </c>
      <c r="AG184" s="206" t="str">
        <f t="shared" si="68"/>
        <v>NW</v>
      </c>
      <c r="AH184" s="78" t="str">
        <f t="shared" si="69"/>
        <v>"%USERPROFILE%\Documents\GitHub\eaglep3\Utilities\RefineRTDCRunTimes.py" --tripid 1824-09 --locoid 4029 --swversion DE.1.0.9.0 --startMP 300:58634 --initTime 2017-09-09T17:26:48 --startdatetime 2017-09-09T17:37:20 --delay 107 --endMP 204:670 --enddatetime 2017-09-09T17:54:42 --enforcementcount 0 &gt;&gt;C:\Users\stu\Documents\GitHub\eaglep3-reporting\EC\2017-09-09-refined-times.txt</v>
      </c>
      <c r="AI184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{"issue":{"subject":"","project_id":79,"tracker_id":40,"status_id":1,"priority_id":2,"assigned_to_id":338,"start_date":"2017-09-09","description":"","custom_fields":[{"id":1,"name":"Subdivision","value":"NW"},{"id":4,"name":"Milepost","value":"0.067"},{"id":17,"name":"Train ID","value":"1824-09"},{"id":16,"name":"Locomotive ID","value":"4029"},{"id":130,"name":"Impact","value":""},{"id":150,"name":"Time of Event (Mountain Time)","value":"17:54:42"},{"id":151,"name":"Denver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1"/>
        <v>start /low /b %USERPROFILE%\Documents\GitHub\eaglep3\Utilities\DownloadLogsFromS3.py --loco 4029 --day 2017-09-09</v>
      </c>
      <c r="AN184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788</v>
      </c>
      <c r="B185" s="7">
        <v>4030</v>
      </c>
      <c r="C185" s="21" t="s">
        <v>197</v>
      </c>
      <c r="D185" s="21" t="s">
        <v>892</v>
      </c>
      <c r="E185" s="13">
        <v>42987.750671296293</v>
      </c>
      <c r="F185" s="13">
        <v>42987.756458333337</v>
      </c>
      <c r="G185" s="7">
        <v>73</v>
      </c>
      <c r="H185" s="21" t="s">
        <v>886</v>
      </c>
      <c r="I185" s="13">
        <v>42987.766238425924</v>
      </c>
      <c r="J185" s="7">
        <v>0</v>
      </c>
      <c r="K185" s="89" t="str">
        <f t="shared" si="60"/>
        <v>4029/4030</v>
      </c>
      <c r="L185" s="214" t="str">
        <f>VLOOKUP(A185,'Trips&amp;Operators'!$C$1:$G$99911,5,FALSE)</f>
        <v>SMITH MICHAEL</v>
      </c>
      <c r="M185" s="6">
        <f t="shared" si="61"/>
        <v>9.7800925868796185E-3</v>
      </c>
      <c r="N185" s="7">
        <f t="shared" si="89"/>
        <v>14.083333325106651</v>
      </c>
      <c r="O185" s="7"/>
      <c r="P185" s="7"/>
      <c r="Q185" s="22"/>
      <c r="R185" s="167"/>
      <c r="S185" s="210">
        <f t="shared" si="90"/>
        <v>1</v>
      </c>
      <c r="T185" s="192" t="str">
        <f t="shared" si="62"/>
        <v>NorthBound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63"/>
        <v>https://d0f6bd738d7f1b3e5a7ca70fe4ff75f0.us-east-1.aws.found.io/app/kibana#/discover/Steve-Slow-Train-Analysis-(2080s-and-2083s)?_g=(refreshInterval:(display:Off,pause:!f,section:0,value:0),time:(from:'2017-09-09T17:00:58-0600',mode:absolute,to:'2017-09-09T19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194" t="str">
        <f>IF(AA185&lt;VLOOKUP(AG185,Variables!$AC$3:$AD$8,2,FALSE),"Y","N")</f>
        <v>N</v>
      </c>
      <c r="X185" s="194">
        <f t="shared" si="97"/>
        <v>1</v>
      </c>
      <c r="Y185" s="194">
        <f t="shared" si="95"/>
        <v>9.4600000000000004E-2</v>
      </c>
      <c r="Z185" s="194">
        <f t="shared" si="96"/>
        <v>5.8933</v>
      </c>
      <c r="AA185" s="194">
        <f t="shared" si="64"/>
        <v>5.7987000000000002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65"/>
        <v>1825</v>
      </c>
      <c r="AE185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85" s="74" t="str">
        <f t="shared" si="67"/>
        <v>"C:\Program Files (x86)\AstroGrep\AstroGrep.exe" /e /r /s /spath="%USERPROFILE%\AppData\Local\Temp\OnboardLogs" /stypes="app*4030*20170910*" /stext=" 00:.+((SYSTEM_STATE.+slice.+state.+changed )|(ment ac)|(multiple cpu faults)|(system.+state.+changed )|(\[timeout)|(PRM\|1\|D)|(kpr)|(kdp)|(train st.+moving)|(\|lc)|(penalty))"</v>
      </c>
      <c r="AG185" s="206" t="str">
        <f t="shared" si="68"/>
        <v>NW</v>
      </c>
      <c r="AH185" s="78" t="str">
        <f t="shared" si="69"/>
        <v>"%USERPROFILE%\Documents\GitHub\eaglep3\Utilities\RefineRTDCRunTimes.py" --tripid 1825-09 --locoid 4030 --swversion DE.1.0.9.0 --startMP 204:946 --initTime 2017-09-09T18:00:58 --startdatetime 2017-09-09T18:09:18 --delay 73 --endMP 300:58933 --enddatetime 2017-09-09T18:23:23 --enforcementcount 0 &gt;&gt;C:\Users\stu\Documents\GitHub\eaglep3-reporting\EC\2017-09-09-refined-times.txt</v>
      </c>
      <c r="AI185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{"issue":{"subject":"","project_id":79,"tracker_id":40,"status_id":1,"priority_id":2,"assigned_to_id":338,"start_date":"2017-09-09","description":"","custom_fields":[{"id":1,"name":"Subdivision","value":"NW"},{"id":4,"name":"Milepost","value":"5.8933"},{"id":17,"name":"Train ID","value":"1825-09"},{"id":16,"name":"Locomotive ID","value":"4030"},{"id":130,"name":"Impact","value":""},{"id":150,"name":"Time of Event (Mountain Time)","value":"18:23:23"},{"id":151,"name":"Denver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1"/>
        <v>start /low /b %USERPROFILE%\Documents\GitHub\eaglep3\Utilities\DownloadLogsFromS3.py --loco 4030 --day 2017-09-09</v>
      </c>
      <c r="AN185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793</v>
      </c>
      <c r="B186" s="7">
        <v>4029</v>
      </c>
      <c r="C186" s="21" t="s">
        <v>197</v>
      </c>
      <c r="D186" s="21" t="s">
        <v>893</v>
      </c>
      <c r="E186" s="13">
        <v>42987.767638888887</v>
      </c>
      <c r="F186" s="13">
        <v>42987.77516203704</v>
      </c>
      <c r="G186" s="7">
        <v>78</v>
      </c>
      <c r="H186" s="21" t="s">
        <v>879</v>
      </c>
      <c r="I186" s="13">
        <v>42987.788275462961</v>
      </c>
      <c r="J186" s="7">
        <v>0</v>
      </c>
      <c r="K186" s="89" t="str">
        <f t="shared" si="60"/>
        <v>4029/4030</v>
      </c>
      <c r="L186" s="214" t="str">
        <f>VLOOKUP(A186,'Trips&amp;Operators'!$C$1:$G$99911,5,FALSE)</f>
        <v>SMITH MICHAEL</v>
      </c>
      <c r="M186" s="6">
        <f t="shared" si="61"/>
        <v>1.3113425920892041E-2</v>
      </c>
      <c r="N186" s="7">
        <f t="shared" si="89"/>
        <v>18.883333326084539</v>
      </c>
      <c r="O186" s="7"/>
      <c r="P186" s="7"/>
      <c r="Q186" s="22"/>
      <c r="R186" s="167"/>
      <c r="S186" s="210">
        <f t="shared" si="90"/>
        <v>1</v>
      </c>
      <c r="T186" s="192" t="str">
        <f t="shared" si="62"/>
        <v>Southbound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63"/>
        <v>https://d0f6bd738d7f1b3e5a7ca70fe4ff75f0.us-east-1.aws.found.io/app/kibana#/discover/Steve-Slow-Train-Analysis-(2080s-and-2083s)?_g=(refreshInterval:(display:Off,pause:!f,section:0,value:0),time:(from:'2017-09-09T17:25:24-0600',mode:absolute,to:'2017-09-09T19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194" t="str">
        <f>IF(AA186&lt;VLOOKUP(AG186,Variables!$AC$3:$AD$8,2,FALSE),"Y","N")</f>
        <v>N</v>
      </c>
      <c r="X186" s="194">
        <f t="shared" si="97"/>
        <v>1</v>
      </c>
      <c r="Y186" s="194">
        <f t="shared" si="95"/>
        <v>5.8615000000000004</v>
      </c>
      <c r="Z186" s="194">
        <f t="shared" si="96"/>
        <v>6.5000000000000002E-2</v>
      </c>
      <c r="AA186" s="194">
        <f t="shared" si="64"/>
        <v>5.7965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65"/>
        <v>1826</v>
      </c>
      <c r="AE186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86" s="74" t="str">
        <f t="shared" si="67"/>
        <v>"C:\Program Files (x86)\AstroGrep\AstroGrep.exe" /e /r /s /spath="%USERPROFILE%\AppData\Local\Temp\OnboardLogs" /stypes="app*4029*20170910*" /stext=" 00:.+((SYSTEM_STATE.+slice.+state.+changed )|(ment ac)|(multiple cpu faults)|(system.+state.+changed )|(\[timeout)|(PRM\|1\|D)|(kpr)|(kdp)|(train st.+moving)|(\|lc)|(penalty))"</v>
      </c>
      <c r="AG186" s="206" t="str">
        <f t="shared" si="68"/>
        <v>NW</v>
      </c>
      <c r="AH186" s="78" t="str">
        <f t="shared" si="69"/>
        <v>"%USERPROFILE%\Documents\GitHub\eaglep3\Utilities\RefineRTDCRunTimes.py" --tripid 1826-09 --locoid 4029 --swversion DE.1.0.9.0 --startMP 300:58615 --initTime 2017-09-09T18:25:24 --startdatetime 2017-09-09T18:36:14 --delay 78 --endMP 204:650 --enddatetime 2017-09-09T18:55:07 --enforcementcount 0 &gt;&gt;C:\Users\stu\Documents\GitHub\eaglep3-reporting\EC\2017-09-09-refined-times.txt</v>
      </c>
      <c r="AI186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{"issue":{"subject":"","project_id":79,"tracker_id":40,"status_id":1,"priority_id":2,"assigned_to_id":338,"start_date":"2017-09-09","description":"","custom_fields":[{"id":1,"name":"Subdivision","value":"NW"},{"id":4,"name":"Milepost","value":"0.065"},{"id":17,"name":"Train ID","value":"1826-09"},{"id":16,"name":"Locomotive ID","value":"4029"},{"id":130,"name":"Impact","value":""},{"id":150,"name":"Time of Event (Mountain Time)","value":"18:55:07"},{"id":151,"name":"Denver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1"/>
        <v>start /low /b %USERPROFILE%\Documents\GitHub\eaglep3\Utilities\DownloadLogsFromS3.py --loco 4029 --day 2017-09-09</v>
      </c>
      <c r="AN18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797</v>
      </c>
      <c r="B187" s="7">
        <v>4030</v>
      </c>
      <c r="C187" s="21" t="s">
        <v>197</v>
      </c>
      <c r="D187" s="21" t="s">
        <v>894</v>
      </c>
      <c r="E187" s="13">
        <v>42987.79005787037</v>
      </c>
      <c r="F187" s="13">
        <v>42987.798159722224</v>
      </c>
      <c r="G187" s="7">
        <v>63</v>
      </c>
      <c r="H187" s="21" t="s">
        <v>509</v>
      </c>
      <c r="I187" s="13">
        <v>42987.807395833333</v>
      </c>
      <c r="J187" s="7">
        <v>0</v>
      </c>
      <c r="K187" s="89" t="str">
        <f t="shared" si="60"/>
        <v>4029/4030</v>
      </c>
      <c r="L187" s="214" t="str">
        <f>VLOOKUP(A187,'Trips&amp;Operators'!$C$1:$G$99911,5,FALSE)</f>
        <v>SMITH MICHAEL</v>
      </c>
      <c r="M187" s="6">
        <f t="shared" si="61"/>
        <v>9.2361111092031933E-3</v>
      </c>
      <c r="N187" s="7">
        <f t="shared" si="89"/>
        <v>13.299999997252598</v>
      </c>
      <c r="O187" s="7"/>
      <c r="P187" s="7"/>
      <c r="Q187" s="22"/>
      <c r="R187" s="167"/>
      <c r="S187" s="210">
        <f t="shared" si="90"/>
        <v>1</v>
      </c>
      <c r="T187" s="192" t="str">
        <f t="shared" si="62"/>
        <v>NorthBound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63"/>
        <v>https://d0f6bd738d7f1b3e5a7ca70fe4ff75f0.us-east-1.aws.found.io/app/kibana#/discover/Steve-Slow-Train-Analysis-(2080s-and-2083s)?_g=(refreshInterval:(display:Off,pause:!f,section:0,value:0),time:(from:'2017-09-09T17:57:41-0600',mode:absolute,to:'2017-09-09T20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94" t="str">
        <f>IF(AA187&lt;VLOOKUP(AG187,Variables!$AC$3:$AD$8,2,FALSE),"Y","N")</f>
        <v>N</v>
      </c>
      <c r="X187" s="194">
        <f t="shared" si="97"/>
        <v>1</v>
      </c>
      <c r="Y187" s="194">
        <f t="shared" si="95"/>
        <v>9.5500000000000002E-2</v>
      </c>
      <c r="Z187" s="194">
        <f t="shared" si="96"/>
        <v>5.8948</v>
      </c>
      <c r="AA187" s="194">
        <f t="shared" si="64"/>
        <v>5.7992999999999997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65"/>
        <v>1827</v>
      </c>
      <c r="AE187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87" s="74" t="str">
        <f t="shared" si="67"/>
        <v>"C:\Program Files (x86)\AstroGrep\AstroGrep.exe" /e /r /s /spath="%USERPROFILE%\AppData\Local\Temp\OnboardLogs" /stypes="app*4030*20170910*" /stext=" 01:.+((SYSTEM_STATE.+slice.+state.+changed )|(ment ac)|(multiple cpu faults)|(system.+state.+changed )|(\[timeout)|(PRM\|1\|D)|(kpr)|(kdp)|(train st.+moving)|(\|lc)|(penalty))"</v>
      </c>
      <c r="AG187" s="206" t="str">
        <f t="shared" si="68"/>
        <v>NW</v>
      </c>
      <c r="AH187" s="78" t="str">
        <f t="shared" si="69"/>
        <v>"%USERPROFILE%\Documents\GitHub\eaglep3\Utilities\RefineRTDCRunTimes.py" --tripid 1827-09 --locoid 4030 --swversion DE.1.0.9.0 --startMP 204:955 --initTime 2017-09-09T18:57:41 --startdatetime 2017-09-09T19:09:21 --delay 63 --endMP 300:58948 --enddatetime 2017-09-09T19:22:39 --enforcementcount 0 &gt;&gt;C:\Users\stu\Documents\GitHub\eaglep3-reporting\EC\2017-09-09-refined-times.txt</v>
      </c>
      <c r="AI187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{"issue":{"subject":"","project_id":79,"tracker_id":40,"status_id":1,"priority_id":2,"assigned_to_id":338,"start_date":"2017-09-09","description":"","custom_fields":[{"id":1,"name":"Subdivision","value":"NW"},{"id":4,"name":"Milepost","value":"5.8948"},{"id":17,"name":"Train ID","value":"1827-09"},{"id":16,"name":"Locomotive ID","value":"4030"},{"id":130,"name":"Impact","value":""},{"id":150,"name":"Time of Event (Mountain Time)","value":"19:22:39"},{"id":151,"name":"Denver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1"/>
        <v>start /low /b %USERPROFILE%\Documents\GitHub\eaglep3\Utilities\DownloadLogsFromS3.py --loco 4030 --day 2017-09-09</v>
      </c>
      <c r="AN18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801</v>
      </c>
      <c r="B188" s="7">
        <v>4029</v>
      </c>
      <c r="C188" s="21" t="s">
        <v>197</v>
      </c>
      <c r="D188" s="21" t="s">
        <v>895</v>
      </c>
      <c r="E188" s="13">
        <v>42987.808749999997</v>
      </c>
      <c r="F188" s="13">
        <v>42987.817152777781</v>
      </c>
      <c r="G188" s="7">
        <v>80</v>
      </c>
      <c r="H188" s="21" t="s">
        <v>601</v>
      </c>
      <c r="I188" s="13">
        <v>42987.830266203702</v>
      </c>
      <c r="J188" s="7">
        <v>0</v>
      </c>
      <c r="K188" s="89" t="str">
        <f t="shared" si="60"/>
        <v>4029/4030</v>
      </c>
      <c r="L188" s="214" t="str">
        <f>VLOOKUP(A188,'Trips&amp;Operators'!$C$1:$G$99911,5,FALSE)</f>
        <v>SMITH MICHAEL</v>
      </c>
      <c r="M188" s="6">
        <f t="shared" si="61"/>
        <v>1.3113425920892041E-2</v>
      </c>
      <c r="N188" s="7">
        <f t="shared" si="89"/>
        <v>18.883333326084539</v>
      </c>
      <c r="O188" s="7"/>
      <c r="P188" s="7"/>
      <c r="Q188" s="22"/>
      <c r="R188" s="167"/>
      <c r="S188" s="210">
        <f t="shared" si="90"/>
        <v>1</v>
      </c>
      <c r="T188" s="192" t="str">
        <f t="shared" si="62"/>
        <v>Southbound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63"/>
        <v>https://d0f6bd738d7f1b3e5a7ca70fe4ff75f0.us-east-1.aws.found.io/app/kibana#/discover/Steve-Slow-Train-Analysis-(2080s-and-2083s)?_g=(refreshInterval:(display:Off,pause:!f,section:0,value:0),time:(from:'2017-09-09T18:24:36-0600',mode:absolute,to:'2017-09-09T20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4" t="str">
        <f>IF(AA188&lt;VLOOKUP(AG188,Variables!$AC$3:$AD$8,2,FALSE),"Y","N")</f>
        <v>N</v>
      </c>
      <c r="X188" s="194">
        <f t="shared" si="97"/>
        <v>1</v>
      </c>
      <c r="Y188" s="194">
        <f t="shared" si="95"/>
        <v>5.8628</v>
      </c>
      <c r="Z188" s="194">
        <f t="shared" si="96"/>
        <v>6.7699999999999996E-2</v>
      </c>
      <c r="AA188" s="194">
        <f t="shared" si="64"/>
        <v>5.7950999999999997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65"/>
        <v>1828</v>
      </c>
      <c r="AE188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88" s="74" t="str">
        <f t="shared" si="67"/>
        <v>"C:\Program Files (x86)\AstroGrep\AstroGrep.exe" /e /r /s /spath="%USERPROFILE%\AppData\Local\Temp\OnboardLogs" /stypes="app*4029*20170910*" /stext=" 01:.+((SYSTEM_STATE.+slice.+state.+changed )|(ment ac)|(multiple cpu faults)|(system.+state.+changed )|(\[timeout)|(PRM\|1\|D)|(kpr)|(kdp)|(train st.+moving)|(\|lc)|(penalty))"</v>
      </c>
      <c r="AG188" s="206" t="str">
        <f t="shared" si="68"/>
        <v>NW</v>
      </c>
      <c r="AH188" s="78" t="str">
        <f t="shared" si="69"/>
        <v>"%USERPROFILE%\Documents\GitHub\eaglep3\Utilities\RefineRTDCRunTimes.py" --tripid 1828-09 --locoid 4029 --swversion DE.1.0.9.0 --startMP 300:58628 --initTime 2017-09-09T19:24:36 --startdatetime 2017-09-09T19:36:42 --delay 80 --endMP 204:677 --enddatetime 2017-09-09T19:55:35 --enforcementcount 0 &gt;&gt;C:\Users\stu\Documents\GitHub\eaglep3-reporting\EC\2017-09-09-refined-times.txt</v>
      </c>
      <c r="AI188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{"issue":{"subject":"","project_id":79,"tracker_id":40,"status_id":1,"priority_id":2,"assigned_to_id":338,"start_date":"2017-09-09","description":"","custom_fields":[{"id":1,"name":"Subdivision","value":"NW"},{"id":4,"name":"Milepost","value":"0.0677"},{"id":17,"name":"Train ID","value":"1828-09"},{"id":16,"name":"Locomotive ID","value":"4029"},{"id":130,"name":"Impact","value":""},{"id":150,"name":"Time of Event (Mountain Time)","value":"19:55:35"},{"id":151,"name":"Denver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1"/>
        <v>start /low /b %USERPROFILE%\Documents\GitHub\eaglep3\Utilities\DownloadLogsFromS3.py --loco 4029 --day 2017-09-09</v>
      </c>
      <c r="AN18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804</v>
      </c>
      <c r="B189" s="7">
        <v>4030</v>
      </c>
      <c r="C189" s="21" t="s">
        <v>197</v>
      </c>
      <c r="D189" s="21" t="s">
        <v>896</v>
      </c>
      <c r="E189" s="13">
        <v>42987.831643518519</v>
      </c>
      <c r="F189" s="13">
        <v>42987.839814814812</v>
      </c>
      <c r="G189" s="7">
        <v>63</v>
      </c>
      <c r="H189" s="21" t="s">
        <v>417</v>
      </c>
      <c r="I189" s="13">
        <v>42987.849259259259</v>
      </c>
      <c r="J189" s="7">
        <v>0</v>
      </c>
      <c r="K189" s="89" t="str">
        <f t="shared" si="60"/>
        <v>4029/4030</v>
      </c>
      <c r="L189" s="214" t="str">
        <f>VLOOKUP(A189,'Trips&amp;Operators'!$C$1:$G$99911,5,FALSE)</f>
        <v>SMITH MICHAEL</v>
      </c>
      <c r="M189" s="6">
        <f t="shared" si="61"/>
        <v>9.4444444475811906E-3</v>
      </c>
      <c r="N189" s="7">
        <f t="shared" si="89"/>
        <v>13.600000004516914</v>
      </c>
      <c r="O189" s="7"/>
      <c r="P189" s="7"/>
      <c r="Q189" s="22"/>
      <c r="R189" s="167"/>
      <c r="S189" s="210">
        <f t="shared" si="90"/>
        <v>1</v>
      </c>
      <c r="T189" s="192" t="str">
        <f t="shared" si="62"/>
        <v>NorthBound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63"/>
        <v>https://d0f6bd738d7f1b3e5a7ca70fe4ff75f0.us-east-1.aws.found.io/app/kibana#/discover/Steve-Slow-Train-Analysis-(2080s-and-2083s)?_g=(refreshInterval:(display:Off,pause:!f,section:0,value:0),time:(from:'2017-09-09T18:57:34-0600',mode:absolute,to:'2017-09-09T21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194" t="str">
        <f>IF(AA189&lt;VLOOKUP(AG189,Variables!$AC$3:$AD$8,2,FALSE),"Y","N")</f>
        <v>N</v>
      </c>
      <c r="X189" s="194">
        <f t="shared" si="97"/>
        <v>1</v>
      </c>
      <c r="Y189" s="194">
        <f t="shared" si="95"/>
        <v>9.4799999999999995E-2</v>
      </c>
      <c r="Z189" s="194">
        <f t="shared" si="96"/>
        <v>5.8958000000000004</v>
      </c>
      <c r="AA189" s="194">
        <f t="shared" si="64"/>
        <v>5.8010000000000002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65"/>
        <v>1829</v>
      </c>
      <c r="AE189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89" s="74" t="str">
        <f t="shared" si="67"/>
        <v>"C:\Program Files (x86)\AstroGrep\AstroGrep.exe" /e /r /s /spath="%USERPROFILE%\AppData\Local\Temp\OnboardLogs" /stypes="app*4030*20170910*" /stext=" 02:.+((SYSTEM_STATE.+slice.+state.+changed )|(ment ac)|(multiple cpu faults)|(system.+state.+changed )|(\[timeout)|(PRM\|1\|D)|(kpr)|(kdp)|(train st.+moving)|(\|lc)|(penalty))"</v>
      </c>
      <c r="AG189" s="206" t="str">
        <f t="shared" si="68"/>
        <v>NW</v>
      </c>
      <c r="AH189" s="78" t="str">
        <f t="shared" si="69"/>
        <v>"%USERPROFILE%\Documents\GitHub\eaglep3\Utilities\RefineRTDCRunTimes.py" --tripid 1829-09 --locoid 4030 --swversion DE.1.0.9.0 --startMP 204:948 --initTime 2017-09-09T19:57:34 --startdatetime 2017-09-09T20:09:20 --delay 63 --endMP 300:58958 --enddatetime 2017-09-09T20:22:56 --enforcementcount 0 &gt;&gt;C:\Users\stu\Documents\GitHub\eaglep3-reporting\EC\2017-09-09-refined-times.txt</v>
      </c>
      <c r="AI189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{"issue":{"subject":"","project_id":79,"tracker_id":40,"status_id":1,"priority_id":2,"assigned_to_id":338,"start_date":"2017-09-09","description":"","custom_fields":[{"id":1,"name":"Subdivision","value":"NW"},{"id":4,"name":"Milepost","value":"5.8958"},{"id":17,"name":"Train ID","value":"1829-09"},{"id":16,"name":"Locomotive ID","value":"4030"},{"id":130,"name":"Impact","value":""},{"id":150,"name":"Time of Event (Mountain Time)","value":"20:22:56"},{"id":151,"name":"Denver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1"/>
        <v>start /low /b %USERPROFILE%\Documents\GitHub\eaglep3\Utilities\DownloadLogsFromS3.py --loco 4030 --day 2017-09-09</v>
      </c>
      <c r="AN18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807</v>
      </c>
      <c r="B190" s="7">
        <v>4029</v>
      </c>
      <c r="C190" s="21" t="s">
        <v>197</v>
      </c>
      <c r="D190" s="21" t="s">
        <v>897</v>
      </c>
      <c r="E190" s="13">
        <v>42987.850636574076</v>
      </c>
      <c r="F190" s="13">
        <v>42987.859120370369</v>
      </c>
      <c r="G190" s="7">
        <v>64</v>
      </c>
      <c r="H190" s="21" t="s">
        <v>534</v>
      </c>
      <c r="I190" s="13">
        <v>42987.871400462966</v>
      </c>
      <c r="J190" s="7">
        <v>0</v>
      </c>
      <c r="K190" s="89" t="str">
        <f t="shared" si="60"/>
        <v>4029/4030</v>
      </c>
      <c r="L190" s="214" t="str">
        <f>VLOOKUP(A190,'Trips&amp;Operators'!$C$1:$G$99911,5,FALSE)</f>
        <v>SMITH MICHAEL</v>
      </c>
      <c r="M190" s="6">
        <f t="shared" si="61"/>
        <v>1.2280092596483883E-2</v>
      </c>
      <c r="N190" s="7">
        <f t="shared" si="89"/>
        <v>17.683333338936791</v>
      </c>
      <c r="O190" s="7"/>
      <c r="P190" s="7"/>
      <c r="Q190" s="22"/>
      <c r="R190" s="167"/>
      <c r="S190" s="210">
        <f t="shared" si="90"/>
        <v>1</v>
      </c>
      <c r="T190" s="192" t="str">
        <f t="shared" si="62"/>
        <v>Southbound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63"/>
        <v>https://d0f6bd738d7f1b3e5a7ca70fe4ff75f0.us-east-1.aws.found.io/app/kibana#/discover/Steve-Slow-Train-Analysis-(2080s-and-2083s)?_g=(refreshInterval:(display:Off,pause:!f,section:0,value:0),time:(from:'2017-09-09T19:24:55-0600',mode:absolute,to:'2017-09-09T21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194" t="str">
        <f>IF(AA190&lt;VLOOKUP(AG190,Variables!$AC$3:$AD$8,2,FALSE),"Y","N")</f>
        <v>N</v>
      </c>
      <c r="X190" s="194">
        <f t="shared" si="97"/>
        <v>1</v>
      </c>
      <c r="Y190" s="194">
        <f t="shared" si="95"/>
        <v>5.8642000000000003</v>
      </c>
      <c r="Z190" s="194">
        <f t="shared" si="96"/>
        <v>6.6299999999999998E-2</v>
      </c>
      <c r="AA190" s="194">
        <f t="shared" si="64"/>
        <v>5.7979000000000003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65"/>
        <v>1830</v>
      </c>
      <c r="AE190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90" s="74" t="str">
        <f t="shared" si="67"/>
        <v>"C:\Program Files (x86)\AstroGrep\AstroGrep.exe" /e /r /s /spath="%USERPROFILE%\AppData\Local\Temp\OnboardLogs" /stypes="app*4029*20170910*" /stext=" 02:.+((SYSTEM_STATE.+slice.+state.+changed )|(ment ac)|(multiple cpu faults)|(system.+state.+changed )|(\[timeout)|(PRM\|1\|D)|(kpr)|(kdp)|(train st.+moving)|(\|lc)|(penalty))"</v>
      </c>
      <c r="AG190" s="206" t="str">
        <f t="shared" si="68"/>
        <v>NW</v>
      </c>
      <c r="AH190" s="78" t="str">
        <f t="shared" si="69"/>
        <v>"%USERPROFILE%\Documents\GitHub\eaglep3\Utilities\RefineRTDCRunTimes.py" --tripid 1830-09 --locoid 4029 --swversion DE.1.0.9.0 --startMP 300:58642 --initTime 2017-09-09T20:24:55 --startdatetime 2017-09-09T20:37:08 --delay 64 --endMP 204:663 --enddatetime 2017-09-09T20:54:49 --enforcementcount 0 &gt;&gt;C:\Users\stu\Documents\GitHub\eaglep3-reporting\EC\2017-09-09-refined-times.txt</v>
      </c>
      <c r="AI190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{"issue":{"subject":"","project_id":79,"tracker_id":40,"status_id":1,"priority_id":2,"assigned_to_id":338,"start_date":"2017-09-09","description":"","custom_fields":[{"id":1,"name":"Subdivision","value":"NW"},{"id":4,"name":"Milepost","value":"0.0663"},{"id":17,"name":"Train ID","value":"1830-09"},{"id":16,"name":"Locomotive ID","value":"4029"},{"id":130,"name":"Impact","value":""},{"id":150,"name":"Time of Event (Mountain Time)","value":"20:54:49"},{"id":151,"name":"Denver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1"/>
        <v>start /low /b %USERPROFILE%\Documents\GitHub\eaglep3\Utilities\DownloadLogsFromS3.py --loco 4029 --day 2017-09-09</v>
      </c>
      <c r="AN190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809</v>
      </c>
      <c r="B191" s="7">
        <v>4030</v>
      </c>
      <c r="C191" s="21" t="s">
        <v>197</v>
      </c>
      <c r="D191" s="21" t="s">
        <v>898</v>
      </c>
      <c r="E191" s="13">
        <v>42987.874675925923</v>
      </c>
      <c r="F191" s="13">
        <v>42987.881574074076</v>
      </c>
      <c r="G191" s="7">
        <v>80</v>
      </c>
      <c r="H191" s="21" t="s">
        <v>395</v>
      </c>
      <c r="I191" s="13">
        <v>42987.892175925925</v>
      </c>
      <c r="J191" s="7">
        <v>0</v>
      </c>
      <c r="K191" s="89" t="str">
        <f t="shared" si="60"/>
        <v>4029/4030</v>
      </c>
      <c r="L191" s="214" t="str">
        <f>VLOOKUP(A191,'Trips&amp;Operators'!$C$1:$G$99911,5,FALSE)</f>
        <v>ANDERS STEVEN</v>
      </c>
      <c r="M191" s="6">
        <f t="shared" si="61"/>
        <v>1.060185184906004E-2</v>
      </c>
      <c r="N191" s="7">
        <f t="shared" si="89"/>
        <v>15.266666662646458</v>
      </c>
      <c r="O191" s="7"/>
      <c r="P191" s="7"/>
      <c r="Q191" s="22"/>
      <c r="R191" s="167"/>
      <c r="S191" s="210">
        <f t="shared" si="90"/>
        <v>1</v>
      </c>
      <c r="T191" s="192" t="str">
        <f t="shared" si="62"/>
        <v>NorthBound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63"/>
        <v>https://d0f6bd738d7f1b3e5a7ca70fe4ff75f0.us-east-1.aws.found.io/app/kibana#/discover/Steve-Slow-Train-Analysis-(2080s-and-2083s)?_g=(refreshInterval:(display:Off,pause:!f,section:0,value:0),time:(from:'2017-09-09T19:59:32-0600',mode:absolute,to:'2017-09-09T22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194" t="str">
        <f>IF(AA191&lt;VLOOKUP(AG191,Variables!$AC$3:$AD$8,2,FALSE),"Y","N")</f>
        <v>N</v>
      </c>
      <c r="X191" s="194">
        <f t="shared" si="97"/>
        <v>1</v>
      </c>
      <c r="Y191" s="194">
        <f t="shared" si="95"/>
        <v>9.74E-2</v>
      </c>
      <c r="Z191" s="194">
        <f t="shared" si="96"/>
        <v>5.8943000000000003</v>
      </c>
      <c r="AA191" s="194">
        <f t="shared" si="64"/>
        <v>5.7968999999999999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65"/>
        <v>1831</v>
      </c>
      <c r="AE191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91" s="74" t="str">
        <f t="shared" si="67"/>
        <v>"C:\Program Files (x86)\AstroGrep\AstroGrep.exe" /e /r /s /spath="%USERPROFILE%\AppData\Local\Temp\OnboardLogs" /stypes="app*4030*20170910*" /stext=" 03:.+((SYSTEM_STATE.+slice.+state.+changed )|(ment ac)|(multiple cpu faults)|(system.+state.+changed )|(\[timeout)|(PRM\|1\|D)|(kpr)|(kdp)|(train st.+moving)|(\|lc)|(penalty))"</v>
      </c>
      <c r="AG191" s="206" t="str">
        <f t="shared" si="68"/>
        <v>NW</v>
      </c>
      <c r="AH191" s="78" t="str">
        <f t="shared" si="69"/>
        <v>"%USERPROFILE%\Documents\GitHub\eaglep3\Utilities\RefineRTDCRunTimes.py" --tripid 1831-09 --locoid 4030 --swversion DE.1.0.9.0 --startMP 204:974 --initTime 2017-09-09T20:59:32 --startdatetime 2017-09-09T21:09:28 --delay 80 --endMP 300:58943 --enddatetime 2017-09-09T21:24:44 --enforcementcount 0 &gt;&gt;C:\Users\stu\Documents\GitHub\eaglep3-reporting\EC\2017-09-09-refined-times.txt</v>
      </c>
      <c r="AI191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{"issue":{"subject":"","project_id":79,"tracker_id":40,"status_id":1,"priority_id":2,"assigned_to_id":338,"start_date":"2017-09-09","description":"","custom_fields":[{"id":1,"name":"Subdivision","value":"NW"},{"id":4,"name":"Milepost","value":"5.8943"},{"id":17,"name":"Train ID","value":"1831-09"},{"id":16,"name":"Locomotive ID","value":"4030"},{"id":130,"name":"Impact","value":""},{"id":150,"name":"Time of Event (Mountain Time)","value":"21:24:44"},{"id":151,"name":"Denver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1"/>
        <v>start /low /b %USERPROFILE%\Documents\GitHub\eaglep3\Utilities\DownloadLogsFromS3.py --loco 4030 --day 2017-09-09</v>
      </c>
      <c r="AN191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813</v>
      </c>
      <c r="B192" s="7">
        <v>4029</v>
      </c>
      <c r="C192" s="21" t="s">
        <v>197</v>
      </c>
      <c r="D192" s="21" t="s">
        <v>899</v>
      </c>
      <c r="E192" s="13">
        <v>42987.897858796299</v>
      </c>
      <c r="F192" s="13">
        <v>42987.900891203702</v>
      </c>
      <c r="G192" s="7">
        <v>92</v>
      </c>
      <c r="H192" s="21" t="s">
        <v>891</v>
      </c>
      <c r="I192" s="13">
        <v>42987.913599537038</v>
      </c>
      <c r="J192" s="7">
        <v>0</v>
      </c>
      <c r="K192" s="89" t="str">
        <f t="shared" si="60"/>
        <v>4029/4030</v>
      </c>
      <c r="L192" s="214" t="str">
        <f>VLOOKUP(A192,'Trips&amp;Operators'!$C$1:$G$99911,5,FALSE)</f>
        <v>ANDERS STEVEN</v>
      </c>
      <c r="M192" s="6">
        <f t="shared" si="61"/>
        <v>1.2708333335467614E-2</v>
      </c>
      <c r="N192" s="7">
        <f t="shared" si="89"/>
        <v>18.300000003073364</v>
      </c>
      <c r="O192" s="7"/>
      <c r="P192" s="7"/>
      <c r="Q192" s="22"/>
      <c r="R192" s="167"/>
      <c r="S192" s="210">
        <f t="shared" si="90"/>
        <v>1</v>
      </c>
      <c r="T192" s="192" t="str">
        <f t="shared" si="62"/>
        <v>Southbound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63"/>
        <v>https://d0f6bd738d7f1b3e5a7ca70fe4ff75f0.us-east-1.aws.found.io/app/kibana#/discover/Steve-Slow-Train-Analysis-(2080s-and-2083s)?_g=(refreshInterval:(display:Off,pause:!f,section:0,value:0),time:(from:'2017-09-09T20:32:55-0600',mode:absolute,to:'2017-09-09T22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4" t="str">
        <f>IF(AA192&lt;VLOOKUP(AG192,Variables!$AC$3:$AD$8,2,FALSE),"Y","N")</f>
        <v>N</v>
      </c>
      <c r="X192" s="194">
        <f t="shared" si="97"/>
        <v>1</v>
      </c>
      <c r="Y192" s="194">
        <f t="shared" si="95"/>
        <v>5.8625999999999996</v>
      </c>
      <c r="Z192" s="194">
        <f t="shared" si="96"/>
        <v>6.7000000000000004E-2</v>
      </c>
      <c r="AA192" s="194">
        <f t="shared" si="64"/>
        <v>5.7955999999999994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65"/>
        <v>1832</v>
      </c>
      <c r="AE192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92" s="74" t="str">
        <f t="shared" si="67"/>
        <v>"C:\Program Files (x86)\AstroGrep\AstroGrep.exe" /e /r /s /spath="%USERPROFILE%\AppData\Local\Temp\OnboardLogs" /stypes="app*4029*20170910*" /stext=" 03:.+((SYSTEM_STATE.+slice.+state.+changed )|(ment ac)|(multiple cpu faults)|(system.+state.+changed )|(\[timeout)|(PRM\|1\|D)|(kpr)|(kdp)|(train st.+moving)|(\|lc)|(penalty))"</v>
      </c>
      <c r="AG192" s="206" t="str">
        <f t="shared" si="68"/>
        <v>NW</v>
      </c>
      <c r="AH192" s="78" t="str">
        <f t="shared" si="69"/>
        <v>"%USERPROFILE%\Documents\GitHub\eaglep3\Utilities\RefineRTDCRunTimes.py" --tripid 1832-09 --locoid 4029 --swversion DE.1.0.9.0 --startMP 300:58626 --initTime 2017-09-09T21:32:55 --startdatetime 2017-09-09T21:37:17 --delay 92 --endMP 204:670 --enddatetime 2017-09-09T21:55:35 --enforcementcount 0 &gt;&gt;C:\Users\stu\Documents\GitHub\eaglep3-reporting\EC\2017-09-09-refined-times.txt</v>
      </c>
      <c r="AI192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{"issue":{"subject":"","project_id":79,"tracker_id":40,"status_id":1,"priority_id":2,"assigned_to_id":338,"start_date":"2017-09-09","description":"","custom_fields":[{"id":1,"name":"Subdivision","value":"NW"},{"id":4,"name":"Milepost","value":"0.067"},{"id":17,"name":"Train ID","value":"1832-09"},{"id":16,"name":"Locomotive ID","value":"4029"},{"id":130,"name":"Impact","value":""},{"id":150,"name":"Time of Event (Mountain Time)","value":"21:55:35"},{"id":151,"name":"Denver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1"/>
        <v>start /low /b %USERPROFILE%\Documents\GitHub\eaglep3\Utilities\DownloadLogsFromS3.py --loco 4029 --day 2017-09-09</v>
      </c>
      <c r="AN192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815</v>
      </c>
      <c r="B193" s="7">
        <v>4030</v>
      </c>
      <c r="C193" s="21" t="s">
        <v>197</v>
      </c>
      <c r="D193" s="21" t="s">
        <v>900</v>
      </c>
      <c r="E193" s="13">
        <v>42987.916527777779</v>
      </c>
      <c r="F193" s="13">
        <v>42987.923506944448</v>
      </c>
      <c r="G193" s="7">
        <v>88</v>
      </c>
      <c r="H193" s="21" t="s">
        <v>901</v>
      </c>
      <c r="I193" s="13">
        <v>42987.933368055557</v>
      </c>
      <c r="J193" s="7">
        <v>0</v>
      </c>
      <c r="K193" s="89" t="str">
        <f t="shared" si="60"/>
        <v>4029/4030</v>
      </c>
      <c r="L193" s="214" t="str">
        <f>VLOOKUP(A193,'Trips&amp;Operators'!$C$1:$G$99911,5,FALSE)</f>
        <v>SMITH MICHAEL</v>
      </c>
      <c r="M193" s="6">
        <f t="shared" si="61"/>
        <v>9.8611111097852699E-3</v>
      </c>
      <c r="N193" s="7">
        <f t="shared" si="89"/>
        <v>14.199999998090789</v>
      </c>
      <c r="O193" s="7"/>
      <c r="P193" s="7"/>
      <c r="Q193" s="22"/>
      <c r="R193" s="167"/>
      <c r="S193" s="210">
        <f t="shared" si="90"/>
        <v>1</v>
      </c>
      <c r="T193" s="192" t="str">
        <f t="shared" si="62"/>
        <v>NorthBound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63"/>
        <v>https://d0f6bd738d7f1b3e5a7ca70fe4ff75f0.us-east-1.aws.found.io/app/kibana#/discover/Steve-Slow-Train-Analysis-(2080s-and-2083s)?_g=(refreshInterval:(display:Off,pause:!f,section:0,value:0),time:(from:'2017-09-09T20:59:48-0600',mode:absolute,to:'2017-09-09T23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194" t="str">
        <f>IF(AA193&lt;VLOOKUP(AG193,Variables!$AC$3:$AD$8,2,FALSE),"Y","N")</f>
        <v>N</v>
      </c>
      <c r="X193" s="194">
        <f t="shared" si="97"/>
        <v>1</v>
      </c>
      <c r="Y193" s="194">
        <f t="shared" si="95"/>
        <v>9.3200000000000005E-2</v>
      </c>
      <c r="Z193" s="194">
        <f t="shared" si="96"/>
        <v>5.8952</v>
      </c>
      <c r="AA193" s="194">
        <f t="shared" si="64"/>
        <v>5.8019999999999996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65"/>
        <v>1833</v>
      </c>
      <c r="AE193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93" s="74" t="str">
        <f t="shared" si="67"/>
        <v>"C:\Program Files (x86)\AstroGrep\AstroGrep.exe" /e /r /s /spath="%USERPROFILE%\AppData\Local\Temp\OnboardLogs" /stypes="app*4030*20170910*" /stext=" 04:.+((SYSTEM_STATE.+slice.+state.+changed )|(ment ac)|(multiple cpu faults)|(system.+state.+changed )|(\[timeout)|(PRM\|1\|D)|(kpr)|(kdp)|(train st.+moving)|(\|lc)|(penalty))"</v>
      </c>
      <c r="AG193" s="206" t="str">
        <f t="shared" si="68"/>
        <v>NW</v>
      </c>
      <c r="AH193" s="78" t="str">
        <f t="shared" si="69"/>
        <v>"%USERPROFILE%\Documents\GitHub\eaglep3\Utilities\RefineRTDCRunTimes.py" --tripid 1833-09 --locoid 4030 --swversion DE.1.0.9.0 --startMP 204:932 --initTime 2017-09-09T21:59:48 --startdatetime 2017-09-09T22:09:51 --delay 88 --endMP 300:58952 --enddatetime 2017-09-09T22:24:03 --enforcementcount 0 &gt;&gt;C:\Users\stu\Documents\GitHub\eaglep3-reporting\EC\2017-09-09-refined-times.txt</v>
      </c>
      <c r="AI193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{"issue":{"subject":"","project_id":79,"tracker_id":40,"status_id":1,"priority_id":2,"assigned_to_id":338,"start_date":"2017-09-09","description":"","custom_fields":[{"id":1,"name":"Subdivision","value":"NW"},{"id":4,"name":"Milepost","value":"5.8952"},{"id":17,"name":"Train ID","value":"1833-09"},{"id":16,"name":"Locomotive ID","value":"4030"},{"id":130,"name":"Impact","value":""},{"id":150,"name":"Time of Event (Mountain Time)","value":"22:24:03"},{"id":151,"name":"Denver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1"/>
        <v>start /low /b %USERPROFILE%\Documents\GitHub\eaglep3\Utilities\DownloadLogsFromS3.py --loco 4030 --day 2017-09-09</v>
      </c>
      <c r="AN193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04:24:03"},{"id":29,"name":"Sharepoint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818</v>
      </c>
      <c r="B194" s="7">
        <v>4029</v>
      </c>
      <c r="C194" s="21" t="s">
        <v>197</v>
      </c>
      <c r="D194" s="21" t="s">
        <v>888</v>
      </c>
      <c r="E194" s="13">
        <v>42987.935266203705</v>
      </c>
      <c r="F194" s="13">
        <v>42987.940486111111</v>
      </c>
      <c r="G194" s="7">
        <v>97</v>
      </c>
      <c r="H194" s="21" t="s">
        <v>902</v>
      </c>
      <c r="I194" s="13">
        <v>42987.954814814817</v>
      </c>
      <c r="J194" s="7">
        <v>0</v>
      </c>
      <c r="K194" s="89" t="str">
        <f t="shared" si="60"/>
        <v>4029/4030</v>
      </c>
      <c r="L194" s="214" t="str">
        <f>VLOOKUP(A194,'Trips&amp;Operators'!$C$1:$G$99911,5,FALSE)</f>
        <v>SMITH MICHAEL</v>
      </c>
      <c r="M194" s="6">
        <f t="shared" si="61"/>
        <v>1.4328703706269152E-2</v>
      </c>
      <c r="N194" s="7">
        <f t="shared" si="89"/>
        <v>20.63333333702758</v>
      </c>
      <c r="O194" s="7"/>
      <c r="P194" s="7"/>
      <c r="Q194" s="22"/>
      <c r="R194" s="167"/>
      <c r="S194" s="210">
        <f t="shared" si="90"/>
        <v>1</v>
      </c>
      <c r="T194" s="192" t="str">
        <f t="shared" si="62"/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63"/>
        <v>https://d0f6bd738d7f1b3e5a7ca70fe4ff75f0.us-east-1.aws.found.io/app/kibana#/discover/Steve-Slow-Train-Analysis-(2080s-and-2083s)?_g=(refreshInterval:(display:Off,pause:!f,section:0,value:0),time:(from:'2017-09-09T21:26:47-0600',mode:absolute,to:'2017-09-09T23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94" t="str">
        <f>IF(AA194&lt;VLOOKUP(AG194,Variables!$AC$3:$AD$8,2,FALSE),"Y","N")</f>
        <v>N</v>
      </c>
      <c r="X194" s="194">
        <f t="shared" si="97"/>
        <v>1</v>
      </c>
      <c r="Y194" s="194">
        <f t="shared" si="95"/>
        <v>5.8638000000000003</v>
      </c>
      <c r="Z194" s="194">
        <f t="shared" si="96"/>
        <v>6.3600000000000004E-2</v>
      </c>
      <c r="AA194" s="194">
        <f t="shared" si="64"/>
        <v>5.8002000000000002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65"/>
        <v>1834</v>
      </c>
      <c r="AE194" s="77" t="str">
        <f t="shared" si="66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194" s="74" t="str">
        <f t="shared" si="67"/>
        <v>"C:\Program Files (x86)\AstroGrep\AstroGrep.exe" /e /r /s /spath="%USERPROFILE%\AppData\Local\Temp\OnboardLogs" /stypes="app*4029*20170910*" /stext=" 04:.+((SYSTEM_STATE.+slice.+state.+changed )|(ment ac)|(multiple cpu faults)|(system.+state.+changed )|(\[timeout)|(PRM\|1\|D)|(kpr)|(kdp)|(train st.+moving)|(\|lc)|(penalty))"</v>
      </c>
      <c r="AG194" s="206" t="str">
        <f t="shared" si="68"/>
        <v>NW</v>
      </c>
      <c r="AH194" s="78" t="str">
        <f t="shared" si="69"/>
        <v>"%USERPROFILE%\Documents\GitHub\eaglep3\Utilities\RefineRTDCRunTimes.py" --tripid 1834-09 --locoid 4029 --swversion DE.1.0.9.0 --startMP 300:58638 --initTime 2017-09-09T22:26:47 --startdatetime 2017-09-09T22:34:18 --delay 97 --endMP 204:636 --enddatetime 2017-09-09T22:54:56 --enforcementcount 0 &gt;&gt;C:\Users\stu\Documents\GitHub\eaglep3-reporting\EC\2017-09-09-refined-times.txt</v>
      </c>
      <c r="AI194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{"issue":{"subject":"","project_id":79,"tracker_id":40,"status_id":1,"priority_id":2,"assigned_to_id":338,"start_date":"2017-09-09","description":"","custom_fields":[{"id":1,"name":"Subdivision","value":"NW"},{"id":4,"name":"Milepost","value":"0.0636"},{"id":17,"name":"Train ID","value":"1834-09"},{"id":16,"name":"Locomotive ID","value":"4029"},{"id":130,"name":"Impact","value":""},{"id":150,"name":"Time of Event (Mountain Time)","value":"22:54:56"},{"id":151,"name":"Denver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1"/>
        <v>start /low /b %USERPROFILE%\Documents\GitHub\eaglep3\Utilities\DownloadLogsFromS3.py --loco 4029 --day 2017-09-09</v>
      </c>
      <c r="AN194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04:54:56"},{"id":29,"name":"Sharepoint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821</v>
      </c>
      <c r="B195" s="7">
        <v>4030</v>
      </c>
      <c r="C195" s="21" t="s">
        <v>197</v>
      </c>
      <c r="D195" s="21" t="s">
        <v>896</v>
      </c>
      <c r="E195" s="13">
        <v>42987.9606712963</v>
      </c>
      <c r="F195" s="13">
        <v>42987.96497685185</v>
      </c>
      <c r="G195" s="7">
        <v>67</v>
      </c>
      <c r="H195" s="21" t="s">
        <v>903</v>
      </c>
      <c r="I195" s="13">
        <v>42987.974212962959</v>
      </c>
      <c r="J195" s="7">
        <v>0</v>
      </c>
      <c r="K195" s="89" t="str">
        <f t="shared" si="60"/>
        <v>4029/4030</v>
      </c>
      <c r="L195" s="214" t="str">
        <f>VLOOKUP(A195,'Trips&amp;Operators'!$C$1:$G$99911,5,FALSE)</f>
        <v>SMITH MICHAEL</v>
      </c>
      <c r="M195" s="6">
        <f t="shared" si="61"/>
        <v>9.2361111092031933E-3</v>
      </c>
      <c r="N195" s="7">
        <f t="shared" si="89"/>
        <v>13.299999997252598</v>
      </c>
      <c r="O195" s="7"/>
      <c r="P195" s="7"/>
      <c r="Q195" s="22"/>
      <c r="R195" s="167"/>
      <c r="S195" s="210">
        <f t="shared" si="90"/>
        <v>1</v>
      </c>
      <c r="T195" s="192" t="str">
        <f t="shared" si="62"/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63"/>
        <v>https://d0f6bd738d7f1b3e5a7ca70fe4ff75f0.us-east-1.aws.found.io/app/kibana#/discover/Steve-Slow-Train-Analysis-(2080s-and-2083s)?_g=(refreshInterval:(display:Off,pause:!f,section:0,value:0),time:(from:'2017-09-09T22:03:22-0600',mode:absolute,to:'2017-09-10T00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194" t="str">
        <f>IF(AA195&lt;VLOOKUP(AG195,Variables!$AC$3:$AD$8,2,FALSE),"Y","N")</f>
        <v>N</v>
      </c>
      <c r="X195" s="194">
        <f t="shared" si="97"/>
        <v>1</v>
      </c>
      <c r="Y195" s="194">
        <f t="shared" si="95"/>
        <v>9.4799999999999995E-2</v>
      </c>
      <c r="Z195" s="194">
        <f t="shared" si="96"/>
        <v>5.9010999999999996</v>
      </c>
      <c r="AA195" s="194">
        <f t="shared" si="64"/>
        <v>5.8062999999999994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65"/>
        <v>1835</v>
      </c>
      <c r="AE195" s="77" t="str">
        <f t="shared" si="66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195" s="74" t="str">
        <f t="shared" si="67"/>
        <v>"C:\Program Files (x86)\AstroGrep\AstroGrep.exe" /e /r /s /spath="%USERPROFILE%\AppData\Local\Temp\OnboardLogs" /stypes="app*4030*20170910*" /stext=" 05:.+((SYSTEM_STATE.+slice.+state.+changed )|(ment ac)|(multiple cpu faults)|(system.+state.+changed )|(\[timeout)|(PRM\|1\|D)|(kpr)|(kdp)|(train st.+moving)|(\|lc)|(penalty))"</v>
      </c>
      <c r="AG195" s="206" t="str">
        <f t="shared" si="68"/>
        <v>NW</v>
      </c>
      <c r="AH195" s="78" t="str">
        <f t="shared" si="69"/>
        <v>"%USERPROFILE%\Documents\GitHub\eaglep3\Utilities\RefineRTDCRunTimes.py" --tripid 1835-09 --locoid 4030 --swversion DE.1.0.9.0 --startMP 204:948 --initTime 2017-09-09T23:03:22 --startdatetime 2017-09-09T23:09:34 --delay 67 --endMP 300:59011 --enddatetime 2017-09-09T23:22:52 --enforcementcount 0 &gt;&gt;C:\Users\stu\Documents\GitHub\eaglep3-reporting\EC\2017-09-09-refined-times.txt</v>
      </c>
      <c r="AI195" s="96" t="str">
        <f t="shared" si="70"/>
        <v>echo {"issue":{"subject":"","project_id":79,"tracker_id":40,"status_id":1,"priority_id":2,"assigned_to_id":338,"start_date":"2017-09-09","description":"","custom_fields":[{"id":1,"name":"Subdivision","value":"NW"},{"id":4,"name":"Milepost","value":"5.9011"},{"id":17,"name":"Train ID","value":"1835-09"},{"id":16,"name":"Locomotive ID","value":"4030"},{"id":130,"name":"Impact","value":""},{"id":150,"name":"Time of Event (Mountain Time)","value":"23:22:52"},{"id":151,"name":"Denver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1"/>
        <v>start /low /b %USERPROFILE%\Documents\GitHub\eaglep3\Utilities\DownloadLogsFromS3.py --loco 4030 --day 2017-09-09</v>
      </c>
      <c r="AN195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05:22:52"},{"id":29,"name":"Sharepoint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644</v>
      </c>
      <c r="B196" s="7">
        <v>4053</v>
      </c>
      <c r="C196" s="21" t="s">
        <v>197</v>
      </c>
      <c r="D196" s="21" t="s">
        <v>936</v>
      </c>
      <c r="E196" s="13">
        <v>42987.119317129633</v>
      </c>
      <c r="F196" s="13">
        <v>42987.123437499999</v>
      </c>
      <c r="G196" s="7">
        <v>69</v>
      </c>
      <c r="H196" s="21" t="s">
        <v>595</v>
      </c>
      <c r="I196" s="13">
        <v>42987.128831018519</v>
      </c>
      <c r="J196" s="7">
        <v>0</v>
      </c>
      <c r="K196" s="89" t="str">
        <f t="shared" si="60"/>
        <v>4053/4054</v>
      </c>
      <c r="L196" s="214" t="str">
        <f>VLOOKUP(A196,'Trips&amp;Operators'!$C$1:$G$99911,5,FALSE)</f>
        <v>DE LA ROSA ALEX</v>
      </c>
      <c r="M196" s="6">
        <f t="shared" si="61"/>
        <v>5.393518520577345E-3</v>
      </c>
      <c r="N196" s="7">
        <f t="shared" si="89"/>
        <v>7.7666666696313769</v>
      </c>
      <c r="O196" s="7"/>
      <c r="P196" s="7"/>
      <c r="Q196" s="22"/>
      <c r="R196" s="167"/>
      <c r="S196" s="210">
        <f t="shared" si="90"/>
        <v>1</v>
      </c>
      <c r="T196" s="192" t="str">
        <f t="shared" si="62"/>
        <v>Southbound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63"/>
        <v>https://d0f6bd738d7f1b3e5a7ca70fe4ff75f0.us-east-1.aws.found.io/app/kibana#/discover/Steve-Slow-Train-Analysis-(2080s-and-2083s)?_g=(refreshInterval:(display:Off,pause:!f,section:0,value:0),time:(from:'2017-09-09T01:51:49-0600',mode:absolute,to:'2017-09-09T04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94" t="str">
        <f>IF(AA196&lt;VLOOKUP(AG196,Variables!$AC$3:$AD$8,2,FALSE),"Y","N")</f>
        <v>Y</v>
      </c>
      <c r="X196" s="194">
        <f t="shared" si="97"/>
        <v>-1535</v>
      </c>
      <c r="Y196" s="194">
        <f t="shared" si="95"/>
        <v>2.1972999999999998</v>
      </c>
      <c r="Z196" s="194">
        <f t="shared" si="96"/>
        <v>1.6500000000000001E-2</v>
      </c>
      <c r="AA196" s="194">
        <f t="shared" si="64"/>
        <v>2.1807999999999996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65"/>
        <v>300</v>
      </c>
      <c r="AE196" s="77" t="str">
        <f t="shared" si="66"/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AF196" s="74" t="str">
        <f t="shared" si="67"/>
        <v>"C:\Program Files (x86)\AstroGrep\AstroGrep.exe" /e /r /s /spath="%USERPROFILE%\AppData\Local\Temp\OnboardLogs" /stypes="app*4053*20170909*" /stext=" 09:.+((SYSTEM_STATE.+slice.+state.+changed )|(ment ac)|(multiple cpu faults)|(system.+state.+changed )|(\[timeout)|(PRM\|1\|D)|(kpr)|(kdp)|(train st.+moving)|(\|lc)|(penalty))"</v>
      </c>
      <c r="AG196" s="206" t="str">
        <f t="shared" si="68"/>
        <v>Other</v>
      </c>
      <c r="AH196" s="78" t="str">
        <f t="shared" si="69"/>
        <v>"%USERPROFILE%\Documents\GitHub\eaglep3\Utilities\RefineRTDCRunTimes.py" --tripid 300-09 --locoid 4053 --swversion DE.1.0.9.0 --startMP 300:21973 --initTime 2017-09-09T02:51:49 --startdatetime 2017-09-09T02:57:45 --delay 69 --endMP 204:165 --enddatetime 2017-09-09T03:05:31 --enforcementcount 0 &gt;&gt;C:\Users\stu\Documents\GitHub\eaglep3-reporting\EC\2017-09-09-refined-times.txt</v>
      </c>
      <c r="AI196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{"issue":{"subject":"","project_id":79,"tracker_id":40,"status_id":1,"priority_id":2,"assigned_to_id":338,"start_date":"2017-09-09","description":"","custom_fields":[{"id":1,"name":"Subdivision","value":"Other"},{"id":4,"name":"Milepost","value":"0.0165"},{"id":17,"name":"Train ID","value":"300-09"},{"id":16,"name":"Locomotive ID","value":"4053"},{"id":130,"name":"Impact","value":""},{"id":150,"name":"Time of Event (Mountain Time)","value":"03:05:31"},{"id":151,"name":"Denver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1"/>
        <v>start /low /b %USERPROFILE%\Documents\GitHub\eaglep3\Utilities\DownloadLogsFromS3.py --loco 4053 --day 2017-09-09</v>
      </c>
      <c r="AN196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09:05:31"},{"id":29,"name":"Sharepoint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794</v>
      </c>
      <c r="B197" s="7">
        <v>4058</v>
      </c>
      <c r="C197" s="21" t="s">
        <v>197</v>
      </c>
      <c r="D197" s="21" t="s">
        <v>337</v>
      </c>
      <c r="E197" s="13">
        <v>42987.776412037034</v>
      </c>
      <c r="F197" s="13">
        <v>42987.778645833336</v>
      </c>
      <c r="G197" s="7">
        <v>74</v>
      </c>
      <c r="H197" s="21" t="s">
        <v>937</v>
      </c>
      <c r="I197" s="13">
        <v>42987.786435185182</v>
      </c>
      <c r="J197" s="7">
        <v>0</v>
      </c>
      <c r="K197" s="89" t="str">
        <f t="shared" si="60"/>
        <v>4057/4058</v>
      </c>
      <c r="L197" s="214" t="str">
        <f>VLOOKUP(A197,'Trips&amp;Operators'!$C$1:$G$99911,5,FALSE)</f>
        <v>GUZMAN DANNY</v>
      </c>
      <c r="M197" s="6">
        <f t="shared" si="61"/>
        <v>7.7893518464406952E-3</v>
      </c>
      <c r="N197" s="7">
        <f t="shared" si="89"/>
        <v>11.216666658874601</v>
      </c>
      <c r="O197" s="7"/>
      <c r="P197" s="7"/>
      <c r="Q197" s="22"/>
      <c r="R197" s="167"/>
      <c r="S197" s="210">
        <f t="shared" si="90"/>
        <v>1</v>
      </c>
      <c r="T197" s="192" t="str">
        <f t="shared" si="62"/>
        <v>NorthBound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63"/>
        <v>https://d0f6bd738d7f1b3e5a7ca70fe4ff75f0.us-east-1.aws.found.io/app/kibana#/discover/Steve-Slow-Train-Analysis-(2080s-and-2083s)?_g=(refreshInterval:(display:Off,pause:!f,section:0,value:0),time:(from:'2017-09-09T17:38:02-0600',mode:absolute,to:'2017-09-09T19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7" s="194" t="str">
        <f>IF(AA197&lt;VLOOKUP(AG197,Variables!$AC$3:$AD$8,2,FALSE),"Y","N")</f>
        <v>Y</v>
      </c>
      <c r="X197" s="194">
        <f t="shared" si="97"/>
        <v>1</v>
      </c>
      <c r="Y197" s="194">
        <f t="shared" si="95"/>
        <v>4.4600000000000001E-2</v>
      </c>
      <c r="Z197" s="194">
        <f t="shared" si="96"/>
        <v>2.331</v>
      </c>
      <c r="AA197" s="194">
        <f t="shared" si="64"/>
        <v>2.2864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65"/>
        <v>301</v>
      </c>
      <c r="AE197" s="77" t="str">
        <f t="shared" si="66"/>
        <v>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 &amp; aws s3 cp s3://rtdc.mdm.uploadarchive.raw/RTDC4058/ "%USERPROFILE%\AppData\Local\Temp\OnboardLogs"\RTDC4058\2017-09-10 --exclude "*" --recursive --include "*20170910*" &amp; "%USERPROFILE%\Documents\GitHub\mrs-test-scripts\Headless Mode &amp; Sideloading\WalkAndUnGZ.bat" "%USERPROFILE%\AppData\Local\Temp\OnboardLogs"\RTDC4058\2017-09-10</v>
      </c>
      <c r="AF197" s="74" t="str">
        <f t="shared" si="67"/>
        <v>"C:\Program Files (x86)\AstroGrep\AstroGrep.exe" /e /r /s /spath="%USERPROFILE%\AppData\Local\Temp\OnboardLogs" /stypes="app*4058*20170910*" /stext=" 00:.+((SYSTEM_STATE.+slice.+state.+changed )|(ment ac)|(multiple cpu faults)|(system.+state.+changed )|(\[timeout)|(PRM\|1\|D)|(kpr)|(kdp)|(train st.+moving)|(\|lc)|(penalty))"</v>
      </c>
      <c r="AG197" s="206" t="str">
        <f t="shared" si="68"/>
        <v>Other</v>
      </c>
      <c r="AH197" s="78" t="str">
        <f t="shared" si="69"/>
        <v>"%USERPROFILE%\Documents\GitHub\eaglep3\Utilities\RefineRTDCRunTimes.py" --tripid 301-09 --locoid 4058 --swversion DE.1.0.9.0 --startMP 204:446 --initTime 2017-09-09T18:38:02 --startdatetime 2017-09-09T18:41:15 --delay 74 --endMP 300:23310 --enddatetime 2017-09-09T18:52:28 --enforcementcount 0 &gt;&gt;C:\Users\stu\Documents\GitHub\eaglep3-reporting\EC\2017-09-09-refined-times.txt</v>
      </c>
      <c r="AI197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{"issue":{"subject":"","project_id":79,"tracker_id":40,"status_id":1,"priority_id":2,"assigned_to_id":338,"start_date":"2017-09-09","description":"","custom_fields":[{"id":1,"name":"Subdivision","value":"Other"},{"id":4,"name":"Milepost","value":"2.331"},{"id":17,"name":"Train ID","value":"301-09"},{"id":16,"name":"Locomotive ID","value":"4058"},{"id":130,"name":"Impact","value":""},{"id":150,"name":"Time of Event (Mountain Time)","value":"18:52:28"},{"id":151,"name":"Denver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1"/>
        <v>start /low /b %USERPROFILE%\Documents\GitHub\eaglep3\Utilities\DownloadLogsFromS3.py --loco 4058 --day 2017-09-09</v>
      </c>
      <c r="AN19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647</v>
      </c>
      <c r="B198" s="7">
        <v>4043</v>
      </c>
      <c r="C198" s="21" t="s">
        <v>197</v>
      </c>
      <c r="D198" s="21" t="s">
        <v>938</v>
      </c>
      <c r="E198" s="13">
        <v>42987.137314814812</v>
      </c>
      <c r="F198" s="13">
        <v>42987.141516203701</v>
      </c>
      <c r="G198" s="7">
        <v>57</v>
      </c>
      <c r="H198" s="21" t="s">
        <v>501</v>
      </c>
      <c r="I198" s="13">
        <v>42987.146354166667</v>
      </c>
      <c r="J198" s="7">
        <v>0</v>
      </c>
      <c r="K198" s="89" t="str">
        <f t="shared" si="60"/>
        <v>4043/4044</v>
      </c>
      <c r="L198" s="214" t="str">
        <f>VLOOKUP(A198,'Trips&amp;Operators'!$C$1:$G$99911,5,FALSE)</f>
        <v>MAELZER KURT</v>
      </c>
      <c r="M198" s="6">
        <f t="shared" si="61"/>
        <v>4.8379629661212675E-3</v>
      </c>
      <c r="N198" s="7">
        <f t="shared" si="89"/>
        <v>6.9666666712146252</v>
      </c>
      <c r="O198" s="7"/>
      <c r="P198" s="7"/>
      <c r="Q198" s="22"/>
      <c r="R198" s="167"/>
      <c r="S198" s="210">
        <f t="shared" si="90"/>
        <v>1</v>
      </c>
      <c r="T198" s="192" t="str">
        <f t="shared" si="62"/>
        <v>Southbound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63"/>
        <v>https://d0f6bd738d7f1b3e5a7ca70fe4ff75f0.us-east-1.aws.found.io/app/kibana#/discover/Steve-Slow-Train-Analysis-(2080s-and-2083s)?_g=(refreshInterval:(display:Off,pause:!f,section:0,value:0),time:(from:'2017-09-09T02:17:44-0600',mode:absolute,to:'2017-09-09T04:30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94" t="str">
        <f>IF(AA198&lt;VLOOKUP(AG198,Variables!$AC$3:$AD$8,2,FALSE),"Y","N")</f>
        <v>Y</v>
      </c>
      <c r="X198" s="194">
        <f t="shared" si="97"/>
        <v>1</v>
      </c>
      <c r="Y198" s="194">
        <f t="shared" si="95"/>
        <v>1.8932</v>
      </c>
      <c r="Z198" s="194">
        <f t="shared" si="96"/>
        <v>1.3599999999999999E-2</v>
      </c>
      <c r="AA198" s="194">
        <f t="shared" si="64"/>
        <v>1.8795999999999999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65"/>
        <v>302</v>
      </c>
      <c r="AE198" s="77" t="str">
        <f t="shared" si="66"/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AF198" s="74" t="str">
        <f t="shared" si="67"/>
        <v>"C:\Program Files (x86)\AstroGrep\AstroGrep.exe" /e /r /s /spath="%USERPROFILE%\AppData\Local\Temp\OnboardLogs" /stypes="app*4043*20170909*" /stext=" 09:.+((SYSTEM_STATE.+slice.+state.+changed )|(ment ac)|(multiple cpu faults)|(system.+state.+changed )|(\[timeout)|(PRM\|1\|D)|(kpr)|(kdp)|(train st.+moving)|(\|lc)|(penalty))"</v>
      </c>
      <c r="AG198" s="206" t="str">
        <f t="shared" si="68"/>
        <v>Other</v>
      </c>
      <c r="AH198" s="78" t="str">
        <f t="shared" si="69"/>
        <v>"%USERPROFILE%\Documents\GitHub\eaglep3\Utilities\RefineRTDCRunTimes.py" --tripid 302-09 --locoid 4043 --swversion DE.1.0.9.0 --startMP 300:18932 --initTime 2017-09-09T03:17:44 --startdatetime 2017-09-09T03:23:47 --delay 57 --endMP 204:136 --enddatetime 2017-09-09T03:30:45 --enforcementcount 0 &gt;&gt;C:\Users\stu\Documents\GitHub\eaglep3-reporting\EC\2017-09-09-refined-times.txt</v>
      </c>
      <c r="AI198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{"issue":{"subject":"","project_id":79,"tracker_id":40,"status_id":1,"priority_id":2,"assigned_to_id":338,"start_date":"2017-09-09","description":"","custom_fields":[{"id":1,"name":"Subdivision","value":"Other"},{"id":4,"name":"Milepost","value":"0.0136"},{"id":17,"name":"Train ID","value":"302-09"},{"id":16,"name":"Locomotive ID","value":"4043"},{"id":130,"name":"Impact","value":""},{"id":150,"name":"Time of Event (Mountain Time)","value":"03:30:45"},{"id":151,"name":"Denver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1"/>
        <v>start /low /b %USERPROFILE%\Documents\GitHub\eaglep3\Utilities\DownloadLogsFromS3.py --loco 4043 --day 2017-09-09</v>
      </c>
      <c r="AN198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09:30:45"},{"id":29,"name":"Sharepoint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799</v>
      </c>
      <c r="B199" s="7">
        <v>4010</v>
      </c>
      <c r="C199" s="21" t="s">
        <v>197</v>
      </c>
      <c r="D199" s="21" t="s">
        <v>394</v>
      </c>
      <c r="E199" s="13">
        <v>42987.799560185187</v>
      </c>
      <c r="F199" s="13">
        <v>42987.801342592589</v>
      </c>
      <c r="G199" s="7">
        <v>50</v>
      </c>
      <c r="H199" s="21" t="s">
        <v>507</v>
      </c>
      <c r="I199" s="13">
        <v>42987.808206018519</v>
      </c>
      <c r="J199" s="7">
        <v>0</v>
      </c>
      <c r="K199" s="89" t="str">
        <f t="shared" si="60"/>
        <v>4009/4010</v>
      </c>
      <c r="L199" s="214" t="str">
        <f>VLOOKUP(A199,'Trips&amp;Operators'!$C$1:$G$99911,5,FALSE)</f>
        <v>DAVIDSON DAVID</v>
      </c>
      <c r="M199" s="6">
        <f t="shared" si="61"/>
        <v>6.8634259296231903E-3</v>
      </c>
      <c r="N199" s="7">
        <f t="shared" si="89"/>
        <v>9.8833333386573941</v>
      </c>
      <c r="O199" s="7"/>
      <c r="P199" s="7"/>
      <c r="Q199" s="22"/>
      <c r="R199" s="167"/>
      <c r="S199" s="210">
        <f t="shared" si="90"/>
        <v>1</v>
      </c>
      <c r="T199" s="192" t="str">
        <f t="shared" si="62"/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63"/>
        <v>https://d0f6bd738d7f1b3e5a7ca70fe4ff75f0.us-east-1.aws.found.io/app/kibana#/discover/Steve-Slow-Train-Analysis-(2080s-and-2083s)?_g=(refreshInterval:(display:Off,pause:!f,section:0,value:0),time:(from:'2017-09-09T18:11:22-0600',mode:absolute,to:'2017-09-09T20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9" s="194" t="str">
        <f>IF(AA199&lt;VLOOKUP(AG199,Variables!$AC$3:$AD$8,2,FALSE),"Y","N")</f>
        <v>Y</v>
      </c>
      <c r="X199" s="194">
        <f t="shared" si="97"/>
        <v>1</v>
      </c>
      <c r="Y199" s="194">
        <f t="shared" si="95"/>
        <v>4.5999999999999999E-2</v>
      </c>
      <c r="Z199" s="194">
        <f t="shared" si="96"/>
        <v>2.3298999999999999</v>
      </c>
      <c r="AA199" s="194">
        <f t="shared" si="64"/>
        <v>2.2839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65"/>
        <v>303</v>
      </c>
      <c r="AE199" s="77" t="str">
        <f t="shared" si="66"/>
        <v>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 &amp; 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</v>
      </c>
      <c r="AF199" s="74" t="str">
        <f t="shared" si="67"/>
        <v>"C:\Program Files (x86)\AstroGrep\AstroGrep.exe" /e /r /s /spath="%USERPROFILE%\AppData\Local\Temp\OnboardLogs" /stypes="app*4010*20170910*" /stext=" 01:.+((SYSTEM_STATE.+slice.+state.+changed )|(ment ac)|(multiple cpu faults)|(system.+state.+changed )|(\[timeout)|(PRM\|1\|D)|(kpr)|(kdp)|(train st.+moving)|(\|lc)|(penalty))"</v>
      </c>
      <c r="AG199" s="206" t="str">
        <f t="shared" si="68"/>
        <v>Other</v>
      </c>
      <c r="AH199" s="78" t="str">
        <f t="shared" si="69"/>
        <v>"%USERPROFILE%\Documents\GitHub\eaglep3\Utilities\RefineRTDCRunTimes.py" --tripid 303-09 --locoid 4010 --swversion DE.1.0.9.0 --startMP 204:460 --initTime 2017-09-09T19:11:22 --startdatetime 2017-09-09T19:13:56 --delay 50 --endMP 300:23299 --enddatetime 2017-09-09T19:23:49 --enforcementcount 0 &gt;&gt;C:\Users\stu\Documents\GitHub\eaglep3-reporting\EC\2017-09-09-refined-times.txt</v>
      </c>
      <c r="AI199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{"issue":{"subject":"","project_id":79,"tracker_id":40,"status_id":1,"priority_id":2,"assigned_to_id":338,"start_date":"2017-09-09","description":"","custom_fields":[{"id":1,"name":"Subdivision","value":"Other"},{"id":4,"name":"Milepost","value":"2.3299"},{"id":17,"name":"Train ID","value":"303-09"},{"id":16,"name":"Locomotive ID","value":"4010"},{"id":130,"name":"Impact","value":""},{"id":150,"name":"Time of Event (Mountain Time)","value":"19:23:49"},{"id":151,"name":"Denver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1"/>
        <v>start /low /b %USERPROFILE%\Documents\GitHub\eaglep3\Utilities\DownloadLogsFromS3.py --loco 4010 --day 2017-09-09</v>
      </c>
      <c r="AN19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651</v>
      </c>
      <c r="B200" s="7">
        <v>4049</v>
      </c>
      <c r="C200" s="21" t="s">
        <v>197</v>
      </c>
      <c r="D200" s="21" t="s">
        <v>939</v>
      </c>
      <c r="E200" s="13">
        <v>42987.159421296295</v>
      </c>
      <c r="F200" s="13">
        <v>42987.163877314815</v>
      </c>
      <c r="G200" s="7">
        <v>163</v>
      </c>
      <c r="H200" s="21" t="s">
        <v>340</v>
      </c>
      <c r="I200" s="13">
        <v>42987.169224537036</v>
      </c>
      <c r="J200" s="7">
        <v>0</v>
      </c>
      <c r="K200" s="89" t="str">
        <f t="shared" si="60"/>
        <v>4049/4050</v>
      </c>
      <c r="L200" s="214" t="str">
        <f>VLOOKUP(A200,'Trips&amp;Operators'!$C$1:$G$99911,5,FALSE)</f>
        <v>DAVIS WENDY</v>
      </c>
      <c r="M200" s="6">
        <f t="shared" si="61"/>
        <v>5.3472222207346931E-3</v>
      </c>
      <c r="N200" s="7">
        <f t="shared" si="89"/>
        <v>7.6999999978579581</v>
      </c>
      <c r="O200" s="7"/>
      <c r="P200" s="7"/>
      <c r="Q200" s="22"/>
      <c r="R200" s="167"/>
      <c r="S200" s="210">
        <f t="shared" si="90"/>
        <v>1</v>
      </c>
      <c r="T200" s="192" t="str">
        <f t="shared" si="62"/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63"/>
        <v>https://d0f6bd738d7f1b3e5a7ca70fe4ff75f0.us-east-1.aws.found.io/app/kibana#/discover/Steve-Slow-Train-Analysis-(2080s-and-2083s)?_g=(refreshInterval:(display:Off,pause:!f,section:0,value:0),time:(from:'2017-09-09T02:49:34-0600',mode:absolute,to:'2017-09-09T05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194" t="str">
        <f>IF(AA200&lt;VLOOKUP(AG200,Variables!$AC$3:$AD$8,2,FALSE),"Y","N")</f>
        <v>Y</v>
      </c>
      <c r="X200" s="194">
        <f t="shared" si="97"/>
        <v>1</v>
      </c>
      <c r="Y200" s="194">
        <f t="shared" si="95"/>
        <v>2.1776</v>
      </c>
      <c r="Z200" s="194">
        <f t="shared" si="96"/>
        <v>1.43E-2</v>
      </c>
      <c r="AA200" s="194">
        <f t="shared" si="64"/>
        <v>2.1633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65"/>
        <v>304</v>
      </c>
      <c r="AE200" s="77" t="str">
        <f t="shared" si="66"/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AF200" s="74" t="str">
        <f t="shared" si="67"/>
        <v>"C:\Program Files (x86)\AstroGrep\AstroGrep.exe" /e /r /s /spath="%USERPROFILE%\AppData\Local\Temp\OnboardLogs" /stypes="app*4049*20170909*" /stext=" 10:.+((SYSTEM_STATE.+slice.+state.+changed )|(ment ac)|(multiple cpu faults)|(system.+state.+changed )|(\[timeout)|(PRM\|1\|D)|(kpr)|(kdp)|(train st.+moving)|(\|lc)|(penalty))"</v>
      </c>
      <c r="AG200" s="206" t="str">
        <f t="shared" si="68"/>
        <v>Other</v>
      </c>
      <c r="AH200" s="78" t="str">
        <f t="shared" si="69"/>
        <v>"%USERPROFILE%\Documents\GitHub\eaglep3\Utilities\RefineRTDCRunTimes.py" --tripid 304-09 --locoid 4049 --swversion DE.1.0.9.0 --startMP 300:21776 --initTime 2017-09-09T03:49:34 --startdatetime 2017-09-09T03:55:59 --delay 163 --endMP 204:143 --enddatetime 2017-09-09T04:03:41 --enforcementcount 0 &gt;&gt;C:\Users\stu\Documents\GitHub\eaglep3-reporting\EC\2017-09-09-refined-times.txt</v>
      </c>
      <c r="AI200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{"issue":{"subject":"","project_id":79,"tracker_id":40,"status_id":1,"priority_id":2,"assigned_to_id":338,"start_date":"2017-09-09","description":"","custom_fields":[{"id":1,"name":"Subdivision","value":"Other"},{"id":4,"name":"Milepost","value":"0.0143"},{"id":17,"name":"Train ID","value":"304-09"},{"id":16,"name":"Locomotive ID","value":"4049"},{"id":130,"name":"Impact","value":""},{"id":150,"name":"Time of Event (Mountain Time)","value":"04:03:41"},{"id":151,"name":"Denver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1"/>
        <v>start /low /b %USERPROFILE%\Documents\GitHub\eaglep3\Utilities\DownloadLogsFromS3.py --loco 4049 --day 2017-09-09</v>
      </c>
      <c r="AN200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637</v>
      </c>
      <c r="B201" s="7">
        <v>4046</v>
      </c>
      <c r="C201" s="21" t="s">
        <v>197</v>
      </c>
      <c r="D201" s="21" t="s">
        <v>527</v>
      </c>
      <c r="E201" s="13">
        <v>42987.818599537037</v>
      </c>
      <c r="F201" s="13">
        <v>42987.820289351854</v>
      </c>
      <c r="G201" s="7">
        <v>46</v>
      </c>
      <c r="H201" s="21" t="s">
        <v>940</v>
      </c>
      <c r="I201" s="13">
        <v>42987.826469907406</v>
      </c>
      <c r="J201" s="7">
        <v>0</v>
      </c>
      <c r="K201" s="89" t="str">
        <f t="shared" si="60"/>
        <v>4045/4046</v>
      </c>
      <c r="L201" s="214" t="str">
        <f>VLOOKUP(A201,'Trips&amp;Operators'!$C$1:$G$99911,5,FALSE)</f>
        <v>HOLCOMB KAMDEN</v>
      </c>
      <c r="M201" s="6">
        <f t="shared" si="61"/>
        <v>6.1805555524188094E-3</v>
      </c>
      <c r="N201" s="7">
        <f t="shared" si="89"/>
        <v>8.8999999954830855</v>
      </c>
      <c r="O201" s="7"/>
      <c r="P201" s="7"/>
      <c r="Q201" s="22"/>
      <c r="R201" s="167"/>
      <c r="S201" s="210">
        <f t="shared" si="90"/>
        <v>1</v>
      </c>
      <c r="T201" s="192" t="str">
        <f t="shared" si="62"/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63"/>
        <v>https://d0f6bd738d7f1b3e5a7ca70fe4ff75f0.us-east-1.aws.found.io/app/kibana#/discover/Steve-Slow-Train-Analysis-(2080s-and-2083s)?_g=(refreshInterval:(display:Off,pause:!f,section:0,value:0),time:(from:'2017-09-09T18:38:47-0600',mode:absolute,to:'2017-09-09T20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1" s="194" t="str">
        <f>IF(AA201&lt;VLOOKUP(AG201,Variables!$AC$3:$AD$8,2,FALSE),"Y","N")</f>
        <v>Y</v>
      </c>
      <c r="X201" s="194">
        <f t="shared" si="97"/>
        <v>1</v>
      </c>
      <c r="Y201" s="194">
        <f t="shared" si="95"/>
        <v>4.5100000000000001E-2</v>
      </c>
      <c r="Z201" s="194">
        <f t="shared" si="96"/>
        <v>2.2210000000000001</v>
      </c>
      <c r="AA201" s="194">
        <f t="shared" si="64"/>
        <v>2.1758999999999999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65"/>
        <v>305</v>
      </c>
      <c r="AE201" s="77" t="str">
        <f t="shared" si="66"/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AF201" s="74" t="str">
        <f t="shared" si="67"/>
        <v>"C:\Program Files (x86)\AstroGrep\AstroGrep.exe" /e /r /s /spath="%USERPROFILE%\AppData\Local\Temp\OnboardLogs" /stypes="app*4046*20170910*" /stext=" 01:.+((SYSTEM_STATE.+slice.+state.+changed )|(ment ac)|(multiple cpu faults)|(system.+state.+changed )|(\[timeout)|(PRM\|1\|D)|(kpr)|(kdp)|(train st.+moving)|(\|lc)|(penalty))"</v>
      </c>
      <c r="AG201" s="206" t="str">
        <f t="shared" si="68"/>
        <v>Other</v>
      </c>
      <c r="AH201" s="78" t="str">
        <f t="shared" si="69"/>
        <v>"%USERPROFILE%\Documents\GitHub\eaglep3\Utilities\RefineRTDCRunTimes.py" --tripid 305-09 --locoid 4046 --swversion DE.1.0.9.0 --startMP 204:451 --initTime 2017-09-09T19:38:47 --startdatetime 2017-09-09T19:41:13 --delay 46 --endMP 300:22210 --enddatetime 2017-09-09T19:50:07 --enforcementcount 0 &gt;&gt;C:\Users\stu\Documents\GitHub\eaglep3-reporting\EC\2017-09-09-refined-times.txt</v>
      </c>
      <c r="AI201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{"issue":{"subject":"","project_id":79,"tracker_id":40,"status_id":1,"priority_id":2,"assigned_to_id":338,"start_date":"2017-09-09","description":"","custom_fields":[{"id":1,"name":"Subdivision","value":"Other"},{"id":4,"name":"Milepost","value":"2.221"},{"id":17,"name":"Train ID","value":"305-09"},{"id":16,"name":"Locomotive ID","value":"4046"},{"id":130,"name":"Impact","value":""},{"id":150,"name":"Time of Event (Mountain Time)","value":"19:50:07"},{"id":151,"name":"Denver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1"/>
        <v>start /low /b %USERPROFILE%\Documents\GitHub\eaglep3\Utilities\DownloadLogsFromS3.py --loco 4046 --day 2017-09-09</v>
      </c>
      <c r="AN201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01:50:07"},{"id":29,"name":"Sharepoint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654</v>
      </c>
      <c r="B202" s="7">
        <v>4025</v>
      </c>
      <c r="C202" s="21" t="s">
        <v>197</v>
      </c>
      <c r="D202" s="21" t="s">
        <v>941</v>
      </c>
      <c r="E202" s="13">
        <v>42987.174293981479</v>
      </c>
      <c r="F202" s="13">
        <v>42987.176631944443</v>
      </c>
      <c r="G202" s="7">
        <v>53</v>
      </c>
      <c r="H202" s="21" t="s">
        <v>368</v>
      </c>
      <c r="I202" s="13">
        <v>42987.181643518517</v>
      </c>
      <c r="J202" s="7">
        <v>0</v>
      </c>
      <c r="K202" s="89" t="str">
        <f t="shared" si="60"/>
        <v>4025/4026</v>
      </c>
      <c r="L202" s="214" t="str">
        <f>VLOOKUP(A202,'Trips&amp;Operators'!$C$1:$G$99911,5,FALSE)</f>
        <v>GEBRETEKLE DAGNEW</v>
      </c>
      <c r="M202" s="6">
        <f t="shared" si="61"/>
        <v>5.0115740741603076E-3</v>
      </c>
      <c r="N202" s="7">
        <f t="shared" si="89"/>
        <v>7.216666666790843</v>
      </c>
      <c r="O202" s="7"/>
      <c r="P202" s="7"/>
      <c r="Q202" s="22"/>
      <c r="R202" s="167"/>
      <c r="S202" s="210">
        <f t="shared" si="90"/>
        <v>1</v>
      </c>
      <c r="T202" s="192" t="str">
        <f t="shared" si="62"/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63"/>
        <v>https://d0f6bd738d7f1b3e5a7ca70fe4ff75f0.us-east-1.aws.found.io/app/kibana#/discover/Steve-Slow-Train-Analysis-(2080s-and-2083s)?_g=(refreshInterval:(display:Off,pause:!f,section:0,value:0),time:(from:'2017-09-09T03:10:59-0600',mode:absolute,to:'2017-09-09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94" t="str">
        <f>IF(AA202&lt;VLOOKUP(AG202,Variables!$AC$3:$AD$8,2,FALSE),"Y","N")</f>
        <v>Y</v>
      </c>
      <c r="X202" s="194">
        <f t="shared" si="97"/>
        <v>1</v>
      </c>
      <c r="Y202" s="194">
        <f t="shared" si="95"/>
        <v>2.3601000000000001</v>
      </c>
      <c r="Z202" s="194">
        <f t="shared" si="96"/>
        <v>1.4500000000000001E-2</v>
      </c>
      <c r="AA202" s="194">
        <f t="shared" si="64"/>
        <v>2.3456000000000001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65"/>
        <v>306</v>
      </c>
      <c r="AE202" s="77" t="str">
        <f t="shared" si="66"/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AF202" s="74" t="str">
        <f t="shared" si="67"/>
        <v>"C:\Program Files (x86)\AstroGrep\AstroGrep.exe" /e /r /s /spath="%USERPROFILE%\AppData\Local\Temp\OnboardLogs" /stypes="app*4025*20170909*" /stext=" 10:.+((SYSTEM_STATE.+slice.+state.+changed )|(ment ac)|(multiple cpu faults)|(system.+state.+changed )|(\[timeout)|(PRM\|1\|D)|(kpr)|(kdp)|(train st.+moving)|(\|lc)|(penalty))"</v>
      </c>
      <c r="AG202" s="206" t="str">
        <f t="shared" si="68"/>
        <v>Other</v>
      </c>
      <c r="AH202" s="78" t="str">
        <f t="shared" si="69"/>
        <v>"%USERPROFILE%\Documents\GitHub\eaglep3\Utilities\RefineRTDCRunTimes.py" --tripid 306-09 --locoid 4025 --swversion DE.1.0.9.0 --startMP 300:23601 --initTime 2017-09-09T04:10:59 --startdatetime 2017-09-09T04:14:21 --delay 53 --endMP 204:145 --enddatetime 2017-09-09T04:21:34 --enforcementcount 0 &gt;&gt;C:\Users\stu\Documents\GitHub\eaglep3-reporting\EC\2017-09-09-refined-times.txt</v>
      </c>
      <c r="AI202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{"issue":{"subject":"","project_id":79,"tracker_id":40,"status_id":1,"priority_id":2,"assigned_to_id":338,"start_date":"2017-09-09","description":"","custom_fields":[{"id":1,"name":"Subdivision","value":"Other"},{"id":4,"name":"Milepost","value":"0.0145"},{"id":17,"name":"Train ID","value":"306-09"},{"id":16,"name":"Locomotive ID","value":"4025"},{"id":130,"name":"Impact","value":""},{"id":150,"name":"Time of Event (Mountain Time)","value":"04:21:34"},{"id":151,"name":"Denver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1"/>
        <v>start /low /b %USERPROFILE%\Documents\GitHub\eaglep3\Utilities\DownloadLogsFromS3.py --loco 4025 --day 2017-09-09</v>
      </c>
      <c r="AN202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657</v>
      </c>
      <c r="B203" s="7">
        <v>4057</v>
      </c>
      <c r="C203" s="21" t="s">
        <v>197</v>
      </c>
      <c r="D203" s="21" t="s">
        <v>942</v>
      </c>
      <c r="E203" s="13">
        <v>42987.179050925923</v>
      </c>
      <c r="F203" s="13">
        <v>42987.181805555556</v>
      </c>
      <c r="G203" s="7">
        <v>59</v>
      </c>
      <c r="H203" s="21" t="s">
        <v>361</v>
      </c>
      <c r="I203" s="13">
        <v>42987.190092592595</v>
      </c>
      <c r="J203" s="7">
        <v>0</v>
      </c>
      <c r="K203" s="89" t="str">
        <f t="shared" si="60"/>
        <v>4057/4058</v>
      </c>
      <c r="L203" s="214" t="str">
        <f>VLOOKUP(A203,'Trips&amp;Operators'!$C$1:$G$99911,5,FALSE)</f>
        <v>LALONDE GREGORY</v>
      </c>
      <c r="M203" s="6">
        <f t="shared" si="61"/>
        <v>8.2870370388263837E-3</v>
      </c>
      <c r="N203" s="7">
        <f t="shared" si="89"/>
        <v>11.933333335909992</v>
      </c>
      <c r="O203" s="7"/>
      <c r="P203" s="7"/>
      <c r="Q203" s="22"/>
      <c r="R203" s="167"/>
      <c r="S203" s="210">
        <f t="shared" ref="S203:S217" si="98">1/IF(AG203="EC",12,1)*SUM(U203:U203)</f>
        <v>1</v>
      </c>
      <c r="T203" s="192" t="str">
        <f t="shared" si="62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63"/>
        <v>https://d0f6bd738d7f1b3e5a7ca70fe4ff75f0.us-east-1.aws.found.io/app/kibana#/discover/Steve-Slow-Train-Analysis-(2080s-and-2083s)?_g=(refreshInterval:(display:Off,pause:!f,section:0,value:0),time:(from:'2017-09-09T03:17:50-0600',mode:absolute,to:'2017-09-09T05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3" s="194" t="str">
        <f>IF(AA203&lt;VLOOKUP(AG203,Variables!$AC$3:$AD$8,2,FALSE),"Y","N")</f>
        <v>Y</v>
      </c>
      <c r="X203" s="194">
        <f t="shared" si="97"/>
        <v>2</v>
      </c>
      <c r="Y203" s="194">
        <f t="shared" si="95"/>
        <v>2.3481000000000001</v>
      </c>
      <c r="Z203" s="194">
        <f t="shared" si="96"/>
        <v>1.52E-2</v>
      </c>
      <c r="AA203" s="194">
        <f t="shared" si="64"/>
        <v>2.3329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65"/>
        <v>308</v>
      </c>
      <c r="AE203" s="77" t="str">
        <f t="shared" si="66"/>
        <v>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 &amp; 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</v>
      </c>
      <c r="AF203" s="74" t="str">
        <f t="shared" si="67"/>
        <v>"C:\Program Files (x86)\AstroGrep\AstroGrep.exe" /e /r /s /spath="%USERPROFILE%\AppData\Local\Temp\OnboardLogs" /stypes="app*4057*20170909*" /stext=" 10:.+((SYSTEM_STATE.+slice.+state.+changed )|(ment ac)|(multiple cpu faults)|(system.+state.+changed )|(\[timeout)|(PRM\|1\|D)|(kpr)|(kdp)|(train st.+moving)|(\|lc)|(penalty))"</v>
      </c>
      <c r="AG203" s="206" t="str">
        <f t="shared" si="68"/>
        <v>Other</v>
      </c>
      <c r="AH203" s="78" t="str">
        <f t="shared" si="69"/>
        <v>"%USERPROFILE%\Documents\GitHub\eaglep3\Utilities\RefineRTDCRunTimes.py" --tripid 308-09 --locoid 4057 --swversion DE.1.0.9.0 --startMP 300:23481 --initTime 2017-09-09T04:17:50 --startdatetime 2017-09-09T04:21:48 --delay 59 --endMP 204:152 --enddatetime 2017-09-09T04:33:44 --enforcementcount 0 &gt;&gt;C:\Users\stu\Documents\GitHub\eaglep3-reporting\EC\2017-09-09-refined-times.txt</v>
      </c>
      <c r="AI203" s="96" t="str">
        <f t="shared" si="70"/>
        <v>echo {"issue":{"subject":"","project_id":79,"tracker_id":40,"status_id":1,"priority_id":2,"assigned_to_id":338,"start_date":"2017-09-09","description":"","custom_fields":[{"id":1,"name":"Subdivision","value":"Other"},{"id":4,"name":"Milepost","value":"0.0152"},{"id":17,"name":"Train ID","value":"308-09"},{"id":16,"name":"Locomotive ID","value":"4057"},{"id":130,"name":"Impact","value":""},{"id":150,"name":"Time of Event (Mountain Time)","value":"04:33:44"},{"id":151,"name":"Denver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1"/>
        <v>start /low /b %USERPROFILE%\Documents\GitHub\eaglep3\Utilities\DownloadLogsFromS3.py --loco 4057 --day 2017-09-09</v>
      </c>
      <c r="AN203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834</v>
      </c>
      <c r="B204" s="7">
        <v>4050</v>
      </c>
      <c r="C204" s="21" t="s">
        <v>197</v>
      </c>
      <c r="D204" s="21" t="s">
        <v>505</v>
      </c>
      <c r="E204" s="13">
        <v>42988.067928240744</v>
      </c>
      <c r="F204" s="13">
        <v>42988.073923611111</v>
      </c>
      <c r="G204" s="7">
        <v>445</v>
      </c>
      <c r="H204" s="21" t="s">
        <v>943</v>
      </c>
      <c r="I204" s="13">
        <v>42988.079386574071</v>
      </c>
      <c r="J204" s="7">
        <v>0</v>
      </c>
      <c r="K204" s="89" t="str">
        <f t="shared" si="60"/>
        <v>4049/4050</v>
      </c>
      <c r="L204" s="214" t="str">
        <f>VLOOKUP(A204,'Trips&amp;Operators'!$C$1:$G$99911,5,FALSE)</f>
        <v>CASSIDY BRANDON</v>
      </c>
      <c r="M204" s="6">
        <f t="shared" si="61"/>
        <v>5.4629629594273865E-3</v>
      </c>
      <c r="N204" s="7">
        <f t="shared" si="89"/>
        <v>7.8666666615754366</v>
      </c>
      <c r="O204" s="7"/>
      <c r="P204" s="7"/>
      <c r="Q204" s="22"/>
      <c r="R204" s="167"/>
      <c r="S204" s="210">
        <f t="shared" si="98"/>
        <v>1</v>
      </c>
      <c r="T204" s="192" t="str">
        <f t="shared" si="62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63"/>
        <v>https://d0f6bd738d7f1b3e5a7ca70fe4ff75f0.us-east-1.aws.found.io/app/kibana#/discover/Steve-Slow-Train-Analysis-(2080s-and-2083s)?_g=(refreshInterval:(display:Off,pause:!f,section:0,value:0),time:(from:'2017-09-10T00:37:49-0600',mode:absolute,to:'2017-09-10T02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194" t="str">
        <f>IF(AA204&lt;VLOOKUP(AG204,Variables!$AC$3:$AD$8,2,FALSE),"Y","N")</f>
        <v>Y</v>
      </c>
      <c r="X204" s="194">
        <f t="shared" si="97"/>
        <v>1</v>
      </c>
      <c r="Y204" s="194">
        <f t="shared" si="95"/>
        <v>4.6199999999999998E-2</v>
      </c>
      <c r="Z204" s="194">
        <f t="shared" si="96"/>
        <v>2.2934999999999999</v>
      </c>
      <c r="AA204" s="194">
        <f t="shared" si="64"/>
        <v>2.2473000000000001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65"/>
        <v>309</v>
      </c>
      <c r="AE204" s="77" t="str">
        <f t="shared" si="66"/>
        <v>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 &amp; 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</v>
      </c>
      <c r="AF204" s="74" t="str">
        <f t="shared" si="67"/>
        <v>"C:\Program Files (x86)\AstroGrep\AstroGrep.exe" /e /r /s /spath="%USERPROFILE%\AppData\Local\Temp\OnboardLogs" /stypes="app*4050*20170910*" /stext=" 07:.+((SYSTEM_STATE.+slice.+state.+changed )|(ment ac)|(multiple cpu faults)|(system.+state.+changed )|(\[timeout)|(PRM\|1\|D)|(kpr)|(kdp)|(train st.+moving)|(\|lc)|(penalty))"</v>
      </c>
      <c r="AG204" s="206" t="str">
        <f t="shared" si="68"/>
        <v>Other</v>
      </c>
      <c r="AH204" s="78" t="str">
        <f t="shared" si="69"/>
        <v>"%USERPROFILE%\Documents\GitHub\eaglep3\Utilities\RefineRTDCRunTimes.py" --tripid 309-09 --locoid 4050 --swversion DE.1.0.9.0 --startMP 204:462 --initTime 2017-09-10T01:37:49 --startdatetime 2017-09-10T01:46:27 --delay 445 --endMP 300:22935 --enddatetime 2017-09-10T01:54:19 --enforcementcount 0 &gt;&gt;C:\Users\stu\Documents\GitHub\eaglep3-reporting\EC\2017-09-09-refined-times.txt</v>
      </c>
      <c r="AI204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{"issue":{"subject":"","project_id":79,"tracker_id":40,"status_id":1,"priority_id":2,"assigned_to_id":338,"start_date":"2017-09-10","description":"","custom_fields":[{"id":1,"name":"Subdivision","value":"Other"},{"id":4,"name":"Milepost","value":"2.2935"},{"id":17,"name":"Train ID","value":"309-09"},{"id":16,"name":"Locomotive ID","value":"4050"},{"id":130,"name":"Impact","value":""},{"id":150,"name":"Time of Event (Mountain Time)","value":"01:54:19"},{"id":151,"name":"Denver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4050 --day 2017-09-10</v>
      </c>
      <c r="AN204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07:54:19"},{"id":29,"name":"Sharepoint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661</v>
      </c>
      <c r="B205" s="7">
        <v>4009</v>
      </c>
      <c r="C205" s="21" t="s">
        <v>197</v>
      </c>
      <c r="D205" s="21" t="s">
        <v>944</v>
      </c>
      <c r="E205" s="13">
        <v>42987.198553240742</v>
      </c>
      <c r="F205" s="13">
        <v>42987.201817129629</v>
      </c>
      <c r="G205" s="7">
        <v>117</v>
      </c>
      <c r="H205" s="21" t="s">
        <v>867</v>
      </c>
      <c r="I205" s="13">
        <v>42987.207037037035</v>
      </c>
      <c r="J205" s="7">
        <v>0</v>
      </c>
      <c r="K205" s="89" t="str">
        <f t="shared" ref="K205:K217" si="99">IF(ISEVEN(B205),(B205-1)&amp;"/"&amp;B205,B205&amp;"/"&amp;(B205+1))</f>
        <v>4009/4010</v>
      </c>
      <c r="L205" s="214" t="str">
        <f>VLOOKUP(A205,'Trips&amp;Operators'!$C$1:$G$99911,5,FALSE)</f>
        <v>MACDONALD THOMAS</v>
      </c>
      <c r="M205" s="6">
        <f t="shared" ref="M205:M217" si="100">I205-F205</f>
        <v>5.2199074052623473E-3</v>
      </c>
      <c r="N205" s="7">
        <f t="shared" si="89"/>
        <v>7.5166666635777801</v>
      </c>
      <c r="O205" s="7"/>
      <c r="P205" s="7"/>
      <c r="Q205" s="22"/>
      <c r="R205" s="167"/>
      <c r="S205" s="210">
        <f t="shared" si="98"/>
        <v>1</v>
      </c>
      <c r="T205" s="192" t="str">
        <f t="shared" ref="T205:T217" si="101">IF(ISEVEN(LEFT(AD205,4)),"Southbound","NorthBound")</f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17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-09T03:45:55-0600',mode:absolute,to:'2017-09-09T05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94" t="str">
        <f>IF(AA205&lt;VLOOKUP(AG205,Variables!$AC$3:$AD$8,2,FALSE),"Y","N")</f>
        <v>Y</v>
      </c>
      <c r="X205" s="194">
        <f t="shared" si="97"/>
        <v>1</v>
      </c>
      <c r="Y205" s="194">
        <f t="shared" si="95"/>
        <v>2.2366000000000001</v>
      </c>
      <c r="Z205" s="194">
        <f t="shared" si="96"/>
        <v>1.7399999999999999E-2</v>
      </c>
      <c r="AA205" s="194">
        <f t="shared" ref="AA205:AA217" si="103">ABS(Z205-Y205)</f>
        <v>2.2192000000000003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17" si="104">VALUE(LEFT(A205,LEN(A205)-3))</f>
        <v>310</v>
      </c>
      <c r="AE205" s="77" t="str">
        <f t="shared" ref="AE205:AE217" si="10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AF205" s="74" t="str">
        <f t="shared" ref="AF205:AF217" si="10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/stypes="app*4009*20170909*" /stext=" 10:.+((SYSTEM_STATE.+slice.+state.+changed )|(ment ac)|(multiple cpu faults)|(system.+state.+changed )|(\[timeout)|(PRM\|1\|D)|(kpr)|(kdp)|(train st.+moving)|(\|lc)|(penalty))"</v>
      </c>
      <c r="AG205" s="206" t="str">
        <f t="shared" ref="AG205:AG217" si="107">DetSubdiv(A205)</f>
        <v>Other</v>
      </c>
      <c r="AH205" s="78" t="str">
        <f t="shared" si="69"/>
        <v>"%USERPROFILE%\Documents\GitHub\eaglep3\Utilities\RefineRTDCRunTimes.py" --tripid 310-09 --locoid 4009 --swversion DE.1.0.9.0 --startMP 300:22366 --initTime 2017-09-09T04:45:55 --startdatetime 2017-09-09T04:50:37 --delay 117 --endMP 204:174 --enddatetime 2017-09-09T04:58:08 --enforcementcount 0 &gt;&gt;C:\Users\stu\Documents\GitHub\eaglep3-reporting\EC\2017-09-09-refined-times.txt</v>
      </c>
      <c r="AI205" s="96" t="str">
        <f t="shared" ref="AI205:AI217" si="10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{"issue":{"subject":"","project_id":79,"tracker_id":40,"status_id":1,"priority_id":2,"assigned_to_id":338,"start_date":"2017-09-09","description":"","custom_fields":[{"id":1,"name":"Subdivision","value":"Other"},{"id":4,"name":"Milepost","value":"0.0174"},{"id":17,"name":"Train ID","value":"310-09"},{"id":16,"name":"Locomotive ID","value":"4009"},{"id":130,"name":"Impact","value":""},{"id":150,"name":"Time of Event (Mountain Time)","value":"04:58:08"},{"id":151,"name":"Denver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1"/>
        <v>start /low /b %USERPROFILE%\Documents\GitHub\eaglep3\Utilities\DownloadLogsFromS3.py --loco 4009 --day 2017-09-09</v>
      </c>
      <c r="AN205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836</v>
      </c>
      <c r="B206" s="7">
        <v>4026</v>
      </c>
      <c r="C206" s="21" t="s">
        <v>197</v>
      </c>
      <c r="D206" s="21" t="s">
        <v>578</v>
      </c>
      <c r="E206" s="13">
        <v>42988.090960648151</v>
      </c>
      <c r="F206" s="13">
        <v>42988.093240740738</v>
      </c>
      <c r="G206" s="7">
        <v>107</v>
      </c>
      <c r="H206" s="21" t="s">
        <v>596</v>
      </c>
      <c r="I206" s="13">
        <v>42988.106388888889</v>
      </c>
      <c r="J206" s="7">
        <v>0</v>
      </c>
      <c r="K206" s="89" t="str">
        <f t="shared" si="99"/>
        <v>4025/4026</v>
      </c>
      <c r="L206" s="214" t="str">
        <f>VLOOKUP(A206,'Trips&amp;Operators'!$C$1:$G$99911,5,FALSE)</f>
        <v>NICHOLSON WESLEY</v>
      </c>
      <c r="M206" s="6">
        <f t="shared" si="100"/>
        <v>1.3148148151230998E-2</v>
      </c>
      <c r="N206" s="7">
        <f t="shared" si="89"/>
        <v>18.933333337772638</v>
      </c>
      <c r="O206" s="7"/>
      <c r="P206" s="7"/>
      <c r="Q206" s="22"/>
      <c r="R206" s="167"/>
      <c r="S206" s="210">
        <f t="shared" si="98"/>
        <v>1</v>
      </c>
      <c r="T206" s="192" t="str">
        <f t="shared" si="101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102"/>
        <v>https://d0f6bd738d7f1b3e5a7ca70fe4ff75f0.us-east-1.aws.found.io/app/kibana#/discover/Steve-Slow-Train-Analysis-(2080s-and-2083s)?_g=(refreshInterval:(display:Off,pause:!f,section:0,value:0),time:(from:'2017-09-10T01:10:59-0600',mode:absolute,to:'2017-09-10T03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194" t="str">
        <f>IF(AA206&lt;VLOOKUP(AG206,Variables!$AC$3:$AD$8,2,FALSE),"Y","N")</f>
        <v>Y</v>
      </c>
      <c r="X206" s="194">
        <f t="shared" si="97"/>
        <v>1</v>
      </c>
      <c r="Y206" s="194">
        <f t="shared" si="95"/>
        <v>4.7699999999999999E-2</v>
      </c>
      <c r="Z206" s="194">
        <f t="shared" si="96"/>
        <v>2.3304</v>
      </c>
      <c r="AA206" s="194">
        <f t="shared" si="103"/>
        <v>2.2827000000000002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104"/>
        <v>311</v>
      </c>
      <c r="AE206" s="77" t="str">
        <f t="shared" si="105"/>
        <v>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 &amp; aws s3 cp s3://rtdc.mdm.uploadarchive.raw/RTDC4026/ "%USERPROFILE%\AppData\Local\Temp\OnboardLogs"\RTDC4026\2017-09-11 --exclude "*" --recursive --include "*20170911*" &amp; "%USERPROFILE%\Documents\GitHub\mrs-test-scripts\Headless Mode &amp; Sideloading\WalkAndUnGZ.bat" "%USERPROFILE%\AppData\Local\Temp\OnboardLogs"\RTDC4026\2017-09-11</v>
      </c>
      <c r="AF206" s="74" t="str">
        <f t="shared" si="106"/>
        <v>"C:\Program Files (x86)\AstroGrep\AstroGrep.exe" /e /r /s /spath="%USERPROFILE%\AppData\Local\Temp\OnboardLogs" /stypes="app*4026*20170910*" /stext=" 08:.+((SYSTEM_STATE.+slice.+state.+changed )|(ment ac)|(multiple cpu faults)|(system.+state.+changed )|(\[timeout)|(PRM\|1\|D)|(kpr)|(kdp)|(train st.+moving)|(\|lc)|(penalty))"</v>
      </c>
      <c r="AG206" s="206" t="str">
        <f t="shared" si="107"/>
        <v>Other</v>
      </c>
      <c r="AH206" s="78" t="str">
        <f t="shared" si="69"/>
        <v>"%USERPROFILE%\Documents\GitHub\eaglep3\Utilities\RefineRTDCRunTimes.py" --tripid 311-09 --locoid 4026 --swversion DE.1.0.9.0 --startMP 204:477 --initTime 2017-09-10T02:10:59 --startdatetime 2017-09-10T02:14:16 --delay 107 --endMP 300:23304 --enddatetime 2017-09-10T02:33:12 --enforcementcount 0 &gt;&gt;C:\Users\stu\Documents\GitHub\eaglep3-reporting\EC\2017-09-09-refined-times.txt</v>
      </c>
      <c r="AI206" s="96" t="str">
        <f t="shared" si="108"/>
        <v>echo {"issue":{"subject":"","project_id":79,"tracker_id":40,"status_id":1,"priority_id":2,"assigned_to_id":338,"start_date":"2017-09-10","description":"","custom_fields":[{"id":1,"name":"Subdivision","value":"Other"},{"id":4,"name":"Milepost","value":"2.3304"},{"id":17,"name":"Train ID","value":"311-09"},{"id":16,"name":"Locomotive ID","value":"4026"},{"id":130,"name":"Impact","value":""},{"id":150,"name":"Time of Event (Mountain Time)","value":"02:33:12"},{"id":151,"name":"Denver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1"/>
        <v>start /low /b %USERPROFILE%\Documents\GitHub\eaglep3\Utilities\DownloadLogsFromS3.py --loco 4026 --day 2017-09-10</v>
      </c>
      <c r="AN20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08:33:12"},{"id":29,"name":"Sharepoint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665</v>
      </c>
      <c r="B207" s="7">
        <v>4045</v>
      </c>
      <c r="C207" s="21" t="s">
        <v>197</v>
      </c>
      <c r="D207" s="21" t="s">
        <v>945</v>
      </c>
      <c r="E207" s="13">
        <v>42987.219849537039</v>
      </c>
      <c r="F207" s="13">
        <v>42987.225775462961</v>
      </c>
      <c r="G207" s="7">
        <v>130</v>
      </c>
      <c r="H207" s="21" t="s">
        <v>946</v>
      </c>
      <c r="I207" s="13">
        <v>42987.232349537036</v>
      </c>
      <c r="J207" s="7">
        <v>0</v>
      </c>
      <c r="K207" s="89" t="str">
        <f t="shared" si="99"/>
        <v>4045/4046</v>
      </c>
      <c r="L207" s="214" t="str">
        <f>VLOOKUP(A207,'Trips&amp;Operators'!$C$1:$G$99911,5,FALSE)</f>
        <v>WILLIAMS DONTE</v>
      </c>
      <c r="M207" s="6">
        <f t="shared" si="100"/>
        <v>6.5740740756154992E-3</v>
      </c>
      <c r="N207" s="7">
        <f t="shared" si="89"/>
        <v>9.4666666688863188</v>
      </c>
      <c r="O207" s="7"/>
      <c r="P207" s="7"/>
      <c r="Q207" s="22"/>
      <c r="R207" s="167"/>
      <c r="S207" s="210">
        <f t="shared" si="98"/>
        <v>1</v>
      </c>
      <c r="T207" s="192" t="str">
        <f t="shared" si="101"/>
        <v>Southbound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102"/>
        <v>https://d0f6bd738d7f1b3e5a7ca70fe4ff75f0.us-east-1.aws.found.io/app/kibana#/discover/Steve-Slow-Train-Analysis-(2080s-and-2083s)?_g=(refreshInterval:(display:Off,pause:!f,section:0,value:0),time:(from:'2017-09-09T04:16:35-0600',mode:absolute,to:'2017-09-09T06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94" t="str">
        <f>IF(AA207&lt;VLOOKUP(AG207,Variables!$AC$3:$AD$8,2,FALSE),"Y","N")</f>
        <v>Y</v>
      </c>
      <c r="X207" s="194">
        <f t="shared" si="97"/>
        <v>1</v>
      </c>
      <c r="Y207" s="194">
        <f t="shared" si="95"/>
        <v>2.3647999999999998</v>
      </c>
      <c r="Z207" s="194">
        <f t="shared" si="96"/>
        <v>1.21E-2</v>
      </c>
      <c r="AA207" s="194">
        <f t="shared" si="103"/>
        <v>2.3526999999999996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104"/>
        <v>312</v>
      </c>
      <c r="AE207" s="77" t="str">
        <f t="shared" si="105"/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AF207" s="74" t="str">
        <f t="shared" si="106"/>
        <v>"C:\Program Files (x86)\AstroGrep\AstroGrep.exe" /e /r /s /spath="%USERPROFILE%\AppData\Local\Temp\OnboardLogs" /stypes="app*4045*20170909*" /stext=" 11:.+((SYSTEM_STATE.+slice.+state.+changed )|(ment ac)|(multiple cpu faults)|(system.+state.+changed )|(\[timeout)|(PRM\|1\|D)|(kpr)|(kdp)|(train st.+moving)|(\|lc)|(penalty))"</v>
      </c>
      <c r="AG207" s="206" t="str">
        <f t="shared" si="107"/>
        <v>Other</v>
      </c>
      <c r="AH207" s="78" t="str">
        <f t="shared" si="69"/>
        <v>"%USERPROFILE%\Documents\GitHub\eaglep3\Utilities\RefineRTDCRunTimes.py" --tripid 312-09 --locoid 4045 --swversion DE.1.0.9.0 --startMP 300:23648 --initTime 2017-09-09T05:16:35 --startdatetime 2017-09-09T05:25:07 --delay 130 --endMP 204:121 --enddatetime 2017-09-09T05:34:35 --enforcementcount 0 &gt;&gt;C:\Users\stu\Documents\GitHub\eaglep3-reporting\EC\2017-09-09-refined-times.txt</v>
      </c>
      <c r="AI207" s="96" t="str">
        <f t="shared" si="108"/>
        <v>echo {"issue":{"subject":"","project_id":79,"tracker_id":40,"status_id":1,"priority_id":2,"assigned_to_id":338,"start_date":"2017-09-09","description":"","custom_fields":[{"id":1,"name":"Subdivision","value":"Other"},{"id":4,"name":"Milepost","value":"0.0121"},{"id":17,"name":"Train ID","value":"312-09"},{"id":16,"name":"Locomotive ID","value":"4045"},{"id":130,"name":"Impact","value":""},{"id":150,"name":"Time of Event (Mountain Time)","value":"05:34:35"},{"id":151,"name":"Denver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1"/>
        <v>start /low /b %USERPROFILE%\Documents\GitHub\eaglep3\Utilities\DownloadLogsFromS3.py --loco 4045 --day 2017-09-09</v>
      </c>
      <c r="AN207" s="151" t="str">
        <f t="shared" si="72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667</v>
      </c>
      <c r="B208" s="7">
        <v>4012</v>
      </c>
      <c r="C208" s="21" t="s">
        <v>197</v>
      </c>
      <c r="D208" s="21" t="s">
        <v>905</v>
      </c>
      <c r="E208" s="13">
        <v>42987.221412037034</v>
      </c>
      <c r="F208" s="13">
        <v>42987.228333333333</v>
      </c>
      <c r="G208" s="7">
        <v>75</v>
      </c>
      <c r="H208" s="21" t="s">
        <v>906</v>
      </c>
      <c r="I208" s="13">
        <v>42987.233981481484</v>
      </c>
      <c r="J208" s="7">
        <v>0</v>
      </c>
      <c r="K208" s="89" t="str">
        <f t="shared" si="99"/>
        <v>4011/4012</v>
      </c>
      <c r="L208" s="214" t="str">
        <f>VLOOKUP(A208,'Trips&amp;Operators'!$C$1:$G$99911,5,FALSE)</f>
        <v>HUFFSMITH MONTY</v>
      </c>
      <c r="M208" s="6">
        <f t="shared" si="100"/>
        <v>5.6481481515220366E-3</v>
      </c>
      <c r="N208" s="7">
        <f t="shared" si="89"/>
        <v>8.1333333381917328</v>
      </c>
      <c r="O208" s="7"/>
      <c r="P208" s="7"/>
      <c r="Q208" s="22"/>
      <c r="R208" s="167"/>
      <c r="S208" s="210">
        <f t="shared" si="98"/>
        <v>0</v>
      </c>
      <c r="T208" s="192" t="str">
        <f t="shared" si="101"/>
        <v>NorthBound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3" t="str">
        <f t="shared" si="102"/>
        <v>https://d0f6bd738d7f1b3e5a7ca70fe4ff75f0.us-east-1.aws.found.io/app/kibana#/discover/Steve-Slow-Train-Analysis-(2080s-and-2083s)?_g=(refreshInterval:(display:Off,pause:!f,section:0,value:0),time:(from:'2017-09-09T04:18:50-0600',mode:absolute,to:'2017-09-09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94" t="str">
        <f>IF(AA208&lt;VLOOKUP(AG208,Variables!$AC$3:$AD$8,2,FALSE),"Y","N")</f>
        <v>Y</v>
      </c>
      <c r="X208" s="194">
        <f t="shared" si="97"/>
        <v>1589</v>
      </c>
      <c r="Y208" s="194">
        <f t="shared" si="95"/>
        <v>3.004</v>
      </c>
      <c r="Z208" s="194">
        <f t="shared" si="96"/>
        <v>5.8986000000000001</v>
      </c>
      <c r="AA208" s="194">
        <f t="shared" si="103"/>
        <v>2.8946000000000001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04"/>
        <v>1901</v>
      </c>
      <c r="AE208" s="77" t="str">
        <f t="shared" si="105"/>
        <v>aws s3 cp s3://rtdc.mdm.uploadarchive.raw/RTDC4012/ "%USERPROFILE%\AppData\Local\Temp\OnboardLogs"\RTDC4012\2017-09-09 --exclude "*" --recursive --include "*20170909*" &amp; "%USERPROFILE%\Documents\GitHub\mrs-test-scripts\Headless Mode &amp; Sideloading\WalkAndUnGZ.bat" "%USERPROFILE%\AppData\Local\Temp\OnboardLogs"\RTDC4012\2017-09-09 &amp; aws s3 cp s3://rtdc.mdm.uploadarchive.raw/RTDC4012/ "%USERPROFILE%\AppData\Local\Temp\OnboardLogs"\RTDC4012\2017-09-10 --exclude "*" --recursive --include "*20170910*" &amp; "%USERPROFILE%\Documents\GitHub\mrs-test-scripts\Headless Mode &amp; Sideloading\WalkAndUnGZ.bat" "%USERPROFILE%\AppData\Local\Temp\OnboardLogs"\RTDC4012\2017-09-10</v>
      </c>
      <c r="AF208" s="74" t="str">
        <f t="shared" si="106"/>
        <v>"C:\Program Files (x86)\AstroGrep\AstroGrep.exe" /e /r /s /spath="%USERPROFILE%\AppData\Local\Temp\OnboardLogs" /stypes="app*4012*20170909*" /stext=" 11:.+((SYSTEM_STATE.+slice.+state.+changed )|(ment ac)|(multiple cpu faults)|(system.+state.+changed )|(\[timeout)|(PRM\|1\|D)|(kpr)|(kdp)|(train st.+moving)|(\|lc)|(penalty))"</v>
      </c>
      <c r="AG208" s="206" t="str">
        <f t="shared" si="107"/>
        <v>Other</v>
      </c>
      <c r="AH208" s="78" t="str">
        <f t="shared" ref="AH208:AH217" si="109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1901-09 --locoid 4012 --swversion DE.1.0.9.0 --startMP 300:30040 --initTime 2017-09-09T05:18:50 --startdatetime 2017-09-09T05:28:48 --delay 75 --endMP 300:58986 --enddatetime 2017-09-09T05:36:56 --enforcementcount 0 &gt;&gt;C:\Users\stu\Documents\GitHub\eaglep3-reporting\EC\2017-09-09-refined-times.txt</v>
      </c>
      <c r="AI208" s="96" t="str">
        <f t="shared" si="108"/>
        <v>echo {"issue":{"subject":"","project_id":79,"tracker_id":40,"status_id":1,"priority_id":2,"assigned_to_id":338,"start_date":"2017-09-09","description":"","custom_fields":[{"id":1,"name":"Subdivision","value":"Other"},{"id":4,"name":"Milepost","value":"5.8986"},{"id":17,"name":"Train ID","value":"1901-09"},{"id":16,"name":"Locomotive ID","value":"4012"},{"id":130,"name":"Impact","value":""},{"id":150,"name":"Time of Event (Mountain Time)","value":"05:36:56"},{"id":151,"name":"Denver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ref="AM208:AM217" si="110">"start /low /b "&amp;dls3logs&amp;" --loco "&amp;B208&amp;" --day "&amp;TEXT(F208,"YYYY-MM-DD")</f>
        <v>start /low /b %USERPROFILE%\Documents\GitHub\eaglep3\Utilities\DownloadLogsFromS3.py --loco 4012 --day 2017-09-09</v>
      </c>
      <c r="AN208" s="151" t="str">
        <f t="shared" ref="AN208:AN217" si="111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824</v>
      </c>
      <c r="B209" s="7">
        <v>4029</v>
      </c>
      <c r="C209" s="21" t="s">
        <v>197</v>
      </c>
      <c r="D209" s="21" t="s">
        <v>609</v>
      </c>
      <c r="E209" s="13">
        <v>42987.975902777776</v>
      </c>
      <c r="F209" s="13">
        <v>42987.978333333333</v>
      </c>
      <c r="G209" s="7">
        <v>86</v>
      </c>
      <c r="H209" s="21" t="s">
        <v>907</v>
      </c>
      <c r="I209" s="13">
        <v>42987.989085648151</v>
      </c>
      <c r="J209" s="7">
        <v>0</v>
      </c>
      <c r="K209" s="89" t="str">
        <f t="shared" si="99"/>
        <v>4029/4030</v>
      </c>
      <c r="L209" s="214" t="str">
        <f>VLOOKUP(A209,'Trips&amp;Operators'!$C$1:$G$99911,5,FALSE)</f>
        <v>SMITH MICHAEL</v>
      </c>
      <c r="M209" s="6">
        <f t="shared" si="100"/>
        <v>1.0752314818091691E-2</v>
      </c>
      <c r="N209" s="7">
        <f t="shared" si="89"/>
        <v>15.483333338052034</v>
      </c>
      <c r="O209" s="7"/>
      <c r="P209" s="7"/>
      <c r="Q209" s="22"/>
      <c r="R209" s="167"/>
      <c r="S209" s="210">
        <f t="shared" si="98"/>
        <v>0</v>
      </c>
      <c r="T209" s="192" t="str">
        <f t="shared" si="101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3" t="str">
        <f t="shared" si="102"/>
        <v>https://d0f6bd738d7f1b3e5a7ca70fe4ff75f0.us-east-1.aws.found.io/app/kibana#/discover/Steve-Slow-Train-Analysis-(2080s-and-2083s)?_g=(refreshInterval:(display:Off,pause:!f,section:0,value:0),time:(from:'2017-09-09T22:25:18-0600',mode:absolute,to:'2017-09-10T00:44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94" t="str">
        <f>IF(AA209&lt;VLOOKUP(AG209,Variables!$AC$3:$AD$8,2,FALSE),"Y","N")</f>
        <v>Y</v>
      </c>
      <c r="X209" s="194">
        <f t="shared" si="97"/>
        <v>1</v>
      </c>
      <c r="Y209" s="194">
        <f t="shared" si="95"/>
        <v>5.8693</v>
      </c>
      <c r="Z209" s="194">
        <f t="shared" si="96"/>
        <v>2.8795000000000002</v>
      </c>
      <c r="AA209" s="194">
        <f t="shared" si="103"/>
        <v>2.9897999999999998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04"/>
        <v>1902</v>
      </c>
      <c r="AE209" s="77" t="str">
        <f t="shared" si="105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209" s="74" t="str">
        <f t="shared" si="106"/>
        <v>"C:\Program Files (x86)\AstroGrep\AstroGrep.exe" /e /r /s /spath="%USERPROFILE%\AppData\Local\Temp\OnboardLogs" /stypes="app*4029*20170910*" /stext=" 05:.+((SYSTEM_STATE.+slice.+state.+changed )|(ment ac)|(multiple cpu faults)|(system.+state.+changed )|(\[timeout)|(PRM\|1\|D)|(kpr)|(kdp)|(train st.+moving)|(\|lc)|(penalty))"</v>
      </c>
      <c r="AG209" s="206" t="str">
        <f t="shared" si="107"/>
        <v>Other</v>
      </c>
      <c r="AH209" s="78" t="str">
        <f t="shared" si="109"/>
        <v>"%USERPROFILE%\Documents\GitHub\eaglep3\Utilities\RefineRTDCRunTimes.py" --tripid 1902-09 --locoid 4029 --swversion DE.1.0.9.0 --startMP 300:58693 --initTime 2017-09-09T23:25:18 --startdatetime 2017-09-09T23:28:48 --delay 86 --endMP 300:28795 --enddatetime 2017-09-09T23:44:17 --enforcementcount 0 &gt;&gt;C:\Users\stu\Documents\GitHub\eaglep3-reporting\EC\2017-09-09-refined-times.txt</v>
      </c>
      <c r="AI209" s="96" t="str">
        <f t="shared" si="108"/>
        <v>echo {"issue":{"subject":"","project_id":79,"tracker_id":40,"status_id":1,"priority_id":2,"assigned_to_id":338,"start_date":"2017-09-09","description":"","custom_fields":[{"id":1,"name":"Subdivision","value":"Other"},{"id":4,"name":"Milepost","value":"2.8795"},{"id":17,"name":"Train ID","value":"1902-09"},{"id":16,"name":"Locomotive ID","value":"4029"},{"id":130,"name":"Impact","value":""},{"id":150,"name":"Time of Event (Mountain Time)","value":"23:44:17"},{"id":151,"name":"Denver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0"/>
        <v>start /low /b %USERPROFILE%\Documents\GitHub\eaglep3\Utilities\DownloadLogsFromS3.py --loco 4029 --day 2017-09-09</v>
      </c>
      <c r="AN209" s="151" t="str">
        <f t="shared" si="11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05:44:17"},{"id":29,"name":"Sharepoint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649</v>
      </c>
      <c r="B210" s="7">
        <v>4029</v>
      </c>
      <c r="C210" s="21" t="s">
        <v>197</v>
      </c>
      <c r="D210" s="21" t="s">
        <v>947</v>
      </c>
      <c r="E210" s="13">
        <v>42987.177951388891</v>
      </c>
      <c r="F210" s="13">
        <v>42987.183333333334</v>
      </c>
      <c r="G210" s="7">
        <v>145</v>
      </c>
      <c r="H210" s="21" t="s">
        <v>948</v>
      </c>
      <c r="I210" s="13">
        <v>42987.191747685189</v>
      </c>
      <c r="J210" s="7">
        <v>0</v>
      </c>
      <c r="K210" s="89" t="str">
        <f t="shared" si="99"/>
        <v>4029/4030</v>
      </c>
      <c r="L210" s="214" t="str">
        <f>VLOOKUP(A210,'Trips&amp;Operators'!$C$1:$G$99911,5,FALSE)</f>
        <v>NEWELL JAMES</v>
      </c>
      <c r="M210" s="6">
        <f t="shared" si="100"/>
        <v>8.4143518542987294E-3</v>
      </c>
      <c r="N210" s="7">
        <f t="shared" si="89"/>
        <v>12.11666667019017</v>
      </c>
      <c r="O210" s="7"/>
      <c r="P210" s="7"/>
      <c r="Q210" s="22"/>
      <c r="R210" s="167"/>
      <c r="S210" s="210">
        <f t="shared" si="98"/>
        <v>1</v>
      </c>
      <c r="T210" s="192" t="str">
        <f t="shared" si="101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102"/>
        <v>https://d0f6bd738d7f1b3e5a7ca70fe4ff75f0.us-east-1.aws.found.io/app/kibana#/discover/Steve-Slow-Train-Analysis-(2080s-and-2083s)?_g=(refreshInterval:(display:Off,pause:!f,section:0,value:0),time:(from:'2017-09-09T03:16:15-0600',mode:absolute,to:'2017-09-09T05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194" t="str">
        <f>IF(AA210&lt;VLOOKUP(AG210,Variables!$AC$3:$AD$8,2,FALSE),"Y","N")</f>
        <v>Y</v>
      </c>
      <c r="X210" s="194">
        <f t="shared" si="97"/>
        <v>-1852</v>
      </c>
      <c r="Y210" s="194">
        <f t="shared" si="95"/>
        <v>2.3687999999999998</v>
      </c>
      <c r="Z210" s="194">
        <f t="shared" si="96"/>
        <v>0.1158</v>
      </c>
      <c r="AA210" s="194">
        <f t="shared" si="103"/>
        <v>2.2529999999999997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04"/>
        <v>50</v>
      </c>
      <c r="AE210" s="77" t="str">
        <f t="shared" si="105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210" s="74" t="str">
        <f t="shared" si="106"/>
        <v>"C:\Program Files (x86)\AstroGrep\AstroGrep.exe" /e /r /s /spath="%USERPROFILE%\AppData\Local\Temp\OnboardLogs" /stypes="app*4029*20170909*" /stext=" 10:.+((SYSTEM_STATE.+slice.+state.+changed )|(ment ac)|(multiple cpu faults)|(system.+state.+changed )|(\[timeout)|(PRM\|1\|D)|(kpr)|(kdp)|(train st.+moving)|(\|lc)|(penalty))"</v>
      </c>
      <c r="AG210" s="206" t="str">
        <f t="shared" si="107"/>
        <v>Shuttle/Test</v>
      </c>
      <c r="AH210" s="78" t="str">
        <f t="shared" si="109"/>
        <v>"%USERPROFILE%\Documents\GitHub\eaglep3\Utilities\RefineRTDCRunTimes.py" --tripid 50-09 --locoid 4029 --swversion DE.1.0.9.0 --startMP 300:23688 --initTime 2017-09-09T04:16:15 --startdatetime 2017-09-09T04:24:00 --delay 145 --endMP 204:1158 --enddatetime 2017-09-09T04:36:07 --enforcementcount 0 &gt;&gt;C:\Users\stu\Documents\GitHub\eaglep3-reporting\EC\2017-09-09-refined-times.txt</v>
      </c>
      <c r="AI210" s="96" t="str">
        <f t="shared" si="108"/>
        <v>echo {"issue":{"subject":"","project_id":79,"tracker_id":40,"status_id":1,"priority_id":2,"assigned_to_id":338,"start_date":"2017-09-09","description":"","custom_fields":[{"id":1,"name":"Subdivision","value":"Shuttle/Test"},{"id":4,"name":"Milepost","value":"0.1158"},{"id":17,"name":"Train ID","value":"50-09"},{"id":16,"name":"Locomotive ID","value":"4029"},{"id":130,"name":"Impact","value":""},{"id":150,"name":"Time of Event (Mountain Time)","value":"04:36:07"},{"id":151,"name":"Denver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0"/>
        <v>start /low /b %USERPROFILE%\Documents\GitHub\eaglep3\Utilities\DownloadLogsFromS3.py --loco 4029 --day 2017-09-09</v>
      </c>
      <c r="AN210" s="151" t="str">
        <f t="shared" si="111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720</v>
      </c>
      <c r="B211" s="7">
        <v>4030</v>
      </c>
      <c r="C211" s="21" t="s">
        <v>197</v>
      </c>
      <c r="D211" s="21" t="s">
        <v>949</v>
      </c>
      <c r="E211" s="13">
        <v>42987.438668981478</v>
      </c>
      <c r="F211" s="13">
        <v>42987.451527777775</v>
      </c>
      <c r="G211" s="7">
        <v>59</v>
      </c>
      <c r="H211" s="21" t="s">
        <v>950</v>
      </c>
      <c r="I211" s="13">
        <v>42987.4606712963</v>
      </c>
      <c r="J211" s="7">
        <v>0</v>
      </c>
      <c r="K211" s="89" t="str">
        <f t="shared" si="99"/>
        <v>4029/4030</v>
      </c>
      <c r="L211" s="214" t="str">
        <f>VLOOKUP(A211,'Trips&amp;Operators'!$C$1:$G$99911,5,FALSE)</f>
        <v>LOPES KIMBERLY</v>
      </c>
      <c r="M211" s="6">
        <f t="shared" si="100"/>
        <v>9.1435185240698047E-3</v>
      </c>
      <c r="N211" s="7">
        <f t="shared" si="89"/>
        <v>13.166666674660519</v>
      </c>
      <c r="O211" s="7"/>
      <c r="P211" s="7"/>
      <c r="Q211" s="22"/>
      <c r="R211" s="167"/>
      <c r="S211" s="210">
        <f t="shared" si="98"/>
        <v>0</v>
      </c>
      <c r="T211" s="192" t="str">
        <f t="shared" si="101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3" t="str">
        <f t="shared" si="102"/>
        <v>https://d0f6bd738d7f1b3e5a7ca70fe4ff75f0.us-east-1.aws.found.io/app/kibana#/discover/Steve-Slow-Train-Analysis-(2080s-and-2083s)?_g=(refreshInterval:(display:Off,pause:!f,section:0,value:0),time:(from:'2017-09-09T09:31:41-0600',mode:absolute,to:'2017-09-09T12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1" s="194" t="str">
        <f>IF(AA211&lt;VLOOKUP(AG211,Variables!$AC$3:$AD$8,2,FALSE),"Y","N")</f>
        <v>Y</v>
      </c>
      <c r="X211" s="194">
        <f t="shared" si="97"/>
        <v>1</v>
      </c>
      <c r="Y211" s="194">
        <f t="shared" si="95"/>
        <v>0.14810000000000001</v>
      </c>
      <c r="Z211" s="194">
        <f t="shared" si="96"/>
        <v>0.53010000000000002</v>
      </c>
      <c r="AA211" s="194">
        <f t="shared" si="103"/>
        <v>0.38200000000000001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04"/>
        <v>51</v>
      </c>
      <c r="AE211" s="77" t="str">
        <f t="shared" si="105"/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AF211" s="74" t="str">
        <f t="shared" si="106"/>
        <v>"C:\Program Files (x86)\AstroGrep\AstroGrep.exe" /e /r /s /spath="%USERPROFILE%\AppData\Local\Temp\OnboardLogs" /stypes="app*4030*20170909*" /stext=" 17:.+((SYSTEM_STATE.+slice.+state.+changed )|(ment ac)|(multiple cpu faults)|(system.+state.+changed )|(\[timeout)|(PRM\|1\|D)|(kpr)|(kdp)|(train st.+moving)|(\|lc)|(penalty))"</v>
      </c>
      <c r="AG211" s="206" t="str">
        <f t="shared" si="107"/>
        <v>Shuttle/Test</v>
      </c>
      <c r="AH211" s="78" t="str">
        <f t="shared" si="109"/>
        <v>"%USERPROFILE%\Documents\GitHub\eaglep3\Utilities\RefineRTDCRunTimes.py" --tripid 51-09 --locoid 4030 --swversion DE.1.0.9.0 --startMP 204:1481 --initTime 2017-09-09T10:31:41 --startdatetime 2017-09-09T10:50:12 --delay 59 --endMP 300:5301 --enddatetime 2017-09-09T11:03:22 --enforcementcount 0 &gt;&gt;C:\Users\stu\Documents\GitHub\eaglep3-reporting\EC\2017-09-09-refined-times.txt</v>
      </c>
      <c r="AI211" s="96" t="str">
        <f t="shared" si="108"/>
        <v>echo {"issue":{"subject":"","project_id":79,"tracker_id":40,"status_id":1,"priority_id":2,"assigned_to_id":338,"start_date":"2017-09-09","description":"","custom_fields":[{"id":1,"name":"Subdivision","value":"Shuttle/Test"},{"id":4,"name":"Milepost","value":"0.5301"},{"id":17,"name":"Train ID","value":"51-09"},{"id":16,"name":"Locomotive ID","value":"4030"},{"id":130,"name":"Impact","value":""},{"id":150,"name":"Time of Event (Mountain Time)","value":"11:03:22"},{"id":151,"name":"Denver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0"/>
        <v>start /low /b %USERPROFILE%\Documents\GitHub\eaglep3\Utilities\DownloadLogsFromS3.py --loco 4030 --day 2017-09-09</v>
      </c>
      <c r="AN211" s="151" t="str">
        <f t="shared" si="111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720</v>
      </c>
      <c r="B212" s="7">
        <v>4029</v>
      </c>
      <c r="C212" s="21" t="s">
        <v>197</v>
      </c>
      <c r="D212" s="21" t="s">
        <v>951</v>
      </c>
      <c r="E212" s="13">
        <v>42987.442986111113</v>
      </c>
      <c r="F212" s="13">
        <v>42987.451527777775</v>
      </c>
      <c r="G212" s="7">
        <v>44</v>
      </c>
      <c r="H212" s="21" t="s">
        <v>952</v>
      </c>
      <c r="I212" s="13">
        <v>42987.4606712963</v>
      </c>
      <c r="J212" s="7">
        <v>0</v>
      </c>
      <c r="K212" s="89" t="str">
        <f t="shared" si="99"/>
        <v>4029/4030</v>
      </c>
      <c r="L212" s="214" t="str">
        <f>VLOOKUP(A212,'Trips&amp;Operators'!$C$1:$G$99911,5,FALSE)</f>
        <v>LOPES KIMBERLY</v>
      </c>
      <c r="M212" s="6">
        <f t="shared" si="100"/>
        <v>9.1435185240698047E-3</v>
      </c>
      <c r="N212" s="7">
        <f t="shared" si="89"/>
        <v>13.166666674660519</v>
      </c>
      <c r="O212" s="7"/>
      <c r="P212" s="7"/>
      <c r="Q212" s="22"/>
      <c r="R212" s="167"/>
      <c r="S212" s="210">
        <f t="shared" si="98"/>
        <v>0</v>
      </c>
      <c r="T212" s="192" t="str">
        <f t="shared" si="101"/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3" t="str">
        <f t="shared" si="102"/>
        <v>https://d0f6bd738d7f1b3e5a7ca70fe4ff75f0.us-east-1.aws.found.io/app/kibana#/discover/Steve-Slow-Train-Analysis-(2080s-and-2083s)?_g=(refreshInterval:(display:Off,pause:!f,section:0,value:0),time:(from:'2017-09-09T09:37:54-0600',mode:absolute,to:'2017-09-09T12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194" t="str">
        <f>IF(AA212&lt;VLOOKUP(AG212,Variables!$AC$3:$AD$8,2,FALSE),"Y","N")</f>
        <v>Y</v>
      </c>
      <c r="X212" s="194">
        <f t="shared" si="97"/>
        <v>0</v>
      </c>
      <c r="Y212" s="194">
        <f t="shared" si="95"/>
        <v>0.49569999999999997</v>
      </c>
      <c r="Z212" s="194">
        <f t="shared" si="96"/>
        <v>7.0499999999999993E-2</v>
      </c>
      <c r="AA212" s="194">
        <f t="shared" si="103"/>
        <v>0.42519999999999997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104"/>
        <v>51</v>
      </c>
      <c r="AE212" s="77" t="str">
        <f t="shared" si="105"/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AF212" s="74" t="str">
        <f t="shared" si="106"/>
        <v>"C:\Program Files (x86)\AstroGrep\AstroGrep.exe" /e /r /s /spath="%USERPROFILE%\AppData\Local\Temp\OnboardLogs" /stypes="app*4029*20170909*" /stext=" 17:.+((SYSTEM_STATE.+slice.+state.+changed )|(ment ac)|(multiple cpu faults)|(system.+state.+changed )|(\[timeout)|(PRM\|1\|D)|(kpr)|(kdp)|(train st.+moving)|(\|lc)|(penalty))"</v>
      </c>
      <c r="AG212" s="206" t="str">
        <f t="shared" si="107"/>
        <v>Shuttle/Test</v>
      </c>
      <c r="AH212" s="78" t="str">
        <f t="shared" si="109"/>
        <v>"%USERPROFILE%\Documents\GitHub\eaglep3\Utilities\RefineRTDCRunTimes.py" --tripid 51-09 --locoid 4029 --swversion DE.1.0.9.0 --startMP 300:4957 --initTime 2017-09-09T10:37:54 --startdatetime 2017-09-09T10:50:12 --delay 44 --endMP 204:705 --enddatetime 2017-09-09T11:03:22 --enforcementcount 0 &gt;&gt;C:\Users\stu\Documents\GitHub\eaglep3-reporting\EC\2017-09-09-refined-times.txt</v>
      </c>
      <c r="AI212" s="96" t="str">
        <f t="shared" si="108"/>
        <v>echo {"issue":{"subject":"","project_id":79,"tracker_id":40,"status_id":1,"priority_id":2,"assigned_to_id":338,"start_date":"2017-09-09","description":"","custom_fields":[{"id":1,"name":"Subdivision","value":"Shuttle/Test"},{"id":4,"name":"Milepost","value":"0.0705"},{"id":17,"name":"Train ID","value":"51-09"},{"id":16,"name":"Locomotive ID","value":"4029"},{"id":130,"name":"Impact","value":""},{"id":150,"name":"Time of Event (Mountain Time)","value":"11:03:22"},{"id":151,"name":"Denver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0"/>
        <v>start /low /b %USERPROFILE%\Documents\GitHub\eaglep3\Utilities\DownloadLogsFromS3.py --loco 4029 --day 2017-09-09</v>
      </c>
      <c r="AN212" s="151" t="str">
        <f t="shared" si="111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17:03:22"},{"id":29,"name":"Sharepoint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830</v>
      </c>
      <c r="B213" s="7">
        <v>4050</v>
      </c>
      <c r="C213" s="21" t="s">
        <v>197</v>
      </c>
      <c r="D213" s="21" t="s">
        <v>598</v>
      </c>
      <c r="E213" s="13">
        <v>42988.042372685188</v>
      </c>
      <c r="F213" s="13">
        <v>42988.046157407407</v>
      </c>
      <c r="G213" s="7">
        <v>216</v>
      </c>
      <c r="H213" s="21" t="s">
        <v>597</v>
      </c>
      <c r="I213" s="13">
        <v>42988.047326388885</v>
      </c>
      <c r="J213" s="7">
        <v>0</v>
      </c>
      <c r="K213" s="89" t="str">
        <f t="shared" si="99"/>
        <v>4049/4050</v>
      </c>
      <c r="L213" s="214" t="str">
        <f>VLOOKUP(A213,'Trips&amp;Operators'!$C$1:$G$99911,5,FALSE)</f>
        <v>ANDERS STEVEN</v>
      </c>
      <c r="M213" s="6">
        <f t="shared" si="100"/>
        <v>1.1689814782585017E-3</v>
      </c>
      <c r="N213" s="7">
        <f t="shared" si="89"/>
        <v>1.6833333286922425</v>
      </c>
      <c r="O213" s="7"/>
      <c r="P213" s="7"/>
      <c r="Q213" s="22"/>
      <c r="R213" s="167"/>
      <c r="S213" s="210">
        <f t="shared" si="98"/>
        <v>0</v>
      </c>
      <c r="T213" s="192" t="str">
        <f t="shared" si="101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3" t="str">
        <f t="shared" si="102"/>
        <v>https://d0f6bd738d7f1b3e5a7ca70fe4ff75f0.us-east-1.aws.found.io/app/kibana#/discover/Steve-Slow-Train-Analysis-(2080s-and-2083s)?_g=(refreshInterval:(display:Off,pause:!f,section:0,value:0),time:(from:'2017-09-10T00:01:01-0600',mode:absolute,to:'2017-09-10T02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3" s="194" t="str">
        <f>IF(AA213&lt;VLOOKUP(AG213,Variables!$AC$3:$AD$8,2,FALSE),"Y","N")</f>
        <v>Y</v>
      </c>
      <c r="X213" s="194">
        <f t="shared" si="97"/>
        <v>2</v>
      </c>
      <c r="Y213" s="194">
        <f t="shared" si="95"/>
        <v>0.115</v>
      </c>
      <c r="Z213" s="194">
        <f t="shared" si="96"/>
        <v>0.35580000000000001</v>
      </c>
      <c r="AA213" s="194">
        <f t="shared" si="103"/>
        <v>0.24080000000000001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04"/>
        <v>53</v>
      </c>
      <c r="AE213" s="77" t="str">
        <f t="shared" si="105"/>
        <v>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 &amp; aws s3 cp s3://rtdc.mdm.uploadarchive.raw/RTDC4050/ "%USERPROFILE%\AppData\Local\Temp\OnboardLogs"\RTDC4050\2017-09-11 --exclude "*" --recursive --include "*20170911*" &amp; "%USERPROFILE%\Documents\GitHub\mrs-test-scripts\Headless Mode &amp; Sideloading\WalkAndUnGZ.bat" "%USERPROFILE%\AppData\Local\Temp\OnboardLogs"\RTDC4050\2017-09-11</v>
      </c>
      <c r="AF213" s="74" t="str">
        <f t="shared" si="106"/>
        <v>"C:\Program Files (x86)\AstroGrep\AstroGrep.exe" /e /r /s /spath="%USERPROFILE%\AppData\Local\Temp\OnboardLogs" /stypes="app*4050*20170910*" /stext=" 07:.+((SYSTEM_STATE.+slice.+state.+changed )|(ment ac)|(multiple cpu faults)|(system.+state.+changed )|(\[timeout)|(PRM\|1\|D)|(kpr)|(kdp)|(train st.+moving)|(\|lc)|(penalty))"</v>
      </c>
      <c r="AG213" s="206" t="str">
        <f t="shared" si="107"/>
        <v>Shuttle/Test</v>
      </c>
      <c r="AH213" s="78" t="str">
        <f t="shared" si="109"/>
        <v>"%USERPROFILE%\Documents\GitHub\eaglep3\Utilities\RefineRTDCRunTimes.py" --tripid 53-09 --locoid 4050 --swversion DE.1.0.9.0 --startMP 204:1150 --initTime 2017-09-10T01:01:01 --startdatetime 2017-09-10T01:06:28 --delay 216 --endMP 204:3558 --enddatetime 2017-09-10T01:08:09 --enforcementcount 0 &gt;&gt;C:\Users\stu\Documents\GitHub\eaglep3-reporting\EC\2017-09-09-refined-times.txt</v>
      </c>
      <c r="AI213" s="96" t="str">
        <f t="shared" si="108"/>
        <v>echo {"issue":{"subject":"","project_id":79,"tracker_id":40,"status_id":1,"priority_id":2,"assigned_to_id":338,"start_date":"2017-09-10","description":"","custom_fields":[{"id":1,"name":"Subdivision","value":"Shuttle/Test"},{"id":4,"name":"Milepost","value":"0.3558"},{"id":17,"name":"Train ID","value":"53-09"},{"id":16,"name":"Locomotive ID","value":"4050"},{"id":130,"name":"Impact","value":""},{"id":150,"name":"Time of Event (Mountain Time)","value":"01:08:09"},{"id":151,"name":"Denver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0"/>
        <v>start /low /b %USERPROFILE%\Documents\GitHub\eaglep3\Utilities\DownloadLogsFromS3.py --loco 4050 --day 2017-09-10</v>
      </c>
      <c r="AN213" s="151" t="str">
        <f t="shared" si="11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07:08:09"},{"id":29,"name":"Sharepoint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744</v>
      </c>
      <c r="B214" s="7">
        <v>4012</v>
      </c>
      <c r="C214" s="21" t="s">
        <v>197</v>
      </c>
      <c r="D214" s="21" t="s">
        <v>953</v>
      </c>
      <c r="E214" s="13">
        <v>42987.531481481485</v>
      </c>
      <c r="F214" s="13">
        <v>25568.708333333332</v>
      </c>
      <c r="G214" s="7">
        <v>182</v>
      </c>
      <c r="H214" s="21" t="s">
        <v>439</v>
      </c>
      <c r="I214" s="13">
        <v>25568.708333333332</v>
      </c>
      <c r="J214" s="7">
        <v>0</v>
      </c>
      <c r="K214" s="89" t="str">
        <f t="shared" si="99"/>
        <v>4011/4012</v>
      </c>
      <c r="L214" s="214" t="str">
        <f>VLOOKUP(A214,'Trips&amp;Operators'!$C$1:$G$99911,5,FALSE)</f>
        <v>DELGADO DIANAH</v>
      </c>
      <c r="M214" s="6">
        <f t="shared" si="100"/>
        <v>0</v>
      </c>
      <c r="N214" s="7">
        <f t="shared" si="89"/>
        <v>0</v>
      </c>
      <c r="O214" s="7"/>
      <c r="P214" s="7"/>
      <c r="Q214" s="22"/>
      <c r="R214" s="167"/>
      <c r="S214" s="210">
        <f t="shared" si="98"/>
        <v>0</v>
      </c>
      <c r="T214" s="192" t="str">
        <f t="shared" si="101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102"/>
        <v>https://d0f6bd738d7f1b3e5a7ca70fe4ff75f0.us-east-1.aws.found.io/app/kibana#/discover/Steve-Slow-Train-Analysis-(2080s-and-2083s)?_g=(refreshInterval:(display:Off,pause:!f,section:0,value:0),time:(from:'2017-09-09T11:45:20-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4" t="str">
        <f>IF(AA214&lt;VLOOKUP(AG214,Variables!$AC$3:$AD$8,2,FALSE),"Y","N")</f>
        <v>Y</v>
      </c>
      <c r="X214" s="194">
        <f t="shared" si="97"/>
        <v>18</v>
      </c>
      <c r="Y214" s="194">
        <f t="shared" si="95"/>
        <v>4.3200000000000002E-2</v>
      </c>
      <c r="Z214" s="194">
        <f t="shared" si="96"/>
        <v>4.3299999999999998E-2</v>
      </c>
      <c r="AA214" s="194">
        <f t="shared" si="103"/>
        <v>9.9999999999995925E-5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04"/>
        <v>71</v>
      </c>
      <c r="AE214" s="77" t="str">
        <f t="shared" si="105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14" s="74" t="str">
        <f t="shared" si="106"/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14" s="206" t="str">
        <f t="shared" si="107"/>
        <v>Shuttle/Test</v>
      </c>
      <c r="AH214" s="78" t="str">
        <f t="shared" si="109"/>
        <v>"%USERPROFILE%\Documents\GitHub\eaglep3\Utilities\RefineRTDCRunTimes.py" --tripid 71-09 --locoid 4012 --swversion DE.1.0.9.0 --startMP 204:432 --initTime 2017-09-09T12:45:20 --startdatetime 1969-12-31T17:00:00 --delay 182 --endMP 204:433 --enddatetime 1969-12-31T17:00:00 --enforcementcount 0 &gt;&gt;C:\Users\stu\Documents\GitHub\eaglep3-reporting\EC\2017-09-09-refined-times.txt</v>
      </c>
      <c r="AI214" s="96" t="str">
        <f t="shared" si="108"/>
        <v>echo {"issue":{"subject":"","project_id":79,"tracker_id":40,"status_id":1,"priority_id":2,"assigned_to_id":338,"start_date":"1969-12-31","description":"","custom_fields":[{"id":1,"name":"Subdivision","value":"Shuttle/Test"},{"id":4,"name":"Milepost","value":"0.0433"},{"id":17,"name":"Train ID","value":"71-09"},{"id":16,"name":"Locomotive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10"/>
        <v>start /low /b %USERPROFILE%\Documents\GitHub\eaglep3\Utilities\DownloadLogsFromS3.py --loco 4012 --day 1969-12-31</v>
      </c>
      <c r="AN214" s="151" t="str">
        <f t="shared" si="11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631</v>
      </c>
      <c r="B215" s="7">
        <v>4066</v>
      </c>
      <c r="C215" s="21" t="s">
        <v>197</v>
      </c>
      <c r="D215" s="21" t="s">
        <v>954</v>
      </c>
      <c r="E215" s="13">
        <v>42987.720659722225</v>
      </c>
      <c r="F215" s="13">
        <v>42987.723622685182</v>
      </c>
      <c r="G215" s="7">
        <v>56</v>
      </c>
      <c r="H215" s="21" t="s">
        <v>955</v>
      </c>
      <c r="I215" s="13">
        <v>42987.730092592596</v>
      </c>
      <c r="J215" s="7">
        <v>0</v>
      </c>
      <c r="K215" s="89" t="str">
        <f t="shared" si="99"/>
        <v>4065/4066</v>
      </c>
      <c r="L215" s="214" t="str">
        <f>VLOOKUP(A215,'Trips&amp;Operators'!$C$1:$G$99911,5,FALSE)</f>
        <v>DELGADO DIANAH</v>
      </c>
      <c r="M215" s="6">
        <f t="shared" si="100"/>
        <v>6.4699074137024581E-3</v>
      </c>
      <c r="N215" s="7">
        <f t="shared" si="89"/>
        <v>9.3166666757315397</v>
      </c>
      <c r="O215" s="7"/>
      <c r="P215" s="7"/>
      <c r="Q215" s="22"/>
      <c r="R215" s="167"/>
      <c r="S215" s="210">
        <f t="shared" si="98"/>
        <v>1</v>
      </c>
      <c r="T215" s="192" t="str">
        <f t="shared" si="101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102"/>
        <v>https://d0f6bd738d7f1b3e5a7ca70fe4ff75f0.us-east-1.aws.found.io/app/kibana#/discover/Steve-Slow-Train-Analysis-(2080s-and-2083s)?_g=(refreshInterval:(display:Off,pause:!f,section:0,value:0),time:(from:'2017-09-09T16:17:45-0600',mode:absolute,to:'2017-09-09T18:31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5" s="194" t="str">
        <f>IF(AA215&lt;VLOOKUP(AG215,Variables!$AC$3:$AD$8,2,FALSE),"Y","N")</f>
        <v>Y</v>
      </c>
      <c r="X215" s="194">
        <f t="shared" si="97"/>
        <v>4</v>
      </c>
      <c r="Y215" s="194">
        <f t="shared" si="95"/>
        <v>0.1137</v>
      </c>
      <c r="Z215" s="194">
        <f t="shared" si="96"/>
        <v>2.3306</v>
      </c>
      <c r="AA215" s="194">
        <f t="shared" si="103"/>
        <v>2.2168999999999999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04"/>
        <v>75</v>
      </c>
      <c r="AE215" s="77" t="str">
        <f t="shared" si="105"/>
        <v>aws s3 cp s3://rtdc.mdm.uploadarchive.raw/RTDC4066/ "%USERPROFILE%\AppData\Local\Temp\OnboardLogs"\RTDC4066\2017-09-09 --exclude "*" --recursive --include "*20170909*" &amp; "%USERPROFILE%\Documents\GitHub\mrs-test-scripts\Headless Mode &amp; Sideloading\WalkAndUnGZ.bat" "%USERPROFILE%\AppData\Local\Temp\OnboardLogs"\RTDC4066\2017-09-09 &amp; aws s3 cp s3://rtdc.mdm.uploadarchive.raw/RTDC4066/ "%USERPROFILE%\AppData\Local\Temp\OnboardLogs"\RTDC4066\2017-09-10 --exclude "*" --recursive --include "*20170910*" &amp; "%USERPROFILE%\Documents\GitHub\mrs-test-scripts\Headless Mode &amp; Sideloading\WalkAndUnGZ.bat" "%USERPROFILE%\AppData\Local\Temp\OnboardLogs"\RTDC4066\2017-09-10</v>
      </c>
      <c r="AF215" s="74" t="str">
        <f t="shared" si="106"/>
        <v>"C:\Program Files (x86)\AstroGrep\AstroGrep.exe" /e /r /s /spath="%USERPROFILE%\AppData\Local\Temp\OnboardLogs" /stypes="app*4066*20170909*" /stext=" 23:.+((SYSTEM_STATE.+slice.+state.+changed )|(ment ac)|(multiple cpu faults)|(system.+state.+changed )|(\[timeout)|(PRM\|1\|D)|(kpr)|(kdp)|(train st.+moving)|(\|lc)|(penalty))"</v>
      </c>
      <c r="AG215" s="206" t="str">
        <f t="shared" si="107"/>
        <v>Shuttle/Test</v>
      </c>
      <c r="AH215" s="78" t="str">
        <f t="shared" si="109"/>
        <v>"%USERPROFILE%\Documents\GitHub\eaglep3\Utilities\RefineRTDCRunTimes.py" --tripid 75-09 --locoid 4066 --swversion DE.1.0.9.0 --startMP 204:1137 --initTime 2017-09-09T17:17:45 --startdatetime 2017-09-09T17:22:01 --delay 56 --endMP 300:23306 --enddatetime 2017-09-09T17:31:20 --enforcementcount 0 &gt;&gt;C:\Users\stu\Documents\GitHub\eaglep3-reporting\EC\2017-09-09-refined-times.txt</v>
      </c>
      <c r="AI215" s="96" t="str">
        <f t="shared" si="108"/>
        <v>echo {"issue":{"subject":"","project_id":79,"tracker_id":40,"status_id":1,"priority_id":2,"assigned_to_id":338,"start_date":"2017-09-09","description":"","custom_fields":[{"id":1,"name":"Subdivision","value":"Shuttle/Test"},{"id":4,"name":"Milepost","value":"2.3306"},{"id":17,"name":"Train ID","value":"75-09"},{"id":16,"name":"Locomotive ID","value":"4066"},{"id":130,"name":"Impact","value":""},{"id":150,"name":"Time of Event (Mountain Time)","value":"17:31:20"},{"id":151,"name":"Denver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0"/>
        <v>start /low /b %USERPROFILE%\Documents\GitHub\eaglep3\Utilities\DownloadLogsFromS3.py --loco 4066 --day 2017-09-09</v>
      </c>
      <c r="AN215" s="151" t="str">
        <f t="shared" si="111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23:31:20"},{"id":29,"name":"Sharepoint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631</v>
      </c>
      <c r="B216" s="7">
        <v>4062</v>
      </c>
      <c r="C216" s="21" t="s">
        <v>197</v>
      </c>
      <c r="D216" s="21" t="s">
        <v>956</v>
      </c>
      <c r="E216" s="13">
        <v>42987.702800925923</v>
      </c>
      <c r="F216" s="13">
        <v>42987.723622685182</v>
      </c>
      <c r="G216" s="7">
        <v>74</v>
      </c>
      <c r="H216" s="21" t="s">
        <v>957</v>
      </c>
      <c r="I216" s="13">
        <v>42987.730092592596</v>
      </c>
      <c r="J216" s="7">
        <v>0</v>
      </c>
      <c r="K216" s="89" t="str">
        <f t="shared" si="99"/>
        <v>4061/4062</v>
      </c>
      <c r="L216" s="214" t="str">
        <f>VLOOKUP(A216,'Trips&amp;Operators'!$C$1:$G$99911,5,FALSE)</f>
        <v>DELGADO DIANAH</v>
      </c>
      <c r="M216" s="6">
        <f t="shared" si="100"/>
        <v>6.4699074137024581E-3</v>
      </c>
      <c r="N216" s="7">
        <f t="shared" si="89"/>
        <v>9.3166666757315397</v>
      </c>
      <c r="O216" s="7"/>
      <c r="P216" s="7"/>
      <c r="Q216" s="22"/>
      <c r="R216" s="167"/>
      <c r="S216" s="210">
        <f t="shared" si="98"/>
        <v>0</v>
      </c>
      <c r="T216" s="192" t="str">
        <f t="shared" si="101"/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3" t="str">
        <f t="shared" si="102"/>
        <v>https://d0f6bd738d7f1b3e5a7ca70fe4ff75f0.us-east-1.aws.found.io/app/kibana#/discover/Steve-Slow-Train-Analysis-(2080s-and-2083s)?_g=(refreshInterval:(display:Off,pause:!f,section:0,value:0),time:(from:'2017-09-09T15:52:02-0600',mode:absolute,to:'2017-09-09T18:31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6" s="194" t="str">
        <f>IF(AA216&lt;VLOOKUP(AG216,Variables!$AC$3:$AD$8,2,FALSE),"Y","N")</f>
        <v>Y</v>
      </c>
      <c r="X216" s="194">
        <f t="shared" si="97"/>
        <v>0</v>
      </c>
      <c r="Y216" s="194">
        <f t="shared" si="95"/>
        <v>0.1477</v>
      </c>
      <c r="Z216" s="194">
        <f t="shared" si="96"/>
        <v>0.32850000000000001</v>
      </c>
      <c r="AA216" s="194">
        <f t="shared" si="103"/>
        <v>0.18080000000000002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04"/>
        <v>75</v>
      </c>
      <c r="AE216" s="77" t="str">
        <f t="shared" si="105"/>
        <v>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 &amp; 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</v>
      </c>
      <c r="AF216" s="74" t="str">
        <f t="shared" si="106"/>
        <v>"C:\Program Files (x86)\AstroGrep\AstroGrep.exe" /e /r /s /spath="%USERPROFILE%\AppData\Local\Temp\OnboardLogs" /stypes="app*4062*20170909*" /stext=" 23:.+((SYSTEM_STATE.+slice.+state.+changed )|(ment ac)|(multiple cpu faults)|(system.+state.+changed )|(\[timeout)|(PRM\|1\|D)|(kpr)|(kdp)|(train st.+moving)|(\|lc)|(penalty))"</v>
      </c>
      <c r="AG216" s="206" t="str">
        <f t="shared" si="107"/>
        <v>Shuttle/Test</v>
      </c>
      <c r="AH216" s="78" t="str">
        <f t="shared" si="109"/>
        <v>"%USERPROFILE%\Documents\GitHub\eaglep3\Utilities\RefineRTDCRunTimes.py" --tripid 75-09 --locoid 4062 --swversion DE.1.0.9.0 --startMP 204:1477 --initTime 2017-09-09T16:52:02 --startdatetime 2017-09-09T17:22:01 --delay 74 --endMP 204:3285 --enddatetime 2017-09-09T17:31:20 --enforcementcount 0 &gt;&gt;C:\Users\stu\Documents\GitHub\eaglep3-reporting\EC\2017-09-09-refined-times.txt</v>
      </c>
      <c r="AI216" s="96" t="str">
        <f t="shared" si="108"/>
        <v>echo {"issue":{"subject":"","project_id":79,"tracker_id":40,"status_id":1,"priority_id":2,"assigned_to_id":338,"start_date":"2017-09-09","description":"","custom_fields":[{"id":1,"name":"Subdivision","value":"Shuttle/Test"},{"id":4,"name":"Milepost","value":"0.3285"},{"id":17,"name":"Train ID","value":"75-09"},{"id":16,"name":"Locomotive ID","value":"4062"},{"id":130,"name":"Impact","value":""},{"id":150,"name":"Time of Event (Mountain Time)","value":"17:31:20"},{"id":151,"name":"Denver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0"/>
        <v>start /low /b %USERPROFILE%\Documents\GitHub\eaglep3\Utilities\DownloadLogsFromS3.py --loco 4062 --day 2017-09-09</v>
      </c>
      <c r="AN216" s="151" t="str">
        <f t="shared" si="111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23:31:20"},{"id":29,"name":"Sharepoint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751</v>
      </c>
      <c r="B217" s="7">
        <v>4061</v>
      </c>
      <c r="C217" s="21" t="s">
        <v>197</v>
      </c>
      <c r="D217" s="21" t="s">
        <v>958</v>
      </c>
      <c r="E217" s="13">
        <v>42987.558472222219</v>
      </c>
      <c r="F217" s="13">
        <v>42987.5625</v>
      </c>
      <c r="G217" s="7">
        <v>201</v>
      </c>
      <c r="H217" s="21" t="s">
        <v>959</v>
      </c>
      <c r="I217" s="13">
        <v>42987.569374999999</v>
      </c>
      <c r="J217" s="7">
        <v>0</v>
      </c>
      <c r="K217" s="89" t="str">
        <f t="shared" si="99"/>
        <v>4061/4062</v>
      </c>
      <c r="L217" s="214" t="str">
        <f>VLOOKUP(A217,'Trips&amp;Operators'!$C$1:$G$99911,5,FALSE)</f>
        <v>DELGADO DIANAH</v>
      </c>
      <c r="M217" s="6">
        <f t="shared" si="100"/>
        <v>6.8749999991268851E-3</v>
      </c>
      <c r="N217" s="7">
        <f t="shared" si="89"/>
        <v>9.8999999987427145</v>
      </c>
      <c r="O217" s="7"/>
      <c r="P217" s="7"/>
      <c r="Q217" s="22"/>
      <c r="R217" s="167"/>
      <c r="S217" s="210">
        <f t="shared" si="98"/>
        <v>1</v>
      </c>
      <c r="T217" s="192" t="str">
        <f t="shared" si="101"/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102"/>
        <v>https://d0f6bd738d7f1b3e5a7ca70fe4ff75f0.us-east-1.aws.found.io/app/kibana#/discover/Steve-Slow-Train-Analysis-(2080s-and-2083s)?_g=(refreshInterval:(display:Off,pause:!f,section:0,value:0),time:(from:'2017-09-09T12:24:12-0600',mode:absolute,to:'2017-09-09T14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194" t="str">
        <f>IF(AA217&lt;VLOOKUP(AG217,Variables!$AC$3:$AD$8,2,FALSE),"Y","N")</f>
        <v>Y</v>
      </c>
      <c r="X217" s="194">
        <f t="shared" si="97"/>
        <v>5</v>
      </c>
      <c r="Y217" s="194">
        <f t="shared" si="95"/>
        <v>2.2151000000000001</v>
      </c>
      <c r="Z217" s="194">
        <f t="shared" si="96"/>
        <v>0.1152</v>
      </c>
      <c r="AA217" s="194">
        <f t="shared" si="103"/>
        <v>2.0998999999999999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04"/>
        <v>80</v>
      </c>
      <c r="AE217" s="77" t="str">
        <f t="shared" si="105"/>
        <v>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 &amp; aws s3 cp s3://rtdc.mdm.uploadarchive.raw/RTDC4061/ "%USERPROFILE%\AppData\Local\Temp\OnboardLogs"\RTDC4061\2017-09-10 --exclude "*" --recursive --include "*20170910*" &amp; "%USERPROFILE%\Documents\GitHub\mrs-test-scripts\Headless Mode &amp; Sideloading\WalkAndUnGZ.bat" "%USERPROFILE%\AppData\Local\Temp\OnboardLogs"\RTDC4061\2017-09-10</v>
      </c>
      <c r="AF217" s="74" t="str">
        <f t="shared" si="106"/>
        <v>"C:\Program Files (x86)\AstroGrep\AstroGrep.exe" /e /r /s /spath="%USERPROFILE%\AppData\Local\Temp\OnboardLogs" /stypes="app*4061*20170909*" /stext=" 19:.+((SYSTEM_STATE.+slice.+state.+changed )|(ment ac)|(multiple cpu faults)|(system.+state.+changed )|(\[timeout)|(PRM\|1\|D)|(kpr)|(kdp)|(train st.+moving)|(\|lc)|(penalty))"</v>
      </c>
      <c r="AG217" s="206" t="str">
        <f t="shared" si="107"/>
        <v>Shuttle/Test</v>
      </c>
      <c r="AH217" s="78" t="str">
        <f t="shared" si="109"/>
        <v>"%USERPROFILE%\Documents\GitHub\eaglep3\Utilities\RefineRTDCRunTimes.py" --tripid 80-09 --locoid 4061 --swversion DE.1.0.9.0 --startMP 300:22151 --initTime 2017-09-09T13:24:12 --startdatetime 2017-09-09T13:30:00 --delay 201 --endMP 204:1152 --enddatetime 2017-09-09T13:39:54 --enforcementcount 0 &gt;&gt;C:\Users\stu\Documents\GitHub\eaglep3-reporting\EC\2017-09-09-refined-times.txt</v>
      </c>
      <c r="AI217" s="96" t="str">
        <f t="shared" si="108"/>
        <v>echo {"issue":{"subject":"","project_id":79,"tracker_id":40,"status_id":1,"priority_id":2,"assigned_to_id":338,"start_date":"2017-09-09","description":"","custom_fields":[{"id":1,"name":"Subdivision","value":"Shuttle/Test"},{"id":4,"name":"Milepost","value":"0.1152"},{"id":17,"name":"Train ID","value":"80-09"},{"id":16,"name":"Locomotive ID","value":"4061"},{"id":130,"name":"Impact","value":""},{"id":150,"name":"Time of Event (Mountain Time)","value":"13:39:54"},{"id":151,"name":"Denver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0"/>
        <v>start /low /b %USERPROFILE%\Documents\GitHub\eaglep3\Utilities\DownloadLogsFromS3.py --loco 4061 --day 2017-09-09</v>
      </c>
      <c r="AN217" s="151" t="str">
        <f t="shared" si="111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19:39:54"},{"id":29,"name":"Sharepoint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M218"/>
      <c r="AO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</sheetData>
  <autoFilter ref="A12:AG266"/>
  <sortState ref="A13:AN221">
    <sortCondition ref="AG13:AG221"/>
    <sortCondition ref="AD13:AD221"/>
  </sortState>
  <mergeCells count="1">
    <mergeCell ref="A11:P11"/>
  </mergeCells>
  <conditionalFormatting sqref="W11:W12 W272:X1048576 W13:X217">
    <cfRule type="cellIs" dxfId="10" priority="415" operator="equal">
      <formula>"Y"</formula>
    </cfRule>
  </conditionalFormatting>
  <conditionalFormatting sqref="X272:X1048576 X13:X217">
    <cfRule type="cellIs" dxfId="9" priority="398" operator="greaterThan">
      <formula>1</formula>
    </cfRule>
  </conditionalFormatting>
  <conditionalFormatting sqref="X272:X1048576 X12:X217">
    <cfRule type="cellIs" dxfId="8" priority="395" operator="equal">
      <formula>0</formula>
    </cfRule>
  </conditionalFormatting>
  <conditionalFormatting sqref="A13:S21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opLeftCell="A8" workbookViewId="0">
      <selection activeCell="AC16" sqref="AC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COUNTIF($O$7:$O$254,"=Y")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COUNTA($O$7:$O$254)-O2</f>
        <v>23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- 2017-09-09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359</v>
      </c>
      <c r="X6" s="205" t="s">
        <v>352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42987.73777777778</v>
      </c>
      <c r="B7" s="30" t="s">
        <v>624</v>
      </c>
      <c r="C7" s="30" t="s">
        <v>633</v>
      </c>
      <c r="D7" s="30" t="s">
        <v>49</v>
      </c>
      <c r="E7" s="30" t="s">
        <v>187</v>
      </c>
      <c r="F7" s="42">
        <v>20</v>
      </c>
      <c r="G7" s="42">
        <v>78</v>
      </c>
      <c r="H7" s="42">
        <v>27526</v>
      </c>
      <c r="I7" s="42">
        <v>27445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50.16</v>
      </c>
      <c r="N7" s="133" t="str">
        <f>VLOOKUP(C7,'Trips&amp;Operators'!$C$1:$G$99911,5,FALSE)</f>
        <v>HOLCOMB KAMDEN</v>
      </c>
      <c r="O7" s="200" t="s">
        <v>180</v>
      </c>
      <c r="P7" s="134" t="s">
        <v>983</v>
      </c>
      <c r="Q7" s="30"/>
      <c r="R7" s="81" t="str">
        <f>VLOOKUP(C7,'Train Runs'!$A$13:$AE$9925,31,0)</f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-09-09T16:08:19-0600',mode:absolute,to:'2017-09-09T18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/stypes="*4045*201709092*" /stext=" 23:.+((SYSTEM_STATE.+slice.+state.+changed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4045</v>
      </c>
      <c r="V7" s="31">
        <f t="shared" ref="V7:V38" si="3">A7-utc_offset/24</f>
        <v>42987.98777777778</v>
      </c>
      <c r="W7" s="45" t="str">
        <f t="shared" ref="W7:W38" si="4">DetSubdiv(C7)</f>
        <v>EC</v>
      </c>
      <c r="X7" s="22">
        <f t="shared" ref="X7:X38" si="5">VALUE(LEFT(C7,LEN(C7)-3))</f>
        <v>202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Arrival, repeated early arrival due to conservative approach times after an enforcement","project_id":79,"tracker_id":40,"status_id":1,"priority_id":2,"assigned_to_id":338,"start_date":"2017-09-09","description":"","custom_fields":[{"id":1,"name":"Subdivision","value":"EC"},{"id":4,"name":"Milepost","value":"2.735"},{"id":17,"name":"Train ID","value":"202-09"},{"id":16,"name":"Locomotive ID","value":"4045"},{"id":130,"name":"Impact","value":""},{"id":150,"name":"Time of Event (Mountain Time)","value":"17:42:24"},{"id":151,"name":"Denver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/c/Users/stu/AppData/Local/Temp/OnboardLogs/RTDC4045 --include="*4045*201709092*"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"%USERPROFILE%\AppData\Local\Temp\OnboardLogs"\RTDC4045\*4045*201709092* &gt;&gt; 2017-09-09-SliceDisagreementCheck.txt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4045 --day 2017-09-09</v>
      </c>
    </row>
    <row r="8" spans="1:32" s="1" customFormat="1" x14ac:dyDescent="0.25">
      <c r="A8" s="31">
        <v>42987.737326388888</v>
      </c>
      <c r="B8" s="30" t="s">
        <v>624</v>
      </c>
      <c r="C8" s="30" t="s">
        <v>633</v>
      </c>
      <c r="D8" s="30" t="s">
        <v>49</v>
      </c>
      <c r="E8" s="30" t="s">
        <v>187</v>
      </c>
      <c r="F8" s="42">
        <v>140</v>
      </c>
      <c r="G8" s="42">
        <v>210</v>
      </c>
      <c r="H8" s="42">
        <v>27823</v>
      </c>
      <c r="I8" s="42">
        <v>27569</v>
      </c>
      <c r="J8" s="30" t="s">
        <v>188</v>
      </c>
      <c r="K8" s="42">
        <v>27350</v>
      </c>
      <c r="L8" s="131" t="s">
        <v>51</v>
      </c>
      <c r="M8" s="132">
        <f t="shared" si="0"/>
        <v>115.63200000000001</v>
      </c>
      <c r="N8" s="133" t="str">
        <f>VLOOKUP(C8,'Trips&amp;Operators'!$C$1:$G$99911,5,FALSE)</f>
        <v>HOLCOMB KAMDEN</v>
      </c>
      <c r="O8" s="200" t="s">
        <v>180</v>
      </c>
      <c r="P8" s="134" t="s">
        <v>373</v>
      </c>
      <c r="Q8" s="30"/>
      <c r="R8" s="81" t="str">
        <f>VLOOKUP(C8,'Train Runs'!$A$13:$AE$9925,31,0)</f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-09-09T16:08:19-0600',mode:absolute,to:'2017-09-09T18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6" t="str">
        <f t="shared" si="1"/>
        <v>"C:\Program Files (x86)\AstroGrep\AstroGrep.exe" /e /r /s /spath="%USERPROFILE%\AppData\Local\Temp\OnboardLogs" /stypes="*4045*201709092*"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4045</v>
      </c>
      <c r="V8" s="31">
        <f t="shared" si="3"/>
        <v>42987.987326388888</v>
      </c>
      <c r="W8" s="45" t="str">
        <f t="shared" si="4"/>
        <v>EC</v>
      </c>
      <c r="X8" s="22">
        <f t="shared" si="5"/>
        <v>202</v>
      </c>
      <c r="Y8" s="96" t="str">
        <f t="shared" si="6"/>
        <v>echo {"issue":{"subject":"Early Arrival","project_id":79,"tracker_id":40,"status_id":1,"priority_id":2,"assigned_to_id":338,"start_date":"2017-09-09","description":"","custom_fields":[{"id":1,"name":"Subdivision","value":"EC"},{"id":4,"name":"Milepost","value":"2.735"},{"id":17,"name":"Train ID","value":"202-09"},{"id":16,"name":"Locomotive ID","value":"4045"},{"id":130,"name":"Impact","value":""},{"id":150,"name":"Time of Event (Mountain Time)","value":"17:41:45"},{"id":151,"name":"Denver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/c/Users/stu/AppData/Local/Temp/OnboardLogs/RTDC4045 --include="*4045*201709092*"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"%USERPROFILE%\AppData\Local\Temp\OnboardLogs"\RTDC4045\*4045*201709092* &gt;&gt; 2017-09-09-SliceDisagreementCheck.txt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4045 --day 2017-09-09</v>
      </c>
    </row>
    <row r="9" spans="1:32" s="1" customFormat="1" x14ac:dyDescent="0.25">
      <c r="A9" s="31">
        <v>42987.587037037039</v>
      </c>
      <c r="B9" s="30" t="s">
        <v>624</v>
      </c>
      <c r="C9" s="30" t="s">
        <v>625</v>
      </c>
      <c r="D9" s="30" t="s">
        <v>49</v>
      </c>
      <c r="E9" s="30" t="s">
        <v>187</v>
      </c>
      <c r="F9" s="42">
        <v>110</v>
      </c>
      <c r="G9" s="42">
        <v>160</v>
      </c>
      <c r="H9" s="42">
        <v>63685</v>
      </c>
      <c r="I9" s="42">
        <v>63446</v>
      </c>
      <c r="J9" s="30" t="s">
        <v>188</v>
      </c>
      <c r="K9" s="42">
        <v>63309</v>
      </c>
      <c r="L9" s="131" t="s">
        <v>51</v>
      </c>
      <c r="M9" s="132">
        <f t="shared" si="0"/>
        <v>72.335999999999999</v>
      </c>
      <c r="N9" s="133" t="str">
        <f>VLOOKUP(C9,'Trips&amp;Operators'!$C$1:$G$99911,5,FALSE)</f>
        <v>HOLCOMB KAMDEN</v>
      </c>
      <c r="O9" s="200" t="s">
        <v>180</v>
      </c>
      <c r="P9" s="134" t="s">
        <v>373</v>
      </c>
      <c r="Q9" s="30"/>
      <c r="R9" s="81" t="str">
        <f>VLOOKUP(C9,'Train Runs'!$A$13:$AE$9925,31,0)</f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-09-09T12:37:58-0600',mode:absolute,to:'2017-09-09T15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86" t="str">
        <f t="shared" si="1"/>
        <v>"C:\Program Files (x86)\AstroGrep\AstroGrep.exe" /e /r /s /spath="%USERPROFILE%\AppData\Local\Temp\OnboardLogs" /stypes="*4045*201709092*"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4045</v>
      </c>
      <c r="V9" s="31">
        <f t="shared" si="3"/>
        <v>42987.837037037039</v>
      </c>
      <c r="W9" s="45" t="str">
        <f t="shared" si="4"/>
        <v>EC</v>
      </c>
      <c r="X9" s="22">
        <f t="shared" si="5"/>
        <v>174</v>
      </c>
      <c r="Y9" s="96" t="str">
        <f t="shared" si="6"/>
        <v>echo {"issue":{"subject":"Early Arrival","project_id":79,"tracker_id":40,"status_id":1,"priority_id":2,"assigned_to_id":338,"start_date":"2017-09-09","description":"","custom_fields":[{"id":1,"name":"Subdivision","value":"EC"},{"id":4,"name":"Milepost","value":"6.3309"},{"id":17,"name":"Train ID","value":"174-09"},{"id":16,"name":"Locomotive ID","value":"4045"},{"id":130,"name":"Impact","value":""},{"id":150,"name":"Time of Event (Mountain Time)","value":"14:05:20"},{"id":151,"name":"Denver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/c/Users/stu/AppData/Local/Temp/OnboardLogs/RTDC4045 --include="*4045*201709092*"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"%USERPROFILE%\AppData\Local\Temp\OnboardLogs"\RTDC4045\*4045*201709092* &gt;&gt; 2017-09-09-SliceDisagreementCheck.txt</v>
      </c>
      <c r="AE9" s="145" t="str">
        <f t="shared" si="9"/>
        <v>start /low /b %USERPROFILE%\Documents\GitHub\eaglep3\Utilities\DownloadLogsFromS3.py --loco 4045 --day 2017-09-09</v>
      </c>
    </row>
    <row r="10" spans="1:32" s="1" customFormat="1" x14ac:dyDescent="0.25">
      <c r="A10" s="31">
        <v>42987.551585648151</v>
      </c>
      <c r="B10" s="30" t="s">
        <v>621</v>
      </c>
      <c r="C10" s="30" t="s">
        <v>622</v>
      </c>
      <c r="D10" s="30" t="s">
        <v>49</v>
      </c>
      <c r="E10" s="30" t="s">
        <v>187</v>
      </c>
      <c r="F10" s="42">
        <v>0</v>
      </c>
      <c r="G10" s="42">
        <v>420</v>
      </c>
      <c r="H10" s="42">
        <v>109469</v>
      </c>
      <c r="I10" s="42">
        <v>108306</v>
      </c>
      <c r="J10" s="30" t="s">
        <v>188</v>
      </c>
      <c r="K10" s="42">
        <v>109135</v>
      </c>
      <c r="L10" s="131" t="s">
        <v>51</v>
      </c>
      <c r="M10" s="132">
        <f t="shared" si="0"/>
        <v>-437.71199999999999</v>
      </c>
      <c r="N10" s="133" t="str">
        <f>VLOOKUP(C10,'Trips&amp;Operators'!$C$1:$G$99911,5,FALSE)</f>
        <v>BADERTSCHER DIANE</v>
      </c>
      <c r="O10" s="200" t="s">
        <v>180</v>
      </c>
      <c r="P10" s="134" t="s">
        <v>373</v>
      </c>
      <c r="Q10" s="30"/>
      <c r="R10" s="81" t="str">
        <f>VLOOKUP(C10,'Train Runs'!$A$13:$AE$9925,31,0)</f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-09-09T11:50:35-0600',mode:absolute,to:'2017-09-09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6" t="str">
        <f t="shared" si="1"/>
        <v>"C:\Program Files (x86)\AstroGrep\AstroGrep.exe" /e /r /s /spath="%USERPROFILE%\AppData\Local\Temp\OnboardLogs" /stypes="*4053*201709091*"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4053</v>
      </c>
      <c r="V10" s="31">
        <f t="shared" si="3"/>
        <v>42987.801585648151</v>
      </c>
      <c r="W10" s="45" t="str">
        <f t="shared" si="4"/>
        <v>EC</v>
      </c>
      <c r="X10" s="22">
        <f t="shared" si="5"/>
        <v>168</v>
      </c>
      <c r="Y10" s="96" t="str">
        <f t="shared" si="6"/>
        <v>echo {"issue":{"subject":"Early Arrival","project_id":79,"tracker_id":40,"status_id":1,"priority_id":2,"assigned_to_id":338,"start_date":"2017-09-09","description":"","custom_fields":[{"id":1,"name":"Subdivision","value":"EC"},{"id":4,"name":"Milepost","value":"10.9135"},{"id":17,"name":"Train ID","value":"168-09"},{"id":16,"name":"Locomotive ID","value":"4053"},{"id":130,"name":"Impact","value":""},{"id":150,"name":"Time of Event (Mountain Time)","value":"13:14:17"},{"id":151,"name":"Denver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/c/Users/stu/AppData/Local/Temp/OnboardLogs/RTDC4053 --include="*4053*201709091*"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"%USERPROFILE%\AppData\Local\Temp\OnboardLogs"\RTDC4053\*4053*201709091* &gt;&gt; 2017-09-09-SliceDisagreementCheck.txt</v>
      </c>
      <c r="AE10" s="145" t="str">
        <f t="shared" si="9"/>
        <v>start /low /b %USERPROFILE%\Documents\GitHub\eaglep3\Utilities\DownloadLogsFromS3.py --loco 4053 --day 2017-09-09</v>
      </c>
    </row>
    <row r="11" spans="1:32" s="1" customFormat="1" x14ac:dyDescent="0.25">
      <c r="A11" s="31">
        <v>42987.794398148151</v>
      </c>
      <c r="B11" s="30" t="s">
        <v>543</v>
      </c>
      <c r="C11" s="30" t="s">
        <v>636</v>
      </c>
      <c r="D11" s="30" t="s">
        <v>49</v>
      </c>
      <c r="E11" s="30" t="s">
        <v>187</v>
      </c>
      <c r="F11" s="42">
        <v>0</v>
      </c>
      <c r="G11" s="42">
        <v>385</v>
      </c>
      <c r="H11" s="42">
        <v>109437</v>
      </c>
      <c r="I11" s="42">
        <v>108707</v>
      </c>
      <c r="J11" s="30" t="s">
        <v>188</v>
      </c>
      <c r="K11" s="42">
        <v>109135</v>
      </c>
      <c r="L11" s="131" t="s">
        <v>51</v>
      </c>
      <c r="M11" s="132">
        <f t="shared" si="0"/>
        <v>-225.98400000000001</v>
      </c>
      <c r="N11" s="133" t="str">
        <f>VLOOKUP(C11,'Trips&amp;Operators'!$C$1:$G$99911,5,FALSE)</f>
        <v>FORTUNATO FRANK</v>
      </c>
      <c r="O11" s="200" t="s">
        <v>180</v>
      </c>
      <c r="P11" s="134" t="s">
        <v>373</v>
      </c>
      <c r="Q11" s="30"/>
      <c r="R11" s="81" t="str">
        <f>VLOOKUP(C11,'Train Runs'!$A$13:$AE$9925,31,0)</f>
        <v>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 &amp; aws s3 cp s3://rtdc.mdm.uploadarchive.raw/RTDC4043/ "%USERPROFILE%\AppData\Local\Temp\OnboardLogs"\RTDC4043\2017-09-10 --exclude "*" --recursive --include "*20170910*" &amp; "%USERPROFILE%\Documents\GitHub\mrs-test-scripts\Headless Mode &amp; Sideloading\WalkAndUnGZ.bat" "%USERPROFILE%\AppData\Local\Temp\OnboardLogs"\RTDC4043\2017-09-10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-09-09T17:24:37-0600',mode:absolute,to:'2017-09-09T20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/stypes="*4043*201709100*"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42988.044398148151</v>
      </c>
      <c r="W11" s="45" t="str">
        <f t="shared" si="4"/>
        <v>EC</v>
      </c>
      <c r="X11" s="22">
        <f t="shared" si="5"/>
        <v>214</v>
      </c>
      <c r="Y11" s="96" t="str">
        <f t="shared" si="6"/>
        <v>echo {"issue":{"subject":"Early Arrival","project_id":79,"tracker_id":40,"status_id":1,"priority_id":2,"assigned_to_id":338,"start_date":"2017-09-09","description":"","custom_fields":[{"id":1,"name":"Subdivision","value":"EC"},{"id":4,"name":"Milepost","value":"10.9135"},{"id":17,"name":"Train ID","value":"214-09"},{"id":16,"name":"Locomotive ID","value":"4043"},{"id":130,"name":"Impact","value":""},{"id":150,"name":"Time of Event (Mountain Time)","value":"19:03:56"},{"id":151,"name":"Denver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/c/Users/stu/AppData/Local/Temp/OnboardLogs/RTDC4043 --include="*4043*201709100*"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"%USERPROFILE%\AppData\Local\Temp\OnboardLogs"\RTDC4043\*4043*201709100* &gt;&gt; 2017-09-09-SliceDisagreementCheck.txt</v>
      </c>
      <c r="AE11" s="145" t="str">
        <f t="shared" si="9"/>
        <v>start /low /b %USERPROFILE%\Documents\GitHub\eaglep3\Utilities\DownloadLogsFromS3.py --loco 4043 --day 2017-09-10</v>
      </c>
    </row>
    <row r="12" spans="1:32" x14ac:dyDescent="0.25">
      <c r="A12" s="31">
        <v>42987.743356481478</v>
      </c>
      <c r="B12" s="30" t="s">
        <v>536</v>
      </c>
      <c r="C12" s="30" t="s">
        <v>634</v>
      </c>
      <c r="D12" s="30" t="s">
        <v>96</v>
      </c>
      <c r="E12" s="30" t="s">
        <v>195</v>
      </c>
      <c r="F12" s="42">
        <v>300</v>
      </c>
      <c r="G12" s="42">
        <v>350</v>
      </c>
      <c r="H12" s="42">
        <v>20465</v>
      </c>
      <c r="I12" s="42">
        <v>21294</v>
      </c>
      <c r="J12" s="30" t="s">
        <v>196</v>
      </c>
      <c r="K12" s="42">
        <v>20338</v>
      </c>
      <c r="L12" s="131" t="s">
        <v>50</v>
      </c>
      <c r="M12" s="132">
        <f t="shared" si="0"/>
        <v>-504.76799999999997</v>
      </c>
      <c r="N12" s="133" t="str">
        <f>VLOOKUP(C12,'Trips&amp;Operators'!$C$1:$G$99911,5,FALSE)</f>
        <v>FORTUNATO FRANK</v>
      </c>
      <c r="O12" s="200" t="s">
        <v>180</v>
      </c>
      <c r="P12" s="134"/>
      <c r="Q12" s="30"/>
      <c r="R12" s="81" t="str">
        <f>VLOOKUP(C12,'Train Runs'!$A$13:$AE$9925,31,0)</f>
        <v>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 &amp; aws s3 cp s3://rtdc.mdm.uploadarchive.raw/RTDC4044/ "%USERPROFILE%\AppData\Local\Temp\OnboardLogs"\RTDC4044\2017-09-10 --exclude "*" --recursive --include "*20170910*" &amp; "%USERPROFILE%\Documents\GitHub\mrs-test-scripts\Headless Mode &amp; Sideloading\WalkAndUnGZ.bat" "%USERPROFILE%\AppData\Local\Temp\OnboardLogs"\RTDC4044\2017-09-10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-09-09T16:39:39-0600',mode:absolute,to:'2017-09-09T19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86" t="str">
        <f t="shared" si="1"/>
        <v>"C:\Program Files (x86)\AstroGrep\AstroGrep.exe" /e /r /s /spath="%USERPROFILE%\AppData\Local\Temp\OnboardLogs" /stypes="*4044*201709092*"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4044</v>
      </c>
      <c r="V12" s="31">
        <f t="shared" si="3"/>
        <v>42987.993356481478</v>
      </c>
      <c r="W12" s="45" t="str">
        <f t="shared" si="4"/>
        <v>EC</v>
      </c>
      <c r="X12" s="22">
        <f t="shared" si="5"/>
        <v>213</v>
      </c>
      <c r="Y12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{"issue":{"subject":"","project_id":79,"tracker_id":40,"status_id":1,"priority_id":2,"assigned_to_id":338,"start_date":"2017-09-09","description":"","custom_fields":[{"id":1,"name":"Subdivision","value":"EC"},{"id":4,"name":"Milepost","value":"2.0338"},{"id":17,"name":"Train ID","value":"213-09"},{"id":16,"name":"Locomotive ID","value":"4044"},{"id":130,"name":"Impact","value":""},{"id":150,"name":"Time of Event (Mountain Time)","value":"17:50:26"},{"id":151,"name":"Denver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/c/Users/stu/AppData/Local/Temp/OnboardLogs/RTDC4044 --include="*4044*201709092*"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"%USERPROFILE%\AppData\Local\Temp\OnboardLogs"\RTDC4044\*4044*201709092* &gt;&gt; 2017-09-09-SliceDisagreementCheck.txt</v>
      </c>
      <c r="AE12" s="145" t="str">
        <f t="shared" si="9"/>
        <v>start /low /b %USERPROFILE%\Documents\GitHub\eaglep3\Utilities\DownloadLogsFromS3.py --loco 4044 --day 2017-09-09</v>
      </c>
      <c r="AF12" s="1"/>
    </row>
    <row r="13" spans="1:32" x14ac:dyDescent="0.25">
      <c r="A13" s="31">
        <v>42987.556087962963</v>
      </c>
      <c r="B13" s="30" t="s">
        <v>406</v>
      </c>
      <c r="C13" s="30" t="s">
        <v>623</v>
      </c>
      <c r="D13" s="30" t="s">
        <v>96</v>
      </c>
      <c r="E13" s="30" t="s">
        <v>195</v>
      </c>
      <c r="F13" s="42">
        <v>700</v>
      </c>
      <c r="G13" s="42">
        <v>752</v>
      </c>
      <c r="H13" s="42">
        <v>170849</v>
      </c>
      <c r="I13" s="42">
        <v>167913</v>
      </c>
      <c r="J13" s="30" t="s">
        <v>196</v>
      </c>
      <c r="K13" s="42">
        <v>183829</v>
      </c>
      <c r="L13" s="131" t="s">
        <v>51</v>
      </c>
      <c r="M13" s="132">
        <f t="shared" si="0"/>
        <v>-8403.6479999999992</v>
      </c>
      <c r="N13" s="133" t="str">
        <f>VLOOKUP(C13,'Trips&amp;Operators'!$C$1:$G$99911,5,FALSE)</f>
        <v>MOSES BRADLEY</v>
      </c>
      <c r="O13" s="200" t="s">
        <v>180</v>
      </c>
      <c r="P13" s="134"/>
      <c r="Q13" s="30"/>
      <c r="R13" s="81" t="str">
        <f>VLOOKUP(C13,'Train Runs'!$A$13:$AE$9925,31,0)</f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-09-09T12:04:58-0600',mode:absolute,to:'2017-09-09T14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86" t="str">
        <f t="shared" si="1"/>
        <v>"C:\Program Files (x86)\AstroGrep\AstroGrep.exe" /e /r /s /spath="%USERPROFILE%\AppData\Local\Temp\OnboardLogs" /stypes="*4009*201709091*"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4009</v>
      </c>
      <c r="V13" s="31">
        <f t="shared" si="3"/>
        <v>42987.806087962963</v>
      </c>
      <c r="W13" s="45" t="str">
        <f t="shared" si="4"/>
        <v>EC</v>
      </c>
      <c r="X13" s="22">
        <f t="shared" si="5"/>
        <v>170</v>
      </c>
      <c r="Y13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{"issue":{"subject":"","project_id":79,"tracker_id":40,"status_id":1,"priority_id":2,"assigned_to_id":338,"start_date":"2017-09-09","description":"","custom_fields":[{"id":1,"name":"Subdivision","value":"EC"},{"id":4,"name":"Milepost","value":"18.3829"},{"id":17,"name":"Train ID","value":"170-09"},{"id":16,"name":"Locomotive ID","value":"4009"},{"id":130,"name":"Impact","value":""},{"id":150,"name":"Time of Event (Mountain Time)","value":"13:20:46"},{"id":151,"name":"Denver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/c/Users/stu/AppData/Local/Temp/OnboardLogs/RTDC4009 --include="*4009*201709091*"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"%USERPROFILE%\AppData\Local\Temp\OnboardLogs"\RTDC4009\*4009*201709091* &gt;&gt; 2017-09-09-SliceDisagreementCheck.txt</v>
      </c>
      <c r="AE13" s="145" t="str">
        <f t="shared" si="9"/>
        <v>start /low /b %USERPROFILE%\Documents\GitHub\eaglep3\Utilities\DownloadLogsFromS3.py --loco 4009 --day 2017-09-09</v>
      </c>
      <c r="AF13" s="1"/>
    </row>
    <row r="14" spans="1:32" x14ac:dyDescent="0.25">
      <c r="A14" s="31">
        <v>42987.294270833336</v>
      </c>
      <c r="B14" s="30" t="s">
        <v>514</v>
      </c>
      <c r="C14" s="30" t="s">
        <v>614</v>
      </c>
      <c r="D14" s="30" t="s">
        <v>96</v>
      </c>
      <c r="E14" s="30" t="s">
        <v>195</v>
      </c>
      <c r="F14" s="42">
        <v>600</v>
      </c>
      <c r="G14" s="42">
        <v>651</v>
      </c>
      <c r="H14" s="42">
        <v>184376</v>
      </c>
      <c r="I14" s="42">
        <v>181512</v>
      </c>
      <c r="J14" s="30" t="s">
        <v>196</v>
      </c>
      <c r="K14" s="42">
        <v>190834</v>
      </c>
      <c r="L14" s="131" t="s">
        <v>51</v>
      </c>
      <c r="M14" s="132">
        <f t="shared" si="0"/>
        <v>-4922.0159999999996</v>
      </c>
      <c r="N14" s="133" t="str">
        <f>VLOOKUP(C14,'Trips&amp;Operators'!$C$1:$G$99911,5,FALSE)</f>
        <v>DAVIS WENDY</v>
      </c>
      <c r="O14" s="200" t="s">
        <v>180</v>
      </c>
      <c r="P14" s="134"/>
      <c r="Q14" s="30"/>
      <c r="R14" s="81" t="str">
        <f>VLOOKUP(C14,'Train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-09-09T05:40:34-0600',mode:absolute,to:'2017-09-09T08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 t="shared" si="1"/>
        <v>"C:\Program Files (x86)\AstroGrep\AstroGrep.exe" /e /r /s /spath="%USERPROFILE%\AppData\Local\Temp\OnboardLogs" /stypes="*4049*201709091*"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4049</v>
      </c>
      <c r="V14" s="31">
        <f t="shared" si="3"/>
        <v>42987.544270833336</v>
      </c>
      <c r="W14" s="45" t="str">
        <f t="shared" si="4"/>
        <v>EC</v>
      </c>
      <c r="X14" s="22">
        <f t="shared" si="5"/>
        <v>120</v>
      </c>
      <c r="Y14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{"issue":{"subject":"","project_id":79,"tracker_id":40,"status_id":1,"priority_id":2,"assigned_to_id":338,"start_date":"2017-09-09","description":"","custom_fields":[{"id":1,"name":"Subdivision","value":"EC"},{"id":4,"name":"Milepost","value":"19.0834"},{"id":17,"name":"Train ID","value":"120-09"},{"id":16,"name":"Locomotive ID","value":"4049"},{"id":130,"name":"Impact","value":""},{"id":150,"name":"Time of Event (Mountain Time)","value":"07:03:45"},{"id":151,"name":"Denver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/c/Users/stu/AppData/Local/Temp/OnboardLogs/RTDC4049 --include="*4049*201709091*"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"%USERPROFILE%\AppData\Local\Temp\OnboardLogs"\RTDC4049\*4049*201709091* &gt;&gt; 2017-09-09-SliceDisagreementCheck.txt</v>
      </c>
      <c r="AE14" s="145" t="str">
        <f t="shared" si="9"/>
        <v>start /low /b %USERPROFILE%\Documents\GitHub\eaglep3\Utilities\DownloadLogsFromS3.py --loco 4049 --day 2017-09-09</v>
      </c>
      <c r="AF14" s="1"/>
    </row>
    <row r="15" spans="1:32" x14ac:dyDescent="0.25">
      <c r="A15" s="31">
        <v>42987.283182870371</v>
      </c>
      <c r="B15" s="30" t="s">
        <v>555</v>
      </c>
      <c r="C15" s="30" t="s">
        <v>613</v>
      </c>
      <c r="D15" s="30" t="s">
        <v>49</v>
      </c>
      <c r="E15" s="30" t="s">
        <v>195</v>
      </c>
      <c r="F15" s="42">
        <v>350</v>
      </c>
      <c r="G15" s="42">
        <v>589</v>
      </c>
      <c r="H15" s="42">
        <v>221255</v>
      </c>
      <c r="I15" s="42">
        <v>223365</v>
      </c>
      <c r="J15" s="30" t="s">
        <v>196</v>
      </c>
      <c r="K15" s="42">
        <v>224578</v>
      </c>
      <c r="L15" s="131" t="s">
        <v>50</v>
      </c>
      <c r="M15" s="132">
        <f t="shared" si="0"/>
        <v>640.46400000000006</v>
      </c>
      <c r="N15" s="133" t="str">
        <f>VLOOKUP(C15,'Trips&amp;Operators'!$C$1:$G$99911,5,FALSE)</f>
        <v>GEBRETEKLE DAGNEW</v>
      </c>
      <c r="O15" s="200" t="s">
        <v>180</v>
      </c>
      <c r="P15" s="134"/>
      <c r="Q15" s="30"/>
      <c r="R15" s="81" t="str">
        <f>VLOOKUP(C15,'Train Runs'!$A$13:$AE$9925,31,0)</f>
        <v>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 &amp; aws s3 cp s3://rtdc.mdm.uploadarchive.raw/RTDC4026/ "%USERPROFILE%\AppData\Local\Temp\OnboardLogs"\RTDC4026\2017-09-10 --exclude "*" --recursive --include "*20170910*" &amp; "%USERPROFILE%\Documents\GitHub\mrs-test-scripts\Headless Mode &amp; Sideloading\WalkAndUnGZ.bat" "%USERPROFILE%\AppData\Local\Temp\OnboardLogs"\RTDC4026\2017-09-10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-09-09T05:07:41-0600',mode:absolute,to:'2017-09-09T07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86" t="str">
        <f t="shared" si="1"/>
        <v>"C:\Program Files (x86)\AstroGrep\AstroGrep.exe" /e /r /s /spath="%USERPROFILE%\AppData\Local\Temp\OnboardLogs" /stypes="*4026*201709091*"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4026</v>
      </c>
      <c r="V15" s="31">
        <f t="shared" si="3"/>
        <v>42987.533182870371</v>
      </c>
      <c r="W15" s="45" t="str">
        <f t="shared" si="4"/>
        <v>EC</v>
      </c>
      <c r="X15" s="22">
        <f t="shared" si="5"/>
        <v>121</v>
      </c>
      <c r="Y15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{"issue":{"subject":"","project_id":79,"tracker_id":40,"status_id":1,"priority_id":2,"assigned_to_id":338,"start_date":"2017-09-09","description":"","custom_fields":[{"id":1,"name":"Subdivision","value":"EC"},{"id":4,"name":"Milepost","value":"22.4578"},{"id":17,"name":"Train ID","value":"121-09"},{"id":16,"name":"Locomotive ID","value":"4026"},{"id":130,"name":"Impact","value":""},{"id":150,"name":"Time of Event (Mountain Time)","value":"06:47:47"},{"id":151,"name":"Denver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/c/Users/stu/AppData/Local/Temp/OnboardLogs/RTDC4026 --include="*4026*201709091*"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"%USERPROFILE%\AppData\Local\Temp\OnboardLogs"\RTDC4026\*4026*201709091* &gt;&gt; 2017-09-09-SliceDisagreementCheck.txt</v>
      </c>
      <c r="AE15" s="145" t="str">
        <f t="shared" si="9"/>
        <v>start /low /b %USERPROFILE%\Documents\GitHub\eaglep3\Utilities\DownloadLogsFromS3.py --loco 4026 --day 2017-09-09</v>
      </c>
      <c r="AF15" s="1"/>
    </row>
    <row r="16" spans="1:32" x14ac:dyDescent="0.25">
      <c r="A16" s="31">
        <v>42987.717349537037</v>
      </c>
      <c r="B16" s="30" t="s">
        <v>406</v>
      </c>
      <c r="C16" s="30" t="s">
        <v>632</v>
      </c>
      <c r="D16" s="30" t="s">
        <v>49</v>
      </c>
      <c r="E16" s="30" t="s">
        <v>364</v>
      </c>
      <c r="F16" s="42">
        <v>0</v>
      </c>
      <c r="G16" s="42">
        <v>66</v>
      </c>
      <c r="H16" s="42">
        <v>28342</v>
      </c>
      <c r="I16" s="42">
        <v>28210</v>
      </c>
      <c r="J16" s="30" t="s">
        <v>365</v>
      </c>
      <c r="K16" s="42">
        <v>28061</v>
      </c>
      <c r="L16" s="131" t="s">
        <v>51</v>
      </c>
      <c r="M16" s="132">
        <f t="shared" si="0"/>
        <v>78.671999999999997</v>
      </c>
      <c r="N16" s="133" t="str">
        <f>VLOOKUP(C16,'Trips&amp;Operators'!$C$1:$G$99911,5,FALSE)</f>
        <v>DAVIDSON DAVID</v>
      </c>
      <c r="O16" s="200" t="s">
        <v>367</v>
      </c>
      <c r="P16" s="134" t="s">
        <v>977</v>
      </c>
      <c r="Q16" s="30"/>
      <c r="R16" s="81" t="str">
        <f>VLOOKUP(C16,'Train Runs'!$A$13:$AE$9925,31,0)</f>
        <v>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 &amp; 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-09-09T15:25:46-0600',mode:absolute,to:'2017-09-09T18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6" t="str">
        <f t="shared" si="1"/>
        <v>"C:\Program Files (x86)\AstroGrep\AstroGrep.exe" /e /r /s /spath="%USERPROFILE%\AppData\Local\Temp\OnboardLogs" /stypes="*4009*201709092*"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4009</v>
      </c>
      <c r="V16" s="31">
        <f t="shared" si="3"/>
        <v>42987.967349537037</v>
      </c>
      <c r="W16" s="45" t="str">
        <f t="shared" si="4"/>
        <v>EC</v>
      </c>
      <c r="X16" s="22">
        <f t="shared" si="5"/>
        <v>198</v>
      </c>
      <c r="Y16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drop","project_id":79,"tracker_id":40,"status_id":1,"priority_id":2,"assigned_to_id":338,"start_date":"2017-09-09","description":"","custom_fields":[{"id":1,"name":"Subdivision","value":"EC"},{"id":4,"name":"Milepost","value":"2.8061"},{"id":17,"name":"Train ID","value":"198-09"},{"id":16,"name":"Locomotive ID","value":"4009"},{"id":130,"name":"Impact","value":""},{"id":150,"name":"Time of Event (Mountain Time)","value":"17:12:59"},{"id":151,"name":"Denver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/c/Users/stu/AppData/Local/Temp/OnboardLogs/RTDC4009 --include="*4009*201709092*"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"%USERPROFILE%\AppData\Local\Temp\OnboardLogs"\RTDC4009\*4009*201709092* &gt;&gt; 2017-09-09-SliceDisagreementCheck.txt</v>
      </c>
      <c r="AE16" s="145" t="str">
        <f t="shared" si="9"/>
        <v>start /low /b %USERPROFILE%\Documents\GitHub\eaglep3\Utilities\DownloadLogsFromS3.py --loco 4009 --day 2017-09-09</v>
      </c>
      <c r="AF16" s="1"/>
    </row>
    <row r="17" spans="1:32" x14ac:dyDescent="0.25">
      <c r="A17" s="31">
        <v>42987.839583333334</v>
      </c>
      <c r="B17" s="30" t="s">
        <v>511</v>
      </c>
      <c r="C17" s="30" t="s">
        <v>638</v>
      </c>
      <c r="D17" s="30" t="s">
        <v>49</v>
      </c>
      <c r="E17" s="30" t="s">
        <v>364</v>
      </c>
      <c r="F17" s="42">
        <v>0</v>
      </c>
      <c r="G17" s="42">
        <v>181</v>
      </c>
      <c r="H17" s="42">
        <v>36536</v>
      </c>
      <c r="I17" s="42">
        <v>36703</v>
      </c>
      <c r="J17" s="30" t="s">
        <v>365</v>
      </c>
      <c r="K17" s="42">
        <v>36645</v>
      </c>
      <c r="L17" s="131" t="s">
        <v>50</v>
      </c>
      <c r="M17" s="132">
        <f t="shared" si="0"/>
        <v>-30.623999999999999</v>
      </c>
      <c r="N17" s="133" t="str">
        <f>VLOOKUP(C17,'Trips&amp;Operators'!$C$1:$G$99911,5,FALSE)</f>
        <v>BIRKHOLZ NADINE</v>
      </c>
      <c r="O17" s="200" t="s">
        <v>367</v>
      </c>
      <c r="P17" s="134" t="s">
        <v>978</v>
      </c>
      <c r="Q17" s="30"/>
      <c r="R17" s="81" t="str">
        <f>VLOOKUP(C17,'Train Runs'!$A$13:$AE$9925,31,0)</f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-09-09T18:39:11-0600',mode:absolute,to:'2017-09-09T21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7" s="86" t="str">
        <f t="shared" si="1"/>
        <v>"C:\Program Files (x86)\AstroGrep\AstroGrep.exe" /e /r /s /spath="%USERPROFILE%\AppData\Local\Temp\OnboardLogs" /stypes="*4050*201709100*" /stext=" 02:.+((SYSTEM_STATE.+slice.+state.+changed )|(ment ac)|(multiple cpu faults)|(system.+state.+changed )|(\[timeout)|(PRM\|1\|D)|(kpr)|(kdp)|(train st.+moving)|(\|lc)|(penalty))"</v>
      </c>
      <c r="U17" s="9" t="str">
        <f t="shared" si="2"/>
        <v>4050</v>
      </c>
      <c r="V17" s="31">
        <f t="shared" si="3"/>
        <v>42988.089583333334</v>
      </c>
      <c r="W17" s="45" t="str">
        <f t="shared" si="4"/>
        <v>EC</v>
      </c>
      <c r="X17" s="22">
        <f t="shared" si="5"/>
        <v>225</v>
      </c>
      <c r="Y17" s="96" t="str">
        <f t="shared" si="6"/>
        <v>echo {"issue":{"subject":"Premature downgrade at EC0365RH 27-1T 1N","project_id":79,"tracker_id":40,"status_id":1,"priority_id":2,"assigned_to_id":338,"start_date":"2017-09-09","description":"20:08:48 - signal dropped from 270 to 0 while train was approx 50 ft away, do logs show anything unusual?","custom_fields":[{"id":1,"name":"Subdivision","value":"EC"},{"id":4,"name":"Milepost","value":"3.6645"},{"id":17,"name":"Train ID","value":"225-09"},{"id":16,"name":"Locomotive ID","value":"4050"},{"id":130,"name":"Impact","value":"Enforcement"},{"id":150,"name":"Time of Event (Mountain Time)","value":"20:09:00"},{"id":151,"name":"Denver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17" s="159" t="s">
        <v>979</v>
      </c>
      <c r="AA17" s="47" t="s">
        <v>120</v>
      </c>
      <c r="AB17" s="47" t="s">
        <v>125</v>
      </c>
      <c r="AC17" s="115" t="str">
        <f t="shared" si="7"/>
        <v>grep -hrE -A400 "Enforcement Action" /c/Users/stu/AppData/Local/Temp/OnboardLogs/RTDC4050 --include="*4050*201709100*"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"%USERPROFILE%\AppData\Local\Temp\OnboardLogs"\RTDC4050\*4050*201709100* &gt;&gt; 2017-09-09-SliceDisagreementCheck.txt</v>
      </c>
      <c r="AE17" s="145" t="str">
        <f t="shared" si="9"/>
        <v>start /low /b %USERPROFILE%\Documents\GitHub\eaglep3\Utilities\DownloadLogsFromS3.py --loco 4050 --day 2017-09-10</v>
      </c>
      <c r="AF17" s="1"/>
    </row>
    <row r="18" spans="1:32" x14ac:dyDescent="0.25">
      <c r="A18" s="31">
        <v>42987.745891203704</v>
      </c>
      <c r="B18" s="30" t="s">
        <v>514</v>
      </c>
      <c r="C18" s="30" t="s">
        <v>635</v>
      </c>
      <c r="D18" s="30" t="s">
        <v>96</v>
      </c>
      <c r="E18" s="30" t="s">
        <v>364</v>
      </c>
      <c r="F18" s="42">
        <v>0</v>
      </c>
      <c r="G18" s="42">
        <v>5</v>
      </c>
      <c r="H18" s="42">
        <v>56887</v>
      </c>
      <c r="I18" s="42">
        <v>56862</v>
      </c>
      <c r="J18" s="30" t="s">
        <v>365</v>
      </c>
      <c r="K18" s="42">
        <v>57897</v>
      </c>
      <c r="L18" s="131" t="s">
        <v>51</v>
      </c>
      <c r="M18" s="132">
        <f t="shared" si="0"/>
        <v>-546.48</v>
      </c>
      <c r="N18" s="133" t="str">
        <f>VLOOKUP(C18,'Trips&amp;Operators'!$C$1:$G$99911,5,FALSE)</f>
        <v>DAVIS MICHAEL</v>
      </c>
      <c r="O18" s="200" t="s">
        <v>367</v>
      </c>
      <c r="P18" s="134" t="s">
        <v>977</v>
      </c>
      <c r="Q18" s="30"/>
      <c r="R18" s="81" t="str">
        <f>VLOOKUP(C18,'Train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-09-09T15:25:33-0600',mode:absolute,to:'2017-09-09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86" t="str">
        <f t="shared" si="1"/>
        <v>"C:\Program Files (x86)\AstroGrep\AstroGrep.exe" /e /r /s /spath="%USERPROFILE%\AppData\Local\Temp\OnboardLogs" /stypes="*4049*201709092*"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4049</v>
      </c>
      <c r="V18" s="31">
        <f t="shared" si="3"/>
        <v>42987.995891203704</v>
      </c>
      <c r="W18" s="45" t="str">
        <f t="shared" si="4"/>
        <v>EC</v>
      </c>
      <c r="X18" s="22">
        <f t="shared" si="5"/>
        <v>204</v>
      </c>
      <c r="Y18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drop","project_id":79,"tracker_id":40,"status_id":1,"priority_id":2,"assigned_to_id":338,"start_date":"2017-09-09","description":"","custom_fields":[{"id":1,"name":"Subdivision","value":"EC"},{"id":4,"name":"Milepost","value":"5.7897"},{"id":17,"name":"Train ID","value":"204-09"},{"id":16,"name":"Locomotive ID","value":"4049"},{"id":130,"name":"Impact","value":""},{"id":150,"name":"Time of Event (Mountain Time)","value":"17:54:05"},{"id":151,"name":"Denver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/c/Users/stu/AppData/Local/Temp/OnboardLogs/RTDC4049 --include="*4049*201709092*"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"%USERPROFILE%\AppData\Local\Temp\OnboardLogs"\RTDC4049\*4049*201709092* &gt;&gt; 2017-09-09-SliceDisagreementCheck.txt</v>
      </c>
      <c r="AE18" s="145" t="str">
        <f t="shared" si="9"/>
        <v>start /low /b %USERPROFILE%\Documents\GitHub\eaglep3\Utilities\DownloadLogsFromS3.py --loco 4049 --day 2017-09-09</v>
      </c>
      <c r="AF18" s="1"/>
    </row>
    <row r="19" spans="1:32" x14ac:dyDescent="0.25">
      <c r="A19" s="31">
        <v>42987.413101851853</v>
      </c>
      <c r="B19" s="30" t="s">
        <v>511</v>
      </c>
      <c r="C19" s="30" t="s">
        <v>615</v>
      </c>
      <c r="D19" s="30" t="s">
        <v>49</v>
      </c>
      <c r="E19" s="30" t="s">
        <v>364</v>
      </c>
      <c r="F19" s="42">
        <v>0</v>
      </c>
      <c r="G19" s="42">
        <v>773</v>
      </c>
      <c r="H19" s="42">
        <v>143430</v>
      </c>
      <c r="I19" s="42">
        <v>147407</v>
      </c>
      <c r="J19" s="30" t="s">
        <v>365</v>
      </c>
      <c r="K19" s="42">
        <v>144300</v>
      </c>
      <c r="L19" s="131" t="s">
        <v>50</v>
      </c>
      <c r="M19" s="132">
        <f t="shared" si="0"/>
        <v>-1640.4960000000001</v>
      </c>
      <c r="N19" s="133" t="str">
        <f>VLOOKUP(C19,'Trips&amp;Operators'!$C$1:$G$99911,5,FALSE)</f>
        <v>DAVIS WENDY</v>
      </c>
      <c r="O19" s="200" t="s">
        <v>367</v>
      </c>
      <c r="P19" s="134" t="s">
        <v>977</v>
      </c>
      <c r="Q19" s="30"/>
      <c r="R19" s="81" t="str">
        <f>VLOOKUP(C19,'Train Runs'!$A$13:$AE$9925,31,0)</f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-09-09T08:22:45-0600',mode:absolute,to:'2017-09-09T11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9" s="86" t="str">
        <f t="shared" si="1"/>
        <v>"C:\Program Files (x86)\AstroGrep\AstroGrep.exe" /e /r /s /spath="%USERPROFILE%\AppData\Local\Temp\OnboardLogs" /stypes="*4050*201709091*"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4050</v>
      </c>
      <c r="V19" s="31">
        <f t="shared" si="3"/>
        <v>42987.663101851853</v>
      </c>
      <c r="W19" s="45" t="str">
        <f t="shared" si="4"/>
        <v>EC</v>
      </c>
      <c r="X19" s="22">
        <f t="shared" si="5"/>
        <v>147</v>
      </c>
      <c r="Y19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drop","project_id":79,"tracker_id":40,"status_id":1,"priority_id":2,"assigned_to_id":338,"start_date":"2017-09-09","description":"","custom_fields":[{"id":1,"name":"Subdivision","value":"EC"},{"id":4,"name":"Milepost","value":"14.43"},{"id":17,"name":"Train ID","value":"147-09"},{"id":16,"name":"Locomotive ID","value":"4050"},{"id":130,"name":"Impact","value":""},{"id":150,"name":"Time of Event (Mountain Time)","value":"09:54:52"},{"id":151,"name":"Denver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/c/Users/stu/AppData/Local/Temp/OnboardLogs/RTDC4050 --include="*4050*201709091*"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"%USERPROFILE%\AppData\Local\Temp\OnboardLogs"\RTDC4050\*4050*201709091* &gt;&gt; 2017-09-09-SliceDisagreementCheck.txt</v>
      </c>
      <c r="AE19" s="145" t="str">
        <f t="shared" si="9"/>
        <v>start /low /b %USERPROFILE%\Documents\GitHub\eaglep3\Utilities\DownloadLogsFromS3.py --loco 4050 --day 2017-09-09</v>
      </c>
      <c r="AF19" s="1"/>
    </row>
    <row r="20" spans="1:32" x14ac:dyDescent="0.25">
      <c r="A20" s="31">
        <v>42987.896944444445</v>
      </c>
      <c r="B20" s="30" t="s">
        <v>514</v>
      </c>
      <c r="C20" s="30" t="s">
        <v>639</v>
      </c>
      <c r="D20" s="30" t="s">
        <v>96</v>
      </c>
      <c r="E20" s="30" t="s">
        <v>618</v>
      </c>
      <c r="F20" s="42">
        <v>0</v>
      </c>
      <c r="G20" s="42">
        <v>406</v>
      </c>
      <c r="H20" s="42">
        <v>13106</v>
      </c>
      <c r="I20" s="42">
        <v>11670</v>
      </c>
      <c r="J20" s="30" t="s">
        <v>619</v>
      </c>
      <c r="K20" s="42">
        <v>17100</v>
      </c>
      <c r="L20" s="131" t="s">
        <v>51</v>
      </c>
      <c r="M20" s="132">
        <f t="shared" si="0"/>
        <v>-2867.0400000000004</v>
      </c>
      <c r="N20" s="133" t="str">
        <f>VLOOKUP(C20,'Trips&amp;Operators'!$C$1:$G$99911,5,FALSE)</f>
        <v>BIRKHOLZ NADINE</v>
      </c>
      <c r="O20" s="200" t="s">
        <v>367</v>
      </c>
      <c r="P20" s="134" t="s">
        <v>984</v>
      </c>
      <c r="Q20" s="30"/>
      <c r="R20" s="81" t="str">
        <f>VLOOKUP(C20,'Train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-09-09T19:51:08-0600',mode:absolute,to:'2017-09-09T22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0" s="86" t="str">
        <f t="shared" si="1"/>
        <v>"C:\Program Files (x86)\AstroGrep\AstroGrep.exe" /e /r /s /spath="%USERPROFILE%\AppData\Local\Temp\OnboardLogs" /stypes="*4049*201709100*" /stext=" 03:.+((SYSTEM_STATE.+slice.+state.+changed )|(ment ac)|(multiple cpu faults)|(system.+state.+changed )|(\[timeout)|(PRM\|1\|D)|(kpr)|(kdp)|(train st.+moving)|(\|lc)|(penalty))"</v>
      </c>
      <c r="U20" s="9" t="str">
        <f t="shared" si="2"/>
        <v>4049</v>
      </c>
      <c r="V20" s="31">
        <f t="shared" si="3"/>
        <v>42988.146944444445</v>
      </c>
      <c r="W20" s="45" t="str">
        <f t="shared" si="4"/>
        <v>EC</v>
      </c>
      <c r="X20" s="22">
        <f t="shared" si="5"/>
        <v>226</v>
      </c>
      <c r="Y20" s="96" t="str">
        <f t="shared" si="6"/>
        <v>echo {"issue":{"subject":"Wi-MAX data drop (incident 53673)","project_id":79,"tracker_id":40,"status_id":1,"priority_id":2,"assigned_to_id":338,"start_date":"2017-09-09","description":"","custom_fields":[{"id":1,"name":"Subdivision","value":"EC"},{"id":4,"name":"Milepost","value":"1.71"},{"id":17,"name":"Train ID","value":"226-09"},{"id":16,"name":"Locomotive ID","value":"4049"},{"id":130,"name":"Impact","value":""},{"id":150,"name":"Time of Event (Mountain Time)","value":"21:31:36"},{"id":151,"name":"Denver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/c/Users/stu/AppData/Local/Temp/OnboardLogs/RTDC4049 --include="*4049*201709100*"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"%USERPROFILE%\AppData\Local\Temp\OnboardLogs"\RTDC4049\*4049*201709100* &gt;&gt; 2017-09-09-SliceDisagreementCheck.txt</v>
      </c>
      <c r="AE20" s="145" t="str">
        <f t="shared" si="9"/>
        <v>start /low /b %USERPROFILE%\Documents\GitHub\eaglep3\Utilities\DownloadLogsFromS3.py --loco 4049 --day 2017-09-10</v>
      </c>
      <c r="AF20" s="1"/>
    </row>
    <row r="21" spans="1:32" x14ac:dyDescent="0.25">
      <c r="A21" s="31">
        <v>42987.745115740741</v>
      </c>
      <c r="B21" s="30" t="s">
        <v>514</v>
      </c>
      <c r="C21" s="30" t="s">
        <v>635</v>
      </c>
      <c r="D21" s="30" t="s">
        <v>49</v>
      </c>
      <c r="E21" s="30" t="s">
        <v>618</v>
      </c>
      <c r="F21" s="42">
        <v>0</v>
      </c>
      <c r="G21" s="42">
        <v>376</v>
      </c>
      <c r="H21" s="42">
        <v>58184</v>
      </c>
      <c r="I21" s="42">
        <v>56891</v>
      </c>
      <c r="J21" s="30" t="s">
        <v>619</v>
      </c>
      <c r="K21" s="42">
        <v>57801</v>
      </c>
      <c r="L21" s="131" t="s">
        <v>51</v>
      </c>
      <c r="M21" s="132">
        <f t="shared" si="0"/>
        <v>-480.48</v>
      </c>
      <c r="N21" s="133" t="str">
        <f>VLOOKUP(C21,'Trips&amp;Operators'!$C$1:$G$99911,5,FALSE)</f>
        <v>DAVIS MICHAEL</v>
      </c>
      <c r="O21" s="200" t="s">
        <v>367</v>
      </c>
      <c r="P21" s="134" t="s">
        <v>977</v>
      </c>
      <c r="Q21" s="30"/>
      <c r="R21" s="81" t="str">
        <f>VLOOKUP(C21,'Train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-09-09T15:25:33-0600',mode:absolute,to:'2017-09-09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1" s="86" t="str">
        <f t="shared" si="1"/>
        <v>"C:\Program Files (x86)\AstroGrep\AstroGrep.exe" /e /r /s /spath="%USERPROFILE%\AppData\Local\Temp\OnboardLogs" /stypes="*4049*201709092*"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4049</v>
      </c>
      <c r="V21" s="31">
        <f t="shared" si="3"/>
        <v>42987.995115740741</v>
      </c>
      <c r="W21" s="45" t="str">
        <f t="shared" si="4"/>
        <v>EC</v>
      </c>
      <c r="X21" s="22">
        <f t="shared" si="5"/>
        <v>204</v>
      </c>
      <c r="Y21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drop","project_id":79,"tracker_id":40,"status_id":1,"priority_id":2,"assigned_to_id":338,"start_date":"2017-09-09","description":"","custom_fields":[{"id":1,"name":"Subdivision","value":"EC"},{"id":4,"name":"Milepost","value":"5.7801"},{"id":17,"name":"Train ID","value":"204-09"},{"id":16,"name":"Locomotive ID","value":"4049"},{"id":130,"name":"Impact","value":""},{"id":150,"name":"Time of Event (Mountain Time)","value":"17:52:58"},{"id":151,"name":"Denver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/c/Users/stu/AppData/Local/Temp/OnboardLogs/RTDC4049 --include="*4049*201709092*"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"%USERPROFILE%\AppData\Local\Temp\OnboardLogs"\RTDC4049\*4049*201709092* &gt;&gt; 2017-09-09-SliceDisagreementCheck.txt</v>
      </c>
      <c r="AE21" s="145" t="str">
        <f t="shared" si="9"/>
        <v>start /low /b %USERPROFILE%\Documents\GitHub\eaglep3\Utilities\DownloadLogsFromS3.py --loco 4049 --day 2017-09-09</v>
      </c>
      <c r="AF21" s="1"/>
    </row>
    <row r="22" spans="1:32" x14ac:dyDescent="0.25">
      <c r="A22" s="31">
        <v>42987.49145833333</v>
      </c>
      <c r="B22" s="30" t="s">
        <v>511</v>
      </c>
      <c r="C22" s="30" t="s">
        <v>617</v>
      </c>
      <c r="D22" s="30" t="s">
        <v>49</v>
      </c>
      <c r="E22" s="30" t="s">
        <v>618</v>
      </c>
      <c r="F22" s="42">
        <v>0</v>
      </c>
      <c r="G22" s="42">
        <v>586</v>
      </c>
      <c r="H22" s="42">
        <v>186719</v>
      </c>
      <c r="I22" s="42">
        <v>189542</v>
      </c>
      <c r="J22" s="30" t="s">
        <v>619</v>
      </c>
      <c r="K22" s="42">
        <v>190834</v>
      </c>
      <c r="L22" s="131" t="s">
        <v>50</v>
      </c>
      <c r="M22" s="132">
        <f t="shared" si="0"/>
        <v>682.17600000000004</v>
      </c>
      <c r="N22" s="133" t="str">
        <f>VLOOKUP(C22,'Trips&amp;Operators'!$C$1:$G$99911,5,FALSE)</f>
        <v>DAVIS MICHAEL</v>
      </c>
      <c r="O22" s="200" t="s">
        <v>367</v>
      </c>
      <c r="P22" s="134" t="s">
        <v>977</v>
      </c>
      <c r="Q22" s="30"/>
      <c r="R22" s="81" t="str">
        <f>VLOOKUP(C22,'Train Runs'!$A$13:$AE$9925,31,0)</f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-09-09T10:10:53-0600',mode:absolute,to:'2017-09-09T12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2" s="86" t="str">
        <f t="shared" si="1"/>
        <v>"C:\Program Files (x86)\AstroGrep\AstroGrep.exe" /e /r /s /spath="%USERPROFILE%\AppData\Local\Temp\OnboardLogs" /stypes="*4050*201709091*"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4050</v>
      </c>
      <c r="V22" s="31">
        <f t="shared" si="3"/>
        <v>42987.74145833333</v>
      </c>
      <c r="W22" s="45" t="str">
        <f t="shared" si="4"/>
        <v>EC</v>
      </c>
      <c r="X22" s="22">
        <f t="shared" si="5"/>
        <v>161</v>
      </c>
      <c r="Y22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drop","project_id":79,"tracker_id":40,"status_id":1,"priority_id":2,"assigned_to_id":338,"start_date":"2017-09-09","description":"","custom_fields":[{"id":1,"name":"Subdivision","value":"EC"},{"id":4,"name":"Milepost","value":"19.0834"},{"id":17,"name":"Train ID","value":"161-09"},{"id":16,"name":"Locomotive ID","value":"4050"},{"id":130,"name":"Impact","value":""},{"id":150,"name":"Time of Event (Mountain Time)","value":"11:47:42"},{"id":151,"name":"Denver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/c/Users/stu/AppData/Local/Temp/OnboardLogs/RTDC4050 --include="*4050*201709091*"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"%USERPROFILE%\AppData\Local\Temp\OnboardLogs"\RTDC4050\*4050*201709091* &gt;&gt; 2017-09-09-SliceDisagreementCheck.txt</v>
      </c>
      <c r="AE22" s="145" t="str">
        <f t="shared" si="9"/>
        <v>start /low /b %USERPROFILE%\Documents\GitHub\eaglep3\Utilities\DownloadLogsFromS3.py --loco 4050 --day 2017-09-09</v>
      </c>
      <c r="AF22" s="1"/>
    </row>
    <row r="23" spans="1:32" x14ac:dyDescent="0.25">
      <c r="A23" s="31">
        <v>42987.599502314813</v>
      </c>
      <c r="B23" s="30" t="s">
        <v>514</v>
      </c>
      <c r="C23" s="30" t="s">
        <v>626</v>
      </c>
      <c r="D23" s="30" t="s">
        <v>96</v>
      </c>
      <c r="E23" s="30" t="s">
        <v>537</v>
      </c>
      <c r="F23" s="42">
        <v>150</v>
      </c>
      <c r="G23" s="42">
        <v>203</v>
      </c>
      <c r="H23" s="42">
        <v>77803</v>
      </c>
      <c r="I23" s="42">
        <v>77451</v>
      </c>
      <c r="J23" s="30" t="s">
        <v>188</v>
      </c>
      <c r="K23" s="42">
        <v>78500</v>
      </c>
      <c r="L23" s="131" t="s">
        <v>51</v>
      </c>
      <c r="M23" s="132">
        <f t="shared" si="0"/>
        <v>-553.87199999999996</v>
      </c>
      <c r="N23" s="133" t="str">
        <f>VLOOKUP(C23,'Trips&amp;Operators'!$C$1:$G$99911,5,FALSE)</f>
        <v>DAVIS MICHAEL</v>
      </c>
      <c r="O23" s="200" t="s">
        <v>180</v>
      </c>
      <c r="P23" s="134"/>
      <c r="Q23" s="30"/>
      <c r="R23" s="81" t="str">
        <f>VLOOKUP(C23,'Train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-09-09T12:52:34-0600',mode:absolute,to:'2017-09-09T15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3" s="86" t="str">
        <f t="shared" si="1"/>
        <v>"C:\Program Files (x86)\AstroGrep\AstroGrep.exe" /e /r /s /spath="%USERPROFILE%\AppData\Local\Temp\OnboardLogs" /stypes="*4049*201709092*"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4049</v>
      </c>
      <c r="V23" s="31">
        <f t="shared" si="3"/>
        <v>42987.849502314813</v>
      </c>
      <c r="W23" s="45" t="str">
        <f t="shared" si="4"/>
        <v>EC</v>
      </c>
      <c r="X23" s="22">
        <f t="shared" si="5"/>
        <v>176</v>
      </c>
      <c r="Y23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{"issue":{"subject":"","project_id":79,"tracker_id":40,"status_id":1,"priority_id":2,"assigned_to_id":338,"start_date":"2017-09-09","description":"","custom_fields":[{"id":1,"name":"Subdivision","value":"EC"},{"id":4,"name":"Milepost","value":"7.85"},{"id":17,"name":"Train ID","value":"176-09"},{"id":16,"name":"Locomotive ID","value":"4049"},{"id":130,"name":"Impact","value":""},{"id":150,"name":"Time of Event (Mountain Time)","value":"14:23:17"},{"id":151,"name":"Denver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/c/Users/stu/AppData/Local/Temp/OnboardLogs/RTDC4049 --include="*4049*201709092*"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"%USERPROFILE%\AppData\Local\Temp\OnboardLogs"\RTDC4049\*4049*201709092* &gt;&gt; 2017-09-09-SliceDisagreementCheck.txt</v>
      </c>
      <c r="AE23" s="145" t="str">
        <f t="shared" si="9"/>
        <v>start /low /b %USERPROFILE%\Documents\GitHub\eaglep3\Utilities\DownloadLogsFromS3.py --loco 4049 --day 2017-09-09</v>
      </c>
      <c r="AF23" s="1"/>
    </row>
    <row r="24" spans="1:32" x14ac:dyDescent="0.25">
      <c r="A24" s="31">
        <v>42987.245775462965</v>
      </c>
      <c r="B24" s="30" t="s">
        <v>514</v>
      </c>
      <c r="C24" s="30" t="s">
        <v>612</v>
      </c>
      <c r="D24" s="30" t="s">
        <v>49</v>
      </c>
      <c r="E24" s="30" t="s">
        <v>181</v>
      </c>
      <c r="F24" s="42">
        <v>0</v>
      </c>
      <c r="G24" s="42">
        <v>66</v>
      </c>
      <c r="H24" s="42">
        <v>220</v>
      </c>
      <c r="I24" s="42">
        <v>163</v>
      </c>
      <c r="J24" s="30" t="s">
        <v>182</v>
      </c>
      <c r="K24" s="42">
        <v>1</v>
      </c>
      <c r="L24" s="131" t="s">
        <v>51</v>
      </c>
      <c r="M24" s="132">
        <f t="shared" si="0"/>
        <v>85.536000000000001</v>
      </c>
      <c r="N24" s="133" t="str">
        <f>VLOOKUP(C24,'Trips&amp;Operators'!$C$1:$G$99911,5,FALSE)</f>
        <v>DAVIS WENDY</v>
      </c>
      <c r="O24" s="200" t="s">
        <v>180</v>
      </c>
      <c r="P24" s="134"/>
      <c r="Q24" s="30"/>
      <c r="R24" s="81" t="str">
        <f>VLOOKUP(C24,'Train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-09-09T03:55:38-0600',mode:absolute,to:'2017-09-09T06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4" s="86" t="str">
        <f t="shared" si="1"/>
        <v>"C:\Program Files (x86)\AstroGrep\AstroGrep.exe" /e /r /s /spath="%USERPROFILE%\AppData\Local\Temp\OnboardLogs" /stypes="*4049*201709091*"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4049</v>
      </c>
      <c r="V24" s="31">
        <f t="shared" si="3"/>
        <v>42987.495775462965</v>
      </c>
      <c r="W24" s="45" t="str">
        <f t="shared" si="4"/>
        <v>EC</v>
      </c>
      <c r="X24" s="22">
        <f t="shared" si="5"/>
        <v>106</v>
      </c>
      <c r="Y24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ID","value":"106-09"},{"id":16,"name":"Locomotive ID","value":"4049"},{"id":130,"name":"Impact","value":""},{"id":150,"name":"Time of Event (Mountain Time)","value":"05:53:55"},{"id":151,"name":"Denver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/c/Users/stu/AppData/Local/Temp/OnboardLogs/RTDC4049 --include="*4049*201709091*"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"%USERPROFILE%\AppData\Local\Temp\OnboardLogs"\RTDC4049\*4049*201709091* &gt;&gt; 2017-09-09-SliceDisagreementCheck.txt</v>
      </c>
      <c r="AE24" s="145" t="str">
        <f t="shared" si="9"/>
        <v>start /low /b %USERPROFILE%\Documents\GitHub\eaglep3\Utilities\DownloadLogsFromS3.py --loco 4049 --day 2017-09-09</v>
      </c>
      <c r="AF24" s="1"/>
    </row>
    <row r="25" spans="1:32" x14ac:dyDescent="0.25">
      <c r="A25" s="31">
        <v>42987.597372685188</v>
      </c>
      <c r="B25" s="30" t="s">
        <v>624</v>
      </c>
      <c r="C25" s="30" t="s">
        <v>625</v>
      </c>
      <c r="D25" s="30" t="s">
        <v>49</v>
      </c>
      <c r="E25" s="30" t="s">
        <v>181</v>
      </c>
      <c r="F25" s="42">
        <v>0</v>
      </c>
      <c r="G25" s="42">
        <v>57</v>
      </c>
      <c r="H25" s="42">
        <v>189</v>
      </c>
      <c r="I25" s="42">
        <v>141</v>
      </c>
      <c r="J25" s="30" t="s">
        <v>182</v>
      </c>
      <c r="K25" s="42">
        <v>1</v>
      </c>
      <c r="L25" s="131" t="s">
        <v>51</v>
      </c>
      <c r="M25" s="132">
        <f t="shared" si="0"/>
        <v>73.92</v>
      </c>
      <c r="N25" s="133" t="str">
        <f>VLOOKUP(C25,'Trips&amp;Operators'!$C$1:$G$99911,5,FALSE)</f>
        <v>HOLCOMB KAMDEN</v>
      </c>
      <c r="O25" s="200" t="s">
        <v>180</v>
      </c>
      <c r="P25" s="134"/>
      <c r="Q25" s="30"/>
      <c r="R25" s="81" t="str">
        <f>VLOOKUP(C25,'Train Runs'!$A$13:$AE$9925,31,0)</f>
        <v>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 &amp; aws s3 cp s3://rtdc.mdm.uploadarchive.raw/RTDC4045/ "%USERPROFILE%\AppData\Local\Temp\OnboardLogs"\RTDC4045\2017-09-10 --exclude "*" --recursive --include "*20170910*" &amp; "%USERPROFILE%\Documents\GitHub\mrs-test-scripts\Headless Mode &amp; Sideloading\WalkAndUnGZ.bat" "%USERPROFILE%\AppData\Local\Temp\OnboardLogs"\RTDC4045\2017-09-10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-09-09T12:37:58-0600',mode:absolute,to:'2017-09-09T15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5" s="86" t="str">
        <f t="shared" si="1"/>
        <v>"C:\Program Files (x86)\AstroGrep\AstroGrep.exe" /e /r /s /spath="%USERPROFILE%\AppData\Local\Temp\OnboardLogs" /stypes="*4045*201709092*"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4045</v>
      </c>
      <c r="V25" s="31">
        <f t="shared" si="3"/>
        <v>42987.847372685188</v>
      </c>
      <c r="W25" s="45" t="str">
        <f t="shared" si="4"/>
        <v>EC</v>
      </c>
      <c r="X25" s="22">
        <f t="shared" si="5"/>
        <v>174</v>
      </c>
      <c r="Y25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ID","value":"174-09"},{"id":16,"name":"Locomotive ID","value":"4045"},{"id":130,"name":"Impact","value":""},{"id":150,"name":"Time of Event (Mountain Time)","value":"14:20:13"},{"id":151,"name":"Denver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/c/Users/stu/AppData/Local/Temp/OnboardLogs/RTDC4045 --include="*4045*201709092*"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"%USERPROFILE%\AppData\Local\Temp\OnboardLogs"\RTDC4045\*4045*201709092* &gt;&gt; 2017-09-09-SliceDisagreementCheck.txt</v>
      </c>
      <c r="AE25" s="145" t="str">
        <f t="shared" si="9"/>
        <v>start /low /b %USERPROFILE%\Documents\GitHub\eaglep3\Utilities\DownloadLogsFromS3.py --loco 4045 --day 2017-09-09</v>
      </c>
      <c r="AF25" s="1"/>
    </row>
    <row r="26" spans="1:32" x14ac:dyDescent="0.25">
      <c r="A26" s="31">
        <v>42987.614340277774</v>
      </c>
      <c r="B26" s="30" t="s">
        <v>514</v>
      </c>
      <c r="C26" s="30" t="s">
        <v>626</v>
      </c>
      <c r="D26" s="30" t="s">
        <v>49</v>
      </c>
      <c r="E26" s="30" t="s">
        <v>181</v>
      </c>
      <c r="F26" s="42">
        <v>0</v>
      </c>
      <c r="G26" s="42">
        <v>44</v>
      </c>
      <c r="H26" s="42">
        <v>149</v>
      </c>
      <c r="I26" s="42">
        <v>127</v>
      </c>
      <c r="J26" s="30" t="s">
        <v>182</v>
      </c>
      <c r="K26" s="42">
        <v>1</v>
      </c>
      <c r="L26" s="131" t="s">
        <v>51</v>
      </c>
      <c r="M26" s="132">
        <f t="shared" si="0"/>
        <v>66.528000000000006</v>
      </c>
      <c r="N26" s="133" t="str">
        <f>VLOOKUP(C26,'Trips&amp;Operators'!$C$1:$G$99911,5,FALSE)</f>
        <v>DAVIS MICHAEL</v>
      </c>
      <c r="O26" s="200" t="s">
        <v>180</v>
      </c>
      <c r="P26" s="134"/>
      <c r="Q26" s="30"/>
      <c r="R26" s="81" t="str">
        <f>VLOOKUP(C26,'Train Runs'!$A$13:$AE$9925,31,0)</f>
        <v>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 &amp; aws s3 cp s3://rtdc.mdm.uploadarchive.raw/RTDC4049/ "%USERPROFILE%\AppData\Local\Temp\OnboardLogs"\RTDC4049\2017-09-10 --exclude "*" --recursive --include "*20170910*" &amp; "%USERPROFILE%\Documents\GitHub\mrs-test-scripts\Headless Mode &amp; Sideloading\WalkAndUnGZ.bat" "%USERPROFILE%\AppData\Local\Temp\OnboardLogs"\RTDC4049\2017-09-10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-09-09T12:52:34-0600',mode:absolute,to:'2017-09-09T15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6" s="86" t="str">
        <f t="shared" si="1"/>
        <v>"C:\Program Files (x86)\AstroGrep\AstroGrep.exe" /e /r /s /spath="%USERPROFILE%\AppData\Local\Temp\OnboardLogs" /stypes="*4049*201709092*"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4049</v>
      </c>
      <c r="V26" s="31">
        <f t="shared" si="3"/>
        <v>42987.864340277774</v>
      </c>
      <c r="W26" s="45" t="str">
        <f t="shared" si="4"/>
        <v>EC</v>
      </c>
      <c r="X26" s="22">
        <f t="shared" si="5"/>
        <v>176</v>
      </c>
      <c r="Y26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ID","value":"176-09"},{"id":16,"name":"Locomotive ID","value":"4049"},{"id":130,"name":"Impact","value":""},{"id":150,"name":"Time of Event (Mountain Time)","value":"14:44:39"},{"id":151,"name":"Denver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/c/Users/stu/AppData/Local/Temp/OnboardLogs/RTDC4049 --include="*4049*201709092*"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"%USERPROFILE%\AppData\Local\Temp\OnboardLogs"\RTDC4049\*4049*201709092* &gt;&gt; 2017-09-09-SliceDisagreementCheck.txt</v>
      </c>
      <c r="AE26" s="145" t="str">
        <f t="shared" si="9"/>
        <v>start /low /b %USERPROFILE%\Documents\GitHub\eaglep3\Utilities\DownloadLogsFromS3.py --loco 4049 --day 2017-09-09</v>
      </c>
      <c r="AF26" s="1"/>
    </row>
    <row r="27" spans="1:32" x14ac:dyDescent="0.25">
      <c r="A27" s="31">
        <v>42987.641365740739</v>
      </c>
      <c r="B27" s="30" t="s">
        <v>621</v>
      </c>
      <c r="C27" s="30" t="s">
        <v>627</v>
      </c>
      <c r="D27" s="30" t="s">
        <v>49</v>
      </c>
      <c r="E27" s="30" t="s">
        <v>181</v>
      </c>
      <c r="F27" s="42">
        <v>0</v>
      </c>
      <c r="G27" s="42">
        <v>41</v>
      </c>
      <c r="H27" s="42">
        <v>154</v>
      </c>
      <c r="I27" s="42">
        <v>121</v>
      </c>
      <c r="J27" s="30" t="s">
        <v>182</v>
      </c>
      <c r="K27" s="42">
        <v>1</v>
      </c>
      <c r="L27" s="131" t="s">
        <v>51</v>
      </c>
      <c r="M27" s="132">
        <f t="shared" si="0"/>
        <v>63.36</v>
      </c>
      <c r="N27" s="133" t="str">
        <f>VLOOKUP(C27,'Trips&amp;Operators'!$C$1:$G$99911,5,FALSE)</f>
        <v>LOPES KIMBERLY</v>
      </c>
      <c r="O27" s="200" t="s">
        <v>180</v>
      </c>
      <c r="P27" s="134"/>
      <c r="Q27" s="30"/>
      <c r="R27" s="81" t="str">
        <f>VLOOKUP(C27,'Train Runs'!$A$13:$AE$9925,31,0)</f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-09-09T13:30:41-0600',mode:absolute,to:'2017-09-09T16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7" s="86" t="str">
        <f t="shared" si="1"/>
        <v>"C:\Program Files (x86)\AstroGrep\AstroGrep.exe" /e /r /s /spath="%USERPROFILE%\AppData\Local\Temp\OnboardLogs" /stypes="*4053*201709092*"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4053</v>
      </c>
      <c r="V27" s="31">
        <f t="shared" si="3"/>
        <v>42987.891365740739</v>
      </c>
      <c r="W27" s="45" t="str">
        <f t="shared" si="4"/>
        <v>EC</v>
      </c>
      <c r="X27" s="22">
        <f t="shared" si="5"/>
        <v>182</v>
      </c>
      <c r="Y27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ID","value":"182-09"},{"id":16,"name":"Locomotive ID","value":"4053"},{"id":130,"name":"Impact","value":""},{"id":150,"name":"Time of Event (Mountain Time)","value":"15:23:34"},{"id":151,"name":"Denver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/c/Users/stu/AppData/Local/Temp/OnboardLogs/RTDC4053 --include="*4053*201709092*"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"%USERPROFILE%\AppData\Local\Temp\OnboardLogs"\RTDC4053\*4053*201709092* &gt;&gt; 2017-09-09-SliceDisagreementCheck.txt</v>
      </c>
      <c r="AE27" s="145" t="str">
        <f t="shared" si="9"/>
        <v>start /low /b %USERPROFILE%\Documents\GitHub\eaglep3\Utilities\DownloadLogsFromS3.py --loco 4053 --day 2017-09-09</v>
      </c>
      <c r="AF27" s="1"/>
    </row>
    <row r="28" spans="1:32" x14ac:dyDescent="0.25">
      <c r="A28" s="31">
        <v>42987.921620370369</v>
      </c>
      <c r="B28" s="30" t="s">
        <v>640</v>
      </c>
      <c r="C28" s="30" t="s">
        <v>641</v>
      </c>
      <c r="D28" s="30" t="s">
        <v>49</v>
      </c>
      <c r="E28" s="30" t="s">
        <v>181</v>
      </c>
      <c r="F28" s="42">
        <v>0</v>
      </c>
      <c r="G28" s="42">
        <v>44</v>
      </c>
      <c r="H28" s="42">
        <v>167</v>
      </c>
      <c r="I28" s="42">
        <v>129</v>
      </c>
      <c r="J28" s="30" t="s">
        <v>182</v>
      </c>
      <c r="K28" s="42">
        <v>1</v>
      </c>
      <c r="L28" s="131" t="s">
        <v>51</v>
      </c>
      <c r="M28" s="132">
        <f t="shared" si="0"/>
        <v>67.584000000000003</v>
      </c>
      <c r="N28" s="133" t="str">
        <f>VLOOKUP(C28,'Trips&amp;Operators'!$C$1:$G$99911,5,FALSE)</f>
        <v>NICHOLSON WESLEY</v>
      </c>
      <c r="O28" s="200" t="s">
        <v>180</v>
      </c>
      <c r="P28" s="134"/>
      <c r="Q28" s="30"/>
      <c r="R28" s="81" t="str">
        <f>VLOOKUP(C28,'Train Runs'!$A$13:$AE$9925,31,0)</f>
        <v>aws s3 cp s3://rtdc.mdm.uploadarchive.raw/RTDC4025/ "%USERPROFILE%\AppData\Local\Temp\OnboardLogs"\RTDC4025\2017-09-09 --exclude "*" --recursive --include "*20170909*" &amp; "%USERPROFILE%\Documents\GitHub\mrs-test-scripts\Headless Mode &amp; Sideloading\WalkAndUnGZ.bat" "%USERPROFILE%\AppData\Local\Temp\OnboardLogs"\RTDC4025\2017-09-09 &amp; aws s3 cp s3://rtdc.mdm.uploadarchive.raw/RTDC4025/ "%USERPROFILE%\AppData\Local\Temp\OnboardLogs"\RTDC4025\2017-09-10 --exclude "*" --recursive --include "*20170910*" &amp; "%USERPROFILE%\Documents\GitHub\mrs-test-scripts\Headless Mode &amp; Sideloading\WalkAndUnGZ.bat" "%USERPROFILE%\AppData\Local\Temp\OnboardLogs"\RTDC4025\2017-09-10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-09-09T20:21:04-0600',mode:absolute,to:'2017-09-09T23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6" t="str">
        <f t="shared" si="1"/>
        <v>"C:\Program Files (x86)\AstroGrep\AstroGrep.exe" /e /r /s /spath="%USERPROFILE%\AppData\Local\Temp\OnboardLogs" /stypes="*4025*201709100*" /stext=" 04:.+((SYSTEM_STATE.+slice.+state.+changed )|(ment ac)|(multiple cpu faults)|(system.+state.+changed )|(\[timeout)|(PRM\|1\|D)|(kpr)|(kdp)|(train st.+moving)|(\|lc)|(penalty))"</v>
      </c>
      <c r="U28" s="9" t="str">
        <f t="shared" si="2"/>
        <v>4025</v>
      </c>
      <c r="V28" s="31">
        <f t="shared" si="3"/>
        <v>42988.171620370369</v>
      </c>
      <c r="W28" s="45" t="str">
        <f t="shared" si="4"/>
        <v>EC</v>
      </c>
      <c r="X28" s="22">
        <f t="shared" si="5"/>
        <v>228</v>
      </c>
      <c r="Y28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ID","value":"228-09"},{"id":16,"name":"Locomotive ID","value":"4025"},{"id":130,"name":"Impact","value":""},{"id":150,"name":"Time of Event (Mountain Time)","value":"22:07:08"},{"id":151,"name":"Denver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/c/Users/stu/AppData/Local/Temp/OnboardLogs/RTDC4025 --include="*4025*201709100*"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"%USERPROFILE%\AppData\Local\Temp\OnboardLogs"\RTDC4025\*4025*201709100* &gt;&gt; 2017-09-09-SliceDisagreementCheck.txt</v>
      </c>
      <c r="AE28" s="145" t="str">
        <f t="shared" si="9"/>
        <v>start /low /b %USERPROFILE%\Documents\GitHub\eaglep3\Utilities\DownloadLogsFromS3.py --loco 4025 --day 2017-09-10</v>
      </c>
      <c r="AF28" s="1"/>
    </row>
    <row r="29" spans="1:32" x14ac:dyDescent="0.25">
      <c r="A29" s="31">
        <v>42987.940104166664</v>
      </c>
      <c r="B29" s="30" t="s">
        <v>621</v>
      </c>
      <c r="C29" s="30" t="s">
        <v>642</v>
      </c>
      <c r="D29" s="30" t="s">
        <v>49</v>
      </c>
      <c r="E29" s="30" t="s">
        <v>181</v>
      </c>
      <c r="F29" s="42">
        <v>0</v>
      </c>
      <c r="G29" s="42">
        <v>60</v>
      </c>
      <c r="H29" s="42">
        <v>221</v>
      </c>
      <c r="I29" s="42">
        <v>156</v>
      </c>
      <c r="J29" s="30" t="s">
        <v>182</v>
      </c>
      <c r="K29" s="42">
        <v>1</v>
      </c>
      <c r="L29" s="131" t="s">
        <v>51</v>
      </c>
      <c r="M29" s="132">
        <f t="shared" si="0"/>
        <v>81.84</v>
      </c>
      <c r="N29" s="133" t="str">
        <f>VLOOKUP(C29,'Trips&amp;Operators'!$C$1:$G$99911,5,FALSE)</f>
        <v>HART KEVIN</v>
      </c>
      <c r="O29" s="200" t="s">
        <v>180</v>
      </c>
      <c r="P29" s="134"/>
      <c r="Q29" s="30"/>
      <c r="R29" s="81" t="str">
        <f>VLOOKUP(C29,'Train Runs'!$A$13:$AE$9925,31,0)</f>
        <v>aws s3 cp s3://rtdc.mdm.uploadarchive.raw/RTDC4053/ "%USERPROFILE%\AppData\Local\Temp\OnboardLogs"\RTDC4053\2017-09-09 --exclude "*" --recursive --include "*20170909*" &amp; "%USERPROFILE%\Documents\GitHub\mrs-test-scripts\Headless Mode &amp; Sideloading\WalkAndUnGZ.bat" "%USERPROFILE%\AppData\Local\Temp\OnboardLogs"\RTDC4053\2017-09-09 &amp; aws s3 cp s3://rtdc.mdm.uploadarchive.raw/RTDC4053/ "%USERPROFILE%\AppData\Local\Temp\OnboardLogs"\RTDC4053\2017-09-10 --exclude "*" --recursive --include "*20170910*" &amp; "%USERPROFILE%\Documents\GitHub\mrs-test-scripts\Headless Mode &amp; Sideloading\WalkAndUnGZ.bat" "%USERPROFILE%\AppData\Local\Temp\OnboardLogs"\RTDC4053\2017-09-10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-09-09T20:52:49-0600',mode:absolute,to:'2017-09-09T23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86" t="str">
        <f t="shared" si="1"/>
        <v>"C:\Program Files (x86)\AstroGrep\AstroGrep.exe" /e /r /s /spath="%USERPROFILE%\AppData\Local\Temp\OnboardLogs" /stypes="*4053*201709100*" /stext=" 04:.+((SYSTEM_STATE.+slice.+state.+changed )|(ment ac)|(multiple cpu faults)|(system.+state.+changed )|(\[timeout)|(PRM\|1\|D)|(kpr)|(kdp)|(train st.+moving)|(\|lc)|(penalty))"</v>
      </c>
      <c r="U29" s="9" t="str">
        <f t="shared" si="2"/>
        <v>4053</v>
      </c>
      <c r="V29" s="31">
        <f t="shared" si="3"/>
        <v>42988.190104166664</v>
      </c>
      <c r="W29" s="45" t="str">
        <f t="shared" si="4"/>
        <v>EC</v>
      </c>
      <c r="X29" s="22">
        <f t="shared" si="5"/>
        <v>230</v>
      </c>
      <c r="Y29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ID","value":"230-09"},{"id":16,"name":"Locomotive ID","value":"4053"},{"id":130,"name":"Impact","value":""},{"id":150,"name":"Time of Event (Mountain Time)","value":"22:33:45"},{"id":151,"name":"Denver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/c/Users/stu/AppData/Local/Temp/OnboardLogs/RTDC4053 --include="*4053*201709100*"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"%USERPROFILE%\AppData\Local\Temp\OnboardLogs"\RTDC4053\*4053*201709100* &gt;&gt; 2017-09-09-SliceDisagreementCheck.txt</v>
      </c>
      <c r="AE29" s="145" t="str">
        <f t="shared" si="9"/>
        <v>start /low /b %USERPROFILE%\Documents\GitHub\eaglep3\Utilities\DownloadLogsFromS3.py --loco 4053 --day 2017-09-10</v>
      </c>
      <c r="AF29" s="1"/>
    </row>
    <row r="30" spans="1:32" x14ac:dyDescent="0.25">
      <c r="A30" s="31">
        <v>42987.644571759258</v>
      </c>
      <c r="B30" s="30" t="s">
        <v>511</v>
      </c>
      <c r="C30" s="30" t="s">
        <v>628</v>
      </c>
      <c r="D30" s="30" t="s">
        <v>49</v>
      </c>
      <c r="E30" s="30" t="s">
        <v>181</v>
      </c>
      <c r="F30" s="42">
        <v>0</v>
      </c>
      <c r="G30" s="42">
        <v>37</v>
      </c>
      <c r="H30" s="42">
        <v>233312</v>
      </c>
      <c r="I30" s="42">
        <v>233337</v>
      </c>
      <c r="J30" s="30" t="s">
        <v>182</v>
      </c>
      <c r="K30" s="42">
        <v>233491</v>
      </c>
      <c r="L30" s="131" t="s">
        <v>50</v>
      </c>
      <c r="M30" s="132">
        <f t="shared" si="0"/>
        <v>81.311999999999998</v>
      </c>
      <c r="N30" s="133" t="str">
        <f>VLOOKUP(C30,'Trips&amp;Operators'!$C$1:$G$99911,5,FALSE)</f>
        <v>DAVIS MICHAEL</v>
      </c>
      <c r="O30" s="200" t="s">
        <v>180</v>
      </c>
      <c r="P30" s="134"/>
      <c r="Q30" s="30"/>
      <c r="R30" s="81" t="str">
        <f>VLOOKUP(C30,'Train Runs'!$A$13:$AE$9925,31,0)</f>
        <v>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 &amp; aws s3 cp s3://rtdc.mdm.uploadarchive.raw/RTDC4050/ "%USERPROFILE%\AppData\Local\Temp\OnboardLogs"\RTDC4050\2017-09-10 --exclude "*" --recursive --include "*20170910*" &amp; "%USERPROFILE%\Documents\GitHub\mrs-test-scripts\Headless Mode &amp; Sideloading\WalkAndUnGZ.bat" "%USERPROFILE%\AppData\Local\Temp\OnboardLogs"\RTDC4050\2017-09-10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-09-09T13:47:28-0600',mode:absolute,to:'2017-09-09T16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0" s="86" t="str">
        <f t="shared" si="1"/>
        <v>"C:\Program Files (x86)\AstroGrep\AstroGrep.exe" /e /r /s /spath="%USERPROFILE%\AppData\Local\Temp\OnboardLogs" /stypes="*4050*201709092*"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4050</v>
      </c>
      <c r="V30" s="31">
        <f t="shared" si="3"/>
        <v>42987.894571759258</v>
      </c>
      <c r="W30" s="45" t="str">
        <f t="shared" si="4"/>
        <v>EC</v>
      </c>
      <c r="X30" s="22">
        <f t="shared" si="5"/>
        <v>189</v>
      </c>
      <c r="Y30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{"issue":{"subject":"","project_id":79,"tracker_id":40,"status_id":1,"priority_id":2,"assigned_to_id":338,"start_date":"2017-09-09","description":"","custom_fields":[{"id":1,"name":"Subdivision","value":"EC"},{"id":4,"name":"Milepost","value":"23.3491"},{"id":17,"name":"Train ID","value":"189-09"},{"id":16,"name":"Locomotive ID","value":"4050"},{"id":130,"name":"Impact","value":""},{"id":150,"name":"Time of Event (Mountain Time)","value":"15:28:11"},{"id":151,"name":"Denver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/c/Users/stu/AppData/Local/Temp/OnboardLogs/RTDC4050 --include="*4050*201709092*"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"%USERPROFILE%\AppData\Local\Temp\OnboardLogs"\RTDC4050\*4050*201709092* &gt;&gt; 2017-09-09-SliceDisagreementCheck.txt</v>
      </c>
      <c r="AE30" s="145" t="str">
        <f t="shared" si="9"/>
        <v>start /low /b %USERPROFILE%\Documents\GitHub\eaglep3\Utilities\DownloadLogsFromS3.py --loco 4050 --day 2017-09-09</v>
      </c>
      <c r="AF30" s="1"/>
    </row>
    <row r="31" spans="1:32" x14ac:dyDescent="0.25">
      <c r="A31" s="31">
        <v>42988.024537037039</v>
      </c>
      <c r="B31" s="30" t="s">
        <v>454</v>
      </c>
      <c r="C31" s="30" t="s">
        <v>643</v>
      </c>
      <c r="D31" s="30" t="s">
        <v>49</v>
      </c>
      <c r="E31" s="30" t="s">
        <v>181</v>
      </c>
      <c r="F31" s="42">
        <v>0</v>
      </c>
      <c r="G31" s="42">
        <v>34</v>
      </c>
      <c r="H31" s="42">
        <v>233399</v>
      </c>
      <c r="I31" s="42">
        <v>233418</v>
      </c>
      <c r="J31" s="30" t="s">
        <v>182</v>
      </c>
      <c r="K31" s="42">
        <v>233491</v>
      </c>
      <c r="L31" s="131" t="s">
        <v>50</v>
      </c>
      <c r="M31" s="132">
        <f t="shared" si="0"/>
        <v>38.543999999999997</v>
      </c>
      <c r="N31" s="133" t="str">
        <f>VLOOKUP(C31,'Trips&amp;Operators'!$C$1:$G$99911,5,FALSE)</f>
        <v>CASSIDY BRANDON</v>
      </c>
      <c r="O31" s="200" t="s">
        <v>180</v>
      </c>
      <c r="P31" s="134"/>
      <c r="Q31" s="30"/>
      <c r="R31" s="81" t="str">
        <f>VLOOKUP(C31,'Train Runs'!$A$13:$AE$9925,31,0)</f>
        <v>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 &amp; aws s3 cp s3://rtdc.mdm.uploadarchive.raw/RTDC4062/ "%USERPROFILE%\AppData\Local\Temp\OnboardLogs"\RTDC4062\2017-09-11 --exclude "*" --recursive --include "*20170911*" &amp; "%USERPROFILE%\Documents\GitHub\mrs-test-scripts\Headless Mode &amp; Sideloading\WalkAndUnGZ.bat" "%USERPROFILE%\AppData\Local\Temp\OnboardLogs"\RTDC4062\2017-09-11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-09-09T23:08:41-0600',mode:absolute,to:'2017-09-10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1" s="86" t="str">
        <f t="shared" si="1"/>
        <v>"C:\Program Files (x86)\AstroGrep\AstroGrep.exe" /e /r /s /spath="%USERPROFILE%\AppData\Local\Temp\OnboardLogs" /stypes="*4062*201709100*"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4062</v>
      </c>
      <c r="V31" s="31">
        <f t="shared" si="3"/>
        <v>42988.274537037039</v>
      </c>
      <c r="W31" s="45" t="str">
        <f t="shared" si="4"/>
        <v>EC</v>
      </c>
      <c r="X31" s="22">
        <f t="shared" si="5"/>
        <v>241</v>
      </c>
      <c r="Y31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{"issue":{"subject":"","project_id":79,"tracker_id":40,"status_id":1,"priority_id":2,"assigned_to_id":338,"start_date":"2017-09-10","description":"","custom_fields":[{"id":1,"name":"Subdivision","value":"EC"},{"id":4,"name":"Milepost","value":"23.3491"},{"id":17,"name":"Train ID","value":"241-09"},{"id":16,"name":"Locomotive ID","value":"4062"},{"id":130,"name":"Impact","value":""},{"id":150,"name":"Time of Event (Mountain Time)","value":"00:35:20"},{"id":151,"name":"Denver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/c/Users/stu/AppData/Local/Temp/OnboardLogs/RTDC4062 --include="*4062*201709100*"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"%USERPROFILE%\AppData\Local\Temp\OnboardLogs"\RTDC4062\*4062*201709100* &gt;&gt; 2017-09-09-SliceDisagreementCheck.txt</v>
      </c>
      <c r="AE31" s="145" t="str">
        <f t="shared" si="9"/>
        <v>start /low /b %USERPROFILE%\Documents\GitHub\eaglep3\Utilities\DownloadLogsFromS3.py --loco 4062 --day 2017-09-10</v>
      </c>
      <c r="AF31" s="1"/>
    </row>
    <row r="32" spans="1:32" x14ac:dyDescent="0.25">
      <c r="A32" s="31">
        <v>42987.6559375</v>
      </c>
      <c r="B32" s="30" t="s">
        <v>540</v>
      </c>
      <c r="C32" s="30" t="s">
        <v>629</v>
      </c>
      <c r="D32" s="30" t="s">
        <v>49</v>
      </c>
      <c r="E32" s="30" t="s">
        <v>195</v>
      </c>
      <c r="F32" s="42">
        <v>400</v>
      </c>
      <c r="G32" s="42">
        <v>581</v>
      </c>
      <c r="H32" s="42">
        <v>53248</v>
      </c>
      <c r="I32" s="42">
        <v>50962</v>
      </c>
      <c r="J32" s="30" t="s">
        <v>196</v>
      </c>
      <c r="K32" s="42">
        <v>49775</v>
      </c>
      <c r="L32" s="131" t="s">
        <v>51</v>
      </c>
      <c r="M32" s="132">
        <f t="shared" si="0"/>
        <v>626.73599999999999</v>
      </c>
      <c r="N32" s="133" t="str">
        <f>VLOOKUP(C32,'Trips&amp;Operators'!$C$1:$G$99911,5,FALSE)</f>
        <v>SMITH MICHAEL</v>
      </c>
      <c r="O32" s="200" t="s">
        <v>180</v>
      </c>
      <c r="P32" s="134"/>
      <c r="Q32" s="30"/>
      <c r="R32" s="81" t="str">
        <f>VLOOKUP(C32,'Train Runs'!$A$13:$AE$9925,31,0)</f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S32" s="84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-09-09T14:25:14-0600',mode:absolute,to:'2017-09-09T16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86" t="str">
        <f t="shared" si="1"/>
        <v>"C:\Program Files (x86)\AstroGrep\AstroGrep.exe" /e /r /s /spath="%USERPROFILE%\AppData\Local\Temp\OnboardLogs" /stypes="*4029*201709092*"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4029</v>
      </c>
      <c r="V32" s="31">
        <f t="shared" si="3"/>
        <v>42987.9059375</v>
      </c>
      <c r="W32" s="45" t="str">
        <f t="shared" si="4"/>
        <v>NW</v>
      </c>
      <c r="X32" s="22">
        <f t="shared" si="5"/>
        <v>1820</v>
      </c>
      <c r="Y32" s="96" t="str">
        <f t="shared" si="6"/>
        <v>echo {"issue":{"subject":"","project_id":79,"tracker_id":40,"status_id":1,"priority_id":2,"assigned_to_id":338,"start_date":"2017-09-09","description":"","custom_fields":[{"id":1,"name":"Subdivision","value":"NW"},{"id":4,"name":"Milepost","value":"4.9775"},{"id":17,"name":"Train ID","value":"1820-09"},{"id":16,"name":"Locomotive ID","value":"4029"},{"id":130,"name":"Impact","value":""},{"id":150,"name":"Time of Event (Mountain Time)","value":"15:44:33"},{"id":151,"name":"Denver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/c/Users/stu/AppData/Local/Temp/OnboardLogs/RTDC4029 --include="*4029*201709092*"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"%USERPROFILE%\AppData\Local\Temp\OnboardLogs"\RTDC4029\*4029*201709092* &gt;&gt; 2017-09-09-SliceDisagreementCheck.txt</v>
      </c>
      <c r="AE32" s="145" t="str">
        <f t="shared" si="9"/>
        <v>start /low /b %USERPROFILE%\Documents\GitHub\eaglep3\Utilities\DownloadLogsFromS3.py --loco 4029 --day 2017-09-09</v>
      </c>
      <c r="AF32" s="1"/>
    </row>
    <row r="33" spans="1:32" x14ac:dyDescent="0.25">
      <c r="A33" s="31">
        <v>42987.485810185186</v>
      </c>
      <c r="B33" s="30" t="s">
        <v>381</v>
      </c>
      <c r="C33" s="30" t="s">
        <v>616</v>
      </c>
      <c r="D33" s="30" t="s">
        <v>49</v>
      </c>
      <c r="E33" s="30" t="s">
        <v>195</v>
      </c>
      <c r="F33" s="42">
        <v>150</v>
      </c>
      <c r="G33" s="42">
        <v>334</v>
      </c>
      <c r="H33" s="42">
        <v>55425</v>
      </c>
      <c r="I33" s="42">
        <v>56105</v>
      </c>
      <c r="J33" s="30" t="s">
        <v>196</v>
      </c>
      <c r="K33" s="42">
        <v>57008</v>
      </c>
      <c r="L33" s="131" t="s">
        <v>50</v>
      </c>
      <c r="M33" s="132">
        <f t="shared" si="0"/>
        <v>476.78399999999999</v>
      </c>
      <c r="N33" s="133" t="str">
        <f>VLOOKUP(C33,'Trips&amp;Operators'!$C$1:$G$99911,5,FALSE)</f>
        <v>HUFFSMITH MONTY</v>
      </c>
      <c r="O33" s="200" t="s">
        <v>180</v>
      </c>
      <c r="P33" s="134"/>
      <c r="Q33" s="30"/>
      <c r="R33" s="81" t="str">
        <f>VLOOKUP(C33,'Train Runs'!$A$13:$AE$9925,31,0)</f>
        <v>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 &amp; 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</v>
      </c>
      <c r="S33" s="84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-09-09T10:24:40-0600',mode:absolute,to:'2017-09-09T12:42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3" s="86" t="str">
        <f t="shared" si="1"/>
        <v>"C:\Program Files (x86)\AstroGrep\AstroGrep.exe" /e /r /s /spath="%USERPROFILE%\AppData\Local\Temp\OnboardLogs" /stypes="*4030*201709091*"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4030</v>
      </c>
      <c r="V33" s="31">
        <f t="shared" si="3"/>
        <v>42987.735810185186</v>
      </c>
      <c r="W33" s="45" t="str">
        <f t="shared" si="4"/>
        <v>NW</v>
      </c>
      <c r="X33" s="22">
        <f t="shared" si="5"/>
        <v>1811</v>
      </c>
      <c r="Y33" s="96" t="str">
        <f t="shared" si="6"/>
        <v>echo {"issue":{"subject":"","project_id":79,"tracker_id":40,"status_id":1,"priority_id":2,"assigned_to_id":338,"start_date":"2017-09-09","description":"","custom_fields":[{"id":1,"name":"Subdivision","value":"NW"},{"id":4,"name":"Milepost","value":"5.7008"},{"id":17,"name":"Train ID","value":"1811-09"},{"id":16,"name":"Locomotive ID","value":"4030"},{"id":130,"name":"Impact","value":""},{"id":150,"name":"Time of Event (Mountain Time)","value":"11:39:34"},{"id":151,"name":"Denver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/c/Users/stu/AppData/Local/Temp/OnboardLogs/RTDC4030 --include="*4030*201709091*"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"%USERPROFILE%\AppData\Local\Temp\OnboardLogs"\RTDC4030\*4030*201709091* &gt;&gt; 2017-09-09-SliceDisagreementCheck.txt</v>
      </c>
      <c r="AE33" s="145" t="str">
        <f t="shared" si="9"/>
        <v>start /low /b %USERPROFILE%\Documents\GitHub\eaglep3\Utilities\DownloadLogsFromS3.py --loco 4030 --day 2017-09-09</v>
      </c>
      <c r="AF33" s="1"/>
    </row>
    <row r="34" spans="1:32" x14ac:dyDescent="0.25">
      <c r="A34" s="31">
        <v>42987.701898148145</v>
      </c>
      <c r="B34" s="30" t="s">
        <v>540</v>
      </c>
      <c r="C34" s="30" t="s">
        <v>630</v>
      </c>
      <c r="D34" s="30" t="s">
        <v>96</v>
      </c>
      <c r="E34" s="30" t="s">
        <v>364</v>
      </c>
      <c r="F34" s="42">
        <v>0</v>
      </c>
      <c r="G34" s="42">
        <v>4</v>
      </c>
      <c r="H34" s="42">
        <v>13772</v>
      </c>
      <c r="I34" s="42">
        <v>13760</v>
      </c>
      <c r="J34" s="30" t="s">
        <v>365</v>
      </c>
      <c r="K34" s="42">
        <v>14177</v>
      </c>
      <c r="L34" s="131" t="s">
        <v>51</v>
      </c>
      <c r="M34" s="132">
        <f t="shared" si="0"/>
        <v>-220.17599999999999</v>
      </c>
      <c r="N34" s="133" t="str">
        <f>VLOOKUP(C34,'Trips&amp;Operators'!$C$1:$G$99911,5,FALSE)</f>
        <v>SMITH MICHAEL</v>
      </c>
      <c r="O34" s="200" t="s">
        <v>367</v>
      </c>
      <c r="P34" s="134" t="s">
        <v>977</v>
      </c>
      <c r="Q34" s="30"/>
      <c r="R34" s="81" t="str">
        <f>VLOOKUP(C34,'Train Runs'!$A$13:$AE$9925,31,0)</f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S34" s="84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-09-09T15:25:06-0600',mode:absolute,to:'2017-09-09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4" s="86" t="str">
        <f t="shared" si="1"/>
        <v>"C:\Program Files (x86)\AstroGrep\AstroGrep.exe" /e /r /s /spath="%USERPROFILE%\AppData\Local\Temp\OnboardLogs" /stypes="*4029*201709092*"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4029</v>
      </c>
      <c r="V34" s="31">
        <f t="shared" si="3"/>
        <v>42987.951898148145</v>
      </c>
      <c r="W34" s="45" t="str">
        <f t="shared" si="4"/>
        <v>NW</v>
      </c>
      <c r="X34" s="22">
        <f t="shared" si="5"/>
        <v>1822</v>
      </c>
      <c r="Y34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drop","project_id":79,"tracker_id":40,"status_id":1,"priority_id":2,"assigned_to_id":338,"start_date":"2017-09-09","description":"","custom_fields":[{"id":1,"name":"Subdivision","value":"NW"},{"id":4,"name":"Milepost","value":"1.4177"},{"id":17,"name":"Train ID","value":"1822-09"},{"id":16,"name":"Locomotive ID","value":"4029"},{"id":130,"name":"Impact","value":""},{"id":150,"name":"Time of Event (Mountain Time)","value":"16:50:44"},{"id":151,"name":"Denver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/c/Users/stu/AppData/Local/Temp/OnboardLogs/RTDC4029 --include="*4029*201709092*"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"%USERPROFILE%\AppData\Local\Temp\OnboardLogs"\RTDC4029\*4029*201709092* &gt;&gt; 2017-09-09-SliceDisagreementCheck.txt</v>
      </c>
      <c r="AE34" s="145" t="str">
        <f t="shared" si="9"/>
        <v>start /low /b %USERPROFILE%\Documents\GitHub\eaglep3\Utilities\DownloadLogsFromS3.py --loco 4029 --day 2017-09-09</v>
      </c>
      <c r="AF34" s="1"/>
    </row>
    <row r="35" spans="1:32" x14ac:dyDescent="0.25">
      <c r="A35" s="31">
        <v>42987.494710648149</v>
      </c>
      <c r="B35" s="30" t="s">
        <v>540</v>
      </c>
      <c r="C35" s="30" t="s">
        <v>620</v>
      </c>
      <c r="D35" s="30" t="s">
        <v>49</v>
      </c>
      <c r="E35" s="30" t="s">
        <v>618</v>
      </c>
      <c r="F35" s="42">
        <v>0</v>
      </c>
      <c r="G35" s="42">
        <v>415</v>
      </c>
      <c r="H35" s="42">
        <v>26575</v>
      </c>
      <c r="I35" s="42">
        <v>25603</v>
      </c>
      <c r="J35" s="30" t="s">
        <v>619</v>
      </c>
      <c r="K35" s="42">
        <v>26319</v>
      </c>
      <c r="L35" s="131" t="s">
        <v>51</v>
      </c>
      <c r="M35" s="132">
        <f t="shared" si="0"/>
        <v>-378.048</v>
      </c>
      <c r="N35" s="133" t="str">
        <f>VLOOKUP(C35,'Trips&amp;Operators'!$C$1:$G$99911,5,FALSE)</f>
        <v>HUFFSMITH MONTY</v>
      </c>
      <c r="O35" s="200" t="s">
        <v>367</v>
      </c>
      <c r="P35" s="134" t="s">
        <v>977</v>
      </c>
      <c r="Q35" s="30"/>
      <c r="R35" s="81" t="str">
        <f>VLOOKUP(C35,'Train Runs'!$A$13:$AE$9925,31,0)</f>
        <v>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 &amp; 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</v>
      </c>
      <c r="S35" s="84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-09-09T10:43:55-0600',mode:absolute,to:'2017-09-09T13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6" t="str">
        <f t="shared" si="1"/>
        <v>"C:\Program Files (x86)\AstroGrep\AstroGrep.exe" /e /r /s /spath="%USERPROFILE%\AppData\Local\Temp\OnboardLogs" /stypes="*4029*201709091*"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4029</v>
      </c>
      <c r="V35" s="31">
        <f t="shared" si="3"/>
        <v>42987.744710648149</v>
      </c>
      <c r="W35" s="45" t="str">
        <f t="shared" si="4"/>
        <v>NW</v>
      </c>
      <c r="X35" s="22">
        <f t="shared" si="5"/>
        <v>1812</v>
      </c>
      <c r="Y35" s="96" t="str">
        <f t="shared" si="6"/>
        <v>echo {"issue":{"subject":"Wi-MAX data drop","project_id":79,"tracker_id":40,"status_id":1,"priority_id":2,"assigned_to_id":338,"start_date":"2017-09-09","description":"","custom_fields":[{"id":1,"name":"Subdivision","value":"NW"},{"id":4,"name":"Milepost","value":"2.6319"},{"id":17,"name":"Train ID","value":"1812-09"},{"id":16,"name":"Locomotive ID","value":"4029"},{"id":130,"name":"Impact","value":""},{"id":150,"name":"Time of Event (Mountain Time)","value":"11:52:23"},{"id":151,"name":"Denver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/c/Users/stu/AppData/Local/Temp/OnboardLogs/RTDC4029 --include="*4029*201709091*"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"%USERPROFILE%\AppData\Local\Temp\OnboardLogs"\RTDC4029\*4029*201709091* &gt;&gt; 2017-09-09-SliceDisagreementCheck.txt</v>
      </c>
      <c r="AE35" s="145" t="str">
        <f t="shared" si="9"/>
        <v>start /low /b %USERPROFILE%\Documents\GitHub\eaglep3\Utilities\DownloadLogsFromS3.py --loco 4029 --day 2017-09-09</v>
      </c>
      <c r="AF35" s="1"/>
    </row>
    <row r="36" spans="1:32" x14ac:dyDescent="0.25">
      <c r="A36" s="31">
        <v>42987.823067129626</v>
      </c>
      <c r="B36" s="30" t="s">
        <v>515</v>
      </c>
      <c r="C36" s="30" t="s">
        <v>637</v>
      </c>
      <c r="D36" s="30" t="s">
        <v>96</v>
      </c>
      <c r="E36" s="30" t="s">
        <v>195</v>
      </c>
      <c r="F36" s="42">
        <v>450</v>
      </c>
      <c r="G36" s="42">
        <v>500</v>
      </c>
      <c r="H36" s="42">
        <v>14423</v>
      </c>
      <c r="I36" s="42">
        <v>15903</v>
      </c>
      <c r="J36" s="30" t="s">
        <v>196</v>
      </c>
      <c r="K36" s="42">
        <v>13572</v>
      </c>
      <c r="L36" s="131" t="s">
        <v>50</v>
      </c>
      <c r="M36" s="132">
        <f t="shared" si="0"/>
        <v>-1230.768</v>
      </c>
      <c r="N36" s="133" t="str">
        <f>VLOOKUP(C36,'Trips&amp;Operators'!$C$1:$G$99911,5,FALSE)</f>
        <v>HOLCOMB KAMDEN</v>
      </c>
      <c r="O36" s="200" t="s">
        <v>180</v>
      </c>
      <c r="P36" s="134"/>
      <c r="Q36" s="30"/>
      <c r="R36" s="81" t="str">
        <f>VLOOKUP(C36,'Train Runs'!$A$13:$AE$9925,31,0)</f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S36" s="84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-09-09T18:38:47-0600',mode:absolute,to:'2017-09-09T20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6" s="86" t="str">
        <f t="shared" si="1"/>
        <v>"C:\Program Files (x86)\AstroGrep\AstroGrep.exe" /e /r /s /spath="%USERPROFILE%\AppData\Local\Temp\OnboardLogs" /stypes="*4046*201709100*"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4046</v>
      </c>
      <c r="V36" s="31">
        <f t="shared" si="3"/>
        <v>42988.073067129626</v>
      </c>
      <c r="W36" s="45" t="str">
        <f t="shared" si="4"/>
        <v>Other</v>
      </c>
      <c r="X36" s="22">
        <f t="shared" si="5"/>
        <v>305</v>
      </c>
      <c r="Y36" s="96" t="str">
        <f t="shared" si="6"/>
        <v>echo {"issue":{"subject":"","project_id":79,"tracker_id":40,"status_id":1,"priority_id":2,"assigned_to_id":338,"start_date":"2017-09-09","description":"","custom_fields":[{"id":1,"name":"Subdivision","value":"Other"},{"id":4,"name":"Milepost","value":"1.3572"},{"id":17,"name":"Train ID","value":"305-09"},{"id":16,"name":"Locomotive ID","value":"4046"},{"id":130,"name":"Impact","value":""},{"id":150,"name":"Time of Event (Mountain Time)","value":"19:45:13"},{"id":151,"name":"Denver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/c/Users/stu/AppData/Local/Temp/OnboardLogs/RTDC4046 --include="*4046*201709100*"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"%USERPROFILE%\AppData\Local\Temp\OnboardLogs"\RTDC4046\*4046*201709100* &gt;&gt; 2017-09-09-SliceDisagreementCheck.txt</v>
      </c>
      <c r="AE36" s="145" t="str">
        <f t="shared" si="9"/>
        <v>start /low /b %USERPROFILE%\Documents\GitHub\eaglep3\Utilities\DownloadLogsFromS3.py --loco 4046 --day 2017-09-10</v>
      </c>
      <c r="AF36" s="1"/>
    </row>
    <row r="37" spans="1:32" x14ac:dyDescent="0.25">
      <c r="A37" s="31">
        <v>42987.826458333337</v>
      </c>
      <c r="B37" s="30" t="s">
        <v>515</v>
      </c>
      <c r="C37" s="30" t="s">
        <v>637</v>
      </c>
      <c r="D37" s="30" t="s">
        <v>49</v>
      </c>
      <c r="E37" s="30" t="s">
        <v>618</v>
      </c>
      <c r="F37" s="42">
        <v>0</v>
      </c>
      <c r="G37" s="42">
        <v>154</v>
      </c>
      <c r="H37" s="42">
        <v>21971</v>
      </c>
      <c r="I37" s="42">
        <v>22250</v>
      </c>
      <c r="J37" s="30" t="s">
        <v>619</v>
      </c>
      <c r="K37" s="42">
        <v>22314</v>
      </c>
      <c r="L37" s="131" t="s">
        <v>50</v>
      </c>
      <c r="M37" s="132">
        <f t="shared" si="0"/>
        <v>33.792000000000002</v>
      </c>
      <c r="N37" s="133" t="str">
        <f>VLOOKUP(C37,'Trips&amp;Operators'!$C$1:$G$99911,5,FALSE)</f>
        <v>HOLCOMB KAMDEN</v>
      </c>
      <c r="O37" s="200" t="s">
        <v>180</v>
      </c>
      <c r="P37" s="134"/>
      <c r="Q37" s="30"/>
      <c r="R37" s="81" t="str">
        <f>VLOOKUP(C37,'Train Runs'!$A$13:$AE$9925,31,0)</f>
        <v>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 &amp; aws s3 cp s3://rtdc.mdm.uploadarchive.raw/RTDC4046/ "%USERPROFILE%\AppData\Local\Temp\OnboardLogs"\RTDC4046\2017-09-10 --exclude "*" --recursive --include "*20170910*" &amp; "%USERPROFILE%\Documents\GitHub\mrs-test-scripts\Headless Mode &amp; Sideloading\WalkAndUnGZ.bat" "%USERPROFILE%\AppData\Local\Temp\OnboardLogs"\RTDC4046\2017-09-10</v>
      </c>
      <c r="S37" s="84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-09-09T18:38:47-0600',mode:absolute,to:'2017-09-09T20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7" s="86" t="str">
        <f t="shared" si="1"/>
        <v>"C:\Program Files (x86)\AstroGrep\AstroGrep.exe" /e /r /s /spath="%USERPROFILE%\AppData\Local\Temp\OnboardLogs" /stypes="*4046*201709100*" /stext=" 01:.+((SYSTEM_STATE.+slice.+state.+changed )|(ment ac)|(multiple cpu faults)|(system.+state.+changed )|(\[timeout)|(PRM\|1\|D)|(kpr)|(kdp)|(train st.+moving)|(\|lc)|(penalty))"</v>
      </c>
      <c r="U37" s="9" t="str">
        <f t="shared" si="2"/>
        <v>4046</v>
      </c>
      <c r="V37" s="31">
        <f t="shared" si="3"/>
        <v>42988.076458333337</v>
      </c>
      <c r="W37" s="45" t="str">
        <f t="shared" si="4"/>
        <v>Other</v>
      </c>
      <c r="X37" s="22">
        <f t="shared" si="5"/>
        <v>305</v>
      </c>
      <c r="Y37" s="96" t="str">
        <f t="shared" si="6"/>
        <v>echo {"issue":{"subject":"","project_id":79,"tracker_id":40,"status_id":1,"priority_id":2,"assigned_to_id":338,"start_date":"2017-09-09","description":"","custom_fields":[{"id":1,"name":"Subdivision","value":"Other"},{"id":4,"name":"Milepost","value":"2.2314"},{"id":17,"name":"Train ID","value":"305-09"},{"id":16,"name":"Locomotive ID","value":"4046"},{"id":130,"name":"Impact","value":""},{"id":150,"name":"Time of Event (Mountain Time)","value":"19:50:06"},{"id":151,"name":"Denver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/c/Users/stu/AppData/Local/Temp/OnboardLogs/RTDC4046 --include="*4046*201709100*"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"%USERPROFILE%\AppData\Local\Temp\OnboardLogs"\RTDC4046\*4046*201709100* &gt;&gt; 2017-09-09-SliceDisagreementCheck.txt</v>
      </c>
      <c r="AE37" s="145" t="str">
        <f t="shared" si="9"/>
        <v>start /low /b %USERPROFILE%\Documents\GitHub\eaglep3\Utilities\DownloadLogsFromS3.py --loco 4046 --day 2017-09-10</v>
      </c>
      <c r="AF37" s="1"/>
    </row>
    <row r="38" spans="1:32" x14ac:dyDescent="0.25">
      <c r="A38" s="31">
        <v>42987.717222222222</v>
      </c>
      <c r="B38" s="30" t="s">
        <v>412</v>
      </c>
      <c r="C38" s="30" t="s">
        <v>631</v>
      </c>
      <c r="D38" s="30" t="s">
        <v>96</v>
      </c>
      <c r="E38" s="30" t="s">
        <v>181</v>
      </c>
      <c r="F38" s="42">
        <v>0</v>
      </c>
      <c r="G38" s="42">
        <v>9</v>
      </c>
      <c r="H38" s="42">
        <v>0</v>
      </c>
      <c r="I38" s="42">
        <v>0</v>
      </c>
      <c r="J38" s="30" t="s">
        <v>182</v>
      </c>
      <c r="K38" s="42">
        <v>1</v>
      </c>
      <c r="L38" s="131" t="s">
        <v>51</v>
      </c>
      <c r="M38" s="132">
        <f t="shared" si="0"/>
        <v>-0.52800000000000002</v>
      </c>
      <c r="N38" s="133" t="str">
        <f>VLOOKUP(C38,'Trips&amp;Operators'!$C$1:$G$99911,5,FALSE)</f>
        <v>DELGADO DIANAH</v>
      </c>
      <c r="O38" s="200" t="s">
        <v>180</v>
      </c>
      <c r="P38" s="134"/>
      <c r="Q38" s="30"/>
      <c r="R38" s="81" t="str">
        <f>VLOOKUP(C38,'Train Runs'!$A$13:$AE$9925,31,0)</f>
        <v>aws s3 cp s3://rtdc.mdm.uploadarchive.raw/RTDC4066/ "%USERPROFILE%\AppData\Local\Temp\OnboardLogs"\RTDC4066\2017-09-09 --exclude "*" --recursive --include "*20170909*" &amp; "%USERPROFILE%\Documents\GitHub\mrs-test-scripts\Headless Mode &amp; Sideloading\WalkAndUnGZ.bat" "%USERPROFILE%\AppData\Local\Temp\OnboardLogs"\RTDC4066\2017-09-09 &amp; aws s3 cp s3://rtdc.mdm.uploadarchive.raw/RTDC4066/ "%USERPROFILE%\AppData\Local\Temp\OnboardLogs"\RTDC4066\2017-09-10 --exclude "*" --recursive --include "*20170910*" &amp; "%USERPROFILE%\Documents\GitHub\mrs-test-scripts\Headless Mode &amp; Sideloading\WalkAndUnGZ.bat" "%USERPROFILE%\AppData\Local\Temp\OnboardLogs"\RTDC4066\2017-09-10</v>
      </c>
      <c r="S38" s="84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-09-09T16:17:45-0600',mode:absolute,to:'2017-09-09T18:31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8" s="86" t="str">
        <f t="shared" si="1"/>
        <v>"C:\Program Files (x86)\AstroGrep\AstroGrep.exe" /e /r /s /spath="%USERPROFILE%\AppData\Local\Temp\OnboardLogs" /stypes="*4061*201709092*"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4061</v>
      </c>
      <c r="V38" s="31">
        <f t="shared" si="3"/>
        <v>42987.967222222222</v>
      </c>
      <c r="W38" s="45" t="str">
        <f t="shared" si="4"/>
        <v>Shuttle/Test</v>
      </c>
      <c r="X38" s="22">
        <f t="shared" si="5"/>
        <v>75</v>
      </c>
      <c r="Y38" s="96" t="str">
        <f t="shared" si="6"/>
        <v>echo {"issue":{"subject":"","project_id":79,"tracker_id":40,"status_id":1,"priority_id":2,"assigned_to_id":338,"start_date":"2017-09-09","description":"","custom_fields":[{"id":1,"name":"Subdivision","value":"Shuttle/Test"},{"id":4,"name":"Milepost","value":"0.0001"},{"id":17,"name":"Train ID","value":"75-09"},{"id":16,"name":"Locomotive ID","value":"4061"},{"id":130,"name":"Impact","value":""},{"id":150,"name":"Time of Event (Mountain Time)","value":"17:12:48"},{"id":151,"name":"Denver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/c/Users/stu/AppData/Local/Temp/OnboardLogs/RTDC4061 --include="*4061*201709092*"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"%USERPROFILE%\AppData\Local\Temp\OnboardLogs"\RTDC4061\*4061*201709092* &gt;&gt; 2017-09-09-SliceDisagreementCheck.txt</v>
      </c>
      <c r="AE38" s="145" t="str">
        <f t="shared" si="9"/>
        <v>start /low /b %USERPROFILE%\Documents\GitHub\eaglep3\Utilities\DownloadLogsFromS3.py --loco 4061 --day 2017-09-09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</sheetData>
  <autoFilter ref="A6:AC52">
    <sortState ref="A7:AC52">
      <sortCondition ref="W7:W38"/>
      <sortCondition ref="E7:E38"/>
      <sortCondition ref="K7:K38"/>
      <sortCondition ref="F7:F38"/>
    </sortState>
  </autoFilter>
  <sortState ref="A7:AE34">
    <sortCondition ref="W7:W34"/>
    <sortCondition ref="E7:E34"/>
    <sortCondition ref="K7:K34"/>
    <sortCondition ref="C7:C34"/>
    <sortCondition ref="F7:F34"/>
  </sortState>
  <mergeCells count="1">
    <mergeCell ref="A5:O5"/>
  </mergeCells>
  <conditionalFormatting sqref="O6:P6 R6 O58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2017-09-09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>
        <v>1816</v>
      </c>
      <c r="B3" s="42" t="str">
        <f>A3&amp;"-"&amp;IF(DAY(Variables!$A$2)&lt;10,0,"")&amp;DAY(Variables!$A$2)</f>
        <v>1816-09</v>
      </c>
      <c r="C3" s="135"/>
      <c r="D3" s="153"/>
      <c r="E3" s="30"/>
      <c r="F3" s="21" t="str">
        <f>VLOOKUP(B3,'Trips&amp;Operators'!$C$2:$E$9912,3,FALSE)</f>
        <v>HUFFSMITH</v>
      </c>
      <c r="G3" s="21" t="str">
        <f>VLOOKUP(B3,'Trips&amp;Operators'!$C$1:$F$9912,4,FALSE)</f>
        <v>MONTY</v>
      </c>
      <c r="H3" s="29" t="str">
        <f>VLOOKUP(B3,'Trips&amp;Operators'!$C$1:$H$9912,5,FALSE)</f>
        <v>HUFFSMITH MONTY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221816-09%22)),sort:!(Time.ISO8601,asc))</v>
      </c>
      <c r="J3" s="30" t="str">
        <f>VLOOKUP(B3,'Train Runs'!$A$13:$A$99922,1,FALSE)</f>
        <v>1816-09</v>
      </c>
    </row>
    <row r="4" spans="1:10" x14ac:dyDescent="0.25">
      <c r="A4" s="192"/>
      <c r="B4" s="42" t="str">
        <f>A4&amp;"-"&amp;IF(DAY(Variables!$A$2)&lt;10,0,"")&amp;DAY(Variables!$A$2)</f>
        <v>-09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ref="I4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Runs'!$A$13:$A$99922,1,FALSE)</f>
        <v>#N/A</v>
      </c>
    </row>
    <row r="5" spans="1:10" x14ac:dyDescent="0.25">
      <c r="A5" s="192"/>
      <c r="B5" s="42" t="str">
        <f>A5&amp;"-"&amp;IF(DAY(Variables!$A$2)&lt;10,0,"")&amp;DAY(Variables!$A$2)</f>
        <v>-09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Runs'!$A$13:$A$99922,1,FALSE)</f>
        <v>#N/A</v>
      </c>
    </row>
    <row r="6" spans="1:10" x14ac:dyDescent="0.25">
      <c r="A6" s="192"/>
      <c r="B6" s="42" t="str">
        <f>A6&amp;"-"&amp;IF(DAY(Variables!$A$2)&lt;10,0,"")&amp;DAY(Variables!$A$2)</f>
        <v>-09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Runs'!$A$13:$A$99922,1,FALSE)</f>
        <v>#N/A</v>
      </c>
    </row>
    <row r="7" spans="1:10" x14ac:dyDescent="0.25">
      <c r="A7" s="192"/>
      <c r="B7" s="42" t="str">
        <f>A7&amp;"-"&amp;IF(DAY(Variables!$A$2)&lt;10,0,"")&amp;DAY(Variables!$A$2)</f>
        <v>-09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Runs'!$A$13:$A$99922,1,FALSE)</f>
        <v>#N/A</v>
      </c>
    </row>
    <row r="8" spans="1:10" x14ac:dyDescent="0.25">
      <c r="A8" s="192"/>
      <c r="B8" s="42" t="str">
        <f>A8&amp;"-"&amp;IF(DAY(Variables!$A$2)&lt;10,0,"")&amp;DAY(Variables!$A$2)</f>
        <v>-09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Runs'!$A$13:$A$99922,1,FALSE)</f>
        <v>#N/A</v>
      </c>
    </row>
    <row r="9" spans="1:10" x14ac:dyDescent="0.25">
      <c r="A9" s="192"/>
      <c r="B9" s="42" t="str">
        <f>A9&amp;"-"&amp;IF(DAY(Variables!$A$2)&lt;10,0,"")&amp;DAY(Variables!$A$2)</f>
        <v>-09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Runs'!$A$13:$A$99922,1,FALSE)</f>
        <v>#N/A</v>
      </c>
    </row>
    <row r="10" spans="1:10" x14ac:dyDescent="0.25">
      <c r="A10" s="192"/>
      <c r="B10" s="42" t="str">
        <f>A10&amp;"-"&amp;IF(DAY(Variables!$A$2)&lt;10,0,"")&amp;DAY(Variables!$A$2)</f>
        <v>-09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Runs'!$A$13:$A$99922,1,FALSE)</f>
        <v>#N/A</v>
      </c>
    </row>
    <row r="11" spans="1:10" x14ac:dyDescent="0.25">
      <c r="A11" s="192"/>
      <c r="B11" s="42" t="str">
        <f>A11&amp;"-"&amp;IF(DAY(Variables!$A$2)&lt;10,0,"")&amp;DAY(Variables!$A$2)</f>
        <v>-09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Runs'!$A$13:$A$99922,1,FALSE)</f>
        <v>#N/A</v>
      </c>
    </row>
    <row r="12" spans="1:10" x14ac:dyDescent="0.25">
      <c r="A12" s="192"/>
      <c r="B12" s="42" t="str">
        <f>A12&amp;"-"&amp;IF(DAY(Variables!$A$2)&lt;10,0,"")&amp;DAY(Variables!$A$2)</f>
        <v>-09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Runs'!$A$13:$A$99922,1,FALSE)</f>
        <v>#N/A</v>
      </c>
    </row>
    <row r="13" spans="1:10" x14ac:dyDescent="0.25">
      <c r="A13" s="192"/>
      <c r="B13" s="42" t="str">
        <f>A13&amp;"-"&amp;IF(DAY(Variables!$A$2)&lt;10,0,"")&amp;DAY(Variables!$A$2)</f>
        <v>-09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Runs'!$A$13:$A$99922,1,FALSE)</f>
        <v>#N/A</v>
      </c>
    </row>
    <row r="14" spans="1:10" x14ac:dyDescent="0.25">
      <c r="A14" s="192"/>
      <c r="B14" s="42" t="str">
        <f>A14&amp;"-"&amp;IF(DAY(Variables!$A$2)&lt;10,0,"")&amp;DAY(Variables!$A$2)</f>
        <v>-09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Runs'!$A$13:$A$99922,1,FALSE)</f>
        <v>#N/A</v>
      </c>
    </row>
    <row r="15" spans="1:10" x14ac:dyDescent="0.25">
      <c r="A15" s="192"/>
      <c r="B15" s="42" t="str">
        <f>A15&amp;"-"&amp;IF(DAY(Variables!$A$2)&lt;10,0,"")&amp;DAY(Variables!$A$2)</f>
        <v>-09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Runs'!$A$13:$A$99922,1,FALSE)</f>
        <v>#N/A</v>
      </c>
    </row>
    <row r="16" spans="1:10" x14ac:dyDescent="0.25">
      <c r="A16" s="192"/>
      <c r="B16" s="42" t="str">
        <f>A16&amp;"-"&amp;IF(DAY(Variables!$A$2)&lt;10,0,"")&amp;DAY(Variables!$A$2)</f>
        <v>-09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Runs'!$A$13:$A$99922,1,FALSE)</f>
        <v>#N/A</v>
      </c>
    </row>
    <row r="17" spans="1:10" x14ac:dyDescent="0.25">
      <c r="A17" s="192"/>
      <c r="B17" s="42" t="str">
        <f>A17&amp;"-"&amp;IF(DAY(Variables!$A$2)&lt;10,0,"")&amp;DAY(Variables!$A$2)</f>
        <v>-09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Runs'!$A$13:$A$99922,1,FALSE)</f>
        <v>#N/A</v>
      </c>
    </row>
    <row r="18" spans="1:10" x14ac:dyDescent="0.25">
      <c r="A18" s="192"/>
      <c r="B18" s="42" t="str">
        <f>A18&amp;"-"&amp;IF(DAY(Variables!$A$2)&lt;10,0,"")&amp;DAY(Variables!$A$2)</f>
        <v>-09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Runs'!$A$13:$A$99922,1,FALSE)</f>
        <v>#N/A</v>
      </c>
    </row>
    <row r="19" spans="1:10" x14ac:dyDescent="0.25">
      <c r="A19" s="192"/>
      <c r="B19" s="42" t="str">
        <f>A19&amp;"-"&amp;IF(DAY(Variables!$A$2)&lt;10,0,"")&amp;DAY(Variables!$A$2)</f>
        <v>-09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Runs'!$A$13:$A$99922,1,FALSE)</f>
        <v>#N/A</v>
      </c>
    </row>
    <row r="20" spans="1:10" x14ac:dyDescent="0.25">
      <c r="A20" s="192"/>
      <c r="B20" s="42" t="str">
        <f>A20&amp;"-"&amp;IF(DAY(Variables!$A$2)&lt;10,0,"")&amp;DAY(Variables!$A$2)</f>
        <v>-09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Runs'!$A$13:$A$99922,1,FALSE)</f>
        <v>#N/A</v>
      </c>
    </row>
    <row r="21" spans="1:10" x14ac:dyDescent="0.25">
      <c r="A21" s="192"/>
      <c r="B21" s="42" t="str">
        <f>A21&amp;"-"&amp;IF(DAY(Variables!$A$2)&lt;10,0,"")&amp;DAY(Variables!$A$2)</f>
        <v>-09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Runs'!$A$13:$A$99922,1,FALSE)</f>
        <v>#N/A</v>
      </c>
    </row>
    <row r="22" spans="1:10" x14ac:dyDescent="0.25">
      <c r="A22" s="192"/>
      <c r="B22" s="42" t="str">
        <f>A22&amp;"-"&amp;IF(DAY(Variables!$A$2)&lt;10,0,"")&amp;DAY(Variables!$A$2)</f>
        <v>-09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Runs'!$A$13:$A$99922,1,FALSE)</f>
        <v>#N/A</v>
      </c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73"/>
  <sheetViews>
    <sheetView topLeftCell="A233" workbookViewId="0">
      <selection activeCell="D237" sqref="D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42987.038043981483</v>
      </c>
      <c r="B2" s="20" t="s">
        <v>539</v>
      </c>
      <c r="C2" s="20" t="s">
        <v>557</v>
      </c>
      <c r="D2" s="138">
        <v>3190000</v>
      </c>
      <c r="E2" s="20" t="s">
        <v>427</v>
      </c>
      <c r="F2" s="20" t="s">
        <v>428</v>
      </c>
      <c r="G2" s="8" t="str">
        <f>E2&amp;" "&amp;F2</f>
        <v>HART KEVIN</v>
      </c>
    </row>
    <row r="3" spans="1:7" x14ac:dyDescent="0.25">
      <c r="A3" s="8">
        <v>42987.047893518517</v>
      </c>
      <c r="B3" s="20" t="s">
        <v>454</v>
      </c>
      <c r="C3" s="20" t="s">
        <v>558</v>
      </c>
      <c r="D3" s="138">
        <v>2540000</v>
      </c>
      <c r="E3" s="20" t="s">
        <v>522</v>
      </c>
      <c r="F3" s="20" t="s">
        <v>523</v>
      </c>
      <c r="G3" s="8" t="str">
        <f t="shared" ref="G3:G66" si="0">E3&amp;" "&amp;F3</f>
        <v>MCREYNOLDS KYLE</v>
      </c>
    </row>
    <row r="4" spans="1:7" x14ac:dyDescent="0.25">
      <c r="A4" s="8">
        <v>42987.051249999997</v>
      </c>
      <c r="B4" s="20" t="s">
        <v>407</v>
      </c>
      <c r="C4" s="20" t="s">
        <v>559</v>
      </c>
      <c r="D4" s="138">
        <v>3320000</v>
      </c>
      <c r="E4" s="20" t="s">
        <v>483</v>
      </c>
      <c r="F4" s="20" t="s">
        <v>484</v>
      </c>
      <c r="G4" s="8" t="str">
        <f t="shared" si="0"/>
        <v>NICHOLSON WESLEY</v>
      </c>
    </row>
    <row r="5" spans="1:7" x14ac:dyDescent="0.25">
      <c r="A5" s="8">
        <v>42987.068784722222</v>
      </c>
      <c r="B5" s="20" t="s">
        <v>542</v>
      </c>
      <c r="C5" s="20" t="s">
        <v>560</v>
      </c>
      <c r="D5" s="138">
        <v>2620000</v>
      </c>
      <c r="E5" s="20" t="s">
        <v>425</v>
      </c>
      <c r="F5" s="20" t="s">
        <v>426</v>
      </c>
      <c r="G5" s="8" t="str">
        <f t="shared" si="0"/>
        <v>PERKINS DARREN</v>
      </c>
    </row>
    <row r="6" spans="1:7" x14ac:dyDescent="0.25">
      <c r="A6" s="8">
        <v>42987.08</v>
      </c>
      <c r="B6" s="20" t="s">
        <v>535</v>
      </c>
      <c r="C6" s="20" t="s">
        <v>561</v>
      </c>
      <c r="D6" s="138">
        <v>3190000</v>
      </c>
      <c r="E6" s="20" t="s">
        <v>427</v>
      </c>
      <c r="F6" s="20" t="s">
        <v>428</v>
      </c>
      <c r="G6" s="8" t="str">
        <f t="shared" si="0"/>
        <v>HART KEVIN</v>
      </c>
    </row>
    <row r="7" spans="1:7" x14ac:dyDescent="0.25">
      <c r="A7" s="8">
        <v>42987.092349537037</v>
      </c>
      <c r="B7" s="20" t="s">
        <v>408</v>
      </c>
      <c r="C7" s="20" t="s">
        <v>562</v>
      </c>
      <c r="D7" s="138">
        <v>3320000</v>
      </c>
      <c r="E7" s="20" t="s">
        <v>483</v>
      </c>
      <c r="F7" s="20" t="s">
        <v>484</v>
      </c>
      <c r="G7" s="8" t="str">
        <f t="shared" si="0"/>
        <v>NICHOLSON WESLEY</v>
      </c>
    </row>
    <row r="8" spans="1:7" x14ac:dyDescent="0.25">
      <c r="A8" s="8">
        <v>42987.108124999999</v>
      </c>
      <c r="B8" s="20" t="s">
        <v>539</v>
      </c>
      <c r="C8" s="20" t="s">
        <v>563</v>
      </c>
      <c r="D8" s="138">
        <v>3190000</v>
      </c>
      <c r="E8" s="20" t="s">
        <v>427</v>
      </c>
      <c r="F8" s="20" t="s">
        <v>428</v>
      </c>
      <c r="G8" s="8" t="str">
        <f t="shared" si="0"/>
        <v>HART KEVIN</v>
      </c>
    </row>
    <row r="9" spans="1:7" ht="15.75" thickBot="1" x14ac:dyDescent="0.3">
      <c r="A9" s="24">
        <v>42987.11990740741</v>
      </c>
      <c r="B9" s="20" t="s">
        <v>621</v>
      </c>
      <c r="C9" s="20" t="s">
        <v>644</v>
      </c>
      <c r="D9" s="138">
        <v>1780000</v>
      </c>
      <c r="E9" s="20" t="s">
        <v>449</v>
      </c>
      <c r="F9" s="20" t="s">
        <v>450</v>
      </c>
      <c r="G9" s="8" t="str">
        <f t="shared" si="0"/>
        <v>DE LA ROSA ALEX</v>
      </c>
    </row>
    <row r="10" spans="1:7" x14ac:dyDescent="0.25">
      <c r="A10" s="8">
        <v>42987.131909722222</v>
      </c>
      <c r="B10" s="20" t="s">
        <v>645</v>
      </c>
      <c r="C10" s="20" t="s">
        <v>646</v>
      </c>
      <c r="D10" s="138">
        <v>1780000</v>
      </c>
      <c r="E10" s="20" t="s">
        <v>449</v>
      </c>
      <c r="F10" s="20" t="s">
        <v>450</v>
      </c>
      <c r="G10" s="8" t="str">
        <f t="shared" si="0"/>
        <v>DE LA ROSA ALEX</v>
      </c>
    </row>
    <row r="11" spans="1:7" x14ac:dyDescent="0.25">
      <c r="A11" s="8">
        <v>42987.137766203705</v>
      </c>
      <c r="B11" s="20" t="s">
        <v>543</v>
      </c>
      <c r="C11" s="20" t="s">
        <v>647</v>
      </c>
      <c r="D11" s="138">
        <v>2010000</v>
      </c>
      <c r="E11" s="20" t="s">
        <v>512</v>
      </c>
      <c r="F11" s="20" t="s">
        <v>513</v>
      </c>
      <c r="G11" s="8" t="str">
        <f t="shared" si="0"/>
        <v>MAELZER KURT</v>
      </c>
    </row>
    <row r="12" spans="1:7" x14ac:dyDescent="0.25">
      <c r="A12" s="8">
        <v>42987.148460648146</v>
      </c>
      <c r="B12" s="20" t="s">
        <v>648</v>
      </c>
      <c r="C12" s="20" t="s">
        <v>649</v>
      </c>
      <c r="D12" s="138">
        <v>1810000</v>
      </c>
      <c r="E12" s="20" t="s">
        <v>422</v>
      </c>
      <c r="F12" s="20" t="s">
        <v>392</v>
      </c>
      <c r="G12" s="8" t="str">
        <f t="shared" si="0"/>
        <v>NEWELL JAMES</v>
      </c>
    </row>
    <row r="13" spans="1:7" x14ac:dyDescent="0.25">
      <c r="A13" s="8">
        <v>42987.149074074077</v>
      </c>
      <c r="B13" s="20" t="s">
        <v>536</v>
      </c>
      <c r="C13" s="20" t="s">
        <v>650</v>
      </c>
      <c r="D13" s="138">
        <v>2010000</v>
      </c>
      <c r="E13" s="20" t="s">
        <v>512</v>
      </c>
      <c r="F13" s="20" t="s">
        <v>513</v>
      </c>
      <c r="G13" s="8" t="str">
        <f t="shared" si="0"/>
        <v>MAELZER KURT</v>
      </c>
    </row>
    <row r="14" spans="1:7" x14ac:dyDescent="0.25">
      <c r="A14" s="8">
        <v>42987.15420138889</v>
      </c>
      <c r="B14" s="20" t="s">
        <v>648</v>
      </c>
      <c r="C14" s="20" t="s">
        <v>649</v>
      </c>
      <c r="D14" s="138">
        <v>1810000</v>
      </c>
      <c r="E14" s="20" t="s">
        <v>422</v>
      </c>
      <c r="F14" s="20" t="s">
        <v>392</v>
      </c>
      <c r="G14" s="8" t="str">
        <f t="shared" si="0"/>
        <v>NEWELL JAMES</v>
      </c>
    </row>
    <row r="15" spans="1:7" x14ac:dyDescent="0.25">
      <c r="A15" s="8">
        <v>42987.160243055558</v>
      </c>
      <c r="B15" s="20" t="s">
        <v>514</v>
      </c>
      <c r="C15" s="20" t="s">
        <v>651</v>
      </c>
      <c r="D15" s="138">
        <v>1990000</v>
      </c>
      <c r="E15" s="20" t="s">
        <v>346</v>
      </c>
      <c r="F15" s="20" t="s">
        <v>448</v>
      </c>
      <c r="G15" s="8" t="str">
        <f t="shared" si="0"/>
        <v>DAVIS WENDY</v>
      </c>
    </row>
    <row r="16" spans="1:7" x14ac:dyDescent="0.25">
      <c r="A16" s="8">
        <v>42987.171712962961</v>
      </c>
      <c r="B16" s="20" t="s">
        <v>511</v>
      </c>
      <c r="C16" s="20" t="s">
        <v>652</v>
      </c>
      <c r="D16" s="138">
        <v>1990000</v>
      </c>
      <c r="E16" s="20" t="s">
        <v>346</v>
      </c>
      <c r="F16" s="20" t="s">
        <v>448</v>
      </c>
      <c r="G16" s="8" t="str">
        <f t="shared" si="0"/>
        <v>DAVIS WENDY</v>
      </c>
    </row>
    <row r="17" spans="1:7" x14ac:dyDescent="0.25">
      <c r="A17" s="8">
        <v>42987.172106481485</v>
      </c>
      <c r="B17" s="20" t="s">
        <v>621</v>
      </c>
      <c r="C17" s="20" t="s">
        <v>653</v>
      </c>
      <c r="D17" s="138">
        <v>1780000</v>
      </c>
      <c r="E17" s="20" t="s">
        <v>449</v>
      </c>
      <c r="F17" s="20" t="s">
        <v>450</v>
      </c>
      <c r="G17" s="8" t="str">
        <f t="shared" si="0"/>
        <v>DE LA ROSA ALEX</v>
      </c>
    </row>
    <row r="18" spans="1:7" x14ac:dyDescent="0.25">
      <c r="A18" s="8">
        <v>42987.173437500001</v>
      </c>
      <c r="B18" s="20" t="s">
        <v>640</v>
      </c>
      <c r="C18" s="20" t="s">
        <v>654</v>
      </c>
      <c r="D18" s="138">
        <v>1100000</v>
      </c>
      <c r="E18" s="20" t="s">
        <v>655</v>
      </c>
      <c r="F18" s="20" t="s">
        <v>656</v>
      </c>
      <c r="G18" s="8" t="str">
        <f t="shared" si="0"/>
        <v>GEBRETEKLE DAGNEW</v>
      </c>
    </row>
    <row r="19" spans="1:7" x14ac:dyDescent="0.25">
      <c r="A19" s="8">
        <v>42987.174641203703</v>
      </c>
      <c r="B19" s="20" t="s">
        <v>640</v>
      </c>
      <c r="C19" s="20" t="s">
        <v>654</v>
      </c>
      <c r="D19" s="138">
        <v>1100000</v>
      </c>
      <c r="E19" s="20" t="s">
        <v>655</v>
      </c>
      <c r="F19" s="20" t="s">
        <v>656</v>
      </c>
      <c r="G19" s="8" t="str">
        <f t="shared" si="0"/>
        <v>GEBRETEKLE DAGNEW</v>
      </c>
    </row>
    <row r="20" spans="1:7" x14ac:dyDescent="0.25">
      <c r="A20" s="8">
        <v>42987.178576388891</v>
      </c>
      <c r="B20" s="20" t="s">
        <v>540</v>
      </c>
      <c r="C20" s="20" t="s">
        <v>649</v>
      </c>
      <c r="D20" s="138">
        <v>1810000</v>
      </c>
      <c r="E20" s="20" t="s">
        <v>422</v>
      </c>
      <c r="F20" s="20" t="s">
        <v>392</v>
      </c>
      <c r="G20" s="8" t="str">
        <f t="shared" si="0"/>
        <v>NEWELL JAMES</v>
      </c>
    </row>
    <row r="21" spans="1:7" x14ac:dyDescent="0.25">
      <c r="A21" s="8">
        <v>42987.179502314815</v>
      </c>
      <c r="B21" s="20" t="s">
        <v>541</v>
      </c>
      <c r="C21" s="20" t="s">
        <v>657</v>
      </c>
      <c r="D21" s="138">
        <v>2530000</v>
      </c>
      <c r="E21" s="20" t="s">
        <v>546</v>
      </c>
      <c r="F21" s="20" t="s">
        <v>547</v>
      </c>
      <c r="G21" s="8" t="str">
        <f t="shared" si="0"/>
        <v>LALONDE GREGORY</v>
      </c>
    </row>
    <row r="22" spans="1:7" x14ac:dyDescent="0.25">
      <c r="A22" s="26">
        <v>42987.185011574074</v>
      </c>
      <c r="B22" s="20" t="s">
        <v>555</v>
      </c>
      <c r="C22" s="20" t="s">
        <v>658</v>
      </c>
      <c r="D22" s="138">
        <v>1100000</v>
      </c>
      <c r="E22" s="20" t="s">
        <v>655</v>
      </c>
      <c r="F22" s="20" t="s">
        <v>656</v>
      </c>
      <c r="G22" s="8" t="str">
        <f t="shared" si="0"/>
        <v>GEBRETEKLE DAGNEW</v>
      </c>
    </row>
    <row r="23" spans="1:7" x14ac:dyDescent="0.25">
      <c r="A23" s="8">
        <v>42987.192280092589</v>
      </c>
      <c r="B23" s="20" t="s">
        <v>538</v>
      </c>
      <c r="C23" s="20" t="s">
        <v>659</v>
      </c>
      <c r="D23" s="138">
        <v>2530000</v>
      </c>
      <c r="E23" s="20" t="s">
        <v>546</v>
      </c>
      <c r="F23" s="20" t="s">
        <v>547</v>
      </c>
      <c r="G23" s="8" t="str">
        <f t="shared" si="0"/>
        <v>LALONDE GREGORY</v>
      </c>
    </row>
    <row r="24" spans="1:7" x14ac:dyDescent="0.25">
      <c r="A24" s="8">
        <v>42987.193935185183</v>
      </c>
      <c r="B24" s="20" t="s">
        <v>543</v>
      </c>
      <c r="C24" s="20" t="s">
        <v>660</v>
      </c>
      <c r="D24" s="138">
        <v>2010000</v>
      </c>
      <c r="E24" s="20" t="s">
        <v>512</v>
      </c>
      <c r="F24" s="20" t="s">
        <v>513</v>
      </c>
      <c r="G24" s="8" t="str">
        <f t="shared" si="0"/>
        <v>MAELZER KURT</v>
      </c>
    </row>
    <row r="25" spans="1:7" x14ac:dyDescent="0.25">
      <c r="A25" s="8">
        <v>42987.199594907404</v>
      </c>
      <c r="B25" s="20" t="s">
        <v>406</v>
      </c>
      <c r="C25" s="20" t="s">
        <v>661</v>
      </c>
      <c r="D25" s="138">
        <v>2560000</v>
      </c>
      <c r="E25" s="20" t="s">
        <v>544</v>
      </c>
      <c r="F25" s="20" t="s">
        <v>545</v>
      </c>
      <c r="G25" s="8" t="str">
        <f t="shared" si="0"/>
        <v>MACDONALD THOMAS</v>
      </c>
    </row>
    <row r="26" spans="1:7" x14ac:dyDescent="0.25">
      <c r="A26" s="8">
        <v>42987.205891203703</v>
      </c>
      <c r="B26" s="20" t="s">
        <v>514</v>
      </c>
      <c r="C26" s="20" t="s">
        <v>612</v>
      </c>
      <c r="D26" s="138">
        <v>1990000</v>
      </c>
      <c r="E26" s="20" t="s">
        <v>346</v>
      </c>
      <c r="F26" s="20" t="s">
        <v>448</v>
      </c>
      <c r="G26" s="8" t="str">
        <f t="shared" si="0"/>
        <v>DAVIS WENDY</v>
      </c>
    </row>
    <row r="27" spans="1:7" x14ac:dyDescent="0.25">
      <c r="A27" s="8">
        <v>42987.20653935185</v>
      </c>
      <c r="B27" s="20" t="s">
        <v>645</v>
      </c>
      <c r="C27" s="20" t="s">
        <v>662</v>
      </c>
      <c r="D27" s="138">
        <v>1780000</v>
      </c>
      <c r="E27" s="20" t="s">
        <v>449</v>
      </c>
      <c r="F27" s="20" t="s">
        <v>450</v>
      </c>
      <c r="G27" s="8" t="str">
        <f t="shared" si="0"/>
        <v>DE LA ROSA ALEX</v>
      </c>
    </row>
    <row r="28" spans="1:7" x14ac:dyDescent="0.25">
      <c r="A28" s="8">
        <v>42987.209687499999</v>
      </c>
      <c r="B28" s="20" t="s">
        <v>409</v>
      </c>
      <c r="C28" s="20" t="s">
        <v>663</v>
      </c>
      <c r="D28" s="138">
        <v>2560000</v>
      </c>
      <c r="E28" s="20" t="s">
        <v>544</v>
      </c>
      <c r="F28" s="20" t="s">
        <v>545</v>
      </c>
      <c r="G28" s="8" t="str">
        <f t="shared" si="0"/>
        <v>MACDONALD THOMAS</v>
      </c>
    </row>
    <row r="29" spans="1:7" x14ac:dyDescent="0.25">
      <c r="A29" s="8">
        <v>42987.213761574072</v>
      </c>
      <c r="B29" s="20" t="s">
        <v>640</v>
      </c>
      <c r="C29" s="20" t="s">
        <v>664</v>
      </c>
      <c r="D29" s="138">
        <v>1100000</v>
      </c>
      <c r="E29" s="20" t="s">
        <v>655</v>
      </c>
      <c r="F29" s="20" t="s">
        <v>656</v>
      </c>
      <c r="G29" s="8" t="str">
        <f t="shared" si="0"/>
        <v>GEBRETEKLE DAGNEW</v>
      </c>
    </row>
    <row r="30" spans="1:7" x14ac:dyDescent="0.25">
      <c r="A30" s="8">
        <v>42987.221145833333</v>
      </c>
      <c r="B30" s="20" t="s">
        <v>624</v>
      </c>
      <c r="C30" s="20" t="s">
        <v>665</v>
      </c>
      <c r="D30" s="138">
        <v>3040000</v>
      </c>
      <c r="E30" s="20" t="s">
        <v>516</v>
      </c>
      <c r="F30" s="20" t="s">
        <v>517</v>
      </c>
      <c r="G30" s="8" t="str">
        <f t="shared" si="0"/>
        <v>WILLIAMS DONTE</v>
      </c>
    </row>
    <row r="31" spans="1:7" x14ac:dyDescent="0.25">
      <c r="A31" s="8">
        <v>42987.221944444442</v>
      </c>
      <c r="B31" s="20" t="s">
        <v>666</v>
      </c>
      <c r="C31" s="20" t="s">
        <v>667</v>
      </c>
      <c r="D31" s="138">
        <v>3180000</v>
      </c>
      <c r="E31" s="20" t="s">
        <v>548</v>
      </c>
      <c r="F31" s="20" t="s">
        <v>549</v>
      </c>
      <c r="G31" s="8" t="str">
        <f t="shared" si="0"/>
        <v>HUFFSMITH MONTY</v>
      </c>
    </row>
    <row r="32" spans="1:7" x14ac:dyDescent="0.25">
      <c r="A32" s="8">
        <v>42987.226203703707</v>
      </c>
      <c r="B32" s="20" t="s">
        <v>541</v>
      </c>
      <c r="C32" s="20" t="s">
        <v>668</v>
      </c>
      <c r="D32" s="138">
        <v>2530000</v>
      </c>
      <c r="E32" s="20" t="s">
        <v>546</v>
      </c>
      <c r="F32" s="20" t="s">
        <v>547</v>
      </c>
      <c r="G32" s="8" t="str">
        <f t="shared" si="0"/>
        <v>LALONDE GREGORY</v>
      </c>
    </row>
    <row r="33" spans="1:7" x14ac:dyDescent="0.25">
      <c r="A33" s="8">
        <v>42987.227141203701</v>
      </c>
      <c r="B33" s="20" t="s">
        <v>536</v>
      </c>
      <c r="C33" s="20" t="s">
        <v>669</v>
      </c>
      <c r="D33" s="138">
        <v>2010000</v>
      </c>
      <c r="E33" s="20" t="s">
        <v>512</v>
      </c>
      <c r="F33" s="20" t="s">
        <v>513</v>
      </c>
      <c r="G33" s="8" t="str">
        <f t="shared" si="0"/>
        <v>MAELZER KURT</v>
      </c>
    </row>
    <row r="34" spans="1:7" x14ac:dyDescent="0.25">
      <c r="A34" s="8">
        <v>42987.235520833332</v>
      </c>
      <c r="B34" s="20" t="s">
        <v>670</v>
      </c>
      <c r="C34" s="20" t="s">
        <v>671</v>
      </c>
      <c r="D34" s="138">
        <v>3180000</v>
      </c>
      <c r="E34" s="20" t="s">
        <v>548</v>
      </c>
      <c r="F34" s="20" t="s">
        <v>549</v>
      </c>
      <c r="G34" s="8" t="str">
        <f t="shared" si="0"/>
        <v>HUFFSMITH MONTY</v>
      </c>
    </row>
    <row r="35" spans="1:7" x14ac:dyDescent="0.25">
      <c r="A35" s="8">
        <v>42987.238136574073</v>
      </c>
      <c r="B35" s="20" t="s">
        <v>515</v>
      </c>
      <c r="C35" s="20" t="s">
        <v>672</v>
      </c>
      <c r="D35" s="138">
        <v>3040000</v>
      </c>
      <c r="E35" s="20" t="s">
        <v>516</v>
      </c>
      <c r="F35" s="20" t="s">
        <v>517</v>
      </c>
      <c r="G35" s="8" t="str">
        <f t="shared" si="0"/>
        <v>WILLIAMS DONTE</v>
      </c>
    </row>
    <row r="36" spans="1:7" x14ac:dyDescent="0.25">
      <c r="A36" s="8">
        <v>42987.245578703703</v>
      </c>
      <c r="B36" s="20" t="s">
        <v>621</v>
      </c>
      <c r="C36" s="20" t="s">
        <v>673</v>
      </c>
      <c r="D36" s="138">
        <v>1780000</v>
      </c>
      <c r="E36" s="20" t="s">
        <v>449</v>
      </c>
      <c r="F36" s="20" t="s">
        <v>450</v>
      </c>
      <c r="G36" s="8" t="str">
        <f t="shared" si="0"/>
        <v>DE LA ROSA ALEX</v>
      </c>
    </row>
    <row r="37" spans="1:7" x14ac:dyDescent="0.25">
      <c r="A37" s="8">
        <v>42987.247766203705</v>
      </c>
      <c r="B37" s="20" t="s">
        <v>511</v>
      </c>
      <c r="C37" s="20" t="s">
        <v>674</v>
      </c>
      <c r="D37" s="138">
        <v>1990000</v>
      </c>
      <c r="E37" s="20" t="s">
        <v>346</v>
      </c>
      <c r="F37" s="20" t="s">
        <v>448</v>
      </c>
      <c r="G37" s="8" t="str">
        <f t="shared" si="0"/>
        <v>DAVIS WENDY</v>
      </c>
    </row>
    <row r="38" spans="1:7" x14ac:dyDescent="0.25">
      <c r="A38" s="8">
        <v>42987.249768518515</v>
      </c>
      <c r="B38" s="20" t="s">
        <v>666</v>
      </c>
      <c r="C38" s="20" t="s">
        <v>675</v>
      </c>
      <c r="D38" s="138">
        <v>3180000</v>
      </c>
      <c r="E38" s="20" t="s">
        <v>548</v>
      </c>
      <c r="F38" s="20" t="s">
        <v>549</v>
      </c>
      <c r="G38" s="8" t="str">
        <f t="shared" si="0"/>
        <v>HUFFSMITH MONTY</v>
      </c>
    </row>
    <row r="39" spans="1:7" x14ac:dyDescent="0.25">
      <c r="A39" s="8">
        <v>42987.25577546296</v>
      </c>
      <c r="B39" s="20" t="s">
        <v>555</v>
      </c>
      <c r="C39" s="20" t="s">
        <v>613</v>
      </c>
      <c r="D39" s="138">
        <v>1100000</v>
      </c>
      <c r="E39" s="20" t="s">
        <v>655</v>
      </c>
      <c r="F39" s="20" t="s">
        <v>656</v>
      </c>
      <c r="G39" s="8" t="str">
        <f t="shared" si="0"/>
        <v>GEBRETEKLE DAGNEW</v>
      </c>
    </row>
    <row r="40" spans="1:7" x14ac:dyDescent="0.25">
      <c r="A40" s="8">
        <v>42987.257962962962</v>
      </c>
      <c r="B40" s="25" t="s">
        <v>406</v>
      </c>
      <c r="C40" s="20" t="s">
        <v>676</v>
      </c>
      <c r="D40" s="138">
        <v>2560000</v>
      </c>
      <c r="E40" s="20" t="s">
        <v>544</v>
      </c>
      <c r="F40" s="20" t="s">
        <v>545</v>
      </c>
      <c r="G40" s="8" t="str">
        <f t="shared" si="0"/>
        <v>MACDONALD THOMAS</v>
      </c>
    </row>
    <row r="41" spans="1:7" x14ac:dyDescent="0.25">
      <c r="A41" s="8">
        <v>42987.261886574073</v>
      </c>
      <c r="B41" s="20" t="s">
        <v>543</v>
      </c>
      <c r="C41" s="20" t="s">
        <v>677</v>
      </c>
      <c r="D41" s="138">
        <v>2010000</v>
      </c>
      <c r="E41" s="20" t="s">
        <v>512</v>
      </c>
      <c r="F41" s="20" t="s">
        <v>513</v>
      </c>
      <c r="G41" s="8" t="str">
        <f t="shared" si="0"/>
        <v>MAELZER KURT</v>
      </c>
    </row>
    <row r="42" spans="1:7" x14ac:dyDescent="0.25">
      <c r="A42" s="8">
        <v>42987.269108796296</v>
      </c>
      <c r="B42" s="20" t="s">
        <v>670</v>
      </c>
      <c r="C42" s="20" t="s">
        <v>678</v>
      </c>
      <c r="D42" s="138">
        <v>3180000</v>
      </c>
      <c r="E42" s="20" t="s">
        <v>548</v>
      </c>
      <c r="F42" s="20" t="s">
        <v>549</v>
      </c>
      <c r="G42" s="8" t="str">
        <f t="shared" si="0"/>
        <v>HUFFSMITH MONTY</v>
      </c>
    </row>
    <row r="43" spans="1:7" x14ac:dyDescent="0.25">
      <c r="A43" s="8">
        <v>42987.269131944442</v>
      </c>
      <c r="B43" s="20" t="s">
        <v>538</v>
      </c>
      <c r="C43" s="20" t="s">
        <v>679</v>
      </c>
      <c r="D43" s="138">
        <v>2530000</v>
      </c>
      <c r="E43" s="20" t="s">
        <v>546</v>
      </c>
      <c r="F43" s="20" t="s">
        <v>547</v>
      </c>
      <c r="G43" s="8" t="str">
        <f t="shared" si="0"/>
        <v>LALONDE GREGORY</v>
      </c>
    </row>
    <row r="44" spans="1:7" x14ac:dyDescent="0.25">
      <c r="A44" s="8">
        <v>42987.276250000003</v>
      </c>
      <c r="B44" s="20" t="s">
        <v>624</v>
      </c>
      <c r="C44" s="20" t="s">
        <v>680</v>
      </c>
      <c r="D44" s="138">
        <v>3040000</v>
      </c>
      <c r="E44" s="20" t="s">
        <v>516</v>
      </c>
      <c r="F44" s="20" t="s">
        <v>517</v>
      </c>
      <c r="G44" s="8" t="str">
        <f t="shared" si="0"/>
        <v>WILLIAMS DONTE</v>
      </c>
    </row>
    <row r="45" spans="1:7" x14ac:dyDescent="0.25">
      <c r="A45" s="8">
        <v>42987.278761574074</v>
      </c>
      <c r="B45" s="20" t="s">
        <v>514</v>
      </c>
      <c r="C45" s="20" t="s">
        <v>614</v>
      </c>
      <c r="D45" s="138">
        <v>1990000</v>
      </c>
      <c r="E45" s="20" t="s">
        <v>346</v>
      </c>
      <c r="F45" s="20" t="s">
        <v>448</v>
      </c>
      <c r="G45" s="8" t="str">
        <f t="shared" si="0"/>
        <v>DAVIS WENDY</v>
      </c>
    </row>
    <row r="46" spans="1:7" x14ac:dyDescent="0.25">
      <c r="A46" s="8">
        <v>42987.279374999998</v>
      </c>
      <c r="B46" s="20" t="s">
        <v>645</v>
      </c>
      <c r="C46" s="20" t="s">
        <v>681</v>
      </c>
      <c r="D46" s="138">
        <v>1780000</v>
      </c>
      <c r="E46" s="20" t="s">
        <v>449</v>
      </c>
      <c r="F46" s="20" t="s">
        <v>450</v>
      </c>
      <c r="G46" s="8" t="str">
        <f t="shared" si="0"/>
        <v>DE LA ROSA ALEX</v>
      </c>
    </row>
    <row r="47" spans="1:7" x14ac:dyDescent="0.25">
      <c r="A47" s="8">
        <v>42987.287870370368</v>
      </c>
      <c r="B47" s="20" t="s">
        <v>640</v>
      </c>
      <c r="C47" s="20" t="s">
        <v>682</v>
      </c>
      <c r="D47" s="138">
        <v>1100000</v>
      </c>
      <c r="E47" s="20" t="s">
        <v>655</v>
      </c>
      <c r="F47" s="20" t="s">
        <v>656</v>
      </c>
      <c r="G47" s="8" t="str">
        <f t="shared" si="0"/>
        <v>GEBRETEKLE DAGNEW</v>
      </c>
    </row>
    <row r="48" spans="1:7" x14ac:dyDescent="0.25">
      <c r="A48" s="8">
        <v>42987.29105324074</v>
      </c>
      <c r="B48" s="20" t="s">
        <v>666</v>
      </c>
      <c r="C48" s="20" t="s">
        <v>683</v>
      </c>
      <c r="D48" s="138">
        <v>3180000</v>
      </c>
      <c r="E48" s="20" t="s">
        <v>548</v>
      </c>
      <c r="F48" s="20" t="s">
        <v>549</v>
      </c>
      <c r="G48" s="8" t="str">
        <f t="shared" si="0"/>
        <v>HUFFSMITH MONTY</v>
      </c>
    </row>
    <row r="49" spans="1:7" x14ac:dyDescent="0.25">
      <c r="A49" s="8">
        <v>42987.29111111111</v>
      </c>
      <c r="B49" s="20" t="s">
        <v>409</v>
      </c>
      <c r="C49" s="20" t="s">
        <v>684</v>
      </c>
      <c r="D49" s="138">
        <v>3260000</v>
      </c>
      <c r="E49" s="20" t="s">
        <v>452</v>
      </c>
      <c r="F49" s="20" t="s">
        <v>453</v>
      </c>
      <c r="G49" s="8" t="str">
        <f t="shared" si="0"/>
        <v>PAGE MARCUS</v>
      </c>
    </row>
    <row r="50" spans="1:7" x14ac:dyDescent="0.25">
      <c r="A50" s="8">
        <v>42987.296736111108</v>
      </c>
      <c r="B50" s="20" t="s">
        <v>541</v>
      </c>
      <c r="C50" s="20" t="s">
        <v>685</v>
      </c>
      <c r="D50" s="138">
        <v>2530000</v>
      </c>
      <c r="E50" s="20" t="s">
        <v>546</v>
      </c>
      <c r="F50" s="20" t="s">
        <v>547</v>
      </c>
      <c r="G50" s="8" t="str">
        <f t="shared" si="0"/>
        <v>LALONDE GREGORY</v>
      </c>
    </row>
    <row r="51" spans="1:7" x14ac:dyDescent="0.25">
      <c r="A51" s="8">
        <v>42987.299039351848</v>
      </c>
      <c r="B51" s="20" t="s">
        <v>536</v>
      </c>
      <c r="C51" s="20" t="s">
        <v>686</v>
      </c>
      <c r="D51" s="138">
        <v>2010000</v>
      </c>
      <c r="E51" s="20" t="s">
        <v>512</v>
      </c>
      <c r="F51" s="20" t="s">
        <v>513</v>
      </c>
      <c r="G51" s="8" t="str">
        <f t="shared" si="0"/>
        <v>MAELZER KURT</v>
      </c>
    </row>
    <row r="52" spans="1:7" x14ac:dyDescent="0.25">
      <c r="A52" s="8">
        <v>42987.309594907405</v>
      </c>
      <c r="B52" s="20" t="s">
        <v>670</v>
      </c>
      <c r="C52" s="20" t="s">
        <v>687</v>
      </c>
      <c r="D52" s="138">
        <v>3180000</v>
      </c>
      <c r="E52" s="20" t="s">
        <v>548</v>
      </c>
      <c r="F52" s="20" t="s">
        <v>549</v>
      </c>
      <c r="G52" s="8" t="str">
        <f t="shared" si="0"/>
        <v>HUFFSMITH MONTY</v>
      </c>
    </row>
    <row r="53" spans="1:7" x14ac:dyDescent="0.25">
      <c r="A53" s="8">
        <v>42987.310972222222</v>
      </c>
      <c r="B53" s="20" t="s">
        <v>515</v>
      </c>
      <c r="C53" s="20" t="s">
        <v>688</v>
      </c>
      <c r="D53" s="138">
        <v>2270000</v>
      </c>
      <c r="E53" s="20" t="s">
        <v>689</v>
      </c>
      <c r="F53" s="20" t="s">
        <v>690</v>
      </c>
      <c r="G53" s="8" t="str">
        <f t="shared" si="0"/>
        <v>BROWN JACOB</v>
      </c>
    </row>
    <row r="54" spans="1:7" x14ac:dyDescent="0.25">
      <c r="A54" s="8">
        <v>42987.317523148151</v>
      </c>
      <c r="B54" s="20" t="s">
        <v>621</v>
      </c>
      <c r="C54" s="20" t="s">
        <v>691</v>
      </c>
      <c r="D54" s="138">
        <v>1780000</v>
      </c>
      <c r="E54" s="20" t="s">
        <v>449</v>
      </c>
      <c r="F54" s="20" t="s">
        <v>450</v>
      </c>
      <c r="G54" s="8" t="str">
        <f t="shared" si="0"/>
        <v>DE LA ROSA ALEX</v>
      </c>
    </row>
    <row r="55" spans="1:7" x14ac:dyDescent="0.25">
      <c r="A55" s="8">
        <v>42987.319039351853</v>
      </c>
      <c r="B55" s="20" t="s">
        <v>511</v>
      </c>
      <c r="C55" s="20" t="s">
        <v>692</v>
      </c>
      <c r="D55" s="138">
        <v>1990000</v>
      </c>
      <c r="E55" s="20" t="s">
        <v>346</v>
      </c>
      <c r="F55" s="20" t="s">
        <v>448</v>
      </c>
      <c r="G55" s="8" t="str">
        <f t="shared" si="0"/>
        <v>DAVIS WENDY</v>
      </c>
    </row>
    <row r="56" spans="1:7" x14ac:dyDescent="0.25">
      <c r="A56" s="8">
        <v>42987.327488425923</v>
      </c>
      <c r="B56" s="20" t="s">
        <v>406</v>
      </c>
      <c r="C56" s="20" t="s">
        <v>693</v>
      </c>
      <c r="D56" s="138">
        <v>3260000</v>
      </c>
      <c r="E56" s="20" t="s">
        <v>452</v>
      </c>
      <c r="F56" s="20" t="s">
        <v>453</v>
      </c>
      <c r="G56" s="8" t="str">
        <f t="shared" si="0"/>
        <v>PAGE MARCUS</v>
      </c>
    </row>
    <row r="57" spans="1:7" x14ac:dyDescent="0.25">
      <c r="A57" s="8">
        <v>42987.328634259262</v>
      </c>
      <c r="B57" s="20" t="s">
        <v>555</v>
      </c>
      <c r="C57" s="20" t="s">
        <v>694</v>
      </c>
      <c r="D57" s="138">
        <v>1100000</v>
      </c>
      <c r="E57" s="20" t="s">
        <v>655</v>
      </c>
      <c r="F57" s="20" t="s">
        <v>656</v>
      </c>
      <c r="G57" s="8" t="str">
        <f t="shared" si="0"/>
        <v>GEBRETEKLE DAGNEW</v>
      </c>
    </row>
    <row r="58" spans="1:7" x14ac:dyDescent="0.25">
      <c r="A58" s="8">
        <v>42987.331388888888</v>
      </c>
      <c r="B58" s="20" t="s">
        <v>543</v>
      </c>
      <c r="C58" s="20" t="s">
        <v>695</v>
      </c>
      <c r="D58" s="138">
        <v>2010000</v>
      </c>
      <c r="E58" s="20" t="s">
        <v>512</v>
      </c>
      <c r="F58" s="20" t="s">
        <v>513</v>
      </c>
      <c r="G58" s="8" t="str">
        <f t="shared" si="0"/>
        <v>MAELZER KURT</v>
      </c>
    </row>
    <row r="59" spans="1:7" x14ac:dyDescent="0.25">
      <c r="A59" s="8">
        <v>42987.332314814812</v>
      </c>
      <c r="B59" s="20" t="s">
        <v>666</v>
      </c>
      <c r="C59" s="20" t="s">
        <v>696</v>
      </c>
      <c r="D59" s="138">
        <v>3180000</v>
      </c>
      <c r="E59" s="20" t="s">
        <v>548</v>
      </c>
      <c r="F59" s="20" t="s">
        <v>549</v>
      </c>
      <c r="G59" s="8" t="str">
        <f t="shared" si="0"/>
        <v>HUFFSMITH MONTY</v>
      </c>
    </row>
    <row r="60" spans="1:7" x14ac:dyDescent="0.25">
      <c r="A60" s="8">
        <v>42987.340891203705</v>
      </c>
      <c r="B60" s="20" t="s">
        <v>538</v>
      </c>
      <c r="C60" s="20" t="s">
        <v>697</v>
      </c>
      <c r="D60" s="138">
        <v>2530000</v>
      </c>
      <c r="E60" s="20" t="s">
        <v>546</v>
      </c>
      <c r="F60" s="20" t="s">
        <v>547</v>
      </c>
      <c r="G60" s="8" t="str">
        <f t="shared" si="0"/>
        <v>LALONDE GREGORY</v>
      </c>
    </row>
    <row r="61" spans="1:7" x14ac:dyDescent="0.25">
      <c r="A61" s="8">
        <v>42987.344918981478</v>
      </c>
      <c r="B61" s="20" t="s">
        <v>624</v>
      </c>
      <c r="C61" s="20" t="s">
        <v>698</v>
      </c>
      <c r="D61" s="138">
        <v>2270000</v>
      </c>
      <c r="E61" s="20" t="s">
        <v>689</v>
      </c>
      <c r="F61" s="20" t="s">
        <v>690</v>
      </c>
      <c r="G61" s="8" t="str">
        <f t="shared" si="0"/>
        <v>BROWN JACOB</v>
      </c>
    </row>
    <row r="62" spans="1:7" x14ac:dyDescent="0.25">
      <c r="A62" s="8">
        <v>42987.351180555554</v>
      </c>
      <c r="B62" s="20" t="s">
        <v>670</v>
      </c>
      <c r="C62" s="20" t="s">
        <v>699</v>
      </c>
      <c r="D62" s="138">
        <v>3180000</v>
      </c>
      <c r="E62" s="20" t="s">
        <v>548</v>
      </c>
      <c r="F62" s="20" t="s">
        <v>549</v>
      </c>
      <c r="G62" s="8" t="str">
        <f t="shared" si="0"/>
        <v>HUFFSMITH MONTY</v>
      </c>
    </row>
    <row r="63" spans="1:7" x14ac:dyDescent="0.25">
      <c r="A63" s="8">
        <v>42987.352835648147</v>
      </c>
      <c r="B63" s="20" t="s">
        <v>645</v>
      </c>
      <c r="C63" s="20" t="s">
        <v>700</v>
      </c>
      <c r="D63" s="138">
        <v>1780000</v>
      </c>
      <c r="E63" s="20" t="s">
        <v>449</v>
      </c>
      <c r="F63" s="20" t="s">
        <v>450</v>
      </c>
      <c r="G63" s="8" t="str">
        <f t="shared" si="0"/>
        <v>DE LA ROSA ALEX</v>
      </c>
    </row>
    <row r="64" spans="1:7" x14ac:dyDescent="0.25">
      <c r="A64" s="26">
        <v>42987.35832175926</v>
      </c>
      <c r="B64" s="20" t="s">
        <v>514</v>
      </c>
      <c r="C64" s="20" t="s">
        <v>701</v>
      </c>
      <c r="D64" s="138">
        <v>1990000</v>
      </c>
      <c r="E64" s="20" t="s">
        <v>346</v>
      </c>
      <c r="F64" s="20" t="s">
        <v>448</v>
      </c>
      <c r="G64" s="8" t="str">
        <f t="shared" si="0"/>
        <v>DAVIS WENDY</v>
      </c>
    </row>
    <row r="65" spans="1:7" x14ac:dyDescent="0.25">
      <c r="A65" s="8">
        <v>42987.360474537039</v>
      </c>
      <c r="B65" s="20" t="s">
        <v>409</v>
      </c>
      <c r="C65" s="20" t="s">
        <v>702</v>
      </c>
      <c r="D65" s="138">
        <v>2560000</v>
      </c>
      <c r="E65" s="20" t="s">
        <v>544</v>
      </c>
      <c r="F65" s="20" t="s">
        <v>545</v>
      </c>
      <c r="G65" s="8" t="str">
        <f t="shared" si="0"/>
        <v>MACDONALD THOMAS</v>
      </c>
    </row>
    <row r="66" spans="1:7" x14ac:dyDescent="0.25">
      <c r="A66" s="8">
        <v>42987.36178240741</v>
      </c>
      <c r="B66" s="20" t="s">
        <v>640</v>
      </c>
      <c r="C66" s="20" t="s">
        <v>703</v>
      </c>
      <c r="D66" s="138">
        <v>1100000</v>
      </c>
      <c r="E66" s="20" t="s">
        <v>655</v>
      </c>
      <c r="F66" s="20" t="s">
        <v>656</v>
      </c>
      <c r="G66" s="8" t="str">
        <f t="shared" si="0"/>
        <v>GEBRETEKLE DAGNEW</v>
      </c>
    </row>
    <row r="67" spans="1:7" x14ac:dyDescent="0.25">
      <c r="A67" s="8">
        <v>42987.368958333333</v>
      </c>
      <c r="B67" s="20" t="s">
        <v>541</v>
      </c>
      <c r="C67" s="20" t="s">
        <v>704</v>
      </c>
      <c r="D67" s="138">
        <v>2530000</v>
      </c>
      <c r="E67" s="20" t="s">
        <v>546</v>
      </c>
      <c r="F67" s="20" t="s">
        <v>547</v>
      </c>
      <c r="G67" s="8" t="str">
        <f t="shared" ref="G67:G130" si="1">E67&amp;" "&amp;F67</f>
        <v>LALONDE GREGORY</v>
      </c>
    </row>
    <row r="68" spans="1:7" x14ac:dyDescent="0.25">
      <c r="A68" s="8">
        <v>42987.372210648151</v>
      </c>
      <c r="B68" s="20" t="s">
        <v>536</v>
      </c>
      <c r="C68" s="20" t="s">
        <v>705</v>
      </c>
      <c r="D68" s="138">
        <v>2010000</v>
      </c>
      <c r="E68" s="20" t="s">
        <v>512</v>
      </c>
      <c r="F68" s="20" t="s">
        <v>513</v>
      </c>
      <c r="G68" s="8" t="str">
        <f t="shared" si="1"/>
        <v>MAELZER KURT</v>
      </c>
    </row>
    <row r="69" spans="1:7" x14ac:dyDescent="0.25">
      <c r="A69" s="8">
        <v>42987.374710648146</v>
      </c>
      <c r="B69" s="20" t="s">
        <v>666</v>
      </c>
      <c r="C69" s="20" t="s">
        <v>706</v>
      </c>
      <c r="D69" s="138">
        <v>3180000</v>
      </c>
      <c r="E69" s="20" t="s">
        <v>548</v>
      </c>
      <c r="F69" s="20" t="s">
        <v>549</v>
      </c>
      <c r="G69" s="8" t="str">
        <f t="shared" si="1"/>
        <v>HUFFSMITH MONTY</v>
      </c>
    </row>
    <row r="70" spans="1:7" x14ac:dyDescent="0.25">
      <c r="A70" s="8">
        <v>42987.380787037036</v>
      </c>
      <c r="B70" s="20" t="s">
        <v>515</v>
      </c>
      <c r="C70" s="20" t="s">
        <v>707</v>
      </c>
      <c r="D70" s="138">
        <v>3040000</v>
      </c>
      <c r="E70" s="20" t="s">
        <v>516</v>
      </c>
      <c r="F70" s="20" t="s">
        <v>517</v>
      </c>
      <c r="G70" s="8" t="str">
        <f t="shared" si="1"/>
        <v>WILLIAMS DONTE</v>
      </c>
    </row>
    <row r="71" spans="1:7" x14ac:dyDescent="0.25">
      <c r="A71" s="8">
        <v>42987.38175925926</v>
      </c>
      <c r="B71" s="20" t="s">
        <v>515</v>
      </c>
      <c r="C71" s="20" t="s">
        <v>707</v>
      </c>
      <c r="D71" s="138">
        <v>3040000</v>
      </c>
      <c r="E71" s="20" t="s">
        <v>516</v>
      </c>
      <c r="F71" s="20" t="s">
        <v>517</v>
      </c>
      <c r="G71" s="8" t="str">
        <f t="shared" si="1"/>
        <v>WILLIAMS DONTE</v>
      </c>
    </row>
    <row r="72" spans="1:7" x14ac:dyDescent="0.25">
      <c r="A72" s="8">
        <v>42987.390682870369</v>
      </c>
      <c r="B72" s="20" t="s">
        <v>621</v>
      </c>
      <c r="C72" s="20" t="s">
        <v>708</v>
      </c>
      <c r="D72" s="138">
        <v>1780000</v>
      </c>
      <c r="E72" s="20" t="s">
        <v>449</v>
      </c>
      <c r="F72" s="20" t="s">
        <v>450</v>
      </c>
      <c r="G72" s="8" t="str">
        <f t="shared" si="1"/>
        <v>DE LA ROSA ALEX</v>
      </c>
    </row>
    <row r="73" spans="1:7" x14ac:dyDescent="0.25">
      <c r="A73" s="8">
        <v>42987.391412037039</v>
      </c>
      <c r="B73" s="20" t="s">
        <v>511</v>
      </c>
      <c r="C73" s="20" t="s">
        <v>615</v>
      </c>
      <c r="D73" s="138">
        <v>1990000</v>
      </c>
      <c r="E73" s="20" t="s">
        <v>346</v>
      </c>
      <c r="F73" s="20" t="s">
        <v>448</v>
      </c>
      <c r="G73" s="8" t="str">
        <f t="shared" si="1"/>
        <v>DAVIS WENDY</v>
      </c>
    </row>
    <row r="74" spans="1:7" x14ac:dyDescent="0.25">
      <c r="A74" s="8">
        <v>42987.392476851855</v>
      </c>
      <c r="B74" s="20" t="s">
        <v>670</v>
      </c>
      <c r="C74" s="20" t="s">
        <v>709</v>
      </c>
      <c r="D74" s="138">
        <v>3180000</v>
      </c>
      <c r="E74" s="20" t="s">
        <v>548</v>
      </c>
      <c r="F74" s="20" t="s">
        <v>549</v>
      </c>
      <c r="G74" s="8" t="str">
        <f t="shared" si="1"/>
        <v>HUFFSMITH MONTY</v>
      </c>
    </row>
    <row r="75" spans="1:7" x14ac:dyDescent="0.25">
      <c r="A75" s="8">
        <v>42987.401076388887</v>
      </c>
      <c r="B75" s="20" t="s">
        <v>555</v>
      </c>
      <c r="C75" s="20" t="s">
        <v>710</v>
      </c>
      <c r="D75" s="138">
        <v>1100000</v>
      </c>
      <c r="E75" s="20" t="s">
        <v>655</v>
      </c>
      <c r="F75" s="20" t="s">
        <v>656</v>
      </c>
      <c r="G75" s="8" t="str">
        <f t="shared" si="1"/>
        <v>GEBRETEKLE DAGNEW</v>
      </c>
    </row>
    <row r="76" spans="1:7" x14ac:dyDescent="0.25">
      <c r="A76" s="8">
        <v>42987.403460648151</v>
      </c>
      <c r="B76" s="20" t="s">
        <v>406</v>
      </c>
      <c r="C76" s="20" t="s">
        <v>711</v>
      </c>
      <c r="D76" s="138">
        <v>2560000</v>
      </c>
      <c r="E76" s="20" t="s">
        <v>544</v>
      </c>
      <c r="F76" s="20" t="s">
        <v>545</v>
      </c>
      <c r="G76" s="8" t="str">
        <f t="shared" si="1"/>
        <v>MACDONALD THOMAS</v>
      </c>
    </row>
    <row r="77" spans="1:7" x14ac:dyDescent="0.25">
      <c r="A77" s="8">
        <v>42987.408587962964</v>
      </c>
      <c r="B77" s="20" t="s">
        <v>543</v>
      </c>
      <c r="C77" s="20" t="s">
        <v>705</v>
      </c>
      <c r="D77" s="138">
        <v>2010000</v>
      </c>
      <c r="E77" s="20" t="s">
        <v>512</v>
      </c>
      <c r="F77" s="20" t="s">
        <v>513</v>
      </c>
      <c r="G77" s="8" t="str">
        <f t="shared" si="1"/>
        <v>MAELZER KURT</v>
      </c>
    </row>
    <row r="78" spans="1:7" x14ac:dyDescent="0.25">
      <c r="A78" s="8">
        <v>42987.409155092595</v>
      </c>
      <c r="B78" s="20" t="s">
        <v>543</v>
      </c>
      <c r="C78" s="20" t="s">
        <v>712</v>
      </c>
      <c r="D78" s="138">
        <v>2010000</v>
      </c>
      <c r="E78" s="20" t="s">
        <v>512</v>
      </c>
      <c r="F78" s="20" t="s">
        <v>513</v>
      </c>
      <c r="G78" s="8" t="str">
        <f t="shared" si="1"/>
        <v>MAELZER KURT</v>
      </c>
    </row>
    <row r="79" spans="1:7" x14ac:dyDescent="0.25">
      <c r="A79" s="8">
        <v>42987.412453703706</v>
      </c>
      <c r="B79" s="20" t="s">
        <v>538</v>
      </c>
      <c r="C79" s="20" t="s">
        <v>713</v>
      </c>
      <c r="D79" s="138">
        <v>2530000</v>
      </c>
      <c r="E79" s="20" t="s">
        <v>546</v>
      </c>
      <c r="F79" s="20" t="s">
        <v>547</v>
      </c>
      <c r="G79" s="8" t="str">
        <f t="shared" si="1"/>
        <v>LALONDE GREGORY</v>
      </c>
    </row>
    <row r="80" spans="1:7" x14ac:dyDescent="0.25">
      <c r="A80" s="8">
        <v>42987.417442129627</v>
      </c>
      <c r="B80" s="20" t="s">
        <v>666</v>
      </c>
      <c r="C80" s="20" t="s">
        <v>714</v>
      </c>
      <c r="D80" s="138">
        <v>3180000</v>
      </c>
      <c r="E80" s="20" t="s">
        <v>548</v>
      </c>
      <c r="F80" s="20" t="s">
        <v>549</v>
      </c>
      <c r="G80" s="8" t="str">
        <f t="shared" si="1"/>
        <v>HUFFSMITH MONTY</v>
      </c>
    </row>
    <row r="81" spans="1:7" x14ac:dyDescent="0.25">
      <c r="A81" s="8">
        <v>42987.419386574074</v>
      </c>
      <c r="B81" s="20" t="s">
        <v>624</v>
      </c>
      <c r="C81" s="20" t="s">
        <v>715</v>
      </c>
      <c r="D81" s="138">
        <v>3040000</v>
      </c>
      <c r="E81" s="20" t="s">
        <v>516</v>
      </c>
      <c r="F81" s="20" t="s">
        <v>517</v>
      </c>
      <c r="G81" s="8" t="str">
        <f t="shared" si="1"/>
        <v>WILLIAMS DONTE</v>
      </c>
    </row>
    <row r="82" spans="1:7" x14ac:dyDescent="0.25">
      <c r="A82" s="8">
        <v>42987.422685185185</v>
      </c>
      <c r="B82" s="20" t="s">
        <v>645</v>
      </c>
      <c r="C82" s="20" t="s">
        <v>716</v>
      </c>
      <c r="D82" s="138">
        <v>2550000</v>
      </c>
      <c r="E82" s="20" t="s">
        <v>520</v>
      </c>
      <c r="F82" s="20" t="s">
        <v>521</v>
      </c>
      <c r="G82" s="8" t="str">
        <f t="shared" si="1"/>
        <v>BADERTSCHER DIANE</v>
      </c>
    </row>
    <row r="83" spans="1:7" x14ac:dyDescent="0.25">
      <c r="A83" s="8">
        <v>42987.430092592593</v>
      </c>
      <c r="B83" s="20" t="s">
        <v>514</v>
      </c>
      <c r="C83" s="20" t="s">
        <v>717</v>
      </c>
      <c r="D83" s="138">
        <v>1990000</v>
      </c>
      <c r="E83" s="20" t="s">
        <v>346</v>
      </c>
      <c r="F83" s="20" t="s">
        <v>448</v>
      </c>
      <c r="G83" s="8" t="str">
        <f t="shared" si="1"/>
        <v>DAVIS WENDY</v>
      </c>
    </row>
    <row r="84" spans="1:7" x14ac:dyDescent="0.25">
      <c r="A84" s="8">
        <v>42987.431770833333</v>
      </c>
      <c r="B84" s="20" t="s">
        <v>640</v>
      </c>
      <c r="C84" s="20" t="s">
        <v>718</v>
      </c>
      <c r="D84" s="138">
        <v>1100000</v>
      </c>
      <c r="E84" s="20" t="s">
        <v>655</v>
      </c>
      <c r="F84" s="20" t="s">
        <v>656</v>
      </c>
      <c r="G84" s="8" t="str">
        <f t="shared" si="1"/>
        <v>GEBRETEKLE DAGNEW</v>
      </c>
    </row>
    <row r="85" spans="1:7" x14ac:dyDescent="0.25">
      <c r="A85" s="8">
        <v>42987.436053240737</v>
      </c>
      <c r="B85" s="20" t="s">
        <v>409</v>
      </c>
      <c r="C85" s="20" t="s">
        <v>719</v>
      </c>
      <c r="D85" s="138">
        <v>2560000</v>
      </c>
      <c r="E85" s="20" t="s">
        <v>544</v>
      </c>
      <c r="F85" s="20" t="s">
        <v>545</v>
      </c>
      <c r="G85" s="8" t="str">
        <f t="shared" si="1"/>
        <v>MACDONALD THOMAS</v>
      </c>
    </row>
    <row r="86" spans="1:7" x14ac:dyDescent="0.25">
      <c r="A86" s="8">
        <v>42987.438483796293</v>
      </c>
      <c r="B86" s="20" t="s">
        <v>381</v>
      </c>
      <c r="C86" s="20" t="s">
        <v>720</v>
      </c>
      <c r="D86" s="138">
        <v>2440000</v>
      </c>
      <c r="E86" s="20" t="s">
        <v>721</v>
      </c>
      <c r="F86" s="20" t="s">
        <v>722</v>
      </c>
      <c r="G86" s="8" t="str">
        <f t="shared" si="1"/>
        <v>LOPES KIMBERLY</v>
      </c>
    </row>
    <row r="87" spans="1:7" x14ac:dyDescent="0.25">
      <c r="A87" s="8">
        <v>42987.439131944448</v>
      </c>
      <c r="B87" s="20" t="s">
        <v>381</v>
      </c>
      <c r="C87" s="20" t="s">
        <v>720</v>
      </c>
      <c r="D87" s="138">
        <v>2440000</v>
      </c>
      <c r="E87" s="20" t="s">
        <v>721</v>
      </c>
      <c r="F87" s="20" t="s">
        <v>722</v>
      </c>
      <c r="G87" s="8" t="str">
        <f t="shared" si="1"/>
        <v>LOPES KIMBERLY</v>
      </c>
    </row>
    <row r="88" spans="1:7" x14ac:dyDescent="0.25">
      <c r="A88" s="8">
        <v>42987.442731481482</v>
      </c>
      <c r="B88" s="20" t="s">
        <v>540</v>
      </c>
      <c r="C88" s="20" t="s">
        <v>720</v>
      </c>
      <c r="D88" s="138">
        <v>2440000</v>
      </c>
      <c r="E88" s="20" t="s">
        <v>721</v>
      </c>
      <c r="F88" s="20" t="s">
        <v>722</v>
      </c>
      <c r="G88" s="8" t="str">
        <f t="shared" si="1"/>
        <v>LOPES KIMBERLY</v>
      </c>
    </row>
    <row r="89" spans="1:7" x14ac:dyDescent="0.25">
      <c r="A89" s="8">
        <v>42987.442928240744</v>
      </c>
      <c r="B89" s="20" t="s">
        <v>541</v>
      </c>
      <c r="C89" s="20" t="s">
        <v>723</v>
      </c>
      <c r="D89" s="138">
        <v>2530000</v>
      </c>
      <c r="E89" s="20" t="s">
        <v>546</v>
      </c>
      <c r="F89" s="20" t="s">
        <v>547</v>
      </c>
      <c r="G89" s="8" t="str">
        <f t="shared" si="1"/>
        <v>LALONDE GREGORY</v>
      </c>
    </row>
    <row r="90" spans="1:7" x14ac:dyDescent="0.25">
      <c r="A90" s="8">
        <v>42987.443287037036</v>
      </c>
      <c r="B90" s="20" t="s">
        <v>540</v>
      </c>
      <c r="C90" s="20" t="s">
        <v>720</v>
      </c>
      <c r="D90" s="138">
        <v>2440000</v>
      </c>
      <c r="E90" s="20" t="s">
        <v>721</v>
      </c>
      <c r="F90" s="20" t="s">
        <v>722</v>
      </c>
      <c r="G90" s="8" t="str">
        <f t="shared" si="1"/>
        <v>LOPES KIMBERLY</v>
      </c>
    </row>
    <row r="91" spans="1:7" x14ac:dyDescent="0.25">
      <c r="A91" s="8">
        <v>42987.446319444447</v>
      </c>
      <c r="B91" s="20" t="s">
        <v>536</v>
      </c>
      <c r="C91" s="20" t="s">
        <v>724</v>
      </c>
      <c r="D91" s="138">
        <v>1770000</v>
      </c>
      <c r="E91" s="20" t="s">
        <v>420</v>
      </c>
      <c r="F91" s="20" t="s">
        <v>421</v>
      </c>
      <c r="G91" s="8" t="str">
        <f t="shared" si="1"/>
        <v>BRUDER RICHARD</v>
      </c>
    </row>
    <row r="92" spans="1:7" x14ac:dyDescent="0.25">
      <c r="A92" s="8">
        <v>42987.449907407405</v>
      </c>
      <c r="B92" s="20" t="s">
        <v>381</v>
      </c>
      <c r="C92" s="20" t="s">
        <v>720</v>
      </c>
      <c r="D92" s="138">
        <v>2440000</v>
      </c>
      <c r="E92" s="20" t="s">
        <v>721</v>
      </c>
      <c r="F92" s="20" t="s">
        <v>722</v>
      </c>
      <c r="G92" s="8" t="str">
        <f t="shared" si="1"/>
        <v>LOPES KIMBERLY</v>
      </c>
    </row>
    <row r="93" spans="1:7" x14ac:dyDescent="0.25">
      <c r="A93" s="8">
        <v>42987.455833333333</v>
      </c>
      <c r="B93" s="20" t="s">
        <v>515</v>
      </c>
      <c r="C93" s="20" t="s">
        <v>725</v>
      </c>
      <c r="D93" s="138">
        <v>3040000</v>
      </c>
      <c r="E93" s="20" t="s">
        <v>516</v>
      </c>
      <c r="F93" s="20" t="s">
        <v>517</v>
      </c>
      <c r="G93" s="8" t="str">
        <f t="shared" si="1"/>
        <v>WILLIAMS DONTE</v>
      </c>
    </row>
    <row r="94" spans="1:7" x14ac:dyDescent="0.25">
      <c r="A94" s="8">
        <v>42987.460243055553</v>
      </c>
      <c r="B94" s="20" t="s">
        <v>621</v>
      </c>
      <c r="C94" s="20" t="s">
        <v>726</v>
      </c>
      <c r="D94" s="138">
        <v>2550000</v>
      </c>
      <c r="E94" s="20" t="s">
        <v>520</v>
      </c>
      <c r="F94" s="20" t="s">
        <v>521</v>
      </c>
      <c r="G94" s="8" t="str">
        <f t="shared" si="1"/>
        <v>BADERTSCHER DIANE</v>
      </c>
    </row>
    <row r="95" spans="1:7" x14ac:dyDescent="0.25">
      <c r="A95" s="8">
        <v>42987.461284722223</v>
      </c>
      <c r="B95" s="20" t="s">
        <v>540</v>
      </c>
      <c r="C95" s="20" t="s">
        <v>727</v>
      </c>
      <c r="D95" s="138">
        <v>3180000</v>
      </c>
      <c r="E95" s="20" t="s">
        <v>548</v>
      </c>
      <c r="F95" s="20" t="s">
        <v>549</v>
      </c>
      <c r="G95" s="8" t="str">
        <f t="shared" si="1"/>
        <v>HUFFSMITH MONTY</v>
      </c>
    </row>
    <row r="96" spans="1:7" x14ac:dyDescent="0.25">
      <c r="A96" s="8">
        <v>42987.462025462963</v>
      </c>
      <c r="B96" s="20" t="s">
        <v>540</v>
      </c>
      <c r="C96" s="20" t="s">
        <v>727</v>
      </c>
      <c r="D96" s="138">
        <v>3180000</v>
      </c>
      <c r="E96" s="20" t="s">
        <v>548</v>
      </c>
      <c r="F96" s="20" t="s">
        <v>549</v>
      </c>
      <c r="G96" s="8" t="str">
        <f t="shared" si="1"/>
        <v>HUFFSMITH MONTY</v>
      </c>
    </row>
    <row r="97" spans="1:7" x14ac:dyDescent="0.25">
      <c r="A97" s="8">
        <v>42987.463182870371</v>
      </c>
      <c r="B97" s="20" t="s">
        <v>540</v>
      </c>
      <c r="C97" s="20" t="s">
        <v>727</v>
      </c>
      <c r="D97" s="138">
        <v>3180000</v>
      </c>
      <c r="E97" s="20" t="s">
        <v>548</v>
      </c>
      <c r="F97" s="20" t="s">
        <v>549</v>
      </c>
      <c r="G97" s="8" t="str">
        <f t="shared" si="1"/>
        <v>HUFFSMITH MONTY</v>
      </c>
    </row>
    <row r="98" spans="1:7" x14ac:dyDescent="0.25">
      <c r="A98" s="8">
        <v>42987.46675925926</v>
      </c>
      <c r="B98" s="20" t="s">
        <v>511</v>
      </c>
      <c r="C98" s="20" t="s">
        <v>617</v>
      </c>
      <c r="D98" s="138">
        <v>920000</v>
      </c>
      <c r="E98" s="20" t="s">
        <v>346</v>
      </c>
      <c r="F98" s="20" t="s">
        <v>191</v>
      </c>
      <c r="G98" s="8" t="str">
        <f t="shared" si="1"/>
        <v>DAVIS MICHAEL</v>
      </c>
    </row>
    <row r="99" spans="1:7" x14ac:dyDescent="0.25">
      <c r="A99" s="8">
        <v>42987.475474537037</v>
      </c>
      <c r="B99" s="20" t="s">
        <v>406</v>
      </c>
      <c r="C99" s="20" t="s">
        <v>728</v>
      </c>
      <c r="D99" s="138">
        <v>2560000</v>
      </c>
      <c r="E99" s="20" t="s">
        <v>544</v>
      </c>
      <c r="F99" s="20" t="s">
        <v>545</v>
      </c>
      <c r="G99" s="8" t="str">
        <f t="shared" si="1"/>
        <v>MACDONALD THOMAS</v>
      </c>
    </row>
    <row r="100" spans="1:7" x14ac:dyDescent="0.25">
      <c r="A100" s="8">
        <v>42987.475902777776</v>
      </c>
      <c r="B100" s="20" t="s">
        <v>381</v>
      </c>
      <c r="C100" s="20" t="s">
        <v>616</v>
      </c>
      <c r="D100" s="138">
        <v>3180000</v>
      </c>
      <c r="E100" s="20" t="s">
        <v>548</v>
      </c>
      <c r="F100" s="20" t="s">
        <v>549</v>
      </c>
      <c r="G100" s="8" t="str">
        <f t="shared" si="1"/>
        <v>HUFFSMITH MONTY</v>
      </c>
    </row>
    <row r="101" spans="1:7" x14ac:dyDescent="0.25">
      <c r="A101" s="8">
        <v>42987.475995370369</v>
      </c>
      <c r="B101" s="20" t="s">
        <v>555</v>
      </c>
      <c r="C101" s="20" t="s">
        <v>729</v>
      </c>
      <c r="D101" s="138">
        <v>2630000</v>
      </c>
      <c r="E101" s="20" t="s">
        <v>550</v>
      </c>
      <c r="F101" s="20" t="s">
        <v>551</v>
      </c>
      <c r="G101" s="8" t="str">
        <f t="shared" si="1"/>
        <v>SAFIEF AEIMEN</v>
      </c>
    </row>
    <row r="102" spans="1:7" x14ac:dyDescent="0.25">
      <c r="A102" s="8">
        <v>42987.483796296299</v>
      </c>
      <c r="B102" s="20" t="s">
        <v>538</v>
      </c>
      <c r="C102" s="20" t="s">
        <v>730</v>
      </c>
      <c r="D102" s="138">
        <v>2970000</v>
      </c>
      <c r="E102" s="20" t="s">
        <v>731</v>
      </c>
      <c r="F102" s="20" t="s">
        <v>732</v>
      </c>
      <c r="G102" s="8" t="str">
        <f t="shared" si="1"/>
        <v>GUZMAN DANNY</v>
      </c>
    </row>
    <row r="103" spans="1:7" x14ac:dyDescent="0.25">
      <c r="A103" s="8">
        <v>42987.485462962963</v>
      </c>
      <c r="B103" s="20" t="s">
        <v>543</v>
      </c>
      <c r="C103" s="20" t="s">
        <v>733</v>
      </c>
      <c r="D103" s="138">
        <v>1770000</v>
      </c>
      <c r="E103" s="20" t="s">
        <v>420</v>
      </c>
      <c r="F103" s="20" t="s">
        <v>421</v>
      </c>
      <c r="G103" s="8" t="str">
        <f t="shared" si="1"/>
        <v>BRUDER RICHARD</v>
      </c>
    </row>
    <row r="104" spans="1:7" x14ac:dyDescent="0.25">
      <c r="A104" s="8">
        <v>42987.489201388889</v>
      </c>
      <c r="B104" s="20" t="s">
        <v>540</v>
      </c>
      <c r="C104" s="20" t="s">
        <v>620</v>
      </c>
      <c r="D104" s="138">
        <v>3180000</v>
      </c>
      <c r="E104" s="20" t="s">
        <v>548</v>
      </c>
      <c r="F104" s="20" t="s">
        <v>549</v>
      </c>
      <c r="G104" s="8" t="str">
        <f t="shared" si="1"/>
        <v>HUFFSMITH MONTY</v>
      </c>
    </row>
    <row r="105" spans="1:7" x14ac:dyDescent="0.25">
      <c r="A105" s="8">
        <v>42987.49527777778</v>
      </c>
      <c r="B105" s="20" t="s">
        <v>624</v>
      </c>
      <c r="C105" s="20" t="s">
        <v>734</v>
      </c>
      <c r="D105" s="138">
        <v>3040000</v>
      </c>
      <c r="E105" s="20" t="s">
        <v>516</v>
      </c>
      <c r="F105" s="20" t="s">
        <v>517</v>
      </c>
      <c r="G105" s="8" t="str">
        <f t="shared" si="1"/>
        <v>WILLIAMS DONTE</v>
      </c>
    </row>
    <row r="106" spans="1:7" x14ac:dyDescent="0.25">
      <c r="A106" s="8">
        <v>42987.498194444444</v>
      </c>
      <c r="B106" s="20" t="s">
        <v>645</v>
      </c>
      <c r="C106" s="20" t="s">
        <v>735</v>
      </c>
      <c r="D106" s="138">
        <v>2550000</v>
      </c>
      <c r="E106" s="20" t="s">
        <v>520</v>
      </c>
      <c r="F106" s="20" t="s">
        <v>521</v>
      </c>
      <c r="G106" s="8" t="str">
        <f t="shared" si="1"/>
        <v>BADERTSCHER DIANE</v>
      </c>
    </row>
    <row r="107" spans="1:7" x14ac:dyDescent="0.25">
      <c r="A107" s="8">
        <v>42987.502013888887</v>
      </c>
      <c r="B107" s="20" t="s">
        <v>381</v>
      </c>
      <c r="C107" s="20" t="s">
        <v>736</v>
      </c>
      <c r="D107" s="138">
        <v>3180000</v>
      </c>
      <c r="E107" s="20" t="s">
        <v>548</v>
      </c>
      <c r="F107" s="20" t="s">
        <v>549</v>
      </c>
      <c r="G107" s="8" t="str">
        <f t="shared" si="1"/>
        <v>HUFFSMITH MONTY</v>
      </c>
    </row>
    <row r="108" spans="1:7" x14ac:dyDescent="0.25">
      <c r="A108" s="8">
        <v>42987.507013888891</v>
      </c>
      <c r="B108" s="20" t="s">
        <v>514</v>
      </c>
      <c r="C108" s="20" t="s">
        <v>737</v>
      </c>
      <c r="D108" s="138">
        <v>920000</v>
      </c>
      <c r="E108" s="20" t="s">
        <v>346</v>
      </c>
      <c r="F108" s="20" t="s">
        <v>191</v>
      </c>
      <c r="G108" s="8" t="str">
        <f t="shared" si="1"/>
        <v>DAVIS MICHAEL</v>
      </c>
    </row>
    <row r="109" spans="1:7" x14ac:dyDescent="0.25">
      <c r="A109" s="8">
        <v>42987.509351851855</v>
      </c>
      <c r="B109" s="20" t="s">
        <v>409</v>
      </c>
      <c r="C109" s="20" t="s">
        <v>738</v>
      </c>
      <c r="D109" s="138">
        <v>2040000</v>
      </c>
      <c r="E109" s="20" t="s">
        <v>423</v>
      </c>
      <c r="F109" s="20" t="s">
        <v>424</v>
      </c>
      <c r="G109" s="8" t="str">
        <f t="shared" si="1"/>
        <v>MOSES BRADLEY</v>
      </c>
    </row>
    <row r="110" spans="1:7" x14ac:dyDescent="0.25">
      <c r="A110" s="8">
        <v>42987.509652777779</v>
      </c>
      <c r="B110" s="20" t="s">
        <v>640</v>
      </c>
      <c r="C110" s="20" t="s">
        <v>739</v>
      </c>
      <c r="D110" s="138">
        <v>2630000</v>
      </c>
      <c r="E110" s="20" t="s">
        <v>550</v>
      </c>
      <c r="F110" s="20" t="s">
        <v>551</v>
      </c>
      <c r="G110" s="8" t="str">
        <f t="shared" si="1"/>
        <v>SAFIEF AEIMEN</v>
      </c>
    </row>
    <row r="111" spans="1:7" x14ac:dyDescent="0.25">
      <c r="A111" s="8">
        <v>42987.517280092594</v>
      </c>
      <c r="B111" s="20" t="s">
        <v>541</v>
      </c>
      <c r="C111" s="20" t="s">
        <v>740</v>
      </c>
      <c r="D111" s="138">
        <v>2970000</v>
      </c>
      <c r="E111" s="20" t="s">
        <v>731</v>
      </c>
      <c r="F111" s="20" t="s">
        <v>732</v>
      </c>
      <c r="G111" s="8" t="str">
        <f t="shared" si="1"/>
        <v>GUZMAN DANNY</v>
      </c>
    </row>
    <row r="112" spans="1:7" x14ac:dyDescent="0.25">
      <c r="A112" s="8">
        <v>42987.517453703702</v>
      </c>
      <c r="B112" s="20" t="s">
        <v>536</v>
      </c>
      <c r="C112" s="20" t="s">
        <v>741</v>
      </c>
      <c r="D112" s="138">
        <v>1770000</v>
      </c>
      <c r="E112" s="20" t="s">
        <v>420</v>
      </c>
      <c r="F112" s="20" t="s">
        <v>421</v>
      </c>
      <c r="G112" s="8" t="str">
        <f t="shared" si="1"/>
        <v>BRUDER RICHARD</v>
      </c>
    </row>
    <row r="113" spans="1:7" x14ac:dyDescent="0.25">
      <c r="A113" s="8">
        <v>42987.52103009259</v>
      </c>
      <c r="B113" s="20" t="s">
        <v>540</v>
      </c>
      <c r="C113" s="20" t="s">
        <v>742</v>
      </c>
      <c r="D113" s="138">
        <v>3180000</v>
      </c>
      <c r="E113" s="20" t="s">
        <v>548</v>
      </c>
      <c r="F113" s="20" t="s">
        <v>549</v>
      </c>
      <c r="G113" s="8" t="str">
        <f t="shared" si="1"/>
        <v>HUFFSMITH MONTY</v>
      </c>
    </row>
    <row r="114" spans="1:7" x14ac:dyDescent="0.25">
      <c r="A114" s="8">
        <v>42987.52853009259</v>
      </c>
      <c r="B114" s="20" t="s">
        <v>515</v>
      </c>
      <c r="C114" s="20" t="s">
        <v>743</v>
      </c>
      <c r="D114" s="138">
        <v>2420000</v>
      </c>
      <c r="E114" s="20" t="s">
        <v>457</v>
      </c>
      <c r="F114" s="20" t="s">
        <v>458</v>
      </c>
      <c r="G114" s="8" t="str">
        <f t="shared" si="1"/>
        <v>HOLCOMB KAMDEN</v>
      </c>
    </row>
    <row r="115" spans="1:7" x14ac:dyDescent="0.25">
      <c r="A115" s="8">
        <v>42987.533391203702</v>
      </c>
      <c r="B115" s="20" t="s">
        <v>666</v>
      </c>
      <c r="C115" s="20" t="s">
        <v>744</v>
      </c>
      <c r="D115" s="138">
        <v>2370000</v>
      </c>
      <c r="E115" s="20" t="s">
        <v>455</v>
      </c>
      <c r="F115" s="20" t="s">
        <v>456</v>
      </c>
      <c r="G115" s="8" t="str">
        <f t="shared" si="1"/>
        <v>DELGADO DIANAH</v>
      </c>
    </row>
    <row r="116" spans="1:7" x14ac:dyDescent="0.25">
      <c r="A116" s="8">
        <v>42987.535543981481</v>
      </c>
      <c r="B116" s="20" t="s">
        <v>621</v>
      </c>
      <c r="C116" s="20" t="s">
        <v>622</v>
      </c>
      <c r="D116" s="138">
        <v>2550000</v>
      </c>
      <c r="E116" s="20" t="s">
        <v>520</v>
      </c>
      <c r="F116" s="20" t="s">
        <v>521</v>
      </c>
      <c r="G116" s="8" t="str">
        <f t="shared" si="1"/>
        <v>BADERTSCHER DIANE</v>
      </c>
    </row>
    <row r="117" spans="1:7" x14ac:dyDescent="0.25">
      <c r="A117" s="8">
        <v>42987.540300925924</v>
      </c>
      <c r="B117" s="20" t="s">
        <v>511</v>
      </c>
      <c r="C117" s="20" t="s">
        <v>745</v>
      </c>
      <c r="D117" s="138">
        <v>920000</v>
      </c>
      <c r="E117" s="20" t="s">
        <v>346</v>
      </c>
      <c r="F117" s="20" t="s">
        <v>191</v>
      </c>
      <c r="G117" s="8" t="str">
        <f t="shared" si="1"/>
        <v>DAVIS MICHAEL</v>
      </c>
    </row>
    <row r="118" spans="1:7" x14ac:dyDescent="0.25">
      <c r="A118" s="8">
        <v>42987.543541666666</v>
      </c>
      <c r="B118" s="20" t="s">
        <v>381</v>
      </c>
      <c r="C118" s="20" t="s">
        <v>746</v>
      </c>
      <c r="D118" s="138">
        <v>3180000</v>
      </c>
      <c r="E118" s="20" t="s">
        <v>548</v>
      </c>
      <c r="F118" s="20" t="s">
        <v>549</v>
      </c>
      <c r="G118" s="8" t="str">
        <f t="shared" si="1"/>
        <v>HUFFSMITH MONTY</v>
      </c>
    </row>
    <row r="119" spans="1:7" x14ac:dyDescent="0.25">
      <c r="A119" s="8">
        <v>42987.546064814815</v>
      </c>
      <c r="B119" s="20" t="s">
        <v>406</v>
      </c>
      <c r="C119" s="20" t="s">
        <v>623</v>
      </c>
      <c r="D119" s="138">
        <v>2040000</v>
      </c>
      <c r="E119" s="20" t="s">
        <v>423</v>
      </c>
      <c r="F119" s="20" t="s">
        <v>424</v>
      </c>
      <c r="G119" s="8" t="str">
        <f t="shared" si="1"/>
        <v>MOSES BRADLEY</v>
      </c>
    </row>
    <row r="120" spans="1:7" x14ac:dyDescent="0.25">
      <c r="A120" s="8">
        <v>42987.547256944446</v>
      </c>
      <c r="B120" s="20" t="s">
        <v>555</v>
      </c>
      <c r="C120" s="20" t="s">
        <v>747</v>
      </c>
      <c r="D120" s="138">
        <v>2630000</v>
      </c>
      <c r="E120" s="20" t="s">
        <v>550</v>
      </c>
      <c r="F120" s="20" t="s">
        <v>551</v>
      </c>
      <c r="G120" s="8" t="str">
        <f t="shared" si="1"/>
        <v>SAFIEF AEIMEN</v>
      </c>
    </row>
    <row r="121" spans="1:7" x14ac:dyDescent="0.25">
      <c r="A121" s="8">
        <v>42987.558194444442</v>
      </c>
      <c r="B121" s="20" t="s">
        <v>543</v>
      </c>
      <c r="C121" s="20" t="s">
        <v>748</v>
      </c>
      <c r="D121" s="138">
        <v>1770000</v>
      </c>
      <c r="E121" s="20" t="s">
        <v>420</v>
      </c>
      <c r="F121" s="20" t="s">
        <v>421</v>
      </c>
      <c r="G121" s="8" t="str">
        <f t="shared" si="1"/>
        <v>BRUDER RICHARD</v>
      </c>
    </row>
    <row r="122" spans="1:7" x14ac:dyDescent="0.25">
      <c r="A122" s="8">
        <v>42987.559652777774</v>
      </c>
      <c r="B122" s="25" t="s">
        <v>538</v>
      </c>
      <c r="C122" s="20" t="s">
        <v>749</v>
      </c>
      <c r="D122" s="138">
        <v>2970000</v>
      </c>
      <c r="E122" s="20" t="s">
        <v>731</v>
      </c>
      <c r="F122" s="20" t="s">
        <v>732</v>
      </c>
      <c r="G122" s="8" t="str">
        <f t="shared" si="1"/>
        <v>GUZMAN DANNY</v>
      </c>
    </row>
    <row r="123" spans="1:7" x14ac:dyDescent="0.25">
      <c r="A123" s="8">
        <v>42987.560081018521</v>
      </c>
      <c r="B123" s="20" t="s">
        <v>540</v>
      </c>
      <c r="C123" s="20" t="s">
        <v>750</v>
      </c>
      <c r="D123" s="138">
        <v>3180000</v>
      </c>
      <c r="E123" s="20" t="s">
        <v>548</v>
      </c>
      <c r="F123" s="20" t="s">
        <v>549</v>
      </c>
      <c r="G123" s="8" t="str">
        <f t="shared" si="1"/>
        <v>HUFFSMITH MONTY</v>
      </c>
    </row>
    <row r="124" spans="1:7" x14ac:dyDescent="0.25">
      <c r="A124" s="8">
        <v>42987.560543981483</v>
      </c>
      <c r="B124" s="20" t="s">
        <v>412</v>
      </c>
      <c r="C124" s="20" t="s">
        <v>751</v>
      </c>
      <c r="D124" s="138">
        <v>2370000</v>
      </c>
      <c r="E124" s="20" t="s">
        <v>455</v>
      </c>
      <c r="F124" s="20" t="s">
        <v>456</v>
      </c>
      <c r="G124" s="8" t="str">
        <f t="shared" si="1"/>
        <v>DELGADO DIANAH</v>
      </c>
    </row>
    <row r="125" spans="1:7" x14ac:dyDescent="0.25">
      <c r="A125" s="8">
        <v>42987.568576388891</v>
      </c>
      <c r="B125" s="20" t="s">
        <v>624</v>
      </c>
      <c r="C125" s="20" t="s">
        <v>625</v>
      </c>
      <c r="D125" s="138">
        <v>2420000</v>
      </c>
      <c r="E125" s="20" t="s">
        <v>457</v>
      </c>
      <c r="F125" s="20" t="s">
        <v>458</v>
      </c>
      <c r="G125" s="8" t="str">
        <f t="shared" si="1"/>
        <v>HOLCOMB KAMDEN</v>
      </c>
    </row>
    <row r="126" spans="1:7" x14ac:dyDescent="0.25">
      <c r="A126" s="8">
        <v>42987.569224537037</v>
      </c>
      <c r="B126" s="20" t="s">
        <v>645</v>
      </c>
      <c r="C126" s="20" t="s">
        <v>752</v>
      </c>
      <c r="D126" s="138">
        <v>2440000</v>
      </c>
      <c r="E126" s="20" t="s">
        <v>721</v>
      </c>
      <c r="F126" s="20" t="s">
        <v>722</v>
      </c>
      <c r="G126" s="8" t="str">
        <f t="shared" si="1"/>
        <v>LOPES KIMBERLY</v>
      </c>
    </row>
    <row r="127" spans="1:7" x14ac:dyDescent="0.25">
      <c r="A127" s="8">
        <v>42987.57885416667</v>
      </c>
      <c r="B127" s="20" t="s">
        <v>514</v>
      </c>
      <c r="C127" s="20" t="s">
        <v>626</v>
      </c>
      <c r="D127" s="138">
        <v>920000</v>
      </c>
      <c r="E127" s="20" t="s">
        <v>346</v>
      </c>
      <c r="F127" s="20" t="s">
        <v>191</v>
      </c>
      <c r="G127" s="8" t="str">
        <f t="shared" si="1"/>
        <v>DAVIS MICHAEL</v>
      </c>
    </row>
    <row r="128" spans="1:7" x14ac:dyDescent="0.25">
      <c r="A128" s="8">
        <v>42987.579942129632</v>
      </c>
      <c r="B128" s="20" t="s">
        <v>409</v>
      </c>
      <c r="C128" s="20" t="s">
        <v>753</v>
      </c>
      <c r="D128" s="138">
        <v>2600000</v>
      </c>
      <c r="E128" s="20" t="s">
        <v>556</v>
      </c>
      <c r="F128" s="20" t="s">
        <v>459</v>
      </c>
      <c r="G128" s="8" t="str">
        <f t="shared" si="1"/>
        <v>DAVIDSON DAVID</v>
      </c>
    </row>
    <row r="129" spans="1:7" x14ac:dyDescent="0.25">
      <c r="A129" s="8">
        <v>42987.582789351851</v>
      </c>
      <c r="B129" s="20" t="s">
        <v>640</v>
      </c>
      <c r="C129" s="20" t="s">
        <v>754</v>
      </c>
      <c r="D129" s="138">
        <v>2630000</v>
      </c>
      <c r="E129" s="20" t="s">
        <v>550</v>
      </c>
      <c r="F129" s="20" t="s">
        <v>551</v>
      </c>
      <c r="G129" s="8" t="str">
        <f t="shared" si="1"/>
        <v>SAFIEF AEIMEN</v>
      </c>
    </row>
    <row r="130" spans="1:7" x14ac:dyDescent="0.25">
      <c r="A130" s="8">
        <v>42987.585057870368</v>
      </c>
      <c r="B130" s="20" t="s">
        <v>381</v>
      </c>
      <c r="C130" s="20" t="s">
        <v>755</v>
      </c>
      <c r="D130" s="138">
        <v>2230000</v>
      </c>
      <c r="E130" s="20" t="s">
        <v>552</v>
      </c>
      <c r="F130" s="20" t="s">
        <v>191</v>
      </c>
      <c r="G130" s="8" t="str">
        <f t="shared" si="1"/>
        <v>SMITH MICHAEL</v>
      </c>
    </row>
    <row r="131" spans="1:7" x14ac:dyDescent="0.25">
      <c r="A131" s="8">
        <v>42987.591666666667</v>
      </c>
      <c r="B131" s="20" t="s">
        <v>541</v>
      </c>
      <c r="C131" s="20" t="s">
        <v>756</v>
      </c>
      <c r="D131" s="138">
        <v>2970000</v>
      </c>
      <c r="E131" s="20" t="s">
        <v>731</v>
      </c>
      <c r="F131" s="20" t="s">
        <v>732</v>
      </c>
      <c r="G131" s="8" t="str">
        <f t="shared" ref="G131:G194" si="2">E131&amp;" "&amp;F131</f>
        <v>GUZMAN DANNY</v>
      </c>
    </row>
    <row r="132" spans="1:7" x14ac:dyDescent="0.25">
      <c r="A132" s="8">
        <v>42987.591956018521</v>
      </c>
      <c r="B132" s="20" t="s">
        <v>536</v>
      </c>
      <c r="C132" s="20" t="s">
        <v>757</v>
      </c>
      <c r="D132" s="138">
        <v>1770000</v>
      </c>
      <c r="E132" s="20" t="s">
        <v>420</v>
      </c>
      <c r="F132" s="20" t="s">
        <v>421</v>
      </c>
      <c r="G132" s="8" t="str">
        <f t="shared" si="2"/>
        <v>BRUDER RICHARD</v>
      </c>
    </row>
    <row r="133" spans="1:7" x14ac:dyDescent="0.25">
      <c r="A133" s="8">
        <v>42987.59957175926</v>
      </c>
      <c r="B133" s="20" t="s">
        <v>515</v>
      </c>
      <c r="C133" s="20" t="s">
        <v>758</v>
      </c>
      <c r="D133" s="138">
        <v>2420000</v>
      </c>
      <c r="E133" s="20" t="s">
        <v>457</v>
      </c>
      <c r="F133" s="20" t="s">
        <v>458</v>
      </c>
      <c r="G133" s="8" t="str">
        <f t="shared" si="2"/>
        <v>HOLCOMB KAMDEN</v>
      </c>
    </row>
    <row r="134" spans="1:7" x14ac:dyDescent="0.25">
      <c r="A134" s="8">
        <v>42987.602465277778</v>
      </c>
      <c r="B134" s="20" t="s">
        <v>540</v>
      </c>
      <c r="C134" s="20" t="s">
        <v>759</v>
      </c>
      <c r="D134" s="138">
        <v>2230000</v>
      </c>
      <c r="E134" s="20" t="s">
        <v>552</v>
      </c>
      <c r="F134" s="20" t="s">
        <v>191</v>
      </c>
      <c r="G134" s="8" t="str">
        <f t="shared" si="2"/>
        <v>SMITH MICHAEL</v>
      </c>
    </row>
    <row r="135" spans="1:7" x14ac:dyDescent="0.25">
      <c r="A135" s="8">
        <v>42987.605578703704</v>
      </c>
      <c r="B135" s="20" t="s">
        <v>621</v>
      </c>
      <c r="C135" s="20" t="s">
        <v>627</v>
      </c>
      <c r="D135" s="138">
        <v>2440000</v>
      </c>
      <c r="E135" s="20" t="s">
        <v>721</v>
      </c>
      <c r="F135" s="20" t="s">
        <v>722</v>
      </c>
      <c r="G135" s="8" t="str">
        <f t="shared" si="2"/>
        <v>LOPES KIMBERLY</v>
      </c>
    </row>
    <row r="136" spans="1:7" x14ac:dyDescent="0.25">
      <c r="A136" s="8">
        <v>42987.614236111112</v>
      </c>
      <c r="B136" s="20" t="s">
        <v>406</v>
      </c>
      <c r="C136" s="20" t="s">
        <v>760</v>
      </c>
      <c r="D136" s="138">
        <v>2600000</v>
      </c>
      <c r="E136" s="20" t="s">
        <v>556</v>
      </c>
      <c r="F136" s="20" t="s">
        <v>459</v>
      </c>
      <c r="G136" s="8" t="str">
        <f t="shared" si="2"/>
        <v>DAVIDSON DAVID</v>
      </c>
    </row>
    <row r="137" spans="1:7" x14ac:dyDescent="0.25">
      <c r="A137" s="8">
        <v>42987.616840277777</v>
      </c>
      <c r="B137" s="20" t="s">
        <v>511</v>
      </c>
      <c r="C137" s="20" t="s">
        <v>628</v>
      </c>
      <c r="D137" s="138">
        <v>920000</v>
      </c>
      <c r="E137" s="20" t="s">
        <v>346</v>
      </c>
      <c r="F137" s="20" t="s">
        <v>191</v>
      </c>
      <c r="G137" s="8" t="str">
        <f t="shared" si="2"/>
        <v>DAVIS MICHAEL</v>
      </c>
    </row>
    <row r="138" spans="1:7" x14ac:dyDescent="0.25">
      <c r="A138" s="8">
        <v>42987.623217592591</v>
      </c>
      <c r="B138" s="20" t="s">
        <v>555</v>
      </c>
      <c r="C138" s="20" t="s">
        <v>761</v>
      </c>
      <c r="D138" s="138">
        <v>2630000</v>
      </c>
      <c r="E138" s="20" t="s">
        <v>550</v>
      </c>
      <c r="F138" s="20" t="s">
        <v>551</v>
      </c>
      <c r="G138" s="8" t="str">
        <f t="shared" si="2"/>
        <v>SAFIEF AEIMEN</v>
      </c>
    </row>
    <row r="139" spans="1:7" x14ac:dyDescent="0.25">
      <c r="A139" s="8">
        <v>42987.626226851855</v>
      </c>
      <c r="B139" s="20" t="s">
        <v>381</v>
      </c>
      <c r="C139" s="20" t="s">
        <v>762</v>
      </c>
      <c r="D139" s="138">
        <v>2230000</v>
      </c>
      <c r="E139" s="20" t="s">
        <v>552</v>
      </c>
      <c r="F139" s="20" t="s">
        <v>191</v>
      </c>
      <c r="G139" s="8" t="str">
        <f t="shared" si="2"/>
        <v>SMITH MICHAEL</v>
      </c>
    </row>
    <row r="140" spans="1:7" x14ac:dyDescent="0.25">
      <c r="A140" s="8">
        <v>42987.626817129632</v>
      </c>
      <c r="B140" s="20" t="s">
        <v>543</v>
      </c>
      <c r="C140" s="20" t="s">
        <v>763</v>
      </c>
      <c r="D140" s="138">
        <v>1770000</v>
      </c>
      <c r="E140" s="20" t="s">
        <v>420</v>
      </c>
      <c r="F140" s="20" t="s">
        <v>421</v>
      </c>
      <c r="G140" s="8" t="str">
        <f t="shared" si="2"/>
        <v>BRUDER RICHARD</v>
      </c>
    </row>
    <row r="141" spans="1:7" x14ac:dyDescent="0.25">
      <c r="A141" s="8">
        <v>42987.633414351854</v>
      </c>
      <c r="B141" s="20" t="s">
        <v>538</v>
      </c>
      <c r="C141" s="20" t="s">
        <v>764</v>
      </c>
      <c r="D141" s="138">
        <v>2970000</v>
      </c>
      <c r="E141" s="20" t="s">
        <v>731</v>
      </c>
      <c r="F141" s="20" t="s">
        <v>732</v>
      </c>
      <c r="G141" s="8" t="str">
        <f t="shared" si="2"/>
        <v>GUZMAN DANNY</v>
      </c>
    </row>
    <row r="142" spans="1:7" x14ac:dyDescent="0.25">
      <c r="A142" s="8">
        <v>42987.641122685185</v>
      </c>
      <c r="B142" s="20" t="s">
        <v>624</v>
      </c>
      <c r="C142" s="20" t="s">
        <v>765</v>
      </c>
      <c r="D142" s="138">
        <v>2420000</v>
      </c>
      <c r="E142" s="20" t="s">
        <v>457</v>
      </c>
      <c r="F142" s="20" t="s">
        <v>458</v>
      </c>
      <c r="G142" s="8" t="str">
        <f t="shared" si="2"/>
        <v>HOLCOMB KAMDEN</v>
      </c>
    </row>
    <row r="143" spans="1:7" x14ac:dyDescent="0.25">
      <c r="A143" s="8">
        <v>42987.643182870372</v>
      </c>
      <c r="B143" s="20" t="s">
        <v>540</v>
      </c>
      <c r="C143" s="20" t="s">
        <v>629</v>
      </c>
      <c r="D143" s="138">
        <v>2230000</v>
      </c>
      <c r="E143" s="20" t="s">
        <v>552</v>
      </c>
      <c r="F143" s="20" t="s">
        <v>191</v>
      </c>
      <c r="G143" s="8" t="str">
        <f t="shared" si="2"/>
        <v>SMITH MICHAEL</v>
      </c>
    </row>
    <row r="144" spans="1:7" x14ac:dyDescent="0.25">
      <c r="A144" s="8">
        <v>42987.643854166665</v>
      </c>
      <c r="B144" s="20" t="s">
        <v>645</v>
      </c>
      <c r="C144" s="20" t="s">
        <v>766</v>
      </c>
      <c r="D144" s="138">
        <v>2550000</v>
      </c>
      <c r="E144" s="20" t="s">
        <v>520</v>
      </c>
      <c r="F144" s="20" t="s">
        <v>521</v>
      </c>
      <c r="G144" s="8" t="str">
        <f t="shared" si="2"/>
        <v>BADERTSCHER DIANE</v>
      </c>
    </row>
    <row r="145" spans="1:7" x14ac:dyDescent="0.25">
      <c r="A145" s="8">
        <v>42987.651921296296</v>
      </c>
      <c r="B145" s="20" t="s">
        <v>514</v>
      </c>
      <c r="C145" s="20" t="s">
        <v>767</v>
      </c>
      <c r="D145" s="138">
        <v>920000</v>
      </c>
      <c r="E145" s="20" t="s">
        <v>346</v>
      </c>
      <c r="F145" s="20" t="s">
        <v>191</v>
      </c>
      <c r="G145" s="8" t="str">
        <f t="shared" si="2"/>
        <v>DAVIS MICHAEL</v>
      </c>
    </row>
    <row r="146" spans="1:7" x14ac:dyDescent="0.25">
      <c r="A146" s="8">
        <v>42987.653773148151</v>
      </c>
      <c r="B146" s="20" t="s">
        <v>409</v>
      </c>
      <c r="C146" s="20" t="s">
        <v>768</v>
      </c>
      <c r="D146" s="138">
        <v>2600000</v>
      </c>
      <c r="E146" s="20" t="s">
        <v>556</v>
      </c>
      <c r="F146" s="20" t="s">
        <v>459</v>
      </c>
      <c r="G146" s="8" t="str">
        <f t="shared" si="2"/>
        <v>DAVIDSON DAVID</v>
      </c>
    </row>
    <row r="147" spans="1:7" x14ac:dyDescent="0.25">
      <c r="A147" s="8">
        <v>42987.6559375</v>
      </c>
      <c r="B147" s="20" t="s">
        <v>640</v>
      </c>
      <c r="C147" s="20" t="s">
        <v>769</v>
      </c>
      <c r="D147" s="138">
        <v>2630000</v>
      </c>
      <c r="E147" s="20" t="s">
        <v>550</v>
      </c>
      <c r="F147" s="20" t="s">
        <v>551</v>
      </c>
      <c r="G147" s="8" t="str">
        <f t="shared" si="2"/>
        <v>SAFIEF AEIMEN</v>
      </c>
    </row>
    <row r="148" spans="1:7" x14ac:dyDescent="0.25">
      <c r="A148" s="8">
        <v>42987.663310185184</v>
      </c>
      <c r="B148" s="20" t="s">
        <v>541</v>
      </c>
      <c r="C148" s="20" t="s">
        <v>770</v>
      </c>
      <c r="D148" s="138">
        <v>2970000</v>
      </c>
      <c r="E148" s="20" t="s">
        <v>731</v>
      </c>
      <c r="F148" s="20" t="s">
        <v>732</v>
      </c>
      <c r="G148" s="8" t="str">
        <f t="shared" si="2"/>
        <v>GUZMAN DANNY</v>
      </c>
    </row>
    <row r="149" spans="1:7" x14ac:dyDescent="0.25">
      <c r="A149" s="8">
        <v>42987.664201388892</v>
      </c>
      <c r="B149" s="20" t="s">
        <v>536</v>
      </c>
      <c r="C149" s="20" t="s">
        <v>771</v>
      </c>
      <c r="D149" s="138">
        <v>1770000</v>
      </c>
      <c r="E149" s="20" t="s">
        <v>420</v>
      </c>
      <c r="F149" s="20" t="s">
        <v>421</v>
      </c>
      <c r="G149" s="8" t="str">
        <f t="shared" si="2"/>
        <v>BRUDER RICHARD</v>
      </c>
    </row>
    <row r="150" spans="1:7" x14ac:dyDescent="0.25">
      <c r="A150" s="8">
        <v>42987.667592592596</v>
      </c>
      <c r="B150" s="20" t="s">
        <v>381</v>
      </c>
      <c r="C150" s="20" t="s">
        <v>772</v>
      </c>
      <c r="D150" s="138">
        <v>2230000</v>
      </c>
      <c r="E150" s="20" t="s">
        <v>552</v>
      </c>
      <c r="F150" s="20" t="s">
        <v>191</v>
      </c>
      <c r="G150" s="8" t="str">
        <f t="shared" si="2"/>
        <v>SMITH MICHAEL</v>
      </c>
    </row>
    <row r="151" spans="1:7" x14ac:dyDescent="0.25">
      <c r="A151" s="8">
        <v>42987.675462962965</v>
      </c>
      <c r="B151" s="20" t="s">
        <v>515</v>
      </c>
      <c r="C151" s="20" t="s">
        <v>773</v>
      </c>
      <c r="D151" s="138">
        <v>2420000</v>
      </c>
      <c r="E151" s="20" t="s">
        <v>457</v>
      </c>
      <c r="F151" s="20" t="s">
        <v>458</v>
      </c>
      <c r="G151" s="8" t="str">
        <f t="shared" si="2"/>
        <v>HOLCOMB KAMDEN</v>
      </c>
    </row>
    <row r="152" spans="1:7" x14ac:dyDescent="0.25">
      <c r="A152" s="8">
        <v>42987.680983796294</v>
      </c>
      <c r="B152" s="20" t="s">
        <v>621</v>
      </c>
      <c r="C152" s="20" t="s">
        <v>774</v>
      </c>
      <c r="D152" s="138">
        <v>2550000</v>
      </c>
      <c r="E152" s="20" t="s">
        <v>520</v>
      </c>
      <c r="F152" s="20" t="s">
        <v>521</v>
      </c>
      <c r="G152" s="8" t="str">
        <f t="shared" si="2"/>
        <v>BADERTSCHER DIANE</v>
      </c>
    </row>
    <row r="153" spans="1:7" x14ac:dyDescent="0.25">
      <c r="A153" s="8">
        <v>42987.684629629628</v>
      </c>
      <c r="B153" s="20" t="s">
        <v>540</v>
      </c>
      <c r="C153" s="20" t="s">
        <v>630</v>
      </c>
      <c r="D153" s="138">
        <v>2230000</v>
      </c>
      <c r="E153" s="20" t="s">
        <v>552</v>
      </c>
      <c r="F153" s="20" t="s">
        <v>191</v>
      </c>
      <c r="G153" s="8" t="str">
        <f t="shared" si="2"/>
        <v>SMITH MICHAEL</v>
      </c>
    </row>
    <row r="154" spans="1:7" x14ac:dyDescent="0.25">
      <c r="A154" s="8">
        <v>42987.684849537036</v>
      </c>
      <c r="B154" s="20" t="s">
        <v>511</v>
      </c>
      <c r="C154" s="20" t="s">
        <v>775</v>
      </c>
      <c r="D154" s="138">
        <v>920000</v>
      </c>
      <c r="E154" s="20" t="s">
        <v>346</v>
      </c>
      <c r="F154" s="20" t="s">
        <v>191</v>
      </c>
      <c r="G154" s="8" t="str">
        <f t="shared" si="2"/>
        <v>DAVIS MICHAEL</v>
      </c>
    </row>
    <row r="155" spans="1:7" x14ac:dyDescent="0.25">
      <c r="A155" s="8">
        <v>42987.684976851851</v>
      </c>
      <c r="B155" s="20" t="s">
        <v>406</v>
      </c>
      <c r="C155" s="20" t="s">
        <v>632</v>
      </c>
      <c r="D155" s="138">
        <v>2600000</v>
      </c>
      <c r="E155" s="20" t="s">
        <v>556</v>
      </c>
      <c r="F155" s="20" t="s">
        <v>459</v>
      </c>
      <c r="G155" s="8" t="str">
        <f t="shared" si="2"/>
        <v>DAVIDSON DAVID</v>
      </c>
    </row>
    <row r="156" spans="1:7" x14ac:dyDescent="0.25">
      <c r="A156" s="8">
        <v>42987.694386574076</v>
      </c>
      <c r="B156" s="20" t="s">
        <v>555</v>
      </c>
      <c r="C156" s="20" t="s">
        <v>776</v>
      </c>
      <c r="D156" s="138">
        <v>2630000</v>
      </c>
      <c r="E156" s="20" t="s">
        <v>550</v>
      </c>
      <c r="F156" s="20" t="s">
        <v>551</v>
      </c>
      <c r="G156" s="8" t="str">
        <f t="shared" si="2"/>
        <v>SAFIEF AEIMEN</v>
      </c>
    </row>
    <row r="157" spans="1:7" x14ac:dyDescent="0.25">
      <c r="A157" s="8">
        <v>42987.703148148146</v>
      </c>
      <c r="B157" s="20" t="s">
        <v>543</v>
      </c>
      <c r="C157" s="20" t="s">
        <v>777</v>
      </c>
      <c r="D157" s="138">
        <v>1770000</v>
      </c>
      <c r="E157" s="20" t="s">
        <v>420</v>
      </c>
      <c r="F157" s="20" t="s">
        <v>421</v>
      </c>
      <c r="G157" s="8" t="str">
        <f t="shared" si="2"/>
        <v>BRUDER RICHARD</v>
      </c>
    </row>
    <row r="158" spans="1:7" x14ac:dyDescent="0.25">
      <c r="A158" s="8">
        <v>42987.703379629631</v>
      </c>
      <c r="B158" s="20" t="s">
        <v>538</v>
      </c>
      <c r="C158" s="20" t="s">
        <v>778</v>
      </c>
      <c r="D158" s="138">
        <v>2970000</v>
      </c>
      <c r="E158" s="20" t="s">
        <v>731</v>
      </c>
      <c r="F158" s="20" t="s">
        <v>732</v>
      </c>
      <c r="G158" s="8" t="str">
        <f t="shared" si="2"/>
        <v>GUZMAN DANNY</v>
      </c>
    </row>
    <row r="159" spans="1:7" x14ac:dyDescent="0.25">
      <c r="A159" s="8">
        <v>42987.7034375</v>
      </c>
      <c r="B159" s="20" t="s">
        <v>454</v>
      </c>
      <c r="C159" s="20" t="s">
        <v>631</v>
      </c>
      <c r="D159" s="138">
        <v>2370000</v>
      </c>
      <c r="E159" s="20" t="s">
        <v>455</v>
      </c>
      <c r="F159" s="20" t="s">
        <v>456</v>
      </c>
      <c r="G159" s="8" t="str">
        <f t="shared" si="2"/>
        <v>DELGADO DIANAH</v>
      </c>
    </row>
    <row r="160" spans="1:7" x14ac:dyDescent="0.25">
      <c r="A160" s="8">
        <v>42987.709837962961</v>
      </c>
      <c r="B160" s="20" t="s">
        <v>381</v>
      </c>
      <c r="C160" s="20" t="s">
        <v>779</v>
      </c>
      <c r="D160" s="138">
        <v>2230000</v>
      </c>
      <c r="E160" s="20" t="s">
        <v>552</v>
      </c>
      <c r="F160" s="20" t="s">
        <v>191</v>
      </c>
      <c r="G160" s="8" t="str">
        <f t="shared" si="2"/>
        <v>SMITH MICHAEL</v>
      </c>
    </row>
    <row r="161" spans="1:7" x14ac:dyDescent="0.25">
      <c r="A161" s="8">
        <v>42987.713773148149</v>
      </c>
      <c r="B161" s="20" t="s">
        <v>412</v>
      </c>
      <c r="C161" s="20" t="s">
        <v>631</v>
      </c>
      <c r="D161" s="138">
        <v>2370000</v>
      </c>
      <c r="E161" s="20" t="s">
        <v>455</v>
      </c>
      <c r="F161" s="20" t="s">
        <v>456</v>
      </c>
      <c r="G161" s="8" t="str">
        <f t="shared" si="2"/>
        <v>DELGADO DIANAH</v>
      </c>
    </row>
    <row r="162" spans="1:7" x14ac:dyDescent="0.25">
      <c r="A162" s="8">
        <v>42987.714375000003</v>
      </c>
      <c r="B162" s="20" t="s">
        <v>412</v>
      </c>
      <c r="C162" s="20" t="s">
        <v>631</v>
      </c>
      <c r="D162" s="138">
        <v>2370000</v>
      </c>
      <c r="E162" s="20" t="s">
        <v>455</v>
      </c>
      <c r="F162" s="20" t="s">
        <v>456</v>
      </c>
      <c r="G162" s="8" t="str">
        <f t="shared" si="2"/>
        <v>DELGADO DIANAH</v>
      </c>
    </row>
    <row r="163" spans="1:7" x14ac:dyDescent="0.25">
      <c r="A163" s="8">
        <v>42987.714467592596</v>
      </c>
      <c r="B163" s="20" t="s">
        <v>624</v>
      </c>
      <c r="C163" s="20" t="s">
        <v>633</v>
      </c>
      <c r="D163" s="138">
        <v>2420000</v>
      </c>
      <c r="E163" s="20" t="s">
        <v>457</v>
      </c>
      <c r="F163" s="20" t="s">
        <v>458</v>
      </c>
      <c r="G163" s="8" t="str">
        <f t="shared" si="2"/>
        <v>HOLCOMB KAMDEN</v>
      </c>
    </row>
    <row r="164" spans="1:7" x14ac:dyDescent="0.25">
      <c r="A164" s="8">
        <v>42987.715428240743</v>
      </c>
      <c r="B164" s="20" t="s">
        <v>645</v>
      </c>
      <c r="C164" s="20" t="s">
        <v>780</v>
      </c>
      <c r="D164" s="138">
        <v>2550000</v>
      </c>
      <c r="E164" s="20" t="s">
        <v>520</v>
      </c>
      <c r="F164" s="20" t="s">
        <v>521</v>
      </c>
      <c r="G164" s="8" t="str">
        <f t="shared" si="2"/>
        <v>BADERTSCHER DIANE</v>
      </c>
    </row>
    <row r="165" spans="1:7" x14ac:dyDescent="0.25">
      <c r="A165" s="8">
        <v>42987.721087962964</v>
      </c>
      <c r="B165" s="20" t="s">
        <v>781</v>
      </c>
      <c r="C165" s="20" t="s">
        <v>631</v>
      </c>
      <c r="D165" s="138">
        <v>2370000</v>
      </c>
      <c r="E165" s="20" t="s">
        <v>455</v>
      </c>
      <c r="F165" s="20" t="s">
        <v>456</v>
      </c>
      <c r="G165" s="8" t="str">
        <f t="shared" si="2"/>
        <v>DELGADO DIANAH</v>
      </c>
    </row>
    <row r="166" spans="1:7" x14ac:dyDescent="0.25">
      <c r="A166" s="8">
        <v>42987.725775462961</v>
      </c>
      <c r="B166" s="20" t="s">
        <v>514</v>
      </c>
      <c r="C166" s="20" t="s">
        <v>635</v>
      </c>
      <c r="D166" s="138">
        <v>920000</v>
      </c>
      <c r="E166" s="20" t="s">
        <v>346</v>
      </c>
      <c r="F166" s="20" t="s">
        <v>191</v>
      </c>
      <c r="G166" s="8" t="str">
        <f t="shared" si="2"/>
        <v>DAVIS MICHAEL</v>
      </c>
    </row>
    <row r="167" spans="1:7" x14ac:dyDescent="0.25">
      <c r="A167" s="8">
        <v>42987.725995370369</v>
      </c>
      <c r="B167" s="20" t="s">
        <v>409</v>
      </c>
      <c r="C167" s="20" t="s">
        <v>782</v>
      </c>
      <c r="D167" s="138">
        <v>2600000</v>
      </c>
      <c r="E167" s="20" t="s">
        <v>556</v>
      </c>
      <c r="F167" s="20" t="s">
        <v>459</v>
      </c>
      <c r="G167" s="8" t="str">
        <f t="shared" si="2"/>
        <v>DAVIDSON DAVID</v>
      </c>
    </row>
    <row r="168" spans="1:7" x14ac:dyDescent="0.25">
      <c r="A168" s="8">
        <v>42987.726307870369</v>
      </c>
      <c r="B168" s="20" t="s">
        <v>454</v>
      </c>
      <c r="C168" s="20" t="s">
        <v>783</v>
      </c>
      <c r="D168" s="138">
        <v>3280000</v>
      </c>
      <c r="E168" s="20" t="s">
        <v>429</v>
      </c>
      <c r="F168" s="20" t="s">
        <v>430</v>
      </c>
      <c r="G168" s="8" t="str">
        <f t="shared" si="2"/>
        <v>BIRKHOLZ NADINE</v>
      </c>
    </row>
    <row r="169" spans="1:7" x14ac:dyDescent="0.25">
      <c r="A169" s="8">
        <v>42987.727962962963</v>
      </c>
      <c r="B169" s="20" t="s">
        <v>540</v>
      </c>
      <c r="C169" s="20" t="s">
        <v>784</v>
      </c>
      <c r="D169" s="138">
        <v>2230000</v>
      </c>
      <c r="E169" s="20" t="s">
        <v>552</v>
      </c>
      <c r="F169" s="20" t="s">
        <v>191</v>
      </c>
      <c r="G169" s="8" t="str">
        <f t="shared" si="2"/>
        <v>SMITH MICHAEL</v>
      </c>
    </row>
    <row r="170" spans="1:7" x14ac:dyDescent="0.25">
      <c r="A170" s="8">
        <v>42987.734398148146</v>
      </c>
      <c r="B170" s="20" t="s">
        <v>640</v>
      </c>
      <c r="C170" s="20" t="s">
        <v>785</v>
      </c>
      <c r="D170" s="138">
        <v>2630000</v>
      </c>
      <c r="E170" s="20" t="s">
        <v>550</v>
      </c>
      <c r="F170" s="20" t="s">
        <v>551</v>
      </c>
      <c r="G170" s="8" t="str">
        <f t="shared" si="2"/>
        <v>SAFIEF AEIMEN</v>
      </c>
    </row>
    <row r="171" spans="1:7" x14ac:dyDescent="0.25">
      <c r="A171" s="8">
        <v>42987.735914351855</v>
      </c>
      <c r="B171" s="20" t="s">
        <v>541</v>
      </c>
      <c r="C171" s="20" t="s">
        <v>786</v>
      </c>
      <c r="D171" s="138">
        <v>2970000</v>
      </c>
      <c r="E171" s="20" t="s">
        <v>731</v>
      </c>
      <c r="F171" s="20" t="s">
        <v>732</v>
      </c>
      <c r="G171" s="8" t="str">
        <f t="shared" si="2"/>
        <v>GUZMAN DANNY</v>
      </c>
    </row>
    <row r="172" spans="1:7" x14ac:dyDescent="0.25">
      <c r="A172" s="8">
        <v>42987.736076388886</v>
      </c>
      <c r="B172" s="20" t="s">
        <v>412</v>
      </c>
      <c r="C172" s="20" t="s">
        <v>783</v>
      </c>
      <c r="D172" s="138">
        <v>3280000</v>
      </c>
      <c r="E172" s="20" t="s">
        <v>429</v>
      </c>
      <c r="F172" s="20" t="s">
        <v>430</v>
      </c>
      <c r="G172" s="8" t="str">
        <f t="shared" si="2"/>
        <v>BIRKHOLZ NADINE</v>
      </c>
    </row>
    <row r="173" spans="1:7" x14ac:dyDescent="0.25">
      <c r="A173" s="8">
        <v>42987.736817129633</v>
      </c>
      <c r="B173" s="20" t="s">
        <v>536</v>
      </c>
      <c r="C173" s="20" t="s">
        <v>634</v>
      </c>
      <c r="D173" s="138">
        <v>3000000</v>
      </c>
      <c r="E173" s="20" t="s">
        <v>382</v>
      </c>
      <c r="F173" s="20" t="s">
        <v>383</v>
      </c>
      <c r="G173" s="8" t="str">
        <f t="shared" si="2"/>
        <v>FORTUNATO FRANK</v>
      </c>
    </row>
    <row r="174" spans="1:7" x14ac:dyDescent="0.25">
      <c r="A174" s="8">
        <v>42987.747337962966</v>
      </c>
      <c r="B174" s="20" t="s">
        <v>515</v>
      </c>
      <c r="C174" s="20" t="s">
        <v>787</v>
      </c>
      <c r="D174" s="138">
        <v>2420000</v>
      </c>
      <c r="E174" s="20" t="s">
        <v>457</v>
      </c>
      <c r="F174" s="20" t="s">
        <v>458</v>
      </c>
      <c r="G174" s="8" t="str">
        <f t="shared" si="2"/>
        <v>HOLCOMB KAMDEN</v>
      </c>
    </row>
    <row r="175" spans="1:7" x14ac:dyDescent="0.25">
      <c r="A175" s="8">
        <v>42987.74790509259</v>
      </c>
      <c r="B175" s="20" t="s">
        <v>514</v>
      </c>
      <c r="C175" s="20" t="s">
        <v>635</v>
      </c>
      <c r="D175" s="138">
        <v>920000</v>
      </c>
      <c r="E175" s="20" t="s">
        <v>346</v>
      </c>
      <c r="F175" s="20" t="s">
        <v>191</v>
      </c>
      <c r="G175" s="8" t="str">
        <f t="shared" si="2"/>
        <v>DAVIS MICHAEL</v>
      </c>
    </row>
    <row r="176" spans="1:7" x14ac:dyDescent="0.25">
      <c r="A176" s="8">
        <v>42987.751284722224</v>
      </c>
      <c r="B176" s="20" t="s">
        <v>381</v>
      </c>
      <c r="C176" s="20" t="s">
        <v>788</v>
      </c>
      <c r="D176" s="138">
        <v>2230000</v>
      </c>
      <c r="E176" s="20" t="s">
        <v>552</v>
      </c>
      <c r="F176" s="20" t="s">
        <v>191</v>
      </c>
      <c r="G176" s="8" t="str">
        <f t="shared" si="2"/>
        <v>SMITH MICHAEL</v>
      </c>
    </row>
    <row r="177" spans="1:7" x14ac:dyDescent="0.25">
      <c r="A177" s="8">
        <v>42987.754143518519</v>
      </c>
      <c r="B177" s="20" t="s">
        <v>621</v>
      </c>
      <c r="C177" s="20" t="s">
        <v>789</v>
      </c>
      <c r="D177" s="138">
        <v>2550000</v>
      </c>
      <c r="E177" s="20" t="s">
        <v>520</v>
      </c>
      <c r="F177" s="20" t="s">
        <v>521</v>
      </c>
      <c r="G177" s="8" t="str">
        <f t="shared" si="2"/>
        <v>BADERTSCHER DIANE</v>
      </c>
    </row>
    <row r="178" spans="1:7" x14ac:dyDescent="0.25">
      <c r="A178" s="8">
        <v>42987.757488425923</v>
      </c>
      <c r="B178" s="20" t="s">
        <v>406</v>
      </c>
      <c r="C178" s="20" t="s">
        <v>790</v>
      </c>
      <c r="D178" s="138">
        <v>2600000</v>
      </c>
      <c r="E178" s="20" t="s">
        <v>556</v>
      </c>
      <c r="F178" s="20" t="s">
        <v>459</v>
      </c>
      <c r="G178" s="8" t="str">
        <f t="shared" si="2"/>
        <v>DAVIDSON DAVID</v>
      </c>
    </row>
    <row r="179" spans="1:7" x14ac:dyDescent="0.25">
      <c r="A179" s="8">
        <v>42987.760717592595</v>
      </c>
      <c r="B179" s="20" t="s">
        <v>454</v>
      </c>
      <c r="C179" s="20" t="s">
        <v>791</v>
      </c>
      <c r="D179" s="138">
        <v>3290000</v>
      </c>
      <c r="E179" s="20" t="s">
        <v>518</v>
      </c>
      <c r="F179" s="20" t="s">
        <v>519</v>
      </c>
      <c r="G179" s="8" t="str">
        <f t="shared" si="2"/>
        <v>CASSIDY BRANDON</v>
      </c>
    </row>
    <row r="180" spans="1:7" x14ac:dyDescent="0.25">
      <c r="A180" s="8">
        <v>42987.767604166664</v>
      </c>
      <c r="B180" s="20" t="s">
        <v>543</v>
      </c>
      <c r="C180" s="20" t="s">
        <v>636</v>
      </c>
      <c r="D180" s="138">
        <v>3000000</v>
      </c>
      <c r="E180" s="20" t="s">
        <v>382</v>
      </c>
      <c r="F180" s="20" t="s">
        <v>383</v>
      </c>
      <c r="G180" s="8" t="str">
        <f t="shared" si="2"/>
        <v>FORTUNATO FRANK</v>
      </c>
    </row>
    <row r="181" spans="1:7" x14ac:dyDescent="0.25">
      <c r="A181" s="8">
        <v>42987.767638888887</v>
      </c>
      <c r="B181" s="20" t="s">
        <v>555</v>
      </c>
      <c r="C181" s="20" t="s">
        <v>792</v>
      </c>
      <c r="D181" s="138">
        <v>3320000</v>
      </c>
      <c r="E181" s="20" t="s">
        <v>483</v>
      </c>
      <c r="F181" s="20" t="s">
        <v>484</v>
      </c>
      <c r="G181" s="8" t="str">
        <f t="shared" si="2"/>
        <v>NICHOLSON WESLEY</v>
      </c>
    </row>
    <row r="182" spans="1:7" x14ac:dyDescent="0.25">
      <c r="A182" s="8">
        <v>42987.76829861111</v>
      </c>
      <c r="B182" s="20" t="s">
        <v>540</v>
      </c>
      <c r="C182" s="20" t="s">
        <v>793</v>
      </c>
      <c r="D182" s="138">
        <v>2230000</v>
      </c>
      <c r="E182" s="20" t="s">
        <v>552</v>
      </c>
      <c r="F182" s="20" t="s">
        <v>191</v>
      </c>
      <c r="G182" s="8" t="str">
        <f t="shared" si="2"/>
        <v>SMITH MICHAEL</v>
      </c>
    </row>
    <row r="183" spans="1:7" x14ac:dyDescent="0.25">
      <c r="A183" s="8">
        <v>42987.777037037034</v>
      </c>
      <c r="B183" s="20" t="s">
        <v>538</v>
      </c>
      <c r="C183" s="20" t="s">
        <v>794</v>
      </c>
      <c r="D183" s="138">
        <v>2970000</v>
      </c>
      <c r="E183" s="20" t="s">
        <v>731</v>
      </c>
      <c r="F183" s="20" t="s">
        <v>732</v>
      </c>
      <c r="G183" s="8" t="str">
        <f t="shared" si="2"/>
        <v>GUZMAN DANNY</v>
      </c>
    </row>
    <row r="184" spans="1:7" x14ac:dyDescent="0.25">
      <c r="A184" s="8">
        <v>42987.787210648145</v>
      </c>
      <c r="B184" s="20" t="s">
        <v>624</v>
      </c>
      <c r="C184" s="20" t="s">
        <v>795</v>
      </c>
      <c r="D184" s="138">
        <v>2420000</v>
      </c>
      <c r="E184" s="20" t="s">
        <v>457</v>
      </c>
      <c r="F184" s="20" t="s">
        <v>458</v>
      </c>
      <c r="G184" s="8" t="str">
        <f t="shared" si="2"/>
        <v>HOLCOMB KAMDEN</v>
      </c>
    </row>
    <row r="185" spans="1:7" x14ac:dyDescent="0.25">
      <c r="A185" s="8">
        <v>42987.790219907409</v>
      </c>
      <c r="B185" s="20" t="s">
        <v>645</v>
      </c>
      <c r="C185" s="20" t="s">
        <v>796</v>
      </c>
      <c r="D185" s="138">
        <v>3190000</v>
      </c>
      <c r="E185" s="20" t="s">
        <v>427</v>
      </c>
      <c r="F185" s="20" t="s">
        <v>428</v>
      </c>
      <c r="G185" s="8" t="str">
        <f t="shared" si="2"/>
        <v>HART KEVIN</v>
      </c>
    </row>
    <row r="186" spans="1:7" x14ac:dyDescent="0.25">
      <c r="A186" s="8">
        <v>42987.790509259263</v>
      </c>
      <c r="B186" s="20" t="s">
        <v>381</v>
      </c>
      <c r="C186" s="20" t="s">
        <v>797</v>
      </c>
      <c r="D186" s="138">
        <v>2230000</v>
      </c>
      <c r="E186" s="20" t="s">
        <v>552</v>
      </c>
      <c r="F186" s="20" t="s">
        <v>191</v>
      </c>
      <c r="G186" s="8" t="str">
        <f t="shared" si="2"/>
        <v>SMITH MICHAEL</v>
      </c>
    </row>
    <row r="187" spans="1:7" x14ac:dyDescent="0.25">
      <c r="A187" s="8">
        <v>42987.796377314815</v>
      </c>
      <c r="B187" s="20" t="s">
        <v>412</v>
      </c>
      <c r="C187" s="20" t="s">
        <v>798</v>
      </c>
      <c r="D187" s="138">
        <v>3290000</v>
      </c>
      <c r="E187" s="20" t="s">
        <v>518</v>
      </c>
      <c r="F187" s="20" t="s">
        <v>519</v>
      </c>
      <c r="G187" s="8" t="str">
        <f t="shared" si="2"/>
        <v>CASSIDY BRANDON</v>
      </c>
    </row>
    <row r="188" spans="1:7" x14ac:dyDescent="0.25">
      <c r="A188" s="8">
        <v>42987.79991898148</v>
      </c>
      <c r="B188" s="20" t="s">
        <v>409</v>
      </c>
      <c r="C188" s="20" t="s">
        <v>799</v>
      </c>
      <c r="D188" s="138">
        <v>2600000</v>
      </c>
      <c r="E188" s="20" t="s">
        <v>556</v>
      </c>
      <c r="F188" s="20" t="s">
        <v>459</v>
      </c>
      <c r="G188" s="8" t="str">
        <f t="shared" si="2"/>
        <v>DAVIDSON DAVID</v>
      </c>
    </row>
    <row r="189" spans="1:7" x14ac:dyDescent="0.25">
      <c r="A189" s="8">
        <v>42987.80232638889</v>
      </c>
      <c r="B189" s="20" t="s">
        <v>640</v>
      </c>
      <c r="C189" s="20" t="s">
        <v>800</v>
      </c>
      <c r="D189" s="138">
        <v>3320000</v>
      </c>
      <c r="E189" s="20" t="s">
        <v>483</v>
      </c>
      <c r="F189" s="20" t="s">
        <v>484</v>
      </c>
      <c r="G189" s="8" t="str">
        <f t="shared" si="2"/>
        <v>NICHOLSON WESLEY</v>
      </c>
    </row>
    <row r="190" spans="1:7" x14ac:dyDescent="0.25">
      <c r="A190" s="8">
        <v>42987.809351851851</v>
      </c>
      <c r="B190" s="20" t="s">
        <v>540</v>
      </c>
      <c r="C190" s="20" t="s">
        <v>801</v>
      </c>
      <c r="D190" s="138">
        <v>2230000</v>
      </c>
      <c r="E190" s="20" t="s">
        <v>552</v>
      </c>
      <c r="F190" s="20" t="s">
        <v>191</v>
      </c>
      <c r="G190" s="8" t="str">
        <f t="shared" si="2"/>
        <v>SMITH MICHAEL</v>
      </c>
    </row>
    <row r="191" spans="1:7" x14ac:dyDescent="0.25">
      <c r="A191" s="8">
        <v>42987.810844907406</v>
      </c>
      <c r="B191" s="20" t="s">
        <v>536</v>
      </c>
      <c r="C191" s="20" t="s">
        <v>802</v>
      </c>
      <c r="D191" s="138">
        <v>3000000</v>
      </c>
      <c r="E191" s="20" t="s">
        <v>382</v>
      </c>
      <c r="F191" s="20" t="s">
        <v>383</v>
      </c>
      <c r="G191" s="8" t="str">
        <f t="shared" si="2"/>
        <v>FORTUNATO FRANK</v>
      </c>
    </row>
    <row r="192" spans="1:7" x14ac:dyDescent="0.25">
      <c r="A192" s="8">
        <v>42987.811527777776</v>
      </c>
      <c r="B192" s="20" t="s">
        <v>536</v>
      </c>
      <c r="C192" s="20" t="s">
        <v>802</v>
      </c>
      <c r="D192" s="138">
        <v>3000000</v>
      </c>
      <c r="E192" s="20" t="s">
        <v>382</v>
      </c>
      <c r="F192" s="20" t="s">
        <v>383</v>
      </c>
      <c r="G192" s="8" t="str">
        <f t="shared" si="2"/>
        <v>FORTUNATO FRANK</v>
      </c>
    </row>
    <row r="193" spans="1:7" x14ac:dyDescent="0.25">
      <c r="A193" s="8">
        <v>42987.818923611114</v>
      </c>
      <c r="B193" s="20" t="s">
        <v>515</v>
      </c>
      <c r="C193" s="20" t="s">
        <v>637</v>
      </c>
      <c r="D193" s="138">
        <v>2420000</v>
      </c>
      <c r="E193" s="20" t="s">
        <v>457</v>
      </c>
      <c r="F193" s="20" t="s">
        <v>458</v>
      </c>
      <c r="G193" s="8" t="str">
        <f t="shared" si="2"/>
        <v>HOLCOMB KAMDEN</v>
      </c>
    </row>
    <row r="194" spans="1:7" x14ac:dyDescent="0.25">
      <c r="A194" s="8">
        <v>42987.819513888891</v>
      </c>
      <c r="B194" s="20" t="s">
        <v>511</v>
      </c>
      <c r="C194" s="20" t="s">
        <v>638</v>
      </c>
      <c r="D194" s="138">
        <v>3280000</v>
      </c>
      <c r="E194" s="20" t="s">
        <v>429</v>
      </c>
      <c r="F194" s="20" t="s">
        <v>430</v>
      </c>
      <c r="G194" s="8" t="str">
        <f t="shared" si="2"/>
        <v>BIRKHOLZ NADINE</v>
      </c>
    </row>
    <row r="195" spans="1:7" x14ac:dyDescent="0.25">
      <c r="A195" s="8">
        <v>42987.828761574077</v>
      </c>
      <c r="B195" s="20" t="s">
        <v>621</v>
      </c>
      <c r="C195" s="20" t="s">
        <v>803</v>
      </c>
      <c r="D195" s="138">
        <v>3190000</v>
      </c>
      <c r="E195" s="20" t="s">
        <v>427</v>
      </c>
      <c r="F195" s="20" t="s">
        <v>428</v>
      </c>
      <c r="G195" s="8" t="str">
        <f t="shared" ref="G195:G258" si="3">E195&amp;" "&amp;F195</f>
        <v>HART KEVIN</v>
      </c>
    </row>
    <row r="196" spans="1:7" x14ac:dyDescent="0.25">
      <c r="A196" s="8">
        <v>42987.83216435185</v>
      </c>
      <c r="B196" s="20" t="s">
        <v>381</v>
      </c>
      <c r="C196" s="20" t="s">
        <v>804</v>
      </c>
      <c r="D196" s="138">
        <v>2230000</v>
      </c>
      <c r="E196" s="20" t="s">
        <v>552</v>
      </c>
      <c r="F196" s="20" t="s">
        <v>191</v>
      </c>
      <c r="G196" s="8" t="str">
        <f t="shared" si="3"/>
        <v>SMITH MICHAEL</v>
      </c>
    </row>
    <row r="197" spans="1:7" x14ac:dyDescent="0.25">
      <c r="A197" s="8">
        <v>42987.83929398148</v>
      </c>
      <c r="B197" s="20" t="s">
        <v>543</v>
      </c>
      <c r="C197" s="20" t="s">
        <v>805</v>
      </c>
      <c r="D197" s="138">
        <v>3000000</v>
      </c>
      <c r="E197" s="20" t="s">
        <v>382</v>
      </c>
      <c r="F197" s="20" t="s">
        <v>383</v>
      </c>
      <c r="G197" s="8" t="str">
        <f t="shared" si="3"/>
        <v>FORTUNATO FRANK</v>
      </c>
    </row>
    <row r="198" spans="1:7" x14ac:dyDescent="0.25">
      <c r="A198" s="8">
        <v>42987.841990740744</v>
      </c>
      <c r="B198" s="20" t="s">
        <v>555</v>
      </c>
      <c r="C198" s="20" t="s">
        <v>806</v>
      </c>
      <c r="D198" s="138">
        <v>3320000</v>
      </c>
      <c r="E198" s="20" t="s">
        <v>483</v>
      </c>
      <c r="F198" s="20" t="s">
        <v>484</v>
      </c>
      <c r="G198" s="8" t="str">
        <f t="shared" si="3"/>
        <v>NICHOLSON WESLEY</v>
      </c>
    </row>
    <row r="199" spans="1:7" x14ac:dyDescent="0.25">
      <c r="A199" s="8">
        <v>42987.844942129632</v>
      </c>
      <c r="B199" s="20" t="s">
        <v>511</v>
      </c>
      <c r="C199" s="20" t="s">
        <v>638</v>
      </c>
      <c r="D199" s="138">
        <v>3280000</v>
      </c>
      <c r="E199" s="20" t="s">
        <v>429</v>
      </c>
      <c r="F199" s="20" t="s">
        <v>430</v>
      </c>
      <c r="G199" s="8" t="str">
        <f t="shared" si="3"/>
        <v>BIRKHOLZ NADINE</v>
      </c>
    </row>
    <row r="200" spans="1:7" x14ac:dyDescent="0.25">
      <c r="A200" s="8">
        <v>42987.851180555554</v>
      </c>
      <c r="B200" s="20" t="s">
        <v>540</v>
      </c>
      <c r="C200" s="20" t="s">
        <v>807</v>
      </c>
      <c r="D200" s="138">
        <v>2230000</v>
      </c>
      <c r="E200" s="20" t="s">
        <v>552</v>
      </c>
      <c r="F200" s="20" t="s">
        <v>191</v>
      </c>
      <c r="G200" s="8" t="str">
        <f t="shared" si="3"/>
        <v>SMITH MICHAEL</v>
      </c>
    </row>
    <row r="201" spans="1:7" x14ac:dyDescent="0.25">
      <c r="A201" s="8">
        <v>42987.866770833331</v>
      </c>
      <c r="B201" s="20" t="s">
        <v>645</v>
      </c>
      <c r="C201" s="20" t="s">
        <v>808</v>
      </c>
      <c r="D201" s="138">
        <v>3190000</v>
      </c>
      <c r="E201" s="20" t="s">
        <v>427</v>
      </c>
      <c r="F201" s="20" t="s">
        <v>428</v>
      </c>
      <c r="G201" s="8" t="str">
        <f t="shared" si="3"/>
        <v>HART KEVIN</v>
      </c>
    </row>
    <row r="202" spans="1:7" x14ac:dyDescent="0.25">
      <c r="A202" s="26">
        <v>42987.869398148148</v>
      </c>
      <c r="B202" s="20" t="s">
        <v>514</v>
      </c>
      <c r="C202" s="20" t="s">
        <v>639</v>
      </c>
      <c r="D202" s="138">
        <v>3280000</v>
      </c>
      <c r="E202" s="20" t="s">
        <v>429</v>
      </c>
      <c r="F202" s="20" t="s">
        <v>430</v>
      </c>
      <c r="G202" s="8" t="str">
        <f t="shared" si="3"/>
        <v>BIRKHOLZ NADINE</v>
      </c>
    </row>
    <row r="203" spans="1:7" x14ac:dyDescent="0.25">
      <c r="A203" s="8">
        <v>42987.875381944446</v>
      </c>
      <c r="B203" s="20" t="s">
        <v>381</v>
      </c>
      <c r="C203" s="20" t="s">
        <v>809</v>
      </c>
      <c r="D203" s="138">
        <v>3310000</v>
      </c>
      <c r="E203" s="20" t="s">
        <v>810</v>
      </c>
      <c r="F203" s="20" t="s">
        <v>811</v>
      </c>
      <c r="G203" s="8" t="str">
        <f t="shared" si="3"/>
        <v>ANDERS STEVEN</v>
      </c>
    </row>
    <row r="204" spans="1:7" x14ac:dyDescent="0.25">
      <c r="A204" s="8">
        <v>42987.888194444444</v>
      </c>
      <c r="B204" s="20" t="s">
        <v>454</v>
      </c>
      <c r="C204" s="20" t="s">
        <v>631</v>
      </c>
      <c r="D204" s="138">
        <v>3340000</v>
      </c>
      <c r="E204" s="20" t="s">
        <v>553</v>
      </c>
      <c r="F204" s="20" t="s">
        <v>554</v>
      </c>
      <c r="G204" s="8" t="str">
        <f t="shared" si="3"/>
        <v>ELBAUM MIKE</v>
      </c>
    </row>
    <row r="205" spans="1:7" x14ac:dyDescent="0.25">
      <c r="A205" s="8">
        <v>42987.888356481482</v>
      </c>
      <c r="B205" s="20" t="s">
        <v>536</v>
      </c>
      <c r="C205" s="20" t="s">
        <v>812</v>
      </c>
      <c r="D205" s="138">
        <v>3000000</v>
      </c>
      <c r="E205" s="20" t="s">
        <v>382</v>
      </c>
      <c r="F205" s="20" t="s">
        <v>383</v>
      </c>
      <c r="G205" s="8" t="str">
        <f t="shared" si="3"/>
        <v>FORTUNATO FRANK</v>
      </c>
    </row>
    <row r="206" spans="1:7" x14ac:dyDescent="0.25">
      <c r="A206" s="8">
        <v>42987.890057870369</v>
      </c>
      <c r="B206" s="20" t="s">
        <v>640</v>
      </c>
      <c r="C206" s="20" t="s">
        <v>641</v>
      </c>
      <c r="D206" s="138">
        <v>3320000</v>
      </c>
      <c r="E206" s="20" t="s">
        <v>483</v>
      </c>
      <c r="F206" s="20" t="s">
        <v>484</v>
      </c>
      <c r="G206" s="8" t="str">
        <f t="shared" si="3"/>
        <v>NICHOLSON WESLEY</v>
      </c>
    </row>
    <row r="207" spans="1:7" x14ac:dyDescent="0.25">
      <c r="A207" s="8">
        <v>42987.89266203704</v>
      </c>
      <c r="B207" s="20" t="s">
        <v>412</v>
      </c>
      <c r="C207" s="20" t="s">
        <v>631</v>
      </c>
      <c r="D207" s="138">
        <v>3340000</v>
      </c>
      <c r="E207" s="20" t="s">
        <v>553</v>
      </c>
      <c r="F207" s="20" t="s">
        <v>554</v>
      </c>
      <c r="G207" s="8" t="str">
        <f t="shared" si="3"/>
        <v>ELBAUM MIKE</v>
      </c>
    </row>
    <row r="208" spans="1:7" x14ac:dyDescent="0.25">
      <c r="A208" s="8">
        <v>42987.898657407408</v>
      </c>
      <c r="B208" s="20" t="s">
        <v>540</v>
      </c>
      <c r="C208" s="20" t="s">
        <v>813</v>
      </c>
      <c r="D208" s="138">
        <v>3310000</v>
      </c>
      <c r="E208" s="20" t="s">
        <v>810</v>
      </c>
      <c r="F208" s="20" t="s">
        <v>811</v>
      </c>
      <c r="G208" s="8" t="str">
        <f t="shared" si="3"/>
        <v>ANDERS STEVEN</v>
      </c>
    </row>
    <row r="209" spans="1:7" x14ac:dyDescent="0.25">
      <c r="A209" s="8">
        <v>42987.905949074076</v>
      </c>
      <c r="B209" s="20" t="s">
        <v>454</v>
      </c>
      <c r="C209" s="20" t="s">
        <v>814</v>
      </c>
      <c r="D209" s="138">
        <v>3290000</v>
      </c>
      <c r="E209" s="20" t="s">
        <v>518</v>
      </c>
      <c r="F209" s="20" t="s">
        <v>519</v>
      </c>
      <c r="G209" s="8" t="str">
        <f t="shared" si="3"/>
        <v>CASSIDY BRANDON</v>
      </c>
    </row>
    <row r="210" spans="1:7" x14ac:dyDescent="0.25">
      <c r="A210" s="8">
        <v>42987.912106481483</v>
      </c>
      <c r="B210" s="20" t="s">
        <v>621</v>
      </c>
      <c r="C210" s="20" t="s">
        <v>642</v>
      </c>
      <c r="D210" s="138">
        <v>3190000</v>
      </c>
      <c r="E210" s="20" t="s">
        <v>427</v>
      </c>
      <c r="F210" s="20" t="s">
        <v>428</v>
      </c>
      <c r="G210" s="8" t="str">
        <f t="shared" si="3"/>
        <v>HART KEVIN</v>
      </c>
    </row>
    <row r="211" spans="1:7" x14ac:dyDescent="0.25">
      <c r="A211" s="8">
        <v>42987.917268518519</v>
      </c>
      <c r="B211" s="20" t="s">
        <v>381</v>
      </c>
      <c r="C211" s="20" t="s">
        <v>815</v>
      </c>
      <c r="D211" s="138">
        <v>2230000</v>
      </c>
      <c r="E211" s="20" t="s">
        <v>552</v>
      </c>
      <c r="F211" s="20" t="s">
        <v>191</v>
      </c>
      <c r="G211" s="8" t="str">
        <f t="shared" si="3"/>
        <v>SMITH MICHAEL</v>
      </c>
    </row>
    <row r="212" spans="1:7" x14ac:dyDescent="0.25">
      <c r="A212" s="8">
        <v>42987.923495370371</v>
      </c>
      <c r="B212" s="20" t="s">
        <v>543</v>
      </c>
      <c r="C212" s="20" t="s">
        <v>816</v>
      </c>
      <c r="D212" s="138">
        <v>3000000</v>
      </c>
      <c r="E212" s="20" t="s">
        <v>382</v>
      </c>
      <c r="F212" s="20" t="s">
        <v>383</v>
      </c>
      <c r="G212" s="8" t="str">
        <f t="shared" si="3"/>
        <v>FORTUNATO FRANK</v>
      </c>
    </row>
    <row r="213" spans="1:7" x14ac:dyDescent="0.25">
      <c r="A213" s="8">
        <v>42987.926388888889</v>
      </c>
      <c r="B213" s="20" t="s">
        <v>555</v>
      </c>
      <c r="C213" s="20" t="s">
        <v>817</v>
      </c>
      <c r="D213" s="138">
        <v>3220000</v>
      </c>
      <c r="E213" s="20" t="s">
        <v>386</v>
      </c>
      <c r="F213" s="20" t="s">
        <v>387</v>
      </c>
      <c r="G213" s="8" t="str">
        <f t="shared" si="3"/>
        <v>RESPASS AARON</v>
      </c>
    </row>
    <row r="214" spans="1:7" x14ac:dyDescent="0.25">
      <c r="A214" s="8">
        <v>42987.936168981483</v>
      </c>
      <c r="B214" s="20" t="s">
        <v>540</v>
      </c>
      <c r="C214" s="20" t="s">
        <v>818</v>
      </c>
      <c r="D214" s="138">
        <v>2230000</v>
      </c>
      <c r="E214" s="20" t="s">
        <v>552</v>
      </c>
      <c r="F214" s="20" t="s">
        <v>191</v>
      </c>
      <c r="G214" s="8" t="str">
        <f t="shared" si="3"/>
        <v>SMITH MICHAEL</v>
      </c>
    </row>
    <row r="215" spans="1:7" x14ac:dyDescent="0.25">
      <c r="A215" s="8">
        <v>42987.950115740743</v>
      </c>
      <c r="B215" s="20" t="s">
        <v>412</v>
      </c>
      <c r="C215" s="20" t="s">
        <v>819</v>
      </c>
      <c r="D215" s="138">
        <v>3290000</v>
      </c>
      <c r="E215" s="20" t="s">
        <v>518</v>
      </c>
      <c r="F215" s="20" t="s">
        <v>519</v>
      </c>
      <c r="G215" s="8" t="str">
        <f t="shared" si="3"/>
        <v>CASSIDY BRANDON</v>
      </c>
    </row>
    <row r="216" spans="1:7" x14ac:dyDescent="0.25">
      <c r="A216" s="8">
        <v>42987.954259259262</v>
      </c>
      <c r="B216" s="20" t="s">
        <v>645</v>
      </c>
      <c r="C216" s="20" t="s">
        <v>820</v>
      </c>
      <c r="D216" s="138">
        <v>3190000</v>
      </c>
      <c r="E216" s="20" t="s">
        <v>427</v>
      </c>
      <c r="F216" s="20" t="s">
        <v>428</v>
      </c>
      <c r="G216" s="8" t="str">
        <f t="shared" si="3"/>
        <v>HART KEVIN</v>
      </c>
    </row>
    <row r="217" spans="1:7" x14ac:dyDescent="0.25">
      <c r="A217" s="8">
        <v>42987.961215277777</v>
      </c>
      <c r="B217" s="20" t="s">
        <v>381</v>
      </c>
      <c r="C217" s="20" t="s">
        <v>821</v>
      </c>
      <c r="D217" s="138">
        <v>2230000</v>
      </c>
      <c r="E217" s="20" t="s">
        <v>552</v>
      </c>
      <c r="F217" s="20" t="s">
        <v>191</v>
      </c>
      <c r="G217" s="8" t="str">
        <f t="shared" si="3"/>
        <v>SMITH MICHAEL</v>
      </c>
    </row>
    <row r="218" spans="1:7" x14ac:dyDescent="0.25">
      <c r="A218" s="8">
        <v>42987.963356481479</v>
      </c>
      <c r="B218" s="20" t="s">
        <v>536</v>
      </c>
      <c r="C218" s="20" t="s">
        <v>822</v>
      </c>
      <c r="D218" s="138">
        <v>3000000</v>
      </c>
      <c r="E218" s="20" t="s">
        <v>382</v>
      </c>
      <c r="F218" s="20" t="s">
        <v>383</v>
      </c>
      <c r="G218" s="8" t="str">
        <f t="shared" si="3"/>
        <v>FORTUNATO FRANK</v>
      </c>
    </row>
    <row r="219" spans="1:7" x14ac:dyDescent="0.25">
      <c r="A219" s="8">
        <v>42987.965115740742</v>
      </c>
      <c r="B219" s="20" t="s">
        <v>640</v>
      </c>
      <c r="C219" s="20" t="s">
        <v>823</v>
      </c>
      <c r="D219" s="138">
        <v>3220000</v>
      </c>
      <c r="E219" s="20" t="s">
        <v>386</v>
      </c>
      <c r="F219" s="20" t="s">
        <v>387</v>
      </c>
      <c r="G219" s="8" t="str">
        <f t="shared" si="3"/>
        <v>RESPASS AARON</v>
      </c>
    </row>
    <row r="220" spans="1:7" x14ac:dyDescent="0.25">
      <c r="A220" s="8">
        <v>42987.970462962963</v>
      </c>
      <c r="B220" s="20" t="s">
        <v>640</v>
      </c>
      <c r="C220" s="20" t="s">
        <v>823</v>
      </c>
      <c r="D220" s="138">
        <v>3220000</v>
      </c>
      <c r="E220" s="20" t="s">
        <v>386</v>
      </c>
      <c r="F220" s="20" t="s">
        <v>387</v>
      </c>
      <c r="G220" s="8" t="str">
        <f t="shared" si="3"/>
        <v>RESPASS AARON</v>
      </c>
    </row>
    <row r="221" spans="1:7" x14ac:dyDescent="0.25">
      <c r="A221" s="8">
        <v>42987.976643518516</v>
      </c>
      <c r="B221" s="20" t="s">
        <v>540</v>
      </c>
      <c r="C221" s="20" t="s">
        <v>824</v>
      </c>
      <c r="D221" s="138">
        <v>2230000</v>
      </c>
      <c r="E221" s="20" t="s">
        <v>552</v>
      </c>
      <c r="F221" s="20" t="s">
        <v>191</v>
      </c>
      <c r="G221" s="8" t="str">
        <f t="shared" si="3"/>
        <v>SMITH MICHAEL</v>
      </c>
    </row>
    <row r="222" spans="1:7" x14ac:dyDescent="0.25">
      <c r="A222" s="8">
        <v>42987.995879629627</v>
      </c>
      <c r="B222" s="20" t="s">
        <v>621</v>
      </c>
      <c r="C222" s="20" t="s">
        <v>825</v>
      </c>
      <c r="D222" s="138">
        <v>3190000</v>
      </c>
      <c r="E222" s="20" t="s">
        <v>427</v>
      </c>
      <c r="F222" s="20" t="s">
        <v>428</v>
      </c>
      <c r="G222" s="8" t="str">
        <f t="shared" si="3"/>
        <v>HART KEVIN</v>
      </c>
    </row>
    <row r="223" spans="1:7" x14ac:dyDescent="0.25">
      <c r="A223" s="8">
        <v>42987.996527777781</v>
      </c>
      <c r="B223" s="20" t="s">
        <v>454</v>
      </c>
      <c r="C223" s="20" t="s">
        <v>643</v>
      </c>
      <c r="D223" s="138">
        <v>3290000</v>
      </c>
      <c r="E223" s="20" t="s">
        <v>518</v>
      </c>
      <c r="F223" s="20" t="s">
        <v>519</v>
      </c>
      <c r="G223" s="8" t="str">
        <f t="shared" si="3"/>
        <v>CASSIDY BRANDON</v>
      </c>
    </row>
    <row r="224" spans="1:7" x14ac:dyDescent="0.25">
      <c r="A224" s="8">
        <v>42988.006377314814</v>
      </c>
      <c r="B224" t="s">
        <v>543</v>
      </c>
      <c r="C224" t="s">
        <v>826</v>
      </c>
      <c r="D224" s="138">
        <v>3000000</v>
      </c>
      <c r="E224" t="s">
        <v>382</v>
      </c>
      <c r="F224" s="20" t="s">
        <v>383</v>
      </c>
      <c r="G224" s="8" t="str">
        <f t="shared" si="3"/>
        <v>FORTUNATO FRANK</v>
      </c>
    </row>
    <row r="225" spans="1:7" x14ac:dyDescent="0.25">
      <c r="A225" s="8">
        <v>42988.009317129632</v>
      </c>
      <c r="B225" t="s">
        <v>555</v>
      </c>
      <c r="C225" t="s">
        <v>827</v>
      </c>
      <c r="D225" s="138">
        <v>3320000</v>
      </c>
      <c r="E225" t="s">
        <v>483</v>
      </c>
      <c r="F225" s="20" t="s">
        <v>484</v>
      </c>
      <c r="G225" s="8" t="str">
        <f t="shared" si="3"/>
        <v>NICHOLSON WESLEY</v>
      </c>
    </row>
    <row r="226" spans="1:7" x14ac:dyDescent="0.25">
      <c r="A226" s="8">
        <v>42988.033194444448</v>
      </c>
      <c r="B226" t="s">
        <v>412</v>
      </c>
      <c r="C226" t="s">
        <v>828</v>
      </c>
      <c r="D226" s="138">
        <v>3290000</v>
      </c>
      <c r="E226" t="s">
        <v>518</v>
      </c>
      <c r="F226" s="20" t="s">
        <v>519</v>
      </c>
      <c r="G226" s="8" t="str">
        <f t="shared" si="3"/>
        <v>CASSIDY BRANDON</v>
      </c>
    </row>
    <row r="227" spans="1:7" x14ac:dyDescent="0.25">
      <c r="A227" s="8">
        <v>42988.039039351854</v>
      </c>
      <c r="B227" t="s">
        <v>645</v>
      </c>
      <c r="C227" t="s">
        <v>829</v>
      </c>
      <c r="D227" s="138">
        <v>3190000</v>
      </c>
      <c r="E227" t="s">
        <v>427</v>
      </c>
      <c r="F227" s="20" t="s">
        <v>428</v>
      </c>
      <c r="G227" s="8" t="str">
        <f t="shared" si="3"/>
        <v>HART KEVIN</v>
      </c>
    </row>
    <row r="228" spans="1:7" x14ac:dyDescent="0.25">
      <c r="A228" s="8">
        <v>42988.043796296297</v>
      </c>
      <c r="B228" t="s">
        <v>511</v>
      </c>
      <c r="C228" t="s">
        <v>830</v>
      </c>
      <c r="D228" s="138">
        <v>3310000</v>
      </c>
      <c r="E228" t="s">
        <v>810</v>
      </c>
      <c r="F228" s="20" t="s">
        <v>811</v>
      </c>
      <c r="G228" s="8" t="str">
        <f t="shared" si="3"/>
        <v>ANDERS STEVEN</v>
      </c>
    </row>
    <row r="229" spans="1:7" x14ac:dyDescent="0.25">
      <c r="A229" s="8">
        <v>42988.047222222223</v>
      </c>
      <c r="B229" t="s">
        <v>536</v>
      </c>
      <c r="C229" t="s">
        <v>831</v>
      </c>
      <c r="D229" s="138">
        <v>3000000</v>
      </c>
      <c r="E229" t="s">
        <v>382</v>
      </c>
      <c r="F229" s="20" t="s">
        <v>383</v>
      </c>
      <c r="G229" s="8" t="str">
        <f t="shared" si="3"/>
        <v>FORTUNATO FRANK</v>
      </c>
    </row>
    <row r="230" spans="1:7" x14ac:dyDescent="0.25">
      <c r="A230" s="8">
        <v>42988.048229166663</v>
      </c>
      <c r="B230" t="s">
        <v>514</v>
      </c>
      <c r="C230" t="s">
        <v>832</v>
      </c>
      <c r="D230" s="138">
        <v>3310000</v>
      </c>
      <c r="E230" t="s">
        <v>810</v>
      </c>
      <c r="F230" s="20" t="s">
        <v>811</v>
      </c>
      <c r="G230" s="8" t="str">
        <f t="shared" si="3"/>
        <v>ANDERS STEVEN</v>
      </c>
    </row>
    <row r="231" spans="1:7" x14ac:dyDescent="0.25">
      <c r="A231" s="8">
        <v>42988.056620370371</v>
      </c>
      <c r="B231" t="s">
        <v>640</v>
      </c>
      <c r="C231" t="s">
        <v>833</v>
      </c>
      <c r="D231" s="138">
        <v>3320000</v>
      </c>
      <c r="E231" t="s">
        <v>483</v>
      </c>
      <c r="F231" s="20" t="s">
        <v>484</v>
      </c>
      <c r="G231" s="8" t="str">
        <f t="shared" si="3"/>
        <v>NICHOLSON WESLEY</v>
      </c>
    </row>
    <row r="232" spans="1:7" x14ac:dyDescent="0.25">
      <c r="A232" s="8">
        <v>42988.072847222225</v>
      </c>
      <c r="B232" t="s">
        <v>511</v>
      </c>
      <c r="C232" t="s">
        <v>834</v>
      </c>
      <c r="D232" s="138">
        <v>3290000</v>
      </c>
      <c r="E232" t="s">
        <v>518</v>
      </c>
      <c r="F232" s="20" t="s">
        <v>519</v>
      </c>
      <c r="G232" s="8" t="str">
        <f t="shared" si="3"/>
        <v>CASSIDY BRANDON</v>
      </c>
    </row>
    <row r="233" spans="1:7" x14ac:dyDescent="0.25">
      <c r="A233" s="8">
        <v>42988.079340277778</v>
      </c>
      <c r="B233" t="s">
        <v>621</v>
      </c>
      <c r="C233" t="s">
        <v>835</v>
      </c>
      <c r="D233" s="138">
        <v>3190000</v>
      </c>
      <c r="E233" t="s">
        <v>427</v>
      </c>
      <c r="F233" s="20" t="s">
        <v>428</v>
      </c>
      <c r="G233" s="8" t="str">
        <f t="shared" si="3"/>
        <v>HART KEVIN</v>
      </c>
    </row>
    <row r="234" spans="1:7" x14ac:dyDescent="0.25">
      <c r="A234" s="8">
        <v>42988.091921296298</v>
      </c>
      <c r="B234" t="s">
        <v>555</v>
      </c>
      <c r="C234" t="s">
        <v>836</v>
      </c>
      <c r="D234" s="138">
        <v>3320000</v>
      </c>
      <c r="E234" t="s">
        <v>483</v>
      </c>
      <c r="F234" s="20" t="s">
        <v>484</v>
      </c>
      <c r="G234" s="8" t="str">
        <f t="shared" si="3"/>
        <v>NICHOLSON WESLEY</v>
      </c>
    </row>
    <row r="235" spans="1:7" x14ac:dyDescent="0.25">
      <c r="A235" s="8">
        <v>42988.108101851853</v>
      </c>
      <c r="B235" t="s">
        <v>645</v>
      </c>
      <c r="C235" t="s">
        <v>837</v>
      </c>
      <c r="D235" s="138">
        <v>3190000</v>
      </c>
      <c r="E235" t="s">
        <v>427</v>
      </c>
      <c r="F235" s="20" t="s">
        <v>428</v>
      </c>
      <c r="G235" s="8" t="str">
        <f t="shared" si="3"/>
        <v>HART KEVIN</v>
      </c>
    </row>
    <row r="236" spans="1:7" x14ac:dyDescent="0.25">
      <c r="A236" s="8">
        <v>42988.108796296299</v>
      </c>
      <c r="B236" t="s">
        <v>838</v>
      </c>
      <c r="C236" t="s">
        <v>839</v>
      </c>
      <c r="D236" s="138">
        <v>3120000</v>
      </c>
      <c r="E236" t="s">
        <v>840</v>
      </c>
      <c r="F236" s="20" t="s">
        <v>841</v>
      </c>
      <c r="G236" s="8" t="str">
        <f t="shared" si="3"/>
        <v>THOMPSON LESTER</v>
      </c>
    </row>
    <row r="237" spans="1:7" x14ac:dyDescent="0.25">
      <c r="A237" s="8">
        <v>42984.820023148146</v>
      </c>
      <c r="B237" t="s">
        <v>381</v>
      </c>
      <c r="C237" t="s">
        <v>460</v>
      </c>
      <c r="D237" s="138">
        <v>2420000</v>
      </c>
      <c r="E237" t="s">
        <v>457</v>
      </c>
      <c r="F237" s="20" t="s">
        <v>458</v>
      </c>
      <c r="G237" s="8" t="str">
        <f t="shared" si="3"/>
        <v>HOLCOMB KAMDEN</v>
      </c>
    </row>
    <row r="238" spans="1:7" x14ac:dyDescent="0.25">
      <c r="A238" s="8">
        <v>42984.822974537034</v>
      </c>
      <c r="B238" t="s">
        <v>443</v>
      </c>
      <c r="C238" t="s">
        <v>461</v>
      </c>
      <c r="D238" s="138">
        <v>2620000</v>
      </c>
      <c r="E238" t="s">
        <v>425</v>
      </c>
      <c r="F238" s="20" t="s">
        <v>426</v>
      </c>
      <c r="G238" s="8" t="str">
        <f t="shared" si="3"/>
        <v>PERKINS DARREN</v>
      </c>
    </row>
    <row r="239" spans="1:7" x14ac:dyDescent="0.25">
      <c r="A239" s="8">
        <v>42984.831747685188</v>
      </c>
      <c r="B239" t="s">
        <v>454</v>
      </c>
      <c r="C239" t="s">
        <v>462</v>
      </c>
      <c r="D239" s="138">
        <v>890000</v>
      </c>
      <c r="E239" t="s">
        <v>376</v>
      </c>
      <c r="F239" s="20" t="s">
        <v>377</v>
      </c>
      <c r="G239" s="8" t="str">
        <f t="shared" si="3"/>
        <v>LOZA FIDEL</v>
      </c>
    </row>
    <row r="240" spans="1:7" x14ac:dyDescent="0.25">
      <c r="A240" s="8">
        <v>42984.837013888886</v>
      </c>
      <c r="B240" t="s">
        <v>451</v>
      </c>
      <c r="C240" t="s">
        <v>463</v>
      </c>
      <c r="D240" s="138">
        <v>1180000</v>
      </c>
      <c r="E240" t="s">
        <v>398</v>
      </c>
      <c r="F240" s="20" t="s">
        <v>399</v>
      </c>
      <c r="G240" s="8" t="str">
        <f t="shared" si="3"/>
        <v>LEVERE CRAIG</v>
      </c>
    </row>
    <row r="241" spans="1:7" x14ac:dyDescent="0.25">
      <c r="A241" s="8">
        <v>42984.841840277775</v>
      </c>
      <c r="B241" t="s">
        <v>445</v>
      </c>
      <c r="C241" t="s">
        <v>464</v>
      </c>
      <c r="D241" s="138">
        <v>2680000</v>
      </c>
      <c r="E241" t="s">
        <v>410</v>
      </c>
      <c r="F241" s="20" t="s">
        <v>411</v>
      </c>
      <c r="G241" s="8" t="str">
        <f t="shared" si="3"/>
        <v>DUNCAN SHEILA</v>
      </c>
    </row>
    <row r="242" spans="1:7" x14ac:dyDescent="0.25">
      <c r="A242" s="8">
        <v>42984.849594907406</v>
      </c>
      <c r="B242" t="s">
        <v>418</v>
      </c>
      <c r="C242" t="s">
        <v>465</v>
      </c>
      <c r="D242" s="138">
        <v>3190000</v>
      </c>
      <c r="E242" t="s">
        <v>427</v>
      </c>
      <c r="F242" s="20" t="s">
        <v>428</v>
      </c>
      <c r="G242" s="8" t="str">
        <f t="shared" si="3"/>
        <v>HART KEVIN</v>
      </c>
    </row>
    <row r="243" spans="1:7" x14ac:dyDescent="0.25">
      <c r="A243" s="8">
        <v>42984.852233796293</v>
      </c>
      <c r="B243" t="s">
        <v>444</v>
      </c>
      <c r="C243" t="s">
        <v>466</v>
      </c>
      <c r="D243" s="138">
        <v>1180000</v>
      </c>
      <c r="E243" t="s">
        <v>398</v>
      </c>
      <c r="F243" s="20" t="s">
        <v>399</v>
      </c>
      <c r="G243" s="8" t="str">
        <f t="shared" si="3"/>
        <v>LEVERE CRAIG</v>
      </c>
    </row>
    <row r="244" spans="1:7" x14ac:dyDescent="0.25">
      <c r="A244" s="8">
        <v>42984.864201388889</v>
      </c>
      <c r="B244" t="s">
        <v>400</v>
      </c>
      <c r="C244" t="s">
        <v>467</v>
      </c>
      <c r="D244" s="138">
        <v>2620000</v>
      </c>
      <c r="E244" t="s">
        <v>425</v>
      </c>
      <c r="F244" s="20" t="s">
        <v>426</v>
      </c>
      <c r="G244" s="8" t="str">
        <f t="shared" si="3"/>
        <v>PERKINS DARREN</v>
      </c>
    </row>
    <row r="245" spans="1:7" x14ac:dyDescent="0.25">
      <c r="A245" s="8">
        <v>42984.869398148148</v>
      </c>
      <c r="B245" t="s">
        <v>412</v>
      </c>
      <c r="C245" t="s">
        <v>468</v>
      </c>
      <c r="D245" s="138">
        <v>890000</v>
      </c>
      <c r="E245" t="s">
        <v>376</v>
      </c>
      <c r="F245" s="20" t="s">
        <v>377</v>
      </c>
      <c r="G245" s="8" t="str">
        <f t="shared" si="3"/>
        <v>LOZA FIDEL</v>
      </c>
    </row>
    <row r="246" spans="1:7" x14ac:dyDescent="0.25">
      <c r="A246" s="8">
        <v>42984.879340277781</v>
      </c>
      <c r="B246" t="s">
        <v>451</v>
      </c>
      <c r="C246" t="s">
        <v>469</v>
      </c>
      <c r="D246" s="138">
        <v>3490000</v>
      </c>
      <c r="E246" t="s">
        <v>378</v>
      </c>
      <c r="F246" s="20" t="s">
        <v>379</v>
      </c>
      <c r="G246" s="8" t="str">
        <f t="shared" si="3"/>
        <v>WEST BRYAN</v>
      </c>
    </row>
    <row r="247" spans="1:7" x14ac:dyDescent="0.25">
      <c r="A247" s="8">
        <v>42984.88045138889</v>
      </c>
      <c r="B247" t="s">
        <v>446</v>
      </c>
      <c r="C247" t="s">
        <v>470</v>
      </c>
      <c r="D247" s="138">
        <v>2680000</v>
      </c>
      <c r="E247" t="s">
        <v>410</v>
      </c>
      <c r="F247" s="20" t="s">
        <v>411</v>
      </c>
      <c r="G247" s="8" t="str">
        <f t="shared" si="3"/>
        <v>DUNCAN SHEILA</v>
      </c>
    </row>
    <row r="248" spans="1:7" x14ac:dyDescent="0.25">
      <c r="A248" s="8">
        <v>42984.89267361111</v>
      </c>
      <c r="B248" t="s">
        <v>444</v>
      </c>
      <c r="C248" t="s">
        <v>471</v>
      </c>
      <c r="D248" s="138">
        <v>3490000</v>
      </c>
      <c r="E248" t="s">
        <v>378</v>
      </c>
      <c r="F248" s="20" t="s">
        <v>379</v>
      </c>
      <c r="G248" s="8" t="str">
        <f t="shared" si="3"/>
        <v>WEST BRYAN</v>
      </c>
    </row>
    <row r="249" spans="1:7" x14ac:dyDescent="0.25">
      <c r="A249" s="8">
        <v>42984.892777777779</v>
      </c>
      <c r="B249" t="s">
        <v>419</v>
      </c>
      <c r="C249" t="s">
        <v>472</v>
      </c>
      <c r="D249" s="138">
        <v>3190000</v>
      </c>
      <c r="E249" t="s">
        <v>427</v>
      </c>
      <c r="F249" s="20" t="s">
        <v>428</v>
      </c>
      <c r="G249" s="8" t="str">
        <f t="shared" si="3"/>
        <v>HART KEVIN</v>
      </c>
    </row>
    <row r="250" spans="1:7" x14ac:dyDescent="0.25">
      <c r="A250" s="8">
        <v>42984.907199074078</v>
      </c>
      <c r="B250" t="s">
        <v>443</v>
      </c>
      <c r="C250" t="s">
        <v>473</v>
      </c>
      <c r="D250" s="138">
        <v>2620000</v>
      </c>
      <c r="E250" t="s">
        <v>425</v>
      </c>
      <c r="F250" s="20" t="s">
        <v>426</v>
      </c>
      <c r="G250" s="8" t="str">
        <f t="shared" si="3"/>
        <v>PERKINS DARREN</v>
      </c>
    </row>
    <row r="251" spans="1:7" x14ac:dyDescent="0.25">
      <c r="A251" s="8">
        <v>42984.915034722224</v>
      </c>
      <c r="B251" t="s">
        <v>454</v>
      </c>
      <c r="C251" t="s">
        <v>474</v>
      </c>
      <c r="D251" s="138">
        <v>890000</v>
      </c>
      <c r="E251" t="s">
        <v>376</v>
      </c>
      <c r="F251" s="20" t="s">
        <v>377</v>
      </c>
      <c r="G251" s="8" t="str">
        <f t="shared" si="3"/>
        <v>LOZA FIDEL</v>
      </c>
    </row>
    <row r="252" spans="1:7" x14ac:dyDescent="0.25">
      <c r="A252" s="8">
        <v>42984.91915509259</v>
      </c>
      <c r="B252" t="s">
        <v>451</v>
      </c>
      <c r="C252" t="s">
        <v>475</v>
      </c>
      <c r="D252" s="138">
        <v>3490000</v>
      </c>
      <c r="E252" t="s">
        <v>378</v>
      </c>
      <c r="F252" s="20" t="s">
        <v>379</v>
      </c>
      <c r="G252" s="8" t="str">
        <f t="shared" si="3"/>
        <v>WEST BRYAN</v>
      </c>
    </row>
    <row r="253" spans="1:7" x14ac:dyDescent="0.25">
      <c r="A253" s="8">
        <v>42984.923252314817</v>
      </c>
      <c r="B253" t="s">
        <v>445</v>
      </c>
      <c r="C253" t="s">
        <v>476</v>
      </c>
      <c r="D253" s="138">
        <v>2680000</v>
      </c>
      <c r="E253" t="s">
        <v>410</v>
      </c>
      <c r="F253" s="20" t="s">
        <v>411</v>
      </c>
      <c r="G253" s="8" t="str">
        <f t="shared" si="3"/>
        <v>DUNCAN SHEILA</v>
      </c>
    </row>
    <row r="254" spans="1:7" x14ac:dyDescent="0.25">
      <c r="A254" s="8">
        <v>42984.928993055553</v>
      </c>
      <c r="B254" t="s">
        <v>418</v>
      </c>
      <c r="C254" t="s">
        <v>477</v>
      </c>
      <c r="D254" s="138">
        <v>3190000</v>
      </c>
      <c r="E254" t="s">
        <v>427</v>
      </c>
      <c r="F254" s="20" t="s">
        <v>428</v>
      </c>
      <c r="G254" s="8" t="str">
        <f t="shared" si="3"/>
        <v>HART KEVIN</v>
      </c>
    </row>
    <row r="255" spans="1:7" x14ac:dyDescent="0.25">
      <c r="A255" s="8">
        <v>42984.93545138889</v>
      </c>
      <c r="B255" t="s">
        <v>444</v>
      </c>
      <c r="C255" t="s">
        <v>478</v>
      </c>
      <c r="D255" s="138">
        <v>3490000</v>
      </c>
      <c r="E255" t="s">
        <v>378</v>
      </c>
      <c r="F255" s="20" t="s">
        <v>379</v>
      </c>
      <c r="G255" s="8" t="str">
        <f t="shared" si="3"/>
        <v>WEST BRYAN</v>
      </c>
    </row>
    <row r="256" spans="1:7" x14ac:dyDescent="0.25">
      <c r="A256" s="8">
        <v>42984.944201388891</v>
      </c>
      <c r="B256" t="s">
        <v>400</v>
      </c>
      <c r="C256" t="s">
        <v>479</v>
      </c>
      <c r="D256" s="138">
        <v>2620000</v>
      </c>
      <c r="E256" t="s">
        <v>425</v>
      </c>
      <c r="F256" s="20" t="s">
        <v>426</v>
      </c>
      <c r="G256" s="8" t="str">
        <f t="shared" si="3"/>
        <v>PERKINS DARREN</v>
      </c>
    </row>
    <row r="257" spans="1:7" x14ac:dyDescent="0.25">
      <c r="A257" s="8">
        <v>42984.955381944441</v>
      </c>
      <c r="B257" t="s">
        <v>400</v>
      </c>
      <c r="C257" t="s">
        <v>479</v>
      </c>
      <c r="D257" s="138">
        <v>2620000</v>
      </c>
      <c r="E257" t="s">
        <v>425</v>
      </c>
      <c r="F257" s="20" t="s">
        <v>426</v>
      </c>
      <c r="G257" s="8" t="str">
        <f t="shared" si="3"/>
        <v>PERKINS DARREN</v>
      </c>
    </row>
    <row r="258" spans="1:7" x14ac:dyDescent="0.25">
      <c r="A258" s="8">
        <v>42984.955405092594</v>
      </c>
      <c r="B258" t="s">
        <v>412</v>
      </c>
      <c r="C258" t="s">
        <v>480</v>
      </c>
      <c r="D258" s="138">
        <v>890000</v>
      </c>
      <c r="E258" t="s">
        <v>376</v>
      </c>
      <c r="F258" s="20" t="s">
        <v>377</v>
      </c>
      <c r="G258" s="8" t="str">
        <f t="shared" si="3"/>
        <v>LOZA FIDEL</v>
      </c>
    </row>
    <row r="259" spans="1:7" x14ac:dyDescent="0.25">
      <c r="A259" s="8">
        <v>42984.963391203702</v>
      </c>
      <c r="B259" t="s">
        <v>451</v>
      </c>
      <c r="C259" t="s">
        <v>481</v>
      </c>
      <c r="D259" s="138">
        <v>3490000</v>
      </c>
      <c r="E259" t="s">
        <v>378</v>
      </c>
      <c r="F259" s="20" t="s">
        <v>379</v>
      </c>
      <c r="G259" s="8" t="str">
        <f t="shared" ref="G259:G273" si="4">E259&amp;" "&amp;F259</f>
        <v>WEST BRYAN</v>
      </c>
    </row>
    <row r="260" spans="1:7" x14ac:dyDescent="0.25">
      <c r="A260" s="8">
        <v>42984.966168981482</v>
      </c>
      <c r="B260" t="s">
        <v>446</v>
      </c>
      <c r="C260" t="s">
        <v>482</v>
      </c>
      <c r="D260" s="138">
        <v>3320000</v>
      </c>
      <c r="E260" t="s">
        <v>483</v>
      </c>
      <c r="F260" s="20" t="s">
        <v>484</v>
      </c>
      <c r="G260" s="8" t="str">
        <f t="shared" si="4"/>
        <v>NICHOLSON WESLEY</v>
      </c>
    </row>
    <row r="261" spans="1:7" x14ac:dyDescent="0.25">
      <c r="A261" s="8">
        <v>42984.973449074074</v>
      </c>
      <c r="B261" t="s">
        <v>419</v>
      </c>
      <c r="C261" t="s">
        <v>485</v>
      </c>
      <c r="D261" s="138">
        <v>3190000</v>
      </c>
      <c r="E261" t="s">
        <v>427</v>
      </c>
      <c r="F261" s="20" t="s">
        <v>428</v>
      </c>
      <c r="G261" s="8" t="str">
        <f t="shared" si="4"/>
        <v>HART KEVIN</v>
      </c>
    </row>
    <row r="262" spans="1:7" x14ac:dyDescent="0.25">
      <c r="A262" s="8">
        <v>42984.975162037037</v>
      </c>
      <c r="B262" t="s">
        <v>444</v>
      </c>
      <c r="C262" t="s">
        <v>486</v>
      </c>
      <c r="D262" s="138">
        <v>3490000</v>
      </c>
      <c r="E262" t="s">
        <v>378</v>
      </c>
      <c r="F262" s="20" t="s">
        <v>379</v>
      </c>
      <c r="G262" s="8" t="str">
        <f t="shared" si="4"/>
        <v>WEST BRYAN</v>
      </c>
    </row>
    <row r="263" spans="1:7" x14ac:dyDescent="0.25">
      <c r="A263" s="8">
        <v>42984.993217592593</v>
      </c>
      <c r="B263" t="s">
        <v>443</v>
      </c>
      <c r="C263" t="s">
        <v>487</v>
      </c>
      <c r="D263" s="138">
        <v>2620000</v>
      </c>
      <c r="E263" t="s">
        <v>425</v>
      </c>
      <c r="F263" s="20" t="s">
        <v>426</v>
      </c>
      <c r="G263" s="8" t="str">
        <f t="shared" si="4"/>
        <v>PERKINS DARREN</v>
      </c>
    </row>
    <row r="264" spans="1:7" x14ac:dyDescent="0.25">
      <c r="A264" s="8">
        <v>42984.998888888891</v>
      </c>
      <c r="B264" t="s">
        <v>454</v>
      </c>
      <c r="C264" t="s">
        <v>488</v>
      </c>
      <c r="D264" s="138">
        <v>890000</v>
      </c>
      <c r="E264" t="s">
        <v>376</v>
      </c>
      <c r="F264" s="20" t="s">
        <v>377</v>
      </c>
      <c r="G264" s="8" t="str">
        <f t="shared" si="4"/>
        <v>LOZA FIDEL</v>
      </c>
    </row>
    <row r="265" spans="1:7" x14ac:dyDescent="0.25">
      <c r="A265" s="8">
        <v>42985.008680555555</v>
      </c>
      <c r="B265" t="s">
        <v>443</v>
      </c>
      <c r="C265" t="s">
        <v>487</v>
      </c>
      <c r="D265" s="138">
        <v>2620000</v>
      </c>
      <c r="E265" t="s">
        <v>425</v>
      </c>
      <c r="F265" s="20" t="s">
        <v>426</v>
      </c>
      <c r="G265" s="8" t="str">
        <f t="shared" si="4"/>
        <v>PERKINS DARREN</v>
      </c>
    </row>
    <row r="266" spans="1:7" x14ac:dyDescent="0.25">
      <c r="A266" s="8">
        <v>42985.011296296296</v>
      </c>
      <c r="B266" t="s">
        <v>445</v>
      </c>
      <c r="C266" t="s">
        <v>489</v>
      </c>
      <c r="D266" s="138">
        <v>3320000</v>
      </c>
      <c r="E266" t="s">
        <v>483</v>
      </c>
      <c r="F266" s="20" t="s">
        <v>484</v>
      </c>
      <c r="G266" s="8" t="str">
        <f t="shared" si="4"/>
        <v>NICHOLSON WESLEY</v>
      </c>
    </row>
    <row r="267" spans="1:7" x14ac:dyDescent="0.25">
      <c r="A267" s="8">
        <v>42985.017731481479</v>
      </c>
      <c r="B267" t="s">
        <v>418</v>
      </c>
      <c r="C267" t="s">
        <v>490</v>
      </c>
      <c r="D267" s="138">
        <v>3190000</v>
      </c>
      <c r="E267" t="s">
        <v>427</v>
      </c>
      <c r="F267" s="20" t="s">
        <v>428</v>
      </c>
      <c r="G267" s="8" t="str">
        <f t="shared" si="4"/>
        <v>HART KEVIN</v>
      </c>
    </row>
    <row r="268" spans="1:7" x14ac:dyDescent="0.25">
      <c r="A268" s="8">
        <v>42985.028749999998</v>
      </c>
      <c r="B268" t="s">
        <v>400</v>
      </c>
      <c r="C268" t="s">
        <v>491</v>
      </c>
      <c r="D268" s="138">
        <v>2620000</v>
      </c>
      <c r="E268" t="s">
        <v>425</v>
      </c>
      <c r="F268" s="20" t="s">
        <v>426</v>
      </c>
      <c r="G268" s="8" t="str">
        <f t="shared" si="4"/>
        <v>PERKINS DARREN</v>
      </c>
    </row>
    <row r="269" spans="1:7" x14ac:dyDescent="0.25">
      <c r="A269" s="8">
        <v>42985.037442129629</v>
      </c>
      <c r="B269" t="s">
        <v>412</v>
      </c>
      <c r="C269" t="s">
        <v>492</v>
      </c>
      <c r="D269" s="138">
        <v>890000</v>
      </c>
      <c r="E269" t="s">
        <v>376</v>
      </c>
      <c r="F269" s="20" t="s">
        <v>377</v>
      </c>
      <c r="G269" s="8" t="str">
        <f t="shared" si="4"/>
        <v>LOZA FIDEL</v>
      </c>
    </row>
    <row r="270" spans="1:7" x14ac:dyDescent="0.25">
      <c r="A270" s="8">
        <v>42985.050081018519</v>
      </c>
      <c r="B270" t="s">
        <v>446</v>
      </c>
      <c r="C270" t="s">
        <v>493</v>
      </c>
      <c r="D270" s="138">
        <v>2680000</v>
      </c>
      <c r="E270" t="s">
        <v>410</v>
      </c>
      <c r="F270" s="20" t="s">
        <v>411</v>
      </c>
      <c r="G270" s="8" t="str">
        <f t="shared" si="4"/>
        <v>DUNCAN SHEILA</v>
      </c>
    </row>
    <row r="271" spans="1:7" x14ac:dyDescent="0.25">
      <c r="A271" s="8">
        <v>42985.058425925927</v>
      </c>
      <c r="B271" t="s">
        <v>419</v>
      </c>
      <c r="C271" t="s">
        <v>494</v>
      </c>
      <c r="D271" s="138">
        <v>3190000</v>
      </c>
      <c r="E271" t="s">
        <v>427</v>
      </c>
      <c r="F271" s="20" t="s">
        <v>428</v>
      </c>
      <c r="G271" s="8" t="str">
        <f t="shared" si="4"/>
        <v>HART KEVIN</v>
      </c>
    </row>
    <row r="272" spans="1:7" x14ac:dyDescent="0.25">
      <c r="A272" s="8">
        <v>42985.067395833335</v>
      </c>
      <c r="B272" t="s">
        <v>454</v>
      </c>
      <c r="C272" t="s">
        <v>495</v>
      </c>
      <c r="D272" s="138">
        <v>890000</v>
      </c>
      <c r="E272" t="s">
        <v>376</v>
      </c>
      <c r="F272" s="20" t="s">
        <v>377</v>
      </c>
      <c r="G272" s="8" t="str">
        <f t="shared" si="4"/>
        <v>LOZA FIDEL</v>
      </c>
    </row>
    <row r="273" spans="1:7" x14ac:dyDescent="0.25">
      <c r="A273" s="8">
        <v>42985.088564814818</v>
      </c>
      <c r="B273" t="s">
        <v>418</v>
      </c>
      <c r="C273" t="s">
        <v>447</v>
      </c>
      <c r="D273" s="138">
        <v>3190000</v>
      </c>
      <c r="E273" t="s">
        <v>427</v>
      </c>
      <c r="F273" s="20" t="s">
        <v>428</v>
      </c>
      <c r="G273" s="8" t="str">
        <f t="shared" si="4"/>
        <v>HART KEVIN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564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349</v>
      </c>
      <c r="P1" s="168" t="s">
        <v>156</v>
      </c>
      <c r="Q1" s="168" t="s">
        <v>163</v>
      </c>
      <c r="R1" s="168" t="s">
        <v>350</v>
      </c>
      <c r="S1" s="168" t="s">
        <v>160</v>
      </c>
    </row>
    <row r="2" spans="1:19" x14ac:dyDescent="0.25">
      <c r="A2" s="169">
        <v>64.72</v>
      </c>
      <c r="B2" s="169">
        <v>0.04</v>
      </c>
      <c r="C2" s="169">
        <v>46.79</v>
      </c>
      <c r="D2" s="8">
        <v>42987</v>
      </c>
      <c r="E2" s="169">
        <v>0.52</v>
      </c>
      <c r="F2" s="169" t="s">
        <v>372</v>
      </c>
      <c r="G2" s="169">
        <v>292.64999999999998</v>
      </c>
      <c r="H2" s="169">
        <v>0</v>
      </c>
      <c r="I2" s="169">
        <v>0</v>
      </c>
      <c r="J2" s="169"/>
      <c r="K2" s="169">
        <v>1014.15</v>
      </c>
      <c r="L2" s="169" t="s">
        <v>371</v>
      </c>
      <c r="M2" s="169">
        <v>64.72</v>
      </c>
      <c r="N2" s="169">
        <v>1504936800</v>
      </c>
      <c r="O2" s="169">
        <v>0</v>
      </c>
      <c r="P2" s="169">
        <v>3.47</v>
      </c>
      <c r="Q2" s="169">
        <v>219</v>
      </c>
      <c r="R2" s="169">
        <v>2.88</v>
      </c>
      <c r="S2" s="169">
        <v>1.05</v>
      </c>
    </row>
    <row r="3" spans="1:19" x14ac:dyDescent="0.25">
      <c r="A3" s="169">
        <v>62.61</v>
      </c>
      <c r="B3" s="169">
        <v>0.02</v>
      </c>
      <c r="C3" s="169">
        <v>45.97</v>
      </c>
      <c r="D3" s="8">
        <v>42987.041666666664</v>
      </c>
      <c r="E3" s="169">
        <v>0.54</v>
      </c>
      <c r="F3" s="169" t="s">
        <v>372</v>
      </c>
      <c r="G3" s="169">
        <v>291.87</v>
      </c>
      <c r="H3" s="169">
        <v>0</v>
      </c>
      <c r="I3" s="169">
        <v>0</v>
      </c>
      <c r="J3" s="169"/>
      <c r="K3" s="169">
        <v>1014.2</v>
      </c>
      <c r="L3" s="169" t="s">
        <v>371</v>
      </c>
      <c r="M3" s="169">
        <v>62.61</v>
      </c>
      <c r="N3" s="169">
        <v>1504940400</v>
      </c>
      <c r="O3" s="169">
        <v>0</v>
      </c>
      <c r="P3" s="169">
        <v>3.49</v>
      </c>
      <c r="Q3" s="169">
        <v>192</v>
      </c>
      <c r="R3" s="169">
        <v>2.38</v>
      </c>
      <c r="S3" s="169">
        <v>0.67</v>
      </c>
    </row>
    <row r="4" spans="1:19" x14ac:dyDescent="0.25">
      <c r="A4" s="169">
        <v>60.44</v>
      </c>
      <c r="B4" s="169">
        <v>0.02</v>
      </c>
      <c r="C4" s="169">
        <v>45.44</v>
      </c>
      <c r="D4" s="8">
        <v>42987.083333333336</v>
      </c>
      <c r="E4" s="169">
        <v>0.57999999999999996</v>
      </c>
      <c r="F4" s="169" t="s">
        <v>372</v>
      </c>
      <c r="G4" s="169">
        <v>290.86</v>
      </c>
      <c r="H4" s="169">
        <v>0</v>
      </c>
      <c r="I4" s="169">
        <v>0</v>
      </c>
      <c r="J4" s="169"/>
      <c r="K4" s="169">
        <v>1014.27</v>
      </c>
      <c r="L4" s="169" t="s">
        <v>371</v>
      </c>
      <c r="M4" s="169">
        <v>60.44</v>
      </c>
      <c r="N4" s="169">
        <v>1504944000</v>
      </c>
      <c r="O4" s="169">
        <v>0</v>
      </c>
      <c r="P4" s="169">
        <v>3.21</v>
      </c>
      <c r="Q4" s="169">
        <v>187</v>
      </c>
      <c r="R4" s="169">
        <v>2.8</v>
      </c>
      <c r="S4" s="169">
        <v>0.82</v>
      </c>
    </row>
    <row r="5" spans="1:19" x14ac:dyDescent="0.25">
      <c r="A5" s="169">
        <v>59.39</v>
      </c>
      <c r="B5" s="169">
        <v>0.03</v>
      </c>
      <c r="C5" s="169">
        <v>44.95</v>
      </c>
      <c r="D5" s="8">
        <v>42987.125</v>
      </c>
      <c r="E5" s="169">
        <v>0.59</v>
      </c>
      <c r="F5" s="169" t="s">
        <v>372</v>
      </c>
      <c r="G5" s="169">
        <v>289.95</v>
      </c>
      <c r="H5" s="169">
        <v>0</v>
      </c>
      <c r="I5" s="169">
        <v>0</v>
      </c>
      <c r="J5" s="169"/>
      <c r="K5" s="169">
        <v>1013.79</v>
      </c>
      <c r="L5" s="169" t="s">
        <v>371</v>
      </c>
      <c r="M5" s="169">
        <v>59.39</v>
      </c>
      <c r="N5" s="169">
        <v>1504947600</v>
      </c>
      <c r="O5" s="169">
        <v>0</v>
      </c>
      <c r="P5" s="169">
        <v>2.78</v>
      </c>
      <c r="Q5" s="169">
        <v>219</v>
      </c>
      <c r="R5" s="169">
        <v>2.69</v>
      </c>
      <c r="S5" s="169">
        <v>1.05</v>
      </c>
    </row>
    <row r="6" spans="1:19" x14ac:dyDescent="0.25">
      <c r="A6" s="169">
        <v>58.39</v>
      </c>
      <c r="B6" s="169">
        <v>0.01</v>
      </c>
      <c r="C6" s="169">
        <v>44.66</v>
      </c>
      <c r="D6" s="8">
        <v>42987.166666666664</v>
      </c>
      <c r="E6" s="169">
        <v>0.6</v>
      </c>
      <c r="F6" s="169" t="s">
        <v>372</v>
      </c>
      <c r="G6" s="169">
        <v>289.14999999999998</v>
      </c>
      <c r="H6" s="169">
        <v>0</v>
      </c>
      <c r="I6" s="169">
        <v>0</v>
      </c>
      <c r="J6" s="169"/>
      <c r="K6" s="169">
        <v>1014.61</v>
      </c>
      <c r="L6" s="169" t="s">
        <v>371</v>
      </c>
      <c r="M6" s="169">
        <v>58.39</v>
      </c>
      <c r="N6" s="169">
        <v>1504951200</v>
      </c>
      <c r="O6" s="169">
        <v>0</v>
      </c>
      <c r="P6" s="169">
        <v>3.35</v>
      </c>
      <c r="Q6" s="169">
        <v>194</v>
      </c>
      <c r="R6" s="169">
        <v>3.2</v>
      </c>
      <c r="S6" s="169">
        <v>1.1599999999999999</v>
      </c>
    </row>
    <row r="7" spans="1:19" x14ac:dyDescent="0.25">
      <c r="A7" s="169">
        <v>57.15</v>
      </c>
      <c r="B7" s="169">
        <v>0.02</v>
      </c>
      <c r="C7" s="169">
        <v>44.57</v>
      </c>
      <c r="D7" s="8">
        <v>42987.208333333336</v>
      </c>
      <c r="E7" s="169">
        <v>0.63</v>
      </c>
      <c r="F7" s="169" t="s">
        <v>372</v>
      </c>
      <c r="G7" s="169">
        <v>288.45999999999998</v>
      </c>
      <c r="H7" s="169">
        <v>0</v>
      </c>
      <c r="I7" s="169">
        <v>0</v>
      </c>
      <c r="J7" s="169"/>
      <c r="K7" s="169">
        <v>1014.87</v>
      </c>
      <c r="L7" s="169" t="s">
        <v>371</v>
      </c>
      <c r="M7" s="169">
        <v>57.15</v>
      </c>
      <c r="N7" s="169">
        <v>1504954800</v>
      </c>
      <c r="O7" s="169">
        <v>0</v>
      </c>
      <c r="P7" s="169">
        <v>3.05</v>
      </c>
      <c r="Q7" s="169">
        <v>197</v>
      </c>
      <c r="R7" s="169">
        <v>2.84</v>
      </c>
      <c r="S7" s="169">
        <v>1.2</v>
      </c>
    </row>
    <row r="8" spans="1:19" x14ac:dyDescent="0.25">
      <c r="A8" s="169">
        <v>56.68</v>
      </c>
      <c r="B8" s="169">
        <v>0.05</v>
      </c>
      <c r="C8" s="169">
        <v>44.25</v>
      </c>
      <c r="D8" s="8">
        <v>42987.25</v>
      </c>
      <c r="E8" s="169">
        <v>0.63</v>
      </c>
      <c r="F8" s="169" t="s">
        <v>372</v>
      </c>
      <c r="G8" s="169">
        <v>288</v>
      </c>
      <c r="H8" s="169">
        <v>0</v>
      </c>
      <c r="I8" s="169">
        <v>0</v>
      </c>
      <c r="J8" s="169"/>
      <c r="K8" s="169">
        <v>1014.62</v>
      </c>
      <c r="L8" s="169" t="s">
        <v>371</v>
      </c>
      <c r="M8" s="169">
        <v>56.68</v>
      </c>
      <c r="N8" s="169">
        <v>1504958400</v>
      </c>
      <c r="O8" s="169">
        <v>0</v>
      </c>
      <c r="P8" s="169">
        <v>3.71</v>
      </c>
      <c r="Q8" s="169">
        <v>203</v>
      </c>
      <c r="R8" s="169">
        <v>3.48</v>
      </c>
      <c r="S8" s="169">
        <v>1.72</v>
      </c>
    </row>
    <row r="9" spans="1:19" x14ac:dyDescent="0.25">
      <c r="A9" s="169">
        <v>57.18</v>
      </c>
      <c r="B9" s="169">
        <v>0.05</v>
      </c>
      <c r="C9" s="169">
        <v>44.16</v>
      </c>
      <c r="D9" s="8">
        <v>42987.291666666664</v>
      </c>
      <c r="E9" s="169">
        <v>0.62</v>
      </c>
      <c r="F9" s="169" t="s">
        <v>370</v>
      </c>
      <c r="G9" s="169">
        <v>287.54000000000002</v>
      </c>
      <c r="H9" s="169">
        <v>0</v>
      </c>
      <c r="I9" s="169">
        <v>0</v>
      </c>
      <c r="J9" s="169"/>
      <c r="K9" s="169">
        <v>1015.32</v>
      </c>
      <c r="L9" s="169" t="s">
        <v>371</v>
      </c>
      <c r="M9" s="169">
        <v>57.18</v>
      </c>
      <c r="N9" s="169">
        <v>1504962000</v>
      </c>
      <c r="O9" s="169">
        <v>0</v>
      </c>
      <c r="P9" s="169">
        <v>3.24</v>
      </c>
      <c r="Q9" s="169">
        <v>194</v>
      </c>
      <c r="R9" s="169">
        <v>3.73</v>
      </c>
      <c r="S9" s="169">
        <v>1.43</v>
      </c>
    </row>
    <row r="10" spans="1:19" x14ac:dyDescent="0.25">
      <c r="A10" s="169">
        <v>61.86</v>
      </c>
      <c r="B10" s="169">
        <v>0.02</v>
      </c>
      <c r="C10" s="169">
        <v>45.1</v>
      </c>
      <c r="D10" s="8">
        <v>42987.333333333336</v>
      </c>
      <c r="E10" s="169">
        <v>0.54</v>
      </c>
      <c r="F10" s="169" t="s">
        <v>370</v>
      </c>
      <c r="G10" s="169">
        <v>286.97000000000003</v>
      </c>
      <c r="H10" s="169">
        <v>0</v>
      </c>
      <c r="I10" s="169">
        <v>0</v>
      </c>
      <c r="J10" s="169"/>
      <c r="K10" s="169">
        <v>1014.66</v>
      </c>
      <c r="L10" s="169" t="s">
        <v>371</v>
      </c>
      <c r="M10" s="169">
        <v>61.86</v>
      </c>
      <c r="N10" s="169">
        <v>1504965600</v>
      </c>
      <c r="O10" s="169">
        <v>1</v>
      </c>
      <c r="P10" s="169">
        <v>3.55</v>
      </c>
      <c r="Q10" s="169">
        <v>206</v>
      </c>
      <c r="R10" s="169">
        <v>4.0599999999999996</v>
      </c>
      <c r="S10" s="169">
        <v>1.36</v>
      </c>
    </row>
    <row r="11" spans="1:19" x14ac:dyDescent="0.25">
      <c r="A11" s="169">
        <v>68.73</v>
      </c>
      <c r="B11" s="169">
        <v>0.03</v>
      </c>
      <c r="C11" s="169">
        <v>46.4</v>
      </c>
      <c r="D11" s="8">
        <v>42987.375</v>
      </c>
      <c r="E11" s="169">
        <v>0.45</v>
      </c>
      <c r="F11" s="169" t="s">
        <v>370</v>
      </c>
      <c r="G11" s="169">
        <v>286.51</v>
      </c>
      <c r="H11" s="169">
        <v>0</v>
      </c>
      <c r="I11" s="169">
        <v>0</v>
      </c>
      <c r="J11" s="169"/>
      <c r="K11" s="169">
        <v>1014.89</v>
      </c>
      <c r="L11" s="169" t="s">
        <v>371</v>
      </c>
      <c r="M11" s="169">
        <v>68.73</v>
      </c>
      <c r="N11" s="169">
        <v>1504969200</v>
      </c>
      <c r="O11" s="169">
        <v>2</v>
      </c>
      <c r="P11" s="169">
        <v>3.36</v>
      </c>
      <c r="Q11" s="169">
        <v>208</v>
      </c>
      <c r="R11" s="169">
        <v>5.0599999999999996</v>
      </c>
      <c r="S11" s="169">
        <v>1.73</v>
      </c>
    </row>
    <row r="12" spans="1:19" x14ac:dyDescent="0.25">
      <c r="A12" s="169">
        <v>76.819999999999993</v>
      </c>
      <c r="B12" s="169">
        <v>0.02</v>
      </c>
      <c r="C12" s="169">
        <v>46.72</v>
      </c>
      <c r="D12" s="8">
        <v>42987.416666666664</v>
      </c>
      <c r="E12" s="169">
        <v>0.35</v>
      </c>
      <c r="F12" s="169" t="s">
        <v>370</v>
      </c>
      <c r="G12" s="169">
        <v>285.81</v>
      </c>
      <c r="H12" s="169">
        <v>0</v>
      </c>
      <c r="I12" s="169">
        <v>0</v>
      </c>
      <c r="J12" s="169"/>
      <c r="K12" s="169">
        <v>1014.65</v>
      </c>
      <c r="L12" s="169" t="s">
        <v>371</v>
      </c>
      <c r="M12" s="169">
        <v>76.819999999999993</v>
      </c>
      <c r="N12" s="169">
        <v>1504972800</v>
      </c>
      <c r="O12" s="169">
        <v>3</v>
      </c>
      <c r="P12" s="169">
        <v>3.89</v>
      </c>
      <c r="Q12" s="169">
        <v>185</v>
      </c>
      <c r="R12" s="169">
        <v>4.4000000000000004</v>
      </c>
      <c r="S12" s="169">
        <v>1.1599999999999999</v>
      </c>
    </row>
    <row r="13" spans="1:19" x14ac:dyDescent="0.25">
      <c r="A13" s="169">
        <v>82.86</v>
      </c>
      <c r="B13" s="169">
        <v>0.03</v>
      </c>
      <c r="C13" s="169">
        <v>45.19</v>
      </c>
      <c r="D13" s="8">
        <v>42987.458333333336</v>
      </c>
      <c r="E13" s="169">
        <v>0.27</v>
      </c>
      <c r="F13" s="169" t="s">
        <v>370</v>
      </c>
      <c r="G13" s="169">
        <v>285</v>
      </c>
      <c r="H13" s="169">
        <v>0</v>
      </c>
      <c r="I13" s="169">
        <v>0</v>
      </c>
      <c r="J13" s="169"/>
      <c r="K13" s="169">
        <v>1013.91</v>
      </c>
      <c r="L13" s="169" t="s">
        <v>371</v>
      </c>
      <c r="M13" s="169">
        <v>82.86</v>
      </c>
      <c r="N13" s="169">
        <v>1504976400</v>
      </c>
      <c r="O13" s="169">
        <v>5</v>
      </c>
      <c r="P13" s="169">
        <v>3.98</v>
      </c>
      <c r="Q13" s="169">
        <v>134</v>
      </c>
      <c r="R13" s="169">
        <v>4.32</v>
      </c>
      <c r="S13" s="169">
        <v>0.72</v>
      </c>
    </row>
    <row r="14" spans="1:19" x14ac:dyDescent="0.25">
      <c r="A14" s="169">
        <v>86.51</v>
      </c>
      <c r="B14" s="169">
        <v>0.06</v>
      </c>
      <c r="C14" s="169">
        <v>43.5</v>
      </c>
      <c r="D14" s="8">
        <v>42987.5</v>
      </c>
      <c r="E14" s="169">
        <v>0.22</v>
      </c>
      <c r="F14" s="169" t="s">
        <v>370</v>
      </c>
      <c r="G14" s="169">
        <v>287.77</v>
      </c>
      <c r="H14" s="169">
        <v>0</v>
      </c>
      <c r="I14" s="169">
        <v>0</v>
      </c>
      <c r="J14" s="169"/>
      <c r="K14" s="169">
        <v>1013.11</v>
      </c>
      <c r="L14" s="169" t="s">
        <v>371</v>
      </c>
      <c r="M14" s="169">
        <v>86.51</v>
      </c>
      <c r="N14" s="169">
        <v>1504980000</v>
      </c>
      <c r="O14" s="169">
        <v>7</v>
      </c>
      <c r="P14" s="169">
        <v>3.84</v>
      </c>
      <c r="Q14" s="169">
        <v>100</v>
      </c>
      <c r="R14" s="169">
        <v>6.03</v>
      </c>
      <c r="S14" s="169">
        <v>1.57</v>
      </c>
    </row>
    <row r="15" spans="1:19" x14ac:dyDescent="0.25">
      <c r="A15" s="169">
        <v>88.36</v>
      </c>
      <c r="B15" s="169">
        <v>0.03</v>
      </c>
      <c r="C15" s="169">
        <v>41.38</v>
      </c>
      <c r="D15" s="8">
        <v>42987.541666666664</v>
      </c>
      <c r="E15" s="169">
        <v>0.19</v>
      </c>
      <c r="F15" s="169" t="s">
        <v>370</v>
      </c>
      <c r="G15" s="169">
        <v>287.64999999999998</v>
      </c>
      <c r="H15" s="169">
        <v>0</v>
      </c>
      <c r="I15" s="169">
        <v>0</v>
      </c>
      <c r="J15" s="169"/>
      <c r="K15" s="169">
        <v>1012.7</v>
      </c>
      <c r="L15" s="169" t="s">
        <v>371</v>
      </c>
      <c r="M15" s="169">
        <v>88.36</v>
      </c>
      <c r="N15" s="169">
        <v>1504983600</v>
      </c>
      <c r="O15" s="169">
        <v>8</v>
      </c>
      <c r="P15" s="169">
        <v>3.53</v>
      </c>
      <c r="Q15" s="169">
        <v>98</v>
      </c>
      <c r="R15" s="169">
        <v>8.17</v>
      </c>
      <c r="S15" s="169">
        <v>2.58</v>
      </c>
    </row>
    <row r="16" spans="1:19" x14ac:dyDescent="0.25">
      <c r="A16" s="169">
        <v>86.79</v>
      </c>
      <c r="B16" s="169">
        <v>0.14000000000000001</v>
      </c>
      <c r="C16" s="169">
        <v>40.64</v>
      </c>
      <c r="D16" s="8">
        <v>42987.583333333336</v>
      </c>
      <c r="E16" s="169">
        <v>0.2</v>
      </c>
      <c r="F16" s="169" t="s">
        <v>370</v>
      </c>
      <c r="G16" s="169">
        <v>287.42</v>
      </c>
      <c r="H16" s="169">
        <v>0</v>
      </c>
      <c r="I16" s="169">
        <v>0</v>
      </c>
      <c r="J16" s="169"/>
      <c r="K16" s="169">
        <v>1012.59</v>
      </c>
      <c r="L16" s="169" t="s">
        <v>371</v>
      </c>
      <c r="M16" s="169">
        <v>86.79</v>
      </c>
      <c r="N16" s="169">
        <v>1504987200</v>
      </c>
      <c r="O16" s="169">
        <v>7</v>
      </c>
      <c r="P16" s="169">
        <v>3.5</v>
      </c>
      <c r="Q16" s="169">
        <v>190</v>
      </c>
      <c r="R16" s="169">
        <v>10.26</v>
      </c>
      <c r="S16" s="169">
        <v>0.57999999999999996</v>
      </c>
    </row>
    <row r="17" spans="1:19" x14ac:dyDescent="0.25">
      <c r="A17" s="169">
        <v>85.26</v>
      </c>
      <c r="B17" s="169">
        <v>0.16</v>
      </c>
      <c r="C17" s="169">
        <v>42.26</v>
      </c>
      <c r="D17" s="8">
        <v>42987.625</v>
      </c>
      <c r="E17" s="169">
        <v>0.22</v>
      </c>
      <c r="F17" s="169" t="s">
        <v>370</v>
      </c>
      <c r="G17" s="169">
        <v>286.85000000000002</v>
      </c>
      <c r="H17" s="169">
        <v>0</v>
      </c>
      <c r="I17" s="169">
        <v>0</v>
      </c>
      <c r="J17" s="169"/>
      <c r="K17" s="169">
        <v>1012.11</v>
      </c>
      <c r="L17" s="169" t="s">
        <v>371</v>
      </c>
      <c r="M17" s="169">
        <v>85.26</v>
      </c>
      <c r="N17" s="169">
        <v>1504990800</v>
      </c>
      <c r="O17" s="169">
        <v>5</v>
      </c>
      <c r="P17" s="169">
        <v>4.24</v>
      </c>
      <c r="Q17" s="169">
        <v>248</v>
      </c>
      <c r="R17" s="169">
        <v>11.48</v>
      </c>
      <c r="S17" s="169">
        <v>3.18</v>
      </c>
    </row>
    <row r="18" spans="1:19" x14ac:dyDescent="0.25">
      <c r="A18" s="169">
        <v>85.16</v>
      </c>
      <c r="B18" s="169">
        <v>0.18</v>
      </c>
      <c r="C18" s="169">
        <v>42.62</v>
      </c>
      <c r="D18" s="8">
        <v>42987.666666666664</v>
      </c>
      <c r="E18" s="169">
        <v>0.23</v>
      </c>
      <c r="F18" s="169" t="s">
        <v>370</v>
      </c>
      <c r="G18" s="169">
        <v>286.05</v>
      </c>
      <c r="H18" s="169">
        <v>0</v>
      </c>
      <c r="I18" s="169">
        <v>0</v>
      </c>
      <c r="J18" s="169"/>
      <c r="K18" s="169">
        <v>1012.58</v>
      </c>
      <c r="L18" s="169" t="s">
        <v>371</v>
      </c>
      <c r="M18" s="169">
        <v>85.16</v>
      </c>
      <c r="N18" s="169">
        <v>1504994400</v>
      </c>
      <c r="O18" s="169">
        <v>3</v>
      </c>
      <c r="P18" s="169">
        <v>4.1100000000000003</v>
      </c>
      <c r="Q18" s="169">
        <v>259</v>
      </c>
      <c r="R18" s="169">
        <v>12.58</v>
      </c>
      <c r="S18" s="169">
        <v>4.3600000000000003</v>
      </c>
    </row>
    <row r="19" spans="1:19" x14ac:dyDescent="0.25">
      <c r="A19" s="169">
        <v>82.85</v>
      </c>
      <c r="B19" s="169">
        <v>0.15</v>
      </c>
      <c r="C19" s="169">
        <v>44.02</v>
      </c>
      <c r="D19" s="8">
        <v>42987.708333333336</v>
      </c>
      <c r="E19" s="169">
        <v>0.26</v>
      </c>
      <c r="F19" s="169" t="s">
        <v>370</v>
      </c>
      <c r="G19" s="169">
        <v>284.77999999999997</v>
      </c>
      <c r="H19" s="169">
        <v>0</v>
      </c>
      <c r="I19" s="169">
        <v>0</v>
      </c>
      <c r="J19" s="169"/>
      <c r="K19" s="169">
        <v>1012.68</v>
      </c>
      <c r="L19" s="169" t="s">
        <v>371</v>
      </c>
      <c r="M19" s="169">
        <v>82.85</v>
      </c>
      <c r="N19" s="169">
        <v>1504998000</v>
      </c>
      <c r="O19" s="169">
        <v>1</v>
      </c>
      <c r="P19" s="169">
        <v>4.1100000000000003</v>
      </c>
      <c r="Q19" s="169">
        <v>266</v>
      </c>
      <c r="R19" s="169">
        <v>10.36</v>
      </c>
      <c r="S19" s="169">
        <v>3.36</v>
      </c>
    </row>
    <row r="20" spans="1:19" x14ac:dyDescent="0.25">
      <c r="A20" s="169">
        <v>81.73</v>
      </c>
      <c r="B20" s="169">
        <v>0.12</v>
      </c>
      <c r="C20" s="169">
        <v>44.59</v>
      </c>
      <c r="D20" s="8">
        <v>42987.75</v>
      </c>
      <c r="E20" s="169">
        <v>0.27</v>
      </c>
      <c r="F20" s="169" t="s">
        <v>370</v>
      </c>
      <c r="G20" s="169">
        <v>282.45999999999998</v>
      </c>
      <c r="H20" s="169">
        <v>0</v>
      </c>
      <c r="I20" s="169">
        <v>0</v>
      </c>
      <c r="J20" s="169"/>
      <c r="K20" s="169">
        <v>1013.41</v>
      </c>
      <c r="L20" s="169" t="s">
        <v>371</v>
      </c>
      <c r="M20" s="169">
        <v>81.73</v>
      </c>
      <c r="N20" s="169">
        <v>1505001600</v>
      </c>
      <c r="O20" s="169">
        <v>1</v>
      </c>
      <c r="P20" s="169">
        <v>4.1100000000000003</v>
      </c>
      <c r="Q20" s="169">
        <v>316</v>
      </c>
      <c r="R20" s="169">
        <v>5.27</v>
      </c>
      <c r="S20" s="169">
        <v>1.54</v>
      </c>
    </row>
    <row r="21" spans="1:19" x14ac:dyDescent="0.25">
      <c r="A21" s="169">
        <v>79.819999999999993</v>
      </c>
      <c r="B21" s="169">
        <v>0.18</v>
      </c>
      <c r="C21" s="169">
        <v>44.86</v>
      </c>
      <c r="D21" s="8">
        <v>42987.791666666664</v>
      </c>
      <c r="E21" s="169">
        <v>0.28999999999999998</v>
      </c>
      <c r="F21" s="169" t="s">
        <v>370</v>
      </c>
      <c r="G21" s="169">
        <v>282.57</v>
      </c>
      <c r="H21" s="169">
        <v>0</v>
      </c>
      <c r="I21" s="169">
        <v>0</v>
      </c>
      <c r="J21" s="169"/>
      <c r="K21" s="169">
        <v>1013.83</v>
      </c>
      <c r="L21" s="169" t="s">
        <v>371</v>
      </c>
      <c r="M21" s="169">
        <v>79.819999999999993</v>
      </c>
      <c r="N21" s="169">
        <v>1505005200</v>
      </c>
      <c r="O21" s="169">
        <v>0</v>
      </c>
      <c r="P21" s="169">
        <v>4.1100000000000003</v>
      </c>
      <c r="Q21" s="169">
        <v>359</v>
      </c>
      <c r="R21" s="169">
        <v>5.18</v>
      </c>
      <c r="S21" s="169">
        <v>1.37</v>
      </c>
    </row>
    <row r="22" spans="1:19" x14ac:dyDescent="0.25">
      <c r="A22" s="169">
        <v>75.819999999999993</v>
      </c>
      <c r="B22" s="169">
        <v>0.26</v>
      </c>
      <c r="C22" s="169">
        <v>45.63</v>
      </c>
      <c r="D22" s="8">
        <v>42987.833333333336</v>
      </c>
      <c r="E22" s="169">
        <v>0.34</v>
      </c>
      <c r="F22" s="169" t="s">
        <v>566</v>
      </c>
      <c r="G22" s="169">
        <v>283.5</v>
      </c>
      <c r="H22" s="169">
        <v>0</v>
      </c>
      <c r="I22" s="169">
        <v>0</v>
      </c>
      <c r="J22" s="169"/>
      <c r="K22" s="169">
        <v>1013.92</v>
      </c>
      <c r="L22" s="169" t="s">
        <v>565</v>
      </c>
      <c r="M22" s="169">
        <v>75.819999999999993</v>
      </c>
      <c r="N22" s="169">
        <v>1505008800</v>
      </c>
      <c r="O22" s="169">
        <v>0</v>
      </c>
      <c r="P22" s="169">
        <v>4.1100000000000003</v>
      </c>
      <c r="Q22" s="169">
        <v>232</v>
      </c>
      <c r="R22" s="169">
        <v>3.3</v>
      </c>
      <c r="S22" s="169">
        <v>0.7</v>
      </c>
    </row>
    <row r="23" spans="1:19" x14ac:dyDescent="0.25">
      <c r="A23" s="169">
        <v>71.95</v>
      </c>
      <c r="B23" s="169">
        <v>0.4</v>
      </c>
      <c r="C23" s="169">
        <v>46.07</v>
      </c>
      <c r="D23" s="8">
        <v>42987.875</v>
      </c>
      <c r="E23" s="169">
        <v>0.4</v>
      </c>
      <c r="F23" s="169" t="s">
        <v>566</v>
      </c>
      <c r="G23" s="169">
        <v>284.19</v>
      </c>
      <c r="H23" s="169">
        <v>5.9999999999999995E-4</v>
      </c>
      <c r="I23" s="169">
        <v>0.01</v>
      </c>
      <c r="J23" s="169" t="s">
        <v>567</v>
      </c>
      <c r="K23" s="169">
        <v>1014.27</v>
      </c>
      <c r="L23" s="169" t="s">
        <v>565</v>
      </c>
      <c r="M23" s="169">
        <v>71.95</v>
      </c>
      <c r="N23" s="169">
        <v>1505012400</v>
      </c>
      <c r="O23" s="169">
        <v>0</v>
      </c>
      <c r="P23" s="169">
        <v>10</v>
      </c>
      <c r="Q23" s="169">
        <v>225</v>
      </c>
      <c r="R23" s="169">
        <v>6.77</v>
      </c>
      <c r="S23" s="169">
        <v>1.42</v>
      </c>
    </row>
    <row r="24" spans="1:19" x14ac:dyDescent="0.25">
      <c r="A24" s="169">
        <v>69.489999999999995</v>
      </c>
      <c r="B24" s="169">
        <v>0.1</v>
      </c>
      <c r="C24" s="169">
        <v>45.76</v>
      </c>
      <c r="D24" s="8">
        <v>42987.916666666664</v>
      </c>
      <c r="E24" s="169">
        <v>0.43</v>
      </c>
      <c r="F24" s="169" t="s">
        <v>372</v>
      </c>
      <c r="G24" s="169">
        <v>284.54000000000002</v>
      </c>
      <c r="H24" s="169">
        <v>0</v>
      </c>
      <c r="I24" s="169">
        <v>0</v>
      </c>
      <c r="J24" s="169"/>
      <c r="K24" s="169">
        <v>1014.14</v>
      </c>
      <c r="L24" s="169" t="s">
        <v>371</v>
      </c>
      <c r="M24" s="169">
        <v>69.489999999999995</v>
      </c>
      <c r="N24" s="169">
        <v>1505016000</v>
      </c>
      <c r="O24" s="169">
        <v>0</v>
      </c>
      <c r="P24" s="169">
        <v>3.76</v>
      </c>
      <c r="Q24" s="169">
        <v>247</v>
      </c>
      <c r="R24" s="169">
        <v>3.99</v>
      </c>
      <c r="S24" s="169">
        <v>1.44</v>
      </c>
    </row>
    <row r="25" spans="1:19" x14ac:dyDescent="0.25">
      <c r="A25" s="169">
        <v>67.23</v>
      </c>
      <c r="B25" s="169">
        <v>0.04</v>
      </c>
      <c r="C25" s="169">
        <v>45.56</v>
      </c>
      <c r="D25" s="8">
        <v>42987.958333333336</v>
      </c>
      <c r="E25" s="169">
        <v>0.46</v>
      </c>
      <c r="F25" s="169" t="s">
        <v>372</v>
      </c>
      <c r="G25" s="169">
        <v>284.64999999999998</v>
      </c>
      <c r="H25" s="169">
        <v>0</v>
      </c>
      <c r="I25" s="169">
        <v>0</v>
      </c>
      <c r="J25" s="169"/>
      <c r="K25" s="169">
        <v>1014.19</v>
      </c>
      <c r="L25" s="169" t="s">
        <v>371</v>
      </c>
      <c r="M25" s="169">
        <v>67.23</v>
      </c>
      <c r="N25" s="169">
        <v>1505019600</v>
      </c>
      <c r="O25" s="169">
        <v>0</v>
      </c>
      <c r="P25" s="169">
        <v>2.77</v>
      </c>
      <c r="Q25" s="169">
        <v>228</v>
      </c>
      <c r="R25" s="169">
        <v>2.75</v>
      </c>
      <c r="S25" s="169">
        <v>0.93</v>
      </c>
    </row>
    <row r="26" spans="1:19" x14ac:dyDescent="0.25">
      <c r="A26" s="169">
        <v>65.8</v>
      </c>
      <c r="B26" s="169">
        <v>0.03</v>
      </c>
      <c r="C26" s="169">
        <v>45.28</v>
      </c>
      <c r="D26" s="8">
        <v>42988</v>
      </c>
      <c r="E26" s="169">
        <v>0.47</v>
      </c>
      <c r="F26" s="169" t="s">
        <v>372</v>
      </c>
      <c r="G26" s="169">
        <v>284.52999999999997</v>
      </c>
      <c r="H26" s="169">
        <v>0</v>
      </c>
      <c r="I26" s="169">
        <v>0</v>
      </c>
      <c r="J26" s="169"/>
      <c r="K26" s="169">
        <v>1014.92</v>
      </c>
      <c r="L26" s="169" t="s">
        <v>371</v>
      </c>
      <c r="M26" s="169">
        <v>65.8</v>
      </c>
      <c r="N26" s="169">
        <v>1505023200</v>
      </c>
      <c r="O26" s="169">
        <v>0</v>
      </c>
      <c r="P26" s="169">
        <v>2.93</v>
      </c>
      <c r="Q26" s="169">
        <v>215</v>
      </c>
      <c r="R26" s="169">
        <v>2.91</v>
      </c>
      <c r="S26" s="169">
        <v>1.22</v>
      </c>
    </row>
    <row r="27" spans="1:19" x14ac:dyDescent="0.25">
      <c r="A27" s="169">
        <v>64.239999999999995</v>
      </c>
      <c r="B27" s="169">
        <v>0.02</v>
      </c>
      <c r="C27" s="169">
        <v>44.89</v>
      </c>
      <c r="D27" s="8">
        <v>42988.041666666664</v>
      </c>
      <c r="E27" s="169">
        <v>0.49</v>
      </c>
      <c r="F27" s="169" t="s">
        <v>372</v>
      </c>
      <c r="G27" s="169">
        <v>284.07</v>
      </c>
      <c r="H27" s="169">
        <v>0</v>
      </c>
      <c r="I27" s="169">
        <v>0</v>
      </c>
      <c r="J27" s="169"/>
      <c r="K27" s="169">
        <v>1014.24</v>
      </c>
      <c r="L27" s="169" t="s">
        <v>371</v>
      </c>
      <c r="M27" s="169">
        <v>64.239999999999995</v>
      </c>
      <c r="N27" s="169">
        <v>1505026800</v>
      </c>
      <c r="O27" s="169">
        <v>0</v>
      </c>
      <c r="P27" s="169">
        <v>3.12</v>
      </c>
      <c r="Q27" s="169">
        <v>194</v>
      </c>
      <c r="R27" s="169">
        <v>3.48</v>
      </c>
      <c r="S27" s="169">
        <v>1.24</v>
      </c>
    </row>
    <row r="28" spans="1:19" x14ac:dyDescent="0.25">
      <c r="A28" s="169">
        <v>62.42</v>
      </c>
      <c r="B28" s="169">
        <v>0.02</v>
      </c>
      <c r="C28" s="169">
        <v>45.26</v>
      </c>
      <c r="D28" s="8">
        <v>42988.083333333336</v>
      </c>
      <c r="E28" s="169">
        <v>0.53</v>
      </c>
      <c r="F28" s="169" t="s">
        <v>372</v>
      </c>
      <c r="G28" s="169">
        <v>283.48</v>
      </c>
      <c r="H28" s="169">
        <v>0</v>
      </c>
      <c r="I28" s="169">
        <v>0</v>
      </c>
      <c r="J28" s="169"/>
      <c r="K28" s="169">
        <v>1014.67</v>
      </c>
      <c r="L28" s="169" t="s">
        <v>371</v>
      </c>
      <c r="M28" s="169">
        <v>62.42</v>
      </c>
      <c r="N28" s="169">
        <v>1505030400</v>
      </c>
      <c r="O28" s="169">
        <v>0</v>
      </c>
      <c r="P28" s="169">
        <v>3.12</v>
      </c>
      <c r="Q28" s="169">
        <v>204</v>
      </c>
      <c r="R28" s="169">
        <v>2.91</v>
      </c>
      <c r="S28" s="169">
        <v>1.1000000000000001</v>
      </c>
    </row>
    <row r="29" spans="1:19" x14ac:dyDescent="0.25">
      <c r="A29" s="169">
        <v>61.6</v>
      </c>
      <c r="B29" s="169">
        <v>0.04</v>
      </c>
      <c r="C29" s="169">
        <v>45.24</v>
      </c>
      <c r="D29" s="8">
        <v>42988.125</v>
      </c>
      <c r="E29" s="169">
        <v>0.55000000000000004</v>
      </c>
      <c r="F29" s="169" t="s">
        <v>372</v>
      </c>
      <c r="G29" s="169">
        <v>283.02</v>
      </c>
      <c r="H29" s="169">
        <v>2.0000000000000001E-4</v>
      </c>
      <c r="I29" s="169">
        <v>0.01</v>
      </c>
      <c r="J29" s="169" t="s">
        <v>567</v>
      </c>
      <c r="K29" s="169">
        <v>1014.85</v>
      </c>
      <c r="L29" s="169" t="s">
        <v>371</v>
      </c>
      <c r="M29" s="169">
        <v>61.6</v>
      </c>
      <c r="N29" s="169">
        <v>1505034000</v>
      </c>
      <c r="O29" s="169">
        <v>0</v>
      </c>
      <c r="P29" s="169">
        <v>2.29</v>
      </c>
      <c r="Q29" s="169">
        <v>215</v>
      </c>
      <c r="R29" s="169">
        <v>3.6</v>
      </c>
      <c r="S29" s="169">
        <v>1.32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opLeftCell="A10" workbookViewId="0">
      <selection activeCell="A22" sqref="A2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353</v>
      </c>
      <c r="AE2" s="56" t="s">
        <v>356</v>
      </c>
      <c r="AF2" s="56" t="s">
        <v>357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354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347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355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358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962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963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964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967</v>
      </c>
      <c r="J25" s="140" t="s">
        <v>146</v>
      </c>
      <c r="M25" s="154" t="b">
        <v>1</v>
      </c>
    </row>
    <row r="26" spans="3:24" x14ac:dyDescent="0.25">
      <c r="C26" t="s">
        <v>968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C:\Users\stu\Documents\GitHub\eaglep3-reporting\EC\2017-09-09-refined-times.txt</v>
      </c>
    </row>
    <row r="27" spans="3:24" x14ac:dyDescent="0.25">
      <c r="C27" t="s">
        <v>969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C:\Users\stu\Documents\GitHub\eaglep3-reporting\EC\2017-09-09-Enforcements.txt</v>
      </c>
    </row>
    <row r="28" spans="3:24" x14ac:dyDescent="0.25">
      <c r="C28" t="s">
        <v>970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C:\Users\stu\Documents\GitHub\eaglep3-reporting\EC\2017-09-09-Runs-refined.txt</v>
      </c>
    </row>
    <row r="29" spans="3:24" x14ac:dyDescent="0.25">
      <c r="C29" t="s">
        <v>971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C:\Users\stu\Documents\GitHub\eaglep3-reporting\EC\2017-09-09-Trips.txt</v>
      </c>
    </row>
    <row r="30" spans="3:24" x14ac:dyDescent="0.25">
      <c r="C30" t="s">
        <v>972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C:\Users\stu\Documents\GitHub\eaglep3-reporting\EC\2017-09-09-Weather.txt</v>
      </c>
    </row>
    <row r="31" spans="3:24" x14ac:dyDescent="0.25">
      <c r="C31" t="s">
        <v>973</v>
      </c>
      <c r="J31" s="140" t="s">
        <v>193</v>
      </c>
      <c r="M31" s="154" t="s">
        <v>194</v>
      </c>
    </row>
    <row r="32" spans="3:24" x14ac:dyDescent="0.25">
      <c r="C32" t="s">
        <v>974</v>
      </c>
    </row>
    <row r="33" spans="3:3" x14ac:dyDescent="0.25">
      <c r="C33" t="s">
        <v>975</v>
      </c>
    </row>
    <row r="34" spans="3:3" x14ac:dyDescent="0.25">
      <c r="C34" t="s">
        <v>611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2017-09-11T16:33:11Z</dcterms:modified>
</cp:coreProperties>
</file>