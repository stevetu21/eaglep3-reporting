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Enforcements!$A$6:$AC$44</definedName>
    <definedName name="_xlnm._FilterDatabase" localSheetId="2" hidden="1">'Missing Trips'!$A$2:$J$26</definedName>
    <definedName name="_xlnm._FilterDatabase" localSheetId="0" hidden="1">'Train Runs'!$A$12:$AG$323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7" i="1" l="1"/>
  <c r="K166" i="1"/>
  <c r="L166" i="1"/>
  <c r="M166" i="1"/>
  <c r="N166" i="1" s="1"/>
  <c r="V166" i="1"/>
  <c r="AA166" i="1"/>
  <c r="AB166" i="1"/>
  <c r="AC166" i="1"/>
  <c r="AD166" i="1"/>
  <c r="T166" i="1" s="1"/>
  <c r="AE166" i="1"/>
  <c r="AF166" i="1"/>
  <c r="AH166" i="1"/>
  <c r="AM166" i="1"/>
  <c r="AN166" i="1"/>
  <c r="AO166" i="1"/>
  <c r="X165" i="1"/>
  <c r="K164" i="1"/>
  <c r="L164" i="1"/>
  <c r="M164" i="1"/>
  <c r="N164" i="1"/>
  <c r="V164" i="1"/>
  <c r="S30" i="3" s="1"/>
  <c r="X164" i="1"/>
  <c r="AA164" i="1"/>
  <c r="AB164" i="1"/>
  <c r="AC164" i="1"/>
  <c r="AD164" i="1"/>
  <c r="T164" i="1" s="1"/>
  <c r="AE164" i="1"/>
  <c r="AF164" i="1"/>
  <c r="AH164" i="1"/>
  <c r="AM164" i="1"/>
  <c r="AN164" i="1"/>
  <c r="AO164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/>
  <c r="V38" i="1"/>
  <c r="Y38" i="1"/>
  <c r="AA38" i="1" s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V40" i="1"/>
  <c r="Y40" i="1"/>
  <c r="AA40" i="1" s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AA44" i="1" s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R7" i="3" s="1"/>
  <c r="AF47" i="1"/>
  <c r="AH47" i="1"/>
  <c r="AM47" i="1"/>
  <c r="AN47" i="1"/>
  <c r="AO47" i="1"/>
  <c r="K48" i="1"/>
  <c r="L48" i="1"/>
  <c r="M48" i="1"/>
  <c r="N48" i="1" s="1"/>
  <c r="V48" i="1"/>
  <c r="Y48" i="1"/>
  <c r="AA48" i="1" s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/>
  <c r="V50" i="1"/>
  <c r="Y50" i="1"/>
  <c r="Z50" i="1"/>
  <c r="AA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/>
  <c r="V54" i="1"/>
  <c r="Y54" i="1"/>
  <c r="AA54" i="1" s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T55" i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7" i="1"/>
  <c r="L57" i="1"/>
  <c r="M57" i="1"/>
  <c r="N57" i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/>
  <c r="V58" i="1"/>
  <c r="Y58" i="1"/>
  <c r="AA58" i="1" s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T59" i="1"/>
  <c r="V59" i="1"/>
  <c r="Y59" i="1"/>
  <c r="Z59" i="1"/>
  <c r="AA59" i="1"/>
  <c r="AB59" i="1"/>
  <c r="AC59" i="1"/>
  <c r="AD59" i="1"/>
  <c r="X59" i="1" s="1"/>
  <c r="AE59" i="1"/>
  <c r="AF59" i="1"/>
  <c r="AH59" i="1"/>
  <c r="AM59" i="1"/>
  <c r="AN59" i="1"/>
  <c r="AO59" i="1"/>
  <c r="K60" i="1"/>
  <c r="L60" i="1"/>
  <c r="M60" i="1"/>
  <c r="N60" i="1" s="1"/>
  <c r="V60" i="1"/>
  <c r="X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/>
  <c r="V61" i="1"/>
  <c r="Y61" i="1"/>
  <c r="Z61" i="1"/>
  <c r="AA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X63" i="1" s="1"/>
  <c r="AE63" i="1"/>
  <c r="R15" i="3" s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/>
  <c r="V68" i="1"/>
  <c r="Y68" i="1"/>
  <c r="Z68" i="1"/>
  <c r="AA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A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X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AO73" i="1"/>
  <c r="K74" i="1"/>
  <c r="L74" i="1"/>
  <c r="M74" i="1"/>
  <c r="N74" i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/>
  <c r="V90" i="1"/>
  <c r="Y90" i="1"/>
  <c r="Z90" i="1"/>
  <c r="AA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160" i="1"/>
  <c r="L160" i="1"/>
  <c r="M160" i="1"/>
  <c r="V160" i="1"/>
  <c r="Y160" i="1"/>
  <c r="Z160" i="1"/>
  <c r="AA160" i="1"/>
  <c r="AB160" i="1"/>
  <c r="AC160" i="1"/>
  <c r="AD160" i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97" i="1"/>
  <c r="AM97" i="1"/>
  <c r="AN97" i="1"/>
  <c r="AO97" i="1"/>
  <c r="K165" i="1"/>
  <c r="L165" i="1"/>
  <c r="M165" i="1"/>
  <c r="N165" i="1"/>
  <c r="V165" i="1"/>
  <c r="Y165" i="1"/>
  <c r="Z165" i="1"/>
  <c r="AA165" i="1"/>
  <c r="AB165" i="1"/>
  <c r="AC165" i="1"/>
  <c r="AD165" i="1"/>
  <c r="AE165" i="1"/>
  <c r="AF165" i="1"/>
  <c r="AH98" i="1"/>
  <c r="AM98" i="1"/>
  <c r="AN98" i="1"/>
  <c r="AO98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99" i="1"/>
  <c r="AM99" i="1"/>
  <c r="AN99" i="1"/>
  <c r="AO99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0" i="1"/>
  <c r="AM100" i="1"/>
  <c r="AN100" i="1"/>
  <c r="AO100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101" i="1"/>
  <c r="AM101" i="1"/>
  <c r="AN101" i="1"/>
  <c r="AO101" i="1"/>
  <c r="K170" i="1"/>
  <c r="L170" i="1"/>
  <c r="M170" i="1"/>
  <c r="N170" i="1"/>
  <c r="V170" i="1"/>
  <c r="Y170" i="1"/>
  <c r="Z170" i="1"/>
  <c r="AA170" i="1"/>
  <c r="AB170" i="1"/>
  <c r="AC170" i="1"/>
  <c r="AD170" i="1"/>
  <c r="AE170" i="1"/>
  <c r="AF170" i="1"/>
  <c r="AH102" i="1"/>
  <c r="AM102" i="1"/>
  <c r="AN102" i="1"/>
  <c r="AO102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103" i="1"/>
  <c r="AM103" i="1"/>
  <c r="AN103" i="1"/>
  <c r="AO103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04" i="1"/>
  <c r="AM104" i="1"/>
  <c r="AN104" i="1"/>
  <c r="AO104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105" i="1"/>
  <c r="AM105" i="1"/>
  <c r="AN105" i="1"/>
  <c r="AO105" i="1"/>
  <c r="K173" i="1"/>
  <c r="L173" i="1"/>
  <c r="M173" i="1"/>
  <c r="N173" i="1"/>
  <c r="V173" i="1"/>
  <c r="Y173" i="1"/>
  <c r="Z173" i="1"/>
  <c r="AA173" i="1"/>
  <c r="AB173" i="1"/>
  <c r="AC173" i="1"/>
  <c r="AD173" i="1"/>
  <c r="AE173" i="1"/>
  <c r="AF173" i="1"/>
  <c r="AH106" i="1"/>
  <c r="AM106" i="1"/>
  <c r="AN106" i="1"/>
  <c r="AO106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07" i="1"/>
  <c r="AM107" i="1"/>
  <c r="AN107" i="1"/>
  <c r="AO107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AH108" i="1"/>
  <c r="AM108" i="1"/>
  <c r="AN108" i="1"/>
  <c r="AO108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09" i="1"/>
  <c r="AM109" i="1"/>
  <c r="AN109" i="1"/>
  <c r="AO109" i="1"/>
  <c r="K177" i="1"/>
  <c r="L177" i="1"/>
  <c r="M177" i="1"/>
  <c r="V177" i="1"/>
  <c r="Y177" i="1"/>
  <c r="Z177" i="1"/>
  <c r="AA177" i="1"/>
  <c r="AB177" i="1"/>
  <c r="AC177" i="1"/>
  <c r="AD177" i="1"/>
  <c r="AE177" i="1"/>
  <c r="AF177" i="1"/>
  <c r="AH110" i="1"/>
  <c r="AM110" i="1"/>
  <c r="AN110" i="1"/>
  <c r="AO110" i="1"/>
  <c r="K178" i="1"/>
  <c r="L178" i="1"/>
  <c r="M178" i="1"/>
  <c r="V178" i="1"/>
  <c r="Y178" i="1"/>
  <c r="Z178" i="1"/>
  <c r="AA178" i="1" s="1"/>
  <c r="AB178" i="1"/>
  <c r="AC178" i="1"/>
  <c r="AD178" i="1"/>
  <c r="X178" i="1" s="1"/>
  <c r="AE178" i="1"/>
  <c r="R27" i="3" s="1"/>
  <c r="AF178" i="1"/>
  <c r="AH111" i="1"/>
  <c r="AM111" i="1"/>
  <c r="AN111" i="1"/>
  <c r="AO111" i="1"/>
  <c r="K179" i="1"/>
  <c r="L179" i="1"/>
  <c r="M179" i="1"/>
  <c r="N179" i="1" s="1"/>
  <c r="V179" i="1"/>
  <c r="Y179" i="1"/>
  <c r="Z179" i="1"/>
  <c r="AA179" i="1"/>
  <c r="AB179" i="1"/>
  <c r="AC179" i="1"/>
  <c r="AD179" i="1"/>
  <c r="T179" i="1" s="1"/>
  <c r="AE179" i="1"/>
  <c r="AF179" i="1"/>
  <c r="AH112" i="1"/>
  <c r="AM112" i="1"/>
  <c r="AN112" i="1"/>
  <c r="AO112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AF180" i="1"/>
  <c r="AH113" i="1"/>
  <c r="AM113" i="1"/>
  <c r="AN113" i="1"/>
  <c r="AO113" i="1"/>
  <c r="K181" i="1"/>
  <c r="L181" i="1"/>
  <c r="M181" i="1"/>
  <c r="N181" i="1"/>
  <c r="V181" i="1"/>
  <c r="Y181" i="1"/>
  <c r="Z181" i="1"/>
  <c r="AA181" i="1" s="1"/>
  <c r="AB181" i="1"/>
  <c r="AC181" i="1"/>
  <c r="AD181" i="1"/>
  <c r="X181" i="1" s="1"/>
  <c r="AE181" i="1"/>
  <c r="AF181" i="1"/>
  <c r="AH114" i="1"/>
  <c r="AM114" i="1"/>
  <c r="AN114" i="1"/>
  <c r="AO114" i="1"/>
  <c r="K95" i="1"/>
  <c r="L95" i="1"/>
  <c r="M95" i="1"/>
  <c r="N95" i="1" s="1"/>
  <c r="T95" i="1"/>
  <c r="V95" i="1"/>
  <c r="Y95" i="1"/>
  <c r="Z95" i="1"/>
  <c r="AA95" i="1"/>
  <c r="AB95" i="1"/>
  <c r="AC95" i="1"/>
  <c r="AD95" i="1"/>
  <c r="AE95" i="1"/>
  <c r="AF95" i="1"/>
  <c r="AH115" i="1"/>
  <c r="AM115" i="1"/>
  <c r="AN115" i="1"/>
  <c r="AO11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6" i="1"/>
  <c r="AM116" i="1"/>
  <c r="AN116" i="1"/>
  <c r="AO116" i="1"/>
  <c r="K183" i="1"/>
  <c r="L183" i="1"/>
  <c r="M183" i="1"/>
  <c r="N183" i="1" s="1"/>
  <c r="T183" i="1"/>
  <c r="V183" i="1"/>
  <c r="Y183" i="1"/>
  <c r="AA183" i="1" s="1"/>
  <c r="Z183" i="1"/>
  <c r="AB183" i="1"/>
  <c r="AC183" i="1"/>
  <c r="AD183" i="1"/>
  <c r="AE183" i="1"/>
  <c r="AF183" i="1"/>
  <c r="AH117" i="1"/>
  <c r="AM117" i="1"/>
  <c r="AN117" i="1"/>
  <c r="AO117" i="1"/>
  <c r="K184" i="1"/>
  <c r="L184" i="1"/>
  <c r="M184" i="1"/>
  <c r="N184" i="1" s="1"/>
  <c r="V184" i="1"/>
  <c r="X184" i="1"/>
  <c r="Y184" i="1"/>
  <c r="Z184" i="1"/>
  <c r="AA184" i="1"/>
  <c r="AB184" i="1"/>
  <c r="AC184" i="1"/>
  <c r="AD184" i="1"/>
  <c r="T184" i="1" s="1"/>
  <c r="AE184" i="1"/>
  <c r="AF184" i="1"/>
  <c r="AH118" i="1"/>
  <c r="AM118" i="1"/>
  <c r="AN118" i="1"/>
  <c r="AO118" i="1"/>
  <c r="K185" i="1"/>
  <c r="L185" i="1"/>
  <c r="M185" i="1"/>
  <c r="N185" i="1" s="1"/>
  <c r="V185" i="1"/>
  <c r="Y185" i="1"/>
  <c r="Z185" i="1"/>
  <c r="AA185" i="1" s="1"/>
  <c r="AB185" i="1"/>
  <c r="AC185" i="1"/>
  <c r="AD185" i="1"/>
  <c r="X185" i="1" s="1"/>
  <c r="AE185" i="1"/>
  <c r="AF185" i="1"/>
  <c r="AH119" i="1"/>
  <c r="AM119" i="1"/>
  <c r="AN119" i="1"/>
  <c r="AO119" i="1"/>
  <c r="K186" i="1"/>
  <c r="L186" i="1"/>
  <c r="M186" i="1"/>
  <c r="N186" i="1" s="1"/>
  <c r="V186" i="1"/>
  <c r="Y186" i="1"/>
  <c r="Z186" i="1"/>
  <c r="AA186" i="1"/>
  <c r="AB186" i="1"/>
  <c r="AC186" i="1"/>
  <c r="AD186" i="1"/>
  <c r="T186" i="1" s="1"/>
  <c r="AE186" i="1"/>
  <c r="AF186" i="1"/>
  <c r="AH120" i="1"/>
  <c r="AM120" i="1"/>
  <c r="AN120" i="1"/>
  <c r="AO120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121" i="1"/>
  <c r="AM121" i="1"/>
  <c r="AN121" i="1"/>
  <c r="AO121" i="1"/>
  <c r="K188" i="1"/>
  <c r="L188" i="1"/>
  <c r="M188" i="1"/>
  <c r="N188" i="1"/>
  <c r="V188" i="1"/>
  <c r="Y188" i="1"/>
  <c r="Z188" i="1"/>
  <c r="AA188" i="1" s="1"/>
  <c r="AB188" i="1"/>
  <c r="AC188" i="1"/>
  <c r="AD188" i="1"/>
  <c r="X188" i="1" s="1"/>
  <c r="AE188" i="1"/>
  <c r="AF188" i="1"/>
  <c r="AH122" i="1"/>
  <c r="AM122" i="1"/>
  <c r="AN122" i="1"/>
  <c r="AO122" i="1"/>
  <c r="K189" i="1"/>
  <c r="L189" i="1"/>
  <c r="M189" i="1"/>
  <c r="N189" i="1" s="1"/>
  <c r="T189" i="1"/>
  <c r="V189" i="1"/>
  <c r="Y189" i="1"/>
  <c r="Z189" i="1"/>
  <c r="AB189" i="1"/>
  <c r="AC189" i="1"/>
  <c r="AD189" i="1"/>
  <c r="AE189" i="1"/>
  <c r="AF189" i="1"/>
  <c r="AH123" i="1"/>
  <c r="AM123" i="1"/>
  <c r="AN123" i="1"/>
  <c r="AO123" i="1"/>
  <c r="K190" i="1"/>
  <c r="L190" i="1"/>
  <c r="M190" i="1"/>
  <c r="N190" i="1"/>
  <c r="V190" i="1"/>
  <c r="Y190" i="1"/>
  <c r="Z190" i="1"/>
  <c r="AA190" i="1" s="1"/>
  <c r="AB190" i="1"/>
  <c r="AC190" i="1"/>
  <c r="AD190" i="1"/>
  <c r="T190" i="1" s="1"/>
  <c r="AE190" i="1"/>
  <c r="AF190" i="1"/>
  <c r="AH124" i="1"/>
  <c r="AM124" i="1"/>
  <c r="AN124" i="1"/>
  <c r="AO124" i="1"/>
  <c r="K191" i="1"/>
  <c r="L191" i="1"/>
  <c r="M191" i="1"/>
  <c r="N191" i="1"/>
  <c r="V191" i="1"/>
  <c r="Y191" i="1"/>
  <c r="Z191" i="1"/>
  <c r="AA191" i="1" s="1"/>
  <c r="AB191" i="1"/>
  <c r="AC191" i="1"/>
  <c r="AD191" i="1"/>
  <c r="X191" i="1" s="1"/>
  <c r="AE191" i="1"/>
  <c r="AF191" i="1"/>
  <c r="AH125" i="1"/>
  <c r="AM125" i="1"/>
  <c r="AN125" i="1"/>
  <c r="AO125" i="1"/>
  <c r="K96" i="1"/>
  <c r="L96" i="1"/>
  <c r="M96" i="1"/>
  <c r="N96" i="1" s="1"/>
  <c r="V96" i="1"/>
  <c r="X96" i="1"/>
  <c r="Y96" i="1"/>
  <c r="AA96" i="1" s="1"/>
  <c r="Z96" i="1"/>
  <c r="AB96" i="1"/>
  <c r="AC96" i="1"/>
  <c r="AD96" i="1"/>
  <c r="T96" i="1" s="1"/>
  <c r="AE96" i="1"/>
  <c r="AF96" i="1"/>
  <c r="AH126" i="1"/>
  <c r="AM126" i="1"/>
  <c r="AN126" i="1"/>
  <c r="AO126" i="1"/>
  <c r="K192" i="1"/>
  <c r="L192" i="1"/>
  <c r="M192" i="1"/>
  <c r="N192" i="1"/>
  <c r="V192" i="1"/>
  <c r="Y192" i="1"/>
  <c r="Z192" i="1"/>
  <c r="AA192" i="1" s="1"/>
  <c r="AB192" i="1"/>
  <c r="AC192" i="1"/>
  <c r="AD192" i="1"/>
  <c r="AE192" i="1"/>
  <c r="AF192" i="1"/>
  <c r="AH127" i="1"/>
  <c r="AM127" i="1"/>
  <c r="AN127" i="1"/>
  <c r="AO127" i="1"/>
  <c r="K193" i="1"/>
  <c r="L193" i="1"/>
  <c r="M193" i="1"/>
  <c r="N193" i="1" s="1"/>
  <c r="V193" i="1"/>
  <c r="Y193" i="1"/>
  <c r="AA193" i="1" s="1"/>
  <c r="Z193" i="1"/>
  <c r="AB193" i="1"/>
  <c r="AC193" i="1"/>
  <c r="AD193" i="1"/>
  <c r="T193" i="1" s="1"/>
  <c r="AE193" i="1"/>
  <c r="AF193" i="1"/>
  <c r="AH128" i="1"/>
  <c r="AM128" i="1"/>
  <c r="AN128" i="1"/>
  <c r="AO128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129" i="1"/>
  <c r="AM129" i="1"/>
  <c r="AN129" i="1"/>
  <c r="AO129" i="1"/>
  <c r="K195" i="1"/>
  <c r="L195" i="1"/>
  <c r="M195" i="1"/>
  <c r="N195" i="1"/>
  <c r="V195" i="1"/>
  <c r="Y195" i="1"/>
  <c r="Z195" i="1"/>
  <c r="AB195" i="1"/>
  <c r="AC195" i="1"/>
  <c r="AD195" i="1"/>
  <c r="X195" i="1" s="1"/>
  <c r="AE195" i="1"/>
  <c r="AF195" i="1"/>
  <c r="AH130" i="1"/>
  <c r="AM130" i="1"/>
  <c r="AN130" i="1"/>
  <c r="AO130" i="1"/>
  <c r="K196" i="1"/>
  <c r="L196" i="1"/>
  <c r="M196" i="1"/>
  <c r="N196" i="1" s="1"/>
  <c r="T196" i="1"/>
  <c r="V196" i="1"/>
  <c r="Y196" i="1"/>
  <c r="AA196" i="1" s="1"/>
  <c r="Z196" i="1"/>
  <c r="AB196" i="1"/>
  <c r="AC196" i="1"/>
  <c r="AD196" i="1"/>
  <c r="AE196" i="1"/>
  <c r="AF196" i="1"/>
  <c r="AH131" i="1"/>
  <c r="AM131" i="1"/>
  <c r="AN131" i="1"/>
  <c r="AO131" i="1"/>
  <c r="K197" i="1"/>
  <c r="L197" i="1"/>
  <c r="M197" i="1"/>
  <c r="N197" i="1"/>
  <c r="V197" i="1"/>
  <c r="Y197" i="1"/>
  <c r="Z197" i="1"/>
  <c r="AB197" i="1"/>
  <c r="AC197" i="1"/>
  <c r="AD197" i="1"/>
  <c r="X197" i="1" s="1"/>
  <c r="AE197" i="1"/>
  <c r="AF197" i="1"/>
  <c r="AH132" i="1"/>
  <c r="AM132" i="1"/>
  <c r="AN132" i="1"/>
  <c r="AO132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133" i="1"/>
  <c r="AM133" i="1"/>
  <c r="AN133" i="1"/>
  <c r="AO133" i="1"/>
  <c r="K98" i="1"/>
  <c r="L98" i="1"/>
  <c r="M98" i="1"/>
  <c r="N98" i="1"/>
  <c r="V98" i="1"/>
  <c r="X98" i="1"/>
  <c r="Y98" i="1"/>
  <c r="Z98" i="1"/>
  <c r="AA98" i="1" s="1"/>
  <c r="AB98" i="1"/>
  <c r="AC98" i="1"/>
  <c r="AD98" i="1"/>
  <c r="T98" i="1" s="1"/>
  <c r="AE98" i="1"/>
  <c r="AF98" i="1"/>
  <c r="AH134" i="1"/>
  <c r="AM134" i="1"/>
  <c r="AN134" i="1"/>
  <c r="AO134" i="1"/>
  <c r="K99" i="1"/>
  <c r="L99" i="1"/>
  <c r="M99" i="1"/>
  <c r="N99" i="1"/>
  <c r="V99" i="1"/>
  <c r="Y99" i="1"/>
  <c r="Z99" i="1"/>
  <c r="AA99" i="1" s="1"/>
  <c r="AB99" i="1"/>
  <c r="AC99" i="1"/>
  <c r="AD99" i="1"/>
  <c r="X99" i="1" s="1"/>
  <c r="AE99" i="1"/>
  <c r="AF99" i="1"/>
  <c r="AH135" i="1"/>
  <c r="AM135" i="1"/>
  <c r="AN135" i="1"/>
  <c r="AO135" i="1"/>
  <c r="K100" i="1"/>
  <c r="L100" i="1"/>
  <c r="M100" i="1"/>
  <c r="N100" i="1"/>
  <c r="V100" i="1"/>
  <c r="Y100" i="1"/>
  <c r="Z100" i="1"/>
  <c r="AA100" i="1" s="1"/>
  <c r="AB100" i="1"/>
  <c r="AC100" i="1"/>
  <c r="AD100" i="1"/>
  <c r="T100" i="1" s="1"/>
  <c r="AE100" i="1"/>
  <c r="R23" i="3" s="1"/>
  <c r="AF100" i="1"/>
  <c r="AH136" i="1"/>
  <c r="AM136" i="1"/>
  <c r="AN136" i="1"/>
  <c r="AO136" i="1"/>
  <c r="K101" i="1"/>
  <c r="L101" i="1"/>
  <c r="M101" i="1"/>
  <c r="N101" i="1"/>
  <c r="V101" i="1"/>
  <c r="Y101" i="1"/>
  <c r="Z101" i="1"/>
  <c r="AA101" i="1" s="1"/>
  <c r="AB101" i="1"/>
  <c r="AC101" i="1"/>
  <c r="AD101" i="1"/>
  <c r="X101" i="1" s="1"/>
  <c r="AE101" i="1"/>
  <c r="AF101" i="1"/>
  <c r="AH137" i="1"/>
  <c r="AM137" i="1"/>
  <c r="AN137" i="1"/>
  <c r="AO137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8" i="1"/>
  <c r="AM138" i="1"/>
  <c r="AN138" i="1"/>
  <c r="AO138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39" i="1"/>
  <c r="AM139" i="1"/>
  <c r="AN139" i="1"/>
  <c r="AO139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40" i="1"/>
  <c r="AM140" i="1"/>
  <c r="AN140" i="1"/>
  <c r="AO140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41" i="1"/>
  <c r="AM141" i="1"/>
  <c r="AN141" i="1"/>
  <c r="AO141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42" i="1"/>
  <c r="AM142" i="1"/>
  <c r="AN142" i="1"/>
  <c r="AO142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3" i="1"/>
  <c r="AM143" i="1"/>
  <c r="AN143" i="1"/>
  <c r="AO143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44" i="1"/>
  <c r="AM144" i="1"/>
  <c r="AN144" i="1"/>
  <c r="AO144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5" i="1"/>
  <c r="AM145" i="1"/>
  <c r="AN145" i="1"/>
  <c r="AO145" i="1"/>
  <c r="K109" i="1"/>
  <c r="L109" i="1"/>
  <c r="M109" i="1"/>
  <c r="N109" i="1" s="1"/>
  <c r="V109" i="1"/>
  <c r="Y109" i="1"/>
  <c r="Z109" i="1"/>
  <c r="AA109" i="1" s="1"/>
  <c r="AB109" i="1"/>
  <c r="AC109" i="1"/>
  <c r="AD109" i="1"/>
  <c r="X109" i="1" s="1"/>
  <c r="AE109" i="1"/>
  <c r="AF109" i="1"/>
  <c r="AH146" i="1"/>
  <c r="AM146" i="1"/>
  <c r="AN146" i="1"/>
  <c r="AO146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7" i="1"/>
  <c r="AM147" i="1"/>
  <c r="AN147" i="1"/>
  <c r="AO147" i="1"/>
  <c r="K111" i="1"/>
  <c r="L111" i="1"/>
  <c r="M111" i="1"/>
  <c r="N111" i="1" s="1"/>
  <c r="V111" i="1"/>
  <c r="Y111" i="1"/>
  <c r="Z111" i="1"/>
  <c r="AA111" i="1" s="1"/>
  <c r="AB111" i="1"/>
  <c r="AC111" i="1"/>
  <c r="AD111" i="1"/>
  <c r="X111" i="1" s="1"/>
  <c r="AE111" i="1"/>
  <c r="AF111" i="1"/>
  <c r="AH148" i="1"/>
  <c r="AM148" i="1"/>
  <c r="AN148" i="1"/>
  <c r="AO148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9" i="1"/>
  <c r="AM149" i="1"/>
  <c r="AN149" i="1"/>
  <c r="AO149" i="1"/>
  <c r="K113" i="1"/>
  <c r="L113" i="1"/>
  <c r="M113" i="1"/>
  <c r="N113" i="1" s="1"/>
  <c r="V113" i="1"/>
  <c r="Y113" i="1"/>
  <c r="Z113" i="1"/>
  <c r="AA113" i="1" s="1"/>
  <c r="AB113" i="1"/>
  <c r="AC113" i="1"/>
  <c r="AD113" i="1"/>
  <c r="X113" i="1" s="1"/>
  <c r="AE113" i="1"/>
  <c r="AF113" i="1"/>
  <c r="AH150" i="1"/>
  <c r="AM150" i="1"/>
  <c r="AN150" i="1"/>
  <c r="AO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1" i="1"/>
  <c r="AM151" i="1"/>
  <c r="AN151" i="1"/>
  <c r="AO151" i="1"/>
  <c r="K115" i="1"/>
  <c r="L115" i="1"/>
  <c r="M115" i="1"/>
  <c r="N115" i="1" s="1"/>
  <c r="V115" i="1"/>
  <c r="Y115" i="1"/>
  <c r="Z115" i="1"/>
  <c r="AA115" i="1" s="1"/>
  <c r="AB115" i="1"/>
  <c r="AC115" i="1"/>
  <c r="AD115" i="1"/>
  <c r="X115" i="1" s="1"/>
  <c r="AE115" i="1"/>
  <c r="AF115" i="1"/>
  <c r="AH152" i="1"/>
  <c r="AM152" i="1"/>
  <c r="AN152" i="1"/>
  <c r="AO152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3" i="1"/>
  <c r="AM153" i="1"/>
  <c r="AN153" i="1"/>
  <c r="AO153" i="1"/>
  <c r="K117" i="1"/>
  <c r="L117" i="1"/>
  <c r="M117" i="1"/>
  <c r="N117" i="1" s="1"/>
  <c r="V117" i="1"/>
  <c r="Y117" i="1"/>
  <c r="Z117" i="1"/>
  <c r="AA117" i="1" s="1"/>
  <c r="AB117" i="1"/>
  <c r="AC117" i="1"/>
  <c r="AD117" i="1"/>
  <c r="X117" i="1" s="1"/>
  <c r="AE117" i="1"/>
  <c r="AF117" i="1"/>
  <c r="AH154" i="1"/>
  <c r="AM154" i="1"/>
  <c r="AN154" i="1"/>
  <c r="AO154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5" i="1"/>
  <c r="AM155" i="1"/>
  <c r="AN155" i="1"/>
  <c r="AO155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56" i="1"/>
  <c r="AM156" i="1"/>
  <c r="AN156" i="1"/>
  <c r="AO156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7" i="1"/>
  <c r="AM157" i="1"/>
  <c r="AN157" i="1"/>
  <c r="AO157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58" i="1"/>
  <c r="AM158" i="1"/>
  <c r="AN158" i="1"/>
  <c r="AO158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9" i="1"/>
  <c r="AM159" i="1"/>
  <c r="AN159" i="1"/>
  <c r="AO159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60" i="1"/>
  <c r="AM160" i="1"/>
  <c r="AN160" i="1"/>
  <c r="AO160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1" i="1"/>
  <c r="AM161" i="1"/>
  <c r="AN161" i="1"/>
  <c r="AO161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62" i="1"/>
  <c r="AM162" i="1"/>
  <c r="AN162" i="1"/>
  <c r="AO162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3" i="1"/>
  <c r="AM163" i="1"/>
  <c r="AN163" i="1"/>
  <c r="AO163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65" i="1"/>
  <c r="AM165" i="1"/>
  <c r="AN165" i="1"/>
  <c r="AO165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7" i="1"/>
  <c r="AM167" i="1"/>
  <c r="AN167" i="1"/>
  <c r="AO167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8" i="1"/>
  <c r="AM168" i="1"/>
  <c r="AN168" i="1"/>
  <c r="AO168" i="1"/>
  <c r="K130" i="1"/>
  <c r="L130" i="1"/>
  <c r="M130" i="1"/>
  <c r="N130" i="1" s="1"/>
  <c r="V130" i="1"/>
  <c r="S25" i="3" s="1"/>
  <c r="Y130" i="1"/>
  <c r="Z130" i="1"/>
  <c r="AB130" i="1"/>
  <c r="AC130" i="1"/>
  <c r="AD130" i="1"/>
  <c r="T130" i="1" s="1"/>
  <c r="AE130" i="1"/>
  <c r="AF130" i="1"/>
  <c r="AH169" i="1"/>
  <c r="AM169" i="1"/>
  <c r="AN169" i="1"/>
  <c r="AO169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70" i="1"/>
  <c r="AM170" i="1"/>
  <c r="AN170" i="1"/>
  <c r="AO170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71" i="1"/>
  <c r="AM171" i="1"/>
  <c r="AN171" i="1"/>
  <c r="AO171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72" i="1"/>
  <c r="AM172" i="1"/>
  <c r="AN172" i="1"/>
  <c r="AO172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3" i="1"/>
  <c r="AM173" i="1"/>
  <c r="AN173" i="1"/>
  <c r="AO173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74" i="1"/>
  <c r="AM174" i="1"/>
  <c r="AN174" i="1"/>
  <c r="AO174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75" i="1"/>
  <c r="AM175" i="1"/>
  <c r="AN175" i="1"/>
  <c r="AO175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76" i="1"/>
  <c r="AM176" i="1"/>
  <c r="AN176" i="1"/>
  <c r="AO176" i="1"/>
  <c r="K138" i="1"/>
  <c r="L138" i="1"/>
  <c r="M138" i="1"/>
  <c r="N138" i="1" s="1"/>
  <c r="V138" i="1"/>
  <c r="S8" i="3" s="1"/>
  <c r="Y138" i="1"/>
  <c r="Z138" i="1"/>
  <c r="AB138" i="1"/>
  <c r="AC138" i="1"/>
  <c r="AD138" i="1"/>
  <c r="AE138" i="1"/>
  <c r="R8" i="3" s="1"/>
  <c r="AF138" i="1"/>
  <c r="AH177" i="1"/>
  <c r="AM177" i="1"/>
  <c r="AN177" i="1"/>
  <c r="AO177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78" i="1"/>
  <c r="AM178" i="1"/>
  <c r="AN178" i="1"/>
  <c r="AO178" i="1"/>
  <c r="K140" i="1"/>
  <c r="L140" i="1"/>
  <c r="M140" i="1"/>
  <c r="N140" i="1" s="1"/>
  <c r="V140" i="1"/>
  <c r="S14" i="3" s="1"/>
  <c r="Y140" i="1"/>
  <c r="Z140" i="1"/>
  <c r="AA140" i="1" s="1"/>
  <c r="AB140" i="1"/>
  <c r="AC140" i="1"/>
  <c r="AD140" i="1"/>
  <c r="AE140" i="1"/>
  <c r="R14" i="3" s="1"/>
  <c r="AF140" i="1"/>
  <c r="AH179" i="1"/>
  <c r="AM179" i="1"/>
  <c r="AN179" i="1"/>
  <c r="AO179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80" i="1"/>
  <c r="AM180" i="1"/>
  <c r="AN180" i="1"/>
  <c r="AO180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81" i="1"/>
  <c r="AM181" i="1"/>
  <c r="AN181" i="1"/>
  <c r="AO181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82" i="1"/>
  <c r="AM182" i="1"/>
  <c r="AN182" i="1"/>
  <c r="AO182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83" i="1"/>
  <c r="AM183" i="1"/>
  <c r="AN183" i="1"/>
  <c r="AO183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84" i="1"/>
  <c r="AM184" i="1"/>
  <c r="AN184" i="1"/>
  <c r="AO184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5" i="1"/>
  <c r="AM185" i="1"/>
  <c r="AN185" i="1"/>
  <c r="AO185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86" i="1"/>
  <c r="AM186" i="1"/>
  <c r="AN186" i="1"/>
  <c r="AO186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AH187" i="1"/>
  <c r="AM187" i="1"/>
  <c r="AN187" i="1"/>
  <c r="AO187" i="1"/>
  <c r="K149" i="1"/>
  <c r="L149" i="1"/>
  <c r="M149" i="1"/>
  <c r="N149" i="1" s="1"/>
  <c r="T149" i="1"/>
  <c r="V149" i="1"/>
  <c r="Y149" i="1"/>
  <c r="Z149" i="1"/>
  <c r="AB149" i="1"/>
  <c r="AC149" i="1"/>
  <c r="AD149" i="1"/>
  <c r="X149" i="1" s="1"/>
  <c r="AE149" i="1"/>
  <c r="R16" i="3" s="1"/>
  <c r="AF149" i="1"/>
  <c r="AH188" i="1"/>
  <c r="AM188" i="1"/>
  <c r="AN188" i="1"/>
  <c r="AO188" i="1"/>
  <c r="K150" i="1"/>
  <c r="L150" i="1"/>
  <c r="M150" i="1"/>
  <c r="N150" i="1"/>
  <c r="V150" i="1"/>
  <c r="Y150" i="1"/>
  <c r="Z150" i="1"/>
  <c r="AA150" i="1" s="1"/>
  <c r="AB150" i="1"/>
  <c r="AC150" i="1"/>
  <c r="AD150" i="1"/>
  <c r="T150" i="1" s="1"/>
  <c r="AE150" i="1"/>
  <c r="AF150" i="1"/>
  <c r="AH189" i="1"/>
  <c r="AM189" i="1"/>
  <c r="AN189" i="1"/>
  <c r="AO189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90" i="1"/>
  <c r="AM190" i="1"/>
  <c r="AN190" i="1"/>
  <c r="AO190" i="1"/>
  <c r="K152" i="1"/>
  <c r="L152" i="1"/>
  <c r="M152" i="1"/>
  <c r="N152" i="1"/>
  <c r="V152" i="1"/>
  <c r="Y152" i="1"/>
  <c r="Z152" i="1"/>
  <c r="AA152" i="1" s="1"/>
  <c r="AB152" i="1"/>
  <c r="AC152" i="1"/>
  <c r="AD152" i="1"/>
  <c r="T152" i="1" s="1"/>
  <c r="AE152" i="1"/>
  <c r="AF152" i="1"/>
  <c r="AH191" i="1"/>
  <c r="AM191" i="1"/>
  <c r="AN191" i="1"/>
  <c r="AO191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92" i="1"/>
  <c r="AM192" i="1"/>
  <c r="AN192" i="1"/>
  <c r="AO192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3" i="1"/>
  <c r="AM193" i="1"/>
  <c r="AN193" i="1"/>
  <c r="AO193" i="1"/>
  <c r="K155" i="1"/>
  <c r="L155" i="1"/>
  <c r="M155" i="1"/>
  <c r="N155" i="1" s="1"/>
  <c r="V155" i="1"/>
  <c r="Y155" i="1"/>
  <c r="Z155" i="1"/>
  <c r="AB155" i="1"/>
  <c r="AC155" i="1"/>
  <c r="AD155" i="1"/>
  <c r="AE155" i="1"/>
  <c r="R9" i="3" s="1"/>
  <c r="AF155" i="1"/>
  <c r="AH194" i="1"/>
  <c r="AM194" i="1"/>
  <c r="AN194" i="1"/>
  <c r="AO194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5" i="1"/>
  <c r="AM195" i="1"/>
  <c r="AN195" i="1"/>
  <c r="AO195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96" i="1"/>
  <c r="AM196" i="1"/>
  <c r="AN196" i="1"/>
  <c r="AO196" i="1"/>
  <c r="K158" i="1"/>
  <c r="L158" i="1"/>
  <c r="M158" i="1"/>
  <c r="N158" i="1"/>
  <c r="V158" i="1"/>
  <c r="X158" i="1"/>
  <c r="Y158" i="1"/>
  <c r="Z158" i="1"/>
  <c r="AA158" i="1" s="1"/>
  <c r="AB158" i="1"/>
  <c r="AC158" i="1"/>
  <c r="AD158" i="1"/>
  <c r="T158" i="1" s="1"/>
  <c r="AE158" i="1"/>
  <c r="AF158" i="1"/>
  <c r="AH197" i="1"/>
  <c r="AM197" i="1"/>
  <c r="AN197" i="1"/>
  <c r="AO197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8" i="1"/>
  <c r="AM198" i="1"/>
  <c r="AN198" i="1"/>
  <c r="AO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AM199" i="1"/>
  <c r="AN199" i="1"/>
  <c r="AO199" i="1"/>
  <c r="K199" i="1"/>
  <c r="L199" i="1"/>
  <c r="M199" i="1"/>
  <c r="N199" i="1"/>
  <c r="V199" i="1"/>
  <c r="Y199" i="1"/>
  <c r="Z199" i="1"/>
  <c r="AB199" i="1"/>
  <c r="AC199" i="1"/>
  <c r="AD199" i="1"/>
  <c r="X199" i="1" s="1"/>
  <c r="AE199" i="1"/>
  <c r="AF199" i="1"/>
  <c r="AH200" i="1"/>
  <c r="AM200" i="1"/>
  <c r="AN200" i="1"/>
  <c r="AO200" i="1"/>
  <c r="K200" i="1"/>
  <c r="L200" i="1"/>
  <c r="M200" i="1"/>
  <c r="N200" i="1"/>
  <c r="V200" i="1"/>
  <c r="Y200" i="1"/>
  <c r="AA200" i="1" s="1"/>
  <c r="Z200" i="1"/>
  <c r="AB200" i="1"/>
  <c r="AC200" i="1"/>
  <c r="AD200" i="1"/>
  <c r="T200" i="1" s="1"/>
  <c r="AE200" i="1"/>
  <c r="AF200" i="1"/>
  <c r="AH201" i="1"/>
  <c r="AM201" i="1"/>
  <c r="AN201" i="1"/>
  <c r="AO201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02" i="1"/>
  <c r="AM202" i="1"/>
  <c r="AN202" i="1"/>
  <c r="AO202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03" i="1"/>
  <c r="AM203" i="1"/>
  <c r="AN203" i="1"/>
  <c r="AO203" i="1"/>
  <c r="K203" i="1"/>
  <c r="L203" i="1"/>
  <c r="M203" i="1"/>
  <c r="N203" i="1"/>
  <c r="V203" i="1"/>
  <c r="Y203" i="1"/>
  <c r="Z203" i="1"/>
  <c r="AB203" i="1"/>
  <c r="AC203" i="1"/>
  <c r="AD203" i="1"/>
  <c r="X203" i="1" s="1"/>
  <c r="AE203" i="1"/>
  <c r="AF203" i="1"/>
  <c r="AH204" i="1"/>
  <c r="AM204" i="1"/>
  <c r="AN204" i="1"/>
  <c r="AO204" i="1"/>
  <c r="K204" i="1"/>
  <c r="L204" i="1"/>
  <c r="M204" i="1"/>
  <c r="N204" i="1"/>
  <c r="V204" i="1"/>
  <c r="Y204" i="1"/>
  <c r="Z204" i="1"/>
  <c r="AA204" i="1"/>
  <c r="AB204" i="1"/>
  <c r="AC204" i="1"/>
  <c r="AD204" i="1"/>
  <c r="T204" i="1" s="1"/>
  <c r="AE204" i="1"/>
  <c r="AF204" i="1"/>
  <c r="AH205" i="1"/>
  <c r="AM205" i="1"/>
  <c r="AN205" i="1"/>
  <c r="AO205" i="1"/>
  <c r="K205" i="1"/>
  <c r="L205" i="1"/>
  <c r="M205" i="1"/>
  <c r="N205" i="1" s="1"/>
  <c r="V205" i="1"/>
  <c r="Y205" i="1"/>
  <c r="Z205" i="1"/>
  <c r="AA205" i="1" s="1"/>
  <c r="AB205" i="1"/>
  <c r="AC205" i="1"/>
  <c r="AD205" i="1"/>
  <c r="AE205" i="1"/>
  <c r="AF205" i="1"/>
  <c r="AH206" i="1"/>
  <c r="AM206" i="1"/>
  <c r="AN206" i="1"/>
  <c r="AO206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07" i="1"/>
  <c r="AM207" i="1"/>
  <c r="AN207" i="1"/>
  <c r="AO207" i="1"/>
  <c r="K207" i="1"/>
  <c r="L207" i="1"/>
  <c r="M207" i="1"/>
  <c r="N207" i="1"/>
  <c r="V207" i="1"/>
  <c r="S33" i="3" s="1"/>
  <c r="Y207" i="1"/>
  <c r="Z207" i="1"/>
  <c r="AB207" i="1"/>
  <c r="AC207" i="1"/>
  <c r="AD207" i="1"/>
  <c r="X207" i="1" s="1"/>
  <c r="AE207" i="1"/>
  <c r="R33" i="3" s="1"/>
  <c r="AF207" i="1"/>
  <c r="AH208" i="1"/>
  <c r="AM208" i="1"/>
  <c r="AN208" i="1"/>
  <c r="AO208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209" i="1"/>
  <c r="AM209" i="1"/>
  <c r="AN209" i="1"/>
  <c r="AO209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211" i="1"/>
  <c r="AM211" i="1"/>
  <c r="AN211" i="1"/>
  <c r="AO211" i="1"/>
  <c r="K212" i="1"/>
  <c r="L212" i="1"/>
  <c r="M212" i="1"/>
  <c r="N212" i="1"/>
  <c r="V212" i="1"/>
  <c r="Y212" i="1"/>
  <c r="AA212" i="1" s="1"/>
  <c r="Z212" i="1"/>
  <c r="AB212" i="1"/>
  <c r="AC212" i="1"/>
  <c r="AD212" i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A215" i="1" s="1"/>
  <c r="AB215" i="1"/>
  <c r="AC215" i="1"/>
  <c r="AD215" i="1"/>
  <c r="AE215" i="1"/>
  <c r="AF215" i="1"/>
  <c r="AH215" i="1"/>
  <c r="AM215" i="1"/>
  <c r="AN215" i="1"/>
  <c r="AO215" i="1"/>
  <c r="K216" i="1"/>
  <c r="L216" i="1"/>
  <c r="M216" i="1"/>
  <c r="N216" i="1"/>
  <c r="V216" i="1"/>
  <c r="Y216" i="1"/>
  <c r="Z216" i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217" i="1"/>
  <c r="AM217" i="1"/>
  <c r="AN217" i="1"/>
  <c r="AO217" i="1"/>
  <c r="K218" i="1"/>
  <c r="L218" i="1"/>
  <c r="M218" i="1"/>
  <c r="N218" i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219" i="1"/>
  <c r="AM219" i="1"/>
  <c r="AN219" i="1"/>
  <c r="AO219" i="1"/>
  <c r="M33" i="3"/>
  <c r="U33" i="3"/>
  <c r="T33" i="3" s="1"/>
  <c r="V33" i="3"/>
  <c r="X33" i="3"/>
  <c r="M28" i="3"/>
  <c r="R28" i="3"/>
  <c r="S28" i="3"/>
  <c r="U28" i="3"/>
  <c r="AC28" i="3" s="1"/>
  <c r="V28" i="3"/>
  <c r="X28" i="3"/>
  <c r="M29" i="3"/>
  <c r="R29" i="3"/>
  <c r="S29" i="3"/>
  <c r="U29" i="3"/>
  <c r="AC29" i="3" s="1"/>
  <c r="V29" i="3"/>
  <c r="X29" i="3"/>
  <c r="M12" i="3"/>
  <c r="R12" i="3"/>
  <c r="S12" i="3"/>
  <c r="U12" i="3"/>
  <c r="AC12" i="3" s="1"/>
  <c r="V12" i="3"/>
  <c r="X12" i="3"/>
  <c r="M30" i="3"/>
  <c r="R30" i="3"/>
  <c r="U30" i="3"/>
  <c r="T30" i="3" s="1"/>
  <c r="V30" i="3"/>
  <c r="X30" i="3"/>
  <c r="M26" i="3"/>
  <c r="R26" i="3"/>
  <c r="S26" i="3"/>
  <c r="U26" i="3"/>
  <c r="AC26" i="3" s="1"/>
  <c r="V26" i="3"/>
  <c r="X26" i="3"/>
  <c r="M7" i="3"/>
  <c r="S7" i="3"/>
  <c r="U7" i="3"/>
  <c r="AC7" i="3" s="1"/>
  <c r="V7" i="3"/>
  <c r="X7" i="3"/>
  <c r="M31" i="3"/>
  <c r="R31" i="3"/>
  <c r="S31" i="3"/>
  <c r="U31" i="3"/>
  <c r="AC31" i="3" s="1"/>
  <c r="V31" i="3"/>
  <c r="AE31" i="3" s="1"/>
  <c r="X31" i="3"/>
  <c r="M18" i="3"/>
  <c r="R18" i="3"/>
  <c r="S18" i="3"/>
  <c r="U18" i="3"/>
  <c r="T18" i="3" s="1"/>
  <c r="V18" i="3"/>
  <c r="X18" i="3"/>
  <c r="M19" i="3"/>
  <c r="R19" i="3"/>
  <c r="S19" i="3"/>
  <c r="U19" i="3"/>
  <c r="AE19" i="3" s="1"/>
  <c r="V19" i="3"/>
  <c r="X19" i="3"/>
  <c r="M13" i="3"/>
  <c r="R13" i="3"/>
  <c r="S13" i="3"/>
  <c r="U13" i="3"/>
  <c r="AC13" i="3" s="1"/>
  <c r="V13" i="3"/>
  <c r="X13" i="3"/>
  <c r="M15" i="3"/>
  <c r="S15" i="3"/>
  <c r="T15" i="3"/>
  <c r="U15" i="3"/>
  <c r="AC15" i="3" s="1"/>
  <c r="V15" i="3"/>
  <c r="X15" i="3"/>
  <c r="AD19" i="3"/>
  <c r="M17" i="3"/>
  <c r="R17" i="3"/>
  <c r="S17" i="3"/>
  <c r="U17" i="3"/>
  <c r="T17" i="3" s="1"/>
  <c r="V17" i="3"/>
  <c r="X17" i="3"/>
  <c r="AC17" i="3"/>
  <c r="M10" i="3"/>
  <c r="R10" i="3"/>
  <c r="S10" i="3"/>
  <c r="U10" i="3"/>
  <c r="V10" i="3"/>
  <c r="X10" i="3"/>
  <c r="AC10" i="3"/>
  <c r="M20" i="3"/>
  <c r="R20" i="3"/>
  <c r="S20" i="3"/>
  <c r="U20" i="3"/>
  <c r="AC20" i="3" s="1"/>
  <c r="V20" i="3"/>
  <c r="X20" i="3"/>
  <c r="M21" i="3"/>
  <c r="R21" i="3"/>
  <c r="S21" i="3"/>
  <c r="U21" i="3"/>
  <c r="AC21" i="3" s="1"/>
  <c r="V21" i="3"/>
  <c r="X21" i="3"/>
  <c r="M11" i="3"/>
  <c r="R11" i="3"/>
  <c r="S11" i="3"/>
  <c r="U11" i="3"/>
  <c r="T11" i="3" s="1"/>
  <c r="V11" i="3"/>
  <c r="X11" i="3"/>
  <c r="M22" i="3"/>
  <c r="R22" i="3"/>
  <c r="S22" i="3"/>
  <c r="U22" i="3"/>
  <c r="AC22" i="3" s="1"/>
  <c r="V22" i="3"/>
  <c r="X22" i="3"/>
  <c r="M27" i="3"/>
  <c r="S27" i="3"/>
  <c r="U27" i="3"/>
  <c r="AC27" i="3" s="1"/>
  <c r="V27" i="3"/>
  <c r="X27" i="3"/>
  <c r="M23" i="3"/>
  <c r="S23" i="3"/>
  <c r="U23" i="3"/>
  <c r="AC23" i="3" s="1"/>
  <c r="V23" i="3"/>
  <c r="X23" i="3"/>
  <c r="AD27" i="3"/>
  <c r="AE27" i="3"/>
  <c r="M24" i="3"/>
  <c r="S24" i="3"/>
  <c r="U24" i="3"/>
  <c r="T24" i="3" s="1"/>
  <c r="V24" i="3"/>
  <c r="AE28" i="3" s="1"/>
  <c r="X24" i="3"/>
  <c r="AD28" i="3"/>
  <c r="M25" i="3"/>
  <c r="R25" i="3"/>
  <c r="U25" i="3"/>
  <c r="AD29" i="3" s="1"/>
  <c r="V25" i="3"/>
  <c r="X25" i="3"/>
  <c r="M8" i="3"/>
  <c r="U8" i="3"/>
  <c r="AC8" i="3" s="1"/>
  <c r="V8" i="3"/>
  <c r="X8" i="3"/>
  <c r="M14" i="3"/>
  <c r="U14" i="3"/>
  <c r="AC14" i="3" s="1"/>
  <c r="V14" i="3"/>
  <c r="X14" i="3"/>
  <c r="M16" i="3"/>
  <c r="S16" i="3"/>
  <c r="U16" i="3"/>
  <c r="AD16" i="3" s="1"/>
  <c r="V16" i="3"/>
  <c r="X16" i="3"/>
  <c r="M9" i="3"/>
  <c r="S9" i="3"/>
  <c r="U9" i="3"/>
  <c r="AD33" i="3" s="1"/>
  <c r="V9" i="3"/>
  <c r="X9" i="3"/>
  <c r="AG166" i="1"/>
  <c r="AG164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70" i="1"/>
  <c r="AG74" i="1"/>
  <c r="AG78" i="1"/>
  <c r="AG82" i="1"/>
  <c r="AG86" i="1"/>
  <c r="AG90" i="1"/>
  <c r="AG160" i="1"/>
  <c r="AG165" i="1"/>
  <c r="AG170" i="1"/>
  <c r="AG173" i="1"/>
  <c r="AG177" i="1"/>
  <c r="AG181" i="1"/>
  <c r="AG184" i="1"/>
  <c r="AG188" i="1"/>
  <c r="AG96" i="1"/>
  <c r="AG195" i="1"/>
  <c r="AG67" i="1"/>
  <c r="AG99" i="1"/>
  <c r="AG103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4" i="1"/>
  <c r="AG158" i="1"/>
  <c r="AG200" i="1"/>
  <c r="AG204" i="1"/>
  <c r="AG208" i="1"/>
  <c r="AG213" i="1"/>
  <c r="AG217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8" i="1"/>
  <c r="AG72" i="1"/>
  <c r="AG76" i="1"/>
  <c r="AG80" i="1"/>
  <c r="AG84" i="1"/>
  <c r="AG88" i="1"/>
  <c r="AG92" i="1"/>
  <c r="AG162" i="1"/>
  <c r="AG168" i="1"/>
  <c r="AG171" i="1"/>
  <c r="AG175" i="1"/>
  <c r="AG179" i="1"/>
  <c r="AG182" i="1"/>
  <c r="AG186" i="1"/>
  <c r="AG190" i="1"/>
  <c r="AG193" i="1"/>
  <c r="AG65" i="1"/>
  <c r="AG97" i="1"/>
  <c r="AG101" i="1"/>
  <c r="AG104" i="1"/>
  <c r="AG108" i="1"/>
  <c r="AG112" i="1"/>
  <c r="AG116" i="1"/>
  <c r="AG120" i="1"/>
  <c r="AG124" i="1"/>
  <c r="AG128" i="1"/>
  <c r="AG132" i="1"/>
  <c r="AG136" i="1"/>
  <c r="AG140" i="1"/>
  <c r="AG144" i="1"/>
  <c r="AG148" i="1"/>
  <c r="AG152" i="1"/>
  <c r="AG156" i="1"/>
  <c r="AG198" i="1"/>
  <c r="AG202" i="1"/>
  <c r="AG206" i="1"/>
  <c r="AG211" i="1"/>
  <c r="AG215" i="1"/>
  <c r="AG219" i="1"/>
  <c r="AG22" i="1"/>
  <c r="AG14" i="1"/>
  <c r="AG18" i="1"/>
  <c r="AG26" i="1"/>
  <c r="AG24" i="1"/>
  <c r="AG34" i="1"/>
  <c r="AG50" i="1"/>
  <c r="AG58" i="1"/>
  <c r="AG77" i="1"/>
  <c r="AG93" i="1"/>
  <c r="AG183" i="1"/>
  <c r="AG66" i="1"/>
  <c r="AG117" i="1"/>
  <c r="AG133" i="1"/>
  <c r="AG203" i="1"/>
  <c r="AG28" i="1"/>
  <c r="AG36" i="1"/>
  <c r="AG44" i="1"/>
  <c r="AG52" i="1"/>
  <c r="AG60" i="1"/>
  <c r="AG71" i="1"/>
  <c r="AG79" i="1"/>
  <c r="AG87" i="1"/>
  <c r="AG161" i="1"/>
  <c r="AG94" i="1"/>
  <c r="AG178" i="1"/>
  <c r="AG185" i="1"/>
  <c r="AG192" i="1"/>
  <c r="AG197" i="1"/>
  <c r="AG210" i="1"/>
  <c r="AG111" i="1"/>
  <c r="AG119" i="1"/>
  <c r="AG127" i="1"/>
  <c r="AG135" i="1"/>
  <c r="AG143" i="1"/>
  <c r="AG151" i="1"/>
  <c r="AG159" i="1"/>
  <c r="AG205" i="1"/>
  <c r="AG214" i="1"/>
  <c r="AG169" i="1"/>
  <c r="AG109" i="1"/>
  <c r="AG141" i="1"/>
  <c r="AG212" i="1"/>
  <c r="AG16" i="1"/>
  <c r="AG30" i="1"/>
  <c r="AG38" i="1"/>
  <c r="AG46" i="1"/>
  <c r="AG54" i="1"/>
  <c r="AG62" i="1"/>
  <c r="AG73" i="1"/>
  <c r="AG81" i="1"/>
  <c r="AG89" i="1"/>
  <c r="AG163" i="1"/>
  <c r="AG172" i="1"/>
  <c r="AG180" i="1"/>
  <c r="AG187" i="1"/>
  <c r="AG194" i="1"/>
  <c r="AG98" i="1"/>
  <c r="AG105" i="1"/>
  <c r="AG113" i="1"/>
  <c r="AG121" i="1"/>
  <c r="AG129" i="1"/>
  <c r="AG137" i="1"/>
  <c r="AG145" i="1"/>
  <c r="AG153" i="1"/>
  <c r="AG199" i="1"/>
  <c r="AG207" i="1"/>
  <c r="AG216" i="1"/>
  <c r="AG20" i="1"/>
  <c r="AG32" i="1"/>
  <c r="AG40" i="1"/>
  <c r="AG48" i="1"/>
  <c r="AG56" i="1"/>
  <c r="AG64" i="1"/>
  <c r="AG75" i="1"/>
  <c r="AG83" i="1"/>
  <c r="AG91" i="1"/>
  <c r="AG167" i="1"/>
  <c r="AG174" i="1"/>
  <c r="AG95" i="1"/>
  <c r="AG189" i="1"/>
  <c r="AG196" i="1"/>
  <c r="AG100" i="1"/>
  <c r="AG107" i="1"/>
  <c r="AG115" i="1"/>
  <c r="AG123" i="1"/>
  <c r="AG131" i="1"/>
  <c r="AG139" i="1"/>
  <c r="AG147" i="1"/>
  <c r="AG155" i="1"/>
  <c r="AG201" i="1"/>
  <c r="AG209" i="1"/>
  <c r="AG218" i="1"/>
  <c r="AG42" i="1"/>
  <c r="AG69" i="1"/>
  <c r="AG85" i="1"/>
  <c r="AG176" i="1"/>
  <c r="AG191" i="1"/>
  <c r="AG102" i="1"/>
  <c r="AG125" i="1"/>
  <c r="AG157" i="1"/>
  <c r="AG149" i="1"/>
  <c r="W28" i="3"/>
  <c r="W22" i="3"/>
  <c r="W27" i="3"/>
  <c r="W17" i="3"/>
  <c r="W18" i="3"/>
  <c r="W26" i="3"/>
  <c r="W25" i="3"/>
  <c r="W7" i="3"/>
  <c r="W8" i="3"/>
  <c r="W11" i="3"/>
  <c r="W16" i="3"/>
  <c r="W19" i="3"/>
  <c r="W9" i="3"/>
  <c r="W13" i="3"/>
  <c r="W15" i="3"/>
  <c r="W24" i="3"/>
  <c r="W33" i="3"/>
  <c r="W10" i="3"/>
  <c r="W21" i="3"/>
  <c r="W20" i="3"/>
  <c r="W14" i="3"/>
  <c r="W12" i="3"/>
  <c r="W30" i="3"/>
  <c r="W29" i="3"/>
  <c r="W31" i="3"/>
  <c r="W23" i="3"/>
  <c r="AI166" i="1" l="1"/>
  <c r="U166" i="1"/>
  <c r="S166" i="1" s="1"/>
  <c r="W166" i="1"/>
  <c r="X166" i="1"/>
  <c r="AE12" i="3"/>
  <c r="T12" i="3"/>
  <c r="AC19" i="3"/>
  <c r="AD12" i="3"/>
  <c r="AC33" i="3"/>
  <c r="R24" i="3"/>
  <c r="AD20" i="3"/>
  <c r="AC30" i="3"/>
  <c r="U164" i="1"/>
  <c r="S164" i="1" s="1"/>
  <c r="AI164" i="1"/>
  <c r="W164" i="1"/>
  <c r="X201" i="1"/>
  <c r="X198" i="1"/>
  <c r="X156" i="1"/>
  <c r="X155" i="1"/>
  <c r="X154" i="1"/>
  <c r="AA128" i="1"/>
  <c r="AA127" i="1"/>
  <c r="AA126" i="1"/>
  <c r="AA125" i="1"/>
  <c r="AA124" i="1"/>
  <c r="AA123" i="1"/>
  <c r="AA122" i="1"/>
  <c r="AA121" i="1"/>
  <c r="AA120" i="1"/>
  <c r="AA119" i="1"/>
  <c r="AA118" i="1"/>
  <c r="AA47" i="1"/>
  <c r="AA45" i="1"/>
  <c r="AA32" i="1"/>
  <c r="AA28" i="1"/>
  <c r="AA24" i="1"/>
  <c r="AA20" i="1"/>
  <c r="AA16" i="1"/>
  <c r="AA214" i="1"/>
  <c r="X213" i="1"/>
  <c r="AA216" i="1"/>
  <c r="X215" i="1"/>
  <c r="AA208" i="1"/>
  <c r="X205" i="1"/>
  <c r="T157" i="1"/>
  <c r="X152" i="1"/>
  <c r="X151" i="1"/>
  <c r="X150" i="1"/>
  <c r="X182" i="1"/>
  <c r="X95" i="1"/>
  <c r="AA73" i="1"/>
  <c r="AA72" i="1"/>
  <c r="AA69" i="1"/>
  <c r="AA64" i="1"/>
  <c r="AA51" i="1"/>
  <c r="AA49" i="1"/>
  <c r="AA35" i="1"/>
  <c r="AA33" i="1"/>
  <c r="AA29" i="1"/>
  <c r="AA25" i="1"/>
  <c r="AA21" i="1"/>
  <c r="AA17" i="1"/>
  <c r="AA219" i="1"/>
  <c r="AA218" i="1"/>
  <c r="X217" i="1"/>
  <c r="AA211" i="1"/>
  <c r="X209" i="1"/>
  <c r="X206" i="1"/>
  <c r="AA198" i="1"/>
  <c r="AA159" i="1"/>
  <c r="AA156" i="1"/>
  <c r="AA154" i="1"/>
  <c r="T153" i="1"/>
  <c r="AA146" i="1"/>
  <c r="AA142" i="1"/>
  <c r="AA138" i="1"/>
  <c r="AA134" i="1"/>
  <c r="AA130" i="1"/>
  <c r="T127" i="1"/>
  <c r="T125" i="1"/>
  <c r="T123" i="1"/>
  <c r="T121" i="1"/>
  <c r="T119" i="1"/>
  <c r="T107" i="1"/>
  <c r="AA105" i="1"/>
  <c r="X104" i="1"/>
  <c r="AA102" i="1"/>
  <c r="AA195" i="1"/>
  <c r="AA194" i="1"/>
  <c r="X192" i="1"/>
  <c r="T191" i="1"/>
  <c r="X190" i="1"/>
  <c r="AA189" i="1"/>
  <c r="X187" i="1"/>
  <c r="X183" i="1"/>
  <c r="X69" i="1"/>
  <c r="X66" i="1"/>
  <c r="X62" i="1"/>
  <c r="AA57" i="1"/>
  <c r="AA56" i="1"/>
  <c r="AA55" i="1"/>
  <c r="AA53" i="1"/>
  <c r="AA52" i="1"/>
  <c r="AA39" i="1"/>
  <c r="AA37" i="1"/>
  <c r="AA36" i="1"/>
  <c r="AA30" i="1"/>
  <c r="AA106" i="1"/>
  <c r="AA103" i="1"/>
  <c r="AA182" i="1"/>
  <c r="AA43" i="1"/>
  <c r="AA41" i="1"/>
  <c r="AA31" i="1"/>
  <c r="AA27" i="1"/>
  <c r="AA23" i="1"/>
  <c r="AA19" i="1"/>
  <c r="AA15" i="1"/>
  <c r="T219" i="1"/>
  <c r="T217" i="1"/>
  <c r="T215" i="1"/>
  <c r="T213" i="1"/>
  <c r="U213" i="1" s="1"/>
  <c r="S213" i="1" s="1"/>
  <c r="T211" i="1"/>
  <c r="T151" i="1"/>
  <c r="X114" i="1"/>
  <c r="T114" i="1"/>
  <c r="X110" i="1"/>
  <c r="T110" i="1"/>
  <c r="X202" i="1"/>
  <c r="T155" i="1"/>
  <c r="X218" i="1"/>
  <c r="X216" i="1"/>
  <c r="X214" i="1"/>
  <c r="X212" i="1"/>
  <c r="X204" i="1"/>
  <c r="AA203" i="1"/>
  <c r="AA155" i="1"/>
  <c r="AA151" i="1"/>
  <c r="AA116" i="1"/>
  <c r="T115" i="1"/>
  <c r="AA112" i="1"/>
  <c r="T111" i="1"/>
  <c r="AA108" i="1"/>
  <c r="AA107" i="1"/>
  <c r="X116" i="1"/>
  <c r="T116" i="1"/>
  <c r="X112" i="1"/>
  <c r="T112" i="1"/>
  <c r="X108" i="1"/>
  <c r="T108" i="1"/>
  <c r="X208" i="1"/>
  <c r="AA207" i="1"/>
  <c r="X200" i="1"/>
  <c r="AA199" i="1"/>
  <c r="AA157" i="1"/>
  <c r="AA153" i="1"/>
  <c r="AA149" i="1"/>
  <c r="X126" i="1"/>
  <c r="X124" i="1"/>
  <c r="X122" i="1"/>
  <c r="X120" i="1"/>
  <c r="X118" i="1"/>
  <c r="T118" i="1"/>
  <c r="T117" i="1"/>
  <c r="AA114" i="1"/>
  <c r="T113" i="1"/>
  <c r="AA110" i="1"/>
  <c r="T109" i="1"/>
  <c r="AA197" i="1"/>
  <c r="T197" i="1"/>
  <c r="X193" i="1"/>
  <c r="T192" i="1"/>
  <c r="X186" i="1"/>
  <c r="T185" i="1"/>
  <c r="X180" i="1"/>
  <c r="X179" i="1"/>
  <c r="T178" i="1"/>
  <c r="T73" i="1"/>
  <c r="T56" i="1"/>
  <c r="T195" i="1"/>
  <c r="T188" i="1"/>
  <c r="T181" i="1"/>
  <c r="X72" i="1"/>
  <c r="T70" i="1"/>
  <c r="T68" i="1"/>
  <c r="X67" i="1"/>
  <c r="X64" i="1"/>
  <c r="AA63" i="1"/>
  <c r="X61" i="1"/>
  <c r="X58" i="1"/>
  <c r="T97" i="1"/>
  <c r="X57" i="1"/>
  <c r="AA97" i="1"/>
  <c r="X196" i="1"/>
  <c r="T194" i="1"/>
  <c r="X189" i="1"/>
  <c r="T187" i="1"/>
  <c r="T18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X65" i="1"/>
  <c r="X55" i="1"/>
  <c r="U219" i="1"/>
  <c r="S219" i="1" s="1"/>
  <c r="AI219" i="1"/>
  <c r="AI218" i="1"/>
  <c r="U217" i="1"/>
  <c r="S217" i="1" s="1"/>
  <c r="AI217" i="1"/>
  <c r="AI216" i="1"/>
  <c r="U215" i="1"/>
  <c r="S215" i="1"/>
  <c r="AI215" i="1"/>
  <c r="AI214" i="1"/>
  <c r="AI213" i="1"/>
  <c r="AI212" i="1"/>
  <c r="U211" i="1"/>
  <c r="S211" i="1" s="1"/>
  <c r="AI211" i="1"/>
  <c r="AI210" i="1"/>
  <c r="U208" i="1"/>
  <c r="S208" i="1" s="1"/>
  <c r="AI209" i="1"/>
  <c r="AI208" i="1"/>
  <c r="U206" i="1"/>
  <c r="S206" i="1" s="1"/>
  <c r="AI207" i="1"/>
  <c r="AI206" i="1"/>
  <c r="U204" i="1"/>
  <c r="S204" i="1" s="1"/>
  <c r="AI205" i="1"/>
  <c r="AI204" i="1"/>
  <c r="U202" i="1"/>
  <c r="S202" i="1" s="1"/>
  <c r="AI203" i="1"/>
  <c r="AI202" i="1"/>
  <c r="U200" i="1"/>
  <c r="S200" i="1" s="1"/>
  <c r="AI201" i="1"/>
  <c r="AI200" i="1"/>
  <c r="U198" i="1"/>
  <c r="S198" i="1" s="1"/>
  <c r="AI199" i="1"/>
  <c r="U159" i="1"/>
  <c r="S159" i="1" s="1"/>
  <c r="AI198" i="1"/>
  <c r="U158" i="1"/>
  <c r="S158" i="1" s="1"/>
  <c r="AI197" i="1"/>
  <c r="U157" i="1"/>
  <c r="S157" i="1" s="1"/>
  <c r="AI196" i="1"/>
  <c r="U156" i="1"/>
  <c r="S156" i="1" s="1"/>
  <c r="AI195" i="1"/>
  <c r="U155" i="1"/>
  <c r="S155" i="1" s="1"/>
  <c r="AI194" i="1"/>
  <c r="U154" i="1"/>
  <c r="S154" i="1" s="1"/>
  <c r="AI193" i="1"/>
  <c r="U153" i="1"/>
  <c r="S153" i="1" s="1"/>
  <c r="AI192" i="1"/>
  <c r="U152" i="1"/>
  <c r="S152" i="1" s="1"/>
  <c r="AI191" i="1"/>
  <c r="U151" i="1"/>
  <c r="S151" i="1" s="1"/>
  <c r="AI190" i="1"/>
  <c r="U150" i="1"/>
  <c r="S150" i="1" s="1"/>
  <c r="AI189" i="1"/>
  <c r="U149" i="1"/>
  <c r="S149" i="1" s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U136" i="1"/>
  <c r="S136" i="1" s="1"/>
  <c r="AI175" i="1"/>
  <c r="U135" i="1"/>
  <c r="S135" i="1" s="1"/>
  <c r="AI174" i="1"/>
  <c r="U134" i="1"/>
  <c r="S134" i="1" s="1"/>
  <c r="AI173" i="1"/>
  <c r="U133" i="1"/>
  <c r="S133" i="1" s="1"/>
  <c r="AI172" i="1"/>
  <c r="U132" i="1"/>
  <c r="S132" i="1" s="1"/>
  <c r="AI171" i="1"/>
  <c r="U131" i="1"/>
  <c r="S131" i="1"/>
  <c r="AI170" i="1"/>
  <c r="U130" i="1"/>
  <c r="S130" i="1" s="1"/>
  <c r="AI169" i="1"/>
  <c r="U129" i="1"/>
  <c r="S129" i="1" s="1"/>
  <c r="AI168" i="1"/>
  <c r="U128" i="1"/>
  <c r="S128" i="1" s="1"/>
  <c r="AI167" i="1"/>
  <c r="U127" i="1"/>
  <c r="S127" i="1" s="1"/>
  <c r="AI165" i="1"/>
  <c r="U126" i="1"/>
  <c r="S126" i="1" s="1"/>
  <c r="AI163" i="1"/>
  <c r="U125" i="1"/>
  <c r="S125" i="1" s="1"/>
  <c r="AI162" i="1"/>
  <c r="U124" i="1"/>
  <c r="S124" i="1" s="1"/>
  <c r="AI161" i="1"/>
  <c r="U123" i="1"/>
  <c r="S123" i="1"/>
  <c r="AI160" i="1"/>
  <c r="U122" i="1"/>
  <c r="S122" i="1" s="1"/>
  <c r="AI159" i="1"/>
  <c r="U121" i="1"/>
  <c r="S121" i="1" s="1"/>
  <c r="AI158" i="1"/>
  <c r="U120" i="1"/>
  <c r="S120" i="1" s="1"/>
  <c r="AI157" i="1"/>
  <c r="U119" i="1"/>
  <c r="S119" i="1" s="1"/>
  <c r="AI156" i="1"/>
  <c r="U118" i="1"/>
  <c r="S118" i="1" s="1"/>
  <c r="AI155" i="1"/>
  <c r="U117" i="1"/>
  <c r="S117" i="1" s="1"/>
  <c r="AI154" i="1"/>
  <c r="U116" i="1"/>
  <c r="S116" i="1" s="1"/>
  <c r="AI153" i="1"/>
  <c r="U115" i="1"/>
  <c r="S115" i="1" s="1"/>
  <c r="AI152" i="1"/>
  <c r="U114" i="1"/>
  <c r="S114" i="1" s="1"/>
  <c r="AI151" i="1"/>
  <c r="U113" i="1"/>
  <c r="S113" i="1" s="1"/>
  <c r="AI150" i="1"/>
  <c r="U112" i="1"/>
  <c r="S112" i="1" s="1"/>
  <c r="AI149" i="1"/>
  <c r="U111" i="1"/>
  <c r="S111" i="1" s="1"/>
  <c r="AI148" i="1"/>
  <c r="U110" i="1"/>
  <c r="S110" i="1" s="1"/>
  <c r="AI147" i="1"/>
  <c r="U109" i="1"/>
  <c r="S109" i="1" s="1"/>
  <c r="AI146" i="1"/>
  <c r="U108" i="1"/>
  <c r="S108" i="1" s="1"/>
  <c r="AI145" i="1"/>
  <c r="U107" i="1"/>
  <c r="S107" i="1" s="1"/>
  <c r="AI144" i="1"/>
  <c r="U106" i="1"/>
  <c r="S106" i="1" s="1"/>
  <c r="AI143" i="1"/>
  <c r="AI142" i="1"/>
  <c r="AI141" i="1"/>
  <c r="AI140" i="1"/>
  <c r="U210" i="1"/>
  <c r="S210" i="1" s="1"/>
  <c r="AI139" i="1"/>
  <c r="AI138" i="1"/>
  <c r="U102" i="1"/>
  <c r="S102" i="1" s="1"/>
  <c r="AI137" i="1"/>
  <c r="AI136" i="1"/>
  <c r="U100" i="1"/>
  <c r="S100" i="1" s="1"/>
  <c r="AI135" i="1"/>
  <c r="AI134" i="1"/>
  <c r="U98" i="1"/>
  <c r="S98" i="1" s="1"/>
  <c r="AI133" i="1"/>
  <c r="U97" i="1"/>
  <c r="S97" i="1" s="1"/>
  <c r="AI132" i="1"/>
  <c r="U197" i="1"/>
  <c r="S197" i="1" s="1"/>
  <c r="AI67" i="1"/>
  <c r="U67" i="1"/>
  <c r="S67" i="1" s="1"/>
  <c r="AI66" i="1"/>
  <c r="U66" i="1"/>
  <c r="S66" i="1" s="1"/>
  <c r="AI65" i="1"/>
  <c r="U65" i="1"/>
  <c r="S65" i="1" s="1"/>
  <c r="U196" i="1"/>
  <c r="S196" i="1" s="1"/>
  <c r="AI131" i="1"/>
  <c r="U195" i="1"/>
  <c r="S195" i="1" s="1"/>
  <c r="AI130" i="1"/>
  <c r="U194" i="1"/>
  <c r="S194" i="1" s="1"/>
  <c r="AI129" i="1"/>
  <c r="W194" i="1"/>
  <c r="U193" i="1"/>
  <c r="S193" i="1" s="1"/>
  <c r="AI128" i="1"/>
  <c r="U192" i="1"/>
  <c r="S192" i="1" s="1"/>
  <c r="AI127" i="1"/>
  <c r="W192" i="1"/>
  <c r="U96" i="1"/>
  <c r="S96" i="1"/>
  <c r="AI126" i="1"/>
  <c r="U191" i="1"/>
  <c r="S191" i="1" s="1"/>
  <c r="AI125" i="1"/>
  <c r="W191" i="1"/>
  <c r="U190" i="1"/>
  <c r="S190" i="1" s="1"/>
  <c r="AI124" i="1"/>
  <c r="U189" i="1"/>
  <c r="S189" i="1" s="1"/>
  <c r="AI123" i="1"/>
  <c r="U188" i="1"/>
  <c r="S188" i="1" s="1"/>
  <c r="AI122" i="1"/>
  <c r="U187" i="1"/>
  <c r="S187" i="1" s="1"/>
  <c r="AI121" i="1"/>
  <c r="W187" i="1"/>
  <c r="U186" i="1"/>
  <c r="S186" i="1" s="1"/>
  <c r="AI120" i="1"/>
  <c r="U185" i="1"/>
  <c r="S185" i="1" s="1"/>
  <c r="AI119" i="1"/>
  <c r="W185" i="1"/>
  <c r="U184" i="1"/>
  <c r="S184" i="1" s="1"/>
  <c r="AI118" i="1"/>
  <c r="U183" i="1"/>
  <c r="S183" i="1" s="1"/>
  <c r="AI117" i="1"/>
  <c r="W183" i="1"/>
  <c r="U182" i="1"/>
  <c r="S182" i="1" s="1"/>
  <c r="AI116" i="1"/>
  <c r="U95" i="1"/>
  <c r="S95" i="1" s="1"/>
  <c r="AI115" i="1"/>
  <c r="U181" i="1"/>
  <c r="S181" i="1" s="1"/>
  <c r="AI114" i="1"/>
  <c r="U180" i="1"/>
  <c r="S180" i="1" s="1"/>
  <c r="AI113" i="1"/>
  <c r="W180" i="1"/>
  <c r="U179" i="1"/>
  <c r="S179" i="1" s="1"/>
  <c r="AI112" i="1"/>
  <c r="U178" i="1"/>
  <c r="AI111" i="1"/>
  <c r="W178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W92" i="1"/>
  <c r="AI92" i="1"/>
  <c r="W91" i="1"/>
  <c r="AI91" i="1"/>
  <c r="W90" i="1"/>
  <c r="AI90" i="1"/>
  <c r="AI89" i="1"/>
  <c r="AI88" i="1"/>
  <c r="AI87" i="1"/>
  <c r="AI86" i="1"/>
  <c r="AI85" i="1"/>
  <c r="AI84" i="1"/>
  <c r="AI83" i="1"/>
  <c r="AI82" i="1"/>
  <c r="U81" i="1"/>
  <c r="S81" i="1" s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U71" i="1"/>
  <c r="S71" i="1" s="1"/>
  <c r="AI71" i="1"/>
  <c r="U70" i="1"/>
  <c r="S70" i="1" s="1"/>
  <c r="AI70" i="1"/>
  <c r="U69" i="1"/>
  <c r="S69" i="1"/>
  <c r="AI69" i="1"/>
  <c r="U68" i="1"/>
  <c r="S68" i="1" s="1"/>
  <c r="AI68" i="1"/>
  <c r="U64" i="1"/>
  <c r="S64" i="1" s="1"/>
  <c r="AI64" i="1"/>
  <c r="AI63" i="1"/>
  <c r="U62" i="1"/>
  <c r="S62" i="1" s="1"/>
  <c r="AI62" i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W57" i="1"/>
  <c r="U56" i="1"/>
  <c r="S56" i="1" s="1"/>
  <c r="AI56" i="1"/>
  <c r="U55" i="1"/>
  <c r="S55" i="1" s="1"/>
  <c r="AI55" i="1"/>
  <c r="W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W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07" i="1"/>
  <c r="W206" i="1"/>
  <c r="W199" i="1"/>
  <c r="W198" i="1"/>
  <c r="W218" i="1"/>
  <c r="W216" i="1"/>
  <c r="W214" i="1"/>
  <c r="W212" i="1"/>
  <c r="W209" i="1"/>
  <c r="W208" i="1"/>
  <c r="W201" i="1"/>
  <c r="W200" i="1"/>
  <c r="W215" i="1"/>
  <c r="W211" i="1"/>
  <c r="W203" i="1"/>
  <c r="W202" i="1"/>
  <c r="W219" i="1"/>
  <c r="W217" i="1"/>
  <c r="W213" i="1"/>
  <c r="W205" i="1"/>
  <c r="W204" i="1"/>
  <c r="W159" i="1"/>
  <c r="T216" i="1"/>
  <c r="U216" i="1" s="1"/>
  <c r="S216" i="1" s="1"/>
  <c r="T209" i="1"/>
  <c r="U209" i="1" s="1"/>
  <c r="S209" i="1" s="1"/>
  <c r="T205" i="1"/>
  <c r="U205" i="1" s="1"/>
  <c r="S205" i="1" s="1"/>
  <c r="T201" i="1"/>
  <c r="U201" i="1" s="1"/>
  <c r="S201" i="1" s="1"/>
  <c r="W195" i="1"/>
  <c r="W188" i="1"/>
  <c r="W181" i="1"/>
  <c r="T218" i="1"/>
  <c r="U218" i="1" s="1"/>
  <c r="S218" i="1" s="1"/>
  <c r="T214" i="1"/>
  <c r="U214" i="1" s="1"/>
  <c r="S214" i="1" s="1"/>
  <c r="T212" i="1"/>
  <c r="U212" i="1" s="1"/>
  <c r="S212" i="1" s="1"/>
  <c r="T207" i="1"/>
  <c r="U207" i="1" s="1"/>
  <c r="S207" i="1" s="1"/>
  <c r="T203" i="1"/>
  <c r="U203" i="1" s="1"/>
  <c r="S203" i="1" s="1"/>
  <c r="T199" i="1"/>
  <c r="U199" i="1" s="1"/>
  <c r="S199" i="1" s="1"/>
  <c r="X159" i="1"/>
  <c r="W158" i="1"/>
  <c r="W156" i="1"/>
  <c r="W154" i="1"/>
  <c r="W152" i="1"/>
  <c r="W150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5" i="1"/>
  <c r="W123" i="1"/>
  <c r="W121" i="1"/>
  <c r="W119" i="1"/>
  <c r="W117" i="1"/>
  <c r="W115" i="1"/>
  <c r="W113" i="1"/>
  <c r="W111" i="1"/>
  <c r="W109" i="1"/>
  <c r="W107" i="1"/>
  <c r="W193" i="1"/>
  <c r="W186" i="1"/>
  <c r="W17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W106" i="1"/>
  <c r="W105" i="1"/>
  <c r="W196" i="1"/>
  <c r="W96" i="1"/>
  <c r="W189" i="1"/>
  <c r="W184" i="1"/>
  <c r="W95" i="1"/>
  <c r="W157" i="1"/>
  <c r="W155" i="1"/>
  <c r="W153" i="1"/>
  <c r="W151" i="1"/>
  <c r="W149" i="1"/>
  <c r="W126" i="1"/>
  <c r="W124" i="1"/>
  <c r="W122" i="1"/>
  <c r="W120" i="1"/>
  <c r="W118" i="1"/>
  <c r="W116" i="1"/>
  <c r="W114" i="1"/>
  <c r="W112" i="1"/>
  <c r="W110" i="1"/>
  <c r="W108" i="1"/>
  <c r="W190" i="1"/>
  <c r="W182" i="1"/>
  <c r="X106" i="1"/>
  <c r="W175" i="1"/>
  <c r="W171" i="1"/>
  <c r="W168" i="1"/>
  <c r="W162" i="1"/>
  <c r="T105" i="1"/>
  <c r="U105" i="1" s="1"/>
  <c r="S105" i="1" s="1"/>
  <c r="W104" i="1"/>
  <c r="T104" i="1"/>
  <c r="U104" i="1" s="1"/>
  <c r="S104" i="1" s="1"/>
  <c r="X210" i="1"/>
  <c r="W103" i="1"/>
  <c r="T103" i="1"/>
  <c r="U103" i="1" s="1"/>
  <c r="S103" i="1" s="1"/>
  <c r="X102" i="1"/>
  <c r="W101" i="1"/>
  <c r="T101" i="1"/>
  <c r="U101" i="1" s="1"/>
  <c r="S101" i="1" s="1"/>
  <c r="X100" i="1"/>
  <c r="W99" i="1"/>
  <c r="T99" i="1"/>
  <c r="U99" i="1" s="1"/>
  <c r="S99" i="1" s="1"/>
  <c r="W97" i="1"/>
  <c r="W174" i="1"/>
  <c r="W94" i="1"/>
  <c r="W167" i="1"/>
  <c r="W161" i="1"/>
  <c r="W177" i="1"/>
  <c r="W173" i="1"/>
  <c r="W170" i="1"/>
  <c r="W165" i="1"/>
  <c r="W160" i="1"/>
  <c r="X136" i="1"/>
  <c r="X135" i="1"/>
  <c r="X134" i="1"/>
  <c r="X133" i="1"/>
  <c r="X132" i="1"/>
  <c r="X131" i="1"/>
  <c r="X130" i="1"/>
  <c r="X129" i="1"/>
  <c r="X128" i="1"/>
  <c r="W210" i="1"/>
  <c r="W102" i="1"/>
  <c r="W100" i="1"/>
  <c r="W98" i="1"/>
  <c r="W197" i="1"/>
  <c r="W176" i="1"/>
  <c r="W172" i="1"/>
  <c r="W169" i="1"/>
  <c r="W163" i="1"/>
  <c r="W93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94" i="1"/>
  <c r="U94" i="1" s="1"/>
  <c r="S94" i="1" s="1"/>
  <c r="X94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T165" i="1"/>
  <c r="U165" i="1" s="1"/>
  <c r="S165" i="1" s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X160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W70" i="1"/>
  <c r="W61" i="1"/>
  <c r="W59" i="1"/>
  <c r="W71" i="1"/>
  <c r="W63" i="1"/>
  <c r="W62" i="1"/>
  <c r="W60" i="1"/>
  <c r="W72" i="1"/>
  <c r="W69" i="1"/>
  <c r="W64" i="1"/>
  <c r="W58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56" i="1"/>
  <c r="X81" i="1"/>
  <c r="X80" i="1"/>
  <c r="X79" i="1"/>
  <c r="X78" i="1"/>
  <c r="X77" i="1"/>
  <c r="X76" i="1"/>
  <c r="X75" i="1"/>
  <c r="X74" i="1"/>
  <c r="T63" i="1"/>
  <c r="U63" i="1" s="1"/>
  <c r="S63" i="1" s="1"/>
  <c r="W54" i="1"/>
  <c r="W50" i="1"/>
  <c r="W46" i="1"/>
  <c r="W42" i="1"/>
  <c r="W38" i="1"/>
  <c r="W68" i="1"/>
  <c r="T61" i="1"/>
  <c r="U61" i="1" s="1"/>
  <c r="S61" i="1" s="1"/>
  <c r="W53" i="1"/>
  <c r="W49" i="1"/>
  <c r="W45" i="1"/>
  <c r="W41" i="1"/>
  <c r="W37" i="1"/>
  <c r="AA67" i="1"/>
  <c r="W67" i="1" s="1"/>
  <c r="AA66" i="1"/>
  <c r="W66" i="1" s="1"/>
  <c r="AA65" i="1"/>
  <c r="W65" i="1" s="1"/>
  <c r="W52" i="1"/>
  <c r="W48" i="1"/>
  <c r="W44" i="1"/>
  <c r="W40" i="1"/>
  <c r="W36" i="1"/>
  <c r="W51" i="1"/>
  <c r="W47" i="1"/>
  <c r="W43" i="1"/>
  <c r="W39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C16" i="3"/>
  <c r="T16" i="3"/>
  <c r="AE23" i="3"/>
  <c r="AD21" i="3"/>
  <c r="AE15" i="3"/>
  <c r="AD13" i="3"/>
  <c r="AD25" i="3"/>
  <c r="AD17" i="3"/>
  <c r="AE11" i="3"/>
  <c r="AD9" i="3"/>
  <c r="T23" i="3"/>
  <c r="AD24" i="3"/>
  <c r="AD11" i="3"/>
  <c r="AD8" i="3"/>
  <c r="AC25" i="3"/>
  <c r="AC11" i="3"/>
  <c r="AC18" i="3"/>
  <c r="AD31" i="3"/>
  <c r="T14" i="3"/>
  <c r="AC9" i="3"/>
  <c r="AC24" i="3"/>
  <c r="AD23" i="3"/>
  <c r="T21" i="3"/>
  <c r="AD15" i="3"/>
  <c r="T31" i="3"/>
  <c r="AE24" i="3"/>
  <c r="Y16" i="3"/>
  <c r="Y18" i="3"/>
  <c r="Y30" i="3"/>
  <c r="Y33" i="3"/>
  <c r="Y23" i="3"/>
  <c r="Y31" i="3"/>
  <c r="Y12" i="3"/>
  <c r="Y24" i="3"/>
  <c r="Y11" i="3"/>
  <c r="Y17" i="3"/>
  <c r="Y14" i="3"/>
  <c r="Y15" i="3"/>
  <c r="Y8" i="3"/>
  <c r="Y27" i="3"/>
  <c r="Y20" i="3"/>
  <c r="Y13" i="3"/>
  <c r="Y7" i="3"/>
  <c r="Y29" i="3"/>
  <c r="Y21" i="3"/>
  <c r="Y9" i="3"/>
  <c r="Y25" i="3"/>
  <c r="Y22" i="3"/>
  <c r="Y10" i="3"/>
  <c r="Y19" i="3"/>
  <c r="Y26" i="3"/>
  <c r="Y28" i="3"/>
  <c r="AE26" i="3"/>
  <c r="T27" i="3"/>
  <c r="AE18" i="3"/>
  <c r="T13" i="3"/>
  <c r="AE14" i="3"/>
  <c r="T7" i="3"/>
  <c r="AE10" i="3"/>
  <c r="T29" i="3"/>
  <c r="T8" i="3"/>
  <c r="AE22" i="3"/>
  <c r="T20" i="3"/>
  <c r="AE33" i="3"/>
  <c r="T9" i="3"/>
  <c r="AD30" i="3"/>
  <c r="AE29" i="3"/>
  <c r="T25" i="3"/>
  <c r="AD26" i="3"/>
  <c r="AE25" i="3"/>
  <c r="T22" i="3"/>
  <c r="AD22" i="3"/>
  <c r="AE21" i="3"/>
  <c r="T10" i="3"/>
  <c r="AD18" i="3"/>
  <c r="AE17" i="3"/>
  <c r="T19" i="3"/>
  <c r="AD14" i="3"/>
  <c r="AE13" i="3"/>
  <c r="T26" i="3"/>
  <c r="AD10" i="3"/>
  <c r="AE9" i="3"/>
  <c r="T28" i="3"/>
  <c r="AE30" i="3"/>
  <c r="AE20" i="3"/>
  <c r="AE16" i="3"/>
  <c r="AE8" i="3"/>
  <c r="R32" i="3"/>
  <c r="M32" i="3"/>
  <c r="U32" i="3"/>
  <c r="AD32" i="3" s="1"/>
  <c r="X32" i="3"/>
  <c r="W32" i="3"/>
  <c r="Y32" i="3" l="1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S32" i="3" l="1"/>
  <c r="V32" i="3"/>
  <c r="AE32" i="3" s="1"/>
  <c r="AC32" i="3"/>
  <c r="V13" i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32" i="3" s="1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28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N31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17" i="3" s="1"/>
  <c r="G104" i="4"/>
  <c r="N10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22" i="3" s="1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14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8" i="3" l="1"/>
  <c r="N25" i="3"/>
  <c r="N11" i="3"/>
  <c r="N21" i="3"/>
  <c r="N19" i="3"/>
  <c r="N18" i="3"/>
  <c r="N15" i="3"/>
  <c r="N13" i="3"/>
  <c r="N16" i="3"/>
  <c r="N30" i="3"/>
  <c r="N12" i="3"/>
  <c r="N33" i="3"/>
  <c r="N7" i="3"/>
  <c r="N9" i="3"/>
  <c r="N23" i="3"/>
  <c r="N24" i="3"/>
  <c r="N27" i="3"/>
  <c r="N20" i="3"/>
  <c r="N26" i="3"/>
  <c r="N2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32" i="3" l="1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<sst xmlns="http://schemas.openxmlformats.org/spreadsheetml/2006/main" count="2591" uniqueCount="980">
  <si>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</si>
  <si>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</si>
  <si>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</si>
  <si>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</si>
  <si>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</si>
  <si>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</si>
  <si>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</si>
  <si>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</si>
  <si>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</si>
  <si>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</si>
  <si>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</si>
  <si>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</si>
  <si>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</si>
  <si>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</si>
  <si>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</si>
  <si>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</si>
  <si>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</si>
  <si>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</si>
  <si>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</si>
  <si>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</si>
  <si>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</si>
  <si>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</si>
  <si>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</si>
  <si>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</si>
  <si>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</si>
  <si>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</si>
  <si>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</si>
  <si>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</si>
  <si>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</si>
  <si>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</si>
  <si>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</si>
  <si>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</si>
  <si>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</si>
  <si>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</si>
  <si>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</si>
  <si>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</si>
  <si>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</si>
  <si>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</si>
  <si>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</si>
  <si>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</si>
  <si>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</si>
  <si>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</si>
  <si>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</si>
  <si>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</si>
  <si>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</si>
  <si>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</si>
  <si>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</si>
  <si>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</si>
  <si>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</si>
  <si>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</si>
  <si>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</si>
  <si>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</si>
  <si>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</si>
  <si>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</si>
  <si>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</si>
  <si>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</si>
  <si>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</si>
  <si>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</si>
  <si>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</si>
  <si>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</si>
  <si>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</si>
  <si>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</si>
  <si>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</si>
  <si>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</si>
  <si>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</si>
  <si>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</si>
  <si>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</si>
  <si>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</si>
  <si>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</si>
  <si>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</si>
  <si>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</si>
  <si>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</si>
  <si>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</si>
  <si>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</si>
  <si>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</si>
  <si>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</si>
  <si>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</si>
  <si>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</si>
  <si>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</si>
  <si>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</si>
  <si>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</si>
  <si>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</si>
  <si>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</si>
  <si>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</si>
  <si>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</si>
  <si>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</si>
  <si>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</si>
  <si>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</si>
  <si>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</si>
  <si>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</si>
  <si>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</si>
  <si>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</si>
  <si>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</si>
  <si>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</si>
  <si>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</si>
  <si>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</si>
  <si>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</si>
  <si>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</si>
  <si>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</si>
  <si>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</si>
  <si>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</si>
  <si>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</si>
  <si>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</si>
  <si>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</si>
  <si>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</si>
  <si>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</si>
  <si>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</si>
  <si>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</si>
  <si>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</si>
  <si>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</si>
  <si>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</si>
  <si>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</si>
  <si>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</si>
  <si>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</si>
  <si>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</si>
  <si>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</si>
  <si>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</si>
  <si>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</si>
  <si>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</si>
  <si>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</si>
  <si>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</si>
  <si>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</si>
  <si>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</si>
  <si>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</si>
  <si>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</si>
  <si>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</si>
  <si>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</si>
  <si>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</si>
  <si>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</si>
  <si>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</si>
  <si>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</si>
  <si>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</si>
  <si>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</si>
  <si>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</si>
  <si>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</si>
  <si>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</si>
  <si>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</si>
  <si>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</si>
  <si>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</si>
  <si>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</si>
  <si>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</si>
  <si>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</si>
  <si>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</si>
  <si>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</si>
  <si>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</si>
  <si>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</si>
  <si>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</si>
  <si>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</si>
  <si>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</si>
  <si>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</si>
  <si>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</si>
  <si>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</si>
  <si>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</si>
  <si>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</si>
  <si>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</si>
  <si>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</si>
  <si>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</si>
  <si>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</si>
  <si>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</si>
  <si>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</si>
  <si>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</si>
  <si>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</si>
  <si>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</si>
  <si>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</si>
  <si>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</si>
  <si>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</si>
  <si>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</si>
  <si>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</si>
  <si>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</si>
  <si>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</si>
  <si>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</si>
  <si>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</si>
  <si>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</si>
  <si>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</si>
  <si>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</si>
  <si>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</si>
  <si>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</si>
  <si>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</si>
  <si>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</si>
  <si>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</si>
  <si>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</si>
  <si>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</si>
  <si>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</si>
  <si>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</si>
  <si>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</si>
  <si>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</si>
  <si>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</si>
  <si>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</si>
  <si>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</si>
  <si>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</si>
  <si>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</si>
  <si>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</si>
  <si>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</si>
  <si>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</si>
  <si>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</si>
  <si>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</si>
  <si>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</si>
  <si>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</si>
  <si>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</si>
  <si>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</si>
  <si>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</si>
  <si>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</si>
  <si>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</si>
  <si>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</si>
  <si>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</si>
  <si>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</si>
  <si>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</si>
  <si>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</si>
  <si>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</si>
  <si>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</si>
  <si>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</si>
  <si>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</si>
  <si>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</si>
  <si>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</si>
  <si>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</si>
  <si>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</si>
  <si>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</si>
  <si>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</si>
  <si>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</si>
  <si>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</si>
  <si>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</si>
  <si>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</si>
  <si>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</si>
  <si>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</si>
  <si>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</si>
  <si>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</si>
  <si>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</si>
  <si>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</si>
  <si>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</si>
  <si>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</si>
  <si>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</si>
  <si>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</si>
  <si>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</si>
  <si>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</si>
  <si>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</si>
  <si>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</si>
  <si>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</si>
  <si>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</si>
  <si>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</si>
  <si>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</si>
  <si>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</si>
  <si>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</si>
  <si>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</si>
  <si>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</si>
  <si>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</si>
  <si>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</si>
  <si>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</si>
  <si>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</si>
  <si>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</si>
  <si>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</si>
  <si>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</si>
  <si>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</si>
  <si>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</si>
  <si>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</si>
  <si>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</si>
  <si>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</si>
  <si>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</si>
  <si>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</si>
  <si>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</si>
  <si>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</si>
  <si>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</si>
  <si>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</si>
  <si>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</si>
  <si>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</si>
  <si>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</si>
  <si>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</si>
  <si>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</si>
  <si>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</si>
  <si>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</si>
  <si>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</si>
  <si>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</si>
  <si>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</si>
  <si>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</si>
  <si>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</si>
  <si>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</si>
  <si>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</si>
  <si>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</si>
  <si>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</si>
  <si>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</si>
  <si>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</si>
  <si>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</si>
  <si>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</si>
  <si>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</si>
  <si>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</si>
  <si>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</si>
  <si>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</si>
  <si>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</si>
  <si>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</si>
  <si>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</si>
  <si>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</si>
  <si>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</si>
  <si>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</si>
  <si>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</si>
  <si>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</si>
  <si>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</si>
  <si>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</si>
  <si>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</si>
  <si>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</si>
  <si>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</si>
  <si>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</si>
  <si>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</si>
  <si>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</si>
  <si>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</si>
  <si>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</si>
  <si>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</si>
  <si>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</si>
  <si>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</si>
  <si>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</si>
  <si>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</si>
  <si>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</si>
  <si>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</si>
  <si>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</si>
  <si>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</si>
  <si>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</si>
  <si>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</si>
  <si>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</si>
  <si>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</si>
  <si>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</si>
  <si>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</si>
  <si>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</si>
  <si>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</si>
  <si>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</si>
  <si>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</si>
  <si>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</si>
  <si>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</si>
  <si>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</si>
  <si>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</si>
  <si>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</si>
  <si>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</si>
  <si>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</si>
  <si>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</si>
  <si>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</si>
  <si>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</si>
  <si>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</si>
  <si>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</si>
  <si>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</si>
  <si>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</si>
  <si>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</si>
  <si>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</si>
  <si>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</si>
  <si>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</si>
  <si>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</si>
  <si>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</si>
  <si>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</si>
  <si>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</si>
  <si>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</si>
  <si>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</si>
  <si>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</si>
  <si>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</si>
  <si>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</si>
  <si>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</si>
  <si>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</si>
  <si>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</si>
  <si>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</si>
  <si>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</si>
  <si>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</si>
  <si>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</si>
  <si>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</si>
  <si>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</si>
  <si>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</si>
  <si>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</si>
  <si>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</si>
  <si>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</si>
  <si>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</si>
  <si>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</si>
  <si>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</si>
  <si>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</si>
  <si>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204:161</t>
  </si>
  <si>
    <t>204:442</t>
  </si>
  <si>
    <t>JAMES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</si>
  <si>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</si>
  <si>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</si>
  <si>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</si>
  <si>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</si>
  <si>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</si>
  <si>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</si>
  <si>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</si>
  <si>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</si>
  <si>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204:139</t>
  </si>
  <si>
    <t>NICHOLSON</t>
  </si>
  <si>
    <t>WESLEY</t>
  </si>
  <si>
    <t>204:136</t>
  </si>
  <si>
    <t>204:163</t>
  </si>
  <si>
    <t>204:462</t>
  </si>
  <si>
    <t>204:232996</t>
  </si>
  <si>
    <t>204:451</t>
  </si>
  <si>
    <t>204:233312</t>
  </si>
  <si>
    <t>204:471</t>
  </si>
  <si>
    <t>204:232998</t>
  </si>
  <si>
    <t>rtdc.l.rtdc.4058:itc</t>
  </si>
  <si>
    <t>204:154</t>
  </si>
  <si>
    <t>204:437</t>
  </si>
  <si>
    <t>204:466</t>
  </si>
  <si>
    <t>204:447</t>
  </si>
  <si>
    <t>204:233293</t>
  </si>
  <si>
    <t>204:232978</t>
  </si>
  <si>
    <t>rtdc.l.rtdc.4043:itc</t>
  </si>
  <si>
    <t>YORK</t>
  </si>
  <si>
    <t>EDGAR</t>
  </si>
  <si>
    <t>rtdc.l.rtdc.4057:itc</t>
  </si>
  <si>
    <t>204:232982</t>
  </si>
  <si>
    <t>rtdc.l.rtdc.4023:itc</t>
  </si>
  <si>
    <t>rtdc.l.rtdc.4005:itc</t>
  </si>
  <si>
    <t>204:233310</t>
  </si>
  <si>
    <t>204:232975</t>
  </si>
  <si>
    <t>204:457</t>
  </si>
  <si>
    <t>Sat - Sun = 36 Trips</t>
  </si>
  <si>
    <t>"Summary View"</t>
  </si>
  <si>
    <t>rtdc.l.rtdc.4039:itc</t>
  </si>
  <si>
    <t>rtdc.l.rtdc.4010:itc</t>
  </si>
  <si>
    <t>rtdc.l.rtdc.4017:itc</t>
  </si>
  <si>
    <t>rtdc.l.rtdc.4040:itc</t>
  </si>
  <si>
    <t>rtdc.l.rtdc.4044:itc</t>
  </si>
  <si>
    <t>FRANK</t>
  </si>
  <si>
    <t>300:23346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</si>
  <si>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</si>
  <si>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</si>
  <si>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</si>
  <si>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</si>
  <si>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</si>
  <si>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</si>
  <si>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</si>
  <si>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</si>
  <si>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</si>
  <si>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</si>
  <si>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</si>
  <si>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</si>
  <si>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</si>
  <si>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</si>
  <si>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</si>
  <si>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</si>
  <si>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rtdc.l.rtdc.4009:itc</t>
  </si>
  <si>
    <t>rtdc.l.rtdc.4052:itc</t>
  </si>
  <si>
    <t>rtdc.l.rtdc.4051:itc</t>
  </si>
  <si>
    <t>rtdc.l.rtdc.4014:itc</t>
  </si>
  <si>
    <t>ELBAUM</t>
  </si>
  <si>
    <t>MIKE</t>
  </si>
  <si>
    <t>309-21</t>
  </si>
  <si>
    <t>706-21</t>
  </si>
  <si>
    <t>311-21</t>
  </si>
  <si>
    <t>300-22</t>
  </si>
  <si>
    <t>50-22</t>
  </si>
  <si>
    <t>204:134</t>
  </si>
  <si>
    <t>204:233021</t>
  </si>
  <si>
    <t>204:671</t>
  </si>
  <si>
    <t>rtdc.l.rtdc.4049:itc</t>
  </si>
  <si>
    <t>precipType</t>
  </si>
  <si>
    <t>rain</t>
  </si>
  <si>
    <t>partly-cloudy-night</t>
  </si>
  <si>
    <t>Mostly Cloudy</t>
  </si>
  <si>
    <t>partly-cloudy-day</t>
  </si>
  <si>
    <t>204:233304</t>
  </si>
  <si>
    <t>204:477</t>
  </si>
  <si>
    <t>204:232957</t>
  </si>
  <si>
    <t>204:444</t>
  </si>
  <si>
    <t>204:233291</t>
  </si>
  <si>
    <t>204:129</t>
  </si>
  <si>
    <t>YANG</t>
  </si>
  <si>
    <t>JAN</t>
  </si>
  <si>
    <t>ROBINSON</t>
  </si>
  <si>
    <t>KADDIBA</t>
  </si>
  <si>
    <t>Partly Cloudy</t>
  </si>
  <si>
    <t>204:233297</t>
  </si>
  <si>
    <t>204:233305</t>
  </si>
  <si>
    <t>204:438</t>
  </si>
  <si>
    <t>204:233307</t>
  </si>
  <si>
    <t>204:233311</t>
  </si>
  <si>
    <t>204:233006</t>
  </si>
  <si>
    <t>204:233282</t>
  </si>
  <si>
    <t>204:467</t>
  </si>
  <si>
    <t>204:233004</t>
  </si>
  <si>
    <t>204:233329</t>
  </si>
  <si>
    <t>204:232994</t>
  </si>
  <si>
    <t>300:58963</t>
  </si>
  <si>
    <t>300:58960</t>
  </si>
  <si>
    <t>300:58944</t>
  </si>
  <si>
    <t>204:687</t>
  </si>
  <si>
    <t>c:\users\stu\Documents\GitHub\mrs-test-scripts\Headless Mode &amp; Sideloading\WalkAndUnGZ.bat</t>
  </si>
  <si>
    <t>rtdc.l.rtdc.4018:itc</t>
  </si>
  <si>
    <t>rtdc.l.rtdc.4032:itc</t>
  </si>
  <si>
    <t>WENDY</t>
  </si>
  <si>
    <t>FORTUNATO</t>
  </si>
  <si>
    <t>DE LA ROSA</t>
  </si>
  <si>
    <t>ALEX</t>
  </si>
  <si>
    <t>rtdc.l.rtdc.4053:itc</t>
  </si>
  <si>
    <t>MCREYNOLDS</t>
  </si>
  <si>
    <t>KYLE</t>
  </si>
  <si>
    <t>BERLING</t>
  </si>
  <si>
    <t>GARY</t>
  </si>
  <si>
    <t>NEWELL</t>
  </si>
  <si>
    <t>204:232963</t>
  </si>
  <si>
    <t>204:473</t>
  </si>
  <si>
    <t>204:233295</t>
  </si>
  <si>
    <t>204:233306</t>
  </si>
  <si>
    <t>204:449</t>
  </si>
  <si>
    <t>204:420</t>
  </si>
  <si>
    <t>300:58649</t>
  </si>
  <si>
    <t>300:58613</t>
  </si>
  <si>
    <t>rtdc.l.rtdc.4062:itc</t>
  </si>
  <si>
    <t>rtdc.l.rtdc.4061:itc</t>
  </si>
  <si>
    <t>rtdc.l.rtdc.4059:itc</t>
  </si>
  <si>
    <t>844-28</t>
  </si>
  <si>
    <t>236-28</t>
  </si>
  <si>
    <t>311-28</t>
  </si>
  <si>
    <t>rtdc.l.rtdc.4055:itc</t>
  </si>
  <si>
    <t>rtdc.l.rtdc.4056:itc</t>
  </si>
  <si>
    <t>MAELZER</t>
  </si>
  <si>
    <t>KURT</t>
  </si>
  <si>
    <t>rtdc.l.rtdc.4060:itc</t>
  </si>
  <si>
    <t>WILLIAMS</t>
  </si>
  <si>
    <t>DONTE</t>
  </si>
  <si>
    <t>PAGE</t>
  </si>
  <si>
    <t>MARCUS</t>
  </si>
  <si>
    <t>BADERTSCHER</t>
  </si>
  <si>
    <t>DIANE</t>
  </si>
  <si>
    <t>BRUDER</t>
  </si>
  <si>
    <t>RICHARD</t>
  </si>
  <si>
    <t>GONZALEZ</t>
  </si>
  <si>
    <t>ARMANDO</t>
  </si>
  <si>
    <t>HOLCOMB</t>
  </si>
  <si>
    <t>KAMDEN</t>
  </si>
  <si>
    <t>rtdc.l.rtdc.4046:itc</t>
  </si>
  <si>
    <t>DAVIDSON</t>
  </si>
  <si>
    <t>DAVID</t>
  </si>
  <si>
    <t>845-28</t>
  </si>
  <si>
    <t>228-28</t>
  </si>
  <si>
    <t>231-28</t>
  </si>
  <si>
    <t>233-28</t>
  </si>
  <si>
    <t>230-28</t>
  </si>
  <si>
    <t>847-28</t>
  </si>
  <si>
    <t>235-28</t>
  </si>
  <si>
    <t>232-28</t>
  </si>
  <si>
    <t>846-28</t>
  </si>
  <si>
    <t>234-28</t>
  </si>
  <si>
    <t>237-28</t>
  </si>
  <si>
    <t>849-28</t>
  </si>
  <si>
    <t>239-28</t>
  </si>
  <si>
    <t>908-28</t>
  </si>
  <si>
    <t>238-28</t>
  </si>
  <si>
    <t>241-28</t>
  </si>
  <si>
    <t>243-28</t>
  </si>
  <si>
    <t>240-28</t>
  </si>
  <si>
    <t>242-28</t>
  </si>
  <si>
    <t>313-28</t>
  </si>
  <si>
    <t>307-28</t>
  </si>
  <si>
    <t>244-28</t>
  </si>
  <si>
    <t>309-28</t>
  </si>
  <si>
    <t>300-29</t>
  </si>
  <si>
    <t>clear-night</t>
  </si>
  <si>
    <t>Clear</t>
  </si>
  <si>
    <t>204:233314</t>
  </si>
  <si>
    <t>204:233270</t>
  </si>
  <si>
    <t>204:233319</t>
  </si>
  <si>
    <t>204:233331</t>
  </si>
  <si>
    <t>204:233278</t>
  </si>
  <si>
    <t>204:233002</t>
  </si>
  <si>
    <t>204:469</t>
  </si>
  <si>
    <t>204:233332</t>
  </si>
  <si>
    <t>204:233007</t>
  </si>
  <si>
    <t>204:233345</t>
  </si>
  <si>
    <t>204:233015</t>
  </si>
  <si>
    <t>204:233023</t>
  </si>
  <si>
    <t>204:132</t>
  </si>
  <si>
    <t>204:233316</t>
  </si>
  <si>
    <t>204:232964</t>
  </si>
  <si>
    <t>204:233272</t>
  </si>
  <si>
    <t>204:232972</t>
  </si>
  <si>
    <t>204:233322</t>
  </si>
  <si>
    <t>204:232974</t>
  </si>
  <si>
    <t>204:232980</t>
  </si>
  <si>
    <t>204:232992</t>
  </si>
  <si>
    <t>204:233303</t>
  </si>
  <si>
    <t>300:23302</t>
  </si>
  <si>
    <t>204:692</t>
  </si>
  <si>
    <t>204:999</t>
  </si>
  <si>
    <t>300:58677</t>
  </si>
  <si>
    <t>300:58658</t>
  </si>
  <si>
    <t>204:960</t>
  </si>
  <si>
    <t>204:953</t>
  </si>
  <si>
    <t>204:678</t>
  </si>
  <si>
    <t>300:58929</t>
  </si>
  <si>
    <t>204:965</t>
  </si>
  <si>
    <t>300:58931</t>
  </si>
  <si>
    <t>204:719</t>
  </si>
  <si>
    <t>300:58615</t>
  </si>
  <si>
    <t>308-30</t>
  </si>
  <si>
    <t>rtdc.l.rtdc.4003:itc</t>
  </si>
  <si>
    <t>310-30</t>
  </si>
  <si>
    <t>1800-30</t>
  </si>
  <si>
    <t>1801-30</t>
  </si>
  <si>
    <t>114-30</t>
  </si>
  <si>
    <t>1803-30</t>
  </si>
  <si>
    <t>1807-30</t>
  </si>
  <si>
    <t>134-30</t>
  </si>
  <si>
    <t>1809-30</t>
  </si>
  <si>
    <t>157-30</t>
  </si>
  <si>
    <t>150-30</t>
  </si>
  <si>
    <t>161-30</t>
  </si>
  <si>
    <t>158-30</t>
  </si>
  <si>
    <t>162-30</t>
  </si>
  <si>
    <t>rtdc.l.rtdc.4027:itc</t>
  </si>
  <si>
    <t>168-30</t>
  </si>
  <si>
    <t>183-30</t>
  </si>
  <si>
    <t>rtdc.l.rtdc.4028:itc</t>
  </si>
  <si>
    <t>181-30</t>
  </si>
  <si>
    <t>1817-30</t>
  </si>
  <si>
    <t>rtdc.l.rtdc.4020:itc</t>
  </si>
  <si>
    <t>187-30</t>
  </si>
  <si>
    <t>217-30</t>
  </si>
  <si>
    <t>225-30</t>
  </si>
  <si>
    <t>227-30</t>
  </si>
  <si>
    <t>236-30</t>
  </si>
  <si>
    <t>242-30</t>
  </si>
  <si>
    <t>rtdc.l.rtdc.4011:itc</t>
  </si>
  <si>
    <t>242-29</t>
  </si>
  <si>
    <t>GUNTHIER</t>
  </si>
  <si>
    <t>ERIC</t>
  </si>
  <si>
    <t>rtdc.l.rtdc.4002:itc</t>
  </si>
  <si>
    <t>245-29</t>
  </si>
  <si>
    <t>244-29</t>
  </si>
  <si>
    <t>307-29</t>
  </si>
  <si>
    <t>rtdc.l.rtdc.4012:itc</t>
  </si>
  <si>
    <t>309-29</t>
  </si>
  <si>
    <t>246-29</t>
  </si>
  <si>
    <t>rtdc.l.rtdc.4054:itc</t>
  </si>
  <si>
    <t>311-29</t>
  </si>
  <si>
    <t>313-29</t>
  </si>
  <si>
    <t>rtdc.l.rtdc.4045:itc</t>
  </si>
  <si>
    <t>300-30</t>
  </si>
  <si>
    <t>51-30</t>
  </si>
  <si>
    <t>101-30</t>
  </si>
  <si>
    <t>302-30</t>
  </si>
  <si>
    <t>52-30</t>
  </si>
  <si>
    <t>103-30</t>
  </si>
  <si>
    <t>304-30</t>
  </si>
  <si>
    <t>306-30</t>
  </si>
  <si>
    <t>GEBRETEKLE</t>
  </si>
  <si>
    <t>DAGNEW</t>
  </si>
  <si>
    <t>105-30</t>
  </si>
  <si>
    <t>102-30</t>
  </si>
  <si>
    <t>LALONDE</t>
  </si>
  <si>
    <t>GREGORY</t>
  </si>
  <si>
    <t>107-30</t>
  </si>
  <si>
    <t>104-30</t>
  </si>
  <si>
    <t>109-30</t>
  </si>
  <si>
    <t>BIRENBAUM</t>
  </si>
  <si>
    <t>THOMAS</t>
  </si>
  <si>
    <t>111-30</t>
  </si>
  <si>
    <t>106-30</t>
  </si>
  <si>
    <t>108-30</t>
  </si>
  <si>
    <t>rtdc.l.rtdc.4019:itc</t>
  </si>
  <si>
    <t>312-30</t>
  </si>
  <si>
    <t>rtdc.l.rtdc.4004:itc</t>
  </si>
  <si>
    <t>113-30</t>
  </si>
  <si>
    <t>110-30</t>
  </si>
  <si>
    <t>115-30</t>
  </si>
  <si>
    <t>1901-30</t>
  </si>
  <si>
    <t>LAMAR</t>
  </si>
  <si>
    <t>NEKESHA</t>
  </si>
  <si>
    <t>117-30</t>
  </si>
  <si>
    <t>112-30</t>
  </si>
  <si>
    <t>119-30</t>
  </si>
  <si>
    <t>121-30</t>
  </si>
  <si>
    <t>116-30</t>
  </si>
  <si>
    <t>123-30</t>
  </si>
  <si>
    <t>118-30</t>
  </si>
  <si>
    <t>1802-30</t>
  </si>
  <si>
    <t>125-30</t>
  </si>
  <si>
    <t>120-30</t>
  </si>
  <si>
    <t>127-30</t>
  </si>
  <si>
    <t>122-30</t>
  </si>
  <si>
    <t>124-30</t>
  </si>
  <si>
    <t>129-30</t>
  </si>
  <si>
    <t>131-30</t>
  </si>
  <si>
    <t>128-30</t>
  </si>
  <si>
    <t>1804-30</t>
  </si>
  <si>
    <t>126-30</t>
  </si>
  <si>
    <t>133-30</t>
  </si>
  <si>
    <t>61-30</t>
  </si>
  <si>
    <t>135-30</t>
  </si>
  <si>
    <t>130-30</t>
  </si>
  <si>
    <t>1805-30</t>
  </si>
  <si>
    <t>137-30</t>
  </si>
  <si>
    <t>HUFFSMITH</t>
  </si>
  <si>
    <t>MONTY</t>
  </si>
  <si>
    <t>132-30</t>
  </si>
  <si>
    <t>139-30</t>
  </si>
  <si>
    <t>1806-30</t>
  </si>
  <si>
    <t>63-30</t>
  </si>
  <si>
    <t>136-30</t>
  </si>
  <si>
    <t>141-30</t>
  </si>
  <si>
    <t>143-30</t>
  </si>
  <si>
    <t>138-30</t>
  </si>
  <si>
    <t>145-30</t>
  </si>
  <si>
    <t>140-30</t>
  </si>
  <si>
    <t>142-30</t>
  </si>
  <si>
    <t>147-30</t>
  </si>
  <si>
    <t>1808-30</t>
  </si>
  <si>
    <t>149-30</t>
  </si>
  <si>
    <t>144-30</t>
  </si>
  <si>
    <t>151-30</t>
  </si>
  <si>
    <t>146-30</t>
  </si>
  <si>
    <t>153-30</t>
  </si>
  <si>
    <t>148-30</t>
  </si>
  <si>
    <t>155-30</t>
  </si>
  <si>
    <t>1810-30</t>
  </si>
  <si>
    <t>152-30</t>
  </si>
  <si>
    <t>159-30</t>
  </si>
  <si>
    <t>1811-30</t>
  </si>
  <si>
    <t>154-30</t>
  </si>
  <si>
    <t>156-30</t>
  </si>
  <si>
    <t>MICHAEL</t>
  </si>
  <si>
    <t>163-30</t>
  </si>
  <si>
    <t>SAFIEF</t>
  </si>
  <si>
    <t>AEIMEN</t>
  </si>
  <si>
    <t>1812-30</t>
  </si>
  <si>
    <t>165-30</t>
  </si>
  <si>
    <t>GUZMAN</t>
  </si>
  <si>
    <t>DANNY</t>
  </si>
  <si>
    <t>160-30</t>
  </si>
  <si>
    <t>167-30</t>
  </si>
  <si>
    <t>1813-30</t>
  </si>
  <si>
    <t>169-30</t>
  </si>
  <si>
    <t>164-30</t>
  </si>
  <si>
    <t>166-30</t>
  </si>
  <si>
    <t>171-30</t>
  </si>
  <si>
    <t>1814-30</t>
  </si>
  <si>
    <t>173-30</t>
  </si>
  <si>
    <t>175-30</t>
  </si>
  <si>
    <t>1815-30</t>
  </si>
  <si>
    <t>170-30</t>
  </si>
  <si>
    <t>177-30</t>
  </si>
  <si>
    <t>172-30</t>
  </si>
  <si>
    <t>179-30</t>
  </si>
  <si>
    <t>174-30</t>
  </si>
  <si>
    <t>1816-30</t>
  </si>
  <si>
    <t>178-30</t>
  </si>
  <si>
    <t>176-30</t>
  </si>
  <si>
    <t>SMITH</t>
  </si>
  <si>
    <t>180-30</t>
  </si>
  <si>
    <t>185-30</t>
  </si>
  <si>
    <t>1818-30</t>
  </si>
  <si>
    <t>182-30</t>
  </si>
  <si>
    <t>189-30</t>
  </si>
  <si>
    <t>184-30</t>
  </si>
  <si>
    <t>191-30</t>
  </si>
  <si>
    <t>1819-30</t>
  </si>
  <si>
    <t>193-30</t>
  </si>
  <si>
    <t>186-30</t>
  </si>
  <si>
    <t>188-30</t>
  </si>
  <si>
    <t>195-30</t>
  </si>
  <si>
    <t>1820-30</t>
  </si>
  <si>
    <t>197-30</t>
  </si>
  <si>
    <t>190-30</t>
  </si>
  <si>
    <t>192-30</t>
  </si>
  <si>
    <t>194-30</t>
  </si>
  <si>
    <t>199-30</t>
  </si>
  <si>
    <t>1821-30</t>
  </si>
  <si>
    <t>201-30</t>
  </si>
  <si>
    <t>196-30</t>
  </si>
  <si>
    <t>75-30</t>
  </si>
  <si>
    <t>1822-30</t>
  </si>
  <si>
    <t>203-30</t>
  </si>
  <si>
    <t>198-30</t>
  </si>
  <si>
    <t>205-30</t>
  </si>
  <si>
    <t>200-30</t>
  </si>
  <si>
    <t>207-30</t>
  </si>
  <si>
    <t>1823-30</t>
  </si>
  <si>
    <t>202-30</t>
  </si>
  <si>
    <t>209-30</t>
  </si>
  <si>
    <t>rtdc.l.rtdc.4008:itc</t>
  </si>
  <si>
    <t>204-30</t>
  </si>
  <si>
    <t>211-30</t>
  </si>
  <si>
    <t>206-30</t>
  </si>
  <si>
    <t>1824-30</t>
  </si>
  <si>
    <t>208-30</t>
  </si>
  <si>
    <t>213-30</t>
  </si>
  <si>
    <t>66-30</t>
  </si>
  <si>
    <t>215-30</t>
  </si>
  <si>
    <t>210-30</t>
  </si>
  <si>
    <t>1825-30</t>
  </si>
  <si>
    <t>212-30</t>
  </si>
  <si>
    <t>219-30</t>
  </si>
  <si>
    <t>RESPASS</t>
  </si>
  <si>
    <t>AARON</t>
  </si>
  <si>
    <t>1826-30</t>
  </si>
  <si>
    <t>214-30</t>
  </si>
  <si>
    <t>301-30</t>
  </si>
  <si>
    <t>216-30</t>
  </si>
  <si>
    <t>218-30</t>
  </si>
  <si>
    <t>221-30</t>
  </si>
  <si>
    <t>1827-30</t>
  </si>
  <si>
    <t>303-30</t>
  </si>
  <si>
    <t>220-30</t>
  </si>
  <si>
    <t>1828-30</t>
  </si>
  <si>
    <t>223-30</t>
  </si>
  <si>
    <t>305-30</t>
  </si>
  <si>
    <t>222-30</t>
  </si>
  <si>
    <t>1829-30</t>
  </si>
  <si>
    <t>224-30</t>
  </si>
  <si>
    <t>1830-30</t>
  </si>
  <si>
    <t>226-30</t>
  </si>
  <si>
    <t>229-30</t>
  </si>
  <si>
    <t>1831-30</t>
  </si>
  <si>
    <t>231-30</t>
  </si>
  <si>
    <t>228-30</t>
  </si>
  <si>
    <t>1832-30</t>
  </si>
  <si>
    <t>233-30</t>
  </si>
  <si>
    <t>230-30</t>
  </si>
  <si>
    <t>1833-30</t>
  </si>
  <si>
    <t>235-30</t>
  </si>
  <si>
    <t>232-30</t>
  </si>
  <si>
    <t>1834-30</t>
  </si>
  <si>
    <t>234-30</t>
  </si>
  <si>
    <t>237-30</t>
  </si>
  <si>
    <t>1835-30</t>
  </si>
  <si>
    <t>239-30</t>
  </si>
  <si>
    <t>1902-30</t>
  </si>
  <si>
    <t>238-30</t>
  </si>
  <si>
    <t>241-30</t>
  </si>
  <si>
    <t>240-30</t>
  </si>
  <si>
    <t>243-30</t>
  </si>
  <si>
    <t>245-30</t>
  </si>
  <si>
    <t>244-30</t>
  </si>
  <si>
    <t>307-30</t>
  </si>
  <si>
    <t>309-30</t>
  </si>
  <si>
    <t>246-30</t>
  </si>
  <si>
    <t>311-30</t>
  </si>
  <si>
    <t>rtdc.l.rtdc.4041:itc</t>
  </si>
  <si>
    <t>101-01</t>
  </si>
  <si>
    <t>300-01</t>
  </si>
  <si>
    <t>313-30</t>
  </si>
  <si>
    <t>fog</t>
  </si>
  <si>
    <t>Foggy</t>
  </si>
  <si>
    <t>clear-day</t>
  </si>
  <si>
    <t>Drizzle</t>
  </si>
  <si>
    <t>204:744</t>
  </si>
  <si>
    <t>204:232967</t>
  </si>
  <si>
    <t>204:232973</t>
  </si>
  <si>
    <t>204:232976</t>
  </si>
  <si>
    <t>204:233003</t>
  </si>
  <si>
    <t>204:233274</t>
  </si>
  <si>
    <t>204:489</t>
  </si>
  <si>
    <t>204:232993</t>
  </si>
  <si>
    <t>204:233315</t>
  </si>
  <si>
    <t>204:232989</t>
  </si>
  <si>
    <t>204:478</t>
  </si>
  <si>
    <t>204:750</t>
  </si>
  <si>
    <t>204:233285</t>
  </si>
  <si>
    <t>204:232966</t>
  </si>
  <si>
    <t>204:232965</t>
  </si>
  <si>
    <t>204:130</t>
  </si>
  <si>
    <t>204:233283</t>
  </si>
  <si>
    <t>204:233030</t>
  </si>
  <si>
    <t>204:233355</t>
  </si>
  <si>
    <t>204:233280</t>
  </si>
  <si>
    <t>204:409</t>
  </si>
  <si>
    <t>204:233013</t>
  </si>
  <si>
    <t>204:232986</t>
  </si>
  <si>
    <t>204:475</t>
  </si>
  <si>
    <t>204:160</t>
  </si>
  <si>
    <t>204:233289</t>
  </si>
  <si>
    <t>204:233026</t>
  </si>
  <si>
    <t>300:58700</t>
  </si>
  <si>
    <t>300:58027</t>
  </si>
  <si>
    <t>300:57333</t>
  </si>
  <si>
    <t>204:666</t>
  </si>
  <si>
    <t>300:58982</t>
  </si>
  <si>
    <t>300:58662</t>
  </si>
  <si>
    <t>204:664</t>
  </si>
  <si>
    <t>300:58685</t>
  </si>
  <si>
    <t>204:663</t>
  </si>
  <si>
    <t>300:58679</t>
  </si>
  <si>
    <t>204:673</t>
  </si>
  <si>
    <t>204:978</t>
  </si>
  <si>
    <t>300:58980</t>
  </si>
  <si>
    <t>300:58670</t>
  </si>
  <si>
    <t>204:698</t>
  </si>
  <si>
    <t>204:981</t>
  </si>
  <si>
    <t>300:58978</t>
  </si>
  <si>
    <t>204:967</t>
  </si>
  <si>
    <t>204:657</t>
  </si>
  <si>
    <t>300:58993</t>
  </si>
  <si>
    <t>204:675</t>
  </si>
  <si>
    <t>204:985</t>
  </si>
  <si>
    <t>300:58967</t>
  </si>
  <si>
    <t>300:58645</t>
  </si>
  <si>
    <t>300:57326</t>
  </si>
  <si>
    <t>204:932</t>
  </si>
  <si>
    <t>204:929</t>
  </si>
  <si>
    <t>204:1329</t>
  </si>
  <si>
    <t>300:58971</t>
  </si>
  <si>
    <t>204:974</t>
  </si>
  <si>
    <t>300:58946</t>
  </si>
  <si>
    <t>300:58636</t>
  </si>
  <si>
    <t>204:682</t>
  </si>
  <si>
    <t>300:58651</t>
  </si>
  <si>
    <t>300:58647</t>
  </si>
  <si>
    <t>204:972</t>
  </si>
  <si>
    <t>300:58628</t>
  </si>
  <si>
    <t>204:957</t>
  </si>
  <si>
    <t>204:233308</t>
  </si>
  <si>
    <t>300:58655</t>
  </si>
  <si>
    <t>204:1004</t>
  </si>
  <si>
    <t>300:58954</t>
  </si>
  <si>
    <t>204:703</t>
  </si>
  <si>
    <t>300:58609</t>
  </si>
  <si>
    <t>204:969</t>
  </si>
  <si>
    <t>300:58926</t>
  </si>
  <si>
    <t>204:125</t>
  </si>
  <si>
    <t>204:233337</t>
  </si>
  <si>
    <t>204:233001</t>
  </si>
  <si>
    <t>300:28740</t>
  </si>
  <si>
    <t>204:233353</t>
  </si>
  <si>
    <t>204:233042</t>
  </si>
  <si>
    <t>204:232952</t>
  </si>
  <si>
    <t>204:233357</t>
  </si>
  <si>
    <t>204:233287</t>
  </si>
  <si>
    <t>204:440</t>
  </si>
  <si>
    <t>204:116</t>
  </si>
  <si>
    <t>204:172</t>
  </si>
  <si>
    <t>204:233213</t>
  </si>
  <si>
    <t>204:232890</t>
  </si>
  <si>
    <t>204:233298</t>
  </si>
  <si>
    <t>204:233284</t>
  </si>
  <si>
    <t>204:233288</t>
  </si>
  <si>
    <t>204:232984</t>
  </si>
  <si>
    <t>204:238</t>
  </si>
  <si>
    <t>204:233341</t>
  </si>
  <si>
    <t>204:484</t>
  </si>
  <si>
    <t>204:232961</t>
  </si>
  <si>
    <t>204:214</t>
  </si>
  <si>
    <t>300:23304</t>
  </si>
  <si>
    <t>300:21541</t>
  </si>
  <si>
    <t>300:21894</t>
  </si>
  <si>
    <t>300:23293</t>
  </si>
  <si>
    <t>300:23682</t>
  </si>
  <si>
    <t>204:546</t>
  </si>
  <si>
    <t>300:23677</t>
  </si>
  <si>
    <t>204:4530</t>
  </si>
  <si>
    <t>300:22277</t>
  </si>
  <si>
    <t>204:4627</t>
  </si>
  <si>
    <t>204:526</t>
  </si>
  <si>
    <t>300:23567</t>
  </si>
  <si>
    <t>204:3300</t>
  </si>
  <si>
    <t>204:2963</t>
  </si>
  <si>
    <t>204:1154</t>
  </si>
  <si>
    <t>204:1475</t>
  </si>
  <si>
    <t>204:3363</t>
  </si>
  <si>
    <t>204:3045</t>
  </si>
  <si>
    <t>204:2965</t>
  </si>
  <si>
    <t>204:1164</t>
  </si>
  <si>
    <t>204:3294</t>
  </si>
  <si>
    <t>300:23345</t>
  </si>
  <si>
    <t>204:2223</t>
  </si>
  <si>
    <t>204:1147</t>
  </si>
  <si>
    <t>start /low /b %USERPROFILE%\Documents\GitHub\eaglep3\Utilities\DownloadLogsFromS3.py --loco 4003 --day 2017-09-30</t>
  </si>
  <si>
    <t>start /low /b %USERPROFILE%\Documents\GitHub\eaglep3\Utilities\DownloadLogsFromS3.py --loco 4017 --day 2017-09-30</t>
  </si>
  <si>
    <t>start /low /b %USERPROFILE%\Documents\GitHub\eaglep3\Utilities\DownloadLogsFromS3.py --loco 4018 --day 2017-09-30</t>
  </si>
  <si>
    <t>start /low /b %USERPROFILE%\Documents\GitHub\eaglep3\Utilities\DownloadLogsFromS3.py --loco 4051 --day 2017-09-30</t>
  </si>
  <si>
    <t>start /low /b %USERPROFILE%\Documents\GitHub\eaglep3\Utilities\DownloadLogsFromS3.py --loco 4052 --day 2017-10-01</t>
  </si>
  <si>
    <t>start /low /b %USERPROFILE%\Documents\GitHub\eaglep3\Utilities\DownloadLogsFromS3.py --loco 4051 --day 2017-10-01</t>
  </si>
  <si>
    <t>start /low /b %USERPROFILE%\Documents\GitHub\eaglep3\Utilities\DownloadLogsFromS3.py --loco 4009 --day 2017-09-30</t>
  </si>
  <si>
    <t>start /low /b %USERPROFILE%\Documents\GitHub\eaglep3\Utilities\DownloadLogsFromS3.py --loco 4046 --day 2017-09-30</t>
  </si>
  <si>
    <t>start /low /b %USERPROFILE%\Documents\GitHub\eaglep3\Utilities\DownloadLogsFromS3.py --loco 4039 --day 2017-09-30</t>
  </si>
  <si>
    <t>start /low /b %USERPROFILE%\Documents\GitHub\eaglep3\Utilities\DownloadLogsFromS3.py --loco 4040 --day 2017-10-01</t>
  </si>
  <si>
    <t>start /low /b %USERPROFILE%\Documents\GitHub\eaglep3\Utilities\DownloadLogsFromS3.py --loco 4039 --day 2017-10-01</t>
  </si>
  <si>
    <t>start /low /b %USERPROFILE%\Documents\GitHub\eaglep3\Utilities\DownloadLogsFromS3.py --loco 4052 --day 2017-09-30</t>
  </si>
  <si>
    <t>start /low /b %USERPROFILE%\Documents\GitHub\eaglep3\Utilities\DownloadLogsFromS3.py --loco 4010 --day 2017-09-30</t>
  </si>
  <si>
    <t>start /low /b %USERPROFILE%\Documents\GitHub\eaglep3\Utilities\DownloadLogsFromS3.py --loco 4027 --day 2017-09-30</t>
  </si>
  <si>
    <t>start /low /b %USERPROFILE%\Documents\GitHub\eaglep3\Utilities\DownloadLogsFromS3.py --loco 4028 --day 2017-09-30</t>
  </si>
  <si>
    <t>start /low /b %USERPROFILE%\Documents\GitHub\eaglep3\Utilities\DownloadLogsFromS3.py --loco 4020 --day 2017-09-30</t>
  </si>
  <si>
    <t>Selected wrong track at first</t>
  </si>
  <si>
    <t>Onboard in-route failure</t>
  </si>
  <si>
    <t>Selected wrong track</t>
  </si>
  <si>
    <t>Maintenance at York XING</t>
  </si>
  <si>
    <t>Overspeed</t>
  </si>
  <si>
    <t>Y</t>
  </si>
  <si>
    <t>Poor GPS at Wawetta St overpass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</si>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</sst>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0" xfId="0" applyNumberFormat="1"/>
    <xf numFmtId="169" fontId="0" fillId="0" borderId="5" xfId="0" applyNumberFormat="1" applyFill="1" applyBorder="1"/>
    <xf numFmtId="169" fontId="1" fillId="0" borderId="0" xfId="0" applyNumberFormat="1" applyFo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5" fillId="0" borderId="0" xfId="0" applyNumberFormat="1" applyFont="1" applyAlignment="1">
      <alignment horizontal="left"/>
    </xf>
    <xf numFmtId="0" fontId="0" fillId="0" borderId="0" xfId="0" applyNumberFormat="1" applyFill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left" vertical="center" wrapText="1"/>
    </xf>
    <xf numFmtId="0" fontId="9" fillId="6" borderId="0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Fill="1"/>
    <xf numFmtId="0" fontId="9" fillId="6" borderId="0" xfId="0" applyNumberFormat="1" applyFont="1" applyFill="1"/>
    <xf numFmtId="0" fontId="5" fillId="8" borderId="0" xfId="0" applyNumberFormat="1" applyFont="1" applyFill="1"/>
    <xf numFmtId="0" fontId="0" fillId="6" borderId="0" xfId="0" applyNumberFormat="1" applyFill="1"/>
    <xf numFmtId="0" fontId="0" fillId="0" borderId="0" xfId="2" applyNumberFormat="1" applyFont="1" applyAlignment="1">
      <alignment horizontal="left"/>
    </xf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28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3" customWidth="1"/>
    <col min="19" max="19" width="6" style="225" customWidth="1"/>
    <col min="20" max="20" width="3.85546875" style="160" customWidth="1"/>
    <col min="21" max="21" width="5" style="192" customWidth="1"/>
    <col min="22" max="22" width="5.7109375" style="219" customWidth="1"/>
    <col min="23" max="23" width="3.85546875" style="193" customWidth="1"/>
    <col min="24" max="24" width="6.5703125" style="193" customWidth="1"/>
    <col min="25" max="25" width="8.85546875" style="193" customWidth="1"/>
    <col min="26" max="26" width="7.28515625" style="193" customWidth="1"/>
    <col min="27" max="27" width="9.140625" style="193"/>
    <col min="28" max="28" width="10.7109375" style="194" hidden="1" customWidth="1"/>
    <col min="29" max="29" width="9.42578125" style="194" hidden="1" customWidth="1"/>
    <col min="30" max="30" width="7.85546875" style="192" customWidth="1"/>
    <col min="31" max="31" width="4.5703125" style="220" customWidth="1"/>
    <col min="32" max="32" width="6.28515625" style="66" customWidth="1"/>
    <col min="33" max="33" width="3.7109375" style="160" customWidth="1"/>
    <col min="34" max="34" width="5" style="70" customWidth="1"/>
    <col min="35" max="35" width="5.7109375" style="83" customWidth="1"/>
    <col min="36" max="36" width="9.85546875" customWidth="1"/>
    <col min="37" max="37" width="5" customWidth="1"/>
    <col min="38" max="38" width="4.140625" customWidth="1"/>
    <col min="39" max="39" width="9.140625" style="134"/>
    <col min="41" max="41" width="3.7109375" style="160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1"/>
      <c r="M1" s="35"/>
      <c r="N1" s="36"/>
      <c r="O1" s="2"/>
      <c r="P1" s="2"/>
      <c r="R1" s="152" t="s">
        <v>103</v>
      </c>
      <c r="S1" s="221"/>
      <c r="T1" s="161"/>
      <c r="U1" s="190"/>
      <c r="V1" s="191"/>
      <c r="W1" s="190"/>
      <c r="X1" s="192"/>
      <c r="Y1" s="193"/>
      <c r="Z1" s="193"/>
      <c r="AA1" s="193"/>
      <c r="AB1" s="194"/>
      <c r="AC1" s="194"/>
      <c r="AD1" s="192"/>
      <c r="AE1" s="195"/>
      <c r="AF1" s="1"/>
      <c r="AG1" s="172"/>
      <c r="AH1" s="47"/>
      <c r="AI1" s="1"/>
      <c r="AM1" s="134"/>
      <c r="AO1" s="160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1">
        <f>Variables!$A$2</f>
        <v>43008</v>
      </c>
      <c r="J2" s="52"/>
      <c r="K2" s="53"/>
      <c r="L2" s="162"/>
      <c r="M2" s="54" t="s">
        <v>8</v>
      </c>
      <c r="N2" s="55"/>
      <c r="O2" s="56"/>
      <c r="P2" s="2"/>
      <c r="R2" s="51">
        <f>Variables!$A$2</f>
        <v>43008</v>
      </c>
      <c r="S2" s="222"/>
      <c r="T2" s="162"/>
      <c r="U2" s="196"/>
      <c r="V2" s="197" t="s">
        <v>8</v>
      </c>
      <c r="W2" s="198"/>
      <c r="X2" s="199"/>
      <c r="Y2" s="193"/>
      <c r="Z2" s="193"/>
      <c r="AA2" s="193"/>
      <c r="AB2" s="194"/>
      <c r="AC2" s="194"/>
      <c r="AD2" s="192"/>
      <c r="AE2" s="195"/>
      <c r="AF2" s="1"/>
      <c r="AG2" s="172"/>
      <c r="AH2" s="47"/>
      <c r="AI2" s="1"/>
      <c r="AM2" s="134"/>
      <c r="AO2" s="160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57" t="s">
        <v>10</v>
      </c>
      <c r="J3" s="58"/>
      <c r="K3" s="59"/>
      <c r="L3" s="163"/>
      <c r="M3" s="37" t="s">
        <v>11</v>
      </c>
      <c r="N3" s="38" t="s">
        <v>12</v>
      </c>
      <c r="O3" s="3" t="s">
        <v>13</v>
      </c>
      <c r="P3" s="2"/>
      <c r="R3" s="154" t="s">
        <v>10</v>
      </c>
      <c r="S3" s="223"/>
      <c r="T3" s="163"/>
      <c r="U3" s="200"/>
      <c r="V3" s="201" t="s">
        <v>11</v>
      </c>
      <c r="W3" s="202" t="s">
        <v>12</v>
      </c>
      <c r="X3" s="203" t="s">
        <v>13</v>
      </c>
      <c r="Y3" s="193"/>
      <c r="Z3" s="193"/>
      <c r="AA3" s="193"/>
      <c r="AB3" s="194"/>
      <c r="AC3" s="194"/>
      <c r="AD3" s="192"/>
      <c r="AE3" s="195"/>
      <c r="AF3" s="1"/>
      <c r="AG3" s="172"/>
      <c r="AH3" s="47"/>
      <c r="AI3" s="1"/>
      <c r="AM3" s="134"/>
      <c r="AO3" s="160"/>
    </row>
    <row r="4" spans="1:91" s="20" customFormat="1" ht="15.75" thickBot="1" x14ac:dyDescent="0.3">
      <c r="A4" s="34"/>
      <c r="B4" s="36"/>
      <c r="C4" s="27"/>
      <c r="D4" s="27"/>
      <c r="E4" s="33"/>
      <c r="F4" s="152"/>
      <c r="G4" s="36"/>
      <c r="H4" s="33"/>
      <c r="I4" s="60" t="s">
        <v>14</v>
      </c>
      <c r="J4" s="48">
        <f>SUM(J5:J7)</f>
        <v>146</v>
      </c>
      <c r="K4" s="39"/>
      <c r="L4" s="164"/>
      <c r="M4" s="40" t="s">
        <v>15</v>
      </c>
      <c r="N4" s="38" t="s">
        <v>15</v>
      </c>
      <c r="O4" s="3" t="s">
        <v>15</v>
      </c>
      <c r="P4" s="2"/>
      <c r="R4" s="155" t="s">
        <v>14</v>
      </c>
      <c r="S4" s="224">
        <f>SUM(S5:S7)</f>
        <v>36</v>
      </c>
      <c r="T4" s="164"/>
      <c r="U4" s="204"/>
      <c r="V4" s="201" t="s">
        <v>15</v>
      </c>
      <c r="W4" s="202" t="s">
        <v>15</v>
      </c>
      <c r="X4" s="203" t="s">
        <v>15</v>
      </c>
      <c r="Y4" s="193"/>
      <c r="Z4" s="193"/>
      <c r="AA4" s="193"/>
      <c r="AB4" s="194"/>
      <c r="AC4" s="194"/>
      <c r="AD4" s="192"/>
      <c r="AE4" s="195"/>
      <c r="AF4" s="1"/>
      <c r="AG4" s="172"/>
      <c r="AH4" s="47"/>
      <c r="AI4" s="1"/>
      <c r="AM4" s="134"/>
      <c r="AO4" s="160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0" t="s">
        <v>17</v>
      </c>
      <c r="J5" s="48">
        <f>COUNTIFS($N$13:$N$9371,"&gt;0",$AG$13:$AG$9371,I1)</f>
        <v>146</v>
      </c>
      <c r="K5" s="39"/>
      <c r="L5" s="164"/>
      <c r="M5" s="40">
        <f>AVERAGEIFS($N$13:$N$9371,$AG$13:$AG$9371,I1)</f>
        <v>37.558789954685018</v>
      </c>
      <c r="N5" s="38">
        <f t="array" ref="N5">MIN(IF($AG$13:$AG$9371=I1,IF(ISNUMBER($N$13:$N$9371),IF($N$13:$N$9371&gt;0,$N$13:$N$9371))))</f>
        <v>33.466666663298383</v>
      </c>
      <c r="O5" s="3">
        <f t="array" ref="O5">MAX(IF($AG$13:$AG$9371=I1,IF(ISNUMBER($N$13:$N$9371),IF($N$13:$N$9371&gt;0,$N$13:$N$9371))))</f>
        <v>48.616666663438082</v>
      </c>
      <c r="P5" s="2"/>
      <c r="R5" s="155" t="s">
        <v>17</v>
      </c>
      <c r="S5" s="224">
        <f>COUNTIFS($N$13:$N$9371,"&gt;0",$AG$13:$AG$9371,R1)</f>
        <v>35</v>
      </c>
      <c r="T5" s="164"/>
      <c r="U5" s="204"/>
      <c r="V5" s="201">
        <f>AVERAGEIFS($N$13:$N$9371,$AG$13:$AG$9371,R1)</f>
        <v>15.510952381350632</v>
      </c>
      <c r="W5" s="202">
        <f t="array" ref="W5">MIN(IF($AG$13:$AG$9371=R1,IF(ISNUMBER($N$13:$N$9371),IF($N$13:$N$9371&gt;0,$N$13:$N$9371))))</f>
        <v>12.883333327481523</v>
      </c>
      <c r="X5" s="203">
        <f t="array" ref="X5">MAX(IF($AG$13:$AG$9371=R1,IF(ISNUMBER($N$13:$N$9371),IF($N$13:$N$9371&gt;0,$N$13:$N$9371))))</f>
        <v>19.916666670469567</v>
      </c>
      <c r="Y5" s="193"/>
      <c r="Z5" s="193"/>
      <c r="AA5" s="193"/>
      <c r="AB5" s="194"/>
      <c r="AC5" s="194"/>
      <c r="AD5" s="192"/>
      <c r="AE5" s="195"/>
      <c r="AF5" s="1"/>
      <c r="AG5" s="172"/>
      <c r="AH5" s="47"/>
      <c r="AI5" s="1"/>
      <c r="AM5" s="134"/>
      <c r="AO5" s="160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1" t="s">
        <v>43</v>
      </c>
      <c r="J6" s="48">
        <f>COUNT($O$13:$O$151)</f>
        <v>0</v>
      </c>
      <c r="K6" s="39"/>
      <c r="L6" s="164"/>
      <c r="M6" s="40">
        <f>IFERROR(AVERAGE($O$13:$O$151),0)</f>
        <v>0</v>
      </c>
      <c r="N6" s="38">
        <f>MIN($O$13:$O$151)</f>
        <v>0</v>
      </c>
      <c r="O6" s="3">
        <f>MAX($O$13:$O$151)</f>
        <v>0</v>
      </c>
      <c r="P6" s="2"/>
      <c r="R6" s="156" t="s">
        <v>43</v>
      </c>
      <c r="S6" s="224">
        <f>COUNT($O$13:$O$151)</f>
        <v>0</v>
      </c>
      <c r="T6" s="164"/>
      <c r="U6" s="204"/>
      <c r="V6" s="201">
        <f>IFERROR(AVERAGE($O$13:$O$151),0)</f>
        <v>0</v>
      </c>
      <c r="W6" s="202">
        <f>MIN($O$13:$O$151)</f>
        <v>0</v>
      </c>
      <c r="X6" s="203">
        <f>MAX($O$13:$O$151)</f>
        <v>0</v>
      </c>
      <c r="Y6" s="193"/>
      <c r="Z6" s="193"/>
      <c r="AA6" s="193"/>
      <c r="AB6" s="194"/>
      <c r="AC6" s="194"/>
      <c r="AD6" s="192"/>
      <c r="AE6" s="195"/>
      <c r="AF6" s="1"/>
      <c r="AG6" s="172"/>
      <c r="AH6" s="47"/>
      <c r="AI6" s="1"/>
      <c r="AM6" s="134"/>
      <c r="AO6" s="160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2" t="s">
        <v>9</v>
      </c>
      <c r="J7" s="48">
        <f>COUNTIFS($P$13:$P$9371,"&gt;0",$AG$13:$AG$9371,I1)</f>
        <v>0</v>
      </c>
      <c r="K7" s="39"/>
      <c r="L7" s="164"/>
      <c r="M7" s="38" t="s">
        <v>15</v>
      </c>
      <c r="N7" s="38" t="s">
        <v>15</v>
      </c>
      <c r="O7" s="3" t="s">
        <v>15</v>
      </c>
      <c r="P7" s="2"/>
      <c r="R7" s="157" t="s">
        <v>9</v>
      </c>
      <c r="S7" s="224">
        <f>COUNTIFS($P$13:$P$9371,"&gt;0",$AG$13:$AG$9371,R1)</f>
        <v>1</v>
      </c>
      <c r="T7" s="164"/>
      <c r="U7" s="204"/>
      <c r="V7" s="201" t="s">
        <v>15</v>
      </c>
      <c r="W7" s="202" t="s">
        <v>15</v>
      </c>
      <c r="X7" s="203" t="s">
        <v>15</v>
      </c>
      <c r="Y7" s="193"/>
      <c r="Z7" s="193"/>
      <c r="AA7" s="193"/>
      <c r="AB7" s="194"/>
      <c r="AC7" s="194"/>
      <c r="AD7" s="192"/>
      <c r="AE7" s="195"/>
      <c r="AF7" s="1"/>
      <c r="AG7" s="172"/>
      <c r="AH7" s="47"/>
      <c r="AI7" s="1"/>
      <c r="AM7" s="134"/>
      <c r="AO7" s="160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0" t="s">
        <v>16</v>
      </c>
      <c r="J8" s="48">
        <f>J5</f>
        <v>146</v>
      </c>
      <c r="K8" s="39"/>
      <c r="L8" s="164"/>
      <c r="M8" s="40">
        <f>M5</f>
        <v>37.558789954685018</v>
      </c>
      <c r="N8" s="38">
        <f>N5</f>
        <v>33.466666663298383</v>
      </c>
      <c r="O8" s="3">
        <f>O5</f>
        <v>48.616666663438082</v>
      </c>
      <c r="P8" s="2"/>
      <c r="R8" s="155" t="s">
        <v>16</v>
      </c>
      <c r="S8" s="224">
        <f>S5</f>
        <v>35</v>
      </c>
      <c r="T8" s="164"/>
      <c r="U8" s="204"/>
      <c r="V8" s="201">
        <f>V5</f>
        <v>15.510952381350632</v>
      </c>
      <c r="W8" s="202">
        <f>W5</f>
        <v>12.883333327481523</v>
      </c>
      <c r="X8" s="203">
        <f>X5</f>
        <v>19.916666670469567</v>
      </c>
      <c r="Y8" s="193"/>
      <c r="Z8" s="193"/>
      <c r="AA8" s="193"/>
      <c r="AB8" s="194"/>
      <c r="AC8" s="194"/>
      <c r="AD8" s="192"/>
      <c r="AE8" s="195"/>
      <c r="AF8" s="1"/>
      <c r="AG8" s="172"/>
      <c r="AH8" s="47"/>
      <c r="AI8" s="1"/>
      <c r="AM8" s="134"/>
      <c r="AO8" s="160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0" t="s">
        <v>19</v>
      </c>
      <c r="J9" s="115">
        <f>J8/J4</f>
        <v>1</v>
      </c>
      <c r="K9" s="41"/>
      <c r="L9" s="161"/>
      <c r="M9" s="63"/>
      <c r="N9" s="36"/>
      <c r="O9" s="64"/>
      <c r="P9" s="2"/>
      <c r="R9" s="155" t="s">
        <v>19</v>
      </c>
      <c r="S9" s="221">
        <f>S8/S4</f>
        <v>0.97222222222222221</v>
      </c>
      <c r="T9" s="161"/>
      <c r="U9" s="190"/>
      <c r="V9" s="205"/>
      <c r="W9" s="190"/>
      <c r="X9" s="206"/>
      <c r="Y9" s="193"/>
      <c r="Z9" s="193"/>
      <c r="AA9" s="193"/>
      <c r="AB9" s="194"/>
      <c r="AC9" s="194"/>
      <c r="AD9" s="192"/>
      <c r="AE9" s="195"/>
      <c r="AF9" s="1"/>
      <c r="AG9" s="172"/>
      <c r="AH9" s="47"/>
      <c r="AI9" s="1"/>
      <c r="AM9" s="134"/>
      <c r="AO9" s="160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1"/>
      <c r="M10" s="35"/>
      <c r="N10" s="36"/>
      <c r="O10" s="2"/>
      <c r="P10" s="2"/>
      <c r="R10" s="153"/>
      <c r="S10" s="225"/>
      <c r="T10" s="160"/>
      <c r="U10" s="192"/>
      <c r="V10" s="207"/>
      <c r="W10" s="193"/>
      <c r="X10" s="193"/>
      <c r="Y10" s="193"/>
      <c r="Z10" s="193"/>
      <c r="AA10" s="193"/>
      <c r="AB10" s="194"/>
      <c r="AC10" s="194"/>
      <c r="AD10" s="192"/>
      <c r="AE10" s="195"/>
      <c r="AF10" s="1"/>
      <c r="AG10" s="172"/>
      <c r="AH10" s="47"/>
      <c r="AI10" s="1"/>
      <c r="AM10" s="134"/>
      <c r="AO10" s="160"/>
    </row>
    <row r="11" spans="1:91" ht="16.5" thickBot="1" x14ac:dyDescent="0.3">
      <c r="A11" s="188" t="str">
        <f>"Eagle P3 System Performance - "&amp;TEXT(Variables!A2,"yyyy-mm-dd")</f>
        <v>Eagle P3 System Performance - 2017-09-30</v>
      </c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S11" s="226">
        <f>AVERAGE(S13:S110)</f>
        <v>1</v>
      </c>
      <c r="V11" s="207"/>
      <c r="AE11" s="195"/>
      <c r="AF11" s="1"/>
      <c r="AG11" s="17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65" t="s">
        <v>54</v>
      </c>
      <c r="L12" s="17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58" t="s">
        <v>24</v>
      </c>
      <c r="S12" s="227" t="s">
        <v>63</v>
      </c>
      <c r="T12" s="165" t="s">
        <v>64</v>
      </c>
      <c r="U12" s="208" t="s">
        <v>65</v>
      </c>
      <c r="V12" s="209" t="s">
        <v>45</v>
      </c>
      <c r="W12" s="210" t="s">
        <v>23</v>
      </c>
      <c r="X12" s="210" t="s">
        <v>48</v>
      </c>
      <c r="Y12" s="210" t="s">
        <v>20</v>
      </c>
      <c r="Z12" s="210" t="s">
        <v>21</v>
      </c>
      <c r="AA12" s="210" t="s">
        <v>22</v>
      </c>
      <c r="AB12" s="211" t="s">
        <v>39</v>
      </c>
      <c r="AC12" s="211" t="s">
        <v>40</v>
      </c>
      <c r="AD12" s="210" t="s">
        <v>82</v>
      </c>
      <c r="AE12" s="212" t="s">
        <v>89</v>
      </c>
      <c r="AF12" s="67" t="s">
        <v>93</v>
      </c>
      <c r="AG12" s="169" t="s">
        <v>104</v>
      </c>
      <c r="AH12" s="71" t="s">
        <v>106</v>
      </c>
      <c r="AI12" s="87" t="s">
        <v>142</v>
      </c>
      <c r="AJ12" s="46" t="s">
        <v>143</v>
      </c>
      <c r="AK12" s="46" t="s">
        <v>116</v>
      </c>
      <c r="AL12" s="46" t="s">
        <v>144</v>
      </c>
      <c r="AM12" s="135" t="s">
        <v>190</v>
      </c>
      <c r="AN12" s="46" t="s">
        <v>332</v>
      </c>
      <c r="AO12" s="169" t="s">
        <v>407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630</v>
      </c>
      <c r="B13" s="7">
        <v>4028</v>
      </c>
      <c r="C13" s="21" t="s">
        <v>195</v>
      </c>
      <c r="D13" s="21" t="s">
        <v>836</v>
      </c>
      <c r="E13" s="13">
        <v>43008.124178240738</v>
      </c>
      <c r="F13" s="13">
        <v>43008.135601851849</v>
      </c>
      <c r="G13" s="7">
        <v>142</v>
      </c>
      <c r="H13" s="21" t="s">
        <v>468</v>
      </c>
      <c r="I13" s="13">
        <v>43008.161238425928</v>
      </c>
      <c r="J13" s="7">
        <v>0</v>
      </c>
      <c r="K13" s="81" t="str">
        <f t="shared" ref="K13:K76" si="0">IF(ISEVEN(B13),(B13-1)&amp;"/"&amp;B13,B13&amp;"/"&amp;(B13+1))</f>
        <v>4027/4028</v>
      </c>
      <c r="L13" s="175" t="str">
        <f>VLOOKUP(A13,'Trips&amp;Operators'!$C$1:$G$99911,5,FALSE)</f>
        <v>DE LA ROSA ALEX</v>
      </c>
      <c r="M13" s="6">
        <f t="shared" ref="M13:M76" si="1">I13-F13</f>
        <v>2.5636574078816921E-2</v>
      </c>
      <c r="N13" s="7">
        <f t="shared" ref="N13:N39" si="2">24*60*SUM($M13:$M13)</f>
        <v>36.916666673496366</v>
      </c>
      <c r="O13" s="7"/>
      <c r="P13" s="7"/>
      <c r="Q13" s="22"/>
      <c r="R13" s="159"/>
      <c r="S13" s="228">
        <f t="shared" ref="S13:S39" si="3">1/IF(AG13="EC",12,1)*SUM(U13:U13)</f>
        <v>1</v>
      </c>
      <c r="T13" s="166" t="str">
        <f t="shared" ref="T13:T76" si="4">IF(ISEVEN(LEFT(AD13,4)),"Southbound","NorthBound")</f>
        <v>NorthBound</v>
      </c>
      <c r="U13" s="21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-30T01:58:49-0600',mode:absolute,to:'2017-09-30T04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215" t="str">
        <f>IF(AA13&lt;VLOOKUP(AG13,Variables!$AC$3:$AD$8,2,FALSE),"Y","N")</f>
        <v>N</v>
      </c>
      <c r="X13" s="215" t="e">
        <f t="shared" ref="X13:X76" si="6">VALUE(LEFT(AD13,4))-VALUE(LEFT(AD12,4))</f>
        <v>#VALUE!</v>
      </c>
      <c r="Y13" s="215">
        <f t="shared" ref="Y13:Y44" si="7">RIGHT(D13,LEN(D13)-4)/10000</f>
        <v>7.4399999999999994E-2</v>
      </c>
      <c r="Z13" s="215">
        <f t="shared" ref="Z13:Z44" si="8">RIGHT(H13,LEN(H13)-4)/10000</f>
        <v>23.328199999999999</v>
      </c>
      <c r="AA13" s="215">
        <f t="shared" ref="AA13:AA76" si="9">ABS(Z13-Y13)</f>
        <v>23.253799999999998</v>
      </c>
      <c r="AB13" s="216" t="e">
        <f>VLOOKUP(A13,Enforcements!$C$7:$K$11,8,0)</f>
        <v>#N/A</v>
      </c>
      <c r="AC13" s="216" t="e">
        <f>VLOOKUP(A13,Enforcements!$C$7:$E$11,3,0)</f>
        <v>#N/A</v>
      </c>
      <c r="AD13" s="217">
        <f t="shared" ref="AD13:AD76" si="10">VALUE(LEFT(A13,LEN(A13)-3))</f>
        <v>101</v>
      </c>
      <c r="AE13" s="218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13" s="68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/stypes="app*4028*20170930*" /stext=" 09:.+((SYSTEM_STATE.+slice.+state.+changed )|(ment ac)|(multiple cpu faults)|(system.+state.+changed )|(\[timeout)|(PRM\|1\|D)|(kpr)|(kdp)|(train st.+moving)|(\|lc)|(penalty))"</v>
      </c>
      <c r="AG13" s="172" t="str">
        <f t="shared" ref="AG13:AG76" si="13">DetSubdiv(A13)</f>
        <v>EC</v>
      </c>
      <c r="AH13" s="70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4028 --swversion DE.1.0.9.0 --startMP 204:744 --initTime 2017-09-30T02:58:49 --startdatetime 2017-09-30T03:15:16 --delay 142 --endMP 204:233282 --enddatetime 2017-09-30T03:52:11 --enforcementcount 0 &gt;&gt;c:\users\stu\Documents\GitHub\eaglep3-reporting\EC\2017-09-30-refined-times.txt</v>
      </c>
      <c r="AI13" s="88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{"issue":{"subject":"","project_id":79,"tracker_id":40,"status_id":1,"priority_id":2,"assigned_to_id":338,"start_date":"2017-09-30","description":"","custom_fields":[{"id":1,"name":"Subdivision","value":"EC"},{"id":4,"name":"Milepost","value":"23.3282"},{"id":17,"name":"Train ID","value":"101-30"},{"id":16,"name":"Locomotive ID","value":"4028"},{"id":130,"name":"Impact","value":""},{"id":150,"name":"Time of Event (Mountain Time)","value":"03:52:11"},{"id":151,"name":"Denver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34" t="str">
        <f t="shared" ref="AM13" si="16">"start /low /b "&amp;dls3logs&amp;" --loco "&amp;B13&amp;" --day "&amp;TEXT(F13,"YYYY-MM-DD")</f>
        <v>start /low /b %USERPROFILE%\Documents\GitHub\eaglep3\Utilities\DownloadLogsFromS3.py --loco 4028 --day 2017-09-30</v>
      </c>
      <c r="AN13" s="143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09:52:11"},{"id":29,"name":"Sharepoint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0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-30T01:58:49-0600',mode:absolute,to:'2017-09-30T04:52:11-0600'))&amp;_a=(columns:!('Message%20ID',Summary),filters:!(),index:'emp_*',interval:auto,query:(query_string:(analyze_wildcard:!t,query:'%22rtdc.l.rtdc.4028%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639</v>
      </c>
      <c r="B14" s="7">
        <v>4027</v>
      </c>
      <c r="C14" s="21" t="s">
        <v>195</v>
      </c>
      <c r="D14" s="21" t="s">
        <v>837</v>
      </c>
      <c r="E14" s="13">
        <v>43008.171956018516</v>
      </c>
      <c r="F14" s="13">
        <v>43008.17528935185</v>
      </c>
      <c r="G14" s="7">
        <v>165</v>
      </c>
      <c r="H14" s="21" t="s">
        <v>390</v>
      </c>
      <c r="I14" s="13">
        <v>43008.202060185184</v>
      </c>
      <c r="J14" s="7">
        <v>0</v>
      </c>
      <c r="K14" s="81" t="str">
        <f t="shared" si="0"/>
        <v>4027/4028</v>
      </c>
      <c r="L14" s="175" t="str">
        <f>VLOOKUP(A14,'Trips&amp;Operators'!$C$1:$G$99911,5,FALSE)</f>
        <v>DE LA ROSA ALEX</v>
      </c>
      <c r="M14" s="6">
        <f t="shared" si="1"/>
        <v>2.6770833334012423E-2</v>
      </c>
      <c r="N14" s="7">
        <f t="shared" si="2"/>
        <v>38.550000000977889</v>
      </c>
      <c r="O14" s="7"/>
      <c r="P14" s="7"/>
      <c r="Q14" s="22"/>
      <c r="R14" s="166"/>
      <c r="S14" s="228">
        <f t="shared" si="3"/>
        <v>1</v>
      </c>
      <c r="T14" s="166" t="str">
        <f t="shared" si="4"/>
        <v>Southbound</v>
      </c>
      <c r="U14" s="21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4" t="str">
        <f t="shared" si="5"/>
        <v>https://d0f6bd738d7f1b3e5a7ca70fe4ff75f0.us-east-1.aws.found.io/app/kibana#/discover/Steve-Slow-Train-Analysis-(2080s-and-2083s)?_g=(refreshInterval:(display:Off,pause:!f,section:0,value:0),time:(from:'2017-09-30T03:07:37-0600',mode:absolute,to:'2017-09-30T05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" s="215" t="str">
        <f>IF(AA14&lt;VLOOKUP(AG14,Variables!$AC$3:$AD$8,2,FALSE),"Y","N")</f>
        <v>N</v>
      </c>
      <c r="X14" s="215">
        <f t="shared" si="6"/>
        <v>1</v>
      </c>
      <c r="Y14" s="215">
        <f t="shared" si="7"/>
        <v>23.296700000000001</v>
      </c>
      <c r="Z14" s="215">
        <f t="shared" si="8"/>
        <v>1.54E-2</v>
      </c>
      <c r="AA14" s="215">
        <f t="shared" si="9"/>
        <v>23.281300000000002</v>
      </c>
      <c r="AB14" s="216" t="e">
        <f>VLOOKUP(A14,Enforcements!$C$7:$K$11,8,0)</f>
        <v>#N/A</v>
      </c>
      <c r="AC14" s="216" t="e">
        <f>VLOOKUP(A14,Enforcements!$C$7:$E$11,3,0)</f>
        <v>#N/A</v>
      </c>
      <c r="AD14" s="217">
        <f t="shared" si="10"/>
        <v>102</v>
      </c>
      <c r="AE14" s="218" t="str">
        <f t="shared" si="11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14" s="68" t="str">
        <f t="shared" si="12"/>
        <v>"C:\Program Files (x86)\AstroGrep\AstroGrep.exe" /e /r /s /spath="%USERPROFILE%\AppData\Local\Temp\OnboardLogs" /stypes="app*4027*20170930*" /stext=" 10:.+((SYSTEM_STATE.+slice.+state.+changed )|(ment ac)|(multiple cpu faults)|(system.+state.+changed )|(\[timeout)|(PRM\|1\|D)|(kpr)|(kdp)|(train st.+moving)|(\|lc)|(penalty))"</v>
      </c>
      <c r="AG14" s="172" t="str">
        <f t="shared" si="13"/>
        <v>EC</v>
      </c>
      <c r="AH14" s="70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4027 --swversion DE.1.0.9.0 --startMP 204:232967 --initTime 2017-09-30T04:07:37 --startdatetime 2017-09-30T04:12:25 --delay 165 --endMP 204:154 --enddatetime 2017-09-30T04:50:58 --enforcementcount 0 &gt;&gt;c:\users\stu\Documents\GitHub\eaglep3-reporting\EC\2017-09-30-refined-times.txt</v>
      </c>
      <c r="AI14" s="88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{"issue":{"subject":"","project_id":79,"tracker_id":40,"status_id":1,"priority_id":2,"assigned_to_id":338,"start_date":"2017-09-30","description":"","custom_fields":[{"id":1,"name":"Subdivision","value":"EC"},{"id":4,"name":"Milepost","value":"0.0154"},{"id":17,"name":"Train ID","value":"102-30"},{"id":16,"name":"Locomotive ID","value":"4027"},{"id":130,"name":"Impact","value":""},{"id":150,"name":"Time of Event (Mountain Time)","value":"04:50:58"},{"id":151,"name":"Denver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34" t="str">
        <f t="shared" ref="AM14:AM77" si="21">"start /low /b "&amp;dls3logs&amp;" --loco "&amp;B14&amp;" --day "&amp;TEXT(F14,"YYYY-MM-DD")</f>
        <v>start /low /b %USERPROFILE%\Documents\GitHub\eaglep3\Utilities\DownloadLogsFromS3.py --loco 4027 --day 2017-09-30</v>
      </c>
      <c r="AN14" s="143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10:50:58"},{"id":29,"name":"Sharepoint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-30T03:07:37-0600',mode:absolute,to:'2017-09-30T05:50:58-0600'))&amp;_a=(columns:!('Message%20ID',Summary),filters:!(),index:'emp_*',interval:auto,query:(query_string:(analyze_wildcard:!t,query:'%22rtdc.l.rtdc.4027%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633</v>
      </c>
      <c r="B15" s="7">
        <v>4010</v>
      </c>
      <c r="C15" s="21" t="s">
        <v>195</v>
      </c>
      <c r="D15" s="21" t="s">
        <v>405</v>
      </c>
      <c r="E15" s="13">
        <v>43008.148321759261</v>
      </c>
      <c r="F15" s="13">
        <v>43008.156458333331</v>
      </c>
      <c r="G15" s="7">
        <v>92</v>
      </c>
      <c r="H15" s="21" t="s">
        <v>559</v>
      </c>
      <c r="I15" s="13">
        <v>43008.181122685186</v>
      </c>
      <c r="J15" s="7">
        <v>0</v>
      </c>
      <c r="K15" s="81" t="str">
        <f t="shared" si="0"/>
        <v>4009/4010</v>
      </c>
      <c r="L15" s="175" t="str">
        <f>VLOOKUP(A15,'Trips&amp;Operators'!$C$1:$G$99911,5,FALSE)</f>
        <v>MAELZER KURT</v>
      </c>
      <c r="M15" s="6">
        <f t="shared" si="1"/>
        <v>2.4664351854880806E-2</v>
      </c>
      <c r="N15" s="7">
        <f t="shared" si="2"/>
        <v>35.516666671028361</v>
      </c>
      <c r="O15" s="7"/>
      <c r="P15" s="7"/>
      <c r="Q15" s="22"/>
      <c r="R15" s="166"/>
      <c r="S15" s="228">
        <f t="shared" si="3"/>
        <v>1</v>
      </c>
      <c r="T15" s="166" t="str">
        <f t="shared" si="4"/>
        <v>NorthBound</v>
      </c>
      <c r="U15" s="21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4" t="str">
        <f t="shared" si="5"/>
        <v>https://d0f6bd738d7f1b3e5a7ca70fe4ff75f0.us-east-1.aws.found.io/app/kibana#/discover/Steve-Slow-Train-Analysis-(2080s-and-2083s)?_g=(refreshInterval:(display:Off,pause:!f,section:0,value:0),time:(from:'2017-09-30T02:33:35-0600',mode:absolute,to:'2017-09-30T05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215" t="str">
        <f>IF(AA15&lt;VLOOKUP(AG15,Variables!$AC$3:$AD$8,2,FALSE),"Y","N")</f>
        <v>N</v>
      </c>
      <c r="X15" s="215">
        <f t="shared" si="6"/>
        <v>1</v>
      </c>
      <c r="Y15" s="215">
        <f t="shared" si="7"/>
        <v>4.5699999999999998E-2</v>
      </c>
      <c r="Z15" s="215">
        <f t="shared" si="8"/>
        <v>23.334499999999998</v>
      </c>
      <c r="AA15" s="215">
        <f t="shared" si="9"/>
        <v>23.288799999999998</v>
      </c>
      <c r="AB15" s="216" t="e">
        <f>VLOOKUP(A15,Enforcements!$C$7:$K$11,8,0)</f>
        <v>#N/A</v>
      </c>
      <c r="AC15" s="216" t="e">
        <f>VLOOKUP(A15,Enforcements!$C$7:$E$11,3,0)</f>
        <v>#N/A</v>
      </c>
      <c r="AD15" s="217">
        <f t="shared" si="10"/>
        <v>103</v>
      </c>
      <c r="AE15" s="218" t="str">
        <f t="shared" si="11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15" s="68" t="str">
        <f t="shared" si="12"/>
        <v>"C:\Program Files (x86)\AstroGrep\AstroGrep.exe" /e /r /s /spath="%USERPROFILE%\AppData\Local\Temp\OnboardLogs" /stypes="app*4010*20170930*" /stext=" 10:.+((SYSTEM_STATE.+slice.+state.+changed )|(ment ac)|(multiple cpu faults)|(system.+state.+changed )|(\[timeout)|(PRM\|1\|D)|(kpr)|(kdp)|(train st.+moving)|(\|lc)|(penalty))"</v>
      </c>
      <c r="AG15" s="172" t="str">
        <f t="shared" si="13"/>
        <v>EC</v>
      </c>
      <c r="AH15" s="70" t="str">
        <f t="shared" si="19"/>
        <v>"%USERPROFILE%\Documents\GitHub\eaglep3\Utilities\RefineRTDCRunTimes.py" --tripid 103-30 --locoid 4010 --swversion DE.1.0.9.0 --startMP 204:457 --initTime 2017-09-30T03:33:35 --startdatetime 2017-09-30T03:45:18 --delay 92 --endMP 204:233345 --enddatetime 2017-09-30T04:20:49 --enforcementcount 0 &gt;&gt;c:\users\stu\Documents\GitHub\eaglep3-reporting\EC\2017-09-30-refined-times.txt</v>
      </c>
      <c r="AI15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{"issue":{"subject":"","project_id":79,"tracker_id":40,"status_id":1,"priority_id":2,"assigned_to_id":338,"start_date":"2017-09-30","description":"","custom_fields":[{"id":1,"name":"Subdivision","value":"EC"},{"id":4,"name":"Milepost","value":"23.3345"},{"id":17,"name":"Train ID","value":"103-30"},{"id":16,"name":"Locomotive ID","value":"4010"},{"id":130,"name":"Impact","value":""},{"id":150,"name":"Time of Event (Mountain Time)","value":"04:20:49"},{"id":151,"name":"Denver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34" t="str">
        <f t="shared" si="21"/>
        <v>start /low /b %USERPROFILE%\Documents\GitHub\eaglep3\Utilities\DownloadLogsFromS3.py --loco 4010 --day 2017-09-30</v>
      </c>
      <c r="AN15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10:20:49"},{"id":29,"name":"Sharepoint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0" t="str">
        <f t="shared" si="23"/>
        <v>https://d0f6bd738d7f1b3e5a7ca70fe4ff75f0.us-east-1.aws.found.io/app/kibana#/discover/Steve-Slow-Train-Analysis-(2080s-and-2083s)?_g=(refreshInterval:(display:Off,pause:!f,section:0,value:0),time:(from:'2017-09-30T02:33:35-0600',mode:absolute,to:'2017-09-30T05:20:49-0600'))&amp;_a=(columns:!('Message%20ID',Summary),filters:!(),index:'emp_*',interval:auto,query:(query_string:(analyze_wildcard:!t,query:'%22rtdc.l.rtdc.4010%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643</v>
      </c>
      <c r="B16" s="7">
        <v>4009</v>
      </c>
      <c r="C16" s="21" t="s">
        <v>195</v>
      </c>
      <c r="D16" s="21" t="s">
        <v>560</v>
      </c>
      <c r="E16" s="13">
        <v>43008.185868055552</v>
      </c>
      <c r="F16" s="13">
        <v>43008.196006944447</v>
      </c>
      <c r="G16" s="7">
        <v>56</v>
      </c>
      <c r="H16" s="21" t="s">
        <v>361</v>
      </c>
      <c r="I16" s="13">
        <v>43008.222349537034</v>
      </c>
      <c r="J16" s="7">
        <v>0</v>
      </c>
      <c r="K16" s="81" t="str">
        <f t="shared" si="0"/>
        <v>4009/4010</v>
      </c>
      <c r="L16" s="175" t="str">
        <f>VLOOKUP(A16,'Trips&amp;Operators'!$C$1:$G$99911,5,FALSE)</f>
        <v>MAELZER KURT</v>
      </c>
      <c r="M16" s="6">
        <f t="shared" si="1"/>
        <v>2.6342592587752733E-2</v>
      </c>
      <c r="N16" s="7">
        <f t="shared" si="2"/>
        <v>37.933333326363936</v>
      </c>
      <c r="O16" s="7"/>
      <c r="P16" s="7"/>
      <c r="Q16" s="22"/>
      <c r="R16" s="166"/>
      <c r="S16" s="228">
        <f t="shared" si="3"/>
        <v>1</v>
      </c>
      <c r="T16" s="166" t="str">
        <f t="shared" si="4"/>
        <v>Southbound</v>
      </c>
      <c r="U16" s="21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4" t="str">
        <f t="shared" si="5"/>
        <v>https://d0f6bd738d7f1b3e5a7ca70fe4ff75f0.us-east-1.aws.found.io/app/kibana#/discover/Steve-Slow-Train-Analysis-(2080s-and-2083s)?_g=(refreshInterval:(display:Off,pause:!f,section:0,value:0),time:(from:'2017-09-30T03:27:39-0600',mode:absolute,to:'2017-09-30T06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215" t="str">
        <f>IF(AA16&lt;VLOOKUP(AG16,Variables!$AC$3:$AD$8,2,FALSE),"Y","N")</f>
        <v>N</v>
      </c>
      <c r="X16" s="215">
        <f t="shared" si="6"/>
        <v>1</v>
      </c>
      <c r="Y16" s="215">
        <f t="shared" si="7"/>
        <v>23.301500000000001</v>
      </c>
      <c r="Z16" s="215">
        <f t="shared" si="8"/>
        <v>1.38E-2</v>
      </c>
      <c r="AA16" s="215">
        <f t="shared" si="9"/>
        <v>23.287700000000001</v>
      </c>
      <c r="AB16" s="216" t="e">
        <f>VLOOKUP(A16,Enforcements!$C$7:$K$11,8,0)</f>
        <v>#N/A</v>
      </c>
      <c r="AC16" s="216" t="e">
        <f>VLOOKUP(A16,Enforcements!$C$7:$E$11,3,0)</f>
        <v>#N/A</v>
      </c>
      <c r="AD16" s="217">
        <f t="shared" si="10"/>
        <v>104</v>
      </c>
      <c r="AE16" s="218" t="str">
        <f t="shared" si="11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16" s="68" t="str">
        <f t="shared" si="12"/>
        <v>"C:\Program Files (x86)\AstroGrep\AstroGrep.exe" /e /r /s /spath="%USERPROFILE%\AppData\Local\Temp\OnboardLogs" /stypes="app*4009*20170930*" /stext=" 11:.+((SYSTEM_STATE.+slice.+state.+changed )|(ment ac)|(multiple cpu faults)|(system.+state.+changed )|(\[timeout)|(PRM\|1\|D)|(kpr)|(kdp)|(train st.+moving)|(\|lc)|(penalty))"</v>
      </c>
      <c r="AG16" s="172" t="str">
        <f t="shared" si="13"/>
        <v>EC</v>
      </c>
      <c r="AH16" s="70" t="str">
        <f t="shared" si="19"/>
        <v>"%USERPROFILE%\Documents\GitHub\eaglep3\Utilities\RefineRTDCRunTimes.py" --tripid 104-30 --locoid 4009 --swversion DE.1.0.9.0 --startMP 204:233015 --initTime 2017-09-30T04:27:39 --startdatetime 2017-09-30T04:42:15 --delay 56 --endMP 204:138 --enddatetime 2017-09-30T05:20:11 --enforcementcount 0 &gt;&gt;c:\users\stu\Documents\GitHub\eaglep3-reporting\EC\2017-09-30-refined-times.txt</v>
      </c>
      <c r="AI16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{"issue":{"subject":"","project_id":79,"tracker_id":40,"status_id":1,"priority_id":2,"assigned_to_id":338,"start_date":"2017-09-30","description":"","custom_fields":[{"id":1,"name":"Subdivision","value":"EC"},{"id":4,"name":"Milepost","value":"0.0138"},{"id":17,"name":"Train ID","value":"104-30"},{"id":16,"name":"Locomotive ID","value":"4009"},{"id":130,"name":"Impact","value":""},{"id":150,"name":"Time of Event (Mountain Time)","value":"05:20:11"},{"id":151,"name":"Denver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34" t="str">
        <f t="shared" si="21"/>
        <v>start /low /b %USERPROFILE%\Documents\GitHub\eaglep3\Utilities\DownloadLogsFromS3.py --loco 4009 --day 2017-09-30</v>
      </c>
      <c r="AN16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11:20:11"},{"id":29,"name":"Sharepoint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0" t="str">
        <f t="shared" si="23"/>
        <v>https://d0f6bd738d7f1b3e5a7ca70fe4ff75f0.us-east-1.aws.found.io/app/kibana#/discover/Steve-Slow-Train-Analysis-(2080s-and-2083s)?_g=(refreshInterval:(display:Off,pause:!f,section:0,value:0),time:(from:'2017-09-30T03:27:39-0600',mode:absolute,to:'2017-09-30T06:20:11-0600'))&amp;_a=(columns:!('Message%20ID',Summary),filters:!(),index:'emp_*',interval:auto,query:(query_string:(analyze_wildcard:!t,query:'%22rtdc.l.rtdc.4009%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638</v>
      </c>
      <c r="B17" s="7">
        <v>4052</v>
      </c>
      <c r="C17" s="21" t="s">
        <v>195</v>
      </c>
      <c r="D17" s="21" t="s">
        <v>491</v>
      </c>
      <c r="E17" s="13">
        <v>43008.171527777777</v>
      </c>
      <c r="F17" s="13">
        <v>43008.177256944444</v>
      </c>
      <c r="G17" s="7">
        <v>73</v>
      </c>
      <c r="H17" s="21" t="s">
        <v>465</v>
      </c>
      <c r="I17" s="13">
        <v>43008.202835648146</v>
      </c>
      <c r="J17" s="7">
        <v>0</v>
      </c>
      <c r="K17" s="81" t="str">
        <f t="shared" si="0"/>
        <v>4051/4052</v>
      </c>
      <c r="L17" s="175" t="str">
        <f>VLOOKUP(A17,'Trips&amp;Operators'!$C$1:$G$99911,5,FALSE)</f>
        <v>DAVIS WENDY</v>
      </c>
      <c r="M17" s="6">
        <f t="shared" si="1"/>
        <v>2.5578703702194616E-2</v>
      </c>
      <c r="N17" s="7">
        <f t="shared" si="2"/>
        <v>36.833333331160247</v>
      </c>
      <c r="O17" s="7"/>
      <c r="P17" s="7"/>
      <c r="Q17" s="22"/>
      <c r="R17" s="166"/>
      <c r="S17" s="228">
        <f t="shared" si="3"/>
        <v>1</v>
      </c>
      <c r="T17" s="166" t="str">
        <f t="shared" si="4"/>
        <v>NorthBound</v>
      </c>
      <c r="U17" s="21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4" t="str">
        <f t="shared" si="5"/>
        <v>https://d0f6bd738d7f1b3e5a7ca70fe4ff75f0.us-east-1.aws.found.io/app/kibana#/discover/Steve-Slow-Train-Analysis-(2080s-and-2083s)?_g=(refreshInterval:(display:Off,pause:!f,section:0,value:0),time:(from:'2017-09-30T03:07:00-0600',mode:absolute,to:'2017-09-30T05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" s="215" t="str">
        <f>IF(AA17&lt;VLOOKUP(AG17,Variables!$AC$3:$AD$8,2,FALSE),"Y","N")</f>
        <v>N</v>
      </c>
      <c r="X17" s="215">
        <f t="shared" si="6"/>
        <v>1</v>
      </c>
      <c r="Y17" s="215">
        <f t="shared" si="7"/>
        <v>4.7300000000000002E-2</v>
      </c>
      <c r="Z17" s="215">
        <f t="shared" si="8"/>
        <v>23.3307</v>
      </c>
      <c r="AA17" s="215">
        <f t="shared" si="9"/>
        <v>23.2834</v>
      </c>
      <c r="AB17" s="216" t="e">
        <f>VLOOKUP(A17,Enforcements!$C$7:$K$11,8,0)</f>
        <v>#N/A</v>
      </c>
      <c r="AC17" s="216" t="e">
        <f>VLOOKUP(A17,Enforcements!$C$7:$E$11,3,0)</f>
        <v>#N/A</v>
      </c>
      <c r="AD17" s="217">
        <f t="shared" si="10"/>
        <v>105</v>
      </c>
      <c r="AE17" s="218" t="str">
        <f t="shared" si="11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17" s="68" t="str">
        <f t="shared" si="12"/>
        <v>"C:\Program Files (x86)\AstroGrep\AstroGrep.exe" /e /r /s /spath="%USERPROFILE%\AppData\Local\Temp\OnboardLogs" /stypes="app*4052*20170930*" /stext=" 10:.+((SYSTEM_STATE.+slice.+state.+changed )|(ment ac)|(multiple cpu faults)|(system.+state.+changed )|(\[timeout)|(PRM\|1\|D)|(kpr)|(kdp)|(train st.+moving)|(\|lc)|(penalty))"</v>
      </c>
      <c r="AG17" s="172" t="str">
        <f t="shared" si="13"/>
        <v>EC</v>
      </c>
      <c r="AH17" s="70" t="str">
        <f t="shared" si="19"/>
        <v>"%USERPROFILE%\Documents\GitHub\eaglep3\Utilities\RefineRTDCRunTimes.py" --tripid 105-30 --locoid 4052 --swversion DE.1.0.9.0 --startMP 204:473 --initTime 2017-09-30T04:07:00 --startdatetime 2017-09-30T04:15:15 --delay 73 --endMP 204:233307 --enddatetime 2017-09-30T04:52:05 --enforcementcount 0 &gt;&gt;c:\users\stu\Documents\GitHub\eaglep3-reporting\EC\2017-09-30-refined-times.txt</v>
      </c>
      <c r="AI17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{"issue":{"subject":"","project_id":79,"tracker_id":40,"status_id":1,"priority_id":2,"assigned_to_id":338,"start_date":"2017-09-30","description":"","custom_fields":[{"id":1,"name":"Subdivision","value":"EC"},{"id":4,"name":"Milepost","value":"23.3307"},{"id":17,"name":"Train ID","value":"105-30"},{"id":16,"name":"Locomotive ID","value":"4052"},{"id":130,"name":"Impact","value":""},{"id":150,"name":"Time of Event (Mountain Time)","value":"04:52:05"},{"id":151,"name":"Denver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34" t="str">
        <f t="shared" si="21"/>
        <v>start /low /b %USERPROFILE%\Documents\GitHub\eaglep3\Utilities\DownloadLogsFromS3.py --loco 4052 --day 2017-09-30</v>
      </c>
      <c r="AN17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10:52:05"},{"id":29,"name":"Sharepoint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0" t="str">
        <f t="shared" si="23"/>
        <v>https://d0f6bd738d7f1b3e5a7ca70fe4ff75f0.us-east-1.aws.found.io/app/kibana#/discover/Steve-Slow-Train-Analysis-(2080s-and-2083s)?_g=(refreshInterval:(display:Off,pause:!f,section:0,value:0),time:(from:'2017-09-30T03:07:00-0600',mode:absolute,to:'2017-09-30T05:52:05-0600'))&amp;_a=(columns:!('Message%20ID',Summary),filters:!(),index:'emp_*',interval:auto,query:(query_string:(analyze_wildcard:!t,query:'%22rtdc.l.rtdc.4052%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648</v>
      </c>
      <c r="B18" s="7">
        <v>4051</v>
      </c>
      <c r="C18" s="21" t="s">
        <v>195</v>
      </c>
      <c r="D18" s="21" t="s">
        <v>838</v>
      </c>
      <c r="E18" s="13">
        <v>43008.205081018517</v>
      </c>
      <c r="F18" s="13">
        <v>43008.216828703706</v>
      </c>
      <c r="G18" s="7">
        <v>59</v>
      </c>
      <c r="H18" s="21" t="s">
        <v>390</v>
      </c>
      <c r="I18" s="13">
        <v>43008.248032407406</v>
      </c>
      <c r="J18" s="7">
        <v>0</v>
      </c>
      <c r="K18" s="81" t="str">
        <f t="shared" si="0"/>
        <v>4051/4052</v>
      </c>
      <c r="L18" s="175" t="str">
        <f>VLOOKUP(A18,'Trips&amp;Operators'!$C$1:$G$99911,5,FALSE)</f>
        <v>DAVIS WENDY</v>
      </c>
      <c r="M18" s="6">
        <f t="shared" si="1"/>
        <v>3.1203703700157348E-2</v>
      </c>
      <c r="N18" s="7">
        <f t="shared" si="2"/>
        <v>44.933333328226581</v>
      </c>
      <c r="O18" s="7"/>
      <c r="P18" s="7"/>
      <c r="Q18" s="22"/>
      <c r="R18" s="166"/>
      <c r="S18" s="228">
        <f t="shared" si="3"/>
        <v>1</v>
      </c>
      <c r="T18" s="166" t="str">
        <f t="shared" si="4"/>
        <v>Southbound</v>
      </c>
      <c r="U18" s="21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4" t="str">
        <f t="shared" si="5"/>
        <v>https://d0f6bd738d7f1b3e5a7ca70fe4ff75f0.us-east-1.aws.found.io/app/kibana#/discover/Steve-Slow-Train-Analysis-(2080s-and-2083s)?_g=(refreshInterval:(display:Off,pause:!f,section:0,value:0),time:(from:'2017-09-30T03:55:19-0600',mode:absolute,to:'2017-09-30T06:57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" s="215" t="str">
        <f>IF(AA18&lt;VLOOKUP(AG18,Variables!$AC$3:$AD$8,2,FALSE),"Y","N")</f>
        <v>N</v>
      </c>
      <c r="X18" s="215">
        <f t="shared" si="6"/>
        <v>1</v>
      </c>
      <c r="Y18" s="215">
        <f t="shared" si="7"/>
        <v>23.2973</v>
      </c>
      <c r="Z18" s="215">
        <f t="shared" si="8"/>
        <v>1.54E-2</v>
      </c>
      <c r="AA18" s="215">
        <f t="shared" si="9"/>
        <v>23.2819</v>
      </c>
      <c r="AB18" s="216" t="e">
        <f>VLOOKUP(A18,Enforcements!$C$7:$K$11,8,0)</f>
        <v>#N/A</v>
      </c>
      <c r="AC18" s="216" t="e">
        <f>VLOOKUP(A18,Enforcements!$C$7:$E$11,3,0)</f>
        <v>#N/A</v>
      </c>
      <c r="AD18" s="217">
        <f t="shared" si="10"/>
        <v>106</v>
      </c>
      <c r="AE18" s="218" t="str">
        <f t="shared" si="11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18" s="68" t="str">
        <f t="shared" si="12"/>
        <v>"C:\Program Files (x86)\AstroGrep\AstroGrep.exe" /e /r /s /spath="%USERPROFILE%\AppData\Local\Temp\OnboardLogs" /stypes="app*4051*20170930*" /stext=" 11:.+((SYSTEM_STATE.+slice.+state.+changed )|(ment ac)|(multiple cpu faults)|(system.+state.+changed )|(\[timeout)|(PRM\|1\|D)|(kpr)|(kdp)|(train st.+moving)|(\|lc)|(penalty))"</v>
      </c>
      <c r="AG18" s="172" t="str">
        <f t="shared" si="13"/>
        <v>EC</v>
      </c>
      <c r="AH18" s="70" t="str">
        <f t="shared" si="19"/>
        <v>"%USERPROFILE%\Documents\GitHub\eaglep3\Utilities\RefineRTDCRunTimes.py" --tripid 106-30 --locoid 4051 --swversion DE.1.0.9.0 --startMP 204:232973 --initTime 2017-09-30T04:55:19 --startdatetime 2017-09-30T05:12:14 --delay 59 --endMP 204:154 --enddatetime 2017-09-30T05:57:10 --enforcementcount 0 &gt;&gt;c:\users\stu\Documents\GitHub\eaglep3-reporting\EC\2017-09-30-refined-times.txt</v>
      </c>
      <c r="AI18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{"issue":{"subject":"","project_id":79,"tracker_id":40,"status_id":1,"priority_id":2,"assigned_to_id":338,"start_date":"2017-09-30","description":"","custom_fields":[{"id":1,"name":"Subdivision","value":"EC"},{"id":4,"name":"Milepost","value":"0.0154"},{"id":17,"name":"Train ID","value":"106-30"},{"id":16,"name":"Locomotive ID","value":"4051"},{"id":130,"name":"Impact","value":""},{"id":150,"name":"Time of Event (Mountain Time)","value":"05:57:10"},{"id":151,"name":"Denver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34" t="str">
        <f t="shared" si="21"/>
        <v>start /low /b %USERPROFILE%\Documents\GitHub\eaglep3\Utilities\DownloadLogsFromS3.py --loco 4051 --day 2017-09-30</v>
      </c>
      <c r="AN18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11:57:10"},{"id":29,"name":"Sharepoint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0" t="str">
        <f t="shared" si="23"/>
        <v>https://d0f6bd738d7f1b3e5a7ca70fe4ff75f0.us-east-1.aws.found.io/app/kibana#/discover/Steve-Slow-Train-Analysis-(2080s-and-2083s)?_g=(refreshInterval:(display:Off,pause:!f,section:0,value:0),time:(from:'2017-09-30T03:55:19-0600',mode:absolute,to:'2017-09-30T06:57:10-0600'))&amp;_a=(columns:!('Message%20ID',Summary),filters:!(),index:'emp_*',interval:auto,query:(query_string:(analyze_wildcard:!t,query:'%22rtdc.l.rtdc.4051%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642</v>
      </c>
      <c r="B19" s="7">
        <v>4040</v>
      </c>
      <c r="C19" s="21" t="s">
        <v>195</v>
      </c>
      <c r="D19" s="21" t="s">
        <v>454</v>
      </c>
      <c r="E19" s="13">
        <v>43008.18408564815</v>
      </c>
      <c r="F19" s="13">
        <v>43008.187673611108</v>
      </c>
      <c r="G19" s="7">
        <v>61</v>
      </c>
      <c r="H19" s="21" t="s">
        <v>462</v>
      </c>
      <c r="I19" s="13">
        <v>43008.211736111109</v>
      </c>
      <c r="J19" s="7">
        <v>0</v>
      </c>
      <c r="K19" s="81" t="str">
        <f t="shared" si="0"/>
        <v>4039/4040</v>
      </c>
      <c r="L19" s="175" t="str">
        <f>VLOOKUP(A19,'Trips&amp;Operators'!$C$1:$G$99911,5,FALSE)</f>
        <v>GEBRETEKLE DAGNEW</v>
      </c>
      <c r="M19" s="6">
        <f t="shared" si="1"/>
        <v>2.4062500000582077E-2</v>
      </c>
      <c r="N19" s="7">
        <f t="shared" si="2"/>
        <v>34.65000000083819</v>
      </c>
      <c r="O19" s="7"/>
      <c r="P19" s="7"/>
      <c r="Q19" s="22"/>
      <c r="R19" s="166"/>
      <c r="S19" s="228">
        <f t="shared" si="3"/>
        <v>1</v>
      </c>
      <c r="T19" s="166" t="str">
        <f t="shared" si="4"/>
        <v>NorthBound</v>
      </c>
      <c r="U19" s="21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4" t="str">
        <f t="shared" si="5"/>
        <v>https://d0f6bd738d7f1b3e5a7ca70fe4ff75f0.us-east-1.aws.found.io/app/kibana#/discover/Steve-Slow-Train-Analysis-(2080s-and-2083s)?_g=(refreshInterval:(display:Off,pause:!f,section:0,value:0),time:(from:'2017-09-30T03:25:05-0600',mode:absolute,to:'2017-09-30T06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215" t="str">
        <f>IF(AA19&lt;VLOOKUP(AG19,Variables!$AC$3:$AD$8,2,FALSE),"Y","N")</f>
        <v>N</v>
      </c>
      <c r="X19" s="215">
        <f t="shared" si="6"/>
        <v>1</v>
      </c>
      <c r="Y19" s="215">
        <f t="shared" si="7"/>
        <v>4.4400000000000002E-2</v>
      </c>
      <c r="Z19" s="215">
        <f t="shared" si="8"/>
        <v>23.329699999999999</v>
      </c>
      <c r="AA19" s="215">
        <f t="shared" si="9"/>
        <v>23.285299999999999</v>
      </c>
      <c r="AB19" s="216" t="e">
        <f>VLOOKUP(A19,Enforcements!$C$7:$K$11,8,0)</f>
        <v>#N/A</v>
      </c>
      <c r="AC19" s="216" t="e">
        <f>VLOOKUP(A19,Enforcements!$C$7:$E$11,3,0)</f>
        <v>#N/A</v>
      </c>
      <c r="AD19" s="217">
        <f t="shared" si="10"/>
        <v>107</v>
      </c>
      <c r="AE19" s="218" t="str">
        <f t="shared" si="11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19" s="68" t="str">
        <f t="shared" si="12"/>
        <v>"C:\Program Files (x86)\AstroGrep\AstroGrep.exe" /e /r /s /spath="%USERPROFILE%\AppData\Local\Temp\OnboardLogs" /stypes="app*4040*20170930*" /stext=" 11:.+((SYSTEM_STATE.+slice.+state.+changed )|(ment ac)|(multiple cpu faults)|(system.+state.+changed )|(\[timeout)|(PRM\|1\|D)|(kpr)|(kdp)|(train st.+moving)|(\|lc)|(penalty))"</v>
      </c>
      <c r="AG19" s="172" t="str">
        <f t="shared" si="13"/>
        <v>EC</v>
      </c>
      <c r="AH19" s="70" t="str">
        <f t="shared" si="19"/>
        <v>"%USERPROFILE%\Documents\GitHub\eaglep3\Utilities\RefineRTDCRunTimes.py" --tripid 107-30 --locoid 4040 --swversion DE.1.0.9.0 --startMP 204:444 --initTime 2017-09-30T04:25:05 --startdatetime 2017-09-30T04:30:15 --delay 61 --endMP 204:233297 --enddatetime 2017-09-30T05:04:54 --enforcementcount 0 &gt;&gt;c:\users\stu\Documents\GitHub\eaglep3-reporting\EC\2017-09-30-refined-times.txt</v>
      </c>
      <c r="AI19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{"issue":{"subject":"","project_id":79,"tracker_id":40,"status_id":1,"priority_id":2,"assigned_to_id":338,"start_date":"2017-09-30","description":"","custom_fields":[{"id":1,"name":"Subdivision","value":"EC"},{"id":4,"name":"Milepost","value":"23.3297"},{"id":17,"name":"Train ID","value":"107-30"},{"id":16,"name":"Locomotive ID","value":"4040"},{"id":130,"name":"Impact","value":""},{"id":150,"name":"Time of Event (Mountain Time)","value":"05:04:54"},{"id":151,"name":"Denver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34" t="str">
        <f t="shared" si="21"/>
        <v>start /low /b %USERPROFILE%\Documents\GitHub\eaglep3\Utilities\DownloadLogsFromS3.py --loco 4040 --day 2017-09-30</v>
      </c>
      <c r="AN19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11:04:54"},{"id":29,"name":"Sharepoint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0" t="str">
        <f t="shared" si="23"/>
        <v>https://d0f6bd738d7f1b3e5a7ca70fe4ff75f0.us-east-1.aws.found.io/app/kibana#/discover/Steve-Slow-Train-Analysis-(2080s-and-2083s)?_g=(refreshInterval:(display:Off,pause:!f,section:0,value:0),time:(from:'2017-09-30T03:25:05-0600',mode:absolute,to:'2017-09-30T06:04:54-0600'))&amp;_a=(columns:!('Message%20ID',Summary),filters:!(),index:'emp_*',interval:auto,query:(query_string:(analyze_wildcard:!t,query:'%22rtdc.l.rtdc.4040%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649</v>
      </c>
      <c r="B20" s="7">
        <v>4039</v>
      </c>
      <c r="C20" s="21" t="s">
        <v>195</v>
      </c>
      <c r="D20" s="21" t="s">
        <v>839</v>
      </c>
      <c r="E20" s="13">
        <v>43008.213356481479</v>
      </c>
      <c r="F20" s="13">
        <v>43008.22724537037</v>
      </c>
      <c r="G20" s="7">
        <v>57</v>
      </c>
      <c r="H20" s="21" t="s">
        <v>382</v>
      </c>
      <c r="I20" s="13">
        <v>43008.253229166665</v>
      </c>
      <c r="J20" s="7">
        <v>0</v>
      </c>
      <c r="K20" s="81" t="str">
        <f t="shared" si="0"/>
        <v>4039/4040</v>
      </c>
      <c r="L20" s="175" t="str">
        <f>VLOOKUP(A20,'Trips&amp;Operators'!$C$1:$G$99911,5,FALSE)</f>
        <v>GEBRETEKLE DAGNEW</v>
      </c>
      <c r="M20" s="6">
        <f t="shared" si="1"/>
        <v>2.5983796294895001E-2</v>
      </c>
      <c r="N20" s="7">
        <f t="shared" si="2"/>
        <v>37.416666664648801</v>
      </c>
      <c r="O20" s="7"/>
      <c r="P20" s="7"/>
      <c r="Q20" s="22"/>
      <c r="R20" s="166"/>
      <c r="S20" s="228">
        <f t="shared" si="3"/>
        <v>1</v>
      </c>
      <c r="T20" s="166" t="str">
        <f t="shared" si="4"/>
        <v>Southbound</v>
      </c>
      <c r="U20" s="21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4" t="str">
        <f t="shared" si="5"/>
        <v>https://d0f6bd738d7f1b3e5a7ca70fe4ff75f0.us-east-1.aws.found.io/app/kibana#/discover/Steve-Slow-Train-Analysis-(2080s-and-2083s)?_g=(refreshInterval:(display:Off,pause:!f,section:0,value:0),time:(from:'2017-09-30T04:07:14-0600',mode:absolute,to:'2017-09-30T07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215" t="str">
        <f>IF(AA20&lt;VLOOKUP(AG20,Variables!$AC$3:$AD$8,2,FALSE),"Y","N")</f>
        <v>N</v>
      </c>
      <c r="X20" s="215">
        <f t="shared" si="6"/>
        <v>1</v>
      </c>
      <c r="Y20" s="215">
        <f t="shared" si="7"/>
        <v>23.297599999999999</v>
      </c>
      <c r="Z20" s="215">
        <f t="shared" si="8"/>
        <v>1.6299999999999999E-2</v>
      </c>
      <c r="AA20" s="215">
        <f t="shared" si="9"/>
        <v>23.281299999999998</v>
      </c>
      <c r="AB20" s="216" t="e">
        <f>VLOOKUP(A20,Enforcements!$C$7:$K$11,8,0)</f>
        <v>#N/A</v>
      </c>
      <c r="AC20" s="216" t="e">
        <f>VLOOKUP(A20,Enforcements!$C$7:$E$11,3,0)</f>
        <v>#N/A</v>
      </c>
      <c r="AD20" s="217">
        <f t="shared" si="10"/>
        <v>108</v>
      </c>
      <c r="AE20" s="218" t="str">
        <f t="shared" si="11"/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20" s="68" t="str">
        <f t="shared" si="12"/>
        <v>"C:\Program Files (x86)\AstroGrep\AstroGrep.exe" /e /r /s /spath="%USERPROFILE%\AppData\Local\Temp\OnboardLogs" /stypes="app*4039*20170930*" /stext=" 12:.+((SYSTEM_STATE.+slice.+state.+changed )|(ment ac)|(multiple cpu faults)|(system.+state.+changed )|(\[timeout)|(PRM\|1\|D)|(kpr)|(kdp)|(train st.+moving)|(\|lc)|(penalty))"</v>
      </c>
      <c r="AG20" s="172" t="str">
        <f t="shared" si="13"/>
        <v>EC</v>
      </c>
      <c r="AH20" s="70" t="str">
        <f t="shared" si="19"/>
        <v>"%USERPROFILE%\Documents\GitHub\eaglep3\Utilities\RefineRTDCRunTimes.py" --tripid 108-30 --locoid 4039 --swversion DE.1.0.9.0 --startMP 204:232976 --initTime 2017-09-30T05:07:14 --startdatetime 2017-09-30T05:27:14 --delay 57 --endMP 204:163 --enddatetime 2017-09-30T06:04:39 --enforcementcount 0 &gt;&gt;c:\users\stu\Documents\GitHub\eaglep3-reporting\EC\2017-09-30-refined-times.txt</v>
      </c>
      <c r="AI20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{"issue":{"subject":"","project_id":79,"tracker_id":40,"status_id":1,"priority_id":2,"assigned_to_id":338,"start_date":"2017-09-30","description":"","custom_fields":[{"id":1,"name":"Subdivision","value":"EC"},{"id":4,"name":"Milepost","value":"0.0163"},{"id":17,"name":"Train ID","value":"108-30"},{"id":16,"name":"Locomotive ID","value":"4039"},{"id":130,"name":"Impact","value":""},{"id":150,"name":"Time of Event (Mountain Time)","value":"06:04:39"},{"id":151,"name":"Denver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34" t="str">
        <f t="shared" si="21"/>
        <v>start /low /b %USERPROFILE%\Documents\GitHub\eaglep3\Utilities\DownloadLogsFromS3.py --loco 4039 --day 2017-09-30</v>
      </c>
      <c r="AN20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0" t="str">
        <f t="shared" si="23"/>
        <v>https://d0f6bd738d7f1b3e5a7ca70fe4ff75f0.us-east-1.aws.found.io/app/kibana#/discover/Steve-Slow-Train-Analysis-(2080s-and-2083s)?_g=(refreshInterval:(display:Off,pause:!f,section:0,value:0),time:(from:'2017-09-30T04:07:14-0600',mode:absolute,to:'2017-09-30T07:04:39-0600'))&amp;_a=(columns:!('Message%20ID',Summary),filters:!(),index:'emp_*',interval:auto,query:(query_string:(analyze_wildcard:!t,query:'%22rtdc.l.rtdc.4039%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644</v>
      </c>
      <c r="B21" s="7">
        <v>4056</v>
      </c>
      <c r="C21" s="21" t="s">
        <v>195</v>
      </c>
      <c r="D21" s="21" t="s">
        <v>495</v>
      </c>
      <c r="E21" s="13">
        <v>43008.195567129631</v>
      </c>
      <c r="F21" s="13">
        <v>43008.19809027778</v>
      </c>
      <c r="G21" s="7">
        <v>56</v>
      </c>
      <c r="H21" s="21" t="s">
        <v>557</v>
      </c>
      <c r="I21" s="13">
        <v>43008.221759259257</v>
      </c>
      <c r="J21" s="7">
        <v>0</v>
      </c>
      <c r="K21" s="81" t="str">
        <f t="shared" si="0"/>
        <v>4055/4056</v>
      </c>
      <c r="L21" s="175" t="str">
        <f>VLOOKUP(A21,'Trips&amp;Operators'!$C$1:$G$99911,5,FALSE)</f>
        <v>LALONDE GREGORY</v>
      </c>
      <c r="M21" s="6">
        <f t="shared" si="1"/>
        <v>2.3668981477385387E-2</v>
      </c>
      <c r="N21" s="7">
        <f t="shared" si="2"/>
        <v>34.083333327434957</v>
      </c>
      <c r="O21" s="7"/>
      <c r="P21" s="7"/>
      <c r="Q21" s="22"/>
      <c r="R21" s="166"/>
      <c r="S21" s="228">
        <f t="shared" si="3"/>
        <v>1</v>
      </c>
      <c r="T21" s="166" t="str">
        <f t="shared" si="4"/>
        <v>NorthBound</v>
      </c>
      <c r="U21" s="21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4" t="str">
        <f t="shared" si="5"/>
        <v>https://d0f6bd738d7f1b3e5a7ca70fe4ff75f0.us-east-1.aws.found.io/app/kibana#/discover/Steve-Slow-Train-Analysis-(2080s-and-2083s)?_g=(refreshInterval:(display:Off,pause:!f,section:0,value:0),time:(from:'2017-09-30T03:41:37-0600',mode:absolute,to:'2017-09-30T06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215" t="str">
        <f>IF(AA21&lt;VLOOKUP(AG21,Variables!$AC$3:$AD$8,2,FALSE),"Y","N")</f>
        <v>N</v>
      </c>
      <c r="X21" s="215">
        <f t="shared" si="6"/>
        <v>1</v>
      </c>
      <c r="Y21" s="215">
        <f t="shared" si="7"/>
        <v>4.2000000000000003E-2</v>
      </c>
      <c r="Z21" s="215">
        <f t="shared" si="8"/>
        <v>23.333200000000001</v>
      </c>
      <c r="AA21" s="215">
        <f t="shared" si="9"/>
        <v>23.2912</v>
      </c>
      <c r="AB21" s="216" t="e">
        <f>VLOOKUP(A21,Enforcements!$C$7:$K$11,8,0)</f>
        <v>#N/A</v>
      </c>
      <c r="AC21" s="216" t="e">
        <f>VLOOKUP(A21,Enforcements!$C$7:$E$11,3,0)</f>
        <v>#N/A</v>
      </c>
      <c r="AD21" s="217">
        <f t="shared" si="10"/>
        <v>109</v>
      </c>
      <c r="AE21" s="218" t="str">
        <f t="shared" si="11"/>
        <v>aws s3 cp s3://rtdc.mdm.uploadarchive.raw/RTDC4056/ "%USERPROFILE%\AppData\Local\Temp\OnboardLogs"\RTDC4056\2017-09-30 --exclude "*" --recursive --include "*20170930*" &amp; "%USERPROFILE%\Documents\GitHub\mrs-test-scripts\Headless Mode &amp; Sideloading\WalkAndUnGZ.bat" "%USERPROFILE%\AppData\Local\Temp\OnboardLogs"\RTDC4056\2017-09-30 &amp; aws s3 cp s3://rtdc.mdm.uploadarchive.raw/RTDC4056/ "%USERPROFILE%\AppData\Local\Temp\OnboardLogs"\RTDC4056\2017-10-01 --exclude "*" --recursive --include "*20171001*" &amp; "%USERPROFILE%\Documents\GitHub\mrs-test-scripts\Headless Mode &amp; Sideloading\WalkAndUnGZ.bat" "%USERPROFILE%\AppData\Local\Temp\OnboardLogs"\RTDC4056\2017-10-01</v>
      </c>
      <c r="AF21" s="68" t="str">
        <f t="shared" si="12"/>
        <v>"C:\Program Files (x86)\AstroGrep\AstroGrep.exe" /e /r /s /spath="%USERPROFILE%\AppData\Local\Temp\OnboardLogs" /stypes="app*4056*20170930*" /stext=" 11:.+((SYSTEM_STATE.+slice.+state.+changed )|(ment ac)|(multiple cpu faults)|(system.+state.+changed )|(\[timeout)|(PRM\|1\|D)|(kpr)|(kdp)|(train st.+moving)|(\|lc)|(penalty))"</v>
      </c>
      <c r="AG21" s="172" t="str">
        <f t="shared" si="13"/>
        <v>EC</v>
      </c>
      <c r="AH21" s="70" t="str">
        <f t="shared" si="19"/>
        <v>"%USERPROFILE%\Documents\GitHub\eaglep3\Utilities\RefineRTDCRunTimes.py" --tripid 109-30 --locoid 4056 --swversion DE.1.0.9.0 --startMP 204:420 --initTime 2017-09-30T04:41:37 --startdatetime 2017-09-30T04:45:15 --delay 56 --endMP 204:233332 --enddatetime 2017-09-30T05:19:20 --enforcementcount 0 &gt;&gt;c:\users\stu\Documents\GitHub\eaglep3-reporting\EC\2017-09-30-refined-times.txt</v>
      </c>
      <c r="AI21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{"issue":{"subject":"","project_id":79,"tracker_id":40,"status_id":1,"priority_id":2,"assigned_to_id":338,"start_date":"2017-09-30","description":"","custom_fields":[{"id":1,"name":"Subdivision","value":"EC"},{"id":4,"name":"Milepost","value":"23.3332"},{"id":17,"name":"Train ID","value":"109-30"},{"id":16,"name":"Locomotive ID","value":"4056"},{"id":130,"name":"Impact","value":""},{"id":150,"name":"Time of Event (Mountain Time)","value":"05:19:20"},{"id":151,"name":"Denver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34" t="str">
        <f t="shared" si="21"/>
        <v>start /low /b %USERPROFILE%\Documents\GitHub\eaglep3\Utilities\DownloadLogsFromS3.py --loco 4056 --day 2017-09-30</v>
      </c>
      <c r="AN21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11:19:20"},{"id":29,"name":"Sharepoint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0" t="str">
        <f t="shared" si="23"/>
        <v>https://d0f6bd738d7f1b3e5a7ca70fe4ff75f0.us-east-1.aws.found.io/app/kibana#/discover/Steve-Slow-Train-Analysis-(2080s-and-2083s)?_g=(refreshInterval:(display:Off,pause:!f,section:0,value:0),time:(from:'2017-09-30T03:41:37-0600',mode:absolute,to:'2017-09-30T06:19:20-0600'))&amp;_a=(columns:!('Message%20ID',Summary),filters:!(),index:'emp_*',interval:auto,query:(query_string:(analyze_wildcard:!t,query:'%22rtdc.l.rtdc.4056%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654</v>
      </c>
      <c r="B22" s="7">
        <v>4055</v>
      </c>
      <c r="C22" s="21" t="s">
        <v>195</v>
      </c>
      <c r="D22" s="21" t="s">
        <v>840</v>
      </c>
      <c r="E22" s="13">
        <v>43008.223344907405</v>
      </c>
      <c r="F22" s="13">
        <v>43008.237662037034</v>
      </c>
      <c r="G22" s="7">
        <v>58</v>
      </c>
      <c r="H22" s="21" t="s">
        <v>390</v>
      </c>
      <c r="I22" s="13">
        <v>43008.262800925928</v>
      </c>
      <c r="J22" s="7">
        <v>0</v>
      </c>
      <c r="K22" s="81" t="str">
        <f t="shared" si="0"/>
        <v>4055/4056</v>
      </c>
      <c r="L22" s="175" t="str">
        <f>VLOOKUP(A22,'Trips&amp;Operators'!$C$1:$G$99911,5,FALSE)</f>
        <v>LALONDE GREGORY</v>
      </c>
      <c r="M22" s="6">
        <f t="shared" si="1"/>
        <v>2.513888889370719E-2</v>
      </c>
      <c r="N22" s="7">
        <f t="shared" si="2"/>
        <v>36.200000006938353</v>
      </c>
      <c r="O22" s="7"/>
      <c r="P22" s="7"/>
      <c r="Q22" s="22"/>
      <c r="R22" s="166"/>
      <c r="S22" s="228">
        <f t="shared" si="3"/>
        <v>1</v>
      </c>
      <c r="T22" s="166" t="str">
        <f t="shared" si="4"/>
        <v>Southbound</v>
      </c>
      <c r="U22" s="21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4" t="str">
        <f t="shared" si="5"/>
        <v>https://d0f6bd738d7f1b3e5a7ca70fe4ff75f0.us-east-1.aws.found.io/app/kibana#/discover/Steve-Slow-Train-Analysis-(2080s-and-2083s)?_g=(refreshInterval:(display:Off,pause:!f,section:0,value:0),time:(from:'2017-09-30T04:21:37-0600',mode:absolute,to:'2017-09-30T07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215" t="str">
        <f>IF(AA22&lt;VLOOKUP(AG22,Variables!$AC$3:$AD$8,2,FALSE),"Y","N")</f>
        <v>N</v>
      </c>
      <c r="X22" s="215">
        <f t="shared" si="6"/>
        <v>1</v>
      </c>
      <c r="Y22" s="215">
        <f t="shared" si="7"/>
        <v>23.3003</v>
      </c>
      <c r="Z22" s="215">
        <f t="shared" si="8"/>
        <v>1.54E-2</v>
      </c>
      <c r="AA22" s="215">
        <f t="shared" si="9"/>
        <v>23.2849</v>
      </c>
      <c r="AB22" s="216" t="e">
        <f>VLOOKUP(A22,Enforcements!$C$7:$K$11,8,0)</f>
        <v>#N/A</v>
      </c>
      <c r="AC22" s="216" t="e">
        <f>VLOOKUP(A22,Enforcements!$C$7:$E$11,3,0)</f>
        <v>#N/A</v>
      </c>
      <c r="AD22" s="217">
        <f t="shared" si="10"/>
        <v>110</v>
      </c>
      <c r="AE22" s="218" t="str">
        <f t="shared" si="11"/>
        <v>aws s3 cp s3://rtdc.mdm.uploadarchive.raw/RTDC4055/ "%USERPROFILE%\AppData\Local\Temp\OnboardLogs"\RTDC4055\2017-09-30 --exclude "*" --recursive --include "*20170930*" &amp; "%USERPROFILE%\Documents\GitHub\mrs-test-scripts\Headless Mode &amp; Sideloading\WalkAndUnGZ.bat" "%USERPROFILE%\AppData\Local\Temp\OnboardLogs"\RTDC4055\2017-09-30 &amp; aws s3 cp s3://rtdc.mdm.uploadarchive.raw/RTDC4055/ "%USERPROFILE%\AppData\Local\Temp\OnboardLogs"\RTDC4055\2017-10-01 --exclude "*" --recursive --include "*20171001*" &amp; "%USERPROFILE%\Documents\GitHub\mrs-test-scripts\Headless Mode &amp; Sideloading\WalkAndUnGZ.bat" "%USERPROFILE%\AppData\Local\Temp\OnboardLogs"\RTDC4055\2017-10-01</v>
      </c>
      <c r="AF22" s="68" t="str">
        <f t="shared" si="12"/>
        <v>"C:\Program Files (x86)\AstroGrep\AstroGrep.exe" /e /r /s /spath="%USERPROFILE%\AppData\Local\Temp\OnboardLogs" /stypes="app*4055*20170930*" /stext=" 12:.+((SYSTEM_STATE.+slice.+state.+changed )|(ment ac)|(multiple cpu faults)|(system.+state.+changed )|(\[timeout)|(PRM\|1\|D)|(kpr)|(kdp)|(train st.+moving)|(\|lc)|(penalty))"</v>
      </c>
      <c r="AG22" s="172" t="str">
        <f t="shared" si="13"/>
        <v>EC</v>
      </c>
      <c r="AH22" s="70" t="str">
        <f t="shared" si="19"/>
        <v>"%USERPROFILE%\Documents\GitHub\eaglep3\Utilities\RefineRTDCRunTimes.py" --tripid 110-30 --locoid 4055 --swversion DE.1.0.9.0 --startMP 204:233003 --initTime 2017-09-30T05:21:37 --startdatetime 2017-09-30T05:42:14 --delay 58 --endMP 204:154 --enddatetime 2017-09-30T06:18:26 --enforcementcount 0 &gt;&gt;c:\users\stu\Documents\GitHub\eaglep3-reporting\EC\2017-09-30-refined-times.txt</v>
      </c>
      <c r="AI22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{"issue":{"subject":"","project_id":79,"tracker_id":40,"status_id":1,"priority_id":2,"assigned_to_id":338,"start_date":"2017-09-30","description":"","custom_fields":[{"id":1,"name":"Subdivision","value":"EC"},{"id":4,"name":"Milepost","value":"0.0154"},{"id":17,"name":"Train ID","value":"110-30"},{"id":16,"name":"Locomotive ID","value":"4055"},{"id":130,"name":"Impact","value":""},{"id":150,"name":"Time of Event (Mountain Time)","value":"06:18:26"},{"id":151,"name":"Denver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34" t="str">
        <f t="shared" si="21"/>
        <v>start /low /b %USERPROFILE%\Documents\GitHub\eaglep3\Utilities\DownloadLogsFromS3.py --loco 4055 --day 2017-09-30</v>
      </c>
      <c r="AN22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0" t="str">
        <f t="shared" si="23"/>
        <v>https://d0f6bd738d7f1b3e5a7ca70fe4ff75f0.us-east-1.aws.found.io/app/kibana#/discover/Steve-Slow-Train-Analysis-(2080s-and-2083s)?_g=(refreshInterval:(display:Off,pause:!f,section:0,value:0),time:(from:'2017-09-30T04:21:37-0600',mode:absolute,to:'2017-09-30T07:18:26-0600'))&amp;_a=(columns:!('Message%20ID',Summary),filters:!(),index:'emp_*',interval:auto,query:(query_string:(analyze_wildcard:!t,query:'%22rtdc.l.rtdc.4055%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647</v>
      </c>
      <c r="B23" s="7">
        <v>4028</v>
      </c>
      <c r="C23" s="21" t="s">
        <v>195</v>
      </c>
      <c r="D23" s="21" t="s">
        <v>383</v>
      </c>
      <c r="E23" s="13">
        <v>43008.203460648147</v>
      </c>
      <c r="F23" s="13">
        <v>43008.208483796298</v>
      </c>
      <c r="G23" s="7">
        <v>63</v>
      </c>
      <c r="H23" s="21" t="s">
        <v>492</v>
      </c>
      <c r="I23" s="13">
        <v>43008.232951388891</v>
      </c>
      <c r="J23" s="7">
        <v>0</v>
      </c>
      <c r="K23" s="81" t="str">
        <f t="shared" si="0"/>
        <v>4027/4028</v>
      </c>
      <c r="L23" s="175" t="str">
        <f>VLOOKUP(A23,'Trips&amp;Operators'!$C$1:$G$99911,5,FALSE)</f>
        <v>NEWELL JAMES</v>
      </c>
      <c r="M23" s="6">
        <f t="shared" si="1"/>
        <v>2.4467592593282461E-2</v>
      </c>
      <c r="N23" s="7">
        <f t="shared" si="2"/>
        <v>35.233333334326744</v>
      </c>
      <c r="O23" s="7"/>
      <c r="P23" s="7"/>
      <c r="Q23" s="22"/>
      <c r="R23" s="166"/>
      <c r="S23" s="228">
        <f t="shared" si="3"/>
        <v>1</v>
      </c>
      <c r="T23" s="166" t="str">
        <f t="shared" si="4"/>
        <v>NorthBound</v>
      </c>
      <c r="U23" s="21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4" t="str">
        <f t="shared" si="5"/>
        <v>https://d0f6bd738d7f1b3e5a7ca70fe4ff75f0.us-east-1.aws.found.io/app/kibana#/discover/Steve-Slow-Train-Analysis-(2080s-and-2083s)?_g=(refreshInterval:(display:Off,pause:!f,section:0,value:0),time:(from:'2017-09-30T03:52:59-0600',mode:absolute,to:'2017-09-30T06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215" t="str">
        <f>IF(AA23&lt;VLOOKUP(AG23,Variables!$AC$3:$AD$8,2,FALSE),"Y","N")</f>
        <v>N</v>
      </c>
      <c r="X23" s="215">
        <f t="shared" si="6"/>
        <v>1</v>
      </c>
      <c r="Y23" s="215">
        <f t="shared" si="7"/>
        <v>4.6199999999999998E-2</v>
      </c>
      <c r="Z23" s="215">
        <f t="shared" si="8"/>
        <v>23.329499999999999</v>
      </c>
      <c r="AA23" s="215">
        <f t="shared" si="9"/>
        <v>23.283300000000001</v>
      </c>
      <c r="AB23" s="216" t="e">
        <f>VLOOKUP(A23,Enforcements!$C$7:$K$11,8,0)</f>
        <v>#N/A</v>
      </c>
      <c r="AC23" s="216" t="e">
        <f>VLOOKUP(A23,Enforcements!$C$7:$E$11,3,0)</f>
        <v>#N/A</v>
      </c>
      <c r="AD23" s="217">
        <f t="shared" si="10"/>
        <v>111</v>
      </c>
      <c r="AE23" s="218" t="str">
        <f t="shared" si="11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23" s="68" t="str">
        <f t="shared" si="12"/>
        <v>"C:\Program Files (x86)\AstroGrep\AstroGrep.exe" /e /r /s /spath="%USERPROFILE%\AppData\Local\Temp\OnboardLogs" /stypes="app*4028*20170930*" /stext=" 11:.+((SYSTEM_STATE.+slice.+state.+changed )|(ment ac)|(multiple cpu faults)|(system.+state.+changed )|(\[timeout)|(PRM\|1\|D)|(kpr)|(kdp)|(train st.+moving)|(\|lc)|(penalty))"</v>
      </c>
      <c r="AG23" s="172" t="str">
        <f t="shared" si="13"/>
        <v>EC</v>
      </c>
      <c r="AH23" s="70" t="str">
        <f t="shared" si="19"/>
        <v>"%USERPROFILE%\Documents\GitHub\eaglep3\Utilities\RefineRTDCRunTimes.py" --tripid 111-30 --locoid 4028 --swversion DE.1.0.9.0 --startMP 204:462 --initTime 2017-09-30T04:52:59 --startdatetime 2017-09-30T05:00:13 --delay 63 --endMP 204:233295 --enddatetime 2017-09-30T05:35:27 --enforcementcount 0 &gt;&gt;c:\users\stu\Documents\GitHub\eaglep3-reporting\EC\2017-09-30-refined-times.txt</v>
      </c>
      <c r="AI23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{"issue":{"subject":"","project_id":79,"tracker_id":40,"status_id":1,"priority_id":2,"assigned_to_id":338,"start_date":"2017-09-30","description":"","custom_fields":[{"id":1,"name":"Subdivision","value":"EC"},{"id":4,"name":"Milepost","value":"23.3295"},{"id":17,"name":"Train ID","value":"111-30"},{"id":16,"name":"Locomotive ID","value":"4028"},{"id":130,"name":"Impact","value":""},{"id":150,"name":"Time of Event (Mountain Time)","value":"05:35:27"},{"id":151,"name":"Denver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34" t="str">
        <f t="shared" si="21"/>
        <v>start /low /b %USERPROFILE%\Documents\GitHub\eaglep3\Utilities\DownloadLogsFromS3.py --loco 4028 --day 2017-09-30</v>
      </c>
      <c r="AN23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0" t="str">
        <f t="shared" si="23"/>
        <v>https://d0f6bd738d7f1b3e5a7ca70fe4ff75f0.us-east-1.aws.found.io/app/kibana#/discover/Steve-Slow-Train-Analysis-(2080s-and-2083s)?_g=(refreshInterval:(display:Off,pause:!f,section:0,value:0),time:(from:'2017-09-30T03:52:59-0600',mode:absolute,to:'2017-09-30T06:35:27-0600'))&amp;_a=(columns:!('Message%20ID',Summary),filters:!(),index:'emp_*',interval:auto,query:(query_string:(analyze_wildcard:!t,query:'%22rtdc.l.rtdc.4028%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660</v>
      </c>
      <c r="B24" s="7">
        <v>4027</v>
      </c>
      <c r="C24" s="21" t="s">
        <v>195</v>
      </c>
      <c r="D24" s="21" t="s">
        <v>566</v>
      </c>
      <c r="E24" s="13">
        <v>43008.243020833332</v>
      </c>
      <c r="F24" s="13">
        <v>43008.248055555552</v>
      </c>
      <c r="G24" s="7">
        <v>72</v>
      </c>
      <c r="H24" s="21" t="s">
        <v>371</v>
      </c>
      <c r="I24" s="13">
        <v>43008.274085648147</v>
      </c>
      <c r="J24" s="7">
        <v>0</v>
      </c>
      <c r="K24" s="81" t="str">
        <f t="shared" si="0"/>
        <v>4027/4028</v>
      </c>
      <c r="L24" s="175" t="str">
        <f>VLOOKUP(A24,'Trips&amp;Operators'!$C$1:$G$99911,5,FALSE)</f>
        <v>NEWELL JAMES</v>
      </c>
      <c r="M24" s="6">
        <f t="shared" si="1"/>
        <v>2.6030092594737653E-2</v>
      </c>
      <c r="N24" s="7">
        <f t="shared" si="2"/>
        <v>37.48333333642222</v>
      </c>
      <c r="O24" s="7"/>
      <c r="P24" s="7"/>
      <c r="Q24" s="22"/>
      <c r="R24" s="166"/>
      <c r="S24" s="228">
        <f t="shared" si="3"/>
        <v>1</v>
      </c>
      <c r="T24" s="166" t="str">
        <f t="shared" si="4"/>
        <v>Southbound</v>
      </c>
      <c r="U24" s="21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4" t="str">
        <f t="shared" si="5"/>
        <v>https://d0f6bd738d7f1b3e5a7ca70fe4ff75f0.us-east-1.aws.found.io/app/kibana#/discover/Steve-Slow-Train-Analysis-(2080s-and-2083s)?_g=(refreshInterval:(display:Off,pause:!f,section:0,value:0),time:(from:'2017-09-30T04:49:57-0600',mode:absolute,to:'2017-09-30T07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215" t="str">
        <f>IF(AA24&lt;VLOOKUP(AG24,Variables!$AC$3:$AD$8,2,FALSE),"Y","N")</f>
        <v>N</v>
      </c>
      <c r="X24" s="215">
        <f t="shared" si="6"/>
        <v>1</v>
      </c>
      <c r="Y24" s="215">
        <f t="shared" si="7"/>
        <v>23.2972</v>
      </c>
      <c r="Z24" s="215">
        <f t="shared" si="8"/>
        <v>1.5800000000000002E-2</v>
      </c>
      <c r="AA24" s="215">
        <f t="shared" si="9"/>
        <v>23.281400000000001</v>
      </c>
      <c r="AB24" s="216" t="e">
        <f>VLOOKUP(A24,Enforcements!$C$7:$K$11,8,0)</f>
        <v>#N/A</v>
      </c>
      <c r="AC24" s="216" t="e">
        <f>VLOOKUP(A24,Enforcements!$C$7:$E$11,3,0)</f>
        <v>#N/A</v>
      </c>
      <c r="AD24" s="217">
        <f t="shared" si="10"/>
        <v>112</v>
      </c>
      <c r="AE24" s="218" t="str">
        <f t="shared" si="11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24" s="68" t="str">
        <f t="shared" si="12"/>
        <v>"C:\Program Files (x86)\AstroGrep\AstroGrep.exe" /e /r /s /spath="%USERPROFILE%\AppData\Local\Temp\OnboardLogs" /stypes="app*4027*20170930*" /stext=" 12:.+((SYSTEM_STATE.+slice.+state.+changed )|(ment ac)|(multiple cpu faults)|(system.+state.+changed )|(\[timeout)|(PRM\|1\|D)|(kpr)|(kdp)|(train st.+moving)|(\|lc)|(penalty))"</v>
      </c>
      <c r="AG24" s="172" t="str">
        <f t="shared" si="13"/>
        <v>EC</v>
      </c>
      <c r="AH24" s="70" t="str">
        <f t="shared" si="19"/>
        <v>"%USERPROFILE%\Documents\GitHub\eaglep3\Utilities\RefineRTDCRunTimes.py" --tripid 112-30 --locoid 4027 --swversion DE.1.0.9.0 --startMP 204:232972 --initTime 2017-09-30T05:49:57 --startdatetime 2017-09-30T05:57:12 --delay 72 --endMP 204:158 --enddatetime 2017-09-30T06:34:41 --enforcementcount 0 &gt;&gt;c:\users\stu\Documents\GitHub\eaglep3-reporting\EC\2017-09-30-refined-times.txt</v>
      </c>
      <c r="AI24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{"issue":{"subject":"","project_id":79,"tracker_id":40,"status_id":1,"priority_id":2,"assigned_to_id":338,"start_date":"2017-09-30","description":"","custom_fields":[{"id":1,"name":"Subdivision","value":"EC"},{"id":4,"name":"Milepost","value":"0.0158"},{"id":17,"name":"Train ID","value":"112-30"},{"id":16,"name":"Locomotive ID","value":"4027"},{"id":130,"name":"Impact","value":""},{"id":150,"name":"Time of Event (Mountain Time)","value":"06:34:41"},{"id":151,"name":"Denver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34" t="str">
        <f t="shared" si="21"/>
        <v>start /low /b %USERPROFILE%\Documents\GitHub\eaglep3\Utilities\DownloadLogsFromS3.py --loco 4027 --day 2017-09-30</v>
      </c>
      <c r="AN24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0" t="str">
        <f t="shared" si="23"/>
        <v>https://d0f6bd738d7f1b3e5a7ca70fe4ff75f0.us-east-1.aws.found.io/app/kibana#/discover/Steve-Slow-Train-Analysis-(2080s-and-2083s)?_g=(refreshInterval:(display:Off,pause:!f,section:0,value:0),time:(from:'2017-09-30T04:49:57-0600',mode:absolute,to:'2017-09-30T07:34:41-0600'))&amp;_a=(columns:!('Message%20ID',Summary),filters:!(),index:'emp_*',interval:auto,query:(query_string:(analyze_wildcard:!t,query:'%22rtdc.l.rtdc.4027%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653</v>
      </c>
      <c r="B25" s="7">
        <v>4004</v>
      </c>
      <c r="C25" s="21" t="s">
        <v>195</v>
      </c>
      <c r="D25" s="21" t="s">
        <v>393</v>
      </c>
      <c r="E25" s="13">
        <v>43008.21670138889</v>
      </c>
      <c r="F25" s="13">
        <v>43008.218888888892</v>
      </c>
      <c r="G25" s="7">
        <v>77</v>
      </c>
      <c r="H25" s="21" t="s">
        <v>455</v>
      </c>
      <c r="I25" s="13">
        <v>43008.242361111108</v>
      </c>
      <c r="J25" s="7">
        <v>0</v>
      </c>
      <c r="K25" s="81" t="str">
        <f t="shared" si="0"/>
        <v>4003/4004</v>
      </c>
      <c r="L25" s="175" t="str">
        <f>VLOOKUP(A25,'Trips&amp;Operators'!$C$1:$G$99911,5,FALSE)</f>
        <v>BIRENBAUM THOMAS</v>
      </c>
      <c r="M25" s="6">
        <f t="shared" si="1"/>
        <v>2.3472222215787042E-2</v>
      </c>
      <c r="N25" s="7">
        <f t="shared" si="2"/>
        <v>33.79999999073334</v>
      </c>
      <c r="O25" s="7"/>
      <c r="P25" s="7"/>
      <c r="Q25" s="22"/>
      <c r="R25" s="166"/>
      <c r="S25" s="228">
        <f t="shared" si="3"/>
        <v>1</v>
      </c>
      <c r="T25" s="166" t="str">
        <f t="shared" si="4"/>
        <v>NorthBound</v>
      </c>
      <c r="U25" s="21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4" t="str">
        <f t="shared" si="5"/>
        <v>https://d0f6bd738d7f1b3e5a7ca70fe4ff75f0.us-east-1.aws.found.io/app/kibana#/discover/Steve-Slow-Train-Analysis-(2080s-and-2083s)?_g=(refreshInterval:(display:Off,pause:!f,section:0,value:0),time:(from:'2017-09-30T04:12:03-0600',mode:absolute,to:'2017-09-30T06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215" t="str">
        <f>IF(AA25&lt;VLOOKUP(AG25,Variables!$AC$3:$AD$8,2,FALSE),"Y","N")</f>
        <v>N</v>
      </c>
      <c r="X25" s="215">
        <f t="shared" si="6"/>
        <v>1</v>
      </c>
      <c r="Y25" s="215">
        <f t="shared" si="7"/>
        <v>4.4699999999999997E-2</v>
      </c>
      <c r="Z25" s="215">
        <f t="shared" si="8"/>
        <v>23.3291</v>
      </c>
      <c r="AA25" s="215">
        <f t="shared" si="9"/>
        <v>23.284400000000002</v>
      </c>
      <c r="AB25" s="216" t="e">
        <f>VLOOKUP(A25,Enforcements!$C$7:$K$11,8,0)</f>
        <v>#N/A</v>
      </c>
      <c r="AC25" s="216" t="e">
        <f>VLOOKUP(A25,Enforcements!$C$7:$E$11,3,0)</f>
        <v>#N/A</v>
      </c>
      <c r="AD25" s="217">
        <f t="shared" si="10"/>
        <v>113</v>
      </c>
      <c r="AE25" s="218" t="str">
        <f t="shared" si="11"/>
        <v>aws s3 cp s3://rtdc.mdm.uploadarchive.raw/RTDC4004/ "%USERPROFILE%\AppData\Local\Temp\OnboardLogs"\RTDC4004\2017-09-30 --exclude "*" --recursive --include "*20170930*" &amp; "%USERPROFILE%\Documents\GitHub\mrs-test-scripts\Headless Mode &amp; Sideloading\WalkAndUnGZ.bat" "%USERPROFILE%\AppData\Local\Temp\OnboardLogs"\RTDC4004\2017-09-30 &amp; aws s3 cp s3://rtdc.mdm.uploadarchive.raw/RTDC4004/ "%USERPROFILE%\AppData\Local\Temp\OnboardLogs"\RTDC4004\2017-10-01 --exclude "*" --recursive --include "*20171001*" &amp; "%USERPROFILE%\Documents\GitHub\mrs-test-scripts\Headless Mode &amp; Sideloading\WalkAndUnGZ.bat" "%USERPROFILE%\AppData\Local\Temp\OnboardLogs"\RTDC4004\2017-10-01</v>
      </c>
      <c r="AF25" s="68" t="str">
        <f t="shared" si="12"/>
        <v>"C:\Program Files (x86)\AstroGrep\AstroGrep.exe" /e /r /s /spath="%USERPROFILE%\AppData\Local\Temp\OnboardLogs" /stypes="app*4004*20170930*" /stext=" 11:.+((SYSTEM_STATE.+slice.+state.+changed )|(ment ac)|(multiple cpu faults)|(system.+state.+changed )|(\[timeout)|(PRM\|1\|D)|(kpr)|(kdp)|(train st.+moving)|(\|lc)|(penalty))"</v>
      </c>
      <c r="AG25" s="172" t="str">
        <f t="shared" si="13"/>
        <v>EC</v>
      </c>
      <c r="AH25" s="70" t="str">
        <f t="shared" si="19"/>
        <v>"%USERPROFILE%\Documents\GitHub\eaglep3\Utilities\RefineRTDCRunTimes.py" --tripid 113-30 --locoid 4004 --swversion DE.1.0.9.0 --startMP 204:447 --initTime 2017-09-30T05:12:03 --startdatetime 2017-09-30T05:15:12 --delay 77 --endMP 204:233291 --enddatetime 2017-09-30T05:49:00 --enforcementcount 0 &gt;&gt;c:\users\stu\Documents\GitHub\eaglep3-reporting\EC\2017-09-30-refined-times.txt</v>
      </c>
      <c r="AI25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{"issue":{"subject":"","project_id":79,"tracker_id":40,"status_id":1,"priority_id":2,"assigned_to_id":338,"start_date":"2017-09-30","description":"","custom_fields":[{"id":1,"name":"Subdivision","value":"EC"},{"id":4,"name":"Milepost","value":"23.3291"},{"id":17,"name":"Train ID","value":"113-30"},{"id":16,"name":"Locomotive ID","value":"4004"},{"id":130,"name":"Impact","value":""},{"id":150,"name":"Time of Event (Mountain Time)","value":"05:49:00"},{"id":151,"name":"Denver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34" t="str">
        <f t="shared" si="21"/>
        <v>start /low /b %USERPROFILE%\Documents\GitHub\eaglep3\Utilities\DownloadLogsFromS3.py --loco 4004 --day 2017-09-30</v>
      </c>
      <c r="AN25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11:49:00"},{"id":29,"name":"Sharepoint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0" t="str">
        <f t="shared" si="23"/>
        <v>https://d0f6bd738d7f1b3e5a7ca70fe4ff75f0.us-east-1.aws.found.io/app/kibana#/discover/Steve-Slow-Train-Analysis-(2080s-and-2083s)?_g=(refreshInterval:(display:Off,pause:!f,section:0,value:0),time:(from:'2017-09-30T04:12:03-0600',mode:absolute,to:'2017-09-30T06:49:00-0600'))&amp;_a=(columns:!('Message%20ID',Summary),filters:!(),index:'emp_*',interval:auto,query:(query_string:(analyze_wildcard:!t,query:'%22rtdc.l.rtdc.4004%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590</v>
      </c>
      <c r="B26" s="7">
        <v>4003</v>
      </c>
      <c r="C26" s="21" t="s">
        <v>195</v>
      </c>
      <c r="D26" s="21" t="s">
        <v>400</v>
      </c>
      <c r="E26" s="13">
        <v>43008.243842592594</v>
      </c>
      <c r="F26" s="13">
        <v>43008.258472222224</v>
      </c>
      <c r="G26" s="7">
        <v>56</v>
      </c>
      <c r="H26" s="21" t="s">
        <v>338</v>
      </c>
      <c r="I26" s="13">
        <v>43008.284537037034</v>
      </c>
      <c r="J26" s="7">
        <v>0</v>
      </c>
      <c r="K26" s="81" t="str">
        <f t="shared" si="0"/>
        <v>4003/4004</v>
      </c>
      <c r="L26" s="175" t="str">
        <f>VLOOKUP(A26,'Trips&amp;Operators'!$C$1:$G$99911,5,FALSE)</f>
        <v>BIRENBAUM THOMAS</v>
      </c>
      <c r="M26" s="6">
        <f t="shared" si="1"/>
        <v>2.6064814810524695E-2</v>
      </c>
      <c r="N26" s="7">
        <f t="shared" si="2"/>
        <v>37.53333332715556</v>
      </c>
      <c r="O26" s="7"/>
      <c r="P26" s="7"/>
      <c r="Q26" s="22"/>
      <c r="R26" s="166"/>
      <c r="S26" s="228">
        <f t="shared" si="3"/>
        <v>1</v>
      </c>
      <c r="T26" s="166" t="str">
        <f t="shared" si="4"/>
        <v>Southbound</v>
      </c>
      <c r="U26" s="21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4" t="str">
        <f t="shared" si="5"/>
        <v>https://d0f6bd738d7f1b3e5a7ca70fe4ff75f0.us-east-1.aws.found.io/app/kibana#/discover/Steve-Slow-Train-Analysis-(2080s-and-2083s)?_g=(refreshInterval:(display:Off,pause:!f,section:0,value:0),time:(from:'2017-09-30T04:51:08-0600',mode:absolute,to:'2017-09-30T07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215" t="str">
        <f>IF(AA26&lt;VLOOKUP(AG26,Variables!$AC$3:$AD$8,2,FALSE),"Y","N")</f>
        <v>N</v>
      </c>
      <c r="X26" s="215">
        <f t="shared" si="6"/>
        <v>1</v>
      </c>
      <c r="Y26" s="215">
        <f t="shared" si="7"/>
        <v>23.298200000000001</v>
      </c>
      <c r="Z26" s="215">
        <f t="shared" si="8"/>
        <v>1.43E-2</v>
      </c>
      <c r="AA26" s="215">
        <f t="shared" si="9"/>
        <v>23.283900000000003</v>
      </c>
      <c r="AB26" s="216" t="e">
        <f>VLOOKUP(A26,Enforcements!$C$7:$K$11,8,0)</f>
        <v>#N/A</v>
      </c>
      <c r="AC26" s="216" t="e">
        <f>VLOOKUP(A26,Enforcements!$C$7:$E$11,3,0)</f>
        <v>#N/A</v>
      </c>
      <c r="AD26" s="217">
        <f t="shared" si="10"/>
        <v>114</v>
      </c>
      <c r="AE26" s="218" t="str">
        <f t="shared" si="11"/>
        <v>aws s3 cp s3://rtdc.mdm.uploadarchive.raw/RTDC4003/ "%USERPROFILE%\AppData\Local\Temp\OnboardLogs"\RTDC4003\2017-09-30 --exclude "*" --recursive --include "*20170930*" &amp; "%USERPROFILE%\Documents\GitHub\mrs-test-scripts\Headless Mode &amp; Sideloading\WalkAndUnGZ.bat" "%USERPROFILE%\AppData\Local\Temp\OnboardLogs"\RTDC4003\2017-09-30 &amp; aws s3 cp s3://rtdc.mdm.uploadarchive.raw/RTDC4003/ "%USERPROFILE%\AppData\Local\Temp\OnboardLogs"\RTDC4003\2017-10-01 --exclude "*" --recursive --include "*20171001*" &amp; "%USERPROFILE%\Documents\GitHub\mrs-test-scripts\Headless Mode &amp; Sideloading\WalkAndUnGZ.bat" "%USERPROFILE%\AppData\Local\Temp\OnboardLogs"\RTDC4003\2017-10-01</v>
      </c>
      <c r="AF26" s="68" t="str">
        <f t="shared" si="12"/>
        <v>"C:\Program Files (x86)\AstroGrep\AstroGrep.exe" /e /r /s /spath="%USERPROFILE%\AppData\Local\Temp\OnboardLogs" /stypes="app*4003*20170930*" /stext=" 12:.+((SYSTEM_STATE.+slice.+state.+changed )|(ment ac)|(multiple cpu faults)|(system.+state.+changed )|(\[timeout)|(PRM\|1\|D)|(kpr)|(kdp)|(train st.+moving)|(\|lc)|(penalty))"</v>
      </c>
      <c r="AG26" s="172" t="str">
        <f t="shared" si="13"/>
        <v>EC</v>
      </c>
      <c r="AH26" s="70" t="str">
        <f t="shared" si="19"/>
        <v>"%USERPROFILE%\Documents\GitHub\eaglep3\Utilities\RefineRTDCRunTimes.py" --tripid 114-30 --locoid 4003 --swversion DE.1.0.9.0 --startMP 204:232982 --initTime 2017-09-30T05:51:08 --startdatetime 2017-09-30T06:12:12 --delay 56 --endMP 204:143 --enddatetime 2017-09-30T06:49:44 --enforcementcount 0 &gt;&gt;c:\users\stu\Documents\GitHub\eaglep3-reporting\EC\2017-09-30-refined-times.txt</v>
      </c>
      <c r="AI26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{"issue":{"subject":"","project_id":79,"tracker_id":40,"status_id":1,"priority_id":2,"assigned_to_id":338,"start_date":"2017-09-30","description":"","custom_fields":[{"id":1,"name":"Subdivision","value":"EC"},{"id":4,"name":"Milepost","value":"0.0143"},{"id":17,"name":"Train ID","value":"114-30"},{"id":16,"name":"Locomotive ID","value":"4003"},{"id":130,"name":"Impact","value":""},{"id":150,"name":"Time of Event (Mountain Time)","value":"06:49:44"},{"id":151,"name":"Denver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34" t="str">
        <f t="shared" si="21"/>
        <v>start /low /b %USERPROFILE%\Documents\GitHub\eaglep3\Utilities\DownloadLogsFromS3.py --loco 4003 --day 2017-09-30</v>
      </c>
      <c r="AN26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0" t="str">
        <f t="shared" si="23"/>
        <v>https://d0f6bd738d7f1b3e5a7ca70fe4ff75f0.us-east-1.aws.found.io/app/kibana#/discover/Steve-Slow-Train-Analysis-(2080s-and-2083s)?_g=(refreshInterval:(display:Off,pause:!f,section:0,value:0),time:(from:'2017-09-30T04:51:08-0600',mode:absolute,to:'2017-09-30T07:49:44-0600'))&amp;_a=(columns:!('Message%20ID',Summary),filters:!(),index:'emp_*',interval:auto,query:(query_string:(analyze_wildcard:!t,query:'%22rtdc.l.rtdc.4003%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655</v>
      </c>
      <c r="B27" s="7">
        <v>4010</v>
      </c>
      <c r="C27" s="21" t="s">
        <v>195</v>
      </c>
      <c r="D27" s="21" t="s">
        <v>464</v>
      </c>
      <c r="E27" s="13">
        <v>43008.224340277775</v>
      </c>
      <c r="F27" s="13">
        <v>43008.229456018518</v>
      </c>
      <c r="G27" s="7">
        <v>46</v>
      </c>
      <c r="H27" s="21" t="s">
        <v>386</v>
      </c>
      <c r="I27" s="13">
        <v>43008.254537037035</v>
      </c>
      <c r="J27" s="7">
        <v>0</v>
      </c>
      <c r="K27" s="81" t="str">
        <f t="shared" si="0"/>
        <v>4009/4010</v>
      </c>
      <c r="L27" s="175" t="str">
        <f>VLOOKUP(A27,'Trips&amp;Operators'!$C$1:$G$99911,5,FALSE)</f>
        <v>MAELZER KURT</v>
      </c>
      <c r="M27" s="6">
        <f t="shared" si="1"/>
        <v>2.5081018517084885E-2</v>
      </c>
      <c r="N27" s="7">
        <f t="shared" si="2"/>
        <v>36.116666664602235</v>
      </c>
      <c r="O27" s="7"/>
      <c r="P27" s="7"/>
      <c r="Q27" s="22"/>
      <c r="R27" s="166"/>
      <c r="S27" s="228">
        <f t="shared" si="3"/>
        <v>1</v>
      </c>
      <c r="T27" s="166" t="str">
        <f t="shared" si="4"/>
        <v>NorthBound</v>
      </c>
      <c r="U27" s="21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4" t="str">
        <f t="shared" si="5"/>
        <v>https://d0f6bd738d7f1b3e5a7ca70fe4ff75f0.us-east-1.aws.found.io/app/kibana#/discover/Steve-Slow-Train-Analysis-(2080s-and-2083s)?_g=(refreshInterval:(display:Off,pause:!f,section:0,value:0),time:(from:'2017-09-30T04:23:03-0600',mode:absolute,to:'2017-09-30T07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215" t="str">
        <f>IF(AA27&lt;VLOOKUP(AG27,Variables!$AC$3:$AD$8,2,FALSE),"Y","N")</f>
        <v>N</v>
      </c>
      <c r="X27" s="215">
        <f t="shared" si="6"/>
        <v>1</v>
      </c>
      <c r="Y27" s="215">
        <f t="shared" si="7"/>
        <v>4.3799999999999999E-2</v>
      </c>
      <c r="Z27" s="215">
        <f t="shared" si="8"/>
        <v>23.331199999999999</v>
      </c>
      <c r="AA27" s="215">
        <f t="shared" si="9"/>
        <v>23.287399999999998</v>
      </c>
      <c r="AB27" s="216" t="e">
        <f>VLOOKUP(A27,Enforcements!$C$7:$K$11,8,0)</f>
        <v>#N/A</v>
      </c>
      <c r="AC27" s="216" t="e">
        <f>VLOOKUP(A27,Enforcements!$C$7:$E$11,3,0)</f>
        <v>#N/A</v>
      </c>
      <c r="AD27" s="217">
        <f t="shared" si="10"/>
        <v>115</v>
      </c>
      <c r="AE27" s="218" t="str">
        <f t="shared" si="11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27" s="68" t="str">
        <f t="shared" si="12"/>
        <v>"C:\Program Files (x86)\AstroGrep\AstroGrep.exe" /e /r /s /spath="%USERPROFILE%\AppData\Local\Temp\OnboardLogs" /stypes="app*4010*20170930*" /stext=" 12:.+((SYSTEM_STATE.+slice.+state.+changed )|(ment ac)|(multiple cpu faults)|(system.+state.+changed )|(\[timeout)|(PRM\|1\|D)|(kpr)|(kdp)|(train st.+moving)|(\|lc)|(penalty))"</v>
      </c>
      <c r="AG27" s="172" t="str">
        <f t="shared" si="13"/>
        <v>EC</v>
      </c>
      <c r="AH27" s="70" t="str">
        <f t="shared" si="19"/>
        <v>"%USERPROFILE%\Documents\GitHub\eaglep3\Utilities\RefineRTDCRunTimes.py" --tripid 115-30 --locoid 4010 --swversion DE.1.0.9.0 --startMP 204:438 --initTime 2017-09-30T05:23:03 --startdatetime 2017-09-30T05:30:25 --delay 46 --endMP 204:233312 --enddatetime 2017-09-30T06:06:32 --enforcementcount 0 &gt;&gt;c:\users\stu\Documents\GitHub\eaglep3-reporting\EC\2017-09-30-refined-times.txt</v>
      </c>
      <c r="AI27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{"issue":{"subject":"","project_id":79,"tracker_id":40,"status_id":1,"priority_id":2,"assigned_to_id":338,"start_date":"2017-09-30","description":"","custom_fields":[{"id":1,"name":"Subdivision","value":"EC"},{"id":4,"name":"Milepost","value":"23.3312"},{"id":17,"name":"Train ID","value":"115-30"},{"id":16,"name":"Locomotive ID","value":"4010"},{"id":130,"name":"Impact","value":""},{"id":150,"name":"Time of Event (Mountain Time)","value":"06:06:32"},{"id":151,"name":"Denver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34" t="str">
        <f t="shared" si="21"/>
        <v>start /low /b %USERPROFILE%\Documents\GitHub\eaglep3\Utilities\DownloadLogsFromS3.py --loco 4010 --day 2017-09-30</v>
      </c>
      <c r="AN27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0" t="str">
        <f t="shared" si="23"/>
        <v>https://d0f6bd738d7f1b3e5a7ca70fe4ff75f0.us-east-1.aws.found.io/app/kibana#/discover/Steve-Slow-Train-Analysis-(2080s-and-2083s)?_g=(refreshInterval:(display:Off,pause:!f,section:0,value:0),time:(from:'2017-09-30T04:23:03-0600',mode:absolute,to:'2017-09-30T07:06:32-0600'))&amp;_a=(columns:!('Message%20ID',Summary),filters:!(),index:'emp_*',interval:auto,query:(query_string:(analyze_wildcard:!t,query:'%22rtdc.l.rtdc.4010%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663</v>
      </c>
      <c r="B28" s="7">
        <v>4009</v>
      </c>
      <c r="C28" s="21" t="s">
        <v>195</v>
      </c>
      <c r="D28" s="21" t="s">
        <v>388</v>
      </c>
      <c r="E28" s="13">
        <v>43008.264108796298</v>
      </c>
      <c r="F28" s="13">
        <v>43008.268923611111</v>
      </c>
      <c r="G28" s="7">
        <v>74</v>
      </c>
      <c r="H28" s="21" t="s">
        <v>337</v>
      </c>
      <c r="I28" s="13">
        <v>43008.295937499999</v>
      </c>
      <c r="J28" s="7">
        <v>0</v>
      </c>
      <c r="K28" s="81" t="str">
        <f t="shared" si="0"/>
        <v>4009/4010</v>
      </c>
      <c r="L28" s="175" t="str">
        <f>VLOOKUP(A28,'Trips&amp;Operators'!$C$1:$G$99911,5,FALSE)</f>
        <v>MAELZER KURT</v>
      </c>
      <c r="M28" s="6">
        <f t="shared" si="1"/>
        <v>2.7013888888177462E-2</v>
      </c>
      <c r="N28" s="7">
        <f t="shared" si="2"/>
        <v>38.899999998975545</v>
      </c>
      <c r="O28" s="7"/>
      <c r="P28" s="7"/>
      <c r="Q28" s="22"/>
      <c r="R28" s="166"/>
      <c r="S28" s="228">
        <f t="shared" si="3"/>
        <v>1</v>
      </c>
      <c r="T28" s="166" t="str">
        <f t="shared" si="4"/>
        <v>Southbound</v>
      </c>
      <c r="U28" s="21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4" t="str">
        <f t="shared" si="5"/>
        <v>https://d0f6bd738d7f1b3e5a7ca70fe4ff75f0.us-east-1.aws.found.io/app/kibana#/discover/Steve-Slow-Train-Analysis-(2080s-and-2083s)?_g=(refreshInterval:(display:Off,pause:!f,section:0,value:0),time:(from:'2017-09-30T05:20:19-0600',mode:absolute,to:'2017-09-30T08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215" t="str">
        <f>IF(AA28&lt;VLOOKUP(AG28,Variables!$AC$3:$AD$8,2,FALSE),"Y","N")</f>
        <v>N</v>
      </c>
      <c r="X28" s="215">
        <f t="shared" si="6"/>
        <v>1</v>
      </c>
      <c r="Y28" s="215">
        <f t="shared" si="7"/>
        <v>23.299800000000001</v>
      </c>
      <c r="Z28" s="215">
        <f t="shared" si="8"/>
        <v>1.49E-2</v>
      </c>
      <c r="AA28" s="215">
        <f t="shared" si="9"/>
        <v>23.2849</v>
      </c>
      <c r="AB28" s="216" t="e">
        <f>VLOOKUP(A28,Enforcements!$C$7:$K$11,8,0)</f>
        <v>#N/A</v>
      </c>
      <c r="AC28" s="216" t="e">
        <f>VLOOKUP(A28,Enforcements!$C$7:$E$11,3,0)</f>
        <v>#N/A</v>
      </c>
      <c r="AD28" s="217">
        <f t="shared" si="10"/>
        <v>116</v>
      </c>
      <c r="AE28" s="218" t="str">
        <f t="shared" si="11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28" s="68" t="str">
        <f t="shared" si="12"/>
        <v>"C:\Program Files (x86)\AstroGrep\AstroGrep.exe" /e /r /s /spath="%USERPROFILE%\AppData\Local\Temp\OnboardLogs" /stypes="app*4009*20170930*" /stext=" 13:.+((SYSTEM_STATE.+slice.+state.+changed )|(ment ac)|(multiple cpu faults)|(system.+state.+changed )|(\[timeout)|(PRM\|1\|D)|(kpr)|(kdp)|(train st.+moving)|(\|lc)|(penalty))"</v>
      </c>
      <c r="AG28" s="172" t="str">
        <f t="shared" si="13"/>
        <v>EC</v>
      </c>
      <c r="AH28" s="70" t="str">
        <f t="shared" si="19"/>
        <v>"%USERPROFILE%\Documents\GitHub\eaglep3\Utilities\RefineRTDCRunTimes.py" --tripid 116-30 --locoid 4009 --swversion DE.1.0.9.0 --startMP 204:232998 --initTime 2017-09-30T06:20:19 --startdatetime 2017-09-30T06:27:15 --delay 74 --endMP 204:149 --enddatetime 2017-09-30T07:06:09 --enforcementcount 0 &gt;&gt;c:\users\stu\Documents\GitHub\eaglep3-reporting\EC\2017-09-30-refined-times.txt</v>
      </c>
      <c r="AI28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{"issue":{"subject":"","project_id":79,"tracker_id":40,"status_id":1,"priority_id":2,"assigned_to_id":338,"start_date":"2017-09-30","description":"","custom_fields":[{"id":1,"name":"Subdivision","value":"EC"},{"id":4,"name":"Milepost","value":"0.0149"},{"id":17,"name":"Train ID","value":"116-30"},{"id":16,"name":"Locomotive ID","value":"4009"},{"id":130,"name":"Impact","value":""},{"id":150,"name":"Time of Event (Mountain Time)","value":"07:06:09"},{"id":151,"name":"Denver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34" t="str">
        <f t="shared" si="21"/>
        <v>start /low /b %USERPROFILE%\Documents\GitHub\eaglep3\Utilities\DownloadLogsFromS3.py --loco 4009 --day 2017-09-30</v>
      </c>
      <c r="AN28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0" t="str">
        <f t="shared" si="23"/>
        <v>https://d0f6bd738d7f1b3e5a7ca70fe4ff75f0.us-east-1.aws.found.io/app/kibana#/discover/Steve-Slow-Train-Analysis-(2080s-and-2083s)?_g=(refreshInterval:(display:Off,pause:!f,section:0,value:0),time:(from:'2017-09-30T05:20:19-0600',mode:absolute,to:'2017-09-30T08:06:09-0600'))&amp;_a=(columns:!('Message%20ID',Summary),filters:!(),index:'emp_*',interval:auto,query:(query_string:(analyze_wildcard:!t,query:'%22rtdc.l.rtdc.4009%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659</v>
      </c>
      <c r="B29" s="7">
        <v>4020</v>
      </c>
      <c r="C29" s="21" t="s">
        <v>195</v>
      </c>
      <c r="D29" s="21" t="s">
        <v>339</v>
      </c>
      <c r="E29" s="13">
        <v>43008.233854166669</v>
      </c>
      <c r="F29" s="13">
        <v>43008.239791666667</v>
      </c>
      <c r="G29" s="7">
        <v>96</v>
      </c>
      <c r="H29" s="21" t="s">
        <v>841</v>
      </c>
      <c r="I29" s="13">
        <v>43008.266192129631</v>
      </c>
      <c r="J29" s="7">
        <v>0</v>
      </c>
      <c r="K29" s="81" t="str">
        <f t="shared" si="0"/>
        <v>4019/4020</v>
      </c>
      <c r="L29" s="175" t="str">
        <f>VLOOKUP(A29,'Trips&amp;Operators'!$C$1:$G$99911,5,FALSE)</f>
        <v>WILLIAMS DONTE</v>
      </c>
      <c r="M29" s="6">
        <f t="shared" si="1"/>
        <v>2.6400462964375038E-2</v>
      </c>
      <c r="N29" s="7">
        <f t="shared" si="2"/>
        <v>38.016666668700054</v>
      </c>
      <c r="O29" s="7"/>
      <c r="P29" s="7"/>
      <c r="Q29" s="22"/>
      <c r="R29" s="166"/>
      <c r="S29" s="228">
        <f t="shared" si="3"/>
        <v>1</v>
      </c>
      <c r="T29" s="166" t="str">
        <f t="shared" si="4"/>
        <v>NorthBound</v>
      </c>
      <c r="U29" s="21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4" t="str">
        <f t="shared" si="5"/>
        <v>https://d0f6bd738d7f1b3e5a7ca70fe4ff75f0.us-east-1.aws.found.io/app/kibana#/discover/Steve-Slow-Train-Analysis-(2080s-and-2083s)?_g=(refreshInterval:(display:Off,pause:!f,section:0,value:0),time:(from:'2017-09-30T04:36:45-0600',mode:absolute,to:'2017-09-30T07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215" t="str">
        <f>IF(AA29&lt;VLOOKUP(AG29,Variables!$AC$3:$AD$8,2,FALSE),"Y","N")</f>
        <v>N</v>
      </c>
      <c r="X29" s="215">
        <f t="shared" si="6"/>
        <v>1</v>
      </c>
      <c r="Y29" s="215">
        <f t="shared" si="7"/>
        <v>4.53E-2</v>
      </c>
      <c r="Z29" s="215">
        <f t="shared" si="8"/>
        <v>23.327400000000001</v>
      </c>
      <c r="AA29" s="215">
        <f t="shared" si="9"/>
        <v>23.2821</v>
      </c>
      <c r="AB29" s="216" t="e">
        <f>VLOOKUP(A29,Enforcements!$C$7:$K$11,8,0)</f>
        <v>#N/A</v>
      </c>
      <c r="AC29" s="216" t="e">
        <f>VLOOKUP(A29,Enforcements!$C$7:$E$11,3,0)</f>
        <v>#N/A</v>
      </c>
      <c r="AD29" s="217">
        <f t="shared" si="10"/>
        <v>117</v>
      </c>
      <c r="AE29" s="218" t="str">
        <f t="shared" si="11"/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AF29" s="68" t="str">
        <f t="shared" si="12"/>
        <v>"C:\Program Files (x86)\AstroGrep\AstroGrep.exe" /e /r /s /spath="%USERPROFILE%\AppData\Local\Temp\OnboardLogs" /stypes="app*4020*20170930*" /stext=" 12:.+((SYSTEM_STATE.+slice.+state.+changed )|(ment ac)|(multiple cpu faults)|(system.+state.+changed )|(\[timeout)|(PRM\|1\|D)|(kpr)|(kdp)|(train st.+moving)|(\|lc)|(penalty))"</v>
      </c>
      <c r="AG29" s="172" t="str">
        <f t="shared" si="13"/>
        <v>EC</v>
      </c>
      <c r="AH29" s="70" t="str">
        <f t="shared" si="19"/>
        <v>"%USERPROFILE%\Documents\GitHub\eaglep3\Utilities\RefineRTDCRunTimes.py" --tripid 117-30 --locoid 4020 --swversion DE.1.0.9.0 --startMP 204:453 --initTime 2017-09-30T05:36:45 --startdatetime 2017-09-30T05:45:18 --delay 96 --endMP 204:233274 --enddatetime 2017-09-30T06:23:19 --enforcementcount 0 &gt;&gt;c:\users\stu\Documents\GitHub\eaglep3-reporting\EC\2017-09-30-refined-times.txt</v>
      </c>
      <c r="AI29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{"issue":{"subject":"","project_id":79,"tracker_id":40,"status_id":1,"priority_id":2,"assigned_to_id":338,"start_date":"2017-09-30","description":"","custom_fields":[{"id":1,"name":"Subdivision","value":"EC"},{"id":4,"name":"Milepost","value":"23.3274"},{"id":17,"name":"Train ID","value":"117-30"},{"id":16,"name":"Locomotive ID","value":"4020"},{"id":130,"name":"Impact","value":""},{"id":150,"name":"Time of Event (Mountain Time)","value":"06:23:19"},{"id":151,"name":"Denver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34" t="str">
        <f t="shared" si="21"/>
        <v>start /low /b %USERPROFILE%\Documents\GitHub\eaglep3\Utilities\DownloadLogsFromS3.py --loco 4020 --day 2017-09-30</v>
      </c>
      <c r="AN29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0" t="str">
        <f t="shared" si="23"/>
        <v>https://d0f6bd738d7f1b3e5a7ca70fe4ff75f0.us-east-1.aws.found.io/app/kibana#/discover/Steve-Slow-Train-Analysis-(2080s-and-2083s)?_g=(refreshInterval:(display:Off,pause:!f,section:0,value:0),time:(from:'2017-09-30T04:36:45-0600',mode:absolute,to:'2017-09-30T07:23:19-0600'))&amp;_a=(columns:!('Message%20ID',Summary),filters:!(),index:'emp_*',interval:auto,query:(query_string:(analyze_wildcard:!t,query:'%22rtdc.l.rtdc.4020%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665</v>
      </c>
      <c r="B30" s="7">
        <v>4019</v>
      </c>
      <c r="C30" s="21" t="s">
        <v>195</v>
      </c>
      <c r="D30" s="21" t="s">
        <v>837</v>
      </c>
      <c r="E30" s="13">
        <v>43008.274687500001</v>
      </c>
      <c r="F30" s="13">
        <v>43008.279479166667</v>
      </c>
      <c r="G30" s="7">
        <v>77</v>
      </c>
      <c r="H30" s="21" t="s">
        <v>367</v>
      </c>
      <c r="I30" s="13">
        <v>43008.30704861111</v>
      </c>
      <c r="J30" s="7">
        <v>0</v>
      </c>
      <c r="K30" s="81" t="str">
        <f t="shared" si="0"/>
        <v>4019/4020</v>
      </c>
      <c r="L30" s="175" t="str">
        <f>VLOOKUP(A30,'Trips&amp;Operators'!$C$1:$G$99911,5,FALSE)</f>
        <v>WILLIAMS DONTE</v>
      </c>
      <c r="M30" s="6">
        <f t="shared" si="1"/>
        <v>2.7569444442633539E-2</v>
      </c>
      <c r="N30" s="7">
        <f t="shared" si="2"/>
        <v>39.699999997392297</v>
      </c>
      <c r="O30" s="7"/>
      <c r="P30" s="7"/>
      <c r="Q30" s="22"/>
      <c r="R30" s="166"/>
      <c r="S30" s="228">
        <f t="shared" si="3"/>
        <v>1</v>
      </c>
      <c r="T30" s="166" t="str">
        <f t="shared" si="4"/>
        <v>Southbound</v>
      </c>
      <c r="U30" s="21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4" t="str">
        <f t="shared" si="5"/>
        <v>https://d0f6bd738d7f1b3e5a7ca70fe4ff75f0.us-east-1.aws.found.io/app/kibana#/discover/Steve-Slow-Train-Analysis-(2080s-and-2083s)?_g=(refreshInterval:(display:Off,pause:!f,section:0,value:0),time:(from:'2017-09-30T05:35:33-0600',mode:absolute,to:'2017-09-30T08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215" t="str">
        <f>IF(AA30&lt;VLOOKUP(AG30,Variables!$AC$3:$AD$8,2,FALSE),"Y","N")</f>
        <v>N</v>
      </c>
      <c r="X30" s="215">
        <f t="shared" si="6"/>
        <v>1</v>
      </c>
      <c r="Y30" s="215">
        <f t="shared" si="7"/>
        <v>23.296700000000001</v>
      </c>
      <c r="Z30" s="215">
        <f t="shared" si="8"/>
        <v>1.61E-2</v>
      </c>
      <c r="AA30" s="215">
        <f t="shared" si="9"/>
        <v>23.2806</v>
      </c>
      <c r="AB30" s="216" t="e">
        <f>VLOOKUP(A30,Enforcements!$C$7:$K$11,8,0)</f>
        <v>#N/A</v>
      </c>
      <c r="AC30" s="216" t="e">
        <f>VLOOKUP(A30,Enforcements!$C$7:$E$11,3,0)</f>
        <v>#N/A</v>
      </c>
      <c r="AD30" s="217">
        <f t="shared" si="10"/>
        <v>118</v>
      </c>
      <c r="AE30" s="218" t="str">
        <f t="shared" si="11"/>
        <v>aws s3 cp s3://rtdc.mdm.uploadarchive.raw/RTDC4019/ "%USERPROFILE%\AppData\Local\Temp\OnboardLogs"\RTDC4019\2017-09-30 --exclude "*" --recursive --include "*20170930*" &amp; "%USERPROFILE%\Documents\GitHub\mrs-test-scripts\Headless Mode &amp; Sideloading\WalkAndUnGZ.bat" "%USERPROFILE%\AppData\Local\Temp\OnboardLogs"\RTDC4019\2017-09-30 &amp; aws s3 cp s3://rtdc.mdm.uploadarchive.raw/RTDC4019/ "%USERPROFILE%\AppData\Local\Temp\OnboardLogs"\RTDC4019\2017-10-01 --exclude "*" --recursive --include "*20171001*" &amp; "%USERPROFILE%\Documents\GitHub\mrs-test-scripts\Headless Mode &amp; Sideloading\WalkAndUnGZ.bat" "%USERPROFILE%\AppData\Local\Temp\OnboardLogs"\RTDC4019\2017-10-01</v>
      </c>
      <c r="AF30" s="68" t="str">
        <f t="shared" si="12"/>
        <v>"C:\Program Files (x86)\AstroGrep\AstroGrep.exe" /e /r /s /spath="%USERPROFILE%\AppData\Local\Temp\OnboardLogs" /stypes="app*4019*20170930*" /stext=" 13:.+((SYSTEM_STATE.+slice.+state.+changed )|(ment ac)|(multiple cpu faults)|(system.+state.+changed )|(\[timeout)|(PRM\|1\|D)|(kpr)|(kdp)|(train st.+moving)|(\|lc)|(penalty))"</v>
      </c>
      <c r="AG30" s="172" t="str">
        <f t="shared" si="13"/>
        <v>EC</v>
      </c>
      <c r="AH30" s="70" t="str">
        <f t="shared" si="19"/>
        <v>"%USERPROFILE%\Documents\GitHub\eaglep3\Utilities\RefineRTDCRunTimes.py" --tripid 118-30 --locoid 4019 --swversion DE.1.0.9.0 --startMP 204:232967 --initTime 2017-09-30T06:35:33 --startdatetime 2017-09-30T06:42:27 --delay 77 --endMP 204:161 --enddatetime 2017-09-30T07:22:09 --enforcementcount 0 &gt;&gt;c:\users\stu\Documents\GitHub\eaglep3-reporting\EC\2017-09-30-refined-times.txt</v>
      </c>
      <c r="AI30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{"issue":{"subject":"","project_id":79,"tracker_id":40,"status_id":1,"priority_id":2,"assigned_to_id":338,"start_date":"2017-09-30","description":"","custom_fields":[{"id":1,"name":"Subdivision","value":"EC"},{"id":4,"name":"Milepost","value":"0.0161"},{"id":17,"name":"Train ID","value":"118-30"},{"id":16,"name":"Locomotive ID","value":"4019"},{"id":130,"name":"Impact","value":""},{"id":150,"name":"Time of Event (Mountain Time)","value":"07:22:09"},{"id":151,"name":"Denver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34" t="str">
        <f t="shared" si="21"/>
        <v>start /low /b %USERPROFILE%\Documents\GitHub\eaglep3\Utilities\DownloadLogsFromS3.py --loco 4019 --day 2017-09-30</v>
      </c>
      <c r="AN30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13:22:09"},{"id":29,"name":"Sharepoint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0" t="str">
        <f t="shared" si="23"/>
        <v>https://d0f6bd738d7f1b3e5a7ca70fe4ff75f0.us-east-1.aws.found.io/app/kibana#/discover/Steve-Slow-Train-Analysis-(2080s-and-2083s)?_g=(refreshInterval:(display:Off,pause:!f,section:0,value:0),time:(from:'2017-09-30T05:35:33-0600',mode:absolute,to:'2017-09-30T08:22:09-0600'))&amp;_a=(columns:!('Message%20ID',Summary),filters:!(),index:'emp_*',interval:auto,query:(query_string:(analyze_wildcard:!t,query:'%22rtdc.l.rtdc.4019%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661</v>
      </c>
      <c r="B31" s="7">
        <v>4052</v>
      </c>
      <c r="C31" s="21" t="s">
        <v>195</v>
      </c>
      <c r="D31" s="21" t="s">
        <v>383</v>
      </c>
      <c r="E31" s="13">
        <v>43008.249259259261</v>
      </c>
      <c r="F31" s="13">
        <v>43008.251192129632</v>
      </c>
      <c r="G31" s="7">
        <v>110</v>
      </c>
      <c r="H31" s="21" t="s">
        <v>551</v>
      </c>
      <c r="I31" s="13">
        <v>43008.277453703704</v>
      </c>
      <c r="J31" s="7">
        <v>0</v>
      </c>
      <c r="K31" s="81" t="str">
        <f t="shared" si="0"/>
        <v>4051/4052</v>
      </c>
      <c r="L31" s="175" t="str">
        <f>VLOOKUP(A31,'Trips&amp;Operators'!$C$1:$G$99911,5,FALSE)</f>
        <v>DAVIS WENDY</v>
      </c>
      <c r="M31" s="6">
        <f t="shared" si="1"/>
        <v>2.626157407212304E-2</v>
      </c>
      <c r="N31" s="7">
        <f t="shared" si="2"/>
        <v>37.816666663857177</v>
      </c>
      <c r="O31" s="7"/>
      <c r="P31" s="7"/>
      <c r="Q31" s="22"/>
      <c r="R31" s="166"/>
      <c r="S31" s="228">
        <f t="shared" si="3"/>
        <v>1</v>
      </c>
      <c r="T31" s="166" t="str">
        <f t="shared" si="4"/>
        <v>NorthBound</v>
      </c>
      <c r="U31" s="21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4" t="str">
        <f t="shared" si="5"/>
        <v>https://d0f6bd738d7f1b3e5a7ca70fe4ff75f0.us-east-1.aws.found.io/app/kibana#/discover/Steve-Slow-Train-Analysis-(2080s-and-2083s)?_g=(refreshInterval:(display:Off,pause:!f,section:0,value:0),time:(from:'2017-09-30T04:58:56-0600',mode:absolute,to:'2017-09-30T07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1" s="215" t="str">
        <f>IF(AA31&lt;VLOOKUP(AG31,Variables!$AC$3:$AD$8,2,FALSE),"Y","N")</f>
        <v>N</v>
      </c>
      <c r="X31" s="215">
        <f t="shared" si="6"/>
        <v>1</v>
      </c>
      <c r="Y31" s="215">
        <f t="shared" si="7"/>
        <v>4.6199999999999998E-2</v>
      </c>
      <c r="Z31" s="215">
        <f t="shared" si="8"/>
        <v>23.327000000000002</v>
      </c>
      <c r="AA31" s="215">
        <f t="shared" si="9"/>
        <v>23.280800000000003</v>
      </c>
      <c r="AB31" s="216" t="e">
        <f>VLOOKUP(A31,Enforcements!$C$7:$K$11,8,0)</f>
        <v>#N/A</v>
      </c>
      <c r="AC31" s="216" t="e">
        <f>VLOOKUP(A31,Enforcements!$C$7:$E$11,3,0)</f>
        <v>#N/A</v>
      </c>
      <c r="AD31" s="217">
        <f t="shared" si="10"/>
        <v>119</v>
      </c>
      <c r="AE31" s="218" t="str">
        <f t="shared" si="11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31" s="68" t="str">
        <f t="shared" si="12"/>
        <v>"C:\Program Files (x86)\AstroGrep\AstroGrep.exe" /e /r /s /spath="%USERPROFILE%\AppData\Local\Temp\OnboardLogs" /stypes="app*4052*20170930*" /stext=" 12:.+((SYSTEM_STATE.+slice.+state.+changed )|(ment ac)|(multiple cpu faults)|(system.+state.+changed )|(\[timeout)|(PRM\|1\|D)|(kpr)|(kdp)|(train st.+moving)|(\|lc)|(penalty))"</v>
      </c>
      <c r="AG31" s="172" t="str">
        <f t="shared" si="13"/>
        <v>EC</v>
      </c>
      <c r="AH31" s="70" t="str">
        <f t="shared" si="19"/>
        <v>"%USERPROFILE%\Documents\GitHub\eaglep3\Utilities\RefineRTDCRunTimes.py" --tripid 119-30 --locoid 4052 --swversion DE.1.0.9.0 --startMP 204:462 --initTime 2017-09-30T05:58:56 --startdatetime 2017-09-30T06:01:43 --delay 110 --endMP 204:233270 --enddatetime 2017-09-30T06:39:32 --enforcementcount 0 &gt;&gt;c:\users\stu\Documents\GitHub\eaglep3-reporting\EC\2017-09-30-refined-times.txt</v>
      </c>
      <c r="AI31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{"issue":{"subject":"","project_id":79,"tracker_id":40,"status_id":1,"priority_id":2,"assigned_to_id":338,"start_date":"2017-09-30","description":"","custom_fields":[{"id":1,"name":"Subdivision","value":"EC"},{"id":4,"name":"Milepost","value":"23.327"},{"id":17,"name":"Train ID","value":"119-30"},{"id":16,"name":"Locomotive ID","value":"4052"},{"id":130,"name":"Impact","value":""},{"id":150,"name":"Time of Event (Mountain Time)","value":"06:39:32"},{"id":151,"name":"Denver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34" t="str">
        <f t="shared" si="21"/>
        <v>start /low /b %USERPROFILE%\Documents\GitHub\eaglep3\Utilities\DownloadLogsFromS3.py --loco 4052 --day 2017-09-30</v>
      </c>
      <c r="AN31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0" t="str">
        <f t="shared" si="23"/>
        <v>https://d0f6bd738d7f1b3e5a7ca70fe4ff75f0.us-east-1.aws.found.io/app/kibana#/discover/Steve-Slow-Train-Analysis-(2080s-and-2083s)?_g=(refreshInterval:(display:Off,pause:!f,section:0,value:0),time:(from:'2017-09-30T04:58:56-0600',mode:absolute,to:'2017-09-30T07:39:32-0600'))&amp;_a=(columns:!('Message%20ID',Summary),filters:!(),index:'emp_*',interval:auto,query:(query_string:(analyze_wildcard:!t,query:'%22rtdc.l.rtdc.4052%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668</v>
      </c>
      <c r="B32" s="7">
        <v>4051</v>
      </c>
      <c r="C32" s="21" t="s">
        <v>195</v>
      </c>
      <c r="D32" s="21" t="s">
        <v>839</v>
      </c>
      <c r="E32" s="13">
        <v>43008.28396990741</v>
      </c>
      <c r="F32" s="13">
        <v>43008.289942129632</v>
      </c>
      <c r="G32" s="7">
        <v>62</v>
      </c>
      <c r="H32" s="21" t="s">
        <v>382</v>
      </c>
      <c r="I32" s="13">
        <v>43008.316712962966</v>
      </c>
      <c r="J32" s="7">
        <v>0</v>
      </c>
      <c r="K32" s="81" t="str">
        <f t="shared" si="0"/>
        <v>4051/4052</v>
      </c>
      <c r="L32" s="175" t="str">
        <f>VLOOKUP(A32,'Trips&amp;Operators'!$C$1:$G$99911,5,FALSE)</f>
        <v>DAVIS WENDY</v>
      </c>
      <c r="M32" s="6">
        <f t="shared" si="1"/>
        <v>2.6770833334012423E-2</v>
      </c>
      <c r="N32" s="7">
        <f t="shared" si="2"/>
        <v>38.550000000977889</v>
      </c>
      <c r="O32" s="7"/>
      <c r="P32" s="7"/>
      <c r="Q32" s="22"/>
      <c r="R32" s="166"/>
      <c r="S32" s="228">
        <f t="shared" si="3"/>
        <v>1</v>
      </c>
      <c r="T32" s="166" t="str">
        <f t="shared" si="4"/>
        <v>Southbound</v>
      </c>
      <c r="U32" s="21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4" t="str">
        <f t="shared" si="5"/>
        <v>https://d0f6bd738d7f1b3e5a7ca70fe4ff75f0.us-east-1.aws.found.io/app/kibana#/discover/Steve-Slow-Train-Analysis-(2080s-and-2083s)?_g=(refreshInterval:(display:Off,pause:!f,section:0,value:0),time:(from:'2017-09-30T05:48:55-0600',mode:absolute,to:'2017-09-30T08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2" s="215" t="str">
        <f>IF(AA32&lt;VLOOKUP(AG32,Variables!$AC$3:$AD$8,2,FALSE),"Y","N")</f>
        <v>N</v>
      </c>
      <c r="X32" s="215">
        <f t="shared" si="6"/>
        <v>1</v>
      </c>
      <c r="Y32" s="215">
        <f t="shared" si="7"/>
        <v>23.297599999999999</v>
      </c>
      <c r="Z32" s="215">
        <f t="shared" si="8"/>
        <v>1.6299999999999999E-2</v>
      </c>
      <c r="AA32" s="215">
        <f t="shared" si="9"/>
        <v>23.281299999999998</v>
      </c>
      <c r="AB32" s="216" t="e">
        <f>VLOOKUP(A32,Enforcements!$C$7:$K$11,8,0)</f>
        <v>#N/A</v>
      </c>
      <c r="AC32" s="216" t="e">
        <f>VLOOKUP(A32,Enforcements!$C$7:$E$11,3,0)</f>
        <v>#N/A</v>
      </c>
      <c r="AD32" s="217">
        <f t="shared" si="10"/>
        <v>120</v>
      </c>
      <c r="AE32" s="218" t="str">
        <f t="shared" si="11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32" s="68" t="str">
        <f t="shared" si="12"/>
        <v>"C:\Program Files (x86)\AstroGrep\AstroGrep.exe" /e /r /s /spath="%USERPROFILE%\AppData\Local\Temp\OnboardLogs" /stypes="app*4051*20170930*" /stext=" 13:.+((SYSTEM_STATE.+slice.+state.+changed )|(ment ac)|(multiple cpu faults)|(system.+state.+changed )|(\[timeout)|(PRM\|1\|D)|(kpr)|(kdp)|(train st.+moving)|(\|lc)|(penalty))"</v>
      </c>
      <c r="AG32" s="172" t="str">
        <f t="shared" si="13"/>
        <v>EC</v>
      </c>
      <c r="AH32" s="70" t="str">
        <f t="shared" si="19"/>
        <v>"%USERPROFILE%\Documents\GitHub\eaglep3\Utilities\RefineRTDCRunTimes.py" --tripid 120-30 --locoid 4051 --swversion DE.1.0.9.0 --startMP 204:232976 --initTime 2017-09-30T06:48:55 --startdatetime 2017-09-30T06:57:31 --delay 62 --endMP 204:163 --enddatetime 2017-09-30T07:36:04 --enforcementcount 0 &gt;&gt;c:\users\stu\Documents\GitHub\eaglep3-reporting\EC\2017-09-30-refined-times.txt</v>
      </c>
      <c r="AI32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{"issue":{"subject":"","project_id":79,"tracker_id":40,"status_id":1,"priority_id":2,"assigned_to_id":338,"start_date":"2017-09-30","description":"","custom_fields":[{"id":1,"name":"Subdivision","value":"EC"},{"id":4,"name":"Milepost","value":"0.0163"},{"id":17,"name":"Train ID","value":"120-30"},{"id":16,"name":"Locomotive ID","value":"4051"},{"id":130,"name":"Impact","value":""},{"id":150,"name":"Time of Event (Mountain Time)","value":"07:36:04"},{"id":151,"name":"Denver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34" t="str">
        <f t="shared" si="21"/>
        <v>start /low /b %USERPROFILE%\Documents\GitHub\eaglep3\Utilities\DownloadLogsFromS3.py --loco 4051 --day 2017-09-30</v>
      </c>
      <c r="AN32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0" t="str">
        <f t="shared" si="23"/>
        <v>https://d0f6bd738d7f1b3e5a7ca70fe4ff75f0.us-east-1.aws.found.io/app/kibana#/discover/Steve-Slow-Train-Analysis-(2080s-and-2083s)?_g=(refreshInterval:(display:Off,pause:!f,section:0,value:0),time:(from:'2017-09-30T05:48:55-0600',mode:absolute,to:'2017-09-30T08:36:04-0600'))&amp;_a=(columns:!('Message%20ID',Summary),filters:!(),index:'emp_*',interval:auto,query:(query_string:(analyze_wildcard:!t,query:'%22rtdc.l.rtdc.4051%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662</v>
      </c>
      <c r="B33" s="7">
        <v>4040</v>
      </c>
      <c r="C33" s="21" t="s">
        <v>195</v>
      </c>
      <c r="D33" s="21" t="s">
        <v>359</v>
      </c>
      <c r="E33" s="13">
        <v>43008.256840277776</v>
      </c>
      <c r="F33" s="13">
        <v>43008.26059027778</v>
      </c>
      <c r="G33" s="7">
        <v>48</v>
      </c>
      <c r="H33" s="21" t="s">
        <v>386</v>
      </c>
      <c r="I33" s="13">
        <v>43008.286932870367</v>
      </c>
      <c r="J33" s="7">
        <v>0</v>
      </c>
      <c r="K33" s="81" t="str">
        <f t="shared" si="0"/>
        <v>4039/4040</v>
      </c>
      <c r="L33" s="175" t="str">
        <f>VLOOKUP(A33,'Trips&amp;Operators'!$C$1:$G$99911,5,FALSE)</f>
        <v>GEBRETEKLE DAGNEW</v>
      </c>
      <c r="M33" s="6">
        <f t="shared" si="1"/>
        <v>2.6342592587752733E-2</v>
      </c>
      <c r="N33" s="7">
        <f t="shared" si="2"/>
        <v>37.933333326363936</v>
      </c>
      <c r="O33" s="7"/>
      <c r="P33" s="7"/>
      <c r="Q33" s="22"/>
      <c r="R33" s="166"/>
      <c r="S33" s="228">
        <f t="shared" si="3"/>
        <v>1</v>
      </c>
      <c r="T33" s="166" t="str">
        <f t="shared" si="4"/>
        <v>NorthBound</v>
      </c>
      <c r="U33" s="21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4" t="str">
        <f t="shared" si="5"/>
        <v>https://d0f6bd738d7f1b3e5a7ca70fe4ff75f0.us-east-1.aws.found.io/app/kibana#/discover/Steve-Slow-Train-Analysis-(2080s-and-2083s)?_g=(refreshInterval:(display:Off,pause:!f,section:0,value:0),time:(from:'2017-09-30T05:09:51-0600',mode:absolute,to:'2017-09-30T07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215" t="str">
        <f>IF(AA33&lt;VLOOKUP(AG33,Variables!$AC$3:$AD$8,2,FALSE),"Y","N")</f>
        <v>N</v>
      </c>
      <c r="X33" s="215">
        <f t="shared" si="6"/>
        <v>1</v>
      </c>
      <c r="Y33" s="215">
        <f t="shared" si="7"/>
        <v>4.6399999999999997E-2</v>
      </c>
      <c r="Z33" s="215">
        <f t="shared" si="8"/>
        <v>23.331199999999999</v>
      </c>
      <c r="AA33" s="215">
        <f t="shared" si="9"/>
        <v>23.284800000000001</v>
      </c>
      <c r="AB33" s="216" t="e">
        <f>VLOOKUP(A33,Enforcements!$C$7:$K$11,8,0)</f>
        <v>#N/A</v>
      </c>
      <c r="AC33" s="216" t="e">
        <f>VLOOKUP(A33,Enforcements!$C$7:$E$11,3,0)</f>
        <v>#N/A</v>
      </c>
      <c r="AD33" s="217">
        <f t="shared" si="10"/>
        <v>121</v>
      </c>
      <c r="AE33" s="218" t="str">
        <f t="shared" si="11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33" s="68" t="str">
        <f t="shared" si="12"/>
        <v>"C:\Program Files (x86)\AstroGrep\AstroGrep.exe" /e /r /s /spath="%USERPROFILE%\AppData\Local\Temp\OnboardLogs" /stypes="app*4040*20170930*" /stext=" 12:.+((SYSTEM_STATE.+slice.+state.+changed )|(ment ac)|(multiple cpu faults)|(system.+state.+changed )|(\[timeout)|(PRM\|1\|D)|(kpr)|(kdp)|(train st.+moving)|(\|lc)|(penalty))"</v>
      </c>
      <c r="AG33" s="172" t="str">
        <f t="shared" si="13"/>
        <v>EC</v>
      </c>
      <c r="AH33" s="70" t="str">
        <f t="shared" si="19"/>
        <v>"%USERPROFILE%\Documents\GitHub\eaglep3\Utilities\RefineRTDCRunTimes.py" --tripid 121-30 --locoid 4040 --swversion DE.1.0.9.0 --startMP 204:464 --initTime 2017-09-30T06:09:51 --startdatetime 2017-09-30T06:15:15 --delay 48 --endMP 204:233312 --enddatetime 2017-09-30T06:53:11 --enforcementcount 0 &gt;&gt;c:\users\stu\Documents\GitHub\eaglep3-reporting\EC\2017-09-30-refined-times.txt</v>
      </c>
      <c r="AI33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{"issue":{"subject":"","project_id":79,"tracker_id":40,"status_id":1,"priority_id":2,"assigned_to_id":338,"start_date":"2017-09-30","description":"","custom_fields":[{"id":1,"name":"Subdivision","value":"EC"},{"id":4,"name":"Milepost","value":"23.3312"},{"id":17,"name":"Train ID","value":"121-30"},{"id":16,"name":"Locomotive ID","value":"4040"},{"id":130,"name":"Impact","value":""},{"id":150,"name":"Time of Event (Mountain Time)","value":"06:53:11"},{"id":151,"name":"Denver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34" t="str">
        <f t="shared" si="21"/>
        <v>start /low /b %USERPROFILE%\Documents\GitHub\eaglep3\Utilities\DownloadLogsFromS3.py --loco 4040 --day 2017-09-30</v>
      </c>
      <c r="AN33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0" t="str">
        <f t="shared" si="23"/>
        <v>https://d0f6bd738d7f1b3e5a7ca70fe4ff75f0.us-east-1.aws.found.io/app/kibana#/discover/Steve-Slow-Train-Analysis-(2080s-and-2083s)?_g=(refreshInterval:(display:Off,pause:!f,section:0,value:0),time:(from:'2017-09-30T05:09:51-0600',mode:absolute,to:'2017-09-30T07:53:11-0600'))&amp;_a=(columns:!('Message%20ID',Summary),filters:!(),index:'emp_*',interval:auto,query:(query_string:(analyze_wildcard:!t,query:'%22rtdc.l.rtdc.4040%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670</v>
      </c>
      <c r="B34" s="7">
        <v>4039</v>
      </c>
      <c r="C34" s="21" t="s">
        <v>195</v>
      </c>
      <c r="D34" s="21" t="s">
        <v>570</v>
      </c>
      <c r="E34" s="13">
        <v>43008.289502314816</v>
      </c>
      <c r="F34" s="13">
        <v>43008.300208333334</v>
      </c>
      <c r="G34" s="7">
        <v>68</v>
      </c>
      <c r="H34" s="21" t="s">
        <v>371</v>
      </c>
      <c r="I34" s="13">
        <v>43008.326307870368</v>
      </c>
      <c r="J34" s="7">
        <v>0</v>
      </c>
      <c r="K34" s="81" t="str">
        <f t="shared" si="0"/>
        <v>4039/4040</v>
      </c>
      <c r="L34" s="175" t="str">
        <f>VLOOKUP(A34,'Trips&amp;Operators'!$C$1:$G$99911,5,FALSE)</f>
        <v>GEBRETEKLE DAGNEW</v>
      </c>
      <c r="M34" s="6">
        <f t="shared" si="1"/>
        <v>2.6099537033587694E-2</v>
      </c>
      <c r="N34" s="7">
        <f t="shared" si="2"/>
        <v>37.58333332836628</v>
      </c>
      <c r="O34" s="7"/>
      <c r="P34" s="7"/>
      <c r="Q34" s="22"/>
      <c r="R34" s="166"/>
      <c r="S34" s="228">
        <f t="shared" si="3"/>
        <v>1</v>
      </c>
      <c r="T34" s="166" t="str">
        <f t="shared" si="4"/>
        <v>Southbound</v>
      </c>
      <c r="U34" s="21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4" t="str">
        <f t="shared" si="5"/>
        <v>https://d0f6bd738d7f1b3e5a7ca70fe4ff75f0.us-east-1.aws.found.io/app/kibana#/discover/Steve-Slow-Train-Analysis-(2080s-and-2083s)?_g=(refreshInterval:(display:Off,pause:!f,section:0,value:0),time:(from:'2017-09-30T05:56:53-0600',mode:absolute,to:'2017-09-30T08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215" t="str">
        <f>IF(AA34&lt;VLOOKUP(AG34,Variables!$AC$3:$AD$8,2,FALSE),"Y","N")</f>
        <v>N</v>
      </c>
      <c r="X34" s="215">
        <f t="shared" si="6"/>
        <v>1</v>
      </c>
      <c r="Y34" s="215">
        <f t="shared" si="7"/>
        <v>23.299199999999999</v>
      </c>
      <c r="Z34" s="215">
        <f t="shared" si="8"/>
        <v>1.5800000000000002E-2</v>
      </c>
      <c r="AA34" s="215">
        <f t="shared" si="9"/>
        <v>23.2834</v>
      </c>
      <c r="AB34" s="216" t="e">
        <f>VLOOKUP(A34,Enforcements!$C$7:$K$11,8,0)</f>
        <v>#N/A</v>
      </c>
      <c r="AC34" s="216" t="e">
        <f>VLOOKUP(A34,Enforcements!$C$7:$E$11,3,0)</f>
        <v>#N/A</v>
      </c>
      <c r="AD34" s="217">
        <f t="shared" si="10"/>
        <v>122</v>
      </c>
      <c r="AE34" s="218" t="str">
        <f t="shared" si="11"/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34" s="68" t="str">
        <f t="shared" si="12"/>
        <v>"C:\Program Files (x86)\AstroGrep\AstroGrep.exe" /e /r /s /spath="%USERPROFILE%\AppData\Local\Temp\OnboardLogs" /stypes="app*4039*20170930*" /stext=" 13:.+((SYSTEM_STATE.+slice.+state.+changed )|(ment ac)|(multiple cpu faults)|(system.+state.+changed )|(\[timeout)|(PRM\|1\|D)|(kpr)|(kdp)|(train st.+moving)|(\|lc)|(penalty))"</v>
      </c>
      <c r="AG34" s="172" t="str">
        <f t="shared" si="13"/>
        <v>EC</v>
      </c>
      <c r="AH34" s="70" t="str">
        <f t="shared" si="19"/>
        <v>"%USERPROFILE%\Documents\GitHub\eaglep3\Utilities\RefineRTDCRunTimes.py" --tripid 122-30 --locoid 4039 --swversion DE.1.0.9.0 --startMP 204:232992 --initTime 2017-09-30T06:56:53 --startdatetime 2017-09-30T07:12:18 --delay 68 --endMP 204:158 --enddatetime 2017-09-30T07:49:53 --enforcementcount 0 &gt;&gt;c:\users\stu\Documents\GitHub\eaglep3-reporting\EC\2017-09-30-refined-times.txt</v>
      </c>
      <c r="AI34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{"issue":{"subject":"","project_id":79,"tracker_id":40,"status_id":1,"priority_id":2,"assigned_to_id":338,"start_date":"2017-09-30","description":"","custom_fields":[{"id":1,"name":"Subdivision","value":"EC"},{"id":4,"name":"Milepost","value":"0.0158"},{"id":17,"name":"Train ID","value":"122-30"},{"id":16,"name":"Locomotive ID","value":"4039"},{"id":130,"name":"Impact","value":""},{"id":150,"name":"Time of Event (Mountain Time)","value":"07:49:53"},{"id":151,"name":"Denver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34" t="str">
        <f t="shared" si="21"/>
        <v>start /low /b %USERPROFILE%\Documents\GitHub\eaglep3\Utilities\DownloadLogsFromS3.py --loco 4039 --day 2017-09-30</v>
      </c>
      <c r="AN34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13:49:53"},{"id":29,"name":"Sharepoint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0" t="str">
        <f t="shared" si="23"/>
        <v>https://d0f6bd738d7f1b3e5a7ca70fe4ff75f0.us-east-1.aws.found.io/app/kibana#/discover/Steve-Slow-Train-Analysis-(2080s-and-2083s)?_g=(refreshInterval:(display:Off,pause:!f,section:0,value:0),time:(from:'2017-09-30T05:56:53-0600',mode:absolute,to:'2017-09-30T08:49:53-0600'))&amp;_a=(columns:!('Message%20ID',Summary),filters:!(),index:'emp_*',interval:auto,query:(query_string:(analyze_wildcard:!t,query:'%22rtdc.l.rtdc.4039%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664</v>
      </c>
      <c r="B35" s="7">
        <v>4056</v>
      </c>
      <c r="C35" s="21" t="s">
        <v>195</v>
      </c>
      <c r="D35" s="21" t="s">
        <v>842</v>
      </c>
      <c r="E35" s="13">
        <v>43008.269282407404</v>
      </c>
      <c r="F35" s="13">
        <v>43008.271087962959</v>
      </c>
      <c r="G35" s="7">
        <v>54</v>
      </c>
      <c r="H35" s="21" t="s">
        <v>552</v>
      </c>
      <c r="I35" s="13">
        <v>43008.29550925926</v>
      </c>
      <c r="J35" s="7">
        <v>0</v>
      </c>
      <c r="K35" s="81" t="str">
        <f t="shared" si="0"/>
        <v>4055/4056</v>
      </c>
      <c r="L35" s="175" t="str">
        <f>VLOOKUP(A35,'Trips&amp;Operators'!$C$1:$G$99911,5,FALSE)</f>
        <v>LALONDE GREGORY</v>
      </c>
      <c r="M35" s="6">
        <f t="shared" si="1"/>
        <v>2.4421296300715767E-2</v>
      </c>
      <c r="N35" s="7">
        <f t="shared" si="2"/>
        <v>35.166666673030704</v>
      </c>
      <c r="O35" s="7"/>
      <c r="P35" s="7"/>
      <c r="Q35" s="22"/>
      <c r="R35" s="166"/>
      <c r="S35" s="228">
        <f t="shared" si="3"/>
        <v>1</v>
      </c>
      <c r="T35" s="166" t="str">
        <f t="shared" si="4"/>
        <v>NorthBound</v>
      </c>
      <c r="U35" s="21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4" t="str">
        <f t="shared" si="5"/>
        <v>https://d0f6bd738d7f1b3e5a7ca70fe4ff75f0.us-east-1.aws.found.io/app/kibana#/discover/Steve-Slow-Train-Analysis-(2080s-and-2083s)?_g=(refreshInterval:(display:Off,pause:!f,section:0,value:0),time:(from:'2017-09-30T05:27:46-0600',mode:absolute,to:'2017-09-30T08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215" t="str">
        <f>IF(AA35&lt;VLOOKUP(AG35,Variables!$AC$3:$AD$8,2,FALSE),"Y","N")</f>
        <v>N</v>
      </c>
      <c r="X35" s="215">
        <f t="shared" si="6"/>
        <v>1</v>
      </c>
      <c r="Y35" s="215">
        <f t="shared" si="7"/>
        <v>4.8899999999999999E-2</v>
      </c>
      <c r="Z35" s="215">
        <f t="shared" si="8"/>
        <v>23.331900000000001</v>
      </c>
      <c r="AA35" s="215">
        <f t="shared" si="9"/>
        <v>23.283000000000001</v>
      </c>
      <c r="AB35" s="216" t="e">
        <f>VLOOKUP(A35,Enforcements!$C$7:$K$11,8,0)</f>
        <v>#N/A</v>
      </c>
      <c r="AC35" s="216" t="e">
        <f>VLOOKUP(A35,Enforcements!$C$7:$E$11,3,0)</f>
        <v>#N/A</v>
      </c>
      <c r="AD35" s="217">
        <f t="shared" si="10"/>
        <v>123</v>
      </c>
      <c r="AE35" s="218" t="str">
        <f t="shared" si="11"/>
        <v>aws s3 cp s3://rtdc.mdm.uploadarchive.raw/RTDC4056/ "%USERPROFILE%\AppData\Local\Temp\OnboardLogs"\RTDC4056\2017-09-30 --exclude "*" --recursive --include "*20170930*" &amp; "%USERPROFILE%\Documents\GitHub\mrs-test-scripts\Headless Mode &amp; Sideloading\WalkAndUnGZ.bat" "%USERPROFILE%\AppData\Local\Temp\OnboardLogs"\RTDC4056\2017-09-30 &amp; aws s3 cp s3://rtdc.mdm.uploadarchive.raw/RTDC4056/ "%USERPROFILE%\AppData\Local\Temp\OnboardLogs"\RTDC4056\2017-10-01 --exclude "*" --recursive --include "*20171001*" &amp; "%USERPROFILE%\Documents\GitHub\mrs-test-scripts\Headless Mode &amp; Sideloading\WalkAndUnGZ.bat" "%USERPROFILE%\AppData\Local\Temp\OnboardLogs"\RTDC4056\2017-10-01</v>
      </c>
      <c r="AF35" s="68" t="str">
        <f t="shared" si="12"/>
        <v>"C:\Program Files (x86)\AstroGrep\AstroGrep.exe" /e /r /s /spath="%USERPROFILE%\AppData\Local\Temp\OnboardLogs" /stypes="app*4056*20170930*" /stext=" 13:.+((SYSTEM_STATE.+slice.+state.+changed )|(ment ac)|(multiple cpu faults)|(system.+state.+changed )|(\[timeout)|(PRM\|1\|D)|(kpr)|(kdp)|(train st.+moving)|(\|lc)|(penalty))"</v>
      </c>
      <c r="AG35" s="172" t="str">
        <f t="shared" si="13"/>
        <v>EC</v>
      </c>
      <c r="AH35" s="70" t="str">
        <f t="shared" si="19"/>
        <v>"%USERPROFILE%\Documents\GitHub\eaglep3\Utilities\RefineRTDCRunTimes.py" --tripid 123-30 --locoid 4056 --swversion DE.1.0.9.0 --startMP 204:489 --initTime 2017-09-30T06:27:46 --startdatetime 2017-09-30T06:30:22 --delay 54 --endMP 204:233319 --enddatetime 2017-09-30T07:05:32 --enforcementcount 0 &gt;&gt;c:\users\stu\Documents\GitHub\eaglep3-reporting\EC\2017-09-30-refined-times.txt</v>
      </c>
      <c r="AI35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{"issue":{"subject":"","project_id":79,"tracker_id":40,"status_id":1,"priority_id":2,"assigned_to_id":338,"start_date":"2017-09-30","description":"","custom_fields":[{"id":1,"name":"Subdivision","value":"EC"},{"id":4,"name":"Milepost","value":"23.3319"},{"id":17,"name":"Train ID","value":"123-30"},{"id":16,"name":"Locomotive ID","value":"4056"},{"id":130,"name":"Impact","value":""},{"id":150,"name":"Time of Event (Mountain Time)","value":"07:05:32"},{"id":151,"name":"Denver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34" t="str">
        <f t="shared" si="21"/>
        <v>start /low /b %USERPROFILE%\Documents\GitHub\eaglep3\Utilities\DownloadLogsFromS3.py --loco 4056 --day 2017-09-30</v>
      </c>
      <c r="AN35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13:05:32"},{"id":29,"name":"Sharepoint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0" t="str">
        <f t="shared" si="23"/>
        <v>https://d0f6bd738d7f1b3e5a7ca70fe4ff75f0.us-east-1.aws.found.io/app/kibana#/discover/Steve-Slow-Train-Analysis-(2080s-and-2083s)?_g=(refreshInterval:(display:Off,pause:!f,section:0,value:0),time:(from:'2017-09-30T05:27:46-0600',mode:absolute,to:'2017-09-30T08:05:32-0600'))&amp;_a=(columns:!('Message%20ID',Summary),filters:!(),index:'emp_*',interval:auto,query:(query_string:(analyze_wildcard:!t,query:'%22rtdc.l.rtdc.4056%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671</v>
      </c>
      <c r="B36" s="7">
        <v>4055</v>
      </c>
      <c r="C36" s="21" t="s">
        <v>195</v>
      </c>
      <c r="D36" s="21" t="s">
        <v>470</v>
      </c>
      <c r="E36" s="13">
        <v>43008.296863425923</v>
      </c>
      <c r="F36" s="13">
        <v>43008.310706018521</v>
      </c>
      <c r="G36" s="7">
        <v>51</v>
      </c>
      <c r="H36" s="21" t="s">
        <v>337</v>
      </c>
      <c r="I36" s="13">
        <v>43008.335335648146</v>
      </c>
      <c r="J36" s="7">
        <v>0</v>
      </c>
      <c r="K36" s="81" t="str">
        <f t="shared" si="0"/>
        <v>4055/4056</v>
      </c>
      <c r="L36" s="175" t="str">
        <f>VLOOKUP(A36,'Trips&amp;Operators'!$C$1:$G$99911,5,FALSE)</f>
        <v>LALONDE GREGORY</v>
      </c>
      <c r="M36" s="6">
        <f t="shared" si="1"/>
        <v>2.4629629624541849E-2</v>
      </c>
      <c r="N36" s="7">
        <f t="shared" si="2"/>
        <v>35.466666659340262</v>
      </c>
      <c r="O36" s="7"/>
      <c r="P36" s="7"/>
      <c r="Q36" s="22"/>
      <c r="R36" s="166"/>
      <c r="S36" s="228">
        <f t="shared" si="3"/>
        <v>1</v>
      </c>
      <c r="T36" s="166" t="str">
        <f t="shared" si="4"/>
        <v>Southbound</v>
      </c>
      <c r="U36" s="21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4" t="str">
        <f t="shared" si="5"/>
        <v>https://d0f6bd738d7f1b3e5a7ca70fe4ff75f0.us-east-1.aws.found.io/app/kibana#/discover/Steve-Slow-Train-Analysis-(2080s-and-2083s)?_g=(refreshInterval:(display:Off,pause:!f,section:0,value:0),time:(from:'2017-09-30T06:07:29-0600',mode:absolute,to:'2017-09-30T09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215" t="str">
        <f>IF(AA36&lt;VLOOKUP(AG36,Variables!$AC$3:$AD$8,2,FALSE),"Y","N")</f>
        <v>N</v>
      </c>
      <c r="X36" s="215">
        <f t="shared" si="6"/>
        <v>1</v>
      </c>
      <c r="Y36" s="215">
        <f t="shared" si="7"/>
        <v>23.3004</v>
      </c>
      <c r="Z36" s="215">
        <f t="shared" si="8"/>
        <v>1.49E-2</v>
      </c>
      <c r="AA36" s="215">
        <f t="shared" si="9"/>
        <v>23.285499999999999</v>
      </c>
      <c r="AB36" s="216" t="e">
        <f>VLOOKUP(A36,Enforcements!$C$7:$K$11,8,0)</f>
        <v>#N/A</v>
      </c>
      <c r="AC36" s="216" t="e">
        <f>VLOOKUP(A36,Enforcements!$C$7:$E$11,3,0)</f>
        <v>#N/A</v>
      </c>
      <c r="AD36" s="217">
        <f t="shared" si="10"/>
        <v>124</v>
      </c>
      <c r="AE36" s="218" t="str">
        <f t="shared" si="11"/>
        <v>aws s3 cp s3://rtdc.mdm.uploadarchive.raw/RTDC4055/ "%USERPROFILE%\AppData\Local\Temp\OnboardLogs"\RTDC4055\2017-09-30 --exclude "*" --recursive --include "*20170930*" &amp; "%USERPROFILE%\Documents\GitHub\mrs-test-scripts\Headless Mode &amp; Sideloading\WalkAndUnGZ.bat" "%USERPROFILE%\AppData\Local\Temp\OnboardLogs"\RTDC4055\2017-09-30 &amp; aws s3 cp s3://rtdc.mdm.uploadarchive.raw/RTDC4055/ "%USERPROFILE%\AppData\Local\Temp\OnboardLogs"\RTDC4055\2017-10-01 --exclude "*" --recursive --include "*20171001*" &amp; "%USERPROFILE%\Documents\GitHub\mrs-test-scripts\Headless Mode &amp; Sideloading\WalkAndUnGZ.bat" "%USERPROFILE%\AppData\Local\Temp\OnboardLogs"\RTDC4055\2017-10-01</v>
      </c>
      <c r="AF36" s="68" t="str">
        <f t="shared" si="12"/>
        <v>"C:\Program Files (x86)\AstroGrep\AstroGrep.exe" /e /r /s /spath="%USERPROFILE%\AppData\Local\Temp\OnboardLogs" /stypes="app*4055*20170930*" /stext=" 14:.+((SYSTEM_STATE.+slice.+state.+changed )|(ment ac)|(multiple cpu faults)|(system.+state.+changed )|(\[timeout)|(PRM\|1\|D)|(kpr)|(kdp)|(train st.+moving)|(\|lc)|(penalty))"</v>
      </c>
      <c r="AG36" s="172" t="str">
        <f t="shared" si="13"/>
        <v>EC</v>
      </c>
      <c r="AH36" s="70" t="str">
        <f t="shared" si="19"/>
        <v>"%USERPROFILE%\Documents\GitHub\eaglep3\Utilities\RefineRTDCRunTimes.py" --tripid 124-30 --locoid 4055 --swversion DE.1.0.9.0 --startMP 204:233004 --initTime 2017-09-30T07:07:29 --startdatetime 2017-09-30T07:27:25 --delay 51 --endMP 204:149 --enddatetime 2017-09-30T08:02:53 --enforcementcount 0 &gt;&gt;c:\users\stu\Documents\GitHub\eaglep3-reporting\EC\2017-09-30-refined-times.txt</v>
      </c>
      <c r="AI36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{"issue":{"subject":"","project_id":79,"tracker_id":40,"status_id":1,"priority_id":2,"assigned_to_id":338,"start_date":"2017-09-30","description":"","custom_fields":[{"id":1,"name":"Subdivision","value":"EC"},{"id":4,"name":"Milepost","value":"0.0149"},{"id":17,"name":"Train ID","value":"124-30"},{"id":16,"name":"Locomotive ID","value":"4055"},{"id":130,"name":"Impact","value":""},{"id":150,"name":"Time of Event (Mountain Time)","value":"08:02:53"},{"id":151,"name":"Denver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34" t="str">
        <f t="shared" si="21"/>
        <v>start /low /b %USERPROFILE%\Documents\GitHub\eaglep3\Utilities\DownloadLogsFromS3.py --loco 4055 --day 2017-09-30</v>
      </c>
      <c r="AN36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14:02:53"},{"id":29,"name":"Sharepoint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0" t="str">
        <f t="shared" si="23"/>
        <v>https://d0f6bd738d7f1b3e5a7ca70fe4ff75f0.us-east-1.aws.found.io/app/kibana#/discover/Steve-Slow-Train-Analysis-(2080s-and-2083s)?_g=(refreshInterval:(display:Off,pause:!f,section:0,value:0),time:(from:'2017-09-30T06:07:29-0600',mode:absolute,to:'2017-09-30T09:02:53-0600'))&amp;_a=(columns:!('Message%20ID',Summary),filters:!(),index:'emp_*',interval:auto,query:(query_string:(analyze_wildcard:!t,query:'%22rtdc.l.rtdc.4055%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667</v>
      </c>
      <c r="B37" s="7">
        <v>4028</v>
      </c>
      <c r="C37" s="21" t="s">
        <v>195</v>
      </c>
      <c r="D37" s="21" t="s">
        <v>368</v>
      </c>
      <c r="E37" s="13">
        <v>43008.276018518518</v>
      </c>
      <c r="F37" s="13">
        <v>43008.281412037039</v>
      </c>
      <c r="G37" s="7">
        <v>72</v>
      </c>
      <c r="H37" s="21" t="s">
        <v>462</v>
      </c>
      <c r="I37" s="13">
        <v>43008.30609953704</v>
      </c>
      <c r="J37" s="7">
        <v>0</v>
      </c>
      <c r="K37" s="81" t="str">
        <f t="shared" si="0"/>
        <v>4027/4028</v>
      </c>
      <c r="L37" s="175" t="str">
        <f>VLOOKUP(A37,'Trips&amp;Operators'!$C$1:$G$99911,5,FALSE)</f>
        <v>DE LA ROSA ALEX</v>
      </c>
      <c r="M37" s="6">
        <f t="shared" si="1"/>
        <v>2.4687500001164153E-2</v>
      </c>
      <c r="N37" s="7">
        <f t="shared" si="2"/>
        <v>35.550000001676381</v>
      </c>
      <c r="O37" s="7"/>
      <c r="P37" s="7"/>
      <c r="Q37" s="22"/>
      <c r="R37" s="166"/>
      <c r="S37" s="228">
        <f t="shared" si="3"/>
        <v>1</v>
      </c>
      <c r="T37" s="166" t="str">
        <f t="shared" si="4"/>
        <v>NorthBound</v>
      </c>
      <c r="U37" s="21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4" t="str">
        <f t="shared" si="5"/>
        <v>https://d0f6bd738d7f1b3e5a7ca70fe4ff75f0.us-east-1.aws.found.io/app/kibana#/discover/Steve-Slow-Train-Analysis-(2080s-and-2083s)?_g=(refreshInterval:(display:Off,pause:!f,section:0,value:0),time:(from:'2017-09-30T05:37:28-0600',mode:absolute,to:'2017-09-30T08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215" t="str">
        <f>IF(AA37&lt;VLOOKUP(AG37,Variables!$AC$3:$AD$8,2,FALSE),"Y","N")</f>
        <v>N</v>
      </c>
      <c r="X37" s="215">
        <f t="shared" si="6"/>
        <v>1</v>
      </c>
      <c r="Y37" s="215">
        <f t="shared" si="7"/>
        <v>4.4200000000000003E-2</v>
      </c>
      <c r="Z37" s="215">
        <f t="shared" si="8"/>
        <v>23.329699999999999</v>
      </c>
      <c r="AA37" s="215">
        <f t="shared" si="9"/>
        <v>23.285499999999999</v>
      </c>
      <c r="AB37" s="216" t="e">
        <f>VLOOKUP(A37,Enforcements!$C$7:$K$11,8,0)</f>
        <v>#N/A</v>
      </c>
      <c r="AC37" s="216" t="e">
        <f>VLOOKUP(A37,Enforcements!$C$7:$E$11,3,0)</f>
        <v>#N/A</v>
      </c>
      <c r="AD37" s="217">
        <f t="shared" si="10"/>
        <v>125</v>
      </c>
      <c r="AE37" s="218" t="str">
        <f t="shared" si="11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37" s="68" t="str">
        <f t="shared" si="12"/>
        <v>"C:\Program Files (x86)\AstroGrep\AstroGrep.exe" /e /r /s /spath="%USERPROFILE%\AppData\Local\Temp\OnboardLogs" /stypes="app*4028*20170930*" /stext=" 13:.+((SYSTEM_STATE.+slice.+state.+changed )|(ment ac)|(multiple cpu faults)|(system.+state.+changed )|(\[timeout)|(PRM\|1\|D)|(kpr)|(kdp)|(train st.+moving)|(\|lc)|(penalty))"</v>
      </c>
      <c r="AG37" s="172" t="str">
        <f t="shared" si="13"/>
        <v>EC</v>
      </c>
      <c r="AH37" s="70" t="str">
        <f t="shared" si="19"/>
        <v>"%USERPROFILE%\Documents\GitHub\eaglep3\Utilities\RefineRTDCRunTimes.py" --tripid 125-30 --locoid 4028 --swversion DE.1.0.9.0 --startMP 204:442 --initTime 2017-09-30T06:37:28 --startdatetime 2017-09-30T06:45:14 --delay 72 --endMP 204:233297 --enddatetime 2017-09-30T07:20:47 --enforcementcount 0 &gt;&gt;c:\users\stu\Documents\GitHub\eaglep3-reporting\EC\2017-09-30-refined-times.txt</v>
      </c>
      <c r="AI37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{"issue":{"subject":"","project_id":79,"tracker_id":40,"status_id":1,"priority_id":2,"assigned_to_id":338,"start_date":"2017-09-30","description":"","custom_fields":[{"id":1,"name":"Subdivision","value":"EC"},{"id":4,"name":"Milepost","value":"23.3297"},{"id":17,"name":"Train ID","value":"125-30"},{"id":16,"name":"Locomotive ID","value":"4028"},{"id":130,"name":"Impact","value":""},{"id":150,"name":"Time of Event (Mountain Time)","value":"07:20:47"},{"id":151,"name":"Denver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34" t="str">
        <f t="shared" si="21"/>
        <v>start /low /b %USERPROFILE%\Documents\GitHub\eaglep3\Utilities\DownloadLogsFromS3.py --loco 4028 --day 2017-09-30</v>
      </c>
      <c r="AN37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13:20:47"},{"id":29,"name":"Sharepoint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0" t="str">
        <f t="shared" si="23"/>
        <v>https://d0f6bd738d7f1b3e5a7ca70fe4ff75f0.us-east-1.aws.found.io/app/kibana#/discover/Steve-Slow-Train-Analysis-(2080s-and-2083s)?_g=(refreshInterval:(display:Off,pause:!f,section:0,value:0),time:(from:'2017-09-30T05:37:28-0600',mode:absolute,to:'2017-09-30T08:20:47-0600'))&amp;_a=(columns:!('Message%20ID',Summary),filters:!(),index:'emp_*',interval:auto,query:(query_string:(analyze_wildcard:!t,query:'%22rtdc.l.rtdc.4028%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676</v>
      </c>
      <c r="B38" s="7">
        <v>4027</v>
      </c>
      <c r="C38" s="21" t="s">
        <v>195</v>
      </c>
      <c r="D38" s="21" t="s">
        <v>366</v>
      </c>
      <c r="E38" s="13">
        <v>43008.317800925928</v>
      </c>
      <c r="F38" s="13">
        <v>43008.321064814816</v>
      </c>
      <c r="G38" s="7">
        <v>77</v>
      </c>
      <c r="H38" s="21" t="s">
        <v>378</v>
      </c>
      <c r="I38" s="13">
        <v>43008.347500000003</v>
      </c>
      <c r="J38" s="7">
        <v>0</v>
      </c>
      <c r="K38" s="81" t="str">
        <f t="shared" si="0"/>
        <v>4027/4028</v>
      </c>
      <c r="L38" s="175" t="str">
        <f>VLOOKUP(A38,'Trips&amp;Operators'!$C$1:$G$99911,5,FALSE)</f>
        <v>DE LA ROSA ALEX</v>
      </c>
      <c r="M38" s="6">
        <f t="shared" si="1"/>
        <v>2.6435185187438037E-2</v>
      </c>
      <c r="N38" s="7">
        <f t="shared" si="2"/>
        <v>38.066666669910774</v>
      </c>
      <c r="O38" s="7"/>
      <c r="P38" s="7"/>
      <c r="Q38" s="22"/>
      <c r="R38" s="166"/>
      <c r="S38" s="228">
        <f t="shared" si="3"/>
        <v>1</v>
      </c>
      <c r="T38" s="166" t="str">
        <f t="shared" si="4"/>
        <v>Southbound</v>
      </c>
      <c r="U38" s="21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4" t="str">
        <f t="shared" si="5"/>
        <v>https://d0f6bd738d7f1b3e5a7ca70fe4ff75f0.us-east-1.aws.found.io/app/kibana#/discover/Steve-Slow-Train-Analysis-(2080s-and-2083s)?_g=(refreshInterval:(display:Off,pause:!f,section:0,value:0),time:(from:'2017-09-30T06:37:38-0600',mode:absolute,to:'2017-09-30T09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8" s="215" t="str">
        <f>IF(AA38&lt;VLOOKUP(AG38,Variables!$AC$3:$AD$8,2,FALSE),"Y","N")</f>
        <v>N</v>
      </c>
      <c r="X38" s="215">
        <f t="shared" si="6"/>
        <v>1</v>
      </c>
      <c r="Y38" s="215">
        <f t="shared" si="7"/>
        <v>23.297699999999999</v>
      </c>
      <c r="Z38" s="215">
        <f t="shared" si="8"/>
        <v>1.3899999999999999E-2</v>
      </c>
      <c r="AA38" s="215">
        <f t="shared" si="9"/>
        <v>23.283799999999999</v>
      </c>
      <c r="AB38" s="216" t="e">
        <f>VLOOKUP(A38,Enforcements!$C$7:$K$11,8,0)</f>
        <v>#N/A</v>
      </c>
      <c r="AC38" s="216" t="e">
        <f>VLOOKUP(A38,Enforcements!$C$7:$E$11,3,0)</f>
        <v>#N/A</v>
      </c>
      <c r="AD38" s="217">
        <f t="shared" si="10"/>
        <v>126</v>
      </c>
      <c r="AE38" s="218" t="str">
        <f t="shared" si="11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38" s="68" t="str">
        <f t="shared" si="12"/>
        <v>"C:\Program Files (x86)\AstroGrep\AstroGrep.exe" /e /r /s /spath="%USERPROFILE%\AppData\Local\Temp\OnboardLogs" /stypes="app*4027*20170930*" /stext=" 14:.+((SYSTEM_STATE.+slice.+state.+changed )|(ment ac)|(multiple cpu faults)|(system.+state.+changed )|(\[timeout)|(PRM\|1\|D)|(kpr)|(kdp)|(train st.+moving)|(\|lc)|(penalty))"</v>
      </c>
      <c r="AG38" s="172" t="str">
        <f t="shared" si="13"/>
        <v>EC</v>
      </c>
      <c r="AH38" s="70" t="str">
        <f t="shared" si="19"/>
        <v>"%USERPROFILE%\Documents\GitHub\eaglep3\Utilities\RefineRTDCRunTimes.py" --tripid 126-30 --locoid 4027 --swversion DE.1.0.9.0 --startMP 204:232977 --initTime 2017-09-30T07:37:38 --startdatetime 2017-09-30T07:42:20 --delay 77 --endMP 204:139 --enddatetime 2017-09-30T08:20:24 --enforcementcount 0 &gt;&gt;c:\users\stu\Documents\GitHub\eaglep3-reporting\EC\2017-09-30-refined-times.txt</v>
      </c>
      <c r="AI38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{"issue":{"subject":"","project_id":79,"tracker_id":40,"status_id":1,"priority_id":2,"assigned_to_id":338,"start_date":"2017-09-30","description":"","custom_fields":[{"id":1,"name":"Subdivision","value":"EC"},{"id":4,"name":"Milepost","value":"0.0139"},{"id":17,"name":"Train ID","value":"126-30"},{"id":16,"name":"Locomotive ID","value":"4027"},{"id":130,"name":"Impact","value":""},{"id":150,"name":"Time of Event (Mountain Time)","value":"08:20:24"},{"id":151,"name":"Denver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34" t="str">
        <f t="shared" si="21"/>
        <v>start /low /b %USERPROFILE%\Documents\GitHub\eaglep3\Utilities\DownloadLogsFromS3.py --loco 4027 --day 2017-09-30</v>
      </c>
      <c r="AN38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0" t="str">
        <f t="shared" si="23"/>
        <v>https://d0f6bd738d7f1b3e5a7ca70fe4ff75f0.us-east-1.aws.found.io/app/kibana#/discover/Steve-Slow-Train-Analysis-(2080s-and-2083s)?_g=(refreshInterval:(display:Off,pause:!f,section:0,value:0),time:(from:'2017-09-30T06:37:38-0600',mode:absolute,to:'2017-09-30T09:20:24-0600'))&amp;_a=(columns:!('Message%20ID',Summary),filters:!(),index:'emp_*',interval:auto,query:(query_string:(analyze_wildcard:!t,query:'%22rtdc.l.rtdc.4027%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669</v>
      </c>
      <c r="B39" s="7">
        <v>4004</v>
      </c>
      <c r="C39" s="21" t="s">
        <v>195</v>
      </c>
      <c r="D39" s="21" t="s">
        <v>355</v>
      </c>
      <c r="E39" s="13">
        <v>43008.288912037038</v>
      </c>
      <c r="F39" s="13">
        <v>43008.291875000003</v>
      </c>
      <c r="G39" s="7">
        <v>64</v>
      </c>
      <c r="H39" s="21" t="s">
        <v>493</v>
      </c>
      <c r="I39" s="13">
        <v>43008.316087962965</v>
      </c>
      <c r="J39" s="7">
        <v>0</v>
      </c>
      <c r="K39" s="81" t="str">
        <f t="shared" si="0"/>
        <v>4003/4004</v>
      </c>
      <c r="L39" s="175" t="str">
        <f>VLOOKUP(A39,'Trips&amp;Operators'!$C$1:$G$99911,5,FALSE)</f>
        <v>BIRENBAUM THOMAS</v>
      </c>
      <c r="M39" s="6">
        <f t="shared" si="1"/>
        <v>2.421296296233777E-2</v>
      </c>
      <c r="N39" s="7">
        <f t="shared" si="2"/>
        <v>34.866666665766388</v>
      </c>
      <c r="O39" s="7"/>
      <c r="P39" s="7"/>
      <c r="Q39" s="22"/>
      <c r="R39" s="166"/>
      <c r="S39" s="228">
        <f t="shared" si="3"/>
        <v>1</v>
      </c>
      <c r="T39" s="166" t="str">
        <f t="shared" si="4"/>
        <v>NorthBound</v>
      </c>
      <c r="U39" s="21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4" t="str">
        <f t="shared" si="5"/>
        <v>https://d0f6bd738d7f1b3e5a7ca70fe4ff75f0.us-east-1.aws.found.io/app/kibana#/discover/Steve-Slow-Train-Analysis-(2080s-and-2083s)?_g=(refreshInterval:(display:Off,pause:!f,section:0,value:0),time:(from:'2017-09-30T05:56:02-0600',mode:absolute,to:'2017-09-30T08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215" t="str">
        <f>IF(AA39&lt;VLOOKUP(AG39,Variables!$AC$3:$AD$8,2,FALSE),"Y","N")</f>
        <v>N</v>
      </c>
      <c r="X39" s="215">
        <f t="shared" si="6"/>
        <v>1</v>
      </c>
      <c r="Y39" s="215">
        <f t="shared" si="7"/>
        <v>4.58E-2</v>
      </c>
      <c r="Z39" s="215">
        <f t="shared" si="8"/>
        <v>23.3306</v>
      </c>
      <c r="AA39" s="215">
        <f t="shared" si="9"/>
        <v>23.284800000000001</v>
      </c>
      <c r="AB39" s="216" t="e">
        <f>VLOOKUP(A39,Enforcements!$C$7:$K$11,8,0)</f>
        <v>#N/A</v>
      </c>
      <c r="AC39" s="216" t="e">
        <f>VLOOKUP(A39,Enforcements!$C$7:$E$11,3,0)</f>
        <v>#N/A</v>
      </c>
      <c r="AD39" s="217">
        <f t="shared" si="10"/>
        <v>127</v>
      </c>
      <c r="AE39" s="218" t="str">
        <f t="shared" si="11"/>
        <v>aws s3 cp s3://rtdc.mdm.uploadarchive.raw/RTDC4004/ "%USERPROFILE%\AppData\Local\Temp\OnboardLogs"\RTDC4004\2017-09-30 --exclude "*" --recursive --include "*20170930*" &amp; "%USERPROFILE%\Documents\GitHub\mrs-test-scripts\Headless Mode &amp; Sideloading\WalkAndUnGZ.bat" "%USERPROFILE%\AppData\Local\Temp\OnboardLogs"\RTDC4004\2017-09-30 &amp; aws s3 cp s3://rtdc.mdm.uploadarchive.raw/RTDC4004/ "%USERPROFILE%\AppData\Local\Temp\OnboardLogs"\RTDC4004\2017-10-01 --exclude "*" --recursive --include "*20171001*" &amp; "%USERPROFILE%\Documents\GitHub\mrs-test-scripts\Headless Mode &amp; Sideloading\WalkAndUnGZ.bat" "%USERPROFILE%\AppData\Local\Temp\OnboardLogs"\RTDC4004\2017-10-01</v>
      </c>
      <c r="AF39" s="68" t="str">
        <f t="shared" si="12"/>
        <v>"C:\Program Files (x86)\AstroGrep\AstroGrep.exe" /e /r /s /spath="%USERPROFILE%\AppData\Local\Temp\OnboardLogs" /stypes="app*4004*20170930*" /stext=" 13:.+((SYSTEM_STATE.+slice.+state.+changed )|(ment ac)|(multiple cpu faults)|(system.+state.+changed )|(\[timeout)|(PRM\|1\|D)|(kpr)|(kdp)|(train st.+moving)|(\|lc)|(penalty))"</v>
      </c>
      <c r="AG39" s="172" t="str">
        <f t="shared" si="13"/>
        <v>EC</v>
      </c>
      <c r="AH39" s="70" t="str">
        <f t="shared" si="19"/>
        <v>"%USERPROFILE%\Documents\GitHub\eaglep3\Utilities\RefineRTDCRunTimes.py" --tripid 127-30 --locoid 4004 --swversion DE.1.0.9.0 --startMP 204:458 --initTime 2017-09-30T06:56:02 --startdatetime 2017-09-30T07:00:18 --delay 64 --endMP 204:233306 --enddatetime 2017-09-30T07:35:10 --enforcementcount 0 &gt;&gt;c:\users\stu\Documents\GitHub\eaglep3-reporting\EC\2017-09-30-refined-times.txt</v>
      </c>
      <c r="AI39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{"issue":{"subject":"","project_id":79,"tracker_id":40,"status_id":1,"priority_id":2,"assigned_to_id":338,"start_date":"2017-09-30","description":"","custom_fields":[{"id":1,"name":"Subdivision","value":"EC"},{"id":4,"name":"Milepost","value":"23.3306"},{"id":17,"name":"Train ID","value":"127-30"},{"id":16,"name":"Locomotive ID","value":"4004"},{"id":130,"name":"Impact","value":""},{"id":150,"name":"Time of Event (Mountain Time)","value":"07:35:10"},{"id":151,"name":"Denver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34" t="str">
        <f t="shared" si="21"/>
        <v>start /low /b %USERPROFILE%\Documents\GitHub\eaglep3\Utilities\DownloadLogsFromS3.py --loco 4004 --day 2017-09-30</v>
      </c>
      <c r="AN39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0" t="str">
        <f t="shared" si="23"/>
        <v>https://d0f6bd738d7f1b3e5a7ca70fe4ff75f0.us-east-1.aws.found.io/app/kibana#/discover/Steve-Slow-Train-Analysis-(2080s-and-2083s)?_g=(refreshInterval:(display:Off,pause:!f,section:0,value:0),time:(from:'2017-09-30T05:56:02-0600',mode:absolute,to:'2017-09-30T08:35:10-0600'))&amp;_a=(columns:!('Message%20ID',Summary),filters:!(),index:'emp_*',interval:auto,query:(query_string:(analyze_wildcard:!t,query:'%22rtdc.l.rtdc.4004%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674</v>
      </c>
      <c r="B40" s="7">
        <v>4003</v>
      </c>
      <c r="C40" s="21" t="s">
        <v>195</v>
      </c>
      <c r="D40" s="21" t="s">
        <v>843</v>
      </c>
      <c r="E40" s="13">
        <v>43008.317152777781</v>
      </c>
      <c r="F40" s="13">
        <v>43008.331412037034</v>
      </c>
      <c r="G40" s="7">
        <v>51</v>
      </c>
      <c r="H40" s="21" t="s">
        <v>384</v>
      </c>
      <c r="I40" s="13">
        <v>43008.35670138889</v>
      </c>
      <c r="J40" s="7">
        <v>0</v>
      </c>
      <c r="K40" s="81" t="str">
        <f t="shared" si="0"/>
        <v>4003/4004</v>
      </c>
      <c r="L40" s="175" t="str">
        <f>VLOOKUP(A40,'Trips&amp;Operators'!$C$1:$G$99911,5,FALSE)</f>
        <v>BIRENBAUM THOMAS</v>
      </c>
      <c r="M40" s="6">
        <f t="shared" si="1"/>
        <v>2.5289351855462883E-2</v>
      </c>
      <c r="N40" s="7"/>
      <c r="O40" s="7"/>
      <c r="P40" s="7"/>
      <c r="Q40" s="22"/>
      <c r="R40" s="166"/>
      <c r="S40" s="228"/>
      <c r="T40" s="166" t="str">
        <f t="shared" si="4"/>
        <v>Southbound</v>
      </c>
      <c r="U40" s="21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214" t="str">
        <f t="shared" si="5"/>
        <v>https://d0f6bd738d7f1b3e5a7ca70fe4ff75f0.us-east-1.aws.found.io/app/kibana#/discover/Steve-Slow-Train-Analysis-(2080s-and-2083s)?_g=(refreshInterval:(display:Off,pause:!f,section:0,value:0),time:(from:'2017-09-30T06:36:42-0600',mode:absolute,to:'2017-09-30T09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215" t="str">
        <f>IF(AA40&lt;VLOOKUP(AG40,Variables!$AC$3:$AD$8,2,FALSE),"Y","N")</f>
        <v>Y</v>
      </c>
      <c r="X40" s="215">
        <f t="shared" si="6"/>
        <v>1</v>
      </c>
      <c r="Y40" s="215">
        <f t="shared" si="7"/>
        <v>23.299299999999999</v>
      </c>
      <c r="Z40" s="215">
        <f t="shared" si="8"/>
        <v>23.299600000000002</v>
      </c>
      <c r="AA40" s="215">
        <f t="shared" si="9"/>
        <v>3.0000000000285354E-4</v>
      </c>
      <c r="AB40" s="216" t="e">
        <f>VLOOKUP(A40,Enforcements!$C$7:$K$11,8,0)</f>
        <v>#N/A</v>
      </c>
      <c r="AC40" s="216" t="e">
        <f>VLOOKUP(A40,Enforcements!$C$7:$E$11,3,0)</f>
        <v>#N/A</v>
      </c>
      <c r="AD40" s="217">
        <f t="shared" si="10"/>
        <v>128</v>
      </c>
      <c r="AE40" s="218" t="str">
        <f t="shared" si="11"/>
        <v>aws s3 cp s3://rtdc.mdm.uploadarchive.raw/RTDC4003/ "%USERPROFILE%\AppData\Local\Temp\OnboardLogs"\RTDC4003\2017-09-30 --exclude "*" --recursive --include "*20170930*" &amp; "%USERPROFILE%\Documents\GitHub\mrs-test-scripts\Headless Mode &amp; Sideloading\WalkAndUnGZ.bat" "%USERPROFILE%\AppData\Local\Temp\OnboardLogs"\RTDC4003\2017-09-30 &amp; aws s3 cp s3://rtdc.mdm.uploadarchive.raw/RTDC4003/ "%USERPROFILE%\AppData\Local\Temp\OnboardLogs"\RTDC4003\2017-10-01 --exclude "*" --recursive --include "*20171001*" &amp; "%USERPROFILE%\Documents\GitHub\mrs-test-scripts\Headless Mode &amp; Sideloading\WalkAndUnGZ.bat" "%USERPROFILE%\AppData\Local\Temp\OnboardLogs"\RTDC4003\2017-10-01</v>
      </c>
      <c r="AF40" s="68" t="str">
        <f t="shared" si="12"/>
        <v>"C:\Program Files (x86)\AstroGrep\AstroGrep.exe" /e /r /s /spath="%USERPROFILE%\AppData\Local\Temp\OnboardLogs" /stypes="app*4003*20170930*" /stext=" 14:.+((SYSTEM_STATE.+slice.+state.+changed )|(ment ac)|(multiple cpu faults)|(system.+state.+changed )|(\[timeout)|(PRM\|1\|D)|(kpr)|(kdp)|(train st.+moving)|(\|lc)|(penalty))"</v>
      </c>
      <c r="AG40" s="172" t="str">
        <f t="shared" si="13"/>
        <v>EC</v>
      </c>
      <c r="AH40" s="70" t="str">
        <f t="shared" si="19"/>
        <v>"%USERPROFILE%\Documents\GitHub\eaglep3\Utilities\RefineRTDCRunTimes.py" --tripid 128-30 --locoid 4003 --swversion DE.1.0.9.0 --startMP 204:232993 --initTime 2017-09-30T07:36:42 --startdatetime 2017-09-30T07:57:14 --delay 51 --endMP 204:232996 --enddatetime 2017-09-30T08:33:39 --enforcementcount 0 &gt;&gt;c:\users\stu\Documents\GitHub\eaglep3-reporting\EC\2017-09-30-refined-times.txt</v>
      </c>
      <c r="AI40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{"issue":{"subject":"","project_id":79,"tracker_id":40,"status_id":1,"priority_id":2,"assigned_to_id":338,"start_date":"2017-09-30","description":"","custom_fields":[{"id":1,"name":"Subdivision","value":"EC"},{"id":4,"name":"Milepost","value":"23.2996"},{"id":17,"name":"Train ID","value":"128-30"},{"id":16,"name":"Locomotive ID","value":"4003"},{"id":130,"name":"Impact","value":""},{"id":150,"name":"Time of Event (Mountain Time)","value":"08:33:39"},{"id":151,"name":"Denver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34" t="str">
        <f t="shared" si="21"/>
        <v>start /low /b %USERPROFILE%\Documents\GitHub\eaglep3\Utilities\DownloadLogsFromS3.py --loco 4003 --day 2017-09-30</v>
      </c>
      <c r="AN40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0" t="str">
        <f t="shared" si="23"/>
        <v>https://d0f6bd738d7f1b3e5a7ca70fe4ff75f0.us-east-1.aws.found.io/app/kibana#/discover/Steve-Slow-Train-Analysis-(2080s-and-2083s)?_g=(refreshInterval:(display:Off,pause:!f,section:0,value:0),time:(from:'2017-09-30T06:36:42-0600',mode:absolute,to:'2017-09-30T09:33:39-0600'))&amp;_a=(columns:!('Message%20ID',Summary),filters:!(),index:'emp_*',interval:auto,query:(query_string:(analyze_wildcard:!t,query:'%22rtdc.l.rtdc.4003%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674</v>
      </c>
      <c r="B41" s="7">
        <v>4003</v>
      </c>
      <c r="C41" s="21" t="s">
        <v>195</v>
      </c>
      <c r="D41" s="21" t="s">
        <v>843</v>
      </c>
      <c r="E41" s="13">
        <v>43008.328472222223</v>
      </c>
      <c r="F41" s="13">
        <v>43008.331412037034</v>
      </c>
      <c r="G41" s="7">
        <v>59</v>
      </c>
      <c r="H41" s="21" t="s">
        <v>456</v>
      </c>
      <c r="I41" s="13">
        <v>43008.35670138889</v>
      </c>
      <c r="J41" s="7">
        <v>0</v>
      </c>
      <c r="K41" s="81" t="str">
        <f t="shared" si="0"/>
        <v>4003/4004</v>
      </c>
      <c r="L41" s="175" t="str">
        <f>VLOOKUP(A41,'Trips&amp;Operators'!$C$1:$G$99911,5,FALSE)</f>
        <v>BIRENBAUM THOMAS</v>
      </c>
      <c r="M41" s="6">
        <f t="shared" si="1"/>
        <v>2.5289351855462883E-2</v>
      </c>
      <c r="N41" s="7">
        <f t="shared" ref="N41:N72" si="24">24*60*SUM($M41:$M41)</f>
        <v>36.416666671866551</v>
      </c>
      <c r="O41" s="7"/>
      <c r="P41" s="7"/>
      <c r="Q41" s="22"/>
      <c r="R41" s="166"/>
      <c r="S41" s="228">
        <f t="shared" ref="S41:S72" si="25">1/IF(AG41="EC",12,1)*SUM(U41:U41)</f>
        <v>1</v>
      </c>
      <c r="T41" s="166" t="str">
        <f t="shared" si="4"/>
        <v>Southbound</v>
      </c>
      <c r="U41" s="21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4" t="str">
        <f t="shared" si="5"/>
        <v>https://d0f6bd738d7f1b3e5a7ca70fe4ff75f0.us-east-1.aws.found.io/app/kibana#/discover/Steve-Slow-Train-Analysis-(2080s-and-2083s)?_g=(refreshInterval:(display:Off,pause:!f,section:0,value:0),time:(from:'2017-09-30T06:53:00-0600',mode:absolute,to:'2017-09-30T09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1" s="215" t="str">
        <f>IF(AA41&lt;VLOOKUP(AG41,Variables!$AC$3:$AD$8,2,FALSE),"Y","N")</f>
        <v>N</v>
      </c>
      <c r="X41" s="215">
        <f t="shared" si="6"/>
        <v>0</v>
      </c>
      <c r="Y41" s="215">
        <f t="shared" si="7"/>
        <v>23.299299999999999</v>
      </c>
      <c r="Z41" s="215">
        <f t="shared" si="8"/>
        <v>1.29E-2</v>
      </c>
      <c r="AA41" s="215">
        <f t="shared" si="9"/>
        <v>23.2864</v>
      </c>
      <c r="AB41" s="216" t="e">
        <f>VLOOKUP(A41,Enforcements!$C$7:$K$11,8,0)</f>
        <v>#N/A</v>
      </c>
      <c r="AC41" s="216" t="e">
        <f>VLOOKUP(A41,Enforcements!$C$7:$E$11,3,0)</f>
        <v>#N/A</v>
      </c>
      <c r="AD41" s="217">
        <f t="shared" si="10"/>
        <v>128</v>
      </c>
      <c r="AE41" s="218" t="str">
        <f t="shared" si="11"/>
        <v>aws s3 cp s3://rtdc.mdm.uploadarchive.raw/RTDC4003/ "%USERPROFILE%\AppData\Local\Temp\OnboardLogs"\RTDC4003\2017-09-30 --exclude "*" --recursive --include "*20170930*" &amp; "%USERPROFILE%\Documents\GitHub\mrs-test-scripts\Headless Mode &amp; Sideloading\WalkAndUnGZ.bat" "%USERPROFILE%\AppData\Local\Temp\OnboardLogs"\RTDC4003\2017-09-30 &amp; aws s3 cp s3://rtdc.mdm.uploadarchive.raw/RTDC4003/ "%USERPROFILE%\AppData\Local\Temp\OnboardLogs"\RTDC4003\2017-10-01 --exclude "*" --recursive --include "*20171001*" &amp; "%USERPROFILE%\Documents\GitHub\mrs-test-scripts\Headless Mode &amp; Sideloading\WalkAndUnGZ.bat" "%USERPROFILE%\AppData\Local\Temp\OnboardLogs"\RTDC4003\2017-10-01</v>
      </c>
      <c r="AF41" s="68" t="str">
        <f t="shared" si="12"/>
        <v>"C:\Program Files (x86)\AstroGrep\AstroGrep.exe" /e /r /s /spath="%USERPROFILE%\AppData\Local\Temp\OnboardLogs" /stypes="app*4003*20170930*" /stext=" 14:.+((SYSTEM_STATE.+slice.+state.+changed )|(ment ac)|(multiple cpu faults)|(system.+state.+changed )|(\[timeout)|(PRM\|1\|D)|(kpr)|(kdp)|(train st.+moving)|(\|lc)|(penalty))"</v>
      </c>
      <c r="AG41" s="172" t="str">
        <f t="shared" si="13"/>
        <v>EC</v>
      </c>
      <c r="AH41" s="70" t="str">
        <f t="shared" si="19"/>
        <v>"%USERPROFILE%\Documents\GitHub\eaglep3\Utilities\RefineRTDCRunTimes.py" --tripid 128-30 --locoid 4003 --swversion DE.1.0.9.0 --startMP 204:232993 --initTime 2017-09-30T07:53:00 --startdatetime 2017-09-30T07:57:14 --delay 59 --endMP 204:129 --enddatetime 2017-09-30T08:33:39 --enforcementcount 0 &gt;&gt;c:\users\stu\Documents\GitHub\eaglep3-reporting\EC\2017-09-30-refined-times.txt</v>
      </c>
      <c r="AI41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{"issue":{"subject":"","project_id":79,"tracker_id":40,"status_id":1,"priority_id":2,"assigned_to_id":338,"start_date":"2017-09-30","description":"","custom_fields":[{"id":1,"name":"Subdivision","value":"EC"},{"id":4,"name":"Milepost","value":"0.0129"},{"id":17,"name":"Train ID","value":"128-30"},{"id":16,"name":"Locomotive ID","value":"4003"},{"id":130,"name":"Impact","value":""},{"id":150,"name":"Time of Event (Mountain Time)","value":"08:33:39"},{"id":151,"name":"Denver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34" t="str">
        <f t="shared" si="21"/>
        <v>start /low /b %USERPROFILE%\Documents\GitHub\eaglep3\Utilities\DownloadLogsFromS3.py --loco 4003 --day 2017-09-30</v>
      </c>
      <c r="AN41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0" t="str">
        <f t="shared" si="23"/>
        <v>https://d0f6bd738d7f1b3e5a7ca70fe4ff75f0.us-east-1.aws.found.io/app/kibana#/discover/Steve-Slow-Train-Analysis-(2080s-and-2083s)?_g=(refreshInterval:(display:Off,pause:!f,section:0,value:0),time:(from:'2017-09-30T06:53:00-0600',mode:absolute,to:'2017-09-30T09:33:39-0600'))&amp;_a=(columns:!('Message%20ID',Summary),filters:!(),index:'emp_*',interval:auto,query:(query_string:(analyze_wildcard:!t,query:'%22rtdc.l.rtdc.4003%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672</v>
      </c>
      <c r="B42" s="7">
        <v>4010</v>
      </c>
      <c r="C42" s="21" t="s">
        <v>195</v>
      </c>
      <c r="D42" s="21" t="s">
        <v>346</v>
      </c>
      <c r="E42" s="13">
        <v>43008.300439814811</v>
      </c>
      <c r="F42" s="13">
        <v>43008.302314814813</v>
      </c>
      <c r="G42" s="7">
        <v>47</v>
      </c>
      <c r="H42" s="21" t="s">
        <v>455</v>
      </c>
      <c r="I42" s="13">
        <v>43008.326874999999</v>
      </c>
      <c r="J42" s="7">
        <v>0</v>
      </c>
      <c r="K42" s="81" t="str">
        <f t="shared" si="0"/>
        <v>4009/4010</v>
      </c>
      <c r="L42" s="175" t="str">
        <f>VLOOKUP(A42,'Trips&amp;Operators'!$C$1:$G$99911,5,FALSE)</f>
        <v>MAELZER KURT</v>
      </c>
      <c r="M42" s="6">
        <f t="shared" si="1"/>
        <v>2.4560185185691807E-2</v>
      </c>
      <c r="N42" s="7">
        <f t="shared" si="24"/>
        <v>35.366666667396203</v>
      </c>
      <c r="O42" s="7"/>
      <c r="P42" s="7"/>
      <c r="Q42" s="22"/>
      <c r="R42" s="166"/>
      <c r="S42" s="228">
        <f t="shared" si="25"/>
        <v>1</v>
      </c>
      <c r="T42" s="166" t="str">
        <f t="shared" si="4"/>
        <v>NorthBound</v>
      </c>
      <c r="U42" s="21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4" t="str">
        <f t="shared" si="5"/>
        <v>https://d0f6bd738d7f1b3e5a7ca70fe4ff75f0.us-east-1.aws.found.io/app/kibana#/discover/Steve-Slow-Train-Analysis-(2080s-and-2083s)?_g=(refreshInterval:(display:Off,pause:!f,section:0,value:0),time:(from:'2017-09-30T06:12:38-0600',mode:absolute,to:'2017-09-30T08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2" s="215" t="str">
        <f>IF(AA42&lt;VLOOKUP(AG42,Variables!$AC$3:$AD$8,2,FALSE),"Y","N")</f>
        <v>N</v>
      </c>
      <c r="X42" s="215">
        <f t="shared" si="6"/>
        <v>1</v>
      </c>
      <c r="Y42" s="215">
        <f t="shared" si="7"/>
        <v>4.5499999999999999E-2</v>
      </c>
      <c r="Z42" s="215">
        <f t="shared" si="8"/>
        <v>23.3291</v>
      </c>
      <c r="AA42" s="215">
        <f t="shared" si="9"/>
        <v>23.2836</v>
      </c>
      <c r="AB42" s="216" t="e">
        <f>VLOOKUP(A42,Enforcements!$C$7:$K$11,8,0)</f>
        <v>#N/A</v>
      </c>
      <c r="AC42" s="216" t="e">
        <f>VLOOKUP(A42,Enforcements!$C$7:$E$11,3,0)</f>
        <v>#N/A</v>
      </c>
      <c r="AD42" s="217">
        <f t="shared" si="10"/>
        <v>129</v>
      </c>
      <c r="AE42" s="218" t="str">
        <f t="shared" si="11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42" s="68" t="str">
        <f t="shared" si="12"/>
        <v>"C:\Program Files (x86)\AstroGrep\AstroGrep.exe" /e /r /s /spath="%USERPROFILE%\AppData\Local\Temp\OnboardLogs" /stypes="app*4010*20170930*" /stext=" 13:.+((SYSTEM_STATE.+slice.+state.+changed )|(ment ac)|(multiple cpu faults)|(system.+state.+changed )|(\[timeout)|(PRM\|1\|D)|(kpr)|(kdp)|(train st.+moving)|(\|lc)|(penalty))"</v>
      </c>
      <c r="AG42" s="172" t="str">
        <f t="shared" si="13"/>
        <v>EC</v>
      </c>
      <c r="AH42" s="70" t="str">
        <f t="shared" si="19"/>
        <v>"%USERPROFILE%\Documents\GitHub\eaglep3\Utilities\RefineRTDCRunTimes.py" --tripid 129-30 --locoid 4010 --swversion DE.1.0.9.0 --startMP 204:455 --initTime 2017-09-30T07:12:38 --startdatetime 2017-09-30T07:15:20 --delay 47 --endMP 204:233291 --enddatetime 2017-09-30T07:50:42 --enforcementcount 0 &gt;&gt;c:\users\stu\Documents\GitHub\eaglep3-reporting\EC\2017-09-30-refined-times.txt</v>
      </c>
      <c r="AI42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{"issue":{"subject":"","project_id":79,"tracker_id":40,"status_id":1,"priority_id":2,"assigned_to_id":338,"start_date":"2017-09-30","description":"","custom_fields":[{"id":1,"name":"Subdivision","value":"EC"},{"id":4,"name":"Milepost","value":"23.3291"},{"id":17,"name":"Train ID","value":"129-30"},{"id":16,"name":"Locomotive ID","value":"4010"},{"id":130,"name":"Impact","value":""},{"id":150,"name":"Time of Event (Mountain Time)","value":"07:50:42"},{"id":151,"name":"Denver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34" t="str">
        <f t="shared" si="21"/>
        <v>start /low /b %USERPROFILE%\Documents\GitHub\eaglep3\Utilities\DownloadLogsFromS3.py --loco 4010 --day 2017-09-30</v>
      </c>
      <c r="AN42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13:50:42"},{"id":29,"name":"Sharepoint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0" t="str">
        <f t="shared" si="23"/>
        <v>https://d0f6bd738d7f1b3e5a7ca70fe4ff75f0.us-east-1.aws.found.io/app/kibana#/discover/Steve-Slow-Train-Analysis-(2080s-and-2083s)?_g=(refreshInterval:(display:Off,pause:!f,section:0,value:0),time:(from:'2017-09-30T06:12:38-0600',mode:absolute,to:'2017-09-30T08:50:42-0600'))&amp;_a=(columns:!('Message%20ID',Summary),filters:!(),index:'emp_*',interval:auto,query:(query_string:(analyze_wildcard:!t,query:'%22rtdc.l.rtdc.4010%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680</v>
      </c>
      <c r="B43" s="7">
        <v>4009</v>
      </c>
      <c r="C43" s="21" t="s">
        <v>195</v>
      </c>
      <c r="D43" s="21" t="s">
        <v>400</v>
      </c>
      <c r="E43" s="13">
        <v>43008.332152777781</v>
      </c>
      <c r="F43" s="13">
        <v>43008.341863425929</v>
      </c>
      <c r="G43" s="7">
        <v>48</v>
      </c>
      <c r="H43" s="21" t="s">
        <v>452</v>
      </c>
      <c r="I43" s="13">
        <v>43008.368923611109</v>
      </c>
      <c r="J43" s="7">
        <v>0</v>
      </c>
      <c r="K43" s="81" t="str">
        <f t="shared" si="0"/>
        <v>4009/4010</v>
      </c>
      <c r="L43" s="175" t="str">
        <f>VLOOKUP(A43,'Trips&amp;Operators'!$C$1:$G$99911,5,FALSE)</f>
        <v>MAELZER KURT</v>
      </c>
      <c r="M43" s="6">
        <f t="shared" si="1"/>
        <v>2.7060185180744156E-2</v>
      </c>
      <c r="N43" s="7">
        <f t="shared" si="24"/>
        <v>38.966666660271585</v>
      </c>
      <c r="O43" s="7"/>
      <c r="P43" s="7"/>
      <c r="Q43" s="22"/>
      <c r="R43" s="166"/>
      <c r="S43" s="228">
        <f t="shared" si="25"/>
        <v>1</v>
      </c>
      <c r="T43" s="166" t="str">
        <f t="shared" si="4"/>
        <v>Southbound</v>
      </c>
      <c r="U43" s="21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4" t="str">
        <f t="shared" si="5"/>
        <v>https://d0f6bd738d7f1b3e5a7ca70fe4ff75f0.us-east-1.aws.found.io/app/kibana#/discover/Steve-Slow-Train-Analysis-(2080s-and-2083s)?_g=(refreshInterval:(display:Off,pause:!f,section:0,value:0),time:(from:'2017-09-30T06:58:18-0600',mode:absolute,to:'2017-09-30T09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215" t="str">
        <f>IF(AA43&lt;VLOOKUP(AG43,Variables!$AC$3:$AD$8,2,FALSE),"Y","N")</f>
        <v>N</v>
      </c>
      <c r="X43" s="215">
        <f t="shared" si="6"/>
        <v>1</v>
      </c>
      <c r="Y43" s="215">
        <f t="shared" si="7"/>
        <v>23.298200000000001</v>
      </c>
      <c r="Z43" s="215">
        <f t="shared" si="8"/>
        <v>4.7699999999999999E-2</v>
      </c>
      <c r="AA43" s="215">
        <f t="shared" si="9"/>
        <v>23.250500000000002</v>
      </c>
      <c r="AB43" s="216" t="e">
        <f>VLOOKUP(A43,Enforcements!$C$7:$K$11,8,0)</f>
        <v>#N/A</v>
      </c>
      <c r="AC43" s="216" t="e">
        <f>VLOOKUP(A43,Enforcements!$C$7:$E$11,3,0)</f>
        <v>#N/A</v>
      </c>
      <c r="AD43" s="217">
        <f t="shared" si="10"/>
        <v>130</v>
      </c>
      <c r="AE43" s="218" t="str">
        <f t="shared" si="11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43" s="68" t="str">
        <f t="shared" si="12"/>
        <v>"C:\Program Files (x86)\AstroGrep\AstroGrep.exe" /e /r /s /spath="%USERPROFILE%\AppData\Local\Temp\OnboardLogs" /stypes="app*4009*20170930*" /stext=" 14:.+((SYSTEM_STATE.+slice.+state.+changed )|(ment ac)|(multiple cpu faults)|(system.+state.+changed )|(\[timeout)|(PRM\|1\|D)|(kpr)|(kdp)|(train st.+moving)|(\|lc)|(penalty))"</v>
      </c>
      <c r="AG43" s="172" t="str">
        <f t="shared" si="13"/>
        <v>EC</v>
      </c>
      <c r="AH43" s="70" t="str">
        <f t="shared" si="19"/>
        <v>"%USERPROFILE%\Documents\GitHub\eaglep3\Utilities\RefineRTDCRunTimes.py" --tripid 130-30 --locoid 4009 --swversion DE.1.0.9.0 --startMP 204:232982 --initTime 2017-09-30T07:58:18 --startdatetime 2017-09-30T08:12:17 --delay 48 --endMP 204:477 --enddatetime 2017-09-30T08:51:15 --enforcementcount 0 &gt;&gt;c:\users\stu\Documents\GitHub\eaglep3-reporting\EC\2017-09-30-refined-times.txt</v>
      </c>
      <c r="AI43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{"issue":{"subject":"","project_id":79,"tracker_id":40,"status_id":1,"priority_id":2,"assigned_to_id":338,"start_date":"2017-09-30","description":"","custom_fields":[{"id":1,"name":"Subdivision","value":"EC"},{"id":4,"name":"Milepost","value":"0.0477"},{"id":17,"name":"Train ID","value":"130-30"},{"id":16,"name":"Locomotive ID","value":"4009"},{"id":130,"name":"Impact","value":""},{"id":150,"name":"Time of Event (Mountain Time)","value":"08:51:15"},{"id":151,"name":"Denver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34" t="str">
        <f t="shared" si="21"/>
        <v>start /low /b %USERPROFILE%\Documents\GitHub\eaglep3\Utilities\DownloadLogsFromS3.py --loco 4009 --day 2017-09-30</v>
      </c>
      <c r="AN43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0" t="str">
        <f t="shared" si="23"/>
        <v>https://d0f6bd738d7f1b3e5a7ca70fe4ff75f0.us-east-1.aws.found.io/app/kibana#/discover/Steve-Slow-Train-Analysis-(2080s-and-2083s)?_g=(refreshInterval:(display:Off,pause:!f,section:0,value:0),time:(from:'2017-09-30T06:58:18-0600',mode:absolute,to:'2017-09-30T09:51:15-0600'))&amp;_a=(columns:!('Message%20ID',Summary),filters:!(),index:'emp_*',interval:auto,query:(query_string:(analyze_wildcard:!t,query:'%22rtdc.l.rtdc.4009%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673</v>
      </c>
      <c r="B44" s="7">
        <v>4020</v>
      </c>
      <c r="C44" s="21" t="s">
        <v>195</v>
      </c>
      <c r="D44" s="21" t="s">
        <v>452</v>
      </c>
      <c r="E44" s="13">
        <v>43008.308587962965</v>
      </c>
      <c r="F44" s="13">
        <v>43008.312685185185</v>
      </c>
      <c r="G44" s="7">
        <v>70</v>
      </c>
      <c r="H44" s="21" t="s">
        <v>550</v>
      </c>
      <c r="I44" s="13">
        <v>43008.338541666664</v>
      </c>
      <c r="J44" s="7">
        <v>0</v>
      </c>
      <c r="K44" s="81" t="str">
        <f t="shared" si="0"/>
        <v>4019/4020</v>
      </c>
      <c r="L44" s="175" t="str">
        <f>VLOOKUP(A44,'Trips&amp;Operators'!$C$1:$G$99911,5,FALSE)</f>
        <v>WILLIAMS DONTE</v>
      </c>
      <c r="M44" s="6">
        <f t="shared" si="1"/>
        <v>2.5856481479422655E-2</v>
      </c>
      <c r="N44" s="7">
        <f t="shared" si="24"/>
        <v>37.233333330368623</v>
      </c>
      <c r="O44" s="7"/>
      <c r="P44" s="7"/>
      <c r="Q44" s="22"/>
      <c r="R44" s="166"/>
      <c r="S44" s="228">
        <f t="shared" si="25"/>
        <v>1</v>
      </c>
      <c r="T44" s="166" t="str">
        <f t="shared" si="4"/>
        <v>NorthBound</v>
      </c>
      <c r="U44" s="21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4" t="str">
        <f t="shared" si="5"/>
        <v>https://d0f6bd738d7f1b3e5a7ca70fe4ff75f0.us-east-1.aws.found.io/app/kibana#/discover/Steve-Slow-Train-Analysis-(2080s-and-2083s)?_g=(refreshInterval:(display:Off,pause:!f,section:0,value:0),time:(from:'2017-09-30T06:24:22-0600',mode:absolute,to:'2017-09-30T09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4" s="215" t="str">
        <f>IF(AA44&lt;VLOOKUP(AG44,Variables!$AC$3:$AD$8,2,FALSE),"Y","N")</f>
        <v>N</v>
      </c>
      <c r="X44" s="215">
        <f t="shared" si="6"/>
        <v>1</v>
      </c>
      <c r="Y44" s="215">
        <f t="shared" si="7"/>
        <v>4.7699999999999999E-2</v>
      </c>
      <c r="Z44" s="215">
        <f t="shared" si="8"/>
        <v>23.331399999999999</v>
      </c>
      <c r="AA44" s="215">
        <f t="shared" si="9"/>
        <v>23.2837</v>
      </c>
      <c r="AB44" s="216" t="e">
        <f>VLOOKUP(A44,Enforcements!$C$7:$K$11,8,0)</f>
        <v>#N/A</v>
      </c>
      <c r="AC44" s="216" t="e">
        <f>VLOOKUP(A44,Enforcements!$C$7:$E$11,3,0)</f>
        <v>#N/A</v>
      </c>
      <c r="AD44" s="217">
        <f t="shared" si="10"/>
        <v>131</v>
      </c>
      <c r="AE44" s="218" t="str">
        <f t="shared" si="11"/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AF44" s="68" t="str">
        <f t="shared" si="12"/>
        <v>"C:\Program Files (x86)\AstroGrep\AstroGrep.exe" /e /r /s /spath="%USERPROFILE%\AppData\Local\Temp\OnboardLogs" /stypes="app*4020*20170930*" /stext=" 14:.+((SYSTEM_STATE.+slice.+state.+changed )|(ment ac)|(multiple cpu faults)|(system.+state.+changed )|(\[timeout)|(PRM\|1\|D)|(kpr)|(kdp)|(train st.+moving)|(\|lc)|(penalty))"</v>
      </c>
      <c r="AG44" s="172" t="str">
        <f t="shared" si="13"/>
        <v>EC</v>
      </c>
      <c r="AH44" s="70" t="str">
        <f t="shared" si="19"/>
        <v>"%USERPROFILE%\Documents\GitHub\eaglep3\Utilities\RefineRTDCRunTimes.py" --tripid 131-30 --locoid 4020 --swversion DE.1.0.9.0 --startMP 204:477 --initTime 2017-09-30T07:24:22 --startdatetime 2017-09-30T07:30:16 --delay 70 --endMP 204:233314 --enddatetime 2017-09-30T08:07:30 --enforcementcount 0 &gt;&gt;c:\users\stu\Documents\GitHub\eaglep3-reporting\EC\2017-09-30-refined-times.txt</v>
      </c>
      <c r="AI44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{"issue":{"subject":"","project_id":79,"tracker_id":40,"status_id":1,"priority_id":2,"assigned_to_id":338,"start_date":"2017-09-30","description":"","custom_fields":[{"id":1,"name":"Subdivision","value":"EC"},{"id":4,"name":"Milepost","value":"23.3314"},{"id":17,"name":"Train ID","value":"131-30"},{"id":16,"name":"Locomotive ID","value":"4020"},{"id":130,"name":"Impact","value":""},{"id":150,"name":"Time of Event (Mountain Time)","value":"08:07:30"},{"id":151,"name":"Denver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34" t="str">
        <f t="shared" si="21"/>
        <v>start /low /b %USERPROFILE%\Documents\GitHub\eaglep3\Utilities\DownloadLogsFromS3.py --loco 4020 --day 2017-09-30</v>
      </c>
      <c r="AN44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0" t="str">
        <f t="shared" si="23"/>
        <v>https://d0f6bd738d7f1b3e5a7ca70fe4ff75f0.us-east-1.aws.found.io/app/kibana#/discover/Steve-Slow-Train-Analysis-(2080s-and-2083s)?_g=(refreshInterval:(display:Off,pause:!f,section:0,value:0),time:(from:'2017-09-30T06:24:22-0600',mode:absolute,to:'2017-09-30T09:07:30-0600'))&amp;_a=(columns:!('Message%20ID',Summary),filters:!(),index:'emp_*',interval:auto,query:(query_string:(analyze_wildcard:!t,query:'%22rtdc.l.rtdc.4020%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685</v>
      </c>
      <c r="B45" s="7">
        <v>4019</v>
      </c>
      <c r="C45" s="21" t="s">
        <v>195</v>
      </c>
      <c r="D45" s="21" t="s">
        <v>467</v>
      </c>
      <c r="E45" s="13">
        <v>43008.347233796296</v>
      </c>
      <c r="F45" s="13">
        <v>43008.352384259262</v>
      </c>
      <c r="G45" s="7">
        <v>83</v>
      </c>
      <c r="H45" s="21" t="s">
        <v>356</v>
      </c>
      <c r="I45" s="13">
        <v>43008.37909722222</v>
      </c>
      <c r="J45" s="7">
        <v>0</v>
      </c>
      <c r="K45" s="81" t="str">
        <f t="shared" si="0"/>
        <v>4019/4020</v>
      </c>
      <c r="L45" s="175" t="str">
        <f>VLOOKUP(A45,'Trips&amp;Operators'!$C$1:$G$99911,5,FALSE)</f>
        <v>WILLIAMS DONTE</v>
      </c>
      <c r="M45" s="6">
        <f t="shared" si="1"/>
        <v>2.6712962957390118E-2</v>
      </c>
      <c r="N45" s="7">
        <f t="shared" si="24"/>
        <v>38.46666665864177</v>
      </c>
      <c r="O45" s="7"/>
      <c r="P45" s="7"/>
      <c r="Q45" s="22"/>
      <c r="R45" s="166"/>
      <c r="S45" s="228">
        <f t="shared" si="25"/>
        <v>1</v>
      </c>
      <c r="T45" s="166" t="str">
        <f t="shared" si="4"/>
        <v>Southbound</v>
      </c>
      <c r="U45" s="21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4" t="str">
        <f t="shared" si="5"/>
        <v>https://d0f6bd738d7f1b3e5a7ca70fe4ff75f0.us-east-1.aws.found.io/app/kibana#/discover/Steve-Slow-Train-Analysis-(2080s-and-2083s)?_g=(refreshInterval:(display:Off,pause:!f,section:0,value:0),time:(from:'2017-09-30T07:20:01-0600',mode:absolute,to:'2017-09-30T10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5" s="215" t="str">
        <f>IF(AA45&lt;VLOOKUP(AG45,Variables!$AC$3:$AD$8,2,FALSE),"Y","N")</f>
        <v>N</v>
      </c>
      <c r="X45" s="215">
        <f t="shared" si="6"/>
        <v>1</v>
      </c>
      <c r="Y45" s="215">
        <f t="shared" ref="Y45:Y76" si="26">RIGHT(D45,LEN(D45)-4)/10000</f>
        <v>23.300599999999999</v>
      </c>
      <c r="Z45" s="215">
        <f t="shared" ref="Z45:Z76" si="27">RIGHT(H45,LEN(H45)-4)/10000</f>
        <v>1.52E-2</v>
      </c>
      <c r="AA45" s="215">
        <f t="shared" si="9"/>
        <v>23.285399999999999</v>
      </c>
      <c r="AB45" s="216" t="e">
        <f>VLOOKUP(A45,Enforcements!$C$7:$K$11,8,0)</f>
        <v>#N/A</v>
      </c>
      <c r="AC45" s="216" t="e">
        <f>VLOOKUP(A45,Enforcements!$C$7:$E$11,3,0)</f>
        <v>#N/A</v>
      </c>
      <c r="AD45" s="217">
        <f t="shared" si="10"/>
        <v>132</v>
      </c>
      <c r="AE45" s="218" t="str">
        <f t="shared" si="11"/>
        <v>aws s3 cp s3://rtdc.mdm.uploadarchive.raw/RTDC4019/ "%USERPROFILE%\AppData\Local\Temp\OnboardLogs"\RTDC4019\2017-09-30 --exclude "*" --recursive --include "*20170930*" &amp; "%USERPROFILE%\Documents\GitHub\mrs-test-scripts\Headless Mode &amp; Sideloading\WalkAndUnGZ.bat" "%USERPROFILE%\AppData\Local\Temp\OnboardLogs"\RTDC4019\2017-09-30 &amp; aws s3 cp s3://rtdc.mdm.uploadarchive.raw/RTDC4019/ "%USERPROFILE%\AppData\Local\Temp\OnboardLogs"\RTDC4019\2017-10-01 --exclude "*" --recursive --include "*20171001*" &amp; "%USERPROFILE%\Documents\GitHub\mrs-test-scripts\Headless Mode &amp; Sideloading\WalkAndUnGZ.bat" "%USERPROFILE%\AppData\Local\Temp\OnboardLogs"\RTDC4019\2017-10-01</v>
      </c>
      <c r="AF45" s="68" t="str">
        <f t="shared" si="12"/>
        <v>"C:\Program Files (x86)\AstroGrep\AstroGrep.exe" /e /r /s /spath="%USERPROFILE%\AppData\Local\Temp\OnboardLogs" /stypes="app*4019*20170930*" /stext=" 15:.+((SYSTEM_STATE.+slice.+state.+changed )|(ment ac)|(multiple cpu faults)|(system.+state.+changed )|(\[timeout)|(PRM\|1\|D)|(kpr)|(kdp)|(train st.+moving)|(\|lc)|(penalty))"</v>
      </c>
      <c r="AG45" s="172" t="str">
        <f t="shared" si="13"/>
        <v>EC</v>
      </c>
      <c r="AH45" s="70" t="str">
        <f t="shared" si="19"/>
        <v>"%USERPROFILE%\Documents\GitHub\eaglep3\Utilities\RefineRTDCRunTimes.py" --tripid 132-30 --locoid 4019 --swversion DE.1.0.9.0 --startMP 204:233006 --initTime 2017-09-30T08:20:01 --startdatetime 2017-09-30T08:27:26 --delay 83 --endMP 204:152 --enddatetime 2017-09-30T09:05:54 --enforcementcount 0 &gt;&gt;c:\users\stu\Documents\GitHub\eaglep3-reporting\EC\2017-09-30-refined-times.txt</v>
      </c>
      <c r="AI45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{"issue":{"subject":"","project_id":79,"tracker_id":40,"status_id":1,"priority_id":2,"assigned_to_id":338,"start_date":"2017-09-30","description":"","custom_fields":[{"id":1,"name":"Subdivision","value":"EC"},{"id":4,"name":"Milepost","value":"0.0152"},{"id":17,"name":"Train ID","value":"132-30"},{"id":16,"name":"Locomotive ID","value":"4019"},{"id":130,"name":"Impact","value":""},{"id":150,"name":"Time of Event (Mountain Time)","value":"09:05:54"},{"id":151,"name":"Denver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34" t="str">
        <f t="shared" si="21"/>
        <v>start /low /b %USERPROFILE%\Documents\GitHub\eaglep3\Utilities\DownloadLogsFromS3.py --loco 4019 --day 2017-09-30</v>
      </c>
      <c r="AN45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0" t="str">
        <f t="shared" si="23"/>
        <v>https://d0f6bd738d7f1b3e5a7ca70fe4ff75f0.us-east-1.aws.found.io/app/kibana#/discover/Steve-Slow-Train-Analysis-(2080s-and-2083s)?_g=(refreshInterval:(display:Off,pause:!f,section:0,value:0),time:(from:'2017-09-30T07:20:01-0600',mode:absolute,to:'2017-09-30T10:05:54-0600'))&amp;_a=(columns:!('Message%20ID',Summary),filters:!(),index:'emp_*',interval:auto,query:(query_string:(analyze_wildcard:!t,query:'%22rtdc.l.rtdc.4019%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677</v>
      </c>
      <c r="B46" s="7">
        <v>4052</v>
      </c>
      <c r="C46" s="21" t="s">
        <v>195</v>
      </c>
      <c r="D46" s="21" t="s">
        <v>383</v>
      </c>
      <c r="E46" s="13">
        <v>43008.318611111114</v>
      </c>
      <c r="F46" s="13">
        <v>43008.323217592595</v>
      </c>
      <c r="G46" s="7">
        <v>80</v>
      </c>
      <c r="H46" s="21" t="s">
        <v>466</v>
      </c>
      <c r="I46" s="13">
        <v>43008.346990740742</v>
      </c>
      <c r="J46" s="7">
        <v>0</v>
      </c>
      <c r="K46" s="81" t="str">
        <f t="shared" si="0"/>
        <v>4051/4052</v>
      </c>
      <c r="L46" s="175" t="str">
        <f>VLOOKUP(A46,'Trips&amp;Operators'!$C$1:$G$99911,5,FALSE)</f>
        <v>PAGE MARCUS</v>
      </c>
      <c r="M46" s="6">
        <f t="shared" si="1"/>
        <v>2.3773148146574385E-2</v>
      </c>
      <c r="N46" s="7">
        <f t="shared" si="24"/>
        <v>34.233333331067115</v>
      </c>
      <c r="O46" s="7"/>
      <c r="P46" s="7"/>
      <c r="Q46" s="22"/>
      <c r="R46" s="166"/>
      <c r="S46" s="228">
        <f t="shared" si="25"/>
        <v>1</v>
      </c>
      <c r="T46" s="166" t="str">
        <f t="shared" si="4"/>
        <v>NorthBound</v>
      </c>
      <c r="U46" s="21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4" t="str">
        <f t="shared" si="5"/>
        <v>https://d0f6bd738d7f1b3e5a7ca70fe4ff75f0.us-east-1.aws.found.io/app/kibana#/discover/Steve-Slow-Train-Analysis-(2080s-and-2083s)?_g=(refreshInterval:(display:Off,pause:!f,section:0,value:0),time:(from:'2017-09-30T06:38:48-0600',mode:absolute,to:'2017-09-30T09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6" s="215" t="str">
        <f>IF(AA46&lt;VLOOKUP(AG46,Variables!$AC$3:$AD$8,2,FALSE),"Y","N")</f>
        <v>N</v>
      </c>
      <c r="X46" s="215">
        <f t="shared" si="6"/>
        <v>1</v>
      </c>
      <c r="Y46" s="215">
        <f t="shared" si="26"/>
        <v>4.6199999999999998E-2</v>
      </c>
      <c r="Z46" s="215">
        <f t="shared" si="27"/>
        <v>23.331099999999999</v>
      </c>
      <c r="AA46" s="215">
        <f t="shared" si="9"/>
        <v>23.2849</v>
      </c>
      <c r="AB46" s="216" t="e">
        <f>VLOOKUP(A46,Enforcements!$C$7:$K$11,8,0)</f>
        <v>#N/A</v>
      </c>
      <c r="AC46" s="216" t="e">
        <f>VLOOKUP(A46,Enforcements!$C$7:$E$11,3,0)</f>
        <v>#N/A</v>
      </c>
      <c r="AD46" s="217">
        <f t="shared" si="10"/>
        <v>133</v>
      </c>
      <c r="AE46" s="218" t="str">
        <f t="shared" si="11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46" s="68" t="str">
        <f t="shared" si="12"/>
        <v>"C:\Program Files (x86)\AstroGrep\AstroGrep.exe" /e /r /s /spath="%USERPROFILE%\AppData\Local\Temp\OnboardLogs" /stypes="app*4052*20170930*" /stext=" 14:.+((SYSTEM_STATE.+slice.+state.+changed )|(ment ac)|(multiple cpu faults)|(system.+state.+changed )|(\[timeout)|(PRM\|1\|D)|(kpr)|(kdp)|(train st.+moving)|(\|lc)|(penalty))"</v>
      </c>
      <c r="AG46" s="172" t="str">
        <f t="shared" si="13"/>
        <v>EC</v>
      </c>
      <c r="AH46" s="70" t="str">
        <f t="shared" si="19"/>
        <v>"%USERPROFILE%\Documents\GitHub\eaglep3\Utilities\RefineRTDCRunTimes.py" --tripid 133-30 --locoid 4052 --swversion DE.1.0.9.0 --startMP 204:462 --initTime 2017-09-30T07:38:48 --startdatetime 2017-09-30T07:45:26 --delay 80 --endMP 204:233311 --enddatetime 2017-09-30T08:19:40 --enforcementcount 0 &gt;&gt;c:\users\stu\Documents\GitHub\eaglep3-reporting\EC\2017-09-30-refined-times.txt</v>
      </c>
      <c r="AI46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{"issue":{"subject":"","project_id":79,"tracker_id":40,"status_id":1,"priority_id":2,"assigned_to_id":338,"start_date":"2017-09-30","description":"","custom_fields":[{"id":1,"name":"Subdivision","value":"EC"},{"id":4,"name":"Milepost","value":"23.3311"},{"id":17,"name":"Train ID","value":"133-30"},{"id":16,"name":"Locomotive ID","value":"4052"},{"id":130,"name":"Impact","value":""},{"id":150,"name":"Time of Event (Mountain Time)","value":"08:19:40"},{"id":151,"name":"Denver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34" t="str">
        <f t="shared" si="21"/>
        <v>start /low /b %USERPROFILE%\Documents\GitHub\eaglep3\Utilities\DownloadLogsFromS3.py --loco 4052 --day 2017-09-30</v>
      </c>
      <c r="AN46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0" t="str">
        <f t="shared" si="23"/>
        <v>https://d0f6bd738d7f1b3e5a7ca70fe4ff75f0.us-east-1.aws.found.io/app/kibana#/discover/Steve-Slow-Train-Analysis-(2080s-and-2083s)?_g=(refreshInterval:(display:Off,pause:!f,section:0,value:0),time:(from:'2017-09-30T06:38:48-0600',mode:absolute,to:'2017-09-30T09:19:40-0600'))&amp;_a=(columns:!('Message%20ID',Summary),filters:!(),index:'emp_*',interval:auto,query:(query_string:(analyze_wildcard:!t,query:'%22rtdc.l.rtdc.4052%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593</v>
      </c>
      <c r="B47" s="7">
        <v>4051</v>
      </c>
      <c r="C47" s="21" t="s">
        <v>195</v>
      </c>
      <c r="D47" s="21" t="s">
        <v>569</v>
      </c>
      <c r="E47" s="13">
        <v>43008.359270833331</v>
      </c>
      <c r="F47" s="13">
        <v>43008.362662037034</v>
      </c>
      <c r="G47" s="7">
        <v>80</v>
      </c>
      <c r="H47" s="21" t="s">
        <v>367</v>
      </c>
      <c r="I47" s="13">
        <v>43008.391319444447</v>
      </c>
      <c r="J47" s="7">
        <v>0</v>
      </c>
      <c r="K47" s="81" t="str">
        <f t="shared" si="0"/>
        <v>4051/4052</v>
      </c>
      <c r="L47" s="175" t="str">
        <f>VLOOKUP(A47,'Trips&amp;Operators'!$C$1:$G$99911,5,FALSE)</f>
        <v>PAGE MARCUS</v>
      </c>
      <c r="M47" s="6">
        <f t="shared" si="1"/>
        <v>2.8657407412538305E-2</v>
      </c>
      <c r="N47" s="7">
        <f t="shared" si="24"/>
        <v>41.266666674055159</v>
      </c>
      <c r="O47" s="7"/>
      <c r="P47" s="7"/>
      <c r="Q47" s="22"/>
      <c r="R47" s="166"/>
      <c r="S47" s="228">
        <f t="shared" si="25"/>
        <v>1</v>
      </c>
      <c r="T47" s="166" t="str">
        <f t="shared" si="4"/>
        <v>Southbound</v>
      </c>
      <c r="U47" s="21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4" t="str">
        <f t="shared" si="5"/>
        <v>https://d0f6bd738d7f1b3e5a7ca70fe4ff75f0.us-east-1.aws.found.io/app/kibana#/discover/Steve-Slow-Train-Analysis-(2080s-and-2083s)?_g=(refreshInterval:(display:Off,pause:!f,section:0,value:0),time:(from:'2017-09-30T07:37:21-0600',mode:absolute,to:'2017-09-30T10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7" s="215" t="str">
        <f>IF(AA47&lt;VLOOKUP(AG47,Variables!$AC$3:$AD$8,2,FALSE),"Y","N")</f>
        <v>N</v>
      </c>
      <c r="X47" s="215">
        <f t="shared" si="6"/>
        <v>1</v>
      </c>
      <c r="Y47" s="215">
        <f t="shared" si="26"/>
        <v>23.297999999999998</v>
      </c>
      <c r="Z47" s="215">
        <f t="shared" si="27"/>
        <v>1.61E-2</v>
      </c>
      <c r="AA47" s="215">
        <f t="shared" si="9"/>
        <v>23.281899999999997</v>
      </c>
      <c r="AB47" s="216" t="str">
        <f>VLOOKUP(A47,Enforcements!$C$7:$K$11,8,0)</f>
        <v>Bulletin (2)</v>
      </c>
      <c r="AC47" s="216" t="str">
        <f>VLOOKUP(A47,Enforcements!$C$7:$E$11,3,0)</f>
        <v>GRADE CROSSING</v>
      </c>
      <c r="AD47" s="217">
        <f t="shared" si="10"/>
        <v>134</v>
      </c>
      <c r="AE47" s="218" t="str">
        <f t="shared" si="11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47" s="68" t="str">
        <f t="shared" si="12"/>
        <v>"C:\Program Files (x86)\AstroGrep\AstroGrep.exe" /e /r /s /spath="%USERPROFILE%\AppData\Local\Temp\OnboardLogs" /stypes="app*4051*20170930*" /stext=" 15:.+((SYSTEM_STATE.+slice.+state.+changed )|(ment ac)|(multiple cpu faults)|(system.+state.+changed )|(\[timeout)|(PRM\|1\|D)|(kpr)|(kdp)|(train st.+moving)|(\|lc)|(penalty))"</v>
      </c>
      <c r="AG47" s="172" t="str">
        <f t="shared" si="13"/>
        <v>EC</v>
      </c>
      <c r="AH47" s="70" t="str">
        <f t="shared" si="19"/>
        <v>"%USERPROFILE%\Documents\GitHub\eaglep3\Utilities\RefineRTDCRunTimes.py" --tripid 134-30 --locoid 4051 --swversion DE.1.0.9.0 --startMP 204:232980 --initTime 2017-09-30T08:37:21 --startdatetime 2017-09-30T08:42:14 --delay 80 --endMP 204:161 --enddatetime 2017-09-30T09:23:30 --enforcementcount 0 &gt;&gt;c:\users\stu\Documents\GitHub\eaglep3-reporting\EC\2017-09-30-refined-times.txt</v>
      </c>
      <c r="AI47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{"issue":{"subject":"","project_id":79,"tracker_id":40,"status_id":1,"priority_id":2,"assigned_to_id":338,"start_date":"2017-09-30","description":"","custom_fields":[{"id":1,"name":"Subdivision","value":"EC"},{"id":4,"name":"Milepost","value":"0.0161"},{"id":17,"name":"Train ID","value":"134-30"},{"id":16,"name":"Locomotive ID","value":"4051"},{"id":130,"name":"Impact","value":""},{"id":150,"name":"Time of Event (Mountain Time)","value":"09:23:30"},{"id":151,"name":"Denver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34" t="str">
        <f t="shared" si="21"/>
        <v>start /low /b %USERPROFILE%\Documents\GitHub\eaglep3\Utilities\DownloadLogsFromS3.py --loco 4051 --day 2017-09-30</v>
      </c>
      <c r="AN47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0" t="str">
        <f t="shared" si="23"/>
        <v>https://d0f6bd738d7f1b3e5a7ca70fe4ff75f0.us-east-1.aws.found.io/app/kibana#/discover/Steve-Slow-Train-Analysis-(2080s-and-2083s)?_g=(refreshInterval:(display:Off,pause:!f,section:0,value:0),time:(from:'2017-09-30T07:37:21-0600',mode:absolute,to:'2017-09-30T10:23:30-0600'))&amp;_a=(columns:!('Message%20ID',Summary),filters:!(),index:'emp_*',interval:auto,query:(query_string:(analyze_wildcard:!t,query:'%22rtdc.l.rtdc.4051%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679</v>
      </c>
      <c r="B48" s="7">
        <v>4040</v>
      </c>
      <c r="C48" s="21" t="s">
        <v>195</v>
      </c>
      <c r="D48" s="21" t="s">
        <v>405</v>
      </c>
      <c r="E48" s="13">
        <v>43008.329675925925</v>
      </c>
      <c r="F48" s="13">
        <v>43008.333541666667</v>
      </c>
      <c r="G48" s="7">
        <v>57</v>
      </c>
      <c r="H48" s="21" t="s">
        <v>844</v>
      </c>
      <c r="I48" s="13">
        <v>43008.358391203707</v>
      </c>
      <c r="J48" s="7">
        <v>0</v>
      </c>
      <c r="K48" s="81" t="str">
        <f t="shared" si="0"/>
        <v>4039/4040</v>
      </c>
      <c r="L48" s="175" t="str">
        <f>VLOOKUP(A48,'Trips&amp;Operators'!$C$1:$G$99911,5,FALSE)</f>
        <v>GEBRETEKLE DAGNEW</v>
      </c>
      <c r="M48" s="6">
        <f t="shared" si="1"/>
        <v>2.4849537039699499E-2</v>
      </c>
      <c r="N48" s="7">
        <f t="shared" si="24"/>
        <v>35.783333337167278</v>
      </c>
      <c r="O48" s="7"/>
      <c r="P48" s="7"/>
      <c r="Q48" s="22"/>
      <c r="R48" s="166"/>
      <c r="S48" s="228">
        <f t="shared" si="25"/>
        <v>1</v>
      </c>
      <c r="T48" s="166" t="str">
        <f t="shared" si="4"/>
        <v>NorthBound</v>
      </c>
      <c r="U48" s="21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4" t="str">
        <f t="shared" si="5"/>
        <v>https://d0f6bd738d7f1b3e5a7ca70fe4ff75f0.us-east-1.aws.found.io/app/kibana#/discover/Steve-Slow-Train-Analysis-(2080s-and-2083s)?_g=(refreshInterval:(display:Off,pause:!f,section:0,value:0),time:(from:'2017-09-30T06:54:44-0600',mode:absolute,to:'2017-09-30T09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8" s="215" t="str">
        <f>IF(AA48&lt;VLOOKUP(AG48,Variables!$AC$3:$AD$8,2,FALSE),"Y","N")</f>
        <v>N</v>
      </c>
      <c r="X48" s="215">
        <f t="shared" si="6"/>
        <v>1</v>
      </c>
      <c r="Y48" s="215">
        <f t="shared" si="26"/>
        <v>4.5699999999999998E-2</v>
      </c>
      <c r="Z48" s="215">
        <f t="shared" si="27"/>
        <v>23.331499999999998</v>
      </c>
      <c r="AA48" s="215">
        <f t="shared" si="9"/>
        <v>23.285799999999998</v>
      </c>
      <c r="AB48" s="216" t="e">
        <f>VLOOKUP(A48,Enforcements!$C$7:$K$11,8,0)</f>
        <v>#N/A</v>
      </c>
      <c r="AC48" s="216" t="e">
        <f>VLOOKUP(A48,Enforcements!$C$7:$E$11,3,0)</f>
        <v>#N/A</v>
      </c>
      <c r="AD48" s="217">
        <f t="shared" si="10"/>
        <v>135</v>
      </c>
      <c r="AE48" s="218" t="str">
        <f t="shared" si="11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48" s="68" t="str">
        <f t="shared" si="12"/>
        <v>"C:\Program Files (x86)\AstroGrep\AstroGrep.exe" /e /r /s /spath="%USERPROFILE%\AppData\Local\Temp\OnboardLogs" /stypes="app*4040*20170930*" /stext=" 14:.+((SYSTEM_STATE.+slice.+state.+changed )|(ment ac)|(multiple cpu faults)|(system.+state.+changed )|(\[timeout)|(PRM\|1\|D)|(kpr)|(kdp)|(train st.+moving)|(\|lc)|(penalty))"</v>
      </c>
      <c r="AG48" s="172" t="str">
        <f t="shared" si="13"/>
        <v>EC</v>
      </c>
      <c r="AH48" s="70" t="str">
        <f t="shared" si="19"/>
        <v>"%USERPROFILE%\Documents\GitHub\eaglep3\Utilities\RefineRTDCRunTimes.py" --tripid 135-30 --locoid 4040 --swversion DE.1.0.9.0 --startMP 204:457 --initTime 2017-09-30T07:54:44 --startdatetime 2017-09-30T08:00:18 --delay 57 --endMP 204:233315 --enddatetime 2017-09-30T08:36:05 --enforcementcount 0 &gt;&gt;c:\users\stu\Documents\GitHub\eaglep3-reporting\EC\2017-09-30-refined-times.txt</v>
      </c>
      <c r="AI48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{"issue":{"subject":"","project_id":79,"tracker_id":40,"status_id":1,"priority_id":2,"assigned_to_id":338,"start_date":"2017-09-30","description":"","custom_fields":[{"id":1,"name":"Subdivision","value":"EC"},{"id":4,"name":"Milepost","value":"23.3315"},{"id":17,"name":"Train ID","value":"135-30"},{"id":16,"name":"Locomotive ID","value":"4040"},{"id":130,"name":"Impact","value":""},{"id":150,"name":"Time of Event (Mountain Time)","value":"08:36:05"},{"id":151,"name":"Denver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34" t="str">
        <f t="shared" si="21"/>
        <v>start /low /b %USERPROFILE%\Documents\GitHub\eaglep3\Utilities\DownloadLogsFromS3.py --loco 4040 --day 2017-09-30</v>
      </c>
      <c r="AN48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0" t="str">
        <f t="shared" si="23"/>
        <v>https://d0f6bd738d7f1b3e5a7ca70fe4ff75f0.us-east-1.aws.found.io/app/kibana#/discover/Steve-Slow-Train-Analysis-(2080s-and-2083s)?_g=(refreshInterval:(display:Off,pause:!f,section:0,value:0),time:(from:'2017-09-30T06:54:44-0600',mode:absolute,to:'2017-09-30T09:36:05-0600'))&amp;_a=(columns:!('Message%20ID',Summary),filters:!(),index:'emp_*',interval:auto,query:(query_string:(analyze_wildcard:!t,query:'%22rtdc.l.rtdc.4040%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689</v>
      </c>
      <c r="B49" s="7">
        <v>4039</v>
      </c>
      <c r="C49" s="21" t="s">
        <v>195</v>
      </c>
      <c r="D49" s="21" t="s">
        <v>845</v>
      </c>
      <c r="E49" s="13">
        <v>43008.359826388885</v>
      </c>
      <c r="F49" s="13">
        <v>43008.373379629629</v>
      </c>
      <c r="G49" s="7">
        <v>69</v>
      </c>
      <c r="H49" s="21" t="s">
        <v>340</v>
      </c>
      <c r="I49" s="13">
        <v>43008.400243055556</v>
      </c>
      <c r="J49" s="7">
        <v>0</v>
      </c>
      <c r="K49" s="81" t="str">
        <f t="shared" si="0"/>
        <v>4039/4040</v>
      </c>
      <c r="L49" s="175" t="str">
        <f>VLOOKUP(A49,'Trips&amp;Operators'!$C$1:$G$99911,5,FALSE)</f>
        <v>GEBRETEKLE DAGNEW</v>
      </c>
      <c r="M49" s="6">
        <f t="shared" si="1"/>
        <v>2.6863425926421769E-2</v>
      </c>
      <c r="N49" s="7">
        <f t="shared" si="24"/>
        <v>38.683333334047347</v>
      </c>
      <c r="O49" s="7"/>
      <c r="P49" s="7"/>
      <c r="Q49" s="22"/>
      <c r="R49" s="166"/>
      <c r="S49" s="228">
        <f t="shared" si="25"/>
        <v>1</v>
      </c>
      <c r="T49" s="166" t="str">
        <f t="shared" si="4"/>
        <v>Southbound</v>
      </c>
      <c r="U49" s="21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4" t="str">
        <f t="shared" si="5"/>
        <v>https://d0f6bd738d7f1b3e5a7ca70fe4ff75f0.us-east-1.aws.found.io/app/kibana#/discover/Steve-Slow-Train-Analysis-(2080s-and-2083s)?_g=(refreshInterval:(display:Off,pause:!f,section:0,value:0),time:(from:'2017-09-30T07:38:09-0600',mode:absolute,to:'2017-09-30T10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9" s="215" t="str">
        <f>IF(AA49&lt;VLOOKUP(AG49,Variables!$AC$3:$AD$8,2,FALSE),"Y","N")</f>
        <v>N</v>
      </c>
      <c r="X49" s="215">
        <f t="shared" si="6"/>
        <v>1</v>
      </c>
      <c r="Y49" s="215">
        <f t="shared" si="26"/>
        <v>23.2989</v>
      </c>
      <c r="Z49" s="215">
        <f t="shared" si="27"/>
        <v>1.47E-2</v>
      </c>
      <c r="AA49" s="215">
        <f t="shared" si="9"/>
        <v>23.284199999999998</v>
      </c>
      <c r="AB49" s="216" t="e">
        <f>VLOOKUP(A49,Enforcements!$C$7:$K$11,8,0)</f>
        <v>#N/A</v>
      </c>
      <c r="AC49" s="216" t="e">
        <f>VLOOKUP(A49,Enforcements!$C$7:$E$11,3,0)</f>
        <v>#N/A</v>
      </c>
      <c r="AD49" s="217">
        <f t="shared" si="10"/>
        <v>136</v>
      </c>
      <c r="AE49" s="218" t="str">
        <f t="shared" si="11"/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49" s="68" t="str">
        <f t="shared" si="12"/>
        <v>"C:\Program Files (x86)\AstroGrep\AstroGrep.exe" /e /r /s /spath="%USERPROFILE%\AppData\Local\Temp\OnboardLogs" /stypes="app*4039*20170930*" /stext=" 15:.+((SYSTEM_STATE.+slice.+state.+changed )|(ment ac)|(multiple cpu faults)|(system.+state.+changed )|(\[timeout)|(PRM\|1\|D)|(kpr)|(kdp)|(train st.+moving)|(\|lc)|(penalty))"</v>
      </c>
      <c r="AG49" s="172" t="str">
        <f t="shared" si="13"/>
        <v>EC</v>
      </c>
      <c r="AH49" s="70" t="str">
        <f t="shared" si="19"/>
        <v>"%USERPROFILE%\Documents\GitHub\eaglep3\Utilities\RefineRTDCRunTimes.py" --tripid 136-30 --locoid 4039 --swversion DE.1.0.9.0 --startMP 204:232989 --initTime 2017-09-30T08:38:09 --startdatetime 2017-09-30T08:57:40 --delay 69 --endMP 204:147 --enddatetime 2017-09-30T09:36:21 --enforcementcount 0 &gt;&gt;c:\users\stu\Documents\GitHub\eaglep3-reporting\EC\2017-09-30-refined-times.txt</v>
      </c>
      <c r="AI49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{"issue":{"subject":"","project_id":79,"tracker_id":40,"status_id":1,"priority_id":2,"assigned_to_id":338,"start_date":"2017-09-30","description":"","custom_fields":[{"id":1,"name":"Subdivision","value":"EC"},{"id":4,"name":"Milepost","value":"0.0147"},{"id":17,"name":"Train ID","value":"136-30"},{"id":16,"name":"Locomotive ID","value":"4039"},{"id":130,"name":"Impact","value":""},{"id":150,"name":"Time of Event (Mountain Time)","value":"09:36:21"},{"id":151,"name":"Denver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34" t="str">
        <f t="shared" si="21"/>
        <v>start /low /b %USERPROFILE%\Documents\GitHub\eaglep3\Utilities\DownloadLogsFromS3.py --loco 4039 --day 2017-09-30</v>
      </c>
      <c r="AN49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0" t="str">
        <f t="shared" si="23"/>
        <v>https://d0f6bd738d7f1b3e5a7ca70fe4ff75f0.us-east-1.aws.found.io/app/kibana#/discover/Steve-Slow-Train-Analysis-(2080s-and-2083s)?_g=(refreshInterval:(display:Off,pause:!f,section:0,value:0),time:(from:'2017-09-30T07:38:09-0600',mode:absolute,to:'2017-09-30T10:36:21-0600'))&amp;_a=(columns:!('Message%20ID',Summary),filters:!(),index:'emp_*',interval:auto,query:(query_string:(analyze_wildcard:!t,query:'%22rtdc.l.rtdc.4039%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682</v>
      </c>
      <c r="B50" s="7">
        <v>4056</v>
      </c>
      <c r="C50" s="21" t="s">
        <v>195</v>
      </c>
      <c r="D50" s="21" t="s">
        <v>846</v>
      </c>
      <c r="E50" s="13">
        <v>43008.338969907411</v>
      </c>
      <c r="F50" s="13">
        <v>43008.343935185185</v>
      </c>
      <c r="G50" s="7">
        <v>61</v>
      </c>
      <c r="H50" s="21" t="s">
        <v>492</v>
      </c>
      <c r="I50" s="13">
        <v>43008.368796296294</v>
      </c>
      <c r="J50" s="7">
        <v>0</v>
      </c>
      <c r="K50" s="81" t="str">
        <f t="shared" si="0"/>
        <v>4055/4056</v>
      </c>
      <c r="L50" s="175" t="str">
        <f>VLOOKUP(A50,'Trips&amp;Operators'!$C$1:$G$99911,5,FALSE)</f>
        <v>HUFFSMITH MONTY</v>
      </c>
      <c r="M50" s="6">
        <f t="shared" si="1"/>
        <v>2.4861111109203193E-2</v>
      </c>
      <c r="N50" s="7">
        <f t="shared" si="24"/>
        <v>35.799999997252598</v>
      </c>
      <c r="O50" s="7"/>
      <c r="P50" s="7"/>
      <c r="Q50" s="22"/>
      <c r="R50" s="166"/>
      <c r="S50" s="228">
        <f t="shared" si="25"/>
        <v>1</v>
      </c>
      <c r="T50" s="166" t="str">
        <f t="shared" si="4"/>
        <v>NorthBound</v>
      </c>
      <c r="U50" s="21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4" t="str">
        <f t="shared" si="5"/>
        <v>https://d0f6bd738d7f1b3e5a7ca70fe4ff75f0.us-east-1.aws.found.io/app/kibana#/discover/Steve-Slow-Train-Analysis-(2080s-and-2083s)?_g=(refreshInterval:(display:Off,pause:!f,section:0,value:0),time:(from:'2017-09-30T07:08:07-0600',mode:absolute,to:'2017-09-30T09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0" s="215" t="str">
        <f>IF(AA50&lt;VLOOKUP(AG50,Variables!$AC$3:$AD$8,2,FALSE),"Y","N")</f>
        <v>N</v>
      </c>
      <c r="X50" s="215">
        <f t="shared" si="6"/>
        <v>1</v>
      </c>
      <c r="Y50" s="215">
        <f t="shared" si="26"/>
        <v>4.7800000000000002E-2</v>
      </c>
      <c r="Z50" s="215">
        <f t="shared" si="27"/>
        <v>23.329499999999999</v>
      </c>
      <c r="AA50" s="215">
        <f t="shared" si="9"/>
        <v>23.281700000000001</v>
      </c>
      <c r="AB50" s="216" t="e">
        <f>VLOOKUP(A50,Enforcements!$C$7:$K$11,8,0)</f>
        <v>#N/A</v>
      </c>
      <c r="AC50" s="216" t="e">
        <f>VLOOKUP(A50,Enforcements!$C$7:$E$11,3,0)</f>
        <v>#N/A</v>
      </c>
      <c r="AD50" s="217">
        <f t="shared" si="10"/>
        <v>137</v>
      </c>
      <c r="AE50" s="218" t="str">
        <f t="shared" si="11"/>
        <v>aws s3 cp s3://rtdc.mdm.uploadarchive.raw/RTDC4056/ "%USERPROFILE%\AppData\Local\Temp\OnboardLogs"\RTDC4056\2017-09-30 --exclude "*" --recursive --include "*20170930*" &amp; "%USERPROFILE%\Documents\GitHub\mrs-test-scripts\Headless Mode &amp; Sideloading\WalkAndUnGZ.bat" "%USERPROFILE%\AppData\Local\Temp\OnboardLogs"\RTDC4056\2017-09-30 &amp; aws s3 cp s3://rtdc.mdm.uploadarchive.raw/RTDC4056/ "%USERPROFILE%\AppData\Local\Temp\OnboardLogs"\RTDC4056\2017-10-01 --exclude "*" --recursive --include "*20171001*" &amp; "%USERPROFILE%\Documents\GitHub\mrs-test-scripts\Headless Mode &amp; Sideloading\WalkAndUnGZ.bat" "%USERPROFILE%\AppData\Local\Temp\OnboardLogs"\RTDC4056\2017-10-01</v>
      </c>
      <c r="AF50" s="68" t="str">
        <f t="shared" si="12"/>
        <v>"C:\Program Files (x86)\AstroGrep\AstroGrep.exe" /e /r /s /spath="%USERPROFILE%\AppData\Local\Temp\OnboardLogs" /stypes="app*4056*20170930*" /stext=" 14:.+((SYSTEM_STATE.+slice.+state.+changed )|(ment ac)|(multiple cpu faults)|(system.+state.+changed )|(\[timeout)|(PRM\|1\|D)|(kpr)|(kdp)|(train st.+moving)|(\|lc)|(penalty))"</v>
      </c>
      <c r="AG50" s="172" t="str">
        <f t="shared" si="13"/>
        <v>EC</v>
      </c>
      <c r="AH50" s="70" t="str">
        <f t="shared" si="19"/>
        <v>"%USERPROFILE%\Documents\GitHub\eaglep3\Utilities\RefineRTDCRunTimes.py" --tripid 137-30 --locoid 4056 --swversion DE.1.0.9.0 --startMP 204:478 --initTime 2017-09-30T08:08:07 --startdatetime 2017-09-30T08:15:16 --delay 61 --endMP 204:233295 --enddatetime 2017-09-30T08:51:04 --enforcementcount 0 &gt;&gt;c:\users\stu\Documents\GitHub\eaglep3-reporting\EC\2017-09-30-refined-times.txt</v>
      </c>
      <c r="AI50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{"issue":{"subject":"","project_id":79,"tracker_id":40,"status_id":1,"priority_id":2,"assigned_to_id":338,"start_date":"2017-09-30","description":"","custom_fields":[{"id":1,"name":"Subdivision","value":"EC"},{"id":4,"name":"Milepost","value":"23.3295"},{"id":17,"name":"Train ID","value":"137-30"},{"id":16,"name":"Locomotive ID","value":"4056"},{"id":130,"name":"Impact","value":""},{"id":150,"name":"Time of Event (Mountain Time)","value":"08:51:04"},{"id":151,"name":"Denver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34" t="str">
        <f t="shared" si="21"/>
        <v>start /low /b %USERPROFILE%\Documents\GitHub\eaglep3\Utilities\DownloadLogsFromS3.py --loco 4056 --day 2017-09-30</v>
      </c>
      <c r="AN50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0" t="str">
        <f t="shared" si="23"/>
        <v>https://d0f6bd738d7f1b3e5a7ca70fe4ff75f0.us-east-1.aws.found.io/app/kibana#/discover/Steve-Slow-Train-Analysis-(2080s-and-2083s)?_g=(refreshInterval:(display:Off,pause:!f,section:0,value:0),time:(from:'2017-09-30T07:08:07-0600',mode:absolute,to:'2017-09-30T09:51:04-0600'))&amp;_a=(columns:!('Message%20ID',Summary),filters:!(),index:'emp_*',interval:auto,query:(query_string:(analyze_wildcard:!t,query:'%22rtdc.l.rtdc.4056%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692</v>
      </c>
      <c r="B51" s="7">
        <v>4055</v>
      </c>
      <c r="C51" s="21" t="s">
        <v>195</v>
      </c>
      <c r="D51" s="21" t="s">
        <v>404</v>
      </c>
      <c r="E51" s="13">
        <v>43008.371006944442</v>
      </c>
      <c r="F51" s="13">
        <v>43008.383518518516</v>
      </c>
      <c r="G51" s="7">
        <v>503</v>
      </c>
      <c r="H51" s="21" t="s">
        <v>378</v>
      </c>
      <c r="I51" s="13">
        <v>43008.411689814813</v>
      </c>
      <c r="J51" s="7">
        <v>0</v>
      </c>
      <c r="K51" s="81" t="str">
        <f t="shared" si="0"/>
        <v>4055/4056</v>
      </c>
      <c r="L51" s="175" t="str">
        <f>VLOOKUP(A51,'Trips&amp;Operators'!$C$1:$G$99911,5,FALSE)</f>
        <v>HUFFSMITH MONTY</v>
      </c>
      <c r="M51" s="6">
        <f t="shared" si="1"/>
        <v>2.8171296296932269E-2</v>
      </c>
      <c r="N51" s="7">
        <f t="shared" si="24"/>
        <v>40.566666667582467</v>
      </c>
      <c r="O51" s="7"/>
      <c r="P51" s="7"/>
      <c r="Q51" s="22"/>
      <c r="R51" s="166"/>
      <c r="S51" s="228">
        <f t="shared" si="25"/>
        <v>1</v>
      </c>
      <c r="T51" s="166" t="str">
        <f t="shared" si="4"/>
        <v>Southbound</v>
      </c>
      <c r="U51" s="21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4" t="str">
        <f t="shared" si="5"/>
        <v>https://d0f6bd738d7f1b3e5a7ca70fe4ff75f0.us-east-1.aws.found.io/app/kibana#/discover/Steve-Slow-Train-Analysis-(2080s-and-2083s)?_g=(refreshInterval:(display:Off,pause:!f,section:0,value:0),time:(from:'2017-09-30T07:54:15-0600',mode:absolute,to:'2017-09-30T10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1" s="215" t="str">
        <f>IF(AA51&lt;VLOOKUP(AG51,Variables!$AC$3:$AD$8,2,FALSE),"Y","N")</f>
        <v>N</v>
      </c>
      <c r="X51" s="215">
        <f t="shared" si="6"/>
        <v>1</v>
      </c>
      <c r="Y51" s="215">
        <f t="shared" si="26"/>
        <v>23.297499999999999</v>
      </c>
      <c r="Z51" s="215">
        <f t="shared" si="27"/>
        <v>1.3899999999999999E-2</v>
      </c>
      <c r="AA51" s="215">
        <f t="shared" si="9"/>
        <v>23.2836</v>
      </c>
      <c r="AB51" s="216" t="e">
        <f>VLOOKUP(A51,Enforcements!$C$7:$K$11,8,0)</f>
        <v>#N/A</v>
      </c>
      <c r="AC51" s="216" t="e">
        <f>VLOOKUP(A51,Enforcements!$C$7:$E$11,3,0)</f>
        <v>#N/A</v>
      </c>
      <c r="AD51" s="217">
        <f t="shared" si="10"/>
        <v>138</v>
      </c>
      <c r="AE51" s="218" t="str">
        <f t="shared" si="11"/>
        <v>aws s3 cp s3://rtdc.mdm.uploadarchive.raw/RTDC4055/ "%USERPROFILE%\AppData\Local\Temp\OnboardLogs"\RTDC4055\2017-09-30 --exclude "*" --recursive --include "*20170930*" &amp; "%USERPROFILE%\Documents\GitHub\mrs-test-scripts\Headless Mode &amp; Sideloading\WalkAndUnGZ.bat" "%USERPROFILE%\AppData\Local\Temp\OnboardLogs"\RTDC4055\2017-09-30 &amp; aws s3 cp s3://rtdc.mdm.uploadarchive.raw/RTDC4055/ "%USERPROFILE%\AppData\Local\Temp\OnboardLogs"\RTDC4055\2017-10-01 --exclude "*" --recursive --include "*20171001*" &amp; "%USERPROFILE%\Documents\GitHub\mrs-test-scripts\Headless Mode &amp; Sideloading\WalkAndUnGZ.bat" "%USERPROFILE%\AppData\Local\Temp\OnboardLogs"\RTDC4055\2017-10-01</v>
      </c>
      <c r="AF51" s="68" t="str">
        <f t="shared" si="12"/>
        <v>"C:\Program Files (x86)\AstroGrep\AstroGrep.exe" /e /r /s /spath="%USERPROFILE%\AppData\Local\Temp\OnboardLogs" /stypes="app*4055*20170930*" /stext=" 15:.+((SYSTEM_STATE.+slice.+state.+changed )|(ment ac)|(multiple cpu faults)|(system.+state.+changed )|(\[timeout)|(PRM\|1\|D)|(kpr)|(kdp)|(train st.+moving)|(\|lc)|(penalty))"</v>
      </c>
      <c r="AG51" s="172" t="str">
        <f t="shared" si="13"/>
        <v>EC</v>
      </c>
      <c r="AH51" s="70" t="str">
        <f t="shared" si="19"/>
        <v>"%USERPROFILE%\Documents\GitHub\eaglep3\Utilities\RefineRTDCRunTimes.py" --tripid 138-30 --locoid 4055 --swversion DE.1.0.9.0 --startMP 204:232975 --initTime 2017-09-30T08:54:15 --startdatetime 2017-09-30T09:12:16 --delay 503 --endMP 204:139 --enddatetime 2017-09-30T09:52:50 --enforcementcount 0 &gt;&gt;c:\users\stu\Documents\GitHub\eaglep3-reporting\EC\2017-09-30-refined-times.txt</v>
      </c>
      <c r="AI51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{"issue":{"subject":"","project_id":79,"tracker_id":40,"status_id":1,"priority_id":2,"assigned_to_id":338,"start_date":"2017-09-30","description":"","custom_fields":[{"id":1,"name":"Subdivision","value":"EC"},{"id":4,"name":"Milepost","value":"0.0139"},{"id":17,"name":"Train ID","value":"138-30"},{"id":16,"name":"Locomotive ID","value":"4055"},{"id":130,"name":"Impact","value":""},{"id":150,"name":"Time of Event (Mountain Time)","value":"09:52:50"},{"id":151,"name":"Denver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34" t="str">
        <f t="shared" si="21"/>
        <v>start /low /b %USERPROFILE%\Documents\GitHub\eaglep3\Utilities\DownloadLogsFromS3.py --loco 4055 --day 2017-09-30</v>
      </c>
      <c r="AN51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0" t="str">
        <f t="shared" si="23"/>
        <v>https://d0f6bd738d7f1b3e5a7ca70fe4ff75f0.us-east-1.aws.found.io/app/kibana#/discover/Steve-Slow-Train-Analysis-(2080s-and-2083s)?_g=(refreshInterval:(display:Off,pause:!f,section:0,value:0),time:(from:'2017-09-30T07:54:15-0600',mode:absolute,to:'2017-09-30T10:52:50-0600'))&amp;_a=(columns:!('Message%20ID',Summary),filters:!(),index:'emp_*',interval:auto,query:(query_string:(analyze_wildcard:!t,query:'%22rtdc.l.rtdc.4055%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686</v>
      </c>
      <c r="B52" s="7">
        <v>4028</v>
      </c>
      <c r="C52" s="21" t="s">
        <v>195</v>
      </c>
      <c r="D52" s="21" t="s">
        <v>392</v>
      </c>
      <c r="E52" s="13">
        <v>43008.349618055552</v>
      </c>
      <c r="F52" s="13">
        <v>43008.354398148149</v>
      </c>
      <c r="G52" s="7">
        <v>51</v>
      </c>
      <c r="H52" s="21" t="s">
        <v>451</v>
      </c>
      <c r="I52" s="13">
        <v>43008.379293981481</v>
      </c>
      <c r="J52" s="7">
        <v>0</v>
      </c>
      <c r="K52" s="81" t="str">
        <f t="shared" si="0"/>
        <v>4027/4028</v>
      </c>
      <c r="L52" s="175" t="str">
        <f>VLOOKUP(A52,'Trips&amp;Operators'!$C$1:$G$99911,5,FALSE)</f>
        <v>DE LA ROSA ALEX</v>
      </c>
      <c r="M52" s="6">
        <f t="shared" si="1"/>
        <v>2.4895833332266193E-2</v>
      </c>
      <c r="N52" s="7">
        <f t="shared" si="24"/>
        <v>35.849999998463318</v>
      </c>
      <c r="O52" s="7"/>
      <c r="P52" s="7"/>
      <c r="Q52" s="22"/>
      <c r="R52" s="166"/>
      <c r="S52" s="228">
        <f t="shared" si="25"/>
        <v>1</v>
      </c>
      <c r="T52" s="166" t="str">
        <f t="shared" si="4"/>
        <v>NorthBound</v>
      </c>
      <c r="U52" s="21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4" t="str">
        <f t="shared" si="5"/>
        <v>https://d0f6bd738d7f1b3e5a7ca70fe4ff75f0.us-east-1.aws.found.io/app/kibana#/discover/Steve-Slow-Train-Analysis-(2080s-and-2083s)?_g=(refreshInterval:(display:Off,pause:!f,section:0,value:0),time:(from:'2017-09-30T07:23:27-0600',mode:absolute,to:'2017-09-30T10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2" s="215" t="str">
        <f>IF(AA52&lt;VLOOKUP(AG52,Variables!$AC$3:$AD$8,2,FALSE),"Y","N")</f>
        <v>N</v>
      </c>
      <c r="X52" s="215">
        <f t="shared" si="6"/>
        <v>1</v>
      </c>
      <c r="Y52" s="215">
        <f t="shared" si="26"/>
        <v>4.6600000000000003E-2</v>
      </c>
      <c r="Z52" s="215">
        <f t="shared" si="27"/>
        <v>23.330400000000001</v>
      </c>
      <c r="AA52" s="215">
        <f t="shared" si="9"/>
        <v>23.283799999999999</v>
      </c>
      <c r="AB52" s="216" t="e">
        <f>VLOOKUP(A52,Enforcements!$C$7:$K$11,8,0)</f>
        <v>#N/A</v>
      </c>
      <c r="AC52" s="216" t="e">
        <f>VLOOKUP(A52,Enforcements!$C$7:$E$11,3,0)</f>
        <v>#N/A</v>
      </c>
      <c r="AD52" s="217">
        <f t="shared" si="10"/>
        <v>139</v>
      </c>
      <c r="AE52" s="218" t="str">
        <f t="shared" si="11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52" s="68" t="str">
        <f t="shared" si="12"/>
        <v>"C:\Program Files (x86)\AstroGrep\AstroGrep.exe" /e /r /s /spath="%USERPROFILE%\AppData\Local\Temp\OnboardLogs" /stypes="app*4028*20170930*" /stext=" 15:.+((SYSTEM_STATE.+slice.+state.+changed )|(ment ac)|(multiple cpu faults)|(system.+state.+changed )|(\[timeout)|(PRM\|1\|D)|(kpr)|(kdp)|(train st.+moving)|(\|lc)|(penalty))"</v>
      </c>
      <c r="AG52" s="172" t="str">
        <f t="shared" si="13"/>
        <v>EC</v>
      </c>
      <c r="AH52" s="70" t="str">
        <f t="shared" si="19"/>
        <v>"%USERPROFILE%\Documents\GitHub\eaglep3\Utilities\RefineRTDCRunTimes.py" --tripid 139-30 --locoid 4028 --swversion DE.1.0.9.0 --startMP 204:466 --initTime 2017-09-30T08:23:27 --startdatetime 2017-09-30T08:30:20 --delay 51 --endMP 204:233304 --enddatetime 2017-09-30T09:06:11 --enforcementcount 0 &gt;&gt;c:\users\stu\Documents\GitHub\eaglep3-reporting\EC\2017-09-30-refined-times.txt</v>
      </c>
      <c r="AI52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{"issue":{"subject":"","project_id":79,"tracker_id":40,"status_id":1,"priority_id":2,"assigned_to_id":338,"start_date":"2017-09-30","description":"","custom_fields":[{"id":1,"name":"Subdivision","value":"EC"},{"id":4,"name":"Milepost","value":"23.3304"},{"id":17,"name":"Train ID","value":"139-30"},{"id":16,"name":"Locomotive ID","value":"4028"},{"id":130,"name":"Impact","value":""},{"id":150,"name":"Time of Event (Mountain Time)","value":"09:06:11"},{"id":151,"name":"Denver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34" t="str">
        <f t="shared" si="21"/>
        <v>start /low /b %USERPROFILE%\Documents\GitHub\eaglep3\Utilities\DownloadLogsFromS3.py --loco 4028 --day 2017-09-30</v>
      </c>
      <c r="AN52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0" t="str">
        <f t="shared" si="23"/>
        <v>https://d0f6bd738d7f1b3e5a7ca70fe4ff75f0.us-east-1.aws.found.io/app/kibana#/discover/Steve-Slow-Train-Analysis-(2080s-and-2083s)?_g=(refreshInterval:(display:Off,pause:!f,section:0,value:0),time:(from:'2017-09-30T07:23:27-0600',mode:absolute,to:'2017-09-30T10:06:11-0600'))&amp;_a=(columns:!('Message%20ID',Summary),filters:!(),index:'emp_*',interval:auto,query:(query_string:(analyze_wildcard:!t,query:'%22rtdc.l.rtdc.4028%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694</v>
      </c>
      <c r="B53" s="7">
        <v>4027</v>
      </c>
      <c r="C53" s="21" t="s">
        <v>195</v>
      </c>
      <c r="D53" s="21" t="s">
        <v>845</v>
      </c>
      <c r="E53" s="13">
        <v>43008.387395833335</v>
      </c>
      <c r="F53" s="13">
        <v>43008.394062500003</v>
      </c>
      <c r="G53" s="7">
        <v>66</v>
      </c>
      <c r="H53" s="21" t="s">
        <v>340</v>
      </c>
      <c r="I53" s="13">
        <v>43008.420729166668</v>
      </c>
      <c r="J53" s="7">
        <v>0</v>
      </c>
      <c r="K53" s="81" t="str">
        <f t="shared" si="0"/>
        <v>4027/4028</v>
      </c>
      <c r="L53" s="175" t="str">
        <f>VLOOKUP(A53,'Trips&amp;Operators'!$C$1:$G$99911,5,FALSE)</f>
        <v>DE LA ROSA ALEX</v>
      </c>
      <c r="M53" s="6">
        <f t="shared" si="1"/>
        <v>2.6666666664823424E-2</v>
      </c>
      <c r="N53" s="7">
        <f t="shared" si="24"/>
        <v>38.399999997345731</v>
      </c>
      <c r="O53" s="7"/>
      <c r="P53" s="7"/>
      <c r="Q53" s="22"/>
      <c r="R53" s="166"/>
      <c r="S53" s="228">
        <f t="shared" si="25"/>
        <v>1</v>
      </c>
      <c r="T53" s="166" t="str">
        <f t="shared" si="4"/>
        <v>Southbound</v>
      </c>
      <c r="U53" s="21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4" t="str">
        <f t="shared" si="5"/>
        <v>https://d0f6bd738d7f1b3e5a7ca70fe4ff75f0.us-east-1.aws.found.io/app/kibana#/discover/Steve-Slow-Train-Analysis-(2080s-and-2083s)?_g=(refreshInterval:(display:Off,pause:!f,section:0,value:0),time:(from:'2017-09-30T08:17:51-0600',mode:absolute,to:'2017-09-30T11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3" s="215" t="str">
        <f>IF(AA53&lt;VLOOKUP(AG53,Variables!$AC$3:$AD$8,2,FALSE),"Y","N")</f>
        <v>N</v>
      </c>
      <c r="X53" s="215">
        <f t="shared" si="6"/>
        <v>1</v>
      </c>
      <c r="Y53" s="215">
        <f t="shared" si="26"/>
        <v>23.2989</v>
      </c>
      <c r="Z53" s="215">
        <f t="shared" si="27"/>
        <v>1.47E-2</v>
      </c>
      <c r="AA53" s="215">
        <f t="shared" si="9"/>
        <v>23.284199999999998</v>
      </c>
      <c r="AB53" s="216" t="e">
        <f>VLOOKUP(A53,Enforcements!$C$7:$K$11,8,0)</f>
        <v>#N/A</v>
      </c>
      <c r="AC53" s="216" t="e">
        <f>VLOOKUP(A53,Enforcements!$C$7:$E$11,3,0)</f>
        <v>#N/A</v>
      </c>
      <c r="AD53" s="217">
        <f t="shared" si="10"/>
        <v>140</v>
      </c>
      <c r="AE53" s="218" t="str">
        <f t="shared" si="11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53" s="68" t="str">
        <f t="shared" si="12"/>
        <v>"C:\Program Files (x86)\AstroGrep\AstroGrep.exe" /e /r /s /spath="%USERPROFILE%\AppData\Local\Temp\OnboardLogs" /stypes="app*4027*20170930*" /stext=" 16:.+((SYSTEM_STATE.+slice.+state.+changed )|(ment ac)|(multiple cpu faults)|(system.+state.+changed )|(\[timeout)|(PRM\|1\|D)|(kpr)|(kdp)|(train st.+moving)|(\|lc)|(penalty))"</v>
      </c>
      <c r="AG53" s="172" t="str">
        <f t="shared" si="13"/>
        <v>EC</v>
      </c>
      <c r="AH53" s="70" t="str">
        <f t="shared" si="19"/>
        <v>"%USERPROFILE%\Documents\GitHub\eaglep3\Utilities\RefineRTDCRunTimes.py" --tripid 140-30 --locoid 4027 --swversion DE.1.0.9.0 --startMP 204:232989 --initTime 2017-09-30T09:17:51 --startdatetime 2017-09-30T09:27:27 --delay 66 --endMP 204:147 --enddatetime 2017-09-30T10:05:51 --enforcementcount 0 &gt;&gt;c:\users\stu\Documents\GitHub\eaglep3-reporting\EC\2017-09-30-refined-times.txt</v>
      </c>
      <c r="AI53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{"issue":{"subject":"","project_id":79,"tracker_id":40,"status_id":1,"priority_id":2,"assigned_to_id":338,"start_date":"2017-09-30","description":"","custom_fields":[{"id":1,"name":"Subdivision","value":"EC"},{"id":4,"name":"Milepost","value":"0.0147"},{"id":17,"name":"Train ID","value":"140-30"},{"id":16,"name":"Locomotive ID","value":"4027"},{"id":130,"name":"Impact","value":""},{"id":150,"name":"Time of Event (Mountain Time)","value":"10:05:51"},{"id":151,"name":"Denver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34" t="str">
        <f t="shared" si="21"/>
        <v>start /low /b %USERPROFILE%\Documents\GitHub\eaglep3\Utilities\DownloadLogsFromS3.py --loco 4027 --day 2017-09-30</v>
      </c>
      <c r="AN53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16:05:51"},{"id":29,"name":"Sharepoint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0" t="str">
        <f t="shared" si="23"/>
        <v>https://d0f6bd738d7f1b3e5a7ca70fe4ff75f0.us-east-1.aws.found.io/app/kibana#/discover/Steve-Slow-Train-Analysis-(2080s-and-2083s)?_g=(refreshInterval:(display:Off,pause:!f,section:0,value:0),time:(from:'2017-09-30T08:17:51-0600',mode:absolute,to:'2017-09-30T11:05:51-0600'))&amp;_a=(columns:!('Message%20ID',Summary),filters:!(),index:'emp_*',interval:auto,query:(query_string:(analyze_wildcard:!t,query:'%22rtdc.l.rtdc.4027%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690</v>
      </c>
      <c r="B54" s="7">
        <v>4046</v>
      </c>
      <c r="C54" s="21" t="s">
        <v>195</v>
      </c>
      <c r="D54" s="21" t="s">
        <v>405</v>
      </c>
      <c r="E54" s="13">
        <v>43008.363483796296</v>
      </c>
      <c r="F54" s="13">
        <v>43008.364976851852</v>
      </c>
      <c r="G54" s="7">
        <v>61</v>
      </c>
      <c r="H54" s="21" t="s">
        <v>462</v>
      </c>
      <c r="I54" s="13">
        <v>43008.388506944444</v>
      </c>
      <c r="J54" s="7">
        <v>0</v>
      </c>
      <c r="K54" s="81" t="str">
        <f t="shared" si="0"/>
        <v>4045/4046</v>
      </c>
      <c r="L54" s="175" t="str">
        <f>VLOOKUP(A54,'Trips&amp;Operators'!$C$1:$G$99911,5,FALSE)</f>
        <v>BIRENBAUM THOMAS</v>
      </c>
      <c r="M54" s="6">
        <f t="shared" si="1"/>
        <v>2.3530092592409346E-2</v>
      </c>
      <c r="N54" s="7">
        <f t="shared" si="24"/>
        <v>33.883333333069459</v>
      </c>
      <c r="O54" s="7"/>
      <c r="P54" s="7"/>
      <c r="Q54" s="22"/>
      <c r="R54" s="166"/>
      <c r="S54" s="228">
        <f t="shared" si="25"/>
        <v>1</v>
      </c>
      <c r="T54" s="166" t="str">
        <f t="shared" si="4"/>
        <v>NorthBound</v>
      </c>
      <c r="U54" s="21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4" t="str">
        <f t="shared" si="5"/>
        <v>https://d0f6bd738d7f1b3e5a7ca70fe4ff75f0.us-east-1.aws.found.io/app/kibana#/discover/Steve-Slow-Train-Analysis-(2080s-and-2083s)?_g=(refreshInterval:(display:Off,pause:!f,section:0,value:0),time:(from:'2017-09-30T07:43:25-0600',mode:absolute,to:'2017-09-30T10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4" s="215" t="str">
        <f>IF(AA54&lt;VLOOKUP(AG54,Variables!$AC$3:$AD$8,2,FALSE),"Y","N")</f>
        <v>N</v>
      </c>
      <c r="X54" s="215">
        <f t="shared" si="6"/>
        <v>1</v>
      </c>
      <c r="Y54" s="215">
        <f t="shared" si="26"/>
        <v>4.5699999999999998E-2</v>
      </c>
      <c r="Z54" s="215">
        <f t="shared" si="27"/>
        <v>23.329699999999999</v>
      </c>
      <c r="AA54" s="215">
        <f t="shared" si="9"/>
        <v>23.283999999999999</v>
      </c>
      <c r="AB54" s="216" t="e">
        <f>VLOOKUP(A54,Enforcements!$C$7:$K$11,8,0)</f>
        <v>#N/A</v>
      </c>
      <c r="AC54" s="216" t="e">
        <f>VLOOKUP(A54,Enforcements!$C$7:$E$11,3,0)</f>
        <v>#N/A</v>
      </c>
      <c r="AD54" s="217">
        <f t="shared" si="10"/>
        <v>141</v>
      </c>
      <c r="AE54" s="218" t="str">
        <f t="shared" si="11"/>
        <v>aws s3 cp s3://rtdc.mdm.uploadarchive.raw/RTDC4046/ "%USERPROFILE%\AppData\Local\Temp\OnboardLogs"\RTDC4046\2017-09-30 --exclude "*" --recursive --include "*20170930*" &amp; "%USERPROFILE%\Documents\GitHub\mrs-test-scripts\Headless Mode &amp; Sideloading\WalkAndUnGZ.bat" "%USERPROFILE%\AppData\Local\Temp\OnboardLogs"\RTDC4046\2017-09-30 &amp; aws s3 cp s3://rtdc.mdm.uploadarchive.raw/RTDC4046/ "%USERPROFILE%\AppData\Local\Temp\OnboardLogs"\RTDC4046\2017-10-01 --exclude "*" --recursive --include "*20171001*" &amp; "%USERPROFILE%\Documents\GitHub\mrs-test-scripts\Headless Mode &amp; Sideloading\WalkAndUnGZ.bat" "%USERPROFILE%\AppData\Local\Temp\OnboardLogs"\RTDC4046\2017-10-01</v>
      </c>
      <c r="AF54" s="68" t="str">
        <f t="shared" si="12"/>
        <v>"C:\Program Files (x86)\AstroGrep\AstroGrep.exe" /e /r /s /spath="%USERPROFILE%\AppData\Local\Temp\OnboardLogs" /stypes="app*4046*20170930*" /stext=" 15:.+((SYSTEM_STATE.+slice.+state.+changed )|(ment ac)|(multiple cpu faults)|(system.+state.+changed )|(\[timeout)|(PRM\|1\|D)|(kpr)|(kdp)|(train st.+moving)|(\|lc)|(penalty))"</v>
      </c>
      <c r="AG54" s="172" t="str">
        <f t="shared" si="13"/>
        <v>EC</v>
      </c>
      <c r="AH54" s="70" t="str">
        <f t="shared" si="19"/>
        <v>"%USERPROFILE%\Documents\GitHub\eaglep3\Utilities\RefineRTDCRunTimes.py" --tripid 141-30 --locoid 4046 --swversion DE.1.0.9.0 --startMP 204:457 --initTime 2017-09-30T08:43:25 --startdatetime 2017-09-30T08:45:34 --delay 61 --endMP 204:233297 --enddatetime 2017-09-30T09:19:27 --enforcementcount 0 &gt;&gt;c:\users\stu\Documents\GitHub\eaglep3-reporting\EC\2017-09-30-refined-times.txt</v>
      </c>
      <c r="AI54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{"issue":{"subject":"","project_id":79,"tracker_id":40,"status_id":1,"priority_id":2,"assigned_to_id":338,"start_date":"2017-09-30","description":"","custom_fields":[{"id":1,"name":"Subdivision","value":"EC"},{"id":4,"name":"Milepost","value":"23.3297"},{"id":17,"name":"Train ID","value":"141-30"},{"id":16,"name":"Locomotive ID","value":"4046"},{"id":130,"name":"Impact","value":""},{"id":150,"name":"Time of Event (Mountain Time)","value":"09:19:27"},{"id":151,"name":"Denver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34" t="str">
        <f t="shared" si="21"/>
        <v>start /low /b %USERPROFILE%\Documents\GitHub\eaglep3\Utilities\DownloadLogsFromS3.py --loco 4046 --day 2017-09-30</v>
      </c>
      <c r="AN54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0" t="str">
        <f t="shared" si="23"/>
        <v>https://d0f6bd738d7f1b3e5a7ca70fe4ff75f0.us-east-1.aws.found.io/app/kibana#/discover/Steve-Slow-Train-Analysis-(2080s-and-2083s)?_g=(refreshInterval:(display:Off,pause:!f,section:0,value:0),time:(from:'2017-09-30T07:43:25-0600',mode:absolute,to:'2017-09-30T10:19:27-0600'))&amp;_a=(columns:!('Message%20ID',Summary),filters:!(),index:'emp_*',interval:auto,query:(query_string:(analyze_wildcard:!t,query:'%22rtdc.l.rtdc.4046%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695</v>
      </c>
      <c r="B55" s="7">
        <v>4045</v>
      </c>
      <c r="C55" s="21" t="s">
        <v>195</v>
      </c>
      <c r="D55" s="21" t="s">
        <v>366</v>
      </c>
      <c r="E55" s="13">
        <v>43008.389814814815</v>
      </c>
      <c r="F55" s="13">
        <v>43008.404444444444</v>
      </c>
      <c r="G55" s="7">
        <v>62</v>
      </c>
      <c r="H55" s="21" t="s">
        <v>360</v>
      </c>
      <c r="I55" s="13">
        <v>43008.431400462963</v>
      </c>
      <c r="J55" s="7">
        <v>0</v>
      </c>
      <c r="K55" s="81" t="str">
        <f t="shared" si="0"/>
        <v>4045/4046</v>
      </c>
      <c r="L55" s="175" t="str">
        <f>VLOOKUP(A55,'Trips&amp;Operators'!$C$1:$G$99911,5,FALSE)</f>
        <v>BIRENBAUM THOMAS</v>
      </c>
      <c r="M55" s="6">
        <f t="shared" si="1"/>
        <v>2.6956018518831115E-2</v>
      </c>
      <c r="N55" s="7">
        <f t="shared" si="24"/>
        <v>38.816666667116806</v>
      </c>
      <c r="O55" s="7"/>
      <c r="P55" s="7"/>
      <c r="Q55" s="22"/>
      <c r="R55" s="166"/>
      <c r="S55" s="228">
        <f t="shared" si="25"/>
        <v>1</v>
      </c>
      <c r="T55" s="166" t="str">
        <f t="shared" si="4"/>
        <v>Southbound</v>
      </c>
      <c r="U55" s="21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4" t="str">
        <f t="shared" si="5"/>
        <v>https://d0f6bd738d7f1b3e5a7ca70fe4ff75f0.us-east-1.aws.found.io/app/kibana#/discover/Steve-Slow-Train-Analysis-(2080s-and-2083s)?_g=(refreshInterval:(display:Off,pause:!f,section:0,value:0),time:(from:'2017-09-30T08:21:20-0600',mode:absolute,to:'2017-09-30T11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5" s="215" t="str">
        <f>IF(AA55&lt;VLOOKUP(AG55,Variables!$AC$3:$AD$8,2,FALSE),"Y","N")</f>
        <v>N</v>
      </c>
      <c r="X55" s="215">
        <f t="shared" si="6"/>
        <v>1</v>
      </c>
      <c r="Y55" s="215">
        <f t="shared" si="26"/>
        <v>23.297699999999999</v>
      </c>
      <c r="Z55" s="215">
        <f t="shared" si="27"/>
        <v>1.4500000000000001E-2</v>
      </c>
      <c r="AA55" s="215">
        <f t="shared" si="9"/>
        <v>23.283199999999997</v>
      </c>
      <c r="AB55" s="216" t="e">
        <f>VLOOKUP(A55,Enforcements!$C$7:$K$11,8,0)</f>
        <v>#N/A</v>
      </c>
      <c r="AC55" s="216" t="e">
        <f>VLOOKUP(A55,Enforcements!$C$7:$E$11,3,0)</f>
        <v>#N/A</v>
      </c>
      <c r="AD55" s="217">
        <f t="shared" si="10"/>
        <v>142</v>
      </c>
      <c r="AE55" s="218" t="str">
        <f t="shared" si="11"/>
        <v>aws s3 cp s3://rtdc.mdm.uploadarchive.raw/RTDC4045/ "%USERPROFILE%\AppData\Local\Temp\OnboardLogs"\RTDC4045\2017-09-30 --exclude "*" --recursive --include "*20170930*" &amp; "%USERPROFILE%\Documents\GitHub\mrs-test-scripts\Headless Mode &amp; Sideloading\WalkAndUnGZ.bat" "%USERPROFILE%\AppData\Local\Temp\OnboardLogs"\RTDC4045\2017-09-30 &amp; aws s3 cp s3://rtdc.mdm.uploadarchive.raw/RTDC4045/ "%USERPROFILE%\AppData\Local\Temp\OnboardLogs"\RTDC4045\2017-10-01 --exclude "*" --recursive --include "*20171001*" &amp; "%USERPROFILE%\Documents\GitHub\mrs-test-scripts\Headless Mode &amp; Sideloading\WalkAndUnGZ.bat" "%USERPROFILE%\AppData\Local\Temp\OnboardLogs"\RTDC4045\2017-10-01</v>
      </c>
      <c r="AF55" s="68" t="str">
        <f t="shared" si="12"/>
        <v>"C:\Program Files (x86)\AstroGrep\AstroGrep.exe" /e /r /s /spath="%USERPROFILE%\AppData\Local\Temp\OnboardLogs" /stypes="app*4045*20170930*" /stext=" 16:.+((SYSTEM_STATE.+slice.+state.+changed )|(ment ac)|(multiple cpu faults)|(system.+state.+changed )|(\[timeout)|(PRM\|1\|D)|(kpr)|(kdp)|(train st.+moving)|(\|lc)|(penalty))"</v>
      </c>
      <c r="AG55" s="172" t="str">
        <f t="shared" si="13"/>
        <v>EC</v>
      </c>
      <c r="AH55" s="70" t="str">
        <f t="shared" si="19"/>
        <v>"%USERPROFILE%\Documents\GitHub\eaglep3\Utilities\RefineRTDCRunTimes.py" --tripid 142-30 --locoid 4045 --swversion DE.1.0.9.0 --startMP 204:232977 --initTime 2017-09-30T09:21:20 --startdatetime 2017-09-30T09:42:24 --delay 62 --endMP 204:145 --enddatetime 2017-09-30T10:21:13 --enforcementcount 0 &gt;&gt;c:\users\stu\Documents\GitHub\eaglep3-reporting\EC\2017-09-30-refined-times.txt</v>
      </c>
      <c r="AI55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{"issue":{"subject":"","project_id":79,"tracker_id":40,"status_id":1,"priority_id":2,"assigned_to_id":338,"start_date":"2017-09-30","description":"","custom_fields":[{"id":1,"name":"Subdivision","value":"EC"},{"id":4,"name":"Milepost","value":"0.0145"},{"id":17,"name":"Train ID","value":"142-30"},{"id":16,"name":"Locomotive ID","value":"4045"},{"id":130,"name":"Impact","value":""},{"id":150,"name":"Time of Event (Mountain Time)","value":"10:21:13"},{"id":151,"name":"Denver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34" t="str">
        <f t="shared" si="21"/>
        <v>start /low /b %USERPROFILE%\Documents\GitHub\eaglep3\Utilities\DownloadLogsFromS3.py --loco 4045 --day 2017-09-30</v>
      </c>
      <c r="AN55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16:21:13"},{"id":29,"name":"Sharepoint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0" t="str">
        <f t="shared" si="23"/>
        <v>https://d0f6bd738d7f1b3e5a7ca70fe4ff75f0.us-east-1.aws.found.io/app/kibana#/discover/Steve-Slow-Train-Analysis-(2080s-and-2083s)?_g=(refreshInterval:(display:Off,pause:!f,section:0,value:0),time:(from:'2017-09-30T08:21:20-0600',mode:absolute,to:'2017-09-30T11:21:13-0600'))&amp;_a=(columns:!('Message%20ID',Summary),filters:!(),index:'emp_*',interval:auto,query:(query_string:(analyze_wildcard:!t,query:'%22rtdc.l.rtdc.4045%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691</v>
      </c>
      <c r="B56" s="7">
        <v>4010</v>
      </c>
      <c r="C56" s="21" t="s">
        <v>195</v>
      </c>
      <c r="D56" s="21" t="s">
        <v>847</v>
      </c>
      <c r="E56" s="13">
        <v>43008.371018518519</v>
      </c>
      <c r="F56" s="13">
        <v>43008.375277777777</v>
      </c>
      <c r="G56" s="7">
        <v>47</v>
      </c>
      <c r="H56" s="21" t="s">
        <v>462</v>
      </c>
      <c r="I56" s="13">
        <v>43008.401597222219</v>
      </c>
      <c r="J56" s="7">
        <v>0</v>
      </c>
      <c r="K56" s="81" t="str">
        <f t="shared" si="0"/>
        <v>4009/4010</v>
      </c>
      <c r="L56" s="175" t="str">
        <f>VLOOKUP(A56,'Trips&amp;Operators'!$C$1:$G$99911,5,FALSE)</f>
        <v>MAELZER KURT</v>
      </c>
      <c r="M56" s="6">
        <f t="shared" si="1"/>
        <v>2.6319444441469386E-2</v>
      </c>
      <c r="N56" s="7">
        <f t="shared" si="24"/>
        <v>37.899999995715916</v>
      </c>
      <c r="O56" s="7"/>
      <c r="P56" s="7"/>
      <c r="Q56" s="22"/>
      <c r="R56" s="166"/>
      <c r="S56" s="228">
        <f t="shared" si="25"/>
        <v>1</v>
      </c>
      <c r="T56" s="166" t="str">
        <f t="shared" si="4"/>
        <v>NorthBound</v>
      </c>
      <c r="U56" s="21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4" t="str">
        <f t="shared" si="5"/>
        <v>https://d0f6bd738d7f1b3e5a7ca70fe4ff75f0.us-east-1.aws.found.io/app/kibana#/discover/Steve-Slow-Train-Analysis-(2080s-and-2083s)?_g=(refreshInterval:(display:Off,pause:!f,section:0,value:0),time:(from:'2017-09-30T07:54:16-0600',mode:absolute,to:'2017-09-30T10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6" s="215" t="str">
        <f>IF(AA56&lt;VLOOKUP(AG56,Variables!$AC$3:$AD$8,2,FALSE),"Y","N")</f>
        <v>N</v>
      </c>
      <c r="X56" s="215">
        <f t="shared" si="6"/>
        <v>1</v>
      </c>
      <c r="Y56" s="215">
        <f t="shared" si="26"/>
        <v>7.4999999999999997E-2</v>
      </c>
      <c r="Z56" s="215">
        <f t="shared" si="27"/>
        <v>23.329699999999999</v>
      </c>
      <c r="AA56" s="215">
        <f t="shared" si="9"/>
        <v>23.2547</v>
      </c>
      <c r="AB56" s="216" t="e">
        <f>VLOOKUP(A56,Enforcements!$C$7:$K$11,8,0)</f>
        <v>#N/A</v>
      </c>
      <c r="AC56" s="216" t="e">
        <f>VLOOKUP(A56,Enforcements!$C$7:$E$11,3,0)</f>
        <v>#N/A</v>
      </c>
      <c r="AD56" s="217">
        <f t="shared" si="10"/>
        <v>143</v>
      </c>
      <c r="AE56" s="218" t="str">
        <f t="shared" si="11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56" s="68" t="str">
        <f t="shared" si="12"/>
        <v>"C:\Program Files (x86)\AstroGrep\AstroGrep.exe" /e /r /s /spath="%USERPROFILE%\AppData\Local\Temp\OnboardLogs" /stypes="app*4010*20170930*" /stext=" 15:.+((SYSTEM_STATE.+slice.+state.+changed )|(ment ac)|(multiple cpu faults)|(system.+state.+changed )|(\[timeout)|(PRM\|1\|D)|(kpr)|(kdp)|(train st.+moving)|(\|lc)|(penalty))"</v>
      </c>
      <c r="AG56" s="172" t="str">
        <f t="shared" si="13"/>
        <v>EC</v>
      </c>
      <c r="AH56" s="70" t="str">
        <f t="shared" si="19"/>
        <v>"%USERPROFILE%\Documents\GitHub\eaglep3\Utilities\RefineRTDCRunTimes.py" --tripid 143-30 --locoid 4010 --swversion DE.1.0.9.0 --startMP 204:750 --initTime 2017-09-30T08:54:16 --startdatetime 2017-09-30T09:00:24 --delay 47 --endMP 204:233297 --enddatetime 2017-09-30T09:38:18 --enforcementcount 0 &gt;&gt;c:\users\stu\Documents\GitHub\eaglep3-reporting\EC\2017-09-30-refined-times.txt</v>
      </c>
      <c r="AI56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{"issue":{"subject":"","project_id":79,"tracker_id":40,"status_id":1,"priority_id":2,"assigned_to_id":338,"start_date":"2017-09-30","description":"","custom_fields":[{"id":1,"name":"Subdivision","value":"EC"},{"id":4,"name":"Milepost","value":"23.3297"},{"id":17,"name":"Train ID","value":"143-30"},{"id":16,"name":"Locomotive ID","value":"4010"},{"id":130,"name":"Impact","value":""},{"id":150,"name":"Time of Event (Mountain Time)","value":"09:38:18"},{"id":151,"name":"Denver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34" t="str">
        <f t="shared" si="21"/>
        <v>start /low /b %USERPROFILE%\Documents\GitHub\eaglep3\Utilities\DownloadLogsFromS3.py --loco 4010 --day 2017-09-30</v>
      </c>
      <c r="AN56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0" t="str">
        <f t="shared" si="23"/>
        <v>https://d0f6bd738d7f1b3e5a7ca70fe4ff75f0.us-east-1.aws.found.io/app/kibana#/discover/Steve-Slow-Train-Analysis-(2080s-and-2083s)?_g=(refreshInterval:(display:Off,pause:!f,section:0,value:0),time:(from:'2017-09-30T07:54:16-0600',mode:absolute,to:'2017-09-30T10:38:18-0600'))&amp;_a=(columns:!('Message%20ID',Summary),filters:!(),index:'emp_*',interval:auto,query:(query_string:(analyze_wildcard:!t,query:'%22rtdc.l.rtdc.4010%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699</v>
      </c>
      <c r="B57" s="7">
        <v>4009</v>
      </c>
      <c r="C57" s="21" t="s">
        <v>195</v>
      </c>
      <c r="D57" s="21" t="s">
        <v>388</v>
      </c>
      <c r="E57" s="13">
        <v>43008.40693287037</v>
      </c>
      <c r="F57" s="13">
        <v>43008.414814814816</v>
      </c>
      <c r="G57" s="7">
        <v>49</v>
      </c>
      <c r="H57" s="21" t="s">
        <v>562</v>
      </c>
      <c r="I57" s="13">
        <v>43008.441921296297</v>
      </c>
      <c r="J57" s="7">
        <v>0</v>
      </c>
      <c r="K57" s="81" t="str">
        <f t="shared" si="0"/>
        <v>4009/4010</v>
      </c>
      <c r="L57" s="175" t="str">
        <f>VLOOKUP(A57,'Trips&amp;Operators'!$C$1:$G$99911,5,FALSE)</f>
        <v>MAELZER KURT</v>
      </c>
      <c r="M57" s="6">
        <f t="shared" si="1"/>
        <v>2.7106481480586808E-2</v>
      </c>
      <c r="N57" s="7">
        <f t="shared" si="24"/>
        <v>39.033333332045004</v>
      </c>
      <c r="O57" s="7"/>
      <c r="P57" s="7"/>
      <c r="Q57" s="22"/>
      <c r="R57" s="166"/>
      <c r="S57" s="228">
        <f t="shared" si="25"/>
        <v>1</v>
      </c>
      <c r="T57" s="166" t="str">
        <f t="shared" si="4"/>
        <v>Southbound</v>
      </c>
      <c r="U57" s="21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4" t="str">
        <f t="shared" si="5"/>
        <v>https://d0f6bd738d7f1b3e5a7ca70fe4ff75f0.us-east-1.aws.found.io/app/kibana#/discover/Steve-Slow-Train-Analysis-(2080s-and-2083s)?_g=(refreshInterval:(display:Off,pause:!f,section:0,value:0),time:(from:'2017-09-30T08:45:59-0600',mode:absolute,to:'2017-09-30T11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215" t="str">
        <f>IF(AA57&lt;VLOOKUP(AG57,Variables!$AC$3:$AD$8,2,FALSE),"Y","N")</f>
        <v>N</v>
      </c>
      <c r="X57" s="215">
        <f t="shared" si="6"/>
        <v>1</v>
      </c>
      <c r="Y57" s="215">
        <f t="shared" si="26"/>
        <v>23.299800000000001</v>
      </c>
      <c r="Z57" s="215">
        <f t="shared" si="27"/>
        <v>1.32E-2</v>
      </c>
      <c r="AA57" s="215">
        <f t="shared" si="9"/>
        <v>23.2866</v>
      </c>
      <c r="AB57" s="216" t="e">
        <f>VLOOKUP(A57,Enforcements!$C$7:$K$11,8,0)</f>
        <v>#N/A</v>
      </c>
      <c r="AC57" s="216" t="e">
        <f>VLOOKUP(A57,Enforcements!$C$7:$E$11,3,0)</f>
        <v>#N/A</v>
      </c>
      <c r="AD57" s="217">
        <f t="shared" si="10"/>
        <v>144</v>
      </c>
      <c r="AE57" s="218" t="str">
        <f t="shared" si="11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57" s="68" t="str">
        <f t="shared" si="12"/>
        <v>"C:\Program Files (x86)\AstroGrep\AstroGrep.exe" /e /r /s /spath="%USERPROFILE%\AppData\Local\Temp\OnboardLogs" /stypes="app*4009*20170930*" /stext=" 16:.+((SYSTEM_STATE.+slice.+state.+changed )|(ment ac)|(multiple cpu faults)|(system.+state.+changed )|(\[timeout)|(PRM\|1\|D)|(kpr)|(kdp)|(train st.+moving)|(\|lc)|(penalty))"</v>
      </c>
      <c r="AG57" s="172" t="str">
        <f t="shared" si="13"/>
        <v>EC</v>
      </c>
      <c r="AH57" s="70" t="str">
        <f t="shared" si="19"/>
        <v>"%USERPROFILE%\Documents\GitHub\eaglep3\Utilities\RefineRTDCRunTimes.py" --tripid 144-30 --locoid 4009 --swversion DE.1.0.9.0 --startMP 204:232998 --initTime 2017-09-30T09:45:59 --startdatetime 2017-09-30T09:57:20 --delay 49 --endMP 204:132 --enddatetime 2017-09-30T10:36:22 --enforcementcount 0 &gt;&gt;c:\users\stu\Documents\GitHub\eaglep3-reporting\EC\2017-09-30-refined-times.txt</v>
      </c>
      <c r="AI57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{"issue":{"subject":"","project_id":79,"tracker_id":40,"status_id":1,"priority_id":2,"assigned_to_id":338,"start_date":"2017-09-30","description":"","custom_fields":[{"id":1,"name":"Subdivision","value":"EC"},{"id":4,"name":"Milepost","value":"0.0132"},{"id":17,"name":"Train ID","value":"144-30"},{"id":16,"name":"Locomotive ID","value":"4009"},{"id":130,"name":"Impact","value":""},{"id":150,"name":"Time of Event (Mountain Time)","value":"10:36:22"},{"id":151,"name":"Denver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34" t="str">
        <f t="shared" si="21"/>
        <v>start /low /b %USERPROFILE%\Documents\GitHub\eaglep3\Utilities\DownloadLogsFromS3.py --loco 4009 --day 2017-09-30</v>
      </c>
      <c r="AN57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16:36:22"},{"id":29,"name":"Sharepoint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0" t="str">
        <f t="shared" si="23"/>
        <v>https://d0f6bd738d7f1b3e5a7ca70fe4ff75f0.us-east-1.aws.found.io/app/kibana#/discover/Steve-Slow-Train-Analysis-(2080s-and-2083s)?_g=(refreshInterval:(display:Off,pause:!f,section:0,value:0),time:(from:'2017-09-30T08:45:59-0600',mode:absolute,to:'2017-09-30T11:36:22-0600'))&amp;_a=(columns:!('Message%20ID',Summary),filters:!(),index:'emp_*',interval:auto,query:(query_string:(analyze_wildcard:!t,query:'%22rtdc.l.rtdc.4009%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693</v>
      </c>
      <c r="B58" s="7">
        <v>4020</v>
      </c>
      <c r="C58" s="21" t="s">
        <v>195</v>
      </c>
      <c r="D58" s="21" t="s">
        <v>387</v>
      </c>
      <c r="E58" s="13">
        <v>43008.38108796296</v>
      </c>
      <c r="F58" s="13">
        <v>43008.385601851849</v>
      </c>
      <c r="G58" s="7">
        <v>158</v>
      </c>
      <c r="H58" s="21" t="s">
        <v>492</v>
      </c>
      <c r="I58" s="13">
        <v>43008.41207175926</v>
      </c>
      <c r="J58" s="7">
        <v>0</v>
      </c>
      <c r="K58" s="81" t="str">
        <f t="shared" si="0"/>
        <v>4019/4020</v>
      </c>
      <c r="L58" s="175" t="str">
        <f>VLOOKUP(A58,'Trips&amp;Operators'!$C$1:$G$99911,5,FALSE)</f>
        <v>WILLIAMS DONTE</v>
      </c>
      <c r="M58" s="6">
        <f t="shared" si="1"/>
        <v>2.6469907410501037E-2</v>
      </c>
      <c r="N58" s="7">
        <f t="shared" si="24"/>
        <v>38.116666671121493</v>
      </c>
      <c r="O58" s="7"/>
      <c r="P58" s="7"/>
      <c r="Q58" s="22"/>
      <c r="R58" s="166"/>
      <c r="S58" s="228">
        <f t="shared" si="25"/>
        <v>1</v>
      </c>
      <c r="T58" s="166" t="str">
        <f t="shared" si="4"/>
        <v>NorthBound</v>
      </c>
      <c r="U58" s="21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4" t="str">
        <f t="shared" si="5"/>
        <v>https://d0f6bd738d7f1b3e5a7ca70fe4ff75f0.us-east-1.aws.found.io/app/kibana#/discover/Steve-Slow-Train-Analysis-(2080s-and-2083s)?_g=(refreshInterval:(display:Off,pause:!f,section:0,value:0),time:(from:'2017-09-30T08:08:46-0600',mode:absolute,to:'2017-09-30T10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8" s="215" t="str">
        <f>IF(AA58&lt;VLOOKUP(AG58,Variables!$AC$3:$AD$8,2,FALSE),"Y","N")</f>
        <v>N</v>
      </c>
      <c r="X58" s="215">
        <f t="shared" si="6"/>
        <v>1</v>
      </c>
      <c r="Y58" s="215">
        <f t="shared" si="26"/>
        <v>4.7100000000000003E-2</v>
      </c>
      <c r="Z58" s="215">
        <f t="shared" si="27"/>
        <v>23.329499999999999</v>
      </c>
      <c r="AA58" s="215">
        <f t="shared" si="9"/>
        <v>23.282399999999999</v>
      </c>
      <c r="AB58" s="216" t="e">
        <f>VLOOKUP(A58,Enforcements!$C$7:$K$11,8,0)</f>
        <v>#N/A</v>
      </c>
      <c r="AC58" s="216" t="e">
        <f>VLOOKUP(A58,Enforcements!$C$7:$E$11,3,0)</f>
        <v>#N/A</v>
      </c>
      <c r="AD58" s="217">
        <f t="shared" si="10"/>
        <v>145</v>
      </c>
      <c r="AE58" s="218" t="str">
        <f t="shared" si="11"/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AF58" s="68" t="str">
        <f t="shared" si="12"/>
        <v>"C:\Program Files (x86)\AstroGrep\AstroGrep.exe" /e /r /s /spath="%USERPROFILE%\AppData\Local\Temp\OnboardLogs" /stypes="app*4020*20170930*" /stext=" 15:.+((SYSTEM_STATE.+slice.+state.+changed )|(ment ac)|(multiple cpu faults)|(system.+state.+changed )|(\[timeout)|(PRM\|1\|D)|(kpr)|(kdp)|(train st.+moving)|(\|lc)|(penalty))"</v>
      </c>
      <c r="AG58" s="172" t="str">
        <f t="shared" si="13"/>
        <v>EC</v>
      </c>
      <c r="AH58" s="70" t="str">
        <f t="shared" si="19"/>
        <v>"%USERPROFILE%\Documents\GitHub\eaglep3\Utilities\RefineRTDCRunTimes.py" --tripid 145-30 --locoid 4020 --swversion DE.1.0.9.0 --startMP 204:471 --initTime 2017-09-30T09:08:46 --startdatetime 2017-09-30T09:15:16 --delay 158 --endMP 204:233295 --enddatetime 2017-09-30T09:53:23 --enforcementcount 0 &gt;&gt;c:\users\stu\Documents\GitHub\eaglep3-reporting\EC\2017-09-30-refined-times.txt</v>
      </c>
      <c r="AI58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{"issue":{"subject":"","project_id":79,"tracker_id":40,"status_id":1,"priority_id":2,"assigned_to_id":338,"start_date":"2017-09-30","description":"","custom_fields":[{"id":1,"name":"Subdivision","value":"EC"},{"id":4,"name":"Milepost","value":"23.3295"},{"id":17,"name":"Train ID","value":"145-30"},{"id":16,"name":"Locomotive ID","value":"4020"},{"id":130,"name":"Impact","value":""},{"id":150,"name":"Time of Event (Mountain Time)","value":"09:53:23"},{"id":151,"name":"Denver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34" t="str">
        <f t="shared" si="21"/>
        <v>start /low /b %USERPROFILE%\Documents\GitHub\eaglep3\Utilities\DownloadLogsFromS3.py --loco 4020 --day 2017-09-30</v>
      </c>
      <c r="AN58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0" t="str">
        <f t="shared" si="23"/>
        <v>https://d0f6bd738d7f1b3e5a7ca70fe4ff75f0.us-east-1.aws.found.io/app/kibana#/discover/Steve-Slow-Train-Analysis-(2080s-and-2083s)?_g=(refreshInterval:(display:Off,pause:!f,section:0,value:0),time:(from:'2017-09-30T08:08:46-0600',mode:absolute,to:'2017-09-30T10:53:23-0600'))&amp;_a=(columns:!('Message%20ID',Summary),filters:!(),index:'emp_*',interval:auto,query:(query_string:(analyze_wildcard:!t,query:'%22rtdc.l.rtdc.4020%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701</v>
      </c>
      <c r="B59" s="7">
        <v>4019</v>
      </c>
      <c r="C59" s="21" t="s">
        <v>195</v>
      </c>
      <c r="D59" s="21" t="s">
        <v>404</v>
      </c>
      <c r="E59" s="13">
        <v>43008.420428240737</v>
      </c>
      <c r="F59" s="13">
        <v>43008.425162037034</v>
      </c>
      <c r="G59" s="7">
        <v>93</v>
      </c>
      <c r="H59" s="21" t="s">
        <v>382</v>
      </c>
      <c r="I59" s="13">
        <v>43008.45380787037</v>
      </c>
      <c r="J59" s="7">
        <v>0</v>
      </c>
      <c r="K59" s="81" t="str">
        <f t="shared" si="0"/>
        <v>4019/4020</v>
      </c>
      <c r="L59" s="175" t="str">
        <f>VLOOKUP(A59,'Trips&amp;Operators'!$C$1:$G$99911,5,FALSE)</f>
        <v>WILLIAMS DONTE</v>
      </c>
      <c r="M59" s="6">
        <f t="shared" si="1"/>
        <v>2.8645833335758653E-2</v>
      </c>
      <c r="N59" s="7">
        <f t="shared" si="24"/>
        <v>41.25000000349246</v>
      </c>
      <c r="O59" s="7"/>
      <c r="P59" s="7"/>
      <c r="Q59" s="22"/>
      <c r="R59" s="166"/>
      <c r="S59" s="228">
        <f t="shared" si="25"/>
        <v>1</v>
      </c>
      <c r="T59" s="166" t="str">
        <f t="shared" si="4"/>
        <v>Southbound</v>
      </c>
      <c r="U59" s="21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4" t="str">
        <f t="shared" si="5"/>
        <v>https://d0f6bd738d7f1b3e5a7ca70fe4ff75f0.us-east-1.aws.found.io/app/kibana#/discover/Steve-Slow-Train-Analysis-(2080s-and-2083s)?_g=(refreshInterval:(display:Off,pause:!f,section:0,value:0),time:(from:'2017-09-30T09:05:25-0600',mode:absolute,to:'2017-09-30T11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9" s="215" t="str">
        <f>IF(AA59&lt;VLOOKUP(AG59,Variables!$AC$3:$AD$8,2,FALSE),"Y","N")</f>
        <v>N</v>
      </c>
      <c r="X59" s="215">
        <f t="shared" si="6"/>
        <v>1</v>
      </c>
      <c r="Y59" s="215">
        <f t="shared" si="26"/>
        <v>23.297499999999999</v>
      </c>
      <c r="Z59" s="215">
        <f t="shared" si="27"/>
        <v>1.6299999999999999E-2</v>
      </c>
      <c r="AA59" s="215">
        <f t="shared" si="9"/>
        <v>23.281199999999998</v>
      </c>
      <c r="AB59" s="216" t="e">
        <f>VLOOKUP(A59,Enforcements!$C$7:$K$11,8,0)</f>
        <v>#N/A</v>
      </c>
      <c r="AC59" s="216" t="e">
        <f>VLOOKUP(A59,Enforcements!$C$7:$E$11,3,0)</f>
        <v>#N/A</v>
      </c>
      <c r="AD59" s="217">
        <f t="shared" si="10"/>
        <v>146</v>
      </c>
      <c r="AE59" s="218" t="str">
        <f t="shared" si="11"/>
        <v>aws s3 cp s3://rtdc.mdm.uploadarchive.raw/RTDC4019/ "%USERPROFILE%\AppData\Local\Temp\OnboardLogs"\RTDC4019\2017-09-30 --exclude "*" --recursive --include "*20170930*" &amp; "%USERPROFILE%\Documents\GitHub\mrs-test-scripts\Headless Mode &amp; Sideloading\WalkAndUnGZ.bat" "%USERPROFILE%\AppData\Local\Temp\OnboardLogs"\RTDC4019\2017-09-30 &amp; aws s3 cp s3://rtdc.mdm.uploadarchive.raw/RTDC4019/ "%USERPROFILE%\AppData\Local\Temp\OnboardLogs"\RTDC4019\2017-10-01 --exclude "*" --recursive --include "*20171001*" &amp; "%USERPROFILE%\Documents\GitHub\mrs-test-scripts\Headless Mode &amp; Sideloading\WalkAndUnGZ.bat" "%USERPROFILE%\AppData\Local\Temp\OnboardLogs"\RTDC4019\2017-10-01</v>
      </c>
      <c r="AF59" s="68" t="str">
        <f t="shared" si="12"/>
        <v>"C:\Program Files (x86)\AstroGrep\AstroGrep.exe" /e /r /s /spath="%USERPROFILE%\AppData\Local\Temp\OnboardLogs" /stypes="app*4019*20170930*" /stext=" 16:.+((SYSTEM_STATE.+slice.+state.+changed )|(ment ac)|(multiple cpu faults)|(system.+state.+changed )|(\[timeout)|(PRM\|1\|D)|(kpr)|(kdp)|(train st.+moving)|(\|lc)|(penalty))"</v>
      </c>
      <c r="AG59" s="172" t="str">
        <f t="shared" si="13"/>
        <v>EC</v>
      </c>
      <c r="AH59" s="70" t="str">
        <f t="shared" si="19"/>
        <v>"%USERPROFILE%\Documents\GitHub\eaglep3\Utilities\RefineRTDCRunTimes.py" --tripid 146-30 --locoid 4019 --swversion DE.1.0.9.0 --startMP 204:232975 --initTime 2017-09-30T10:05:25 --startdatetime 2017-09-30T10:12:14 --delay 93 --endMP 204:163 --enddatetime 2017-09-30T10:53:29 --enforcementcount 0 &gt;&gt;c:\users\stu\Documents\GitHub\eaglep3-reporting\EC\2017-09-30-refined-times.txt</v>
      </c>
      <c r="AI59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{"issue":{"subject":"","project_id":79,"tracker_id":40,"status_id":1,"priority_id":2,"assigned_to_id":338,"start_date":"2017-09-30","description":"","custom_fields":[{"id":1,"name":"Subdivision","value":"EC"},{"id":4,"name":"Milepost","value":"0.0163"},{"id":17,"name":"Train ID","value":"146-30"},{"id":16,"name":"Locomotive ID","value":"4019"},{"id":130,"name":"Impact","value":""},{"id":150,"name":"Time of Event (Mountain Time)","value":"10:53:29"},{"id":151,"name":"Denver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34" t="str">
        <f t="shared" si="21"/>
        <v>start /low /b %USERPROFILE%\Documents\GitHub\eaglep3\Utilities\DownloadLogsFromS3.py --loco 4019 --day 2017-09-30</v>
      </c>
      <c r="AN59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16:53:29"},{"id":29,"name":"Sharepoint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0" t="str">
        <f t="shared" si="23"/>
        <v>https://d0f6bd738d7f1b3e5a7ca70fe4ff75f0.us-east-1.aws.found.io/app/kibana#/discover/Steve-Slow-Train-Analysis-(2080s-and-2083s)?_g=(refreshInterval:(display:Off,pause:!f,section:0,value:0),time:(from:'2017-09-30T09:05:25-0600',mode:absolute,to:'2017-09-30T11:53:29-0600'))&amp;_a=(columns:!('Message%20ID',Summary),filters:!(),index:'emp_*',interval:auto,query:(query_string:(analyze_wildcard:!t,query:'%22rtdc.l.rtdc.4019%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696</v>
      </c>
      <c r="B60" s="7">
        <v>4052</v>
      </c>
      <c r="C60" s="21" t="s">
        <v>195</v>
      </c>
      <c r="D60" s="21" t="s">
        <v>842</v>
      </c>
      <c r="E60" s="13">
        <v>43008.39340277778</v>
      </c>
      <c r="F60" s="13">
        <v>43008.396018518521</v>
      </c>
      <c r="G60" s="7">
        <v>85</v>
      </c>
      <c r="H60" s="21" t="s">
        <v>848</v>
      </c>
      <c r="I60" s="13">
        <v>43008.422476851854</v>
      </c>
      <c r="J60" s="7">
        <v>0</v>
      </c>
      <c r="K60" s="81" t="str">
        <f t="shared" si="0"/>
        <v>4051/4052</v>
      </c>
      <c r="L60" s="175" t="str">
        <f>VLOOKUP(A60,'Trips&amp;Operators'!$C$1:$G$99911,5,FALSE)</f>
        <v>DAVIS WENDY</v>
      </c>
      <c r="M60" s="6">
        <f t="shared" si="1"/>
        <v>2.6458333333721384E-2</v>
      </c>
      <c r="N60" s="7">
        <f t="shared" si="24"/>
        <v>38.100000000558794</v>
      </c>
      <c r="O60" s="7"/>
      <c r="P60" s="7"/>
      <c r="Q60" s="22"/>
      <c r="R60" s="166"/>
      <c r="S60" s="228">
        <f t="shared" si="25"/>
        <v>1</v>
      </c>
      <c r="T60" s="166" t="str">
        <f t="shared" si="4"/>
        <v>NorthBound</v>
      </c>
      <c r="U60" s="21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4" t="str">
        <f t="shared" si="5"/>
        <v>https://d0f6bd738d7f1b3e5a7ca70fe4ff75f0.us-east-1.aws.found.io/app/kibana#/discover/Steve-Slow-Train-Analysis-(2080s-and-2083s)?_g=(refreshInterval:(display:Off,pause:!f,section:0,value:0),time:(from:'2017-09-30T08:26:30-0600',mode:absolute,to:'2017-09-30T11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0" s="215" t="str">
        <f>IF(AA60&lt;VLOOKUP(AG60,Variables!$AC$3:$AD$8,2,FALSE),"Y","N")</f>
        <v>N</v>
      </c>
      <c r="X60" s="215">
        <f t="shared" si="6"/>
        <v>1</v>
      </c>
      <c r="Y60" s="215">
        <f t="shared" si="26"/>
        <v>4.8899999999999999E-2</v>
      </c>
      <c r="Z60" s="215">
        <f t="shared" si="27"/>
        <v>23.328499999999998</v>
      </c>
      <c r="AA60" s="215">
        <f t="shared" si="9"/>
        <v>23.279599999999999</v>
      </c>
      <c r="AB60" s="216" t="e">
        <f>VLOOKUP(A60,Enforcements!$C$7:$K$11,8,0)</f>
        <v>#N/A</v>
      </c>
      <c r="AC60" s="216" t="e">
        <f>VLOOKUP(A60,Enforcements!$C$7:$E$11,3,0)</f>
        <v>#N/A</v>
      </c>
      <c r="AD60" s="217">
        <f t="shared" si="10"/>
        <v>147</v>
      </c>
      <c r="AE60" s="218" t="str">
        <f t="shared" si="11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60" s="68" t="str">
        <f t="shared" si="12"/>
        <v>"C:\Program Files (x86)\AstroGrep\AstroGrep.exe" /e /r /s /spath="%USERPROFILE%\AppData\Local\Temp\OnboardLogs" /stypes="app*4052*20170930*" /stext=" 16:.+((SYSTEM_STATE.+slice.+state.+changed )|(ment ac)|(multiple cpu faults)|(system.+state.+changed )|(\[timeout)|(PRM\|1\|D)|(kpr)|(kdp)|(train st.+moving)|(\|lc)|(penalty))"</v>
      </c>
      <c r="AG60" s="172" t="str">
        <f t="shared" si="13"/>
        <v>EC</v>
      </c>
      <c r="AH60" s="70" t="str">
        <f t="shared" si="19"/>
        <v>"%USERPROFILE%\Documents\GitHub\eaglep3\Utilities\RefineRTDCRunTimes.py" --tripid 147-30 --locoid 4052 --swversion DE.1.0.9.0 --startMP 204:489 --initTime 2017-09-30T09:26:30 --startdatetime 2017-09-30T09:30:16 --delay 85 --endMP 204:233285 --enddatetime 2017-09-30T10:08:22 --enforcementcount 0 &gt;&gt;c:\users\stu\Documents\GitHub\eaglep3-reporting\EC\2017-09-30-refined-times.txt</v>
      </c>
      <c r="AI60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{"issue":{"subject":"","project_id":79,"tracker_id":40,"status_id":1,"priority_id":2,"assigned_to_id":338,"start_date":"2017-09-30","description":"","custom_fields":[{"id":1,"name":"Subdivision","value":"EC"},{"id":4,"name":"Milepost","value":"23.3285"},{"id":17,"name":"Train ID","value":"147-30"},{"id":16,"name":"Locomotive ID","value":"4052"},{"id":130,"name":"Impact","value":""},{"id":150,"name":"Time of Event (Mountain Time)","value":"10:08:22"},{"id":151,"name":"Denver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34" t="str">
        <f t="shared" si="21"/>
        <v>start /low /b %USERPROFILE%\Documents\GitHub\eaglep3\Utilities\DownloadLogsFromS3.py --loco 4052 --day 2017-09-30</v>
      </c>
      <c r="AN60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16:08:22"},{"id":29,"name":"Sharepoint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0" t="str">
        <f t="shared" si="23"/>
        <v>https://d0f6bd738d7f1b3e5a7ca70fe4ff75f0.us-east-1.aws.found.io/app/kibana#/discover/Steve-Slow-Train-Analysis-(2080s-and-2083s)?_g=(refreshInterval:(display:Off,pause:!f,section:0,value:0),time:(from:'2017-09-30T08:26:30-0600',mode:absolute,to:'2017-09-30T11:08:22-0600'))&amp;_a=(columns:!('Message%20ID',Summary),filters:!(),index:'emp_*',interval:auto,query:(query_string:(analyze_wildcard:!t,query:'%22rtdc.l.rtdc.4052%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703</v>
      </c>
      <c r="B61" s="7">
        <v>4051</v>
      </c>
      <c r="C61" s="21" t="s">
        <v>195</v>
      </c>
      <c r="D61" s="21" t="s">
        <v>849</v>
      </c>
      <c r="E61" s="13">
        <v>43008.427766203706</v>
      </c>
      <c r="F61" s="13">
        <v>43008.435590277775</v>
      </c>
      <c r="G61" s="7">
        <v>95</v>
      </c>
      <c r="H61" s="21" t="s">
        <v>336</v>
      </c>
      <c r="I61" s="13">
        <v>43008.463495370372</v>
      </c>
      <c r="J61" s="7">
        <v>0</v>
      </c>
      <c r="K61" s="81" t="str">
        <f t="shared" si="0"/>
        <v>4051/4052</v>
      </c>
      <c r="L61" s="175" t="str">
        <f>VLOOKUP(A61,'Trips&amp;Operators'!$C$1:$G$99911,5,FALSE)</f>
        <v>DAVIS WENDY</v>
      </c>
      <c r="M61" s="6">
        <f t="shared" si="1"/>
        <v>2.7905092596483883E-2</v>
      </c>
      <c r="N61" s="7">
        <f t="shared" si="24"/>
        <v>40.183333338936791</v>
      </c>
      <c r="O61" s="7"/>
      <c r="P61" s="7"/>
      <c r="Q61" s="22"/>
      <c r="R61" s="166"/>
      <c r="S61" s="228">
        <f t="shared" si="25"/>
        <v>1</v>
      </c>
      <c r="T61" s="166" t="str">
        <f t="shared" si="4"/>
        <v>Southbound</v>
      </c>
      <c r="U61" s="21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4" t="str">
        <f t="shared" si="5"/>
        <v>https://d0f6bd738d7f1b3e5a7ca70fe4ff75f0.us-east-1.aws.found.io/app/kibana#/discover/Steve-Slow-Train-Analysis-(2080s-and-2083s)?_g=(refreshInterval:(display:Off,pause:!f,section:0,value:0),time:(from:'2017-09-30T09:15:59-0600',mode:absolute,to:'2017-09-30T12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1" s="215" t="str">
        <f>IF(AA61&lt;VLOOKUP(AG61,Variables!$AC$3:$AD$8,2,FALSE),"Y","N")</f>
        <v>N</v>
      </c>
      <c r="X61" s="215">
        <f t="shared" si="6"/>
        <v>1</v>
      </c>
      <c r="Y61" s="215">
        <f t="shared" si="26"/>
        <v>23.296600000000002</v>
      </c>
      <c r="Z61" s="215">
        <f t="shared" si="27"/>
        <v>1.4999999999999999E-2</v>
      </c>
      <c r="AA61" s="215">
        <f t="shared" si="9"/>
        <v>23.281600000000001</v>
      </c>
      <c r="AB61" s="216" t="e">
        <f>VLOOKUP(A61,Enforcements!$C$7:$K$11,8,0)</f>
        <v>#N/A</v>
      </c>
      <c r="AC61" s="216" t="e">
        <f>VLOOKUP(A61,Enforcements!$C$7:$E$11,3,0)</f>
        <v>#N/A</v>
      </c>
      <c r="AD61" s="217">
        <f t="shared" si="10"/>
        <v>148</v>
      </c>
      <c r="AE61" s="218" t="str">
        <f t="shared" si="11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61" s="68" t="str">
        <f t="shared" si="12"/>
        <v>"C:\Program Files (x86)\AstroGrep\AstroGrep.exe" /e /r /s /spath="%USERPROFILE%\AppData\Local\Temp\OnboardLogs" /stypes="app*4051*20170930*" /stext=" 17:.+((SYSTEM_STATE.+slice.+state.+changed )|(ment ac)|(multiple cpu faults)|(system.+state.+changed )|(\[timeout)|(PRM\|1\|D)|(kpr)|(kdp)|(train st.+moving)|(\|lc)|(penalty))"</v>
      </c>
      <c r="AG61" s="172" t="str">
        <f t="shared" si="13"/>
        <v>EC</v>
      </c>
      <c r="AH61" s="70" t="str">
        <f t="shared" si="19"/>
        <v>"%USERPROFILE%\Documents\GitHub\eaglep3\Utilities\RefineRTDCRunTimes.py" --tripid 148-30 --locoid 4051 --swversion DE.1.0.9.0 --startMP 204:232966 --initTime 2017-09-30T10:15:59 --startdatetime 2017-09-30T10:27:15 --delay 95 --endMP 204:150 --enddatetime 2017-09-30T11:07:26 --enforcementcount 0 &gt;&gt;c:\users\stu\Documents\GitHub\eaglep3-reporting\EC\2017-09-30-refined-times.txt</v>
      </c>
      <c r="AI61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{"issue":{"subject":"","project_id":79,"tracker_id":40,"status_id":1,"priority_id":2,"assigned_to_id":338,"start_date":"2017-09-30","description":"","custom_fields":[{"id":1,"name":"Subdivision","value":"EC"},{"id":4,"name":"Milepost","value":"0.015"},{"id":17,"name":"Train ID","value":"148-30"},{"id":16,"name":"Locomotive ID","value":"4051"},{"id":130,"name":"Impact","value":""},{"id":150,"name":"Time of Event (Mountain Time)","value":"11:07:26"},{"id":151,"name":"Denver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34" t="str">
        <f t="shared" si="21"/>
        <v>start /low /b %USERPROFILE%\Documents\GitHub\eaglep3\Utilities\DownloadLogsFromS3.py --loco 4051 --day 2017-09-30</v>
      </c>
      <c r="AN61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17:07:26"},{"id":29,"name":"Sharepoint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0" t="str">
        <f t="shared" si="23"/>
        <v>https://d0f6bd738d7f1b3e5a7ca70fe4ff75f0.us-east-1.aws.found.io/app/kibana#/discover/Steve-Slow-Train-Analysis-(2080s-and-2083s)?_g=(refreshInterval:(display:Off,pause:!f,section:0,value:0),time:(from:'2017-09-30T09:15:59-0600',mode:absolute,to:'2017-09-30T12:07:26-0600'))&amp;_a=(columns:!('Message%20ID',Summary),filters:!(),index:'emp_*',interval:auto,query:(query_string:(analyze_wildcard:!t,query:'%22rtdc.l.rtdc.4051%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698</v>
      </c>
      <c r="B62" s="7">
        <v>4040</v>
      </c>
      <c r="C62" s="21" t="s">
        <v>195</v>
      </c>
      <c r="D62" s="21" t="s">
        <v>846</v>
      </c>
      <c r="E62" s="13">
        <v>43008.402743055558</v>
      </c>
      <c r="F62" s="13">
        <v>43008.406539351854</v>
      </c>
      <c r="G62" s="7">
        <v>54</v>
      </c>
      <c r="H62" s="21" t="s">
        <v>554</v>
      </c>
      <c r="I62" s="13">
        <v>43008.430937500001</v>
      </c>
      <c r="J62" s="7">
        <v>0</v>
      </c>
      <c r="K62" s="81" t="str">
        <f t="shared" si="0"/>
        <v>4039/4040</v>
      </c>
      <c r="L62" s="175" t="str">
        <f>VLOOKUP(A62,'Trips&amp;Operators'!$C$1:$G$99911,5,FALSE)</f>
        <v>GEBRETEKLE DAGNEW</v>
      </c>
      <c r="M62" s="6">
        <f t="shared" si="1"/>
        <v>2.4398148147156462E-2</v>
      </c>
      <c r="N62" s="7">
        <f t="shared" si="24"/>
        <v>35.133333331905305</v>
      </c>
      <c r="O62" s="7"/>
      <c r="P62" s="7"/>
      <c r="Q62" s="22"/>
      <c r="R62" s="166"/>
      <c r="S62" s="228">
        <f t="shared" si="25"/>
        <v>1</v>
      </c>
      <c r="T62" s="166" t="str">
        <f t="shared" si="4"/>
        <v>NorthBound</v>
      </c>
      <c r="U62" s="21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4" t="str">
        <f t="shared" si="5"/>
        <v>https://d0f6bd738d7f1b3e5a7ca70fe4ff75f0.us-east-1.aws.found.io/app/kibana#/discover/Steve-Slow-Train-Analysis-(2080s-and-2083s)?_g=(refreshInterval:(display:Off,pause:!f,section:0,value:0),time:(from:'2017-09-30T08:39:57-0600',mode:absolute,to:'2017-09-30T11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2" s="215" t="str">
        <f>IF(AA62&lt;VLOOKUP(AG62,Variables!$AC$3:$AD$8,2,FALSE),"Y","N")</f>
        <v>N</v>
      </c>
      <c r="X62" s="215">
        <f t="shared" si="6"/>
        <v>1</v>
      </c>
      <c r="Y62" s="215">
        <f t="shared" si="26"/>
        <v>4.7800000000000002E-2</v>
      </c>
      <c r="Z62" s="215">
        <f t="shared" si="27"/>
        <v>23.3278</v>
      </c>
      <c r="AA62" s="215">
        <f t="shared" si="9"/>
        <v>23.28</v>
      </c>
      <c r="AB62" s="216" t="e">
        <f>VLOOKUP(A62,Enforcements!$C$7:$K$11,8,0)</f>
        <v>#N/A</v>
      </c>
      <c r="AC62" s="216" t="e">
        <f>VLOOKUP(A62,Enforcements!$C$7:$E$11,3,0)</f>
        <v>#N/A</v>
      </c>
      <c r="AD62" s="217">
        <f t="shared" si="10"/>
        <v>149</v>
      </c>
      <c r="AE62" s="218" t="str">
        <f t="shared" si="11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62" s="68" t="str">
        <f t="shared" si="12"/>
        <v>"C:\Program Files (x86)\AstroGrep\AstroGrep.exe" /e /r /s /spath="%USERPROFILE%\AppData\Local\Temp\OnboardLogs" /stypes="app*4040*20170930*" /stext=" 16:.+((SYSTEM_STATE.+slice.+state.+changed )|(ment ac)|(multiple cpu faults)|(system.+state.+changed )|(\[timeout)|(PRM\|1\|D)|(kpr)|(kdp)|(train st.+moving)|(\|lc)|(penalty))"</v>
      </c>
      <c r="AG62" s="172" t="str">
        <f t="shared" si="13"/>
        <v>EC</v>
      </c>
      <c r="AH62" s="70" t="str">
        <f t="shared" si="19"/>
        <v>"%USERPROFILE%\Documents\GitHub\eaglep3\Utilities\RefineRTDCRunTimes.py" --tripid 149-30 --locoid 4040 --swversion DE.1.0.9.0 --startMP 204:478 --initTime 2017-09-30T09:39:57 --startdatetime 2017-09-30T09:45:25 --delay 54 --endMP 204:233278 --enddatetime 2017-09-30T10:20:33 --enforcementcount 0 &gt;&gt;c:\users\stu\Documents\GitHub\eaglep3-reporting\EC\2017-09-30-refined-times.txt</v>
      </c>
      <c r="AI62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{"issue":{"subject":"","project_id":79,"tracker_id":40,"status_id":1,"priority_id":2,"assigned_to_id":338,"start_date":"2017-09-30","description":"","custom_fields":[{"id":1,"name":"Subdivision","value":"EC"},{"id":4,"name":"Milepost","value":"23.3278"},{"id":17,"name":"Train ID","value":"149-30"},{"id":16,"name":"Locomotive ID","value":"4040"},{"id":130,"name":"Impact","value":""},{"id":150,"name":"Time of Event (Mountain Time)","value":"10:20:33"},{"id":151,"name":"Denver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34" t="str">
        <f t="shared" si="21"/>
        <v>start /low /b %USERPROFILE%\Documents\GitHub\eaglep3\Utilities\DownloadLogsFromS3.py --loco 4040 --day 2017-09-30</v>
      </c>
      <c r="AN62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16:20:33"},{"id":29,"name":"Sharepoint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0" t="str">
        <f t="shared" si="23"/>
        <v>https://d0f6bd738d7f1b3e5a7ca70fe4ff75f0.us-east-1.aws.found.io/app/kibana#/discover/Steve-Slow-Train-Analysis-(2080s-and-2083s)?_g=(refreshInterval:(display:Off,pause:!f,section:0,value:0),time:(from:'2017-09-30T08:39:57-0600',mode:absolute,to:'2017-09-30T11:20:33-0600'))&amp;_a=(columns:!('Message%20ID',Summary),filters:!(),index:'emp_*',interval:auto,query:(query_string:(analyze_wildcard:!t,query:'%22rtdc.l.rtdc.4040%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596</v>
      </c>
      <c r="B63" s="7">
        <v>4039</v>
      </c>
      <c r="C63" s="21" t="s">
        <v>195</v>
      </c>
      <c r="D63" s="21" t="s">
        <v>850</v>
      </c>
      <c r="E63" s="13">
        <v>43008.432905092595</v>
      </c>
      <c r="F63" s="13">
        <v>43008.446076388886</v>
      </c>
      <c r="G63" s="7">
        <v>52</v>
      </c>
      <c r="H63" s="21" t="s">
        <v>337</v>
      </c>
      <c r="I63" s="13">
        <v>43008.474976851852</v>
      </c>
      <c r="J63" s="7">
        <v>0</v>
      </c>
      <c r="K63" s="81" t="str">
        <f t="shared" si="0"/>
        <v>4039/4040</v>
      </c>
      <c r="L63" s="175" t="str">
        <f>VLOOKUP(A63,'Trips&amp;Operators'!$C$1:$G$99911,5,FALSE)</f>
        <v>GEBRETEKLE DAGNEW</v>
      </c>
      <c r="M63" s="6">
        <f t="shared" si="1"/>
        <v>2.8900462966703344E-2</v>
      </c>
      <c r="N63" s="7">
        <f t="shared" si="24"/>
        <v>41.616666672052816</v>
      </c>
      <c r="O63" s="7"/>
      <c r="P63" s="7"/>
      <c r="Q63" s="22"/>
      <c r="R63" s="166"/>
      <c r="S63" s="228">
        <f t="shared" si="25"/>
        <v>1</v>
      </c>
      <c r="T63" s="166" t="str">
        <f t="shared" si="4"/>
        <v>Southbound</v>
      </c>
      <c r="U63" s="21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4" t="str">
        <f t="shared" si="5"/>
        <v>https://d0f6bd738d7f1b3e5a7ca70fe4ff75f0.us-east-1.aws.found.io/app/kibana#/discover/Steve-Slow-Train-Analysis-(2080s-and-2083s)?_g=(refreshInterval:(display:Off,pause:!f,section:0,value:0),time:(from:'2017-09-30T09:23:23-0600',mode:absolute,to:'2017-09-30T12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3" s="215" t="str">
        <f>IF(AA63&lt;VLOOKUP(AG63,Variables!$AC$3:$AD$8,2,FALSE),"Y","N")</f>
        <v>N</v>
      </c>
      <c r="X63" s="215">
        <f t="shared" si="6"/>
        <v>1</v>
      </c>
      <c r="Y63" s="215">
        <f t="shared" si="26"/>
        <v>23.296500000000002</v>
      </c>
      <c r="Z63" s="215">
        <f t="shared" si="27"/>
        <v>1.49E-2</v>
      </c>
      <c r="AA63" s="215">
        <f t="shared" si="9"/>
        <v>23.281600000000001</v>
      </c>
      <c r="AB63" s="216" t="e">
        <f>VLOOKUP(A63,Enforcements!$C$7:$K$11,8,0)</f>
        <v>#N/A</v>
      </c>
      <c r="AC63" s="216" t="e">
        <f>VLOOKUP(A63,Enforcements!$C$7:$E$11,3,0)</f>
        <v>#N/A</v>
      </c>
      <c r="AD63" s="217">
        <f t="shared" si="10"/>
        <v>150</v>
      </c>
      <c r="AE63" s="218" t="str">
        <f t="shared" si="11"/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63" s="68" t="str">
        <f t="shared" si="12"/>
        <v>"C:\Program Files (x86)\AstroGrep\AstroGrep.exe" /e /r /s /spath="%USERPROFILE%\AppData\Local\Temp\OnboardLogs" /stypes="app*4039*20170930*" /stext=" 17:.+((SYSTEM_STATE.+slice.+state.+changed )|(ment ac)|(multiple cpu faults)|(system.+state.+changed )|(\[timeout)|(PRM\|1\|D)|(kpr)|(kdp)|(train st.+moving)|(\|lc)|(penalty))"</v>
      </c>
      <c r="AG63" s="172" t="str">
        <f t="shared" si="13"/>
        <v>EC</v>
      </c>
      <c r="AH63" s="70" t="str">
        <f t="shared" si="19"/>
        <v>"%USERPROFILE%\Documents\GitHub\eaglep3\Utilities\RefineRTDCRunTimes.py" --tripid 150-30 --locoid 4039 --swversion DE.1.0.9.0 --startMP 204:232965 --initTime 2017-09-30T10:23:23 --startdatetime 2017-09-30T10:42:21 --delay 52 --endMP 204:149 --enddatetime 2017-09-30T11:23:58 --enforcementcount 0 &gt;&gt;c:\users\stu\Documents\GitHub\eaglep3-reporting\EC\2017-09-30-refined-times.txt</v>
      </c>
      <c r="AI63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{"issue":{"subject":"","project_id":79,"tracker_id":40,"status_id":1,"priority_id":2,"assigned_to_id":338,"start_date":"2017-09-30","description":"","custom_fields":[{"id":1,"name":"Subdivision","value":"EC"},{"id":4,"name":"Milepost","value":"0.0149"},{"id":17,"name":"Train ID","value":"150-30"},{"id":16,"name":"Locomotive ID","value":"4039"},{"id":130,"name":"Impact","value":""},{"id":150,"name":"Time of Event (Mountain Time)","value":"11:23:58"},{"id":151,"name":"Denver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34" t="str">
        <f t="shared" si="21"/>
        <v>start /low /b %USERPROFILE%\Documents\GitHub\eaglep3\Utilities\DownloadLogsFromS3.py --loco 4039 --day 2017-09-30</v>
      </c>
      <c r="AN63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17:23:58"},{"id":29,"name":"Sharepoint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0" t="str">
        <f t="shared" si="23"/>
        <v>https://d0f6bd738d7f1b3e5a7ca70fe4ff75f0.us-east-1.aws.found.io/app/kibana#/discover/Steve-Slow-Train-Analysis-(2080s-and-2083s)?_g=(refreshInterval:(display:Off,pause:!f,section:0,value:0),time:(from:'2017-09-30T09:23:23-0600',mode:absolute,to:'2017-09-30T12:23:58-0600'))&amp;_a=(columns:!('Message%20ID',Summary),filters:!(),index:'emp_*',interval:auto,query:(query_string:(analyze_wildcard:!t,query:'%22rtdc.l.rtdc.4039%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700</v>
      </c>
      <c r="B64" s="7">
        <v>4056</v>
      </c>
      <c r="C64" s="21" t="s">
        <v>195</v>
      </c>
      <c r="D64" s="21" t="s">
        <v>370</v>
      </c>
      <c r="E64" s="13">
        <v>43008.413518518515</v>
      </c>
      <c r="F64" s="13">
        <v>43008.416828703703</v>
      </c>
      <c r="G64" s="7">
        <v>76</v>
      </c>
      <c r="H64" s="21" t="s">
        <v>471</v>
      </c>
      <c r="I64" s="13">
        <v>43008.441458333335</v>
      </c>
      <c r="J64" s="7">
        <v>0</v>
      </c>
      <c r="K64" s="81" t="str">
        <f t="shared" si="0"/>
        <v>4055/4056</v>
      </c>
      <c r="L64" s="175" t="str">
        <f>VLOOKUP(A64,'Trips&amp;Operators'!$C$1:$G$99911,5,FALSE)</f>
        <v>LALONDE GREGORY</v>
      </c>
      <c r="M64" s="6">
        <f t="shared" si="1"/>
        <v>2.4629629631817807E-2</v>
      </c>
      <c r="N64" s="7">
        <f t="shared" si="24"/>
        <v>35.466666669817641</v>
      </c>
      <c r="O64" s="7"/>
      <c r="P64" s="7"/>
      <c r="Q64" s="22"/>
      <c r="R64" s="166"/>
      <c r="S64" s="228">
        <f t="shared" si="25"/>
        <v>1</v>
      </c>
      <c r="T64" s="166" t="str">
        <f t="shared" si="4"/>
        <v>NorthBound</v>
      </c>
      <c r="U64" s="21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4" t="str">
        <f t="shared" si="5"/>
        <v>https://d0f6bd738d7f1b3e5a7ca70fe4ff75f0.us-east-1.aws.found.io/app/kibana#/discover/Steve-Slow-Train-Analysis-(2080s-and-2083s)?_g=(refreshInterval:(display:Off,pause:!f,section:0,value:0),time:(from:'2017-09-30T08:55:28-0600',mode:absolute,to:'2017-09-30T11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4" s="215" t="str">
        <f>IF(AA64&lt;VLOOKUP(AG64,Variables!$AC$3:$AD$8,2,FALSE),"Y","N")</f>
        <v>N</v>
      </c>
      <c r="X64" s="215">
        <f t="shared" si="6"/>
        <v>1</v>
      </c>
      <c r="Y64" s="215">
        <f t="shared" si="26"/>
        <v>4.5999999999999999E-2</v>
      </c>
      <c r="Z64" s="215">
        <f t="shared" si="27"/>
        <v>23.332899999999999</v>
      </c>
      <c r="AA64" s="215">
        <f t="shared" si="9"/>
        <v>23.286899999999999</v>
      </c>
      <c r="AB64" s="216" t="e">
        <f>VLOOKUP(A64,Enforcements!$C$7:$K$11,8,0)</f>
        <v>#N/A</v>
      </c>
      <c r="AC64" s="216" t="e">
        <f>VLOOKUP(A64,Enforcements!$C$7:$E$11,3,0)</f>
        <v>#N/A</v>
      </c>
      <c r="AD64" s="217">
        <f t="shared" si="10"/>
        <v>151</v>
      </c>
      <c r="AE64" s="218" t="str">
        <f t="shared" si="11"/>
        <v>aws s3 cp s3://rtdc.mdm.uploadarchive.raw/RTDC4056/ "%USERPROFILE%\AppData\Local\Temp\OnboardLogs"\RTDC4056\2017-09-30 --exclude "*" --recursive --include "*20170930*" &amp; "%USERPROFILE%\Documents\GitHub\mrs-test-scripts\Headless Mode &amp; Sideloading\WalkAndUnGZ.bat" "%USERPROFILE%\AppData\Local\Temp\OnboardLogs"\RTDC4056\2017-09-30 &amp; aws s3 cp s3://rtdc.mdm.uploadarchive.raw/RTDC4056/ "%USERPROFILE%\AppData\Local\Temp\OnboardLogs"\RTDC4056\2017-10-01 --exclude "*" --recursive --include "*20171001*" &amp; "%USERPROFILE%\Documents\GitHub\mrs-test-scripts\Headless Mode &amp; Sideloading\WalkAndUnGZ.bat" "%USERPROFILE%\AppData\Local\Temp\OnboardLogs"\RTDC4056\2017-10-01</v>
      </c>
      <c r="AF64" s="68" t="str">
        <f t="shared" si="12"/>
        <v>"C:\Program Files (x86)\AstroGrep\AstroGrep.exe" /e /r /s /spath="%USERPROFILE%\AppData\Local\Temp\OnboardLogs" /stypes="app*4056*20170930*" /stext=" 16:.+((SYSTEM_STATE.+slice.+state.+changed )|(ment ac)|(multiple cpu faults)|(system.+state.+changed )|(\[timeout)|(PRM\|1\|D)|(kpr)|(kdp)|(train st.+moving)|(\|lc)|(penalty))"</v>
      </c>
      <c r="AG64" s="172" t="str">
        <f t="shared" si="13"/>
        <v>EC</v>
      </c>
      <c r="AH64" s="70" t="str">
        <f t="shared" si="19"/>
        <v>"%USERPROFILE%\Documents\GitHub\eaglep3\Utilities\RefineRTDCRunTimes.py" --tripid 151-30 --locoid 4056 --swversion DE.1.0.9.0 --startMP 204:460 --initTime 2017-09-30T09:55:28 --startdatetime 2017-09-30T10:00:14 --delay 76 --endMP 204:233329 --enddatetime 2017-09-30T10:35:42 --enforcementcount 0 &gt;&gt;c:\users\stu\Documents\GitHub\eaglep3-reporting\EC\2017-09-30-refined-times.txt</v>
      </c>
      <c r="AI64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{"issue":{"subject":"","project_id":79,"tracker_id":40,"status_id":1,"priority_id":2,"assigned_to_id":338,"start_date":"2017-09-30","description":"","custom_fields":[{"id":1,"name":"Subdivision","value":"EC"},{"id":4,"name":"Milepost","value":"23.3329"},{"id":17,"name":"Train ID","value":"151-30"},{"id":16,"name":"Locomotive ID","value":"4056"},{"id":130,"name":"Impact","value":""},{"id":150,"name":"Time of Event (Mountain Time)","value":"10:35:42"},{"id":151,"name":"Denver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34" t="str">
        <f t="shared" si="21"/>
        <v>start /low /b %USERPROFILE%\Documents\GitHub\eaglep3\Utilities\DownloadLogsFromS3.py --loco 4056 --day 2017-09-30</v>
      </c>
      <c r="AN64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0" t="str">
        <f t="shared" si="23"/>
        <v>https://d0f6bd738d7f1b3e5a7ca70fe4ff75f0.us-east-1.aws.found.io/app/kibana#/discover/Steve-Slow-Train-Analysis-(2080s-and-2083s)?_g=(refreshInterval:(display:Off,pause:!f,section:0,value:0),time:(from:'2017-09-30T08:55:28-0600',mode:absolute,to:'2017-09-30T11:35:42-0600'))&amp;_a=(columns:!('Message%20ID',Summary),filters:!(),index:'emp_*',interval:auto,query:(query_string:(analyze_wildcard:!t,query:'%22rtdc.l.rtdc.4056%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706</v>
      </c>
      <c r="B65" s="7">
        <v>4055</v>
      </c>
      <c r="C65" s="21" t="s">
        <v>195</v>
      </c>
      <c r="D65" s="21" t="s">
        <v>384</v>
      </c>
      <c r="E65" s="13">
        <v>43008.442511574074</v>
      </c>
      <c r="F65" s="13">
        <v>43008.456469907411</v>
      </c>
      <c r="G65" s="7">
        <v>74</v>
      </c>
      <c r="H65" s="21" t="s">
        <v>336</v>
      </c>
      <c r="I65" s="13">
        <v>43008.483310185184</v>
      </c>
      <c r="J65" s="7">
        <v>0</v>
      </c>
      <c r="K65" s="81" t="str">
        <f t="shared" si="0"/>
        <v>4055/4056</v>
      </c>
      <c r="L65" s="175" t="str">
        <f>VLOOKUP(A65,'Trips&amp;Operators'!$C$1:$G$99911,5,FALSE)</f>
        <v>LALONDE GREGORY</v>
      </c>
      <c r="M65" s="6">
        <f t="shared" si="1"/>
        <v>2.6840277772862464E-2</v>
      </c>
      <c r="N65" s="7">
        <f t="shared" si="24"/>
        <v>38.649999992921948</v>
      </c>
      <c r="O65" s="7"/>
      <c r="P65" s="7"/>
      <c r="Q65" s="22"/>
      <c r="R65" s="166"/>
      <c r="S65" s="228">
        <f t="shared" si="25"/>
        <v>1</v>
      </c>
      <c r="T65" s="166" t="str">
        <f t="shared" si="4"/>
        <v>Southbound</v>
      </c>
      <c r="U65" s="21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4" t="str">
        <f t="shared" si="5"/>
        <v>https://d0f6bd738d7f1b3e5a7ca70fe4ff75f0.us-east-1.aws.found.io/app/kibana#/discover/Steve-Slow-Train-Analysis-(2080s-and-2083s)?_g=(refreshInterval:(display:Off,pause:!f,section:0,value:0),time:(from:'2017-09-30T09:37:13-0600',mode:absolute,to:'2017-09-30T12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5" s="215" t="str">
        <f>IF(AA65&lt;VLOOKUP(AG65,Variables!$AC$3:$AD$8,2,FALSE),"Y","N")</f>
        <v>N</v>
      </c>
      <c r="X65" s="215">
        <f t="shared" si="6"/>
        <v>1</v>
      </c>
      <c r="Y65" s="215">
        <f t="shared" si="26"/>
        <v>23.299600000000002</v>
      </c>
      <c r="Z65" s="215">
        <f t="shared" si="27"/>
        <v>1.4999999999999999E-2</v>
      </c>
      <c r="AA65" s="215">
        <f t="shared" si="9"/>
        <v>23.284600000000001</v>
      </c>
      <c r="AB65" s="216" t="e">
        <f>VLOOKUP(A65,Enforcements!$C$7:$K$11,8,0)</f>
        <v>#N/A</v>
      </c>
      <c r="AC65" s="216" t="e">
        <f>VLOOKUP(A65,Enforcements!$C$7:$E$11,3,0)</f>
        <v>#N/A</v>
      </c>
      <c r="AD65" s="217">
        <f t="shared" si="10"/>
        <v>152</v>
      </c>
      <c r="AE65" s="218" t="str">
        <f t="shared" si="11"/>
        <v>aws s3 cp s3://rtdc.mdm.uploadarchive.raw/RTDC4055/ "%USERPROFILE%\AppData\Local\Temp\OnboardLogs"\RTDC4055\2017-09-30 --exclude "*" --recursive --include "*20170930*" &amp; "%USERPROFILE%\Documents\GitHub\mrs-test-scripts\Headless Mode &amp; Sideloading\WalkAndUnGZ.bat" "%USERPROFILE%\AppData\Local\Temp\OnboardLogs"\RTDC4055\2017-09-30 &amp; aws s3 cp s3://rtdc.mdm.uploadarchive.raw/RTDC4055/ "%USERPROFILE%\AppData\Local\Temp\OnboardLogs"\RTDC4055\2017-10-01 --exclude "*" --recursive --include "*20171001*" &amp; "%USERPROFILE%\Documents\GitHub\mrs-test-scripts\Headless Mode &amp; Sideloading\WalkAndUnGZ.bat" "%USERPROFILE%\AppData\Local\Temp\OnboardLogs"\RTDC4055\2017-10-01</v>
      </c>
      <c r="AF65" s="68" t="str">
        <f t="shared" si="12"/>
        <v>"C:\Program Files (x86)\AstroGrep\AstroGrep.exe" /e /r /s /spath="%USERPROFILE%\AppData\Local\Temp\OnboardLogs" /stypes="app*4055*20170930*" /stext=" 17:.+((SYSTEM_STATE.+slice.+state.+changed )|(ment ac)|(multiple cpu faults)|(system.+state.+changed )|(\[timeout)|(PRM\|1\|D)|(kpr)|(kdp)|(train st.+moving)|(\|lc)|(penalty))"</v>
      </c>
      <c r="AG65" s="172" t="str">
        <f t="shared" si="13"/>
        <v>EC</v>
      </c>
      <c r="AH65" s="70" t="str">
        <f t="shared" si="19"/>
        <v>"%USERPROFILE%\Documents\GitHub\eaglep3\Utilities\RefineRTDCRunTimes.py" --tripid 152-30 --locoid 4055 --swversion DE.1.0.9.0 --startMP 204:232996 --initTime 2017-09-30T10:37:13 --startdatetime 2017-09-30T10:57:19 --delay 74 --endMP 204:150 --enddatetime 2017-09-30T11:35:58 --enforcementcount 0 &gt;&gt;c:\users\stu\Documents\GitHub\eaglep3-reporting\EC\2017-09-30-refined-times.txt</v>
      </c>
      <c r="AI65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{"issue":{"subject":"","project_id":79,"tracker_id":40,"status_id":1,"priority_id":2,"assigned_to_id":338,"start_date":"2017-09-30","description":"","custom_fields":[{"id":1,"name":"Subdivision","value":"EC"},{"id":4,"name":"Milepost","value":"0.015"},{"id":17,"name":"Train ID","value":"152-30"},{"id":16,"name":"Locomotive ID","value":"4055"},{"id":130,"name":"Impact","value":""},{"id":150,"name":"Time of Event (Mountain Time)","value":"11:35:58"},{"id":151,"name":"Denver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34" t="str">
        <f t="shared" si="21"/>
        <v>start /low /b %USERPROFILE%\Documents\GitHub\eaglep3\Utilities\DownloadLogsFromS3.py --loco 4055 --day 2017-09-30</v>
      </c>
      <c r="AN65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17:35:58"},{"id":29,"name":"Sharepoint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0" t="str">
        <f t="shared" si="23"/>
        <v>https://d0f6bd738d7f1b3e5a7ca70fe4ff75f0.us-east-1.aws.found.io/app/kibana#/discover/Steve-Slow-Train-Analysis-(2080s-and-2083s)?_g=(refreshInterval:(display:Off,pause:!f,section:0,value:0),time:(from:'2017-09-30T09:37:13-0600',mode:absolute,to:'2017-09-30T12:35:58-0600'))&amp;_a=(columns:!('Message%20ID',Summary),filters:!(),index:'emp_*',interval:auto,query:(query_string:(analyze_wildcard:!t,query:'%22rtdc.l.rtdc.4055%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702</v>
      </c>
      <c r="B66" s="7">
        <v>4028</v>
      </c>
      <c r="C66" s="21" t="s">
        <v>195</v>
      </c>
      <c r="D66" s="21" t="s">
        <v>454</v>
      </c>
      <c r="E66" s="13">
        <v>43008.422696759262</v>
      </c>
      <c r="F66" s="13">
        <v>43008.427245370367</v>
      </c>
      <c r="G66" s="7">
        <v>85</v>
      </c>
      <c r="H66" s="21" t="s">
        <v>386</v>
      </c>
      <c r="I66" s="13">
        <v>43008.452268518522</v>
      </c>
      <c r="J66" s="7">
        <v>0</v>
      </c>
      <c r="K66" s="81" t="str">
        <f t="shared" si="0"/>
        <v>4027/4028</v>
      </c>
      <c r="L66" s="175" t="str">
        <f>VLOOKUP(A66,'Trips&amp;Operators'!$C$1:$G$99911,5,FALSE)</f>
        <v>BADERTSCHER DIANE</v>
      </c>
      <c r="M66" s="6">
        <f t="shared" si="1"/>
        <v>2.5023148155014496E-2</v>
      </c>
      <c r="N66" s="7">
        <f t="shared" si="24"/>
        <v>36.033333343220875</v>
      </c>
      <c r="O66" s="7"/>
      <c r="P66" s="7"/>
      <c r="Q66" s="22"/>
      <c r="R66" s="166"/>
      <c r="S66" s="228">
        <f t="shared" si="25"/>
        <v>1</v>
      </c>
      <c r="T66" s="166" t="str">
        <f t="shared" si="4"/>
        <v>NorthBound</v>
      </c>
      <c r="U66" s="21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4" t="str">
        <f t="shared" si="5"/>
        <v>https://d0f6bd738d7f1b3e5a7ca70fe4ff75f0.us-east-1.aws.found.io/app/kibana#/discover/Steve-Slow-Train-Analysis-(2080s-and-2083s)?_g=(refreshInterval:(display:Off,pause:!f,section:0,value:0),time:(from:'2017-09-30T09:08:41-0600',mode:absolute,to:'2017-09-30T11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215" t="str">
        <f>IF(AA66&lt;VLOOKUP(AG66,Variables!$AC$3:$AD$8,2,FALSE),"Y","N")</f>
        <v>N</v>
      </c>
      <c r="X66" s="215">
        <f t="shared" si="6"/>
        <v>1</v>
      </c>
      <c r="Y66" s="215">
        <f t="shared" si="26"/>
        <v>4.4400000000000002E-2</v>
      </c>
      <c r="Z66" s="215">
        <f t="shared" si="27"/>
        <v>23.331199999999999</v>
      </c>
      <c r="AA66" s="215">
        <f t="shared" si="9"/>
        <v>23.286799999999999</v>
      </c>
      <c r="AB66" s="216" t="e">
        <f>VLOOKUP(A66,Enforcements!$C$7:$K$11,8,0)</f>
        <v>#N/A</v>
      </c>
      <c r="AC66" s="216" t="e">
        <f>VLOOKUP(A66,Enforcements!$C$7:$E$11,3,0)</f>
        <v>#N/A</v>
      </c>
      <c r="AD66" s="217">
        <f t="shared" si="10"/>
        <v>153</v>
      </c>
      <c r="AE66" s="218" t="str">
        <f t="shared" si="11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66" s="68" t="str">
        <f t="shared" si="12"/>
        <v>"C:\Program Files (x86)\AstroGrep\AstroGrep.exe" /e /r /s /spath="%USERPROFILE%\AppData\Local\Temp\OnboardLogs" /stypes="app*4028*20170930*" /stext=" 16:.+((SYSTEM_STATE.+slice.+state.+changed )|(ment ac)|(multiple cpu faults)|(system.+state.+changed )|(\[timeout)|(PRM\|1\|D)|(kpr)|(kdp)|(train st.+moving)|(\|lc)|(penalty))"</v>
      </c>
      <c r="AG66" s="172" t="str">
        <f t="shared" si="13"/>
        <v>EC</v>
      </c>
      <c r="AH66" s="70" t="str">
        <f t="shared" si="19"/>
        <v>"%USERPROFILE%\Documents\GitHub\eaglep3\Utilities\RefineRTDCRunTimes.py" --tripid 153-30 --locoid 4028 --swversion DE.1.0.9.0 --startMP 204:444 --initTime 2017-09-30T10:08:41 --startdatetime 2017-09-30T10:15:14 --delay 85 --endMP 204:233312 --enddatetime 2017-09-30T10:51:16 --enforcementcount 0 &gt;&gt;c:\users\stu\Documents\GitHub\eaglep3-reporting\EC\2017-09-30-refined-times.txt</v>
      </c>
      <c r="AI66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{"issue":{"subject":"","project_id":79,"tracker_id":40,"status_id":1,"priority_id":2,"assigned_to_id":338,"start_date":"2017-09-30","description":"","custom_fields":[{"id":1,"name":"Subdivision","value":"EC"},{"id":4,"name":"Milepost","value":"23.3312"},{"id":17,"name":"Train ID","value":"153-30"},{"id":16,"name":"Locomotive ID","value":"4028"},{"id":130,"name":"Impact","value":""},{"id":150,"name":"Time of Event (Mountain Time)","value":"10:51:16"},{"id":151,"name":"Denver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34" t="str">
        <f t="shared" si="21"/>
        <v>start /low /b %USERPROFILE%\Documents\GitHub\eaglep3\Utilities\DownloadLogsFromS3.py --loco 4028 --day 2017-09-30</v>
      </c>
      <c r="AN66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16:51:16"},{"id":29,"name":"Sharepoint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0" t="str">
        <f t="shared" si="23"/>
        <v>https://d0f6bd738d7f1b3e5a7ca70fe4ff75f0.us-east-1.aws.found.io/app/kibana#/discover/Steve-Slow-Train-Analysis-(2080s-and-2083s)?_g=(refreshInterval:(display:Off,pause:!f,section:0,value:0),time:(from:'2017-09-30T09:08:41-0600',mode:absolute,to:'2017-09-30T11:51:16-0600'))&amp;_a=(columns:!('Message%20ID',Summary),filters:!(),index:'emp_*',interval:auto,query:(query_string:(analyze_wildcard:!t,query:'%22rtdc.l.rtdc.4028%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709</v>
      </c>
      <c r="B67" s="7">
        <v>4027</v>
      </c>
      <c r="C67" s="21" t="s">
        <v>195</v>
      </c>
      <c r="D67" s="21" t="s">
        <v>388</v>
      </c>
      <c r="E67" s="13">
        <v>43008.46130787037</v>
      </c>
      <c r="F67" s="13">
        <v>43008.466828703706</v>
      </c>
      <c r="G67" s="7">
        <v>71</v>
      </c>
      <c r="H67" s="21" t="s">
        <v>442</v>
      </c>
      <c r="I67" s="13">
        <v>43008.496099537035</v>
      </c>
      <c r="J67" s="7">
        <v>0</v>
      </c>
      <c r="K67" s="81" t="str">
        <f t="shared" si="0"/>
        <v>4027/4028</v>
      </c>
      <c r="L67" s="175" t="str">
        <f>VLOOKUP(A67,'Trips&amp;Operators'!$C$1:$G$99911,5,FALSE)</f>
        <v>BADERTSCHER DIANE</v>
      </c>
      <c r="M67" s="6">
        <f t="shared" si="1"/>
        <v>2.9270833329064772E-2</v>
      </c>
      <c r="N67" s="7">
        <f t="shared" si="24"/>
        <v>42.149999993853271</v>
      </c>
      <c r="O67" s="7"/>
      <c r="P67" s="7"/>
      <c r="Q67" s="22"/>
      <c r="R67" s="166"/>
      <c r="S67" s="228">
        <f t="shared" si="25"/>
        <v>1</v>
      </c>
      <c r="T67" s="166" t="str">
        <f t="shared" si="4"/>
        <v>Southbound</v>
      </c>
      <c r="U67" s="21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4" t="str">
        <f t="shared" si="5"/>
        <v>https://d0f6bd738d7f1b3e5a7ca70fe4ff75f0.us-east-1.aws.found.io/app/kibana#/discover/Steve-Slow-Train-Analysis-(2080s-and-2083s)?_g=(refreshInterval:(display:Off,pause:!f,section:0,value:0),time:(from:'2017-09-30T10:04:17-0600',mode:absolute,to:'2017-09-30T12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215" t="str">
        <f>IF(AA67&lt;VLOOKUP(AG67,Variables!$AC$3:$AD$8,2,FALSE),"Y","N")</f>
        <v>N</v>
      </c>
      <c r="X67" s="215">
        <f t="shared" si="6"/>
        <v>1</v>
      </c>
      <c r="Y67" s="215">
        <f t="shared" si="26"/>
        <v>23.299800000000001</v>
      </c>
      <c r="Z67" s="215">
        <f t="shared" si="27"/>
        <v>1.34E-2</v>
      </c>
      <c r="AA67" s="215">
        <f t="shared" si="9"/>
        <v>23.2864</v>
      </c>
      <c r="AB67" s="216" t="e">
        <f>VLOOKUP(A67,Enforcements!$C$7:$K$11,8,0)</f>
        <v>#N/A</v>
      </c>
      <c r="AC67" s="216" t="e">
        <f>VLOOKUP(A67,Enforcements!$C$7:$E$11,3,0)</f>
        <v>#N/A</v>
      </c>
      <c r="AD67" s="217">
        <f t="shared" si="10"/>
        <v>154</v>
      </c>
      <c r="AE67" s="218" t="str">
        <f t="shared" si="11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67" s="68" t="str">
        <f t="shared" si="12"/>
        <v>"C:\Program Files (x86)\AstroGrep\AstroGrep.exe" /e /r /s /spath="%USERPROFILE%\AppData\Local\Temp\OnboardLogs" /stypes="app*4027*20170930*" /stext=" 17:.+((SYSTEM_STATE.+slice.+state.+changed )|(ment ac)|(multiple cpu faults)|(system.+state.+changed )|(\[timeout)|(PRM\|1\|D)|(kpr)|(kdp)|(train st.+moving)|(\|lc)|(penalty))"</v>
      </c>
      <c r="AG67" s="172" t="str">
        <f t="shared" si="13"/>
        <v>EC</v>
      </c>
      <c r="AH67" s="70" t="str">
        <f t="shared" si="19"/>
        <v>"%USERPROFILE%\Documents\GitHub\eaglep3\Utilities\RefineRTDCRunTimes.py" --tripid 154-30 --locoid 4027 --swversion DE.1.0.9.0 --startMP 204:232998 --initTime 2017-09-30T11:04:17 --startdatetime 2017-09-30T11:12:14 --delay 71 --endMP 204:134 --enddatetime 2017-09-30T11:54:23 --enforcementcount 0 &gt;&gt;c:\users\stu\Documents\GitHub\eaglep3-reporting\EC\2017-09-30-refined-times.txt</v>
      </c>
      <c r="AI67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{"issue":{"subject":"","project_id":79,"tracker_id":40,"status_id":1,"priority_id":2,"assigned_to_id":338,"start_date":"2017-09-30","description":"","custom_fields":[{"id":1,"name":"Subdivision","value":"EC"},{"id":4,"name":"Milepost","value":"0.0134"},{"id":17,"name":"Train ID","value":"154-30"},{"id":16,"name":"Locomotive ID","value":"4027"},{"id":130,"name":"Impact","value":""},{"id":150,"name":"Time of Event (Mountain Time)","value":"11:54:23"},{"id":151,"name":"Denver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34" t="str">
        <f t="shared" si="21"/>
        <v>start /low /b %USERPROFILE%\Documents\GitHub\eaglep3\Utilities\DownloadLogsFromS3.py --loco 4027 --day 2017-09-30</v>
      </c>
      <c r="AN67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17:54:23"},{"id":29,"name":"Sharepoint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0" t="str">
        <f t="shared" si="23"/>
        <v>https://d0f6bd738d7f1b3e5a7ca70fe4ff75f0.us-east-1.aws.found.io/app/kibana#/discover/Steve-Slow-Train-Analysis-(2080s-and-2083s)?_g=(refreshInterval:(display:Off,pause:!f,section:0,value:0),time:(from:'2017-09-30T10:04:17-0600',mode:absolute,to:'2017-09-30T12:54:23-0600'))&amp;_a=(columns:!('Message%20ID',Summary),filters:!(),index:'emp_*',interval:auto,query:(query_string:(analyze_wildcard:!t,query:'%22rtdc.l.rtdc.4027%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704</v>
      </c>
      <c r="B68" s="7">
        <v>4046</v>
      </c>
      <c r="C68" s="21" t="s">
        <v>195</v>
      </c>
      <c r="D68" s="21" t="s">
        <v>392</v>
      </c>
      <c r="E68" s="13">
        <v>43008.435069444444</v>
      </c>
      <c r="F68" s="13">
        <v>43008.437754629631</v>
      </c>
      <c r="G68" s="7">
        <v>79</v>
      </c>
      <c r="H68" s="21" t="s">
        <v>550</v>
      </c>
      <c r="I68" s="13">
        <v>43008.462187500001</v>
      </c>
      <c r="J68" s="7">
        <v>0</v>
      </c>
      <c r="K68" s="81" t="str">
        <f t="shared" si="0"/>
        <v>4045/4046</v>
      </c>
      <c r="L68" s="175" t="str">
        <f>VLOOKUP(A68,'Trips&amp;Operators'!$C$1:$G$99911,5,FALSE)</f>
        <v>BIRENBAUM THOMAS</v>
      </c>
      <c r="M68" s="6">
        <f t="shared" si="1"/>
        <v>2.4432870370219462E-2</v>
      </c>
      <c r="N68" s="7">
        <f t="shared" si="24"/>
        <v>35.183333333116025</v>
      </c>
      <c r="O68" s="7"/>
      <c r="P68" s="7"/>
      <c r="Q68" s="22"/>
      <c r="R68" s="166"/>
      <c r="S68" s="228">
        <f t="shared" si="25"/>
        <v>1</v>
      </c>
      <c r="T68" s="166" t="str">
        <f t="shared" si="4"/>
        <v>NorthBound</v>
      </c>
      <c r="U68" s="21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4" t="str">
        <f t="shared" si="5"/>
        <v>https://d0f6bd738d7f1b3e5a7ca70fe4ff75f0.us-east-1.aws.found.io/app/kibana#/discover/Steve-Slow-Train-Analysis-(2080s-and-2083s)?_g=(refreshInterval:(display:Off,pause:!f,section:0,value:0),time:(from:'2017-09-30T09:26:30-0600',mode:absolute,to:'2017-09-30T12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8" s="215" t="str">
        <f>IF(AA68&lt;VLOOKUP(AG68,Variables!$AC$3:$AD$8,2,FALSE),"Y","N")</f>
        <v>N</v>
      </c>
      <c r="X68" s="215">
        <f t="shared" si="6"/>
        <v>1</v>
      </c>
      <c r="Y68" s="215">
        <f t="shared" si="26"/>
        <v>4.6600000000000003E-2</v>
      </c>
      <c r="Z68" s="215">
        <f t="shared" si="27"/>
        <v>23.331399999999999</v>
      </c>
      <c r="AA68" s="215">
        <f t="shared" si="9"/>
        <v>23.284799999999997</v>
      </c>
      <c r="AB68" s="216" t="e">
        <f>VLOOKUP(A68,Enforcements!$C$7:$K$11,8,0)</f>
        <v>#N/A</v>
      </c>
      <c r="AC68" s="216" t="e">
        <f>VLOOKUP(A68,Enforcements!$C$7:$E$11,3,0)</f>
        <v>#N/A</v>
      </c>
      <c r="AD68" s="217">
        <f t="shared" si="10"/>
        <v>155</v>
      </c>
      <c r="AE68" s="218" t="str">
        <f t="shared" si="11"/>
        <v>aws s3 cp s3://rtdc.mdm.uploadarchive.raw/RTDC4046/ "%USERPROFILE%\AppData\Local\Temp\OnboardLogs"\RTDC4046\2017-09-30 --exclude "*" --recursive --include "*20170930*" &amp; "%USERPROFILE%\Documents\GitHub\mrs-test-scripts\Headless Mode &amp; Sideloading\WalkAndUnGZ.bat" "%USERPROFILE%\AppData\Local\Temp\OnboardLogs"\RTDC4046\2017-09-30 &amp; aws s3 cp s3://rtdc.mdm.uploadarchive.raw/RTDC4046/ "%USERPROFILE%\AppData\Local\Temp\OnboardLogs"\RTDC4046\2017-10-01 --exclude "*" --recursive --include "*20171001*" &amp; "%USERPROFILE%\Documents\GitHub\mrs-test-scripts\Headless Mode &amp; Sideloading\WalkAndUnGZ.bat" "%USERPROFILE%\AppData\Local\Temp\OnboardLogs"\RTDC4046\2017-10-01</v>
      </c>
      <c r="AF68" s="68" t="str">
        <f t="shared" si="12"/>
        <v>"C:\Program Files (x86)\AstroGrep\AstroGrep.exe" /e /r /s /spath="%USERPROFILE%\AppData\Local\Temp\OnboardLogs" /stypes="app*4046*20170930*" /stext=" 17:.+((SYSTEM_STATE.+slice.+state.+changed )|(ment ac)|(multiple cpu faults)|(system.+state.+changed )|(\[timeout)|(PRM\|1\|D)|(kpr)|(kdp)|(train st.+moving)|(\|lc)|(penalty))"</v>
      </c>
      <c r="AG68" s="172" t="str">
        <f t="shared" si="13"/>
        <v>EC</v>
      </c>
      <c r="AH68" s="70" t="str">
        <f t="shared" si="19"/>
        <v>"%USERPROFILE%\Documents\GitHub\eaglep3\Utilities\RefineRTDCRunTimes.py" --tripid 155-30 --locoid 4046 --swversion DE.1.0.9.0 --startMP 204:466 --initTime 2017-09-30T10:26:30 --startdatetime 2017-09-30T10:30:22 --delay 79 --endMP 204:233314 --enddatetime 2017-09-30T11:05:33 --enforcementcount 0 &gt;&gt;c:\users\stu\Documents\GitHub\eaglep3-reporting\EC\2017-09-30-refined-times.txt</v>
      </c>
      <c r="AI68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{"issue":{"subject":"","project_id":79,"tracker_id":40,"status_id":1,"priority_id":2,"assigned_to_id":338,"start_date":"2017-09-30","description":"","custom_fields":[{"id":1,"name":"Subdivision","value":"EC"},{"id":4,"name":"Milepost","value":"23.3314"},{"id":17,"name":"Train ID","value":"155-30"},{"id":16,"name":"Locomotive ID","value":"4046"},{"id":130,"name":"Impact","value":""},{"id":150,"name":"Time of Event (Mountain Time)","value":"11:05:33"},{"id":151,"name":"Denver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34" t="str">
        <f t="shared" si="21"/>
        <v>start /low /b %USERPROFILE%\Documents\GitHub\eaglep3\Utilities\DownloadLogsFromS3.py --loco 4046 --day 2017-09-30</v>
      </c>
      <c r="AN68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17:05:33"},{"id":29,"name":"Sharepoint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0" t="str">
        <f t="shared" si="23"/>
        <v>https://d0f6bd738d7f1b3e5a7ca70fe4ff75f0.us-east-1.aws.found.io/app/kibana#/discover/Steve-Slow-Train-Analysis-(2080s-and-2083s)?_g=(refreshInterval:(display:Off,pause:!f,section:0,value:0),time:(from:'2017-09-30T09:26:30-0600',mode:absolute,to:'2017-09-30T12:05:33-0600'))&amp;_a=(columns:!('Message%20ID',Summary),filters:!(),index:'emp_*',interval:auto,query:(query_string:(analyze_wildcard:!t,query:'%22rtdc.l.rtdc.4046%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710</v>
      </c>
      <c r="B69" s="7">
        <v>4045</v>
      </c>
      <c r="C69" s="21" t="s">
        <v>195</v>
      </c>
      <c r="D69" s="21" t="s">
        <v>388</v>
      </c>
      <c r="E69" s="13">
        <v>43008.46365740741</v>
      </c>
      <c r="F69" s="13">
        <v>43008.477361111109</v>
      </c>
      <c r="G69" s="7">
        <v>49</v>
      </c>
      <c r="H69" s="21" t="s">
        <v>851</v>
      </c>
      <c r="I69" s="13">
        <v>43008.504571759258</v>
      </c>
      <c r="J69" s="7">
        <v>0</v>
      </c>
      <c r="K69" s="81" t="str">
        <f t="shared" si="0"/>
        <v>4045/4046</v>
      </c>
      <c r="L69" s="175" t="str">
        <f>VLOOKUP(A69,'Trips&amp;Operators'!$C$1:$G$99911,5,FALSE)</f>
        <v>BIRENBAUM THOMAS</v>
      </c>
      <c r="M69" s="6">
        <f t="shared" si="1"/>
        <v>2.7210648149775807E-2</v>
      </c>
      <c r="N69" s="7">
        <f t="shared" si="24"/>
        <v>39.183333335677162</v>
      </c>
      <c r="O69" s="7"/>
      <c r="P69" s="7"/>
      <c r="Q69" s="22"/>
      <c r="R69" s="166"/>
      <c r="S69" s="228">
        <f t="shared" si="25"/>
        <v>1</v>
      </c>
      <c r="T69" s="166" t="str">
        <f t="shared" si="4"/>
        <v>Southbound</v>
      </c>
      <c r="U69" s="21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4" t="str">
        <f t="shared" si="5"/>
        <v>https://d0f6bd738d7f1b3e5a7ca70fe4ff75f0.us-east-1.aws.found.io/app/kibana#/discover/Steve-Slow-Train-Analysis-(2080s-and-2083s)?_g=(refreshInterval:(display:Off,pause:!f,section:0,value:0),time:(from:'2017-09-30T10:07:40-0600',mode:absolute,to:'2017-09-30T13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9" s="215" t="str">
        <f>IF(AA69&lt;VLOOKUP(AG69,Variables!$AC$3:$AD$8,2,FALSE),"Y","N")</f>
        <v>N</v>
      </c>
      <c r="X69" s="215">
        <f t="shared" si="6"/>
        <v>1</v>
      </c>
      <c r="Y69" s="215">
        <f t="shared" si="26"/>
        <v>23.299800000000001</v>
      </c>
      <c r="Z69" s="215">
        <f t="shared" si="27"/>
        <v>1.2999999999999999E-2</v>
      </c>
      <c r="AA69" s="215">
        <f t="shared" si="9"/>
        <v>23.286799999999999</v>
      </c>
      <c r="AB69" s="216" t="e">
        <f>VLOOKUP(A69,Enforcements!$C$7:$K$11,8,0)</f>
        <v>#N/A</v>
      </c>
      <c r="AC69" s="216" t="e">
        <f>VLOOKUP(A69,Enforcements!$C$7:$E$11,3,0)</f>
        <v>#N/A</v>
      </c>
      <c r="AD69" s="217">
        <f t="shared" si="10"/>
        <v>156</v>
      </c>
      <c r="AE69" s="218" t="str">
        <f t="shared" si="11"/>
        <v>aws s3 cp s3://rtdc.mdm.uploadarchive.raw/RTDC4045/ "%USERPROFILE%\AppData\Local\Temp\OnboardLogs"\RTDC4045\2017-09-30 --exclude "*" --recursive --include "*20170930*" &amp; "%USERPROFILE%\Documents\GitHub\mrs-test-scripts\Headless Mode &amp; Sideloading\WalkAndUnGZ.bat" "%USERPROFILE%\AppData\Local\Temp\OnboardLogs"\RTDC4045\2017-09-30 &amp; aws s3 cp s3://rtdc.mdm.uploadarchive.raw/RTDC4045/ "%USERPROFILE%\AppData\Local\Temp\OnboardLogs"\RTDC4045\2017-10-01 --exclude "*" --recursive --include "*20171001*" &amp; "%USERPROFILE%\Documents\GitHub\mrs-test-scripts\Headless Mode &amp; Sideloading\WalkAndUnGZ.bat" "%USERPROFILE%\AppData\Local\Temp\OnboardLogs"\RTDC4045\2017-10-01</v>
      </c>
      <c r="AF69" s="68" t="str">
        <f t="shared" si="12"/>
        <v>"C:\Program Files (x86)\AstroGrep\AstroGrep.exe" /e /r /s /spath="%USERPROFILE%\AppData\Local\Temp\OnboardLogs" /stypes="app*4045*20170930*" /stext=" 18:.+((SYSTEM_STATE.+slice.+state.+changed )|(ment ac)|(multiple cpu faults)|(system.+state.+changed )|(\[timeout)|(PRM\|1\|D)|(kpr)|(kdp)|(train st.+moving)|(\|lc)|(penalty))"</v>
      </c>
      <c r="AG69" s="172" t="str">
        <f t="shared" si="13"/>
        <v>EC</v>
      </c>
      <c r="AH69" s="70" t="str">
        <f t="shared" si="19"/>
        <v>"%USERPROFILE%\Documents\GitHub\eaglep3\Utilities\RefineRTDCRunTimes.py" --tripid 156-30 --locoid 4045 --swversion DE.1.0.9.0 --startMP 204:232998 --initTime 2017-09-30T11:07:40 --startdatetime 2017-09-30T11:27:24 --delay 49 --endMP 204:130 --enddatetime 2017-09-30T12:06:35 --enforcementcount 0 &gt;&gt;c:\users\stu\Documents\GitHub\eaglep3-reporting\EC\2017-09-30-refined-times.txt</v>
      </c>
      <c r="AI69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{"issue":{"subject":"","project_id":79,"tracker_id":40,"status_id":1,"priority_id":2,"assigned_to_id":338,"start_date":"2017-09-30","description":"","custom_fields":[{"id":1,"name":"Subdivision","value":"EC"},{"id":4,"name":"Milepost","value":"0.013"},{"id":17,"name":"Train ID","value":"156-30"},{"id":16,"name":"Locomotive ID","value":"4045"},{"id":130,"name":"Impact","value":""},{"id":150,"name":"Time of Event (Mountain Time)","value":"12:06:35"},{"id":151,"name":"Denver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34" t="str">
        <f t="shared" si="21"/>
        <v>start /low /b %USERPROFILE%\Documents\GitHub\eaglep3\Utilities\DownloadLogsFromS3.py --loco 4045 --day 2017-09-30</v>
      </c>
      <c r="AN69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0" t="str">
        <f t="shared" si="23"/>
        <v>https://d0f6bd738d7f1b3e5a7ca70fe4ff75f0.us-east-1.aws.found.io/app/kibana#/discover/Steve-Slow-Train-Analysis-(2080s-and-2083s)?_g=(refreshInterval:(display:Off,pause:!f,section:0,value:0),time:(from:'2017-09-30T10:07:40-0600',mode:absolute,to:'2017-09-30T13:06:35-0600'))&amp;_a=(columns:!('Message%20ID',Summary),filters:!(),index:'emp_*',interval:auto,query:(query_string:(analyze_wildcard:!t,query:'%22rtdc.l.rtdc.4045%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595</v>
      </c>
      <c r="B70" s="7">
        <v>4010</v>
      </c>
      <c r="C70" s="21" t="s">
        <v>195</v>
      </c>
      <c r="D70" s="21" t="s">
        <v>346</v>
      </c>
      <c r="E70" s="13">
        <v>43008.443749999999</v>
      </c>
      <c r="F70" s="13">
        <v>43008.448125000003</v>
      </c>
      <c r="G70" s="7">
        <v>99</v>
      </c>
      <c r="H70" s="21" t="s">
        <v>554</v>
      </c>
      <c r="I70" s="13">
        <v>43008.475682870368</v>
      </c>
      <c r="J70" s="7">
        <v>0</v>
      </c>
      <c r="K70" s="81" t="str">
        <f t="shared" si="0"/>
        <v>4009/4010</v>
      </c>
      <c r="L70" s="175" t="str">
        <f>VLOOKUP(A70,'Trips&amp;Operators'!$C$1:$G$99911,5,FALSE)</f>
        <v>DAVIDSON DAVID</v>
      </c>
      <c r="M70" s="6">
        <f t="shared" si="1"/>
        <v>2.7557870365853887E-2</v>
      </c>
      <c r="N70" s="7">
        <f t="shared" si="24"/>
        <v>39.683333326829597</v>
      </c>
      <c r="O70" s="7"/>
      <c r="P70" s="7"/>
      <c r="Q70" s="22"/>
      <c r="R70" s="166"/>
      <c r="S70" s="228">
        <f t="shared" si="25"/>
        <v>1</v>
      </c>
      <c r="T70" s="166" t="str">
        <f t="shared" si="4"/>
        <v>NorthBound</v>
      </c>
      <c r="U70" s="21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4" t="str">
        <f t="shared" si="5"/>
        <v>https://d0f6bd738d7f1b3e5a7ca70fe4ff75f0.us-east-1.aws.found.io/app/kibana#/discover/Steve-Slow-Train-Analysis-(2080s-and-2083s)?_g=(refreshInterval:(display:Off,pause:!f,section:0,value:0),time:(from:'2017-09-30T09:39:00-0600',mode:absolute,to:'2017-09-30T12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0" s="215" t="str">
        <f>IF(AA70&lt;VLOOKUP(AG70,Variables!$AC$3:$AD$8,2,FALSE),"Y","N")</f>
        <v>N</v>
      </c>
      <c r="X70" s="215">
        <f t="shared" si="6"/>
        <v>1</v>
      </c>
      <c r="Y70" s="215">
        <f t="shared" si="26"/>
        <v>4.5499999999999999E-2</v>
      </c>
      <c r="Z70" s="215">
        <f t="shared" si="27"/>
        <v>23.3278</v>
      </c>
      <c r="AA70" s="215">
        <f t="shared" si="9"/>
        <v>23.282299999999999</v>
      </c>
      <c r="AB70" s="216" t="e">
        <f>VLOOKUP(A70,Enforcements!$C$7:$K$11,8,0)</f>
        <v>#N/A</v>
      </c>
      <c r="AC70" s="216" t="e">
        <f>VLOOKUP(A70,Enforcements!$C$7:$E$11,3,0)</f>
        <v>#N/A</v>
      </c>
      <c r="AD70" s="217">
        <f t="shared" si="10"/>
        <v>157</v>
      </c>
      <c r="AE70" s="218" t="str">
        <f t="shared" si="11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70" s="68" t="str">
        <f t="shared" si="12"/>
        <v>"C:\Program Files (x86)\AstroGrep\AstroGrep.exe" /e /r /s /spath="%USERPROFILE%\AppData\Local\Temp\OnboardLogs" /stypes="app*4010*20170930*" /stext=" 17:.+((SYSTEM_STATE.+slice.+state.+changed )|(ment ac)|(multiple cpu faults)|(system.+state.+changed )|(\[timeout)|(PRM\|1\|D)|(kpr)|(kdp)|(train st.+moving)|(\|lc)|(penalty))"</v>
      </c>
      <c r="AG70" s="172" t="str">
        <f t="shared" si="13"/>
        <v>EC</v>
      </c>
      <c r="AH70" s="70" t="str">
        <f t="shared" si="19"/>
        <v>"%USERPROFILE%\Documents\GitHub\eaglep3\Utilities\RefineRTDCRunTimes.py" --tripid 157-30 --locoid 4010 --swversion DE.1.0.9.0 --startMP 204:455 --initTime 2017-09-30T10:39:00 --startdatetime 2017-09-30T10:45:18 --delay 99 --endMP 204:233278 --enddatetime 2017-09-30T11:24:59 --enforcementcount 0 &gt;&gt;c:\users\stu\Documents\GitHub\eaglep3-reporting\EC\2017-09-30-refined-times.txt</v>
      </c>
      <c r="AI70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{"issue":{"subject":"","project_id":79,"tracker_id":40,"status_id":1,"priority_id":2,"assigned_to_id":338,"start_date":"2017-09-30","description":"","custom_fields":[{"id":1,"name":"Subdivision","value":"EC"},{"id":4,"name":"Milepost","value":"23.3278"},{"id":17,"name":"Train ID","value":"157-30"},{"id":16,"name":"Locomotive ID","value":"4010"},{"id":130,"name":"Impact","value":""},{"id":150,"name":"Time of Event (Mountain Time)","value":"11:24:59"},{"id":151,"name":"Denver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34" t="str">
        <f t="shared" si="21"/>
        <v>start /low /b %USERPROFILE%\Documents\GitHub\eaglep3\Utilities\DownloadLogsFromS3.py --loco 4010 --day 2017-09-30</v>
      </c>
      <c r="AN70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17:24:59"},{"id":29,"name":"Sharepoint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0" t="str">
        <f t="shared" si="23"/>
        <v>https://d0f6bd738d7f1b3e5a7ca70fe4ff75f0.us-east-1.aws.found.io/app/kibana#/discover/Steve-Slow-Train-Analysis-(2080s-and-2083s)?_g=(refreshInterval:(display:Off,pause:!f,section:0,value:0),time:(from:'2017-09-30T09:39:00-0600',mode:absolute,to:'2017-09-30T12:24:59-0600'))&amp;_a=(columns:!('Message%20ID',Summary),filters:!(),index:'emp_*',interval:auto,query:(query_string:(analyze_wildcard:!t,query:'%22rtdc.l.rtdc.4010%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598</v>
      </c>
      <c r="B71" s="7">
        <v>4009</v>
      </c>
      <c r="C71" s="21" t="s">
        <v>195</v>
      </c>
      <c r="D71" s="21" t="s">
        <v>366</v>
      </c>
      <c r="E71" s="13">
        <v>43008.477094907408</v>
      </c>
      <c r="F71" s="13">
        <v>43008.487708333334</v>
      </c>
      <c r="G71" s="7">
        <v>74</v>
      </c>
      <c r="H71" s="21" t="s">
        <v>360</v>
      </c>
      <c r="I71" s="13">
        <v>43008.517071759263</v>
      </c>
      <c r="J71" s="7">
        <v>0</v>
      </c>
      <c r="K71" s="81" t="str">
        <f t="shared" si="0"/>
        <v>4009/4010</v>
      </c>
      <c r="L71" s="175" t="str">
        <f>VLOOKUP(A71,'Trips&amp;Operators'!$C$1:$G$99911,5,FALSE)</f>
        <v>DAVIDSON DAVID</v>
      </c>
      <c r="M71" s="6">
        <f t="shared" si="1"/>
        <v>2.9363425928750075E-2</v>
      </c>
      <c r="N71" s="7">
        <f t="shared" si="24"/>
        <v>42.283333337400109</v>
      </c>
      <c r="O71" s="7"/>
      <c r="P71" s="7"/>
      <c r="Q71" s="22"/>
      <c r="R71" s="166"/>
      <c r="S71" s="228">
        <f t="shared" si="25"/>
        <v>1</v>
      </c>
      <c r="T71" s="166" t="str">
        <f t="shared" si="4"/>
        <v>Southbound</v>
      </c>
      <c r="U71" s="21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4" t="str">
        <f t="shared" si="5"/>
        <v>https://d0f6bd738d7f1b3e5a7ca70fe4ff75f0.us-east-1.aws.found.io/app/kibana#/discover/Steve-Slow-Train-Analysis-(2080s-and-2083s)?_g=(refreshInterval:(display:Off,pause:!f,section:0,value:0),time:(from:'2017-09-30T10:27:01-0600',mode:absolute,to:'2017-09-30T13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215" t="str">
        <f>IF(AA71&lt;VLOOKUP(AG71,Variables!$AC$3:$AD$8,2,FALSE),"Y","N")</f>
        <v>N</v>
      </c>
      <c r="X71" s="215">
        <f t="shared" si="6"/>
        <v>1</v>
      </c>
      <c r="Y71" s="215">
        <f t="shared" si="26"/>
        <v>23.297699999999999</v>
      </c>
      <c r="Z71" s="215">
        <f t="shared" si="27"/>
        <v>1.4500000000000001E-2</v>
      </c>
      <c r="AA71" s="215">
        <f t="shared" si="9"/>
        <v>23.283199999999997</v>
      </c>
      <c r="AB71" s="216" t="str">
        <f>VLOOKUP(A71,Enforcements!$C$7:$K$11,8,0)</f>
        <v>Bulletin (2)</v>
      </c>
      <c r="AC71" s="216" t="str">
        <f>VLOOKUP(A71,Enforcements!$C$7:$E$11,3,0)</f>
        <v>GRADE CROSSING</v>
      </c>
      <c r="AD71" s="217">
        <f t="shared" si="10"/>
        <v>158</v>
      </c>
      <c r="AE71" s="218" t="str">
        <f t="shared" si="11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71" s="68" t="str">
        <f t="shared" si="12"/>
        <v>"C:\Program Files (x86)\AstroGrep\AstroGrep.exe" /e /r /s /spath="%USERPROFILE%\AppData\Local\Temp\OnboardLogs" /stypes="app*4009*20170930*" /stext=" 18:.+((SYSTEM_STATE.+slice.+state.+changed )|(ment ac)|(multiple cpu faults)|(system.+state.+changed )|(\[timeout)|(PRM\|1\|D)|(kpr)|(kdp)|(train st.+moving)|(\|lc)|(penalty))"</v>
      </c>
      <c r="AG71" s="172" t="str">
        <f t="shared" si="13"/>
        <v>EC</v>
      </c>
      <c r="AH71" s="70" t="str">
        <f t="shared" si="19"/>
        <v>"%USERPROFILE%\Documents\GitHub\eaglep3\Utilities\RefineRTDCRunTimes.py" --tripid 158-30 --locoid 4009 --swversion DE.1.0.9.0 --startMP 204:232977 --initTime 2017-09-30T11:27:01 --startdatetime 2017-09-30T11:42:18 --delay 74 --endMP 204:145 --enddatetime 2017-09-30T12:24:35 --enforcementcount 0 &gt;&gt;c:\users\stu\Documents\GitHub\eaglep3-reporting\EC\2017-09-30-refined-times.txt</v>
      </c>
      <c r="AI71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{"issue":{"subject":"","project_id":79,"tracker_id":40,"status_id":1,"priority_id":2,"assigned_to_id":338,"start_date":"2017-09-30","description":"","custom_fields":[{"id":1,"name":"Subdivision","value":"EC"},{"id":4,"name":"Milepost","value":"0.0145"},{"id":17,"name":"Train ID","value":"158-30"},{"id":16,"name":"Locomotive ID","value":"4009"},{"id":130,"name":"Impact","value":""},{"id":150,"name":"Time of Event (Mountain Time)","value":"12:24:35"},{"id":151,"name":"Denver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34" t="str">
        <f t="shared" si="21"/>
        <v>start /low /b %USERPROFILE%\Documents\GitHub\eaglep3\Utilities\DownloadLogsFromS3.py --loco 4009 --day 2017-09-30</v>
      </c>
      <c r="AN71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0" t="str">
        <f t="shared" si="23"/>
        <v>https://d0f6bd738d7f1b3e5a7ca70fe4ff75f0.us-east-1.aws.found.io/app/kibana#/discover/Steve-Slow-Train-Analysis-(2080s-and-2083s)?_g=(refreshInterval:(display:Off,pause:!f,section:0,value:0),time:(from:'2017-09-30T10:27:01-0600',mode:absolute,to:'2017-09-30T13:24:35-0600'))&amp;_a=(columns:!('Message%20ID',Summary),filters:!(),index:'emp_*',interval:auto,query:(query_string:(analyze_wildcard:!t,query:'%22rtdc.l.rtdc.4009%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707</v>
      </c>
      <c r="B72" s="7">
        <v>4020</v>
      </c>
      <c r="C72" s="21" t="s">
        <v>195</v>
      </c>
      <c r="D72" s="21" t="s">
        <v>469</v>
      </c>
      <c r="E72" s="13">
        <v>43008.455289351848</v>
      </c>
      <c r="F72" s="13">
        <v>43008.458495370367</v>
      </c>
      <c r="G72" s="7">
        <v>90</v>
      </c>
      <c r="H72" s="21" t="s">
        <v>852</v>
      </c>
      <c r="I72" s="13">
        <v>43008.485439814816</v>
      </c>
      <c r="J72" s="7">
        <v>0</v>
      </c>
      <c r="K72" s="81" t="str">
        <f t="shared" si="0"/>
        <v>4019/4020</v>
      </c>
      <c r="L72" s="175" t="str">
        <f>VLOOKUP(A72,'Trips&amp;Operators'!$C$1:$G$99911,5,FALSE)</f>
        <v>WILLIAMS DONTE</v>
      </c>
      <c r="M72" s="6">
        <f t="shared" si="1"/>
        <v>2.694444444932742E-2</v>
      </c>
      <c r="N72" s="7">
        <f t="shared" si="24"/>
        <v>38.800000007031485</v>
      </c>
      <c r="O72" s="7"/>
      <c r="P72" s="7"/>
      <c r="Q72" s="22"/>
      <c r="R72" s="166"/>
      <c r="S72" s="228">
        <f t="shared" si="25"/>
        <v>1</v>
      </c>
      <c r="T72" s="166" t="str">
        <f t="shared" si="4"/>
        <v>NorthBound</v>
      </c>
      <c r="U72" s="21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4" t="str">
        <f t="shared" si="5"/>
        <v>https://d0f6bd738d7f1b3e5a7ca70fe4ff75f0.us-east-1.aws.found.io/app/kibana#/discover/Steve-Slow-Train-Analysis-(2080s-and-2083s)?_g=(refreshInterval:(display:Off,pause:!f,section:0,value:0),time:(from:'2017-09-30T09:55:37-0600',mode:absolute,to:'2017-09-30T12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2" s="215" t="str">
        <f>IF(AA72&lt;VLOOKUP(AG72,Variables!$AC$3:$AD$8,2,FALSE),"Y","N")</f>
        <v>N</v>
      </c>
      <c r="X72" s="215">
        <f t="shared" si="6"/>
        <v>1</v>
      </c>
      <c r="Y72" s="215">
        <f t="shared" si="26"/>
        <v>4.6699999999999998E-2</v>
      </c>
      <c r="Z72" s="215">
        <f t="shared" si="27"/>
        <v>23.328299999999999</v>
      </c>
      <c r="AA72" s="215">
        <f t="shared" si="9"/>
        <v>23.281599999999997</v>
      </c>
      <c r="AB72" s="216" t="e">
        <f>VLOOKUP(A72,Enforcements!$C$7:$K$11,8,0)</f>
        <v>#N/A</v>
      </c>
      <c r="AC72" s="216" t="e">
        <f>VLOOKUP(A72,Enforcements!$C$7:$E$11,3,0)</f>
        <v>#N/A</v>
      </c>
      <c r="AD72" s="217">
        <f t="shared" si="10"/>
        <v>159</v>
      </c>
      <c r="AE72" s="218" t="str">
        <f t="shared" si="11"/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AF72" s="68" t="str">
        <f t="shared" si="12"/>
        <v>"C:\Program Files (x86)\AstroGrep\AstroGrep.exe" /e /r /s /spath="%USERPROFILE%\AppData\Local\Temp\OnboardLogs" /stypes="app*4020*20170930*" /stext=" 17:.+((SYSTEM_STATE.+slice.+state.+changed )|(ment ac)|(multiple cpu faults)|(system.+state.+changed )|(\[timeout)|(PRM\|1\|D)|(kpr)|(kdp)|(train st.+moving)|(\|lc)|(penalty))"</v>
      </c>
      <c r="AG72" s="172" t="str">
        <f t="shared" si="13"/>
        <v>EC</v>
      </c>
      <c r="AH72" s="70" t="str">
        <f t="shared" si="19"/>
        <v>"%USERPROFILE%\Documents\GitHub\eaglep3\Utilities\RefineRTDCRunTimes.py" --tripid 159-30 --locoid 4020 --swversion DE.1.0.9.0 --startMP 204:467 --initTime 2017-09-30T10:55:37 --startdatetime 2017-09-30T11:00:14 --delay 90 --endMP 204:233283 --enddatetime 2017-09-30T11:39:02 --enforcementcount 0 &gt;&gt;c:\users\stu\Documents\GitHub\eaglep3-reporting\EC\2017-09-30-refined-times.txt</v>
      </c>
      <c r="AI72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{"issue":{"subject":"","project_id":79,"tracker_id":40,"status_id":1,"priority_id":2,"assigned_to_id":338,"start_date":"2017-09-30","description":"","custom_fields":[{"id":1,"name":"Subdivision","value":"EC"},{"id":4,"name":"Milepost","value":"23.3283"},{"id":17,"name":"Train ID","value":"159-30"},{"id":16,"name":"Locomotive ID","value":"4020"},{"id":130,"name":"Impact","value":""},{"id":150,"name":"Time of Event (Mountain Time)","value":"11:39:02"},{"id":151,"name":"Denver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34" t="str">
        <f t="shared" si="21"/>
        <v>start /low /b %USERPROFILE%\Documents\GitHub\eaglep3\Utilities\DownloadLogsFromS3.py --loco 4020 --day 2017-09-30</v>
      </c>
      <c r="AN72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17:39:02"},{"id":29,"name":"Sharepoint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0" t="str">
        <f t="shared" si="23"/>
        <v>https://d0f6bd738d7f1b3e5a7ca70fe4ff75f0.us-east-1.aws.found.io/app/kibana#/discover/Steve-Slow-Train-Analysis-(2080s-and-2083s)?_g=(refreshInterval:(display:Off,pause:!f,section:0,value:0),time:(from:'2017-09-30T09:55:37-0600',mode:absolute,to:'2017-09-30T12:39:02-0600'))&amp;_a=(columns:!('Message%20ID',Summary),filters:!(),index:'emp_*',interval:auto,query:(query_string:(analyze_wildcard:!t,query:'%22rtdc.l.rtdc.4020%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719</v>
      </c>
      <c r="B73" s="7">
        <v>4019</v>
      </c>
      <c r="C73" s="21" t="s">
        <v>195</v>
      </c>
      <c r="D73" s="21" t="s">
        <v>564</v>
      </c>
      <c r="E73" s="13">
        <v>43008.493206018517</v>
      </c>
      <c r="F73" s="13">
        <v>43008.498101851852</v>
      </c>
      <c r="G73" s="7">
        <v>75</v>
      </c>
      <c r="H73" s="21" t="s">
        <v>382</v>
      </c>
      <c r="I73" s="13">
        <v>43008.528923611113</v>
      </c>
      <c r="J73" s="7">
        <v>0</v>
      </c>
      <c r="K73" s="81" t="str">
        <f t="shared" si="0"/>
        <v>4019/4020</v>
      </c>
      <c r="L73" s="175" t="str">
        <f>VLOOKUP(A73,'Trips&amp;Operators'!$C$1:$G$99911,5,FALSE)</f>
        <v>WILLIAMS DONTE</v>
      </c>
      <c r="M73" s="6">
        <f t="shared" si="1"/>
        <v>3.0821759261016268E-2</v>
      </c>
      <c r="N73" s="7">
        <f t="shared" ref="N73:N104" si="28">24*60*SUM($M73:$M73)</f>
        <v>44.383333335863426</v>
      </c>
      <c r="O73" s="7"/>
      <c r="P73" s="7"/>
      <c r="Q73" s="22"/>
      <c r="R73" s="166"/>
      <c r="S73" s="228">
        <f t="shared" ref="S73:S104" si="29">1/IF(AG73="EC",12,1)*SUM(U73:U73)</f>
        <v>1</v>
      </c>
      <c r="T73" s="166" t="str">
        <f t="shared" si="4"/>
        <v>Southbound</v>
      </c>
      <c r="U73" s="21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4" t="str">
        <f t="shared" si="5"/>
        <v>https://d0f6bd738d7f1b3e5a7ca70fe4ff75f0.us-east-1.aws.found.io/app/kibana#/discover/Steve-Slow-Train-Analysis-(2080s-and-2083s)?_g=(refreshInterval:(display:Off,pause:!f,section:0,value:0),time:(from:'2017-09-30T10:50:13-0600',mode:absolute,to:'2017-09-30T13:41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3" s="215" t="str">
        <f>IF(AA73&lt;VLOOKUP(AG73,Variables!$AC$3:$AD$8,2,FALSE),"Y","N")</f>
        <v>N</v>
      </c>
      <c r="X73" s="215">
        <f t="shared" si="6"/>
        <v>1</v>
      </c>
      <c r="Y73" s="215">
        <f t="shared" si="26"/>
        <v>23.296399999999998</v>
      </c>
      <c r="Z73" s="215">
        <f t="shared" si="27"/>
        <v>1.6299999999999999E-2</v>
      </c>
      <c r="AA73" s="215">
        <f t="shared" si="9"/>
        <v>23.280099999999997</v>
      </c>
      <c r="AB73" s="216" t="e">
        <f>VLOOKUP(A73,Enforcements!$C$7:$K$11,8,0)</f>
        <v>#N/A</v>
      </c>
      <c r="AC73" s="216" t="e">
        <f>VLOOKUP(A73,Enforcements!$C$7:$E$11,3,0)</f>
        <v>#N/A</v>
      </c>
      <c r="AD73" s="217">
        <f t="shared" si="10"/>
        <v>160</v>
      </c>
      <c r="AE73" s="218" t="str">
        <f t="shared" si="11"/>
        <v>aws s3 cp s3://rtdc.mdm.uploadarchive.raw/RTDC4019/ "%USERPROFILE%\AppData\Local\Temp\OnboardLogs"\RTDC4019\2017-09-30 --exclude "*" --recursive --include "*20170930*" &amp; "%USERPROFILE%\Documents\GitHub\mrs-test-scripts\Headless Mode &amp; Sideloading\WalkAndUnGZ.bat" "%USERPROFILE%\AppData\Local\Temp\OnboardLogs"\RTDC4019\2017-09-30 &amp; aws s3 cp s3://rtdc.mdm.uploadarchive.raw/RTDC4019/ "%USERPROFILE%\AppData\Local\Temp\OnboardLogs"\RTDC4019\2017-10-01 --exclude "*" --recursive --include "*20171001*" &amp; "%USERPROFILE%\Documents\GitHub\mrs-test-scripts\Headless Mode &amp; Sideloading\WalkAndUnGZ.bat" "%USERPROFILE%\AppData\Local\Temp\OnboardLogs"\RTDC4019\2017-10-01</v>
      </c>
      <c r="AF73" s="68" t="str">
        <f t="shared" si="12"/>
        <v>"C:\Program Files (x86)\AstroGrep\AstroGrep.exe" /e /r /s /spath="%USERPROFILE%\AppData\Local\Temp\OnboardLogs" /stypes="app*4019*20170930*" /stext=" 18:.+((SYSTEM_STATE.+slice.+state.+changed )|(ment ac)|(multiple cpu faults)|(system.+state.+changed )|(\[timeout)|(PRM\|1\|D)|(kpr)|(kdp)|(train st.+moving)|(\|lc)|(penalty))"</v>
      </c>
      <c r="AG73" s="172" t="str">
        <f t="shared" si="13"/>
        <v>EC</v>
      </c>
      <c r="AH73" s="70" t="str">
        <f t="shared" si="19"/>
        <v>"%USERPROFILE%\Documents\GitHub\eaglep3\Utilities\RefineRTDCRunTimes.py" --tripid 160-30 --locoid 4019 --swversion DE.1.0.9.0 --startMP 204:232964 --initTime 2017-09-30T11:50:13 --startdatetime 2017-09-30T11:57:16 --delay 75 --endMP 204:163 --enddatetime 2017-09-30T12:41:39 --enforcementcount 0 &gt;&gt;c:\users\stu\Documents\GitHub\eaglep3-reporting\EC\2017-09-30-refined-times.txt</v>
      </c>
      <c r="AI73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{"issue":{"subject":"","project_id":79,"tracker_id":40,"status_id":1,"priority_id":2,"assigned_to_id":338,"start_date":"2017-09-30","description":"","custom_fields":[{"id":1,"name":"Subdivision","value":"EC"},{"id":4,"name":"Milepost","value":"0.0163"},{"id":17,"name":"Train ID","value":"160-30"},{"id":16,"name":"Locomotive ID","value":"4019"},{"id":130,"name":"Impact","value":""},{"id":150,"name":"Time of Event (Mountain Time)","value":"12:41:39"},{"id":151,"name":"Denver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34" t="str">
        <f t="shared" si="21"/>
        <v>start /low /b %USERPROFILE%\Documents\GitHub\eaglep3\Utilities\DownloadLogsFromS3.py --loco 4019 --day 2017-09-30</v>
      </c>
      <c r="AN73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18:41:39"},{"id":29,"name":"Sharepoint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0" t="str">
        <f t="shared" si="23"/>
        <v>https://d0f6bd738d7f1b3e5a7ca70fe4ff75f0.us-east-1.aws.found.io/app/kibana#/discover/Steve-Slow-Train-Analysis-(2080s-and-2083s)?_g=(refreshInterval:(display:Off,pause:!f,section:0,value:0),time:(from:'2017-09-30T10:50:13-0600',mode:absolute,to:'2017-09-30T13:41:39-0600'))&amp;_a=(columns:!('Message%20ID',Summary),filters:!(),index:'emp_*',interval:auto,query:(query_string:(analyze_wildcard:!t,query:'%22rtdc.l.rtdc.4019%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597</v>
      </c>
      <c r="B74" s="7">
        <v>4052</v>
      </c>
      <c r="C74" s="21" t="s">
        <v>195</v>
      </c>
      <c r="D74" s="21" t="s">
        <v>392</v>
      </c>
      <c r="E74" s="13">
        <v>43008.467083333337</v>
      </c>
      <c r="F74" s="13">
        <v>43008.46943287037</v>
      </c>
      <c r="G74" s="7">
        <v>79</v>
      </c>
      <c r="H74" s="21" t="s">
        <v>559</v>
      </c>
      <c r="I74" s="13">
        <v>43008.503194444442</v>
      </c>
      <c r="J74" s="7">
        <v>0</v>
      </c>
      <c r="K74" s="81" t="str">
        <f t="shared" si="0"/>
        <v>4051/4052</v>
      </c>
      <c r="L74" s="175" t="str">
        <f>VLOOKUP(A74,'Trips&amp;Operators'!$C$1:$G$99911,5,FALSE)</f>
        <v>DAVIS MICHAEL</v>
      </c>
      <c r="M74" s="6">
        <f t="shared" si="1"/>
        <v>3.3761574071832001E-2</v>
      </c>
      <c r="N74" s="7">
        <f t="shared" si="28"/>
        <v>48.616666663438082</v>
      </c>
      <c r="O74" s="7"/>
      <c r="P74" s="7"/>
      <c r="Q74" s="22"/>
      <c r="R74" s="166"/>
      <c r="S74" s="228">
        <f t="shared" si="29"/>
        <v>1</v>
      </c>
      <c r="T74" s="166" t="str">
        <f t="shared" si="4"/>
        <v>NorthBound</v>
      </c>
      <c r="U74" s="21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4" t="str">
        <f t="shared" si="5"/>
        <v>https://d0f6bd738d7f1b3e5a7ca70fe4ff75f0.us-east-1.aws.found.io/app/kibana#/discover/Steve-Slow-Train-Analysis-(2080s-and-2083s)?_g=(refreshInterval:(display:Off,pause:!f,section:0,value:0),time:(from:'2017-09-30T10:12:36-0600',mode:absolute,to:'2017-09-30T13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4" s="215" t="str">
        <f>IF(AA74&lt;VLOOKUP(AG74,Variables!$AC$3:$AD$8,2,FALSE),"Y","N")</f>
        <v>N</v>
      </c>
      <c r="X74" s="215">
        <f t="shared" si="6"/>
        <v>1</v>
      </c>
      <c r="Y74" s="215">
        <f t="shared" si="26"/>
        <v>4.6600000000000003E-2</v>
      </c>
      <c r="Z74" s="215">
        <f t="shared" si="27"/>
        <v>23.334499999999998</v>
      </c>
      <c r="AA74" s="215">
        <f t="shared" si="9"/>
        <v>23.287899999999997</v>
      </c>
      <c r="AB74" s="216" t="e">
        <f>VLOOKUP(A74,Enforcements!$C$7:$K$11,8,0)</f>
        <v>#N/A</v>
      </c>
      <c r="AC74" s="216" t="e">
        <f>VLOOKUP(A74,Enforcements!$C$7:$E$11,3,0)</f>
        <v>#N/A</v>
      </c>
      <c r="AD74" s="217">
        <f t="shared" si="10"/>
        <v>161</v>
      </c>
      <c r="AE74" s="218" t="str">
        <f t="shared" si="11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74" s="68" t="str">
        <f t="shared" si="12"/>
        <v>"C:\Program Files (x86)\AstroGrep\AstroGrep.exe" /e /r /s /spath="%USERPROFILE%\AppData\Local\Temp\OnboardLogs" /stypes="app*4052*20170930*" /stext=" 18:.+((SYSTEM_STATE.+slice.+state.+changed )|(ment ac)|(multiple cpu faults)|(system.+state.+changed )|(\[timeout)|(PRM\|1\|D)|(kpr)|(kdp)|(train st.+moving)|(\|lc)|(penalty))"</v>
      </c>
      <c r="AG74" s="172" t="str">
        <f t="shared" si="13"/>
        <v>EC</v>
      </c>
      <c r="AH74" s="70" t="str">
        <f t="shared" si="19"/>
        <v>"%USERPROFILE%\Documents\GitHub\eaglep3\Utilities\RefineRTDCRunTimes.py" --tripid 161-30 --locoid 4052 --swversion DE.1.0.9.0 --startMP 204:466 --initTime 2017-09-30T11:12:36 --startdatetime 2017-09-30T11:15:59 --delay 79 --endMP 204:233345 --enddatetime 2017-09-30T12:04:36 --enforcementcount 0 &gt;&gt;c:\users\stu\Documents\GitHub\eaglep3-reporting\EC\2017-09-30-refined-times.txt</v>
      </c>
      <c r="AI74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{"issue":{"subject":"","project_id":79,"tracker_id":40,"status_id":1,"priority_id":2,"assigned_to_id":338,"start_date":"2017-09-30","description":"","custom_fields":[{"id":1,"name":"Subdivision","value":"EC"},{"id":4,"name":"Milepost","value":"23.3345"},{"id":17,"name":"Train ID","value":"161-30"},{"id":16,"name":"Locomotive ID","value":"4052"},{"id":130,"name":"Impact","value":""},{"id":150,"name":"Time of Event (Mountain Time)","value":"12:04:36"},{"id":151,"name":"Denver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34" t="str">
        <f t="shared" si="21"/>
        <v>start /low /b %USERPROFILE%\Documents\GitHub\eaglep3\Utilities\DownloadLogsFromS3.py --loco 4052 --day 2017-09-30</v>
      </c>
      <c r="AN74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0" t="str">
        <f t="shared" si="23"/>
        <v>https://d0f6bd738d7f1b3e5a7ca70fe4ff75f0.us-east-1.aws.found.io/app/kibana#/discover/Steve-Slow-Train-Analysis-(2080s-and-2083s)?_g=(refreshInterval:(display:Off,pause:!f,section:0,value:0),time:(from:'2017-09-30T10:12:36-0600',mode:absolute,to:'2017-09-30T13:04:36-0600'))&amp;_a=(columns:!('Message%20ID',Summary),filters:!(),index:'emp_*',interval:auto,query:(query_string:(analyze_wildcard:!t,query:'%22rtdc.l.rtdc.4052%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599</v>
      </c>
      <c r="B75" s="7">
        <v>4051</v>
      </c>
      <c r="C75" s="21" t="s">
        <v>195</v>
      </c>
      <c r="D75" s="21" t="s">
        <v>853</v>
      </c>
      <c r="E75" s="13">
        <v>43008.506678240738</v>
      </c>
      <c r="F75" s="13">
        <v>43008.508958333332</v>
      </c>
      <c r="G75" s="7">
        <v>81</v>
      </c>
      <c r="H75" s="21" t="s">
        <v>336</v>
      </c>
      <c r="I75" s="13">
        <v>43008.537256944444</v>
      </c>
      <c r="J75" s="7">
        <v>0</v>
      </c>
      <c r="K75" s="81" t="str">
        <f t="shared" si="0"/>
        <v>4051/4052</v>
      </c>
      <c r="L75" s="175" t="str">
        <f>VLOOKUP(A75,'Trips&amp;Operators'!$C$1:$G$99911,5,FALSE)</f>
        <v>DAVIS MICHAEL</v>
      </c>
      <c r="M75" s="6">
        <f t="shared" si="1"/>
        <v>2.8298611112404615E-2</v>
      </c>
      <c r="N75" s="7">
        <f t="shared" si="28"/>
        <v>40.750000001862645</v>
      </c>
      <c r="O75" s="7"/>
      <c r="P75" s="7"/>
      <c r="Q75" s="22"/>
      <c r="R75" s="166"/>
      <c r="S75" s="228">
        <f t="shared" si="29"/>
        <v>1</v>
      </c>
      <c r="T75" s="166" t="str">
        <f t="shared" si="4"/>
        <v>Southbound</v>
      </c>
      <c r="U75" s="21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4" t="str">
        <f t="shared" si="5"/>
        <v>https://d0f6bd738d7f1b3e5a7ca70fe4ff75f0.us-east-1.aws.found.io/app/kibana#/discover/Steve-Slow-Train-Analysis-(2080s-and-2083s)?_g=(refreshInterval:(display:Off,pause:!f,section:0,value:0),time:(from:'2017-09-30T11:09:37-0600',mode:absolute,to:'2017-09-30T13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5" s="215" t="str">
        <f>IF(AA75&lt;VLOOKUP(AG75,Variables!$AC$3:$AD$8,2,FALSE),"Y","N")</f>
        <v>N</v>
      </c>
      <c r="X75" s="215">
        <f t="shared" si="6"/>
        <v>1</v>
      </c>
      <c r="Y75" s="215">
        <f t="shared" si="26"/>
        <v>23.303000000000001</v>
      </c>
      <c r="Z75" s="215">
        <f t="shared" si="27"/>
        <v>1.4999999999999999E-2</v>
      </c>
      <c r="AA75" s="215">
        <f t="shared" si="9"/>
        <v>23.288</v>
      </c>
      <c r="AB75" s="216" t="e">
        <f>VLOOKUP(A75,Enforcements!$C$7:$K$11,8,0)</f>
        <v>#N/A</v>
      </c>
      <c r="AC75" s="216" t="e">
        <f>VLOOKUP(A75,Enforcements!$C$7:$E$11,3,0)</f>
        <v>#N/A</v>
      </c>
      <c r="AD75" s="217">
        <f t="shared" si="10"/>
        <v>162</v>
      </c>
      <c r="AE75" s="218" t="str">
        <f t="shared" si="11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75" s="68" t="str">
        <f t="shared" si="12"/>
        <v>"C:\Program Files (x86)\AstroGrep\AstroGrep.exe" /e /r /s /spath="%USERPROFILE%\AppData\Local\Temp\OnboardLogs" /stypes="app*4051*20170930*" /stext=" 18:.+((SYSTEM_STATE.+slice.+state.+changed )|(ment ac)|(multiple cpu faults)|(system.+state.+changed )|(\[timeout)|(PRM\|1\|D)|(kpr)|(kdp)|(train st.+moving)|(\|lc)|(penalty))"</v>
      </c>
      <c r="AG75" s="172" t="str">
        <f t="shared" si="13"/>
        <v>EC</v>
      </c>
      <c r="AH75" s="70" t="str">
        <f t="shared" si="19"/>
        <v>"%USERPROFILE%\Documents\GitHub\eaglep3\Utilities\RefineRTDCRunTimes.py" --tripid 162-30 --locoid 4051 --swversion DE.1.0.9.0 --startMP 204:233030 --initTime 2017-09-30T12:09:37 --startdatetime 2017-09-30T12:12:54 --delay 81 --endMP 204:150 --enddatetime 2017-09-30T12:53:39 --enforcementcount 0 &gt;&gt;c:\users\stu\Documents\GitHub\eaglep3-reporting\EC\2017-09-30-refined-times.txt</v>
      </c>
      <c r="AI75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{"issue":{"subject":"","project_id":79,"tracker_id":40,"status_id":1,"priority_id":2,"assigned_to_id":338,"start_date":"2017-09-30","description":"","custom_fields":[{"id":1,"name":"Subdivision","value":"EC"},{"id":4,"name":"Milepost","value":"0.015"},{"id":17,"name":"Train ID","value":"162-30"},{"id":16,"name":"Locomotive ID","value":"4051"},{"id":130,"name":"Impact","value":""},{"id":150,"name":"Time of Event (Mountain Time)","value":"12:53:39"},{"id":151,"name":"Denver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34" t="str">
        <f t="shared" si="21"/>
        <v>start /low /b %USERPROFILE%\Documents\GitHub\eaglep3\Utilities\DownloadLogsFromS3.py --loco 4051 --day 2017-09-30</v>
      </c>
      <c r="AN75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0" t="str">
        <f t="shared" si="23"/>
        <v>https://d0f6bd738d7f1b3e5a7ca70fe4ff75f0.us-east-1.aws.found.io/app/kibana#/discover/Steve-Slow-Train-Analysis-(2080s-and-2083s)?_g=(refreshInterval:(display:Off,pause:!f,section:0,value:0),time:(from:'2017-09-30T11:09:37-0600',mode:absolute,to:'2017-09-30T13:53:39-0600'))&amp;_a=(columns:!('Message%20ID',Summary),filters:!(),index:'emp_*',interval:auto,query:(query_string:(analyze_wildcard:!t,query:'%22rtdc.l.rtdc.4051%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712</v>
      </c>
      <c r="B76" s="7">
        <v>4040</v>
      </c>
      <c r="C76" s="21" t="s">
        <v>195</v>
      </c>
      <c r="D76" s="21" t="s">
        <v>392</v>
      </c>
      <c r="E76" s="13">
        <v>43008.477037037039</v>
      </c>
      <c r="F76" s="13">
        <v>43008.479768518519</v>
      </c>
      <c r="G76" s="7">
        <v>165</v>
      </c>
      <c r="H76" s="21" t="s">
        <v>854</v>
      </c>
      <c r="I76" s="13">
        <v>43008.50712962963</v>
      </c>
      <c r="J76" s="7">
        <v>0</v>
      </c>
      <c r="K76" s="81" t="str">
        <f t="shared" si="0"/>
        <v>4039/4040</v>
      </c>
      <c r="L76" s="175" t="str">
        <f>VLOOKUP(A76,'Trips&amp;Operators'!$C$1:$G$99911,5,FALSE)</f>
        <v>SAFIEF AEIMEN</v>
      </c>
      <c r="M76" s="6">
        <f t="shared" si="1"/>
        <v>2.73611111115315E-2</v>
      </c>
      <c r="N76" s="7">
        <f t="shared" si="28"/>
        <v>39.40000000060536</v>
      </c>
      <c r="O76" s="7"/>
      <c r="P76" s="7"/>
      <c r="Q76" s="22"/>
      <c r="R76" s="166"/>
      <c r="S76" s="228">
        <f t="shared" si="29"/>
        <v>1</v>
      </c>
      <c r="T76" s="166" t="str">
        <f t="shared" si="4"/>
        <v>NorthBound</v>
      </c>
      <c r="U76" s="21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4" t="str">
        <f t="shared" si="5"/>
        <v>https://d0f6bd738d7f1b3e5a7ca70fe4ff75f0.us-east-1.aws.found.io/app/kibana#/discover/Steve-Slow-Train-Analysis-(2080s-and-2083s)?_g=(refreshInterval:(display:Off,pause:!f,section:0,value:0),time:(from:'2017-09-30T10:26:56-0600',mode:absolute,to:'2017-09-30T13:10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6" s="215" t="str">
        <f>IF(AA76&lt;VLOOKUP(AG76,Variables!$AC$3:$AD$8,2,FALSE),"Y","N")</f>
        <v>N</v>
      </c>
      <c r="X76" s="215">
        <f t="shared" si="6"/>
        <v>1</v>
      </c>
      <c r="Y76" s="215">
        <f t="shared" si="26"/>
        <v>4.6600000000000003E-2</v>
      </c>
      <c r="Z76" s="215">
        <f t="shared" si="27"/>
        <v>23.3355</v>
      </c>
      <c r="AA76" s="215">
        <f t="shared" si="9"/>
        <v>23.288899999999998</v>
      </c>
      <c r="AB76" s="216" t="e">
        <f>VLOOKUP(A76,Enforcements!$C$7:$K$11,8,0)</f>
        <v>#N/A</v>
      </c>
      <c r="AC76" s="216" t="e">
        <f>VLOOKUP(A76,Enforcements!$C$7:$E$11,3,0)</f>
        <v>#N/A</v>
      </c>
      <c r="AD76" s="217">
        <f t="shared" si="10"/>
        <v>163</v>
      </c>
      <c r="AE76" s="218" t="str">
        <f t="shared" si="11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76" s="68" t="str">
        <f t="shared" si="12"/>
        <v>"C:\Program Files (x86)\AstroGrep\AstroGrep.exe" /e /r /s /spath="%USERPROFILE%\AppData\Local\Temp\OnboardLogs" /stypes="app*4040*20170930*" /stext=" 18:.+((SYSTEM_STATE.+slice.+state.+changed )|(ment ac)|(multiple cpu faults)|(system.+state.+changed )|(\[timeout)|(PRM\|1\|D)|(kpr)|(kdp)|(train st.+moving)|(\|lc)|(penalty))"</v>
      </c>
      <c r="AG76" s="172" t="str">
        <f t="shared" si="13"/>
        <v>EC</v>
      </c>
      <c r="AH76" s="70" t="str">
        <f t="shared" si="19"/>
        <v>"%USERPROFILE%\Documents\GitHub\eaglep3\Utilities\RefineRTDCRunTimes.py" --tripid 163-30 --locoid 4040 --swversion DE.1.0.9.0 --startMP 204:466 --initTime 2017-09-30T11:26:56 --startdatetime 2017-09-30T11:30:52 --delay 165 --endMP 204:233355 --enddatetime 2017-09-30T12:10:16 --enforcementcount 0 &gt;&gt;c:\users\stu\Documents\GitHub\eaglep3-reporting\EC\2017-09-30-refined-times.txt</v>
      </c>
      <c r="AI76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{"issue":{"subject":"","project_id":79,"tracker_id":40,"status_id":1,"priority_id":2,"assigned_to_id":338,"start_date":"2017-09-30","description":"","custom_fields":[{"id":1,"name":"Subdivision","value":"EC"},{"id":4,"name":"Milepost","value":"23.3355"},{"id":17,"name":"Train ID","value":"163-30"},{"id":16,"name":"Locomotive ID","value":"4040"},{"id":130,"name":"Impact","value":""},{"id":150,"name":"Time of Event (Mountain Time)","value":"12:10:16"},{"id":151,"name":"Denver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34" t="str">
        <f t="shared" si="21"/>
        <v>start /low /b %USERPROFILE%\Documents\GitHub\eaglep3\Utilities\DownloadLogsFromS3.py --loco 4040 --day 2017-09-30</v>
      </c>
      <c r="AN76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18:10:16"},{"id":29,"name":"Sharepoint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0" t="str">
        <f t="shared" si="23"/>
        <v>https://d0f6bd738d7f1b3e5a7ca70fe4ff75f0.us-east-1.aws.found.io/app/kibana#/discover/Steve-Slow-Train-Analysis-(2080s-and-2083s)?_g=(refreshInterval:(display:Off,pause:!f,section:0,value:0),time:(from:'2017-09-30T10:26:56-0600',mode:absolute,to:'2017-09-30T13:10:16-0600'))&amp;_a=(columns:!('Message%20ID',Summary),filters:!(),index:'emp_*',interval:auto,query:(query_string:(analyze_wildcard:!t,query:'%22rtdc.l.rtdc.4040%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723</v>
      </c>
      <c r="B77" s="7">
        <v>4039</v>
      </c>
      <c r="C77" s="21" t="s">
        <v>195</v>
      </c>
      <c r="D77" s="21" t="s">
        <v>443</v>
      </c>
      <c r="E77" s="13">
        <v>43008.510231481479</v>
      </c>
      <c r="F77" s="13">
        <v>43008.519317129627</v>
      </c>
      <c r="G77" s="7">
        <v>132</v>
      </c>
      <c r="H77" s="21" t="s">
        <v>356</v>
      </c>
      <c r="I77" s="13">
        <v>43008.545254629629</v>
      </c>
      <c r="J77" s="7">
        <v>0</v>
      </c>
      <c r="K77" s="81" t="str">
        <f t="shared" ref="K77:K140" si="30">IF(ISEVEN(B77),(B77-1)&amp;"/"&amp;B77,B77&amp;"/"&amp;(B77+1))</f>
        <v>4039/4040</v>
      </c>
      <c r="L77" s="175" t="str">
        <f>VLOOKUP(A77,'Trips&amp;Operators'!$C$1:$G$99911,5,FALSE)</f>
        <v>SAFIEF AEIMEN</v>
      </c>
      <c r="M77" s="6">
        <f t="shared" ref="M77:M140" si="31">I77-F77</f>
        <v>2.5937500002328306E-2</v>
      </c>
      <c r="N77" s="7">
        <f t="shared" si="28"/>
        <v>37.350000003352761</v>
      </c>
      <c r="O77" s="7"/>
      <c r="P77" s="7"/>
      <c r="Q77" s="22"/>
      <c r="R77" s="166"/>
      <c r="S77" s="228">
        <f t="shared" si="29"/>
        <v>1</v>
      </c>
      <c r="T77" s="166" t="str">
        <f t="shared" ref="T77:T140" si="32">IF(ISEVEN(LEFT(AD77,4)),"Southbound","NorthBound")</f>
        <v>Southbound</v>
      </c>
      <c r="U77" s="21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4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-30T11:14:44-0600',mode:absolute,to:'2017-09-30T14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7" s="215" t="str">
        <f>IF(AA77&lt;VLOOKUP(AG77,Variables!$AC$3:$AD$8,2,FALSE),"Y","N")</f>
        <v>N</v>
      </c>
      <c r="X77" s="215">
        <f t="shared" ref="X77:X140" si="34">VALUE(LEFT(AD77,4))-VALUE(LEFT(AD76,4))</f>
        <v>1</v>
      </c>
      <c r="Y77" s="215">
        <f t="shared" ref="Y77:Y108" si="35">RIGHT(D77,LEN(D77)-4)/10000</f>
        <v>23.302099999999999</v>
      </c>
      <c r="Z77" s="215">
        <f t="shared" ref="Z77:Z108" si="36">RIGHT(H77,LEN(H77)-4)/10000</f>
        <v>1.52E-2</v>
      </c>
      <c r="AA77" s="215">
        <f t="shared" ref="AA77:AA140" si="37">ABS(Z77-Y77)</f>
        <v>23.286899999999999</v>
      </c>
      <c r="AB77" s="216" t="e">
        <f>VLOOKUP(A77,Enforcements!$C$7:$K$11,8,0)</f>
        <v>#N/A</v>
      </c>
      <c r="AC77" s="216" t="e">
        <f>VLOOKUP(A77,Enforcements!$C$7:$E$11,3,0)</f>
        <v>#N/A</v>
      </c>
      <c r="AD77" s="217">
        <f t="shared" ref="AD77:AD140" si="38">VALUE(LEFT(A77,LEN(A77)-3))</f>
        <v>164</v>
      </c>
      <c r="AE77" s="218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77" s="68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/stypes="app*4039*20170930*" /stext=" 19:.+((SYSTEM_STATE.+slice.+state.+changed )|(ment ac)|(multiple cpu faults)|(system.+state.+changed )|(\[timeout)|(PRM\|1\|D)|(kpr)|(kdp)|(train st.+moving)|(\|lc)|(penalty))"</v>
      </c>
      <c r="AG77" s="172" t="str">
        <f t="shared" ref="AG77:AG140" si="41">DetSubdiv(A77)</f>
        <v>EC</v>
      </c>
      <c r="AH77" s="70" t="str">
        <f t="shared" si="19"/>
        <v>"%USERPROFILE%\Documents\GitHub\eaglep3\Utilities\RefineRTDCRunTimes.py" --tripid 164-30 --locoid 4039 --swversion DE.1.0.9.0 --startMP 204:233021 --initTime 2017-09-30T12:14:44 --startdatetime 2017-09-30T12:27:49 --delay 132 --endMP 204:152 --enddatetime 2017-09-30T13:05:10 --enforcementcount 0 &gt;&gt;c:\users\stu\Documents\GitHub\eaglep3-reporting\EC\2017-09-30-refined-times.txt</v>
      </c>
      <c r="AI77" s="88" t="str">
        <f t="shared" si="20"/>
        <v>echo {"issue":{"subject":"","project_id":79,"tracker_id":40,"status_id":1,"priority_id":2,"assigned_to_id":338,"start_date":"2017-09-30","description":"","custom_fields":[{"id":1,"name":"Subdivision","value":"EC"},{"id":4,"name":"Milepost","value":"0.0152"},{"id":17,"name":"Train ID","value":"164-30"},{"id":16,"name":"Locomotive ID","value":"4039"},{"id":130,"name":"Impact","value":""},{"id":150,"name":"Time of Event (Mountain Time)","value":"13:05:10"},{"id":151,"name":"Denver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34" t="str">
        <f t="shared" si="21"/>
        <v>start /low /b %USERPROFILE%\Documents\GitHub\eaglep3\Utilities\DownloadLogsFromS3.py --loco 4039 --day 2017-09-30</v>
      </c>
      <c r="AN77" s="143" t="str">
        <f t="shared" si="22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19:05:10"},{"id":29,"name":"Sharepoint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0" t="str">
        <f t="shared" si="23"/>
        <v>https://d0f6bd738d7f1b3e5a7ca70fe4ff75f0.us-east-1.aws.found.io/app/kibana#/discover/Steve-Slow-Train-Analysis-(2080s-and-2083s)?_g=(refreshInterval:(display:Off,pause:!f,section:0,value:0),time:(from:'2017-09-30T11:14:44-0600',mode:absolute,to:'2017-09-30T14:05:10-0600'))&amp;_a=(columns:!('Message%20ID',Summary),filters:!(),index:'emp_*',interval:auto,query:(query_string:(analyze_wildcard:!t,query:'%22rtdc.l.rtdc.4039%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716</v>
      </c>
      <c r="B78" s="7">
        <v>4056</v>
      </c>
      <c r="C78" s="21" t="s">
        <v>195</v>
      </c>
      <c r="D78" s="21" t="s">
        <v>385</v>
      </c>
      <c r="E78" s="13">
        <v>43008.485150462962</v>
      </c>
      <c r="F78" s="13">
        <v>43008.489756944444</v>
      </c>
      <c r="G78" s="7">
        <v>65</v>
      </c>
      <c r="H78" s="21" t="s">
        <v>855</v>
      </c>
      <c r="I78" s="13">
        <v>43008.514594907407</v>
      </c>
      <c r="J78" s="7">
        <v>0</v>
      </c>
      <c r="K78" s="81" t="str">
        <f t="shared" si="30"/>
        <v>4055/4056</v>
      </c>
      <c r="L78" s="175" t="str">
        <f>VLOOKUP(A78,'Trips&amp;Operators'!$C$1:$G$99911,5,FALSE)</f>
        <v>GUZMAN DANNY</v>
      </c>
      <c r="M78" s="6">
        <f t="shared" si="31"/>
        <v>2.4837962962919846E-2</v>
      </c>
      <c r="N78" s="7">
        <f t="shared" si="28"/>
        <v>35.766666666604578</v>
      </c>
      <c r="O78" s="7"/>
      <c r="P78" s="7"/>
      <c r="Q78" s="22"/>
      <c r="R78" s="166"/>
      <c r="S78" s="228">
        <f t="shared" si="29"/>
        <v>1</v>
      </c>
      <c r="T78" s="166" t="str">
        <f t="shared" si="32"/>
        <v>NorthBound</v>
      </c>
      <c r="U78" s="21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4" t="str">
        <f t="shared" si="33"/>
        <v>https://d0f6bd738d7f1b3e5a7ca70fe4ff75f0.us-east-1.aws.found.io/app/kibana#/discover/Steve-Slow-Train-Analysis-(2080s-and-2083s)?_g=(refreshInterval:(display:Off,pause:!f,section:0,value:0),time:(from:'2017-09-30T10:38:37-0600',mode:absolute,to:'2017-09-30T13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8" s="215" t="str">
        <f>IF(AA78&lt;VLOOKUP(AG78,Variables!$AC$3:$AD$8,2,FALSE),"Y","N")</f>
        <v>N</v>
      </c>
      <c r="X78" s="215">
        <f t="shared" si="34"/>
        <v>1</v>
      </c>
      <c r="Y78" s="215">
        <f t="shared" si="35"/>
        <v>4.5100000000000001E-2</v>
      </c>
      <c r="Z78" s="215">
        <f t="shared" si="36"/>
        <v>23.327999999999999</v>
      </c>
      <c r="AA78" s="215">
        <f t="shared" si="37"/>
        <v>23.282899999999998</v>
      </c>
      <c r="AB78" s="216" t="e">
        <f>VLOOKUP(A78,Enforcements!$C$7:$K$11,8,0)</f>
        <v>#N/A</v>
      </c>
      <c r="AC78" s="216" t="e">
        <f>VLOOKUP(A78,Enforcements!$C$7:$E$11,3,0)</f>
        <v>#N/A</v>
      </c>
      <c r="AD78" s="217">
        <f t="shared" si="38"/>
        <v>165</v>
      </c>
      <c r="AE78" s="218" t="str">
        <f t="shared" si="39"/>
        <v>aws s3 cp s3://rtdc.mdm.uploadarchive.raw/RTDC4056/ "%USERPROFILE%\AppData\Local\Temp\OnboardLogs"\RTDC4056\2017-09-30 --exclude "*" --recursive --include "*20170930*" &amp; "%USERPROFILE%\Documents\GitHub\mrs-test-scripts\Headless Mode &amp; Sideloading\WalkAndUnGZ.bat" "%USERPROFILE%\AppData\Local\Temp\OnboardLogs"\RTDC4056\2017-09-30 &amp; aws s3 cp s3://rtdc.mdm.uploadarchive.raw/RTDC4056/ "%USERPROFILE%\AppData\Local\Temp\OnboardLogs"\RTDC4056\2017-10-01 --exclude "*" --recursive --include "*20171001*" &amp; "%USERPROFILE%\Documents\GitHub\mrs-test-scripts\Headless Mode &amp; Sideloading\WalkAndUnGZ.bat" "%USERPROFILE%\AppData\Local\Temp\OnboardLogs"\RTDC4056\2017-10-01</v>
      </c>
      <c r="AF78" s="68" t="str">
        <f t="shared" si="40"/>
        <v>"C:\Program Files (x86)\AstroGrep\AstroGrep.exe" /e /r /s /spath="%USERPROFILE%\AppData\Local\Temp\OnboardLogs" /stypes="app*4056*20170930*" /stext=" 18:.+((SYSTEM_STATE.+slice.+state.+changed )|(ment ac)|(multiple cpu faults)|(system.+state.+changed )|(\[timeout)|(PRM\|1\|D)|(kpr)|(kdp)|(train st.+moving)|(\|lc)|(penalty))"</v>
      </c>
      <c r="AG78" s="172" t="str">
        <f t="shared" si="41"/>
        <v>EC</v>
      </c>
      <c r="AH78" s="70" t="str">
        <f t="shared" ref="AH78:AH141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165-30 --locoid 4056 --swversion DE.1.0.9.0 --startMP 204:451 --initTime 2017-09-30T11:38:37 --startdatetime 2017-09-30T11:45:15 --delay 65 --endMP 204:233280 --enddatetime 2017-09-30T12:21:01 --enforcementcount 0 &gt;&gt;c:\users\stu\Documents\GitHub\eaglep3-reporting\EC\2017-09-30-refined-times.txt</v>
      </c>
      <c r="AI78" s="88" t="str">
        <f t="shared" ref="AI78:AI141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{"issue":{"subject":"","project_id":79,"tracker_id":40,"status_id":1,"priority_id":2,"assigned_to_id":338,"start_date":"2017-09-30","description":"","custom_fields":[{"id":1,"name":"Subdivision","value":"EC"},{"id":4,"name":"Milepost","value":"23.328"},{"id":17,"name":"Train ID","value":"165-30"},{"id":16,"name":"Locomotive ID","value":"4056"},{"id":130,"name":"Impact","value":""},{"id":150,"name":"Time of Event (Mountain Time)","value":"12:21:01"},{"id":151,"name":"Denver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34" t="str">
        <f t="shared" ref="AM78:AM141" si="44">"start /low /b "&amp;dls3logs&amp;" --loco "&amp;B78&amp;" --day "&amp;TEXT(F78,"YYYY-MM-DD")</f>
        <v>start /low /b %USERPROFILE%\Documents\GitHub\eaglep3\Utilities\DownloadLogsFromS3.py --loco 4056 --day 2017-09-30</v>
      </c>
      <c r="AN78" s="143" t="str">
        <f t="shared" ref="AN78:AN141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0" t="str">
        <f t="shared" ref="AO78:AO141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-30T10:38:37-0600',mode:absolute,to:'2017-09-30T13:21:01-0600'))&amp;_a=(columns:!('Message%20ID',Summary),filters:!(),index:'emp_*',interval:auto,query:(query_string:(analyze_wildcard:!t,query:'%22rtdc.l.rtdc.4056%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724</v>
      </c>
      <c r="B79" s="7">
        <v>4055</v>
      </c>
      <c r="C79" s="21" t="s">
        <v>195</v>
      </c>
      <c r="D79" s="21" t="s">
        <v>395</v>
      </c>
      <c r="E79" s="13">
        <v>43008.516550925924</v>
      </c>
      <c r="F79" s="13">
        <v>43008.529340277775</v>
      </c>
      <c r="G79" s="7">
        <v>85</v>
      </c>
      <c r="H79" s="21" t="s">
        <v>340</v>
      </c>
      <c r="I79" s="13">
        <v>43008.55541666667</v>
      </c>
      <c r="J79" s="7">
        <v>0</v>
      </c>
      <c r="K79" s="81" t="str">
        <f t="shared" si="30"/>
        <v>4055/4056</v>
      </c>
      <c r="L79" s="175" t="str">
        <f>VLOOKUP(A79,'Trips&amp;Operators'!$C$1:$G$99911,5,FALSE)</f>
        <v>GUZMAN DANNY</v>
      </c>
      <c r="M79" s="6">
        <f t="shared" si="31"/>
        <v>2.6076388894580305E-2</v>
      </c>
      <c r="N79" s="7">
        <f t="shared" si="28"/>
        <v>37.550000008195639</v>
      </c>
      <c r="O79" s="7"/>
      <c r="P79" s="7"/>
      <c r="Q79" s="22"/>
      <c r="R79" s="166"/>
      <c r="S79" s="228">
        <f t="shared" si="29"/>
        <v>1</v>
      </c>
      <c r="T79" s="166" t="str">
        <f t="shared" si="32"/>
        <v>Southbound</v>
      </c>
      <c r="U79" s="21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4" t="str">
        <f t="shared" si="33"/>
        <v>https://d0f6bd738d7f1b3e5a7ca70fe4ff75f0.us-east-1.aws.found.io/app/kibana#/discover/Steve-Slow-Train-Analysis-(2080s-and-2083s)?_g=(refreshInterval:(display:Off,pause:!f,section:0,value:0),time:(from:'2017-09-30T11:23:50-0600',mode:absolute,to:'2017-09-30T14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9" s="215" t="str">
        <f>IF(AA79&lt;VLOOKUP(AG79,Variables!$AC$3:$AD$8,2,FALSE),"Y","N")</f>
        <v>N</v>
      </c>
      <c r="X79" s="215">
        <f t="shared" si="34"/>
        <v>1</v>
      </c>
      <c r="Y79" s="215">
        <f t="shared" si="35"/>
        <v>23.297799999999999</v>
      </c>
      <c r="Z79" s="215">
        <f t="shared" si="36"/>
        <v>1.47E-2</v>
      </c>
      <c r="AA79" s="215">
        <f t="shared" si="37"/>
        <v>23.283099999999997</v>
      </c>
      <c r="AB79" s="216" t="e">
        <f>VLOOKUP(A79,Enforcements!$C$7:$K$11,8,0)</f>
        <v>#N/A</v>
      </c>
      <c r="AC79" s="216" t="e">
        <f>VLOOKUP(A79,Enforcements!$C$7:$E$11,3,0)</f>
        <v>#N/A</v>
      </c>
      <c r="AD79" s="217">
        <f t="shared" si="38"/>
        <v>166</v>
      </c>
      <c r="AE79" s="218" t="str">
        <f t="shared" si="39"/>
        <v>aws s3 cp s3://rtdc.mdm.uploadarchive.raw/RTDC4055/ "%USERPROFILE%\AppData\Local\Temp\OnboardLogs"\RTDC4055\2017-09-30 --exclude "*" --recursive --include "*20170930*" &amp; "%USERPROFILE%\Documents\GitHub\mrs-test-scripts\Headless Mode &amp; Sideloading\WalkAndUnGZ.bat" "%USERPROFILE%\AppData\Local\Temp\OnboardLogs"\RTDC4055\2017-09-30 &amp; aws s3 cp s3://rtdc.mdm.uploadarchive.raw/RTDC4055/ "%USERPROFILE%\AppData\Local\Temp\OnboardLogs"\RTDC4055\2017-10-01 --exclude "*" --recursive --include "*20171001*" &amp; "%USERPROFILE%\Documents\GitHub\mrs-test-scripts\Headless Mode &amp; Sideloading\WalkAndUnGZ.bat" "%USERPROFILE%\AppData\Local\Temp\OnboardLogs"\RTDC4055\2017-10-01</v>
      </c>
      <c r="AF79" s="68" t="str">
        <f t="shared" si="40"/>
        <v>"C:\Program Files (x86)\AstroGrep\AstroGrep.exe" /e /r /s /spath="%USERPROFILE%\AppData\Local\Temp\OnboardLogs" /stypes="app*4055*20170930*" /stext=" 19:.+((SYSTEM_STATE.+slice.+state.+changed )|(ment ac)|(multiple cpu faults)|(system.+state.+changed )|(\[timeout)|(PRM\|1\|D)|(kpr)|(kdp)|(train st.+moving)|(\|lc)|(penalty))"</v>
      </c>
      <c r="AG79" s="172" t="str">
        <f t="shared" si="41"/>
        <v>EC</v>
      </c>
      <c r="AH79" s="70" t="str">
        <f t="shared" si="42"/>
        <v>"%USERPROFILE%\Documents\GitHub\eaglep3\Utilities\RefineRTDCRunTimes.py" --tripid 166-30 --locoid 4055 --swversion DE.1.0.9.0 --startMP 204:232978 --initTime 2017-09-30T12:23:50 --startdatetime 2017-09-30T12:42:15 --delay 85 --endMP 204:147 --enddatetime 2017-09-30T13:19:48 --enforcementcount 0 &gt;&gt;c:\users\stu\Documents\GitHub\eaglep3-reporting\EC\2017-09-30-refined-times.txt</v>
      </c>
      <c r="AI79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{"issue":{"subject":"","project_id":79,"tracker_id":40,"status_id":1,"priority_id":2,"assigned_to_id":338,"start_date":"2017-09-30","description":"","custom_fields":[{"id":1,"name":"Subdivision","value":"EC"},{"id":4,"name":"Milepost","value":"0.0147"},{"id":17,"name":"Train ID","value":"166-30"},{"id":16,"name":"Locomotive ID","value":"4055"},{"id":130,"name":"Impact","value":""},{"id":150,"name":"Time of Event (Mountain Time)","value":"13:19:48"},{"id":151,"name":"Denver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34" t="str">
        <f t="shared" si="44"/>
        <v>start /low /b %USERPROFILE%\Documents\GitHub\eaglep3\Utilities\DownloadLogsFromS3.py --loco 4055 --day 2017-09-30</v>
      </c>
      <c r="AN79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19:19:48"},{"id":29,"name":"Sharepoint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0" t="str">
        <f t="shared" si="46"/>
        <v>https://d0f6bd738d7f1b3e5a7ca70fe4ff75f0.us-east-1.aws.found.io/app/kibana#/discover/Steve-Slow-Train-Analysis-(2080s-and-2083s)?_g=(refreshInterval:(display:Off,pause:!f,section:0,value:0),time:(from:'2017-09-30T11:23:50-0600',mode:absolute,to:'2017-09-30T14:19:48-0600'))&amp;_a=(columns:!('Message%20ID',Summary),filters:!(),index:'emp_*',interval:auto,query:(query_string:(analyze_wildcard:!t,query:'%22rtdc.l.rtdc.4055%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720</v>
      </c>
      <c r="B80" s="7">
        <v>4028</v>
      </c>
      <c r="C80" s="21" t="s">
        <v>195</v>
      </c>
      <c r="D80" s="21" t="s">
        <v>856</v>
      </c>
      <c r="E80" s="13">
        <v>43008.498090277775</v>
      </c>
      <c r="F80" s="13">
        <v>43008.500162037039</v>
      </c>
      <c r="G80" s="7">
        <v>62</v>
      </c>
      <c r="H80" s="21" t="s">
        <v>553</v>
      </c>
      <c r="I80" s="13">
        <v>43008.525555555556</v>
      </c>
      <c r="J80" s="7">
        <v>0</v>
      </c>
      <c r="K80" s="81" t="str">
        <f t="shared" si="30"/>
        <v>4027/4028</v>
      </c>
      <c r="L80" s="175" t="str">
        <f>VLOOKUP(A80,'Trips&amp;Operators'!$C$1:$G$99911,5,FALSE)</f>
        <v>BADERTSCHER DIANE</v>
      </c>
      <c r="M80" s="6">
        <f t="shared" si="31"/>
        <v>2.5393518517375924E-2</v>
      </c>
      <c r="N80" s="7">
        <f t="shared" si="28"/>
        <v>36.56666666502133</v>
      </c>
      <c r="O80" s="7"/>
      <c r="P80" s="7"/>
      <c r="Q80" s="22"/>
      <c r="R80" s="166"/>
      <c r="S80" s="228">
        <f t="shared" si="29"/>
        <v>1</v>
      </c>
      <c r="T80" s="166" t="str">
        <f t="shared" si="32"/>
        <v>NorthBound</v>
      </c>
      <c r="U80" s="21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4" t="str">
        <f t="shared" si="33"/>
        <v>https://d0f6bd738d7f1b3e5a7ca70fe4ff75f0.us-east-1.aws.found.io/app/kibana#/discover/Steve-Slow-Train-Analysis-(2080s-and-2083s)?_g=(refreshInterval:(display:Off,pause:!f,section:0,value:0),time:(from:'2017-09-30T10:57:15-0600',mode:absolute,to:'2017-09-30T13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0" s="215" t="str">
        <f>IF(AA80&lt;VLOOKUP(AG80,Variables!$AC$3:$AD$8,2,FALSE),"Y","N")</f>
        <v>N</v>
      </c>
      <c r="X80" s="215">
        <f t="shared" si="34"/>
        <v>1</v>
      </c>
      <c r="Y80" s="215">
        <f t="shared" si="35"/>
        <v>4.0899999999999999E-2</v>
      </c>
      <c r="Z80" s="215">
        <f t="shared" si="36"/>
        <v>23.333100000000002</v>
      </c>
      <c r="AA80" s="215">
        <f t="shared" si="37"/>
        <v>23.292200000000001</v>
      </c>
      <c r="AB80" s="216" t="e">
        <f>VLOOKUP(A80,Enforcements!$C$7:$K$11,8,0)</f>
        <v>#N/A</v>
      </c>
      <c r="AC80" s="216" t="e">
        <f>VLOOKUP(A80,Enforcements!$C$7:$E$11,3,0)</f>
        <v>#N/A</v>
      </c>
      <c r="AD80" s="217">
        <f t="shared" si="38"/>
        <v>167</v>
      </c>
      <c r="AE80" s="218" t="str">
        <f t="shared" si="39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80" s="68" t="str">
        <f t="shared" si="40"/>
        <v>"C:\Program Files (x86)\AstroGrep\AstroGrep.exe" /e /r /s /spath="%USERPROFILE%\AppData\Local\Temp\OnboardLogs" /stypes="app*4028*20170930*" /stext=" 18:.+((SYSTEM_STATE.+slice.+state.+changed )|(ment ac)|(multiple cpu faults)|(system.+state.+changed )|(\[timeout)|(PRM\|1\|D)|(kpr)|(kdp)|(train st.+moving)|(\|lc)|(penalty))"</v>
      </c>
      <c r="AG80" s="172" t="str">
        <f t="shared" si="41"/>
        <v>EC</v>
      </c>
      <c r="AH80" s="70" t="str">
        <f t="shared" si="42"/>
        <v>"%USERPROFILE%\Documents\GitHub\eaglep3\Utilities\RefineRTDCRunTimes.py" --tripid 167-30 --locoid 4028 --swversion DE.1.0.9.0 --startMP 204:409 --initTime 2017-09-30T11:57:15 --startdatetime 2017-09-30T12:00:14 --delay 62 --endMP 204:233331 --enddatetime 2017-09-30T12:36:48 --enforcementcount 0 &gt;&gt;c:\users\stu\Documents\GitHub\eaglep3-reporting\EC\2017-09-30-refined-times.txt</v>
      </c>
      <c r="AI80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{"issue":{"subject":"","project_id":79,"tracker_id":40,"status_id":1,"priority_id":2,"assigned_to_id":338,"start_date":"2017-09-30","description":"","custom_fields":[{"id":1,"name":"Subdivision","value":"EC"},{"id":4,"name":"Milepost","value":"23.3331"},{"id":17,"name":"Train ID","value":"167-30"},{"id":16,"name":"Locomotive ID","value":"4028"},{"id":130,"name":"Impact","value":""},{"id":150,"name":"Time of Event (Mountain Time)","value":"12:36:48"},{"id":151,"name":"Denver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34" t="str">
        <f t="shared" si="44"/>
        <v>start /low /b %USERPROFILE%\Documents\GitHub\eaglep3\Utilities\DownloadLogsFromS3.py --loco 4028 --day 2017-09-30</v>
      </c>
      <c r="AN80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0" t="str">
        <f t="shared" si="46"/>
        <v>https://d0f6bd738d7f1b3e5a7ca70fe4ff75f0.us-east-1.aws.found.io/app/kibana#/discover/Steve-Slow-Train-Analysis-(2080s-and-2083s)?_g=(refreshInterval:(display:Off,pause:!f,section:0,value:0),time:(from:'2017-09-30T10:57:15-0600',mode:absolute,to:'2017-09-30T13:36:48-0600'))&amp;_a=(columns:!('Message%20ID',Summary),filters:!(),index:'emp_*',interval:auto,query:(query_string:(analyze_wildcard:!t,query:'%22rtdc.l.rtdc.4028%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601</v>
      </c>
      <c r="B81" s="7">
        <v>4027</v>
      </c>
      <c r="C81" s="21" t="s">
        <v>195</v>
      </c>
      <c r="D81" s="21" t="s">
        <v>857</v>
      </c>
      <c r="E81" s="13">
        <v>43008.531898148147</v>
      </c>
      <c r="F81" s="13">
        <v>43008.539756944447</v>
      </c>
      <c r="G81" s="7">
        <v>67</v>
      </c>
      <c r="H81" s="21" t="s">
        <v>456</v>
      </c>
      <c r="I81" s="13">
        <v>43008.566932870373</v>
      </c>
      <c r="J81" s="7">
        <v>0</v>
      </c>
      <c r="K81" s="81" t="str">
        <f t="shared" si="30"/>
        <v>4027/4028</v>
      </c>
      <c r="L81" s="175" t="str">
        <f>VLOOKUP(A81,'Trips&amp;Operators'!$C$1:$G$99911,5,FALSE)</f>
        <v>BADERTSCHER DIANE</v>
      </c>
      <c r="M81" s="6">
        <f t="shared" si="31"/>
        <v>2.7175925926712807E-2</v>
      </c>
      <c r="N81" s="7">
        <f t="shared" si="28"/>
        <v>39.133333334466442</v>
      </c>
      <c r="O81" s="7"/>
      <c r="P81" s="7"/>
      <c r="Q81" s="22"/>
      <c r="R81" s="166"/>
      <c r="S81" s="228">
        <f t="shared" si="29"/>
        <v>1</v>
      </c>
      <c r="T81" s="166" t="str">
        <f t="shared" si="32"/>
        <v>Southbound</v>
      </c>
      <c r="U81" s="21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4" t="str">
        <f t="shared" si="33"/>
        <v>https://d0f6bd738d7f1b3e5a7ca70fe4ff75f0.us-east-1.aws.found.io/app/kibana#/discover/Steve-Slow-Train-Analysis-(2080s-and-2083s)?_g=(refreshInterval:(display:Off,pause:!f,section:0,value:0),time:(from:'2017-09-30T11:45:56-0600',mode:absolute,to:'2017-09-30T14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1" s="215" t="str">
        <f>IF(AA81&lt;VLOOKUP(AG81,Variables!$AC$3:$AD$8,2,FALSE),"Y","N")</f>
        <v>N</v>
      </c>
      <c r="X81" s="215">
        <f t="shared" si="34"/>
        <v>1</v>
      </c>
      <c r="Y81" s="215">
        <f t="shared" si="35"/>
        <v>23.301300000000001</v>
      </c>
      <c r="Z81" s="215">
        <f t="shared" si="36"/>
        <v>1.29E-2</v>
      </c>
      <c r="AA81" s="215">
        <f t="shared" si="37"/>
        <v>23.288400000000003</v>
      </c>
      <c r="AB81" s="216" t="e">
        <f>VLOOKUP(A81,Enforcements!$C$7:$K$11,8,0)</f>
        <v>#N/A</v>
      </c>
      <c r="AC81" s="216" t="e">
        <f>VLOOKUP(A81,Enforcements!$C$7:$E$11,3,0)</f>
        <v>#N/A</v>
      </c>
      <c r="AD81" s="217">
        <f t="shared" si="38"/>
        <v>168</v>
      </c>
      <c r="AE81" s="218" t="str">
        <f t="shared" si="39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81" s="68" t="str">
        <f t="shared" si="40"/>
        <v>"C:\Program Files (x86)\AstroGrep\AstroGrep.exe" /e /r /s /spath="%USERPROFILE%\AppData\Local\Temp\OnboardLogs" /stypes="app*4027*20170930*" /stext=" 19:.+((SYSTEM_STATE.+slice.+state.+changed )|(ment ac)|(multiple cpu faults)|(system.+state.+changed )|(\[timeout)|(PRM\|1\|D)|(kpr)|(kdp)|(train st.+moving)|(\|lc)|(penalty))"</v>
      </c>
      <c r="AG81" s="172" t="str">
        <f t="shared" si="41"/>
        <v>EC</v>
      </c>
      <c r="AH81" s="70" t="str">
        <f t="shared" si="42"/>
        <v>"%USERPROFILE%\Documents\GitHub\eaglep3\Utilities\RefineRTDCRunTimes.py" --tripid 168-30 --locoid 4027 --swversion DE.1.0.9.0 --startMP 204:233013 --initTime 2017-09-30T12:45:56 --startdatetime 2017-09-30T12:57:15 --delay 67 --endMP 204:129 --enddatetime 2017-09-30T13:36:23 --enforcementcount 0 &gt;&gt;c:\users\stu\Documents\GitHub\eaglep3-reporting\EC\2017-09-30-refined-times.txt</v>
      </c>
      <c r="AI81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{"issue":{"subject":"","project_id":79,"tracker_id":40,"status_id":1,"priority_id":2,"assigned_to_id":338,"start_date":"2017-09-30","description":"","custom_fields":[{"id":1,"name":"Subdivision","value":"EC"},{"id":4,"name":"Milepost","value":"0.0129"},{"id":17,"name":"Train ID","value":"168-30"},{"id":16,"name":"Locomotive ID","value":"4027"},{"id":130,"name":"Impact","value":""},{"id":150,"name":"Time of Event (Mountain Time)","value":"13:36:23"},{"id":151,"name":"Denver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34" t="str">
        <f t="shared" si="44"/>
        <v>start /low /b %USERPROFILE%\Documents\GitHub\eaglep3\Utilities\DownloadLogsFromS3.py --loco 4027 --day 2017-09-30</v>
      </c>
      <c r="AN81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19:36:23"},{"id":29,"name":"Sharepoint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0" t="str">
        <f t="shared" si="46"/>
        <v>https://d0f6bd738d7f1b3e5a7ca70fe4ff75f0.us-east-1.aws.found.io/app/kibana#/discover/Steve-Slow-Train-Analysis-(2080s-and-2083s)?_g=(refreshInterval:(display:Off,pause:!f,section:0,value:0),time:(from:'2017-09-30T11:45:56-0600',mode:absolute,to:'2017-09-30T14:36:23-0600'))&amp;_a=(columns:!('Message%20ID',Summary),filters:!(),index:'emp_*',interval:auto,query:(query_string:(analyze_wildcard:!t,query:'%22rtdc.l.rtdc.4027%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722</v>
      </c>
      <c r="B82" s="7">
        <v>4046</v>
      </c>
      <c r="C82" s="21" t="s">
        <v>195</v>
      </c>
      <c r="D82" s="21" t="s">
        <v>393</v>
      </c>
      <c r="E82" s="13">
        <v>43008.50677083333</v>
      </c>
      <c r="F82" s="13">
        <v>43008.510601851849</v>
      </c>
      <c r="G82" s="7">
        <v>105</v>
      </c>
      <c r="H82" s="21" t="s">
        <v>571</v>
      </c>
      <c r="I82" s="13">
        <v>43008.535196759258</v>
      </c>
      <c r="J82" s="7">
        <v>0</v>
      </c>
      <c r="K82" s="81" t="str">
        <f t="shared" si="30"/>
        <v>4045/4046</v>
      </c>
      <c r="L82" s="175" t="str">
        <f>VLOOKUP(A82,'Trips&amp;Operators'!$C$1:$G$99911,5,FALSE)</f>
        <v>BERLING GARY</v>
      </c>
      <c r="M82" s="6">
        <f t="shared" si="31"/>
        <v>2.4594907408754807E-2</v>
      </c>
      <c r="N82" s="7">
        <f t="shared" si="28"/>
        <v>35.416666668606922</v>
      </c>
      <c r="O82" s="7"/>
      <c r="P82" s="7"/>
      <c r="Q82" s="22"/>
      <c r="R82" s="166"/>
      <c r="S82" s="228">
        <f t="shared" si="29"/>
        <v>1</v>
      </c>
      <c r="T82" s="166" t="str">
        <f t="shared" si="32"/>
        <v>NorthBound</v>
      </c>
      <c r="U82" s="21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4" t="str">
        <f t="shared" si="33"/>
        <v>https://d0f6bd738d7f1b3e5a7ca70fe4ff75f0.us-east-1.aws.found.io/app/kibana#/discover/Steve-Slow-Train-Analysis-(2080s-and-2083s)?_g=(refreshInterval:(display:Off,pause:!f,section:0,value:0),time:(from:'2017-09-30T11:09:45-0600',mode:absolute,to:'2017-09-30T13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2" s="215" t="str">
        <f>IF(AA82&lt;VLOOKUP(AG82,Variables!$AC$3:$AD$8,2,FALSE),"Y","N")</f>
        <v>N</v>
      </c>
      <c r="X82" s="215">
        <f t="shared" si="34"/>
        <v>1</v>
      </c>
      <c r="Y82" s="215">
        <f t="shared" si="35"/>
        <v>4.4699999999999997E-2</v>
      </c>
      <c r="Z82" s="215">
        <f t="shared" si="36"/>
        <v>23.330300000000001</v>
      </c>
      <c r="AA82" s="215">
        <f t="shared" si="37"/>
        <v>23.285600000000002</v>
      </c>
      <c r="AB82" s="216" t="e">
        <f>VLOOKUP(A82,Enforcements!$C$7:$K$11,8,0)</f>
        <v>#N/A</v>
      </c>
      <c r="AC82" s="216" t="e">
        <f>VLOOKUP(A82,Enforcements!$C$7:$E$11,3,0)</f>
        <v>#N/A</v>
      </c>
      <c r="AD82" s="217">
        <f t="shared" si="38"/>
        <v>169</v>
      </c>
      <c r="AE82" s="218" t="str">
        <f t="shared" si="39"/>
        <v>aws s3 cp s3://rtdc.mdm.uploadarchive.raw/RTDC4046/ "%USERPROFILE%\AppData\Local\Temp\OnboardLogs"\RTDC4046\2017-09-30 --exclude "*" --recursive --include "*20170930*" &amp; "%USERPROFILE%\Documents\GitHub\mrs-test-scripts\Headless Mode &amp; Sideloading\WalkAndUnGZ.bat" "%USERPROFILE%\AppData\Local\Temp\OnboardLogs"\RTDC4046\2017-09-30 &amp; aws s3 cp s3://rtdc.mdm.uploadarchive.raw/RTDC4046/ "%USERPROFILE%\AppData\Local\Temp\OnboardLogs"\RTDC4046\2017-10-01 --exclude "*" --recursive --include "*20171001*" &amp; "%USERPROFILE%\Documents\GitHub\mrs-test-scripts\Headless Mode &amp; Sideloading\WalkAndUnGZ.bat" "%USERPROFILE%\AppData\Local\Temp\OnboardLogs"\RTDC4046\2017-10-01</v>
      </c>
      <c r="AF82" s="68" t="str">
        <f t="shared" si="40"/>
        <v>"C:\Program Files (x86)\AstroGrep\AstroGrep.exe" /e /r /s /spath="%USERPROFILE%\AppData\Local\Temp\OnboardLogs" /stypes="app*4046*20170930*" /stext=" 18:.+((SYSTEM_STATE.+slice.+state.+changed )|(ment ac)|(multiple cpu faults)|(system.+state.+changed )|(\[timeout)|(PRM\|1\|D)|(kpr)|(kdp)|(train st.+moving)|(\|lc)|(penalty))"</v>
      </c>
      <c r="AG82" s="172" t="str">
        <f t="shared" si="41"/>
        <v>EC</v>
      </c>
      <c r="AH82" s="70" t="str">
        <f t="shared" si="42"/>
        <v>"%USERPROFILE%\Documents\GitHub\eaglep3\Utilities\RefineRTDCRunTimes.py" --tripid 169-30 --locoid 4046 --swversion DE.1.0.9.0 --startMP 204:447 --initTime 2017-09-30T12:09:45 --startdatetime 2017-09-30T12:15:16 --delay 105 --endMP 204:233303 --enddatetime 2017-09-30T12:50:41 --enforcementcount 0 &gt;&gt;c:\users\stu\Documents\GitHub\eaglep3-reporting\EC\2017-09-30-refined-times.txt</v>
      </c>
      <c r="AI82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{"issue":{"subject":"","project_id":79,"tracker_id":40,"status_id":1,"priority_id":2,"assigned_to_id":338,"start_date":"2017-09-30","description":"","custom_fields":[{"id":1,"name":"Subdivision","value":"EC"},{"id":4,"name":"Milepost","value":"23.3303"},{"id":17,"name":"Train ID","value":"169-30"},{"id":16,"name":"Locomotive ID","value":"4046"},{"id":130,"name":"Impact","value":""},{"id":150,"name":"Time of Event (Mountain Time)","value":"12:50:41"},{"id":151,"name":"Denver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34" t="str">
        <f t="shared" si="44"/>
        <v>start /low /b %USERPROFILE%\Documents\GitHub\eaglep3\Utilities\DownloadLogsFromS3.py --loco 4046 --day 2017-09-30</v>
      </c>
      <c r="AN82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0" t="str">
        <f t="shared" si="46"/>
        <v>https://d0f6bd738d7f1b3e5a7ca70fe4ff75f0.us-east-1.aws.found.io/app/kibana#/discover/Steve-Slow-Train-Analysis-(2080s-and-2083s)?_g=(refreshInterval:(display:Off,pause:!f,section:0,value:0),time:(from:'2017-09-30T11:09:45-0600',mode:absolute,to:'2017-09-30T13:50:41-0600'))&amp;_a=(columns:!('Message%20ID',Summary),filters:!(),index:'emp_*',interval:auto,query:(query_string:(analyze_wildcard:!t,query:'%22rtdc.l.rtdc.4046%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730</v>
      </c>
      <c r="B83" s="7">
        <v>4045</v>
      </c>
      <c r="C83" s="21" t="s">
        <v>195</v>
      </c>
      <c r="D83" s="21" t="s">
        <v>858</v>
      </c>
      <c r="E83" s="13">
        <v>43008.543449074074</v>
      </c>
      <c r="F83" s="13">
        <v>43008.550162037034</v>
      </c>
      <c r="G83" s="7">
        <v>88</v>
      </c>
      <c r="H83" s="21" t="s">
        <v>378</v>
      </c>
      <c r="I83" s="13">
        <v>43008.577615740738</v>
      </c>
      <c r="J83" s="7">
        <v>0</v>
      </c>
      <c r="K83" s="81" t="str">
        <f t="shared" si="30"/>
        <v>4045/4046</v>
      </c>
      <c r="L83" s="175" t="str">
        <f>VLOOKUP(A83,'Trips&amp;Operators'!$C$1:$G$99911,5,FALSE)</f>
        <v>BERLING GARY</v>
      </c>
      <c r="M83" s="6">
        <f t="shared" si="31"/>
        <v>2.7453703703940846E-2</v>
      </c>
      <c r="N83" s="7">
        <f t="shared" si="28"/>
        <v>39.533333333674818</v>
      </c>
      <c r="O83" s="7"/>
      <c r="P83" s="7"/>
      <c r="Q83" s="22"/>
      <c r="R83" s="166"/>
      <c r="S83" s="228">
        <f t="shared" si="29"/>
        <v>1</v>
      </c>
      <c r="T83" s="166" t="str">
        <f t="shared" si="32"/>
        <v>Southbound</v>
      </c>
      <c r="U83" s="21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4" t="str">
        <f t="shared" si="33"/>
        <v>https://d0f6bd738d7f1b3e5a7ca70fe4ff75f0.us-east-1.aws.found.io/app/kibana#/discover/Steve-Slow-Train-Analysis-(2080s-and-2083s)?_g=(refreshInterval:(display:Off,pause:!f,section:0,value:0),time:(from:'2017-09-30T12:02:34-0600',mode:absolute,to:'2017-09-30T14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3" s="215" t="str">
        <f>IF(AA83&lt;VLOOKUP(AG83,Variables!$AC$3:$AD$8,2,FALSE),"Y","N")</f>
        <v>N</v>
      </c>
      <c r="X83" s="215">
        <f t="shared" si="34"/>
        <v>1</v>
      </c>
      <c r="Y83" s="215">
        <f t="shared" si="35"/>
        <v>23.2986</v>
      </c>
      <c r="Z83" s="215">
        <f t="shared" si="36"/>
        <v>1.3899999999999999E-2</v>
      </c>
      <c r="AA83" s="215">
        <f t="shared" si="37"/>
        <v>23.284700000000001</v>
      </c>
      <c r="AB83" s="216" t="e">
        <f>VLOOKUP(A83,Enforcements!$C$7:$K$11,8,0)</f>
        <v>#N/A</v>
      </c>
      <c r="AC83" s="216" t="e">
        <f>VLOOKUP(A83,Enforcements!$C$7:$E$11,3,0)</f>
        <v>#N/A</v>
      </c>
      <c r="AD83" s="217">
        <f t="shared" si="38"/>
        <v>170</v>
      </c>
      <c r="AE83" s="218" t="str">
        <f t="shared" si="39"/>
        <v>aws s3 cp s3://rtdc.mdm.uploadarchive.raw/RTDC4045/ "%USERPROFILE%\AppData\Local\Temp\OnboardLogs"\RTDC4045\2017-09-30 --exclude "*" --recursive --include "*20170930*" &amp; "%USERPROFILE%\Documents\GitHub\mrs-test-scripts\Headless Mode &amp; Sideloading\WalkAndUnGZ.bat" "%USERPROFILE%\AppData\Local\Temp\OnboardLogs"\RTDC4045\2017-09-30 &amp; aws s3 cp s3://rtdc.mdm.uploadarchive.raw/RTDC4045/ "%USERPROFILE%\AppData\Local\Temp\OnboardLogs"\RTDC4045\2017-10-01 --exclude "*" --recursive --include "*20171001*" &amp; "%USERPROFILE%\Documents\GitHub\mrs-test-scripts\Headless Mode &amp; Sideloading\WalkAndUnGZ.bat" "%USERPROFILE%\AppData\Local\Temp\OnboardLogs"\RTDC4045\2017-10-01</v>
      </c>
      <c r="AF83" s="68" t="str">
        <f t="shared" si="40"/>
        <v>"C:\Program Files (x86)\AstroGrep\AstroGrep.exe" /e /r /s /spath="%USERPROFILE%\AppData\Local\Temp\OnboardLogs" /stypes="app*4045*20170930*" /stext=" 19:.+((SYSTEM_STATE.+slice.+state.+changed )|(ment ac)|(multiple cpu faults)|(system.+state.+changed )|(\[timeout)|(PRM\|1\|D)|(kpr)|(kdp)|(train st.+moving)|(\|lc)|(penalty))"</v>
      </c>
      <c r="AG83" s="172" t="str">
        <f t="shared" si="41"/>
        <v>EC</v>
      </c>
      <c r="AH83" s="70" t="str">
        <f t="shared" si="42"/>
        <v>"%USERPROFILE%\Documents\GitHub\eaglep3\Utilities\RefineRTDCRunTimes.py" --tripid 170-30 --locoid 4045 --swversion DE.1.0.9.0 --startMP 204:232986 --initTime 2017-09-30T13:02:34 --startdatetime 2017-09-30T13:12:14 --delay 88 --endMP 204:139 --enddatetime 2017-09-30T13:51:46 --enforcementcount 0 &gt;&gt;c:\users\stu\Documents\GitHub\eaglep3-reporting\EC\2017-09-30-refined-times.txt</v>
      </c>
      <c r="AI83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{"issue":{"subject":"","project_id":79,"tracker_id":40,"status_id":1,"priority_id":2,"assigned_to_id":338,"start_date":"2017-09-30","description":"","custom_fields":[{"id":1,"name":"Subdivision","value":"EC"},{"id":4,"name":"Milepost","value":"0.0139"},{"id":17,"name":"Train ID","value":"170-30"},{"id":16,"name":"Locomotive ID","value":"4045"},{"id":130,"name":"Impact","value":""},{"id":150,"name":"Time of Event (Mountain Time)","value":"13:51:46"},{"id":151,"name":"Denver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34" t="str">
        <f t="shared" si="44"/>
        <v>start /low /b %USERPROFILE%\Documents\GitHub\eaglep3\Utilities\DownloadLogsFromS3.py --loco 4045 --day 2017-09-30</v>
      </c>
      <c r="AN83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19:51:46"},{"id":29,"name":"Sharepoint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0" t="str">
        <f t="shared" si="46"/>
        <v>https://d0f6bd738d7f1b3e5a7ca70fe4ff75f0.us-east-1.aws.found.io/app/kibana#/discover/Steve-Slow-Train-Analysis-(2080s-and-2083s)?_g=(refreshInterval:(display:Off,pause:!f,section:0,value:0),time:(from:'2017-09-30T12:02:34-0600',mode:absolute,to:'2017-09-30T14:51:46-0600'))&amp;_a=(columns:!('Message%20ID',Summary),filters:!(),index:'emp_*',interval:auto,query:(query_string:(analyze_wildcard:!t,query:'%22rtdc.l.rtdc.4045%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725</v>
      </c>
      <c r="B84" s="7">
        <v>4010</v>
      </c>
      <c r="C84" s="21" t="s">
        <v>195</v>
      </c>
      <c r="D84" s="21" t="s">
        <v>859</v>
      </c>
      <c r="E84" s="13">
        <v>43008.519224537034</v>
      </c>
      <c r="F84" s="13">
        <v>43008.521828703706</v>
      </c>
      <c r="G84" s="7">
        <v>67</v>
      </c>
      <c r="H84" s="21" t="s">
        <v>403</v>
      </c>
      <c r="I84" s="13">
        <v>43008.546226851853</v>
      </c>
      <c r="J84" s="7">
        <v>0</v>
      </c>
      <c r="K84" s="81" t="str">
        <f t="shared" si="30"/>
        <v>4009/4010</v>
      </c>
      <c r="L84" s="175" t="str">
        <f>VLOOKUP(A84,'Trips&amp;Operators'!$C$1:$G$99911,5,FALSE)</f>
        <v>BRUDER RICHARD</v>
      </c>
      <c r="M84" s="6">
        <f t="shared" si="31"/>
        <v>2.4398148147156462E-2</v>
      </c>
      <c r="N84" s="7">
        <f t="shared" si="28"/>
        <v>35.133333331905305</v>
      </c>
      <c r="O84" s="7"/>
      <c r="P84" s="7"/>
      <c r="Q84" s="22"/>
      <c r="R84" s="166"/>
      <c r="S84" s="228">
        <f t="shared" si="29"/>
        <v>1</v>
      </c>
      <c r="T84" s="166" t="str">
        <f t="shared" si="32"/>
        <v>NorthBound</v>
      </c>
      <c r="U84" s="21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4" t="str">
        <f t="shared" si="33"/>
        <v>https://d0f6bd738d7f1b3e5a7ca70fe4ff75f0.us-east-1.aws.found.io/app/kibana#/discover/Steve-Slow-Train-Analysis-(2080s-and-2083s)?_g=(refreshInterval:(display:Off,pause:!f,section:0,value:0),time:(from:'2017-09-30T11:27:41-0600',mode:absolute,to:'2017-09-30T14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4" s="215" t="str">
        <f>IF(AA84&lt;VLOOKUP(AG84,Variables!$AC$3:$AD$8,2,FALSE),"Y","N")</f>
        <v>N</v>
      </c>
      <c r="X84" s="215">
        <f t="shared" si="34"/>
        <v>1</v>
      </c>
      <c r="Y84" s="215">
        <f t="shared" si="35"/>
        <v>4.7500000000000001E-2</v>
      </c>
      <c r="Z84" s="215">
        <f t="shared" si="36"/>
        <v>23.331</v>
      </c>
      <c r="AA84" s="215">
        <f t="shared" si="37"/>
        <v>23.2835</v>
      </c>
      <c r="AB84" s="216" t="e">
        <f>VLOOKUP(A84,Enforcements!$C$7:$K$11,8,0)</f>
        <v>#N/A</v>
      </c>
      <c r="AC84" s="216" t="e">
        <f>VLOOKUP(A84,Enforcements!$C$7:$E$11,3,0)</f>
        <v>#N/A</v>
      </c>
      <c r="AD84" s="217">
        <f t="shared" si="38"/>
        <v>171</v>
      </c>
      <c r="AE84" s="218" t="str">
        <f t="shared" si="39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84" s="68" t="str">
        <f t="shared" si="40"/>
        <v>"C:\Program Files (x86)\AstroGrep\AstroGrep.exe" /e /r /s /spath="%USERPROFILE%\AppData\Local\Temp\OnboardLogs" /stypes="app*4010*20170930*" /stext=" 19:.+((SYSTEM_STATE.+slice.+state.+changed )|(ment ac)|(multiple cpu faults)|(system.+state.+changed )|(\[timeout)|(PRM\|1\|D)|(kpr)|(kdp)|(train st.+moving)|(\|lc)|(penalty))"</v>
      </c>
      <c r="AG84" s="172" t="str">
        <f t="shared" si="41"/>
        <v>EC</v>
      </c>
      <c r="AH84" s="70" t="str">
        <f t="shared" si="42"/>
        <v>"%USERPROFILE%\Documents\GitHub\eaglep3\Utilities\RefineRTDCRunTimes.py" --tripid 171-30 --locoid 4010 --swversion DE.1.0.9.0 --startMP 204:475 --initTime 2017-09-30T12:27:41 --startdatetime 2017-09-30T12:31:26 --delay 67 --endMP 204:233310 --enddatetime 2017-09-30T13:06:34 --enforcementcount 0 &gt;&gt;c:\users\stu\Documents\GitHub\eaglep3-reporting\EC\2017-09-30-refined-times.txt</v>
      </c>
      <c r="AI84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{"issue":{"subject":"","project_id":79,"tracker_id":40,"status_id":1,"priority_id":2,"assigned_to_id":338,"start_date":"2017-09-30","description":"","custom_fields":[{"id":1,"name":"Subdivision","value":"EC"},{"id":4,"name":"Milepost","value":"23.331"},{"id":17,"name":"Train ID","value":"171-30"},{"id":16,"name":"Locomotive ID","value":"4010"},{"id":130,"name":"Impact","value":""},{"id":150,"name":"Time of Event (Mountain Time)","value":"13:06:34"},{"id":151,"name":"Denver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34" t="str">
        <f t="shared" si="44"/>
        <v>start /low /b %USERPROFILE%\Documents\GitHub\eaglep3\Utilities\DownloadLogsFromS3.py --loco 4010 --day 2017-09-30</v>
      </c>
      <c r="AN84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19:06:34"},{"id":29,"name":"Sharepoint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0" t="str">
        <f t="shared" si="46"/>
        <v>https://d0f6bd738d7f1b3e5a7ca70fe4ff75f0.us-east-1.aws.found.io/app/kibana#/discover/Steve-Slow-Train-Analysis-(2080s-and-2083s)?_g=(refreshInterval:(display:Off,pause:!f,section:0,value:0),time:(from:'2017-09-30T11:27:41-0600',mode:absolute,to:'2017-09-30T14:06:34-0600'))&amp;_a=(columns:!('Message%20ID',Summary),filters:!(),index:'emp_*',interval:auto,query:(query_string:(analyze_wildcard:!t,query:'%22rtdc.l.rtdc.4010%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732</v>
      </c>
      <c r="B85" s="7">
        <v>4009</v>
      </c>
      <c r="C85" s="21" t="s">
        <v>195</v>
      </c>
      <c r="D85" s="21" t="s">
        <v>843</v>
      </c>
      <c r="E85" s="13">
        <v>43008.556307870371</v>
      </c>
      <c r="F85" s="13">
        <v>43008.560578703706</v>
      </c>
      <c r="G85" s="7">
        <v>120</v>
      </c>
      <c r="H85" s="21" t="s">
        <v>860</v>
      </c>
      <c r="I85" s="13">
        <v>43008.586238425924</v>
      </c>
      <c r="J85" s="7">
        <v>0</v>
      </c>
      <c r="K85" s="81" t="str">
        <f t="shared" si="30"/>
        <v>4009/4010</v>
      </c>
      <c r="L85" s="175" t="str">
        <f>VLOOKUP(A85,'Trips&amp;Operators'!$C$1:$G$99911,5,FALSE)</f>
        <v>BRUDER RICHARD</v>
      </c>
      <c r="M85" s="6">
        <f t="shared" si="31"/>
        <v>2.565972221782431E-2</v>
      </c>
      <c r="N85" s="7">
        <f t="shared" si="28"/>
        <v>36.949999993667006</v>
      </c>
      <c r="O85" s="7"/>
      <c r="P85" s="7"/>
      <c r="Q85" s="22"/>
      <c r="R85" s="166"/>
      <c r="S85" s="228">
        <f t="shared" si="29"/>
        <v>1</v>
      </c>
      <c r="T85" s="166" t="str">
        <f t="shared" si="32"/>
        <v>Southbound</v>
      </c>
      <c r="U85" s="21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4" t="str">
        <f t="shared" si="33"/>
        <v>https://d0f6bd738d7f1b3e5a7ca70fe4ff75f0.us-east-1.aws.found.io/app/kibana#/discover/Steve-Slow-Train-Analysis-(2080s-and-2083s)?_g=(refreshInterval:(display:Off,pause:!f,section:0,value:0),time:(from:'2017-09-30T12:21:05-0600',mode:absolute,to:'2017-09-30T15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5" s="215" t="str">
        <f>IF(AA85&lt;VLOOKUP(AG85,Variables!$AC$3:$AD$8,2,FALSE),"Y","N")</f>
        <v>N</v>
      </c>
      <c r="X85" s="215">
        <f t="shared" si="34"/>
        <v>1</v>
      </c>
      <c r="Y85" s="215">
        <f t="shared" si="35"/>
        <v>23.299299999999999</v>
      </c>
      <c r="Z85" s="215">
        <f t="shared" si="36"/>
        <v>1.6E-2</v>
      </c>
      <c r="AA85" s="215">
        <f t="shared" si="37"/>
        <v>23.283300000000001</v>
      </c>
      <c r="AB85" s="216" t="e">
        <f>VLOOKUP(A85,Enforcements!$C$7:$K$11,8,0)</f>
        <v>#N/A</v>
      </c>
      <c r="AC85" s="216" t="e">
        <f>VLOOKUP(A85,Enforcements!$C$7:$E$11,3,0)</f>
        <v>#N/A</v>
      </c>
      <c r="AD85" s="217">
        <f t="shared" si="38"/>
        <v>172</v>
      </c>
      <c r="AE85" s="218" t="str">
        <f t="shared" si="39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85" s="68" t="str">
        <f t="shared" si="40"/>
        <v>"C:\Program Files (x86)\AstroGrep\AstroGrep.exe" /e /r /s /spath="%USERPROFILE%\AppData\Local\Temp\OnboardLogs" /stypes="app*4009*20170930*" /stext=" 20:.+((SYSTEM_STATE.+slice.+state.+changed )|(ment ac)|(multiple cpu faults)|(system.+state.+changed )|(\[timeout)|(PRM\|1\|D)|(kpr)|(kdp)|(train st.+moving)|(\|lc)|(penalty))"</v>
      </c>
      <c r="AG85" s="172" t="str">
        <f t="shared" si="41"/>
        <v>EC</v>
      </c>
      <c r="AH85" s="70" t="str">
        <f t="shared" si="42"/>
        <v>"%USERPROFILE%\Documents\GitHub\eaglep3\Utilities\RefineRTDCRunTimes.py" --tripid 172-30 --locoid 4009 --swversion DE.1.0.9.0 --startMP 204:232993 --initTime 2017-09-30T13:21:05 --startdatetime 2017-09-30T13:27:14 --delay 120 --endMP 204:160 --enddatetime 2017-09-30T14:04:11 --enforcementcount 0 &gt;&gt;c:\users\stu\Documents\GitHub\eaglep3-reporting\EC\2017-09-30-refined-times.txt</v>
      </c>
      <c r="AI85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{"issue":{"subject":"","project_id":79,"tracker_id":40,"status_id":1,"priority_id":2,"assigned_to_id":338,"start_date":"2017-09-30","description":"","custom_fields":[{"id":1,"name":"Subdivision","value":"EC"},{"id":4,"name":"Milepost","value":"0.016"},{"id":17,"name":"Train ID","value":"172-30"},{"id":16,"name":"Locomotive ID","value":"4009"},{"id":130,"name":"Impact","value":""},{"id":150,"name":"Time of Event (Mountain Time)","value":"14:04:11"},{"id":151,"name":"Denver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34" t="str">
        <f t="shared" si="44"/>
        <v>start /low /b %USERPROFILE%\Documents\GitHub\eaglep3\Utilities\DownloadLogsFromS3.py --loco 4009 --day 2017-09-30</v>
      </c>
      <c r="AN85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0" t="str">
        <f t="shared" si="46"/>
        <v>https://d0f6bd738d7f1b3e5a7ca70fe4ff75f0.us-east-1.aws.found.io/app/kibana#/discover/Steve-Slow-Train-Analysis-(2080s-and-2083s)?_g=(refreshInterval:(display:Off,pause:!f,section:0,value:0),time:(from:'2017-09-30T12:21:05-0600',mode:absolute,to:'2017-09-30T15:04:11-0600'))&amp;_a=(columns:!('Message%20ID',Summary),filters:!(),index:'emp_*',interval:auto,query:(query_string:(analyze_wildcard:!t,query:'%22rtdc.l.rtdc.4009%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727</v>
      </c>
      <c r="B86" s="7">
        <v>4020</v>
      </c>
      <c r="C86" s="21" t="s">
        <v>195</v>
      </c>
      <c r="D86" s="21" t="s">
        <v>405</v>
      </c>
      <c r="E86" s="13">
        <v>43008.530555555553</v>
      </c>
      <c r="F86" s="13">
        <v>43008.531944444447</v>
      </c>
      <c r="G86" s="7">
        <v>56</v>
      </c>
      <c r="H86" s="21" t="s">
        <v>463</v>
      </c>
      <c r="I86" s="13">
        <v>43008.555185185185</v>
      </c>
      <c r="J86" s="7">
        <v>0</v>
      </c>
      <c r="K86" s="81" t="str">
        <f t="shared" si="30"/>
        <v>4019/4020</v>
      </c>
      <c r="L86" s="175" t="str">
        <f>VLOOKUP(A86,'Trips&amp;Operators'!$C$1:$G$99911,5,FALSE)</f>
        <v>HOLCOMB KAMDEN</v>
      </c>
      <c r="M86" s="6">
        <f t="shared" si="31"/>
        <v>2.3240740738401655E-2</v>
      </c>
      <c r="N86" s="7">
        <f t="shared" si="28"/>
        <v>33.466666663298383</v>
      </c>
      <c r="O86" s="7"/>
      <c r="P86" s="7"/>
      <c r="Q86" s="22"/>
      <c r="R86" s="166"/>
      <c r="S86" s="228">
        <f t="shared" si="29"/>
        <v>1</v>
      </c>
      <c r="T86" s="166" t="str">
        <f t="shared" si="32"/>
        <v>NorthBound</v>
      </c>
      <c r="U86" s="21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4" t="str">
        <f t="shared" si="33"/>
        <v>https://d0f6bd738d7f1b3e5a7ca70fe4ff75f0.us-east-1.aws.found.io/app/kibana#/discover/Steve-Slow-Train-Analysis-(2080s-and-2083s)?_g=(refreshInterval:(display:Off,pause:!f,section:0,value:0),time:(from:'2017-09-30T11:44:00-0600',mode:absolute,to:'2017-09-30T14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6" s="215" t="str">
        <f>IF(AA86&lt;VLOOKUP(AG86,Variables!$AC$3:$AD$8,2,FALSE),"Y","N")</f>
        <v>N</v>
      </c>
      <c r="X86" s="215">
        <f t="shared" si="34"/>
        <v>1</v>
      </c>
      <c r="Y86" s="215">
        <f t="shared" si="35"/>
        <v>4.5699999999999998E-2</v>
      </c>
      <c r="Z86" s="215">
        <f t="shared" si="36"/>
        <v>23.330500000000001</v>
      </c>
      <c r="AA86" s="215">
        <f t="shared" si="37"/>
        <v>23.284800000000001</v>
      </c>
      <c r="AB86" s="216" t="e">
        <f>VLOOKUP(A86,Enforcements!$C$7:$K$11,8,0)</f>
        <v>#N/A</v>
      </c>
      <c r="AC86" s="216" t="e">
        <f>VLOOKUP(A86,Enforcements!$C$7:$E$11,3,0)</f>
        <v>#N/A</v>
      </c>
      <c r="AD86" s="217">
        <f t="shared" si="38"/>
        <v>173</v>
      </c>
      <c r="AE86" s="218" t="str">
        <f t="shared" si="39"/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AF86" s="68" t="str">
        <f t="shared" si="40"/>
        <v>"C:\Program Files (x86)\AstroGrep\AstroGrep.exe" /e /r /s /spath="%USERPROFILE%\AppData\Local\Temp\OnboardLogs" /stypes="app*4020*20170930*" /stext=" 19:.+((SYSTEM_STATE.+slice.+state.+changed )|(ment ac)|(multiple cpu faults)|(system.+state.+changed )|(\[timeout)|(PRM\|1\|D)|(kpr)|(kdp)|(train st.+moving)|(\|lc)|(penalty))"</v>
      </c>
      <c r="AG86" s="172" t="str">
        <f t="shared" si="41"/>
        <v>EC</v>
      </c>
      <c r="AH86" s="70" t="str">
        <f t="shared" si="42"/>
        <v>"%USERPROFILE%\Documents\GitHub\eaglep3\Utilities\RefineRTDCRunTimes.py" --tripid 173-30 --locoid 4020 --swversion DE.1.0.9.0 --startMP 204:457 --initTime 2017-09-30T12:44:00 --startdatetime 2017-09-30T12:46:00 --delay 56 --endMP 204:233305 --enddatetime 2017-09-30T13:19:28 --enforcementcount 0 &gt;&gt;c:\users\stu\Documents\GitHub\eaglep3-reporting\EC\2017-09-30-refined-times.txt</v>
      </c>
      <c r="AI86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{"issue":{"subject":"","project_id":79,"tracker_id":40,"status_id":1,"priority_id":2,"assigned_to_id":338,"start_date":"2017-09-30","description":"","custom_fields":[{"id":1,"name":"Subdivision","value":"EC"},{"id":4,"name":"Milepost","value":"23.3305"},{"id":17,"name":"Train ID","value":"173-30"},{"id":16,"name":"Locomotive ID","value":"4020"},{"id":130,"name":"Impact","value":""},{"id":150,"name":"Time of Event (Mountain Time)","value":"13:19:28"},{"id":151,"name":"Denver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34" t="str">
        <f t="shared" si="44"/>
        <v>start /low /b %USERPROFILE%\Documents\GitHub\eaglep3\Utilities\DownloadLogsFromS3.py --loco 4020 --day 2017-09-30</v>
      </c>
      <c r="AN86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19:19:28"},{"id":29,"name":"Sharepoint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0" t="str">
        <f t="shared" si="46"/>
        <v>https://d0f6bd738d7f1b3e5a7ca70fe4ff75f0.us-east-1.aws.found.io/app/kibana#/discover/Steve-Slow-Train-Analysis-(2080s-and-2083s)?_g=(refreshInterval:(display:Off,pause:!f,section:0,value:0),time:(from:'2017-09-30T11:44:00-0600',mode:absolute,to:'2017-09-30T14:19:28-0600'))&amp;_a=(columns:!('Message%20ID',Summary),filters:!(),index:'emp_*',interval:auto,query:(query_string:(analyze_wildcard:!t,query:'%22rtdc.l.rtdc.4020%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734</v>
      </c>
      <c r="B87" s="7">
        <v>4019</v>
      </c>
      <c r="C87" s="21" t="s">
        <v>195</v>
      </c>
      <c r="D87" s="21" t="s">
        <v>570</v>
      </c>
      <c r="E87" s="13">
        <v>43008.567604166667</v>
      </c>
      <c r="F87" s="13">
        <v>43008.571064814816</v>
      </c>
      <c r="G87" s="7">
        <v>61</v>
      </c>
      <c r="H87" s="21" t="s">
        <v>360</v>
      </c>
      <c r="I87" s="13">
        <v>43008.59679398148</v>
      </c>
      <c r="J87" s="7">
        <v>0</v>
      </c>
      <c r="K87" s="81" t="str">
        <f t="shared" si="30"/>
        <v>4019/4020</v>
      </c>
      <c r="L87" s="175" t="str">
        <f>VLOOKUP(A87,'Trips&amp;Operators'!$C$1:$G$99911,5,FALSE)</f>
        <v>HOLCOMB KAMDEN</v>
      </c>
      <c r="M87" s="6">
        <f t="shared" si="31"/>
        <v>2.5729166663950309E-2</v>
      </c>
      <c r="N87" s="7">
        <f t="shared" si="28"/>
        <v>37.049999996088445</v>
      </c>
      <c r="O87" s="7"/>
      <c r="P87" s="7"/>
      <c r="Q87" s="22"/>
      <c r="R87" s="166"/>
      <c r="S87" s="228">
        <f t="shared" si="29"/>
        <v>1</v>
      </c>
      <c r="T87" s="166" t="str">
        <f t="shared" si="32"/>
        <v>Southbound</v>
      </c>
      <c r="U87" s="21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4" t="str">
        <f t="shared" si="33"/>
        <v>https://d0f6bd738d7f1b3e5a7ca70fe4ff75f0.us-east-1.aws.found.io/app/kibana#/discover/Steve-Slow-Train-Analysis-(2080s-and-2083s)?_g=(refreshInterval:(display:Off,pause:!f,section:0,value:0),time:(from:'2017-09-30T12:37:21-0600',mode:absolute,to:'2017-09-30T15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7" s="215" t="str">
        <f>IF(AA87&lt;VLOOKUP(AG87,Variables!$AC$3:$AD$8,2,FALSE),"Y","N")</f>
        <v>N</v>
      </c>
      <c r="X87" s="215">
        <f t="shared" si="34"/>
        <v>1</v>
      </c>
      <c r="Y87" s="215">
        <f t="shared" si="35"/>
        <v>23.299199999999999</v>
      </c>
      <c r="Z87" s="215">
        <f t="shared" si="36"/>
        <v>1.4500000000000001E-2</v>
      </c>
      <c r="AA87" s="215">
        <f t="shared" si="37"/>
        <v>23.284699999999997</v>
      </c>
      <c r="AB87" s="216" t="e">
        <f>VLOOKUP(A87,Enforcements!$C$7:$K$11,8,0)</f>
        <v>#N/A</v>
      </c>
      <c r="AC87" s="216" t="e">
        <f>VLOOKUP(A87,Enforcements!$C$7:$E$11,3,0)</f>
        <v>#N/A</v>
      </c>
      <c r="AD87" s="217">
        <f t="shared" si="38"/>
        <v>174</v>
      </c>
      <c r="AE87" s="218" t="str">
        <f t="shared" si="39"/>
        <v>aws s3 cp s3://rtdc.mdm.uploadarchive.raw/RTDC4019/ "%USERPROFILE%\AppData\Local\Temp\OnboardLogs"\RTDC4019\2017-09-30 --exclude "*" --recursive --include "*20170930*" &amp; "%USERPROFILE%\Documents\GitHub\mrs-test-scripts\Headless Mode &amp; Sideloading\WalkAndUnGZ.bat" "%USERPROFILE%\AppData\Local\Temp\OnboardLogs"\RTDC4019\2017-09-30 &amp; aws s3 cp s3://rtdc.mdm.uploadarchive.raw/RTDC4019/ "%USERPROFILE%\AppData\Local\Temp\OnboardLogs"\RTDC4019\2017-10-01 --exclude "*" --recursive --include "*20171001*" &amp; "%USERPROFILE%\Documents\GitHub\mrs-test-scripts\Headless Mode &amp; Sideloading\WalkAndUnGZ.bat" "%USERPROFILE%\AppData\Local\Temp\OnboardLogs"\RTDC4019\2017-10-01</v>
      </c>
      <c r="AF87" s="68" t="str">
        <f t="shared" si="40"/>
        <v>"C:\Program Files (x86)\AstroGrep\AstroGrep.exe" /e /r /s /spath="%USERPROFILE%\AppData\Local\Temp\OnboardLogs" /stypes="app*4019*20170930*" /stext=" 20:.+((SYSTEM_STATE.+slice.+state.+changed )|(ment ac)|(multiple cpu faults)|(system.+state.+changed )|(\[timeout)|(PRM\|1\|D)|(kpr)|(kdp)|(train st.+moving)|(\|lc)|(penalty))"</v>
      </c>
      <c r="AG87" s="172" t="str">
        <f t="shared" si="41"/>
        <v>EC</v>
      </c>
      <c r="AH87" s="70" t="str">
        <f t="shared" si="42"/>
        <v>"%USERPROFILE%\Documents\GitHub\eaglep3\Utilities\RefineRTDCRunTimes.py" --tripid 174-30 --locoid 4019 --swversion DE.1.0.9.0 --startMP 204:232992 --initTime 2017-09-30T13:37:21 --startdatetime 2017-09-30T13:42:20 --delay 61 --endMP 204:145 --enddatetime 2017-09-30T14:19:23 --enforcementcount 0 &gt;&gt;c:\users\stu\Documents\GitHub\eaglep3-reporting\EC\2017-09-30-refined-times.txt</v>
      </c>
      <c r="AI87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{"issue":{"subject":"","project_id":79,"tracker_id":40,"status_id":1,"priority_id":2,"assigned_to_id":338,"start_date":"2017-09-30","description":"","custom_fields":[{"id":1,"name":"Subdivision","value":"EC"},{"id":4,"name":"Milepost","value":"0.0145"},{"id":17,"name":"Train ID","value":"174-30"},{"id":16,"name":"Locomotive ID","value":"4019"},{"id":130,"name":"Impact","value":""},{"id":150,"name":"Time of Event (Mountain Time)","value":"14:19:23"},{"id":151,"name":"Denver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34" t="str">
        <f t="shared" si="44"/>
        <v>start /low /b %USERPROFILE%\Documents\GitHub\eaglep3\Utilities\DownloadLogsFromS3.py --loco 4019 --day 2017-09-30</v>
      </c>
      <c r="AN87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0" t="str">
        <f t="shared" si="46"/>
        <v>https://d0f6bd738d7f1b3e5a7ca70fe4ff75f0.us-east-1.aws.found.io/app/kibana#/discover/Steve-Slow-Train-Analysis-(2080s-and-2083s)?_g=(refreshInterval:(display:Off,pause:!f,section:0,value:0),time:(from:'2017-09-30T12:37:21-0600',mode:absolute,to:'2017-09-30T15:19:23-0600'))&amp;_a=(columns:!('Message%20ID',Summary),filters:!(),index:'emp_*',interval:auto,query:(query_string:(analyze_wildcard:!t,query:'%22rtdc.l.rtdc.4019%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728</v>
      </c>
      <c r="B88" s="7">
        <v>4052</v>
      </c>
      <c r="C88" s="21" t="s">
        <v>195</v>
      </c>
      <c r="D88" s="21" t="s">
        <v>494</v>
      </c>
      <c r="E88" s="13">
        <v>43008.538923611108</v>
      </c>
      <c r="F88" s="13">
        <v>43008.542071759257</v>
      </c>
      <c r="G88" s="7">
        <v>65</v>
      </c>
      <c r="H88" s="21" t="s">
        <v>844</v>
      </c>
      <c r="I88" s="13">
        <v>43008.567777777775</v>
      </c>
      <c r="J88" s="7">
        <v>0</v>
      </c>
      <c r="K88" s="81" t="str">
        <f t="shared" si="30"/>
        <v>4051/4052</v>
      </c>
      <c r="L88" s="175" t="str">
        <f>VLOOKUP(A88,'Trips&amp;Operators'!$C$1:$G$99911,5,FALSE)</f>
        <v>DAVIS MICHAEL</v>
      </c>
      <c r="M88" s="6">
        <f t="shared" si="31"/>
        <v>2.5706018517666962E-2</v>
      </c>
      <c r="N88" s="7">
        <f t="shared" si="28"/>
        <v>37.016666665440425</v>
      </c>
      <c r="O88" s="7"/>
      <c r="P88" s="7"/>
      <c r="Q88" s="22"/>
      <c r="R88" s="166"/>
      <c r="S88" s="228">
        <f t="shared" si="29"/>
        <v>1</v>
      </c>
      <c r="T88" s="166" t="str">
        <f t="shared" si="32"/>
        <v>NorthBound</v>
      </c>
      <c r="U88" s="21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4" t="str">
        <f t="shared" si="33"/>
        <v>https://d0f6bd738d7f1b3e5a7ca70fe4ff75f0.us-east-1.aws.found.io/app/kibana#/discover/Steve-Slow-Train-Analysis-(2080s-and-2083s)?_g=(refreshInterval:(display:Off,pause:!f,section:0,value:0),time:(from:'2017-09-30T11:56:03-0600',mode:absolute,to:'2017-09-30T14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8" s="215" t="str">
        <f>IF(AA88&lt;VLOOKUP(AG88,Variables!$AC$3:$AD$8,2,FALSE),"Y","N")</f>
        <v>N</v>
      </c>
      <c r="X88" s="215">
        <f t="shared" si="34"/>
        <v>1</v>
      </c>
      <c r="Y88" s="215">
        <f t="shared" si="35"/>
        <v>4.4900000000000002E-2</v>
      </c>
      <c r="Z88" s="215">
        <f t="shared" si="36"/>
        <v>23.331499999999998</v>
      </c>
      <c r="AA88" s="215">
        <f t="shared" si="37"/>
        <v>23.2866</v>
      </c>
      <c r="AB88" s="216" t="e">
        <f>VLOOKUP(A88,Enforcements!$C$7:$K$11,8,0)</f>
        <v>#N/A</v>
      </c>
      <c r="AC88" s="216" t="e">
        <f>VLOOKUP(A88,Enforcements!$C$7:$E$11,3,0)</f>
        <v>#N/A</v>
      </c>
      <c r="AD88" s="217">
        <f t="shared" si="38"/>
        <v>175</v>
      </c>
      <c r="AE88" s="218" t="str">
        <f t="shared" si="39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88" s="68" t="str">
        <f t="shared" si="40"/>
        <v>"C:\Program Files (x86)\AstroGrep\AstroGrep.exe" /e /r /s /spath="%USERPROFILE%\AppData\Local\Temp\OnboardLogs" /stypes="app*4052*20170930*" /stext=" 19:.+((SYSTEM_STATE.+slice.+state.+changed )|(ment ac)|(multiple cpu faults)|(system.+state.+changed )|(\[timeout)|(PRM\|1\|D)|(kpr)|(kdp)|(train st.+moving)|(\|lc)|(penalty))"</v>
      </c>
      <c r="AG88" s="172" t="str">
        <f t="shared" si="41"/>
        <v>EC</v>
      </c>
      <c r="AH88" s="70" t="str">
        <f t="shared" si="42"/>
        <v>"%USERPROFILE%\Documents\GitHub\eaglep3\Utilities\RefineRTDCRunTimes.py" --tripid 175-30 --locoid 4052 --swversion DE.1.0.9.0 --startMP 204:449 --initTime 2017-09-30T12:56:03 --startdatetime 2017-09-30T13:00:35 --delay 65 --endMP 204:233315 --enddatetime 2017-09-30T13:37:36 --enforcementcount 0 &gt;&gt;c:\users\stu\Documents\GitHub\eaglep3-reporting\EC\2017-09-30-refined-times.txt</v>
      </c>
      <c r="AI88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{"issue":{"subject":"","project_id":79,"tracker_id":40,"status_id":1,"priority_id":2,"assigned_to_id":338,"start_date":"2017-09-30","description":"","custom_fields":[{"id":1,"name":"Subdivision","value":"EC"},{"id":4,"name":"Milepost","value":"23.3315"},{"id":17,"name":"Train ID","value":"175-30"},{"id":16,"name":"Locomotive ID","value":"4052"},{"id":130,"name":"Impact","value":""},{"id":150,"name":"Time of Event (Mountain Time)","value":"13:37:36"},{"id":151,"name":"Denver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34" t="str">
        <f t="shared" si="44"/>
        <v>start /low /b %USERPROFILE%\Documents\GitHub\eaglep3\Utilities\DownloadLogsFromS3.py --loco 4052 --day 2017-09-30</v>
      </c>
      <c r="AN88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19:37:36"},{"id":29,"name":"Sharepoint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0" t="str">
        <f t="shared" si="46"/>
        <v>https://d0f6bd738d7f1b3e5a7ca70fe4ff75f0.us-east-1.aws.found.io/app/kibana#/discover/Steve-Slow-Train-Analysis-(2080s-and-2083s)?_g=(refreshInterval:(display:Off,pause:!f,section:0,value:0),time:(from:'2017-09-30T11:56:03-0600',mode:absolute,to:'2017-09-30T14:37:36-0600'))&amp;_a=(columns:!('Message%20ID',Summary),filters:!(),index:'emp_*',interval:auto,query:(query_string:(analyze_wildcard:!t,query:'%22rtdc.l.rtdc.4052%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737</v>
      </c>
      <c r="B89" s="7">
        <v>4051</v>
      </c>
      <c r="C89" s="21" t="s">
        <v>195</v>
      </c>
      <c r="D89" s="21" t="s">
        <v>560</v>
      </c>
      <c r="E89" s="13">
        <v>43008.580196759256</v>
      </c>
      <c r="F89" s="13">
        <v>43008.582002314812</v>
      </c>
      <c r="G89" s="7">
        <v>78</v>
      </c>
      <c r="H89" s="21" t="s">
        <v>338</v>
      </c>
      <c r="I89" s="13">
        <v>43008.609629629631</v>
      </c>
      <c r="J89" s="7">
        <v>0</v>
      </c>
      <c r="K89" s="81" t="str">
        <f t="shared" si="30"/>
        <v>4051/4052</v>
      </c>
      <c r="L89" s="175" t="str">
        <f>VLOOKUP(A89,'Trips&amp;Operators'!$C$1:$G$99911,5,FALSE)</f>
        <v>DAVIS MICHAEL</v>
      </c>
      <c r="M89" s="6">
        <f t="shared" si="31"/>
        <v>2.7627314819255844E-2</v>
      </c>
      <c r="N89" s="7">
        <f t="shared" si="28"/>
        <v>39.783333339728415</v>
      </c>
      <c r="O89" s="7"/>
      <c r="P89" s="7"/>
      <c r="Q89" s="22"/>
      <c r="R89" s="166" t="s">
        <v>979</v>
      </c>
      <c r="S89" s="228">
        <f t="shared" si="29"/>
        <v>1</v>
      </c>
      <c r="T89" s="166" t="str">
        <f t="shared" si="32"/>
        <v>Southbound</v>
      </c>
      <c r="U89" s="21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4" t="str">
        <f t="shared" si="33"/>
        <v>https://d0f6bd738d7f1b3e5a7ca70fe4ff75f0.us-east-1.aws.found.io/app/kibana#/discover/Steve-Slow-Train-Analysis-(2080s-and-2083s)?_g=(refreshInterval:(display:Off,pause:!f,section:0,value:0),time:(from:'2017-09-30T12:55:29-0600',mode:absolute,to:'2017-09-30T15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9" s="215" t="str">
        <f>IF(AA89&lt;VLOOKUP(AG89,Variables!$AC$3:$AD$8,2,FALSE),"Y","N")</f>
        <v>N</v>
      </c>
      <c r="X89" s="215">
        <f t="shared" si="34"/>
        <v>1</v>
      </c>
      <c r="Y89" s="215">
        <f t="shared" si="35"/>
        <v>23.301500000000001</v>
      </c>
      <c r="Z89" s="215">
        <f t="shared" si="36"/>
        <v>1.43E-2</v>
      </c>
      <c r="AA89" s="215">
        <f t="shared" si="37"/>
        <v>23.287200000000002</v>
      </c>
      <c r="AB89" s="216" t="e">
        <f>VLOOKUP(A89,Enforcements!$C$7:$K$11,8,0)</f>
        <v>#N/A</v>
      </c>
      <c r="AC89" s="216" t="e">
        <f>VLOOKUP(A89,Enforcements!$C$7:$E$11,3,0)</f>
        <v>#N/A</v>
      </c>
      <c r="AD89" s="217">
        <f t="shared" si="38"/>
        <v>176</v>
      </c>
      <c r="AE89" s="218" t="str">
        <f t="shared" si="39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89" s="68" t="str">
        <f t="shared" si="40"/>
        <v>"C:\Program Files (x86)\AstroGrep\AstroGrep.exe" /e /r /s /spath="%USERPROFILE%\AppData\Local\Temp\OnboardLogs" /stypes="app*4051*20170930*" /stext=" 20:.+((SYSTEM_STATE.+slice.+state.+changed )|(ment ac)|(multiple cpu faults)|(system.+state.+changed )|(\[timeout)|(PRM\|1\|D)|(kpr)|(kdp)|(train st.+moving)|(\|lc)|(penalty))"</v>
      </c>
      <c r="AG89" s="172" t="str">
        <f t="shared" si="41"/>
        <v>EC</v>
      </c>
      <c r="AH89" s="70" t="str">
        <f t="shared" si="42"/>
        <v>"%USERPROFILE%\Documents\GitHub\eaglep3\Utilities\RefineRTDCRunTimes.py" --tripid 176-30 --locoid 4051 --swversion DE.1.0.9.0 --startMP 204:233015 --initTime 2017-09-30T13:55:29 --startdatetime 2017-09-30T13:58:05 --delay 78 --endMP 204:143 --enddatetime 2017-09-30T14:37:52 --enforcementcount 0 &gt;&gt;c:\users\stu\Documents\GitHub\eaglep3-reporting\EC\2017-09-30-refined-times.txt</v>
      </c>
      <c r="AI89" s="88" t="str">
        <f t="shared" si="43"/>
        <v>echo {"issue":{"subject":"Unhealthy at Chambers due to train stop","project_id":79,"tracker_id":40,"status_id":1,"priority_id":2,"assigned_to_id":338,"start_date":"2017-09-30","description":"","custom_fields":[{"id":1,"name":"Subdivision","value":"EC"},{"id":4,"name":"Milepost","value":"0.0143"},{"id":17,"name":"Train ID","value":"176-30"},{"id":16,"name":"Locomotive ID","value":"4051"},{"id":130,"name":"Impact","value":""},{"id":150,"name":"Time of Event (Mountain Time)","value":"14:37:52"},{"id":151,"name":"Denver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34" t="str">
        <f t="shared" si="44"/>
        <v>start /low /b %USERPROFILE%\Documents\GitHub\eaglep3\Utilities\DownloadLogsFromS3.py --loco 4051 --day 2017-09-30</v>
      </c>
      <c r="AN89" s="143" t="str">
        <f t="shared" si="45"/>
        <v>echo {"issue":{"subject":"Unhealthy at Chambers due to train stop","project_id":30,"tracker_id":4,"status_id":1,"priority_id":1,"assigned_to_id":10,"start_date":"2017-09-30","description":"","custom_fields":[{"id":30,"name":"Category","value":"Issue"},{"id":3,"name":"Functional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0" t="str">
        <f t="shared" si="46"/>
        <v>https://d0f6bd738d7f1b3e5a7ca70fe4ff75f0.us-east-1.aws.found.io/app/kibana#/discover/Steve-Slow-Train-Analysis-(2080s-and-2083s)?_g=(refreshInterval:(display:Off,pause:!f,section:0,value:0),time:(from:'2017-09-30T12:55:29-0600',mode:absolute,to:'2017-09-30T15:37:52-0600'))&amp;_a=(columns:!('Message%20ID',Summary),filters:!(),index:'emp_*',interval:auto,query:(query_string:(analyze_wildcard:!t,query:'%22rtdc.l.rtdc.4051%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731</v>
      </c>
      <c r="B90" s="7">
        <v>4040</v>
      </c>
      <c r="C90" s="21" t="s">
        <v>195</v>
      </c>
      <c r="D90" s="21" t="s">
        <v>859</v>
      </c>
      <c r="E90" s="13">
        <v>43008.549097222225</v>
      </c>
      <c r="F90" s="13">
        <v>43008.552407407406</v>
      </c>
      <c r="G90" s="7">
        <v>87</v>
      </c>
      <c r="H90" s="21" t="s">
        <v>861</v>
      </c>
      <c r="I90" s="13">
        <v>43008.577025462961</v>
      </c>
      <c r="J90" s="7">
        <v>0</v>
      </c>
      <c r="K90" s="81" t="str">
        <f t="shared" si="30"/>
        <v>4039/4040</v>
      </c>
      <c r="L90" s="175" t="str">
        <f>VLOOKUP(A90,'Trips&amp;Operators'!$C$1:$G$99911,5,FALSE)</f>
        <v>SAFIEF AEIMEN</v>
      </c>
      <c r="M90" s="6">
        <f t="shared" si="31"/>
        <v>2.4618055555038154E-2</v>
      </c>
      <c r="N90" s="7">
        <f t="shared" si="28"/>
        <v>35.449999999254942</v>
      </c>
      <c r="O90" s="7"/>
      <c r="P90" s="7"/>
      <c r="Q90" s="22"/>
      <c r="R90" s="166"/>
      <c r="S90" s="228">
        <f t="shared" si="29"/>
        <v>1</v>
      </c>
      <c r="T90" s="166" t="str">
        <f t="shared" si="32"/>
        <v>NorthBound</v>
      </c>
      <c r="U90" s="21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4" t="str">
        <f t="shared" si="33"/>
        <v>https://d0f6bd738d7f1b3e5a7ca70fe4ff75f0.us-east-1.aws.found.io/app/kibana#/discover/Steve-Slow-Train-Analysis-(2080s-and-2083s)?_g=(refreshInterval:(display:Off,pause:!f,section:0,value:0),time:(from:'2017-09-30T12:10:42-0600',mode:absolute,to:'2017-09-30T14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0" s="215" t="str">
        <f>IF(AA90&lt;VLOOKUP(AG90,Variables!$AC$3:$AD$8,2,FALSE),"Y","N")</f>
        <v>N</v>
      </c>
      <c r="X90" s="215">
        <f t="shared" si="34"/>
        <v>1</v>
      </c>
      <c r="Y90" s="215">
        <f t="shared" si="35"/>
        <v>4.7500000000000001E-2</v>
      </c>
      <c r="Z90" s="215">
        <f t="shared" si="36"/>
        <v>23.328900000000001</v>
      </c>
      <c r="AA90" s="215">
        <f t="shared" si="37"/>
        <v>23.281400000000001</v>
      </c>
      <c r="AB90" s="216" t="e">
        <f>VLOOKUP(A90,Enforcements!$C$7:$K$11,8,0)</f>
        <v>#N/A</v>
      </c>
      <c r="AC90" s="216" t="e">
        <f>VLOOKUP(A90,Enforcements!$C$7:$E$11,3,0)</f>
        <v>#N/A</v>
      </c>
      <c r="AD90" s="217">
        <f t="shared" si="38"/>
        <v>177</v>
      </c>
      <c r="AE90" s="218" t="str">
        <f t="shared" si="39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90" s="68" t="str">
        <f t="shared" si="40"/>
        <v>"C:\Program Files (x86)\AstroGrep\AstroGrep.exe" /e /r /s /spath="%USERPROFILE%\AppData\Local\Temp\OnboardLogs" /stypes="app*4040*20170930*" /stext=" 19:.+((SYSTEM_STATE.+slice.+state.+changed )|(ment ac)|(multiple cpu faults)|(system.+state.+changed )|(\[timeout)|(PRM\|1\|D)|(kpr)|(kdp)|(train st.+moving)|(\|lc)|(penalty))"</v>
      </c>
      <c r="AG90" s="172" t="str">
        <f t="shared" si="41"/>
        <v>EC</v>
      </c>
      <c r="AH90" s="70" t="str">
        <f t="shared" si="42"/>
        <v>"%USERPROFILE%\Documents\GitHub\eaglep3\Utilities\RefineRTDCRunTimes.py" --tripid 177-30 --locoid 4040 --swversion DE.1.0.9.0 --startMP 204:475 --initTime 2017-09-30T13:10:42 --startdatetime 2017-09-30T13:15:28 --delay 87 --endMP 204:233289 --enddatetime 2017-09-30T13:50:55 --enforcementcount 0 &gt;&gt;c:\users\stu\Documents\GitHub\eaglep3-reporting\EC\2017-09-30-refined-times.txt</v>
      </c>
      <c r="AI90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{"issue":{"subject":"","project_id":79,"tracker_id":40,"status_id":1,"priority_id":2,"assigned_to_id":338,"start_date":"2017-09-30","description":"","custom_fields":[{"id":1,"name":"Subdivision","value":"EC"},{"id":4,"name":"Milepost","value":"23.3289"},{"id":17,"name":"Train ID","value":"177-30"},{"id":16,"name":"Locomotive ID","value":"4040"},{"id":130,"name":"Impact","value":""},{"id":150,"name":"Time of Event (Mountain Time)","value":"13:50:55"},{"id":151,"name":"Denver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34" t="str">
        <f t="shared" si="44"/>
        <v>start /low /b %USERPROFILE%\Documents\GitHub\eaglep3\Utilities\DownloadLogsFromS3.py --loco 4040 --day 2017-09-30</v>
      </c>
      <c r="AN90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19:50:55"},{"id":29,"name":"Sharepoint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0" t="str">
        <f t="shared" si="46"/>
        <v>https://d0f6bd738d7f1b3e5a7ca70fe4ff75f0.us-east-1.aws.found.io/app/kibana#/discover/Steve-Slow-Train-Analysis-(2080s-and-2083s)?_g=(refreshInterval:(display:Off,pause:!f,section:0,value:0),time:(from:'2017-09-30T12:10:42-0600',mode:absolute,to:'2017-09-30T14:50:55-0600'))&amp;_a=(columns:!('Message%20ID',Summary),filters:!(),index:'emp_*',interval:auto,query:(query_string:(analyze_wildcard:!t,query:'%22rtdc.l.rtdc.4040%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736</v>
      </c>
      <c r="B91" s="7">
        <v>4039</v>
      </c>
      <c r="C91" s="21" t="s">
        <v>195</v>
      </c>
      <c r="D91" s="21" t="s">
        <v>862</v>
      </c>
      <c r="E91" s="13">
        <v>43008.579907407409</v>
      </c>
      <c r="F91" s="13">
        <v>43008.591863425929</v>
      </c>
      <c r="G91" s="7">
        <v>88</v>
      </c>
      <c r="H91" s="21" t="s">
        <v>442</v>
      </c>
      <c r="I91" s="13">
        <v>43008.617615740739</v>
      </c>
      <c r="J91" s="7">
        <v>0</v>
      </c>
      <c r="K91" s="81" t="str">
        <f t="shared" si="30"/>
        <v>4039/4040</v>
      </c>
      <c r="L91" s="175" t="str">
        <f>VLOOKUP(A91,'Trips&amp;Operators'!$C$1:$G$99911,5,FALSE)</f>
        <v>SAFIEF AEIMEN</v>
      </c>
      <c r="M91" s="6">
        <f t="shared" si="31"/>
        <v>2.5752314810233656E-2</v>
      </c>
      <c r="N91" s="7">
        <f t="shared" si="28"/>
        <v>37.083333326736465</v>
      </c>
      <c r="O91" s="7"/>
      <c r="P91" s="7"/>
      <c r="Q91" s="22"/>
      <c r="R91" s="166"/>
      <c r="S91" s="228">
        <f t="shared" si="29"/>
        <v>1</v>
      </c>
      <c r="T91" s="166" t="str">
        <f t="shared" si="32"/>
        <v>Southbound</v>
      </c>
      <c r="U91" s="21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4" t="str">
        <f t="shared" si="33"/>
        <v>https://d0f6bd738d7f1b3e5a7ca70fe4ff75f0.us-east-1.aws.found.io/app/kibana#/discover/Steve-Slow-Train-Analysis-(2080s-and-2083s)?_g=(refreshInterval:(display:Off,pause:!f,section:0,value:0),time:(from:'2017-09-30T12:55:04-0600',mode:absolute,to:'2017-09-30T15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1" s="215" t="str">
        <f>IF(AA91&lt;VLOOKUP(AG91,Variables!$AC$3:$AD$8,2,FALSE),"Y","N")</f>
        <v>N</v>
      </c>
      <c r="X91" s="215">
        <f t="shared" si="34"/>
        <v>1</v>
      </c>
      <c r="Y91" s="215">
        <f t="shared" si="35"/>
        <v>23.302600000000002</v>
      </c>
      <c r="Z91" s="215">
        <f t="shared" si="36"/>
        <v>1.34E-2</v>
      </c>
      <c r="AA91" s="215">
        <f t="shared" si="37"/>
        <v>23.289200000000001</v>
      </c>
      <c r="AB91" s="216" t="e">
        <f>VLOOKUP(A91,Enforcements!$C$7:$K$11,8,0)</f>
        <v>#N/A</v>
      </c>
      <c r="AC91" s="216" t="e">
        <f>VLOOKUP(A91,Enforcements!$C$7:$E$11,3,0)</f>
        <v>#N/A</v>
      </c>
      <c r="AD91" s="217">
        <f t="shared" si="38"/>
        <v>178</v>
      </c>
      <c r="AE91" s="218" t="str">
        <f t="shared" si="39"/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91" s="68" t="str">
        <f t="shared" si="40"/>
        <v>"C:\Program Files (x86)\AstroGrep\AstroGrep.exe" /e /r /s /spath="%USERPROFILE%\AppData\Local\Temp\OnboardLogs" /stypes="app*4039*20170930*" /stext=" 20:.+((SYSTEM_STATE.+slice.+state.+changed )|(ment ac)|(multiple cpu faults)|(system.+state.+changed )|(\[timeout)|(PRM\|1\|D)|(kpr)|(kdp)|(train st.+moving)|(\|lc)|(penalty))"</v>
      </c>
      <c r="AG91" s="172" t="str">
        <f t="shared" si="41"/>
        <v>EC</v>
      </c>
      <c r="AH91" s="70" t="str">
        <f t="shared" si="42"/>
        <v>"%USERPROFILE%\Documents\GitHub\eaglep3\Utilities\RefineRTDCRunTimes.py" --tripid 178-30 --locoid 4039 --swversion DE.1.0.9.0 --startMP 204:233026 --initTime 2017-09-30T13:55:04 --startdatetime 2017-09-30T14:12:17 --delay 88 --endMP 204:134 --enddatetime 2017-09-30T14:49:22 --enforcementcount 0 &gt;&gt;c:\users\stu\Documents\GitHub\eaglep3-reporting\EC\2017-09-30-refined-times.txt</v>
      </c>
      <c r="AI91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{"issue":{"subject":"","project_id":79,"tracker_id":40,"status_id":1,"priority_id":2,"assigned_to_id":338,"start_date":"2017-09-30","description":"","custom_fields":[{"id":1,"name":"Subdivision","value":"EC"},{"id":4,"name":"Milepost","value":"0.0134"},{"id":17,"name":"Train ID","value":"178-30"},{"id":16,"name":"Locomotive ID","value":"4039"},{"id":130,"name":"Impact","value":""},{"id":150,"name":"Time of Event (Mountain Time)","value":"14:49:22"},{"id":151,"name":"Denver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34" t="str">
        <f t="shared" si="44"/>
        <v>start /low /b %USERPROFILE%\Documents\GitHub\eaglep3\Utilities\DownloadLogsFromS3.py --loco 4039 --day 2017-09-30</v>
      </c>
      <c r="AN91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0" t="str">
        <f t="shared" si="46"/>
        <v>https://d0f6bd738d7f1b3e5a7ca70fe4ff75f0.us-east-1.aws.found.io/app/kibana#/discover/Steve-Slow-Train-Analysis-(2080s-and-2083s)?_g=(refreshInterval:(display:Off,pause:!f,section:0,value:0),time:(from:'2017-09-30T12:55:04-0600',mode:absolute,to:'2017-09-30T15:49:22-0600'))&amp;_a=(columns:!('Message%20ID',Summary),filters:!(),index:'emp_*',interval:auto,query:(query_string:(analyze_wildcard:!t,query:'%22rtdc.l.rtdc.4039%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733</v>
      </c>
      <c r="B92" s="7">
        <v>4056</v>
      </c>
      <c r="C92" s="21" t="s">
        <v>195</v>
      </c>
      <c r="D92" s="21" t="s">
        <v>383</v>
      </c>
      <c r="E92" s="13">
        <v>43008.558182870373</v>
      </c>
      <c r="F92" s="13">
        <v>43008.562685185185</v>
      </c>
      <c r="G92" s="7">
        <v>46</v>
      </c>
      <c r="H92" s="21" t="s">
        <v>493</v>
      </c>
      <c r="I92" s="13">
        <v>43008.587476851855</v>
      </c>
      <c r="J92" s="7">
        <v>0</v>
      </c>
      <c r="K92" s="81" t="str">
        <f t="shared" si="30"/>
        <v>4055/4056</v>
      </c>
      <c r="L92" s="175" t="str">
        <f>VLOOKUP(A92,'Trips&amp;Operators'!$C$1:$G$99911,5,FALSE)</f>
        <v>GUZMAN DANNY</v>
      </c>
      <c r="M92" s="6">
        <f t="shared" si="31"/>
        <v>2.4791666670353152E-2</v>
      </c>
      <c r="N92" s="7">
        <f t="shared" si="28"/>
        <v>35.700000005308539</v>
      </c>
      <c r="O92" s="7"/>
      <c r="P92" s="7"/>
      <c r="Q92" s="22"/>
      <c r="R92" s="166"/>
      <c r="S92" s="228">
        <f t="shared" si="29"/>
        <v>1</v>
      </c>
      <c r="T92" s="166" t="str">
        <f t="shared" si="32"/>
        <v>NorthBound</v>
      </c>
      <c r="U92" s="21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4" t="str">
        <f t="shared" si="33"/>
        <v>https://d0f6bd738d7f1b3e5a7ca70fe4ff75f0.us-east-1.aws.found.io/app/kibana#/discover/Steve-Slow-Train-Analysis-(2080s-and-2083s)?_g=(refreshInterval:(display:Off,pause:!f,section:0,value:0),time:(from:'2017-09-30T12:23:47-0600',mode:absolute,to:'2017-09-30T15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2" s="215" t="str">
        <f>IF(AA92&lt;VLOOKUP(AG92,Variables!$AC$3:$AD$8,2,FALSE),"Y","N")</f>
        <v>N</v>
      </c>
      <c r="X92" s="215">
        <f t="shared" si="34"/>
        <v>1</v>
      </c>
      <c r="Y92" s="215">
        <f t="shared" si="35"/>
        <v>4.6199999999999998E-2</v>
      </c>
      <c r="Z92" s="215">
        <f t="shared" si="36"/>
        <v>23.3306</v>
      </c>
      <c r="AA92" s="215">
        <f t="shared" si="37"/>
        <v>23.284400000000002</v>
      </c>
      <c r="AB92" s="216" t="e">
        <f>VLOOKUP(A92,Enforcements!$C$7:$K$11,8,0)</f>
        <v>#N/A</v>
      </c>
      <c r="AC92" s="216" t="e">
        <f>VLOOKUP(A92,Enforcements!$C$7:$E$11,3,0)</f>
        <v>#N/A</v>
      </c>
      <c r="AD92" s="217">
        <f t="shared" si="38"/>
        <v>179</v>
      </c>
      <c r="AE92" s="218" t="str">
        <f t="shared" si="39"/>
        <v>aws s3 cp s3://rtdc.mdm.uploadarchive.raw/RTDC4056/ "%USERPROFILE%\AppData\Local\Temp\OnboardLogs"\RTDC4056\2017-09-30 --exclude "*" --recursive --include "*20170930*" &amp; "%USERPROFILE%\Documents\GitHub\mrs-test-scripts\Headless Mode &amp; Sideloading\WalkAndUnGZ.bat" "%USERPROFILE%\AppData\Local\Temp\OnboardLogs"\RTDC4056\2017-09-30 &amp; aws s3 cp s3://rtdc.mdm.uploadarchive.raw/RTDC4056/ "%USERPROFILE%\AppData\Local\Temp\OnboardLogs"\RTDC4056\2017-10-01 --exclude "*" --recursive --include "*20171001*" &amp; "%USERPROFILE%\Documents\GitHub\mrs-test-scripts\Headless Mode &amp; Sideloading\WalkAndUnGZ.bat" "%USERPROFILE%\AppData\Local\Temp\OnboardLogs"\RTDC4056\2017-10-01</v>
      </c>
      <c r="AF92" s="68" t="str">
        <f t="shared" si="40"/>
        <v>"C:\Program Files (x86)\AstroGrep\AstroGrep.exe" /e /r /s /spath="%USERPROFILE%\AppData\Local\Temp\OnboardLogs" /stypes="app*4056*20170930*" /stext=" 20:.+((SYSTEM_STATE.+slice.+state.+changed )|(ment ac)|(multiple cpu faults)|(system.+state.+changed )|(\[timeout)|(PRM\|1\|D)|(kpr)|(kdp)|(train st.+moving)|(\|lc)|(penalty))"</v>
      </c>
      <c r="AG92" s="172" t="str">
        <f t="shared" si="41"/>
        <v>EC</v>
      </c>
      <c r="AH92" s="70" t="str">
        <f t="shared" si="42"/>
        <v>"%USERPROFILE%\Documents\GitHub\eaglep3\Utilities\RefineRTDCRunTimes.py" --tripid 179-30 --locoid 4056 --swversion DE.1.0.9.0 --startMP 204:462 --initTime 2017-09-30T13:23:47 --startdatetime 2017-09-30T13:30:16 --delay 46 --endMP 204:233306 --enddatetime 2017-09-30T14:05:58 --enforcementcount 0 &gt;&gt;c:\users\stu\Documents\GitHub\eaglep3-reporting\EC\2017-09-30-refined-times.txt</v>
      </c>
      <c r="AI92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{"issue":{"subject":"","project_id":79,"tracker_id":40,"status_id":1,"priority_id":2,"assigned_to_id":338,"start_date":"2017-09-30","description":"","custom_fields":[{"id":1,"name":"Subdivision","value":"EC"},{"id":4,"name":"Milepost","value":"23.3306"},{"id":17,"name":"Train ID","value":"179-30"},{"id":16,"name":"Locomotive ID","value":"4056"},{"id":130,"name":"Impact","value":""},{"id":150,"name":"Time of Event (Mountain Time)","value":"14:05:58"},{"id":151,"name":"Denver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34" t="str">
        <f t="shared" si="44"/>
        <v>start /low /b %USERPROFILE%\Documents\GitHub\eaglep3\Utilities\DownloadLogsFromS3.py --loco 4056 --day 2017-09-30</v>
      </c>
      <c r="AN92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0" t="str">
        <f t="shared" si="46"/>
        <v>https://d0f6bd738d7f1b3e5a7ca70fe4ff75f0.us-east-1.aws.found.io/app/kibana#/discover/Steve-Slow-Train-Analysis-(2080s-and-2083s)?_g=(refreshInterval:(display:Off,pause:!f,section:0,value:0),time:(from:'2017-09-30T12:23:47-0600',mode:absolute,to:'2017-09-30T15:05:58-0600'))&amp;_a=(columns:!('Message%20ID',Summary),filters:!(),index:'emp_*',interval:auto,query:(query_string:(analyze_wildcard:!t,query:'%22rtdc.l.rtdc.4056%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739</v>
      </c>
      <c r="B93" s="7">
        <v>4055</v>
      </c>
      <c r="C93" s="21" t="s">
        <v>195</v>
      </c>
      <c r="D93" s="21" t="s">
        <v>845</v>
      </c>
      <c r="E93" s="13">
        <v>43008.588564814818</v>
      </c>
      <c r="F93" s="13">
        <v>43008.602280092593</v>
      </c>
      <c r="G93" s="7">
        <v>48</v>
      </c>
      <c r="H93" s="21" t="s">
        <v>336</v>
      </c>
      <c r="I93" s="13">
        <v>43008.628333333334</v>
      </c>
      <c r="J93" s="7">
        <v>0</v>
      </c>
      <c r="K93" s="81" t="str">
        <f t="shared" si="30"/>
        <v>4055/4056</v>
      </c>
      <c r="L93" s="175" t="str">
        <f>VLOOKUP(A93,'Trips&amp;Operators'!$C$1:$G$99911,5,FALSE)</f>
        <v>GUZMAN DANNY</v>
      </c>
      <c r="M93" s="6">
        <f t="shared" si="31"/>
        <v>2.6053240741021E-2</v>
      </c>
      <c r="N93" s="7">
        <f t="shared" si="28"/>
        <v>37.51666666707024</v>
      </c>
      <c r="O93" s="7"/>
      <c r="P93" s="7"/>
      <c r="Q93" s="22"/>
      <c r="R93" s="166"/>
      <c r="S93" s="228">
        <f t="shared" si="29"/>
        <v>1</v>
      </c>
      <c r="T93" s="166" t="str">
        <f t="shared" si="32"/>
        <v>Southbound</v>
      </c>
      <c r="U93" s="21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4" t="str">
        <f t="shared" si="33"/>
        <v>https://d0f6bd738d7f1b3e5a7ca70fe4ff75f0.us-east-1.aws.found.io/app/kibana#/discover/Steve-Slow-Train-Analysis-(2080s-and-2083s)?_g=(refreshInterval:(display:Off,pause:!f,section:0,value:0),time:(from:'2017-09-30T13:07:32-0600',mode:absolute,to:'2017-09-30T16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3" s="215" t="str">
        <f>IF(AA93&lt;VLOOKUP(AG93,Variables!$AC$3:$AD$8,2,FALSE),"Y","N")</f>
        <v>N</v>
      </c>
      <c r="X93" s="215">
        <f t="shared" si="34"/>
        <v>1</v>
      </c>
      <c r="Y93" s="215">
        <f t="shared" si="35"/>
        <v>23.2989</v>
      </c>
      <c r="Z93" s="215">
        <f t="shared" si="36"/>
        <v>1.4999999999999999E-2</v>
      </c>
      <c r="AA93" s="215">
        <f t="shared" si="37"/>
        <v>23.283899999999999</v>
      </c>
      <c r="AB93" s="216" t="e">
        <f>VLOOKUP(A93,Enforcements!$C$7:$K$11,8,0)</f>
        <v>#N/A</v>
      </c>
      <c r="AC93" s="216" t="e">
        <f>VLOOKUP(A93,Enforcements!$C$7:$E$11,3,0)</f>
        <v>#N/A</v>
      </c>
      <c r="AD93" s="217">
        <f t="shared" si="38"/>
        <v>180</v>
      </c>
      <c r="AE93" s="218" t="str">
        <f t="shared" si="39"/>
        <v>aws s3 cp s3://rtdc.mdm.uploadarchive.raw/RTDC4055/ "%USERPROFILE%\AppData\Local\Temp\OnboardLogs"\RTDC4055\2017-09-30 --exclude "*" --recursive --include "*20170930*" &amp; "%USERPROFILE%\Documents\GitHub\mrs-test-scripts\Headless Mode &amp; Sideloading\WalkAndUnGZ.bat" "%USERPROFILE%\AppData\Local\Temp\OnboardLogs"\RTDC4055\2017-09-30 &amp; aws s3 cp s3://rtdc.mdm.uploadarchive.raw/RTDC4055/ "%USERPROFILE%\AppData\Local\Temp\OnboardLogs"\RTDC4055\2017-10-01 --exclude "*" --recursive --include "*20171001*" &amp; "%USERPROFILE%\Documents\GitHub\mrs-test-scripts\Headless Mode &amp; Sideloading\WalkAndUnGZ.bat" "%USERPROFILE%\AppData\Local\Temp\OnboardLogs"\RTDC4055\2017-10-01</v>
      </c>
      <c r="AF93" s="68" t="str">
        <f t="shared" si="40"/>
        <v>"C:\Program Files (x86)\AstroGrep\AstroGrep.exe" /e /r /s /spath="%USERPROFILE%\AppData\Local\Temp\OnboardLogs" /stypes="app*4055*20170930*" /stext=" 21:.+((SYSTEM_STATE.+slice.+state.+changed )|(ment ac)|(multiple cpu faults)|(system.+state.+changed )|(\[timeout)|(PRM\|1\|D)|(kpr)|(kdp)|(train st.+moving)|(\|lc)|(penalty))"</v>
      </c>
      <c r="AG93" s="172" t="str">
        <f t="shared" si="41"/>
        <v>EC</v>
      </c>
      <c r="AH93" s="70" t="str">
        <f t="shared" si="42"/>
        <v>"%USERPROFILE%\Documents\GitHub\eaglep3\Utilities\RefineRTDCRunTimes.py" --tripid 180-30 --locoid 4055 --swversion DE.1.0.9.0 --startMP 204:232989 --initTime 2017-09-30T14:07:32 --startdatetime 2017-09-30T14:27:17 --delay 48 --endMP 204:150 --enddatetime 2017-09-30T15:04:48 --enforcementcount 0 &gt;&gt;c:\users\stu\Documents\GitHub\eaglep3-reporting\EC\2017-09-30-refined-times.txt</v>
      </c>
      <c r="AI93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{"issue":{"subject":"","project_id":79,"tracker_id":40,"status_id":1,"priority_id":2,"assigned_to_id":338,"start_date":"2017-09-30","description":"","custom_fields":[{"id":1,"name":"Subdivision","value":"EC"},{"id":4,"name":"Milepost","value":"0.015"},{"id":17,"name":"Train ID","value":"180-30"},{"id":16,"name":"Locomotive ID","value":"4055"},{"id":130,"name":"Impact","value":""},{"id":150,"name":"Time of Event (Mountain Time)","value":"15:04:48"},{"id":151,"name":"Denver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34" t="str">
        <f t="shared" si="44"/>
        <v>start /low /b %USERPROFILE%\Documents\GitHub\eaglep3\Utilities\DownloadLogsFromS3.py --loco 4055 --day 2017-09-30</v>
      </c>
      <c r="AN93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21:04:48"},{"id":29,"name":"Sharepoint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0" t="str">
        <f t="shared" si="46"/>
        <v>https://d0f6bd738d7f1b3e5a7ca70fe4ff75f0.us-east-1.aws.found.io/app/kibana#/discover/Steve-Slow-Train-Analysis-(2080s-and-2083s)?_g=(refreshInterval:(display:Off,pause:!f,section:0,value:0),time:(from:'2017-09-30T13:07:32-0600',mode:absolute,to:'2017-09-30T16:04:48-0600'))&amp;_a=(columns:!('Message%20ID',Summary),filters:!(),index:'emp_*',interval:auto,query:(query_string:(analyze_wildcard:!t,query:'%22rtdc.l.rtdc.4055%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604</v>
      </c>
      <c r="B94" s="7">
        <v>4028</v>
      </c>
      <c r="C94" s="21" t="s">
        <v>195</v>
      </c>
      <c r="D94" s="21" t="s">
        <v>355</v>
      </c>
      <c r="E94" s="13">
        <v>43008.568807870368</v>
      </c>
      <c r="F94" s="13">
        <v>43008.57309027778</v>
      </c>
      <c r="G94" s="7">
        <v>61</v>
      </c>
      <c r="H94" s="21" t="s">
        <v>563</v>
      </c>
      <c r="I94" s="13">
        <v>43008.598680555559</v>
      </c>
      <c r="J94" s="7">
        <v>0</v>
      </c>
      <c r="K94" s="81" t="str">
        <f t="shared" si="30"/>
        <v>4027/4028</v>
      </c>
      <c r="L94" s="175" t="str">
        <f>VLOOKUP(A94,'Trips&amp;Operators'!$C$1:$G$99911,5,FALSE)</f>
        <v>BADERTSCHER DIANE</v>
      </c>
      <c r="M94" s="6">
        <f t="shared" si="31"/>
        <v>2.5590277778974269E-2</v>
      </c>
      <c r="N94" s="7">
        <f t="shared" si="28"/>
        <v>36.850000001722947</v>
      </c>
      <c r="O94" s="7"/>
      <c r="P94" s="7"/>
      <c r="Q94" s="22"/>
      <c r="R94" s="166"/>
      <c r="S94" s="228">
        <f t="shared" si="29"/>
        <v>1</v>
      </c>
      <c r="T94" s="166" t="str">
        <f t="shared" si="32"/>
        <v>NorthBound</v>
      </c>
      <c r="U94" s="21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4" t="str">
        <f t="shared" si="33"/>
        <v>https://d0f6bd738d7f1b3e5a7ca70fe4ff75f0.us-east-1.aws.found.io/app/kibana#/discover/Steve-Slow-Train-Analysis-(2080s-and-2083s)?_g=(refreshInterval:(display:Off,pause:!f,section:0,value:0),time:(from:'2017-09-30T12:39:05-0600',mode:absolute,to:'2017-09-30T15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4" s="215" t="str">
        <f>IF(AA94&lt;VLOOKUP(AG94,Variables!$AC$3:$AD$8,2,FALSE),"Y","N")</f>
        <v>N</v>
      </c>
      <c r="X94" s="215">
        <f t="shared" si="34"/>
        <v>1</v>
      </c>
      <c r="Y94" s="215">
        <f t="shared" si="35"/>
        <v>4.58E-2</v>
      </c>
      <c r="Z94" s="215">
        <f t="shared" si="36"/>
        <v>23.331600000000002</v>
      </c>
      <c r="AA94" s="215">
        <f t="shared" si="37"/>
        <v>23.285800000000002</v>
      </c>
      <c r="AB94" s="216" t="e">
        <f>VLOOKUP(A94,Enforcements!$C$7:$K$11,8,0)</f>
        <v>#N/A</v>
      </c>
      <c r="AC94" s="216" t="e">
        <f>VLOOKUP(A94,Enforcements!$C$7:$E$11,3,0)</f>
        <v>#N/A</v>
      </c>
      <c r="AD94" s="217">
        <f t="shared" si="38"/>
        <v>181</v>
      </c>
      <c r="AE94" s="218" t="str">
        <f t="shared" si="39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94" s="68" t="str">
        <f t="shared" si="40"/>
        <v>"C:\Program Files (x86)\AstroGrep\AstroGrep.exe" /e /r /s /spath="%USERPROFILE%\AppData\Local\Temp\OnboardLogs" /stypes="app*4028*20170930*" /stext=" 20:.+((SYSTEM_STATE.+slice.+state.+changed )|(ment ac)|(multiple cpu faults)|(system.+state.+changed )|(\[timeout)|(PRM\|1\|D)|(kpr)|(kdp)|(train st.+moving)|(\|lc)|(penalty))"</v>
      </c>
      <c r="AG94" s="172" t="str">
        <f t="shared" si="41"/>
        <v>EC</v>
      </c>
      <c r="AH94" s="70" t="str">
        <f t="shared" si="42"/>
        <v>"%USERPROFILE%\Documents\GitHub\eaglep3\Utilities\RefineRTDCRunTimes.py" --tripid 181-30 --locoid 4028 --swversion DE.1.0.9.0 --startMP 204:458 --initTime 2017-09-30T13:39:05 --startdatetime 2017-09-30T13:45:15 --delay 61 --endMP 204:233316 --enddatetime 2017-09-30T14:22:06 --enforcementcount 0 &gt;&gt;c:\users\stu\Documents\GitHub\eaglep3-reporting\EC\2017-09-30-refined-times.txt</v>
      </c>
      <c r="AI94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{"issue":{"subject":"","project_id":79,"tracker_id":40,"status_id":1,"priority_id":2,"assigned_to_id":338,"start_date":"2017-09-30","description":"","custom_fields":[{"id":1,"name":"Subdivision","value":"EC"},{"id":4,"name":"Milepost","value":"23.3316"},{"id":17,"name":"Train ID","value":"181-30"},{"id":16,"name":"Locomotive ID","value":"4028"},{"id":130,"name":"Impact","value":""},{"id":150,"name":"Time of Event (Mountain Time)","value":"14:22:06"},{"id":151,"name":"Denver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34" t="str">
        <f t="shared" si="44"/>
        <v>start /low /b %USERPROFILE%\Documents\GitHub\eaglep3\Utilities\DownloadLogsFromS3.py --loco 4028 --day 2017-09-30</v>
      </c>
      <c r="AN94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0" t="str">
        <f t="shared" si="46"/>
        <v>https://d0f6bd738d7f1b3e5a7ca70fe4ff75f0.us-east-1.aws.found.io/app/kibana#/discover/Steve-Slow-Train-Analysis-(2080s-and-2083s)?_g=(refreshInterval:(display:Off,pause:!f,section:0,value:0),time:(from:'2017-09-30T12:39:05-0600',mode:absolute,to:'2017-09-30T15:22:06-0600'))&amp;_a=(columns:!('Message%20ID',Summary),filters:!(),index:'emp_*',interval:auto,query:(query_string:(analyze_wildcard:!t,query:'%22rtdc.l.rtdc.4028%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742</v>
      </c>
      <c r="B95" s="7">
        <v>4027</v>
      </c>
      <c r="C95" s="21" t="s">
        <v>195</v>
      </c>
      <c r="D95" s="21" t="s">
        <v>840</v>
      </c>
      <c r="E95" s="13">
        <v>43008.605057870373</v>
      </c>
      <c r="F95" s="13">
        <v>43008.612662037034</v>
      </c>
      <c r="G95" s="7">
        <v>54</v>
      </c>
      <c r="H95" s="21" t="s">
        <v>562</v>
      </c>
      <c r="I95" s="13">
        <v>43008.639814814815</v>
      </c>
      <c r="J95" s="7">
        <v>0</v>
      </c>
      <c r="K95" s="81" t="str">
        <f t="shared" si="30"/>
        <v>4027/4028</v>
      </c>
      <c r="L95" s="175" t="str">
        <f>VLOOKUP(A95,'Trips&amp;Operators'!$C$1:$G$99911,5,FALSE)</f>
        <v>BADERTSCHER DIANE</v>
      </c>
      <c r="M95" s="6">
        <f t="shared" si="31"/>
        <v>2.715277778042946E-2</v>
      </c>
      <c r="N95" s="7">
        <f t="shared" si="28"/>
        <v>39.100000003818423</v>
      </c>
      <c r="O95" s="7"/>
      <c r="P95" s="7"/>
      <c r="Q95" s="22"/>
      <c r="R95" s="166"/>
      <c r="S95" s="228">
        <f t="shared" si="29"/>
        <v>1</v>
      </c>
      <c r="T95" s="166" t="str">
        <f t="shared" si="32"/>
        <v>Southbound</v>
      </c>
      <c r="U95" s="21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4" t="str">
        <f t="shared" si="33"/>
        <v>https://d0f6bd738d7f1b3e5a7ca70fe4ff75f0.us-east-1.aws.found.io/app/kibana#/discover/Steve-Slow-Train-Analysis-(2080s-and-2083s)?_g=(refreshInterval:(display:Off,pause:!f,section:0,value:0),time:(from:'2017-09-30T13:31:17-0600',mode:absolute,to:'2017-09-30T16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5" s="215" t="str">
        <f>IF(AA95&lt;VLOOKUP(AG95,Variables!$AC$3:$AD$8,2,FALSE),"Y","N")</f>
        <v>N</v>
      </c>
      <c r="X95" s="215">
        <f t="shared" si="34"/>
        <v>1</v>
      </c>
      <c r="Y95" s="215">
        <f t="shared" si="35"/>
        <v>23.3003</v>
      </c>
      <c r="Z95" s="215">
        <f t="shared" si="36"/>
        <v>1.32E-2</v>
      </c>
      <c r="AA95" s="215">
        <f t="shared" si="37"/>
        <v>23.287099999999999</v>
      </c>
      <c r="AB95" s="216" t="e">
        <f>VLOOKUP(A95,Enforcements!$C$7:$K$11,8,0)</f>
        <v>#N/A</v>
      </c>
      <c r="AC95" s="216" t="e">
        <f>VLOOKUP(A95,Enforcements!$C$7:$E$11,3,0)</f>
        <v>#N/A</v>
      </c>
      <c r="AD95" s="217">
        <f t="shared" si="38"/>
        <v>182</v>
      </c>
      <c r="AE95" s="218" t="str">
        <f t="shared" si="39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95" s="68" t="str">
        <f t="shared" si="40"/>
        <v>"C:\Program Files (x86)\AstroGrep\AstroGrep.exe" /e /r /s /spath="%USERPROFILE%\AppData\Local\Temp\OnboardLogs" /stypes="app*4027*20170930*" /stext=" 21:.+((SYSTEM_STATE.+slice.+state.+changed )|(ment ac)|(multiple cpu faults)|(system.+state.+changed )|(\[timeout)|(PRM\|1\|D)|(kpr)|(kdp)|(train st.+moving)|(\|lc)|(penalty))"</v>
      </c>
      <c r="AG95" s="172" t="str">
        <f t="shared" si="41"/>
        <v>EC</v>
      </c>
      <c r="AH95" s="70" t="str">
        <f t="shared" si="42"/>
        <v>"%USERPROFILE%\Documents\GitHub\eaglep3\Utilities\RefineRTDCRunTimes.py" --tripid 182-30 --locoid 4027 --swversion DE.1.0.9.0 --startMP 204:233003 --initTime 2017-09-30T14:31:17 --startdatetime 2017-09-30T14:42:14 --delay 54 --endMP 204:132 --enddatetime 2017-09-30T15:21:20 --enforcementcount 0 &gt;&gt;c:\users\stu\Documents\GitHub\eaglep3-reporting\EC\2017-09-30-refined-times.txt</v>
      </c>
      <c r="AI95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{"issue":{"subject":"","project_id":79,"tracker_id":40,"status_id":1,"priority_id":2,"assigned_to_id":338,"start_date":"2017-09-30","description":"","custom_fields":[{"id":1,"name":"Subdivision","value":"EC"},{"id":4,"name":"Milepost","value":"0.0132"},{"id":17,"name":"Train ID","value":"182-30"},{"id":16,"name":"Locomotive ID","value":"4027"},{"id":130,"name":"Impact","value":""},{"id":150,"name":"Time of Event (Mountain Time)","value":"15:21:20"},{"id":151,"name":"Denver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34" t="str">
        <f t="shared" si="44"/>
        <v>start /low /b %USERPROFILE%\Documents\GitHub\eaglep3\Utilities\DownloadLogsFromS3.py --loco 4027 --day 2017-09-30</v>
      </c>
      <c r="AN95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0" t="str">
        <f t="shared" si="46"/>
        <v>https://d0f6bd738d7f1b3e5a7ca70fe4ff75f0.us-east-1.aws.found.io/app/kibana#/discover/Steve-Slow-Train-Analysis-(2080s-and-2083s)?_g=(refreshInterval:(display:Off,pause:!f,section:0,value:0),time:(from:'2017-09-30T13:31:17-0600',mode:absolute,to:'2017-09-30T16:21:20-0600'))&amp;_a=(columns:!('Message%20ID',Summary),filters:!(),index:'emp_*',interval:auto,query:(query_string:(analyze_wildcard:!t,query:'%22rtdc.l.rtdc.4027%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602</v>
      </c>
      <c r="B96" s="7">
        <v>4046</v>
      </c>
      <c r="C96" s="21" t="s">
        <v>195</v>
      </c>
      <c r="D96" s="21" t="s">
        <v>385</v>
      </c>
      <c r="E96" s="13">
        <v>43008.578796296293</v>
      </c>
      <c r="F96" s="13">
        <v>43008.583495370367</v>
      </c>
      <c r="G96" s="7">
        <v>94</v>
      </c>
      <c r="H96" s="21" t="s">
        <v>901</v>
      </c>
      <c r="I96" s="13">
        <v>43008.608958333331</v>
      </c>
      <c r="J96" s="7">
        <v>0</v>
      </c>
      <c r="K96" s="81" t="str">
        <f t="shared" si="30"/>
        <v>4045/4046</v>
      </c>
      <c r="L96" s="175" t="str">
        <f>VLOOKUP(A96,'Trips&amp;Operators'!$C$1:$G$99911,5,FALSE)</f>
        <v>BERLING GARY</v>
      </c>
      <c r="M96" s="6">
        <f t="shared" si="31"/>
        <v>2.5462962963501923E-2</v>
      </c>
      <c r="N96" s="7">
        <f t="shared" si="28"/>
        <v>36.666666667442769</v>
      </c>
      <c r="O96" s="7"/>
      <c r="P96" s="7"/>
      <c r="Q96" s="22"/>
      <c r="R96" s="166"/>
      <c r="S96" s="228">
        <f t="shared" si="29"/>
        <v>1</v>
      </c>
      <c r="T96" s="166" t="str">
        <f t="shared" si="32"/>
        <v>NorthBound</v>
      </c>
      <c r="U96" s="21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4" t="str">
        <f t="shared" si="33"/>
        <v>https://d0f6bd738d7f1b3e5a7ca70fe4ff75f0.us-east-1.aws.found.io/app/kibana#/discover/Steve-Slow-Train-Analysis-(2080s-and-2083s)?_g=(refreshInterval:(display:Off,pause:!f,section:0,value:0),time:(from:'2017-09-30T12:53:28-0600',mode:absolute,to:'2017-09-30T15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6" s="215" t="str">
        <f>IF(AA96&lt;VLOOKUP(AG96,Variables!$AC$3:$AD$8,2,FALSE),"Y","N")</f>
        <v>N</v>
      </c>
      <c r="X96" s="215">
        <f t="shared" si="34"/>
        <v>1</v>
      </c>
      <c r="Y96" s="215">
        <f t="shared" si="35"/>
        <v>4.5100000000000001E-2</v>
      </c>
      <c r="Z96" s="215">
        <f t="shared" si="36"/>
        <v>23.3308</v>
      </c>
      <c r="AA96" s="215">
        <f t="shared" si="37"/>
        <v>23.285699999999999</v>
      </c>
      <c r="AB96" s="216" t="str">
        <f>VLOOKUP(A96,Enforcements!$C$7:$K$11,8,0)</f>
        <v>Bulletin (2)</v>
      </c>
      <c r="AC96" s="216" t="str">
        <f>VLOOKUP(A96,Enforcements!$C$7:$E$11,3,0)</f>
        <v>GRADE CROSSING</v>
      </c>
      <c r="AD96" s="217">
        <f t="shared" si="38"/>
        <v>183</v>
      </c>
      <c r="AE96" s="218" t="str">
        <f t="shared" si="39"/>
        <v>aws s3 cp s3://rtdc.mdm.uploadarchive.raw/RTDC4046/ "%USERPROFILE%\AppData\Local\Temp\OnboardLogs"\RTDC4046\2017-09-30 --exclude "*" --recursive --include "*20170930*" &amp; "%USERPROFILE%\Documents\GitHub\mrs-test-scripts\Headless Mode &amp; Sideloading\WalkAndUnGZ.bat" "%USERPROFILE%\AppData\Local\Temp\OnboardLogs"\RTDC4046\2017-09-30 &amp; aws s3 cp s3://rtdc.mdm.uploadarchive.raw/RTDC4046/ "%USERPROFILE%\AppData\Local\Temp\OnboardLogs"\RTDC4046\2017-10-01 --exclude "*" --recursive --include "*20171001*" &amp; "%USERPROFILE%\Documents\GitHub\mrs-test-scripts\Headless Mode &amp; Sideloading\WalkAndUnGZ.bat" "%USERPROFILE%\AppData\Local\Temp\OnboardLogs"\RTDC4046\2017-10-01</v>
      </c>
      <c r="AF96" s="68" t="str">
        <f t="shared" si="40"/>
        <v>"C:\Program Files (x86)\AstroGrep\AstroGrep.exe" /e /r /s /spath="%USERPROFILE%\AppData\Local\Temp\OnboardLogs" /stypes="app*4046*20170930*" /stext=" 20:.+((SYSTEM_STATE.+slice.+state.+changed )|(ment ac)|(multiple cpu faults)|(system.+state.+changed )|(\[timeout)|(PRM\|1\|D)|(kpr)|(kdp)|(train st.+moving)|(\|lc)|(penalty))"</v>
      </c>
      <c r="AG96" s="172" t="str">
        <f t="shared" si="41"/>
        <v>EC</v>
      </c>
      <c r="AH96" s="70" t="str">
        <f t="shared" si="42"/>
        <v>"%USERPROFILE%\Documents\GitHub\eaglep3\Utilities\RefineRTDCRunTimes.py" --tripid 183-30 --locoid 4046 --swversion DE.1.0.9.0 --startMP 204:451 --initTime 2017-09-30T13:53:28 --startdatetime 2017-09-30T14:00:14 --delay 94 --endMP 204:233308 --enddatetime 2017-09-30T14:36:54 --enforcementcount 0 &gt;&gt;c:\users\stu\Documents\GitHub\eaglep3-reporting\EC\2017-09-30-refined-times.txt</v>
      </c>
      <c r="AI96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{"issue":{"subject":"","project_id":79,"tracker_id":40,"status_id":1,"priority_id":2,"assigned_to_id":338,"start_date":"2017-09-30","description":"","custom_fields":[{"id":1,"name":"Subdivision","value":"EC"},{"id":4,"name":"Milepost","value":"23.3308"},{"id":17,"name":"Train ID","value":"183-30"},{"id":16,"name":"Locomotive ID","value":"4046"},{"id":130,"name":"Impact","value":""},{"id":150,"name":"Time of Event (Mountain Time)","value":"14:36:54"},{"id":151,"name":"Denver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34" t="str">
        <f t="shared" si="44"/>
        <v>start /low /b %USERPROFILE%\Documents\GitHub\eaglep3\Utilities\DownloadLogsFromS3.py --loco 4046 --day 2017-09-30</v>
      </c>
      <c r="AN96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0" t="str">
        <f t="shared" si="46"/>
        <v>https://d0f6bd738d7f1b3e5a7ca70fe4ff75f0.us-east-1.aws.found.io/app/kibana#/discover/Steve-Slow-Train-Analysis-(2080s-and-2083s)?_g=(refreshInterval:(display:Off,pause:!f,section:0,value:0),time:(from:'2017-09-30T12:53:28-0600',mode:absolute,to:'2017-09-30T15:36:54-0600'))&amp;_a=(columns:!('Message%20ID',Summary),filters:!(),index:'emp_*',interval:auto,query:(query_string:(analyze_wildcard:!t,query:'%22rtdc.l.rtdc.4046%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744</v>
      </c>
      <c r="B97" s="7">
        <v>4045</v>
      </c>
      <c r="C97" s="21" t="s">
        <v>195</v>
      </c>
      <c r="D97" s="21" t="s">
        <v>472</v>
      </c>
      <c r="E97" s="13">
        <v>43008.614907407406</v>
      </c>
      <c r="F97" s="13">
        <v>43008.623067129629</v>
      </c>
      <c r="G97" s="7">
        <v>53</v>
      </c>
      <c r="H97" s="21" t="s">
        <v>909</v>
      </c>
      <c r="I97" s="13">
        <v>43008.650196759256</v>
      </c>
      <c r="J97" s="7">
        <v>0</v>
      </c>
      <c r="K97" s="81" t="str">
        <f t="shared" si="30"/>
        <v>4045/4046</v>
      </c>
      <c r="L97" s="175" t="str">
        <f>VLOOKUP(A97,'Trips&amp;Operators'!$C$1:$G$99911,5,FALSE)</f>
        <v>BERLING GARY</v>
      </c>
      <c r="M97" s="6">
        <f t="shared" si="31"/>
        <v>2.7129629626870155E-2</v>
      </c>
      <c r="N97" s="7">
        <f t="shared" si="28"/>
        <v>39.066666662693024</v>
      </c>
      <c r="O97" s="7"/>
      <c r="P97" s="7"/>
      <c r="Q97" s="22"/>
      <c r="R97" s="166"/>
      <c r="S97" s="228">
        <f t="shared" si="29"/>
        <v>1</v>
      </c>
      <c r="T97" s="166" t="str">
        <f t="shared" si="32"/>
        <v>Southbound</v>
      </c>
      <c r="U97" s="21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4" t="str">
        <f t="shared" si="33"/>
        <v>https://d0f6bd738d7f1b3e5a7ca70fe4ff75f0.us-east-1.aws.found.io/app/kibana#/discover/Steve-Slow-Train-Analysis-(2080s-and-2083s)?_g=(refreshInterval:(display:Off,pause:!f,section:0,value:0),time:(from:'2017-09-30T13:45:28-0600',mode:absolute,to:'2017-09-30T16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7" s="215" t="str">
        <f>IF(AA97&lt;VLOOKUP(AG97,Variables!$AC$3:$AD$8,2,FALSE),"Y","N")</f>
        <v>N</v>
      </c>
      <c r="X97" s="215">
        <f t="shared" si="34"/>
        <v>1</v>
      </c>
      <c r="Y97" s="215">
        <f t="shared" si="35"/>
        <v>23.299399999999999</v>
      </c>
      <c r="Z97" s="215">
        <f t="shared" si="36"/>
        <v>1.2500000000000001E-2</v>
      </c>
      <c r="AA97" s="215">
        <f t="shared" si="37"/>
        <v>23.286899999999999</v>
      </c>
      <c r="AB97" s="216" t="e">
        <f>VLOOKUP(A97,Enforcements!$C$7:$K$11,8,0)</f>
        <v>#N/A</v>
      </c>
      <c r="AC97" s="216" t="e">
        <f>VLOOKUP(A97,Enforcements!$C$7:$E$11,3,0)</f>
        <v>#N/A</v>
      </c>
      <c r="AD97" s="217">
        <f t="shared" si="38"/>
        <v>184</v>
      </c>
      <c r="AE97" s="218" t="str">
        <f t="shared" si="39"/>
        <v>aws s3 cp s3://rtdc.mdm.uploadarchive.raw/RTDC4045/ "%USERPROFILE%\AppData\Local\Temp\OnboardLogs"\RTDC4045\2017-09-30 --exclude "*" --recursive --include "*20170930*" &amp; "%USERPROFILE%\Documents\GitHub\mrs-test-scripts\Headless Mode &amp; Sideloading\WalkAndUnGZ.bat" "%USERPROFILE%\AppData\Local\Temp\OnboardLogs"\RTDC4045\2017-09-30 &amp; aws s3 cp s3://rtdc.mdm.uploadarchive.raw/RTDC4045/ "%USERPROFILE%\AppData\Local\Temp\OnboardLogs"\RTDC4045\2017-10-01 --exclude "*" --recursive --include "*20171001*" &amp; "%USERPROFILE%\Documents\GitHub\mrs-test-scripts\Headless Mode &amp; Sideloading\WalkAndUnGZ.bat" "%USERPROFILE%\AppData\Local\Temp\OnboardLogs"\RTDC4045\2017-10-01</v>
      </c>
      <c r="AF97" s="68" t="str">
        <f t="shared" si="40"/>
        <v>"C:\Program Files (x86)\AstroGrep\AstroGrep.exe" /e /r /s /spath="%USERPROFILE%\AppData\Local\Temp\OnboardLogs" /stypes="app*4045*20170930*" /stext=" 21:.+((SYSTEM_STATE.+slice.+state.+changed )|(ment ac)|(multiple cpu faults)|(system.+state.+changed )|(\[timeout)|(PRM\|1\|D)|(kpr)|(kdp)|(train st.+moving)|(\|lc)|(penalty))"</v>
      </c>
      <c r="AG97" s="172" t="str">
        <f t="shared" si="41"/>
        <v>EC</v>
      </c>
      <c r="AH97" s="70" t="str">
        <f t="shared" si="42"/>
        <v>"%USERPROFILE%\Documents\GitHub\eaglep3\Utilities\RefineRTDCRunTimes.py" --tripid 184-30 --locoid 4045 --swversion DE.1.0.9.0 --startMP 204:232994 --initTime 2017-09-30T14:45:28 --startdatetime 2017-09-30T14:57:13 --delay 53 --endMP 204:125 --enddatetime 2017-09-30T15:36:17 --enforcementcount 0 &gt;&gt;c:\users\stu\Documents\GitHub\eaglep3-reporting\EC\2017-09-30-refined-times.txt</v>
      </c>
      <c r="AI97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{"issue":{"subject":"","project_id":79,"tracker_id":40,"status_id":1,"priority_id":2,"assigned_to_id":338,"start_date":"2017-09-30","description":"","custom_fields":[{"id":1,"name":"Subdivision","value":"EC"},{"id":4,"name":"Milepost","value":"0.0125"},{"id":17,"name":"Train ID","value":"184-30"},{"id":16,"name":"Locomotive ID","value":"4045"},{"id":130,"name":"Impact","value":""},{"id":150,"name":"Time of Event (Mountain Time)","value":"15:36:17"},{"id":151,"name":"Denver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34" t="str">
        <f t="shared" si="44"/>
        <v>start /low /b %USERPROFILE%\Documents\GitHub\eaglep3\Utilities\DownloadLogsFromS3.py --loco 4045 --day 2017-09-30</v>
      </c>
      <c r="AN97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0" t="str">
        <f t="shared" si="46"/>
        <v>https://d0f6bd738d7f1b3e5a7ca70fe4ff75f0.us-east-1.aws.found.io/app/kibana#/discover/Steve-Slow-Train-Analysis-(2080s-and-2083s)?_g=(refreshInterval:(display:Off,pause:!f,section:0,value:0),time:(from:'2017-09-30T13:45:28-0600',mode:absolute,to:'2017-09-30T16:36:17-0600'))&amp;_a=(columns:!('Message%20ID',Summary),filters:!(),index:'emp_*',interval:auto,query:(query_string:(analyze_wildcard:!t,query:'%22rtdc.l.rtdc.4045%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740</v>
      </c>
      <c r="B98" s="7">
        <v>4010</v>
      </c>
      <c r="C98" s="21" t="s">
        <v>195</v>
      </c>
      <c r="D98" s="21" t="s">
        <v>359</v>
      </c>
      <c r="E98" s="13">
        <v>43008.589178240742</v>
      </c>
      <c r="F98" s="13">
        <v>43008.593923611108</v>
      </c>
      <c r="G98" s="7">
        <v>92</v>
      </c>
      <c r="H98" s="21" t="s">
        <v>492</v>
      </c>
      <c r="I98" s="13">
        <v>43008.618726851855</v>
      </c>
      <c r="J98" s="7">
        <v>0</v>
      </c>
      <c r="K98" s="81" t="str">
        <f t="shared" si="30"/>
        <v>4009/4010</v>
      </c>
      <c r="L98" s="175" t="str">
        <f>VLOOKUP(A98,'Trips&amp;Operators'!$C$1:$G$99911,5,FALSE)</f>
        <v>BRUDER RICHARD</v>
      </c>
      <c r="M98" s="6">
        <f t="shared" si="31"/>
        <v>2.4803240747132804E-2</v>
      </c>
      <c r="N98" s="7">
        <f t="shared" si="28"/>
        <v>35.716666675871238</v>
      </c>
      <c r="O98" s="7"/>
      <c r="P98" s="7"/>
      <c r="Q98" s="22"/>
      <c r="R98" s="166"/>
      <c r="S98" s="228">
        <f t="shared" si="29"/>
        <v>1</v>
      </c>
      <c r="T98" s="166" t="str">
        <f t="shared" si="32"/>
        <v>NorthBound</v>
      </c>
      <c r="U98" s="21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4" t="str">
        <f t="shared" si="33"/>
        <v>https://d0f6bd738d7f1b3e5a7ca70fe4ff75f0.us-east-1.aws.found.io/app/kibana#/discover/Steve-Slow-Train-Analysis-(2080s-and-2083s)?_g=(refreshInterval:(display:Off,pause:!f,section:0,value:0),time:(from:'2017-09-30T13:08:25-0600',mode:absolute,to:'2017-09-30T15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8" s="215" t="str">
        <f>IF(AA98&lt;VLOOKUP(AG98,Variables!$AC$3:$AD$8,2,FALSE),"Y","N")</f>
        <v>N</v>
      </c>
      <c r="X98" s="215">
        <f t="shared" si="34"/>
        <v>1</v>
      </c>
      <c r="Y98" s="215">
        <f t="shared" si="35"/>
        <v>4.6399999999999997E-2</v>
      </c>
      <c r="Z98" s="215">
        <f t="shared" si="36"/>
        <v>23.329499999999999</v>
      </c>
      <c r="AA98" s="215">
        <f t="shared" si="37"/>
        <v>23.283100000000001</v>
      </c>
      <c r="AB98" s="216" t="e">
        <f>VLOOKUP(A98,Enforcements!$C$7:$K$11,8,0)</f>
        <v>#N/A</v>
      </c>
      <c r="AC98" s="216" t="e">
        <f>VLOOKUP(A98,Enforcements!$C$7:$E$11,3,0)</f>
        <v>#N/A</v>
      </c>
      <c r="AD98" s="217">
        <f t="shared" si="38"/>
        <v>185</v>
      </c>
      <c r="AE98" s="218" t="str">
        <f t="shared" si="39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98" s="68" t="str">
        <f t="shared" si="40"/>
        <v>"C:\Program Files (x86)\AstroGrep\AstroGrep.exe" /e /r /s /spath="%USERPROFILE%\AppData\Local\Temp\OnboardLogs" /stypes="app*4010*20170930*" /stext=" 20:.+((SYSTEM_STATE.+slice.+state.+changed )|(ment ac)|(multiple cpu faults)|(system.+state.+changed )|(\[timeout)|(PRM\|1\|D)|(kpr)|(kdp)|(train st.+moving)|(\|lc)|(penalty))"</v>
      </c>
      <c r="AG98" s="172" t="str">
        <f t="shared" si="41"/>
        <v>EC</v>
      </c>
      <c r="AH98" s="70" t="str">
        <f t="shared" si="42"/>
        <v>"%USERPROFILE%\Documents\GitHub\eaglep3\Utilities\RefineRTDCRunTimes.py" --tripid 185-30 --locoid 4010 --swversion DE.1.0.9.0 --startMP 204:464 --initTime 2017-09-30T14:08:25 --startdatetime 2017-09-30T14:15:15 --delay 92 --endMP 204:233295 --enddatetime 2017-09-30T14:50:58 --enforcementcount 0 &gt;&gt;c:\users\stu\Documents\GitHub\eaglep3-reporting\EC\2017-09-30-refined-times.txt</v>
      </c>
      <c r="AI98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{"issue":{"subject":"","project_id":79,"tracker_id":40,"status_id":1,"priority_id":2,"assigned_to_id":338,"start_date":"2017-09-30","description":"","custom_fields":[{"id":1,"name":"Subdivision","value":"EC"},{"id":4,"name":"Milepost","value":"23.3295"},{"id":17,"name":"Train ID","value":"185-30"},{"id":16,"name":"Locomotive ID","value":"4010"},{"id":130,"name":"Impact","value":""},{"id":150,"name":"Time of Event (Mountain Time)","value":"14:50:58"},{"id":151,"name":"Denver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34" t="str">
        <f t="shared" si="44"/>
        <v>start /low /b %USERPROFILE%\Documents\GitHub\eaglep3\Utilities\DownloadLogsFromS3.py --loco 4010 --day 2017-09-30</v>
      </c>
      <c r="AN98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0" t="str">
        <f t="shared" si="46"/>
        <v>https://d0f6bd738d7f1b3e5a7ca70fe4ff75f0.us-east-1.aws.found.io/app/kibana#/discover/Steve-Slow-Train-Analysis-(2080s-and-2083s)?_g=(refreshInterval:(display:Off,pause:!f,section:0,value:0),time:(from:'2017-09-30T13:08:25-0600',mode:absolute,to:'2017-09-30T15:50:58-0600'))&amp;_a=(columns:!('Message%20ID',Summary),filters:!(),index:'emp_*',interval:auto,query:(query_string:(analyze_wildcard:!t,query:'%22rtdc.l.rtdc.4010%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748</v>
      </c>
      <c r="B99" s="7">
        <v>4009</v>
      </c>
      <c r="C99" s="21" t="s">
        <v>195</v>
      </c>
      <c r="D99" s="21" t="s">
        <v>858</v>
      </c>
      <c r="E99" s="13">
        <v>43008.630185185182</v>
      </c>
      <c r="F99" s="13">
        <v>43008.633518518516</v>
      </c>
      <c r="G99" s="7">
        <v>90</v>
      </c>
      <c r="H99" s="21" t="s">
        <v>363</v>
      </c>
      <c r="I99" s="13">
        <v>43008.660393518519</v>
      </c>
      <c r="J99" s="7">
        <v>0</v>
      </c>
      <c r="K99" s="81" t="str">
        <f t="shared" si="30"/>
        <v>4009/4010</v>
      </c>
      <c r="L99" s="175" t="str">
        <f>VLOOKUP(A99,'Trips&amp;Operators'!$C$1:$G$99911,5,FALSE)</f>
        <v>BRUDER RICHARD</v>
      </c>
      <c r="M99" s="6">
        <f t="shared" si="31"/>
        <v>2.6875000003201421E-2</v>
      </c>
      <c r="N99" s="7">
        <f t="shared" si="28"/>
        <v>38.700000004610047</v>
      </c>
      <c r="O99" s="7"/>
      <c r="P99" s="7"/>
      <c r="Q99" s="22"/>
      <c r="R99" s="166"/>
      <c r="S99" s="228">
        <f t="shared" si="29"/>
        <v>1</v>
      </c>
      <c r="T99" s="166" t="str">
        <f t="shared" si="32"/>
        <v>Southbound</v>
      </c>
      <c r="U99" s="21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4" t="str">
        <f t="shared" si="33"/>
        <v>https://d0f6bd738d7f1b3e5a7ca70fe4ff75f0.us-east-1.aws.found.io/app/kibana#/discover/Steve-Slow-Train-Analysis-(2080s-and-2083s)?_g=(refreshInterval:(display:Off,pause:!f,section:0,value:0),time:(from:'2017-09-30T14:07:28-0600',mode:absolute,to:'2017-09-30T16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9" s="215" t="str">
        <f>IF(AA99&lt;VLOOKUP(AG99,Variables!$AC$3:$AD$8,2,FALSE),"Y","N")</f>
        <v>N</v>
      </c>
      <c r="X99" s="215">
        <f t="shared" si="34"/>
        <v>1</v>
      </c>
      <c r="Y99" s="215">
        <f t="shared" si="35"/>
        <v>23.2986</v>
      </c>
      <c r="Z99" s="215">
        <f t="shared" si="36"/>
        <v>1.5599999999999999E-2</v>
      </c>
      <c r="AA99" s="215">
        <f t="shared" si="37"/>
        <v>23.283000000000001</v>
      </c>
      <c r="AB99" s="216" t="e">
        <f>VLOOKUP(A99,Enforcements!$C$7:$K$11,8,0)</f>
        <v>#N/A</v>
      </c>
      <c r="AC99" s="216" t="e">
        <f>VLOOKUP(A99,Enforcements!$C$7:$E$11,3,0)</f>
        <v>#N/A</v>
      </c>
      <c r="AD99" s="217">
        <f t="shared" si="38"/>
        <v>186</v>
      </c>
      <c r="AE99" s="218" t="str">
        <f t="shared" si="39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99" s="68" t="str">
        <f t="shared" si="40"/>
        <v>"C:\Program Files (x86)\AstroGrep\AstroGrep.exe" /e /r /s /spath="%USERPROFILE%\AppData\Local\Temp\OnboardLogs" /stypes="app*4009*20170930*" /stext=" 21:.+((SYSTEM_STATE.+slice.+state.+changed )|(ment ac)|(multiple cpu faults)|(system.+state.+changed )|(\[timeout)|(PRM\|1\|D)|(kpr)|(kdp)|(train st.+moving)|(\|lc)|(penalty))"</v>
      </c>
      <c r="AG99" s="172" t="str">
        <f t="shared" si="41"/>
        <v>EC</v>
      </c>
      <c r="AH99" s="70" t="str">
        <f t="shared" si="42"/>
        <v>"%USERPROFILE%\Documents\GitHub\eaglep3\Utilities\RefineRTDCRunTimes.py" --tripid 186-30 --locoid 4009 --swversion DE.1.0.9.0 --startMP 204:232986 --initTime 2017-09-30T15:07:28 --startdatetime 2017-09-30T15:12:16 --delay 90 --endMP 204:156 --enddatetime 2017-09-30T15:50:58 --enforcementcount 0 &gt;&gt;c:\users\stu\Documents\GitHub\eaglep3-reporting\EC\2017-09-30-refined-times.txt</v>
      </c>
      <c r="AI99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{"issue":{"subject":"","project_id":79,"tracker_id":40,"status_id":1,"priority_id":2,"assigned_to_id":338,"start_date":"2017-09-30","description":"","custom_fields":[{"id":1,"name":"Subdivision","value":"EC"},{"id":4,"name":"Milepost","value":"0.0156"},{"id":17,"name":"Train ID","value":"186-30"},{"id":16,"name":"Locomotive ID","value":"4009"},{"id":130,"name":"Impact","value":""},{"id":150,"name":"Time of Event (Mountain Time)","value":"15:50:58"},{"id":151,"name":"Denver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34" t="str">
        <f t="shared" si="44"/>
        <v>start /low /b %USERPROFILE%\Documents\GitHub\eaglep3\Utilities\DownloadLogsFromS3.py --loco 4009 --day 2017-09-30</v>
      </c>
      <c r="AN99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0" t="str">
        <f t="shared" si="46"/>
        <v>https://d0f6bd738d7f1b3e5a7ca70fe4ff75f0.us-east-1.aws.found.io/app/kibana#/discover/Steve-Slow-Train-Analysis-(2080s-and-2083s)?_g=(refreshInterval:(display:Off,pause:!f,section:0,value:0),time:(from:'2017-09-30T14:07:28-0600',mode:absolute,to:'2017-09-30T16:50:58-0600'))&amp;_a=(columns:!('Message%20ID',Summary),filters:!(),index:'emp_*',interval:auto,query:(query_string:(analyze_wildcard:!t,query:'%22rtdc.l.rtdc.4009%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607</v>
      </c>
      <c r="B100" s="7">
        <v>4020</v>
      </c>
      <c r="C100" s="21" t="s">
        <v>195</v>
      </c>
      <c r="D100" s="21" t="s">
        <v>335</v>
      </c>
      <c r="E100" s="13">
        <v>43008.598912037036</v>
      </c>
      <c r="F100" s="13">
        <v>43008.604444444441</v>
      </c>
      <c r="G100" s="7">
        <v>58</v>
      </c>
      <c r="H100" s="21" t="s">
        <v>901</v>
      </c>
      <c r="I100" s="13">
        <v>43008.629155092596</v>
      </c>
      <c r="J100" s="7">
        <v>0</v>
      </c>
      <c r="K100" s="81" t="str">
        <f t="shared" si="30"/>
        <v>4019/4020</v>
      </c>
      <c r="L100" s="175" t="str">
        <f>VLOOKUP(A100,'Trips&amp;Operators'!$C$1:$G$99911,5,FALSE)</f>
        <v>HOLCOMB KAMDEN</v>
      </c>
      <c r="M100" s="6">
        <f t="shared" si="31"/>
        <v>2.4710648154723458E-2</v>
      </c>
      <c r="N100" s="7">
        <f t="shared" si="28"/>
        <v>35.58333334280178</v>
      </c>
      <c r="O100" s="7"/>
      <c r="P100" s="7"/>
      <c r="Q100" s="22"/>
      <c r="R100" s="166"/>
      <c r="S100" s="228">
        <f t="shared" si="29"/>
        <v>1</v>
      </c>
      <c r="T100" s="166" t="str">
        <f t="shared" si="32"/>
        <v>NorthBound</v>
      </c>
      <c r="U100" s="21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4" t="str">
        <f t="shared" si="33"/>
        <v>https://d0f6bd738d7f1b3e5a7ca70fe4ff75f0.us-east-1.aws.found.io/app/kibana#/discover/Steve-Slow-Train-Analysis-(2080s-and-2083s)?_g=(refreshInterval:(display:Off,pause:!f,section:0,value:0),time:(from:'2017-09-30T13:22:26-0600',mode:absolute,to:'2017-09-30T16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0" s="215" t="str">
        <f>IF(AA100&lt;VLOOKUP(AG100,Variables!$AC$3:$AD$8,2,FALSE),"Y","N")</f>
        <v>N</v>
      </c>
      <c r="X100" s="215">
        <f t="shared" si="34"/>
        <v>1</v>
      </c>
      <c r="Y100" s="215">
        <f t="shared" si="35"/>
        <v>4.4600000000000001E-2</v>
      </c>
      <c r="Z100" s="215">
        <f t="shared" si="36"/>
        <v>23.3308</v>
      </c>
      <c r="AA100" s="215">
        <f t="shared" si="37"/>
        <v>23.286200000000001</v>
      </c>
      <c r="AB100" s="216" t="e">
        <f>VLOOKUP(A100,Enforcements!$C$7:$K$11,8,0)</f>
        <v>#N/A</v>
      </c>
      <c r="AC100" s="216" t="e">
        <f>VLOOKUP(A100,Enforcements!$C$7:$E$11,3,0)</f>
        <v>#N/A</v>
      </c>
      <c r="AD100" s="217">
        <f t="shared" si="38"/>
        <v>187</v>
      </c>
      <c r="AE100" s="218" t="str">
        <f t="shared" si="39"/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AF100" s="68" t="str">
        <f t="shared" si="40"/>
        <v>"C:\Program Files (x86)\AstroGrep\AstroGrep.exe" /e /r /s /spath="%USERPROFILE%\AppData\Local\Temp\OnboardLogs" /stypes="app*4020*20170930*" /stext=" 21:.+((SYSTEM_STATE.+slice.+state.+changed )|(ment ac)|(multiple cpu faults)|(system.+state.+changed )|(\[timeout)|(PRM\|1\|D)|(kpr)|(kdp)|(train st.+moving)|(\|lc)|(penalty))"</v>
      </c>
      <c r="AG100" s="172" t="str">
        <f t="shared" si="41"/>
        <v>EC</v>
      </c>
      <c r="AH100" s="70" t="str">
        <f t="shared" si="42"/>
        <v>"%USERPROFILE%\Documents\GitHub\eaglep3\Utilities\RefineRTDCRunTimes.py" --tripid 187-30 --locoid 4020 --swversion DE.1.0.9.0 --startMP 204:446 --initTime 2017-09-30T14:22:26 --startdatetime 2017-09-30T14:30:24 --delay 58 --endMP 204:233308 --enddatetime 2017-09-30T15:05:59 --enforcementcount 0 &gt;&gt;c:\users\stu\Documents\GitHub\eaglep3-reporting\EC\2017-09-30-refined-times.txt</v>
      </c>
      <c r="AI100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{"issue":{"subject":"","project_id":79,"tracker_id":40,"status_id":1,"priority_id":2,"assigned_to_id":338,"start_date":"2017-09-30","description":"","custom_fields":[{"id":1,"name":"Subdivision","value":"EC"},{"id":4,"name":"Milepost","value":"23.3308"},{"id":17,"name":"Train ID","value":"187-30"},{"id":16,"name":"Locomotive ID","value":"4020"},{"id":130,"name":"Impact","value":""},{"id":150,"name":"Time of Event (Mountain Time)","value":"15:05:59"},{"id":151,"name":"Denver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34" t="str">
        <f t="shared" si="44"/>
        <v>start /low /b %USERPROFILE%\Documents\GitHub\eaglep3\Utilities\DownloadLogsFromS3.py --loco 4020 --day 2017-09-30</v>
      </c>
      <c r="AN100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0" t="str">
        <f t="shared" si="46"/>
        <v>https://d0f6bd738d7f1b3e5a7ca70fe4ff75f0.us-east-1.aws.found.io/app/kibana#/discover/Steve-Slow-Train-Analysis-(2080s-and-2083s)?_g=(refreshInterval:(display:Off,pause:!f,section:0,value:0),time:(from:'2017-09-30T13:22:26-0600',mode:absolute,to:'2017-09-30T16:05:59-0600'))&amp;_a=(columns:!('Message%20ID',Summary),filters:!(),index:'emp_*',interval:auto,query:(query_string:(analyze_wildcard:!t,query:'%22rtdc.l.rtdc.4020%22')),sort:!(Time.ISO8601,asc))</v>
      </c>
    </row>
    <row r="101" spans="1:91" s="20" customFormat="1" x14ac:dyDescent="0.25">
      <c r="A101" s="32" t="s">
        <v>749</v>
      </c>
      <c r="B101" s="7">
        <v>4019</v>
      </c>
      <c r="C101" s="21" t="s">
        <v>195</v>
      </c>
      <c r="D101" s="21" t="s">
        <v>384</v>
      </c>
      <c r="E101" s="13">
        <v>43008.635636574072</v>
      </c>
      <c r="F101" s="13">
        <v>43008.64402777778</v>
      </c>
      <c r="G101" s="7">
        <v>61</v>
      </c>
      <c r="H101" s="21" t="s">
        <v>851</v>
      </c>
      <c r="I101" s="13">
        <v>43008.669351851851</v>
      </c>
      <c r="J101" s="7">
        <v>0</v>
      </c>
      <c r="K101" s="81" t="str">
        <f t="shared" si="30"/>
        <v>4019/4020</v>
      </c>
      <c r="L101" s="175" t="str">
        <f>VLOOKUP(A101,'Trips&amp;Operators'!$C$1:$G$99911,5,FALSE)</f>
        <v>HOLCOMB KAMDEN</v>
      </c>
      <c r="M101" s="6">
        <f t="shared" si="31"/>
        <v>2.5324074071249925E-2</v>
      </c>
      <c r="N101" s="7">
        <f t="shared" si="28"/>
        <v>36.466666662599891</v>
      </c>
      <c r="O101" s="7"/>
      <c r="P101" s="7"/>
      <c r="Q101" s="22"/>
      <c r="R101" s="166"/>
      <c r="S101" s="228">
        <f t="shared" si="29"/>
        <v>1</v>
      </c>
      <c r="T101" s="166" t="str">
        <f t="shared" si="32"/>
        <v>Southbound</v>
      </c>
      <c r="U101" s="21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4" t="str">
        <f t="shared" si="33"/>
        <v>https://d0f6bd738d7f1b3e5a7ca70fe4ff75f0.us-east-1.aws.found.io/app/kibana#/discover/Steve-Slow-Train-Analysis-(2080s-and-2083s)?_g=(refreshInterval:(display:Off,pause:!f,section:0,value:0),time:(from:'2017-09-30T14:15:19-0600',mode:absolute,to:'2017-09-30T17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1" s="215" t="str">
        <f>IF(AA101&lt;VLOOKUP(AG101,Variables!$AC$3:$AD$8,2,FALSE),"Y","N")</f>
        <v>N</v>
      </c>
      <c r="X101" s="215">
        <f t="shared" si="34"/>
        <v>1</v>
      </c>
      <c r="Y101" s="215">
        <f t="shared" si="35"/>
        <v>23.299600000000002</v>
      </c>
      <c r="Z101" s="215">
        <f t="shared" si="36"/>
        <v>1.2999999999999999E-2</v>
      </c>
      <c r="AA101" s="215">
        <f t="shared" si="37"/>
        <v>23.2866</v>
      </c>
      <c r="AB101" s="216" t="e">
        <f>VLOOKUP(A101,Enforcements!$C$7:$K$11,8,0)</f>
        <v>#N/A</v>
      </c>
      <c r="AC101" s="216" t="e">
        <f>VLOOKUP(A101,Enforcements!$C$7:$E$11,3,0)</f>
        <v>#N/A</v>
      </c>
      <c r="AD101" s="217">
        <f t="shared" si="38"/>
        <v>188</v>
      </c>
      <c r="AE101" s="218" t="str">
        <f t="shared" si="39"/>
        <v>aws s3 cp s3://rtdc.mdm.uploadarchive.raw/RTDC4019/ "%USERPROFILE%\AppData\Local\Temp\OnboardLogs"\RTDC4019\2017-09-30 --exclude "*" --recursive --include "*20170930*" &amp; "%USERPROFILE%\Documents\GitHub\mrs-test-scripts\Headless Mode &amp; Sideloading\WalkAndUnGZ.bat" "%USERPROFILE%\AppData\Local\Temp\OnboardLogs"\RTDC4019\2017-09-30 &amp; aws s3 cp s3://rtdc.mdm.uploadarchive.raw/RTDC4019/ "%USERPROFILE%\AppData\Local\Temp\OnboardLogs"\RTDC4019\2017-10-01 --exclude "*" --recursive --include "*20171001*" &amp; "%USERPROFILE%\Documents\GitHub\mrs-test-scripts\Headless Mode &amp; Sideloading\WalkAndUnGZ.bat" "%USERPROFILE%\AppData\Local\Temp\OnboardLogs"\RTDC4019\2017-10-01</v>
      </c>
      <c r="AF101" s="68" t="str">
        <f t="shared" si="40"/>
        <v>"C:\Program Files (x86)\AstroGrep\AstroGrep.exe" /e /r /s /spath="%USERPROFILE%\AppData\Local\Temp\OnboardLogs" /stypes="app*4019*20170930*" /stext=" 22:.+((SYSTEM_STATE.+slice.+state.+changed )|(ment ac)|(multiple cpu faults)|(system.+state.+changed )|(\[timeout)|(PRM\|1\|D)|(kpr)|(kdp)|(train st.+moving)|(\|lc)|(penalty))"</v>
      </c>
      <c r="AG101" s="172" t="str">
        <f t="shared" si="41"/>
        <v>EC</v>
      </c>
      <c r="AH101" s="70" t="str">
        <f t="shared" si="42"/>
        <v>"%USERPROFILE%\Documents\GitHub\eaglep3\Utilities\RefineRTDCRunTimes.py" --tripid 188-30 --locoid 4019 --swversion DE.1.0.9.0 --startMP 204:232996 --initTime 2017-09-30T15:15:19 --startdatetime 2017-09-30T15:27:24 --delay 61 --endMP 204:130 --enddatetime 2017-09-30T16:03:52 --enforcementcount 0 &gt;&gt;c:\users\stu\Documents\GitHub\eaglep3-reporting\EC\2017-09-30-refined-times.txt</v>
      </c>
      <c r="AI101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{"issue":{"subject":"","project_id":79,"tracker_id":40,"status_id":1,"priority_id":2,"assigned_to_id":338,"start_date":"2017-09-30","description":"","custom_fields":[{"id":1,"name":"Subdivision","value":"EC"},{"id":4,"name":"Milepost","value":"0.013"},{"id":17,"name":"Train ID","value":"188-30"},{"id":16,"name":"Locomotive ID","value":"4019"},{"id":130,"name":"Impact","value":""},{"id":150,"name":"Time of Event (Mountain Time)","value":"16:03:52"},{"id":151,"name":"Denver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34" t="str">
        <f t="shared" si="44"/>
        <v>start /low /b %USERPROFILE%\Documents\GitHub\eaglep3\Utilities\DownloadLogsFromS3.py --loco 4019 --day 2017-09-30</v>
      </c>
      <c r="AN101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22:03:52"},{"id":29,"name":"Sharepoint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0" t="str">
        <f t="shared" si="46"/>
        <v>https://d0f6bd738d7f1b3e5a7ca70fe4ff75f0.us-east-1.aws.found.io/app/kibana#/discover/Steve-Slow-Train-Analysis-(2080s-and-2083s)?_g=(refreshInterval:(display:Off,pause:!f,section:0,value:0),time:(from:'2017-09-30T14:15:19-0600',mode:absolute,to:'2017-09-30T17:03:52-0600'))&amp;_a=(columns:!('Message%20ID',Summary),filters:!(),index:'emp_*',interval:auto,query:(query_string:(analyze_wildcard:!t,query:'%22rtdc.l.rtdc.4019%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743</v>
      </c>
      <c r="B102" s="7">
        <v>4052</v>
      </c>
      <c r="C102" s="21" t="s">
        <v>195</v>
      </c>
      <c r="D102" s="21" t="s">
        <v>335</v>
      </c>
      <c r="E102" s="13">
        <v>43008.611678240741</v>
      </c>
      <c r="F102" s="13">
        <v>43008.614918981482</v>
      </c>
      <c r="G102" s="7">
        <v>71</v>
      </c>
      <c r="H102" s="21" t="s">
        <v>910</v>
      </c>
      <c r="I102" s="13">
        <v>43008.640868055554</v>
      </c>
      <c r="J102" s="7">
        <v>0</v>
      </c>
      <c r="K102" s="81" t="str">
        <f t="shared" si="30"/>
        <v>4051/4052</v>
      </c>
      <c r="L102" s="175" t="str">
        <f>VLOOKUP(A102,'Trips&amp;Operators'!$C$1:$G$99911,5,FALSE)</f>
        <v>DAVIS MICHAEL</v>
      </c>
      <c r="M102" s="6">
        <f t="shared" si="31"/>
        <v>2.5949074071832001E-2</v>
      </c>
      <c r="N102" s="7">
        <f t="shared" si="28"/>
        <v>37.366666663438082</v>
      </c>
      <c r="O102" s="7"/>
      <c r="P102" s="7"/>
      <c r="Q102" s="22"/>
      <c r="R102" s="166"/>
      <c r="S102" s="228">
        <f t="shared" si="29"/>
        <v>1</v>
      </c>
      <c r="T102" s="166" t="str">
        <f t="shared" si="32"/>
        <v>NorthBound</v>
      </c>
      <c r="U102" s="21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4" t="str">
        <f t="shared" si="33"/>
        <v>https://d0f6bd738d7f1b3e5a7ca70fe4ff75f0.us-east-1.aws.found.io/app/kibana#/discover/Steve-Slow-Train-Analysis-(2080s-and-2083s)?_g=(refreshInterval:(display:Off,pause:!f,section:0,value:0),time:(from:'2017-09-30T13:40:49-0600',mode:absolute,to:'2017-09-30T16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2" s="215" t="str">
        <f>IF(AA102&lt;VLOOKUP(AG102,Variables!$AC$3:$AD$8,2,FALSE),"Y","N")</f>
        <v>N</v>
      </c>
      <c r="X102" s="215">
        <f t="shared" si="34"/>
        <v>1</v>
      </c>
      <c r="Y102" s="215">
        <f t="shared" si="35"/>
        <v>4.4600000000000001E-2</v>
      </c>
      <c r="Z102" s="215">
        <f t="shared" si="36"/>
        <v>23.3337</v>
      </c>
      <c r="AA102" s="215">
        <f t="shared" si="37"/>
        <v>23.289100000000001</v>
      </c>
      <c r="AB102" s="216" t="e">
        <f>VLOOKUP(A102,Enforcements!$C$7:$K$11,8,0)</f>
        <v>#N/A</v>
      </c>
      <c r="AC102" s="216" t="e">
        <f>VLOOKUP(A102,Enforcements!$C$7:$E$11,3,0)</f>
        <v>#N/A</v>
      </c>
      <c r="AD102" s="217">
        <f t="shared" si="38"/>
        <v>189</v>
      </c>
      <c r="AE102" s="218" t="str">
        <f t="shared" si="39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102" s="68" t="str">
        <f t="shared" si="40"/>
        <v>"C:\Program Files (x86)\AstroGrep\AstroGrep.exe" /e /r /s /spath="%USERPROFILE%\AppData\Local\Temp\OnboardLogs" /stypes="app*4052*20170930*" /stext=" 21:.+((SYSTEM_STATE.+slice.+state.+changed )|(ment ac)|(multiple cpu faults)|(system.+state.+changed )|(\[timeout)|(PRM\|1\|D)|(kpr)|(kdp)|(train st.+moving)|(\|lc)|(penalty))"</v>
      </c>
      <c r="AG102" s="172" t="str">
        <f t="shared" si="41"/>
        <v>EC</v>
      </c>
      <c r="AH102" s="70" t="str">
        <f t="shared" si="42"/>
        <v>"%USERPROFILE%\Documents\GitHub\eaglep3\Utilities\RefineRTDCRunTimes.py" --tripid 189-30 --locoid 4052 --swversion DE.1.0.9.0 --startMP 204:446 --initTime 2017-09-30T14:40:49 --startdatetime 2017-09-30T14:45:29 --delay 71 --endMP 204:233337 --enddatetime 2017-09-30T15:22:51 --enforcementcount 0 &gt;&gt;c:\users\stu\Documents\GitHub\eaglep3-reporting\EC\2017-09-30-refined-times.txt</v>
      </c>
      <c r="AI102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{"issue":{"subject":"","project_id":79,"tracker_id":40,"status_id":1,"priority_id":2,"assigned_to_id":338,"start_date":"2017-09-30","description":"","custom_fields":[{"id":1,"name":"Subdivision","value":"EC"},{"id":4,"name":"Milepost","value":"23.3337"},{"id":17,"name":"Train ID","value":"189-30"},{"id":16,"name":"Locomotive ID","value":"4052"},{"id":130,"name":"Impact","value":""},{"id":150,"name":"Time of Event (Mountain Time)","value":"15:22:51"},{"id":151,"name":"Denver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34" t="str">
        <f t="shared" si="44"/>
        <v>start /low /b %USERPROFILE%\Documents\GitHub\eaglep3\Utilities\DownloadLogsFromS3.py --loco 4052 --day 2017-09-30</v>
      </c>
      <c r="AN102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21:22:51"},{"id":29,"name":"Sharepoint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0" t="str">
        <f t="shared" si="46"/>
        <v>https://d0f6bd738d7f1b3e5a7ca70fe4ff75f0.us-east-1.aws.found.io/app/kibana#/discover/Steve-Slow-Train-Analysis-(2080s-and-2083s)?_g=(refreshInterval:(display:Off,pause:!f,section:0,value:0),time:(from:'2017-09-30T13:40:49-0600',mode:absolute,to:'2017-09-30T16:22:51-0600'))&amp;_a=(columns:!('Message%20ID',Summary),filters:!(),index:'emp_*',interval:auto,query:(query_string:(analyze_wildcard:!t,query:'%22rtdc.l.rtdc.4052%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753</v>
      </c>
      <c r="B103" s="7">
        <v>4051</v>
      </c>
      <c r="C103" s="21" t="s">
        <v>195</v>
      </c>
      <c r="D103" s="21" t="s">
        <v>911</v>
      </c>
      <c r="E103" s="13">
        <v>43008.651689814818</v>
      </c>
      <c r="F103" s="13">
        <v>43008.654560185183</v>
      </c>
      <c r="G103" s="7">
        <v>87</v>
      </c>
      <c r="H103" s="21" t="s">
        <v>371</v>
      </c>
      <c r="I103" s="13">
        <v>43008.681886574072</v>
      </c>
      <c r="J103" s="7">
        <v>0</v>
      </c>
      <c r="K103" s="81" t="str">
        <f t="shared" si="30"/>
        <v>4051/4052</v>
      </c>
      <c r="L103" s="175" t="str">
        <f>VLOOKUP(A103,'Trips&amp;Operators'!$C$1:$G$99911,5,FALSE)</f>
        <v>DAVIS MICHAEL</v>
      </c>
      <c r="M103" s="6">
        <f t="shared" si="31"/>
        <v>2.73263888884685E-2</v>
      </c>
      <c r="N103" s="7">
        <f t="shared" si="28"/>
        <v>39.34999999939464</v>
      </c>
      <c r="O103" s="7"/>
      <c r="P103" s="7"/>
      <c r="Q103" s="22"/>
      <c r="R103" s="166"/>
      <c r="S103" s="228">
        <f t="shared" si="29"/>
        <v>1</v>
      </c>
      <c r="T103" s="166" t="str">
        <f t="shared" si="32"/>
        <v>Southbound</v>
      </c>
      <c r="U103" s="21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4" t="str">
        <f t="shared" si="33"/>
        <v>https://d0f6bd738d7f1b3e5a7ca70fe4ff75f0.us-east-1.aws.found.io/app/kibana#/discover/Steve-Slow-Train-Analysis-(2080s-and-2083s)?_g=(refreshInterval:(display:Off,pause:!f,section:0,value:0),time:(from:'2017-09-30T14:38:26-0600',mode:absolute,to:'2017-09-30T17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3" s="215" t="str">
        <f>IF(AA103&lt;VLOOKUP(AG103,Variables!$AC$3:$AD$8,2,FALSE),"Y","N")</f>
        <v>N</v>
      </c>
      <c r="X103" s="215">
        <f t="shared" si="34"/>
        <v>1</v>
      </c>
      <c r="Y103" s="215">
        <f t="shared" si="35"/>
        <v>23.3001</v>
      </c>
      <c r="Z103" s="215">
        <f t="shared" si="36"/>
        <v>1.5800000000000002E-2</v>
      </c>
      <c r="AA103" s="215">
        <f t="shared" si="37"/>
        <v>23.284300000000002</v>
      </c>
      <c r="AB103" s="216" t="e">
        <f>VLOOKUP(A103,Enforcements!$C$7:$K$11,8,0)</f>
        <v>#N/A</v>
      </c>
      <c r="AC103" s="216" t="e">
        <f>VLOOKUP(A103,Enforcements!$C$7:$E$11,3,0)</f>
        <v>#N/A</v>
      </c>
      <c r="AD103" s="217">
        <f t="shared" si="38"/>
        <v>190</v>
      </c>
      <c r="AE103" s="218" t="str">
        <f t="shared" si="39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103" s="68" t="str">
        <f t="shared" si="40"/>
        <v>"C:\Program Files (x86)\AstroGrep\AstroGrep.exe" /e /r /s /spath="%USERPROFILE%\AppData\Local\Temp\OnboardLogs" /stypes="app*4051*20170930*" /stext=" 22:.+((SYSTEM_STATE.+slice.+state.+changed )|(ment ac)|(multiple cpu faults)|(system.+state.+changed )|(\[timeout)|(PRM\|1\|D)|(kpr)|(kdp)|(train st.+moving)|(\|lc)|(penalty))"</v>
      </c>
      <c r="AG103" s="172" t="str">
        <f t="shared" si="41"/>
        <v>EC</v>
      </c>
      <c r="AH103" s="70" t="str">
        <f t="shared" si="42"/>
        <v>"%USERPROFILE%\Documents\GitHub\eaglep3\Utilities\RefineRTDCRunTimes.py" --tripid 190-30 --locoid 4051 --swversion DE.1.0.9.0 --startMP 204:233001 --initTime 2017-09-30T15:38:26 --startdatetime 2017-09-30T15:42:34 --delay 87 --endMP 204:158 --enddatetime 2017-09-30T16:21:55 --enforcementcount 0 &gt;&gt;c:\users\stu\Documents\GitHub\eaglep3-reporting\EC\2017-09-30-refined-times.txt</v>
      </c>
      <c r="AI103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{"issue":{"subject":"","project_id":79,"tracker_id":40,"status_id":1,"priority_id":2,"assigned_to_id":338,"start_date":"2017-09-30","description":"","custom_fields":[{"id":1,"name":"Subdivision","value":"EC"},{"id":4,"name":"Milepost","value":"0.0158"},{"id":17,"name":"Train ID","value":"190-30"},{"id":16,"name":"Locomotive ID","value":"4051"},{"id":130,"name":"Impact","value":""},{"id":150,"name":"Time of Event (Mountain Time)","value":"16:21:55"},{"id":151,"name":"Denver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34" t="str">
        <f t="shared" si="44"/>
        <v>start /low /b %USERPROFILE%\Documents\GitHub\eaglep3\Utilities\DownloadLogsFromS3.py --loco 4051 --day 2017-09-30</v>
      </c>
      <c r="AN103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22:21:55"},{"id":29,"name":"Sharepoint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0" t="str">
        <f t="shared" si="46"/>
        <v>https://d0f6bd738d7f1b3e5a7ca70fe4ff75f0.us-east-1.aws.found.io/app/kibana#/discover/Steve-Slow-Train-Analysis-(2080s-and-2083s)?_g=(refreshInterval:(display:Off,pause:!f,section:0,value:0),time:(from:'2017-09-30T14:38:26-0600',mode:absolute,to:'2017-09-30T17:21:55-0600'))&amp;_a=(columns:!('Message%20ID',Summary),filters:!(),index:'emp_*',interval:auto,query:(query_string:(analyze_wildcard:!t,query:'%22rtdc.l.rtdc.4051%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745</v>
      </c>
      <c r="B104" s="7">
        <v>4040</v>
      </c>
      <c r="C104" s="21" t="s">
        <v>195</v>
      </c>
      <c r="D104" s="21" t="s">
        <v>405</v>
      </c>
      <c r="E104" s="13">
        <v>43008.621828703705</v>
      </c>
      <c r="F104" s="13">
        <v>43008.625173611108</v>
      </c>
      <c r="G104" s="7">
        <v>66</v>
      </c>
      <c r="H104" s="21" t="s">
        <v>913</v>
      </c>
      <c r="I104" s="13">
        <v>43008.649699074071</v>
      </c>
      <c r="J104" s="7">
        <v>0</v>
      </c>
      <c r="K104" s="81" t="str">
        <f t="shared" si="30"/>
        <v>4039/4040</v>
      </c>
      <c r="L104" s="175" t="str">
        <f>VLOOKUP(A104,'Trips&amp;Operators'!$C$1:$G$99911,5,FALSE)</f>
        <v>SAFIEF AEIMEN</v>
      </c>
      <c r="M104" s="6">
        <f t="shared" si="31"/>
        <v>2.4525462962628808E-2</v>
      </c>
      <c r="N104" s="7">
        <f t="shared" si="28"/>
        <v>35.316666666185483</v>
      </c>
      <c r="O104" s="7"/>
      <c r="P104" s="7"/>
      <c r="Q104" s="22"/>
      <c r="R104" s="166"/>
      <c r="S104" s="228">
        <f t="shared" si="29"/>
        <v>1</v>
      </c>
      <c r="T104" s="166" t="str">
        <f t="shared" si="32"/>
        <v>NorthBound</v>
      </c>
      <c r="U104" s="21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4" t="str">
        <f t="shared" si="33"/>
        <v>https://d0f6bd738d7f1b3e5a7ca70fe4ff75f0.us-east-1.aws.found.io/app/kibana#/discover/Steve-Slow-Train-Analysis-(2080s-and-2083s)?_g=(refreshInterval:(display:Off,pause:!f,section:0,value:0),time:(from:'2017-09-30T13:55:26-0600',mode:absolute,to:'2017-09-30T16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4" s="215" t="str">
        <f>IF(AA104&lt;VLOOKUP(AG104,Variables!$AC$3:$AD$8,2,FALSE),"Y","N")</f>
        <v>N</v>
      </c>
      <c r="X104" s="215">
        <f t="shared" si="34"/>
        <v>1</v>
      </c>
      <c r="Y104" s="215">
        <f t="shared" si="35"/>
        <v>4.5699999999999998E-2</v>
      </c>
      <c r="Z104" s="215">
        <f t="shared" si="36"/>
        <v>23.3353</v>
      </c>
      <c r="AA104" s="215">
        <f t="shared" si="37"/>
        <v>23.2896</v>
      </c>
      <c r="AB104" s="216" t="e">
        <f>VLOOKUP(A104,Enforcements!$C$7:$K$11,8,0)</f>
        <v>#N/A</v>
      </c>
      <c r="AC104" s="216" t="e">
        <f>VLOOKUP(A104,Enforcements!$C$7:$E$11,3,0)</f>
        <v>#N/A</v>
      </c>
      <c r="AD104" s="217">
        <f t="shared" si="38"/>
        <v>191</v>
      </c>
      <c r="AE104" s="218" t="str">
        <f t="shared" si="39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104" s="68" t="str">
        <f t="shared" si="40"/>
        <v>"C:\Program Files (x86)\AstroGrep\AstroGrep.exe" /e /r /s /spath="%USERPROFILE%\AppData\Local\Temp\OnboardLogs" /stypes="app*4040*20170930*" /stext=" 21:.+((SYSTEM_STATE.+slice.+state.+changed )|(ment ac)|(multiple cpu faults)|(system.+state.+changed )|(\[timeout)|(PRM\|1\|D)|(kpr)|(kdp)|(train st.+moving)|(\|lc)|(penalty))"</v>
      </c>
      <c r="AG104" s="172" t="str">
        <f t="shared" si="41"/>
        <v>EC</v>
      </c>
      <c r="AH104" s="70" t="str">
        <f t="shared" si="42"/>
        <v>"%USERPROFILE%\Documents\GitHub\eaglep3\Utilities\RefineRTDCRunTimes.py" --tripid 191-30 --locoid 4040 --swversion DE.1.0.9.0 --startMP 204:457 --initTime 2017-09-30T14:55:26 --startdatetime 2017-09-30T15:00:15 --delay 66 --endMP 204:233353 --enddatetime 2017-09-30T15:35:34 --enforcementcount 0 &gt;&gt;c:\users\stu\Documents\GitHub\eaglep3-reporting\EC\2017-09-30-refined-times.txt</v>
      </c>
      <c r="AI104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{"issue":{"subject":"","project_id":79,"tracker_id":40,"status_id":1,"priority_id":2,"assigned_to_id":338,"start_date":"2017-09-30","description":"","custom_fields":[{"id":1,"name":"Subdivision","value":"EC"},{"id":4,"name":"Milepost","value":"23.3353"},{"id":17,"name":"Train ID","value":"191-30"},{"id":16,"name":"Locomotive ID","value":"4040"},{"id":130,"name":"Impact","value":""},{"id":150,"name":"Time of Event (Mountain Time)","value":"15:35:34"},{"id":151,"name":"Denver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34" t="str">
        <f t="shared" si="44"/>
        <v>start /low /b %USERPROFILE%\Documents\GitHub\eaglep3\Utilities\DownloadLogsFromS3.py --loco 4040 --day 2017-09-30</v>
      </c>
      <c r="AN104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21:35:34"},{"id":29,"name":"Sharepoint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0" t="str">
        <f t="shared" si="46"/>
        <v>https://d0f6bd738d7f1b3e5a7ca70fe4ff75f0.us-east-1.aws.found.io/app/kibana#/discover/Steve-Slow-Train-Analysis-(2080s-and-2083s)?_g=(refreshInterval:(display:Off,pause:!f,section:0,value:0),time:(from:'2017-09-30T13:55:26-0600',mode:absolute,to:'2017-09-30T16:35:34-0600'))&amp;_a=(columns:!('Message%20ID',Summary),filters:!(),index:'emp_*',interval:auto,query:(query_string:(analyze_wildcard:!t,query:'%22rtdc.l.rtdc.4040%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754</v>
      </c>
      <c r="B105" s="7">
        <v>4039</v>
      </c>
      <c r="C105" s="21" t="s">
        <v>195</v>
      </c>
      <c r="D105" s="21" t="s">
        <v>914</v>
      </c>
      <c r="E105" s="13">
        <v>43008.651932870373</v>
      </c>
      <c r="F105" s="13">
        <v>43008.66474537037</v>
      </c>
      <c r="G105" s="7">
        <v>90</v>
      </c>
      <c r="H105" s="21" t="s">
        <v>381</v>
      </c>
      <c r="I105" s="13">
        <v>43008.690497685187</v>
      </c>
      <c r="J105" s="7">
        <v>0</v>
      </c>
      <c r="K105" s="81" t="str">
        <f t="shared" si="30"/>
        <v>4039/4040</v>
      </c>
      <c r="L105" s="175" t="str">
        <f>VLOOKUP(A105,'Trips&amp;Operators'!$C$1:$G$99911,5,FALSE)</f>
        <v>SAFIEF AEIMEN</v>
      </c>
      <c r="M105" s="6">
        <f t="shared" si="31"/>
        <v>2.5752314817509614E-2</v>
      </c>
      <c r="N105" s="7">
        <f t="shared" ref="N105:N136" si="47">24*60*SUM($M105:$M105)</f>
        <v>37.083333337213844</v>
      </c>
      <c r="O105" s="7"/>
      <c r="P105" s="7"/>
      <c r="Q105" s="22"/>
      <c r="R105" s="166"/>
      <c r="S105" s="228">
        <f t="shared" ref="S105:S136" si="48">1/IF(AG105="EC",12,1)*SUM(U105:U105)</f>
        <v>1</v>
      </c>
      <c r="T105" s="166" t="str">
        <f t="shared" si="32"/>
        <v>Southbound</v>
      </c>
      <c r="U105" s="21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4" t="str">
        <f t="shared" si="33"/>
        <v>https://d0f6bd738d7f1b3e5a7ca70fe4ff75f0.us-east-1.aws.found.io/app/kibana#/discover/Steve-Slow-Train-Analysis-(2080s-and-2083s)?_g=(refreshInterval:(display:Off,pause:!f,section:0,value:0),time:(from:'2017-09-30T14:38:47-0600',mode:absolute,to:'2017-09-30T17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5" s="215" t="str">
        <f>IF(AA105&lt;VLOOKUP(AG105,Variables!$AC$3:$AD$8,2,FALSE),"Y","N")</f>
        <v>N</v>
      </c>
      <c r="X105" s="215">
        <f t="shared" si="34"/>
        <v>1</v>
      </c>
      <c r="Y105" s="215">
        <f t="shared" si="35"/>
        <v>23.304200000000002</v>
      </c>
      <c r="Z105" s="215">
        <f t="shared" si="36"/>
        <v>1.3599999999999999E-2</v>
      </c>
      <c r="AA105" s="215">
        <f t="shared" si="37"/>
        <v>23.290600000000001</v>
      </c>
      <c r="AB105" s="216" t="e">
        <f>VLOOKUP(A105,Enforcements!$C$7:$K$11,8,0)</f>
        <v>#N/A</v>
      </c>
      <c r="AC105" s="216" t="e">
        <f>VLOOKUP(A105,Enforcements!$C$7:$E$11,3,0)</f>
        <v>#N/A</v>
      </c>
      <c r="AD105" s="217">
        <f t="shared" si="38"/>
        <v>192</v>
      </c>
      <c r="AE105" s="218" t="str">
        <f t="shared" si="39"/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105" s="68" t="str">
        <f t="shared" si="40"/>
        <v>"C:\Program Files (x86)\AstroGrep\AstroGrep.exe" /e /r /s /spath="%USERPROFILE%\AppData\Local\Temp\OnboardLogs" /stypes="app*4039*20170930*" /stext=" 22:.+((SYSTEM_STATE.+slice.+state.+changed )|(ment ac)|(multiple cpu faults)|(system.+state.+changed )|(\[timeout)|(PRM\|1\|D)|(kpr)|(kdp)|(train st.+moving)|(\|lc)|(penalty))"</v>
      </c>
      <c r="AG105" s="172" t="str">
        <f t="shared" si="41"/>
        <v>EC</v>
      </c>
      <c r="AH105" s="70" t="str">
        <f t="shared" si="42"/>
        <v>"%USERPROFILE%\Documents\GitHub\eaglep3\Utilities\RefineRTDCRunTimes.py" --tripid 192-30 --locoid 4039 --swversion DE.1.0.9.0 --startMP 204:233042 --initTime 2017-09-30T15:38:47 --startdatetime 2017-09-30T15:57:14 --delay 90 --endMP 204:136 --enddatetime 2017-09-30T16:34:19 --enforcementcount 0 &gt;&gt;c:\users\stu\Documents\GitHub\eaglep3-reporting\EC\2017-09-30-refined-times.txt</v>
      </c>
      <c r="AI105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{"issue":{"subject":"","project_id":79,"tracker_id":40,"status_id":1,"priority_id":2,"assigned_to_id":338,"start_date":"2017-09-30","description":"","custom_fields":[{"id":1,"name":"Subdivision","value":"EC"},{"id":4,"name":"Milepost","value":"0.0136"},{"id":17,"name":"Train ID","value":"192-30"},{"id":16,"name":"Locomotive ID","value":"4039"},{"id":130,"name":"Impact","value":""},{"id":150,"name":"Time of Event (Mountain Time)","value":"16:34:19"},{"id":151,"name":"Denver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34" t="str">
        <f t="shared" si="44"/>
        <v>start /low /b %USERPROFILE%\Documents\GitHub\eaglep3\Utilities\DownloadLogsFromS3.py --loco 4039 --day 2017-09-30</v>
      </c>
      <c r="AN105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22:34:19"},{"id":29,"name":"Sharepoint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0" t="str">
        <f t="shared" si="46"/>
        <v>https://d0f6bd738d7f1b3e5a7ca70fe4ff75f0.us-east-1.aws.found.io/app/kibana#/discover/Steve-Slow-Train-Analysis-(2080s-and-2083s)?_g=(refreshInterval:(display:Off,pause:!f,section:0,value:0),time:(from:'2017-09-30T14:38:47-0600',mode:absolute,to:'2017-09-30T17:34:19-0600'))&amp;_a=(columns:!('Message%20ID',Summary),filters:!(),index:'emp_*',interval:auto,query:(query_string:(analyze_wildcard:!t,query:'%22rtdc.l.rtdc.4039%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747</v>
      </c>
      <c r="B106" s="7">
        <v>4056</v>
      </c>
      <c r="C106" s="21" t="s">
        <v>195</v>
      </c>
      <c r="D106" s="21" t="s">
        <v>391</v>
      </c>
      <c r="E106" s="13">
        <v>43008.629733796297</v>
      </c>
      <c r="F106" s="13">
        <v>43008.635648148149</v>
      </c>
      <c r="G106" s="7">
        <v>77</v>
      </c>
      <c r="H106" s="21" t="s">
        <v>468</v>
      </c>
      <c r="I106" s="13">
        <v>43008.660590277781</v>
      </c>
      <c r="J106" s="7">
        <v>0</v>
      </c>
      <c r="K106" s="81" t="str">
        <f t="shared" si="30"/>
        <v>4055/4056</v>
      </c>
      <c r="L106" s="175" t="str">
        <f>VLOOKUP(A106,'Trips&amp;Operators'!$C$1:$G$99911,5,FALSE)</f>
        <v>GUZMAN DANNY</v>
      </c>
      <c r="M106" s="6">
        <f t="shared" si="31"/>
        <v>2.4942129632108845E-2</v>
      </c>
      <c r="N106" s="7">
        <f t="shared" si="47"/>
        <v>35.916666670236737</v>
      </c>
      <c r="O106" s="7"/>
      <c r="P106" s="7"/>
      <c r="Q106" s="22"/>
      <c r="R106" s="166"/>
      <c r="S106" s="228">
        <f t="shared" si="48"/>
        <v>1</v>
      </c>
      <c r="T106" s="166" t="str">
        <f t="shared" si="32"/>
        <v>NorthBound</v>
      </c>
      <c r="U106" s="21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4" t="str">
        <f t="shared" si="33"/>
        <v>https://d0f6bd738d7f1b3e5a7ca70fe4ff75f0.us-east-1.aws.found.io/app/kibana#/discover/Steve-Slow-Train-Analysis-(2080s-and-2083s)?_g=(refreshInterval:(display:Off,pause:!f,section:0,value:0),time:(from:'2017-09-30T14:06:49-0600',mode:absolute,to:'2017-09-30T16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6" s="215" t="str">
        <f>IF(AA106&lt;VLOOKUP(AG106,Variables!$AC$3:$AD$8,2,FALSE),"Y","N")</f>
        <v>N</v>
      </c>
      <c r="X106" s="215">
        <f t="shared" si="34"/>
        <v>1</v>
      </c>
      <c r="Y106" s="215">
        <f t="shared" si="35"/>
        <v>4.3700000000000003E-2</v>
      </c>
      <c r="Z106" s="215">
        <f t="shared" si="36"/>
        <v>23.328199999999999</v>
      </c>
      <c r="AA106" s="215">
        <f t="shared" si="37"/>
        <v>23.284499999999998</v>
      </c>
      <c r="AB106" s="216" t="e">
        <f>VLOOKUP(A106,Enforcements!$C$7:$K$11,8,0)</f>
        <v>#N/A</v>
      </c>
      <c r="AC106" s="216" t="e">
        <f>VLOOKUP(A106,Enforcements!$C$7:$E$11,3,0)</f>
        <v>#N/A</v>
      </c>
      <c r="AD106" s="217">
        <f t="shared" si="38"/>
        <v>193</v>
      </c>
      <c r="AE106" s="218" t="str">
        <f t="shared" si="39"/>
        <v>aws s3 cp s3://rtdc.mdm.uploadarchive.raw/RTDC4056/ "%USERPROFILE%\AppData\Local\Temp\OnboardLogs"\RTDC4056\2017-09-30 --exclude "*" --recursive --include "*20170930*" &amp; "%USERPROFILE%\Documents\GitHub\mrs-test-scripts\Headless Mode &amp; Sideloading\WalkAndUnGZ.bat" "%USERPROFILE%\AppData\Local\Temp\OnboardLogs"\RTDC4056\2017-09-30 &amp; aws s3 cp s3://rtdc.mdm.uploadarchive.raw/RTDC4056/ "%USERPROFILE%\AppData\Local\Temp\OnboardLogs"\RTDC4056\2017-10-01 --exclude "*" --recursive --include "*20171001*" &amp; "%USERPROFILE%\Documents\GitHub\mrs-test-scripts\Headless Mode &amp; Sideloading\WalkAndUnGZ.bat" "%USERPROFILE%\AppData\Local\Temp\OnboardLogs"\RTDC4056\2017-10-01</v>
      </c>
      <c r="AF106" s="68" t="str">
        <f t="shared" si="40"/>
        <v>"C:\Program Files (x86)\AstroGrep\AstroGrep.exe" /e /r /s /spath="%USERPROFILE%\AppData\Local\Temp\OnboardLogs" /stypes="app*4056*20170930*" /stext=" 21:.+((SYSTEM_STATE.+slice.+state.+changed )|(ment ac)|(multiple cpu faults)|(system.+state.+changed )|(\[timeout)|(PRM\|1\|D)|(kpr)|(kdp)|(train st.+moving)|(\|lc)|(penalty))"</v>
      </c>
      <c r="AG106" s="172" t="str">
        <f t="shared" si="41"/>
        <v>EC</v>
      </c>
      <c r="AH106" s="70" t="str">
        <f t="shared" si="42"/>
        <v>"%USERPROFILE%\Documents\GitHub\eaglep3\Utilities\RefineRTDCRunTimes.py" --tripid 193-30 --locoid 4056 --swversion DE.1.0.9.0 --startMP 204:437 --initTime 2017-09-30T15:06:49 --startdatetime 2017-09-30T15:15:20 --delay 77 --endMP 204:233282 --enddatetime 2017-09-30T15:51:15 --enforcementcount 0 &gt;&gt;c:\users\stu\Documents\GitHub\eaglep3-reporting\EC\2017-09-30-refined-times.txt</v>
      </c>
      <c r="AI106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{"issue":{"subject":"","project_id":79,"tracker_id":40,"status_id":1,"priority_id":2,"assigned_to_id":338,"start_date":"2017-09-30","description":"","custom_fields":[{"id":1,"name":"Subdivision","value":"EC"},{"id":4,"name":"Milepost","value":"23.3282"},{"id":17,"name":"Train ID","value":"193-30"},{"id":16,"name":"Locomotive ID","value":"4056"},{"id":130,"name":"Impact","value":""},{"id":150,"name":"Time of Event (Mountain Time)","value":"15:51:15"},{"id":151,"name":"Denver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34" t="str">
        <f t="shared" si="44"/>
        <v>start /low /b %USERPROFILE%\Documents\GitHub\eaglep3\Utilities\DownloadLogsFromS3.py --loco 4056 --day 2017-09-30</v>
      </c>
      <c r="AN106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0" t="str">
        <f t="shared" si="46"/>
        <v>https://d0f6bd738d7f1b3e5a7ca70fe4ff75f0.us-east-1.aws.found.io/app/kibana#/discover/Steve-Slow-Train-Analysis-(2080s-and-2083s)?_g=(refreshInterval:(display:Off,pause:!f,section:0,value:0),time:(from:'2017-09-30T14:06:49-0600',mode:absolute,to:'2017-09-30T16:51:15-0600'))&amp;_a=(columns:!('Message%20ID',Summary),filters:!(),index:'emp_*',interval:auto,query:(query_string:(analyze_wildcard:!t,query:'%22rtdc.l.rtdc.4056%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755</v>
      </c>
      <c r="B107" s="7">
        <v>4055</v>
      </c>
      <c r="C107" s="21" t="s">
        <v>195</v>
      </c>
      <c r="D107" s="21" t="s">
        <v>915</v>
      </c>
      <c r="E107" s="13">
        <v>43008.662673611114</v>
      </c>
      <c r="F107" s="13">
        <v>43008.675173611111</v>
      </c>
      <c r="G107" s="7">
        <v>48</v>
      </c>
      <c r="H107" s="21" t="s">
        <v>360</v>
      </c>
      <c r="I107" s="13">
        <v>43008.701018518521</v>
      </c>
      <c r="J107" s="7">
        <v>0</v>
      </c>
      <c r="K107" s="81" t="str">
        <f t="shared" si="30"/>
        <v>4055/4056</v>
      </c>
      <c r="L107" s="175" t="str">
        <f>VLOOKUP(A107,'Trips&amp;Operators'!$C$1:$G$99911,5,FALSE)</f>
        <v>GUZMAN DANNY</v>
      </c>
      <c r="M107" s="6">
        <f t="shared" si="31"/>
        <v>2.584490740991896E-2</v>
      </c>
      <c r="N107" s="7">
        <f t="shared" si="47"/>
        <v>37.216666670283303</v>
      </c>
      <c r="O107" s="7"/>
      <c r="P107" s="7"/>
      <c r="Q107" s="22"/>
      <c r="R107" s="166"/>
      <c r="S107" s="228">
        <f t="shared" si="48"/>
        <v>1</v>
      </c>
      <c r="T107" s="166" t="str">
        <f t="shared" si="32"/>
        <v>Southbound</v>
      </c>
      <c r="U107" s="21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4" t="str">
        <f t="shared" si="33"/>
        <v>https://d0f6bd738d7f1b3e5a7ca70fe4ff75f0.us-east-1.aws.found.io/app/kibana#/discover/Steve-Slow-Train-Analysis-(2080s-and-2083s)?_g=(refreshInterval:(display:Off,pause:!f,section:0,value:0),time:(from:'2017-09-30T14:54:15-0600',mode:absolute,to:'2017-09-30T17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7" s="215" t="str">
        <f>IF(AA107&lt;VLOOKUP(AG107,Variables!$AC$3:$AD$8,2,FALSE),"Y","N")</f>
        <v>N</v>
      </c>
      <c r="X107" s="215">
        <f t="shared" si="34"/>
        <v>1</v>
      </c>
      <c r="Y107" s="215">
        <f t="shared" si="35"/>
        <v>23.295200000000001</v>
      </c>
      <c r="Z107" s="215">
        <f t="shared" si="36"/>
        <v>1.4500000000000001E-2</v>
      </c>
      <c r="AA107" s="215">
        <f t="shared" si="37"/>
        <v>23.2807</v>
      </c>
      <c r="AB107" s="216" t="e">
        <f>VLOOKUP(A107,Enforcements!$C$7:$K$11,8,0)</f>
        <v>#N/A</v>
      </c>
      <c r="AC107" s="216" t="e">
        <f>VLOOKUP(A107,Enforcements!$C$7:$E$11,3,0)</f>
        <v>#N/A</v>
      </c>
      <c r="AD107" s="217">
        <f t="shared" si="38"/>
        <v>194</v>
      </c>
      <c r="AE107" s="218" t="str">
        <f t="shared" si="39"/>
        <v>aws s3 cp s3://rtdc.mdm.uploadarchive.raw/RTDC4055/ "%USERPROFILE%\AppData\Local\Temp\OnboardLogs"\RTDC4055\2017-09-30 --exclude "*" --recursive --include "*20170930*" &amp; "%USERPROFILE%\Documents\GitHub\mrs-test-scripts\Headless Mode &amp; Sideloading\WalkAndUnGZ.bat" "%USERPROFILE%\AppData\Local\Temp\OnboardLogs"\RTDC4055\2017-09-30 &amp; aws s3 cp s3://rtdc.mdm.uploadarchive.raw/RTDC4055/ "%USERPROFILE%\AppData\Local\Temp\OnboardLogs"\RTDC4055\2017-10-01 --exclude "*" --recursive --include "*20171001*" &amp; "%USERPROFILE%\Documents\GitHub\mrs-test-scripts\Headless Mode &amp; Sideloading\WalkAndUnGZ.bat" "%USERPROFILE%\AppData\Local\Temp\OnboardLogs"\RTDC4055\2017-10-01</v>
      </c>
      <c r="AF107" s="68" t="str">
        <f t="shared" si="40"/>
        <v>"C:\Program Files (x86)\AstroGrep\AstroGrep.exe" /e /r /s /spath="%USERPROFILE%\AppData\Local\Temp\OnboardLogs" /stypes="app*4055*20170930*" /stext=" 22:.+((SYSTEM_STATE.+slice.+state.+changed )|(ment ac)|(multiple cpu faults)|(system.+state.+changed )|(\[timeout)|(PRM\|1\|D)|(kpr)|(kdp)|(train st.+moving)|(\|lc)|(penalty))"</v>
      </c>
      <c r="AG107" s="172" t="str">
        <f t="shared" si="41"/>
        <v>EC</v>
      </c>
      <c r="AH107" s="70" t="str">
        <f t="shared" si="42"/>
        <v>"%USERPROFILE%\Documents\GitHub\eaglep3\Utilities\RefineRTDCRunTimes.py" --tripid 194-30 --locoid 4055 --swversion DE.1.0.9.0 --startMP 204:232952 --initTime 2017-09-30T15:54:15 --startdatetime 2017-09-30T16:12:15 --delay 48 --endMP 204:145 --enddatetime 2017-09-30T16:49:28 --enforcementcount 0 &gt;&gt;c:\users\stu\Documents\GitHub\eaglep3-reporting\EC\2017-09-30-refined-times.txt</v>
      </c>
      <c r="AI107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{"issue":{"subject":"","project_id":79,"tracker_id":40,"status_id":1,"priority_id":2,"assigned_to_id":338,"start_date":"2017-09-30","description":"","custom_fields":[{"id":1,"name":"Subdivision","value":"EC"},{"id":4,"name":"Milepost","value":"0.0145"},{"id":17,"name":"Train ID","value":"194-30"},{"id":16,"name":"Locomotive ID","value":"4055"},{"id":130,"name":"Impact","value":""},{"id":150,"name":"Time of Event (Mountain Time)","value":"16:49:28"},{"id":151,"name":"Denver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34" t="str">
        <f t="shared" si="44"/>
        <v>start /low /b %USERPROFILE%\Documents\GitHub\eaglep3\Utilities\DownloadLogsFromS3.py --loco 4055 --day 2017-09-30</v>
      </c>
      <c r="AN107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22:49:28"},{"id":29,"name":"Sharepoint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0" t="str">
        <f t="shared" si="46"/>
        <v>https://d0f6bd738d7f1b3e5a7ca70fe4ff75f0.us-east-1.aws.found.io/app/kibana#/discover/Steve-Slow-Train-Analysis-(2080s-and-2083s)?_g=(refreshInterval:(display:Off,pause:!f,section:0,value:0),time:(from:'2017-09-30T14:54:15-0600',mode:absolute,to:'2017-09-30T17:49:28-0600'))&amp;_a=(columns:!('Message%20ID',Summary),filters:!(),index:'emp_*',interval:auto,query:(query_string:(analyze_wildcard:!t,query:'%22rtdc.l.rtdc.4055%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750</v>
      </c>
      <c r="B108" s="7">
        <v>4028</v>
      </c>
      <c r="C108" s="21" t="s">
        <v>195</v>
      </c>
      <c r="D108" s="21" t="s">
        <v>405</v>
      </c>
      <c r="E108" s="13">
        <v>43008.642025462963</v>
      </c>
      <c r="F108" s="13">
        <v>43008.645995370367</v>
      </c>
      <c r="G108" s="7">
        <v>53</v>
      </c>
      <c r="H108" s="21" t="s">
        <v>552</v>
      </c>
      <c r="I108" s="13">
        <v>43008.671481481484</v>
      </c>
      <c r="J108" s="7">
        <v>0</v>
      </c>
      <c r="K108" s="81" t="str">
        <f t="shared" si="30"/>
        <v>4027/4028</v>
      </c>
      <c r="L108" s="175" t="str">
        <f>VLOOKUP(A108,'Trips&amp;Operators'!$C$1:$G$99911,5,FALSE)</f>
        <v>BADERTSCHER DIANE</v>
      </c>
      <c r="M108" s="6">
        <f t="shared" si="31"/>
        <v>2.5486111117061228E-2</v>
      </c>
      <c r="N108" s="7">
        <f t="shared" si="47"/>
        <v>36.700000008568168</v>
      </c>
      <c r="O108" s="7"/>
      <c r="P108" s="7"/>
      <c r="Q108" s="22"/>
      <c r="R108" s="166"/>
      <c r="S108" s="228">
        <f t="shared" si="48"/>
        <v>1</v>
      </c>
      <c r="T108" s="166" t="str">
        <f t="shared" si="32"/>
        <v>NorthBound</v>
      </c>
      <c r="U108" s="21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4" t="str">
        <f t="shared" si="33"/>
        <v>https://d0f6bd738d7f1b3e5a7ca70fe4ff75f0.us-east-1.aws.found.io/app/kibana#/discover/Steve-Slow-Train-Analysis-(2080s-and-2083s)?_g=(refreshInterval:(display:Off,pause:!f,section:0,value:0),time:(from:'2017-09-30T14:24:31-0600',mode:absolute,to:'2017-09-30T17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8" s="215" t="str">
        <f>IF(AA108&lt;VLOOKUP(AG108,Variables!$AC$3:$AD$8,2,FALSE),"Y","N")</f>
        <v>N</v>
      </c>
      <c r="X108" s="215">
        <f t="shared" si="34"/>
        <v>1</v>
      </c>
      <c r="Y108" s="215">
        <f t="shared" si="35"/>
        <v>4.5699999999999998E-2</v>
      </c>
      <c r="Z108" s="215">
        <f t="shared" si="36"/>
        <v>23.331900000000001</v>
      </c>
      <c r="AA108" s="215">
        <f t="shared" si="37"/>
        <v>23.286200000000001</v>
      </c>
      <c r="AB108" s="216" t="e">
        <f>VLOOKUP(A108,Enforcements!$C$7:$K$11,8,0)</f>
        <v>#N/A</v>
      </c>
      <c r="AC108" s="216" t="e">
        <f>VLOOKUP(A108,Enforcements!$C$7:$E$11,3,0)</f>
        <v>#N/A</v>
      </c>
      <c r="AD108" s="217">
        <f t="shared" si="38"/>
        <v>195</v>
      </c>
      <c r="AE108" s="218" t="str">
        <f t="shared" si="39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108" s="68" t="str">
        <f t="shared" si="40"/>
        <v>"C:\Program Files (x86)\AstroGrep\AstroGrep.exe" /e /r /s /spath="%USERPROFILE%\AppData\Local\Temp\OnboardLogs" /stypes="app*4028*20170930*" /stext=" 22:.+((SYSTEM_STATE.+slice.+state.+changed )|(ment ac)|(multiple cpu faults)|(system.+state.+changed )|(\[timeout)|(PRM\|1\|D)|(kpr)|(kdp)|(train st.+moving)|(\|lc)|(penalty))"</v>
      </c>
      <c r="AG108" s="172" t="str">
        <f t="shared" si="41"/>
        <v>EC</v>
      </c>
      <c r="AH108" s="70" t="str">
        <f t="shared" si="42"/>
        <v>"%USERPROFILE%\Documents\GitHub\eaglep3\Utilities\RefineRTDCRunTimes.py" --tripid 195-30 --locoid 4028 --swversion DE.1.0.9.0 --startMP 204:457 --initTime 2017-09-30T15:24:31 --startdatetime 2017-09-30T15:30:14 --delay 53 --endMP 204:233319 --enddatetime 2017-09-30T16:06:56 --enforcementcount 0 &gt;&gt;c:\users\stu\Documents\GitHub\eaglep3-reporting\EC\2017-09-30-refined-times.txt</v>
      </c>
      <c r="AI108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{"issue":{"subject":"","project_id":79,"tracker_id":40,"status_id":1,"priority_id":2,"assigned_to_id":338,"start_date":"2017-09-30","description":"","custom_fields":[{"id":1,"name":"Subdivision","value":"EC"},{"id":4,"name":"Milepost","value":"23.3319"},{"id":17,"name":"Train ID","value":"195-30"},{"id":16,"name":"Locomotive ID","value":"4028"},{"id":130,"name":"Impact","value":""},{"id":150,"name":"Time of Event (Mountain Time)","value":"16:06:56"},{"id":151,"name":"Denver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34" t="str">
        <f t="shared" si="44"/>
        <v>start /low /b %USERPROFILE%\Documents\GitHub\eaglep3\Utilities\DownloadLogsFromS3.py --loco 4028 --day 2017-09-30</v>
      </c>
      <c r="AN108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0" t="str">
        <f t="shared" si="46"/>
        <v>https://d0f6bd738d7f1b3e5a7ca70fe4ff75f0.us-east-1.aws.found.io/app/kibana#/discover/Steve-Slow-Train-Analysis-(2080s-and-2083s)?_g=(refreshInterval:(display:Off,pause:!f,section:0,value:0),time:(from:'2017-09-30T14:24:31-0600',mode:absolute,to:'2017-09-30T17:06:56-0600'))&amp;_a=(columns:!('Message%20ID',Summary),filters:!(),index:'emp_*',interval:auto,query:(query_string:(analyze_wildcard:!t,query:'%22rtdc.l.rtdc.4028%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759</v>
      </c>
      <c r="B109" s="7">
        <v>4027</v>
      </c>
      <c r="C109" s="21" t="s">
        <v>195</v>
      </c>
      <c r="D109" s="21" t="s">
        <v>555</v>
      </c>
      <c r="E109" s="13">
        <v>43008.678622685184</v>
      </c>
      <c r="F109" s="13">
        <v>43008.685590277775</v>
      </c>
      <c r="G109" s="7">
        <v>73</v>
      </c>
      <c r="H109" s="21" t="s">
        <v>442</v>
      </c>
      <c r="I109" s="13">
        <v>43008.71297453704</v>
      </c>
      <c r="J109" s="7">
        <v>0</v>
      </c>
      <c r="K109" s="81" t="str">
        <f t="shared" si="30"/>
        <v>4027/4028</v>
      </c>
      <c r="L109" s="175" t="str">
        <f>VLOOKUP(A109,'Trips&amp;Operators'!$C$1:$G$99911,5,FALSE)</f>
        <v>BADERTSCHER DIANE</v>
      </c>
      <c r="M109" s="6">
        <f t="shared" si="31"/>
        <v>2.7384259265090805E-2</v>
      </c>
      <c r="N109" s="7">
        <f t="shared" si="47"/>
        <v>39.433333341730759</v>
      </c>
      <c r="O109" s="7"/>
      <c r="P109" s="7"/>
      <c r="Q109" s="22"/>
      <c r="R109" s="166"/>
      <c r="S109" s="228">
        <f t="shared" si="48"/>
        <v>1</v>
      </c>
      <c r="T109" s="166" t="str">
        <f t="shared" si="32"/>
        <v>Southbound</v>
      </c>
      <c r="U109" s="21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4" t="str">
        <f t="shared" si="33"/>
        <v>https://d0f6bd738d7f1b3e5a7ca70fe4ff75f0.us-east-1.aws.found.io/app/kibana#/discover/Steve-Slow-Train-Analysis-(2080s-and-2083s)?_g=(refreshInterval:(display:Off,pause:!f,section:0,value:0),time:(from:'2017-09-30T15:17:13-0600',mode:absolute,to:'2017-09-30T18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9" s="215" t="str">
        <f>IF(AA109&lt;VLOOKUP(AG109,Variables!$AC$3:$AD$8,2,FALSE),"Y","N")</f>
        <v>N</v>
      </c>
      <c r="X109" s="215">
        <f t="shared" si="34"/>
        <v>1</v>
      </c>
      <c r="Y109" s="215">
        <f t="shared" ref="Y109:Y140" si="49">RIGHT(D109,LEN(D109)-4)/10000</f>
        <v>23.3002</v>
      </c>
      <c r="Z109" s="215">
        <f t="shared" ref="Z109:Z140" si="50">RIGHT(H109,LEN(H109)-4)/10000</f>
        <v>1.34E-2</v>
      </c>
      <c r="AA109" s="215">
        <f t="shared" si="37"/>
        <v>23.286799999999999</v>
      </c>
      <c r="AB109" s="216" t="e">
        <f>VLOOKUP(A109,Enforcements!$C$7:$K$11,8,0)</f>
        <v>#N/A</v>
      </c>
      <c r="AC109" s="216" t="e">
        <f>VLOOKUP(A109,Enforcements!$C$7:$E$11,3,0)</f>
        <v>#N/A</v>
      </c>
      <c r="AD109" s="217">
        <f t="shared" si="38"/>
        <v>196</v>
      </c>
      <c r="AE109" s="218" t="str">
        <f t="shared" si="39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109" s="68" t="str">
        <f t="shared" si="40"/>
        <v>"C:\Program Files (x86)\AstroGrep\AstroGrep.exe" /e /r /s /spath="%USERPROFILE%\AppData\Local\Temp\OnboardLogs" /stypes="app*4027*20170930*" /stext=" 23:.+((SYSTEM_STATE.+slice.+state.+changed )|(ment ac)|(multiple cpu faults)|(system.+state.+changed )|(\[timeout)|(PRM\|1\|D)|(kpr)|(kdp)|(train st.+moving)|(\|lc)|(penalty))"</v>
      </c>
      <c r="AG109" s="172" t="str">
        <f t="shared" si="41"/>
        <v>EC</v>
      </c>
      <c r="AH109" s="70" t="str">
        <f t="shared" si="42"/>
        <v>"%USERPROFILE%\Documents\GitHub\eaglep3\Utilities\RefineRTDCRunTimes.py" --tripid 196-30 --locoid 4027 --swversion DE.1.0.9.0 --startMP 204:233002 --initTime 2017-09-30T16:17:13 --startdatetime 2017-09-30T16:27:15 --delay 73 --endMP 204:134 --enddatetime 2017-09-30T17:06:41 --enforcementcount 0 &gt;&gt;c:\users\stu\Documents\GitHub\eaglep3-reporting\EC\2017-09-30-refined-times.txt</v>
      </c>
      <c r="AI109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{"issue":{"subject":"","project_id":79,"tracker_id":40,"status_id":1,"priority_id":2,"assigned_to_id":338,"start_date":"2017-09-30","description":"","custom_fields":[{"id":1,"name":"Subdivision","value":"EC"},{"id":4,"name":"Milepost","value":"0.0134"},{"id":17,"name":"Train ID","value":"196-30"},{"id":16,"name":"Locomotive ID","value":"4027"},{"id":130,"name":"Impact","value":""},{"id":150,"name":"Time of Event (Mountain Time)","value":"17:06:41"},{"id":151,"name":"Denver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34" t="str">
        <f t="shared" si="44"/>
        <v>start /low /b %USERPROFILE%\Documents\GitHub\eaglep3\Utilities\DownloadLogsFromS3.py --loco 4027 --day 2017-09-30</v>
      </c>
      <c r="AN109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0" t="str">
        <f t="shared" si="46"/>
        <v>https://d0f6bd738d7f1b3e5a7ca70fe4ff75f0.us-east-1.aws.found.io/app/kibana#/discover/Steve-Slow-Train-Analysis-(2080s-and-2083s)?_g=(refreshInterval:(display:Off,pause:!f,section:0,value:0),time:(from:'2017-09-30T15:17:13-0600',mode:absolute,to:'2017-09-30T18:06:41-0600'))&amp;_a=(columns:!('Message%20ID',Summary),filters:!(),index:'emp_*',interval:auto,query:(query_string:(analyze_wildcard:!t,query:'%22rtdc.l.rtdc.4027%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752</v>
      </c>
      <c r="B110" s="7">
        <v>4046</v>
      </c>
      <c r="C110" s="21" t="s">
        <v>195</v>
      </c>
      <c r="D110" s="21" t="s">
        <v>454</v>
      </c>
      <c r="E110" s="13">
        <v>43008.651203703703</v>
      </c>
      <c r="F110" s="13">
        <v>43008.656469907408</v>
      </c>
      <c r="G110" s="7">
        <v>70</v>
      </c>
      <c r="H110" s="21" t="s">
        <v>567</v>
      </c>
      <c r="I110" s="13">
        <v>43008.681643518517</v>
      </c>
      <c r="J110" s="7">
        <v>0</v>
      </c>
      <c r="K110" s="81" t="str">
        <f t="shared" si="30"/>
        <v>4045/4046</v>
      </c>
      <c r="L110" s="175" t="str">
        <f>VLOOKUP(A110,'Trips&amp;Operators'!$C$1:$G$99911,5,FALSE)</f>
        <v>BERLING GARY</v>
      </c>
      <c r="M110" s="6">
        <f t="shared" si="31"/>
        <v>2.5173611109494232E-2</v>
      </c>
      <c r="N110" s="7">
        <f t="shared" si="47"/>
        <v>36.249999997671694</v>
      </c>
      <c r="O110" s="7"/>
      <c r="P110" s="7"/>
      <c r="Q110" s="22"/>
      <c r="R110" s="166"/>
      <c r="S110" s="228">
        <f t="shared" si="48"/>
        <v>1</v>
      </c>
      <c r="T110" s="166" t="str">
        <f t="shared" si="32"/>
        <v>NorthBound</v>
      </c>
      <c r="U110" s="21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4" t="str">
        <f t="shared" si="33"/>
        <v>https://d0f6bd738d7f1b3e5a7ca70fe4ff75f0.us-east-1.aws.found.io/app/kibana#/discover/Steve-Slow-Train-Analysis-(2080s-and-2083s)?_g=(refreshInterval:(display:Off,pause:!f,section:0,value:0),time:(from:'2017-09-30T14:37:44-0600',mode:absolute,to:'2017-09-30T17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0" s="215" t="str">
        <f>IF(AA110&lt;VLOOKUP(AG110,Variables!$AC$3:$AD$8,2,FALSE),"Y","N")</f>
        <v>N</v>
      </c>
      <c r="X110" s="215">
        <f t="shared" si="34"/>
        <v>1</v>
      </c>
      <c r="Y110" s="215">
        <f t="shared" si="49"/>
        <v>4.4400000000000002E-2</v>
      </c>
      <c r="Z110" s="215">
        <f t="shared" si="50"/>
        <v>23.3322</v>
      </c>
      <c r="AA110" s="215">
        <f t="shared" si="37"/>
        <v>23.287800000000001</v>
      </c>
      <c r="AB110" s="216" t="e">
        <f>VLOOKUP(A110,Enforcements!$C$7:$K$11,8,0)</f>
        <v>#N/A</v>
      </c>
      <c r="AC110" s="216" t="e">
        <f>VLOOKUP(A110,Enforcements!$C$7:$E$11,3,0)</f>
        <v>#N/A</v>
      </c>
      <c r="AD110" s="217">
        <f t="shared" si="38"/>
        <v>197</v>
      </c>
      <c r="AE110" s="218" t="str">
        <f t="shared" si="39"/>
        <v>aws s3 cp s3://rtdc.mdm.uploadarchive.raw/RTDC4046/ "%USERPROFILE%\AppData\Local\Temp\OnboardLogs"\RTDC4046\2017-09-30 --exclude "*" --recursive --include "*20170930*" &amp; "%USERPROFILE%\Documents\GitHub\mrs-test-scripts\Headless Mode &amp; Sideloading\WalkAndUnGZ.bat" "%USERPROFILE%\AppData\Local\Temp\OnboardLogs"\RTDC4046\2017-09-30 &amp; aws s3 cp s3://rtdc.mdm.uploadarchive.raw/RTDC4046/ "%USERPROFILE%\AppData\Local\Temp\OnboardLogs"\RTDC4046\2017-10-01 --exclude "*" --recursive --include "*20171001*" &amp; "%USERPROFILE%\Documents\GitHub\mrs-test-scripts\Headless Mode &amp; Sideloading\WalkAndUnGZ.bat" "%USERPROFILE%\AppData\Local\Temp\OnboardLogs"\RTDC4046\2017-10-01</v>
      </c>
      <c r="AF110" s="68" t="str">
        <f t="shared" si="40"/>
        <v>"C:\Program Files (x86)\AstroGrep\AstroGrep.exe" /e /r /s /spath="%USERPROFILE%\AppData\Local\Temp\OnboardLogs" /stypes="app*4046*20170930*" /stext=" 22:.+((SYSTEM_STATE.+slice.+state.+changed )|(ment ac)|(multiple cpu faults)|(system.+state.+changed )|(\[timeout)|(PRM\|1\|D)|(kpr)|(kdp)|(train st.+moving)|(\|lc)|(penalty))"</v>
      </c>
      <c r="AG110" s="172" t="str">
        <f t="shared" si="41"/>
        <v>EC</v>
      </c>
      <c r="AH110" s="70" t="str">
        <f t="shared" si="42"/>
        <v>"%USERPROFILE%\Documents\GitHub\eaglep3\Utilities\RefineRTDCRunTimes.py" --tripid 197-30 --locoid 4046 --swversion DE.1.0.9.0 --startMP 204:444 --initTime 2017-09-30T15:37:44 --startdatetime 2017-09-30T15:45:19 --delay 70 --endMP 204:233322 --enddatetime 2017-09-30T16:21:34 --enforcementcount 0 &gt;&gt;c:\users\stu\Documents\GitHub\eaglep3-reporting\EC\2017-09-30-refined-times.txt</v>
      </c>
      <c r="AI110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{"issue":{"subject":"","project_id":79,"tracker_id":40,"status_id":1,"priority_id":2,"assigned_to_id":338,"start_date":"2017-09-30","description":"","custom_fields":[{"id":1,"name":"Subdivision","value":"EC"},{"id":4,"name":"Milepost","value":"23.3322"},{"id":17,"name":"Train ID","value":"197-30"},{"id":16,"name":"Locomotive ID","value":"4046"},{"id":130,"name":"Impact","value":""},{"id":150,"name":"Time of Event (Mountain Time)","value":"16:21:34"},{"id":151,"name":"Denver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34" t="str">
        <f t="shared" si="44"/>
        <v>start /low /b %USERPROFILE%\Documents\GitHub\eaglep3\Utilities\DownloadLogsFromS3.py --loco 4046 --day 2017-09-30</v>
      </c>
      <c r="AN110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22:21:34"},{"id":29,"name":"Sharepoint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0" t="str">
        <f t="shared" si="46"/>
        <v>https://d0f6bd738d7f1b3e5a7ca70fe4ff75f0.us-east-1.aws.found.io/app/kibana#/discover/Steve-Slow-Train-Analysis-(2080s-and-2083s)?_g=(refreshInterval:(display:Off,pause:!f,section:0,value:0),time:(from:'2017-09-30T14:37:44-0600',mode:absolute,to:'2017-09-30T17:21:34-0600'))&amp;_a=(columns:!('Message%20ID',Summary),filters:!(),index:'emp_*',interval:auto,query:(query_string:(analyze_wildcard:!t,query:'%22rtdc.l.rtdc.4046%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763</v>
      </c>
      <c r="B111" s="7">
        <v>4045</v>
      </c>
      <c r="C111" s="21" t="s">
        <v>195</v>
      </c>
      <c r="D111" s="21" t="s">
        <v>570</v>
      </c>
      <c r="E111" s="13">
        <v>43008.692719907405</v>
      </c>
      <c r="F111" s="13">
        <v>43008.69599537037</v>
      </c>
      <c r="G111" s="7">
        <v>63</v>
      </c>
      <c r="H111" s="21" t="s">
        <v>378</v>
      </c>
      <c r="I111" s="13">
        <v>43008.723229166666</v>
      </c>
      <c r="J111" s="7">
        <v>0</v>
      </c>
      <c r="K111" s="81" t="str">
        <f t="shared" si="30"/>
        <v>4045/4046</v>
      </c>
      <c r="L111" s="175" t="str">
        <f>VLOOKUP(A111,'Trips&amp;Operators'!$C$1:$G$99911,5,FALSE)</f>
        <v>BERLING GARY</v>
      </c>
      <c r="M111" s="6">
        <f t="shared" si="31"/>
        <v>2.7233796296059154E-2</v>
      </c>
      <c r="N111" s="7">
        <f t="shared" si="47"/>
        <v>39.216666666325182</v>
      </c>
      <c r="O111" s="7"/>
      <c r="P111" s="7"/>
      <c r="Q111" s="22"/>
      <c r="R111" s="166"/>
      <c r="S111" s="228">
        <f t="shared" si="48"/>
        <v>1</v>
      </c>
      <c r="T111" s="166" t="str">
        <f t="shared" si="32"/>
        <v>Southbound</v>
      </c>
      <c r="U111" s="21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4" t="str">
        <f t="shared" si="33"/>
        <v>https://d0f6bd738d7f1b3e5a7ca70fe4ff75f0.us-east-1.aws.found.io/app/kibana#/discover/Steve-Slow-Train-Analysis-(2080s-and-2083s)?_g=(refreshInterval:(display:Off,pause:!f,section:0,value:0),time:(from:'2017-09-30T15:37:31-0600',mode:absolute,to:'2017-09-30T18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1" s="215" t="str">
        <f>IF(AA111&lt;VLOOKUP(AG111,Variables!$AC$3:$AD$8,2,FALSE),"Y","N")</f>
        <v>N</v>
      </c>
      <c r="X111" s="215">
        <f t="shared" si="34"/>
        <v>1</v>
      </c>
      <c r="Y111" s="215">
        <f t="shared" si="49"/>
        <v>23.299199999999999</v>
      </c>
      <c r="Z111" s="215">
        <f t="shared" si="50"/>
        <v>1.3899999999999999E-2</v>
      </c>
      <c r="AA111" s="215">
        <f t="shared" si="37"/>
        <v>23.285299999999999</v>
      </c>
      <c r="AB111" s="216" t="e">
        <f>VLOOKUP(A111,Enforcements!$C$7:$K$11,8,0)</f>
        <v>#N/A</v>
      </c>
      <c r="AC111" s="216" t="e">
        <f>VLOOKUP(A111,Enforcements!$C$7:$E$11,3,0)</f>
        <v>#N/A</v>
      </c>
      <c r="AD111" s="217">
        <f t="shared" si="38"/>
        <v>198</v>
      </c>
      <c r="AE111" s="218" t="str">
        <f t="shared" si="39"/>
        <v>aws s3 cp s3://rtdc.mdm.uploadarchive.raw/RTDC4045/ "%USERPROFILE%\AppData\Local\Temp\OnboardLogs"\RTDC4045\2017-09-30 --exclude "*" --recursive --include "*20170930*" &amp; "%USERPROFILE%\Documents\GitHub\mrs-test-scripts\Headless Mode &amp; Sideloading\WalkAndUnGZ.bat" "%USERPROFILE%\AppData\Local\Temp\OnboardLogs"\RTDC4045\2017-09-30 &amp; aws s3 cp s3://rtdc.mdm.uploadarchive.raw/RTDC4045/ "%USERPROFILE%\AppData\Local\Temp\OnboardLogs"\RTDC4045\2017-10-01 --exclude "*" --recursive --include "*20171001*" &amp; "%USERPROFILE%\Documents\GitHub\mrs-test-scripts\Headless Mode &amp; Sideloading\WalkAndUnGZ.bat" "%USERPROFILE%\AppData\Local\Temp\OnboardLogs"\RTDC4045\2017-10-01</v>
      </c>
      <c r="AF111" s="68" t="str">
        <f t="shared" si="40"/>
        <v>"C:\Program Files (x86)\AstroGrep\AstroGrep.exe" /e /r /s /spath="%USERPROFILE%\AppData\Local\Temp\OnboardLogs" /stypes="app*4045*20170930*" /stext=" 23:.+((SYSTEM_STATE.+slice.+state.+changed )|(ment ac)|(multiple cpu faults)|(system.+state.+changed )|(\[timeout)|(PRM\|1\|D)|(kpr)|(kdp)|(train st.+moving)|(\|lc)|(penalty))"</v>
      </c>
      <c r="AG111" s="172" t="str">
        <f t="shared" si="41"/>
        <v>EC</v>
      </c>
      <c r="AH111" s="70" t="str">
        <f t="shared" si="42"/>
        <v>"%USERPROFILE%\Documents\GitHub\eaglep3\Utilities\RefineRTDCRunTimes.py" --tripid 198-30 --locoid 4045 --swversion DE.1.0.9.0 --startMP 204:232992 --initTime 2017-09-30T16:37:31 --startdatetime 2017-09-30T16:42:14 --delay 63 --endMP 204:139 --enddatetime 2017-09-30T17:21:27 --enforcementcount 0 &gt;&gt;c:\users\stu\Documents\GitHub\eaglep3-reporting\EC\2017-09-30-refined-times.txt</v>
      </c>
      <c r="AI111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{"issue":{"subject":"","project_id":79,"tracker_id":40,"status_id":1,"priority_id":2,"assigned_to_id":338,"start_date":"2017-09-30","description":"","custom_fields":[{"id":1,"name":"Subdivision","value":"EC"},{"id":4,"name":"Milepost","value":"0.0139"},{"id":17,"name":"Train ID","value":"198-30"},{"id":16,"name":"Locomotive ID","value":"4045"},{"id":130,"name":"Impact","value":""},{"id":150,"name":"Time of Event (Mountain Time)","value":"17:21:27"},{"id":151,"name":"Denver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34" t="str">
        <f t="shared" si="44"/>
        <v>start /low /b %USERPROFILE%\Documents\GitHub\eaglep3\Utilities\DownloadLogsFromS3.py --loco 4045 --day 2017-09-30</v>
      </c>
      <c r="AN111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0" t="str">
        <f t="shared" si="46"/>
        <v>https://d0f6bd738d7f1b3e5a7ca70fe4ff75f0.us-east-1.aws.found.io/app/kibana#/discover/Steve-Slow-Train-Analysis-(2080s-and-2083s)?_g=(refreshInterval:(display:Off,pause:!f,section:0,value:0),time:(from:'2017-09-30T15:37:31-0600',mode:absolute,to:'2017-09-30T18:21:27-0600'))&amp;_a=(columns:!('Message%20ID',Summary),filters:!(),index:'emp_*',interval:auto,query:(query_string:(analyze_wildcard:!t,query:'%22rtdc.l.rtdc.4045%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756</v>
      </c>
      <c r="B112" s="7">
        <v>4010</v>
      </c>
      <c r="C112" s="21" t="s">
        <v>195</v>
      </c>
      <c r="D112" s="21" t="s">
        <v>339</v>
      </c>
      <c r="E112" s="13">
        <v>43008.662893518522</v>
      </c>
      <c r="F112" s="13">
        <v>43008.666828703703</v>
      </c>
      <c r="G112" s="7">
        <v>74</v>
      </c>
      <c r="H112" s="21" t="s">
        <v>493</v>
      </c>
      <c r="I112" s="13">
        <v>43008.691527777781</v>
      </c>
      <c r="J112" s="7">
        <v>0</v>
      </c>
      <c r="K112" s="81" t="str">
        <f t="shared" si="30"/>
        <v>4009/4010</v>
      </c>
      <c r="L112" s="175" t="str">
        <f>VLOOKUP(A112,'Trips&amp;Operators'!$C$1:$G$99911,5,FALSE)</f>
        <v>BRUDER RICHARD</v>
      </c>
      <c r="M112" s="6">
        <f t="shared" si="31"/>
        <v>2.4699074077943806E-2</v>
      </c>
      <c r="N112" s="7">
        <f t="shared" si="47"/>
        <v>35.56666667223908</v>
      </c>
      <c r="O112" s="7"/>
      <c r="P112" s="7"/>
      <c r="Q112" s="22"/>
      <c r="R112" s="166"/>
      <c r="S112" s="228">
        <f t="shared" si="48"/>
        <v>1</v>
      </c>
      <c r="T112" s="166" t="str">
        <f t="shared" si="32"/>
        <v>NorthBound</v>
      </c>
      <c r="U112" s="21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4" t="str">
        <f t="shared" si="33"/>
        <v>https://d0f6bd738d7f1b3e5a7ca70fe4ff75f0.us-east-1.aws.found.io/app/kibana#/discover/Steve-Slow-Train-Analysis-(2080s-and-2083s)?_g=(refreshInterval:(display:Off,pause:!f,section:0,value:0),time:(from:'2017-09-30T14:54:34-0600',mode:absolute,to:'2017-09-30T17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2" s="215" t="str">
        <f>IF(AA112&lt;VLOOKUP(AG112,Variables!$AC$3:$AD$8,2,FALSE),"Y","N")</f>
        <v>N</v>
      </c>
      <c r="X112" s="215">
        <f t="shared" si="34"/>
        <v>1</v>
      </c>
      <c r="Y112" s="215">
        <f t="shared" si="49"/>
        <v>4.53E-2</v>
      </c>
      <c r="Z112" s="215">
        <f t="shared" si="50"/>
        <v>23.3306</v>
      </c>
      <c r="AA112" s="215">
        <f t="shared" si="37"/>
        <v>23.285299999999999</v>
      </c>
      <c r="AB112" s="216" t="e">
        <f>VLOOKUP(A112,Enforcements!$C$7:$K$11,8,0)</f>
        <v>#N/A</v>
      </c>
      <c r="AC112" s="216" t="e">
        <f>VLOOKUP(A112,Enforcements!$C$7:$E$11,3,0)</f>
        <v>#N/A</v>
      </c>
      <c r="AD112" s="217">
        <f t="shared" si="38"/>
        <v>199</v>
      </c>
      <c r="AE112" s="218" t="str">
        <f t="shared" si="39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112" s="68" t="str">
        <f t="shared" si="40"/>
        <v>"C:\Program Files (x86)\AstroGrep\AstroGrep.exe" /e /r /s /spath="%USERPROFILE%\AppData\Local\Temp\OnboardLogs" /stypes="app*4010*20170930*" /stext=" 22:.+((SYSTEM_STATE.+slice.+state.+changed )|(ment ac)|(multiple cpu faults)|(system.+state.+changed )|(\[timeout)|(PRM\|1\|D)|(kpr)|(kdp)|(train st.+moving)|(\|lc)|(penalty))"</v>
      </c>
      <c r="AG112" s="172" t="str">
        <f t="shared" si="41"/>
        <v>EC</v>
      </c>
      <c r="AH112" s="70" t="str">
        <f t="shared" si="42"/>
        <v>"%USERPROFILE%\Documents\GitHub\eaglep3\Utilities\RefineRTDCRunTimes.py" --tripid 199-30 --locoid 4010 --swversion DE.1.0.9.0 --startMP 204:453 --initTime 2017-09-30T15:54:34 --startdatetime 2017-09-30T16:00:14 --delay 74 --endMP 204:233306 --enddatetime 2017-09-30T16:35:48 --enforcementcount 0 &gt;&gt;c:\users\stu\Documents\GitHub\eaglep3-reporting\EC\2017-09-30-refined-times.txt</v>
      </c>
      <c r="AI112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{"issue":{"subject":"","project_id":79,"tracker_id":40,"status_id":1,"priority_id":2,"assigned_to_id":338,"start_date":"2017-09-30","description":"","custom_fields":[{"id":1,"name":"Subdivision","value":"EC"},{"id":4,"name":"Milepost","value":"23.3306"},{"id":17,"name":"Train ID","value":"199-30"},{"id":16,"name":"Locomotive ID","value":"4010"},{"id":130,"name":"Impact","value":""},{"id":150,"name":"Time of Event (Mountain Time)","value":"16:35:48"},{"id":151,"name":"Denver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34" t="str">
        <f t="shared" si="44"/>
        <v>start /low /b %USERPROFILE%\Documents\GitHub\eaglep3\Utilities\DownloadLogsFromS3.py --loco 4010 --day 2017-09-30</v>
      </c>
      <c r="AN112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22:35:48"},{"id":29,"name":"Sharepoint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0" t="str">
        <f t="shared" si="46"/>
        <v>https://d0f6bd738d7f1b3e5a7ca70fe4ff75f0.us-east-1.aws.found.io/app/kibana#/discover/Steve-Slow-Train-Analysis-(2080s-and-2083s)?_g=(refreshInterval:(display:Off,pause:!f,section:0,value:0),time:(from:'2017-09-30T14:54:34-0600',mode:absolute,to:'2017-09-30T17:35:48-0600'))&amp;_a=(columns:!('Message%20ID',Summary),filters:!(),index:'emp_*',interval:auto,query:(query_string:(analyze_wildcard:!t,query:'%22rtdc.l.rtdc.4010%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765</v>
      </c>
      <c r="B113" s="7">
        <v>4009</v>
      </c>
      <c r="C113" s="21" t="s">
        <v>195</v>
      </c>
      <c r="D113" s="21" t="s">
        <v>384</v>
      </c>
      <c r="E113" s="13">
        <v>43008.702719907407</v>
      </c>
      <c r="F113" s="13">
        <v>43008.706412037034</v>
      </c>
      <c r="G113" s="7">
        <v>54</v>
      </c>
      <c r="H113" s="21" t="s">
        <v>363</v>
      </c>
      <c r="I113" s="13">
        <v>43008.732199074075</v>
      </c>
      <c r="J113" s="7">
        <v>0</v>
      </c>
      <c r="K113" s="81" t="str">
        <f t="shared" si="30"/>
        <v>4009/4010</v>
      </c>
      <c r="L113" s="175" t="str">
        <f>VLOOKUP(A113,'Trips&amp;Operators'!$C$1:$G$99911,5,FALSE)</f>
        <v>BRUDER RICHARD</v>
      </c>
      <c r="M113" s="6">
        <f t="shared" si="31"/>
        <v>2.5787037040572613E-2</v>
      </c>
      <c r="N113" s="7">
        <f t="shared" si="47"/>
        <v>37.133333338424563</v>
      </c>
      <c r="O113" s="7"/>
      <c r="P113" s="7"/>
      <c r="Q113" s="22"/>
      <c r="R113" s="166"/>
      <c r="S113" s="228">
        <f t="shared" si="48"/>
        <v>1</v>
      </c>
      <c r="T113" s="166" t="str">
        <f t="shared" si="32"/>
        <v>Southbound</v>
      </c>
      <c r="U113" s="21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4" t="str">
        <f t="shared" si="33"/>
        <v>https://d0f6bd738d7f1b3e5a7ca70fe4ff75f0.us-east-1.aws.found.io/app/kibana#/discover/Steve-Slow-Train-Analysis-(2080s-and-2083s)?_g=(refreshInterval:(display:Off,pause:!f,section:0,value:0),time:(from:'2017-09-30T15:51:55-0600',mode:absolute,to:'2017-09-30T18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215" t="str">
        <f>IF(AA113&lt;VLOOKUP(AG113,Variables!$AC$3:$AD$8,2,FALSE),"Y","N")</f>
        <v>N</v>
      </c>
      <c r="X113" s="215">
        <f t="shared" si="34"/>
        <v>1</v>
      </c>
      <c r="Y113" s="215">
        <f t="shared" si="49"/>
        <v>23.299600000000002</v>
      </c>
      <c r="Z113" s="215">
        <f t="shared" si="50"/>
        <v>1.5599999999999999E-2</v>
      </c>
      <c r="AA113" s="215">
        <f t="shared" si="37"/>
        <v>23.284000000000002</v>
      </c>
      <c r="AB113" s="216" t="e">
        <f>VLOOKUP(A113,Enforcements!$C$7:$K$11,8,0)</f>
        <v>#N/A</v>
      </c>
      <c r="AC113" s="216" t="e">
        <f>VLOOKUP(A113,Enforcements!$C$7:$E$11,3,0)</f>
        <v>#N/A</v>
      </c>
      <c r="AD113" s="217">
        <f t="shared" si="38"/>
        <v>200</v>
      </c>
      <c r="AE113" s="218" t="str">
        <f t="shared" si="39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113" s="68" t="str">
        <f t="shared" si="40"/>
        <v>"C:\Program Files (x86)\AstroGrep\AstroGrep.exe" /e /r /s /spath="%USERPROFILE%\AppData\Local\Temp\OnboardLogs" /stypes="app*4009*20170930*" /stext=" 23:.+((SYSTEM_STATE.+slice.+state.+changed )|(ment ac)|(multiple cpu faults)|(system.+state.+changed )|(\[timeout)|(PRM\|1\|D)|(kpr)|(kdp)|(train st.+moving)|(\|lc)|(penalty))"</v>
      </c>
      <c r="AG113" s="172" t="str">
        <f t="shared" si="41"/>
        <v>EC</v>
      </c>
      <c r="AH113" s="70" t="str">
        <f t="shared" si="42"/>
        <v>"%USERPROFILE%\Documents\GitHub\eaglep3\Utilities\RefineRTDCRunTimes.py" --tripid 200-30 --locoid 4009 --swversion DE.1.0.9.0 --startMP 204:232996 --initTime 2017-09-30T16:51:55 --startdatetime 2017-09-30T16:57:14 --delay 54 --endMP 204:156 --enddatetime 2017-09-30T17:34:22 --enforcementcount 0 &gt;&gt;c:\users\stu\Documents\GitHub\eaglep3-reporting\EC\2017-09-30-refined-times.txt</v>
      </c>
      <c r="AI113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{"issue":{"subject":"","project_id":79,"tracker_id":40,"status_id":1,"priority_id":2,"assigned_to_id":338,"start_date":"2017-09-30","description":"","custom_fields":[{"id":1,"name":"Subdivision","value":"EC"},{"id":4,"name":"Milepost","value":"0.0156"},{"id":17,"name":"Train ID","value":"200-30"},{"id":16,"name":"Locomotive ID","value":"4009"},{"id":130,"name":"Impact","value":""},{"id":150,"name":"Time of Event (Mountain Time)","value":"17:34:22"},{"id":151,"name":"Denver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34" t="str">
        <f t="shared" si="44"/>
        <v>start /low /b %USERPROFILE%\Documents\GitHub\eaglep3\Utilities\DownloadLogsFromS3.py --loco 4009 --day 2017-09-30</v>
      </c>
      <c r="AN113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0" t="str">
        <f t="shared" si="46"/>
        <v>https://d0f6bd738d7f1b3e5a7ca70fe4ff75f0.us-east-1.aws.found.io/app/kibana#/discover/Steve-Slow-Train-Analysis-(2080s-and-2083s)?_g=(refreshInterval:(display:Off,pause:!f,section:0,value:0),time:(from:'2017-09-30T15:51:55-0600',mode:absolute,to:'2017-09-30T18:34:22-0600'))&amp;_a=(columns:!('Message%20ID',Summary),filters:!(),index:'emp_*',interval:auto,query:(query_string:(analyze_wildcard:!t,query:'%22rtdc.l.rtdc.4009%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758</v>
      </c>
      <c r="B114" s="7">
        <v>4020</v>
      </c>
      <c r="C114" s="21" t="s">
        <v>195</v>
      </c>
      <c r="D114" s="21" t="s">
        <v>335</v>
      </c>
      <c r="E114" s="13">
        <v>43008.672118055554</v>
      </c>
      <c r="F114" s="13">
        <v>43008.677337962959</v>
      </c>
      <c r="G114" s="7">
        <v>70</v>
      </c>
      <c r="H114" s="21" t="s">
        <v>550</v>
      </c>
      <c r="I114" s="13">
        <v>43008.701828703706</v>
      </c>
      <c r="J114" s="7">
        <v>0</v>
      </c>
      <c r="K114" s="81" t="str">
        <f t="shared" si="30"/>
        <v>4019/4020</v>
      </c>
      <c r="L114" s="175" t="str">
        <f>VLOOKUP(A114,'Trips&amp;Operators'!$C$1:$G$99911,5,FALSE)</f>
        <v>HOLCOMB KAMDEN</v>
      </c>
      <c r="M114" s="6">
        <f t="shared" si="31"/>
        <v>2.4490740746841766E-2</v>
      </c>
      <c r="N114" s="7">
        <f t="shared" si="47"/>
        <v>35.266666675452143</v>
      </c>
      <c r="O114" s="7"/>
      <c r="P114" s="7"/>
      <c r="Q114" s="22"/>
      <c r="R114" s="166"/>
      <c r="S114" s="228">
        <f t="shared" si="48"/>
        <v>1</v>
      </c>
      <c r="T114" s="166" t="str">
        <f t="shared" si="32"/>
        <v>NorthBound</v>
      </c>
      <c r="U114" s="21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4" t="str">
        <f t="shared" si="33"/>
        <v>https://d0f6bd738d7f1b3e5a7ca70fe4ff75f0.us-east-1.aws.found.io/app/kibana#/discover/Steve-Slow-Train-Analysis-(2080s-and-2083s)?_g=(refreshInterval:(display:Off,pause:!f,section:0,value:0),time:(from:'2017-09-30T15:07:51-0600',mode:absolute,to:'2017-09-30T17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4" s="215" t="str">
        <f>IF(AA114&lt;VLOOKUP(AG114,Variables!$AC$3:$AD$8,2,FALSE),"Y","N")</f>
        <v>N</v>
      </c>
      <c r="X114" s="215">
        <f t="shared" si="34"/>
        <v>1</v>
      </c>
      <c r="Y114" s="215">
        <f t="shared" si="49"/>
        <v>4.4600000000000001E-2</v>
      </c>
      <c r="Z114" s="215">
        <f t="shared" si="50"/>
        <v>23.331399999999999</v>
      </c>
      <c r="AA114" s="215">
        <f t="shared" si="37"/>
        <v>23.286799999999999</v>
      </c>
      <c r="AB114" s="216" t="e">
        <f>VLOOKUP(A114,Enforcements!$C$7:$K$11,8,0)</f>
        <v>#N/A</v>
      </c>
      <c r="AC114" s="216" t="e">
        <f>VLOOKUP(A114,Enforcements!$C$7:$E$11,3,0)</f>
        <v>#N/A</v>
      </c>
      <c r="AD114" s="217">
        <f t="shared" si="38"/>
        <v>201</v>
      </c>
      <c r="AE114" s="218" t="str">
        <f t="shared" si="39"/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AF114" s="68" t="str">
        <f t="shared" si="40"/>
        <v>"C:\Program Files (x86)\AstroGrep\AstroGrep.exe" /e /r /s /spath="%USERPROFILE%\AppData\Local\Temp\OnboardLogs" /stypes="app*4020*20170930*" /stext=" 22:.+((SYSTEM_STATE.+slice.+state.+changed )|(ment ac)|(multiple cpu faults)|(system.+state.+changed )|(\[timeout)|(PRM\|1\|D)|(kpr)|(kdp)|(train st.+moving)|(\|lc)|(penalty))"</v>
      </c>
      <c r="AG114" s="172" t="str">
        <f t="shared" si="41"/>
        <v>EC</v>
      </c>
      <c r="AH114" s="70" t="str">
        <f t="shared" si="42"/>
        <v>"%USERPROFILE%\Documents\GitHub\eaglep3\Utilities\RefineRTDCRunTimes.py" --tripid 201-30 --locoid 4020 --swversion DE.1.0.9.0 --startMP 204:446 --initTime 2017-09-30T16:07:51 --startdatetime 2017-09-30T16:15:22 --delay 70 --endMP 204:233314 --enddatetime 2017-09-30T16:50:38 --enforcementcount 0 &gt;&gt;c:\users\stu\Documents\GitHub\eaglep3-reporting\EC\2017-09-30-refined-times.txt</v>
      </c>
      <c r="AI114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{"issue":{"subject":"","project_id":79,"tracker_id":40,"status_id":1,"priority_id":2,"assigned_to_id":338,"start_date":"2017-09-30","description":"","custom_fields":[{"id":1,"name":"Subdivision","value":"EC"},{"id":4,"name":"Milepost","value":"23.3314"},{"id":17,"name":"Train ID","value":"201-30"},{"id":16,"name":"Locomotive ID","value":"4020"},{"id":130,"name":"Impact","value":""},{"id":150,"name":"Time of Event (Mountain Time)","value":"16:50:38"},{"id":151,"name":"Denver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34" t="str">
        <f t="shared" si="44"/>
        <v>start /low /b %USERPROFILE%\Documents\GitHub\eaglep3\Utilities\DownloadLogsFromS3.py --loco 4020 --day 2017-09-30</v>
      </c>
      <c r="AN114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22:50:38"},{"id":29,"name":"Sharepoint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0" t="str">
        <f t="shared" si="46"/>
        <v>https://d0f6bd738d7f1b3e5a7ca70fe4ff75f0.us-east-1.aws.found.io/app/kibana#/discover/Steve-Slow-Train-Analysis-(2080s-and-2083s)?_g=(refreshInterval:(display:Off,pause:!f,section:0,value:0),time:(from:'2017-09-30T15:07:51-0600',mode:absolute,to:'2017-09-30T17:50:38-0600'))&amp;_a=(columns:!('Message%20ID',Summary),filters:!(),index:'emp_*',interval:auto,query:(query_string:(analyze_wildcard:!t,query:'%22rtdc.l.rtdc.4020%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768</v>
      </c>
      <c r="B115" s="7">
        <v>4019</v>
      </c>
      <c r="C115" s="21" t="s">
        <v>195</v>
      </c>
      <c r="D115" s="21" t="s">
        <v>384</v>
      </c>
      <c r="E115" s="13">
        <v>43008.714687500003</v>
      </c>
      <c r="F115" s="13">
        <v>43008.716828703706</v>
      </c>
      <c r="G115" s="7">
        <v>51</v>
      </c>
      <c r="H115" s="21" t="s">
        <v>371</v>
      </c>
      <c r="I115" s="13">
        <v>43008.742349537039</v>
      </c>
      <c r="J115" s="7">
        <v>0</v>
      </c>
      <c r="K115" s="81" t="str">
        <f t="shared" si="30"/>
        <v>4019/4020</v>
      </c>
      <c r="L115" s="175" t="str">
        <f>VLOOKUP(A115,'Trips&amp;Operators'!$C$1:$G$99911,5,FALSE)</f>
        <v>HOLCOMB KAMDEN</v>
      </c>
      <c r="M115" s="6">
        <f t="shared" si="31"/>
        <v>2.5520833332848269E-2</v>
      </c>
      <c r="N115" s="7">
        <f t="shared" si="47"/>
        <v>36.749999999301508</v>
      </c>
      <c r="O115" s="7"/>
      <c r="P115" s="7"/>
      <c r="Q115" s="22"/>
      <c r="R115" s="166"/>
      <c r="S115" s="228">
        <f t="shared" si="48"/>
        <v>1</v>
      </c>
      <c r="T115" s="166" t="str">
        <f t="shared" si="32"/>
        <v>Southbound</v>
      </c>
      <c r="U115" s="21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4" t="str">
        <f t="shared" si="33"/>
        <v>https://d0f6bd738d7f1b3e5a7ca70fe4ff75f0.us-east-1.aws.found.io/app/kibana#/discover/Steve-Slow-Train-Analysis-(2080s-and-2083s)?_g=(refreshInterval:(display:Off,pause:!f,section:0,value:0),time:(from:'2017-09-30T16:09:09-0600',mode:absolute,to:'2017-09-30T18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5" s="215" t="str">
        <f>IF(AA115&lt;VLOOKUP(AG115,Variables!$AC$3:$AD$8,2,FALSE),"Y","N")</f>
        <v>N</v>
      </c>
      <c r="X115" s="215">
        <f t="shared" si="34"/>
        <v>1</v>
      </c>
      <c r="Y115" s="215">
        <f t="shared" si="49"/>
        <v>23.299600000000002</v>
      </c>
      <c r="Z115" s="215">
        <f t="shared" si="50"/>
        <v>1.5800000000000002E-2</v>
      </c>
      <c r="AA115" s="215">
        <f t="shared" si="37"/>
        <v>23.283800000000003</v>
      </c>
      <c r="AB115" s="216" t="e">
        <f>VLOOKUP(A115,Enforcements!$C$7:$K$11,8,0)</f>
        <v>#N/A</v>
      </c>
      <c r="AC115" s="216" t="e">
        <f>VLOOKUP(A115,Enforcements!$C$7:$E$11,3,0)</f>
        <v>#N/A</v>
      </c>
      <c r="AD115" s="217">
        <f t="shared" si="38"/>
        <v>202</v>
      </c>
      <c r="AE115" s="218" t="str">
        <f t="shared" si="39"/>
        <v>aws s3 cp s3://rtdc.mdm.uploadarchive.raw/RTDC4019/ "%USERPROFILE%\AppData\Local\Temp\OnboardLogs"\RTDC4019\2017-09-30 --exclude "*" --recursive --include "*20170930*" &amp; "%USERPROFILE%\Documents\GitHub\mrs-test-scripts\Headless Mode &amp; Sideloading\WalkAndUnGZ.bat" "%USERPROFILE%\AppData\Local\Temp\OnboardLogs"\RTDC4019\2017-09-30 &amp; aws s3 cp s3://rtdc.mdm.uploadarchive.raw/RTDC4019/ "%USERPROFILE%\AppData\Local\Temp\OnboardLogs"\RTDC4019\2017-10-01 --exclude "*" --recursive --include "*20171001*" &amp; "%USERPROFILE%\Documents\GitHub\mrs-test-scripts\Headless Mode &amp; Sideloading\WalkAndUnGZ.bat" "%USERPROFILE%\AppData\Local\Temp\OnboardLogs"\RTDC4019\2017-10-01</v>
      </c>
      <c r="AF115" s="68" t="str">
        <f t="shared" si="40"/>
        <v>"C:\Program Files (x86)\AstroGrep\AstroGrep.exe" /e /r /s /spath="%USERPROFILE%\AppData\Local\Temp\OnboardLogs" /stypes="app*4019*20170930*" /stext=" 23:.+((SYSTEM_STATE.+slice.+state.+changed )|(ment ac)|(multiple cpu faults)|(system.+state.+changed )|(\[timeout)|(PRM\|1\|D)|(kpr)|(kdp)|(train st.+moving)|(\|lc)|(penalty))"</v>
      </c>
      <c r="AG115" s="172" t="str">
        <f t="shared" si="41"/>
        <v>EC</v>
      </c>
      <c r="AH115" s="70" t="str">
        <f t="shared" si="42"/>
        <v>"%USERPROFILE%\Documents\GitHub\eaglep3\Utilities\RefineRTDCRunTimes.py" --tripid 202-30 --locoid 4019 --swversion DE.1.0.9.0 --startMP 204:232996 --initTime 2017-09-30T17:09:09 --startdatetime 2017-09-30T17:12:14 --delay 51 --endMP 204:158 --enddatetime 2017-09-30T17:48:59 --enforcementcount 0 &gt;&gt;c:\users\stu\Documents\GitHub\eaglep3-reporting\EC\2017-09-30-refined-times.txt</v>
      </c>
      <c r="AI115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{"issue":{"subject":"","project_id":79,"tracker_id":40,"status_id":1,"priority_id":2,"assigned_to_id":338,"start_date":"2017-09-30","description":"","custom_fields":[{"id":1,"name":"Subdivision","value":"EC"},{"id":4,"name":"Milepost","value":"0.0158"},{"id":17,"name":"Train ID","value":"202-30"},{"id":16,"name":"Locomotive ID","value":"4019"},{"id":130,"name":"Impact","value":""},{"id":150,"name":"Time of Event (Mountain Time)","value":"17:48:59"},{"id":151,"name":"Denver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34" t="str">
        <f t="shared" si="44"/>
        <v>start /low /b %USERPROFILE%\Documents\GitHub\eaglep3\Utilities\DownloadLogsFromS3.py --loco 4019 --day 2017-09-30</v>
      </c>
      <c r="AN115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0" t="str">
        <f t="shared" si="46"/>
        <v>https://d0f6bd738d7f1b3e5a7ca70fe4ff75f0.us-east-1.aws.found.io/app/kibana#/discover/Steve-Slow-Train-Analysis-(2080s-and-2083s)?_g=(refreshInterval:(display:Off,pause:!f,section:0,value:0),time:(from:'2017-09-30T16:09:09-0600',mode:absolute,to:'2017-09-30T18:48:59-0600'))&amp;_a=(columns:!('Message%20ID',Summary),filters:!(),index:'emp_*',interval:auto,query:(query_string:(analyze_wildcard:!t,query:'%22rtdc.l.rtdc.4019%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762</v>
      </c>
      <c r="B116" s="7">
        <v>4052</v>
      </c>
      <c r="C116" s="21" t="s">
        <v>195</v>
      </c>
      <c r="D116" s="21" t="s">
        <v>405</v>
      </c>
      <c r="E116" s="13">
        <v>43008.685127314813</v>
      </c>
      <c r="F116" s="13">
        <v>43008.6878125</v>
      </c>
      <c r="G116" s="7">
        <v>114</v>
      </c>
      <c r="H116" s="21" t="s">
        <v>916</v>
      </c>
      <c r="I116" s="13">
        <v>43008.71366898148</v>
      </c>
      <c r="J116" s="7">
        <v>0</v>
      </c>
      <c r="K116" s="81" t="str">
        <f t="shared" si="30"/>
        <v>4051/4052</v>
      </c>
      <c r="L116" s="175" t="str">
        <f>VLOOKUP(A116,'Trips&amp;Operators'!$C$1:$G$99911,5,FALSE)</f>
        <v>DAVIS MICHAEL</v>
      </c>
      <c r="M116" s="6">
        <f t="shared" si="31"/>
        <v>2.5856481479422655E-2</v>
      </c>
      <c r="N116" s="7">
        <f t="shared" si="47"/>
        <v>37.233333330368623</v>
      </c>
      <c r="O116" s="7"/>
      <c r="P116" s="7"/>
      <c r="Q116" s="22"/>
      <c r="R116" s="166"/>
      <c r="S116" s="228">
        <f t="shared" si="48"/>
        <v>1</v>
      </c>
      <c r="T116" s="166" t="str">
        <f t="shared" si="32"/>
        <v>NorthBound</v>
      </c>
      <c r="U116" s="21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4" t="str">
        <f t="shared" si="33"/>
        <v>https://d0f6bd738d7f1b3e5a7ca70fe4ff75f0.us-east-1.aws.found.io/app/kibana#/discover/Steve-Slow-Train-Analysis-(2080s-and-2083s)?_g=(refreshInterval:(display:Off,pause:!f,section:0,value:0),time:(from:'2017-09-30T15:26:35-0600',mode:absolute,to:'2017-09-30T18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6" s="215" t="str">
        <f>IF(AA116&lt;VLOOKUP(AG116,Variables!$AC$3:$AD$8,2,FALSE),"Y","N")</f>
        <v>N</v>
      </c>
      <c r="X116" s="215">
        <f t="shared" si="34"/>
        <v>1</v>
      </c>
      <c r="Y116" s="215">
        <f t="shared" si="49"/>
        <v>4.5699999999999998E-2</v>
      </c>
      <c r="Z116" s="215">
        <f t="shared" si="50"/>
        <v>23.335699999999999</v>
      </c>
      <c r="AA116" s="215">
        <f t="shared" si="37"/>
        <v>23.29</v>
      </c>
      <c r="AB116" s="216" t="e">
        <f>VLOOKUP(A116,Enforcements!$C$7:$K$11,8,0)</f>
        <v>#N/A</v>
      </c>
      <c r="AC116" s="216" t="e">
        <f>VLOOKUP(A116,Enforcements!$C$7:$E$11,3,0)</f>
        <v>#N/A</v>
      </c>
      <c r="AD116" s="217">
        <f t="shared" si="38"/>
        <v>203</v>
      </c>
      <c r="AE116" s="218" t="str">
        <f t="shared" si="39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116" s="68" t="str">
        <f t="shared" si="40"/>
        <v>"C:\Program Files (x86)\AstroGrep\AstroGrep.exe" /e /r /s /spath="%USERPROFILE%\AppData\Local\Temp\OnboardLogs" /stypes="app*4052*20170930*" /stext=" 23:.+((SYSTEM_STATE.+slice.+state.+changed )|(ment ac)|(multiple cpu faults)|(system.+state.+changed )|(\[timeout)|(PRM\|1\|D)|(kpr)|(kdp)|(train st.+moving)|(\|lc)|(penalty))"</v>
      </c>
      <c r="AG116" s="172" t="str">
        <f t="shared" si="41"/>
        <v>EC</v>
      </c>
      <c r="AH116" s="70" t="str">
        <f t="shared" si="42"/>
        <v>"%USERPROFILE%\Documents\GitHub\eaglep3\Utilities\RefineRTDCRunTimes.py" --tripid 203-30 --locoid 4052 --swversion DE.1.0.9.0 --startMP 204:457 --initTime 2017-09-30T16:26:35 --startdatetime 2017-09-30T16:30:27 --delay 114 --endMP 204:233357 --enddatetime 2017-09-30T17:07:41 --enforcementcount 0 &gt;&gt;c:\users\stu\Documents\GitHub\eaglep3-reporting\EC\2017-09-30-refined-times.txt</v>
      </c>
      <c r="AI116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{"issue":{"subject":"","project_id":79,"tracker_id":40,"status_id":1,"priority_id":2,"assigned_to_id":338,"start_date":"2017-09-30","description":"","custom_fields":[{"id":1,"name":"Subdivision","value":"EC"},{"id":4,"name":"Milepost","value":"23.3357"},{"id":17,"name":"Train ID","value":"203-30"},{"id":16,"name":"Locomotive ID","value":"4052"},{"id":130,"name":"Impact","value":""},{"id":150,"name":"Time of Event (Mountain Time)","value":"17:07:41"},{"id":151,"name":"Denver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34" t="str">
        <f t="shared" si="44"/>
        <v>start /low /b %USERPROFILE%\Documents\GitHub\eaglep3\Utilities\DownloadLogsFromS3.py --loco 4052 --day 2017-09-30</v>
      </c>
      <c r="AN116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0" t="str">
        <f t="shared" si="46"/>
        <v>https://d0f6bd738d7f1b3e5a7ca70fe4ff75f0.us-east-1.aws.found.io/app/kibana#/discover/Steve-Slow-Train-Analysis-(2080s-and-2083s)?_g=(refreshInterval:(display:Off,pause:!f,section:0,value:0),time:(from:'2017-09-30T15:26:35-0600',mode:absolute,to:'2017-09-30T18:07:41-0600'))&amp;_a=(columns:!('Message%20ID',Summary),filters:!(),index:'emp_*',interval:auto,query:(query_string:(analyze_wildcard:!t,query:'%22rtdc.l.rtdc.4052%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771</v>
      </c>
      <c r="B117" s="7">
        <v>4051</v>
      </c>
      <c r="C117" s="21" t="s">
        <v>195</v>
      </c>
      <c r="D117" s="21" t="s">
        <v>857</v>
      </c>
      <c r="E117" s="13">
        <v>43008.72552083333</v>
      </c>
      <c r="F117" s="13">
        <v>43008.727476851855</v>
      </c>
      <c r="G117" s="7">
        <v>54</v>
      </c>
      <c r="H117" s="21" t="s">
        <v>371</v>
      </c>
      <c r="I117" s="13">
        <v>43008.755208333336</v>
      </c>
      <c r="J117" s="7">
        <v>0</v>
      </c>
      <c r="K117" s="81" t="str">
        <f t="shared" si="30"/>
        <v>4051/4052</v>
      </c>
      <c r="L117" s="175" t="str">
        <f>VLOOKUP(A117,'Trips&amp;Operators'!$C$1:$G$99911,5,FALSE)</f>
        <v>DAVIS MICHAEL</v>
      </c>
      <c r="M117" s="6">
        <f t="shared" si="31"/>
        <v>2.7731481481168885E-2</v>
      </c>
      <c r="N117" s="7">
        <f t="shared" si="47"/>
        <v>39.933333332883194</v>
      </c>
      <c r="O117" s="7"/>
      <c r="P117" s="7"/>
      <c r="Q117" s="22"/>
      <c r="R117" s="166" t="s">
        <v>979</v>
      </c>
      <c r="S117" s="228">
        <f t="shared" si="48"/>
        <v>1</v>
      </c>
      <c r="T117" s="166" t="str">
        <f t="shared" si="32"/>
        <v>Southbound</v>
      </c>
      <c r="U117" s="21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4" t="str">
        <f t="shared" si="33"/>
        <v>https://d0f6bd738d7f1b3e5a7ca70fe4ff75f0.us-east-1.aws.found.io/app/kibana#/discover/Steve-Slow-Train-Analysis-(2080s-and-2083s)?_g=(refreshInterval:(display:Off,pause:!f,section:0,value:0),time:(from:'2017-09-30T16:24:45-0600',mode:absolute,to:'2017-09-30T19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7" s="215" t="str">
        <f>IF(AA117&lt;VLOOKUP(AG117,Variables!$AC$3:$AD$8,2,FALSE),"Y","N")</f>
        <v>N</v>
      </c>
      <c r="X117" s="215">
        <f t="shared" si="34"/>
        <v>1</v>
      </c>
      <c r="Y117" s="215">
        <f t="shared" si="49"/>
        <v>23.301300000000001</v>
      </c>
      <c r="Z117" s="215">
        <f t="shared" si="50"/>
        <v>1.5800000000000002E-2</v>
      </c>
      <c r="AA117" s="215">
        <f t="shared" si="37"/>
        <v>23.285500000000003</v>
      </c>
      <c r="AB117" s="216" t="e">
        <f>VLOOKUP(A117,Enforcements!$C$7:$K$11,8,0)</f>
        <v>#N/A</v>
      </c>
      <c r="AC117" s="216" t="e">
        <f>VLOOKUP(A117,Enforcements!$C$7:$E$11,3,0)</f>
        <v>#N/A</v>
      </c>
      <c r="AD117" s="217">
        <f t="shared" si="38"/>
        <v>204</v>
      </c>
      <c r="AE117" s="218" t="str">
        <f t="shared" si="39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117" s="68" t="str">
        <f t="shared" si="40"/>
        <v>"C:\Program Files (x86)\AstroGrep\AstroGrep.exe" /e /r /s /spath="%USERPROFILE%\AppData\Local\Temp\OnboardLogs" /stypes="app*4051*20171001*" /stext=" 00:.+((SYSTEM_STATE.+slice.+state.+changed )|(ment ac)|(multiple cpu faults)|(system.+state.+changed )|(\[timeout)|(PRM\|1\|D)|(kpr)|(kdp)|(train st.+moving)|(\|lc)|(penalty))"</v>
      </c>
      <c r="AG117" s="172" t="str">
        <f t="shared" si="41"/>
        <v>EC</v>
      </c>
      <c r="AH117" s="70" t="str">
        <f t="shared" si="42"/>
        <v>"%USERPROFILE%\Documents\GitHub\eaglep3\Utilities\RefineRTDCRunTimes.py" --tripid 204-30 --locoid 4051 --swversion DE.1.0.9.0 --startMP 204:233013 --initTime 2017-09-30T17:24:45 --startdatetime 2017-09-30T17:27:34 --delay 54 --endMP 204:158 --enddatetime 2017-09-30T18:07:30 --enforcementcount 0 &gt;&gt;c:\users\stu\Documents\GitHub\eaglep3-reporting\EC\2017-09-30-refined-times.txt</v>
      </c>
      <c r="AI117" s="88" t="str">
        <f t="shared" si="43"/>
        <v>echo {"issue":{"subject":"Unhealthy at Chambers due to train stop","project_id":79,"tracker_id":40,"status_id":1,"priority_id":2,"assigned_to_id":338,"start_date":"2017-09-30","description":"","custom_fields":[{"id":1,"name":"Subdivision","value":"EC"},{"id":4,"name":"Milepost","value":"0.0158"},{"id":17,"name":"Train ID","value":"204-30"},{"id":16,"name":"Locomotive ID","value":"4051"},{"id":130,"name":"Impact","value":""},{"id":150,"name":"Time of Event (Mountain Time)","value":"18:07:30"},{"id":151,"name":"Denver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34" t="str">
        <f t="shared" si="44"/>
        <v>start /low /b %USERPROFILE%\Documents\GitHub\eaglep3\Utilities\DownloadLogsFromS3.py --loco 4051 --day 2017-09-30</v>
      </c>
      <c r="AN117" s="143" t="str">
        <f t="shared" si="45"/>
        <v>echo {"issue":{"subject":"Unhealthy at Chambers due to train stop","project_id":30,"tracker_id":4,"status_id":1,"priority_id":1,"assigned_to_id":10,"start_date":"2017-10-01","description":"","custom_fields":[{"id":30,"name":"Category","value":"Issue"},{"id":3,"name":"Functional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0" t="str">
        <f t="shared" si="46"/>
        <v>https://d0f6bd738d7f1b3e5a7ca70fe4ff75f0.us-east-1.aws.found.io/app/kibana#/discover/Steve-Slow-Train-Analysis-(2080s-and-2083s)?_g=(refreshInterval:(display:Off,pause:!f,section:0,value:0),time:(from:'2017-09-30T16:24:45-0600',mode:absolute,to:'2017-09-30T19:07:30-0600'))&amp;_a=(columns:!('Message%20ID',Summary),filters:!(),index:'emp_*',interval:auto,query:(query_string:(analyze_wildcard:!t,query:'%22rtdc.l.rtdc.4051%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764</v>
      </c>
      <c r="B118" s="7">
        <v>4040</v>
      </c>
      <c r="C118" s="21" t="s">
        <v>195</v>
      </c>
      <c r="D118" s="21" t="s">
        <v>494</v>
      </c>
      <c r="E118" s="13">
        <v>43008.694768518515</v>
      </c>
      <c r="F118" s="13">
        <v>43008.698217592595</v>
      </c>
      <c r="G118" s="7">
        <v>108</v>
      </c>
      <c r="H118" s="21" t="s">
        <v>559</v>
      </c>
      <c r="I118" s="13">
        <v>43008.723043981481</v>
      </c>
      <c r="J118" s="7">
        <v>0</v>
      </c>
      <c r="K118" s="81" t="str">
        <f t="shared" si="30"/>
        <v>4039/4040</v>
      </c>
      <c r="L118" s="175" t="str">
        <f>VLOOKUP(A118,'Trips&amp;Operators'!$C$1:$G$99911,5,FALSE)</f>
        <v>SAFIEF AEIMEN</v>
      </c>
      <c r="M118" s="6">
        <f t="shared" si="31"/>
        <v>2.4826388886140194E-2</v>
      </c>
      <c r="N118" s="7">
        <f t="shared" si="47"/>
        <v>35.749999996041879</v>
      </c>
      <c r="O118" s="7"/>
      <c r="P118" s="7"/>
      <c r="Q118" s="22"/>
      <c r="R118" s="166"/>
      <c r="S118" s="228">
        <f t="shared" si="48"/>
        <v>1</v>
      </c>
      <c r="T118" s="166" t="str">
        <f t="shared" si="32"/>
        <v>NorthBound</v>
      </c>
      <c r="U118" s="21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4" t="str">
        <f t="shared" si="33"/>
        <v>https://d0f6bd738d7f1b3e5a7ca70fe4ff75f0.us-east-1.aws.found.io/app/kibana#/discover/Steve-Slow-Train-Analysis-(2080s-and-2083s)?_g=(refreshInterval:(display:Off,pause:!f,section:0,value:0),time:(from:'2017-09-30T15:40:28-0600',mode:absolute,to:'2017-09-30T18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8" s="215" t="str">
        <f>IF(AA118&lt;VLOOKUP(AG118,Variables!$AC$3:$AD$8,2,FALSE),"Y","N")</f>
        <v>N</v>
      </c>
      <c r="X118" s="215">
        <f t="shared" si="34"/>
        <v>1</v>
      </c>
      <c r="Y118" s="215">
        <f t="shared" si="49"/>
        <v>4.4900000000000002E-2</v>
      </c>
      <c r="Z118" s="215">
        <f t="shared" si="50"/>
        <v>23.334499999999998</v>
      </c>
      <c r="AA118" s="215">
        <f t="shared" si="37"/>
        <v>23.2896</v>
      </c>
      <c r="AB118" s="216" t="e">
        <f>VLOOKUP(A118,Enforcements!$C$7:$K$11,8,0)</f>
        <v>#N/A</v>
      </c>
      <c r="AC118" s="216" t="e">
        <f>VLOOKUP(A118,Enforcements!$C$7:$E$11,3,0)</f>
        <v>#N/A</v>
      </c>
      <c r="AD118" s="217">
        <f t="shared" si="38"/>
        <v>205</v>
      </c>
      <c r="AE118" s="218" t="str">
        <f t="shared" si="39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118" s="68" t="str">
        <f t="shared" si="40"/>
        <v>"C:\Program Files (x86)\AstroGrep\AstroGrep.exe" /e /r /s /spath="%USERPROFILE%\AppData\Local\Temp\OnboardLogs" /stypes="app*4040*20170930*" /stext=" 23:.+((SYSTEM_STATE.+slice.+state.+changed )|(ment ac)|(multiple cpu faults)|(system.+state.+changed )|(\[timeout)|(PRM\|1\|D)|(kpr)|(kdp)|(train st.+moving)|(\|lc)|(penalty))"</v>
      </c>
      <c r="AG118" s="172" t="str">
        <f t="shared" si="41"/>
        <v>EC</v>
      </c>
      <c r="AH118" s="70" t="str">
        <f t="shared" si="42"/>
        <v>"%USERPROFILE%\Documents\GitHub\eaglep3\Utilities\RefineRTDCRunTimes.py" --tripid 205-30 --locoid 4040 --swversion DE.1.0.9.0 --startMP 204:449 --initTime 2017-09-30T16:40:28 --startdatetime 2017-09-30T16:45:26 --delay 108 --endMP 204:233345 --enddatetime 2017-09-30T17:21:11 --enforcementcount 0 &gt;&gt;c:\users\stu\Documents\GitHub\eaglep3-reporting\EC\2017-09-30-refined-times.txt</v>
      </c>
      <c r="AI118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{"issue":{"subject":"","project_id":79,"tracker_id":40,"status_id":1,"priority_id":2,"assigned_to_id":338,"start_date":"2017-09-30","description":"","custom_fields":[{"id":1,"name":"Subdivision","value":"EC"},{"id":4,"name":"Milepost","value":"23.3345"},{"id":17,"name":"Train ID","value":"205-30"},{"id":16,"name":"Locomotive ID","value":"4040"},{"id":130,"name":"Impact","value":""},{"id":150,"name":"Time of Event (Mountain Time)","value":"17:21:11"},{"id":151,"name":"Denver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34" t="str">
        <f t="shared" si="44"/>
        <v>start /low /b %USERPROFILE%\Documents\GitHub\eaglep3\Utilities\DownloadLogsFromS3.py --loco 4040 --day 2017-09-30</v>
      </c>
      <c r="AN118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0" t="str">
        <f t="shared" si="46"/>
        <v>https://d0f6bd738d7f1b3e5a7ca70fe4ff75f0.us-east-1.aws.found.io/app/kibana#/discover/Steve-Slow-Train-Analysis-(2080s-and-2083s)?_g=(refreshInterval:(display:Off,pause:!f,section:0,value:0),time:(from:'2017-09-30T15:40:28-0600',mode:absolute,to:'2017-09-30T18:21:11-0600'))&amp;_a=(columns:!('Message%20ID',Summary),filters:!(),index:'emp_*',interval:auto,query:(query_string:(analyze_wildcard:!t,query:'%22rtdc.l.rtdc.4040%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773</v>
      </c>
      <c r="B119" s="7">
        <v>4039</v>
      </c>
      <c r="C119" s="21" t="s">
        <v>195</v>
      </c>
      <c r="D119" s="21" t="s">
        <v>561</v>
      </c>
      <c r="E119" s="13">
        <v>43008.726435185185</v>
      </c>
      <c r="F119" s="13">
        <v>43008.737685185188</v>
      </c>
      <c r="G119" s="7">
        <v>95</v>
      </c>
      <c r="H119" s="21" t="s">
        <v>337</v>
      </c>
      <c r="I119" s="13">
        <v>43008.763564814813</v>
      </c>
      <c r="J119" s="7">
        <v>0</v>
      </c>
      <c r="K119" s="81" t="str">
        <f t="shared" si="30"/>
        <v>4039/4040</v>
      </c>
      <c r="L119" s="175" t="str">
        <f>VLOOKUP(A119,'Trips&amp;Operators'!$C$1:$G$99911,5,FALSE)</f>
        <v>SAFIEF AEIMEN</v>
      </c>
      <c r="M119" s="6">
        <f t="shared" si="31"/>
        <v>2.5879629625706002E-2</v>
      </c>
      <c r="N119" s="7">
        <f t="shared" si="47"/>
        <v>37.266666661016643</v>
      </c>
      <c r="O119" s="7"/>
      <c r="P119" s="7"/>
      <c r="Q119" s="22"/>
      <c r="R119" s="166"/>
      <c r="S119" s="228">
        <f t="shared" si="48"/>
        <v>1</v>
      </c>
      <c r="T119" s="166" t="str">
        <f t="shared" si="32"/>
        <v>Southbound</v>
      </c>
      <c r="U119" s="21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4" t="str">
        <f t="shared" si="33"/>
        <v>https://d0f6bd738d7f1b3e5a7ca70fe4ff75f0.us-east-1.aws.found.io/app/kibana#/discover/Steve-Slow-Train-Analysis-(2080s-and-2083s)?_g=(refreshInterval:(display:Off,pause:!f,section:0,value:0),time:(from:'2017-09-30T16:26:04-0600',mode:absolute,to:'2017-09-30T19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9" s="215" t="str">
        <f>IF(AA119&lt;VLOOKUP(AG119,Variables!$AC$3:$AD$8,2,FALSE),"Y","N")</f>
        <v>N</v>
      </c>
      <c r="X119" s="215">
        <f t="shared" si="34"/>
        <v>1</v>
      </c>
      <c r="Y119" s="215">
        <f t="shared" si="49"/>
        <v>23.302299999999999</v>
      </c>
      <c r="Z119" s="215">
        <f t="shared" si="50"/>
        <v>1.49E-2</v>
      </c>
      <c r="AA119" s="215">
        <f t="shared" si="37"/>
        <v>23.287399999999998</v>
      </c>
      <c r="AB119" s="216" t="e">
        <f>VLOOKUP(A119,Enforcements!$C$7:$K$11,8,0)</f>
        <v>#N/A</v>
      </c>
      <c r="AC119" s="216" t="e">
        <f>VLOOKUP(A119,Enforcements!$C$7:$E$11,3,0)</f>
        <v>#N/A</v>
      </c>
      <c r="AD119" s="217">
        <f t="shared" si="38"/>
        <v>206</v>
      </c>
      <c r="AE119" s="218" t="str">
        <f t="shared" si="39"/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119" s="68" t="str">
        <f t="shared" si="40"/>
        <v>"C:\Program Files (x86)\AstroGrep\AstroGrep.exe" /e /r /s /spath="%USERPROFILE%\AppData\Local\Temp\OnboardLogs" /stypes="app*4039*20171001*" /stext=" 00:.+((SYSTEM_STATE.+slice.+state.+changed )|(ment ac)|(multiple cpu faults)|(system.+state.+changed )|(\[timeout)|(PRM\|1\|D)|(kpr)|(kdp)|(train st.+moving)|(\|lc)|(penalty))"</v>
      </c>
      <c r="AG119" s="172" t="str">
        <f t="shared" si="41"/>
        <v>EC</v>
      </c>
      <c r="AH119" s="70" t="str">
        <f t="shared" si="42"/>
        <v>"%USERPROFILE%\Documents\GitHub\eaglep3\Utilities\RefineRTDCRunTimes.py" --tripid 206-30 --locoid 4039 --swversion DE.1.0.9.0 --startMP 204:233023 --initTime 2017-09-30T17:26:04 --startdatetime 2017-09-30T17:42:16 --delay 95 --endMP 204:149 --enddatetime 2017-09-30T18:19:32 --enforcementcount 0 &gt;&gt;c:\users\stu\Documents\GitHub\eaglep3-reporting\EC\2017-09-30-refined-times.txt</v>
      </c>
      <c r="AI119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{"issue":{"subject":"","project_id":79,"tracker_id":40,"status_id":1,"priority_id":2,"assigned_to_id":338,"start_date":"2017-09-30","description":"","custom_fields":[{"id":1,"name":"Subdivision","value":"EC"},{"id":4,"name":"Milepost","value":"0.0149"},{"id":17,"name":"Train ID","value":"206-30"},{"id":16,"name":"Locomotive ID","value":"4039"},{"id":130,"name":"Impact","value":""},{"id":150,"name":"Time of Event (Mountain Time)","value":"18:19:32"},{"id":151,"name":"Denver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34" t="str">
        <f t="shared" si="44"/>
        <v>start /low /b %USERPROFILE%\Documents\GitHub\eaglep3\Utilities\DownloadLogsFromS3.py --loco 4039 --day 2017-09-30</v>
      </c>
      <c r="AN119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0" t="str">
        <f t="shared" si="46"/>
        <v>https://d0f6bd738d7f1b3e5a7ca70fe4ff75f0.us-east-1.aws.found.io/app/kibana#/discover/Steve-Slow-Train-Analysis-(2080s-and-2083s)?_g=(refreshInterval:(display:Off,pause:!f,section:0,value:0),time:(from:'2017-09-30T16:26:04-0600',mode:absolute,to:'2017-09-30T19:19:32-0600'))&amp;_a=(columns:!('Message%20ID',Summary),filters:!(),index:'emp_*',interval:auto,query:(query_string:(analyze_wildcard:!t,query:'%22rtdc.l.rtdc.4039%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766</v>
      </c>
      <c r="B120" s="7">
        <v>4056</v>
      </c>
      <c r="C120" s="21" t="s">
        <v>195</v>
      </c>
      <c r="D120" s="21" t="s">
        <v>359</v>
      </c>
      <c r="E120" s="13">
        <v>43008.704363425924</v>
      </c>
      <c r="F120" s="13">
        <v>43008.708506944444</v>
      </c>
      <c r="G120" s="7">
        <v>50</v>
      </c>
      <c r="H120" s="21" t="s">
        <v>917</v>
      </c>
      <c r="I120" s="13">
        <v>43008.733356481483</v>
      </c>
      <c r="J120" s="7">
        <v>0</v>
      </c>
      <c r="K120" s="81" t="str">
        <f t="shared" si="30"/>
        <v>4055/4056</v>
      </c>
      <c r="L120" s="175" t="str">
        <f>VLOOKUP(A120,'Trips&amp;Operators'!$C$1:$G$99911,5,FALSE)</f>
        <v>GUZMAN DANNY</v>
      </c>
      <c r="M120" s="6">
        <f t="shared" si="31"/>
        <v>2.4849537039699499E-2</v>
      </c>
      <c r="N120" s="7">
        <f t="shared" si="47"/>
        <v>35.783333337167278</v>
      </c>
      <c r="O120" s="7"/>
      <c r="P120" s="7"/>
      <c r="Q120" s="22"/>
      <c r="R120" s="166"/>
      <c r="S120" s="228">
        <f t="shared" si="48"/>
        <v>1</v>
      </c>
      <c r="T120" s="166" t="str">
        <f t="shared" si="32"/>
        <v>NorthBound</v>
      </c>
      <c r="U120" s="21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4" t="str">
        <f t="shared" si="33"/>
        <v>https://d0f6bd738d7f1b3e5a7ca70fe4ff75f0.us-east-1.aws.found.io/app/kibana#/discover/Steve-Slow-Train-Analysis-(2080s-and-2083s)?_g=(refreshInterval:(display:Off,pause:!f,section:0,value:0),time:(from:'2017-09-30T15:54:17-0600',mode:absolute,to:'2017-09-30T18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0" s="215" t="str">
        <f>IF(AA120&lt;VLOOKUP(AG120,Variables!$AC$3:$AD$8,2,FALSE),"Y","N")</f>
        <v>N</v>
      </c>
      <c r="X120" s="215">
        <f t="shared" si="34"/>
        <v>1</v>
      </c>
      <c r="Y120" s="215">
        <f t="shared" si="49"/>
        <v>4.6399999999999997E-2</v>
      </c>
      <c r="Z120" s="215">
        <f t="shared" si="50"/>
        <v>23.328700000000001</v>
      </c>
      <c r="AA120" s="215">
        <f t="shared" si="37"/>
        <v>23.282300000000003</v>
      </c>
      <c r="AB120" s="216" t="e">
        <f>VLOOKUP(A120,Enforcements!$C$7:$K$11,8,0)</f>
        <v>#N/A</v>
      </c>
      <c r="AC120" s="216" t="e">
        <f>VLOOKUP(A120,Enforcements!$C$7:$E$11,3,0)</f>
        <v>#N/A</v>
      </c>
      <c r="AD120" s="217">
        <f t="shared" si="38"/>
        <v>207</v>
      </c>
      <c r="AE120" s="218" t="str">
        <f t="shared" si="39"/>
        <v>aws s3 cp s3://rtdc.mdm.uploadarchive.raw/RTDC4056/ "%USERPROFILE%\AppData\Local\Temp\OnboardLogs"\RTDC4056\2017-09-30 --exclude "*" --recursive --include "*20170930*" &amp; "%USERPROFILE%\Documents\GitHub\mrs-test-scripts\Headless Mode &amp; Sideloading\WalkAndUnGZ.bat" "%USERPROFILE%\AppData\Local\Temp\OnboardLogs"\RTDC4056\2017-09-30 &amp; aws s3 cp s3://rtdc.mdm.uploadarchive.raw/RTDC4056/ "%USERPROFILE%\AppData\Local\Temp\OnboardLogs"\RTDC4056\2017-10-01 --exclude "*" --recursive --include "*20171001*" &amp; "%USERPROFILE%\Documents\GitHub\mrs-test-scripts\Headless Mode &amp; Sideloading\WalkAndUnGZ.bat" "%USERPROFILE%\AppData\Local\Temp\OnboardLogs"\RTDC4056\2017-10-01</v>
      </c>
      <c r="AF120" s="68" t="str">
        <f t="shared" si="40"/>
        <v>"C:\Program Files (x86)\AstroGrep\AstroGrep.exe" /e /r /s /spath="%USERPROFILE%\AppData\Local\Temp\OnboardLogs" /stypes="app*4056*20170930*" /stext=" 23:.+((SYSTEM_STATE.+slice.+state.+changed )|(ment ac)|(multiple cpu faults)|(system.+state.+changed )|(\[timeout)|(PRM\|1\|D)|(kpr)|(kdp)|(train st.+moving)|(\|lc)|(penalty))"</v>
      </c>
      <c r="AG120" s="172" t="str">
        <f t="shared" si="41"/>
        <v>EC</v>
      </c>
      <c r="AH120" s="70" t="str">
        <f t="shared" si="42"/>
        <v>"%USERPROFILE%\Documents\GitHub\eaglep3\Utilities\RefineRTDCRunTimes.py" --tripid 207-30 --locoid 4056 --swversion DE.1.0.9.0 --startMP 204:464 --initTime 2017-09-30T16:54:17 --startdatetime 2017-09-30T17:00:15 --delay 50 --endMP 204:233287 --enddatetime 2017-09-30T17:36:02 --enforcementcount 0 &gt;&gt;c:\users\stu\Documents\GitHub\eaglep3-reporting\EC\2017-09-30-refined-times.txt</v>
      </c>
      <c r="AI120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{"issue":{"subject":"","project_id":79,"tracker_id":40,"status_id":1,"priority_id":2,"assigned_to_id":338,"start_date":"2017-09-30","description":"","custom_fields":[{"id":1,"name":"Subdivision","value":"EC"},{"id":4,"name":"Milepost","value":"23.3287"},{"id":17,"name":"Train ID","value":"207-30"},{"id":16,"name":"Locomotive ID","value":"4056"},{"id":130,"name":"Impact","value":""},{"id":150,"name":"Time of Event (Mountain Time)","value":"17:36:02"},{"id":151,"name":"Denver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34" t="str">
        <f t="shared" si="44"/>
        <v>start /low /b %USERPROFILE%\Documents\GitHub\eaglep3\Utilities\DownloadLogsFromS3.py --loco 4056 --day 2017-09-30</v>
      </c>
      <c r="AN120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0" t="str">
        <f t="shared" si="46"/>
        <v>https://d0f6bd738d7f1b3e5a7ca70fe4ff75f0.us-east-1.aws.found.io/app/kibana#/discover/Steve-Slow-Train-Analysis-(2080s-and-2083s)?_g=(refreshInterval:(display:Off,pause:!f,section:0,value:0),time:(from:'2017-09-30T15:54:17-0600',mode:absolute,to:'2017-09-30T18:36:02-0600'))&amp;_a=(columns:!('Message%20ID',Summary),filters:!(),index:'emp_*',interval:auto,query:(query_string:(analyze_wildcard:!t,query:'%22rtdc.l.rtdc.4056%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775</v>
      </c>
      <c r="B121" s="7">
        <v>4055</v>
      </c>
      <c r="C121" s="21" t="s">
        <v>195</v>
      </c>
      <c r="D121" s="21" t="s">
        <v>366</v>
      </c>
      <c r="E121" s="13">
        <v>43008.734236111108</v>
      </c>
      <c r="F121" s="13">
        <v>43008.748171296298</v>
      </c>
      <c r="G121" s="7">
        <v>47</v>
      </c>
      <c r="H121" s="21" t="s">
        <v>371</v>
      </c>
      <c r="I121" s="13">
        <v>43008.77553240741</v>
      </c>
      <c r="J121" s="7">
        <v>0</v>
      </c>
      <c r="K121" s="81" t="str">
        <f t="shared" si="30"/>
        <v>4055/4056</v>
      </c>
      <c r="L121" s="175" t="str">
        <f>VLOOKUP(A121,'Trips&amp;Operators'!$C$1:$G$99911,5,FALSE)</f>
        <v>GUZMAN DANNY</v>
      </c>
      <c r="M121" s="6">
        <f t="shared" si="31"/>
        <v>2.73611111115315E-2</v>
      </c>
      <c r="N121" s="7">
        <f t="shared" si="47"/>
        <v>39.40000000060536</v>
      </c>
      <c r="O121" s="7"/>
      <c r="P121" s="7"/>
      <c r="Q121" s="22"/>
      <c r="R121" s="166"/>
      <c r="S121" s="228">
        <f t="shared" si="48"/>
        <v>1</v>
      </c>
      <c r="T121" s="166" t="str">
        <f t="shared" si="32"/>
        <v>Southbound</v>
      </c>
      <c r="U121" s="21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4" t="str">
        <f t="shared" si="33"/>
        <v>https://d0f6bd738d7f1b3e5a7ca70fe4ff75f0.us-east-1.aws.found.io/app/kibana#/discover/Steve-Slow-Train-Analysis-(2080s-and-2083s)?_g=(refreshInterval:(display:Off,pause:!f,section:0,value:0),time:(from:'2017-09-30T16:37:18-0600',mode:absolute,to:'2017-09-30T19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1" s="215" t="str">
        <f>IF(AA121&lt;VLOOKUP(AG121,Variables!$AC$3:$AD$8,2,FALSE),"Y","N")</f>
        <v>N</v>
      </c>
      <c r="X121" s="215">
        <f t="shared" si="34"/>
        <v>1</v>
      </c>
      <c r="Y121" s="215">
        <f t="shared" si="49"/>
        <v>23.297699999999999</v>
      </c>
      <c r="Z121" s="215">
        <f t="shared" si="50"/>
        <v>1.5800000000000002E-2</v>
      </c>
      <c r="AA121" s="215">
        <f t="shared" si="37"/>
        <v>23.2819</v>
      </c>
      <c r="AB121" s="216" t="e">
        <f>VLOOKUP(A121,Enforcements!$C$7:$K$11,8,0)</f>
        <v>#N/A</v>
      </c>
      <c r="AC121" s="216" t="e">
        <f>VLOOKUP(A121,Enforcements!$C$7:$E$11,3,0)</f>
        <v>#N/A</v>
      </c>
      <c r="AD121" s="217">
        <f t="shared" si="38"/>
        <v>208</v>
      </c>
      <c r="AE121" s="218" t="str">
        <f t="shared" si="39"/>
        <v>aws s3 cp s3://rtdc.mdm.uploadarchive.raw/RTDC4055/ "%USERPROFILE%\AppData\Local\Temp\OnboardLogs"\RTDC4055\2017-09-30 --exclude "*" --recursive --include "*20170930*" &amp; "%USERPROFILE%\Documents\GitHub\mrs-test-scripts\Headless Mode &amp; Sideloading\WalkAndUnGZ.bat" "%USERPROFILE%\AppData\Local\Temp\OnboardLogs"\RTDC4055\2017-09-30 &amp; aws s3 cp s3://rtdc.mdm.uploadarchive.raw/RTDC4055/ "%USERPROFILE%\AppData\Local\Temp\OnboardLogs"\RTDC4055\2017-10-01 --exclude "*" --recursive --include "*20171001*" &amp; "%USERPROFILE%\Documents\GitHub\mrs-test-scripts\Headless Mode &amp; Sideloading\WalkAndUnGZ.bat" "%USERPROFILE%\AppData\Local\Temp\OnboardLogs"\RTDC4055\2017-10-01</v>
      </c>
      <c r="AF121" s="68" t="str">
        <f t="shared" si="40"/>
        <v>"C:\Program Files (x86)\AstroGrep\AstroGrep.exe" /e /r /s /spath="%USERPROFILE%\AppData\Local\Temp\OnboardLogs" /stypes="app*4055*20171001*" /stext=" 00:.+((SYSTEM_STATE.+slice.+state.+changed )|(ment ac)|(multiple cpu faults)|(system.+state.+changed )|(\[timeout)|(PRM\|1\|D)|(kpr)|(kdp)|(train st.+moving)|(\|lc)|(penalty))"</v>
      </c>
      <c r="AG121" s="172" t="str">
        <f t="shared" si="41"/>
        <v>EC</v>
      </c>
      <c r="AH121" s="70" t="str">
        <f t="shared" si="42"/>
        <v>"%USERPROFILE%\Documents\GitHub\eaglep3\Utilities\RefineRTDCRunTimes.py" --tripid 208-30 --locoid 4055 --swversion DE.1.0.9.0 --startMP 204:232977 --initTime 2017-09-30T17:37:18 --startdatetime 2017-09-30T17:57:22 --delay 47 --endMP 204:158 --enddatetime 2017-09-30T18:36:46 --enforcementcount 0 &gt;&gt;c:\users\stu\Documents\GitHub\eaglep3-reporting\EC\2017-09-30-refined-times.txt</v>
      </c>
      <c r="AI121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{"issue":{"subject":"","project_id":79,"tracker_id":40,"status_id":1,"priority_id":2,"assigned_to_id":338,"start_date":"2017-09-30","description":"","custom_fields":[{"id":1,"name":"Subdivision","value":"EC"},{"id":4,"name":"Milepost","value":"0.0158"},{"id":17,"name":"Train ID","value":"208-30"},{"id":16,"name":"Locomotive ID","value":"4055"},{"id":130,"name":"Impact","value":""},{"id":150,"name":"Time of Event (Mountain Time)","value":"18:36:46"},{"id":151,"name":"Denver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34" t="str">
        <f t="shared" si="44"/>
        <v>start /low /b %USERPROFILE%\Documents\GitHub\eaglep3\Utilities\DownloadLogsFromS3.py --loco 4055 --day 2017-09-30</v>
      </c>
      <c r="AN121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0" t="str">
        <f t="shared" si="46"/>
        <v>https://d0f6bd738d7f1b3e5a7ca70fe4ff75f0.us-east-1.aws.found.io/app/kibana#/discover/Steve-Slow-Train-Analysis-(2080s-and-2083s)?_g=(refreshInterval:(display:Off,pause:!f,section:0,value:0),time:(from:'2017-09-30T16:37:18-0600',mode:absolute,to:'2017-09-30T19:36:46-0600'))&amp;_a=(columns:!('Message%20ID',Summary),filters:!(),index:'emp_*',interval:auto,query:(query_string:(analyze_wildcard:!t,query:'%22rtdc.l.rtdc.4055%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769</v>
      </c>
      <c r="B122" s="7">
        <v>4028</v>
      </c>
      <c r="C122" s="21" t="s">
        <v>195</v>
      </c>
      <c r="D122" s="21" t="s">
        <v>918</v>
      </c>
      <c r="E122" s="13">
        <v>43008.715115740742</v>
      </c>
      <c r="F122" s="13">
        <v>43008.719050925924</v>
      </c>
      <c r="G122" s="7">
        <v>58</v>
      </c>
      <c r="H122" s="21" t="s">
        <v>394</v>
      </c>
      <c r="I122" s="13">
        <v>43008.744490740741</v>
      </c>
      <c r="J122" s="7">
        <v>0</v>
      </c>
      <c r="K122" s="81" t="str">
        <f t="shared" si="30"/>
        <v>4027/4028</v>
      </c>
      <c r="L122" s="175" t="str">
        <f>VLOOKUP(A122,'Trips&amp;Operators'!$C$1:$G$99911,5,FALSE)</f>
        <v>BADERTSCHER DIANE</v>
      </c>
      <c r="M122" s="6">
        <f t="shared" si="31"/>
        <v>2.5439814817218576E-2</v>
      </c>
      <c r="N122" s="7">
        <f t="shared" si="47"/>
        <v>36.633333336794749</v>
      </c>
      <c r="O122" s="7"/>
      <c r="P122" s="7"/>
      <c r="Q122" s="22"/>
      <c r="R122" s="166"/>
      <c r="S122" s="228">
        <f t="shared" si="48"/>
        <v>1</v>
      </c>
      <c r="T122" s="166" t="str">
        <f t="shared" si="32"/>
        <v>NorthBound</v>
      </c>
      <c r="U122" s="21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4" t="str">
        <f t="shared" si="33"/>
        <v>https://d0f6bd738d7f1b3e5a7ca70fe4ff75f0.us-east-1.aws.found.io/app/kibana#/discover/Steve-Slow-Train-Analysis-(2080s-and-2083s)?_g=(refreshInterval:(display:Off,pause:!f,section:0,value:0),time:(from:'2017-09-30T16:09:46-0600',mode:absolute,to:'2017-09-30T18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2" s="215" t="str">
        <f>IF(AA122&lt;VLOOKUP(AG122,Variables!$AC$3:$AD$8,2,FALSE),"Y","N")</f>
        <v>N</v>
      </c>
      <c r="X122" s="215">
        <f t="shared" si="34"/>
        <v>1</v>
      </c>
      <c r="Y122" s="215">
        <f t="shared" si="49"/>
        <v>4.3999999999999997E-2</v>
      </c>
      <c r="Z122" s="215">
        <f t="shared" si="50"/>
        <v>23.3293</v>
      </c>
      <c r="AA122" s="215">
        <f t="shared" si="37"/>
        <v>23.285299999999999</v>
      </c>
      <c r="AB122" s="216" t="e">
        <f>VLOOKUP(A122,Enforcements!$C$7:$K$11,8,0)</f>
        <v>#N/A</v>
      </c>
      <c r="AC122" s="216" t="e">
        <f>VLOOKUP(A122,Enforcements!$C$7:$E$11,3,0)</f>
        <v>#N/A</v>
      </c>
      <c r="AD122" s="217">
        <f t="shared" si="38"/>
        <v>209</v>
      </c>
      <c r="AE122" s="218" t="str">
        <f t="shared" si="39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122" s="68" t="str">
        <f t="shared" si="40"/>
        <v>"C:\Program Files (x86)\AstroGrep\AstroGrep.exe" /e /r /s /spath="%USERPROFILE%\AppData\Local\Temp\OnboardLogs" /stypes="app*4028*20170930*" /stext=" 23:.+((SYSTEM_STATE.+slice.+state.+changed )|(ment ac)|(multiple cpu faults)|(system.+state.+changed )|(\[timeout)|(PRM\|1\|D)|(kpr)|(kdp)|(train st.+moving)|(\|lc)|(penalty))"</v>
      </c>
      <c r="AG122" s="172" t="str">
        <f t="shared" si="41"/>
        <v>EC</v>
      </c>
      <c r="AH122" s="70" t="str">
        <f t="shared" si="42"/>
        <v>"%USERPROFILE%\Documents\GitHub\eaglep3\Utilities\RefineRTDCRunTimes.py" --tripid 209-30 --locoid 4028 --swversion DE.1.0.9.0 --startMP 204:440 --initTime 2017-09-30T17:09:46 --startdatetime 2017-09-30T17:15:26 --delay 58 --endMP 204:233293 --enddatetime 2017-09-30T17:52:04 --enforcementcount 0 &gt;&gt;c:\users\stu\Documents\GitHub\eaglep3-reporting\EC\2017-09-30-refined-times.txt</v>
      </c>
      <c r="AI122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{"issue":{"subject":"","project_id":79,"tracker_id":40,"status_id":1,"priority_id":2,"assigned_to_id":338,"start_date":"2017-09-30","description":"","custom_fields":[{"id":1,"name":"Subdivision","value":"EC"},{"id":4,"name":"Milepost","value":"23.3293"},{"id":17,"name":"Train ID","value":"209-30"},{"id":16,"name":"Locomotive ID","value":"4028"},{"id":130,"name":"Impact","value":""},{"id":150,"name":"Time of Event (Mountain Time)","value":"17:52:04"},{"id":151,"name":"Denver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34" t="str">
        <f t="shared" si="44"/>
        <v>start /low /b %USERPROFILE%\Documents\GitHub\eaglep3\Utilities\DownloadLogsFromS3.py --loco 4028 --day 2017-09-30</v>
      </c>
      <c r="AN122" s="143" t="str">
        <f t="shared" si="45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0" t="str">
        <f t="shared" si="46"/>
        <v>https://d0f6bd738d7f1b3e5a7ca70fe4ff75f0.us-east-1.aws.found.io/app/kibana#/discover/Steve-Slow-Train-Analysis-(2080s-and-2083s)?_g=(refreshInterval:(display:Off,pause:!f,section:0,value:0),time:(from:'2017-09-30T16:09:46-0600',mode:absolute,to:'2017-09-30T18:52:04-0600'))&amp;_a=(columns:!('Message%20ID',Summary),filters:!(),index:'emp_*',interval:auto,query:(query_string:(analyze_wildcard:!t,query:'%22rtdc.l.rtdc.4028%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779</v>
      </c>
      <c r="B123" s="7">
        <v>4027</v>
      </c>
      <c r="C123" s="21" t="s">
        <v>195</v>
      </c>
      <c r="D123" s="21" t="s">
        <v>850</v>
      </c>
      <c r="E123" s="13">
        <v>43008.747777777775</v>
      </c>
      <c r="F123" s="13">
        <v>43008.75849537037</v>
      </c>
      <c r="G123" s="7">
        <v>54</v>
      </c>
      <c r="H123" s="21" t="s">
        <v>919</v>
      </c>
      <c r="I123" s="13">
        <v>43008.785682870373</v>
      </c>
      <c r="J123" s="7">
        <v>0</v>
      </c>
      <c r="K123" s="81" t="str">
        <f t="shared" si="30"/>
        <v>4027/4028</v>
      </c>
      <c r="L123" s="175" t="str">
        <f>VLOOKUP(A123,'Trips&amp;Operators'!$C$1:$G$99911,5,FALSE)</f>
        <v>BADERTSCHER DIANE</v>
      </c>
      <c r="M123" s="6">
        <f t="shared" si="31"/>
        <v>2.718750000349246E-2</v>
      </c>
      <c r="N123" s="7">
        <f t="shared" si="47"/>
        <v>39.150000005029142</v>
      </c>
      <c r="O123" s="7"/>
      <c r="P123" s="7"/>
      <c r="Q123" s="22"/>
      <c r="R123" s="166"/>
      <c r="S123" s="228">
        <f t="shared" si="48"/>
        <v>1</v>
      </c>
      <c r="T123" s="166" t="str">
        <f t="shared" si="32"/>
        <v>Southbound</v>
      </c>
      <c r="U123" s="21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4" t="str">
        <f t="shared" si="33"/>
        <v>https://d0f6bd738d7f1b3e5a7ca70fe4ff75f0.us-east-1.aws.found.io/app/kibana#/discover/Steve-Slow-Train-Analysis-(2080s-and-2083s)?_g=(refreshInterval:(display:Off,pause:!f,section:0,value:0),time:(from:'2017-09-30T16:56:48-0600',mode:absolute,to:'2017-09-30T19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3" s="215" t="str">
        <f>IF(AA123&lt;VLOOKUP(AG123,Variables!$AC$3:$AD$8,2,FALSE),"Y","N")</f>
        <v>N</v>
      </c>
      <c r="X123" s="215">
        <f t="shared" si="34"/>
        <v>1</v>
      </c>
      <c r="Y123" s="215">
        <f t="shared" si="49"/>
        <v>23.296500000000002</v>
      </c>
      <c r="Z123" s="215">
        <f t="shared" si="50"/>
        <v>1.1599999999999999E-2</v>
      </c>
      <c r="AA123" s="215">
        <f t="shared" si="37"/>
        <v>23.2849</v>
      </c>
      <c r="AB123" s="216" t="e">
        <f>VLOOKUP(A123,Enforcements!$C$7:$K$11,8,0)</f>
        <v>#N/A</v>
      </c>
      <c r="AC123" s="216" t="e">
        <f>VLOOKUP(A123,Enforcements!$C$7:$E$11,3,0)</f>
        <v>#N/A</v>
      </c>
      <c r="AD123" s="217">
        <f t="shared" si="38"/>
        <v>210</v>
      </c>
      <c r="AE123" s="218" t="str">
        <f t="shared" si="39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123" s="68" t="str">
        <f t="shared" si="40"/>
        <v>"C:\Program Files (x86)\AstroGrep\AstroGrep.exe" /e /r /s /spath="%USERPROFILE%\AppData\Local\Temp\OnboardLogs" /stypes="app*4027*20171001*" /stext=" 00:.+((SYSTEM_STATE.+slice.+state.+changed )|(ment ac)|(multiple cpu faults)|(system.+state.+changed )|(\[timeout)|(PRM\|1\|D)|(kpr)|(kdp)|(train st.+moving)|(\|lc)|(penalty))"</v>
      </c>
      <c r="AG123" s="172" t="str">
        <f t="shared" si="41"/>
        <v>EC</v>
      </c>
      <c r="AH123" s="70" t="str">
        <f t="shared" si="42"/>
        <v>"%USERPROFILE%\Documents\GitHub\eaglep3\Utilities\RefineRTDCRunTimes.py" --tripid 210-30 --locoid 4027 --swversion DE.1.0.9.0 --startMP 204:232965 --initTime 2017-09-30T17:56:48 --startdatetime 2017-09-30T18:12:14 --delay 54 --endMP 204:116 --enddatetime 2017-09-30T18:51:23 --enforcementcount 0 &gt;&gt;c:\users\stu\Documents\GitHub\eaglep3-reporting\EC\2017-09-30-refined-times.txt</v>
      </c>
      <c r="AI123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{"issue":{"subject":"","project_id":79,"tracker_id":40,"status_id":1,"priority_id":2,"assigned_to_id":338,"start_date":"2017-09-30","description":"","custom_fields":[{"id":1,"name":"Subdivision","value":"EC"},{"id":4,"name":"Milepost","value":"0.0116"},{"id":17,"name":"Train ID","value":"210-30"},{"id":16,"name":"Locomotive ID","value":"4027"},{"id":130,"name":"Impact","value":""},{"id":150,"name":"Time of Event (Mountain Time)","value":"18:51:23"},{"id":151,"name":"Denver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34" t="str">
        <f t="shared" si="44"/>
        <v>start /low /b %USERPROFILE%\Documents\GitHub\eaglep3\Utilities\DownloadLogsFromS3.py --loco 4027 --day 2017-09-30</v>
      </c>
      <c r="AN123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0" t="str">
        <f t="shared" si="46"/>
        <v>https://d0f6bd738d7f1b3e5a7ca70fe4ff75f0.us-east-1.aws.found.io/app/kibana#/discover/Steve-Slow-Train-Analysis-(2080s-and-2083s)?_g=(refreshInterval:(display:Off,pause:!f,section:0,value:0),time:(from:'2017-09-30T16:56:48-0600',mode:absolute,to:'2017-09-30T19:51:23-0600'))&amp;_a=(columns:!('Message%20ID',Summary),filters:!(),index:'emp_*',interval:auto,query:(query_string:(analyze_wildcard:!t,query:'%22rtdc.l.rtdc.4027%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772</v>
      </c>
      <c r="B124" s="7">
        <v>4046</v>
      </c>
      <c r="C124" s="21" t="s">
        <v>195</v>
      </c>
      <c r="D124" s="21" t="s">
        <v>391</v>
      </c>
      <c r="E124" s="13">
        <v>43008.725636574076</v>
      </c>
      <c r="F124" s="13">
        <v>43008.72934027778</v>
      </c>
      <c r="G124" s="7">
        <v>49</v>
      </c>
      <c r="H124" s="21" t="s">
        <v>493</v>
      </c>
      <c r="I124" s="13">
        <v>43008.754155092596</v>
      </c>
      <c r="J124" s="7">
        <v>0</v>
      </c>
      <c r="K124" s="81" t="str">
        <f t="shared" si="30"/>
        <v>4045/4046</v>
      </c>
      <c r="L124" s="175" t="str">
        <f>VLOOKUP(A124,'Trips&amp;Operators'!$C$1:$G$99911,5,FALSE)</f>
        <v>BERLING GARY</v>
      </c>
      <c r="M124" s="6">
        <f t="shared" si="31"/>
        <v>2.4814814816636499E-2</v>
      </c>
      <c r="N124" s="7">
        <f t="shared" si="47"/>
        <v>35.733333335956559</v>
      </c>
      <c r="O124" s="7"/>
      <c r="P124" s="7"/>
      <c r="Q124" s="22"/>
      <c r="R124" s="166"/>
      <c r="S124" s="228">
        <f t="shared" si="48"/>
        <v>1</v>
      </c>
      <c r="T124" s="166" t="str">
        <f t="shared" si="32"/>
        <v>NorthBound</v>
      </c>
      <c r="U124" s="21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4" t="str">
        <f t="shared" si="33"/>
        <v>https://d0f6bd738d7f1b3e5a7ca70fe4ff75f0.us-east-1.aws.found.io/app/kibana#/discover/Steve-Slow-Train-Analysis-(2080s-and-2083s)?_g=(refreshInterval:(display:Off,pause:!f,section:0,value:0),time:(from:'2017-09-30T16:24:55-0600',mode:absolute,to:'2017-09-30T19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215" t="str">
        <f>IF(AA124&lt;VLOOKUP(AG124,Variables!$AC$3:$AD$8,2,FALSE),"Y","N")</f>
        <v>N</v>
      </c>
      <c r="X124" s="215">
        <f t="shared" si="34"/>
        <v>1</v>
      </c>
      <c r="Y124" s="215">
        <f t="shared" si="49"/>
        <v>4.3700000000000003E-2</v>
      </c>
      <c r="Z124" s="215">
        <f t="shared" si="50"/>
        <v>23.3306</v>
      </c>
      <c r="AA124" s="215">
        <f t="shared" si="37"/>
        <v>23.286899999999999</v>
      </c>
      <c r="AB124" s="216" t="e">
        <f>VLOOKUP(A124,Enforcements!$C$7:$K$11,8,0)</f>
        <v>#N/A</v>
      </c>
      <c r="AC124" s="216" t="e">
        <f>VLOOKUP(A124,Enforcements!$C$7:$E$11,3,0)</f>
        <v>#N/A</v>
      </c>
      <c r="AD124" s="217">
        <f t="shared" si="38"/>
        <v>211</v>
      </c>
      <c r="AE124" s="218" t="str">
        <f t="shared" si="39"/>
        <v>aws s3 cp s3://rtdc.mdm.uploadarchive.raw/RTDC4046/ "%USERPROFILE%\AppData\Local\Temp\OnboardLogs"\RTDC4046\2017-09-30 --exclude "*" --recursive --include "*20170930*" &amp; "%USERPROFILE%\Documents\GitHub\mrs-test-scripts\Headless Mode &amp; Sideloading\WalkAndUnGZ.bat" "%USERPROFILE%\AppData\Local\Temp\OnboardLogs"\RTDC4046\2017-09-30 &amp; aws s3 cp s3://rtdc.mdm.uploadarchive.raw/RTDC4046/ "%USERPROFILE%\AppData\Local\Temp\OnboardLogs"\RTDC4046\2017-10-01 --exclude "*" --recursive --include "*20171001*" &amp; "%USERPROFILE%\Documents\GitHub\mrs-test-scripts\Headless Mode &amp; Sideloading\WalkAndUnGZ.bat" "%USERPROFILE%\AppData\Local\Temp\OnboardLogs"\RTDC4046\2017-10-01</v>
      </c>
      <c r="AF124" s="68" t="str">
        <f t="shared" si="40"/>
        <v>"C:\Program Files (x86)\AstroGrep\AstroGrep.exe" /e /r /s /spath="%USERPROFILE%\AppData\Local\Temp\OnboardLogs" /stypes="app*4046*20171001*" /stext=" 00:.+((SYSTEM_STATE.+slice.+state.+changed )|(ment ac)|(multiple cpu faults)|(system.+state.+changed )|(\[timeout)|(PRM\|1\|D)|(kpr)|(kdp)|(train st.+moving)|(\|lc)|(penalty))"</v>
      </c>
      <c r="AG124" s="172" t="str">
        <f t="shared" si="41"/>
        <v>EC</v>
      </c>
      <c r="AH124" s="70" t="str">
        <f t="shared" si="42"/>
        <v>"%USERPROFILE%\Documents\GitHub\eaglep3\Utilities\RefineRTDCRunTimes.py" --tripid 211-30 --locoid 4046 --swversion DE.1.0.9.0 --startMP 204:437 --initTime 2017-09-30T17:24:55 --startdatetime 2017-09-30T17:30:15 --delay 49 --endMP 204:233306 --enddatetime 2017-09-30T18:05:59 --enforcementcount 0 &gt;&gt;c:\users\stu\Documents\GitHub\eaglep3-reporting\EC\2017-09-30-refined-times.txt</v>
      </c>
      <c r="AI124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{"issue":{"subject":"","project_id":79,"tracker_id":40,"status_id":1,"priority_id":2,"assigned_to_id":338,"start_date":"2017-09-30","description":"","custom_fields":[{"id":1,"name":"Subdivision","value":"EC"},{"id":4,"name":"Milepost","value":"23.3306"},{"id":17,"name":"Train ID","value":"211-30"},{"id":16,"name":"Locomotive ID","value":"4046"},{"id":130,"name":"Impact","value":""},{"id":150,"name":"Time of Event (Mountain Time)","value":"18:05:59"},{"id":151,"name":"Denver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34" t="str">
        <f t="shared" si="44"/>
        <v>start /low /b %USERPROFILE%\Documents\GitHub\eaglep3\Utilities\DownloadLogsFromS3.py --loco 4046 --day 2017-09-30</v>
      </c>
      <c r="AN124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0" t="str">
        <f t="shared" si="46"/>
        <v>https://d0f6bd738d7f1b3e5a7ca70fe4ff75f0.us-east-1.aws.found.io/app/kibana#/discover/Steve-Slow-Train-Analysis-(2080s-and-2083s)?_g=(refreshInterval:(display:Off,pause:!f,section:0,value:0),time:(from:'2017-09-30T16:24:55-0600',mode:absolute,to:'2017-09-30T19:05:59-0600'))&amp;_a=(columns:!('Message%20ID',Summary),filters:!(),index:'emp_*',interval:auto,query:(query_string:(analyze_wildcard:!t,query:'%22rtdc.l.rtdc.4046%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781</v>
      </c>
      <c r="B125" s="7">
        <v>4045</v>
      </c>
      <c r="C125" s="21" t="s">
        <v>195</v>
      </c>
      <c r="D125" s="21" t="s">
        <v>384</v>
      </c>
      <c r="E125" s="13">
        <v>43008.755879629629</v>
      </c>
      <c r="F125" s="13">
        <v>43008.768912037034</v>
      </c>
      <c r="G125" s="7">
        <v>545</v>
      </c>
      <c r="H125" s="21" t="s">
        <v>920</v>
      </c>
      <c r="I125" s="13">
        <v>43008.795740740738</v>
      </c>
      <c r="J125" s="7">
        <v>0</v>
      </c>
      <c r="K125" s="81" t="str">
        <f t="shared" si="30"/>
        <v>4045/4046</v>
      </c>
      <c r="L125" s="175" t="str">
        <f>VLOOKUP(A125,'Trips&amp;Operators'!$C$1:$G$99911,5,FALSE)</f>
        <v>BERLING GARY</v>
      </c>
      <c r="M125" s="6">
        <f t="shared" si="31"/>
        <v>2.6828703703358769E-2</v>
      </c>
      <c r="N125" s="7">
        <f t="shared" si="47"/>
        <v>38.633333332836628</v>
      </c>
      <c r="O125" s="7"/>
      <c r="P125" s="7"/>
      <c r="Q125" s="22"/>
      <c r="R125" s="166"/>
      <c r="S125" s="228">
        <f t="shared" si="48"/>
        <v>1</v>
      </c>
      <c r="T125" s="166" t="str">
        <f t="shared" si="32"/>
        <v>Southbound</v>
      </c>
      <c r="U125" s="21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4" t="str">
        <f t="shared" si="33"/>
        <v>https://d0f6bd738d7f1b3e5a7ca70fe4ff75f0.us-east-1.aws.found.io/app/kibana#/discover/Steve-Slow-Train-Analysis-(2080s-and-2083s)?_g=(refreshInterval:(display:Off,pause:!f,section:0,value:0),time:(from:'2017-09-30T17:08:28-0600',mode:absolute,to:'2017-09-30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5" s="215" t="str">
        <f>IF(AA125&lt;VLOOKUP(AG125,Variables!$AC$3:$AD$8,2,FALSE),"Y","N")</f>
        <v>N</v>
      </c>
      <c r="X125" s="215">
        <f t="shared" si="34"/>
        <v>1</v>
      </c>
      <c r="Y125" s="215">
        <f t="shared" si="49"/>
        <v>23.299600000000002</v>
      </c>
      <c r="Z125" s="215">
        <f t="shared" si="50"/>
        <v>1.72E-2</v>
      </c>
      <c r="AA125" s="215">
        <f t="shared" si="37"/>
        <v>23.282400000000003</v>
      </c>
      <c r="AB125" s="216" t="e">
        <f>VLOOKUP(A125,Enforcements!$C$7:$K$11,8,0)</f>
        <v>#N/A</v>
      </c>
      <c r="AC125" s="216" t="e">
        <f>VLOOKUP(A125,Enforcements!$C$7:$E$11,3,0)</f>
        <v>#N/A</v>
      </c>
      <c r="AD125" s="217">
        <f t="shared" si="38"/>
        <v>212</v>
      </c>
      <c r="AE125" s="218" t="str">
        <f t="shared" si="39"/>
        <v>aws s3 cp s3://rtdc.mdm.uploadarchive.raw/RTDC4045/ "%USERPROFILE%\AppData\Local\Temp\OnboardLogs"\RTDC4045\2017-09-30 --exclude "*" --recursive --include "*20170930*" &amp; "%USERPROFILE%\Documents\GitHub\mrs-test-scripts\Headless Mode &amp; Sideloading\WalkAndUnGZ.bat" "%USERPROFILE%\AppData\Local\Temp\OnboardLogs"\RTDC4045\2017-09-30 &amp; aws s3 cp s3://rtdc.mdm.uploadarchive.raw/RTDC4045/ "%USERPROFILE%\AppData\Local\Temp\OnboardLogs"\RTDC4045\2017-10-01 --exclude "*" --recursive --include "*20171001*" &amp; "%USERPROFILE%\Documents\GitHub\mrs-test-scripts\Headless Mode &amp; Sideloading\WalkAndUnGZ.bat" "%USERPROFILE%\AppData\Local\Temp\OnboardLogs"\RTDC4045\2017-10-01</v>
      </c>
      <c r="AF125" s="68" t="str">
        <f t="shared" si="40"/>
        <v>"C:\Program Files (x86)\AstroGrep\AstroGrep.exe" /e /r /s /spath="%USERPROFILE%\AppData\Local\Temp\OnboardLogs" /stypes="app*4045*20171001*" /stext=" 01:.+((SYSTEM_STATE.+slice.+state.+changed )|(ment ac)|(multiple cpu faults)|(system.+state.+changed )|(\[timeout)|(PRM\|1\|D)|(kpr)|(kdp)|(train st.+moving)|(\|lc)|(penalty))"</v>
      </c>
      <c r="AG125" s="172" t="str">
        <f t="shared" si="41"/>
        <v>EC</v>
      </c>
      <c r="AH125" s="70" t="str">
        <f t="shared" si="42"/>
        <v>"%USERPROFILE%\Documents\GitHub\eaglep3\Utilities\RefineRTDCRunTimes.py" --tripid 212-30 --locoid 4045 --swversion DE.1.0.9.0 --startMP 204:232996 --initTime 2017-09-30T18:08:28 --startdatetime 2017-09-30T18:27:14 --delay 545 --endMP 204:172 --enddatetime 2017-09-30T19:05:52 --enforcementcount 0 &gt;&gt;c:\users\stu\Documents\GitHub\eaglep3-reporting\EC\2017-09-30-refined-times.txt</v>
      </c>
      <c r="AI125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{"issue":{"subject":"","project_id":79,"tracker_id":40,"status_id":1,"priority_id":2,"assigned_to_id":338,"start_date":"2017-09-30","description":"","custom_fields":[{"id":1,"name":"Subdivision","value":"EC"},{"id":4,"name":"Milepost","value":"0.0172"},{"id":17,"name":"Train ID","value":"212-30"},{"id":16,"name":"Locomotive ID","value":"4045"},{"id":130,"name":"Impact","value":""},{"id":150,"name":"Time of Event (Mountain Time)","value":"19:05:52"},{"id":151,"name":"Denver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34" t="str">
        <f t="shared" si="44"/>
        <v>start /low /b %USERPROFILE%\Documents\GitHub\eaglep3\Utilities\DownloadLogsFromS3.py --loco 4045 --day 2017-09-30</v>
      </c>
      <c r="AN125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0" t="str">
        <f t="shared" si="46"/>
        <v>https://d0f6bd738d7f1b3e5a7ca70fe4ff75f0.us-east-1.aws.found.io/app/kibana#/discover/Steve-Slow-Train-Analysis-(2080s-and-2083s)?_g=(refreshInterval:(display:Off,pause:!f,section:0,value:0),time:(from:'2017-09-30T17:08:28-0600',mode:absolute,to:'2017-09-30T20:05:52-0600'))&amp;_a=(columns:!('Message%20ID',Summary),filters:!(),index:'emp_*',interval:auto,query:(query_string:(analyze_wildcard:!t,query:'%22rtdc.l.rtdc.4045%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776</v>
      </c>
      <c r="B126" s="7">
        <v>4010</v>
      </c>
      <c r="C126" s="21" t="s">
        <v>195</v>
      </c>
      <c r="D126" s="21" t="s">
        <v>842</v>
      </c>
      <c r="E126" s="13">
        <v>43008.734768518516</v>
      </c>
      <c r="F126" s="13">
        <v>43008.739895833336</v>
      </c>
      <c r="G126" s="7">
        <v>63</v>
      </c>
      <c r="H126" s="21" t="s">
        <v>492</v>
      </c>
      <c r="I126" s="13">
        <v>43008.766018518516</v>
      </c>
      <c r="J126" s="7">
        <v>0</v>
      </c>
      <c r="K126" s="81" t="str">
        <f t="shared" si="30"/>
        <v>4009/4010</v>
      </c>
      <c r="L126" s="175" t="str">
        <f>VLOOKUP(A126,'Trips&amp;Operators'!$C$1:$G$99911,5,FALSE)</f>
        <v>FORTUNATO FRANK</v>
      </c>
      <c r="M126" s="6">
        <f t="shared" si="31"/>
        <v>2.6122685179871041E-2</v>
      </c>
      <c r="N126" s="7">
        <f t="shared" si="47"/>
        <v>37.6166666590143</v>
      </c>
      <c r="O126" s="7"/>
      <c r="P126" s="7"/>
      <c r="Q126" s="22"/>
      <c r="R126" s="166"/>
      <c r="S126" s="228">
        <f t="shared" si="48"/>
        <v>1</v>
      </c>
      <c r="T126" s="166" t="str">
        <f t="shared" si="32"/>
        <v>NorthBound</v>
      </c>
      <c r="U126" s="21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4" t="str">
        <f t="shared" si="33"/>
        <v>https://d0f6bd738d7f1b3e5a7ca70fe4ff75f0.us-east-1.aws.found.io/app/kibana#/discover/Steve-Slow-Train-Analysis-(2080s-and-2083s)?_g=(refreshInterval:(display:Off,pause:!f,section:0,value:0),time:(from:'2017-09-30T16:38:04-0600',mode:absolute,to:'2017-09-30T19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6" s="215" t="str">
        <f>IF(AA126&lt;VLOOKUP(AG126,Variables!$AC$3:$AD$8,2,FALSE),"Y","N")</f>
        <v>N</v>
      </c>
      <c r="X126" s="215">
        <f t="shared" si="34"/>
        <v>1</v>
      </c>
      <c r="Y126" s="215">
        <f t="shared" si="49"/>
        <v>4.8899999999999999E-2</v>
      </c>
      <c r="Z126" s="215">
        <f t="shared" si="50"/>
        <v>23.329499999999999</v>
      </c>
      <c r="AA126" s="215">
        <f t="shared" si="37"/>
        <v>23.2806</v>
      </c>
      <c r="AB126" s="216" t="e">
        <f>VLOOKUP(A126,Enforcements!$C$7:$K$11,8,0)</f>
        <v>#N/A</v>
      </c>
      <c r="AC126" s="216" t="e">
        <f>VLOOKUP(A126,Enforcements!$C$7:$E$11,3,0)</f>
        <v>#N/A</v>
      </c>
      <c r="AD126" s="217">
        <f t="shared" si="38"/>
        <v>213</v>
      </c>
      <c r="AE126" s="218" t="str">
        <f t="shared" si="39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126" s="68" t="str">
        <f t="shared" si="40"/>
        <v>"C:\Program Files (x86)\AstroGrep\AstroGrep.exe" /e /r /s /spath="%USERPROFILE%\AppData\Local\Temp\OnboardLogs" /stypes="app*4010*20171001*" /stext=" 00:.+((SYSTEM_STATE.+slice.+state.+changed )|(ment ac)|(multiple cpu faults)|(system.+state.+changed )|(\[timeout)|(PRM\|1\|D)|(kpr)|(kdp)|(train st.+moving)|(\|lc)|(penalty))"</v>
      </c>
      <c r="AG126" s="172" t="str">
        <f t="shared" si="41"/>
        <v>EC</v>
      </c>
      <c r="AH126" s="70" t="str">
        <f t="shared" si="42"/>
        <v>"%USERPROFILE%\Documents\GitHub\eaglep3\Utilities\RefineRTDCRunTimes.py" --tripid 213-30 --locoid 4010 --swversion DE.1.0.9.0 --startMP 204:489 --initTime 2017-09-30T17:38:04 --startdatetime 2017-09-30T17:45:27 --delay 63 --endMP 204:233295 --enddatetime 2017-09-30T18:23:04 --enforcementcount 0 &gt;&gt;c:\users\stu\Documents\GitHub\eaglep3-reporting\EC\2017-09-30-refined-times.txt</v>
      </c>
      <c r="AI126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{"issue":{"subject":"","project_id":79,"tracker_id":40,"status_id":1,"priority_id":2,"assigned_to_id":338,"start_date":"2017-09-30","description":"","custom_fields":[{"id":1,"name":"Subdivision","value":"EC"},{"id":4,"name":"Milepost","value":"23.3295"},{"id":17,"name":"Train ID","value":"213-30"},{"id":16,"name":"Locomotive ID","value":"4010"},{"id":130,"name":"Impact","value":""},{"id":150,"name":"Time of Event (Mountain Time)","value":"18:23:04"},{"id":151,"name":"Denver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34" t="str">
        <f t="shared" si="44"/>
        <v>start /low /b %USERPROFILE%\Documents\GitHub\eaglep3\Utilities\DownloadLogsFromS3.py --loco 4010 --day 2017-09-30</v>
      </c>
      <c r="AN126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0" t="str">
        <f t="shared" si="46"/>
        <v>https://d0f6bd738d7f1b3e5a7ca70fe4ff75f0.us-east-1.aws.found.io/app/kibana#/discover/Steve-Slow-Train-Analysis-(2080s-and-2083s)?_g=(refreshInterval:(display:Off,pause:!f,section:0,value:0),time:(from:'2017-09-30T16:38:04-0600',mode:absolute,to:'2017-09-30T19:23:04-0600'))&amp;_a=(columns:!('Message%20ID',Summary),filters:!(),index:'emp_*',interval:auto,query:(query_string:(analyze_wildcard:!t,query:'%22rtdc.l.rtdc.4010%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786</v>
      </c>
      <c r="B127" s="7">
        <v>4009</v>
      </c>
      <c r="C127" s="21" t="s">
        <v>195</v>
      </c>
      <c r="D127" s="21" t="s">
        <v>400</v>
      </c>
      <c r="E127" s="13">
        <v>43008.769525462965</v>
      </c>
      <c r="F127" s="13">
        <v>43008.779374999998</v>
      </c>
      <c r="G127" s="7">
        <v>71</v>
      </c>
      <c r="H127" s="21" t="s">
        <v>390</v>
      </c>
      <c r="I127" s="13">
        <v>43008.806041666663</v>
      </c>
      <c r="J127" s="7">
        <v>0</v>
      </c>
      <c r="K127" s="81" t="str">
        <f t="shared" si="30"/>
        <v>4009/4010</v>
      </c>
      <c r="L127" s="175" t="str">
        <f>VLOOKUP(A127,'Trips&amp;Operators'!$C$1:$G$99911,5,FALSE)</f>
        <v>FORTUNATO FRANK</v>
      </c>
      <c r="M127" s="6">
        <f t="shared" si="31"/>
        <v>2.6666666664823424E-2</v>
      </c>
      <c r="N127" s="7">
        <f t="shared" si="47"/>
        <v>38.399999997345731</v>
      </c>
      <c r="O127" s="7"/>
      <c r="P127" s="7"/>
      <c r="Q127" s="22"/>
      <c r="R127" s="166"/>
      <c r="S127" s="228">
        <f t="shared" si="48"/>
        <v>1</v>
      </c>
      <c r="T127" s="166" t="str">
        <f t="shared" si="32"/>
        <v>Southbound</v>
      </c>
      <c r="U127" s="21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4" t="str">
        <f t="shared" si="33"/>
        <v>https://d0f6bd738d7f1b3e5a7ca70fe4ff75f0.us-east-1.aws.found.io/app/kibana#/discover/Steve-Slow-Train-Analysis-(2080s-and-2083s)?_g=(refreshInterval:(display:Off,pause:!f,section:0,value:0),time:(from:'2017-09-30T17:28:07-0600',mode:absolute,to:'2017-09-30T20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215" t="str">
        <f>IF(AA127&lt;VLOOKUP(AG127,Variables!$AC$3:$AD$8,2,FALSE),"Y","N")</f>
        <v>N</v>
      </c>
      <c r="X127" s="215">
        <f t="shared" si="34"/>
        <v>1</v>
      </c>
      <c r="Y127" s="215">
        <f t="shared" si="49"/>
        <v>23.298200000000001</v>
      </c>
      <c r="Z127" s="215">
        <f t="shared" si="50"/>
        <v>1.54E-2</v>
      </c>
      <c r="AA127" s="215">
        <f t="shared" si="37"/>
        <v>23.282800000000002</v>
      </c>
      <c r="AB127" s="216" t="e">
        <f>VLOOKUP(A127,Enforcements!$C$7:$K$11,8,0)</f>
        <v>#N/A</v>
      </c>
      <c r="AC127" s="216" t="e">
        <f>VLOOKUP(A127,Enforcements!$C$7:$E$11,3,0)</f>
        <v>#N/A</v>
      </c>
      <c r="AD127" s="217">
        <f t="shared" si="38"/>
        <v>214</v>
      </c>
      <c r="AE127" s="218" t="str">
        <f t="shared" si="39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127" s="68" t="str">
        <f t="shared" si="40"/>
        <v>"C:\Program Files (x86)\AstroGrep\AstroGrep.exe" /e /r /s /spath="%USERPROFILE%\AppData\Local\Temp\OnboardLogs" /stypes="app*4009*20171001*" /stext=" 01:.+((SYSTEM_STATE.+slice.+state.+changed )|(ment ac)|(multiple cpu faults)|(system.+state.+changed )|(\[timeout)|(PRM\|1\|D)|(kpr)|(kdp)|(train st.+moving)|(\|lc)|(penalty))"</v>
      </c>
      <c r="AG127" s="172" t="str">
        <f t="shared" si="41"/>
        <v>EC</v>
      </c>
      <c r="AH127" s="70" t="str">
        <f t="shared" si="42"/>
        <v>"%USERPROFILE%\Documents\GitHub\eaglep3\Utilities\RefineRTDCRunTimes.py" --tripid 214-30 --locoid 4009 --swversion DE.1.0.9.0 --startMP 204:232982 --initTime 2017-09-30T18:28:07 --startdatetime 2017-09-30T18:42:18 --delay 71 --endMP 204:154 --enddatetime 2017-09-30T19:20:42 --enforcementcount 0 &gt;&gt;c:\users\stu\Documents\GitHub\eaglep3-reporting\EC\2017-09-30-refined-times.txt</v>
      </c>
      <c r="AI127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{"issue":{"subject":"","project_id":79,"tracker_id":40,"status_id":1,"priority_id":2,"assigned_to_id":338,"start_date":"2017-09-30","description":"","custom_fields":[{"id":1,"name":"Subdivision","value":"EC"},{"id":4,"name":"Milepost","value":"0.0154"},{"id":17,"name":"Train ID","value":"214-30"},{"id":16,"name":"Locomotive ID","value":"4009"},{"id":130,"name":"Impact","value":""},{"id":150,"name":"Time of Event (Mountain Time)","value":"19:20:42"},{"id":151,"name":"Denver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34" t="str">
        <f t="shared" si="44"/>
        <v>start /low /b %USERPROFILE%\Documents\GitHub\eaglep3\Utilities\DownloadLogsFromS3.py --loco 4009 --day 2017-09-30</v>
      </c>
      <c r="AN127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01:20:42"},{"id":29,"name":"Sharepoint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0" t="str">
        <f t="shared" si="46"/>
        <v>https://d0f6bd738d7f1b3e5a7ca70fe4ff75f0.us-east-1.aws.found.io/app/kibana#/discover/Steve-Slow-Train-Analysis-(2080s-and-2083s)?_g=(refreshInterval:(display:Off,pause:!f,section:0,value:0),time:(from:'2017-09-30T17:28:07-0600',mode:absolute,to:'2017-09-30T20:20:42-0600'))&amp;_a=(columns:!('Message%20ID',Summary),filters:!(),index:'emp_*',interval:auto,query:(query_string:(analyze_wildcard:!t,query:'%22rtdc.l.rtdc.4009%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778</v>
      </c>
      <c r="B128" s="7">
        <v>4020</v>
      </c>
      <c r="C128" s="21" t="s">
        <v>195</v>
      </c>
      <c r="D128" s="21" t="s">
        <v>385</v>
      </c>
      <c r="E128" s="13">
        <v>43008.743506944447</v>
      </c>
      <c r="F128" s="13">
        <v>43008.750335648147</v>
      </c>
      <c r="G128" s="7">
        <v>60</v>
      </c>
      <c r="H128" s="21" t="s">
        <v>552</v>
      </c>
      <c r="I128" s="13">
        <v>43008.774560185186</v>
      </c>
      <c r="J128" s="7">
        <v>0</v>
      </c>
      <c r="K128" s="81" t="str">
        <f t="shared" si="30"/>
        <v>4019/4020</v>
      </c>
      <c r="L128" s="175" t="str">
        <f>VLOOKUP(A128,'Trips&amp;Operators'!$C$1:$G$99911,5,FALSE)</f>
        <v>HOLCOMB KAMDEN</v>
      </c>
      <c r="M128" s="6">
        <f t="shared" si="31"/>
        <v>2.4224537039117422E-2</v>
      </c>
      <c r="N128" s="7">
        <f t="shared" si="47"/>
        <v>34.883333336329088</v>
      </c>
      <c r="O128" s="7"/>
      <c r="P128" s="7"/>
      <c r="Q128" s="22"/>
      <c r="R128" s="166"/>
      <c r="S128" s="228">
        <f t="shared" si="48"/>
        <v>1</v>
      </c>
      <c r="T128" s="166" t="str">
        <f t="shared" si="32"/>
        <v>NorthBound</v>
      </c>
      <c r="U128" s="21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4" t="str">
        <f t="shared" si="33"/>
        <v>https://d0f6bd738d7f1b3e5a7ca70fe4ff75f0.us-east-1.aws.found.io/app/kibana#/discover/Steve-Slow-Train-Analysis-(2080s-and-2083s)?_g=(refreshInterval:(display:Off,pause:!f,section:0,value:0),time:(from:'2017-09-30T16:50:39-0600',mode:absolute,to:'2017-09-30T19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8" s="215" t="str">
        <f>IF(AA128&lt;VLOOKUP(AG128,Variables!$AC$3:$AD$8,2,FALSE),"Y","N")</f>
        <v>N</v>
      </c>
      <c r="X128" s="215">
        <f t="shared" si="34"/>
        <v>1</v>
      </c>
      <c r="Y128" s="215">
        <f t="shared" si="49"/>
        <v>4.5100000000000001E-2</v>
      </c>
      <c r="Z128" s="215">
        <f t="shared" si="50"/>
        <v>23.331900000000001</v>
      </c>
      <c r="AA128" s="215">
        <f t="shared" si="37"/>
        <v>23.286799999999999</v>
      </c>
      <c r="AB128" s="216" t="e">
        <f>VLOOKUP(A128,Enforcements!$C$7:$K$11,8,0)</f>
        <v>#N/A</v>
      </c>
      <c r="AC128" s="216" t="e">
        <f>VLOOKUP(A128,Enforcements!$C$7:$E$11,3,0)</f>
        <v>#N/A</v>
      </c>
      <c r="AD128" s="217">
        <f t="shared" si="38"/>
        <v>215</v>
      </c>
      <c r="AE128" s="218" t="str">
        <f t="shared" si="39"/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AF128" s="68" t="str">
        <f t="shared" si="40"/>
        <v>"C:\Program Files (x86)\AstroGrep\AstroGrep.exe" /e /r /s /spath="%USERPROFILE%\AppData\Local\Temp\OnboardLogs" /stypes="app*4020*20171001*" /stext=" 00:.+((SYSTEM_STATE.+slice.+state.+changed )|(ment ac)|(multiple cpu faults)|(system.+state.+changed )|(\[timeout)|(PRM\|1\|D)|(kpr)|(kdp)|(train st.+moving)|(\|lc)|(penalty))"</v>
      </c>
      <c r="AG128" s="172" t="str">
        <f t="shared" si="41"/>
        <v>EC</v>
      </c>
      <c r="AH128" s="70" t="str">
        <f t="shared" si="42"/>
        <v>"%USERPROFILE%\Documents\GitHub\eaglep3\Utilities\RefineRTDCRunTimes.py" --tripid 215-30 --locoid 4020 --swversion DE.1.0.9.0 --startMP 204:451 --initTime 2017-09-30T17:50:39 --startdatetime 2017-09-30T18:00:29 --delay 60 --endMP 204:233319 --enddatetime 2017-09-30T18:35:22 --enforcementcount 0 &gt;&gt;c:\users\stu\Documents\GitHub\eaglep3-reporting\EC\2017-09-30-refined-times.txt</v>
      </c>
      <c r="AI128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{"issue":{"subject":"","project_id":79,"tracker_id":40,"status_id":1,"priority_id":2,"assigned_to_id":338,"start_date":"2017-09-30","description":"","custom_fields":[{"id":1,"name":"Subdivision","value":"EC"},{"id":4,"name":"Milepost","value":"23.3319"},{"id":17,"name":"Train ID","value":"215-30"},{"id":16,"name":"Locomotive ID","value":"4020"},{"id":130,"name":"Impact","value":""},{"id":150,"name":"Time of Event (Mountain Time)","value":"18:35:22"},{"id":151,"name":"Denver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34" t="str">
        <f t="shared" si="44"/>
        <v>start /low /b %USERPROFILE%\Documents\GitHub\eaglep3\Utilities\DownloadLogsFromS3.py --loco 4020 --day 2017-09-30</v>
      </c>
      <c r="AN128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0" t="str">
        <f t="shared" si="46"/>
        <v>https://d0f6bd738d7f1b3e5a7ca70fe4ff75f0.us-east-1.aws.found.io/app/kibana#/discover/Steve-Slow-Train-Analysis-(2080s-and-2083s)?_g=(refreshInterval:(display:Off,pause:!f,section:0,value:0),time:(from:'2017-09-30T16:50:39-0600',mode:absolute,to:'2017-09-30T19:35:22-0600'))&amp;_a=(columns:!('Message%20ID',Summary),filters:!(),index:'emp_*',interval:auto,query:(query_string:(analyze_wildcard:!t,query:'%22rtdc.l.rtdc.4020%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788</v>
      </c>
      <c r="B129" s="7">
        <v>4019</v>
      </c>
      <c r="C129" s="21" t="s">
        <v>195</v>
      </c>
      <c r="D129" s="21" t="s">
        <v>843</v>
      </c>
      <c r="E129" s="13">
        <v>43008.786863425928</v>
      </c>
      <c r="F129" s="13">
        <v>43008.789861111109</v>
      </c>
      <c r="G129" s="7">
        <v>48</v>
      </c>
      <c r="H129" s="21" t="s">
        <v>340</v>
      </c>
      <c r="I129" s="13">
        <v>43008.815254629626</v>
      </c>
      <c r="J129" s="7">
        <v>0</v>
      </c>
      <c r="K129" s="81" t="str">
        <f t="shared" si="30"/>
        <v>4019/4020</v>
      </c>
      <c r="L129" s="175" t="str">
        <f>VLOOKUP(A129,'Trips&amp;Operators'!$C$1:$G$99911,5,FALSE)</f>
        <v>HOLCOMB KAMDEN</v>
      </c>
      <c r="M129" s="6">
        <f t="shared" si="31"/>
        <v>2.5393518517375924E-2</v>
      </c>
      <c r="N129" s="7">
        <f t="shared" si="47"/>
        <v>36.56666666502133</v>
      </c>
      <c r="O129" s="7"/>
      <c r="P129" s="7"/>
      <c r="Q129" s="22"/>
      <c r="R129" s="166"/>
      <c r="S129" s="228">
        <f t="shared" si="48"/>
        <v>1</v>
      </c>
      <c r="T129" s="166" t="str">
        <f t="shared" si="32"/>
        <v>Southbound</v>
      </c>
      <c r="U129" s="21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4" t="str">
        <f t="shared" si="33"/>
        <v>https://d0f6bd738d7f1b3e5a7ca70fe4ff75f0.us-east-1.aws.found.io/app/kibana#/discover/Steve-Slow-Train-Analysis-(2080s-and-2083s)?_g=(refreshInterval:(display:Off,pause:!f,section:0,value:0),time:(from:'2017-09-30T17:53:05-0600',mode:absolute,to:'2017-09-30T20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9" s="215" t="str">
        <f>IF(AA129&lt;VLOOKUP(AG129,Variables!$AC$3:$AD$8,2,FALSE),"Y","N")</f>
        <v>N</v>
      </c>
      <c r="X129" s="215">
        <f t="shared" si="34"/>
        <v>1</v>
      </c>
      <c r="Y129" s="215">
        <f t="shared" si="49"/>
        <v>23.299299999999999</v>
      </c>
      <c r="Z129" s="215">
        <f t="shared" si="50"/>
        <v>1.47E-2</v>
      </c>
      <c r="AA129" s="215">
        <f t="shared" si="37"/>
        <v>23.284599999999998</v>
      </c>
      <c r="AB129" s="216" t="e">
        <f>VLOOKUP(A129,Enforcements!$C$7:$K$11,8,0)</f>
        <v>#N/A</v>
      </c>
      <c r="AC129" s="216" t="e">
        <f>VLOOKUP(A129,Enforcements!$C$7:$E$11,3,0)</f>
        <v>#N/A</v>
      </c>
      <c r="AD129" s="217">
        <f t="shared" si="38"/>
        <v>216</v>
      </c>
      <c r="AE129" s="218" t="str">
        <f t="shared" si="39"/>
        <v>aws s3 cp s3://rtdc.mdm.uploadarchive.raw/RTDC4019/ "%USERPROFILE%\AppData\Local\Temp\OnboardLogs"\RTDC4019\2017-09-30 --exclude "*" --recursive --include "*20170930*" &amp; "%USERPROFILE%\Documents\GitHub\mrs-test-scripts\Headless Mode &amp; Sideloading\WalkAndUnGZ.bat" "%USERPROFILE%\AppData\Local\Temp\OnboardLogs"\RTDC4019\2017-09-30 &amp; aws s3 cp s3://rtdc.mdm.uploadarchive.raw/RTDC4019/ "%USERPROFILE%\AppData\Local\Temp\OnboardLogs"\RTDC4019\2017-10-01 --exclude "*" --recursive --include "*20171001*" &amp; "%USERPROFILE%\Documents\GitHub\mrs-test-scripts\Headless Mode &amp; Sideloading\WalkAndUnGZ.bat" "%USERPROFILE%\AppData\Local\Temp\OnboardLogs"\RTDC4019\2017-10-01</v>
      </c>
      <c r="AF129" s="68" t="str">
        <f t="shared" si="40"/>
        <v>"C:\Program Files (x86)\AstroGrep\AstroGrep.exe" /e /r /s /spath="%USERPROFILE%\AppData\Local\Temp\OnboardLogs" /stypes="app*4019*20171001*" /stext=" 01:.+((SYSTEM_STATE.+slice.+state.+changed )|(ment ac)|(multiple cpu faults)|(system.+state.+changed )|(\[timeout)|(PRM\|1\|D)|(kpr)|(kdp)|(train st.+moving)|(\|lc)|(penalty))"</v>
      </c>
      <c r="AG129" s="172" t="str">
        <f t="shared" si="41"/>
        <v>EC</v>
      </c>
      <c r="AH129" s="70" t="str">
        <f t="shared" si="42"/>
        <v>"%USERPROFILE%\Documents\GitHub\eaglep3\Utilities\RefineRTDCRunTimes.py" --tripid 216-30 --locoid 4019 --swversion DE.1.0.9.0 --startMP 204:232993 --initTime 2017-09-30T18:53:05 --startdatetime 2017-09-30T18:57:24 --delay 48 --endMP 204:147 --enddatetime 2017-09-30T19:33:58 --enforcementcount 0 &gt;&gt;c:\users\stu\Documents\GitHub\eaglep3-reporting\EC\2017-09-30-refined-times.txt</v>
      </c>
      <c r="AI129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{"issue":{"subject":"","project_id":79,"tracker_id":40,"status_id":1,"priority_id":2,"assigned_to_id":338,"start_date":"2017-09-30","description":"","custom_fields":[{"id":1,"name":"Subdivision","value":"EC"},{"id":4,"name":"Milepost","value":"0.0147"},{"id":17,"name":"Train ID","value":"216-30"},{"id":16,"name":"Locomotive ID","value":"4019"},{"id":130,"name":"Impact","value":""},{"id":150,"name":"Time of Event (Mountain Time)","value":"19:33:58"},{"id":151,"name":"Denver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34" t="str">
        <f t="shared" si="44"/>
        <v>start /low /b %USERPROFILE%\Documents\GitHub\eaglep3\Utilities\DownloadLogsFromS3.py --loco 4019 --day 2017-09-30</v>
      </c>
      <c r="AN129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01:33:58"},{"id":29,"name":"Sharepoint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0" t="str">
        <f t="shared" si="46"/>
        <v>https://d0f6bd738d7f1b3e5a7ca70fe4ff75f0.us-east-1.aws.found.io/app/kibana#/discover/Steve-Slow-Train-Analysis-(2080s-and-2083s)?_g=(refreshInterval:(display:Off,pause:!f,section:0,value:0),time:(from:'2017-09-30T17:53:05-0600',mode:absolute,to:'2017-09-30T20:33:58-0600'))&amp;_a=(columns:!('Message%20ID',Summary),filters:!(),index:'emp_*',interval:auto,query:(query_string:(analyze_wildcard:!t,query:'%22rtdc.l.rtdc.4019%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608</v>
      </c>
      <c r="B130" s="7">
        <v>4052</v>
      </c>
      <c r="C130" s="21" t="s">
        <v>195</v>
      </c>
      <c r="D130" s="21" t="s">
        <v>405</v>
      </c>
      <c r="E130" s="13">
        <v>43008.756388888891</v>
      </c>
      <c r="F130" s="13">
        <v>43008.760567129626</v>
      </c>
      <c r="G130" s="7">
        <v>73</v>
      </c>
      <c r="H130" s="21" t="s">
        <v>921</v>
      </c>
      <c r="I130" s="13">
        <v>43008.785937499997</v>
      </c>
      <c r="J130" s="7">
        <v>0</v>
      </c>
      <c r="K130" s="81" t="str">
        <f t="shared" si="30"/>
        <v>4051/4052</v>
      </c>
      <c r="L130" s="175" t="str">
        <f>VLOOKUP(A130,'Trips&amp;Operators'!$C$1:$G$99911,5,FALSE)</f>
        <v>ELBAUM MIKE</v>
      </c>
      <c r="M130" s="6">
        <f t="shared" si="31"/>
        <v>2.5370370371092577E-2</v>
      </c>
      <c r="N130" s="7">
        <f t="shared" si="47"/>
        <v>36.53333333437331</v>
      </c>
      <c r="O130" s="7"/>
      <c r="P130" s="7"/>
      <c r="Q130" s="22"/>
      <c r="R130" s="166"/>
      <c r="S130" s="228">
        <f t="shared" si="48"/>
        <v>1</v>
      </c>
      <c r="T130" s="166" t="str">
        <f t="shared" si="32"/>
        <v>NorthBound</v>
      </c>
      <c r="U130" s="21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4" t="str">
        <f t="shared" si="33"/>
        <v>https://d0f6bd738d7f1b3e5a7ca70fe4ff75f0.us-east-1.aws.found.io/app/kibana#/discover/Steve-Slow-Train-Analysis-(2080s-and-2083s)?_g=(refreshInterval:(display:Off,pause:!f,section:0,value:0),time:(from:'2017-09-30T17:09:12-0600',mode:absolute,to:'2017-09-30T19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0" s="215" t="str">
        <f>IF(AA130&lt;VLOOKUP(AG130,Variables!$AC$3:$AD$8,2,FALSE),"Y","N")</f>
        <v>N</v>
      </c>
      <c r="X130" s="215">
        <f t="shared" si="34"/>
        <v>1</v>
      </c>
      <c r="Y130" s="215">
        <f t="shared" si="49"/>
        <v>4.5699999999999998E-2</v>
      </c>
      <c r="Z130" s="215">
        <f t="shared" si="50"/>
        <v>23.321300000000001</v>
      </c>
      <c r="AA130" s="215">
        <f t="shared" si="37"/>
        <v>23.275600000000001</v>
      </c>
      <c r="AB130" s="216" t="e">
        <f>VLOOKUP(A130,Enforcements!$C$7:$K$11,8,0)</f>
        <v>#N/A</v>
      </c>
      <c r="AC130" s="216" t="e">
        <f>VLOOKUP(A130,Enforcements!$C$7:$E$11,3,0)</f>
        <v>#N/A</v>
      </c>
      <c r="AD130" s="217">
        <f t="shared" si="38"/>
        <v>217</v>
      </c>
      <c r="AE130" s="218" t="str">
        <f t="shared" si="39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130" s="68" t="str">
        <f t="shared" si="40"/>
        <v>"C:\Program Files (x86)\AstroGrep\AstroGrep.exe" /e /r /s /spath="%USERPROFILE%\AppData\Local\Temp\OnboardLogs" /stypes="app*4052*20171001*" /stext=" 00:.+((SYSTEM_STATE.+slice.+state.+changed )|(ment ac)|(multiple cpu faults)|(system.+state.+changed )|(\[timeout)|(PRM\|1\|D)|(kpr)|(kdp)|(train st.+moving)|(\|lc)|(penalty))"</v>
      </c>
      <c r="AG130" s="172" t="str">
        <f t="shared" si="41"/>
        <v>EC</v>
      </c>
      <c r="AH130" s="70" t="str">
        <f t="shared" si="42"/>
        <v>"%USERPROFILE%\Documents\GitHub\eaglep3\Utilities\RefineRTDCRunTimes.py" --tripid 217-30 --locoid 4052 --swversion DE.1.0.9.0 --startMP 204:457 --initTime 2017-09-30T18:09:12 --startdatetime 2017-09-30T18:15:13 --delay 73 --endMP 204:233213 --enddatetime 2017-09-30T18:51:45 --enforcementcount 0 &gt;&gt;c:\users\stu\Documents\GitHub\eaglep3-reporting\EC\2017-09-30-refined-times.txt</v>
      </c>
      <c r="AI130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{"issue":{"subject":"","project_id":79,"tracker_id":40,"status_id":1,"priority_id":2,"assigned_to_id":338,"start_date":"2017-09-30","description":"","custom_fields":[{"id":1,"name":"Subdivision","value":"EC"},{"id":4,"name":"Milepost","value":"23.3213"},{"id":17,"name":"Train ID","value":"217-30"},{"id":16,"name":"Locomotive ID","value":"4052"},{"id":130,"name":"Impact","value":""},{"id":150,"name":"Time of Event (Mountain Time)","value":"18:51:45"},{"id":151,"name":"Denver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34" t="str">
        <f t="shared" si="44"/>
        <v>start /low /b %USERPROFILE%\Documents\GitHub\eaglep3\Utilities\DownloadLogsFromS3.py --loco 4052 --day 2017-09-30</v>
      </c>
      <c r="AN130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0" t="str">
        <f t="shared" si="46"/>
        <v>https://d0f6bd738d7f1b3e5a7ca70fe4ff75f0.us-east-1.aws.found.io/app/kibana#/discover/Steve-Slow-Train-Analysis-(2080s-and-2083s)?_g=(refreshInterval:(display:Off,pause:!f,section:0,value:0),time:(from:'2017-09-30T17:09:12-0600',mode:absolute,to:'2017-09-30T19:51:45-0600'))&amp;_a=(columns:!('Message%20ID',Summary),filters:!(),index:'emp_*',interval:auto,query:(query_string:(analyze_wildcard:!t,query:'%22rtdc.l.rtdc.4052%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789</v>
      </c>
      <c r="B131" s="7">
        <v>4051</v>
      </c>
      <c r="C131" s="21" t="s">
        <v>195</v>
      </c>
      <c r="D131" s="21" t="s">
        <v>922</v>
      </c>
      <c r="E131" s="13">
        <v>43008.787094907406</v>
      </c>
      <c r="F131" s="13">
        <v>43008.800150462965</v>
      </c>
      <c r="G131" s="7">
        <v>79</v>
      </c>
      <c r="H131" s="21" t="s">
        <v>390</v>
      </c>
      <c r="I131" s="13">
        <v>43008.825509259259</v>
      </c>
      <c r="J131" s="7">
        <v>0</v>
      </c>
      <c r="K131" s="81" t="str">
        <f t="shared" si="30"/>
        <v>4051/4052</v>
      </c>
      <c r="L131" s="175" t="str">
        <f>VLOOKUP(A131,'Trips&amp;Operators'!$C$1:$G$99911,5,FALSE)</f>
        <v>ELBAUM MIKE</v>
      </c>
      <c r="M131" s="6">
        <f t="shared" si="31"/>
        <v>2.5358796294312924E-2</v>
      </c>
      <c r="N131" s="7">
        <f t="shared" si="47"/>
        <v>36.516666663810611</v>
      </c>
      <c r="O131" s="7"/>
      <c r="P131" s="7"/>
      <c r="Q131" s="22"/>
      <c r="R131" s="166"/>
      <c r="S131" s="228">
        <f t="shared" si="48"/>
        <v>1</v>
      </c>
      <c r="T131" s="166" t="str">
        <f t="shared" si="32"/>
        <v>Southbound</v>
      </c>
      <c r="U131" s="21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4" t="str">
        <f t="shared" si="33"/>
        <v>https://d0f6bd738d7f1b3e5a7ca70fe4ff75f0.us-east-1.aws.found.io/app/kibana#/discover/Steve-Slow-Train-Analysis-(2080s-and-2083s)?_g=(refreshInterval:(display:Off,pause:!f,section:0,value:0),time:(from:'2017-09-30T17:53:25-0600',mode:absolute,to:'2017-09-30T20:48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1" s="215" t="str">
        <f>IF(AA131&lt;VLOOKUP(AG131,Variables!$AC$3:$AD$8,2,FALSE),"Y","N")</f>
        <v>N</v>
      </c>
      <c r="X131" s="215">
        <f t="shared" si="34"/>
        <v>1</v>
      </c>
      <c r="Y131" s="215">
        <f t="shared" si="49"/>
        <v>23.289000000000001</v>
      </c>
      <c r="Z131" s="215">
        <f t="shared" si="50"/>
        <v>1.54E-2</v>
      </c>
      <c r="AA131" s="215">
        <f t="shared" si="37"/>
        <v>23.273600000000002</v>
      </c>
      <c r="AB131" s="216" t="e">
        <f>VLOOKUP(A131,Enforcements!$C$7:$K$11,8,0)</f>
        <v>#N/A</v>
      </c>
      <c r="AC131" s="216" t="e">
        <f>VLOOKUP(A131,Enforcements!$C$7:$E$11,3,0)</f>
        <v>#N/A</v>
      </c>
      <c r="AD131" s="217">
        <f t="shared" si="38"/>
        <v>218</v>
      </c>
      <c r="AE131" s="218" t="str">
        <f t="shared" si="39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131" s="68" t="str">
        <f t="shared" si="40"/>
        <v>"C:\Program Files (x86)\AstroGrep\AstroGrep.exe" /e /r /s /spath="%USERPROFILE%\AppData\Local\Temp\OnboardLogs" /stypes="app*4051*20171001*" /stext=" 01:.+((SYSTEM_STATE.+slice.+state.+changed )|(ment ac)|(multiple cpu faults)|(system.+state.+changed )|(\[timeout)|(PRM\|1\|D)|(kpr)|(kdp)|(train st.+moving)|(\|lc)|(penalty))"</v>
      </c>
      <c r="AG131" s="172" t="str">
        <f t="shared" si="41"/>
        <v>EC</v>
      </c>
      <c r="AH131" s="70" t="str">
        <f t="shared" si="42"/>
        <v>"%USERPROFILE%\Documents\GitHub\eaglep3\Utilities\RefineRTDCRunTimes.py" --tripid 218-30 --locoid 4051 --swversion DE.1.0.9.0 --startMP 204:232890 --initTime 2017-09-30T18:53:25 --startdatetime 2017-09-30T19:12:13 --delay 79 --endMP 204:154 --enddatetime 2017-09-30T19:48:44 --enforcementcount 0 &gt;&gt;c:\users\stu\Documents\GitHub\eaglep3-reporting\EC\2017-09-30-refined-times.txt</v>
      </c>
      <c r="AI131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{"issue":{"subject":"","project_id":79,"tracker_id":40,"status_id":1,"priority_id":2,"assigned_to_id":338,"start_date":"2017-09-30","description":"","custom_fields":[{"id":1,"name":"Subdivision","value":"EC"},{"id":4,"name":"Milepost","value":"0.0154"},{"id":17,"name":"Train ID","value":"218-30"},{"id":16,"name":"Locomotive ID","value":"4051"},{"id":130,"name":"Impact","value":""},{"id":150,"name":"Time of Event (Mountain Time)","value":"19:48:44"},{"id":151,"name":"Denver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34" t="str">
        <f t="shared" si="44"/>
        <v>start /low /b %USERPROFILE%\Documents\GitHub\eaglep3\Utilities\DownloadLogsFromS3.py --loco 4051 --day 2017-09-30</v>
      </c>
      <c r="AN131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01:48:44"},{"id":29,"name":"Sharepoint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0" t="str">
        <f t="shared" si="46"/>
        <v>https://d0f6bd738d7f1b3e5a7ca70fe4ff75f0.us-east-1.aws.found.io/app/kibana#/discover/Steve-Slow-Train-Analysis-(2080s-and-2083s)?_g=(refreshInterval:(display:Off,pause:!f,section:0,value:0),time:(from:'2017-09-30T17:53:25-0600',mode:absolute,to:'2017-09-30T20:48:44-0600'))&amp;_a=(columns:!('Message%20ID',Summary),filters:!(),index:'emp_*',interval:auto,query:(query_string:(analyze_wildcard:!t,query:'%22rtdc.l.rtdc.4051%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782</v>
      </c>
      <c r="B132" s="7">
        <v>4040</v>
      </c>
      <c r="C132" s="21" t="s">
        <v>195</v>
      </c>
      <c r="D132" s="21" t="s">
        <v>339</v>
      </c>
      <c r="E132" s="13">
        <v>43008.766550925924</v>
      </c>
      <c r="F132" s="13">
        <v>43008.771377314813</v>
      </c>
      <c r="G132" s="7">
        <v>233</v>
      </c>
      <c r="H132" s="21" t="s">
        <v>923</v>
      </c>
      <c r="I132" s="13">
        <v>43008.796099537038</v>
      </c>
      <c r="J132" s="7">
        <v>0</v>
      </c>
      <c r="K132" s="81" t="str">
        <f t="shared" si="30"/>
        <v>4039/4040</v>
      </c>
      <c r="L132" s="175" t="str">
        <f>VLOOKUP(A132,'Trips&amp;Operators'!$C$1:$G$99911,5,FALSE)</f>
        <v>RESPASS AARON</v>
      </c>
      <c r="M132" s="6">
        <f t="shared" si="31"/>
        <v>2.4722222224227153E-2</v>
      </c>
      <c r="N132" s="7">
        <f t="shared" si="47"/>
        <v>35.6000000028871</v>
      </c>
      <c r="O132" s="7"/>
      <c r="P132" s="7"/>
      <c r="Q132" s="22"/>
      <c r="R132" s="166"/>
      <c r="S132" s="228">
        <f t="shared" si="48"/>
        <v>1</v>
      </c>
      <c r="T132" s="166" t="str">
        <f t="shared" si="32"/>
        <v>NorthBound</v>
      </c>
      <c r="U132" s="21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4" t="str">
        <f t="shared" si="33"/>
        <v>https://d0f6bd738d7f1b3e5a7ca70fe4ff75f0.us-east-1.aws.found.io/app/kibana#/discover/Steve-Slow-Train-Analysis-(2080s-and-2083s)?_g=(refreshInterval:(display:Off,pause:!f,section:0,value:0),time:(from:'2017-09-30T17:23:50-0600',mode:absolute,to:'2017-09-30T20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2" s="215" t="str">
        <f>IF(AA132&lt;VLOOKUP(AG132,Variables!$AC$3:$AD$8,2,FALSE),"Y","N")</f>
        <v>N</v>
      </c>
      <c r="X132" s="215">
        <f t="shared" si="34"/>
        <v>1</v>
      </c>
      <c r="Y132" s="215">
        <f t="shared" si="49"/>
        <v>4.53E-2</v>
      </c>
      <c r="Z132" s="215">
        <f t="shared" si="50"/>
        <v>23.329799999999999</v>
      </c>
      <c r="AA132" s="215">
        <f t="shared" si="37"/>
        <v>23.284499999999998</v>
      </c>
      <c r="AB132" s="216" t="e">
        <f>VLOOKUP(A132,Enforcements!$C$7:$K$11,8,0)</f>
        <v>#N/A</v>
      </c>
      <c r="AC132" s="216" t="e">
        <f>VLOOKUP(A132,Enforcements!$C$7:$E$11,3,0)</f>
        <v>#N/A</v>
      </c>
      <c r="AD132" s="217">
        <f t="shared" si="38"/>
        <v>219</v>
      </c>
      <c r="AE132" s="218" t="str">
        <f t="shared" si="39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132" s="68" t="str">
        <f t="shared" si="40"/>
        <v>"C:\Program Files (x86)\AstroGrep\AstroGrep.exe" /e /r /s /spath="%USERPROFILE%\AppData\Local\Temp\OnboardLogs" /stypes="app*4040*20171001*" /stext=" 01:.+((SYSTEM_STATE.+slice.+state.+changed )|(ment ac)|(multiple cpu faults)|(system.+state.+changed )|(\[timeout)|(PRM\|1\|D)|(kpr)|(kdp)|(train st.+moving)|(\|lc)|(penalty))"</v>
      </c>
      <c r="AG132" s="172" t="str">
        <f t="shared" si="41"/>
        <v>EC</v>
      </c>
      <c r="AH132" s="70" t="str">
        <f t="shared" si="42"/>
        <v>"%USERPROFILE%\Documents\GitHub\eaglep3\Utilities\RefineRTDCRunTimes.py" --tripid 219-30 --locoid 4040 --swversion DE.1.0.9.0 --startMP 204:453 --initTime 2017-09-30T18:23:50 --startdatetime 2017-09-30T18:30:47 --delay 233 --endMP 204:233298 --enddatetime 2017-09-30T19:06:23 --enforcementcount 0 &gt;&gt;c:\users\stu\Documents\GitHub\eaglep3-reporting\EC\2017-09-30-refined-times.txt</v>
      </c>
      <c r="AI132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{"issue":{"subject":"","project_id":79,"tracker_id":40,"status_id":1,"priority_id":2,"assigned_to_id":338,"start_date":"2017-09-30","description":"","custom_fields":[{"id":1,"name":"Subdivision","value":"EC"},{"id":4,"name":"Milepost","value":"23.3298"},{"id":17,"name":"Train ID","value":"219-30"},{"id":16,"name":"Locomotive ID","value":"4040"},{"id":130,"name":"Impact","value":""},{"id":150,"name":"Time of Event (Mountain Time)","value":"19:06:23"},{"id":151,"name":"Denver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34" t="str">
        <f t="shared" si="44"/>
        <v>start /low /b %USERPROFILE%\Documents\GitHub\eaglep3\Utilities\DownloadLogsFromS3.py --loco 4040 --day 2017-09-30</v>
      </c>
      <c r="AN132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01:06:23"},{"id":29,"name":"Sharepoint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0" t="str">
        <f t="shared" si="46"/>
        <v>https://d0f6bd738d7f1b3e5a7ca70fe4ff75f0.us-east-1.aws.found.io/app/kibana#/discover/Steve-Slow-Train-Analysis-(2080s-and-2083s)?_g=(refreshInterval:(display:Off,pause:!f,section:0,value:0),time:(from:'2017-09-30T17:23:50-0600',mode:absolute,to:'2017-09-30T20:06:23-0600'))&amp;_a=(columns:!('Message%20ID',Summary),filters:!(),index:'emp_*',interval:auto,query:(query_string:(analyze_wildcard:!t,query:'%22rtdc.l.rtdc.4040%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793</v>
      </c>
      <c r="B133" s="7">
        <v>4039</v>
      </c>
      <c r="C133" s="21" t="s">
        <v>195</v>
      </c>
      <c r="D133" s="21" t="s">
        <v>568</v>
      </c>
      <c r="E133" s="13">
        <v>43008.797708333332</v>
      </c>
      <c r="F133" s="13">
        <v>43008.810671296298</v>
      </c>
      <c r="G133" s="7">
        <v>64</v>
      </c>
      <c r="H133" s="21" t="s">
        <v>371</v>
      </c>
      <c r="I133" s="13">
        <v>43008.837893518517</v>
      </c>
      <c r="J133" s="7">
        <v>0</v>
      </c>
      <c r="K133" s="81" t="str">
        <f t="shared" si="30"/>
        <v>4039/4040</v>
      </c>
      <c r="L133" s="175" t="str">
        <f>VLOOKUP(A133,'Trips&amp;Operators'!$C$1:$G$99911,5,FALSE)</f>
        <v>RESPASS AARON</v>
      </c>
      <c r="M133" s="6">
        <f t="shared" si="31"/>
        <v>2.7222222219279502E-2</v>
      </c>
      <c r="N133" s="7">
        <f t="shared" si="47"/>
        <v>39.199999995762482</v>
      </c>
      <c r="O133" s="7"/>
      <c r="P133" s="7"/>
      <c r="Q133" s="22"/>
      <c r="R133" s="166"/>
      <c r="S133" s="228">
        <f t="shared" si="48"/>
        <v>1</v>
      </c>
      <c r="T133" s="166" t="str">
        <f t="shared" si="32"/>
        <v>Southbound</v>
      </c>
      <c r="U133" s="21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4" t="str">
        <f t="shared" si="33"/>
        <v>https://d0f6bd738d7f1b3e5a7ca70fe4ff75f0.us-east-1.aws.found.io/app/kibana#/discover/Steve-Slow-Train-Analysis-(2080s-and-2083s)?_g=(refreshInterval:(display:Off,pause:!f,section:0,value:0),time:(from:'2017-09-30T18:08:42-0600',mode:absolute,to:'2017-09-30T21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3" s="215" t="str">
        <f>IF(AA133&lt;VLOOKUP(AG133,Variables!$AC$3:$AD$8,2,FALSE),"Y","N")</f>
        <v>N</v>
      </c>
      <c r="X133" s="215">
        <f t="shared" si="34"/>
        <v>1</v>
      </c>
      <c r="Y133" s="215">
        <f t="shared" si="49"/>
        <v>23.2974</v>
      </c>
      <c r="Z133" s="215">
        <f t="shared" si="50"/>
        <v>1.5800000000000002E-2</v>
      </c>
      <c r="AA133" s="215">
        <f t="shared" si="37"/>
        <v>23.281600000000001</v>
      </c>
      <c r="AB133" s="216" t="e">
        <f>VLOOKUP(A133,Enforcements!$C$7:$K$11,8,0)</f>
        <v>#N/A</v>
      </c>
      <c r="AC133" s="216" t="e">
        <f>VLOOKUP(A133,Enforcements!$C$7:$E$11,3,0)</f>
        <v>#N/A</v>
      </c>
      <c r="AD133" s="217">
        <f t="shared" si="38"/>
        <v>220</v>
      </c>
      <c r="AE133" s="218" t="str">
        <f t="shared" si="39"/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133" s="68" t="str">
        <f t="shared" si="40"/>
        <v>"C:\Program Files (x86)\AstroGrep\AstroGrep.exe" /e /r /s /spath="%USERPROFILE%\AppData\Local\Temp\OnboardLogs" /stypes="app*4039*20171001*" /stext=" 02:.+((SYSTEM_STATE.+slice.+state.+changed )|(ment ac)|(multiple cpu faults)|(system.+state.+changed )|(\[timeout)|(PRM\|1\|D)|(kpr)|(kdp)|(train st.+moving)|(\|lc)|(penalty))"</v>
      </c>
      <c r="AG133" s="172" t="str">
        <f t="shared" si="41"/>
        <v>EC</v>
      </c>
      <c r="AH133" s="70" t="str">
        <f t="shared" si="42"/>
        <v>"%USERPROFILE%\Documents\GitHub\eaglep3\Utilities\RefineRTDCRunTimes.py" --tripid 220-30 --locoid 4039 --swversion DE.1.0.9.0 --startMP 204:232974 --initTime 2017-09-30T19:08:42 --startdatetime 2017-09-30T19:27:22 --delay 64 --endMP 204:158 --enddatetime 2017-09-30T20:06:34 --enforcementcount 0 &gt;&gt;c:\users\stu\Documents\GitHub\eaglep3-reporting\EC\2017-09-30-refined-times.txt</v>
      </c>
      <c r="AI133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{"issue":{"subject":"","project_id":79,"tracker_id":40,"status_id":1,"priority_id":2,"assigned_to_id":338,"start_date":"2017-09-30","description":"","custom_fields":[{"id":1,"name":"Subdivision","value":"EC"},{"id":4,"name":"Milepost","value":"0.0158"},{"id":17,"name":"Train ID","value":"220-30"},{"id":16,"name":"Locomotive ID","value":"4039"},{"id":130,"name":"Impact","value":""},{"id":150,"name":"Time of Event (Mountain Time)","value":"20:06:34"},{"id":151,"name":"Denver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34" t="str">
        <f t="shared" si="44"/>
        <v>start /low /b %USERPROFILE%\Documents\GitHub\eaglep3\Utilities\DownloadLogsFromS3.py --loco 4039 --day 2017-09-30</v>
      </c>
      <c r="AN133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02:06:34"},{"id":29,"name":"Sharepoint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0" t="str">
        <f t="shared" si="46"/>
        <v>https://d0f6bd738d7f1b3e5a7ca70fe4ff75f0.us-east-1.aws.found.io/app/kibana#/discover/Steve-Slow-Train-Analysis-(2080s-and-2083s)?_g=(refreshInterval:(display:Off,pause:!f,section:0,value:0),time:(from:'2017-09-30T18:08:42-0600',mode:absolute,to:'2017-09-30T21:06:34-0600'))&amp;_a=(columns:!('Message%20ID',Summary),filters:!(),index:'emp_*',interval:auto,query:(query_string:(analyze_wildcard:!t,query:'%22rtdc.l.rtdc.4039%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790</v>
      </c>
      <c r="B134" s="7">
        <v>4028</v>
      </c>
      <c r="C134" s="21" t="s">
        <v>195</v>
      </c>
      <c r="D134" s="21" t="s">
        <v>405</v>
      </c>
      <c r="E134" s="13">
        <v>43008.789212962962</v>
      </c>
      <c r="F134" s="13">
        <v>43008.79215277778</v>
      </c>
      <c r="G134" s="7">
        <v>180</v>
      </c>
      <c r="H134" s="21" t="s">
        <v>924</v>
      </c>
      <c r="I134" s="13">
        <v>43008.81763888889</v>
      </c>
      <c r="J134" s="7">
        <v>0</v>
      </c>
      <c r="K134" s="81" t="str">
        <f t="shared" si="30"/>
        <v>4027/4028</v>
      </c>
      <c r="L134" s="175" t="str">
        <f>VLOOKUP(A134,'Trips&amp;Operators'!$C$1:$G$99911,5,FALSE)</f>
        <v>NICHOLSON WESLEY</v>
      </c>
      <c r="M134" s="6">
        <f t="shared" si="31"/>
        <v>2.548611110978527E-2</v>
      </c>
      <c r="N134" s="7">
        <f t="shared" si="47"/>
        <v>36.699999998090789</v>
      </c>
      <c r="O134" s="7"/>
      <c r="P134" s="7"/>
      <c r="Q134" s="22"/>
      <c r="R134" s="166"/>
      <c r="S134" s="228">
        <f t="shared" si="48"/>
        <v>1</v>
      </c>
      <c r="T134" s="166" t="str">
        <f t="shared" si="32"/>
        <v>NorthBound</v>
      </c>
      <c r="U134" s="21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4" t="str">
        <f t="shared" si="33"/>
        <v>https://d0f6bd738d7f1b3e5a7ca70fe4ff75f0.us-east-1.aws.found.io/app/kibana#/discover/Steve-Slow-Train-Analysis-(2080s-and-2083s)?_g=(refreshInterval:(display:Off,pause:!f,section:0,value:0),time:(from:'2017-09-30T17:56:28-0600',mode:absolute,to:'2017-09-30T20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4" s="215" t="str">
        <f>IF(AA134&lt;VLOOKUP(AG134,Variables!$AC$3:$AD$8,2,FALSE),"Y","N")</f>
        <v>N</v>
      </c>
      <c r="X134" s="215">
        <f t="shared" si="34"/>
        <v>1</v>
      </c>
      <c r="Y134" s="215">
        <f t="shared" si="49"/>
        <v>4.5699999999999998E-2</v>
      </c>
      <c r="Z134" s="215">
        <f t="shared" si="50"/>
        <v>23.328399999999998</v>
      </c>
      <c r="AA134" s="215">
        <f t="shared" si="37"/>
        <v>23.282699999999998</v>
      </c>
      <c r="AB134" s="216" t="e">
        <f>VLOOKUP(A134,Enforcements!$C$7:$K$11,8,0)</f>
        <v>#N/A</v>
      </c>
      <c r="AC134" s="216" t="e">
        <f>VLOOKUP(A134,Enforcements!$C$7:$E$11,3,0)</f>
        <v>#N/A</v>
      </c>
      <c r="AD134" s="217">
        <f t="shared" si="38"/>
        <v>221</v>
      </c>
      <c r="AE134" s="218" t="str">
        <f t="shared" si="39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134" s="68" t="str">
        <f t="shared" si="40"/>
        <v>"C:\Program Files (x86)\AstroGrep\AstroGrep.exe" /e /r /s /spath="%USERPROFILE%\AppData\Local\Temp\OnboardLogs" /stypes="app*4028*20171001*" /stext=" 01:.+((SYSTEM_STATE.+slice.+state.+changed )|(ment ac)|(multiple cpu faults)|(system.+state.+changed )|(\[timeout)|(PRM\|1\|D)|(kpr)|(kdp)|(train st.+moving)|(\|lc)|(penalty))"</v>
      </c>
      <c r="AG134" s="172" t="str">
        <f t="shared" si="41"/>
        <v>EC</v>
      </c>
      <c r="AH134" s="70" t="str">
        <f t="shared" si="42"/>
        <v>"%USERPROFILE%\Documents\GitHub\eaglep3\Utilities\RefineRTDCRunTimes.py" --tripid 221-30 --locoid 4028 --swversion DE.1.0.9.0 --startMP 204:457 --initTime 2017-09-30T18:56:28 --startdatetime 2017-09-30T19:00:42 --delay 180 --endMP 204:233284 --enddatetime 2017-09-30T19:37:24 --enforcementcount 0 &gt;&gt;c:\users\stu\Documents\GitHub\eaglep3-reporting\EC\2017-09-30-refined-times.txt</v>
      </c>
      <c r="AI134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{"issue":{"subject":"","project_id":79,"tracker_id":40,"status_id":1,"priority_id":2,"assigned_to_id":338,"start_date":"2017-09-30","description":"","custom_fields":[{"id":1,"name":"Subdivision","value":"EC"},{"id":4,"name":"Milepost","value":"23.3284"},{"id":17,"name":"Train ID","value":"221-30"},{"id":16,"name":"Locomotive ID","value":"4028"},{"id":130,"name":"Impact","value":""},{"id":150,"name":"Time of Event (Mountain Time)","value":"19:37:24"},{"id":151,"name":"Denver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34" t="str">
        <f t="shared" si="44"/>
        <v>start /low /b %USERPROFILE%\Documents\GitHub\eaglep3\Utilities\DownloadLogsFromS3.py --loco 4028 --day 2017-09-30</v>
      </c>
      <c r="AN134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01:37:24"},{"id":29,"name":"Sharepoint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0" t="str">
        <f t="shared" si="46"/>
        <v>https://d0f6bd738d7f1b3e5a7ca70fe4ff75f0.us-east-1.aws.found.io/app/kibana#/discover/Steve-Slow-Train-Analysis-(2080s-and-2083s)?_g=(refreshInterval:(display:Off,pause:!f,section:0,value:0),time:(from:'2017-09-30T17:56:28-0600',mode:absolute,to:'2017-09-30T20:37:24-0600'))&amp;_a=(columns:!('Message%20ID',Summary),filters:!(),index:'emp_*',interval:auto,query:(query_string:(analyze_wildcard:!t,query:'%22rtdc.l.rtdc.4028%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797</v>
      </c>
      <c r="B135" s="7">
        <v>4027</v>
      </c>
      <c r="C135" s="21" t="s">
        <v>195</v>
      </c>
      <c r="D135" s="21" t="s">
        <v>569</v>
      </c>
      <c r="E135" s="13">
        <v>43008.825057870374</v>
      </c>
      <c r="F135" s="13">
        <v>43008.831469907411</v>
      </c>
      <c r="G135" s="7">
        <v>162</v>
      </c>
      <c r="H135" s="21" t="s">
        <v>442</v>
      </c>
      <c r="I135" s="13">
        <v>43008.858275462961</v>
      </c>
      <c r="J135" s="7">
        <v>0</v>
      </c>
      <c r="K135" s="81" t="str">
        <f t="shared" si="30"/>
        <v>4027/4028</v>
      </c>
      <c r="L135" s="175" t="str">
        <f>VLOOKUP(A135,'Trips&amp;Operators'!$C$1:$G$99911,5,FALSE)</f>
        <v>NICHOLSON WESLEY</v>
      </c>
      <c r="M135" s="6">
        <f t="shared" si="31"/>
        <v>2.6805555549799465E-2</v>
      </c>
      <c r="N135" s="7">
        <f t="shared" si="47"/>
        <v>38.599999991711229</v>
      </c>
      <c r="O135" s="7"/>
      <c r="P135" s="7"/>
      <c r="Q135" s="22"/>
      <c r="R135" s="166"/>
      <c r="S135" s="228">
        <f t="shared" si="48"/>
        <v>1</v>
      </c>
      <c r="T135" s="166" t="str">
        <f t="shared" si="32"/>
        <v>Southbound</v>
      </c>
      <c r="U135" s="21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4" t="str">
        <f t="shared" si="33"/>
        <v>https://d0f6bd738d7f1b3e5a7ca70fe4ff75f0.us-east-1.aws.found.io/app/kibana#/discover/Steve-Slow-Train-Analysis-(2080s-and-2083s)?_g=(refreshInterval:(display:Off,pause:!f,section:0,value:0),time:(from:'2017-09-30T18:48:05-0600',mode:absolute,to:'2017-09-30T21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5" s="215" t="str">
        <f>IF(AA135&lt;VLOOKUP(AG135,Variables!$AC$3:$AD$8,2,FALSE),"Y","N")</f>
        <v>N</v>
      </c>
      <c r="X135" s="215">
        <f t="shared" si="34"/>
        <v>1</v>
      </c>
      <c r="Y135" s="215">
        <f t="shared" si="49"/>
        <v>23.297999999999998</v>
      </c>
      <c r="Z135" s="215">
        <f t="shared" si="50"/>
        <v>1.34E-2</v>
      </c>
      <c r="AA135" s="215">
        <f t="shared" si="37"/>
        <v>23.284599999999998</v>
      </c>
      <c r="AB135" s="216" t="e">
        <f>VLOOKUP(A135,Enforcements!$C$7:$K$11,8,0)</f>
        <v>#N/A</v>
      </c>
      <c r="AC135" s="216" t="e">
        <f>VLOOKUP(A135,Enforcements!$C$7:$E$11,3,0)</f>
        <v>#N/A</v>
      </c>
      <c r="AD135" s="217">
        <f t="shared" si="38"/>
        <v>222</v>
      </c>
      <c r="AE135" s="218" t="str">
        <f t="shared" si="39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135" s="68" t="str">
        <f t="shared" si="40"/>
        <v>"C:\Program Files (x86)\AstroGrep\AstroGrep.exe" /e /r /s /spath="%USERPROFILE%\AppData\Local\Temp\OnboardLogs" /stypes="app*4027*20171001*" /stext=" 02:.+((SYSTEM_STATE.+slice.+state.+changed )|(ment ac)|(multiple cpu faults)|(system.+state.+changed )|(\[timeout)|(PRM\|1\|D)|(kpr)|(kdp)|(train st.+moving)|(\|lc)|(penalty))"</v>
      </c>
      <c r="AG135" s="172" t="str">
        <f t="shared" si="41"/>
        <v>EC</v>
      </c>
      <c r="AH135" s="70" t="str">
        <f t="shared" si="42"/>
        <v>"%USERPROFILE%\Documents\GitHub\eaglep3\Utilities\RefineRTDCRunTimes.py" --tripid 222-30 --locoid 4027 --swversion DE.1.0.9.0 --startMP 204:232980 --initTime 2017-09-30T19:48:05 --startdatetime 2017-09-30T19:57:19 --delay 162 --endMP 204:134 --enddatetime 2017-09-30T20:35:55 --enforcementcount 0 &gt;&gt;c:\users\stu\Documents\GitHub\eaglep3-reporting\EC\2017-09-30-refined-times.txt</v>
      </c>
      <c r="AI135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{"issue":{"subject":"","project_id":79,"tracker_id":40,"status_id":1,"priority_id":2,"assigned_to_id":338,"start_date":"2017-09-30","description":"","custom_fields":[{"id":1,"name":"Subdivision","value":"EC"},{"id":4,"name":"Milepost","value":"0.0134"},{"id":17,"name":"Train ID","value":"222-30"},{"id":16,"name":"Locomotive ID","value":"4027"},{"id":130,"name":"Impact","value":""},{"id":150,"name":"Time of Event (Mountain Time)","value":"20:35:55"},{"id":151,"name":"Denver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34" t="str">
        <f t="shared" si="44"/>
        <v>start /low /b %USERPROFILE%\Documents\GitHub\eaglep3\Utilities\DownloadLogsFromS3.py --loco 4027 --day 2017-09-30</v>
      </c>
      <c r="AN135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0" t="str">
        <f t="shared" si="46"/>
        <v>https://d0f6bd738d7f1b3e5a7ca70fe4ff75f0.us-east-1.aws.found.io/app/kibana#/discover/Steve-Slow-Train-Analysis-(2080s-and-2083s)?_g=(refreshInterval:(display:Off,pause:!f,section:0,value:0),time:(from:'2017-09-30T18:48:05-0600',mode:absolute,to:'2017-09-30T21:35:55-0600'))&amp;_a=(columns:!('Message%20ID',Summary),filters:!(),index:'emp_*',interval:auto,query:(query_string:(analyze_wildcard:!t,query:'%22rtdc.l.rtdc.4027%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795</v>
      </c>
      <c r="B136" s="7">
        <v>4010</v>
      </c>
      <c r="C136" s="21" t="s">
        <v>195</v>
      </c>
      <c r="D136" s="21" t="s">
        <v>339</v>
      </c>
      <c r="E136" s="13">
        <v>43008.810960648145</v>
      </c>
      <c r="F136" s="13">
        <v>43008.812638888892</v>
      </c>
      <c r="G136" s="7">
        <v>53</v>
      </c>
      <c r="H136" s="21" t="s">
        <v>571</v>
      </c>
      <c r="I136" s="13">
        <v>43008.838275462964</v>
      </c>
      <c r="J136" s="7">
        <v>0</v>
      </c>
      <c r="K136" s="81" t="str">
        <f t="shared" si="30"/>
        <v>4009/4010</v>
      </c>
      <c r="L136" s="175" t="str">
        <f>VLOOKUP(A136,'Trips&amp;Operators'!$C$1:$G$99911,5,FALSE)</f>
        <v>FORTUNATO FRANK</v>
      </c>
      <c r="M136" s="6">
        <f t="shared" si="31"/>
        <v>2.5636574071540963E-2</v>
      </c>
      <c r="N136" s="7">
        <f t="shared" si="47"/>
        <v>36.916666663018987</v>
      </c>
      <c r="O136" s="7"/>
      <c r="P136" s="7"/>
      <c r="Q136" s="22"/>
      <c r="R136" s="166"/>
      <c r="S136" s="228">
        <f t="shared" si="48"/>
        <v>1</v>
      </c>
      <c r="T136" s="166" t="str">
        <f t="shared" si="32"/>
        <v>NorthBound</v>
      </c>
      <c r="U136" s="21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4" t="str">
        <f t="shared" si="33"/>
        <v>https://d0f6bd738d7f1b3e5a7ca70fe4ff75f0.us-east-1.aws.found.io/app/kibana#/discover/Steve-Slow-Train-Analysis-(2080s-and-2083s)?_g=(refreshInterval:(display:Off,pause:!f,section:0,value:0),time:(from:'2017-09-30T18:27:47-0600',mode:absolute,to:'2017-09-30T21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215" t="str">
        <f>IF(AA136&lt;VLOOKUP(AG136,Variables!$AC$3:$AD$8,2,FALSE),"Y","N")</f>
        <v>N</v>
      </c>
      <c r="X136" s="215">
        <f t="shared" si="34"/>
        <v>1</v>
      </c>
      <c r="Y136" s="215">
        <f t="shared" si="49"/>
        <v>4.53E-2</v>
      </c>
      <c r="Z136" s="215">
        <f t="shared" si="50"/>
        <v>23.330300000000001</v>
      </c>
      <c r="AA136" s="215">
        <f t="shared" si="37"/>
        <v>23.285</v>
      </c>
      <c r="AB136" s="216" t="e">
        <f>VLOOKUP(A136,Enforcements!$C$7:$K$11,8,0)</f>
        <v>#N/A</v>
      </c>
      <c r="AC136" s="216" t="e">
        <f>VLOOKUP(A136,Enforcements!$C$7:$E$11,3,0)</f>
        <v>#N/A</v>
      </c>
      <c r="AD136" s="217">
        <f t="shared" si="38"/>
        <v>223</v>
      </c>
      <c r="AE136" s="218" t="str">
        <f t="shared" si="39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136" s="68" t="str">
        <f t="shared" si="40"/>
        <v>"C:\Program Files (x86)\AstroGrep\AstroGrep.exe" /e /r /s /spath="%USERPROFILE%\AppData\Local\Temp\OnboardLogs" /stypes="app*4010*20171001*" /stext=" 02:.+((SYSTEM_STATE.+slice.+state.+changed )|(ment ac)|(multiple cpu faults)|(system.+state.+changed )|(\[timeout)|(PRM\|1\|D)|(kpr)|(kdp)|(train st.+moving)|(\|lc)|(penalty))"</v>
      </c>
      <c r="AG136" s="172" t="str">
        <f t="shared" si="41"/>
        <v>EC</v>
      </c>
      <c r="AH136" s="70" t="str">
        <f t="shared" si="42"/>
        <v>"%USERPROFILE%\Documents\GitHub\eaglep3\Utilities\RefineRTDCRunTimes.py" --tripid 223-30 --locoid 4010 --swversion DE.1.0.9.0 --startMP 204:453 --initTime 2017-09-30T19:27:47 --startdatetime 2017-09-30T19:30:12 --delay 53 --endMP 204:233303 --enddatetime 2017-09-30T20:07:07 --enforcementcount 0 &gt;&gt;c:\users\stu\Documents\GitHub\eaglep3-reporting\EC\2017-09-30-refined-times.txt</v>
      </c>
      <c r="AI136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{"issue":{"subject":"","project_id":79,"tracker_id":40,"status_id":1,"priority_id":2,"assigned_to_id":338,"start_date":"2017-09-30","description":"","custom_fields":[{"id":1,"name":"Subdivision","value":"EC"},{"id":4,"name":"Milepost","value":"23.3303"},{"id":17,"name":"Train ID","value":"223-30"},{"id":16,"name":"Locomotive ID","value":"4010"},{"id":130,"name":"Impact","value":""},{"id":150,"name":"Time of Event (Mountain Time)","value":"20:07:07"},{"id":151,"name":"Denver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34" t="str">
        <f t="shared" si="44"/>
        <v>start /low /b %USERPROFILE%\Documents\GitHub\eaglep3\Utilities\DownloadLogsFromS3.py --loco 4010 --day 2017-09-30</v>
      </c>
      <c r="AN136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02:07:07"},{"id":29,"name":"Sharepoint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0" t="str">
        <f t="shared" si="46"/>
        <v>https://d0f6bd738d7f1b3e5a7ca70fe4ff75f0.us-east-1.aws.found.io/app/kibana#/discover/Steve-Slow-Train-Analysis-(2080s-and-2083s)?_g=(refreshInterval:(display:Off,pause:!f,section:0,value:0),time:(from:'2017-09-30T18:27:47-0600',mode:absolute,to:'2017-09-30T21:07:07-0600'))&amp;_a=(columns:!('Message%20ID',Summary),filters:!(),index:'emp_*',interval:auto,query:(query_string:(analyze_wildcard:!t,query:'%22rtdc.l.rtdc.4010%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799</v>
      </c>
      <c r="B137" s="7">
        <v>4009</v>
      </c>
      <c r="C137" s="21" t="s">
        <v>195</v>
      </c>
      <c r="D137" s="21" t="s">
        <v>395</v>
      </c>
      <c r="E137" s="13">
        <v>43008.839826388888</v>
      </c>
      <c r="F137" s="13">
        <v>43008.85224537037</v>
      </c>
      <c r="G137" s="7">
        <v>103</v>
      </c>
      <c r="H137" s="21" t="s">
        <v>336</v>
      </c>
      <c r="I137" s="13">
        <v>43008.878437500003</v>
      </c>
      <c r="J137" s="7">
        <v>0</v>
      </c>
      <c r="K137" s="81" t="str">
        <f t="shared" si="30"/>
        <v>4009/4010</v>
      </c>
      <c r="L137" s="175" t="str">
        <f>VLOOKUP(A137,'Trips&amp;Operators'!$C$1:$G$99911,5,FALSE)</f>
        <v>FORTUNATO FRANK</v>
      </c>
      <c r="M137" s="6">
        <f t="shared" si="31"/>
        <v>2.6192129633272998E-2</v>
      </c>
      <c r="N137" s="7">
        <f t="shared" ref="N137:N159" si="51">24*60*SUM($M137:$M137)</f>
        <v>37.716666671913117</v>
      </c>
      <c r="O137" s="7"/>
      <c r="P137" s="7"/>
      <c r="Q137" s="22"/>
      <c r="R137" s="166"/>
      <c r="S137" s="228">
        <f t="shared" ref="S137:S159" si="52">1/IF(AG137="EC",12,1)*SUM(U137:U137)</f>
        <v>1</v>
      </c>
      <c r="T137" s="166" t="str">
        <f t="shared" si="32"/>
        <v>Southbound</v>
      </c>
      <c r="U137" s="21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4" t="str">
        <f t="shared" si="33"/>
        <v>https://d0f6bd738d7f1b3e5a7ca70fe4ff75f0.us-east-1.aws.found.io/app/kibana#/discover/Steve-Slow-Train-Analysis-(2080s-and-2083s)?_g=(refreshInterval:(display:Off,pause:!f,section:0,value:0),time:(from:'2017-09-30T19:09:21-0600',mode:absolute,to:'2017-09-30T22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7" s="215" t="str">
        <f>IF(AA137&lt;VLOOKUP(AG137,Variables!$AC$3:$AD$8,2,FALSE),"Y","N")</f>
        <v>N</v>
      </c>
      <c r="X137" s="215">
        <f t="shared" si="34"/>
        <v>1</v>
      </c>
      <c r="Y137" s="215">
        <f t="shared" si="49"/>
        <v>23.297799999999999</v>
      </c>
      <c r="Z137" s="215">
        <f t="shared" si="50"/>
        <v>1.4999999999999999E-2</v>
      </c>
      <c r="AA137" s="215">
        <f t="shared" si="37"/>
        <v>23.282799999999998</v>
      </c>
      <c r="AB137" s="216" t="e">
        <f>VLOOKUP(A137,Enforcements!$C$7:$K$11,8,0)</f>
        <v>#N/A</v>
      </c>
      <c r="AC137" s="216" t="e">
        <f>VLOOKUP(A137,Enforcements!$C$7:$E$11,3,0)</f>
        <v>#N/A</v>
      </c>
      <c r="AD137" s="217">
        <f t="shared" si="38"/>
        <v>224</v>
      </c>
      <c r="AE137" s="218" t="str">
        <f t="shared" si="39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137" s="68" t="str">
        <f t="shared" si="40"/>
        <v>"C:\Program Files (x86)\AstroGrep\AstroGrep.exe" /e /r /s /spath="%USERPROFILE%\AppData\Local\Temp\OnboardLogs" /stypes="app*4009*20171001*" /stext=" 03:.+((SYSTEM_STATE.+slice.+state.+changed )|(ment ac)|(multiple cpu faults)|(system.+state.+changed )|(\[timeout)|(PRM\|1\|D)|(kpr)|(kdp)|(train st.+moving)|(\|lc)|(penalty))"</v>
      </c>
      <c r="AG137" s="172" t="str">
        <f t="shared" si="41"/>
        <v>EC</v>
      </c>
      <c r="AH137" s="70" t="str">
        <f t="shared" si="42"/>
        <v>"%USERPROFILE%\Documents\GitHub\eaglep3\Utilities\RefineRTDCRunTimes.py" --tripid 224-30 --locoid 4009 --swversion DE.1.0.9.0 --startMP 204:232978 --initTime 2017-09-30T20:09:21 --startdatetime 2017-09-30T20:27:14 --delay 103 --endMP 204:150 --enddatetime 2017-09-30T21:04:57 --enforcementcount 0 &gt;&gt;c:\users\stu\Documents\GitHub\eaglep3-reporting\EC\2017-09-30-refined-times.txt</v>
      </c>
      <c r="AI137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{"issue":{"subject":"","project_id":79,"tracker_id":40,"status_id":1,"priority_id":2,"assigned_to_id":338,"start_date":"2017-09-30","description":"","custom_fields":[{"id":1,"name":"Subdivision","value":"EC"},{"id":4,"name":"Milepost","value":"0.015"},{"id":17,"name":"Train ID","value":"224-30"},{"id":16,"name":"Locomotive ID","value":"4009"},{"id":130,"name":"Impact","value":""},{"id":150,"name":"Time of Event (Mountain Time)","value":"21:04:57"},{"id":151,"name":"Denver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34" t="str">
        <f t="shared" si="44"/>
        <v>start /low /b %USERPROFILE%\Documents\GitHub\eaglep3\Utilities\DownloadLogsFromS3.py --loco 4009 --day 2017-09-30</v>
      </c>
      <c r="AN137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0" t="str">
        <f t="shared" si="46"/>
        <v>https://d0f6bd738d7f1b3e5a7ca70fe4ff75f0.us-east-1.aws.found.io/app/kibana#/discover/Steve-Slow-Train-Analysis-(2080s-and-2083s)?_g=(refreshInterval:(display:Off,pause:!f,section:0,value:0),time:(from:'2017-09-30T19:09:21-0600',mode:absolute,to:'2017-09-30T22:04:57-0600'))&amp;_a=(columns:!('Message%20ID',Summary),filters:!(),index:'emp_*',interval:auto,query:(query_string:(analyze_wildcard:!t,query:'%22rtdc.l.rtdc.4009%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609</v>
      </c>
      <c r="B138" s="7">
        <v>4052</v>
      </c>
      <c r="C138" s="21" t="s">
        <v>195</v>
      </c>
      <c r="D138" s="21" t="s">
        <v>368</v>
      </c>
      <c r="E138" s="13">
        <v>43008.826805555553</v>
      </c>
      <c r="F138" s="13">
        <v>43008.833449074074</v>
      </c>
      <c r="G138" s="7">
        <v>56</v>
      </c>
      <c r="H138" s="21" t="s">
        <v>463</v>
      </c>
      <c r="I138" s="13">
        <v>43008.858391203707</v>
      </c>
      <c r="J138" s="7">
        <v>0</v>
      </c>
      <c r="K138" s="81" t="str">
        <f t="shared" si="30"/>
        <v>4051/4052</v>
      </c>
      <c r="L138" s="175" t="str">
        <f>VLOOKUP(A138,'Trips&amp;Operators'!$C$1:$G$99911,5,FALSE)</f>
        <v>ELBAUM MIKE</v>
      </c>
      <c r="M138" s="6">
        <f t="shared" si="31"/>
        <v>2.4942129632108845E-2</v>
      </c>
      <c r="N138" s="7">
        <f t="shared" si="51"/>
        <v>35.916666670236737</v>
      </c>
      <c r="O138" s="7"/>
      <c r="P138" s="7"/>
      <c r="Q138" s="22"/>
      <c r="R138" s="166"/>
      <c r="S138" s="228">
        <f t="shared" si="52"/>
        <v>1</v>
      </c>
      <c r="T138" s="166" t="str">
        <f t="shared" si="32"/>
        <v>NorthBound</v>
      </c>
      <c r="U138" s="21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4" t="str">
        <f t="shared" si="33"/>
        <v>https://d0f6bd738d7f1b3e5a7ca70fe4ff75f0.us-east-1.aws.found.io/app/kibana#/discover/Steve-Slow-Train-Analysis-(2080s-and-2083s)?_g=(refreshInterval:(display:Off,pause:!f,section:0,value:0),time:(from:'2017-09-30T18:50:36-0600',mode:absolute,to:'2017-09-30T21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8" s="215" t="str">
        <f>IF(AA138&lt;VLOOKUP(AG138,Variables!$AC$3:$AD$8,2,FALSE),"Y","N")</f>
        <v>N</v>
      </c>
      <c r="X138" s="215">
        <f t="shared" si="34"/>
        <v>1</v>
      </c>
      <c r="Y138" s="215">
        <f t="shared" si="49"/>
        <v>4.4200000000000003E-2</v>
      </c>
      <c r="Z138" s="215">
        <f t="shared" si="50"/>
        <v>23.330500000000001</v>
      </c>
      <c r="AA138" s="215">
        <f t="shared" si="37"/>
        <v>23.286300000000001</v>
      </c>
      <c r="AB138" s="216" t="str">
        <f>VLOOKUP(A138,Enforcements!$C$7:$K$11,8,0)</f>
        <v>Bulletin (2)</v>
      </c>
      <c r="AC138" s="216" t="str">
        <f>VLOOKUP(A138,Enforcements!$C$7:$E$11,3,0)</f>
        <v>GRADE CROSSING</v>
      </c>
      <c r="AD138" s="217">
        <f t="shared" si="38"/>
        <v>225</v>
      </c>
      <c r="AE138" s="218" t="str">
        <f t="shared" si="39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138" s="68" t="str">
        <f t="shared" si="40"/>
        <v>"C:\Program Files (x86)\AstroGrep\AstroGrep.exe" /e /r /s /spath="%USERPROFILE%\AppData\Local\Temp\OnboardLogs" /stypes="app*4052*20171001*" /stext=" 02:.+((SYSTEM_STATE.+slice.+state.+changed )|(ment ac)|(multiple cpu faults)|(system.+state.+changed )|(\[timeout)|(PRM\|1\|D)|(kpr)|(kdp)|(train st.+moving)|(\|lc)|(penalty))"</v>
      </c>
      <c r="AG138" s="172" t="str">
        <f t="shared" si="41"/>
        <v>EC</v>
      </c>
      <c r="AH138" s="70" t="str">
        <f t="shared" si="42"/>
        <v>"%USERPROFILE%\Documents\GitHub\eaglep3\Utilities\RefineRTDCRunTimes.py" --tripid 225-30 --locoid 4052 --swversion DE.1.0.9.0 --startMP 204:442 --initTime 2017-09-30T19:50:36 --startdatetime 2017-09-30T20:00:10 --delay 56 --endMP 204:233305 --enddatetime 2017-09-30T20:36:05 --enforcementcount 0 &gt;&gt;c:\users\stu\Documents\GitHub\eaglep3-reporting\EC\2017-09-30-refined-times.txt</v>
      </c>
      <c r="AI138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{"issue":{"subject":"","project_id":79,"tracker_id":40,"status_id":1,"priority_id":2,"assigned_to_id":338,"start_date":"2017-09-30","description":"","custom_fields":[{"id":1,"name":"Subdivision","value":"EC"},{"id":4,"name":"Milepost","value":"23.3305"},{"id":17,"name":"Train ID","value":"225-30"},{"id":16,"name":"Locomotive ID","value":"4052"},{"id":130,"name":"Impact","value":""},{"id":150,"name":"Time of Event (Mountain Time)","value":"20:36:05"},{"id":151,"name":"Denver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34" t="str">
        <f t="shared" si="44"/>
        <v>start /low /b %USERPROFILE%\Documents\GitHub\eaglep3\Utilities\DownloadLogsFromS3.py --loco 4052 --day 2017-09-30</v>
      </c>
      <c r="AN138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0" t="str">
        <f t="shared" si="46"/>
        <v>https://d0f6bd738d7f1b3e5a7ca70fe4ff75f0.us-east-1.aws.found.io/app/kibana#/discover/Steve-Slow-Train-Analysis-(2080s-and-2083s)?_g=(refreshInterval:(display:Off,pause:!f,section:0,value:0),time:(from:'2017-09-30T18:50:36-0600',mode:absolute,to:'2017-09-30T21:36:05-0600'))&amp;_a=(columns:!('Message%20ID',Summary),filters:!(),index:'emp_*',interval:auto,query:(query_string:(analyze_wildcard:!t,query:'%22rtdc.l.rtdc.4052%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801</v>
      </c>
      <c r="B139" s="7">
        <v>4051</v>
      </c>
      <c r="C139" s="21" t="s">
        <v>195</v>
      </c>
      <c r="D139" s="21" t="s">
        <v>569</v>
      </c>
      <c r="E139" s="13">
        <v>43008.859398148146</v>
      </c>
      <c r="F139" s="13">
        <v>43008.873078703706</v>
      </c>
      <c r="G139" s="7">
        <v>56</v>
      </c>
      <c r="H139" s="21" t="s">
        <v>360</v>
      </c>
      <c r="I139" s="13">
        <v>43008.8984375</v>
      </c>
      <c r="J139" s="7">
        <v>0</v>
      </c>
      <c r="K139" s="81" t="str">
        <f t="shared" si="30"/>
        <v>4051/4052</v>
      </c>
      <c r="L139" s="175" t="str">
        <f>VLOOKUP(A139,'Trips&amp;Operators'!$C$1:$G$99911,5,FALSE)</f>
        <v>ELBAUM MIKE</v>
      </c>
      <c r="M139" s="6">
        <f t="shared" si="31"/>
        <v>2.5358796294312924E-2</v>
      </c>
      <c r="N139" s="7">
        <f t="shared" si="51"/>
        <v>36.516666663810611</v>
      </c>
      <c r="O139" s="7"/>
      <c r="P139" s="7"/>
      <c r="Q139" s="22"/>
      <c r="R139" s="166"/>
      <c r="S139" s="228">
        <f t="shared" si="52"/>
        <v>1</v>
      </c>
      <c r="T139" s="166" t="str">
        <f t="shared" si="32"/>
        <v>Southbound</v>
      </c>
      <c r="U139" s="21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4" t="str">
        <f t="shared" si="33"/>
        <v>https://d0f6bd738d7f1b3e5a7ca70fe4ff75f0.us-east-1.aws.found.io/app/kibana#/discover/Steve-Slow-Train-Analysis-(2080s-and-2083s)?_g=(refreshInterval:(display:Off,pause:!f,section:0,value:0),time:(from:'2017-09-30T19:37:32-0600',mode:absolute,to:'2017-09-30T22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9" s="215" t="str">
        <f>IF(AA139&lt;VLOOKUP(AG139,Variables!$AC$3:$AD$8,2,FALSE),"Y","N")</f>
        <v>N</v>
      </c>
      <c r="X139" s="215">
        <f t="shared" si="34"/>
        <v>1</v>
      </c>
      <c r="Y139" s="215">
        <f t="shared" si="49"/>
        <v>23.297999999999998</v>
      </c>
      <c r="Z139" s="215">
        <f t="shared" si="50"/>
        <v>1.4500000000000001E-2</v>
      </c>
      <c r="AA139" s="215">
        <f t="shared" si="37"/>
        <v>23.283499999999997</v>
      </c>
      <c r="AB139" s="216" t="e">
        <f>VLOOKUP(A139,Enforcements!$C$7:$K$11,8,0)</f>
        <v>#N/A</v>
      </c>
      <c r="AC139" s="216" t="e">
        <f>VLOOKUP(A139,Enforcements!$C$7:$E$11,3,0)</f>
        <v>#N/A</v>
      </c>
      <c r="AD139" s="217">
        <f t="shared" si="38"/>
        <v>226</v>
      </c>
      <c r="AE139" s="218" t="str">
        <f t="shared" si="39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139" s="68" t="str">
        <f t="shared" si="40"/>
        <v>"C:\Program Files (x86)\AstroGrep\AstroGrep.exe" /e /r /s /spath="%USERPROFILE%\AppData\Local\Temp\OnboardLogs" /stypes="app*4051*20171001*" /stext=" 03:.+((SYSTEM_STATE.+slice.+state.+changed )|(ment ac)|(multiple cpu faults)|(system.+state.+changed )|(\[timeout)|(PRM\|1\|D)|(kpr)|(kdp)|(train st.+moving)|(\|lc)|(penalty))"</v>
      </c>
      <c r="AG139" s="172" t="str">
        <f t="shared" si="41"/>
        <v>EC</v>
      </c>
      <c r="AH139" s="70" t="str">
        <f t="shared" si="42"/>
        <v>"%USERPROFILE%\Documents\GitHub\eaglep3\Utilities\RefineRTDCRunTimes.py" --tripid 226-30 --locoid 4051 --swversion DE.1.0.9.0 --startMP 204:232980 --initTime 2017-09-30T20:37:32 --startdatetime 2017-09-30T20:57:14 --delay 56 --endMP 204:145 --enddatetime 2017-09-30T21:33:45 --enforcementcount 0 &gt;&gt;c:\users\stu\Documents\GitHub\eaglep3-reporting\EC\2017-09-30-refined-times.txt</v>
      </c>
      <c r="AI139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{"issue":{"subject":"","project_id":79,"tracker_id":40,"status_id":1,"priority_id":2,"assigned_to_id":338,"start_date":"2017-09-30","description":"","custom_fields":[{"id":1,"name":"Subdivision","value":"EC"},{"id":4,"name":"Milepost","value":"0.0145"},{"id":17,"name":"Train ID","value":"226-30"},{"id":16,"name":"Locomotive ID","value":"4051"},{"id":130,"name":"Impact","value":""},{"id":150,"name":"Time of Event (Mountain Time)","value":"21:33:45"},{"id":151,"name":"Denver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34" t="str">
        <f t="shared" si="44"/>
        <v>start /low /b %USERPROFILE%\Documents\GitHub\eaglep3\Utilities\DownloadLogsFromS3.py --loco 4051 --day 2017-09-30</v>
      </c>
      <c r="AN139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03:33:45"},{"id":29,"name":"Sharepoint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0" t="str">
        <f t="shared" si="46"/>
        <v>https://d0f6bd738d7f1b3e5a7ca70fe4ff75f0.us-east-1.aws.found.io/app/kibana#/discover/Steve-Slow-Train-Analysis-(2080s-and-2083s)?_g=(refreshInterval:(display:Off,pause:!f,section:0,value:0),time:(from:'2017-09-30T19:37:32-0600',mode:absolute,to:'2017-09-30T22:33:45-0600'))&amp;_a=(columns:!('Message%20ID',Summary),filters:!(),index:'emp_*',interval:auto,query:(query_string:(analyze_wildcard:!t,query:'%22rtdc.l.rtdc.4051%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610</v>
      </c>
      <c r="B140" s="7">
        <v>4040</v>
      </c>
      <c r="C140" s="21" t="s">
        <v>195</v>
      </c>
      <c r="D140" s="21" t="s">
        <v>355</v>
      </c>
      <c r="E140" s="13">
        <v>43008.840844907405</v>
      </c>
      <c r="F140" s="13">
        <v>43008.854317129626</v>
      </c>
      <c r="G140" s="7">
        <v>90</v>
      </c>
      <c r="H140" s="21" t="s">
        <v>455</v>
      </c>
      <c r="I140" s="13">
        <v>43008.880069444444</v>
      </c>
      <c r="J140" s="7">
        <v>0</v>
      </c>
      <c r="K140" s="81" t="str">
        <f t="shared" si="30"/>
        <v>4039/4040</v>
      </c>
      <c r="L140" s="175" t="str">
        <f>VLOOKUP(A140,'Trips&amp;Operators'!$C$1:$G$99911,5,FALSE)</f>
        <v>RESPASS AARON</v>
      </c>
      <c r="M140" s="6">
        <f t="shared" si="31"/>
        <v>2.5752314817509614E-2</v>
      </c>
      <c r="N140" s="7">
        <f t="shared" si="51"/>
        <v>37.083333337213844</v>
      </c>
      <c r="O140" s="7"/>
      <c r="P140" s="7"/>
      <c r="Q140" s="22"/>
      <c r="R140" s="166"/>
      <c r="S140" s="228">
        <f t="shared" si="52"/>
        <v>1</v>
      </c>
      <c r="T140" s="166" t="str">
        <f t="shared" si="32"/>
        <v>NorthBound</v>
      </c>
      <c r="U140" s="21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4" t="str">
        <f t="shared" si="33"/>
        <v>https://d0f6bd738d7f1b3e5a7ca70fe4ff75f0.us-east-1.aws.found.io/app/kibana#/discover/Steve-Slow-Train-Analysis-(2080s-and-2083s)?_g=(refreshInterval:(display:Off,pause:!f,section:0,value:0),time:(from:'2017-09-30T19:10:49-0600',mode:absolute,to:'2017-09-30T22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0" s="215" t="str">
        <f>IF(AA140&lt;VLOOKUP(AG140,Variables!$AC$3:$AD$8,2,FALSE),"Y","N")</f>
        <v>N</v>
      </c>
      <c r="X140" s="215">
        <f t="shared" si="34"/>
        <v>1</v>
      </c>
      <c r="Y140" s="215">
        <f t="shared" si="49"/>
        <v>4.58E-2</v>
      </c>
      <c r="Z140" s="215">
        <f t="shared" si="50"/>
        <v>23.3291</v>
      </c>
      <c r="AA140" s="215">
        <f t="shared" si="37"/>
        <v>23.283300000000001</v>
      </c>
      <c r="AB140" s="216" t="e">
        <f>VLOOKUP(A140,Enforcements!$C$7:$K$11,8,0)</f>
        <v>#N/A</v>
      </c>
      <c r="AC140" s="216" t="e">
        <f>VLOOKUP(A140,Enforcements!$C$7:$E$11,3,0)</f>
        <v>#N/A</v>
      </c>
      <c r="AD140" s="217">
        <f t="shared" si="38"/>
        <v>227</v>
      </c>
      <c r="AE140" s="218" t="str">
        <f t="shared" si="39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140" s="68" t="str">
        <f t="shared" si="40"/>
        <v>"C:\Program Files (x86)\AstroGrep\AstroGrep.exe" /e /r /s /spath="%USERPROFILE%\AppData\Local\Temp\OnboardLogs" /stypes="app*4040*20171001*" /stext=" 03:.+((SYSTEM_STATE.+slice.+state.+changed )|(ment ac)|(multiple cpu faults)|(system.+state.+changed )|(\[timeout)|(PRM\|1\|D)|(kpr)|(kdp)|(train st.+moving)|(\|lc)|(penalty))"</v>
      </c>
      <c r="AG140" s="172" t="str">
        <f t="shared" si="41"/>
        <v>EC</v>
      </c>
      <c r="AH140" s="70" t="str">
        <f t="shared" si="42"/>
        <v>"%USERPROFILE%\Documents\GitHub\eaglep3\Utilities\RefineRTDCRunTimes.py" --tripid 227-30 --locoid 4040 --swversion DE.1.0.9.0 --startMP 204:458 --initTime 2017-09-30T20:10:49 --startdatetime 2017-09-30T20:30:13 --delay 90 --endMP 204:233291 --enddatetime 2017-09-30T21:07:18 --enforcementcount 0 &gt;&gt;c:\users\stu\Documents\GitHub\eaglep3-reporting\EC\2017-09-30-refined-times.txt</v>
      </c>
      <c r="AI140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{"issue":{"subject":"","project_id":79,"tracker_id":40,"status_id":1,"priority_id":2,"assigned_to_id":338,"start_date":"2017-09-30","description":"","custom_fields":[{"id":1,"name":"Subdivision","value":"EC"},{"id":4,"name":"Milepost","value":"23.3291"},{"id":17,"name":"Train ID","value":"227-30"},{"id":16,"name":"Locomotive ID","value":"4040"},{"id":130,"name":"Impact","value":""},{"id":150,"name":"Time of Event (Mountain Time)","value":"21:07:18"},{"id":151,"name":"Denver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34" t="str">
        <f t="shared" si="44"/>
        <v>start /low /b %USERPROFILE%\Documents\GitHub\eaglep3\Utilities\DownloadLogsFromS3.py --loco 4040 --day 2017-09-30</v>
      </c>
      <c r="AN140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03:07:18"},{"id":29,"name":"Sharepoint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0" t="str">
        <f t="shared" si="46"/>
        <v>https://d0f6bd738d7f1b3e5a7ca70fe4ff75f0.us-east-1.aws.found.io/app/kibana#/discover/Steve-Slow-Train-Analysis-(2080s-and-2083s)?_g=(refreshInterval:(display:Off,pause:!f,section:0,value:0),time:(from:'2017-09-30T19:10:49-0600',mode:absolute,to:'2017-09-30T22:07:18-0600'))&amp;_a=(columns:!('Message%20ID',Summary),filters:!(),index:'emp_*',interval:auto,query:(query_string:(analyze_wildcard:!t,query:'%22rtdc.l.rtdc.4040%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805</v>
      </c>
      <c r="B141" s="7">
        <v>4039</v>
      </c>
      <c r="C141" s="21" t="s">
        <v>195</v>
      </c>
      <c r="D141" s="21" t="s">
        <v>400</v>
      </c>
      <c r="E141" s="13">
        <v>43008.887511574074</v>
      </c>
      <c r="F141" s="13">
        <v>43008.893993055557</v>
      </c>
      <c r="G141" s="7">
        <v>53</v>
      </c>
      <c r="H141" s="21" t="s">
        <v>340</v>
      </c>
      <c r="I141" s="13">
        <v>43008.921111111114</v>
      </c>
      <c r="J141" s="7">
        <v>0</v>
      </c>
      <c r="K141" s="81" t="str">
        <f t="shared" ref="K141:K204" si="53">IF(ISEVEN(B141),(B141-1)&amp;"/"&amp;B141,B141&amp;"/"&amp;(B141+1))</f>
        <v>4039/4040</v>
      </c>
      <c r="L141" s="175" t="str">
        <f>VLOOKUP(A141,'Trips&amp;Operators'!$C$1:$G$99911,5,FALSE)</f>
        <v>RESPASS AARON</v>
      </c>
      <c r="M141" s="6">
        <f t="shared" ref="M141:M204" si="54">I141-F141</f>
        <v>2.7118055557366461E-2</v>
      </c>
      <c r="N141" s="7">
        <f t="shared" si="51"/>
        <v>39.050000002607703</v>
      </c>
      <c r="O141" s="7"/>
      <c r="P141" s="7"/>
      <c r="Q141" s="22"/>
      <c r="R141" s="166"/>
      <c r="S141" s="228">
        <f t="shared" si="52"/>
        <v>1</v>
      </c>
      <c r="T141" s="166" t="str">
        <f t="shared" ref="T141:T204" si="55">IF(ISEVEN(LEFT(AD141,4)),"Southbound","NorthBound")</f>
        <v>Southbound</v>
      </c>
      <c r="U141" s="21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4" t="str">
        <f t="shared" ref="V141:V204" si="5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-30T20:18:01-0600',mode:absolute,to:'2017-09-30T23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1" s="215" t="str">
        <f>IF(AA141&lt;VLOOKUP(AG141,Variables!$AC$3:$AD$8,2,FALSE),"Y","N")</f>
        <v>N</v>
      </c>
      <c r="X141" s="215">
        <f t="shared" ref="X141:X204" si="57">VALUE(LEFT(AD141,4))-VALUE(LEFT(AD140,4))</f>
        <v>1</v>
      </c>
      <c r="Y141" s="215">
        <f t="shared" ref="Y141:Y163" si="58">RIGHT(D141,LEN(D141)-4)/10000</f>
        <v>23.298200000000001</v>
      </c>
      <c r="Z141" s="215">
        <f t="shared" ref="Z141:Z163" si="59">RIGHT(H141,LEN(H141)-4)/10000</f>
        <v>1.47E-2</v>
      </c>
      <c r="AA141" s="215">
        <f t="shared" ref="AA141:AA204" si="60">ABS(Z141-Y141)</f>
        <v>23.2835</v>
      </c>
      <c r="AB141" s="216" t="e">
        <f>VLOOKUP(A141,Enforcements!$C$7:$K$11,8,0)</f>
        <v>#N/A</v>
      </c>
      <c r="AC141" s="216" t="e">
        <f>VLOOKUP(A141,Enforcements!$C$7:$E$11,3,0)</f>
        <v>#N/A</v>
      </c>
      <c r="AD141" s="217">
        <f t="shared" ref="AD141:AD204" si="61">VALUE(LEFT(A141,LEN(A141)-3))</f>
        <v>228</v>
      </c>
      <c r="AE141" s="218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141" s="68" t="str">
        <f t="shared" ref="AF141:AF204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/stypes="app*4039*20171001*" /stext=" 04:.+((SYSTEM_STATE.+slice.+state.+changed )|(ment ac)|(multiple cpu faults)|(system.+state.+changed )|(\[timeout)|(PRM\|1\|D)|(kpr)|(kdp)|(train st.+moving)|(\|lc)|(penalty))"</v>
      </c>
      <c r="AG141" s="172" t="str">
        <f t="shared" ref="AG141:AG204" si="64">DetSubdiv(A141)</f>
        <v>EC</v>
      </c>
      <c r="AH141" s="70" t="str">
        <f t="shared" si="42"/>
        <v>"%USERPROFILE%\Documents\GitHub\eaglep3\Utilities\RefineRTDCRunTimes.py" --tripid 228-30 --locoid 4039 --swversion DE.1.0.9.0 --startMP 204:232982 --initTime 2017-09-30T21:18:01 --startdatetime 2017-09-30T21:27:21 --delay 53 --endMP 204:147 --enddatetime 2017-09-30T22:06:24 --enforcementcount 0 &gt;&gt;c:\users\stu\Documents\GitHub\eaglep3-reporting\EC\2017-09-30-refined-times.txt</v>
      </c>
      <c r="AI141" s="88" t="str">
        <f t="shared" si="43"/>
        <v>echo {"issue":{"subject":"","project_id":79,"tracker_id":40,"status_id":1,"priority_id":2,"assigned_to_id":338,"start_date":"2017-09-30","description":"","custom_fields":[{"id":1,"name":"Subdivision","value":"EC"},{"id":4,"name":"Milepost","value":"0.0147"},{"id":17,"name":"Train ID","value":"228-30"},{"id":16,"name":"Locomotive ID","value":"4039"},{"id":130,"name":"Impact","value":""},{"id":150,"name":"Time of Event (Mountain Time)","value":"22:06:24"},{"id":151,"name":"Denver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34" t="str">
        <f t="shared" si="44"/>
        <v>start /low /b %USERPROFILE%\Documents\GitHub\eaglep3\Utilities\DownloadLogsFromS3.py --loco 4039 --day 2017-09-30</v>
      </c>
      <c r="AN141" s="143" t="str">
        <f t="shared" si="45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0" t="str">
        <f t="shared" si="46"/>
        <v>https://d0f6bd738d7f1b3e5a7ca70fe4ff75f0.us-east-1.aws.found.io/app/kibana#/discover/Steve-Slow-Train-Analysis-(2080s-and-2083s)?_g=(refreshInterval:(display:Off,pause:!f,section:0,value:0),time:(from:'2017-09-30T20:18:01-0600',mode:absolute,to:'2017-09-30T23:06:24-0600'))&amp;_a=(columns:!('Message%20ID',Summary),filters:!(),index:'emp_*',interval:auto,query:(query_string:(analyze_wildcard:!t,query:'%22rtdc.l.rtdc.4039%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802</v>
      </c>
      <c r="B142" s="7">
        <v>4028</v>
      </c>
      <c r="C142" s="21" t="s">
        <v>195</v>
      </c>
      <c r="D142" s="21" t="s">
        <v>392</v>
      </c>
      <c r="E142" s="13">
        <v>43008.866655092592</v>
      </c>
      <c r="F142" s="13">
        <v>43008.875208333331</v>
      </c>
      <c r="G142" s="7">
        <v>92</v>
      </c>
      <c r="H142" s="21" t="s">
        <v>925</v>
      </c>
      <c r="I142" s="13">
        <v>43008.901365740741</v>
      </c>
      <c r="J142" s="7">
        <v>0</v>
      </c>
      <c r="K142" s="81" t="str">
        <f t="shared" si="53"/>
        <v>4027/4028</v>
      </c>
      <c r="L142" s="175" t="str">
        <f>VLOOKUP(A142,'Trips&amp;Operators'!$C$1:$G$99911,5,FALSE)</f>
        <v>NICHOLSON WESLEY</v>
      </c>
      <c r="M142" s="6">
        <f t="shared" si="54"/>
        <v>2.6157407410209998E-2</v>
      </c>
      <c r="N142" s="7">
        <f t="shared" si="51"/>
        <v>37.666666670702398</v>
      </c>
      <c r="O142" s="7"/>
      <c r="P142" s="7"/>
      <c r="Q142" s="22"/>
      <c r="R142" s="166"/>
      <c r="S142" s="228">
        <f t="shared" si="52"/>
        <v>1</v>
      </c>
      <c r="T142" s="166" t="str">
        <f t="shared" si="55"/>
        <v>NorthBound</v>
      </c>
      <c r="U142" s="21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4" t="str">
        <f t="shared" si="56"/>
        <v>https://d0f6bd738d7f1b3e5a7ca70fe4ff75f0.us-east-1.aws.found.io/app/kibana#/discover/Steve-Slow-Train-Analysis-(2080s-and-2083s)?_g=(refreshInterval:(display:Off,pause:!f,section:0,value:0),time:(from:'2017-09-30T19:47:59-0600',mode:absolute,to:'2017-09-30T22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2" s="215" t="str">
        <f>IF(AA142&lt;VLOOKUP(AG142,Variables!$AC$3:$AD$8,2,FALSE),"Y","N")</f>
        <v>N</v>
      </c>
      <c r="X142" s="215">
        <f t="shared" si="57"/>
        <v>1</v>
      </c>
      <c r="Y142" s="215">
        <f t="shared" si="58"/>
        <v>4.6600000000000003E-2</v>
      </c>
      <c r="Z142" s="215">
        <f t="shared" si="59"/>
        <v>23.328800000000001</v>
      </c>
      <c r="AA142" s="215">
        <f t="shared" si="60"/>
        <v>23.2822</v>
      </c>
      <c r="AB142" s="216" t="e">
        <f>VLOOKUP(A142,Enforcements!$C$7:$K$11,8,0)</f>
        <v>#N/A</v>
      </c>
      <c r="AC142" s="216" t="e">
        <f>VLOOKUP(A142,Enforcements!$C$7:$E$11,3,0)</f>
        <v>#N/A</v>
      </c>
      <c r="AD142" s="217">
        <f t="shared" si="61"/>
        <v>229</v>
      </c>
      <c r="AE142" s="218" t="str">
        <f t="shared" si="62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142" s="68" t="str">
        <f t="shared" si="63"/>
        <v>"C:\Program Files (x86)\AstroGrep\AstroGrep.exe" /e /r /s /spath="%USERPROFILE%\AppData\Local\Temp\OnboardLogs" /stypes="app*4028*20171001*" /stext=" 03:.+((SYSTEM_STATE.+slice.+state.+changed )|(ment ac)|(multiple cpu faults)|(system.+state.+changed )|(\[timeout)|(PRM\|1\|D)|(kpr)|(kdp)|(train st.+moving)|(\|lc)|(penalty))"</v>
      </c>
      <c r="AG142" s="172" t="str">
        <f t="shared" si="64"/>
        <v>EC</v>
      </c>
      <c r="AH142" s="70" t="str">
        <f t="shared" ref="AH142:AH207" si="6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229-30 --locoid 4028 --swversion DE.1.0.9.0 --startMP 204:466 --initTime 2017-09-30T20:47:59 --startdatetime 2017-09-30T21:00:18 --delay 92 --endMP 204:233288 --enddatetime 2017-09-30T21:37:58 --enforcementcount 0 &gt;&gt;c:\users\stu\Documents\GitHub\eaglep3-reporting\EC\2017-09-30-refined-times.txt</v>
      </c>
      <c r="AI142" s="88" t="str">
        <f t="shared" ref="AI142:AI207" si="6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{"issue":{"subject":"","project_id":79,"tracker_id":40,"status_id":1,"priority_id":2,"assigned_to_id":338,"start_date":"2017-09-30","description":"","custom_fields":[{"id":1,"name":"Subdivision","value":"EC"},{"id":4,"name":"Milepost","value":"23.3288"},{"id":17,"name":"Train ID","value":"229-30"},{"id":16,"name":"Locomotive ID","value":"4028"},{"id":130,"name":"Impact","value":""},{"id":150,"name":"Time of Event (Mountain Time)","value":"21:37:58"},{"id":151,"name":"Denver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34" t="str">
        <f t="shared" ref="AM142:AM207" si="67">"start /low /b "&amp;dls3logs&amp;" --loco "&amp;B142&amp;" --day "&amp;TEXT(F142,"YYYY-MM-DD")</f>
        <v>start /low /b %USERPROFILE%\Documents\GitHub\eaglep3\Utilities\DownloadLogsFromS3.py --loco 4028 --day 2017-09-30</v>
      </c>
      <c r="AN142" s="143" t="str">
        <f t="shared" ref="AN142:AN207" si="6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03:37:58"},{"id":29,"name":"Sharepoint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0" t="str">
        <f t="shared" ref="AO142:AO207" si="69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-09-30T19:47:59-0600',mode:absolute,to:'2017-09-30T22:37:58-0600'))&amp;_a=(columns:!('Message%20ID',Summary),filters:!(),index:'emp_*',interval:auto,query:(query_string:(analyze_wildcard:!t,query:'%22rtdc.l.rtdc.4028%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808</v>
      </c>
      <c r="B143" s="7">
        <v>4027</v>
      </c>
      <c r="C143" s="21" t="s">
        <v>195</v>
      </c>
      <c r="D143" s="21" t="s">
        <v>404</v>
      </c>
      <c r="E143" s="13">
        <v>43008.904675925929</v>
      </c>
      <c r="F143" s="13">
        <v>43008.914803240739</v>
      </c>
      <c r="G143" s="7">
        <v>116</v>
      </c>
      <c r="H143" s="21" t="s">
        <v>360</v>
      </c>
      <c r="I143" s="13">
        <v>43008.942210648151</v>
      </c>
      <c r="J143" s="7">
        <v>0</v>
      </c>
      <c r="K143" s="81" t="str">
        <f t="shared" si="53"/>
        <v>4027/4028</v>
      </c>
      <c r="L143" s="175" t="str">
        <f>VLOOKUP(A143,'Trips&amp;Operators'!$C$1:$G$99911,5,FALSE)</f>
        <v>NICHOLSON WESLEY</v>
      </c>
      <c r="M143" s="6">
        <f t="shared" si="54"/>
        <v>2.7407407411374152E-2</v>
      </c>
      <c r="N143" s="7">
        <f t="shared" si="51"/>
        <v>39.466666672378778</v>
      </c>
      <c r="O143" s="7"/>
      <c r="P143" s="7"/>
      <c r="Q143" s="22"/>
      <c r="R143" s="166"/>
      <c r="S143" s="228">
        <f t="shared" si="52"/>
        <v>1</v>
      </c>
      <c r="T143" s="166" t="str">
        <f t="shared" si="55"/>
        <v>Southbound</v>
      </c>
      <c r="U143" s="21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4" t="str">
        <f t="shared" si="56"/>
        <v>https://d0f6bd738d7f1b3e5a7ca70fe4ff75f0.us-east-1.aws.found.io/app/kibana#/discover/Steve-Slow-Train-Analysis-(2080s-and-2083s)?_g=(refreshInterval:(display:Off,pause:!f,section:0,value:0),time:(from:'2017-09-30T20:42:44-0600',mode:absolute,to:'2017-09-30T23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3" s="215" t="str">
        <f>IF(AA143&lt;VLOOKUP(AG143,Variables!$AC$3:$AD$8,2,FALSE),"Y","N")</f>
        <v>N</v>
      </c>
      <c r="X143" s="215">
        <f t="shared" si="57"/>
        <v>1</v>
      </c>
      <c r="Y143" s="215">
        <f t="shared" si="58"/>
        <v>23.297499999999999</v>
      </c>
      <c r="Z143" s="215">
        <f t="shared" si="59"/>
        <v>1.4500000000000001E-2</v>
      </c>
      <c r="AA143" s="215">
        <f t="shared" si="60"/>
        <v>23.282999999999998</v>
      </c>
      <c r="AB143" s="216" t="e">
        <f>VLOOKUP(A143,Enforcements!$C$7:$K$11,8,0)</f>
        <v>#N/A</v>
      </c>
      <c r="AC143" s="216" t="e">
        <f>VLOOKUP(A143,Enforcements!$C$7:$E$11,3,0)</f>
        <v>#N/A</v>
      </c>
      <c r="AD143" s="217">
        <f t="shared" si="61"/>
        <v>230</v>
      </c>
      <c r="AE143" s="218" t="str">
        <f t="shared" si="62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143" s="68" t="str">
        <f t="shared" si="63"/>
        <v>"C:\Program Files (x86)\AstroGrep\AstroGrep.exe" /e /r /s /spath="%USERPROFILE%\AppData\Local\Temp\OnboardLogs" /stypes="app*4027*20171001*" /stext=" 04:.+((SYSTEM_STATE.+slice.+state.+changed )|(ment ac)|(multiple cpu faults)|(system.+state.+changed )|(\[timeout)|(PRM\|1\|D)|(kpr)|(kdp)|(train st.+moving)|(\|lc)|(penalty))"</v>
      </c>
      <c r="AG143" s="172" t="str">
        <f t="shared" si="64"/>
        <v>EC</v>
      </c>
      <c r="AH143" s="70" t="str">
        <f t="shared" si="65"/>
        <v>"%USERPROFILE%\Documents\GitHub\eaglep3\Utilities\RefineRTDCRunTimes.py" --tripid 230-30 --locoid 4027 --swversion DE.1.0.9.0 --startMP 204:232975 --initTime 2017-09-30T21:42:44 --startdatetime 2017-09-30T21:57:19 --delay 116 --endMP 204:145 --enddatetime 2017-09-30T22:36:47 --enforcementcount 0 &gt;&gt;c:\users\stu\Documents\GitHub\eaglep3-reporting\EC\2017-09-30-refined-times.txt</v>
      </c>
      <c r="AI143" s="88" t="str">
        <f t="shared" si="66"/>
        <v>echo {"issue":{"subject":"","project_id":79,"tracker_id":40,"status_id":1,"priority_id":2,"assigned_to_id":338,"start_date":"2017-09-30","description":"","custom_fields":[{"id":1,"name":"Subdivision","value":"EC"},{"id":4,"name":"Milepost","value":"0.0145"},{"id":17,"name":"Train ID","value":"230-30"},{"id":16,"name":"Locomotive ID","value":"4027"},{"id":130,"name":"Impact","value":""},{"id":150,"name":"Time of Event (Mountain Time)","value":"22:36:47"},{"id":151,"name":"Denver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34" t="str">
        <f t="shared" si="67"/>
        <v>start /low /b %USERPROFILE%\Documents\GitHub\eaglep3\Utilities\DownloadLogsFromS3.py --loco 4027 --day 2017-09-30</v>
      </c>
      <c r="AN143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04:36:47"},{"id":29,"name":"Sharepoint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0" t="str">
        <f t="shared" si="69"/>
        <v>https://d0f6bd738d7f1b3e5a7ca70fe4ff75f0.us-east-1.aws.found.io/app/kibana#/discover/Steve-Slow-Train-Analysis-(2080s-and-2083s)?_g=(refreshInterval:(display:Off,pause:!f,section:0,value:0),time:(from:'2017-09-30T20:42:44-0600',mode:absolute,to:'2017-09-30T23:36:47-0600'))&amp;_a=(columns:!('Message%20ID',Summary),filters:!(),index:'emp_*',interval:auto,query:(query_string:(analyze_wildcard:!t,query:'%22rtdc.l.rtdc.4027%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804</v>
      </c>
      <c r="B144" s="7">
        <v>4010</v>
      </c>
      <c r="C144" s="21" t="s">
        <v>195</v>
      </c>
      <c r="D144" s="21" t="s">
        <v>359</v>
      </c>
      <c r="E144" s="13">
        <v>43008.879953703705</v>
      </c>
      <c r="F144" s="13">
        <v>43008.896018518521</v>
      </c>
      <c r="G144" s="7">
        <v>56</v>
      </c>
      <c r="H144" s="21" t="s">
        <v>466</v>
      </c>
      <c r="I144" s="13">
        <v>43008.921712962961</v>
      </c>
      <c r="J144" s="7">
        <v>0</v>
      </c>
      <c r="K144" s="81" t="str">
        <f t="shared" si="53"/>
        <v>4009/4010</v>
      </c>
      <c r="L144" s="175" t="str">
        <f>VLOOKUP(A144,'Trips&amp;Operators'!$C$1:$G$99911,5,FALSE)</f>
        <v>FORTUNATO FRANK</v>
      </c>
      <c r="M144" s="6">
        <f t="shared" si="54"/>
        <v>2.569444444088731E-2</v>
      </c>
      <c r="N144" s="7">
        <f t="shared" si="51"/>
        <v>36.999999994877726</v>
      </c>
      <c r="O144" s="7"/>
      <c r="P144" s="7"/>
      <c r="Q144" s="22"/>
      <c r="R144" s="166"/>
      <c r="S144" s="228">
        <f t="shared" si="52"/>
        <v>1</v>
      </c>
      <c r="T144" s="166" t="str">
        <f t="shared" si="55"/>
        <v>NorthBound</v>
      </c>
      <c r="U144" s="21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4" t="str">
        <f t="shared" si="56"/>
        <v>https://d0f6bd738d7f1b3e5a7ca70fe4ff75f0.us-east-1.aws.found.io/app/kibana#/discover/Steve-Slow-Train-Analysis-(2080s-and-2083s)?_g=(refreshInterval:(display:Off,pause:!f,section:0,value:0),time:(from:'2017-09-30T20:07:08-0600',mode:absolute,to:'2017-09-30T23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4" s="215" t="str">
        <f>IF(AA144&lt;VLOOKUP(AG144,Variables!$AC$3:$AD$8,2,FALSE),"Y","N")</f>
        <v>N</v>
      </c>
      <c r="X144" s="215">
        <f t="shared" si="57"/>
        <v>1</v>
      </c>
      <c r="Y144" s="215">
        <f t="shared" si="58"/>
        <v>4.6399999999999997E-2</v>
      </c>
      <c r="Z144" s="215">
        <f t="shared" si="59"/>
        <v>23.331099999999999</v>
      </c>
      <c r="AA144" s="215">
        <f t="shared" si="60"/>
        <v>23.284700000000001</v>
      </c>
      <c r="AB144" s="216" t="e">
        <f>VLOOKUP(A144,Enforcements!$C$7:$K$11,8,0)</f>
        <v>#N/A</v>
      </c>
      <c r="AC144" s="216" t="e">
        <f>VLOOKUP(A144,Enforcements!$C$7:$E$11,3,0)</f>
        <v>#N/A</v>
      </c>
      <c r="AD144" s="217">
        <f t="shared" si="61"/>
        <v>231</v>
      </c>
      <c r="AE144" s="218" t="str">
        <f t="shared" si="62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144" s="68" t="str">
        <f t="shared" si="63"/>
        <v>"C:\Program Files (x86)\AstroGrep\AstroGrep.exe" /e /r /s /spath="%USERPROFILE%\AppData\Local\Temp\OnboardLogs" /stypes="app*4010*20171001*" /stext=" 04:.+((SYSTEM_STATE.+slice.+state.+changed )|(ment ac)|(multiple cpu faults)|(system.+state.+changed )|(\[timeout)|(PRM\|1\|D)|(kpr)|(kdp)|(train st.+moving)|(\|lc)|(penalty))"</v>
      </c>
      <c r="AG144" s="172" t="str">
        <f t="shared" si="64"/>
        <v>EC</v>
      </c>
      <c r="AH144" s="70" t="str">
        <f t="shared" si="65"/>
        <v>"%USERPROFILE%\Documents\GitHub\eaglep3\Utilities\RefineRTDCRunTimes.py" --tripid 231-30 --locoid 4010 --swversion DE.1.0.9.0 --startMP 204:464 --initTime 2017-09-30T21:07:08 --startdatetime 2017-09-30T21:30:16 --delay 56 --endMP 204:233311 --enddatetime 2017-09-30T22:07:16 --enforcementcount 0 &gt;&gt;c:\users\stu\Documents\GitHub\eaglep3-reporting\EC\2017-09-30-refined-times.txt</v>
      </c>
      <c r="AI144" s="88" t="str">
        <f t="shared" si="66"/>
        <v>echo {"issue":{"subject":"","project_id":79,"tracker_id":40,"status_id":1,"priority_id":2,"assigned_to_id":338,"start_date":"2017-09-30","description":"","custom_fields":[{"id":1,"name":"Subdivision","value":"EC"},{"id":4,"name":"Milepost","value":"23.3311"},{"id":17,"name":"Train ID","value":"231-30"},{"id":16,"name":"Locomotive ID","value":"4010"},{"id":130,"name":"Impact","value":""},{"id":150,"name":"Time of Event (Mountain Time)","value":"22:07:16"},{"id":151,"name":"Denver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34" t="str">
        <f t="shared" si="67"/>
        <v>start /low /b %USERPROFILE%\Documents\GitHub\eaglep3\Utilities\DownloadLogsFromS3.py --loco 4010 --day 2017-09-30</v>
      </c>
      <c r="AN144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04:07:16"},{"id":29,"name":"Sharepoint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0" t="str">
        <f t="shared" si="69"/>
        <v>https://d0f6bd738d7f1b3e5a7ca70fe4ff75f0.us-east-1.aws.found.io/app/kibana#/discover/Steve-Slow-Train-Analysis-(2080s-and-2083s)?_g=(refreshInterval:(display:Off,pause:!f,section:0,value:0),time:(from:'2017-09-30T20:07:08-0600',mode:absolute,to:'2017-09-30T23:07:16-0600'))&amp;_a=(columns:!('Message%20ID',Summary),filters:!(),index:'emp_*',interval:auto,query:(query_string:(analyze_wildcard:!t,query:'%22rtdc.l.rtdc.4010%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811</v>
      </c>
      <c r="B145" s="7">
        <v>4009</v>
      </c>
      <c r="C145" s="21" t="s">
        <v>195</v>
      </c>
      <c r="D145" s="21" t="s">
        <v>926</v>
      </c>
      <c r="E145" s="13">
        <v>43008.923067129632</v>
      </c>
      <c r="F145" s="13">
        <v>43008.935578703706</v>
      </c>
      <c r="G145" s="7">
        <v>52</v>
      </c>
      <c r="H145" s="21" t="s">
        <v>562</v>
      </c>
      <c r="I145" s="13">
        <v>43008.962418981479</v>
      </c>
      <c r="J145" s="7">
        <v>0</v>
      </c>
      <c r="K145" s="81" t="str">
        <f t="shared" si="53"/>
        <v>4009/4010</v>
      </c>
      <c r="L145" s="175" t="str">
        <f>VLOOKUP(A145,'Trips&amp;Operators'!$C$1:$G$99911,5,FALSE)</f>
        <v>FORTUNATO FRANK</v>
      </c>
      <c r="M145" s="6">
        <f t="shared" si="54"/>
        <v>2.6840277772862464E-2</v>
      </c>
      <c r="N145" s="7">
        <f t="shared" si="51"/>
        <v>38.649999992921948</v>
      </c>
      <c r="O145" s="7"/>
      <c r="P145" s="7"/>
      <c r="Q145" s="22"/>
      <c r="R145" s="166"/>
      <c r="S145" s="228">
        <f t="shared" si="52"/>
        <v>1</v>
      </c>
      <c r="T145" s="166" t="str">
        <f t="shared" si="55"/>
        <v>Southbound</v>
      </c>
      <c r="U145" s="21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4" t="str">
        <f t="shared" si="56"/>
        <v>https://d0f6bd738d7f1b3e5a7ca70fe4ff75f0.us-east-1.aws.found.io/app/kibana#/discover/Steve-Slow-Train-Analysis-(2080s-and-2083s)?_g=(refreshInterval:(display:Off,pause:!f,section:0,value:0),time:(from:'2017-09-30T21:09:13-0600',mode:absolute,to:'2017-10-01T00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5" s="215" t="str">
        <f>IF(AA145&lt;VLOOKUP(AG145,Variables!$AC$3:$AD$8,2,FALSE),"Y","N")</f>
        <v>N</v>
      </c>
      <c r="X145" s="215">
        <f t="shared" si="57"/>
        <v>1</v>
      </c>
      <c r="Y145" s="215">
        <f t="shared" si="58"/>
        <v>23.298400000000001</v>
      </c>
      <c r="Z145" s="215">
        <f t="shared" si="59"/>
        <v>1.32E-2</v>
      </c>
      <c r="AA145" s="215">
        <f t="shared" si="60"/>
        <v>23.2852</v>
      </c>
      <c r="AB145" s="216" t="e">
        <f>VLOOKUP(A145,Enforcements!$C$7:$K$11,8,0)</f>
        <v>#N/A</v>
      </c>
      <c r="AC145" s="216" t="e">
        <f>VLOOKUP(A145,Enforcements!$C$7:$E$11,3,0)</f>
        <v>#N/A</v>
      </c>
      <c r="AD145" s="217">
        <f t="shared" si="61"/>
        <v>232</v>
      </c>
      <c r="AE145" s="218" t="str">
        <f t="shared" si="62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145" s="68" t="str">
        <f t="shared" si="63"/>
        <v>"C:\Program Files (x86)\AstroGrep\AstroGrep.exe" /e /r /s /spath="%USERPROFILE%\AppData\Local\Temp\OnboardLogs" /stypes="app*4009*20171001*" /stext=" 05:.+((SYSTEM_STATE.+slice.+state.+changed )|(ment ac)|(multiple cpu faults)|(system.+state.+changed )|(\[timeout)|(PRM\|1\|D)|(kpr)|(kdp)|(train st.+moving)|(\|lc)|(penalty))"</v>
      </c>
      <c r="AG145" s="172" t="str">
        <f t="shared" si="64"/>
        <v>EC</v>
      </c>
      <c r="AH145" s="70" t="str">
        <f t="shared" si="65"/>
        <v>"%USERPROFILE%\Documents\GitHub\eaglep3\Utilities\RefineRTDCRunTimes.py" --tripid 232-30 --locoid 4009 --swversion DE.1.0.9.0 --startMP 204:232984 --initTime 2017-09-30T22:09:13 --startdatetime 2017-09-30T22:27:14 --delay 52 --endMP 204:132 --enddatetime 2017-09-30T23:05:53 --enforcementcount 0 &gt;&gt;c:\users\stu\Documents\GitHub\eaglep3-reporting\EC\2017-09-30-refined-times.txt</v>
      </c>
      <c r="AI145" s="88" t="str">
        <f t="shared" si="66"/>
        <v>echo {"issue":{"subject":"","project_id":79,"tracker_id":40,"status_id":1,"priority_id":2,"assigned_to_id":338,"start_date":"2017-09-30","description":"","custom_fields":[{"id":1,"name":"Subdivision","value":"EC"},{"id":4,"name":"Milepost","value":"0.0132"},{"id":17,"name":"Train ID","value":"232-30"},{"id":16,"name":"Locomotive ID","value":"4009"},{"id":130,"name":"Impact","value":""},{"id":150,"name":"Time of Event (Mountain Time)","value":"23:05:53"},{"id":151,"name":"Denver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34" t="str">
        <f t="shared" si="67"/>
        <v>start /low /b %USERPROFILE%\Documents\GitHub\eaglep3\Utilities\DownloadLogsFromS3.py --loco 4009 --day 2017-09-30</v>
      </c>
      <c r="AN145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05:05:53"},{"id":29,"name":"Sharepoint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0" t="str">
        <f t="shared" si="69"/>
        <v>https://d0f6bd738d7f1b3e5a7ca70fe4ff75f0.us-east-1.aws.found.io/app/kibana#/discover/Steve-Slow-Train-Analysis-(2080s-and-2083s)?_g=(refreshInterval:(display:Off,pause:!f,section:0,value:0),time:(from:'2017-09-30T21:09:13-0600',mode:absolute,to:'2017-10-01T00:05:53-0600'))&amp;_a=(columns:!('Message%20ID',Summary),filters:!(),index:'emp_*',interval:auto,query:(query_string:(analyze_wildcard:!t,query:'%22rtdc.l.rtdc.4009%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807</v>
      </c>
      <c r="B146" s="7">
        <v>4052</v>
      </c>
      <c r="C146" s="21" t="s">
        <v>195</v>
      </c>
      <c r="D146" s="21" t="s">
        <v>339</v>
      </c>
      <c r="E146" s="13">
        <v>43008.899386574078</v>
      </c>
      <c r="F146" s="13">
        <v>43008.916817129626</v>
      </c>
      <c r="G146" s="7">
        <v>68</v>
      </c>
      <c r="H146" s="21" t="s">
        <v>386</v>
      </c>
      <c r="I146" s="13">
        <v>43008.941331018519</v>
      </c>
      <c r="J146" s="7">
        <v>0</v>
      </c>
      <c r="K146" s="81" t="str">
        <f t="shared" si="53"/>
        <v>4051/4052</v>
      </c>
      <c r="L146" s="175" t="str">
        <f>VLOOKUP(A146,'Trips&amp;Operators'!$C$1:$G$99911,5,FALSE)</f>
        <v>ELBAUM MIKE</v>
      </c>
      <c r="M146" s="6">
        <f t="shared" si="54"/>
        <v>2.4513888893125113E-2</v>
      </c>
      <c r="N146" s="7">
        <f t="shared" si="51"/>
        <v>35.300000006100163</v>
      </c>
      <c r="O146" s="7"/>
      <c r="P146" s="7"/>
      <c r="Q146" s="22"/>
      <c r="R146" s="166"/>
      <c r="S146" s="228">
        <f t="shared" si="52"/>
        <v>1</v>
      </c>
      <c r="T146" s="166" t="str">
        <f t="shared" si="55"/>
        <v>NorthBound</v>
      </c>
      <c r="U146" s="21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4" t="str">
        <f t="shared" si="56"/>
        <v>https://d0f6bd738d7f1b3e5a7ca70fe4ff75f0.us-east-1.aws.found.io/app/kibana#/discover/Steve-Slow-Train-Analysis-(2080s-and-2083s)?_g=(refreshInterval:(display:Off,pause:!f,section:0,value:0),time:(from:'2017-09-30T20:35:07-0600',mode:absolute,to:'2017-09-30T23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6" s="215" t="str">
        <f>IF(AA146&lt;VLOOKUP(AG146,Variables!$AC$3:$AD$8,2,FALSE),"Y","N")</f>
        <v>N</v>
      </c>
      <c r="X146" s="215">
        <f t="shared" si="57"/>
        <v>1</v>
      </c>
      <c r="Y146" s="215">
        <f t="shared" si="58"/>
        <v>4.53E-2</v>
      </c>
      <c r="Z146" s="215">
        <f t="shared" si="59"/>
        <v>23.331199999999999</v>
      </c>
      <c r="AA146" s="215">
        <f t="shared" si="60"/>
        <v>23.285899999999998</v>
      </c>
      <c r="AB146" s="216" t="e">
        <f>VLOOKUP(A146,Enforcements!$C$7:$K$11,8,0)</f>
        <v>#N/A</v>
      </c>
      <c r="AC146" s="216" t="e">
        <f>VLOOKUP(A146,Enforcements!$C$7:$E$11,3,0)</f>
        <v>#N/A</v>
      </c>
      <c r="AD146" s="217">
        <f t="shared" si="61"/>
        <v>233</v>
      </c>
      <c r="AE146" s="218" t="str">
        <f t="shared" si="62"/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AF146" s="68" t="str">
        <f t="shared" si="63"/>
        <v>"C:\Program Files (x86)\AstroGrep\AstroGrep.exe" /e /r /s /spath="%USERPROFILE%\AppData\Local\Temp\OnboardLogs" /stypes="app*4052*20171001*" /stext=" 04:.+((SYSTEM_STATE.+slice.+state.+changed )|(ment ac)|(multiple cpu faults)|(system.+state.+changed )|(\[timeout)|(PRM\|1\|D)|(kpr)|(kdp)|(train st.+moving)|(\|lc)|(penalty))"</v>
      </c>
      <c r="AG146" s="172" t="str">
        <f t="shared" si="64"/>
        <v>EC</v>
      </c>
      <c r="AH146" s="70" t="str">
        <f t="shared" si="65"/>
        <v>"%USERPROFILE%\Documents\GitHub\eaglep3\Utilities\RefineRTDCRunTimes.py" --tripid 233-30 --locoid 4052 --swversion DE.1.0.9.0 --startMP 204:453 --initTime 2017-09-30T21:35:07 --startdatetime 2017-09-30T22:00:13 --delay 68 --endMP 204:233312 --enddatetime 2017-09-30T22:35:31 --enforcementcount 0 &gt;&gt;c:\users\stu\Documents\GitHub\eaglep3-reporting\EC\2017-09-30-refined-times.txt</v>
      </c>
      <c r="AI146" s="88" t="str">
        <f t="shared" si="66"/>
        <v>echo {"issue":{"subject":"","project_id":79,"tracker_id":40,"status_id":1,"priority_id":2,"assigned_to_id":338,"start_date":"2017-09-30","description":"","custom_fields":[{"id":1,"name":"Subdivision","value":"EC"},{"id":4,"name":"Milepost","value":"23.3312"},{"id":17,"name":"Train ID","value":"233-30"},{"id":16,"name":"Locomotive ID","value":"4052"},{"id":130,"name":"Impact","value":""},{"id":150,"name":"Time of Event (Mountain Time)","value":"22:35:31"},{"id":151,"name":"Denver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34" t="str">
        <f t="shared" si="67"/>
        <v>start /low /b %USERPROFILE%\Documents\GitHub\eaglep3\Utilities\DownloadLogsFromS3.py --loco 4052 --day 2017-09-30</v>
      </c>
      <c r="AN146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0" t="str">
        <f t="shared" si="69"/>
        <v>https://d0f6bd738d7f1b3e5a7ca70fe4ff75f0.us-east-1.aws.found.io/app/kibana#/discover/Steve-Slow-Train-Analysis-(2080s-and-2083s)?_g=(refreshInterval:(display:Off,pause:!f,section:0,value:0),time:(from:'2017-09-30T20:35:07-0600',mode:absolute,to:'2017-09-30T23:35:31-0600'))&amp;_a=(columns:!('Message%20ID',Summary),filters:!(),index:'emp_*',interval:auto,query:(query_string:(analyze_wildcard:!t,query:'%22rtdc.l.rtdc.4052%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813</v>
      </c>
      <c r="B147" s="7">
        <v>4051</v>
      </c>
      <c r="C147" s="21" t="s">
        <v>195</v>
      </c>
      <c r="D147" s="21" t="s">
        <v>472</v>
      </c>
      <c r="E147" s="13">
        <v>43008.942627314813</v>
      </c>
      <c r="F147" s="13">
        <v>43008.956377314818</v>
      </c>
      <c r="G147" s="7">
        <v>87</v>
      </c>
      <c r="H147" s="21" t="s">
        <v>337</v>
      </c>
      <c r="I147" s="13">
        <v>43008.982407407406</v>
      </c>
      <c r="J147" s="7">
        <v>0</v>
      </c>
      <c r="K147" s="81" t="str">
        <f t="shared" si="53"/>
        <v>4051/4052</v>
      </c>
      <c r="L147" s="175" t="str">
        <f>VLOOKUP(A147,'Trips&amp;Operators'!$C$1:$G$99911,5,FALSE)</f>
        <v>ELBAUM MIKE</v>
      </c>
      <c r="M147" s="6">
        <f t="shared" si="54"/>
        <v>2.6030092587461695E-2</v>
      </c>
      <c r="N147" s="7">
        <f t="shared" si="51"/>
        <v>37.483333325944841</v>
      </c>
      <c r="O147" s="7"/>
      <c r="P147" s="7"/>
      <c r="Q147" s="22"/>
      <c r="R147" s="166"/>
      <c r="S147" s="228">
        <f t="shared" si="52"/>
        <v>1</v>
      </c>
      <c r="T147" s="166" t="str">
        <f t="shared" si="55"/>
        <v>Southbound</v>
      </c>
      <c r="U147" s="21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4" t="str">
        <f t="shared" si="56"/>
        <v>https://d0f6bd738d7f1b3e5a7ca70fe4ff75f0.us-east-1.aws.found.io/app/kibana#/discover/Steve-Slow-Train-Analysis-(2080s-and-2083s)?_g=(refreshInterval:(display:Off,pause:!f,section:0,value:0),time:(from:'2017-09-30T21:37:23-0600',mode:absolute,to:'2017-10-01T00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7" s="215" t="str">
        <f>IF(AA147&lt;VLOOKUP(AG147,Variables!$AC$3:$AD$8,2,FALSE),"Y","N")</f>
        <v>N</v>
      </c>
      <c r="X147" s="215">
        <f t="shared" si="57"/>
        <v>1</v>
      </c>
      <c r="Y147" s="215">
        <f t="shared" si="58"/>
        <v>23.299399999999999</v>
      </c>
      <c r="Z147" s="215">
        <f t="shared" si="59"/>
        <v>1.49E-2</v>
      </c>
      <c r="AA147" s="215">
        <f t="shared" si="60"/>
        <v>23.284499999999998</v>
      </c>
      <c r="AB147" s="216" t="e">
        <f>VLOOKUP(A147,Enforcements!$C$7:$K$11,8,0)</f>
        <v>#N/A</v>
      </c>
      <c r="AC147" s="216" t="e">
        <f>VLOOKUP(A147,Enforcements!$C$7:$E$11,3,0)</f>
        <v>#N/A</v>
      </c>
      <c r="AD147" s="217">
        <f t="shared" si="61"/>
        <v>234</v>
      </c>
      <c r="AE147" s="218" t="str">
        <f t="shared" si="62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147" s="68" t="str">
        <f t="shared" si="63"/>
        <v>"C:\Program Files (x86)\AstroGrep\AstroGrep.exe" /e /r /s /spath="%USERPROFILE%\AppData\Local\Temp\OnboardLogs" /stypes="app*4051*20171001*" /stext=" 05:.+((SYSTEM_STATE.+slice.+state.+changed )|(ment ac)|(multiple cpu faults)|(system.+state.+changed )|(\[timeout)|(PRM\|1\|D)|(kpr)|(kdp)|(train st.+moving)|(\|lc)|(penalty))"</v>
      </c>
      <c r="AG147" s="172" t="str">
        <f t="shared" si="64"/>
        <v>EC</v>
      </c>
      <c r="AH147" s="70" t="str">
        <f t="shared" si="65"/>
        <v>"%USERPROFILE%\Documents\GitHub\eaglep3\Utilities\RefineRTDCRunTimes.py" --tripid 234-30 --locoid 4051 --swversion DE.1.0.9.0 --startMP 204:232994 --initTime 2017-09-30T22:37:23 --startdatetime 2017-09-30T22:57:11 --delay 87 --endMP 204:149 --enddatetime 2017-09-30T23:34:40 --enforcementcount 0 &gt;&gt;c:\users\stu\Documents\GitHub\eaglep3-reporting\EC\2017-09-30-refined-times.txt</v>
      </c>
      <c r="AI147" s="88" t="str">
        <f t="shared" si="66"/>
        <v>echo {"issue":{"subject":"","project_id":79,"tracker_id":40,"status_id":1,"priority_id":2,"assigned_to_id":338,"start_date":"2017-09-30","description":"","custom_fields":[{"id":1,"name":"Subdivision","value":"EC"},{"id":4,"name":"Milepost","value":"0.0149"},{"id":17,"name":"Train ID","value":"234-30"},{"id":16,"name":"Locomotive ID","value":"4051"},{"id":130,"name":"Impact","value":""},{"id":150,"name":"Time of Event (Mountain Time)","value":"23:34:40"},{"id":151,"name":"Denver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34" t="str">
        <f t="shared" si="67"/>
        <v>start /low /b %USERPROFILE%\Documents\GitHub\eaglep3\Utilities\DownloadLogsFromS3.py --loco 4051 --day 2017-09-30</v>
      </c>
      <c r="AN147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05:34:40"},{"id":29,"name":"Sharepoint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0" t="str">
        <f t="shared" si="69"/>
        <v>https://d0f6bd738d7f1b3e5a7ca70fe4ff75f0.us-east-1.aws.found.io/app/kibana#/discover/Steve-Slow-Train-Analysis-(2080s-and-2083s)?_g=(refreshInterval:(display:Off,pause:!f,section:0,value:0),time:(from:'2017-09-30T21:37:23-0600',mode:absolute,to:'2017-10-01T00:34:40-0600'))&amp;_a=(columns:!('Message%20ID',Summary),filters:!(),index:'emp_*',interval:auto,query:(query_string:(analyze_wildcard:!t,query:'%22rtdc.l.rtdc.4051%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810</v>
      </c>
      <c r="B148" s="7">
        <v>4040</v>
      </c>
      <c r="C148" s="21" t="s">
        <v>195</v>
      </c>
      <c r="D148" s="21" t="s">
        <v>494</v>
      </c>
      <c r="E148" s="13">
        <v>43008.922881944447</v>
      </c>
      <c r="F148" s="13">
        <v>43008.9378125</v>
      </c>
      <c r="G148" s="7">
        <v>55</v>
      </c>
      <c r="H148" s="21" t="s">
        <v>565</v>
      </c>
      <c r="I148" s="13">
        <v>43008.962881944448</v>
      </c>
      <c r="J148" s="7">
        <v>0</v>
      </c>
      <c r="K148" s="81" t="str">
        <f t="shared" si="53"/>
        <v>4039/4040</v>
      </c>
      <c r="L148" s="175" t="str">
        <f>VLOOKUP(A148,'Trips&amp;Operators'!$C$1:$G$99911,5,FALSE)</f>
        <v>RESPASS AARON</v>
      </c>
      <c r="M148" s="6">
        <f t="shared" si="54"/>
        <v>2.5069444447581191E-2</v>
      </c>
      <c r="N148" s="7">
        <f t="shared" si="51"/>
        <v>36.100000004516914</v>
      </c>
      <c r="O148" s="7"/>
      <c r="P148" s="7"/>
      <c r="Q148" s="22"/>
      <c r="R148" s="166"/>
      <c r="S148" s="228">
        <f t="shared" si="52"/>
        <v>1</v>
      </c>
      <c r="T148" s="166" t="str">
        <f t="shared" si="55"/>
        <v>NorthBound</v>
      </c>
      <c r="U148" s="21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4" t="str">
        <f t="shared" si="56"/>
        <v>https://d0f6bd738d7f1b3e5a7ca70fe4ff75f0.us-east-1.aws.found.io/app/kibana#/discover/Steve-Slow-Train-Analysis-(2080s-and-2083s)?_g=(refreshInterval:(display:Off,pause:!f,section:0,value:0),time:(from:'2017-09-30T21:08:57-0600',mode:absolute,to:'2017-10-01T00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8" s="215" t="str">
        <f>IF(AA148&lt;VLOOKUP(AG148,Variables!$AC$3:$AD$8,2,FALSE),"Y","N")</f>
        <v>N</v>
      </c>
      <c r="X148" s="215">
        <f t="shared" si="57"/>
        <v>1</v>
      </c>
      <c r="Y148" s="215">
        <f t="shared" si="58"/>
        <v>4.4900000000000002E-2</v>
      </c>
      <c r="Z148" s="215">
        <f t="shared" si="59"/>
        <v>23.327200000000001</v>
      </c>
      <c r="AA148" s="215">
        <f t="shared" si="60"/>
        <v>23.282300000000003</v>
      </c>
      <c r="AB148" s="216" t="e">
        <f>VLOOKUP(A148,Enforcements!$C$7:$K$11,8,0)</f>
        <v>#N/A</v>
      </c>
      <c r="AC148" s="216" t="e">
        <f>VLOOKUP(A148,Enforcements!$C$7:$E$11,3,0)</f>
        <v>#N/A</v>
      </c>
      <c r="AD148" s="217">
        <f t="shared" si="61"/>
        <v>235</v>
      </c>
      <c r="AE148" s="218" t="str">
        <f t="shared" si="62"/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AF148" s="68" t="str">
        <f t="shared" si="63"/>
        <v>"C:\Program Files (x86)\AstroGrep\AstroGrep.exe" /e /r /s /spath="%USERPROFILE%\AppData\Local\Temp\OnboardLogs" /stypes="app*4040*20171001*" /stext=" 05:.+((SYSTEM_STATE.+slice.+state.+changed )|(ment ac)|(multiple cpu faults)|(system.+state.+changed )|(\[timeout)|(PRM\|1\|D)|(kpr)|(kdp)|(train st.+moving)|(\|lc)|(penalty))"</v>
      </c>
      <c r="AG148" s="172" t="str">
        <f t="shared" si="64"/>
        <v>EC</v>
      </c>
      <c r="AH148" s="70" t="str">
        <f t="shared" si="65"/>
        <v>"%USERPROFILE%\Documents\GitHub\eaglep3\Utilities\RefineRTDCRunTimes.py" --tripid 235-30 --locoid 4040 --swversion DE.1.0.9.0 --startMP 204:449 --initTime 2017-09-30T22:08:57 --startdatetime 2017-09-30T22:30:27 --delay 55 --endMP 204:233272 --enddatetime 2017-09-30T23:06:33 --enforcementcount 0 &gt;&gt;c:\users\stu\Documents\GitHub\eaglep3-reporting\EC\2017-09-30-refined-times.txt</v>
      </c>
      <c r="AI148" s="88" t="str">
        <f t="shared" si="66"/>
        <v>echo {"issue":{"subject":"","project_id":79,"tracker_id":40,"status_id":1,"priority_id":2,"assigned_to_id":338,"start_date":"2017-09-30","description":"","custom_fields":[{"id":1,"name":"Subdivision","value":"EC"},{"id":4,"name":"Milepost","value":"23.3272"},{"id":17,"name":"Train ID","value":"235-30"},{"id":16,"name":"Locomotive ID","value":"4040"},{"id":130,"name":"Impact","value":""},{"id":150,"name":"Time of Event (Mountain Time)","value":"23:06:33"},{"id":151,"name":"Denver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34" t="str">
        <f t="shared" si="67"/>
        <v>start /low /b %USERPROFILE%\Documents\GitHub\eaglep3\Utilities\DownloadLogsFromS3.py --loco 4040 --day 2017-09-30</v>
      </c>
      <c r="AN148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05:06:33"},{"id":29,"name":"Sharepoint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0" t="str">
        <f t="shared" si="69"/>
        <v>https://d0f6bd738d7f1b3e5a7ca70fe4ff75f0.us-east-1.aws.found.io/app/kibana#/discover/Steve-Slow-Train-Analysis-(2080s-and-2083s)?_g=(refreshInterval:(display:Off,pause:!f,section:0,value:0),time:(from:'2017-09-30T21:08:57-0600',mode:absolute,to:'2017-10-01T00:06:33-0600'))&amp;_a=(columns:!('Message%20ID',Summary),filters:!(),index:'emp_*',interval:auto,query:(query_string:(analyze_wildcard:!t,query:'%22rtdc.l.rtdc.4040%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611</v>
      </c>
      <c r="B149" s="7">
        <v>4039</v>
      </c>
      <c r="C149" s="21" t="s">
        <v>195</v>
      </c>
      <c r="D149" s="21" t="s">
        <v>490</v>
      </c>
      <c r="E149" s="13">
        <v>43008.97215277778</v>
      </c>
      <c r="F149" s="13">
        <v>43008.97724537037</v>
      </c>
      <c r="G149" s="7">
        <v>56</v>
      </c>
      <c r="H149" s="21" t="s">
        <v>356</v>
      </c>
      <c r="I149" s="13">
        <v>43009.005358796298</v>
      </c>
      <c r="J149" s="7">
        <v>0</v>
      </c>
      <c r="K149" s="81" t="str">
        <f t="shared" si="53"/>
        <v>4039/4040</v>
      </c>
      <c r="L149" s="175" t="str">
        <f>VLOOKUP(A149,'Trips&amp;Operators'!$C$1:$G$99911,5,FALSE)</f>
        <v>RESPASS AARON</v>
      </c>
      <c r="M149" s="6">
        <f t="shared" si="54"/>
        <v>2.8113425927585922E-2</v>
      </c>
      <c r="N149" s="7">
        <f t="shared" si="51"/>
        <v>40.483333335723728</v>
      </c>
      <c r="O149" s="7"/>
      <c r="P149" s="7"/>
      <c r="Q149" s="22"/>
      <c r="R149" s="166"/>
      <c r="S149" s="228">
        <f t="shared" si="52"/>
        <v>1</v>
      </c>
      <c r="T149" s="166" t="str">
        <f t="shared" si="55"/>
        <v>Southbound</v>
      </c>
      <c r="U149" s="21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4" t="str">
        <f t="shared" si="56"/>
        <v>https://d0f6bd738d7f1b3e5a7ca70fe4ff75f0.us-east-1.aws.found.io/app/kibana#/discover/Steve-Slow-Train-Analysis-(2080s-and-2083s)?_g=(refreshInterval:(display:Off,pause:!f,section:0,value:0),time:(from:'2017-09-30T22:19:54-0600',mode:absolute,to:'2017-10-01T01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9" s="215" t="str">
        <f>IF(AA149&lt;VLOOKUP(AG149,Variables!$AC$3:$AD$8,2,FALSE),"Y","N")</f>
        <v>N</v>
      </c>
      <c r="X149" s="215">
        <f t="shared" si="57"/>
        <v>1</v>
      </c>
      <c r="Y149" s="215">
        <f t="shared" si="58"/>
        <v>23.296299999999999</v>
      </c>
      <c r="Z149" s="215">
        <f t="shared" si="59"/>
        <v>1.52E-2</v>
      </c>
      <c r="AA149" s="215">
        <f t="shared" si="60"/>
        <v>23.281099999999999</v>
      </c>
      <c r="AB149" s="216" t="e">
        <f>VLOOKUP(A149,Enforcements!$C$7:$K$11,8,0)</f>
        <v>#N/A</v>
      </c>
      <c r="AC149" s="216" t="e">
        <f>VLOOKUP(A149,Enforcements!$C$7:$E$11,3,0)</f>
        <v>#N/A</v>
      </c>
      <c r="AD149" s="217">
        <f t="shared" si="61"/>
        <v>236</v>
      </c>
      <c r="AE149" s="218" t="str">
        <f t="shared" si="62"/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149" s="68" t="str">
        <f t="shared" si="63"/>
        <v>"C:\Program Files (x86)\AstroGrep\AstroGrep.exe" /e /r /s /spath="%USERPROFILE%\AppData\Local\Temp\OnboardLogs" /stypes="app*4039*20171001*" /stext=" 06:.+((SYSTEM_STATE.+slice.+state.+changed )|(ment ac)|(multiple cpu faults)|(system.+state.+changed )|(\[timeout)|(PRM\|1\|D)|(kpr)|(kdp)|(train st.+moving)|(\|lc)|(penalty))"</v>
      </c>
      <c r="AG149" s="172" t="str">
        <f t="shared" si="64"/>
        <v>EC</v>
      </c>
      <c r="AH149" s="70" t="str">
        <f t="shared" si="65"/>
        <v>"%USERPROFILE%\Documents\GitHub\eaglep3\Utilities\RefineRTDCRunTimes.py" --tripid 236-30 --locoid 4039 --swversion DE.1.0.9.0 --startMP 204:232963 --initTime 2017-09-30T23:19:54 --startdatetime 2017-09-30T23:27:14 --delay 56 --endMP 204:152 --enddatetime 2017-10-01T00:07:43 --enforcementcount 0 &gt;&gt;c:\users\stu\Documents\GitHub\eaglep3-reporting\EC\2017-09-30-refined-times.txt</v>
      </c>
      <c r="AI149" s="88" t="str">
        <f t="shared" si="66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ID","value":"236-30"},{"id":16,"name":"Locomotive ID","value":"4039"},{"id":130,"name":"Impact","value":""},{"id":150,"name":"Time of Event (Mountain Time)","value":"00:07:43"},{"id":151,"name":"Denver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34" t="str">
        <f t="shared" si="67"/>
        <v>start /low /b %USERPROFILE%\Documents\GitHub\eaglep3\Utilities\DownloadLogsFromS3.py --loco 4039 --day 2017-09-30</v>
      </c>
      <c r="AN149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06:07:43"},{"id":29,"name":"Sharepoint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0" t="str">
        <f t="shared" si="69"/>
        <v>https://d0f6bd738d7f1b3e5a7ca70fe4ff75f0.us-east-1.aws.found.io/app/kibana#/discover/Steve-Slow-Train-Analysis-(2080s-and-2083s)?_g=(refreshInterval:(display:Off,pause:!f,section:0,value:0),time:(from:'2017-09-30T22:19:54-0600',mode:absolute,to:'2017-10-01T01:07:43-0600'))&amp;_a=(columns:!('Message%20ID',Summary),filters:!(),index:'emp_*',interval:auto,query:(query_string:(analyze_wildcard:!t,query:'%22rtdc.l.rtdc.4039%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814</v>
      </c>
      <c r="B150" s="7">
        <v>4028</v>
      </c>
      <c r="C150" s="21" t="s">
        <v>195</v>
      </c>
      <c r="D150" s="21" t="s">
        <v>359</v>
      </c>
      <c r="E150" s="13">
        <v>43008.952615740738</v>
      </c>
      <c r="F150" s="13">
        <v>43008.95857638889</v>
      </c>
      <c r="G150" s="7">
        <v>96</v>
      </c>
      <c r="H150" s="21" t="s">
        <v>462</v>
      </c>
      <c r="I150" s="13">
        <v>43008.985601851855</v>
      </c>
      <c r="J150" s="7">
        <v>0</v>
      </c>
      <c r="K150" s="81" t="str">
        <f t="shared" si="53"/>
        <v>4027/4028</v>
      </c>
      <c r="L150" s="175" t="str">
        <f>VLOOKUP(A150,'Trips&amp;Operators'!$C$1:$G$99911,5,FALSE)</f>
        <v>NICHOLSON WESLEY</v>
      </c>
      <c r="M150" s="6">
        <f t="shared" si="54"/>
        <v>2.7025462964957114E-2</v>
      </c>
      <c r="N150" s="7">
        <f t="shared" si="51"/>
        <v>38.916666669538245</v>
      </c>
      <c r="O150" s="7"/>
      <c r="P150" s="7"/>
      <c r="Q150" s="22"/>
      <c r="R150" s="166"/>
      <c r="S150" s="228">
        <f t="shared" si="52"/>
        <v>1</v>
      </c>
      <c r="T150" s="166" t="str">
        <f t="shared" si="55"/>
        <v>NorthBound</v>
      </c>
      <c r="U150" s="21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4" t="str">
        <f t="shared" si="56"/>
        <v>https://d0f6bd738d7f1b3e5a7ca70fe4ff75f0.us-east-1.aws.found.io/app/kibana#/discover/Steve-Slow-Train-Analysis-(2080s-and-2083s)?_g=(refreshInterval:(display:Off,pause:!f,section:0,value:0),time:(from:'2017-09-30T21:51:46-0600',mode:absolute,to:'2017-10-01T00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0" s="215" t="str">
        <f>IF(AA150&lt;VLOOKUP(AG150,Variables!$AC$3:$AD$8,2,FALSE),"Y","N")</f>
        <v>N</v>
      </c>
      <c r="X150" s="215">
        <f t="shared" si="57"/>
        <v>1</v>
      </c>
      <c r="Y150" s="215">
        <f t="shared" si="58"/>
        <v>4.6399999999999997E-2</v>
      </c>
      <c r="Z150" s="215">
        <f t="shared" si="59"/>
        <v>23.329699999999999</v>
      </c>
      <c r="AA150" s="215">
        <f t="shared" si="60"/>
        <v>23.283300000000001</v>
      </c>
      <c r="AB150" s="216" t="e">
        <f>VLOOKUP(A150,Enforcements!$C$7:$K$11,8,0)</f>
        <v>#N/A</v>
      </c>
      <c r="AC150" s="216" t="e">
        <f>VLOOKUP(A150,Enforcements!$C$7:$E$11,3,0)</f>
        <v>#N/A</v>
      </c>
      <c r="AD150" s="217">
        <f t="shared" si="61"/>
        <v>237</v>
      </c>
      <c r="AE150" s="218" t="str">
        <f t="shared" si="62"/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AF150" s="68" t="str">
        <f t="shared" si="63"/>
        <v>"C:\Program Files (x86)\AstroGrep\AstroGrep.exe" /e /r /s /spath="%USERPROFILE%\AppData\Local\Temp\OnboardLogs" /stypes="app*4028*20171001*" /stext=" 05:.+((SYSTEM_STATE.+slice.+state.+changed )|(ment ac)|(multiple cpu faults)|(system.+state.+changed )|(\[timeout)|(PRM\|1\|D)|(kpr)|(kdp)|(train st.+moving)|(\|lc)|(penalty))"</v>
      </c>
      <c r="AG150" s="172" t="str">
        <f t="shared" si="64"/>
        <v>EC</v>
      </c>
      <c r="AH150" s="70" t="str">
        <f t="shared" si="65"/>
        <v>"%USERPROFILE%\Documents\GitHub\eaglep3\Utilities\RefineRTDCRunTimes.py" --tripid 237-30 --locoid 4028 --swversion DE.1.0.9.0 --startMP 204:464 --initTime 2017-09-30T22:51:46 --startdatetime 2017-09-30T23:00:21 --delay 96 --endMP 204:233297 --enddatetime 2017-09-30T23:39:16 --enforcementcount 0 &gt;&gt;c:\users\stu\Documents\GitHub\eaglep3-reporting\EC\2017-09-30-refined-times.txt</v>
      </c>
      <c r="AI150" s="88" t="str">
        <f t="shared" si="66"/>
        <v>echo {"issue":{"subject":"","project_id":79,"tracker_id":40,"status_id":1,"priority_id":2,"assigned_to_id":338,"start_date":"2017-09-30","description":"","custom_fields":[{"id":1,"name":"Subdivision","value":"EC"},{"id":4,"name":"Milepost","value":"23.3297"},{"id":17,"name":"Train ID","value":"237-30"},{"id":16,"name":"Locomotive ID","value":"4028"},{"id":130,"name":"Impact","value":""},{"id":150,"name":"Time of Event (Mountain Time)","value":"23:39:16"},{"id":151,"name":"Denver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34" t="str">
        <f t="shared" si="67"/>
        <v>start /low /b %USERPROFILE%\Documents\GitHub\eaglep3\Utilities\DownloadLogsFromS3.py --loco 4028 --day 2017-09-30</v>
      </c>
      <c r="AN150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05:39:16"},{"id":29,"name":"Sharepoint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0" t="str">
        <f t="shared" si="69"/>
        <v>https://d0f6bd738d7f1b3e5a7ca70fe4ff75f0.us-east-1.aws.found.io/app/kibana#/discover/Steve-Slow-Train-Analysis-(2080s-and-2083s)?_g=(refreshInterval:(display:Off,pause:!f,section:0,value:0),time:(from:'2017-09-30T21:51:46-0600',mode:absolute,to:'2017-10-01T00:39:16-0600'))&amp;_a=(columns:!('Message%20ID',Summary),filters:!(),index:'emp_*',interval:auto,query:(query_string:(analyze_wildcard:!t,query:'%22rtdc.l.rtdc.4028%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818</v>
      </c>
      <c r="B151" s="7">
        <v>4027</v>
      </c>
      <c r="C151" s="21" t="s">
        <v>195</v>
      </c>
      <c r="D151" s="21" t="s">
        <v>400</v>
      </c>
      <c r="E151" s="13">
        <v>43008.99490740741</v>
      </c>
      <c r="F151" s="13">
        <v>43008.998124999998</v>
      </c>
      <c r="G151" s="7">
        <v>68</v>
      </c>
      <c r="H151" s="21" t="s">
        <v>363</v>
      </c>
      <c r="I151" s="13">
        <v>43009.026006944441</v>
      </c>
      <c r="J151" s="7">
        <v>0</v>
      </c>
      <c r="K151" s="81" t="str">
        <f t="shared" si="53"/>
        <v>4027/4028</v>
      </c>
      <c r="L151" s="175" t="str">
        <f>VLOOKUP(A151,'Trips&amp;Operators'!$C$1:$G$99911,5,FALSE)</f>
        <v>NICHOLSON WESLEY</v>
      </c>
      <c r="M151" s="6">
        <f t="shared" si="54"/>
        <v>2.7881944442924578E-2</v>
      </c>
      <c r="N151" s="7">
        <f t="shared" si="51"/>
        <v>40.149999997811392</v>
      </c>
      <c r="O151" s="7"/>
      <c r="P151" s="7"/>
      <c r="Q151" s="22"/>
      <c r="R151" s="166"/>
      <c r="S151" s="228">
        <f t="shared" si="52"/>
        <v>1</v>
      </c>
      <c r="T151" s="166" t="str">
        <f t="shared" si="55"/>
        <v>Southbound</v>
      </c>
      <c r="U151" s="21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4" t="str">
        <f t="shared" si="56"/>
        <v>https://d0f6bd738d7f1b3e5a7ca70fe4ff75f0.us-east-1.aws.found.io/app/kibana#/discover/Steve-Slow-Train-Analysis-(2080s-and-2083s)?_g=(refreshInterval:(display:Off,pause:!f,section:0,value:0),time:(from:'2017-09-30T22:52:40-0600',mode:absolute,to:'2017-10-01T01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1" s="215" t="str">
        <f>IF(AA151&lt;VLOOKUP(AG151,Variables!$AC$3:$AD$8,2,FALSE),"Y","N")</f>
        <v>N</v>
      </c>
      <c r="X151" s="215">
        <f t="shared" si="57"/>
        <v>1</v>
      </c>
      <c r="Y151" s="215">
        <f t="shared" si="58"/>
        <v>23.298200000000001</v>
      </c>
      <c r="Z151" s="215">
        <f t="shared" si="59"/>
        <v>1.5599999999999999E-2</v>
      </c>
      <c r="AA151" s="215">
        <f t="shared" si="60"/>
        <v>23.282600000000002</v>
      </c>
      <c r="AB151" s="216" t="e">
        <f>VLOOKUP(A151,Enforcements!$C$7:$K$11,8,0)</f>
        <v>#N/A</v>
      </c>
      <c r="AC151" s="216" t="e">
        <f>VLOOKUP(A151,Enforcements!$C$7:$E$11,3,0)</f>
        <v>#N/A</v>
      </c>
      <c r="AD151" s="217">
        <f t="shared" si="61"/>
        <v>238</v>
      </c>
      <c r="AE151" s="218" t="str">
        <f t="shared" si="62"/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AF151" s="68" t="str">
        <f t="shared" si="63"/>
        <v>"C:\Program Files (x86)\AstroGrep\AstroGrep.exe" /e /r /s /spath="%USERPROFILE%\AppData\Local\Temp\OnboardLogs" /stypes="app*4027*20171001*" /stext=" 06:.+((SYSTEM_STATE.+slice.+state.+changed )|(ment ac)|(multiple cpu faults)|(system.+state.+changed )|(\[timeout)|(PRM\|1\|D)|(kpr)|(kdp)|(train st.+moving)|(\|lc)|(penalty))"</v>
      </c>
      <c r="AG151" s="172" t="str">
        <f t="shared" si="64"/>
        <v>EC</v>
      </c>
      <c r="AH151" s="70" t="str">
        <f t="shared" si="65"/>
        <v>"%USERPROFILE%\Documents\GitHub\eaglep3\Utilities\RefineRTDCRunTimes.py" --tripid 238-30 --locoid 4027 --swversion DE.1.0.9.0 --startMP 204:232982 --initTime 2017-09-30T23:52:40 --startdatetime 2017-09-30T23:57:18 --delay 68 --endMP 204:156 --enddatetime 2017-10-01T00:37:27 --enforcementcount 0 &gt;&gt;c:\users\stu\Documents\GitHub\eaglep3-reporting\EC\2017-09-30-refined-times.txt</v>
      </c>
      <c r="AI151" s="88" t="str">
        <f t="shared" si="66"/>
        <v>echo {"issue":{"subject":"","project_id":79,"tracker_id":40,"status_id":1,"priority_id":2,"assigned_to_id":338,"start_date":"2017-10-01","description":"","custom_fields":[{"id":1,"name":"Subdivision","value":"EC"},{"id":4,"name":"Milepost","value":"0.0156"},{"id":17,"name":"Train ID","value":"238-30"},{"id":16,"name":"Locomotive ID","value":"4027"},{"id":130,"name":"Impact","value":""},{"id":150,"name":"Time of Event (Mountain Time)","value":"00:37:27"},{"id":151,"name":"Denver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34" t="str">
        <f t="shared" si="67"/>
        <v>start /low /b %USERPROFILE%\Documents\GitHub\eaglep3\Utilities\DownloadLogsFromS3.py --loco 4027 --day 2017-09-30</v>
      </c>
      <c r="AN151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06:37:27"},{"id":29,"name":"Sharepoint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0" t="str">
        <f t="shared" si="69"/>
        <v>https://d0f6bd738d7f1b3e5a7ca70fe4ff75f0.us-east-1.aws.found.io/app/kibana#/discover/Steve-Slow-Train-Analysis-(2080s-and-2083s)?_g=(refreshInterval:(display:Off,pause:!f,section:0,value:0),time:(from:'2017-09-30T22:52:40-0600',mode:absolute,to:'2017-10-01T01:37:27-0600'))&amp;_a=(columns:!('Message%20ID',Summary),filters:!(),index:'emp_*',interval:auto,query:(query_string:(analyze_wildcard:!t,query:'%22rtdc.l.rtdc.4027%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816</v>
      </c>
      <c r="B152" s="7">
        <v>4010</v>
      </c>
      <c r="C152" s="21" t="s">
        <v>195</v>
      </c>
      <c r="D152" s="21" t="s">
        <v>355</v>
      </c>
      <c r="E152" s="13">
        <v>43008.964560185188</v>
      </c>
      <c r="F152" s="13">
        <v>43008.979351851849</v>
      </c>
      <c r="G152" s="7">
        <v>52</v>
      </c>
      <c r="H152" s="21" t="s">
        <v>386</v>
      </c>
      <c r="I152" s="13">
        <v>43009.003865740742</v>
      </c>
      <c r="J152" s="7">
        <v>0</v>
      </c>
      <c r="K152" s="81" t="str">
        <f t="shared" si="53"/>
        <v>4009/4010</v>
      </c>
      <c r="L152" s="175" t="str">
        <f>VLOOKUP(A152,'Trips&amp;Operators'!$C$1:$G$99911,5,FALSE)</f>
        <v>FORTUNATO FRANK</v>
      </c>
      <c r="M152" s="6">
        <f t="shared" si="54"/>
        <v>2.4513888893125113E-2</v>
      </c>
      <c r="N152" s="7">
        <f t="shared" si="51"/>
        <v>35.300000006100163</v>
      </c>
      <c r="O152" s="7"/>
      <c r="P152" s="7"/>
      <c r="Q152" s="22"/>
      <c r="R152" s="166"/>
      <c r="S152" s="228">
        <f t="shared" si="52"/>
        <v>1</v>
      </c>
      <c r="T152" s="166" t="str">
        <f t="shared" si="55"/>
        <v>NorthBound</v>
      </c>
      <c r="U152" s="21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4" t="str">
        <f t="shared" si="56"/>
        <v>https://d0f6bd738d7f1b3e5a7ca70fe4ff75f0.us-east-1.aws.found.io/app/kibana#/discover/Steve-Slow-Train-Analysis-(2080s-and-2083s)?_g=(refreshInterval:(display:Off,pause:!f,section:0,value:0),time:(from:'2017-09-30T22:08:58-0600',mode:absolute,to:'2017-10-01T01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2" s="215" t="str">
        <f>IF(AA152&lt;VLOOKUP(AG152,Variables!$AC$3:$AD$8,2,FALSE),"Y","N")</f>
        <v>N</v>
      </c>
      <c r="X152" s="215">
        <f t="shared" si="57"/>
        <v>1</v>
      </c>
      <c r="Y152" s="215">
        <f t="shared" si="58"/>
        <v>4.58E-2</v>
      </c>
      <c r="Z152" s="215">
        <f t="shared" si="59"/>
        <v>23.331199999999999</v>
      </c>
      <c r="AA152" s="215">
        <f t="shared" si="60"/>
        <v>23.285399999999999</v>
      </c>
      <c r="AB152" s="216" t="e">
        <f>VLOOKUP(A152,Enforcements!$C$7:$K$11,8,0)</f>
        <v>#N/A</v>
      </c>
      <c r="AC152" s="216" t="e">
        <f>VLOOKUP(A152,Enforcements!$C$7:$E$11,3,0)</f>
        <v>#N/A</v>
      </c>
      <c r="AD152" s="217">
        <f t="shared" si="61"/>
        <v>239</v>
      </c>
      <c r="AE152" s="218" t="str">
        <f t="shared" si="62"/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AF152" s="68" t="str">
        <f t="shared" si="63"/>
        <v>"C:\Program Files (x86)\AstroGrep\AstroGrep.exe" /e /r /s /spath="%USERPROFILE%\AppData\Local\Temp\OnboardLogs" /stypes="app*4010*20171001*" /stext=" 06:.+((SYSTEM_STATE.+slice.+state.+changed )|(ment ac)|(multiple cpu faults)|(system.+state.+changed )|(\[timeout)|(PRM\|1\|D)|(kpr)|(kdp)|(train st.+moving)|(\|lc)|(penalty))"</v>
      </c>
      <c r="AG152" s="172" t="str">
        <f t="shared" si="64"/>
        <v>EC</v>
      </c>
      <c r="AH152" s="70" t="str">
        <f t="shared" si="65"/>
        <v>"%USERPROFILE%\Documents\GitHub\eaglep3\Utilities\RefineRTDCRunTimes.py" --tripid 239-30 --locoid 4010 --swversion DE.1.0.9.0 --startMP 204:458 --initTime 2017-09-30T23:08:58 --startdatetime 2017-09-30T23:30:16 --delay 52 --endMP 204:233312 --enddatetime 2017-10-01T00:05:34 --enforcementcount 0 &gt;&gt;c:\users\stu\Documents\GitHub\eaglep3-reporting\EC\2017-09-30-refined-times.txt</v>
      </c>
      <c r="AI152" s="88" t="str">
        <f t="shared" si="66"/>
        <v>echo {"issue":{"subject":"","project_id":79,"tracker_id":40,"status_id":1,"priority_id":2,"assigned_to_id":338,"start_date":"2017-10-01","description":"","custom_fields":[{"id":1,"name":"Subdivision","value":"EC"},{"id":4,"name":"Milepost","value":"23.3312"},{"id":17,"name":"Train ID","value":"239-30"},{"id":16,"name":"Locomotive ID","value":"4010"},{"id":130,"name":"Impact","value":""},{"id":150,"name":"Time of Event (Mountain Time)","value":"00:05:34"},{"id":151,"name":"Denver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34" t="str">
        <f t="shared" si="67"/>
        <v>start /low /b %USERPROFILE%\Documents\GitHub\eaglep3\Utilities\DownloadLogsFromS3.py --loco 4010 --day 2017-09-30</v>
      </c>
      <c r="AN152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06:05:34"},{"id":29,"name":"Sharepoint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0" t="str">
        <f t="shared" si="69"/>
        <v>https://d0f6bd738d7f1b3e5a7ca70fe4ff75f0.us-east-1.aws.found.io/app/kibana#/discover/Steve-Slow-Train-Analysis-(2080s-and-2083s)?_g=(refreshInterval:(display:Off,pause:!f,section:0,value:0),time:(from:'2017-09-30T22:08:58-0600',mode:absolute,to:'2017-10-01T01:05:34-0600'))&amp;_a=(columns:!('Message%20ID',Summary),filters:!(),index:'emp_*',interval:auto,query:(query_string:(analyze_wildcard:!t,query:'%22rtdc.l.rtdc.4010%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820</v>
      </c>
      <c r="B153" s="7">
        <v>4009</v>
      </c>
      <c r="C153" s="21" t="s">
        <v>195</v>
      </c>
      <c r="D153" s="21" t="s">
        <v>926</v>
      </c>
      <c r="E153" s="13">
        <v>43009.005520833336</v>
      </c>
      <c r="F153" s="13">
        <v>43009.019432870373</v>
      </c>
      <c r="G153" s="7">
        <v>53</v>
      </c>
      <c r="H153" s="21" t="s">
        <v>927</v>
      </c>
      <c r="I153" s="13">
        <v>43009.047939814816</v>
      </c>
      <c r="J153" s="7">
        <v>0</v>
      </c>
      <c r="K153" s="81" t="str">
        <f t="shared" si="53"/>
        <v>4009/4010</v>
      </c>
      <c r="L153" s="175" t="str">
        <f>VLOOKUP(A153,'Trips&amp;Operators'!$C$1:$G$99911,5,FALSE)</f>
        <v>FORTUNATO FRANK</v>
      </c>
      <c r="M153" s="6">
        <f t="shared" si="54"/>
        <v>2.8506944443506654E-2</v>
      </c>
      <c r="N153" s="7">
        <f t="shared" si="51"/>
        <v>41.049999998649582</v>
      </c>
      <c r="O153" s="7"/>
      <c r="P153" s="7"/>
      <c r="Q153" s="22"/>
      <c r="R153" s="166"/>
      <c r="S153" s="228">
        <f t="shared" si="52"/>
        <v>1</v>
      </c>
      <c r="T153" s="166" t="str">
        <f t="shared" si="55"/>
        <v>Southbound</v>
      </c>
      <c r="U153" s="21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4" t="str">
        <f t="shared" si="56"/>
        <v>https://d0f6bd738d7f1b3e5a7ca70fe4ff75f0.us-east-1.aws.found.io/app/kibana#/discover/Steve-Slow-Train-Analysis-(2080s-and-2083s)?_g=(refreshInterval:(display:Off,pause:!f,section:0,value:0),time:(from:'2017-09-30T23:07:57-0600',mode:absolute,to:'2017-10-01T02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3" s="215" t="str">
        <f>IF(AA153&lt;VLOOKUP(AG153,Variables!$AC$3:$AD$8,2,FALSE),"Y","N")</f>
        <v>N</v>
      </c>
      <c r="X153" s="215">
        <f t="shared" si="57"/>
        <v>1</v>
      </c>
      <c r="Y153" s="215">
        <f t="shared" si="58"/>
        <v>23.298400000000001</v>
      </c>
      <c r="Z153" s="215">
        <f t="shared" si="59"/>
        <v>2.3800000000000002E-2</v>
      </c>
      <c r="AA153" s="215">
        <f t="shared" si="60"/>
        <v>23.2746</v>
      </c>
      <c r="AB153" s="216" t="e">
        <f>VLOOKUP(A153,Enforcements!$C$7:$K$11,8,0)</f>
        <v>#N/A</v>
      </c>
      <c r="AC153" s="216" t="e">
        <f>VLOOKUP(A153,Enforcements!$C$7:$E$11,3,0)</f>
        <v>#N/A</v>
      </c>
      <c r="AD153" s="217">
        <f t="shared" si="61"/>
        <v>240</v>
      </c>
      <c r="AE153" s="218" t="str">
        <f t="shared" si="62"/>
        <v>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 &amp; aws s3 cp s3://rtdc.mdm.uploadarchive.raw/RTDC4009/ "%USERPROFILE%\AppData\Local\Temp\OnboardLogs"\RTDC4009\2017-10-02 --exclude "*" --recursive --include "*20171002*" &amp; "%USERPROFILE%\Documents\GitHub\mrs-test-scripts\Headless Mode &amp; Sideloading\WalkAndUnGZ.bat" "%USERPROFILE%\AppData\Local\Temp\OnboardLogs"\RTDC4009\2017-10-02</v>
      </c>
      <c r="AF153" s="68" t="str">
        <f t="shared" si="63"/>
        <v>"C:\Program Files (x86)\AstroGrep\AstroGrep.exe" /e /r /s /spath="%USERPROFILE%\AppData\Local\Temp\OnboardLogs" /stypes="app*4009*20171001*" /stext=" 07:.+((SYSTEM_STATE.+slice.+state.+changed )|(ment ac)|(multiple cpu faults)|(system.+state.+changed )|(\[timeout)|(PRM\|1\|D)|(kpr)|(kdp)|(train st.+moving)|(\|lc)|(penalty))"</v>
      </c>
      <c r="AG153" s="172" t="str">
        <f t="shared" si="64"/>
        <v>EC</v>
      </c>
      <c r="AH153" s="70" t="str">
        <f t="shared" si="65"/>
        <v>"%USERPROFILE%\Documents\GitHub\eaglep3\Utilities\RefineRTDCRunTimes.py" --tripid 240-30 --locoid 4009 --swversion DE.1.0.9.0 --startMP 204:232984 --initTime 2017-10-01T00:07:57 --startdatetime 2017-10-01T00:27:59 --delay 53 --endMP 204:238 --enddatetime 2017-10-01T01:09:02 --enforcementcount 0 &gt;&gt;c:\users\stu\Documents\GitHub\eaglep3-reporting\EC\2017-09-30-refined-times.txt</v>
      </c>
      <c r="AI153" s="88" t="str">
        <f t="shared" si="66"/>
        <v>echo {"issue":{"subject":"","project_id":79,"tracker_id":40,"status_id":1,"priority_id":2,"assigned_to_id":338,"start_date":"2017-10-01","description":"","custom_fields":[{"id":1,"name":"Subdivision","value":"EC"},{"id":4,"name":"Milepost","value":"0.0238"},{"id":17,"name":"Train ID","value":"240-30"},{"id":16,"name":"Locomotive ID","value":"4009"},{"id":130,"name":"Impact","value":""},{"id":150,"name":"Time of Event (Mountain Time)","value":"01:09:02"},{"id":151,"name":"Denver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34" t="str">
        <f t="shared" si="67"/>
        <v>start /low /b %USERPROFILE%\Documents\GitHub\eaglep3\Utilities\DownloadLogsFromS3.py --loco 4009 --day 2017-10-01</v>
      </c>
      <c r="AN153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07:09:02"},{"id":29,"name":"Sharepoint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0" t="str">
        <f t="shared" si="69"/>
        <v>https://d0f6bd738d7f1b3e5a7ca70fe4ff75f0.us-east-1.aws.found.io/app/kibana#/discover/Steve-Slow-Train-Analysis-(2080s-and-2083s)?_g=(refreshInterval:(display:Off,pause:!f,section:0,value:0),time:(from:'2017-09-30T23:07:57-0600',mode:absolute,to:'2017-10-01T02:09:02-0600'))&amp;_a=(columns:!('Message%20ID',Summary),filters:!(),index:'emp_*',interval:auto,query:(query_string:(analyze_wildcard:!t,query:'%22rtdc.l.rtdc.4009%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819</v>
      </c>
      <c r="B154" s="7">
        <v>4052</v>
      </c>
      <c r="C154" s="21" t="s">
        <v>195</v>
      </c>
      <c r="D154" s="21" t="s">
        <v>556</v>
      </c>
      <c r="E154" s="13">
        <v>43008.997337962966</v>
      </c>
      <c r="F154" s="13">
        <v>43009.000196759262</v>
      </c>
      <c r="G154" s="7">
        <v>55</v>
      </c>
      <c r="H154" s="21" t="s">
        <v>928</v>
      </c>
      <c r="I154" s="13">
        <v>43009.024236111109</v>
      </c>
      <c r="J154" s="7">
        <v>0</v>
      </c>
      <c r="K154" s="81" t="str">
        <f t="shared" si="53"/>
        <v>4051/4052</v>
      </c>
      <c r="L154" s="175" t="str">
        <f>VLOOKUP(A154,'Trips&amp;Operators'!$C$1:$G$99911,5,FALSE)</f>
        <v>ELBAUM MIKE</v>
      </c>
      <c r="M154" s="6">
        <f t="shared" si="54"/>
        <v>2.4039351847022772E-2</v>
      </c>
      <c r="N154" s="7">
        <f t="shared" si="51"/>
        <v>34.616666659712791</v>
      </c>
      <c r="O154" s="7"/>
      <c r="P154" s="7"/>
      <c r="Q154" s="22"/>
      <c r="R154" s="166"/>
      <c r="S154" s="228">
        <f t="shared" si="52"/>
        <v>1</v>
      </c>
      <c r="T154" s="166" t="str">
        <f t="shared" si="55"/>
        <v>NorthBound</v>
      </c>
      <c r="U154" s="21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4" t="str">
        <f t="shared" si="56"/>
        <v>https://d0f6bd738d7f1b3e5a7ca70fe4ff75f0.us-east-1.aws.found.io/app/kibana#/discover/Steve-Slow-Train-Analysis-(2080s-and-2083s)?_g=(refreshInterval:(display:Off,pause:!f,section:0,value:0),time:(from:'2017-09-30T22:56:10-0600',mode:absolute,to:'2017-10-01T01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4" s="215" t="str">
        <f>IF(AA154&lt;VLOOKUP(AG154,Variables!$AC$3:$AD$8,2,FALSE),"Y","N")</f>
        <v>N</v>
      </c>
      <c r="X154" s="215">
        <f t="shared" si="57"/>
        <v>1</v>
      </c>
      <c r="Y154" s="215">
        <f t="shared" si="58"/>
        <v>4.6899999999999997E-2</v>
      </c>
      <c r="Z154" s="215">
        <f t="shared" si="59"/>
        <v>23.334099999999999</v>
      </c>
      <c r="AA154" s="215">
        <f t="shared" si="60"/>
        <v>23.287199999999999</v>
      </c>
      <c r="AB154" s="216" t="e">
        <f>VLOOKUP(A154,Enforcements!$C$7:$K$11,8,0)</f>
        <v>#N/A</v>
      </c>
      <c r="AC154" s="216" t="e">
        <f>VLOOKUP(A154,Enforcements!$C$7:$E$11,3,0)</f>
        <v>#N/A</v>
      </c>
      <c r="AD154" s="217">
        <f t="shared" si="61"/>
        <v>241</v>
      </c>
      <c r="AE154" s="218" t="str">
        <f t="shared" si="62"/>
        <v>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 &amp; 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</v>
      </c>
      <c r="AF154" s="68" t="str">
        <f t="shared" si="63"/>
        <v>"C:\Program Files (x86)\AstroGrep\AstroGrep.exe" /e /r /s /spath="%USERPROFILE%\AppData\Local\Temp\OnboardLogs" /stypes="app*4052*20171001*" /stext=" 06:.+((SYSTEM_STATE.+slice.+state.+changed )|(ment ac)|(multiple cpu faults)|(system.+state.+changed )|(\[timeout)|(PRM\|1\|D)|(kpr)|(kdp)|(train st.+moving)|(\|lc)|(penalty))"</v>
      </c>
      <c r="AG154" s="172" t="str">
        <f t="shared" si="64"/>
        <v>EC</v>
      </c>
      <c r="AH154" s="70" t="str">
        <f t="shared" si="65"/>
        <v>"%USERPROFILE%\Documents\GitHub\eaglep3\Utilities\RefineRTDCRunTimes.py" --tripid 241-30 --locoid 4052 --swversion DE.1.0.9.0 --startMP 204:469 --initTime 2017-09-30T23:56:10 --startdatetime 2017-10-01T00:00:17 --delay 55 --endMP 204:233341 --enddatetime 2017-10-01T00:34:54 --enforcementcount 0 &gt;&gt;c:\users\stu\Documents\GitHub\eaglep3-reporting\EC\2017-09-30-refined-times.txt</v>
      </c>
      <c r="AI154" s="88" t="str">
        <f t="shared" si="66"/>
        <v>echo {"issue":{"subject":"","project_id":79,"tracker_id":40,"status_id":1,"priority_id":2,"assigned_to_id":338,"start_date":"2017-10-01","description":"","custom_fields":[{"id":1,"name":"Subdivision","value":"EC"},{"id":4,"name":"Milepost","value":"23.3341"},{"id":17,"name":"Train ID","value":"241-30"},{"id":16,"name":"Locomotive ID","value":"4052"},{"id":130,"name":"Impact","value":""},{"id":150,"name":"Time of Event (Mountain Time)","value":"00:34:54"},{"id":151,"name":"Denver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34" t="str">
        <f t="shared" si="67"/>
        <v>start /low /b %USERPROFILE%\Documents\GitHub\eaglep3\Utilities\DownloadLogsFromS3.py --loco 4052 --day 2017-10-01</v>
      </c>
      <c r="AN154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06:34:54"},{"id":29,"name":"Sharepoint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0" t="str">
        <f t="shared" si="69"/>
        <v>https://d0f6bd738d7f1b3e5a7ca70fe4ff75f0.us-east-1.aws.found.io/app/kibana#/discover/Steve-Slow-Train-Analysis-(2080s-and-2083s)?_g=(refreshInterval:(display:Off,pause:!f,section:0,value:0),time:(from:'2017-09-30T22:56:10-0600',mode:absolute,to:'2017-10-01T01:34:54-0600'))&amp;_a=(columns:!('Message%20ID',Summary),filters:!(),index:'emp_*',interval:auto,query:(query_string:(analyze_wildcard:!t,query:'%22rtdc.l.rtdc.4052%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612</v>
      </c>
      <c r="B155" s="7">
        <v>4051</v>
      </c>
      <c r="C155" s="21" t="s">
        <v>195</v>
      </c>
      <c r="D155" s="21" t="s">
        <v>558</v>
      </c>
      <c r="E155" s="13">
        <v>43009.025277777779</v>
      </c>
      <c r="F155" s="13">
        <v>43009.039710648147</v>
      </c>
      <c r="G155" s="7">
        <v>55</v>
      </c>
      <c r="H155" s="21" t="s">
        <v>337</v>
      </c>
      <c r="I155" s="13">
        <v>43009.065775462965</v>
      </c>
      <c r="J155" s="7">
        <v>0</v>
      </c>
      <c r="K155" s="81" t="str">
        <f t="shared" si="53"/>
        <v>4051/4052</v>
      </c>
      <c r="L155" s="175" t="str">
        <f>VLOOKUP(A155,'Trips&amp;Operators'!$C$1:$G$99911,5,FALSE)</f>
        <v>ELBAUM MIKE</v>
      </c>
      <c r="M155" s="6">
        <f t="shared" si="54"/>
        <v>2.6064814817800652E-2</v>
      </c>
      <c r="N155" s="7">
        <f t="shared" si="51"/>
        <v>37.533333337632939</v>
      </c>
      <c r="O155" s="7"/>
      <c r="P155" s="7"/>
      <c r="Q155" s="22"/>
      <c r="R155" s="166"/>
      <c r="S155" s="228">
        <f t="shared" si="52"/>
        <v>1</v>
      </c>
      <c r="T155" s="166" t="str">
        <f t="shared" si="55"/>
        <v>Southbound</v>
      </c>
      <c r="U155" s="21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4" t="str">
        <f t="shared" si="56"/>
        <v>https://d0f6bd738d7f1b3e5a7ca70fe4ff75f0.us-east-1.aws.found.io/app/kibana#/discover/Steve-Slow-Train-Analysis-(2080s-and-2083s)?_g=(refreshInterval:(display:Off,pause:!f,section:0,value:0),time:(from:'2017-09-30T23:36:24-0600',mode:absolute,to:'2017-10-01T02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5" s="215" t="str">
        <f>IF(AA155&lt;VLOOKUP(AG155,Variables!$AC$3:$AD$8,2,FALSE),"Y","N")</f>
        <v>N</v>
      </c>
      <c r="X155" s="215">
        <f t="shared" si="57"/>
        <v>1</v>
      </c>
      <c r="Y155" s="215">
        <f t="shared" si="58"/>
        <v>23.300699999999999</v>
      </c>
      <c r="Z155" s="215">
        <f t="shared" si="59"/>
        <v>1.49E-2</v>
      </c>
      <c r="AA155" s="215">
        <f t="shared" si="60"/>
        <v>23.285799999999998</v>
      </c>
      <c r="AB155" s="216" t="str">
        <f>VLOOKUP(A155,Enforcements!$C$7:$K$11,8,0)</f>
        <v>Bulletin (2)</v>
      </c>
      <c r="AC155" s="216" t="str">
        <f>VLOOKUP(A155,Enforcements!$C$7:$E$11,3,0)</f>
        <v>GRADE CROSSING</v>
      </c>
      <c r="AD155" s="217">
        <f t="shared" si="61"/>
        <v>242</v>
      </c>
      <c r="AE155" s="218" t="str">
        <f t="shared" si="62"/>
        <v>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 &amp; 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</v>
      </c>
      <c r="AF155" s="68" t="str">
        <f t="shared" si="63"/>
        <v>"C:\Program Files (x86)\AstroGrep\AstroGrep.exe" /e /r /s /spath="%USERPROFILE%\AppData\Local\Temp\OnboardLogs" /stypes="app*4051*20171001*" /stext=" 07:.+((SYSTEM_STATE.+slice.+state.+changed )|(ment ac)|(multiple cpu faults)|(system.+state.+changed )|(\[timeout)|(PRM\|1\|D)|(kpr)|(kdp)|(train st.+moving)|(\|lc)|(penalty))"</v>
      </c>
      <c r="AG155" s="172" t="str">
        <f t="shared" si="64"/>
        <v>EC</v>
      </c>
      <c r="AH155" s="70" t="str">
        <f t="shared" si="65"/>
        <v>"%USERPROFILE%\Documents\GitHub\eaglep3\Utilities\RefineRTDCRunTimes.py" --tripid 242-30 --locoid 4051 --swversion DE.1.0.9.0 --startMP 204:233007 --initTime 2017-10-01T00:36:24 --startdatetime 2017-10-01T00:57:11 --delay 55 --endMP 204:149 --enddatetime 2017-10-01T01:34:43 --enforcementcount 0 &gt;&gt;c:\users\stu\Documents\GitHub\eaglep3-reporting\EC\2017-09-30-refined-times.txt</v>
      </c>
      <c r="AI155" s="88" t="str">
        <f t="shared" si="66"/>
        <v>echo {"issue":{"subject":"","project_id":79,"tracker_id":40,"status_id":1,"priority_id":2,"assigned_to_id":338,"start_date":"2017-10-01","description":"","custom_fields":[{"id":1,"name":"Subdivision","value":"EC"},{"id":4,"name":"Milepost","value":"0.0149"},{"id":17,"name":"Train ID","value":"242-30"},{"id":16,"name":"Locomotive ID","value":"4051"},{"id":130,"name":"Impact","value":""},{"id":150,"name":"Time of Event (Mountain Time)","value":"01:34:43"},{"id":151,"name":"Denver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34" t="str">
        <f t="shared" si="67"/>
        <v>start /low /b %USERPROFILE%\Documents\GitHub\eaglep3\Utilities\DownloadLogsFromS3.py --loco 4051 --day 2017-10-01</v>
      </c>
      <c r="AN155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07:34:43"},{"id":29,"name":"Sharepoint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0" t="str">
        <f t="shared" si="69"/>
        <v>https://d0f6bd738d7f1b3e5a7ca70fe4ff75f0.us-east-1.aws.found.io/app/kibana#/discover/Steve-Slow-Train-Analysis-(2080s-and-2083s)?_g=(refreshInterval:(display:Off,pause:!f,section:0,value:0),time:(from:'2017-09-30T23:36:24-0600',mode:absolute,to:'2017-10-01T02:34:43-0600'))&amp;_a=(columns:!('Message%20ID',Summary),filters:!(),index:'emp_*',interval:auto,query:(query_string:(analyze_wildcard:!t,query:'%22rtdc.l.rtdc.4051%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821</v>
      </c>
      <c r="B156" s="7">
        <v>4040</v>
      </c>
      <c r="C156" s="21" t="s">
        <v>195</v>
      </c>
      <c r="D156" s="21" t="s">
        <v>929</v>
      </c>
      <c r="E156" s="13">
        <v>43009.014999999999</v>
      </c>
      <c r="F156" s="13">
        <v>43009.021018518521</v>
      </c>
      <c r="G156" s="7">
        <v>87</v>
      </c>
      <c r="H156" s="21" t="s">
        <v>855</v>
      </c>
      <c r="I156" s="13">
        <v>43009.045405092591</v>
      </c>
      <c r="J156" s="7">
        <v>0</v>
      </c>
      <c r="K156" s="81" t="str">
        <f t="shared" si="53"/>
        <v>4039/4040</v>
      </c>
      <c r="L156" s="175" t="str">
        <f>VLOOKUP(A156,'Trips&amp;Operators'!$C$1:$G$99911,5,FALSE)</f>
        <v>RESPASS AARON</v>
      </c>
      <c r="M156" s="6">
        <f t="shared" si="54"/>
        <v>2.438657407037681E-2</v>
      </c>
      <c r="N156" s="7">
        <f t="shared" si="51"/>
        <v>35.116666661342606</v>
      </c>
      <c r="O156" s="7"/>
      <c r="P156" s="7"/>
      <c r="Q156" s="22"/>
      <c r="R156" s="166"/>
      <c r="S156" s="228">
        <f t="shared" si="52"/>
        <v>1</v>
      </c>
      <c r="T156" s="166" t="str">
        <f t="shared" si="55"/>
        <v>NorthBound</v>
      </c>
      <c r="U156" s="21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4" t="str">
        <f t="shared" si="56"/>
        <v>https://d0f6bd738d7f1b3e5a7ca70fe4ff75f0.us-east-1.aws.found.io/app/kibana#/discover/Steve-Slow-Train-Analysis-(2080s-and-2083s)?_g=(refreshInterval:(display:Off,pause:!f,section:0,value:0),time:(from:'2017-09-30T23:21:36-0600',mode:absolute,to:'2017-10-01T02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6" s="215" t="str">
        <f>IF(AA156&lt;VLOOKUP(AG156,Variables!$AC$3:$AD$8,2,FALSE),"Y","N")</f>
        <v>N</v>
      </c>
      <c r="X156" s="215">
        <f t="shared" si="57"/>
        <v>1</v>
      </c>
      <c r="Y156" s="215">
        <f t="shared" si="58"/>
        <v>4.8399999999999999E-2</v>
      </c>
      <c r="Z156" s="215">
        <f t="shared" si="59"/>
        <v>23.327999999999999</v>
      </c>
      <c r="AA156" s="215">
        <f t="shared" si="60"/>
        <v>23.279599999999999</v>
      </c>
      <c r="AB156" s="216" t="e">
        <f>VLOOKUP(A156,Enforcements!$C$7:$K$11,8,0)</f>
        <v>#N/A</v>
      </c>
      <c r="AC156" s="216" t="e">
        <f>VLOOKUP(A156,Enforcements!$C$7:$E$11,3,0)</f>
        <v>#N/A</v>
      </c>
      <c r="AD156" s="217">
        <f t="shared" si="61"/>
        <v>243</v>
      </c>
      <c r="AE156" s="218" t="str">
        <f t="shared" si="62"/>
        <v>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 &amp; 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</v>
      </c>
      <c r="AF156" s="68" t="str">
        <f t="shared" si="63"/>
        <v>"C:\Program Files (x86)\AstroGrep\AstroGrep.exe" /e /r /s /spath="%USERPROFILE%\AppData\Local\Temp\OnboardLogs" /stypes="app*4040*20171001*" /stext=" 07:.+((SYSTEM_STATE.+slice.+state.+changed )|(ment ac)|(multiple cpu faults)|(system.+state.+changed )|(\[timeout)|(PRM\|1\|D)|(kpr)|(kdp)|(train st.+moving)|(\|lc)|(penalty))"</v>
      </c>
      <c r="AG156" s="172" t="str">
        <f t="shared" si="64"/>
        <v>EC</v>
      </c>
      <c r="AH156" s="70" t="str">
        <f t="shared" si="65"/>
        <v>"%USERPROFILE%\Documents\GitHub\eaglep3\Utilities\RefineRTDCRunTimes.py" --tripid 243-30 --locoid 4040 --swversion DE.1.0.9.0 --startMP 204:484 --initTime 2017-10-01T00:21:36 --startdatetime 2017-10-01T00:30:16 --delay 87 --endMP 204:233280 --enddatetime 2017-10-01T01:05:23 --enforcementcount 0 &gt;&gt;c:\users\stu\Documents\GitHub\eaglep3-reporting\EC\2017-09-30-refined-times.txt</v>
      </c>
      <c r="AI156" s="88" t="str">
        <f t="shared" si="66"/>
        <v>echo {"issue":{"subject":"","project_id":79,"tracker_id":40,"status_id":1,"priority_id":2,"assigned_to_id":338,"start_date":"2017-10-01","description":"","custom_fields":[{"id":1,"name":"Subdivision","value":"EC"},{"id":4,"name":"Milepost","value":"23.328"},{"id":17,"name":"Train ID","value":"243-30"},{"id":16,"name":"Locomotive ID","value":"4040"},{"id":130,"name":"Impact","value":""},{"id":150,"name":"Time of Event (Mountain Time)","value":"01:05:23"},{"id":151,"name":"Denver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34" t="str">
        <f t="shared" si="67"/>
        <v>start /low /b %USERPROFILE%\Documents\GitHub\eaglep3\Utilities\DownloadLogsFromS3.py --loco 4040 --day 2017-10-01</v>
      </c>
      <c r="AN156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07:05:23"},{"id":29,"name":"Sharepoint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0" t="str">
        <f t="shared" si="69"/>
        <v>https://d0f6bd738d7f1b3e5a7ca70fe4ff75f0.us-east-1.aws.found.io/app/kibana#/discover/Steve-Slow-Train-Analysis-(2080s-and-2083s)?_g=(refreshInterval:(display:Off,pause:!f,section:0,value:0),time:(from:'2017-09-30T23:21:36-0600',mode:absolute,to:'2017-10-01T02:05:23-0600'))&amp;_a=(columns:!('Message%20ID',Summary),filters:!(),index:'emp_*',interval:auto,query:(query_string:(analyze_wildcard:!t,query:'%22rtdc.l.rtdc.4040%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823</v>
      </c>
      <c r="B157" s="7">
        <v>4039</v>
      </c>
      <c r="C157" s="21" t="s">
        <v>195</v>
      </c>
      <c r="D157" s="21" t="s">
        <v>930</v>
      </c>
      <c r="E157" s="13">
        <v>43009.046747685185</v>
      </c>
      <c r="F157" s="13">
        <v>43009.060567129629</v>
      </c>
      <c r="G157" s="7">
        <v>55</v>
      </c>
      <c r="H157" s="21" t="s">
        <v>931</v>
      </c>
      <c r="I157" s="13">
        <v>43009.088287037041</v>
      </c>
      <c r="J157" s="7">
        <v>0</v>
      </c>
      <c r="K157" s="81" t="str">
        <f t="shared" si="53"/>
        <v>4039/4040</v>
      </c>
      <c r="L157" s="175" t="str">
        <f>VLOOKUP(A157,'Trips&amp;Operators'!$C$1:$G$99911,5,FALSE)</f>
        <v>RESPASS AARON</v>
      </c>
      <c r="M157" s="6">
        <f t="shared" si="54"/>
        <v>2.771990741166519E-2</v>
      </c>
      <c r="N157" s="7">
        <f t="shared" si="51"/>
        <v>39.916666672797874</v>
      </c>
      <c r="O157" s="7"/>
      <c r="P157" s="7"/>
      <c r="Q157" s="22"/>
      <c r="R157" s="166"/>
      <c r="S157" s="228">
        <f t="shared" si="52"/>
        <v>1</v>
      </c>
      <c r="T157" s="166" t="str">
        <f t="shared" si="55"/>
        <v>Southbound</v>
      </c>
      <c r="U157" s="21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4" t="str">
        <f t="shared" si="56"/>
        <v>https://d0f6bd738d7f1b3e5a7ca70fe4ff75f0.us-east-1.aws.found.io/app/kibana#/discover/Steve-Slow-Train-Analysis-(2080s-and-2083s)?_g=(refreshInterval:(display:Off,pause:!f,section:0,value:0),time:(from:'2017-10-01T00:07:19-0600',mode:absolute,to:'2017-10-01T03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7" s="215" t="str">
        <f>IF(AA157&lt;VLOOKUP(AG157,Variables!$AC$3:$AD$8,2,FALSE),"Y","N")</f>
        <v>N</v>
      </c>
      <c r="X157" s="215">
        <f t="shared" si="57"/>
        <v>1</v>
      </c>
      <c r="Y157" s="215">
        <f t="shared" si="58"/>
        <v>23.296099999999999</v>
      </c>
      <c r="Z157" s="215">
        <f t="shared" si="59"/>
        <v>2.1399999999999999E-2</v>
      </c>
      <c r="AA157" s="215">
        <f t="shared" si="60"/>
        <v>23.274699999999999</v>
      </c>
      <c r="AB157" s="216" t="e">
        <f>VLOOKUP(A157,Enforcements!$C$7:$K$11,8,0)</f>
        <v>#N/A</v>
      </c>
      <c r="AC157" s="216" t="e">
        <f>VLOOKUP(A157,Enforcements!$C$7:$E$11,3,0)</f>
        <v>#N/A</v>
      </c>
      <c r="AD157" s="217">
        <f t="shared" si="61"/>
        <v>244</v>
      </c>
      <c r="AE157" s="218" t="str">
        <f t="shared" si="62"/>
        <v>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 &amp; aws s3 cp s3://rtdc.mdm.uploadarchive.raw/RTDC4039/ "%USERPROFILE%\AppData\Local\Temp\OnboardLogs"\RTDC4039\2017-10-02 --exclude "*" --recursive --include "*20171002*" &amp; "%USERPROFILE%\Documents\GitHub\mrs-test-scripts\Headless Mode &amp; Sideloading\WalkAndUnGZ.bat" "%USERPROFILE%\AppData\Local\Temp\OnboardLogs"\RTDC4039\2017-10-02</v>
      </c>
      <c r="AF157" s="68" t="str">
        <f t="shared" si="63"/>
        <v>"C:\Program Files (x86)\AstroGrep\AstroGrep.exe" /e /r /s /spath="%USERPROFILE%\AppData\Local\Temp\OnboardLogs" /stypes="app*4039*20171001*" /stext=" 08:.+((SYSTEM_STATE.+slice.+state.+changed )|(ment ac)|(multiple cpu faults)|(system.+state.+changed )|(\[timeout)|(PRM\|1\|D)|(kpr)|(kdp)|(train st.+moving)|(\|lc)|(penalty))"</v>
      </c>
      <c r="AG157" s="172" t="str">
        <f t="shared" si="64"/>
        <v>EC</v>
      </c>
      <c r="AH157" s="70" t="str">
        <f t="shared" si="65"/>
        <v>"%USERPROFILE%\Documents\GitHub\eaglep3\Utilities\RefineRTDCRunTimes.py" --tripid 244-30 --locoid 4039 --swversion DE.1.0.9.0 --startMP 204:232961 --initTime 2017-10-01T01:07:19 --startdatetime 2017-10-01T01:27:13 --delay 55 --endMP 204:214 --enddatetime 2017-10-01T02:07:08 --enforcementcount 0 &gt;&gt;c:\users\stu\Documents\GitHub\eaglep3-reporting\EC\2017-09-30-refined-times.txt</v>
      </c>
      <c r="AI157" s="88" t="str">
        <f t="shared" si="66"/>
        <v>echo {"issue":{"subject":"","project_id":79,"tracker_id":40,"status_id":1,"priority_id":2,"assigned_to_id":338,"start_date":"2017-10-01","description":"","custom_fields":[{"id":1,"name":"Subdivision","value":"EC"},{"id":4,"name":"Milepost","value":"0.0214"},{"id":17,"name":"Train ID","value":"244-30"},{"id":16,"name":"Locomotive ID","value":"4039"},{"id":130,"name":"Impact","value":""},{"id":150,"name":"Time of Event (Mountain Time)","value":"02:07:08"},{"id":151,"name":"Denver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34" t="str">
        <f t="shared" si="67"/>
        <v>start /low /b %USERPROFILE%\Documents\GitHub\eaglep3\Utilities\DownloadLogsFromS3.py --loco 4039 --day 2017-10-01</v>
      </c>
      <c r="AN157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08:07:08"},{"id":29,"name":"Sharepoint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0" t="str">
        <f t="shared" si="69"/>
        <v>https://d0f6bd738d7f1b3e5a7ca70fe4ff75f0.us-east-1.aws.found.io/app/kibana#/discover/Steve-Slow-Train-Analysis-(2080s-and-2083s)?_g=(refreshInterval:(display:Off,pause:!f,section:0,value:0),time:(from:'2017-10-01T00:07:19-0600',mode:absolute,to:'2017-10-01T03:07:08-0600'))&amp;_a=(columns:!('Message%20ID',Summary),filters:!(),index:'emp_*',interval:auto,query:(query_string:(analyze_wildcard:!t,query:'%22rtdc.l.rtdc.4039%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822</v>
      </c>
      <c r="B158" s="7">
        <v>4028</v>
      </c>
      <c r="C158" s="21" t="s">
        <v>195</v>
      </c>
      <c r="D158" s="21" t="s">
        <v>491</v>
      </c>
      <c r="E158" s="13">
        <v>43009.030219907407</v>
      </c>
      <c r="F158" s="13">
        <v>43009.043877314813</v>
      </c>
      <c r="G158" s="7">
        <v>90</v>
      </c>
      <c r="H158" s="21" t="s">
        <v>916</v>
      </c>
      <c r="I158" s="13">
        <v>43009.068078703705</v>
      </c>
      <c r="J158" s="7">
        <v>0</v>
      </c>
      <c r="K158" s="81" t="str">
        <f t="shared" si="53"/>
        <v>4027/4028</v>
      </c>
      <c r="L158" s="175" t="str">
        <f>VLOOKUP(A158,'Trips&amp;Operators'!$C$1:$G$99911,5,FALSE)</f>
        <v>NICHOLSON WESLEY</v>
      </c>
      <c r="M158" s="6">
        <f t="shared" si="54"/>
        <v>2.4201388892834075E-2</v>
      </c>
      <c r="N158" s="7">
        <f t="shared" si="51"/>
        <v>34.850000005681068</v>
      </c>
      <c r="O158" s="7"/>
      <c r="P158" s="7"/>
      <c r="Q158" s="22"/>
      <c r="R158" s="166"/>
      <c r="S158" s="228">
        <f t="shared" si="52"/>
        <v>1</v>
      </c>
      <c r="T158" s="166" t="str">
        <f t="shared" si="55"/>
        <v>NorthBound</v>
      </c>
      <c r="U158" s="21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4" t="str">
        <f t="shared" si="56"/>
        <v>https://d0f6bd738d7f1b3e5a7ca70fe4ff75f0.us-east-1.aws.found.io/app/kibana#/discover/Steve-Slow-Train-Analysis-(2080s-and-2083s)?_g=(refreshInterval:(display:Off,pause:!f,section:0,value:0),time:(from:'2017-09-30T23:43:31-0600',mode:absolute,to:'2017-10-01T02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8" s="215" t="str">
        <f>IF(AA158&lt;VLOOKUP(AG158,Variables!$AC$3:$AD$8,2,FALSE),"Y","N")</f>
        <v>N</v>
      </c>
      <c r="X158" s="215">
        <f t="shared" si="57"/>
        <v>1</v>
      </c>
      <c r="Y158" s="215">
        <f t="shared" si="58"/>
        <v>4.7300000000000002E-2</v>
      </c>
      <c r="Z158" s="215">
        <f t="shared" si="59"/>
        <v>23.335699999999999</v>
      </c>
      <c r="AA158" s="215">
        <f t="shared" si="60"/>
        <v>23.288399999999999</v>
      </c>
      <c r="AB158" s="216" t="e">
        <f>VLOOKUP(A158,Enforcements!$C$7:$K$11,8,0)</f>
        <v>#N/A</v>
      </c>
      <c r="AC158" s="216" t="e">
        <f>VLOOKUP(A158,Enforcements!$C$7:$E$11,3,0)</f>
        <v>#N/A</v>
      </c>
      <c r="AD158" s="217">
        <f t="shared" si="61"/>
        <v>245</v>
      </c>
      <c r="AE158" s="218" t="str">
        <f t="shared" si="62"/>
        <v>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 &amp; aws s3 cp s3://rtdc.mdm.uploadarchive.raw/RTDC4028/ "%USERPROFILE%\AppData\Local\Temp\OnboardLogs"\RTDC4028\2017-10-02 --exclude "*" --recursive --include "*20171002*" &amp; "%USERPROFILE%\Documents\GitHub\mrs-test-scripts\Headless Mode &amp; Sideloading\WalkAndUnGZ.bat" "%USERPROFILE%\AppData\Local\Temp\OnboardLogs"\RTDC4028\2017-10-02</v>
      </c>
      <c r="AF158" s="68" t="str">
        <f t="shared" si="63"/>
        <v>"C:\Program Files (x86)\AstroGrep\AstroGrep.exe" /e /r /s /spath="%USERPROFILE%\AppData\Local\Temp\OnboardLogs" /stypes="app*4028*20171001*" /stext=" 07:.+((SYSTEM_STATE.+slice.+state.+changed )|(ment ac)|(multiple cpu faults)|(system.+state.+changed )|(\[timeout)|(PRM\|1\|D)|(kpr)|(kdp)|(train st.+moving)|(\|lc)|(penalty))"</v>
      </c>
      <c r="AG158" s="172" t="str">
        <f t="shared" si="64"/>
        <v>EC</v>
      </c>
      <c r="AH158" s="70" t="str">
        <f t="shared" si="65"/>
        <v>"%USERPROFILE%\Documents\GitHub\eaglep3\Utilities\RefineRTDCRunTimes.py" --tripid 245-30 --locoid 4028 --swversion DE.1.0.9.0 --startMP 204:473 --initTime 2017-10-01T00:43:31 --startdatetime 2017-10-01T01:03:11 --delay 90 --endMP 204:233357 --enddatetime 2017-10-01T01:38:02 --enforcementcount 0 &gt;&gt;c:\users\stu\Documents\GitHub\eaglep3-reporting\EC\2017-09-30-refined-times.txt</v>
      </c>
      <c r="AI158" s="88" t="str">
        <f t="shared" si="66"/>
        <v>echo {"issue":{"subject":"","project_id":79,"tracker_id":40,"status_id":1,"priority_id":2,"assigned_to_id":338,"start_date":"2017-10-01","description":"","custom_fields":[{"id":1,"name":"Subdivision","value":"EC"},{"id":4,"name":"Milepost","value":"23.3357"},{"id":17,"name":"Train ID","value":"245-30"},{"id":16,"name":"Locomotive ID","value":"4028"},{"id":130,"name":"Impact","value":""},{"id":150,"name":"Time of Event (Mountain Time)","value":"01:38:02"},{"id":151,"name":"Denver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34" t="str">
        <f t="shared" si="67"/>
        <v>start /low /b %USERPROFILE%\Documents\GitHub\eaglep3\Utilities\DownloadLogsFromS3.py --loco 4028 --day 2017-10-01</v>
      </c>
      <c r="AN158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07:38:02"},{"id":29,"name":"Sharepoint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0" t="str">
        <f t="shared" si="69"/>
        <v>https://d0f6bd738d7f1b3e5a7ca70fe4ff75f0.us-east-1.aws.found.io/app/kibana#/discover/Steve-Slow-Train-Analysis-(2080s-and-2083s)?_g=(refreshInterval:(display:Off,pause:!f,section:0,value:0),time:(from:'2017-09-30T23:43:31-0600',mode:absolute,to:'2017-10-01T02:38:02-0600'))&amp;_a=(columns:!('Message%20ID',Summary),filters:!(),index:'emp_*',interval:auto,query:(query_string:(analyze_wildcard:!t,query:'%22rtdc.l.rtdc.4028%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826</v>
      </c>
      <c r="B159" s="7">
        <v>4027</v>
      </c>
      <c r="C159" s="21" t="s">
        <v>195</v>
      </c>
      <c r="D159" s="21" t="s">
        <v>453</v>
      </c>
      <c r="E159" s="13">
        <v>43009.072662037041</v>
      </c>
      <c r="F159" s="13">
        <v>43009.081712962965</v>
      </c>
      <c r="G159" s="7">
        <v>102</v>
      </c>
      <c r="H159" s="21" t="s">
        <v>337</v>
      </c>
      <c r="I159" s="13">
        <v>43009.108796296299</v>
      </c>
      <c r="J159" s="7">
        <v>0</v>
      </c>
      <c r="K159" s="81" t="str">
        <f t="shared" si="53"/>
        <v>4027/4028</v>
      </c>
      <c r="L159" s="175" t="str">
        <f>VLOOKUP(A159,'Trips&amp;Operators'!$C$1:$G$99911,5,FALSE)</f>
        <v>NICHOLSON WESLEY</v>
      </c>
      <c r="M159" s="6">
        <f t="shared" si="54"/>
        <v>2.7083333334303461E-2</v>
      </c>
      <c r="N159" s="7">
        <f t="shared" si="51"/>
        <v>39.000000001396984</v>
      </c>
      <c r="O159" s="7"/>
      <c r="P159" s="7"/>
      <c r="Q159" s="22"/>
      <c r="R159" s="166"/>
      <c r="S159" s="228">
        <f t="shared" si="52"/>
        <v>1</v>
      </c>
      <c r="T159" s="166" t="str">
        <f t="shared" si="55"/>
        <v>Southbound</v>
      </c>
      <c r="U159" s="21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4" t="str">
        <f t="shared" si="56"/>
        <v>https://d0f6bd738d7f1b3e5a7ca70fe4ff75f0.us-east-1.aws.found.io/app/kibana#/discover/Steve-Slow-Train-Analysis-(2080s-and-2083s)?_g=(refreshInterval:(display:Off,pause:!f,section:0,value:0),time:(from:'2017-10-01T00:44:38-0600',mode:absolute,to:'2017-10-01T03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9" s="215" t="str">
        <f>IF(AA159&lt;VLOOKUP(AG159,Variables!$AC$3:$AD$8,2,FALSE),"Y","N")</f>
        <v>N</v>
      </c>
      <c r="X159" s="215">
        <f t="shared" si="57"/>
        <v>1</v>
      </c>
      <c r="Y159" s="215">
        <f t="shared" si="58"/>
        <v>23.2957</v>
      </c>
      <c r="Z159" s="215">
        <f t="shared" si="59"/>
        <v>1.49E-2</v>
      </c>
      <c r="AA159" s="215">
        <f t="shared" si="60"/>
        <v>23.280799999999999</v>
      </c>
      <c r="AB159" s="216" t="e">
        <f>VLOOKUP(A159,Enforcements!$C$7:$K$11,8,0)</f>
        <v>#N/A</v>
      </c>
      <c r="AC159" s="216" t="e">
        <f>VLOOKUP(A159,Enforcements!$C$7:$E$11,3,0)</f>
        <v>#N/A</v>
      </c>
      <c r="AD159" s="217">
        <f t="shared" si="61"/>
        <v>246</v>
      </c>
      <c r="AE159" s="218" t="str">
        <f t="shared" si="62"/>
        <v>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 &amp; aws s3 cp s3://rtdc.mdm.uploadarchive.raw/RTDC4027/ "%USERPROFILE%\AppData\Local\Temp\OnboardLogs"\RTDC4027\2017-10-02 --exclude "*" --recursive --include "*20171002*" &amp; "%USERPROFILE%\Documents\GitHub\mrs-test-scripts\Headless Mode &amp; Sideloading\WalkAndUnGZ.bat" "%USERPROFILE%\AppData\Local\Temp\OnboardLogs"\RTDC4027\2017-10-02</v>
      </c>
      <c r="AF159" s="68" t="str">
        <f t="shared" si="63"/>
        <v>"C:\Program Files (x86)\AstroGrep\AstroGrep.exe" /e /r /s /spath="%USERPROFILE%\AppData\Local\Temp\OnboardLogs" /stypes="app*4027*20171001*" /stext=" 08:.+((SYSTEM_STATE.+slice.+state.+changed )|(ment ac)|(multiple cpu faults)|(system.+state.+changed )|(\[timeout)|(PRM\|1\|D)|(kpr)|(kdp)|(train st.+moving)|(\|lc)|(penalty))"</v>
      </c>
      <c r="AG159" s="172" t="str">
        <f t="shared" si="64"/>
        <v>EC</v>
      </c>
      <c r="AH159" s="70" t="str">
        <f t="shared" si="65"/>
        <v>"%USERPROFILE%\Documents\GitHub\eaglep3\Utilities\RefineRTDCRunTimes.py" --tripid 246-30 --locoid 4027 --swversion DE.1.0.9.0 --startMP 204:232957 --initTime 2017-10-01T01:44:38 --startdatetime 2017-10-01T01:57:40 --delay 102 --endMP 204:149 --enddatetime 2017-10-01T02:36:40 --enforcementcount 0 &gt;&gt;c:\users\stu\Documents\GitHub\eaglep3-reporting\EC\2017-09-30-refined-times.txt</v>
      </c>
      <c r="AI159" s="88" t="str">
        <f t="shared" si="66"/>
        <v>echo {"issue":{"subject":"","project_id":79,"tracker_id":40,"status_id":1,"priority_id":2,"assigned_to_id":338,"start_date":"2017-10-01","description":"","custom_fields":[{"id":1,"name":"Subdivision","value":"EC"},{"id":4,"name":"Milepost","value":"0.0149"},{"id":17,"name":"Train ID","value":"246-30"},{"id":16,"name":"Locomotive ID","value":"4027"},{"id":130,"name":"Impact","value":""},{"id":150,"name":"Time of Event (Mountain Time)","value":"02:36:40"},{"id":151,"name":"Denver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34" t="str">
        <f t="shared" si="67"/>
        <v>start /low /b %USERPROFILE%\Documents\GitHub\eaglep3\Utilities\DownloadLogsFromS3.py --loco 4027 --day 2017-10-01</v>
      </c>
      <c r="AN159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08:36:40"},{"id":29,"name":"Sharepoint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0" t="str">
        <f t="shared" si="69"/>
        <v>https://d0f6bd738d7f1b3e5a7ca70fe4ff75f0.us-east-1.aws.found.io/app/kibana#/discover/Steve-Slow-Train-Analysis-(2080s-and-2083s)?_g=(refreshInterval:(display:Off,pause:!f,section:0,value:0),time:(from:'2017-10-01T00:44:38-0600',mode:absolute,to:'2017-10-01T03:36:40-0600'))&amp;_a=(columns:!('Message%20ID',Summary),filters:!(),index:'emp_*',interval:auto,query:(query_string:(analyze_wildcard:!t,query:'%22rtdc.l.rtdc.4027%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588</v>
      </c>
      <c r="B160" s="7">
        <v>4017</v>
      </c>
      <c r="C160" s="21" t="s">
        <v>195</v>
      </c>
      <c r="D160" s="21" t="s">
        <v>863</v>
      </c>
      <c r="E160" s="13">
        <v>43008.236840277779</v>
      </c>
      <c r="F160" s="13">
        <v>43008.241261574076</v>
      </c>
      <c r="G160" s="7">
        <v>67</v>
      </c>
      <c r="H160" s="21" t="s">
        <v>864</v>
      </c>
      <c r="I160" s="13">
        <v>43008.250937500001</v>
      </c>
      <c r="J160" s="7">
        <v>0</v>
      </c>
      <c r="K160" s="81" t="str">
        <f t="shared" si="53"/>
        <v>4017/4018</v>
      </c>
      <c r="L160" s="175" t="str">
        <f>VLOOKUP(A160,'Trips&amp;Operators'!$C$1:$G$99911,5,FALSE)</f>
        <v>LAMAR NEKESHA</v>
      </c>
      <c r="M160" s="6">
        <f t="shared" si="54"/>
        <v>9.6759259249665774E-3</v>
      </c>
      <c r="N160" s="7"/>
      <c r="O160" s="7"/>
      <c r="P160" s="7"/>
      <c r="Q160" s="22"/>
      <c r="R160" s="166"/>
      <c r="S160" s="228"/>
      <c r="T160" s="166" t="str">
        <f t="shared" si="55"/>
        <v>Southbound</v>
      </c>
      <c r="U160" s="21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14" t="str">
        <f t="shared" si="56"/>
        <v>https://d0f6bd738d7f1b3e5a7ca70fe4ff75f0.us-east-1.aws.found.io/app/kibana#/discover/Steve-Slow-Train-Analysis-(2080s-and-2083s)?_g=(refreshInterval:(display:Off,pause:!f,section:0,value:0),time:(from:'2017-09-30T04:41:03-0600',mode:absolute,to:'2017-09-30T07:01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215" t="str">
        <f>IF(AA160&lt;VLOOKUP(AG160,Variables!$AC$3:$AD$8,2,FALSE),"Y","N")</f>
        <v>Y</v>
      </c>
      <c r="X160" s="215">
        <f t="shared" si="57"/>
        <v>1554</v>
      </c>
      <c r="Y160" s="215">
        <f t="shared" si="58"/>
        <v>5.87</v>
      </c>
      <c r="Z160" s="215">
        <f t="shared" si="59"/>
        <v>5.8026999999999997</v>
      </c>
      <c r="AA160" s="215">
        <f t="shared" si="60"/>
        <v>6.730000000000036E-2</v>
      </c>
      <c r="AB160" s="216" t="e">
        <f>VLOOKUP(A160,Enforcements!$C$7:$K$11,8,0)</f>
        <v>#N/A</v>
      </c>
      <c r="AC160" s="216" t="e">
        <f>VLOOKUP(A160,Enforcements!$C$7:$E$11,3,0)</f>
        <v>#N/A</v>
      </c>
      <c r="AD160" s="217">
        <f t="shared" si="61"/>
        <v>1800</v>
      </c>
      <c r="AE160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60" s="68" t="str">
        <f t="shared" si="63"/>
        <v>"C:\Program Files (x86)\AstroGrep\AstroGrep.exe" /e /r /s /spath="%USERPROFILE%\AppData\Local\Temp\OnboardLogs" /stypes="app*4017*20170930*" /stext=" 12:.+((SYSTEM_STATE.+slice.+state.+changed )|(ment ac)|(multiple cpu faults)|(system.+state.+changed )|(\[timeout)|(PRM\|1\|D)|(kpr)|(kdp)|(train st.+moving)|(\|lc)|(penalty))"</v>
      </c>
      <c r="AG160" s="172" t="str">
        <f t="shared" si="64"/>
        <v>NW</v>
      </c>
      <c r="AH160" s="70" t="str">
        <f t="shared" si="65"/>
        <v>"%USERPROFILE%\Documents\GitHub\eaglep3\Utilities\RefineRTDCRunTimes.py" --tripid 1800-30 --locoid 4017 --swversion DE.1.0.9.0 --startMP 300:58700 --initTime 2017-09-30T05:41:03 --startdatetime 2017-09-30T05:47:25 --delay 67 --endMP 300:58027 --enddatetime 2017-09-30T06:01:21 --enforcementcount 0 &gt;&gt;c:\users\stu\Documents\GitHub\eaglep3-reporting\EC\2017-09-30-refined-times.txt</v>
      </c>
      <c r="AI160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{"issue":{"subject":"","project_id":79,"tracker_id":40,"status_id":1,"priority_id":2,"assigned_to_id":338,"start_date":"2017-09-30","description":"","custom_fields":[{"id":1,"name":"Subdivision","value":"NW"},{"id":4,"name":"Milepost","value":"5.8027"},{"id":17,"name":"Train ID","value":"1800-30"},{"id":16,"name":"Locomotive ID","value":"4017"},{"id":130,"name":"Impact","value":""},{"id":150,"name":"Time of Event (Mountain Time)","value":"06:01:21"},{"id":151,"name":"Denver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34" t="str">
        <f t="shared" si="67"/>
        <v>start /low /b %USERPROFILE%\Documents\GitHub\eaglep3\Utilities\DownloadLogsFromS3.py --loco 4017 --day 2017-09-30</v>
      </c>
      <c r="AN160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12:01:21"},{"id":29,"name":"Sharepoint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0" t="str">
        <f t="shared" si="69"/>
        <v>https://d0f6bd738d7f1b3e5a7ca70fe4ff75f0.us-east-1.aws.found.io/app/kibana#/discover/Steve-Slow-Train-Analysis-(2080s-and-2083s)?_g=(refreshInterval:(display:Off,pause:!f,section:0,value:0),time:(from:'2017-09-30T04:41:03-0600',mode:absolute,to:'2017-09-30T07:01:21-0600'))&amp;_a=(columns:!('Message%20ID',Summary),filters:!(),index:'emp_*',interval:auto,query:(query_string:(analyze_wildcard:!t,query:'%22rtdc.l.rtdc.4017%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588</v>
      </c>
      <c r="B161" s="7">
        <v>4017</v>
      </c>
      <c r="C161" s="21" t="s">
        <v>195</v>
      </c>
      <c r="D161" s="21" t="s">
        <v>865</v>
      </c>
      <c r="E161" s="13">
        <v>43008.240277777775</v>
      </c>
      <c r="F161" s="13">
        <v>43008.241261574076</v>
      </c>
      <c r="G161" s="7">
        <v>51</v>
      </c>
      <c r="H161" s="21" t="s">
        <v>866</v>
      </c>
      <c r="I161" s="13">
        <v>43008.250937500001</v>
      </c>
      <c r="J161" s="7">
        <v>0</v>
      </c>
      <c r="K161" s="81" t="str">
        <f t="shared" si="53"/>
        <v>4017/4018</v>
      </c>
      <c r="L161" s="175" t="str">
        <f>VLOOKUP(A161,'Trips&amp;Operators'!$C$1:$G$99911,5,FALSE)</f>
        <v>LAMAR NEKESHA</v>
      </c>
      <c r="M161" s="6">
        <f t="shared" si="54"/>
        <v>9.6759259249665774E-3</v>
      </c>
      <c r="N161" s="7">
        <f t="shared" ref="N161:N176" si="70">24*60*SUM($M161:$M161)</f>
        <v>13.933333331951872</v>
      </c>
      <c r="O161" s="7"/>
      <c r="P161" s="7"/>
      <c r="Q161" s="22"/>
      <c r="R161" s="166" t="s">
        <v>972</v>
      </c>
      <c r="S161" s="228">
        <f t="shared" ref="S161:S177" si="71">1/IF(AG161="EC",12,1)*SUM(U161:U161)</f>
        <v>1</v>
      </c>
      <c r="T161" s="166" t="str">
        <f t="shared" si="55"/>
        <v>Southbound</v>
      </c>
      <c r="U161" s="21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4" t="str">
        <f t="shared" si="56"/>
        <v>https://d0f6bd738d7f1b3e5a7ca70fe4ff75f0.us-east-1.aws.found.io/app/kibana#/discover/Steve-Slow-Train-Analysis-(2080s-and-2083s)?_g=(refreshInterval:(display:Off,pause:!f,section:0,value:0),time:(from:'2017-09-30T04:46:00-0600',mode:absolute,to:'2017-09-30T07:01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1" s="215" t="str">
        <f>IF(AA161&lt;VLOOKUP(AG161,Variables!$AC$3:$AD$8,2,FALSE),"Y","N")</f>
        <v>N</v>
      </c>
      <c r="X161" s="215">
        <f t="shared" si="57"/>
        <v>0</v>
      </c>
      <c r="Y161" s="215">
        <f t="shared" si="58"/>
        <v>5.7332999999999998</v>
      </c>
      <c r="Z161" s="215">
        <f t="shared" si="59"/>
        <v>6.6600000000000006E-2</v>
      </c>
      <c r="AA161" s="215">
        <f t="shared" si="60"/>
        <v>5.6666999999999996</v>
      </c>
      <c r="AB161" s="216" t="e">
        <f>VLOOKUP(A161,Enforcements!$C$7:$K$11,8,0)</f>
        <v>#N/A</v>
      </c>
      <c r="AC161" s="216" t="e">
        <f>VLOOKUP(A161,Enforcements!$C$7:$E$11,3,0)</f>
        <v>#N/A</v>
      </c>
      <c r="AD161" s="217">
        <f t="shared" si="61"/>
        <v>1800</v>
      </c>
      <c r="AE161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61" s="68" t="str">
        <f t="shared" si="63"/>
        <v>"C:\Program Files (x86)\AstroGrep\AstroGrep.exe" /e /r /s /spath="%USERPROFILE%\AppData\Local\Temp\OnboardLogs" /stypes="app*4017*20170930*" /stext=" 12:.+((SYSTEM_STATE.+slice.+state.+changed )|(ment ac)|(multiple cpu faults)|(system.+state.+changed )|(\[timeout)|(PRM\|1\|D)|(kpr)|(kdp)|(train st.+moving)|(\|lc)|(penalty))"</v>
      </c>
      <c r="AG161" s="172" t="str">
        <f t="shared" si="64"/>
        <v>NW</v>
      </c>
      <c r="AH161" s="70" t="str">
        <f t="shared" si="65"/>
        <v>"%USERPROFILE%\Documents\GitHub\eaglep3\Utilities\RefineRTDCRunTimes.py" --tripid 1800-30 --locoid 4017 --swversion DE.1.0.9.0 --startMP 300:57333 --initTime 2017-09-30T05:46:00 --startdatetime 2017-09-30T05:47:25 --delay 51 --endMP 204:666 --enddatetime 2017-09-30T06:01:21 --enforcementcount 0 &gt;&gt;c:\users\stu\Documents\GitHub\eaglep3-reporting\EC\2017-09-30-refined-times.txt</v>
      </c>
      <c r="AI161" s="88" t="str">
        <f t="shared" si="66"/>
        <v>echo {"issue":{"subject":"Selected wrong track at first","project_id":79,"tracker_id":40,"status_id":1,"priority_id":2,"assigned_to_id":338,"start_date":"2017-09-30","description":"","custom_fields":[{"id":1,"name":"Subdivision","value":"NW"},{"id":4,"name":"Milepost","value":"0.0666"},{"id":17,"name":"Train ID","value":"1800-30"},{"id":16,"name":"Locomotive ID","value":"4017"},{"id":130,"name":"Impact","value":""},{"id":150,"name":"Time of Event (Mountain Time)","value":"06:01:21"},{"id":151,"name":"Denver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34" t="str">
        <f t="shared" si="67"/>
        <v>start /low /b %USERPROFILE%\Documents\GitHub\eaglep3\Utilities\DownloadLogsFromS3.py --loco 4017 --day 2017-09-30</v>
      </c>
      <c r="AN161" s="143" t="str">
        <f t="shared" si="68"/>
        <v>echo {"issue":{"subject":"Selected wrong track at first","project_id":30,"tracker_id":4,"status_id":1,"priority_id":1,"assigned_to_id":10,"start_date":"2017-09-30","description":"","custom_fields":[{"id":30,"name":"Category","value":"Issue"},{"id":3,"name":"Functional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12:01:21"},{"id":29,"name":"Sharepoint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0" t="str">
        <f t="shared" si="69"/>
        <v>https://d0f6bd738d7f1b3e5a7ca70fe4ff75f0.us-east-1.aws.found.io/app/kibana#/discover/Steve-Slow-Train-Analysis-(2080s-and-2083s)?_g=(refreshInterval:(display:Off,pause:!f,section:0,value:0),time:(from:'2017-09-30T04:46:00-0600',mode:absolute,to:'2017-09-30T07:01:21-0600'))&amp;_a=(columns:!('Message%20ID',Summary),filters:!(),index:'emp_*',interval:auto,query:(query_string:(analyze_wildcard:!t,query:'%22rtdc.l.rtdc.4017%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589</v>
      </c>
      <c r="B162" s="7">
        <v>4018</v>
      </c>
      <c r="C162" s="21" t="s">
        <v>195</v>
      </c>
      <c r="D162" s="21" t="s">
        <v>581</v>
      </c>
      <c r="E162" s="13">
        <v>43008.252997685187</v>
      </c>
      <c r="F162" s="13">
        <v>43008.256412037037</v>
      </c>
      <c r="G162" s="7">
        <v>72</v>
      </c>
      <c r="H162" s="21" t="s">
        <v>867</v>
      </c>
      <c r="I162" s="13">
        <v>43008.265555555554</v>
      </c>
      <c r="J162" s="7">
        <v>0</v>
      </c>
      <c r="K162" s="81" t="str">
        <f t="shared" si="53"/>
        <v>4017/4018</v>
      </c>
      <c r="L162" s="175" t="str">
        <f>VLOOKUP(A162,'Trips&amp;Operators'!$C$1:$G$99911,5,FALSE)</f>
        <v>LAMAR NEKESHA</v>
      </c>
      <c r="M162" s="6">
        <f t="shared" si="54"/>
        <v>9.1435185167938471E-3</v>
      </c>
      <c r="N162" s="7">
        <f t="shared" si="70"/>
        <v>13.16666666418314</v>
      </c>
      <c r="O162" s="7"/>
      <c r="P162" s="7"/>
      <c r="Q162" s="22"/>
      <c r="R162" s="166"/>
      <c r="S162" s="228">
        <f t="shared" si="71"/>
        <v>1</v>
      </c>
      <c r="T162" s="166" t="str">
        <f t="shared" si="55"/>
        <v>NorthBound</v>
      </c>
      <c r="U162" s="21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4" t="str">
        <f t="shared" si="56"/>
        <v>https://d0f6bd738d7f1b3e5a7ca70fe4ff75f0.us-east-1.aws.found.io/app/kibana#/discover/Steve-Slow-Train-Analysis-(2080s-and-2083s)?_g=(refreshInterval:(display:Off,pause:!f,section:0,value:0),time:(from:'2017-09-30T05:04:19-0600',mode:absolute,to:'2017-09-30T07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215" t="str">
        <f>IF(AA162&lt;VLOOKUP(AG162,Variables!$AC$3:$AD$8,2,FALSE),"Y","N")</f>
        <v>N</v>
      </c>
      <c r="X162" s="215">
        <f t="shared" si="57"/>
        <v>1</v>
      </c>
      <c r="Y162" s="215">
        <f t="shared" si="58"/>
        <v>9.6500000000000002E-2</v>
      </c>
      <c r="Z162" s="215">
        <f t="shared" si="59"/>
        <v>5.8982000000000001</v>
      </c>
      <c r="AA162" s="215">
        <f t="shared" si="60"/>
        <v>5.8017000000000003</v>
      </c>
      <c r="AB162" s="216" t="e">
        <f>VLOOKUP(A162,Enforcements!$C$7:$K$11,8,0)</f>
        <v>#N/A</v>
      </c>
      <c r="AC162" s="216" t="e">
        <f>VLOOKUP(A162,Enforcements!$C$7:$E$11,3,0)</f>
        <v>#N/A</v>
      </c>
      <c r="AD162" s="217">
        <f t="shared" si="61"/>
        <v>1801</v>
      </c>
      <c r="AE162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62" s="68" t="str">
        <f t="shared" si="63"/>
        <v>"C:\Program Files (x86)\AstroGrep\AstroGrep.exe" /e /r /s /spath="%USERPROFILE%\AppData\Local\Temp\OnboardLogs" /stypes="app*4018*20170930*" /stext=" 12:.+((SYSTEM_STATE.+slice.+state.+changed )|(ment ac)|(multiple cpu faults)|(system.+state.+changed )|(\[timeout)|(PRM\|1\|D)|(kpr)|(kdp)|(train st.+moving)|(\|lc)|(penalty))"</v>
      </c>
      <c r="AG162" s="172" t="str">
        <f t="shared" si="64"/>
        <v>NW</v>
      </c>
      <c r="AH162" s="70" t="str">
        <f t="shared" si="65"/>
        <v>"%USERPROFILE%\Documents\GitHub\eaglep3\Utilities\RefineRTDCRunTimes.py" --tripid 1801-30 --locoid 4018 --swversion DE.1.0.9.0 --startMP 204:965 --initTime 2017-09-30T06:04:19 --startdatetime 2017-09-30T06:09:14 --delay 72 --endMP 300:58982 --enddatetime 2017-09-30T06:22:24 --enforcementcount 0 &gt;&gt;c:\users\stu\Documents\GitHub\eaglep3-reporting\EC\2017-09-30-refined-times.txt</v>
      </c>
      <c r="AI162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{"issue":{"subject":"","project_id":79,"tracker_id":40,"status_id":1,"priority_id":2,"assigned_to_id":338,"start_date":"2017-09-30","description":"","custom_fields":[{"id":1,"name":"Subdivision","value":"NW"},{"id":4,"name":"Milepost","value":"5.8982"},{"id":17,"name":"Train ID","value":"1801-30"},{"id":16,"name":"Locomotive ID","value":"4018"},{"id":130,"name":"Impact","value":""},{"id":150,"name":"Time of Event (Mountain Time)","value":"06:22:24"},{"id":151,"name":"Denver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34" t="str">
        <f t="shared" si="67"/>
        <v>start /low /b %USERPROFILE%\Documents\GitHub\eaglep3\Utilities\DownloadLogsFromS3.py --loco 4018 --day 2017-09-30</v>
      </c>
      <c r="AN162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0" t="str">
        <f t="shared" si="69"/>
        <v>https://d0f6bd738d7f1b3e5a7ca70fe4ff75f0.us-east-1.aws.found.io/app/kibana#/discover/Steve-Slow-Train-Analysis-(2080s-and-2083s)?_g=(refreshInterval:(display:Off,pause:!f,section:0,value:0),time:(from:'2017-09-30T05:04:19-0600',mode:absolute,to:'2017-09-30T07:22:24-0600'))&amp;_a=(columns:!('Message%20ID',Summary),filters:!(),index:'emp_*',interval:auto,query:(query_string:(analyze_wildcard:!t,query:'%22rtdc.l.rtdc.4018%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666</v>
      </c>
      <c r="B163" s="7">
        <v>4017</v>
      </c>
      <c r="C163" s="21" t="s">
        <v>195</v>
      </c>
      <c r="D163" s="21" t="s">
        <v>868</v>
      </c>
      <c r="E163" s="13">
        <v>43008.275046296294</v>
      </c>
      <c r="F163" s="13">
        <v>43008.277442129627</v>
      </c>
      <c r="G163" s="7">
        <v>78</v>
      </c>
      <c r="H163" s="21" t="s">
        <v>869</v>
      </c>
      <c r="I163" s="13">
        <v>43008.289386574077</v>
      </c>
      <c r="J163" s="7">
        <v>0</v>
      </c>
      <c r="K163" s="81" t="str">
        <f t="shared" si="53"/>
        <v>4017/4018</v>
      </c>
      <c r="L163" s="175" t="str">
        <f>VLOOKUP(A163,'Trips&amp;Operators'!$C$1:$G$99911,5,FALSE)</f>
        <v>LAMAR NEKESHA</v>
      </c>
      <c r="M163" s="6">
        <f t="shared" si="54"/>
        <v>1.1944444449909497E-2</v>
      </c>
      <c r="N163" s="7">
        <f t="shared" si="70"/>
        <v>17.200000007869676</v>
      </c>
      <c r="O163" s="7"/>
      <c r="P163" s="7"/>
      <c r="Q163" s="22"/>
      <c r="R163" s="166"/>
      <c r="S163" s="228">
        <f t="shared" si="71"/>
        <v>1</v>
      </c>
      <c r="T163" s="166" t="str">
        <f t="shared" si="55"/>
        <v>Southbound</v>
      </c>
      <c r="U163" s="21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4" t="str">
        <f t="shared" si="56"/>
        <v>https://d0f6bd738d7f1b3e5a7ca70fe4ff75f0.us-east-1.aws.found.io/app/kibana#/discover/Steve-Slow-Train-Analysis-(2080s-and-2083s)?_g=(refreshInterval:(display:Off,pause:!f,section:0,value:0),time:(from:'2017-09-30T05:36:04-0600',mode:absolute,to:'2017-09-30T07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215" t="str">
        <f>IF(AA163&lt;VLOOKUP(AG163,Variables!$AC$3:$AD$8,2,FALSE),"Y","N")</f>
        <v>N</v>
      </c>
      <c r="X163" s="215">
        <f t="shared" si="57"/>
        <v>1</v>
      </c>
      <c r="Y163" s="215">
        <f t="shared" si="58"/>
        <v>5.8662000000000001</v>
      </c>
      <c r="Z163" s="215">
        <f t="shared" si="59"/>
        <v>6.6400000000000001E-2</v>
      </c>
      <c r="AA163" s="215">
        <f t="shared" si="60"/>
        <v>5.7998000000000003</v>
      </c>
      <c r="AB163" s="216" t="e">
        <f>VLOOKUP(A163,Enforcements!$C$7:$K$11,8,0)</f>
        <v>#N/A</v>
      </c>
      <c r="AC163" s="216" t="e">
        <f>VLOOKUP(A163,Enforcements!$C$7:$E$11,3,0)</f>
        <v>#N/A</v>
      </c>
      <c r="AD163" s="217">
        <f t="shared" si="61"/>
        <v>1802</v>
      </c>
      <c r="AE163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63" s="68" t="str">
        <f t="shared" si="63"/>
        <v>"C:\Program Files (x86)\AstroGrep\AstroGrep.exe" /e /r /s /spath="%USERPROFILE%\AppData\Local\Temp\OnboardLogs" /stypes="app*4017*20170930*" /stext=" 12:.+((SYSTEM_STATE.+slice.+state.+changed )|(ment ac)|(multiple cpu faults)|(system.+state.+changed )|(\[timeout)|(PRM\|1\|D)|(kpr)|(kdp)|(train st.+moving)|(\|lc)|(penalty))"</v>
      </c>
      <c r="AG163" s="172" t="str">
        <f t="shared" si="64"/>
        <v>NW</v>
      </c>
      <c r="AH163" s="70" t="str">
        <f t="shared" si="65"/>
        <v>"%USERPROFILE%\Documents\GitHub\eaglep3\Utilities\RefineRTDCRunTimes.py" --tripid 1802-30 --locoid 4017 --swversion DE.1.0.9.0 --startMP 300:58662 --initTime 2017-09-30T06:36:04 --startdatetime 2017-09-30T06:39:31 --delay 78 --endMP 204:664 --enddatetime 2017-09-30T06:56:43 --enforcementcount 0 &gt;&gt;c:\users\stu\Documents\GitHub\eaglep3-reporting\EC\2017-09-30-refined-times.txt</v>
      </c>
      <c r="AI163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{"issue":{"subject":"","project_id":79,"tracker_id":40,"status_id":1,"priority_id":2,"assigned_to_id":338,"start_date":"2017-09-30","description":"","custom_fields":[{"id":1,"name":"Subdivision","value":"NW"},{"id":4,"name":"Milepost","value":"0.0664"},{"id":17,"name":"Train ID","value":"1802-30"},{"id":16,"name":"Locomotive ID","value":"4017"},{"id":130,"name":"Impact","value":""},{"id":150,"name":"Time of Event (Mountain Time)","value":"06:56:43"},{"id":151,"name":"Denver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34" t="str">
        <f t="shared" si="67"/>
        <v>start /low /b %USERPROFILE%\Documents\GitHub\eaglep3\Utilities\DownloadLogsFromS3.py --loco 4017 --day 2017-09-30</v>
      </c>
      <c r="AN163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12:56:43"},{"id":29,"name":"Sharepoint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0" t="str">
        <f t="shared" si="69"/>
        <v>https://d0f6bd738d7f1b3e5a7ca70fe4ff75f0.us-east-1.aws.found.io/app/kibana#/discover/Steve-Slow-Train-Analysis-(2080s-and-2083s)?_g=(refreshInterval:(display:Off,pause:!f,section:0,value:0),time:(from:'2017-09-30T05:36:04-0600',mode:absolute,to:'2017-09-30T07:56:43-0600'))&amp;_a=(columns:!('Message%20ID',Summary),filters:!(),index:'emp_*',interval:auto,query:(query_string:(analyze_wildcard:!t,query:'%22rtdc.l.rtdc.4017%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591</v>
      </c>
      <c r="B164" s="7">
        <v>4018</v>
      </c>
      <c r="C164" s="21" t="s">
        <v>195</v>
      </c>
      <c r="D164" s="21" t="s">
        <v>868</v>
      </c>
      <c r="E164" s="13">
        <v>43008.275046296294</v>
      </c>
      <c r="F164" s="13">
        <v>43008.298101851855</v>
      </c>
      <c r="G164" s="7">
        <v>78</v>
      </c>
      <c r="H164" s="21" t="s">
        <v>869</v>
      </c>
      <c r="I164" s="13">
        <v>43008.30704861111</v>
      </c>
      <c r="J164" s="7">
        <v>0</v>
      </c>
      <c r="K164" s="81" t="str">
        <f t="shared" si="53"/>
        <v>4017/4018</v>
      </c>
      <c r="L164" s="175" t="str">
        <f>VLOOKUP(A164,'Trips&amp;Operators'!$C$1:$G$99911,5,FALSE)</f>
        <v>LAMAR NEKESHA</v>
      </c>
      <c r="M164" s="6">
        <f t="shared" si="54"/>
        <v>8.9467592551955022E-3</v>
      </c>
      <c r="N164" s="7">
        <f t="shared" si="70"/>
        <v>12.883333327481523</v>
      </c>
      <c r="O164" s="7"/>
      <c r="P164" s="7"/>
      <c r="Q164" s="22"/>
      <c r="R164" s="166"/>
      <c r="S164" s="228">
        <f t="shared" si="71"/>
        <v>1</v>
      </c>
      <c r="T164" s="166" t="str">
        <f t="shared" si="55"/>
        <v>NorthBound</v>
      </c>
      <c r="U164" s="21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4" t="str">
        <f t="shared" si="56"/>
        <v>https://d0f6bd738d7f1b3e5a7ca70fe4ff75f0.us-east-1.aws.found.io/app/kibana#/discover/Steve-Slow-Train-Analysis-(2080s-and-2083s)?_g=(refreshInterval:(display:Off,pause:!f,section:0,value:0),time:(from:'2017-09-30T05:36:04-0600',mode:absolute,to:'2017-09-30T08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4" s="215" t="str">
        <f>IF(AA164&lt;VLOOKUP(AG164,Variables!$AC$3:$AD$8,2,FALSE),"Y","N")</f>
        <v>N</v>
      </c>
      <c r="X164" s="215">
        <f t="shared" si="57"/>
        <v>1</v>
      </c>
      <c r="Y164" s="215">
        <v>9.6500000000000002E-2</v>
      </c>
      <c r="Z164" s="215">
        <v>5.8982000000000001</v>
      </c>
      <c r="AA164" s="215">
        <f t="shared" si="60"/>
        <v>5.8017000000000003</v>
      </c>
      <c r="AB164" s="216" t="e">
        <f>VLOOKUP(A164,Enforcements!$C$7:$K$11,8,0)</f>
        <v>#N/A</v>
      </c>
      <c r="AC164" s="216" t="e">
        <f>VLOOKUP(A164,Enforcements!$C$7:$E$11,3,0)</f>
        <v>#N/A</v>
      </c>
      <c r="AD164" s="217">
        <f t="shared" si="61"/>
        <v>1803</v>
      </c>
      <c r="AE164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64" s="68" t="str">
        <f t="shared" si="63"/>
        <v>"C:\Program Files (x86)\AstroGrep\AstroGrep.exe" /e /r /s /spath="%USERPROFILE%\AppData\Local\Temp\OnboardLogs" /stypes="app*4018*20170930*" /stext=" 13:.+((SYSTEM_STATE.+slice.+state.+changed )|(ment ac)|(multiple cpu faults)|(system.+state.+changed )|(\[timeout)|(PRM\|1\|D)|(kpr)|(kdp)|(train st.+moving)|(\|lc)|(penalty))"</v>
      </c>
      <c r="AG164" s="172" t="str">
        <f t="shared" si="64"/>
        <v>NW</v>
      </c>
      <c r="AH164" s="70" t="str">
        <f t="shared" ref="AH164" si="72">refinertdcruntimes&amp;" --tripid "&amp;A164&amp;" --locoid "&amp;B164&amp;" --swversion "&amp;C164&amp;" --startMP "&amp;D164&amp;" --initTime "&amp;TEXT(E164,"yyyy-mm-ddTHH:MM:SS")&amp;" --startdatetime "&amp;TEXT(F164,"yyyy-mm-ddTHH:MM:SS")&amp;" --delay "&amp;G164&amp;" --endMP "&amp;H164&amp;" --enddatetime "&amp;TEXT(I164,"yyyy-mm-ddTHH:MM:SS")&amp;" --enforcementcount "&amp;J164&amp;IF(outputrefinedruntimes," &gt;&gt;"&amp;RefinedRTDCRunTimesOutputFile,"")</f>
        <v>"%USERPROFILE%\Documents\GitHub\eaglep3\Utilities\RefineRTDCRunTimes.py" --tripid 1803-30 --locoid 4018 --swversion DE.1.0.9.0 --startMP 300:58662 --initTime 2017-09-30T06:36:04 --startdatetime 2017-09-30T07:09:16 --delay 78 --endMP 204:664 --enddatetime 2017-09-30T07:22:09 --enforcementcount 0 &gt;&gt;c:\users\stu\Documents\GitHub\eaglep3-reporting\EC\2017-09-30-refined-times.txt</v>
      </c>
      <c r="AI164" s="88" t="str">
        <f t="shared" ref="AI164" si="73">"echo {""issue"":{""subject"":"""&amp;R164&amp;""",""project_id"":79,""tracker_id"":40,""status_id"":"&amp;redmine_status&amp;",""priority_id"":"&amp;redmine_priority&amp;",""assigned_to_id"":"&amp;redmine_assignee&amp;",""start_date"":"""&amp;TEXT(I164,"YYYY-mm-dd")&amp;""",""description"":"""&amp;AJ164&amp;""",""custom_fields"":[{""id"":1,""name"":""Subdivision"",""value"":"""&amp;AG164&amp;"""},{""id"":4,""name"":""Milepost"",""value"":"""&amp;Z164&amp;"""},{""id"":17,""name"":""Train ID"",""value"":"""&amp;A164&amp;"""},{""id"":16,""name"":""Locomotive ID"",""value"":"""&amp;B164&amp;"""},{""id"":130,""name"":""Impact"",""value"":"""&amp;AK164&amp;"""},{""id"":150,""name"":""Time of Event (Mountain Time)"",""value"":"""&amp;TEXT(I164,"hh:mm:ss")&amp;"""},{""id"":151,""name"":""Denver Issue ID"",""value"":"""&amp;"""},{""id"":178,""name"":""Operational Impact"",""value"":"""&amp;redmine_op_impact&amp;"""},{""id"":179,""name"":""Denver Segment Assigned"",""value"":"""&amp;AL164&amp;"""}]}}"&amp;"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{"issue":{"subject":"","project_id":79,"tracker_id":40,"status_id":1,"priority_id":2,"assigned_to_id":338,"start_date":"2017-09-30","description":"","custom_fields":[{"id":1,"name":"Subdivision","value":"NW"},{"id":4,"name":"Milepost","value":"5.8982"},{"id":17,"name":"Train ID","value":"1803-30"},{"id":16,"name":"Locomotive ID","value":"4018"},{"id":130,"name":"Impact","value":""},{"id":150,"name":"Time of Event (Mountain Time)","value":"07:22:09"},{"id":151,"name":"Denver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34" t="str">
        <f t="shared" ref="AM164" si="74">"start /low /b "&amp;dls3logs&amp;" --loco "&amp;B164&amp;" --day "&amp;TEXT(F164,"YYYY-MM-DD")</f>
        <v>start /low /b %USERPROFILE%\Documents\GitHub\eaglep3\Utilities\DownloadLogsFromS3.py --loco 4018 --day 2017-09-30</v>
      </c>
      <c r="AN164" s="143" t="str">
        <f t="shared" ref="AN164" si="75">"echo {""issue"":{""subject"":"""&amp;R164&amp;""",""project_id"":30,""tracker_id"":4,""status_id"":"&amp;redmine_status_wcr&amp;",""priority_id"":"&amp;redmine_priority_wcr&amp;",""assigned_to_id"":"&amp;redmine_assignee_wcr&amp;",""start_date"":"""&amp;TEXT(I164-utc_offset/24,"YYYY-mm-dd")&amp;""",""description"":"""&amp;AJ164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13:22:09"},{"id":29,"name":"Sharepoint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0" t="str">
        <f t="shared" ref="AO164" si="76"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Message%20ID',Summary),filters:!(),index:'emp_*',interval:auto,query:"&amp;"(query_string:(analyze_wildcard:!t,query:'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-09-30T05:36:04-0600',mode:absolute,to:'2017-09-30T08:22:09-0600'))&amp;_a=(columns:!('Message%20ID',Summary),filters:!(),index:'emp_*',interval:auto,query:(query_string:(analyze_wildcard:!t,query:'%22rtdc.l.rtdc.4018%22')),sort:!(Time.ISO8601,asc))</v>
      </c>
    </row>
    <row r="165" spans="1:91" s="20" customFormat="1" x14ac:dyDescent="0.25">
      <c r="A165" s="32" t="s">
        <v>675</v>
      </c>
      <c r="B165" s="7">
        <v>4017</v>
      </c>
      <c r="C165" s="21" t="s">
        <v>195</v>
      </c>
      <c r="D165" s="21" t="s">
        <v>870</v>
      </c>
      <c r="E165" s="13">
        <v>43008.317789351851</v>
      </c>
      <c r="F165" s="13">
        <v>43008.319166666668</v>
      </c>
      <c r="G165" s="7">
        <v>66</v>
      </c>
      <c r="H165" s="21" t="s">
        <v>871</v>
      </c>
      <c r="I165" s="13">
        <v>43008.329942129632</v>
      </c>
      <c r="J165" s="7">
        <v>0</v>
      </c>
      <c r="K165" s="81" t="str">
        <f t="shared" si="53"/>
        <v>4017/4018</v>
      </c>
      <c r="L165" s="175" t="str">
        <f>VLOOKUP(A165,'Trips&amp;Operators'!$C$1:$G$99911,5,FALSE)</f>
        <v>LAMAR NEKESHA</v>
      </c>
      <c r="M165" s="6">
        <f t="shared" si="54"/>
        <v>1.0775462964375038E-2</v>
      </c>
      <c r="N165" s="7">
        <f t="shared" si="70"/>
        <v>15.516666668700054</v>
      </c>
      <c r="O165" s="7"/>
      <c r="P165" s="7"/>
      <c r="Q165" s="22"/>
      <c r="R165" s="166"/>
      <c r="S165" s="228">
        <f t="shared" si="71"/>
        <v>1</v>
      </c>
      <c r="T165" s="166" t="str">
        <f t="shared" si="55"/>
        <v>Southbound</v>
      </c>
      <c r="U165" s="21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4" t="str">
        <f t="shared" si="56"/>
        <v>https://d0f6bd738d7f1b3e5a7ca70fe4ff75f0.us-east-1.aws.found.io/app/kibana#/discover/Steve-Slow-Train-Analysis-(2080s-and-2083s)?_g=(refreshInterval:(display:Off,pause:!f,section:0,value:0),time:(from:'2017-09-30T06:37:37-0600',mode:absolute,to:'2017-09-30T08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5" s="215" t="str">
        <f>IF(AA165&lt;VLOOKUP(AG165,Variables!$AC$3:$AD$8,2,FALSE),"Y","N")</f>
        <v>N</v>
      </c>
      <c r="X165" s="215">
        <f t="shared" si="57"/>
        <v>1</v>
      </c>
      <c r="Y165" s="215">
        <f>RIGHT(D165,LEN(D165)-4)/10000</f>
        <v>5.8685</v>
      </c>
      <c r="Z165" s="215">
        <f>RIGHT(H165,LEN(H165)-4)/10000</f>
        <v>6.6299999999999998E-2</v>
      </c>
      <c r="AA165" s="215">
        <f t="shared" si="60"/>
        <v>5.8022</v>
      </c>
      <c r="AB165" s="216" t="e">
        <f>VLOOKUP(A165,Enforcements!$C$7:$K$11,8,0)</f>
        <v>#N/A</v>
      </c>
      <c r="AC165" s="216" t="e">
        <f>VLOOKUP(A165,Enforcements!$C$7:$E$11,3,0)</f>
        <v>#N/A</v>
      </c>
      <c r="AD165" s="217">
        <f t="shared" si="61"/>
        <v>1804</v>
      </c>
      <c r="AE165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65" s="68" t="str">
        <f t="shared" si="63"/>
        <v>"C:\Program Files (x86)\AstroGrep\AstroGrep.exe" /e /r /s /spath="%USERPROFILE%\AppData\Local\Temp\OnboardLogs" /stypes="app*4017*20170930*" /stext=" 13:.+((SYSTEM_STATE.+slice.+state.+changed )|(ment ac)|(multiple cpu faults)|(system.+state.+changed )|(\[timeout)|(PRM\|1\|D)|(kpr)|(kdp)|(train st.+moving)|(\|lc)|(penalty))"</v>
      </c>
      <c r="AG165" s="172" t="str">
        <f t="shared" si="64"/>
        <v>NW</v>
      </c>
      <c r="AH165" s="70" t="str">
        <f t="shared" si="65"/>
        <v>"%USERPROFILE%\Documents\GitHub\eaglep3\Utilities\RefineRTDCRunTimes.py" --tripid 1804-30 --locoid 4017 --swversion DE.1.0.9.0 --startMP 300:58685 --initTime 2017-09-30T07:37:37 --startdatetime 2017-09-30T07:39:36 --delay 66 --endMP 204:663 --enddatetime 2017-09-30T07:55:07 --enforcementcount 0 &gt;&gt;c:\users\stu\Documents\GitHub\eaglep3-reporting\EC\2017-09-30-refined-times.txt</v>
      </c>
      <c r="AI165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{"issue":{"subject":"","project_id":79,"tracker_id":40,"status_id":1,"priority_id":2,"assigned_to_id":338,"start_date":"2017-09-30","description":"","custom_fields":[{"id":1,"name":"Subdivision","value":"NW"},{"id":4,"name":"Milepost","value":"0.0663"},{"id":17,"name":"Train ID","value":"1804-30"},{"id":16,"name":"Locomotive ID","value":"4017"},{"id":130,"name":"Impact","value":""},{"id":150,"name":"Time of Event (Mountain Time)","value":"07:55:07"},{"id":151,"name":"Denver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34" t="str">
        <f t="shared" si="67"/>
        <v>start /low /b %USERPROFILE%\Documents\GitHub\eaglep3\Utilities\DownloadLogsFromS3.py --loco 4017 --day 2017-09-30</v>
      </c>
      <c r="AN165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0" t="str">
        <f t="shared" si="69"/>
        <v>https://d0f6bd738d7f1b3e5a7ca70fe4ff75f0.us-east-1.aws.found.io/app/kibana#/discover/Steve-Slow-Train-Analysis-(2080s-and-2083s)?_g=(refreshInterval:(display:Off,pause:!f,section:0,value:0),time:(from:'2017-09-30T06:37:37-0600',mode:absolute,to:'2017-09-30T08:55:07-0600'))&amp;_a=(columns:!('Message%20ID',Summary),filters:!(),index:'emp_*',interval:auto,query:(query_string:(analyze_wildcard:!t,query:'%22rtdc.l.rtdc.4017%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681</v>
      </c>
      <c r="B166" s="7">
        <v>4018</v>
      </c>
      <c r="C166" s="21" t="s">
        <v>195</v>
      </c>
      <c r="D166" s="21" t="s">
        <v>870</v>
      </c>
      <c r="E166" s="13">
        <v>43008.317789351851</v>
      </c>
      <c r="F166" s="13">
        <v>43008.339768518519</v>
      </c>
      <c r="G166" s="7">
        <v>66</v>
      </c>
      <c r="H166" s="21" t="s">
        <v>871</v>
      </c>
      <c r="I166" s="13">
        <v>43008.348900462966</v>
      </c>
      <c r="J166" s="7">
        <v>0</v>
      </c>
      <c r="K166" s="81" t="str">
        <f t="shared" si="53"/>
        <v>4017/4018</v>
      </c>
      <c r="L166" s="175" t="str">
        <f>VLOOKUP(A166,'Trips&amp;Operators'!$C$1:$G$99911,5,FALSE)</f>
        <v>LAMAR NEKESHA</v>
      </c>
      <c r="M166" s="6">
        <f t="shared" si="54"/>
        <v>9.1319444472901523E-3</v>
      </c>
      <c r="N166" s="7">
        <f t="shared" si="70"/>
        <v>13.150000004097819</v>
      </c>
      <c r="O166" s="7"/>
      <c r="P166" s="7"/>
      <c r="Q166" s="22"/>
      <c r="R166" s="166"/>
      <c r="S166" s="228">
        <f t="shared" si="71"/>
        <v>1</v>
      </c>
      <c r="T166" s="166" t="str">
        <f t="shared" si="55"/>
        <v>NorthBound</v>
      </c>
      <c r="U166" s="21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4" t="str">
        <f t="shared" si="56"/>
        <v>https://d0f6bd738d7f1b3e5a7ca70fe4ff75f0.us-east-1.aws.found.io/app/kibana#/discover/Steve-Slow-Train-Analysis-(2080s-and-2083s)?_g=(refreshInterval:(display:Off,pause:!f,section:0,value:0),time:(from:'2017-09-30T06:37:37-0600',mode:absolute,to:'2017-09-30T09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6" s="215" t="str">
        <f>IF(AA166&lt;VLOOKUP(AG166,Variables!$AC$3:$AD$8,2,FALSE),"Y","N")</f>
        <v>N</v>
      </c>
      <c r="X166" s="215">
        <f t="shared" si="57"/>
        <v>1</v>
      </c>
      <c r="Y166" s="215">
        <v>9.6500000000000002E-2</v>
      </c>
      <c r="Z166" s="215">
        <v>5.8982000000000001</v>
      </c>
      <c r="AA166" s="215">
        <f t="shared" si="60"/>
        <v>5.8017000000000003</v>
      </c>
      <c r="AB166" s="216" t="e">
        <f>VLOOKUP(A166,Enforcements!$C$7:$K$11,8,0)</f>
        <v>#N/A</v>
      </c>
      <c r="AC166" s="216" t="e">
        <f>VLOOKUP(A166,Enforcements!$C$7:$E$11,3,0)</f>
        <v>#N/A</v>
      </c>
      <c r="AD166" s="217">
        <f t="shared" si="61"/>
        <v>1805</v>
      </c>
      <c r="AE166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66" s="68" t="str">
        <f t="shared" si="63"/>
        <v>"C:\Program Files (x86)\AstroGrep\AstroGrep.exe" /e /r /s /spath="%USERPROFILE%\AppData\Local\Temp\OnboardLogs" /stypes="app*4018*20170930*" /stext=" 14:.+((SYSTEM_STATE.+slice.+state.+changed )|(ment ac)|(multiple cpu faults)|(system.+state.+changed )|(\[timeout)|(PRM\|1\|D)|(kpr)|(kdp)|(train st.+moving)|(\|lc)|(penalty))"</v>
      </c>
      <c r="AG166" s="172" t="str">
        <f t="shared" si="64"/>
        <v>NW</v>
      </c>
      <c r="AH166" s="70" t="str">
        <f t="shared" ref="AH166" si="77"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"&amp;J166&amp;IF(outputrefinedruntimes," &gt;&gt;"&amp;RefinedRTDCRunTimesOutputFile,"")</f>
        <v>"%USERPROFILE%\Documents\GitHub\eaglep3\Utilities\RefineRTDCRunTimes.py" --tripid 1805-30 --locoid 4018 --swversion DE.1.0.9.0 --startMP 300:58685 --initTime 2017-09-30T07:37:37 --startdatetime 2017-09-30T08:09:16 --delay 66 --endMP 204:663 --enddatetime 2017-09-30T08:22:25 --enforcementcount 0 &gt;&gt;c:\users\stu\Documents\GitHub\eaglep3-reporting\EC\2017-09-30-refined-times.txt</v>
      </c>
      <c r="AI166" s="88" t="str">
        <f t="shared" ref="AI166" si="78">"echo {""issue"":{""subject"":"""&amp;R166&amp;""",""project_id"":79,""tracker_id"":40,""status_id"":"&amp;redmine_status&amp;",""priority_id"":"&amp;redmine_priority&amp;",""assigned_to_id"":"&amp;redmine_assignee&amp;",""start_date"":"""&amp;TEXT(I166,"YYYY-mm-dd")&amp;""",""description"":"""&amp;AJ166&amp;""",""custom_fields"":[{""id"":1,""name"":""Subdivision"",""value"":"""&amp;AG166&amp;"""},{""id"":4,""name"":""Milepost"",""value"":"""&amp;Z166&amp;"""},{""id"":17,""name"":""Train ID"",""value"":"""&amp;A166&amp;"""},{""id"":16,""name"":""Locomotive ID"",""value"":"""&amp;B166&amp;"""},{""id"":130,""name"":""Impact"",""value"":"""&amp;AK166&amp;"""},{""id"":150,""name"":""Time of Event (Mountain Time)"",""value"":"""&amp;TEXT(I166,"hh:mm:ss")&amp;"""},{""id"":151,""name"":""Denver Issue ID"",""value"":"""&amp;"""},{""id"":178,""name"":""Operational Impact"",""value"":"""&amp;redmine_op_impact&amp;"""},{""id"":179,""name"":""Denver Segment Assigned"",""value"":"""&amp;AL166&amp;"""}]}}"&amp;"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{"issue":{"subject":"","project_id":79,"tracker_id":40,"status_id":1,"priority_id":2,"assigned_to_id":338,"start_date":"2017-09-30","description":"","custom_fields":[{"id":1,"name":"Subdivision","value":"NW"},{"id":4,"name":"Milepost","value":"5.8982"},{"id":17,"name":"Train ID","value":"1805-30"},{"id":16,"name":"Locomotive ID","value":"4018"},{"id":130,"name":"Impact","value":""},{"id":150,"name":"Time of Event (Mountain Time)","value":"08:22:25"},{"id":151,"name":"Denver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34" t="str">
        <f t="shared" ref="AM166" si="79">"start /low /b "&amp;dls3logs&amp;" --loco "&amp;B166&amp;" --day "&amp;TEXT(F166,"YYYY-MM-DD")</f>
        <v>start /low /b %USERPROFILE%\Documents\GitHub\eaglep3\Utilities\DownloadLogsFromS3.py --loco 4018 --day 2017-09-30</v>
      </c>
      <c r="AN166" s="143" t="str">
        <f t="shared" ref="AN166" si="80">"echo {""issue"":{""subject"":"""&amp;R166&amp;""",""project_id"":30,""tracker_id"":4,""status_id"":"&amp;redmine_status_wcr&amp;",""priority_id"":"&amp;redmine_priority_wcr&amp;",""assigned_to_id"":"&amp;redmine_assignee_wcr&amp;",""start_date"":"""&amp;TEXT(I166-utc_offset/24,"YYYY-mm-dd")&amp;""",""description"":"""&amp;AJ166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0" t="str">
        <f t="shared" ref="AO166" si="81"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Message%20ID',Summary),filters:!(),index:'emp_*',interval:auto,query:"&amp;"(query_string:(analyze_wildcard:!t,query:'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-09-30T06:37:37-0600',mode:absolute,to:'2017-09-30T09:22:25-0600'))&amp;_a=(columns:!('Message%20ID',Summary),filters:!(),index:'emp_*',interval:auto,query:(query_string:(analyze_wildcard:!t,query:'%22rtdc.l.rtdc.4018%22')),sort:!(Time.ISO8601,asc))</v>
      </c>
    </row>
    <row r="167" spans="1:91" s="20" customFormat="1" x14ac:dyDescent="0.25">
      <c r="A167" s="32" t="s">
        <v>687</v>
      </c>
      <c r="B167" s="7">
        <v>4017</v>
      </c>
      <c r="C167" s="21" t="s">
        <v>195</v>
      </c>
      <c r="D167" s="21" t="s">
        <v>872</v>
      </c>
      <c r="E167" s="13">
        <v>43008.358935185184</v>
      </c>
      <c r="F167" s="13">
        <v>43008.360682870371</v>
      </c>
      <c r="G167" s="7">
        <v>55</v>
      </c>
      <c r="H167" s="21" t="s">
        <v>873</v>
      </c>
      <c r="I167" s="13">
        <v>43008.371539351851</v>
      </c>
      <c r="J167" s="7">
        <v>0</v>
      </c>
      <c r="K167" s="81" t="str">
        <f t="shared" si="53"/>
        <v>4017/4018</v>
      </c>
      <c r="L167" s="175" t="str">
        <f>VLOOKUP(A167,'Trips&amp;Operators'!$C$1:$G$99911,5,FALSE)</f>
        <v>LAMAR NEKESHA</v>
      </c>
      <c r="M167" s="6">
        <f t="shared" si="54"/>
        <v>1.0856481480004732E-2</v>
      </c>
      <c r="N167" s="7">
        <f t="shared" si="70"/>
        <v>15.633333331206813</v>
      </c>
      <c r="O167" s="7"/>
      <c r="P167" s="7"/>
      <c r="Q167" s="22"/>
      <c r="R167" s="166"/>
      <c r="S167" s="228">
        <f t="shared" si="71"/>
        <v>1</v>
      </c>
      <c r="T167" s="166" t="str">
        <f t="shared" si="55"/>
        <v>Southbound</v>
      </c>
      <c r="U167" s="21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4" t="str">
        <f t="shared" si="56"/>
        <v>https://d0f6bd738d7f1b3e5a7ca70fe4ff75f0.us-east-1.aws.found.io/app/kibana#/discover/Steve-Slow-Train-Analysis-(2080s-and-2083s)?_g=(refreshInterval:(display:Off,pause:!f,section:0,value:0),time:(from:'2017-09-30T07:36:52-0600',mode:absolute,to:'2017-09-30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7" s="215" t="str">
        <f>IF(AA167&lt;VLOOKUP(AG167,Variables!$AC$3:$AD$8,2,FALSE),"Y","N")</f>
        <v>N</v>
      </c>
      <c r="X167" s="215">
        <f t="shared" si="57"/>
        <v>1</v>
      </c>
      <c r="Y167" s="215">
        <f t="shared" ref="Y167:Y198" si="82">RIGHT(D167,LEN(D167)-4)/10000</f>
        <v>5.8678999999999997</v>
      </c>
      <c r="Z167" s="215">
        <f t="shared" ref="Z167:Z198" si="83">RIGHT(H167,LEN(H167)-4)/10000</f>
        <v>6.7299999999999999E-2</v>
      </c>
      <c r="AA167" s="215">
        <f t="shared" si="60"/>
        <v>5.8005999999999993</v>
      </c>
      <c r="AB167" s="216" t="e">
        <f>VLOOKUP(A167,Enforcements!$C$7:$K$11,8,0)</f>
        <v>#N/A</v>
      </c>
      <c r="AC167" s="216" t="e">
        <f>VLOOKUP(A167,Enforcements!$C$7:$E$11,3,0)</f>
        <v>#N/A</v>
      </c>
      <c r="AD167" s="217">
        <f t="shared" si="61"/>
        <v>1806</v>
      </c>
      <c r="AE167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67" s="68" t="str">
        <f t="shared" si="63"/>
        <v>"C:\Program Files (x86)\AstroGrep\AstroGrep.exe" /e /r /s /spath="%USERPROFILE%\AppData\Local\Temp\OnboardLogs" /stypes="app*4017*20170930*" /stext=" 14:.+((SYSTEM_STATE.+slice.+state.+changed )|(ment ac)|(multiple cpu faults)|(system.+state.+changed )|(\[timeout)|(PRM\|1\|D)|(kpr)|(kdp)|(train st.+moving)|(\|lc)|(penalty))"</v>
      </c>
      <c r="AG167" s="172" t="str">
        <f t="shared" si="64"/>
        <v>NW</v>
      </c>
      <c r="AH167" s="70" t="str">
        <f t="shared" si="65"/>
        <v>"%USERPROFILE%\Documents\GitHub\eaglep3\Utilities\RefineRTDCRunTimes.py" --tripid 1806-30 --locoid 4017 --swversion DE.1.0.9.0 --startMP 300:58679 --initTime 2017-09-30T08:36:52 --startdatetime 2017-09-30T08:39:23 --delay 55 --endMP 204:673 --enddatetime 2017-09-30T08:55:01 --enforcementcount 0 &gt;&gt;c:\users\stu\Documents\GitHub\eaglep3-reporting\EC\2017-09-30-refined-times.txt</v>
      </c>
      <c r="AI167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{"issue":{"subject":"","project_id":79,"tracker_id":40,"status_id":1,"priority_id":2,"assigned_to_id":338,"start_date":"2017-09-30","description":"","custom_fields":[{"id":1,"name":"Subdivision","value":"NW"},{"id":4,"name":"Milepost","value":"0.0673"},{"id":17,"name":"Train ID","value":"1806-30"},{"id":16,"name":"Locomotive ID","value":"4017"},{"id":130,"name":"Impact","value":""},{"id":150,"name":"Time of Event (Mountain Time)","value":"08:55:01"},{"id":151,"name":"Denver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34" t="str">
        <f t="shared" si="67"/>
        <v>start /low /b %USERPROFILE%\Documents\GitHub\eaglep3\Utilities\DownloadLogsFromS3.py --loco 4017 --day 2017-09-30</v>
      </c>
      <c r="AN167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0" t="str">
        <f t="shared" si="69"/>
        <v>https://d0f6bd738d7f1b3e5a7ca70fe4ff75f0.us-east-1.aws.found.io/app/kibana#/discover/Steve-Slow-Train-Analysis-(2080s-and-2083s)?_g=(refreshInterval:(display:Off,pause:!f,section:0,value:0),time:(from:'2017-09-30T07:36:52-0600',mode:absolute,to:'2017-09-30T09:55:01-0600'))&amp;_a=(columns:!('Message%20ID',Summary),filters:!(),index:'emp_*',interval:auto,query:(query_string:(analyze_wildcard:!t,query:'%22rtdc.l.rtdc.4017%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592</v>
      </c>
      <c r="B168" s="7">
        <v>4018</v>
      </c>
      <c r="C168" s="21" t="s">
        <v>195</v>
      </c>
      <c r="D168" s="21" t="s">
        <v>874</v>
      </c>
      <c r="E168" s="13">
        <v>43008.377013888887</v>
      </c>
      <c r="F168" s="13">
        <v>43008.381458333337</v>
      </c>
      <c r="G168" s="7">
        <v>73</v>
      </c>
      <c r="H168" s="21" t="s">
        <v>875</v>
      </c>
      <c r="I168" s="13">
        <v>43008.390740740739</v>
      </c>
      <c r="J168" s="7">
        <v>0</v>
      </c>
      <c r="K168" s="81" t="str">
        <f t="shared" si="53"/>
        <v>4017/4018</v>
      </c>
      <c r="L168" s="175" t="str">
        <f>VLOOKUP(A168,'Trips&amp;Operators'!$C$1:$G$99911,5,FALSE)</f>
        <v>LAMAR NEKESHA</v>
      </c>
      <c r="M168" s="6">
        <f t="shared" si="54"/>
        <v>9.2824074017698877E-3</v>
      </c>
      <c r="N168" s="7">
        <f t="shared" si="70"/>
        <v>13.366666658548638</v>
      </c>
      <c r="O168" s="7"/>
      <c r="P168" s="7"/>
      <c r="Q168" s="22"/>
      <c r="R168" s="166"/>
      <c r="S168" s="228">
        <f t="shared" si="71"/>
        <v>1</v>
      </c>
      <c r="T168" s="166" t="str">
        <f t="shared" si="55"/>
        <v>NorthBound</v>
      </c>
      <c r="U168" s="21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4" t="str">
        <f t="shared" si="56"/>
        <v>https://d0f6bd738d7f1b3e5a7ca70fe4ff75f0.us-east-1.aws.found.io/app/kibana#/discover/Steve-Slow-Train-Analysis-(2080s-and-2083s)?_g=(refreshInterval:(display:Off,pause:!f,section:0,value:0),time:(from:'2017-09-30T08:02:54-0600',mode:absolute,to:'2017-09-30T10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8" s="215" t="str">
        <f>IF(AA168&lt;VLOOKUP(AG168,Variables!$AC$3:$AD$8,2,FALSE),"Y","N")</f>
        <v>N</v>
      </c>
      <c r="X168" s="215">
        <f t="shared" si="57"/>
        <v>1</v>
      </c>
      <c r="Y168" s="215">
        <f t="shared" si="82"/>
        <v>9.7799999999999998E-2</v>
      </c>
      <c r="Z168" s="215">
        <f t="shared" si="83"/>
        <v>5.8979999999999997</v>
      </c>
      <c r="AA168" s="215">
        <f t="shared" si="60"/>
        <v>5.8001999999999994</v>
      </c>
      <c r="AB168" s="216" t="e">
        <f>VLOOKUP(A168,Enforcements!$C$7:$K$11,8,0)</f>
        <v>#N/A</v>
      </c>
      <c r="AC168" s="216" t="e">
        <f>VLOOKUP(A168,Enforcements!$C$7:$E$11,3,0)</f>
        <v>#N/A</v>
      </c>
      <c r="AD168" s="217">
        <f t="shared" si="61"/>
        <v>1807</v>
      </c>
      <c r="AE168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68" s="68" t="str">
        <f t="shared" si="63"/>
        <v>"C:\Program Files (x86)\AstroGrep\AstroGrep.exe" /e /r /s /spath="%USERPROFILE%\AppData\Local\Temp\OnboardLogs" /stypes="app*4018*20170930*" /stext=" 15:.+((SYSTEM_STATE.+slice.+state.+changed )|(ment ac)|(multiple cpu faults)|(system.+state.+changed )|(\[timeout)|(PRM\|1\|D)|(kpr)|(kdp)|(train st.+moving)|(\|lc)|(penalty))"</v>
      </c>
      <c r="AG168" s="172" t="str">
        <f t="shared" si="64"/>
        <v>NW</v>
      </c>
      <c r="AH168" s="70" t="str">
        <f t="shared" si="65"/>
        <v>"%USERPROFILE%\Documents\GitHub\eaglep3\Utilities\RefineRTDCRunTimes.py" --tripid 1807-30 --locoid 4018 --swversion DE.1.0.9.0 --startMP 204:978 --initTime 2017-09-30T09:02:54 --startdatetime 2017-09-30T09:09:18 --delay 73 --endMP 300:58980 --enddatetime 2017-09-30T09:22:40 --enforcementcount 0 &gt;&gt;c:\users\stu\Documents\GitHub\eaglep3-reporting\EC\2017-09-30-refined-times.txt</v>
      </c>
      <c r="AI168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{"issue":{"subject":"","project_id":79,"tracker_id":40,"status_id":1,"priority_id":2,"assigned_to_id":338,"start_date":"2017-09-30","description":"","custom_fields":[{"id":1,"name":"Subdivision","value":"NW"},{"id":4,"name":"Milepost","value":"5.898"},{"id":17,"name":"Train ID","value":"1807-30"},{"id":16,"name":"Locomotive ID","value":"4018"},{"id":130,"name":"Impact","value":""},{"id":150,"name":"Time of Event (Mountain Time)","value":"09:22:40"},{"id":151,"name":"Denver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34" t="str">
        <f t="shared" si="67"/>
        <v>start /low /b %USERPROFILE%\Documents\GitHub\eaglep3\Utilities\DownloadLogsFromS3.py --loco 4018 --day 2017-09-30</v>
      </c>
      <c r="AN168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0" t="str">
        <f t="shared" si="69"/>
        <v>https://d0f6bd738d7f1b3e5a7ca70fe4ff75f0.us-east-1.aws.found.io/app/kibana#/discover/Steve-Slow-Train-Analysis-(2080s-and-2083s)?_g=(refreshInterval:(display:Off,pause:!f,section:0,value:0),time:(from:'2017-09-30T08:02:54-0600',mode:absolute,to:'2017-09-30T10:22:40-0600'))&amp;_a=(columns:!('Message%20ID',Summary),filters:!(),index:'emp_*',interval:auto,query:(query_string:(analyze_wildcard:!t,query:'%22rtdc.l.rtdc.4018%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697</v>
      </c>
      <c r="B169" s="7">
        <v>4017</v>
      </c>
      <c r="C169" s="21" t="s">
        <v>195</v>
      </c>
      <c r="D169" s="21" t="s">
        <v>876</v>
      </c>
      <c r="E169" s="13">
        <v>43008.399212962962</v>
      </c>
      <c r="F169" s="13">
        <v>43008.402361111112</v>
      </c>
      <c r="G169" s="7">
        <v>65</v>
      </c>
      <c r="H169" s="21" t="s">
        <v>877</v>
      </c>
      <c r="I169" s="13">
        <v>43008.413043981483</v>
      </c>
      <c r="J169" s="7">
        <v>0</v>
      </c>
      <c r="K169" s="81" t="str">
        <f t="shared" si="53"/>
        <v>4017/4018</v>
      </c>
      <c r="L169" s="175" t="str">
        <f>VLOOKUP(A169,'Trips&amp;Operators'!$C$1:$G$99911,5,FALSE)</f>
        <v>LAMAR NEKESHA</v>
      </c>
      <c r="M169" s="6">
        <f t="shared" si="54"/>
        <v>1.0682870371965691E-2</v>
      </c>
      <c r="N169" s="7">
        <f t="shared" si="70"/>
        <v>15.383333335630596</v>
      </c>
      <c r="O169" s="7"/>
      <c r="P169" s="7"/>
      <c r="Q169" s="22"/>
      <c r="R169" s="166"/>
      <c r="S169" s="228">
        <f t="shared" si="71"/>
        <v>1</v>
      </c>
      <c r="T169" s="166" t="str">
        <f t="shared" si="55"/>
        <v>Southbound</v>
      </c>
      <c r="U169" s="21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4" t="str">
        <f t="shared" si="56"/>
        <v>https://d0f6bd738d7f1b3e5a7ca70fe4ff75f0.us-east-1.aws.found.io/app/kibana#/discover/Steve-Slow-Train-Analysis-(2080s-and-2083s)?_g=(refreshInterval:(display:Off,pause:!f,section:0,value:0),time:(from:'2017-09-30T08:34:52-0600',mode:absolute,to:'2017-09-30T10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9" s="215" t="str">
        <f>IF(AA169&lt;VLOOKUP(AG169,Variables!$AC$3:$AD$8,2,FALSE),"Y","N")</f>
        <v>N</v>
      </c>
      <c r="X169" s="215">
        <f t="shared" si="57"/>
        <v>1</v>
      </c>
      <c r="Y169" s="215">
        <f t="shared" si="82"/>
        <v>5.867</v>
      </c>
      <c r="Z169" s="215">
        <f t="shared" si="83"/>
        <v>6.9800000000000001E-2</v>
      </c>
      <c r="AA169" s="215">
        <f t="shared" si="60"/>
        <v>5.7972000000000001</v>
      </c>
      <c r="AB169" s="216" t="e">
        <f>VLOOKUP(A169,Enforcements!$C$7:$K$11,8,0)</f>
        <v>#N/A</v>
      </c>
      <c r="AC169" s="216" t="e">
        <f>VLOOKUP(A169,Enforcements!$C$7:$E$11,3,0)</f>
        <v>#N/A</v>
      </c>
      <c r="AD169" s="217">
        <f t="shared" si="61"/>
        <v>1808</v>
      </c>
      <c r="AE169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69" s="68" t="str">
        <f t="shared" si="63"/>
        <v>"C:\Program Files (x86)\AstroGrep\AstroGrep.exe" /e /r /s /spath="%USERPROFILE%\AppData\Local\Temp\OnboardLogs" /stypes="app*4017*20170930*" /stext=" 15:.+((SYSTEM_STATE.+slice.+state.+changed )|(ment ac)|(multiple cpu faults)|(system.+state.+changed )|(\[timeout)|(PRM\|1\|D)|(kpr)|(kdp)|(train st.+moving)|(\|lc)|(penalty))"</v>
      </c>
      <c r="AG169" s="172" t="str">
        <f t="shared" si="64"/>
        <v>NW</v>
      </c>
      <c r="AH169" s="70" t="str">
        <f t="shared" si="65"/>
        <v>"%USERPROFILE%\Documents\GitHub\eaglep3\Utilities\RefineRTDCRunTimes.py" --tripid 1808-30 --locoid 4017 --swversion DE.1.0.9.0 --startMP 300:58670 --initTime 2017-09-30T09:34:52 --startdatetime 2017-09-30T09:39:24 --delay 65 --endMP 204:698 --enddatetime 2017-09-30T09:54:47 --enforcementcount 0 &gt;&gt;c:\users\stu\Documents\GitHub\eaglep3-reporting\EC\2017-09-30-refined-times.txt</v>
      </c>
      <c r="AI169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{"issue":{"subject":"","project_id":79,"tracker_id":40,"status_id":1,"priority_id":2,"assigned_to_id":338,"start_date":"2017-09-30","description":"","custom_fields":[{"id":1,"name":"Subdivision","value":"NW"},{"id":4,"name":"Milepost","value":"0.0698"},{"id":17,"name":"Train ID","value":"1808-30"},{"id":16,"name":"Locomotive ID","value":"4017"},{"id":130,"name":"Impact","value":""},{"id":150,"name":"Time of Event (Mountain Time)","value":"09:54:47"},{"id":151,"name":"Denver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34" t="str">
        <f t="shared" si="67"/>
        <v>start /low /b %USERPROFILE%\Documents\GitHub\eaglep3\Utilities\DownloadLogsFromS3.py --loco 4017 --day 2017-09-30</v>
      </c>
      <c r="AN169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0" t="str">
        <f t="shared" si="69"/>
        <v>https://d0f6bd738d7f1b3e5a7ca70fe4ff75f0.us-east-1.aws.found.io/app/kibana#/discover/Steve-Slow-Train-Analysis-(2080s-and-2083s)?_g=(refreshInterval:(display:Off,pause:!f,section:0,value:0),time:(from:'2017-09-30T08:34:52-0600',mode:absolute,to:'2017-09-30T10:54:47-0600'))&amp;_a=(columns:!('Message%20ID',Summary),filters:!(),index:'emp_*',interval:auto,query:(query_string:(analyze_wildcard:!t,query:'%22rtdc.l.rtdc.4017%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594</v>
      </c>
      <c r="B170" s="7">
        <v>4018</v>
      </c>
      <c r="C170" s="21" t="s">
        <v>195</v>
      </c>
      <c r="D170" s="21" t="s">
        <v>878</v>
      </c>
      <c r="E170" s="13">
        <v>43008.418483796297</v>
      </c>
      <c r="F170" s="13">
        <v>43008.423078703701</v>
      </c>
      <c r="G170" s="7">
        <v>51</v>
      </c>
      <c r="H170" s="21" t="s">
        <v>879</v>
      </c>
      <c r="I170" s="13">
        <v>43008.432129629633</v>
      </c>
      <c r="J170" s="7">
        <v>0</v>
      </c>
      <c r="K170" s="81" t="str">
        <f t="shared" si="53"/>
        <v>4017/4018</v>
      </c>
      <c r="L170" s="175" t="str">
        <f>VLOOKUP(A170,'Trips&amp;Operators'!$C$1:$G$99911,5,FALSE)</f>
        <v>LAMAR NEKESHA</v>
      </c>
      <c r="M170" s="6">
        <f t="shared" si="54"/>
        <v>9.0509259316604584E-3</v>
      </c>
      <c r="N170" s="7">
        <f t="shared" si="70"/>
        <v>13.03333334159106</v>
      </c>
      <c r="O170" s="7"/>
      <c r="P170" s="7"/>
      <c r="Q170" s="22"/>
      <c r="R170" s="166"/>
      <c r="S170" s="228">
        <f t="shared" si="71"/>
        <v>1</v>
      </c>
      <c r="T170" s="166" t="str">
        <f t="shared" si="55"/>
        <v>NorthBound</v>
      </c>
      <c r="U170" s="21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4" t="str">
        <f t="shared" si="56"/>
        <v>https://d0f6bd738d7f1b3e5a7ca70fe4ff75f0.us-east-1.aws.found.io/app/kibana#/discover/Steve-Slow-Train-Analysis-(2080s-and-2083s)?_g=(refreshInterval:(display:Off,pause:!f,section:0,value:0),time:(from:'2017-09-30T09:02:37-0600',mode:absolute,to:'2017-09-30T11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0" s="215" t="str">
        <f>IF(AA170&lt;VLOOKUP(AG170,Variables!$AC$3:$AD$8,2,FALSE),"Y","N")</f>
        <v>N</v>
      </c>
      <c r="X170" s="215">
        <f t="shared" si="57"/>
        <v>1</v>
      </c>
      <c r="Y170" s="215">
        <f t="shared" si="82"/>
        <v>9.8100000000000007E-2</v>
      </c>
      <c r="Z170" s="215">
        <f t="shared" si="83"/>
        <v>5.8978000000000002</v>
      </c>
      <c r="AA170" s="215">
        <f t="shared" si="60"/>
        <v>5.7997000000000005</v>
      </c>
      <c r="AB170" s="216" t="e">
        <f>VLOOKUP(A170,Enforcements!$C$7:$K$11,8,0)</f>
        <v>#N/A</v>
      </c>
      <c r="AC170" s="216" t="e">
        <f>VLOOKUP(A170,Enforcements!$C$7:$E$11,3,0)</f>
        <v>#N/A</v>
      </c>
      <c r="AD170" s="217">
        <f t="shared" si="61"/>
        <v>1809</v>
      </c>
      <c r="AE170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70" s="68" t="str">
        <f t="shared" si="63"/>
        <v>"C:\Program Files (x86)\AstroGrep\AstroGrep.exe" /e /r /s /spath="%USERPROFILE%\AppData\Local\Temp\OnboardLogs" /stypes="app*4018*20170930*" /stext=" 16:.+((SYSTEM_STATE.+slice.+state.+changed )|(ment ac)|(multiple cpu faults)|(system.+state.+changed )|(\[timeout)|(PRM\|1\|D)|(kpr)|(kdp)|(train st.+moving)|(\|lc)|(penalty))"</v>
      </c>
      <c r="AG170" s="172" t="str">
        <f t="shared" si="64"/>
        <v>NW</v>
      </c>
      <c r="AH170" s="70" t="str">
        <f t="shared" si="65"/>
        <v>"%USERPROFILE%\Documents\GitHub\eaglep3\Utilities\RefineRTDCRunTimes.py" --tripid 1809-30 --locoid 4018 --swversion DE.1.0.9.0 --startMP 204:981 --initTime 2017-09-30T10:02:37 --startdatetime 2017-09-30T10:09:14 --delay 51 --endMP 300:58978 --enddatetime 2017-09-30T10:22:16 --enforcementcount 0 &gt;&gt;c:\users\stu\Documents\GitHub\eaglep3-reporting\EC\2017-09-30-refined-times.txt</v>
      </c>
      <c r="AI170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{"issue":{"subject":"","project_id":79,"tracker_id":40,"status_id":1,"priority_id":2,"assigned_to_id":338,"start_date":"2017-09-30","description":"","custom_fields":[{"id":1,"name":"Subdivision","value":"NW"},{"id":4,"name":"Milepost","value":"5.8978"},{"id":17,"name":"Train ID","value":"1809-30"},{"id":16,"name":"Locomotive ID","value":"4018"},{"id":130,"name":"Impact","value":""},{"id":150,"name":"Time of Event (Mountain Time)","value":"10:22:16"},{"id":151,"name":"Denver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34" t="str">
        <f t="shared" si="67"/>
        <v>start /low /b %USERPROFILE%\Documents\GitHub\eaglep3\Utilities\DownloadLogsFromS3.py --loco 4018 --day 2017-09-30</v>
      </c>
      <c r="AN170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16:22:16"},{"id":29,"name":"Sharepoint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0" t="str">
        <f t="shared" si="69"/>
        <v>https://d0f6bd738d7f1b3e5a7ca70fe4ff75f0.us-east-1.aws.found.io/app/kibana#/discover/Steve-Slow-Train-Analysis-(2080s-and-2083s)?_g=(refreshInterval:(display:Off,pause:!f,section:0,value:0),time:(from:'2017-09-30T09:02:37-0600',mode:absolute,to:'2017-09-30T11:22:16-0600'))&amp;_a=(columns:!('Message%20ID',Summary),filters:!(),index:'emp_*',interval:auto,query:(query_string:(analyze_wildcard:!t,query:'%22rtdc.l.rtdc.4018%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705</v>
      </c>
      <c r="B171" s="7">
        <v>4017</v>
      </c>
      <c r="C171" s="21" t="s">
        <v>195</v>
      </c>
      <c r="D171" s="21" t="s">
        <v>576</v>
      </c>
      <c r="E171" s="13">
        <v>43008.441284722219</v>
      </c>
      <c r="F171" s="13">
        <v>43008.443993055553</v>
      </c>
      <c r="G171" s="7">
        <v>75</v>
      </c>
      <c r="H171" s="21" t="s">
        <v>476</v>
      </c>
      <c r="I171" s="13">
        <v>43008.455081018517</v>
      </c>
      <c r="J171" s="7">
        <v>0</v>
      </c>
      <c r="K171" s="81" t="str">
        <f t="shared" si="53"/>
        <v>4017/4018</v>
      </c>
      <c r="L171" s="175" t="str">
        <f>VLOOKUP(A171,'Trips&amp;Operators'!$C$1:$G$99911,5,FALSE)</f>
        <v>LAMAR NEKESHA</v>
      </c>
      <c r="M171" s="6">
        <f t="shared" si="54"/>
        <v>1.1087962964666076E-2</v>
      </c>
      <c r="N171" s="7">
        <f t="shared" si="70"/>
        <v>15.966666669119149</v>
      </c>
      <c r="O171" s="7"/>
      <c r="P171" s="7"/>
      <c r="Q171" s="22"/>
      <c r="R171" s="166"/>
      <c r="S171" s="228">
        <f t="shared" si="71"/>
        <v>1</v>
      </c>
      <c r="T171" s="166" t="str">
        <f t="shared" si="55"/>
        <v>Southbound</v>
      </c>
      <c r="U171" s="21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4" t="str">
        <f t="shared" si="56"/>
        <v>https://d0f6bd738d7f1b3e5a7ca70fe4ff75f0.us-east-1.aws.found.io/app/kibana#/discover/Steve-Slow-Train-Analysis-(2080s-and-2083s)?_g=(refreshInterval:(display:Off,pause:!f,section:0,value:0),time:(from:'2017-09-30T09:35:27-0600',mode:absolute,to:'2017-09-30T11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1" s="215" t="str">
        <f>IF(AA171&lt;VLOOKUP(AG171,Variables!$AC$3:$AD$8,2,FALSE),"Y","N")</f>
        <v>N</v>
      </c>
      <c r="X171" s="215">
        <f t="shared" si="57"/>
        <v>1</v>
      </c>
      <c r="Y171" s="215">
        <f t="shared" si="82"/>
        <v>5.8658000000000001</v>
      </c>
      <c r="Z171" s="215">
        <f t="shared" si="83"/>
        <v>6.8699999999999997E-2</v>
      </c>
      <c r="AA171" s="215">
        <f t="shared" si="60"/>
        <v>5.7971000000000004</v>
      </c>
      <c r="AB171" s="216" t="e">
        <f>VLOOKUP(A171,Enforcements!$C$7:$K$11,8,0)</f>
        <v>#N/A</v>
      </c>
      <c r="AC171" s="216" t="e">
        <f>VLOOKUP(A171,Enforcements!$C$7:$E$11,3,0)</f>
        <v>#N/A</v>
      </c>
      <c r="AD171" s="217">
        <f t="shared" si="61"/>
        <v>1810</v>
      </c>
      <c r="AE171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71" s="68" t="str">
        <f t="shared" si="63"/>
        <v>"C:\Program Files (x86)\AstroGrep\AstroGrep.exe" /e /r /s /spath="%USERPROFILE%\AppData\Local\Temp\OnboardLogs" /stypes="app*4017*20170930*" /stext=" 16:.+((SYSTEM_STATE.+slice.+state.+changed )|(ment ac)|(multiple cpu faults)|(system.+state.+changed )|(\[timeout)|(PRM\|1\|D)|(kpr)|(kdp)|(train st.+moving)|(\|lc)|(penalty))"</v>
      </c>
      <c r="AG171" s="172" t="str">
        <f t="shared" si="64"/>
        <v>NW</v>
      </c>
      <c r="AH171" s="70" t="str">
        <f t="shared" si="65"/>
        <v>"%USERPROFILE%\Documents\GitHub\eaglep3\Utilities\RefineRTDCRunTimes.py" --tripid 1810-30 --locoid 4017 --swversion DE.1.0.9.0 --startMP 300:58658 --initTime 2017-09-30T10:35:27 --startdatetime 2017-09-30T10:39:21 --delay 75 --endMP 204:687 --enddatetime 2017-09-30T10:55:19 --enforcementcount 0 &gt;&gt;c:\users\stu\Documents\GitHub\eaglep3-reporting\EC\2017-09-30-refined-times.txt</v>
      </c>
      <c r="AI171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{"issue":{"subject":"","project_id":79,"tracker_id":40,"status_id":1,"priority_id":2,"assigned_to_id":338,"start_date":"2017-09-30","description":"","custom_fields":[{"id":1,"name":"Subdivision","value":"NW"},{"id":4,"name":"Milepost","value":"0.0687"},{"id":17,"name":"Train ID","value":"1810-30"},{"id":16,"name":"Locomotive ID","value":"4017"},{"id":130,"name":"Impact","value":""},{"id":150,"name":"Time of Event (Mountain Time)","value":"10:55:19"},{"id":151,"name":"Denver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34" t="str">
        <f t="shared" si="67"/>
        <v>start /low /b %USERPROFILE%\Documents\GitHub\eaglep3\Utilities\DownloadLogsFromS3.py --loco 4017 --day 2017-09-30</v>
      </c>
      <c r="AN171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16:55:19"},{"id":29,"name":"Sharepoint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0" t="str">
        <f t="shared" si="69"/>
        <v>https://d0f6bd738d7f1b3e5a7ca70fe4ff75f0.us-east-1.aws.found.io/app/kibana#/discover/Steve-Slow-Train-Analysis-(2080s-and-2083s)?_g=(refreshInterval:(display:Off,pause:!f,section:0,value:0),time:(from:'2017-09-30T09:35:27-0600',mode:absolute,to:'2017-09-30T11:55:19-0600'))&amp;_a=(columns:!('Message%20ID',Summary),filters:!(),index:'emp_*',interval:auto,query:(query_string:(analyze_wildcard:!t,query:'%22rtdc.l.rtdc.4017%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708</v>
      </c>
      <c r="B172" s="7">
        <v>4018</v>
      </c>
      <c r="C172" s="21" t="s">
        <v>195</v>
      </c>
      <c r="D172" s="21" t="s">
        <v>880</v>
      </c>
      <c r="E172" s="13">
        <v>43008.456666666665</v>
      </c>
      <c r="F172" s="13">
        <v>43008.464756944442</v>
      </c>
      <c r="G172" s="7">
        <v>62</v>
      </c>
      <c r="H172" s="21" t="s">
        <v>474</v>
      </c>
      <c r="I172" s="13">
        <v>43008.473900462966</v>
      </c>
      <c r="J172" s="7">
        <v>0</v>
      </c>
      <c r="K172" s="81" t="str">
        <f t="shared" si="53"/>
        <v>4017/4018</v>
      </c>
      <c r="L172" s="175" t="str">
        <f>VLOOKUP(A172,'Trips&amp;Operators'!$C$1:$G$99911,5,FALSE)</f>
        <v>LAMAR NEKESHA</v>
      </c>
      <c r="M172" s="6">
        <f t="shared" si="54"/>
        <v>9.1435185240698047E-3</v>
      </c>
      <c r="N172" s="7">
        <f t="shared" si="70"/>
        <v>13.166666674660519</v>
      </c>
      <c r="O172" s="7"/>
      <c r="P172" s="7"/>
      <c r="Q172" s="22"/>
      <c r="R172" s="166"/>
      <c r="S172" s="228">
        <f t="shared" si="71"/>
        <v>1</v>
      </c>
      <c r="T172" s="166" t="str">
        <f t="shared" si="55"/>
        <v>NorthBound</v>
      </c>
      <c r="U172" s="21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4" t="str">
        <f t="shared" si="56"/>
        <v>https://d0f6bd738d7f1b3e5a7ca70fe4ff75f0.us-east-1.aws.found.io/app/kibana#/discover/Steve-Slow-Train-Analysis-(2080s-and-2083s)?_g=(refreshInterval:(display:Off,pause:!f,section:0,value:0),time:(from:'2017-09-30T09:57:36-0600',mode:absolute,to:'2017-09-30T12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2" s="215" t="str">
        <f>IF(AA172&lt;VLOOKUP(AG172,Variables!$AC$3:$AD$8,2,FALSE),"Y","N")</f>
        <v>N</v>
      </c>
      <c r="X172" s="215">
        <f t="shared" si="57"/>
        <v>1</v>
      </c>
      <c r="Y172" s="215">
        <f t="shared" si="82"/>
        <v>9.6699999999999994E-2</v>
      </c>
      <c r="Z172" s="215">
        <f t="shared" si="83"/>
        <v>5.8959999999999999</v>
      </c>
      <c r="AA172" s="215">
        <f t="shared" si="60"/>
        <v>5.7992999999999997</v>
      </c>
      <c r="AB172" s="216" t="e">
        <f>VLOOKUP(A172,Enforcements!$C$7:$K$11,8,0)</f>
        <v>#N/A</v>
      </c>
      <c r="AC172" s="216" t="e">
        <f>VLOOKUP(A172,Enforcements!$C$7:$E$11,3,0)</f>
        <v>#N/A</v>
      </c>
      <c r="AD172" s="217">
        <f t="shared" si="61"/>
        <v>1811</v>
      </c>
      <c r="AE172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72" s="68" t="str">
        <f t="shared" si="63"/>
        <v>"C:\Program Files (x86)\AstroGrep\AstroGrep.exe" /e /r /s /spath="%USERPROFILE%\AppData\Local\Temp\OnboardLogs" /stypes="app*4018*20170930*" /stext=" 17:.+((SYSTEM_STATE.+slice.+state.+changed )|(ment ac)|(multiple cpu faults)|(system.+state.+changed )|(\[timeout)|(PRM\|1\|D)|(kpr)|(kdp)|(train st.+moving)|(\|lc)|(penalty))"</v>
      </c>
      <c r="AG172" s="172" t="str">
        <f t="shared" si="64"/>
        <v>NW</v>
      </c>
      <c r="AH172" s="70" t="str">
        <f t="shared" si="65"/>
        <v>"%USERPROFILE%\Documents\GitHub\eaglep3\Utilities\RefineRTDCRunTimes.py" --tripid 1811-30 --locoid 4018 --swversion DE.1.0.9.0 --startMP 204:967 --initTime 2017-09-30T10:57:36 --startdatetime 2017-09-30T11:09:15 --delay 62 --endMP 300:58960 --enddatetime 2017-09-30T11:22:25 --enforcementcount 0 &gt;&gt;c:\users\stu\Documents\GitHub\eaglep3-reporting\EC\2017-09-30-refined-times.txt</v>
      </c>
      <c r="AI172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{"issue":{"subject":"","project_id":79,"tracker_id":40,"status_id":1,"priority_id":2,"assigned_to_id":338,"start_date":"2017-09-30","description":"","custom_fields":[{"id":1,"name":"Subdivision","value":"NW"},{"id":4,"name":"Milepost","value":"5.896"},{"id":17,"name":"Train ID","value":"1811-30"},{"id":16,"name":"Locomotive ID","value":"4018"},{"id":130,"name":"Impact","value":""},{"id":150,"name":"Time of Event (Mountain Time)","value":"11:22:25"},{"id":151,"name":"Denver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34" t="str">
        <f t="shared" si="67"/>
        <v>start /low /b %USERPROFILE%\Documents\GitHub\eaglep3\Utilities\DownloadLogsFromS3.py --loco 4018 --day 2017-09-30</v>
      </c>
      <c r="AN172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17:22:25"},{"id":29,"name":"Sharepoint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0" t="str">
        <f t="shared" si="69"/>
        <v>https://d0f6bd738d7f1b3e5a7ca70fe4ff75f0.us-east-1.aws.found.io/app/kibana#/discover/Steve-Slow-Train-Analysis-(2080s-and-2083s)?_g=(refreshInterval:(display:Off,pause:!f,section:0,value:0),time:(from:'2017-09-30T09:57:36-0600',mode:absolute,to:'2017-09-30T12:22:25-0600'))&amp;_a=(columns:!('Message%20ID',Summary),filters:!(),index:'emp_*',interval:auto,query:(query_string:(analyze_wildcard:!t,query:'%22rtdc.l.rtdc.4018%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715</v>
      </c>
      <c r="B173" s="7">
        <v>4017</v>
      </c>
      <c r="C173" s="21" t="s">
        <v>195</v>
      </c>
      <c r="D173" s="21" t="s">
        <v>496</v>
      </c>
      <c r="E173" s="13">
        <v>43008.482222222221</v>
      </c>
      <c r="F173" s="13">
        <v>43008.485474537039</v>
      </c>
      <c r="G173" s="7">
        <v>60</v>
      </c>
      <c r="H173" s="21" t="s">
        <v>881</v>
      </c>
      <c r="I173" s="13">
        <v>43008.496655092589</v>
      </c>
      <c r="J173" s="7">
        <v>0</v>
      </c>
      <c r="K173" s="81" t="str">
        <f t="shared" si="53"/>
        <v>4017/4018</v>
      </c>
      <c r="L173" s="175" t="str">
        <f>VLOOKUP(A173,'Trips&amp;Operators'!$C$1:$G$99911,5,FALSE)</f>
        <v>LAMAR NEKESHA</v>
      </c>
      <c r="M173" s="6">
        <f t="shared" si="54"/>
        <v>1.1180555549799465E-2</v>
      </c>
      <c r="N173" s="7">
        <f t="shared" si="70"/>
        <v>16.099999991711229</v>
      </c>
      <c r="O173" s="7"/>
      <c r="P173" s="7"/>
      <c r="Q173" s="22"/>
      <c r="R173" s="166"/>
      <c r="S173" s="228">
        <f t="shared" si="71"/>
        <v>1</v>
      </c>
      <c r="T173" s="166" t="str">
        <f t="shared" si="55"/>
        <v>Southbound</v>
      </c>
      <c r="U173" s="21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4" t="str">
        <f t="shared" si="56"/>
        <v>https://d0f6bd738d7f1b3e5a7ca70fe4ff75f0.us-east-1.aws.found.io/app/kibana#/discover/Steve-Slow-Train-Analysis-(2080s-and-2083s)?_g=(refreshInterval:(display:Off,pause:!f,section:0,value:0),time:(from:'2017-09-30T10:34:24-0600',mode:absolute,to:'2017-09-30T12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3" s="215" t="str">
        <f>IF(AA173&lt;VLOOKUP(AG173,Variables!$AC$3:$AD$8,2,FALSE),"Y","N")</f>
        <v>N</v>
      </c>
      <c r="X173" s="215">
        <f t="shared" si="57"/>
        <v>1</v>
      </c>
      <c r="Y173" s="215">
        <f t="shared" si="82"/>
        <v>5.8648999999999996</v>
      </c>
      <c r="Z173" s="215">
        <f t="shared" si="83"/>
        <v>6.5699999999999995E-2</v>
      </c>
      <c r="AA173" s="215">
        <f t="shared" si="60"/>
        <v>5.7991999999999999</v>
      </c>
      <c r="AB173" s="216" t="e">
        <f>VLOOKUP(A173,Enforcements!$C$7:$K$11,8,0)</f>
        <v>#N/A</v>
      </c>
      <c r="AC173" s="216" t="e">
        <f>VLOOKUP(A173,Enforcements!$C$7:$E$11,3,0)</f>
        <v>#N/A</v>
      </c>
      <c r="AD173" s="217">
        <f t="shared" si="61"/>
        <v>1812</v>
      </c>
      <c r="AE173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73" s="68" t="str">
        <f t="shared" si="63"/>
        <v>"C:\Program Files (x86)\AstroGrep\AstroGrep.exe" /e /r /s /spath="%USERPROFILE%\AppData\Local\Temp\OnboardLogs" /stypes="app*4017*20170930*" /stext=" 17:.+((SYSTEM_STATE.+slice.+state.+changed )|(ment ac)|(multiple cpu faults)|(system.+state.+changed )|(\[timeout)|(PRM\|1\|D)|(kpr)|(kdp)|(train st.+moving)|(\|lc)|(penalty))"</v>
      </c>
      <c r="AG173" s="172" t="str">
        <f t="shared" si="64"/>
        <v>NW</v>
      </c>
      <c r="AH173" s="70" t="str">
        <f t="shared" si="65"/>
        <v>"%USERPROFILE%\Documents\GitHub\eaglep3\Utilities\RefineRTDCRunTimes.py" --tripid 1812-30 --locoid 4017 --swversion DE.1.0.9.0 --startMP 300:58649 --initTime 2017-09-30T11:34:24 --startdatetime 2017-09-30T11:39:05 --delay 60 --endMP 204:657 --enddatetime 2017-09-30T11:55:11 --enforcementcount 0 &gt;&gt;c:\users\stu\Documents\GitHub\eaglep3-reporting\EC\2017-09-30-refined-times.txt</v>
      </c>
      <c r="AI173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{"issue":{"subject":"","project_id":79,"tracker_id":40,"status_id":1,"priority_id":2,"assigned_to_id":338,"start_date":"2017-09-30","description":"","custom_fields":[{"id":1,"name":"Subdivision","value":"NW"},{"id":4,"name":"Milepost","value":"0.0657"},{"id":17,"name":"Train ID","value":"1812-30"},{"id":16,"name":"Locomotive ID","value":"4017"},{"id":130,"name":"Impact","value":""},{"id":150,"name":"Time of Event (Mountain Time)","value":"11:55:11"},{"id":151,"name":"Denver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34" t="str">
        <f t="shared" si="67"/>
        <v>start /low /b %USERPROFILE%\Documents\GitHub\eaglep3\Utilities\DownloadLogsFromS3.py --loco 4017 --day 2017-09-30</v>
      </c>
      <c r="AN173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17:55:11"},{"id":29,"name":"Sharepoint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0" t="str">
        <f t="shared" si="69"/>
        <v>https://d0f6bd738d7f1b3e5a7ca70fe4ff75f0.us-east-1.aws.found.io/app/kibana#/discover/Steve-Slow-Train-Analysis-(2080s-and-2083s)?_g=(refreshInterval:(display:Off,pause:!f,section:0,value:0),time:(from:'2017-09-30T10:34:24-0600',mode:absolute,to:'2017-09-30T12:55:11-0600'))&amp;_a=(columns:!('Message%20ID',Summary),filters:!(),index:'emp_*',interval:auto,query:(query_string:(analyze_wildcard:!t,query:'%22rtdc.l.rtdc.4017%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721</v>
      </c>
      <c r="B174" s="7">
        <v>4018</v>
      </c>
      <c r="C174" s="21" t="s">
        <v>195</v>
      </c>
      <c r="D174" s="21" t="s">
        <v>578</v>
      </c>
      <c r="E174" s="13">
        <v>43008.503645833334</v>
      </c>
      <c r="F174" s="13">
        <v>43008.506423611114</v>
      </c>
      <c r="G174" s="7">
        <v>61</v>
      </c>
      <c r="H174" s="21" t="s">
        <v>882</v>
      </c>
      <c r="I174" s="13">
        <v>43008.5156712963</v>
      </c>
      <c r="J174" s="7">
        <v>0</v>
      </c>
      <c r="K174" s="81" t="str">
        <f t="shared" si="53"/>
        <v>4017/4018</v>
      </c>
      <c r="L174" s="175" t="str">
        <f>VLOOKUP(A174,'Trips&amp;Operators'!$C$1:$G$99911,5,FALSE)</f>
        <v>LAMAR NEKESHA</v>
      </c>
      <c r="M174" s="6">
        <f t="shared" si="54"/>
        <v>9.2476851859828457E-3</v>
      </c>
      <c r="N174" s="7">
        <f t="shared" si="70"/>
        <v>13.316666667815298</v>
      </c>
      <c r="O174" s="7"/>
      <c r="P174" s="7"/>
      <c r="Q174" s="22"/>
      <c r="R174" s="166"/>
      <c r="S174" s="228">
        <f t="shared" si="71"/>
        <v>1</v>
      </c>
      <c r="T174" s="166" t="str">
        <f t="shared" si="55"/>
        <v>NorthBound</v>
      </c>
      <c r="U174" s="21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4" t="str">
        <f t="shared" si="56"/>
        <v>https://d0f6bd738d7f1b3e5a7ca70fe4ff75f0.us-east-1.aws.found.io/app/kibana#/discover/Steve-Slow-Train-Analysis-(2080s-and-2083s)?_g=(refreshInterval:(display:Off,pause:!f,section:0,value:0),time:(from:'2017-09-30T11:05:15-0600',mode:absolute,to:'2017-09-30T13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4" s="215" t="str">
        <f>IF(AA174&lt;VLOOKUP(AG174,Variables!$AC$3:$AD$8,2,FALSE),"Y","N")</f>
        <v>N</v>
      </c>
      <c r="X174" s="215">
        <f t="shared" si="57"/>
        <v>1</v>
      </c>
      <c r="Y174" s="215">
        <f t="shared" si="82"/>
        <v>9.5299999999999996E-2</v>
      </c>
      <c r="Z174" s="215">
        <f t="shared" si="83"/>
        <v>5.8993000000000002</v>
      </c>
      <c r="AA174" s="215">
        <f t="shared" si="60"/>
        <v>5.8040000000000003</v>
      </c>
      <c r="AB174" s="216" t="e">
        <f>VLOOKUP(A174,Enforcements!$C$7:$K$11,8,0)</f>
        <v>#N/A</v>
      </c>
      <c r="AC174" s="216" t="e">
        <f>VLOOKUP(A174,Enforcements!$C$7:$E$11,3,0)</f>
        <v>#N/A</v>
      </c>
      <c r="AD174" s="217">
        <f t="shared" si="61"/>
        <v>1813</v>
      </c>
      <c r="AE174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74" s="68" t="str">
        <f t="shared" si="63"/>
        <v>"C:\Program Files (x86)\AstroGrep\AstroGrep.exe" /e /r /s /spath="%USERPROFILE%\AppData\Local\Temp\OnboardLogs" /stypes="app*4018*20170930*" /stext=" 18:.+((SYSTEM_STATE.+slice.+state.+changed )|(ment ac)|(multiple cpu faults)|(system.+state.+changed )|(\[timeout)|(PRM\|1\|D)|(kpr)|(kdp)|(train st.+moving)|(\|lc)|(penalty))"</v>
      </c>
      <c r="AG174" s="172" t="str">
        <f t="shared" si="64"/>
        <v>NW</v>
      </c>
      <c r="AH174" s="70" t="str">
        <f t="shared" si="65"/>
        <v>"%USERPROFILE%\Documents\GitHub\eaglep3\Utilities\RefineRTDCRunTimes.py" --tripid 1813-30 --locoid 4018 --swversion DE.1.0.9.0 --startMP 204:953 --initTime 2017-09-30T12:05:15 --startdatetime 2017-09-30T12:09:15 --delay 61 --endMP 300:58993 --enddatetime 2017-09-30T12:22:34 --enforcementcount 0 &gt;&gt;c:\users\stu\Documents\GitHub\eaglep3-reporting\EC\2017-09-30-refined-times.txt</v>
      </c>
      <c r="AI174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{"issue":{"subject":"","project_id":79,"tracker_id":40,"status_id":1,"priority_id":2,"assigned_to_id":338,"start_date":"2017-09-30","description":"","custom_fields":[{"id":1,"name":"Subdivision","value":"NW"},{"id":4,"name":"Milepost","value":"5.8993"},{"id":17,"name":"Train ID","value":"1813-30"},{"id":16,"name":"Locomotive ID","value":"4018"},{"id":130,"name":"Impact","value":""},{"id":150,"name":"Time of Event (Mountain Time)","value":"12:22:34"},{"id":151,"name":"Denver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34" t="str">
        <f t="shared" si="67"/>
        <v>start /low /b %USERPROFILE%\Documents\GitHub\eaglep3\Utilities\DownloadLogsFromS3.py --loco 4018 --day 2017-09-30</v>
      </c>
      <c r="AN174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0" t="str">
        <f t="shared" si="69"/>
        <v>https://d0f6bd738d7f1b3e5a7ca70fe4ff75f0.us-east-1.aws.found.io/app/kibana#/discover/Steve-Slow-Train-Analysis-(2080s-and-2083s)?_g=(refreshInterval:(display:Off,pause:!f,section:0,value:0),time:(from:'2017-09-30T11:05:15-0600',mode:absolute,to:'2017-09-30T13:22:34-0600'))&amp;_a=(columns:!('Message%20ID',Summary),filters:!(),index:'emp_*',interval:auto,query:(query_string:(analyze_wildcard:!t,query:'%22rtdc.l.rtdc.4018%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726</v>
      </c>
      <c r="B175" s="7">
        <v>4017</v>
      </c>
      <c r="C175" s="21" t="s">
        <v>195</v>
      </c>
      <c r="D175" s="21" t="s">
        <v>575</v>
      </c>
      <c r="E175" s="13">
        <v>43008.525381944448</v>
      </c>
      <c r="F175" s="13">
        <v>43008.527256944442</v>
      </c>
      <c r="G175" s="7">
        <v>69</v>
      </c>
      <c r="H175" s="21" t="s">
        <v>883</v>
      </c>
      <c r="I175" s="13">
        <v>43008.538541666669</v>
      </c>
      <c r="J175" s="7">
        <v>0</v>
      </c>
      <c r="K175" s="81" t="str">
        <f t="shared" si="53"/>
        <v>4017/4018</v>
      </c>
      <c r="L175" s="175" t="str">
        <f>VLOOKUP(A175,'Trips&amp;Operators'!$C$1:$G$99911,5,FALSE)</f>
        <v>LAMAR NEKESHA</v>
      </c>
      <c r="M175" s="6">
        <f t="shared" si="54"/>
        <v>1.1284722226264421E-2</v>
      </c>
      <c r="N175" s="7">
        <f t="shared" si="70"/>
        <v>16.250000005820766</v>
      </c>
      <c r="O175" s="7"/>
      <c r="P175" s="7"/>
      <c r="Q175" s="22"/>
      <c r="R175" s="166"/>
      <c r="S175" s="228">
        <f t="shared" si="71"/>
        <v>1</v>
      </c>
      <c r="T175" s="166" t="str">
        <f t="shared" si="55"/>
        <v>Southbound</v>
      </c>
      <c r="U175" s="21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4" t="str">
        <f t="shared" si="56"/>
        <v>https://d0f6bd738d7f1b3e5a7ca70fe4ff75f0.us-east-1.aws.found.io/app/kibana#/discover/Steve-Slow-Train-Analysis-(2080s-and-2083s)?_g=(refreshInterval:(display:Off,pause:!f,section:0,value:0),time:(from:'2017-09-30T11:36:33-0600',mode:absolute,to:'2017-09-30T13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5" s="215" t="str">
        <f>IF(AA175&lt;VLOOKUP(AG175,Variables!$AC$3:$AD$8,2,FALSE),"Y","N")</f>
        <v>N</v>
      </c>
      <c r="X175" s="215">
        <f t="shared" si="57"/>
        <v>1</v>
      </c>
      <c r="Y175" s="215">
        <f t="shared" si="82"/>
        <v>5.8677000000000001</v>
      </c>
      <c r="Z175" s="215">
        <f t="shared" si="83"/>
        <v>6.7500000000000004E-2</v>
      </c>
      <c r="AA175" s="215">
        <f t="shared" si="60"/>
        <v>5.8002000000000002</v>
      </c>
      <c r="AB175" s="216" t="e">
        <f>VLOOKUP(A175,Enforcements!$C$7:$K$11,8,0)</f>
        <v>#N/A</v>
      </c>
      <c r="AC175" s="216" t="e">
        <f>VLOOKUP(A175,Enforcements!$C$7:$E$11,3,0)</f>
        <v>#N/A</v>
      </c>
      <c r="AD175" s="217">
        <f t="shared" si="61"/>
        <v>1814</v>
      </c>
      <c r="AE175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75" s="68" t="str">
        <f t="shared" si="63"/>
        <v>"C:\Program Files (x86)\AstroGrep\AstroGrep.exe" /e /r /s /spath="%USERPROFILE%\AppData\Local\Temp\OnboardLogs" /stypes="app*4017*20170930*" /stext=" 18:.+((SYSTEM_STATE.+slice.+state.+changed )|(ment ac)|(multiple cpu faults)|(system.+state.+changed )|(\[timeout)|(PRM\|1\|D)|(kpr)|(kdp)|(train st.+moving)|(\|lc)|(penalty))"</v>
      </c>
      <c r="AG175" s="172" t="str">
        <f t="shared" si="64"/>
        <v>NW</v>
      </c>
      <c r="AH175" s="70" t="str">
        <f t="shared" si="65"/>
        <v>"%USERPROFILE%\Documents\GitHub\eaglep3\Utilities\RefineRTDCRunTimes.py" --tripid 1814-30 --locoid 4017 --swversion DE.1.0.9.0 --startMP 300:58677 --initTime 2017-09-30T12:36:33 --startdatetime 2017-09-30T12:39:15 --delay 69 --endMP 204:675 --enddatetime 2017-09-30T12:55:30 --enforcementcount 0 &gt;&gt;c:\users\stu\Documents\GitHub\eaglep3-reporting\EC\2017-09-30-refined-times.txt</v>
      </c>
      <c r="AI175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{"issue":{"subject":"","project_id":79,"tracker_id":40,"status_id":1,"priority_id":2,"assigned_to_id":338,"start_date":"2017-09-30","description":"","custom_fields":[{"id":1,"name":"Subdivision","value":"NW"},{"id":4,"name":"Milepost","value":"0.0675"},{"id":17,"name":"Train ID","value":"1814-30"},{"id":16,"name":"Locomotive ID","value":"4017"},{"id":130,"name":"Impact","value":""},{"id":150,"name":"Time of Event (Mountain Time)","value":"12:55:30"},{"id":151,"name":"Denver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34" t="str">
        <f t="shared" si="67"/>
        <v>start /low /b %USERPROFILE%\Documents\GitHub\eaglep3\Utilities\DownloadLogsFromS3.py --loco 4017 --day 2017-09-30</v>
      </c>
      <c r="AN175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18:55:30"},{"id":29,"name":"Sharepoint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0" t="str">
        <f t="shared" si="69"/>
        <v>https://d0f6bd738d7f1b3e5a7ca70fe4ff75f0.us-east-1.aws.found.io/app/kibana#/discover/Steve-Slow-Train-Analysis-(2080s-and-2083s)?_g=(refreshInterval:(display:Off,pause:!f,section:0,value:0),time:(from:'2017-09-30T11:36:33-0600',mode:absolute,to:'2017-09-30T13:55:30-0600'))&amp;_a=(columns:!('Message%20ID',Summary),filters:!(),index:'emp_*',interval:auto,query:(query_string:(analyze_wildcard:!t,query:'%22rtdc.l.rtdc.4017%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729</v>
      </c>
      <c r="B176" s="7">
        <v>4018</v>
      </c>
      <c r="C176" s="21" t="s">
        <v>195</v>
      </c>
      <c r="D176" s="21" t="s">
        <v>884</v>
      </c>
      <c r="E176" s="13">
        <v>43008.543483796297</v>
      </c>
      <c r="F176" s="13">
        <v>43008.548217592594</v>
      </c>
      <c r="G176" s="7">
        <v>54</v>
      </c>
      <c r="H176" s="21" t="s">
        <v>885</v>
      </c>
      <c r="I176" s="13">
        <v>43008.557962962965</v>
      </c>
      <c r="J176" s="7">
        <v>0</v>
      </c>
      <c r="K176" s="81" t="str">
        <f t="shared" si="53"/>
        <v>4017/4018</v>
      </c>
      <c r="L176" s="175" t="str">
        <f>VLOOKUP(A176,'Trips&amp;Operators'!$C$1:$G$99911,5,FALSE)</f>
        <v>LAMAR NEKESHA</v>
      </c>
      <c r="M176" s="6">
        <f t="shared" si="54"/>
        <v>9.7453703710925765E-3</v>
      </c>
      <c r="N176" s="7">
        <f t="shared" si="70"/>
        <v>14.03333333437331</v>
      </c>
      <c r="O176" s="7"/>
      <c r="P176" s="7"/>
      <c r="Q176" s="22"/>
      <c r="R176" s="166"/>
      <c r="S176" s="228">
        <f t="shared" si="71"/>
        <v>1</v>
      </c>
      <c r="T176" s="166" t="str">
        <f t="shared" si="55"/>
        <v>NorthBound</v>
      </c>
      <c r="U176" s="21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4" t="str">
        <f t="shared" si="56"/>
        <v>https://d0f6bd738d7f1b3e5a7ca70fe4ff75f0.us-east-1.aws.found.io/app/kibana#/discover/Steve-Slow-Train-Analysis-(2080s-and-2083s)?_g=(refreshInterval:(display:Off,pause:!f,section:0,value:0),time:(from:'2017-09-30T12:02:37-0600',mode:absolute,to:'2017-09-30T14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6" s="215" t="str">
        <f>IF(AA176&lt;VLOOKUP(AG176,Variables!$AC$3:$AD$8,2,FALSE),"Y","N")</f>
        <v>N</v>
      </c>
      <c r="X176" s="215">
        <f t="shared" si="57"/>
        <v>1</v>
      </c>
      <c r="Y176" s="215">
        <f t="shared" si="82"/>
        <v>9.8500000000000004E-2</v>
      </c>
      <c r="Z176" s="215">
        <f t="shared" si="83"/>
        <v>5.8967000000000001</v>
      </c>
      <c r="AA176" s="215">
        <f t="shared" si="60"/>
        <v>5.7982000000000005</v>
      </c>
      <c r="AB176" s="216" t="e">
        <f>VLOOKUP(A176,Enforcements!$C$7:$K$11,8,0)</f>
        <v>#N/A</v>
      </c>
      <c r="AC176" s="216" t="e">
        <f>VLOOKUP(A176,Enforcements!$C$7:$E$11,3,0)</f>
        <v>#N/A</v>
      </c>
      <c r="AD176" s="217">
        <f t="shared" si="61"/>
        <v>1815</v>
      </c>
      <c r="AE176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76" s="68" t="str">
        <f t="shared" si="63"/>
        <v>"C:\Program Files (x86)\AstroGrep\AstroGrep.exe" /e /r /s /spath="%USERPROFILE%\AppData\Local\Temp\OnboardLogs" /stypes="app*4018*20170930*" /stext=" 19:.+((SYSTEM_STATE.+slice.+state.+changed )|(ment ac)|(multiple cpu faults)|(system.+state.+changed )|(\[timeout)|(PRM\|1\|D)|(kpr)|(kdp)|(train st.+moving)|(\|lc)|(penalty))"</v>
      </c>
      <c r="AG176" s="172" t="str">
        <f t="shared" si="64"/>
        <v>NW</v>
      </c>
      <c r="AH176" s="70" t="str">
        <f t="shared" si="65"/>
        <v>"%USERPROFILE%\Documents\GitHub\eaglep3\Utilities\RefineRTDCRunTimes.py" --tripid 1815-30 --locoid 4018 --swversion DE.1.0.9.0 --startMP 204:985 --initTime 2017-09-30T13:02:37 --startdatetime 2017-09-30T13:09:26 --delay 54 --endMP 300:58967 --enddatetime 2017-09-30T13:23:28 --enforcementcount 0 &gt;&gt;c:\users\stu\Documents\GitHub\eaglep3-reporting\EC\2017-09-30-refined-times.txt</v>
      </c>
      <c r="AI176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{"issue":{"subject":"","project_id":79,"tracker_id":40,"status_id":1,"priority_id":2,"assigned_to_id":338,"start_date":"2017-09-30","description":"","custom_fields":[{"id":1,"name":"Subdivision","value":"NW"},{"id":4,"name":"Milepost","value":"5.8967"},{"id":17,"name":"Train ID","value":"1815-30"},{"id":16,"name":"Locomotive ID","value":"4018"},{"id":130,"name":"Impact","value":""},{"id":150,"name":"Time of Event (Mountain Time)","value":"13:23:28"},{"id":151,"name":"Denver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34" t="str">
        <f t="shared" si="67"/>
        <v>start /low /b %USERPROFILE%\Documents\GitHub\eaglep3\Utilities\DownloadLogsFromS3.py --loco 4018 --day 2017-09-30</v>
      </c>
      <c r="AN176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19:23:28"},{"id":29,"name":"Sharepoint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0" t="str">
        <f t="shared" si="69"/>
        <v>https://d0f6bd738d7f1b3e5a7ca70fe4ff75f0.us-east-1.aws.found.io/app/kibana#/discover/Steve-Slow-Train-Analysis-(2080s-and-2083s)?_g=(refreshInterval:(display:Off,pause:!f,section:0,value:0),time:(from:'2017-09-30T12:02:37-0600',mode:absolute,to:'2017-09-30T14:23:28-0600'))&amp;_a=(columns:!('Message%20ID',Summary),filters:!(),index:'emp_*',interval:auto,query:(query_string:(analyze_wildcard:!t,query:'%22rtdc.l.rtdc.4018%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735</v>
      </c>
      <c r="B177" s="7">
        <v>4017</v>
      </c>
      <c r="C177" s="21" t="s">
        <v>195</v>
      </c>
      <c r="D177" s="21" t="s">
        <v>886</v>
      </c>
      <c r="E177" s="13">
        <v>43008.568298611113</v>
      </c>
      <c r="F177" s="13">
        <v>43008.569861111115</v>
      </c>
      <c r="G177" s="7">
        <v>44</v>
      </c>
      <c r="H177" s="21" t="s">
        <v>887</v>
      </c>
      <c r="I177" s="13">
        <v>43008.569861111115</v>
      </c>
      <c r="J177" s="7">
        <v>0</v>
      </c>
      <c r="K177" s="81" t="str">
        <f t="shared" si="53"/>
        <v>4017/4018</v>
      </c>
      <c r="L177" s="175" t="str">
        <f>VLOOKUP(A177,'Trips&amp;Operators'!$C$1:$G$99911,5,FALSE)</f>
        <v>LAMAR NEKESHA</v>
      </c>
      <c r="M177" s="6">
        <f t="shared" si="54"/>
        <v>0</v>
      </c>
      <c r="N177" s="7"/>
      <c r="O177" s="7"/>
      <c r="P177" s="7">
        <v>1</v>
      </c>
      <c r="Q177" s="22"/>
      <c r="R177" s="166" t="s">
        <v>973</v>
      </c>
      <c r="S177" s="228">
        <f t="shared" si="71"/>
        <v>0</v>
      </c>
      <c r="T177" s="166" t="str">
        <f t="shared" si="55"/>
        <v>Southbound</v>
      </c>
      <c r="U177" s="21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214" t="str">
        <f t="shared" si="56"/>
        <v>https://d0f6bd738d7f1b3e5a7ca70fe4ff75f0.us-east-1.aws.found.io/app/kibana#/discover/Steve-Slow-Train-Analysis-(2080s-and-2083s)?_g=(refreshInterval:(display:Off,pause:!f,section:0,value:0),time:(from:'2017-09-30T12:38:21-0600',mode:absolute,to:'2017-09-30T14:40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7" s="215" t="str">
        <f>IF(AA177&lt;VLOOKUP(AG177,Variables!$AC$3:$AD$8,2,FALSE),"Y","N")</f>
        <v>Y</v>
      </c>
      <c r="X177" s="215">
        <f t="shared" si="57"/>
        <v>1</v>
      </c>
      <c r="Y177" s="215">
        <f t="shared" si="82"/>
        <v>5.8644999999999996</v>
      </c>
      <c r="Z177" s="215">
        <f t="shared" si="83"/>
        <v>5.7325999999999997</v>
      </c>
      <c r="AA177" s="215">
        <f t="shared" si="60"/>
        <v>0.13189999999999991</v>
      </c>
      <c r="AB177" s="216" t="e">
        <f>VLOOKUP(A177,Enforcements!$C$7:$K$11,8,0)</f>
        <v>#N/A</v>
      </c>
      <c r="AC177" s="216" t="e">
        <f>VLOOKUP(A177,Enforcements!$C$7:$E$11,3,0)</f>
        <v>#N/A</v>
      </c>
      <c r="AD177" s="217">
        <f t="shared" si="61"/>
        <v>1816</v>
      </c>
      <c r="AE177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77" s="68" t="str">
        <f t="shared" si="63"/>
        <v>"C:\Program Files (x86)\AstroGrep\AstroGrep.exe" /e /r /s /spath="%USERPROFILE%\AppData\Local\Temp\OnboardLogs" /stypes="app*4017*20170930*" /stext=" 19:.+((SYSTEM_STATE.+slice.+state.+changed )|(ment ac)|(multiple cpu faults)|(system.+state.+changed )|(\[timeout)|(PRM\|1\|D)|(kpr)|(kdp)|(train st.+moving)|(\|lc)|(penalty))"</v>
      </c>
      <c r="AG177" s="172" t="str">
        <f t="shared" si="64"/>
        <v>NW</v>
      </c>
      <c r="AH177" s="70" t="str">
        <f t="shared" si="65"/>
        <v>"%USERPROFILE%\Documents\GitHub\eaglep3\Utilities\RefineRTDCRunTimes.py" --tripid 1816-30 --locoid 4017 --swversion DE.1.0.9.0 --startMP 300:58645 --initTime 2017-09-30T13:38:21 --startdatetime 2017-09-30T13:40:36 --delay 44 --endMP 300:57326 --enddatetime 2017-09-30T13:40:36 --enforcementcount 0 &gt;&gt;c:\users\stu\Documents\GitHub\eaglep3-reporting\EC\2017-09-30-refined-times.txt</v>
      </c>
      <c r="AI177" s="88" t="str">
        <f t="shared" si="66"/>
        <v>echo {"issue":{"subject":"Onboard in-route failure","project_id":79,"tracker_id":40,"status_id":1,"priority_id":2,"assigned_to_id":338,"start_date":"2017-09-30","description":"","custom_fields":[{"id":1,"name":"Subdivision","value":"NW"},{"id":4,"name":"Milepost","value":"5.7326"},{"id":17,"name":"Train ID","value":"1816-30"},{"id":16,"name":"Locomotive ID","value":"4017"},{"id":130,"name":"Impact","value":""},{"id":150,"name":"Time of Event (Mountain Time)","value":"13:40:36"},{"id":151,"name":"Denver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34" t="str">
        <f t="shared" si="67"/>
        <v>start /low /b %USERPROFILE%\Documents\GitHub\eaglep3\Utilities\DownloadLogsFromS3.py --loco 4017 --day 2017-09-30</v>
      </c>
      <c r="AN177" s="143" t="str">
        <f t="shared" si="68"/>
        <v>echo {"issue":{"subject":"Onboard in-route failure","project_id":30,"tracker_id":4,"status_id":1,"priority_id":1,"assigned_to_id":10,"start_date":"2017-09-30","description":"","custom_fields":[{"id":30,"name":"Category","value":"Issue"},{"id":3,"name":"Functional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19:40:36"},{"id":29,"name":"Sharepoint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0" t="str">
        <f t="shared" si="69"/>
        <v>https://d0f6bd738d7f1b3e5a7ca70fe4ff75f0.us-east-1.aws.found.io/app/kibana#/discover/Steve-Slow-Train-Analysis-(2080s-and-2083s)?_g=(refreshInterval:(display:Off,pause:!f,section:0,value:0),time:(from:'2017-09-30T12:38:21-0600',mode:absolute,to:'2017-09-30T14:40:36-0600'))&amp;_a=(columns:!('Message%20ID',Summary),filters:!(),index:'emp_*',interval:auto,query:(query_string:(analyze_wildcard:!t,query:'%22rtdc.l.rtdc.4017%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605</v>
      </c>
      <c r="B178" s="7">
        <v>4018</v>
      </c>
      <c r="C178" s="21" t="s">
        <v>195</v>
      </c>
      <c r="D178" s="21" t="s">
        <v>888</v>
      </c>
      <c r="E178" s="13">
        <v>43008.583495370367</v>
      </c>
      <c r="F178" s="13">
        <v>43008.591064814813</v>
      </c>
      <c r="G178" s="7">
        <v>73</v>
      </c>
      <c r="H178" s="21" t="s">
        <v>889</v>
      </c>
      <c r="I178" s="13">
        <v>43008.601006944446</v>
      </c>
      <c r="J178" s="7">
        <v>0</v>
      </c>
      <c r="K178" s="81" t="str">
        <f t="shared" si="53"/>
        <v>4017/4018</v>
      </c>
      <c r="L178" s="175" t="str">
        <f>VLOOKUP(A178,'Trips&amp;Operators'!$C$1:$G$99911,5,FALSE)</f>
        <v>SMITH MICHAEL</v>
      </c>
      <c r="M178" s="6">
        <f t="shared" si="54"/>
        <v>9.9421296326909214E-3</v>
      </c>
      <c r="N178" s="7"/>
      <c r="O178" s="7"/>
      <c r="P178" s="7"/>
      <c r="Q178" s="22"/>
      <c r="R178" s="166"/>
      <c r="S178" s="228"/>
      <c r="T178" s="166" t="str">
        <f t="shared" si="55"/>
        <v>NorthBound</v>
      </c>
      <c r="U178" s="21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214" t="str">
        <f t="shared" si="56"/>
        <v>https://d0f6bd738d7f1b3e5a7ca70fe4ff75f0.us-east-1.aws.found.io/app/kibana#/discover/Steve-Slow-Train-Analysis-(2080s-and-2083s)?_g=(refreshInterval:(display:Off,pause:!f,section:0,value:0),time:(from:'2017-09-30T13:00:14-0600',mode:absolute,to:'2017-09-30T15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8" s="215" t="str">
        <f>IF(AA178&lt;VLOOKUP(AG178,Variables!$AC$3:$AD$8,2,FALSE),"Y","N")</f>
        <v>Y</v>
      </c>
      <c r="X178" s="215">
        <f t="shared" si="57"/>
        <v>1</v>
      </c>
      <c r="Y178" s="215">
        <f t="shared" si="82"/>
        <v>9.3200000000000005E-2</v>
      </c>
      <c r="Z178" s="215">
        <f t="shared" si="83"/>
        <v>9.2899999999999996E-2</v>
      </c>
      <c r="AA178" s="215">
        <f t="shared" si="60"/>
        <v>3.0000000000000859E-4</v>
      </c>
      <c r="AB178" s="216" t="e">
        <f>VLOOKUP(A178,Enforcements!$C$7:$K$11,8,0)</f>
        <v>#N/A</v>
      </c>
      <c r="AC178" s="216" t="e">
        <f>VLOOKUP(A178,Enforcements!$C$7:$E$11,3,0)</f>
        <v>#N/A</v>
      </c>
      <c r="AD178" s="217">
        <f t="shared" si="61"/>
        <v>1817</v>
      </c>
      <c r="AE178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78" s="68" t="str">
        <f t="shared" si="63"/>
        <v>"C:\Program Files (x86)\AstroGrep\AstroGrep.exe" /e /r /s /spath="%USERPROFILE%\AppData\Local\Temp\OnboardLogs" /stypes="app*4018*20170930*" /stext=" 20:.+((SYSTEM_STATE.+slice.+state.+changed )|(ment ac)|(multiple cpu faults)|(system.+state.+changed )|(\[timeout)|(PRM\|1\|D)|(kpr)|(kdp)|(train st.+moving)|(\|lc)|(penalty))"</v>
      </c>
      <c r="AG178" s="172" t="str">
        <f t="shared" si="64"/>
        <v>NW</v>
      </c>
      <c r="AH178" s="70" t="str">
        <f t="shared" si="65"/>
        <v>"%USERPROFILE%\Documents\GitHub\eaglep3\Utilities\RefineRTDCRunTimes.py" --tripid 1817-30 --locoid 4018 --swversion DE.1.0.9.0 --startMP 204:932 --initTime 2017-09-30T14:00:14 --startdatetime 2017-09-30T14:11:08 --delay 73 --endMP 204:929 --enddatetime 2017-09-30T14:25:27 --enforcementcount 0 &gt;&gt;c:\users\stu\Documents\GitHub\eaglep3-reporting\EC\2017-09-30-refined-times.txt</v>
      </c>
      <c r="AI178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{"issue":{"subject":"","project_id":79,"tracker_id":40,"status_id":1,"priority_id":2,"assigned_to_id":338,"start_date":"2017-09-30","description":"","custom_fields":[{"id":1,"name":"Subdivision","value":"NW"},{"id":4,"name":"Milepost","value":"0.0929"},{"id":17,"name":"Train ID","value":"1817-30"},{"id":16,"name":"Locomotive ID","value":"4018"},{"id":130,"name":"Impact","value":""},{"id":150,"name":"Time of Event (Mountain Time)","value":"14:25:27"},{"id":151,"name":"Denver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34" t="str">
        <f t="shared" si="67"/>
        <v>start /low /b %USERPROFILE%\Documents\GitHub\eaglep3\Utilities\DownloadLogsFromS3.py --loco 4018 --day 2017-09-30</v>
      </c>
      <c r="AN178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0" t="str">
        <f t="shared" si="69"/>
        <v>https://d0f6bd738d7f1b3e5a7ca70fe4ff75f0.us-east-1.aws.found.io/app/kibana#/discover/Steve-Slow-Train-Analysis-(2080s-and-2083s)?_g=(refreshInterval:(display:Off,pause:!f,section:0,value:0),time:(from:'2017-09-30T13:00:14-0600',mode:absolute,to:'2017-09-30T15:25:27-0600'))&amp;_a=(columns:!('Message%20ID',Summary),filters:!(),index:'emp_*',interval:auto,query:(query_string:(analyze_wildcard:!t,query:'%22rtdc.l.rtdc.4018%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605</v>
      </c>
      <c r="B179" s="7">
        <v>4018</v>
      </c>
      <c r="C179" s="21" t="s">
        <v>195</v>
      </c>
      <c r="D179" s="21" t="s">
        <v>890</v>
      </c>
      <c r="E179" s="13">
        <v>43008.58997685185</v>
      </c>
      <c r="F179" s="13">
        <v>43008.591064814813</v>
      </c>
      <c r="G179" s="7">
        <v>39</v>
      </c>
      <c r="H179" s="21" t="s">
        <v>891</v>
      </c>
      <c r="I179" s="13">
        <v>43008.601006944446</v>
      </c>
      <c r="J179" s="7">
        <v>0</v>
      </c>
      <c r="K179" s="81" t="str">
        <f t="shared" si="53"/>
        <v>4017/4018</v>
      </c>
      <c r="L179" s="175" t="str">
        <f>VLOOKUP(A179,'Trips&amp;Operators'!$C$1:$G$99911,5,FALSE)</f>
        <v>SMITH MICHAEL</v>
      </c>
      <c r="M179" s="6">
        <f t="shared" si="54"/>
        <v>9.9421296326909214E-3</v>
      </c>
      <c r="N179" s="7">
        <f t="shared" ref="N179:N219" si="84">24*60*SUM($M179:$M179)</f>
        <v>14.316666671074927</v>
      </c>
      <c r="O179" s="7"/>
      <c r="P179" s="7"/>
      <c r="Q179" s="22"/>
      <c r="R179" s="166"/>
      <c r="S179" s="228">
        <f t="shared" ref="S179:S219" si="85">1/IF(AG179="EC",12,1)*SUM(U179:U179)</f>
        <v>1</v>
      </c>
      <c r="T179" s="166" t="str">
        <f t="shared" si="55"/>
        <v>NorthBound</v>
      </c>
      <c r="U179" s="21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4" t="str">
        <f t="shared" si="56"/>
        <v>https://d0f6bd738d7f1b3e5a7ca70fe4ff75f0.us-east-1.aws.found.io/app/kibana#/discover/Steve-Slow-Train-Analysis-(2080s-and-2083s)?_g=(refreshInterval:(display:Off,pause:!f,section:0,value:0),time:(from:'2017-09-30T13:09:34-0600',mode:absolute,to:'2017-09-30T15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9" s="215" t="str">
        <f>IF(AA179&lt;VLOOKUP(AG179,Variables!$AC$3:$AD$8,2,FALSE),"Y","N")</f>
        <v>N</v>
      </c>
      <c r="X179" s="215">
        <f t="shared" si="57"/>
        <v>0</v>
      </c>
      <c r="Y179" s="215">
        <f t="shared" si="82"/>
        <v>0.13289999999999999</v>
      </c>
      <c r="Z179" s="215">
        <f t="shared" si="83"/>
        <v>5.8971</v>
      </c>
      <c r="AA179" s="215">
        <f t="shared" si="60"/>
        <v>5.7641999999999998</v>
      </c>
      <c r="AB179" s="216" t="e">
        <f>VLOOKUP(A179,Enforcements!$C$7:$K$11,8,0)</f>
        <v>#N/A</v>
      </c>
      <c r="AC179" s="216" t="e">
        <f>VLOOKUP(A179,Enforcements!$C$7:$E$11,3,0)</f>
        <v>#N/A</v>
      </c>
      <c r="AD179" s="217">
        <f t="shared" si="61"/>
        <v>1817</v>
      </c>
      <c r="AE179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79" s="68" t="str">
        <f t="shared" si="63"/>
        <v>"C:\Program Files (x86)\AstroGrep\AstroGrep.exe" /e /r /s /spath="%USERPROFILE%\AppData\Local\Temp\OnboardLogs" /stypes="app*4018*20170930*" /stext=" 20:.+((SYSTEM_STATE.+slice.+state.+changed )|(ment ac)|(multiple cpu faults)|(system.+state.+changed )|(\[timeout)|(PRM\|1\|D)|(kpr)|(kdp)|(train st.+moving)|(\|lc)|(penalty))"</v>
      </c>
      <c r="AG179" s="172" t="str">
        <f t="shared" si="64"/>
        <v>NW</v>
      </c>
      <c r="AH179" s="70" t="str">
        <f t="shared" si="65"/>
        <v>"%USERPROFILE%\Documents\GitHub\eaglep3\Utilities\RefineRTDCRunTimes.py" --tripid 1817-30 --locoid 4018 --swversion DE.1.0.9.0 --startMP 204:1329 --initTime 2017-09-30T14:09:34 --startdatetime 2017-09-30T14:11:08 --delay 39 --endMP 300:58971 --enddatetime 2017-09-30T14:25:27 --enforcementcount 0 &gt;&gt;c:\users\stu\Documents\GitHub\eaglep3-reporting\EC\2017-09-30-refined-times.txt</v>
      </c>
      <c r="AI179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{"issue":{"subject":"","project_id":79,"tracker_id":40,"status_id":1,"priority_id":2,"assigned_to_id":338,"start_date":"2017-09-30","description":"","custom_fields":[{"id":1,"name":"Subdivision","value":"NW"},{"id":4,"name":"Milepost","value":"5.8971"},{"id":17,"name":"Train ID","value":"1817-30"},{"id":16,"name":"Locomotive ID","value":"4018"},{"id":130,"name":"Impact","value":""},{"id":150,"name":"Time of Event (Mountain Time)","value":"14:25:27"},{"id":151,"name":"Denver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34" t="str">
        <f t="shared" si="67"/>
        <v>start /low /b %USERPROFILE%\Documents\GitHub\eaglep3\Utilities\DownloadLogsFromS3.py --loco 4018 --day 2017-09-30</v>
      </c>
      <c r="AN179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0" t="str">
        <f t="shared" si="69"/>
        <v>https://d0f6bd738d7f1b3e5a7ca70fe4ff75f0.us-east-1.aws.found.io/app/kibana#/discover/Steve-Slow-Train-Analysis-(2080s-and-2083s)?_g=(refreshInterval:(display:Off,pause:!f,section:0,value:0),time:(from:'2017-09-30T13:09:34-0600',mode:absolute,to:'2017-09-30T15:25:27-0600'))&amp;_a=(columns:!('Message%20ID',Summary),filters:!(),index:'emp_*',interval:auto,query:(query_string:(analyze_wildcard:!t,query:'%22rtdc.l.rtdc.4018%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741</v>
      </c>
      <c r="B180" s="7">
        <v>4017</v>
      </c>
      <c r="C180" s="21" t="s">
        <v>195</v>
      </c>
      <c r="D180" s="21" t="s">
        <v>576</v>
      </c>
      <c r="E180" s="13">
        <v>43008.602939814817</v>
      </c>
      <c r="F180" s="13">
        <v>43008.609814814816</v>
      </c>
      <c r="G180" s="7">
        <v>84</v>
      </c>
      <c r="H180" s="21" t="s">
        <v>444</v>
      </c>
      <c r="I180" s="13">
        <v>43008.621759259258</v>
      </c>
      <c r="J180" s="7">
        <v>0</v>
      </c>
      <c r="K180" s="81" t="str">
        <f t="shared" si="53"/>
        <v>4017/4018</v>
      </c>
      <c r="L180" s="175" t="str">
        <f>VLOOKUP(A180,'Trips&amp;Operators'!$C$1:$G$99911,5,FALSE)</f>
        <v>SMITH MICHAEL</v>
      </c>
      <c r="M180" s="6">
        <f t="shared" si="54"/>
        <v>1.1944444442633539E-2</v>
      </c>
      <c r="N180" s="7">
        <f t="shared" si="84"/>
        <v>17.199999997392297</v>
      </c>
      <c r="O180" s="7"/>
      <c r="P180" s="7"/>
      <c r="Q180" s="22"/>
      <c r="R180" s="166"/>
      <c r="S180" s="228">
        <f t="shared" si="85"/>
        <v>1</v>
      </c>
      <c r="T180" s="166" t="str">
        <f t="shared" si="55"/>
        <v>Southbound</v>
      </c>
      <c r="U180" s="21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4" t="str">
        <f t="shared" si="56"/>
        <v>https://d0f6bd738d7f1b3e5a7ca70fe4ff75f0.us-east-1.aws.found.io/app/kibana#/discover/Steve-Slow-Train-Analysis-(2080s-and-2083s)?_g=(refreshInterval:(display:Off,pause:!f,section:0,value:0),time:(from:'2017-09-30T13:28:14-0600',mode:absolute,to:'2017-09-30T15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0" s="215" t="str">
        <f>IF(AA180&lt;VLOOKUP(AG180,Variables!$AC$3:$AD$8,2,FALSE),"Y","N")</f>
        <v>N</v>
      </c>
      <c r="X180" s="215">
        <f t="shared" si="57"/>
        <v>1</v>
      </c>
      <c r="Y180" s="215">
        <f t="shared" si="82"/>
        <v>5.8658000000000001</v>
      </c>
      <c r="Z180" s="215">
        <f t="shared" si="83"/>
        <v>6.7100000000000007E-2</v>
      </c>
      <c r="AA180" s="215">
        <f t="shared" si="60"/>
        <v>5.7987000000000002</v>
      </c>
      <c r="AB180" s="216" t="e">
        <f>VLOOKUP(A180,Enforcements!$C$7:$K$11,8,0)</f>
        <v>#N/A</v>
      </c>
      <c r="AC180" s="216" t="e">
        <f>VLOOKUP(A180,Enforcements!$C$7:$E$11,3,0)</f>
        <v>#N/A</v>
      </c>
      <c r="AD180" s="217">
        <f t="shared" si="61"/>
        <v>1818</v>
      </c>
      <c r="AE180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80" s="68" t="str">
        <f t="shared" si="63"/>
        <v>"C:\Program Files (x86)\AstroGrep\AstroGrep.exe" /e /r /s /spath="%USERPROFILE%\AppData\Local\Temp\OnboardLogs" /stypes="app*4017*20170930*" /stext=" 20:.+((SYSTEM_STATE.+slice.+state.+changed )|(ment ac)|(multiple cpu faults)|(system.+state.+changed )|(\[timeout)|(PRM\|1\|D)|(kpr)|(kdp)|(train st.+moving)|(\|lc)|(penalty))"</v>
      </c>
      <c r="AG180" s="172" t="str">
        <f t="shared" si="64"/>
        <v>NW</v>
      </c>
      <c r="AH180" s="70" t="str">
        <f t="shared" si="65"/>
        <v>"%USERPROFILE%\Documents\GitHub\eaglep3\Utilities\RefineRTDCRunTimes.py" --tripid 1818-30 --locoid 4017 --swversion DE.1.0.9.0 --startMP 300:58658 --initTime 2017-09-30T14:28:14 --startdatetime 2017-09-30T14:38:08 --delay 84 --endMP 204:671 --enddatetime 2017-09-30T14:55:20 --enforcementcount 0 &gt;&gt;c:\users\stu\Documents\GitHub\eaglep3-reporting\EC\2017-09-30-refined-times.txt</v>
      </c>
      <c r="AI180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{"issue":{"subject":"","project_id":79,"tracker_id":40,"status_id":1,"priority_id":2,"assigned_to_id":338,"start_date":"2017-09-30","description":"","custom_fields":[{"id":1,"name":"Subdivision","value":"NW"},{"id":4,"name":"Milepost","value":"0.0671"},{"id":17,"name":"Train ID","value":"1818-30"},{"id":16,"name":"Locomotive ID","value":"4017"},{"id":130,"name":"Impact","value":""},{"id":150,"name":"Time of Event (Mountain Time)","value":"14:55:20"},{"id":151,"name":"Denver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34" t="str">
        <f t="shared" si="67"/>
        <v>start /low /b %USERPROFILE%\Documents\GitHub\eaglep3\Utilities\DownloadLogsFromS3.py --loco 4017 --day 2017-09-30</v>
      </c>
      <c r="AN180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0" t="str">
        <f t="shared" si="69"/>
        <v>https://d0f6bd738d7f1b3e5a7ca70fe4ff75f0.us-east-1.aws.found.io/app/kibana#/discover/Steve-Slow-Train-Analysis-(2080s-and-2083s)?_g=(refreshInterval:(display:Off,pause:!f,section:0,value:0),time:(from:'2017-09-30T13:28:14-0600',mode:absolute,to:'2017-09-30T15:55:20-0600'))&amp;_a=(columns:!('Message%20ID',Summary),filters:!(),index:'emp_*',interval:auto,query:(query_string:(analyze_wildcard:!t,query:'%22rtdc.l.rtdc.4017%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746</v>
      </c>
      <c r="B181" s="7">
        <v>4018</v>
      </c>
      <c r="C181" s="21" t="s">
        <v>195</v>
      </c>
      <c r="D181" s="21" t="s">
        <v>892</v>
      </c>
      <c r="E181" s="13">
        <v>43008.624224537038</v>
      </c>
      <c r="F181" s="13">
        <v>43008.631504629629</v>
      </c>
      <c r="G181" s="7">
        <v>68</v>
      </c>
      <c r="H181" s="21" t="s">
        <v>893</v>
      </c>
      <c r="I181" s="13">
        <v>43008.641608796293</v>
      </c>
      <c r="J181" s="7">
        <v>0</v>
      </c>
      <c r="K181" s="81" t="str">
        <f t="shared" si="53"/>
        <v>4017/4018</v>
      </c>
      <c r="L181" s="175" t="str">
        <f>VLOOKUP(A181,'Trips&amp;Operators'!$C$1:$G$99911,5,FALSE)</f>
        <v>SMITH MICHAEL</v>
      </c>
      <c r="M181" s="6">
        <f t="shared" si="54"/>
        <v>1.0104166663950309E-2</v>
      </c>
      <c r="N181" s="7">
        <f t="shared" si="84"/>
        <v>14.549999996088445</v>
      </c>
      <c r="O181" s="7"/>
      <c r="P181" s="7"/>
      <c r="Q181" s="22"/>
      <c r="R181" s="166"/>
      <c r="S181" s="228">
        <f t="shared" si="85"/>
        <v>1</v>
      </c>
      <c r="T181" s="166" t="str">
        <f t="shared" si="55"/>
        <v>NorthBound</v>
      </c>
      <c r="U181" s="21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4" t="str">
        <f t="shared" si="56"/>
        <v>https://d0f6bd738d7f1b3e5a7ca70fe4ff75f0.us-east-1.aws.found.io/app/kibana#/discover/Steve-Slow-Train-Analysis-(2080s-and-2083s)?_g=(refreshInterval:(display:Off,pause:!f,section:0,value:0),time:(from:'2017-09-30T13:58:53-0600',mode:absolute,to:'2017-09-30T16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1" s="215" t="str">
        <f>IF(AA181&lt;VLOOKUP(AG181,Variables!$AC$3:$AD$8,2,FALSE),"Y","N")</f>
        <v>N</v>
      </c>
      <c r="X181" s="215">
        <f t="shared" si="57"/>
        <v>1</v>
      </c>
      <c r="Y181" s="215">
        <f t="shared" si="82"/>
        <v>9.74E-2</v>
      </c>
      <c r="Z181" s="215">
        <f t="shared" si="83"/>
        <v>5.8945999999999996</v>
      </c>
      <c r="AA181" s="215">
        <f t="shared" si="60"/>
        <v>5.7971999999999992</v>
      </c>
      <c r="AB181" s="216" t="e">
        <f>VLOOKUP(A181,Enforcements!$C$7:$K$11,8,0)</f>
        <v>#N/A</v>
      </c>
      <c r="AC181" s="216" t="e">
        <f>VLOOKUP(A181,Enforcements!$C$7:$E$11,3,0)</f>
        <v>#N/A</v>
      </c>
      <c r="AD181" s="217">
        <f t="shared" si="61"/>
        <v>1819</v>
      </c>
      <c r="AE181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81" s="68" t="str">
        <f t="shared" si="63"/>
        <v>"C:\Program Files (x86)\AstroGrep\AstroGrep.exe" /e /r /s /spath="%USERPROFILE%\AppData\Local\Temp\OnboardLogs" /stypes="app*4018*20170930*" /stext=" 21:.+((SYSTEM_STATE.+slice.+state.+changed )|(ment ac)|(multiple cpu faults)|(system.+state.+changed )|(\[timeout)|(PRM\|1\|D)|(kpr)|(kdp)|(train st.+moving)|(\|lc)|(penalty))"</v>
      </c>
      <c r="AG181" s="172" t="str">
        <f t="shared" si="64"/>
        <v>NW</v>
      </c>
      <c r="AH181" s="70" t="str">
        <f t="shared" si="65"/>
        <v>"%USERPROFILE%\Documents\GitHub\eaglep3\Utilities\RefineRTDCRunTimes.py" --tripid 1819-30 --locoid 4018 --swversion DE.1.0.9.0 --startMP 204:974 --initTime 2017-09-30T14:58:53 --startdatetime 2017-09-30T15:09:22 --delay 68 --endMP 300:58946 --enddatetime 2017-09-30T15:23:55 --enforcementcount 0 &gt;&gt;c:\users\stu\Documents\GitHub\eaglep3-reporting\EC\2017-09-30-refined-times.txt</v>
      </c>
      <c r="AI181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{"issue":{"subject":"","project_id":79,"tracker_id":40,"status_id":1,"priority_id":2,"assigned_to_id":338,"start_date":"2017-09-30","description":"","custom_fields":[{"id":1,"name":"Subdivision","value":"NW"},{"id":4,"name":"Milepost","value":"5.8946"},{"id":17,"name":"Train ID","value":"1819-30"},{"id":16,"name":"Locomotive ID","value":"4018"},{"id":130,"name":"Impact","value":""},{"id":150,"name":"Time of Event (Mountain Time)","value":"15:23:55"},{"id":151,"name":"Denver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34" t="str">
        <f t="shared" si="67"/>
        <v>start /low /b %USERPROFILE%\Documents\GitHub\eaglep3\Utilities\DownloadLogsFromS3.py --loco 4018 --day 2017-09-30</v>
      </c>
      <c r="AN181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21:23:55"},{"id":29,"name":"Sharepoint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0" t="str">
        <f t="shared" si="69"/>
        <v>https://d0f6bd738d7f1b3e5a7ca70fe4ff75f0.us-east-1.aws.found.io/app/kibana#/discover/Steve-Slow-Train-Analysis-(2080s-and-2083s)?_g=(refreshInterval:(display:Off,pause:!f,section:0,value:0),time:(from:'2017-09-30T13:58:53-0600',mode:absolute,to:'2017-09-30T16:23:55-0600'))&amp;_a=(columns:!('Message%20ID',Summary),filters:!(),index:'emp_*',interval:auto,query:(query_string:(analyze_wildcard:!t,query:'%22rtdc.l.rtdc.4018%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751</v>
      </c>
      <c r="B182" s="7">
        <v>4017</v>
      </c>
      <c r="C182" s="21" t="s">
        <v>195</v>
      </c>
      <c r="D182" s="21" t="s">
        <v>894</v>
      </c>
      <c r="E182" s="13">
        <v>43008.643877314818</v>
      </c>
      <c r="F182" s="13">
        <v>43008.650196759256</v>
      </c>
      <c r="G182" s="7">
        <v>59</v>
      </c>
      <c r="H182" s="21" t="s">
        <v>895</v>
      </c>
      <c r="I182" s="13">
        <v>43008.664027777777</v>
      </c>
      <c r="J182" s="7">
        <v>0</v>
      </c>
      <c r="K182" s="81" t="str">
        <f t="shared" si="53"/>
        <v>4017/4018</v>
      </c>
      <c r="L182" s="175" t="str">
        <f>VLOOKUP(A182,'Trips&amp;Operators'!$C$1:$G$99911,5,FALSE)</f>
        <v>SMITH MICHAEL</v>
      </c>
      <c r="M182" s="6">
        <f t="shared" si="54"/>
        <v>1.3831018521159422E-2</v>
      </c>
      <c r="N182" s="7">
        <f t="shared" si="84"/>
        <v>19.916666670469567</v>
      </c>
      <c r="O182" s="7"/>
      <c r="P182" s="7"/>
      <c r="Q182" s="22"/>
      <c r="R182" s="166"/>
      <c r="S182" s="228">
        <f t="shared" si="85"/>
        <v>1</v>
      </c>
      <c r="T182" s="166" t="str">
        <f t="shared" si="55"/>
        <v>Southbound</v>
      </c>
      <c r="U182" s="21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4" t="str">
        <f t="shared" si="56"/>
        <v>https://d0f6bd738d7f1b3e5a7ca70fe4ff75f0.us-east-1.aws.found.io/app/kibana#/discover/Steve-Slow-Train-Analysis-(2080s-and-2083s)?_g=(refreshInterval:(display:Off,pause:!f,section:0,value:0),time:(from:'2017-09-30T14:27:11-0600',mode:absolute,to:'2017-09-30T16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2" s="215" t="str">
        <f>IF(AA182&lt;VLOOKUP(AG182,Variables!$AC$3:$AD$8,2,FALSE),"Y","N")</f>
        <v>N</v>
      </c>
      <c r="X182" s="215">
        <f t="shared" si="57"/>
        <v>1</v>
      </c>
      <c r="Y182" s="215">
        <f t="shared" si="82"/>
        <v>5.8635999999999999</v>
      </c>
      <c r="Z182" s="215">
        <f t="shared" si="83"/>
        <v>6.8199999999999997E-2</v>
      </c>
      <c r="AA182" s="215">
        <f t="shared" si="60"/>
        <v>5.7953999999999999</v>
      </c>
      <c r="AB182" s="216" t="e">
        <f>VLOOKUP(A182,Enforcements!$C$7:$K$11,8,0)</f>
        <v>#N/A</v>
      </c>
      <c r="AC182" s="216" t="e">
        <f>VLOOKUP(A182,Enforcements!$C$7:$E$11,3,0)</f>
        <v>#N/A</v>
      </c>
      <c r="AD182" s="217">
        <f t="shared" si="61"/>
        <v>1820</v>
      </c>
      <c r="AE182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82" s="68" t="str">
        <f t="shared" si="63"/>
        <v>"C:\Program Files (x86)\AstroGrep\AstroGrep.exe" /e /r /s /spath="%USERPROFILE%\AppData\Local\Temp\OnboardLogs" /stypes="app*4017*20170930*" /stext=" 21:.+((SYSTEM_STATE.+slice.+state.+changed )|(ment ac)|(multiple cpu faults)|(system.+state.+changed )|(\[timeout)|(PRM\|1\|D)|(kpr)|(kdp)|(train st.+moving)|(\|lc)|(penalty))"</v>
      </c>
      <c r="AG182" s="172" t="str">
        <f t="shared" si="64"/>
        <v>NW</v>
      </c>
      <c r="AH182" s="70" t="str">
        <f t="shared" si="65"/>
        <v>"%USERPROFILE%\Documents\GitHub\eaglep3\Utilities\RefineRTDCRunTimes.py" --tripid 1820-30 --locoid 4017 --swversion DE.1.0.9.0 --startMP 300:58636 --initTime 2017-09-30T15:27:11 --startdatetime 2017-09-30T15:36:17 --delay 59 --endMP 204:682 --enddatetime 2017-09-30T15:56:12 --enforcementcount 0 &gt;&gt;c:\users\stu\Documents\GitHub\eaglep3-reporting\EC\2017-09-30-refined-times.txt</v>
      </c>
      <c r="AI182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{"issue":{"subject":"","project_id":79,"tracker_id":40,"status_id":1,"priority_id":2,"assigned_to_id":338,"start_date":"2017-09-30","description":"","custom_fields":[{"id":1,"name":"Subdivision","value":"NW"},{"id":4,"name":"Milepost","value":"0.0682"},{"id":17,"name":"Train ID","value":"1820-30"},{"id":16,"name":"Locomotive ID","value":"4017"},{"id":130,"name":"Impact","value":""},{"id":150,"name":"Time of Event (Mountain Time)","value":"15:56:12"},{"id":151,"name":"Denver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34" t="str">
        <f t="shared" si="67"/>
        <v>start /low /b %USERPROFILE%\Documents\GitHub\eaglep3\Utilities\DownloadLogsFromS3.py --loco 4017 --day 2017-09-30</v>
      </c>
      <c r="AN182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21:56:12"},{"id":29,"name":"Sharepoint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0" t="str">
        <f t="shared" si="69"/>
        <v>https://d0f6bd738d7f1b3e5a7ca70fe4ff75f0.us-east-1.aws.found.io/app/kibana#/discover/Steve-Slow-Train-Analysis-(2080s-and-2083s)?_g=(refreshInterval:(display:Off,pause:!f,section:0,value:0),time:(from:'2017-09-30T14:27:11-0600',mode:absolute,to:'2017-09-30T16:56:12-0600'))&amp;_a=(columns:!('Message%20ID',Summary),filters:!(),index:'emp_*',interval:auto,query:(query_string:(analyze_wildcard:!t,query:'%22rtdc.l.rtdc.4017%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757</v>
      </c>
      <c r="B183" s="7">
        <v>4018</v>
      </c>
      <c r="C183" s="21" t="s">
        <v>195</v>
      </c>
      <c r="D183" s="21" t="s">
        <v>581</v>
      </c>
      <c r="E183" s="13">
        <v>43008.666273148148</v>
      </c>
      <c r="F183" s="13">
        <v>43008.673159722224</v>
      </c>
      <c r="G183" s="7">
        <v>105</v>
      </c>
      <c r="H183" s="21" t="s">
        <v>891</v>
      </c>
      <c r="I183" s="13">
        <v>43008.682800925926</v>
      </c>
      <c r="J183" s="7">
        <v>0</v>
      </c>
      <c r="K183" s="81" t="str">
        <f t="shared" si="53"/>
        <v>4017/4018</v>
      </c>
      <c r="L183" s="175" t="str">
        <f>VLOOKUP(A183,'Trips&amp;Operators'!$C$1:$G$99911,5,FALSE)</f>
        <v>SMITH MICHAEL</v>
      </c>
      <c r="M183" s="6">
        <f t="shared" si="54"/>
        <v>9.6412037019035779E-3</v>
      </c>
      <c r="N183" s="7">
        <f t="shared" si="84"/>
        <v>13.883333330741152</v>
      </c>
      <c r="O183" s="7"/>
      <c r="P183" s="7"/>
      <c r="Q183" s="22"/>
      <c r="R183" s="166"/>
      <c r="S183" s="228">
        <f t="shared" si="85"/>
        <v>1</v>
      </c>
      <c r="T183" s="166" t="str">
        <f t="shared" si="55"/>
        <v>NorthBound</v>
      </c>
      <c r="U183" s="21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4" t="str">
        <f t="shared" si="56"/>
        <v>https://d0f6bd738d7f1b3e5a7ca70fe4ff75f0.us-east-1.aws.found.io/app/kibana#/discover/Steve-Slow-Train-Analysis-(2080s-and-2083s)?_g=(refreshInterval:(display:Off,pause:!f,section:0,value:0),time:(from:'2017-09-30T14:59:26-0600',mode:absolute,to:'2017-09-30T17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3" s="215" t="str">
        <f>IF(AA183&lt;VLOOKUP(AG183,Variables!$AC$3:$AD$8,2,FALSE),"Y","N")</f>
        <v>N</v>
      </c>
      <c r="X183" s="215">
        <f t="shared" si="57"/>
        <v>1</v>
      </c>
      <c r="Y183" s="215">
        <f t="shared" si="82"/>
        <v>9.6500000000000002E-2</v>
      </c>
      <c r="Z183" s="215">
        <f t="shared" si="83"/>
        <v>5.8971</v>
      </c>
      <c r="AA183" s="215">
        <f t="shared" si="60"/>
        <v>5.8006000000000002</v>
      </c>
      <c r="AB183" s="216" t="e">
        <f>VLOOKUP(A183,Enforcements!$C$7:$K$11,8,0)</f>
        <v>#N/A</v>
      </c>
      <c r="AC183" s="216" t="e">
        <f>VLOOKUP(A183,Enforcements!$C$7:$E$11,3,0)</f>
        <v>#N/A</v>
      </c>
      <c r="AD183" s="217">
        <f t="shared" si="61"/>
        <v>1821</v>
      </c>
      <c r="AE183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83" s="68" t="str">
        <f t="shared" si="63"/>
        <v>"C:\Program Files (x86)\AstroGrep\AstroGrep.exe" /e /r /s /spath="%USERPROFILE%\AppData\Local\Temp\OnboardLogs" /stypes="app*4018*20170930*" /stext=" 22:.+((SYSTEM_STATE.+slice.+state.+changed )|(ment ac)|(multiple cpu faults)|(system.+state.+changed )|(\[timeout)|(PRM\|1\|D)|(kpr)|(kdp)|(train st.+moving)|(\|lc)|(penalty))"</v>
      </c>
      <c r="AG183" s="172" t="str">
        <f t="shared" si="64"/>
        <v>NW</v>
      </c>
      <c r="AH183" s="70" t="str">
        <f t="shared" si="65"/>
        <v>"%USERPROFILE%\Documents\GitHub\eaglep3\Utilities\RefineRTDCRunTimes.py" --tripid 1821-30 --locoid 4018 --swversion DE.1.0.9.0 --startMP 204:965 --initTime 2017-09-30T15:59:26 --startdatetime 2017-09-30T16:09:21 --delay 105 --endMP 300:58971 --enddatetime 2017-09-30T16:23:14 --enforcementcount 0 &gt;&gt;c:\users\stu\Documents\GitHub\eaglep3-reporting\EC\2017-09-30-refined-times.txt</v>
      </c>
      <c r="AI183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{"issue":{"subject":"","project_id":79,"tracker_id":40,"status_id":1,"priority_id":2,"assigned_to_id":338,"start_date":"2017-09-30","description":"","custom_fields":[{"id":1,"name":"Subdivision","value":"NW"},{"id":4,"name":"Milepost","value":"5.8971"},{"id":17,"name":"Train ID","value":"1821-30"},{"id":16,"name":"Locomotive ID","value":"4018"},{"id":130,"name":"Impact","value":""},{"id":150,"name":"Time of Event (Mountain Time)","value":"16:23:14"},{"id":151,"name":"Denver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34" t="str">
        <f t="shared" si="67"/>
        <v>start /low /b %USERPROFILE%\Documents\GitHub\eaglep3\Utilities\DownloadLogsFromS3.py --loco 4018 --day 2017-09-30</v>
      </c>
      <c r="AN183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22:23:14"},{"id":29,"name":"Sharepoint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0" t="str">
        <f t="shared" si="69"/>
        <v>https://d0f6bd738d7f1b3e5a7ca70fe4ff75f0.us-east-1.aws.found.io/app/kibana#/discover/Steve-Slow-Train-Analysis-(2080s-and-2083s)?_g=(refreshInterval:(display:Off,pause:!f,section:0,value:0),time:(from:'2017-09-30T14:59:26-0600',mode:absolute,to:'2017-09-30T17:23:14-0600'))&amp;_a=(columns:!('Message%20ID',Summary),filters:!(),index:'emp_*',interval:auto,query:(query_string:(analyze_wildcard:!t,query:'%22rtdc.l.rtdc.4018%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761</v>
      </c>
      <c r="B184" s="7">
        <v>4017</v>
      </c>
      <c r="C184" s="21" t="s">
        <v>195</v>
      </c>
      <c r="D184" s="21" t="s">
        <v>896</v>
      </c>
      <c r="E184" s="13">
        <v>43008.684201388889</v>
      </c>
      <c r="F184" s="13">
        <v>43008.691967592589</v>
      </c>
      <c r="G184" s="7">
        <v>89</v>
      </c>
      <c r="H184" s="21" t="s">
        <v>883</v>
      </c>
      <c r="I184" s="13">
        <v>43008.705324074072</v>
      </c>
      <c r="J184" s="7">
        <v>0</v>
      </c>
      <c r="K184" s="81" t="str">
        <f t="shared" si="53"/>
        <v>4017/4018</v>
      </c>
      <c r="L184" s="175" t="str">
        <f>VLOOKUP(A184,'Trips&amp;Operators'!$C$1:$G$99911,5,FALSE)</f>
        <v>SMITH MICHAEL</v>
      </c>
      <c r="M184" s="6">
        <f t="shared" si="54"/>
        <v>1.3356481482333038E-2</v>
      </c>
      <c r="N184" s="7">
        <f t="shared" si="84"/>
        <v>19.233333334559575</v>
      </c>
      <c r="O184" s="7"/>
      <c r="P184" s="7"/>
      <c r="Q184" s="22"/>
      <c r="R184" s="166"/>
      <c r="S184" s="228">
        <f t="shared" si="85"/>
        <v>1</v>
      </c>
      <c r="T184" s="166" t="str">
        <f t="shared" si="55"/>
        <v>Southbound</v>
      </c>
      <c r="U184" s="21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4" t="str">
        <f t="shared" si="56"/>
        <v>https://d0f6bd738d7f1b3e5a7ca70fe4ff75f0.us-east-1.aws.found.io/app/kibana#/discover/Steve-Slow-Train-Analysis-(2080s-and-2083s)?_g=(refreshInterval:(display:Off,pause:!f,section:0,value:0),time:(from:'2017-09-30T15:25:15-0600',mode:absolute,to:'2017-09-30T17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4" s="215" t="str">
        <f>IF(AA184&lt;VLOOKUP(AG184,Variables!$AC$3:$AD$8,2,FALSE),"Y","N")</f>
        <v>N</v>
      </c>
      <c r="X184" s="215">
        <f t="shared" si="57"/>
        <v>1</v>
      </c>
      <c r="Y184" s="215">
        <f t="shared" si="82"/>
        <v>5.8651</v>
      </c>
      <c r="Z184" s="215">
        <f t="shared" si="83"/>
        <v>6.7500000000000004E-2</v>
      </c>
      <c r="AA184" s="215">
        <f t="shared" si="60"/>
        <v>5.7976000000000001</v>
      </c>
      <c r="AB184" s="216" t="e">
        <f>VLOOKUP(A184,Enforcements!$C$7:$K$11,8,0)</f>
        <v>#N/A</v>
      </c>
      <c r="AC184" s="216" t="e">
        <f>VLOOKUP(A184,Enforcements!$C$7:$E$11,3,0)</f>
        <v>#N/A</v>
      </c>
      <c r="AD184" s="217">
        <f t="shared" si="61"/>
        <v>1822</v>
      </c>
      <c r="AE184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84" s="68" t="str">
        <f t="shared" si="63"/>
        <v>"C:\Program Files (x86)\AstroGrep\AstroGrep.exe" /e /r /s /spath="%USERPROFILE%\AppData\Local\Temp\OnboardLogs" /stypes="app*4017*20170930*" /stext=" 22:.+((SYSTEM_STATE.+slice.+state.+changed )|(ment ac)|(multiple cpu faults)|(system.+state.+changed )|(\[timeout)|(PRM\|1\|D)|(kpr)|(kdp)|(train st.+moving)|(\|lc)|(penalty))"</v>
      </c>
      <c r="AG184" s="172" t="str">
        <f t="shared" si="64"/>
        <v>NW</v>
      </c>
      <c r="AH184" s="70" t="str">
        <f t="shared" si="65"/>
        <v>"%USERPROFILE%\Documents\GitHub\eaglep3\Utilities\RefineRTDCRunTimes.py" --tripid 1822-30 --locoid 4017 --swversion DE.1.0.9.0 --startMP 300:58651 --initTime 2017-09-30T16:25:15 --startdatetime 2017-09-30T16:36:26 --delay 89 --endMP 204:675 --enddatetime 2017-09-30T16:55:40 --enforcementcount 0 &gt;&gt;c:\users\stu\Documents\GitHub\eaglep3-reporting\EC\2017-09-30-refined-times.txt</v>
      </c>
      <c r="AI184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{"issue":{"subject":"","project_id":79,"tracker_id":40,"status_id":1,"priority_id":2,"assigned_to_id":338,"start_date":"2017-09-30","description":"","custom_fields":[{"id":1,"name":"Subdivision","value":"NW"},{"id":4,"name":"Milepost","value":"0.0675"},{"id":17,"name":"Train ID","value":"1822-30"},{"id":16,"name":"Locomotive ID","value":"4017"},{"id":130,"name":"Impact","value":""},{"id":150,"name":"Time of Event (Mountain Time)","value":"16:55:40"},{"id":151,"name":"Denver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34" t="str">
        <f t="shared" si="67"/>
        <v>start /low /b %USERPROFILE%\Documents\GitHub\eaglep3\Utilities\DownloadLogsFromS3.py --loco 4017 --day 2017-09-30</v>
      </c>
      <c r="AN184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22:55:40"},{"id":29,"name":"Sharepoint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0" t="str">
        <f t="shared" si="69"/>
        <v>https://d0f6bd738d7f1b3e5a7ca70fe4ff75f0.us-east-1.aws.found.io/app/kibana#/discover/Steve-Slow-Train-Analysis-(2080s-and-2083s)?_g=(refreshInterval:(display:Off,pause:!f,section:0,value:0),time:(from:'2017-09-30T15:25:15-0600',mode:absolute,to:'2017-09-30T17:55:40-0600'))&amp;_a=(columns:!('Message%20ID',Summary),filters:!(),index:'emp_*',interval:auto,query:(query_string:(analyze_wildcard:!t,query:'%22rtdc.l.rtdc.4017%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767</v>
      </c>
      <c r="B185" s="7">
        <v>4018</v>
      </c>
      <c r="C185" s="21" t="s">
        <v>195</v>
      </c>
      <c r="D185" s="21" t="s">
        <v>577</v>
      </c>
      <c r="E185" s="13">
        <v>43008.708414351851</v>
      </c>
      <c r="F185" s="13">
        <v>43008.714826388888</v>
      </c>
      <c r="G185" s="7">
        <v>71</v>
      </c>
      <c r="H185" s="21" t="s">
        <v>473</v>
      </c>
      <c r="I185" s="13">
        <v>43008.724710648145</v>
      </c>
      <c r="J185" s="7">
        <v>0</v>
      </c>
      <c r="K185" s="81" t="str">
        <f t="shared" si="53"/>
        <v>4017/4018</v>
      </c>
      <c r="L185" s="175" t="str">
        <f>VLOOKUP(A185,'Trips&amp;Operators'!$C$1:$G$99911,5,FALSE)</f>
        <v>SMITH MICHAEL</v>
      </c>
      <c r="M185" s="6">
        <f t="shared" si="54"/>
        <v>9.8842592560686171E-3</v>
      </c>
      <c r="N185" s="7">
        <f t="shared" si="84"/>
        <v>14.233333328738809</v>
      </c>
      <c r="O185" s="7"/>
      <c r="P185" s="7"/>
      <c r="Q185" s="22"/>
      <c r="R185" s="166"/>
      <c r="S185" s="228">
        <f t="shared" si="85"/>
        <v>1</v>
      </c>
      <c r="T185" s="166" t="str">
        <f t="shared" si="55"/>
        <v>NorthBound</v>
      </c>
      <c r="U185" s="21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4" t="str">
        <f t="shared" si="56"/>
        <v>https://d0f6bd738d7f1b3e5a7ca70fe4ff75f0.us-east-1.aws.found.io/app/kibana#/discover/Steve-Slow-Train-Analysis-(2080s-and-2083s)?_g=(refreshInterval:(display:Off,pause:!f,section:0,value:0),time:(from:'2017-09-30T16:00:07-0600',mode:absolute,to:'2017-09-30T18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215" t="str">
        <f>IF(AA185&lt;VLOOKUP(AG185,Variables!$AC$3:$AD$8,2,FALSE),"Y","N")</f>
        <v>N</v>
      </c>
      <c r="X185" s="215">
        <f t="shared" si="57"/>
        <v>1</v>
      </c>
      <c r="Y185" s="215">
        <f t="shared" si="82"/>
        <v>9.6000000000000002E-2</v>
      </c>
      <c r="Z185" s="215">
        <f t="shared" si="83"/>
        <v>5.8963000000000001</v>
      </c>
      <c r="AA185" s="215">
        <f t="shared" si="60"/>
        <v>5.8003</v>
      </c>
      <c r="AB185" s="216" t="e">
        <f>VLOOKUP(A185,Enforcements!$C$7:$K$11,8,0)</f>
        <v>#N/A</v>
      </c>
      <c r="AC185" s="216" t="e">
        <f>VLOOKUP(A185,Enforcements!$C$7:$E$11,3,0)</f>
        <v>#N/A</v>
      </c>
      <c r="AD185" s="217">
        <f t="shared" si="61"/>
        <v>1823</v>
      </c>
      <c r="AE185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85" s="68" t="str">
        <f t="shared" si="63"/>
        <v>"C:\Program Files (x86)\AstroGrep\AstroGrep.exe" /e /r /s /spath="%USERPROFILE%\AppData\Local\Temp\OnboardLogs" /stypes="app*4018*20170930*" /stext=" 23:.+((SYSTEM_STATE.+slice.+state.+changed )|(ment ac)|(multiple cpu faults)|(system.+state.+changed )|(\[timeout)|(PRM\|1\|D)|(kpr)|(kdp)|(train st.+moving)|(\|lc)|(penalty))"</v>
      </c>
      <c r="AG185" s="172" t="str">
        <f t="shared" si="64"/>
        <v>NW</v>
      </c>
      <c r="AH185" s="70" t="str">
        <f t="shared" si="65"/>
        <v>"%USERPROFILE%\Documents\GitHub\eaglep3\Utilities\RefineRTDCRunTimes.py" --tripid 1823-30 --locoid 4018 --swversion DE.1.0.9.0 --startMP 204:960 --initTime 2017-09-30T17:00:07 --startdatetime 2017-09-30T17:09:21 --delay 71 --endMP 300:58963 --enddatetime 2017-09-30T17:23:35 --enforcementcount 0 &gt;&gt;c:\users\stu\Documents\GitHub\eaglep3-reporting\EC\2017-09-30-refined-times.txt</v>
      </c>
      <c r="AI185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{"issue":{"subject":"","project_id":79,"tracker_id":40,"status_id":1,"priority_id":2,"assigned_to_id":338,"start_date":"2017-09-30","description":"","custom_fields":[{"id":1,"name":"Subdivision","value":"NW"},{"id":4,"name":"Milepost","value":"5.8963"},{"id":17,"name":"Train ID","value":"1823-30"},{"id":16,"name":"Locomotive ID","value":"4018"},{"id":130,"name":"Impact","value":""},{"id":150,"name":"Time of Event (Mountain Time)","value":"17:23:35"},{"id":151,"name":"Denver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34" t="str">
        <f t="shared" si="67"/>
        <v>start /low /b %USERPROFILE%\Documents\GitHub\eaglep3\Utilities\DownloadLogsFromS3.py --loco 4018 --day 2017-09-30</v>
      </c>
      <c r="AN185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0" t="str">
        <f t="shared" si="69"/>
        <v>https://d0f6bd738d7f1b3e5a7ca70fe4ff75f0.us-east-1.aws.found.io/app/kibana#/discover/Steve-Slow-Train-Analysis-(2080s-and-2083s)?_g=(refreshInterval:(display:Off,pause:!f,section:0,value:0),time:(from:'2017-09-30T16:00:07-0600',mode:absolute,to:'2017-09-30T18:23:35-0600'))&amp;_a=(columns:!('Message%20ID',Summary),filters:!(),index:'emp_*',interval:auto,query:(query_string:(analyze_wildcard:!t,query:'%22rtdc.l.rtdc.4018%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774</v>
      </c>
      <c r="B186" s="7">
        <v>4017</v>
      </c>
      <c r="C186" s="21" t="s">
        <v>195</v>
      </c>
      <c r="D186" s="21" t="s">
        <v>897</v>
      </c>
      <c r="E186" s="13">
        <v>43008.728819444441</v>
      </c>
      <c r="F186" s="13">
        <v>43008.7341087963</v>
      </c>
      <c r="G186" s="7">
        <v>74</v>
      </c>
      <c r="H186" s="21" t="s">
        <v>579</v>
      </c>
      <c r="I186" s="13">
        <v>43008.746805555558</v>
      </c>
      <c r="J186" s="7">
        <v>0</v>
      </c>
      <c r="K186" s="81" t="str">
        <f t="shared" si="53"/>
        <v>4017/4018</v>
      </c>
      <c r="L186" s="175" t="str">
        <f>VLOOKUP(A186,'Trips&amp;Operators'!$C$1:$G$99911,5,FALSE)</f>
        <v>SMITH MICHAEL</v>
      </c>
      <c r="M186" s="6">
        <f t="shared" si="54"/>
        <v>1.2696759258687962E-2</v>
      </c>
      <c r="N186" s="7">
        <f t="shared" si="84"/>
        <v>18.283333332510665</v>
      </c>
      <c r="O186" s="7"/>
      <c r="P186" s="7"/>
      <c r="Q186" s="22"/>
      <c r="R186" s="166"/>
      <c r="S186" s="228">
        <f t="shared" si="85"/>
        <v>1</v>
      </c>
      <c r="T186" s="166" t="str">
        <f t="shared" si="55"/>
        <v>Southbound</v>
      </c>
      <c r="U186" s="21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4" t="str">
        <f t="shared" si="56"/>
        <v>https://d0f6bd738d7f1b3e5a7ca70fe4ff75f0.us-east-1.aws.found.io/app/kibana#/discover/Steve-Slow-Train-Analysis-(2080s-and-2083s)?_g=(refreshInterval:(display:Off,pause:!f,section:0,value:0),time:(from:'2017-09-30T16:29:30-0600',mode:absolute,to:'2017-09-30T18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215" t="str">
        <f>IF(AA186&lt;VLOOKUP(AG186,Variables!$AC$3:$AD$8,2,FALSE),"Y","N")</f>
        <v>N</v>
      </c>
      <c r="X186" s="215">
        <f t="shared" si="57"/>
        <v>1</v>
      </c>
      <c r="Y186" s="215">
        <f t="shared" si="82"/>
        <v>5.8647</v>
      </c>
      <c r="Z186" s="215">
        <f t="shared" si="83"/>
        <v>6.7799999999999999E-2</v>
      </c>
      <c r="AA186" s="215">
        <f t="shared" si="60"/>
        <v>5.7968999999999999</v>
      </c>
      <c r="AB186" s="216" t="e">
        <f>VLOOKUP(A186,Enforcements!$C$7:$K$11,8,0)</f>
        <v>#N/A</v>
      </c>
      <c r="AC186" s="216" t="e">
        <f>VLOOKUP(A186,Enforcements!$C$7:$E$11,3,0)</f>
        <v>#N/A</v>
      </c>
      <c r="AD186" s="217">
        <f t="shared" si="61"/>
        <v>1824</v>
      </c>
      <c r="AE186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86" s="68" t="str">
        <f t="shared" si="63"/>
        <v>"C:\Program Files (x86)\AstroGrep\AstroGrep.exe" /e /r /s /spath="%USERPROFILE%\AppData\Local\Temp\OnboardLogs" /stypes="app*4017*20170930*" /stext=" 23:.+((SYSTEM_STATE.+slice.+state.+changed )|(ment ac)|(multiple cpu faults)|(system.+state.+changed )|(\[timeout)|(PRM\|1\|D)|(kpr)|(kdp)|(train st.+moving)|(\|lc)|(penalty))"</v>
      </c>
      <c r="AG186" s="172" t="str">
        <f t="shared" si="64"/>
        <v>NW</v>
      </c>
      <c r="AH186" s="70" t="str">
        <f t="shared" si="65"/>
        <v>"%USERPROFILE%\Documents\GitHub\eaglep3\Utilities\RefineRTDCRunTimes.py" --tripid 1824-30 --locoid 4017 --swversion DE.1.0.9.0 --startMP 300:58647 --initTime 2017-09-30T17:29:30 --startdatetime 2017-09-30T17:37:07 --delay 74 --endMP 204:678 --enddatetime 2017-09-30T17:55:24 --enforcementcount 0 &gt;&gt;c:\users\stu\Documents\GitHub\eaglep3-reporting\EC\2017-09-30-refined-times.txt</v>
      </c>
      <c r="AI186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{"issue":{"subject":"","project_id":79,"tracker_id":40,"status_id":1,"priority_id":2,"assigned_to_id":338,"start_date":"2017-09-30","description":"","custom_fields":[{"id":1,"name":"Subdivision","value":"NW"},{"id":4,"name":"Milepost","value":"0.0678"},{"id":17,"name":"Train ID","value":"1824-30"},{"id":16,"name":"Locomotive ID","value":"4017"},{"id":130,"name":"Impact","value":""},{"id":150,"name":"Time of Event (Mountain Time)","value":"17:55:24"},{"id":151,"name":"Denver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34" t="str">
        <f t="shared" si="67"/>
        <v>start /low /b %USERPROFILE%\Documents\GitHub\eaglep3\Utilities\DownloadLogsFromS3.py --loco 4017 --day 2017-09-30</v>
      </c>
      <c r="AN186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0" t="str">
        <f t="shared" si="69"/>
        <v>https://d0f6bd738d7f1b3e5a7ca70fe4ff75f0.us-east-1.aws.found.io/app/kibana#/discover/Steve-Slow-Train-Analysis-(2080s-and-2083s)?_g=(refreshInterval:(display:Off,pause:!f,section:0,value:0),time:(from:'2017-09-30T16:29:30-0600',mode:absolute,to:'2017-09-30T18:55:24-0600'))&amp;_a=(columns:!('Message%20ID',Summary),filters:!(),index:'emp_*',interval:auto,query:(query_string:(analyze_wildcard:!t,query:'%22rtdc.l.rtdc.4017%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780</v>
      </c>
      <c r="B187" s="7">
        <v>4018</v>
      </c>
      <c r="C187" s="21" t="s">
        <v>195</v>
      </c>
      <c r="D187" s="21" t="s">
        <v>898</v>
      </c>
      <c r="E187" s="13">
        <v>43008.752465277779</v>
      </c>
      <c r="F187" s="13">
        <v>43008.756493055553</v>
      </c>
      <c r="G187" s="7">
        <v>72</v>
      </c>
      <c r="H187" s="21" t="s">
        <v>475</v>
      </c>
      <c r="I187" s="13">
        <v>43008.766319444447</v>
      </c>
      <c r="J187" s="7">
        <v>0</v>
      </c>
      <c r="K187" s="81" t="str">
        <f t="shared" si="53"/>
        <v>4017/4018</v>
      </c>
      <c r="L187" s="175" t="str">
        <f>VLOOKUP(A187,'Trips&amp;Operators'!$C$1:$G$99911,5,FALSE)</f>
        <v>SMITH MICHAEL</v>
      </c>
      <c r="M187" s="6">
        <f t="shared" si="54"/>
        <v>9.826388893998228E-3</v>
      </c>
      <c r="N187" s="7">
        <f t="shared" si="84"/>
        <v>14.150000007357448</v>
      </c>
      <c r="O187" s="7"/>
      <c r="P187" s="7"/>
      <c r="Q187" s="22"/>
      <c r="R187" s="166"/>
      <c r="S187" s="228">
        <f t="shared" si="85"/>
        <v>1</v>
      </c>
      <c r="T187" s="166" t="str">
        <f t="shared" si="55"/>
        <v>NorthBound</v>
      </c>
      <c r="U187" s="21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4" t="str">
        <f t="shared" si="56"/>
        <v>https://d0f6bd738d7f1b3e5a7ca70fe4ff75f0.us-east-1.aws.found.io/app/kibana#/discover/Steve-Slow-Train-Analysis-(2080s-and-2083s)?_g=(refreshInterval:(display:Off,pause:!f,section:0,value:0),time:(from:'2017-09-30T17:03:33-0600',mode:absolute,to:'2017-09-30T19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7" s="215" t="str">
        <f>IF(AA187&lt;VLOOKUP(AG187,Variables!$AC$3:$AD$8,2,FALSE),"Y","N")</f>
        <v>N</v>
      </c>
      <c r="X187" s="215">
        <f t="shared" si="57"/>
        <v>1</v>
      </c>
      <c r="Y187" s="215">
        <f t="shared" si="82"/>
        <v>9.7199999999999995E-2</v>
      </c>
      <c r="Z187" s="215">
        <f t="shared" si="83"/>
        <v>5.8944000000000001</v>
      </c>
      <c r="AA187" s="215">
        <f t="shared" si="60"/>
        <v>5.7972000000000001</v>
      </c>
      <c r="AB187" s="216" t="e">
        <f>VLOOKUP(A187,Enforcements!$C$7:$K$11,8,0)</f>
        <v>#N/A</v>
      </c>
      <c r="AC187" s="216" t="e">
        <f>VLOOKUP(A187,Enforcements!$C$7:$E$11,3,0)</f>
        <v>#N/A</v>
      </c>
      <c r="AD187" s="217">
        <f t="shared" si="61"/>
        <v>1825</v>
      </c>
      <c r="AE187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87" s="68" t="str">
        <f t="shared" si="63"/>
        <v>"C:\Program Files (x86)\AstroGrep\AstroGrep.exe" /e /r /s /spath="%USERPROFILE%\AppData\Local\Temp\OnboardLogs" /stypes="app*4018*20171001*" /stext=" 00:.+((SYSTEM_STATE.+slice.+state.+changed )|(ment ac)|(multiple cpu faults)|(system.+state.+changed )|(\[timeout)|(PRM\|1\|D)|(kpr)|(kdp)|(train st.+moving)|(\|lc)|(penalty))"</v>
      </c>
      <c r="AG187" s="172" t="str">
        <f t="shared" si="64"/>
        <v>NW</v>
      </c>
      <c r="AH187" s="70" t="str">
        <f t="shared" si="65"/>
        <v>"%USERPROFILE%\Documents\GitHub\eaglep3\Utilities\RefineRTDCRunTimes.py" --tripid 1825-30 --locoid 4018 --swversion DE.1.0.9.0 --startMP 204:972 --initTime 2017-09-30T18:03:33 --startdatetime 2017-09-30T18:09:21 --delay 72 --endMP 300:58944 --enddatetime 2017-09-30T18:23:30 --enforcementcount 0 &gt;&gt;c:\users\stu\Documents\GitHub\eaglep3-reporting\EC\2017-09-30-refined-times.txt</v>
      </c>
      <c r="AI187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{"issue":{"subject":"","project_id":79,"tracker_id":40,"status_id":1,"priority_id":2,"assigned_to_id":338,"start_date":"2017-09-30","description":"","custom_fields":[{"id":1,"name":"Subdivision","value":"NW"},{"id":4,"name":"Milepost","value":"5.8944"},{"id":17,"name":"Train ID","value":"1825-30"},{"id":16,"name":"Locomotive ID","value":"4018"},{"id":130,"name":"Impact","value":""},{"id":150,"name":"Time of Event (Mountain Time)","value":"18:23:30"},{"id":151,"name":"Denver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34" t="str">
        <f t="shared" si="67"/>
        <v>start /low /b %USERPROFILE%\Documents\GitHub\eaglep3\Utilities\DownloadLogsFromS3.py --loco 4018 --day 2017-09-30</v>
      </c>
      <c r="AN187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0" t="str">
        <f t="shared" si="69"/>
        <v>https://d0f6bd738d7f1b3e5a7ca70fe4ff75f0.us-east-1.aws.found.io/app/kibana#/discover/Steve-Slow-Train-Analysis-(2080s-and-2083s)?_g=(refreshInterval:(display:Off,pause:!f,section:0,value:0),time:(from:'2017-09-30T17:03:33-0600',mode:absolute,to:'2017-09-30T19:23:30-0600'))&amp;_a=(columns:!('Message%20ID',Summary),filters:!(),index:'emp_*',interval:auto,query:(query_string:(analyze_wildcard:!t,query:'%22rtdc.l.rtdc.4018%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785</v>
      </c>
      <c r="B188" s="7">
        <v>4017</v>
      </c>
      <c r="C188" s="21" t="s">
        <v>195</v>
      </c>
      <c r="D188" s="21" t="s">
        <v>899</v>
      </c>
      <c r="E188" s="13">
        <v>43008.768518518518</v>
      </c>
      <c r="F188" s="13">
        <v>43008.776018518518</v>
      </c>
      <c r="G188" s="7">
        <v>93</v>
      </c>
      <c r="H188" s="21" t="s">
        <v>573</v>
      </c>
      <c r="I188" s="13">
        <v>43008.788402777776</v>
      </c>
      <c r="J188" s="7">
        <v>0</v>
      </c>
      <c r="K188" s="81" t="str">
        <f t="shared" si="53"/>
        <v>4017/4018</v>
      </c>
      <c r="L188" s="175" t="str">
        <f>VLOOKUP(A188,'Trips&amp;Operators'!$C$1:$G$99911,5,FALSE)</f>
        <v>SMITH MICHAEL</v>
      </c>
      <c r="M188" s="6">
        <f t="shared" si="54"/>
        <v>1.2384259258396924E-2</v>
      </c>
      <c r="N188" s="7">
        <f t="shared" si="84"/>
        <v>17.83333333209157</v>
      </c>
      <c r="O188" s="7"/>
      <c r="P188" s="7"/>
      <c r="Q188" s="22"/>
      <c r="R188" s="166"/>
      <c r="S188" s="228">
        <f t="shared" si="85"/>
        <v>1</v>
      </c>
      <c r="T188" s="166" t="str">
        <f t="shared" si="55"/>
        <v>Southbound</v>
      </c>
      <c r="U188" s="21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4" t="str">
        <f t="shared" si="56"/>
        <v>https://d0f6bd738d7f1b3e5a7ca70fe4ff75f0.us-east-1.aws.found.io/app/kibana#/discover/Steve-Slow-Train-Analysis-(2080s-and-2083s)?_g=(refreshInterval:(display:Off,pause:!f,section:0,value:0),time:(from:'2017-09-30T17:26:40-0600',mode:absolute,to:'2017-09-30T19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8" s="215" t="str">
        <f>IF(AA188&lt;VLOOKUP(AG188,Variables!$AC$3:$AD$8,2,FALSE),"Y","N")</f>
        <v>N</v>
      </c>
      <c r="X188" s="215">
        <f t="shared" si="57"/>
        <v>1</v>
      </c>
      <c r="Y188" s="215">
        <f t="shared" si="82"/>
        <v>5.8628</v>
      </c>
      <c r="Z188" s="215">
        <f t="shared" si="83"/>
        <v>6.9199999999999998E-2</v>
      </c>
      <c r="AA188" s="215">
        <f t="shared" si="60"/>
        <v>5.7935999999999996</v>
      </c>
      <c r="AB188" s="216" t="e">
        <f>VLOOKUP(A188,Enforcements!$C$7:$K$11,8,0)</f>
        <v>#N/A</v>
      </c>
      <c r="AC188" s="216" t="e">
        <f>VLOOKUP(A188,Enforcements!$C$7:$E$11,3,0)</f>
        <v>#N/A</v>
      </c>
      <c r="AD188" s="217">
        <f t="shared" si="61"/>
        <v>1826</v>
      </c>
      <c r="AE188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88" s="68" t="str">
        <f t="shared" si="63"/>
        <v>"C:\Program Files (x86)\AstroGrep\AstroGrep.exe" /e /r /s /spath="%USERPROFILE%\AppData\Local\Temp\OnboardLogs" /stypes="app*4017*20171001*" /stext=" 00:.+((SYSTEM_STATE.+slice.+state.+changed )|(ment ac)|(multiple cpu faults)|(system.+state.+changed )|(\[timeout)|(PRM\|1\|D)|(kpr)|(kdp)|(train st.+moving)|(\|lc)|(penalty))"</v>
      </c>
      <c r="AG188" s="172" t="str">
        <f t="shared" si="64"/>
        <v>NW</v>
      </c>
      <c r="AH188" s="70" t="str">
        <f t="shared" si="65"/>
        <v>"%USERPROFILE%\Documents\GitHub\eaglep3\Utilities\RefineRTDCRunTimes.py" --tripid 1826-30 --locoid 4017 --swversion DE.1.0.9.0 --startMP 300:58628 --initTime 2017-09-30T18:26:40 --startdatetime 2017-09-30T18:37:28 --delay 93 --endMP 204:692 --enddatetime 2017-09-30T18:55:18 --enforcementcount 0 &gt;&gt;c:\users\stu\Documents\GitHub\eaglep3-reporting\EC\2017-09-30-refined-times.txt</v>
      </c>
      <c r="AI188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{"issue":{"subject":"","project_id":79,"tracker_id":40,"status_id":1,"priority_id":2,"assigned_to_id":338,"start_date":"2017-09-30","description":"","custom_fields":[{"id":1,"name":"Subdivision","value":"NW"},{"id":4,"name":"Milepost","value":"0.0692"},{"id":17,"name":"Train ID","value":"1826-30"},{"id":16,"name":"Locomotive ID","value":"4017"},{"id":130,"name":"Impact","value":""},{"id":150,"name":"Time of Event (Mountain Time)","value":"18:55:18"},{"id":151,"name":"Denver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34" t="str">
        <f t="shared" si="67"/>
        <v>start /low /b %USERPROFILE%\Documents\GitHub\eaglep3\Utilities\DownloadLogsFromS3.py --loco 4017 --day 2017-09-30</v>
      </c>
      <c r="AN188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0" t="str">
        <f t="shared" si="69"/>
        <v>https://d0f6bd738d7f1b3e5a7ca70fe4ff75f0.us-east-1.aws.found.io/app/kibana#/discover/Steve-Slow-Train-Analysis-(2080s-and-2083s)?_g=(refreshInterval:(display:Off,pause:!f,section:0,value:0),time:(from:'2017-09-30T17:26:40-0600',mode:absolute,to:'2017-09-30T19:55:18-0600'))&amp;_a=(columns:!('Message%20ID',Summary),filters:!(),index:'emp_*',interval:auto,query:(query_string:(analyze_wildcard:!t,query:'%22rtdc.l.rtdc.4017%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791</v>
      </c>
      <c r="B189" s="7">
        <v>4018</v>
      </c>
      <c r="C189" s="21" t="s">
        <v>195</v>
      </c>
      <c r="D189" s="21" t="s">
        <v>900</v>
      </c>
      <c r="E189" s="13">
        <v>43008.791886574072</v>
      </c>
      <c r="F189" s="13">
        <v>43008.798159722224</v>
      </c>
      <c r="G189" s="7">
        <v>77</v>
      </c>
      <c r="H189" s="21" t="s">
        <v>582</v>
      </c>
      <c r="I189" s="13">
        <v>43008.807789351849</v>
      </c>
      <c r="J189" s="7">
        <v>0</v>
      </c>
      <c r="K189" s="81" t="str">
        <f t="shared" si="53"/>
        <v>4017/4018</v>
      </c>
      <c r="L189" s="175" t="str">
        <f>VLOOKUP(A189,'Trips&amp;Operators'!$C$1:$G$99911,5,FALSE)</f>
        <v>SMITH MICHAEL</v>
      </c>
      <c r="M189" s="6">
        <f t="shared" si="54"/>
        <v>9.6296296251239255E-3</v>
      </c>
      <c r="N189" s="7">
        <f t="shared" si="84"/>
        <v>13.866666660178453</v>
      </c>
      <c r="O189" s="7"/>
      <c r="P189" s="7"/>
      <c r="Q189" s="22"/>
      <c r="R189" s="166"/>
      <c r="S189" s="228">
        <f t="shared" si="85"/>
        <v>1</v>
      </c>
      <c r="T189" s="166" t="str">
        <f t="shared" si="55"/>
        <v>NorthBound</v>
      </c>
      <c r="U189" s="21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4" t="str">
        <f t="shared" si="56"/>
        <v>https://d0f6bd738d7f1b3e5a7ca70fe4ff75f0.us-east-1.aws.found.io/app/kibana#/discover/Steve-Slow-Train-Analysis-(2080s-and-2083s)?_g=(refreshInterval:(display:Off,pause:!f,section:0,value:0),time:(from:'2017-09-30T18:00:19-0600',mode:absolute,to:'2017-09-30T20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215" t="str">
        <f>IF(AA189&lt;VLOOKUP(AG189,Variables!$AC$3:$AD$8,2,FALSE),"Y","N")</f>
        <v>N</v>
      </c>
      <c r="X189" s="215">
        <f t="shared" si="57"/>
        <v>1</v>
      </c>
      <c r="Y189" s="215">
        <f t="shared" si="82"/>
        <v>9.5699999999999993E-2</v>
      </c>
      <c r="Z189" s="215">
        <f t="shared" si="83"/>
        <v>5.8930999999999996</v>
      </c>
      <c r="AA189" s="215">
        <f t="shared" si="60"/>
        <v>5.7973999999999997</v>
      </c>
      <c r="AB189" s="216" t="e">
        <f>VLOOKUP(A189,Enforcements!$C$7:$K$11,8,0)</f>
        <v>#N/A</v>
      </c>
      <c r="AC189" s="216" t="e">
        <f>VLOOKUP(A189,Enforcements!$C$7:$E$11,3,0)</f>
        <v>#N/A</v>
      </c>
      <c r="AD189" s="217">
        <f t="shared" si="61"/>
        <v>1827</v>
      </c>
      <c r="AE189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89" s="68" t="str">
        <f t="shared" si="63"/>
        <v>"C:\Program Files (x86)\AstroGrep\AstroGrep.exe" /e /r /s /spath="%USERPROFILE%\AppData\Local\Temp\OnboardLogs" /stypes="app*4018*20171001*" /stext=" 01:.+((SYSTEM_STATE.+slice.+state.+changed )|(ment ac)|(multiple cpu faults)|(system.+state.+changed )|(\[timeout)|(PRM\|1\|D)|(kpr)|(kdp)|(train st.+moving)|(\|lc)|(penalty))"</v>
      </c>
      <c r="AG189" s="172" t="str">
        <f t="shared" si="64"/>
        <v>NW</v>
      </c>
      <c r="AH189" s="70" t="str">
        <f t="shared" si="65"/>
        <v>"%USERPROFILE%\Documents\GitHub\eaglep3\Utilities\RefineRTDCRunTimes.py" --tripid 1827-30 --locoid 4018 --swversion DE.1.0.9.0 --startMP 204:957 --initTime 2017-09-30T19:00:19 --startdatetime 2017-09-30T19:09:21 --delay 77 --endMP 300:58931 --enddatetime 2017-09-30T19:23:13 --enforcementcount 0 &gt;&gt;c:\users\stu\Documents\GitHub\eaglep3-reporting\EC\2017-09-30-refined-times.txt</v>
      </c>
      <c r="AI189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{"issue":{"subject":"","project_id":79,"tracker_id":40,"status_id":1,"priority_id":2,"assigned_to_id":338,"start_date":"2017-09-30","description":"","custom_fields":[{"id":1,"name":"Subdivision","value":"NW"},{"id":4,"name":"Milepost","value":"5.8931"},{"id":17,"name":"Train ID","value":"1827-30"},{"id":16,"name":"Locomotive ID","value":"4018"},{"id":130,"name":"Impact","value":""},{"id":150,"name":"Time of Event (Mountain Time)","value":"19:23:13"},{"id":151,"name":"Denver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34" t="str">
        <f t="shared" si="67"/>
        <v>start /low /b %USERPROFILE%\Documents\GitHub\eaglep3\Utilities\DownloadLogsFromS3.py --loco 4018 --day 2017-09-30</v>
      </c>
      <c r="AN189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01:23:13"},{"id":29,"name":"Sharepoint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0" t="str">
        <f t="shared" si="69"/>
        <v>https://d0f6bd738d7f1b3e5a7ca70fe4ff75f0.us-east-1.aws.found.io/app/kibana#/discover/Steve-Slow-Train-Analysis-(2080s-and-2083s)?_g=(refreshInterval:(display:Off,pause:!f,section:0,value:0),time:(from:'2017-09-30T18:00:19-0600',mode:absolute,to:'2017-09-30T20:23:13-0600'))&amp;_a=(columns:!('Message%20ID',Summary),filters:!(),index:'emp_*',interval:auto,query:(query_string:(analyze_wildcard:!t,query:'%22rtdc.l.rtdc.4018%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794</v>
      </c>
      <c r="B190" s="7">
        <v>4017</v>
      </c>
      <c r="C190" s="21" t="s">
        <v>195</v>
      </c>
      <c r="D190" s="21" t="s">
        <v>497</v>
      </c>
      <c r="E190" s="13">
        <v>43008.809513888889</v>
      </c>
      <c r="F190" s="13">
        <v>43008.817685185182</v>
      </c>
      <c r="G190" s="7">
        <v>85</v>
      </c>
      <c r="H190" s="21" t="s">
        <v>583</v>
      </c>
      <c r="I190" s="13">
        <v>43008.830127314817</v>
      </c>
      <c r="J190" s="7">
        <v>0</v>
      </c>
      <c r="K190" s="81" t="str">
        <f t="shared" si="53"/>
        <v>4017/4018</v>
      </c>
      <c r="L190" s="175" t="str">
        <f>VLOOKUP(A190,'Trips&amp;Operators'!$C$1:$G$99911,5,FALSE)</f>
        <v>SMITH MICHAEL</v>
      </c>
      <c r="M190" s="6">
        <f t="shared" si="54"/>
        <v>1.2442129635019228E-2</v>
      </c>
      <c r="N190" s="7">
        <f t="shared" si="84"/>
        <v>17.916666674427688</v>
      </c>
      <c r="O190" s="7"/>
      <c r="P190" s="7"/>
      <c r="Q190" s="22"/>
      <c r="R190" s="166"/>
      <c r="S190" s="228">
        <f t="shared" si="85"/>
        <v>1</v>
      </c>
      <c r="T190" s="166" t="str">
        <f t="shared" si="55"/>
        <v>Southbound</v>
      </c>
      <c r="U190" s="21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4" t="str">
        <f t="shared" si="56"/>
        <v>https://d0f6bd738d7f1b3e5a7ca70fe4ff75f0.us-east-1.aws.found.io/app/kibana#/discover/Steve-Slow-Train-Analysis-(2080s-and-2083s)?_g=(refreshInterval:(display:Off,pause:!f,section:0,value:0),time:(from:'2017-09-30T18:25:42-0600',mode:absolute,to:'2017-09-30T20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215" t="str">
        <f>IF(AA190&lt;VLOOKUP(AG190,Variables!$AC$3:$AD$8,2,FALSE),"Y","N")</f>
        <v>N</v>
      </c>
      <c r="X190" s="215">
        <f t="shared" si="57"/>
        <v>1</v>
      </c>
      <c r="Y190" s="215">
        <f t="shared" si="82"/>
        <v>5.8613</v>
      </c>
      <c r="Z190" s="215">
        <f t="shared" si="83"/>
        <v>7.1900000000000006E-2</v>
      </c>
      <c r="AA190" s="215">
        <f t="shared" si="60"/>
        <v>5.7893999999999997</v>
      </c>
      <c r="AB190" s="216" t="e">
        <f>VLOOKUP(A190,Enforcements!$C$7:$K$11,8,0)</f>
        <v>#N/A</v>
      </c>
      <c r="AC190" s="216" t="e">
        <f>VLOOKUP(A190,Enforcements!$C$7:$E$11,3,0)</f>
        <v>#N/A</v>
      </c>
      <c r="AD190" s="217">
        <f t="shared" si="61"/>
        <v>1828</v>
      </c>
      <c r="AE190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90" s="68" t="str">
        <f t="shared" si="63"/>
        <v>"C:\Program Files (x86)\AstroGrep\AstroGrep.exe" /e /r /s /spath="%USERPROFILE%\AppData\Local\Temp\OnboardLogs" /stypes="app*4017*20171001*" /stext=" 01:.+((SYSTEM_STATE.+slice.+state.+changed )|(ment ac)|(multiple cpu faults)|(system.+state.+changed )|(\[timeout)|(PRM\|1\|D)|(kpr)|(kdp)|(train st.+moving)|(\|lc)|(penalty))"</v>
      </c>
      <c r="AG190" s="172" t="str">
        <f t="shared" si="64"/>
        <v>NW</v>
      </c>
      <c r="AH190" s="70" t="str">
        <f t="shared" si="65"/>
        <v>"%USERPROFILE%\Documents\GitHub\eaglep3\Utilities\RefineRTDCRunTimes.py" --tripid 1828-30 --locoid 4017 --swversion DE.1.0.9.0 --startMP 300:58613 --initTime 2017-09-30T19:25:42 --startdatetime 2017-09-30T19:37:28 --delay 85 --endMP 204:719 --enddatetime 2017-09-30T19:55:23 --enforcementcount 0 &gt;&gt;c:\users\stu\Documents\GitHub\eaglep3-reporting\EC\2017-09-30-refined-times.txt</v>
      </c>
      <c r="AI190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{"issue":{"subject":"","project_id":79,"tracker_id":40,"status_id":1,"priority_id":2,"assigned_to_id":338,"start_date":"2017-09-30","description":"","custom_fields":[{"id":1,"name":"Subdivision","value":"NW"},{"id":4,"name":"Milepost","value":"0.0719"},{"id":17,"name":"Train ID","value":"1828-30"},{"id":16,"name":"Locomotive ID","value":"4017"},{"id":130,"name":"Impact","value":""},{"id":150,"name":"Time of Event (Mountain Time)","value":"19:55:23"},{"id":151,"name":"Denver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34" t="str">
        <f t="shared" si="67"/>
        <v>start /low /b %USERPROFILE%\Documents\GitHub\eaglep3\Utilities\DownloadLogsFromS3.py --loco 4017 --day 2017-09-30</v>
      </c>
      <c r="AN190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01:55:23"},{"id":29,"name":"Sharepoint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0" t="str">
        <f t="shared" si="69"/>
        <v>https://d0f6bd738d7f1b3e5a7ca70fe4ff75f0.us-east-1.aws.found.io/app/kibana#/discover/Steve-Slow-Train-Analysis-(2080s-and-2083s)?_g=(refreshInterval:(display:Off,pause:!f,section:0,value:0),time:(from:'2017-09-30T18:25:42-0600',mode:absolute,to:'2017-09-30T20:55:23-0600'))&amp;_a=(columns:!('Message%20ID',Summary),filters:!(),index:'emp_*',interval:auto,query:(query_string:(analyze_wildcard:!t,query:'%22rtdc.l.rtdc.4017%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798</v>
      </c>
      <c r="B191" s="7">
        <v>4018</v>
      </c>
      <c r="C191" s="21" t="s">
        <v>195</v>
      </c>
      <c r="D191" s="21" t="s">
        <v>574</v>
      </c>
      <c r="E191" s="13">
        <v>43008.836608796293</v>
      </c>
      <c r="F191" s="13">
        <v>43008.839803240742</v>
      </c>
      <c r="G191" s="7">
        <v>66</v>
      </c>
      <c r="H191" s="21" t="s">
        <v>875</v>
      </c>
      <c r="I191" s="13">
        <v>43008.84952546296</v>
      </c>
      <c r="J191" s="7">
        <v>0</v>
      </c>
      <c r="K191" s="81" t="str">
        <f t="shared" si="53"/>
        <v>4017/4018</v>
      </c>
      <c r="L191" s="175" t="str">
        <f>VLOOKUP(A191,'Trips&amp;Operators'!$C$1:$G$99911,5,FALSE)</f>
        <v>SMITH MICHAEL</v>
      </c>
      <c r="M191" s="6">
        <f t="shared" si="54"/>
        <v>9.7222222175332718E-3</v>
      </c>
      <c r="N191" s="7">
        <f t="shared" si="84"/>
        <v>13.999999993247911</v>
      </c>
      <c r="O191" s="7"/>
      <c r="P191" s="7"/>
      <c r="Q191" s="22"/>
      <c r="R191" s="166"/>
      <c r="S191" s="228">
        <f t="shared" si="85"/>
        <v>1</v>
      </c>
      <c r="T191" s="166" t="str">
        <f t="shared" si="55"/>
        <v>NorthBound</v>
      </c>
      <c r="U191" s="21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4" t="str">
        <f t="shared" si="56"/>
        <v>https://d0f6bd738d7f1b3e5a7ca70fe4ff75f0.us-east-1.aws.found.io/app/kibana#/discover/Steve-Slow-Train-Analysis-(2080s-and-2083s)?_g=(refreshInterval:(display:Off,pause:!f,section:0,value:0),time:(from:'2017-09-30T19:04:43-0600',mode:absolute,to:'2017-09-30T21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1" s="215" t="str">
        <f>IF(AA191&lt;VLOOKUP(AG191,Variables!$AC$3:$AD$8,2,FALSE),"Y","N")</f>
        <v>N</v>
      </c>
      <c r="X191" s="215">
        <f t="shared" si="57"/>
        <v>1</v>
      </c>
      <c r="Y191" s="215">
        <f t="shared" si="82"/>
        <v>9.9900000000000003E-2</v>
      </c>
      <c r="Z191" s="215">
        <f t="shared" si="83"/>
        <v>5.8979999999999997</v>
      </c>
      <c r="AA191" s="215">
        <f t="shared" si="60"/>
        <v>5.7980999999999998</v>
      </c>
      <c r="AB191" s="216" t="e">
        <f>VLOOKUP(A191,Enforcements!$C$7:$K$11,8,0)</f>
        <v>#N/A</v>
      </c>
      <c r="AC191" s="216" t="e">
        <f>VLOOKUP(A191,Enforcements!$C$7:$E$11,3,0)</f>
        <v>#N/A</v>
      </c>
      <c r="AD191" s="217">
        <f t="shared" si="61"/>
        <v>1829</v>
      </c>
      <c r="AE191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91" s="68" t="str">
        <f t="shared" si="63"/>
        <v>"C:\Program Files (x86)\AstroGrep\AstroGrep.exe" /e /r /s /spath="%USERPROFILE%\AppData\Local\Temp\OnboardLogs" /stypes="app*4018*20171001*" /stext=" 02:.+((SYSTEM_STATE.+slice.+state.+changed )|(ment ac)|(multiple cpu faults)|(system.+state.+changed )|(\[timeout)|(PRM\|1\|D)|(kpr)|(kdp)|(train st.+moving)|(\|lc)|(penalty))"</v>
      </c>
      <c r="AG191" s="172" t="str">
        <f t="shared" si="64"/>
        <v>NW</v>
      </c>
      <c r="AH191" s="70" t="str">
        <f t="shared" si="65"/>
        <v>"%USERPROFILE%\Documents\GitHub\eaglep3\Utilities\RefineRTDCRunTimes.py" --tripid 1829-30 --locoid 4018 --swversion DE.1.0.9.0 --startMP 204:999 --initTime 2017-09-30T20:04:43 --startdatetime 2017-09-30T20:09:19 --delay 66 --endMP 300:58980 --enddatetime 2017-09-30T20:23:19 --enforcementcount 0 &gt;&gt;c:\users\stu\Documents\GitHub\eaglep3-reporting\EC\2017-09-30-refined-times.txt</v>
      </c>
      <c r="AI191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{"issue":{"subject":"","project_id":79,"tracker_id":40,"status_id":1,"priority_id":2,"assigned_to_id":338,"start_date":"2017-09-30","description":"","custom_fields":[{"id":1,"name":"Subdivision","value":"NW"},{"id":4,"name":"Milepost","value":"5.898"},{"id":17,"name":"Train ID","value":"1829-30"},{"id":16,"name":"Locomotive ID","value":"4018"},{"id":130,"name":"Impact","value":""},{"id":150,"name":"Time of Event (Mountain Time)","value":"20:23:19"},{"id":151,"name":"Denver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34" t="str">
        <f t="shared" si="67"/>
        <v>start /low /b %USERPROFILE%\Documents\GitHub\eaglep3\Utilities\DownloadLogsFromS3.py --loco 4018 --day 2017-09-30</v>
      </c>
      <c r="AN191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0" t="str">
        <f t="shared" si="69"/>
        <v>https://d0f6bd738d7f1b3e5a7ca70fe4ff75f0.us-east-1.aws.found.io/app/kibana#/discover/Steve-Slow-Train-Analysis-(2080s-and-2083s)?_g=(refreshInterval:(display:Off,pause:!f,section:0,value:0),time:(from:'2017-09-30T19:04:43-0600',mode:absolute,to:'2017-09-30T21:23:19-0600'))&amp;_a=(columns:!('Message%20ID',Summary),filters:!(),index:'emp_*',interval:auto,query:(query_string:(analyze_wildcard:!t,query:'%22rtdc.l.rtdc.4018%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800</v>
      </c>
      <c r="B192" s="7">
        <v>4017</v>
      </c>
      <c r="C192" s="21" t="s">
        <v>195</v>
      </c>
      <c r="D192" s="21" t="s">
        <v>902</v>
      </c>
      <c r="E192" s="13">
        <v>43008.851145833331</v>
      </c>
      <c r="F192" s="13">
        <v>43008.858715277776</v>
      </c>
      <c r="G192" s="7">
        <v>63</v>
      </c>
      <c r="H192" s="21" t="s">
        <v>573</v>
      </c>
      <c r="I192" s="13">
        <v>43008.871782407405</v>
      </c>
      <c r="J192" s="7">
        <v>0</v>
      </c>
      <c r="K192" s="81" t="str">
        <f t="shared" si="53"/>
        <v>4017/4018</v>
      </c>
      <c r="L192" s="175" t="str">
        <f>VLOOKUP(A192,'Trips&amp;Operators'!$C$1:$G$99911,5,FALSE)</f>
        <v>SMITH MICHAEL</v>
      </c>
      <c r="M192" s="6">
        <f t="shared" si="54"/>
        <v>1.3067129628325347E-2</v>
      </c>
      <c r="N192" s="7">
        <f t="shared" si="84"/>
        <v>18.816666664788499</v>
      </c>
      <c r="O192" s="7"/>
      <c r="P192" s="7"/>
      <c r="Q192" s="22"/>
      <c r="R192" s="166"/>
      <c r="S192" s="228">
        <f t="shared" si="85"/>
        <v>1</v>
      </c>
      <c r="T192" s="166" t="str">
        <f t="shared" si="55"/>
        <v>Southbound</v>
      </c>
      <c r="U192" s="21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4" t="str">
        <f t="shared" si="56"/>
        <v>https://d0f6bd738d7f1b3e5a7ca70fe4ff75f0.us-east-1.aws.found.io/app/kibana#/discover/Steve-Slow-Train-Analysis-(2080s-and-2083s)?_g=(refreshInterval:(display:Off,pause:!f,section:0,value:0),time:(from:'2017-09-30T19:25:39-0600',mode:absolute,to:'2017-09-30T21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2" s="215" t="str">
        <f>IF(AA192&lt;VLOOKUP(AG192,Variables!$AC$3:$AD$8,2,FALSE),"Y","N")</f>
        <v>N</v>
      </c>
      <c r="X192" s="215">
        <f t="shared" si="57"/>
        <v>1</v>
      </c>
      <c r="Y192" s="215">
        <f t="shared" si="82"/>
        <v>5.8654999999999999</v>
      </c>
      <c r="Z192" s="215">
        <f t="shared" si="83"/>
        <v>6.9199999999999998E-2</v>
      </c>
      <c r="AA192" s="215">
        <f t="shared" si="60"/>
        <v>5.7962999999999996</v>
      </c>
      <c r="AB192" s="216" t="e">
        <f>VLOOKUP(A192,Enforcements!$C$7:$K$11,8,0)</f>
        <v>#N/A</v>
      </c>
      <c r="AC192" s="216" t="e">
        <f>VLOOKUP(A192,Enforcements!$C$7:$E$11,3,0)</f>
        <v>#N/A</v>
      </c>
      <c r="AD192" s="217">
        <f t="shared" si="61"/>
        <v>1830</v>
      </c>
      <c r="AE192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92" s="68" t="str">
        <f t="shared" si="63"/>
        <v>"C:\Program Files (x86)\AstroGrep\AstroGrep.exe" /e /r /s /spath="%USERPROFILE%\AppData\Local\Temp\OnboardLogs" /stypes="app*4017*20171001*" /stext=" 02:.+((SYSTEM_STATE.+slice.+state.+changed )|(ment ac)|(multiple cpu faults)|(system.+state.+changed )|(\[timeout)|(PRM\|1\|D)|(kpr)|(kdp)|(train st.+moving)|(\|lc)|(penalty))"</v>
      </c>
      <c r="AG192" s="172" t="str">
        <f t="shared" si="64"/>
        <v>NW</v>
      </c>
      <c r="AH192" s="70" t="str">
        <f t="shared" si="65"/>
        <v>"%USERPROFILE%\Documents\GitHub\eaglep3\Utilities\RefineRTDCRunTimes.py" --tripid 1830-30 --locoid 4017 --swversion DE.1.0.9.0 --startMP 300:58655 --initTime 2017-09-30T20:25:39 --startdatetime 2017-09-30T20:36:33 --delay 63 --endMP 204:692 --enddatetime 2017-09-30T20:55:22 --enforcementcount 0 &gt;&gt;c:\users\stu\Documents\GitHub\eaglep3-reporting\EC\2017-09-30-refined-times.txt</v>
      </c>
      <c r="AI192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{"issue":{"subject":"","project_id":79,"tracker_id":40,"status_id":1,"priority_id":2,"assigned_to_id":338,"start_date":"2017-09-30","description":"","custom_fields":[{"id":1,"name":"Subdivision","value":"NW"},{"id":4,"name":"Milepost","value":"0.0692"},{"id":17,"name":"Train ID","value":"1830-30"},{"id":16,"name":"Locomotive ID","value":"4017"},{"id":130,"name":"Impact","value":""},{"id":150,"name":"Time of Event (Mountain Time)","value":"20:55:22"},{"id":151,"name":"Denver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34" t="str">
        <f t="shared" si="67"/>
        <v>start /low /b %USERPROFILE%\Documents\GitHub\eaglep3\Utilities\DownloadLogsFromS3.py --loco 4017 --day 2017-09-30</v>
      </c>
      <c r="AN192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02:55:22"},{"id":29,"name":"Sharepoint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0" t="str">
        <f t="shared" si="69"/>
        <v>https://d0f6bd738d7f1b3e5a7ca70fe4ff75f0.us-east-1.aws.found.io/app/kibana#/discover/Steve-Slow-Train-Analysis-(2080s-and-2083s)?_g=(refreshInterval:(display:Off,pause:!f,section:0,value:0),time:(from:'2017-09-30T19:25:39-0600',mode:absolute,to:'2017-09-30T21:55:22-0600'))&amp;_a=(columns:!('Message%20ID',Summary),filters:!(),index:'emp_*',interval:auto,query:(query_string:(analyze_wildcard:!t,query:'%22rtdc.l.rtdc.4017%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803</v>
      </c>
      <c r="B193" s="7">
        <v>4018</v>
      </c>
      <c r="C193" s="21" t="s">
        <v>195</v>
      </c>
      <c r="D193" s="21" t="s">
        <v>903</v>
      </c>
      <c r="E193" s="13">
        <v>43008.873935185184</v>
      </c>
      <c r="F193" s="13">
        <v>43008.881469907406</v>
      </c>
      <c r="G193" s="7">
        <v>61</v>
      </c>
      <c r="H193" s="21" t="s">
        <v>904</v>
      </c>
      <c r="I193" s="13">
        <v>43008.891562500001</v>
      </c>
      <c r="J193" s="7">
        <v>0</v>
      </c>
      <c r="K193" s="81" t="str">
        <f t="shared" si="53"/>
        <v>4017/4018</v>
      </c>
      <c r="L193" s="175" t="str">
        <f>VLOOKUP(A193,'Trips&amp;Operators'!$C$1:$G$99911,5,FALSE)</f>
        <v>SMITH MICHAEL</v>
      </c>
      <c r="M193" s="6">
        <f t="shared" si="54"/>
        <v>1.0092592594446614E-2</v>
      </c>
      <c r="N193" s="7">
        <f t="shared" si="84"/>
        <v>14.533333336003125</v>
      </c>
      <c r="O193" s="7"/>
      <c r="P193" s="7"/>
      <c r="Q193" s="22"/>
      <c r="R193" s="166"/>
      <c r="S193" s="228">
        <f t="shared" si="85"/>
        <v>1</v>
      </c>
      <c r="T193" s="166" t="str">
        <f t="shared" si="55"/>
        <v>NorthBound</v>
      </c>
      <c r="U193" s="21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4" t="str">
        <f t="shared" si="56"/>
        <v>https://d0f6bd738d7f1b3e5a7ca70fe4ff75f0.us-east-1.aws.found.io/app/kibana#/discover/Steve-Slow-Train-Analysis-(2080s-and-2083s)?_g=(refreshInterval:(display:Off,pause:!f,section:0,value:0),time:(from:'2017-09-30T19:58:28-0600',mode:absolute,to:'2017-09-30T22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215" t="str">
        <f>IF(AA193&lt;VLOOKUP(AG193,Variables!$AC$3:$AD$8,2,FALSE),"Y","N")</f>
        <v>N</v>
      </c>
      <c r="X193" s="215">
        <f t="shared" si="57"/>
        <v>1</v>
      </c>
      <c r="Y193" s="215">
        <f t="shared" si="82"/>
        <v>0.1004</v>
      </c>
      <c r="Z193" s="215">
        <f t="shared" si="83"/>
        <v>5.8954000000000004</v>
      </c>
      <c r="AA193" s="215">
        <f t="shared" si="60"/>
        <v>5.7950000000000008</v>
      </c>
      <c r="AB193" s="216" t="e">
        <f>VLOOKUP(A193,Enforcements!$C$7:$K$11,8,0)</f>
        <v>#N/A</v>
      </c>
      <c r="AC193" s="216" t="e">
        <f>VLOOKUP(A193,Enforcements!$C$7:$E$11,3,0)</f>
        <v>#N/A</v>
      </c>
      <c r="AD193" s="217">
        <f t="shared" si="61"/>
        <v>1831</v>
      </c>
      <c r="AE193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93" s="68" t="str">
        <f t="shared" si="63"/>
        <v>"C:\Program Files (x86)\AstroGrep\AstroGrep.exe" /e /r /s /spath="%USERPROFILE%\AppData\Local\Temp\OnboardLogs" /stypes="app*4018*20171001*" /stext=" 03:.+((SYSTEM_STATE.+slice.+state.+changed )|(ment ac)|(multiple cpu faults)|(system.+state.+changed )|(\[timeout)|(PRM\|1\|D)|(kpr)|(kdp)|(train st.+moving)|(\|lc)|(penalty))"</v>
      </c>
      <c r="AG193" s="172" t="str">
        <f t="shared" si="64"/>
        <v>NW</v>
      </c>
      <c r="AH193" s="70" t="str">
        <f t="shared" si="65"/>
        <v>"%USERPROFILE%\Documents\GitHub\eaglep3\Utilities\RefineRTDCRunTimes.py" --tripid 1831-30 --locoid 4018 --swversion DE.1.0.9.0 --startMP 204:1004 --initTime 2017-09-30T20:58:28 --startdatetime 2017-09-30T21:09:19 --delay 61 --endMP 300:58954 --enddatetime 2017-09-30T21:23:51 --enforcementcount 0 &gt;&gt;c:\users\stu\Documents\GitHub\eaglep3-reporting\EC\2017-09-30-refined-times.txt</v>
      </c>
      <c r="AI193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{"issue":{"subject":"","project_id":79,"tracker_id":40,"status_id":1,"priority_id":2,"assigned_to_id":338,"start_date":"2017-09-30","description":"","custom_fields":[{"id":1,"name":"Subdivision","value":"NW"},{"id":4,"name":"Milepost","value":"5.8954"},{"id":17,"name":"Train ID","value":"1831-30"},{"id":16,"name":"Locomotive ID","value":"4018"},{"id":130,"name":"Impact","value":""},{"id":150,"name":"Time of Event (Mountain Time)","value":"21:23:51"},{"id":151,"name":"Denver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34" t="str">
        <f t="shared" si="67"/>
        <v>start /low /b %USERPROFILE%\Documents\GitHub\eaglep3\Utilities\DownloadLogsFromS3.py --loco 4018 --day 2017-09-30</v>
      </c>
      <c r="AN193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03:23:51"},{"id":29,"name":"Sharepoint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0" t="str">
        <f t="shared" si="69"/>
        <v>https://d0f6bd738d7f1b3e5a7ca70fe4ff75f0.us-east-1.aws.found.io/app/kibana#/discover/Steve-Slow-Train-Analysis-(2080s-and-2083s)?_g=(refreshInterval:(display:Off,pause:!f,section:0,value:0),time:(from:'2017-09-30T19:58:28-0600',mode:absolute,to:'2017-09-30T22:23:51-0600'))&amp;_a=(columns:!('Message%20ID',Summary),filters:!(),index:'emp_*',interval:auto,query:(query_string:(analyze_wildcard:!t,query:'%22rtdc.l.rtdc.4018%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806</v>
      </c>
      <c r="B194" s="7">
        <v>4017</v>
      </c>
      <c r="C194" s="21" t="s">
        <v>195</v>
      </c>
      <c r="D194" s="21" t="s">
        <v>899</v>
      </c>
      <c r="E194" s="13">
        <v>43008.893125000002</v>
      </c>
      <c r="F194" s="13">
        <v>43008.900300925925</v>
      </c>
      <c r="G194" s="7">
        <v>73</v>
      </c>
      <c r="H194" s="21" t="s">
        <v>905</v>
      </c>
      <c r="I194" s="13">
        <v>43008.91337962963</v>
      </c>
      <c r="J194" s="7">
        <v>0</v>
      </c>
      <c r="K194" s="81" t="str">
        <f t="shared" si="53"/>
        <v>4017/4018</v>
      </c>
      <c r="L194" s="175" t="str">
        <f>VLOOKUP(A194,'Trips&amp;Operators'!$C$1:$G$99911,5,FALSE)</f>
        <v>SMITH MICHAEL</v>
      </c>
      <c r="M194" s="6">
        <f t="shared" si="54"/>
        <v>1.3078703705104999E-2</v>
      </c>
      <c r="N194" s="7">
        <f t="shared" si="84"/>
        <v>18.833333335351199</v>
      </c>
      <c r="O194" s="7"/>
      <c r="P194" s="7"/>
      <c r="Q194" s="22"/>
      <c r="R194" s="166"/>
      <c r="S194" s="228">
        <f t="shared" si="85"/>
        <v>1</v>
      </c>
      <c r="T194" s="166" t="str">
        <f t="shared" si="55"/>
        <v>Southbound</v>
      </c>
      <c r="U194" s="21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4" t="str">
        <f t="shared" si="56"/>
        <v>https://d0f6bd738d7f1b3e5a7ca70fe4ff75f0.us-east-1.aws.found.io/app/kibana#/discover/Steve-Slow-Train-Analysis-(2080s-and-2083s)?_g=(refreshInterval:(display:Off,pause:!f,section:0,value:0),time:(from:'2017-09-30T20:26:06-0600',mode:absolute,to:'2017-09-30T22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215" t="str">
        <f>IF(AA194&lt;VLOOKUP(AG194,Variables!$AC$3:$AD$8,2,FALSE),"Y","N")</f>
        <v>N</v>
      </c>
      <c r="X194" s="215">
        <f t="shared" si="57"/>
        <v>1</v>
      </c>
      <c r="Y194" s="215">
        <f t="shared" si="82"/>
        <v>5.8628</v>
      </c>
      <c r="Z194" s="215">
        <f t="shared" si="83"/>
        <v>7.0300000000000001E-2</v>
      </c>
      <c r="AA194" s="215">
        <f t="shared" si="60"/>
        <v>5.7925000000000004</v>
      </c>
      <c r="AB194" s="216" t="e">
        <f>VLOOKUP(A194,Enforcements!$C$7:$K$11,8,0)</f>
        <v>#N/A</v>
      </c>
      <c r="AC194" s="216" t="e">
        <f>VLOOKUP(A194,Enforcements!$C$7:$E$11,3,0)</f>
        <v>#N/A</v>
      </c>
      <c r="AD194" s="217">
        <f t="shared" si="61"/>
        <v>1832</v>
      </c>
      <c r="AE194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94" s="68" t="str">
        <f t="shared" si="63"/>
        <v>"C:\Program Files (x86)\AstroGrep\AstroGrep.exe" /e /r /s /spath="%USERPROFILE%\AppData\Local\Temp\OnboardLogs" /stypes="app*4017*20171001*" /stext=" 03:.+((SYSTEM_STATE.+slice.+state.+changed )|(ment ac)|(multiple cpu faults)|(system.+state.+changed )|(\[timeout)|(PRM\|1\|D)|(kpr)|(kdp)|(train st.+moving)|(\|lc)|(penalty))"</v>
      </c>
      <c r="AG194" s="172" t="str">
        <f t="shared" si="64"/>
        <v>NW</v>
      </c>
      <c r="AH194" s="70" t="str">
        <f t="shared" si="65"/>
        <v>"%USERPROFILE%\Documents\GitHub\eaglep3\Utilities\RefineRTDCRunTimes.py" --tripid 1832-30 --locoid 4017 --swversion DE.1.0.9.0 --startMP 300:58628 --initTime 2017-09-30T21:26:06 --startdatetime 2017-09-30T21:36:26 --delay 73 --endMP 204:703 --enddatetime 2017-09-30T21:55:16 --enforcementcount 0 &gt;&gt;c:\users\stu\Documents\GitHub\eaglep3-reporting\EC\2017-09-30-refined-times.txt</v>
      </c>
      <c r="AI194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{"issue":{"subject":"","project_id":79,"tracker_id":40,"status_id":1,"priority_id":2,"assigned_to_id":338,"start_date":"2017-09-30","description":"","custom_fields":[{"id":1,"name":"Subdivision","value":"NW"},{"id":4,"name":"Milepost","value":"0.0703"},{"id":17,"name":"Train ID","value":"1832-30"},{"id":16,"name":"Locomotive ID","value":"4017"},{"id":130,"name":"Impact","value":""},{"id":150,"name":"Time of Event (Mountain Time)","value":"21:55:16"},{"id":151,"name":"Denver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34" t="str">
        <f t="shared" si="67"/>
        <v>start /low /b %USERPROFILE%\Documents\GitHub\eaglep3\Utilities\DownloadLogsFromS3.py --loco 4017 --day 2017-09-30</v>
      </c>
      <c r="AN194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0" t="str">
        <f t="shared" si="69"/>
        <v>https://d0f6bd738d7f1b3e5a7ca70fe4ff75f0.us-east-1.aws.found.io/app/kibana#/discover/Steve-Slow-Train-Analysis-(2080s-and-2083s)?_g=(refreshInterval:(display:Off,pause:!f,section:0,value:0),time:(from:'2017-09-30T20:26:06-0600',mode:absolute,to:'2017-09-30T22:55:16-0600'))&amp;_a=(columns:!('Message%20ID',Summary),filters:!(),index:'emp_*',interval:auto,query:(query_string:(analyze_wildcard:!t,query:'%22rtdc.l.rtdc.4017%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809</v>
      </c>
      <c r="B195" s="7">
        <v>4018</v>
      </c>
      <c r="C195" s="21" t="s">
        <v>195</v>
      </c>
      <c r="D195" s="21" t="s">
        <v>581</v>
      </c>
      <c r="E195" s="13">
        <v>43008.91642361111</v>
      </c>
      <c r="F195" s="13">
        <v>43008.923148148147</v>
      </c>
      <c r="G195" s="7">
        <v>74</v>
      </c>
      <c r="H195" s="21" t="s">
        <v>580</v>
      </c>
      <c r="I195" s="13">
        <v>43008.934050925927</v>
      </c>
      <c r="J195" s="7">
        <v>0</v>
      </c>
      <c r="K195" s="81" t="str">
        <f t="shared" si="53"/>
        <v>4017/4018</v>
      </c>
      <c r="L195" s="175" t="str">
        <f>VLOOKUP(A195,'Trips&amp;Operators'!$C$1:$G$99911,5,FALSE)</f>
        <v>SMITH MICHAEL</v>
      </c>
      <c r="M195" s="6">
        <f t="shared" si="54"/>
        <v>1.0902777779847383E-2</v>
      </c>
      <c r="N195" s="7">
        <f t="shared" si="84"/>
        <v>15.700000002980232</v>
      </c>
      <c r="O195" s="7"/>
      <c r="P195" s="7"/>
      <c r="Q195" s="22"/>
      <c r="R195" s="166"/>
      <c r="S195" s="228">
        <f t="shared" si="85"/>
        <v>1</v>
      </c>
      <c r="T195" s="166" t="str">
        <f t="shared" si="55"/>
        <v>NorthBound</v>
      </c>
      <c r="U195" s="21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4" t="str">
        <f t="shared" si="56"/>
        <v>https://d0f6bd738d7f1b3e5a7ca70fe4ff75f0.us-east-1.aws.found.io/app/kibana#/discover/Steve-Slow-Train-Analysis-(2080s-and-2083s)?_g=(refreshInterval:(display:Off,pause:!f,section:0,value:0),time:(from:'2017-09-30T20:59:39-0600',mode:absolute,to:'2017-09-30T23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5" s="215" t="str">
        <f>IF(AA195&lt;VLOOKUP(AG195,Variables!$AC$3:$AD$8,2,FALSE),"Y","N")</f>
        <v>N</v>
      </c>
      <c r="X195" s="215">
        <f t="shared" si="57"/>
        <v>1</v>
      </c>
      <c r="Y195" s="215">
        <f t="shared" si="82"/>
        <v>9.6500000000000002E-2</v>
      </c>
      <c r="Z195" s="215">
        <f t="shared" si="83"/>
        <v>5.8929</v>
      </c>
      <c r="AA195" s="215">
        <f t="shared" si="60"/>
        <v>5.7964000000000002</v>
      </c>
      <c r="AB195" s="216" t="e">
        <f>VLOOKUP(A195,Enforcements!$C$7:$K$11,8,0)</f>
        <v>#N/A</v>
      </c>
      <c r="AC195" s="216" t="e">
        <f>VLOOKUP(A195,Enforcements!$C$7:$E$11,3,0)</f>
        <v>#N/A</v>
      </c>
      <c r="AD195" s="217">
        <f t="shared" si="61"/>
        <v>1833</v>
      </c>
      <c r="AE195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95" s="68" t="str">
        <f t="shared" si="63"/>
        <v>"C:\Program Files (x86)\AstroGrep\AstroGrep.exe" /e /r /s /spath="%USERPROFILE%\AppData\Local\Temp\OnboardLogs" /stypes="app*4018*20171001*" /stext=" 04:.+((SYSTEM_STATE.+slice.+state.+changed )|(ment ac)|(multiple cpu faults)|(system.+state.+changed )|(\[timeout)|(PRM\|1\|D)|(kpr)|(kdp)|(train st.+moving)|(\|lc)|(penalty))"</v>
      </c>
      <c r="AG195" s="172" t="str">
        <f t="shared" si="64"/>
        <v>NW</v>
      </c>
      <c r="AH195" s="70" t="str">
        <f t="shared" si="65"/>
        <v>"%USERPROFILE%\Documents\GitHub\eaglep3\Utilities\RefineRTDCRunTimes.py" --tripid 1833-30 --locoid 4018 --swversion DE.1.0.9.0 --startMP 204:965 --initTime 2017-09-30T21:59:39 --startdatetime 2017-09-30T22:09:20 --delay 74 --endMP 300:58929 --enddatetime 2017-09-30T22:25:02 --enforcementcount 0 &gt;&gt;c:\users\stu\Documents\GitHub\eaglep3-reporting\EC\2017-09-30-refined-times.txt</v>
      </c>
      <c r="AI195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{"issue":{"subject":"","project_id":79,"tracker_id":40,"status_id":1,"priority_id":2,"assigned_to_id":338,"start_date":"2017-09-30","description":"","custom_fields":[{"id":1,"name":"Subdivision","value":"NW"},{"id":4,"name":"Milepost","value":"5.8929"},{"id":17,"name":"Train ID","value":"1833-30"},{"id":16,"name":"Locomotive ID","value":"4018"},{"id":130,"name":"Impact","value":""},{"id":150,"name":"Time of Event (Mountain Time)","value":"22:25:02"},{"id":151,"name":"Denver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34" t="str">
        <f t="shared" si="67"/>
        <v>start /low /b %USERPROFILE%\Documents\GitHub\eaglep3\Utilities\DownloadLogsFromS3.py --loco 4018 --day 2017-09-30</v>
      </c>
      <c r="AN195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04:25:02"},{"id":29,"name":"Sharepoint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0" t="str">
        <f t="shared" si="69"/>
        <v>https://d0f6bd738d7f1b3e5a7ca70fe4ff75f0.us-east-1.aws.found.io/app/kibana#/discover/Steve-Slow-Train-Analysis-(2080s-and-2083s)?_g=(refreshInterval:(display:Off,pause:!f,section:0,value:0),time:(from:'2017-09-30T20:59:39-0600',mode:absolute,to:'2017-09-30T23:25:02-0600'))&amp;_a=(columns:!('Message%20ID',Summary),filters:!(),index:'emp_*',interval:auto,query:(query_string:(analyze_wildcard:!t,query:'%22rtdc.l.rtdc.4018%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812</v>
      </c>
      <c r="B196" s="7">
        <v>4017</v>
      </c>
      <c r="C196" s="21" t="s">
        <v>195</v>
      </c>
      <c r="D196" s="21" t="s">
        <v>906</v>
      </c>
      <c r="E196" s="13">
        <v>43008.935937499999</v>
      </c>
      <c r="F196" s="13">
        <v>43008.942881944444</v>
      </c>
      <c r="G196" s="7">
        <v>67</v>
      </c>
      <c r="H196" s="21" t="s">
        <v>873</v>
      </c>
      <c r="I196" s="13">
        <v>43008.955057870371</v>
      </c>
      <c r="J196" s="7">
        <v>0</v>
      </c>
      <c r="K196" s="81" t="str">
        <f t="shared" si="53"/>
        <v>4017/4018</v>
      </c>
      <c r="L196" s="175" t="str">
        <f>VLOOKUP(A196,'Trips&amp;Operators'!$C$1:$G$99911,5,FALSE)</f>
        <v>SMITH MICHAEL</v>
      </c>
      <c r="M196" s="6">
        <f t="shared" si="54"/>
        <v>1.2175925927294884E-2</v>
      </c>
      <c r="N196" s="7">
        <f t="shared" si="84"/>
        <v>17.533333335304633</v>
      </c>
      <c r="O196" s="7"/>
      <c r="P196" s="7"/>
      <c r="Q196" s="22"/>
      <c r="R196" s="166"/>
      <c r="S196" s="228">
        <f t="shared" si="85"/>
        <v>1</v>
      </c>
      <c r="T196" s="166" t="str">
        <f t="shared" si="55"/>
        <v>Southbound</v>
      </c>
      <c r="U196" s="21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4" t="str">
        <f t="shared" si="56"/>
        <v>https://d0f6bd738d7f1b3e5a7ca70fe4ff75f0.us-east-1.aws.found.io/app/kibana#/discover/Steve-Slow-Train-Analysis-(2080s-and-2083s)?_g=(refreshInterval:(display:Off,pause:!f,section:0,value:0),time:(from:'2017-09-30T21:27:45-0600',mode:absolute,to:'2017-09-30T23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6" s="215" t="str">
        <f>IF(AA196&lt;VLOOKUP(AG196,Variables!$AC$3:$AD$8,2,FALSE),"Y","N")</f>
        <v>N</v>
      </c>
      <c r="X196" s="215">
        <f t="shared" si="57"/>
        <v>1</v>
      </c>
      <c r="Y196" s="215">
        <f t="shared" si="82"/>
        <v>5.8609</v>
      </c>
      <c r="Z196" s="215">
        <f t="shared" si="83"/>
        <v>6.7299999999999999E-2</v>
      </c>
      <c r="AA196" s="215">
        <f t="shared" si="60"/>
        <v>5.7935999999999996</v>
      </c>
      <c r="AB196" s="216" t="e">
        <f>VLOOKUP(A196,Enforcements!$C$7:$K$11,8,0)</f>
        <v>#N/A</v>
      </c>
      <c r="AC196" s="216" t="e">
        <f>VLOOKUP(A196,Enforcements!$C$7:$E$11,3,0)</f>
        <v>#N/A</v>
      </c>
      <c r="AD196" s="217">
        <f t="shared" si="61"/>
        <v>1834</v>
      </c>
      <c r="AE196" s="218" t="str">
        <f t="shared" si="62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196" s="68" t="str">
        <f t="shared" si="63"/>
        <v>"C:\Program Files (x86)\AstroGrep\AstroGrep.exe" /e /r /s /spath="%USERPROFILE%\AppData\Local\Temp\OnboardLogs" /stypes="app*4017*20171001*" /stext=" 04:.+((SYSTEM_STATE.+slice.+state.+changed )|(ment ac)|(multiple cpu faults)|(system.+state.+changed )|(\[timeout)|(PRM\|1\|D)|(kpr)|(kdp)|(train st.+moving)|(\|lc)|(penalty))"</v>
      </c>
      <c r="AG196" s="172" t="str">
        <f t="shared" si="64"/>
        <v>NW</v>
      </c>
      <c r="AH196" s="70" t="str">
        <f t="shared" si="65"/>
        <v>"%USERPROFILE%\Documents\GitHub\eaglep3\Utilities\RefineRTDCRunTimes.py" --tripid 1834-30 --locoid 4017 --swversion DE.1.0.9.0 --startMP 300:58609 --initTime 2017-09-30T22:27:45 --startdatetime 2017-09-30T22:37:45 --delay 67 --endMP 204:673 --enddatetime 2017-09-30T22:55:17 --enforcementcount 0 &gt;&gt;c:\users\stu\Documents\GitHub\eaglep3-reporting\EC\2017-09-30-refined-times.txt</v>
      </c>
      <c r="AI196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{"issue":{"subject":"","project_id":79,"tracker_id":40,"status_id":1,"priority_id":2,"assigned_to_id":338,"start_date":"2017-09-30","description":"","custom_fields":[{"id":1,"name":"Subdivision","value":"NW"},{"id":4,"name":"Milepost","value":"0.0673"},{"id":17,"name":"Train ID","value":"1834-30"},{"id":16,"name":"Locomotive ID","value":"4017"},{"id":130,"name":"Impact","value":""},{"id":150,"name":"Time of Event (Mountain Time)","value":"22:55:17"},{"id":151,"name":"Denver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34" t="str">
        <f t="shared" si="67"/>
        <v>start /low /b %USERPROFILE%\Documents\GitHub\eaglep3\Utilities\DownloadLogsFromS3.py --loco 4017 --day 2017-09-30</v>
      </c>
      <c r="AN196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04:55:17"},{"id":29,"name":"Sharepoint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0" t="str">
        <f t="shared" si="69"/>
        <v>https://d0f6bd738d7f1b3e5a7ca70fe4ff75f0.us-east-1.aws.found.io/app/kibana#/discover/Steve-Slow-Train-Analysis-(2080s-and-2083s)?_g=(refreshInterval:(display:Off,pause:!f,section:0,value:0),time:(from:'2017-09-30T21:27:45-0600',mode:absolute,to:'2017-09-30T23:55:17-0600'))&amp;_a=(columns:!('Message%20ID',Summary),filters:!(),index:'emp_*',interval:auto,query:(query_string:(analyze_wildcard:!t,query:'%22rtdc.l.rtdc.4017%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815</v>
      </c>
      <c r="B197" s="7">
        <v>4018</v>
      </c>
      <c r="C197" s="21" t="s">
        <v>195</v>
      </c>
      <c r="D197" s="21" t="s">
        <v>907</v>
      </c>
      <c r="E197" s="13">
        <v>43008.95857638889</v>
      </c>
      <c r="F197" s="13">
        <v>43008.965231481481</v>
      </c>
      <c r="G197" s="7">
        <v>62</v>
      </c>
      <c r="H197" s="21" t="s">
        <v>908</v>
      </c>
      <c r="I197" s="13">
        <v>43008.976331018515</v>
      </c>
      <c r="J197" s="7">
        <v>0</v>
      </c>
      <c r="K197" s="81" t="str">
        <f t="shared" si="53"/>
        <v>4017/4018</v>
      </c>
      <c r="L197" s="175" t="str">
        <f>VLOOKUP(A197,'Trips&amp;Operators'!$C$1:$G$99911,5,FALSE)</f>
        <v>SMITH MICHAEL</v>
      </c>
      <c r="M197" s="6">
        <f t="shared" si="54"/>
        <v>1.1099537034169771E-2</v>
      </c>
      <c r="N197" s="7">
        <f t="shared" si="84"/>
        <v>15.98333332920447</v>
      </c>
      <c r="O197" s="7"/>
      <c r="P197" s="7"/>
      <c r="Q197" s="22"/>
      <c r="R197" s="166"/>
      <c r="S197" s="228">
        <f t="shared" si="85"/>
        <v>1</v>
      </c>
      <c r="T197" s="166" t="str">
        <f t="shared" si="55"/>
        <v>NorthBound</v>
      </c>
      <c r="U197" s="21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4" t="str">
        <f t="shared" si="56"/>
        <v>https://d0f6bd738d7f1b3e5a7ca70fe4ff75f0.us-east-1.aws.found.io/app/kibana#/discover/Steve-Slow-Train-Analysis-(2080s-and-2083s)?_g=(refreshInterval:(display:Off,pause:!f,section:0,value:0),time:(from:'2017-09-30T22:00:21-0600',mode:absolute,to:'2017-10-01T00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215" t="str">
        <f>IF(AA197&lt;VLOOKUP(AG197,Variables!$AC$3:$AD$8,2,FALSE),"Y","N")</f>
        <v>N</v>
      </c>
      <c r="X197" s="215">
        <f t="shared" si="57"/>
        <v>1</v>
      </c>
      <c r="Y197" s="215">
        <f t="shared" si="82"/>
        <v>9.69E-2</v>
      </c>
      <c r="Z197" s="215">
        <f t="shared" si="83"/>
        <v>5.8925999999999998</v>
      </c>
      <c r="AA197" s="215">
        <f t="shared" si="60"/>
        <v>5.7957000000000001</v>
      </c>
      <c r="AB197" s="216" t="e">
        <f>VLOOKUP(A197,Enforcements!$C$7:$K$11,8,0)</f>
        <v>#N/A</v>
      </c>
      <c r="AC197" s="216" t="e">
        <f>VLOOKUP(A197,Enforcements!$C$7:$E$11,3,0)</f>
        <v>#N/A</v>
      </c>
      <c r="AD197" s="217">
        <f t="shared" si="61"/>
        <v>1835</v>
      </c>
      <c r="AE197" s="218" t="str">
        <f t="shared" si="62"/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AF197" s="68" t="str">
        <f t="shared" si="63"/>
        <v>"C:\Program Files (x86)\AstroGrep\AstroGrep.exe" /e /r /s /spath="%USERPROFILE%\AppData\Local\Temp\OnboardLogs" /stypes="app*4018*20171001*" /stext=" 05:.+((SYSTEM_STATE.+slice.+state.+changed )|(ment ac)|(multiple cpu faults)|(system.+state.+changed )|(\[timeout)|(PRM\|1\|D)|(kpr)|(kdp)|(train st.+moving)|(\|lc)|(penalty))"</v>
      </c>
      <c r="AG197" s="172" t="str">
        <f t="shared" si="64"/>
        <v>NW</v>
      </c>
      <c r="AH197" s="70" t="str">
        <f t="shared" si="65"/>
        <v>"%USERPROFILE%\Documents\GitHub\eaglep3\Utilities\RefineRTDCRunTimes.py" --tripid 1835-30 --locoid 4018 --swversion DE.1.0.9.0 --startMP 204:969 --initTime 2017-09-30T23:00:21 --startdatetime 2017-09-30T23:09:56 --delay 62 --endMP 300:58926 --enddatetime 2017-09-30T23:25:55 --enforcementcount 0 &gt;&gt;c:\users\stu\Documents\GitHub\eaglep3-reporting\EC\2017-09-30-refined-times.txt</v>
      </c>
      <c r="AI197" s="88" t="str">
        <f t="shared" si="66"/>
        <v>echo {"issue":{"subject":"","project_id":79,"tracker_id":40,"status_id":1,"priority_id":2,"assigned_to_id":338,"start_date":"2017-09-30","description":"","custom_fields":[{"id":1,"name":"Subdivision","value":"NW"},{"id":4,"name":"Milepost","value":"5.8926"},{"id":17,"name":"Train ID","value":"1835-30"},{"id":16,"name":"Locomotive ID","value":"4018"},{"id":130,"name":"Impact","value":""},{"id":150,"name":"Time of Event (Mountain Time)","value":"23:25:55"},{"id":151,"name":"Denver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34" t="str">
        <f t="shared" si="67"/>
        <v>start /low /b %USERPROFILE%\Documents\GitHub\eaglep3\Utilities\DownloadLogsFromS3.py --loco 4018 --day 2017-09-30</v>
      </c>
      <c r="AN197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05:25:55"},{"id":29,"name":"Sharepoint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0" t="str">
        <f t="shared" si="69"/>
        <v>https://d0f6bd738d7f1b3e5a7ca70fe4ff75f0.us-east-1.aws.found.io/app/kibana#/discover/Steve-Slow-Train-Analysis-(2080s-and-2083s)?_g=(refreshInterval:(display:Off,pause:!f,section:0,value:0),time:(from:'2017-09-30T22:00:21-0600',mode:absolute,to:'2017-10-01T00:25:55-0600'))&amp;_a=(columns:!('Message%20ID',Summary),filters:!(),index:'emp_*',interval:auto,query:(query_string:(analyze_wildcard:!t,query:'%22rtdc.l.rtdc.4018%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787</v>
      </c>
      <c r="B198" s="7">
        <v>4056</v>
      </c>
      <c r="C198" s="21" t="s">
        <v>195</v>
      </c>
      <c r="D198" s="21" t="s">
        <v>387</v>
      </c>
      <c r="E198" s="13">
        <v>43008.778900462959</v>
      </c>
      <c r="F198" s="13">
        <v>43008.783831018518</v>
      </c>
      <c r="G198" s="7">
        <v>181</v>
      </c>
      <c r="H198" s="21" t="s">
        <v>932</v>
      </c>
      <c r="I198" s="13">
        <v>43008.79111111111</v>
      </c>
      <c r="J198" s="7">
        <v>0</v>
      </c>
      <c r="K198" s="81" t="str">
        <f t="shared" si="53"/>
        <v>4055/4056</v>
      </c>
      <c r="L198" s="175" t="str">
        <f>VLOOKUP(A198,'Trips&amp;Operators'!$C$1:$G$99911,5,FALSE)</f>
        <v>GUZMAN DANNY</v>
      </c>
      <c r="M198" s="6">
        <f t="shared" si="54"/>
        <v>7.2800925918272696E-3</v>
      </c>
      <c r="N198" s="7">
        <f t="shared" si="84"/>
        <v>10.483333332231268</v>
      </c>
      <c r="O198" s="7"/>
      <c r="P198" s="7"/>
      <c r="Q198" s="22"/>
      <c r="R198" s="166"/>
      <c r="S198" s="228">
        <f t="shared" si="85"/>
        <v>1</v>
      </c>
      <c r="T198" s="166" t="str">
        <f t="shared" si="55"/>
        <v>NorthBound</v>
      </c>
      <c r="U198" s="21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4" t="str">
        <f t="shared" si="56"/>
        <v>https://d0f6bd738d7f1b3e5a7ca70fe4ff75f0.us-east-1.aws.found.io/app/kibana#/discover/Steve-Slow-Train-Analysis-(2080s-and-2083s)?_g=(refreshInterval:(display:Off,pause:!f,section:0,value:0),time:(from:'2017-09-30T17:41:37-0600',mode:absolute,to:'2017-09-30T19:59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8" s="215" t="str">
        <f>IF(AA198&lt;VLOOKUP(AG198,Variables!$AC$3:$AD$8,2,FALSE),"Y","N")</f>
        <v>Y</v>
      </c>
      <c r="X198" s="215">
        <f t="shared" si="57"/>
        <v>-1534</v>
      </c>
      <c r="Y198" s="215">
        <f t="shared" si="82"/>
        <v>4.7100000000000003E-2</v>
      </c>
      <c r="Z198" s="215">
        <f t="shared" si="83"/>
        <v>2.3304</v>
      </c>
      <c r="AA198" s="215">
        <f t="shared" si="60"/>
        <v>2.2833000000000001</v>
      </c>
      <c r="AB198" s="216" t="e">
        <f>VLOOKUP(A198,Enforcements!$C$7:$K$11,8,0)</f>
        <v>#N/A</v>
      </c>
      <c r="AC198" s="216" t="e">
        <f>VLOOKUP(A198,Enforcements!$C$7:$E$11,3,0)</f>
        <v>#N/A</v>
      </c>
      <c r="AD198" s="217">
        <f t="shared" si="61"/>
        <v>301</v>
      </c>
      <c r="AE198" s="218" t="str">
        <f t="shared" si="62"/>
        <v>aws s3 cp s3://rtdc.mdm.uploadarchive.raw/RTDC4056/ "%USERPROFILE%\AppData\Local\Temp\OnboardLogs"\RTDC4056\2017-09-30 --exclude "*" --recursive --include "*20170930*" &amp; "%USERPROFILE%\Documents\GitHub\mrs-test-scripts\Headless Mode &amp; Sideloading\WalkAndUnGZ.bat" "%USERPROFILE%\AppData\Local\Temp\OnboardLogs"\RTDC4056\2017-09-30 &amp; aws s3 cp s3://rtdc.mdm.uploadarchive.raw/RTDC4056/ "%USERPROFILE%\AppData\Local\Temp\OnboardLogs"\RTDC4056\2017-10-01 --exclude "*" --recursive --include "*20171001*" &amp; "%USERPROFILE%\Documents\GitHub\mrs-test-scripts\Headless Mode &amp; Sideloading\WalkAndUnGZ.bat" "%USERPROFILE%\AppData\Local\Temp\OnboardLogs"\RTDC4056\2017-10-01</v>
      </c>
      <c r="AF198" s="68" t="str">
        <f t="shared" si="63"/>
        <v>"C:\Program Files (x86)\AstroGrep\AstroGrep.exe" /e /r /s /spath="%USERPROFILE%\AppData\Local\Temp\OnboardLogs" /stypes="app*4056*20171001*" /stext=" 00:.+((SYSTEM_STATE.+slice.+state.+changed )|(ment ac)|(multiple cpu faults)|(system.+state.+changed )|(\[timeout)|(PRM\|1\|D)|(kpr)|(kdp)|(train st.+moving)|(\|lc)|(penalty))"</v>
      </c>
      <c r="AG198" s="172" t="str">
        <f t="shared" si="64"/>
        <v>Other</v>
      </c>
      <c r="AH198" s="70" t="str">
        <f t="shared" si="65"/>
        <v>"%USERPROFILE%\Documents\GitHub\eaglep3\Utilities\RefineRTDCRunTimes.py" --tripid 301-30 --locoid 4056 --swversion DE.1.0.9.0 --startMP 204:471 --initTime 2017-09-30T18:41:37 --startdatetime 2017-09-30T18:48:43 --delay 181 --endMP 300:23304 --enddatetime 2017-09-30T18:59:12 --enforcementcount 0 &gt;&gt;c:\users\stu\Documents\GitHub\eaglep3-reporting\EC\2017-09-30-refined-times.txt</v>
      </c>
      <c r="AI198" s="88" t="str">
        <f t="shared" si="66"/>
        <v>echo {"issue":{"subject":"","project_id":79,"tracker_id":40,"status_id":1,"priority_id":2,"assigned_to_id":338,"start_date":"2017-09-30","description":"","custom_fields":[{"id":1,"name":"Subdivision","value":"Other"},{"id":4,"name":"Milepost","value":"2.3304"},{"id":17,"name":"Train ID","value":"301-30"},{"id":16,"name":"Locomotive ID","value":"4056"},{"id":130,"name":"Impact","value":""},{"id":150,"name":"Time of Event (Mountain Time)","value":"18:59:12"},{"id":151,"name":"Denver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34" t="str">
        <f t="shared" si="67"/>
        <v>start /low /b %USERPROFILE%\Documents\GitHub\eaglep3\Utilities\DownloadLogsFromS3.py --loco 4056 --day 2017-09-30</v>
      </c>
      <c r="AN198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00:59:12"},{"id":29,"name":"Sharepoint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0" t="str">
        <f t="shared" si="69"/>
        <v>https://d0f6bd738d7f1b3e5a7ca70fe4ff75f0.us-east-1.aws.found.io/app/kibana#/discover/Steve-Slow-Train-Analysis-(2080s-and-2083s)?_g=(refreshInterval:(display:Off,pause:!f,section:0,value:0),time:(from:'2017-09-30T17:41:37-0600',mode:absolute,to:'2017-09-30T19:59:12-0600'))&amp;_a=(columns:!('Message%20ID',Summary),filters:!(),index:'emp_*',interval:auto,query:(query_string:(analyze_wildcard:!t,query:'%22rtdc.l.rtdc.4056%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631</v>
      </c>
      <c r="B199" s="7">
        <v>4009</v>
      </c>
      <c r="C199" s="21" t="s">
        <v>195</v>
      </c>
      <c r="D199" s="21" t="s">
        <v>933</v>
      </c>
      <c r="E199" s="13">
        <v>43008.137071759258</v>
      </c>
      <c r="F199" s="13">
        <v>43008.140752314815</v>
      </c>
      <c r="G199" s="7">
        <v>61</v>
      </c>
      <c r="H199" s="21" t="s">
        <v>338</v>
      </c>
      <c r="I199" s="13">
        <v>43008.146261574075</v>
      </c>
      <c r="J199" s="7">
        <v>0</v>
      </c>
      <c r="K199" s="81" t="str">
        <f t="shared" si="53"/>
        <v>4009/4010</v>
      </c>
      <c r="L199" s="175" t="str">
        <f>VLOOKUP(A199,'Trips&amp;Operators'!$C$1:$G$99911,5,FALSE)</f>
        <v>MAELZER KURT</v>
      </c>
      <c r="M199" s="6">
        <f t="shared" si="54"/>
        <v>5.5092592592700385E-3</v>
      </c>
      <c r="N199" s="7">
        <f t="shared" si="84"/>
        <v>7.9333333333488554</v>
      </c>
      <c r="O199" s="7"/>
      <c r="P199" s="7"/>
      <c r="Q199" s="22"/>
      <c r="R199" s="166"/>
      <c r="S199" s="228">
        <f t="shared" si="85"/>
        <v>1</v>
      </c>
      <c r="T199" s="166" t="str">
        <f t="shared" si="55"/>
        <v>Southbound</v>
      </c>
      <c r="U199" s="21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4" t="str">
        <f t="shared" si="56"/>
        <v>https://d0f6bd738d7f1b3e5a7ca70fe4ff75f0.us-east-1.aws.found.io/app/kibana#/discover/Steve-Slow-Train-Analysis-(2080s-and-2083s)?_g=(refreshInterval:(display:Off,pause:!f,section:0,value:0),time:(from:'2017-09-30T02:17:23-0600',mode:absolute,to:'2017-09-30T04:30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215" t="str">
        <f>IF(AA199&lt;VLOOKUP(AG199,Variables!$AC$3:$AD$8,2,FALSE),"Y","N")</f>
        <v>Y</v>
      </c>
      <c r="X199" s="215">
        <f t="shared" si="57"/>
        <v>1</v>
      </c>
      <c r="Y199" s="215">
        <f t="shared" ref="Y199:Y219" si="86">RIGHT(D199,LEN(D199)-4)/10000</f>
        <v>2.1541000000000001</v>
      </c>
      <c r="Z199" s="215">
        <f t="shared" ref="Z199:Z219" si="87">RIGHT(H199,LEN(H199)-4)/10000</f>
        <v>1.43E-2</v>
      </c>
      <c r="AA199" s="215">
        <f t="shared" si="60"/>
        <v>2.1398000000000001</v>
      </c>
      <c r="AB199" s="216" t="e">
        <f>VLOOKUP(A199,Enforcements!$C$7:$K$11,8,0)</f>
        <v>#N/A</v>
      </c>
      <c r="AC199" s="216" t="e">
        <f>VLOOKUP(A199,Enforcements!$C$7:$E$11,3,0)</f>
        <v>#N/A</v>
      </c>
      <c r="AD199" s="217">
        <f t="shared" si="61"/>
        <v>302</v>
      </c>
      <c r="AE199" s="218" t="str">
        <f t="shared" si="62"/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AF199" s="68" t="str">
        <f t="shared" si="63"/>
        <v>"C:\Program Files (x86)\AstroGrep\AstroGrep.exe" /e /r /s /spath="%USERPROFILE%\AppData\Local\Temp\OnboardLogs" /stypes="app*4009*20170930*" /stext=" 09:.+((SYSTEM_STATE.+slice.+state.+changed )|(ment ac)|(multiple cpu faults)|(system.+state.+changed )|(\[timeout)|(PRM\|1\|D)|(kpr)|(kdp)|(train st.+moving)|(\|lc)|(penalty))"</v>
      </c>
      <c r="AG199" s="172" t="str">
        <f t="shared" si="64"/>
        <v>Other</v>
      </c>
      <c r="AH199" s="70" t="str">
        <f t="shared" si="65"/>
        <v>"%USERPROFILE%\Documents\GitHub\eaglep3\Utilities\RefineRTDCRunTimes.py" --tripid 302-30 --locoid 4009 --swversion DE.1.0.9.0 --startMP 300:21541 --initTime 2017-09-30T03:17:23 --startdatetime 2017-09-30T03:22:41 --delay 61 --endMP 204:143 --enddatetime 2017-09-30T03:30:37 --enforcementcount 0 &gt;&gt;c:\users\stu\Documents\GitHub\eaglep3-reporting\EC\2017-09-30-refined-times.txt</v>
      </c>
      <c r="AI199" s="88" t="str">
        <f t="shared" si="66"/>
        <v>echo {"issue":{"subject":"","project_id":79,"tracker_id":40,"status_id":1,"priority_id":2,"assigned_to_id":338,"start_date":"2017-09-30","description":"","custom_fields":[{"id":1,"name":"Subdivision","value":"Other"},{"id":4,"name":"Milepost","value":"0.0143"},{"id":17,"name":"Train ID","value":"302-30"},{"id":16,"name":"Locomotive ID","value":"4009"},{"id":130,"name":"Impact","value":""},{"id":150,"name":"Time of Event (Mountain Time)","value":"03:30:37"},{"id":151,"name":"Denver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34" t="str">
        <f t="shared" si="67"/>
        <v>start /low /b %USERPROFILE%\Documents\GitHub\eaglep3\Utilities\DownloadLogsFromS3.py --loco 4009 --day 2017-09-30</v>
      </c>
      <c r="AN199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09:30:37"},{"id":29,"name":"Sharepoint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0" t="str">
        <f t="shared" si="69"/>
        <v>https://d0f6bd738d7f1b3e5a7ca70fe4ff75f0.us-east-1.aws.found.io/app/kibana#/discover/Steve-Slow-Train-Analysis-(2080s-and-2083s)?_g=(refreshInterval:(display:Off,pause:!f,section:0,value:0),time:(from:'2017-09-30T02:17:23-0600',mode:absolute,to:'2017-09-30T04:30:37-0600'))&amp;_a=(columns:!('Message%20ID',Summary),filters:!(),index:'emp_*',interval:auto,query:(query_string:(analyze_wildcard:!t,query:'%22rtdc.l.rtdc.4009%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792</v>
      </c>
      <c r="B200" s="7">
        <v>4046</v>
      </c>
      <c r="C200" s="21" t="s">
        <v>195</v>
      </c>
      <c r="D200" s="21" t="s">
        <v>359</v>
      </c>
      <c r="E200" s="13">
        <v>43008.797407407408</v>
      </c>
      <c r="F200" s="13">
        <v>43008.800706018519</v>
      </c>
      <c r="G200" s="7">
        <v>53</v>
      </c>
      <c r="H200" s="21" t="s">
        <v>414</v>
      </c>
      <c r="I200" s="13">
        <v>43008.809467592589</v>
      </c>
      <c r="J200" s="7">
        <v>0</v>
      </c>
      <c r="K200" s="81" t="str">
        <f t="shared" si="53"/>
        <v>4045/4046</v>
      </c>
      <c r="L200" s="175" t="str">
        <f>VLOOKUP(A200,'Trips&amp;Operators'!$C$1:$G$99911,5,FALSE)</f>
        <v>BERLING GARY</v>
      </c>
      <c r="M200" s="6">
        <f t="shared" si="54"/>
        <v>8.7615740703768097E-3</v>
      </c>
      <c r="N200" s="7">
        <f t="shared" si="84"/>
        <v>12.616666661342606</v>
      </c>
      <c r="O200" s="7"/>
      <c r="P200" s="7"/>
      <c r="Q200" s="22"/>
      <c r="R200" s="166"/>
      <c r="S200" s="228">
        <f t="shared" si="85"/>
        <v>1</v>
      </c>
      <c r="T200" s="166" t="str">
        <f t="shared" si="55"/>
        <v>NorthBound</v>
      </c>
      <c r="U200" s="21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4" t="str">
        <f t="shared" si="56"/>
        <v>https://d0f6bd738d7f1b3e5a7ca70fe4ff75f0.us-east-1.aws.found.io/app/kibana#/discover/Steve-Slow-Train-Analysis-(2080s-and-2083s)?_g=(refreshInterval:(display:Off,pause:!f,section:0,value:0),time:(from:'2017-09-30T18:08:16-0600',mode:absolute,to:'2017-09-30T20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0" s="215" t="str">
        <f>IF(AA200&lt;VLOOKUP(AG200,Variables!$AC$3:$AD$8,2,FALSE),"Y","N")</f>
        <v>Y</v>
      </c>
      <c r="X200" s="215">
        <f t="shared" si="57"/>
        <v>1</v>
      </c>
      <c r="Y200" s="215">
        <f t="shared" si="86"/>
        <v>4.6399999999999997E-2</v>
      </c>
      <c r="Z200" s="215">
        <f t="shared" si="87"/>
        <v>2.3346</v>
      </c>
      <c r="AA200" s="215">
        <f t="shared" si="60"/>
        <v>2.2881999999999998</v>
      </c>
      <c r="AB200" s="216" t="e">
        <f>VLOOKUP(A200,Enforcements!$C$7:$K$11,8,0)</f>
        <v>#N/A</v>
      </c>
      <c r="AC200" s="216" t="e">
        <f>VLOOKUP(A200,Enforcements!$C$7:$E$11,3,0)</f>
        <v>#N/A</v>
      </c>
      <c r="AD200" s="217">
        <f t="shared" si="61"/>
        <v>303</v>
      </c>
      <c r="AE200" s="218" t="str">
        <f t="shared" si="62"/>
        <v>aws s3 cp s3://rtdc.mdm.uploadarchive.raw/RTDC4046/ "%USERPROFILE%\AppData\Local\Temp\OnboardLogs"\RTDC4046\2017-09-30 --exclude "*" --recursive --include "*20170930*" &amp; "%USERPROFILE%\Documents\GitHub\mrs-test-scripts\Headless Mode &amp; Sideloading\WalkAndUnGZ.bat" "%USERPROFILE%\AppData\Local\Temp\OnboardLogs"\RTDC4046\2017-09-30 &amp; aws s3 cp s3://rtdc.mdm.uploadarchive.raw/RTDC4046/ "%USERPROFILE%\AppData\Local\Temp\OnboardLogs"\RTDC4046\2017-10-01 --exclude "*" --recursive --include "*20171001*" &amp; "%USERPROFILE%\Documents\GitHub\mrs-test-scripts\Headless Mode &amp; Sideloading\WalkAndUnGZ.bat" "%USERPROFILE%\AppData\Local\Temp\OnboardLogs"\RTDC4046\2017-10-01</v>
      </c>
      <c r="AF200" s="68" t="str">
        <f t="shared" si="63"/>
        <v>"C:\Program Files (x86)\AstroGrep\AstroGrep.exe" /e /r /s /spath="%USERPROFILE%\AppData\Local\Temp\OnboardLogs" /stypes="app*4046*20171001*" /stext=" 01:.+((SYSTEM_STATE.+slice.+state.+changed )|(ment ac)|(multiple cpu faults)|(system.+state.+changed )|(\[timeout)|(PRM\|1\|D)|(kpr)|(kdp)|(train st.+moving)|(\|lc)|(penalty))"</v>
      </c>
      <c r="AG200" s="172" t="str">
        <f t="shared" si="64"/>
        <v>Other</v>
      </c>
      <c r="AH200" s="70" t="str">
        <f t="shared" si="65"/>
        <v>"%USERPROFILE%\Documents\GitHub\eaglep3\Utilities\RefineRTDCRunTimes.py" --tripid 303-30 --locoid 4046 --swversion DE.1.0.9.0 --startMP 204:464 --initTime 2017-09-30T19:08:16 --startdatetime 2017-09-30T19:13:01 --delay 53 --endMP 300:23346 --enddatetime 2017-09-30T19:25:38 --enforcementcount 0 &gt;&gt;c:\users\stu\Documents\GitHub\eaglep3-reporting\EC\2017-09-30-refined-times.txt</v>
      </c>
      <c r="AI200" s="88" t="str">
        <f t="shared" si="66"/>
        <v>echo {"issue":{"subject":"","project_id":79,"tracker_id":40,"status_id":1,"priority_id":2,"assigned_to_id":338,"start_date":"2017-09-30","description":"","custom_fields":[{"id":1,"name":"Subdivision","value":"Other"},{"id":4,"name":"Milepost","value":"2.3346"},{"id":17,"name":"Train ID","value":"303-30"},{"id":16,"name":"Locomotive ID","value":"4046"},{"id":130,"name":"Impact","value":""},{"id":150,"name":"Time of Event (Mountain Time)","value":"19:25:38"},{"id":151,"name":"Denver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34" t="str">
        <f t="shared" si="67"/>
        <v>start /low /b %USERPROFILE%\Documents\GitHub\eaglep3\Utilities\DownloadLogsFromS3.py --loco 4046 --day 2017-09-30</v>
      </c>
      <c r="AN200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01:25:38"},{"id":29,"name":"Sharepoint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0" t="str">
        <f t="shared" si="69"/>
        <v>https://d0f6bd738d7f1b3e5a7ca70fe4ff75f0.us-east-1.aws.found.io/app/kibana#/discover/Steve-Slow-Train-Analysis-(2080s-and-2083s)?_g=(refreshInterval:(display:Off,pause:!f,section:0,value:0),time:(from:'2017-09-30T18:08:16-0600',mode:absolute,to:'2017-09-30T20:25:38-0600'))&amp;_a=(columns:!('Message%20ID',Summary),filters:!(),index:'emp_*',interval:auto,query:(query_string:(analyze_wildcard:!t,query:'%22rtdc.l.rtdc.4046%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634</v>
      </c>
      <c r="B201" s="7">
        <v>4051</v>
      </c>
      <c r="C201" s="21" t="s">
        <v>195</v>
      </c>
      <c r="D201" s="21" t="s">
        <v>934</v>
      </c>
      <c r="E201" s="13">
        <v>43008.15792824074</v>
      </c>
      <c r="F201" s="13">
        <v>43008.163530092592</v>
      </c>
      <c r="G201" s="7">
        <v>232</v>
      </c>
      <c r="H201" s="21" t="s">
        <v>382</v>
      </c>
      <c r="I201" s="13">
        <v>43008.169548611113</v>
      </c>
      <c r="J201" s="7">
        <v>0</v>
      </c>
      <c r="K201" s="81" t="str">
        <f t="shared" si="53"/>
        <v>4051/4052</v>
      </c>
      <c r="L201" s="175" t="str">
        <f>VLOOKUP(A201,'Trips&amp;Operators'!$C$1:$G$99911,5,FALSE)</f>
        <v>DAVIS WENDY</v>
      </c>
      <c r="M201" s="6">
        <f t="shared" si="54"/>
        <v>6.0185185211594217E-3</v>
      </c>
      <c r="N201" s="7">
        <f t="shared" si="84"/>
        <v>8.6666666704695672</v>
      </c>
      <c r="O201" s="7"/>
      <c r="P201" s="7"/>
      <c r="Q201" s="22"/>
      <c r="R201" s="166"/>
      <c r="S201" s="228">
        <f t="shared" si="85"/>
        <v>1</v>
      </c>
      <c r="T201" s="166" t="str">
        <f t="shared" si="55"/>
        <v>Southbound</v>
      </c>
      <c r="U201" s="21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4" t="str">
        <f t="shared" si="56"/>
        <v>https://d0f6bd738d7f1b3e5a7ca70fe4ff75f0.us-east-1.aws.found.io/app/kibana#/discover/Steve-Slow-Train-Analysis-(2080s-and-2083s)?_g=(refreshInterval:(display:Off,pause:!f,section:0,value:0),time:(from:'2017-09-30T02:47:25-0600',mode:absolute,to:'2017-09-30T05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1" s="215" t="str">
        <f>IF(AA201&lt;VLOOKUP(AG201,Variables!$AC$3:$AD$8,2,FALSE),"Y","N")</f>
        <v>Y</v>
      </c>
      <c r="X201" s="215">
        <f t="shared" si="57"/>
        <v>1</v>
      </c>
      <c r="Y201" s="215">
        <f t="shared" si="86"/>
        <v>2.1894</v>
      </c>
      <c r="Z201" s="215">
        <f t="shared" si="87"/>
        <v>1.6299999999999999E-2</v>
      </c>
      <c r="AA201" s="215">
        <f t="shared" si="60"/>
        <v>2.1730999999999998</v>
      </c>
      <c r="AB201" s="216" t="e">
        <f>VLOOKUP(A201,Enforcements!$C$7:$K$11,8,0)</f>
        <v>#N/A</v>
      </c>
      <c r="AC201" s="216" t="e">
        <f>VLOOKUP(A201,Enforcements!$C$7:$E$11,3,0)</f>
        <v>#N/A</v>
      </c>
      <c r="AD201" s="217">
        <f t="shared" si="61"/>
        <v>304</v>
      </c>
      <c r="AE201" s="218" t="str">
        <f t="shared" si="62"/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AF201" s="68" t="str">
        <f t="shared" si="63"/>
        <v>"C:\Program Files (x86)\AstroGrep\AstroGrep.exe" /e /r /s /spath="%USERPROFILE%\AppData\Local\Temp\OnboardLogs" /stypes="app*4051*20170930*" /stext=" 10:.+((SYSTEM_STATE.+slice.+state.+changed )|(ment ac)|(multiple cpu faults)|(system.+state.+changed )|(\[timeout)|(PRM\|1\|D)|(kpr)|(kdp)|(train st.+moving)|(\|lc)|(penalty))"</v>
      </c>
      <c r="AG201" s="172" t="str">
        <f t="shared" si="64"/>
        <v>Other</v>
      </c>
      <c r="AH201" s="70" t="str">
        <f t="shared" si="65"/>
        <v>"%USERPROFILE%\Documents\GitHub\eaglep3\Utilities\RefineRTDCRunTimes.py" --tripid 304-30 --locoid 4051 --swversion DE.1.0.9.0 --startMP 300:21894 --initTime 2017-09-30T03:47:25 --startdatetime 2017-09-30T03:55:29 --delay 232 --endMP 204:163 --enddatetime 2017-09-30T04:04:09 --enforcementcount 0 &gt;&gt;c:\users\stu\Documents\GitHub\eaglep3-reporting\EC\2017-09-30-refined-times.txt</v>
      </c>
      <c r="AI201" s="88" t="str">
        <f t="shared" si="66"/>
        <v>echo {"issue":{"subject":"","project_id":79,"tracker_id":40,"status_id":1,"priority_id":2,"assigned_to_id":338,"start_date":"2017-09-30","description":"","custom_fields":[{"id":1,"name":"Subdivision","value":"Other"},{"id":4,"name":"Milepost","value":"0.0163"},{"id":17,"name":"Train ID","value":"304-30"},{"id":16,"name":"Locomotive ID","value":"4051"},{"id":130,"name":"Impact","value":""},{"id":150,"name":"Time of Event (Mountain Time)","value":"04:04:09"},{"id":151,"name":"Denver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34" t="str">
        <f t="shared" si="67"/>
        <v>start /low /b %USERPROFILE%\Documents\GitHub\eaglep3\Utilities\DownloadLogsFromS3.py --loco 4051 --day 2017-09-30</v>
      </c>
      <c r="AN201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10:04:09"},{"id":29,"name":"Sharepoint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0" t="str">
        <f t="shared" si="69"/>
        <v>https://d0f6bd738d7f1b3e5a7ca70fe4ff75f0.us-east-1.aws.found.io/app/kibana#/discover/Steve-Slow-Train-Analysis-(2080s-and-2083s)?_g=(refreshInterval:(display:Off,pause:!f,section:0,value:0),time:(from:'2017-09-30T02:47:25-0600',mode:absolute,to:'2017-09-30T05:04:09-0600'))&amp;_a=(columns:!('Message%20ID',Summary),filters:!(),index:'emp_*',interval:auto,query:(query_string:(analyze_wildcard:!t,query:'%22rtdc.l.rtdc.4051%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796</v>
      </c>
      <c r="B202" s="7">
        <v>4020</v>
      </c>
      <c r="C202" s="21" t="s">
        <v>195</v>
      </c>
      <c r="D202" s="21" t="s">
        <v>355</v>
      </c>
      <c r="E202" s="13">
        <v>43008.819155092591</v>
      </c>
      <c r="F202" s="13">
        <v>43008.821342592593</v>
      </c>
      <c r="G202" s="7">
        <v>64</v>
      </c>
      <c r="H202" s="21" t="s">
        <v>935</v>
      </c>
      <c r="I202" s="13">
        <v>43008.8278125</v>
      </c>
      <c r="J202" s="7">
        <v>0</v>
      </c>
      <c r="K202" s="81" t="str">
        <f t="shared" si="53"/>
        <v>4019/4020</v>
      </c>
      <c r="L202" s="175" t="str">
        <f>VLOOKUP(A202,'Trips&amp;Operators'!$C$1:$G$99911,5,FALSE)</f>
        <v>HOLCOMB KAMDEN</v>
      </c>
      <c r="M202" s="6">
        <f t="shared" si="54"/>
        <v>6.4699074064265005E-3</v>
      </c>
      <c r="N202" s="7">
        <f t="shared" si="84"/>
        <v>9.3166666652541608</v>
      </c>
      <c r="O202" s="7"/>
      <c r="P202" s="7"/>
      <c r="Q202" s="22"/>
      <c r="R202" s="166"/>
      <c r="S202" s="228">
        <f t="shared" si="85"/>
        <v>1</v>
      </c>
      <c r="T202" s="166" t="str">
        <f t="shared" si="55"/>
        <v>NorthBound</v>
      </c>
      <c r="U202" s="21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4" t="str">
        <f t="shared" si="56"/>
        <v>https://d0f6bd738d7f1b3e5a7ca70fe4ff75f0.us-east-1.aws.found.io/app/kibana#/discover/Steve-Slow-Train-Analysis-(2080s-and-2083s)?_g=(refreshInterval:(display:Off,pause:!f,section:0,value:0),time:(from:'2017-09-30T18:39:35-0600',mode:absolute,to:'2017-09-30T20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215" t="str">
        <f>IF(AA202&lt;VLOOKUP(AG202,Variables!$AC$3:$AD$8,2,FALSE),"Y","N")</f>
        <v>Y</v>
      </c>
      <c r="X202" s="215">
        <f t="shared" si="57"/>
        <v>1</v>
      </c>
      <c r="Y202" s="215">
        <f t="shared" si="86"/>
        <v>4.58E-2</v>
      </c>
      <c r="Z202" s="215">
        <f t="shared" si="87"/>
        <v>2.3292999999999999</v>
      </c>
      <c r="AA202" s="215">
        <f t="shared" si="60"/>
        <v>2.2835000000000001</v>
      </c>
      <c r="AB202" s="216" t="e">
        <f>VLOOKUP(A202,Enforcements!$C$7:$K$11,8,0)</f>
        <v>#N/A</v>
      </c>
      <c r="AC202" s="216" t="e">
        <f>VLOOKUP(A202,Enforcements!$C$7:$E$11,3,0)</f>
        <v>#N/A</v>
      </c>
      <c r="AD202" s="217">
        <f t="shared" si="61"/>
        <v>305</v>
      </c>
      <c r="AE202" s="218" t="str">
        <f t="shared" si="62"/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AF202" s="68" t="str">
        <f t="shared" si="63"/>
        <v>"C:\Program Files (x86)\AstroGrep\AstroGrep.exe" /e /r /s /spath="%USERPROFILE%\AppData\Local\Temp\OnboardLogs" /stypes="app*4020*20171001*" /stext=" 01:.+((SYSTEM_STATE.+slice.+state.+changed )|(ment ac)|(multiple cpu faults)|(system.+state.+changed )|(\[timeout)|(PRM\|1\|D)|(kpr)|(kdp)|(train st.+moving)|(\|lc)|(penalty))"</v>
      </c>
      <c r="AG202" s="172" t="str">
        <f t="shared" si="64"/>
        <v>Other</v>
      </c>
      <c r="AH202" s="70" t="str">
        <f t="shared" si="65"/>
        <v>"%USERPROFILE%\Documents\GitHub\eaglep3\Utilities\RefineRTDCRunTimes.py" --tripid 305-30 --locoid 4020 --swversion DE.1.0.9.0 --startMP 204:458 --initTime 2017-09-30T19:39:35 --startdatetime 2017-09-30T19:42:44 --delay 64 --endMP 300:23293 --enddatetime 2017-09-30T19:52:03 --enforcementcount 0 &gt;&gt;c:\users\stu\Documents\GitHub\eaglep3-reporting\EC\2017-09-30-refined-times.txt</v>
      </c>
      <c r="AI202" s="88" t="str">
        <f t="shared" si="66"/>
        <v>echo {"issue":{"subject":"","project_id":79,"tracker_id":40,"status_id":1,"priority_id":2,"assigned_to_id":338,"start_date":"2017-09-30","description":"","custom_fields":[{"id":1,"name":"Subdivision","value":"Other"},{"id":4,"name":"Milepost","value":"2.3293"},{"id":17,"name":"Train ID","value":"305-30"},{"id":16,"name":"Locomotive ID","value":"4020"},{"id":130,"name":"Impact","value":""},{"id":150,"name":"Time of Event (Mountain Time)","value":"19:52:03"},{"id":151,"name":"Denver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34" t="str">
        <f t="shared" si="67"/>
        <v>start /low /b %USERPROFILE%\Documents\GitHub\eaglep3\Utilities\DownloadLogsFromS3.py --loco 4020 --day 2017-09-30</v>
      </c>
      <c r="AN202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01:52:03"},{"id":29,"name":"Sharepoint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0" t="str">
        <f t="shared" si="69"/>
        <v>https://d0f6bd738d7f1b3e5a7ca70fe4ff75f0.us-east-1.aws.found.io/app/kibana#/discover/Steve-Slow-Train-Analysis-(2080s-and-2083s)?_g=(refreshInterval:(display:Off,pause:!f,section:0,value:0),time:(from:'2017-09-30T18:39:35-0600',mode:absolute,to:'2017-09-30T20:52:03-0600'))&amp;_a=(columns:!('Message%20ID',Summary),filters:!(),index:'emp_*',interval:auto,query:(query_string:(analyze_wildcard:!t,query:'%22rtdc.l.rtdc.4020%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635</v>
      </c>
      <c r="B203" s="7">
        <v>4039</v>
      </c>
      <c r="C203" s="21" t="s">
        <v>195</v>
      </c>
      <c r="D203" s="21" t="s">
        <v>936</v>
      </c>
      <c r="E203" s="13">
        <v>43008.171354166669</v>
      </c>
      <c r="F203" s="13">
        <v>43008.174953703703</v>
      </c>
      <c r="G203" s="7">
        <v>57</v>
      </c>
      <c r="H203" s="21" t="s">
        <v>363</v>
      </c>
      <c r="I203" s="13">
        <v>43008.180821759262</v>
      </c>
      <c r="J203" s="7">
        <v>0</v>
      </c>
      <c r="K203" s="81" t="str">
        <f t="shared" si="53"/>
        <v>4039/4040</v>
      </c>
      <c r="L203" s="175" t="str">
        <f>VLOOKUP(A203,'Trips&amp;Operators'!$C$1:$G$99911,5,FALSE)</f>
        <v>GEBRETEKLE DAGNEW</v>
      </c>
      <c r="M203" s="6">
        <f t="shared" si="54"/>
        <v>5.8680555594037287E-3</v>
      </c>
      <c r="N203" s="7">
        <f t="shared" si="84"/>
        <v>8.4500000055413693</v>
      </c>
      <c r="O203" s="7"/>
      <c r="P203" s="7"/>
      <c r="Q203" s="22"/>
      <c r="R203" s="166"/>
      <c r="S203" s="228">
        <f t="shared" si="85"/>
        <v>1</v>
      </c>
      <c r="T203" s="166" t="str">
        <f t="shared" si="55"/>
        <v>Southbound</v>
      </c>
      <c r="U203" s="21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4" t="str">
        <f t="shared" si="56"/>
        <v>https://d0f6bd738d7f1b3e5a7ca70fe4ff75f0.us-east-1.aws.found.io/app/kibana#/discover/Steve-Slow-Train-Analysis-(2080s-and-2083s)?_g=(refreshInterval:(display:Off,pause:!f,section:0,value:0),time:(from:'2017-09-30T03:06:45-0600',mode:absolute,to:'2017-09-30T05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3" s="215" t="str">
        <f>IF(AA203&lt;VLOOKUP(AG203,Variables!$AC$3:$AD$8,2,FALSE),"Y","N")</f>
        <v>Y</v>
      </c>
      <c r="X203" s="215">
        <f t="shared" si="57"/>
        <v>1</v>
      </c>
      <c r="Y203" s="215">
        <f t="shared" si="86"/>
        <v>2.3681999999999999</v>
      </c>
      <c r="Z203" s="215">
        <f t="shared" si="87"/>
        <v>1.5599999999999999E-2</v>
      </c>
      <c r="AA203" s="215">
        <f t="shared" si="60"/>
        <v>2.3525999999999998</v>
      </c>
      <c r="AB203" s="216" t="e">
        <f>VLOOKUP(A203,Enforcements!$C$7:$K$11,8,0)</f>
        <v>#N/A</v>
      </c>
      <c r="AC203" s="216" t="e">
        <f>VLOOKUP(A203,Enforcements!$C$7:$E$11,3,0)</f>
        <v>#N/A</v>
      </c>
      <c r="AD203" s="217">
        <f t="shared" si="61"/>
        <v>306</v>
      </c>
      <c r="AE203" s="218" t="str">
        <f t="shared" si="62"/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AF203" s="68" t="str">
        <f t="shared" si="63"/>
        <v>"C:\Program Files (x86)\AstroGrep\AstroGrep.exe" /e /r /s /spath="%USERPROFILE%\AppData\Local\Temp\OnboardLogs" /stypes="app*4039*20170930*" /stext=" 10:.+((SYSTEM_STATE.+slice.+state.+changed )|(ment ac)|(multiple cpu faults)|(system.+state.+changed )|(\[timeout)|(PRM\|1\|D)|(kpr)|(kdp)|(train st.+moving)|(\|lc)|(penalty))"</v>
      </c>
      <c r="AG203" s="172" t="str">
        <f t="shared" si="64"/>
        <v>Other</v>
      </c>
      <c r="AH203" s="70" t="str">
        <f t="shared" si="65"/>
        <v>"%USERPROFILE%\Documents\GitHub\eaglep3\Utilities\RefineRTDCRunTimes.py" --tripid 306-30 --locoid 4039 --swversion DE.1.0.9.0 --startMP 300:23682 --initTime 2017-09-30T04:06:45 --startdatetime 2017-09-30T04:11:56 --delay 57 --endMP 204:156 --enddatetime 2017-09-30T04:20:23 --enforcementcount 0 &gt;&gt;c:\users\stu\Documents\GitHub\eaglep3-reporting\EC\2017-09-30-refined-times.txt</v>
      </c>
      <c r="AI203" s="88" t="str">
        <f t="shared" si="66"/>
        <v>echo {"issue":{"subject":"","project_id":79,"tracker_id":40,"status_id":1,"priority_id":2,"assigned_to_id":338,"start_date":"2017-09-30","description":"","custom_fields":[{"id":1,"name":"Subdivision","value":"Other"},{"id":4,"name":"Milepost","value":"0.0156"},{"id":17,"name":"Train ID","value":"306-30"},{"id":16,"name":"Locomotive ID","value":"4039"},{"id":130,"name":"Impact","value":""},{"id":150,"name":"Time of Event (Mountain Time)","value":"04:20:23"},{"id":151,"name":"Denver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34" t="str">
        <f t="shared" si="67"/>
        <v>start /low /b %USERPROFILE%\Documents\GitHub\eaglep3\Utilities\DownloadLogsFromS3.py --loco 4039 --day 2017-09-30</v>
      </c>
      <c r="AN203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10:20:23"},{"id":29,"name":"Sharepoint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0" t="str">
        <f t="shared" si="69"/>
        <v>https://d0f6bd738d7f1b3e5a7ca70fe4ff75f0.us-east-1.aws.found.io/app/kibana#/discover/Steve-Slow-Train-Analysis-(2080s-and-2083s)?_g=(refreshInterval:(display:Off,pause:!f,section:0,value:0),time:(from:'2017-09-30T03:06:45-0600',mode:absolute,to:'2017-09-30T05:20:23-0600'))&amp;_a=(columns:!('Message%20ID',Summary),filters:!(),index:'emp_*',interval:auto,query:(query_string:(analyze_wildcard:!t,query:'%22rtdc.l.rtdc.4039%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824</v>
      </c>
      <c r="B204" s="7">
        <v>4010</v>
      </c>
      <c r="C204" s="21" t="s">
        <v>195</v>
      </c>
      <c r="D204" s="21" t="s">
        <v>937</v>
      </c>
      <c r="E204" s="13">
        <v>43009.049687500003</v>
      </c>
      <c r="F204" s="13">
        <v>43009.051018518519</v>
      </c>
      <c r="G204" s="7">
        <v>62</v>
      </c>
      <c r="H204" s="21" t="s">
        <v>414</v>
      </c>
      <c r="I204" s="13">
        <v>43009.061249999999</v>
      </c>
      <c r="J204" s="7">
        <v>0</v>
      </c>
      <c r="K204" s="81" t="str">
        <f t="shared" si="53"/>
        <v>4009/4010</v>
      </c>
      <c r="L204" s="175" t="str">
        <f>VLOOKUP(A204,'Trips&amp;Operators'!$C$1:$G$99911,5,FALSE)</f>
        <v>FORTUNATO FRANK</v>
      </c>
      <c r="M204" s="6">
        <f t="shared" si="54"/>
        <v>1.0231481479422655E-2</v>
      </c>
      <c r="N204" s="7">
        <f t="shared" si="84"/>
        <v>14.733333330368623</v>
      </c>
      <c r="O204" s="7"/>
      <c r="P204" s="7"/>
      <c r="Q204" s="22"/>
      <c r="R204" s="166"/>
      <c r="S204" s="228">
        <f t="shared" si="85"/>
        <v>1</v>
      </c>
      <c r="T204" s="166" t="str">
        <f t="shared" si="55"/>
        <v>NorthBound</v>
      </c>
      <c r="U204" s="21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4" t="str">
        <f t="shared" si="56"/>
        <v>https://d0f6bd738d7f1b3e5a7ca70fe4ff75f0.us-east-1.aws.found.io/app/kibana#/discover/Steve-Slow-Train-Analysis-(2080s-and-2083s)?_g=(refreshInterval:(display:Off,pause:!f,section:0,value:0),time:(from:'2017-10-01T00:11:33-0600',mode:absolute,to:'2017-10-01T02:28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215" t="str">
        <f>IF(AA204&lt;VLOOKUP(AG204,Variables!$AC$3:$AD$8,2,FALSE),"Y","N")</f>
        <v>Y</v>
      </c>
      <c r="X204" s="215">
        <f t="shared" si="57"/>
        <v>1</v>
      </c>
      <c r="Y204" s="215">
        <f t="shared" si="86"/>
        <v>5.4600000000000003E-2</v>
      </c>
      <c r="Z204" s="215">
        <f t="shared" si="87"/>
        <v>2.3346</v>
      </c>
      <c r="AA204" s="215">
        <f t="shared" si="60"/>
        <v>2.2799999999999998</v>
      </c>
      <c r="AB204" s="216" t="e">
        <f>VLOOKUP(A204,Enforcements!$C$7:$K$11,8,0)</f>
        <v>#N/A</v>
      </c>
      <c r="AC204" s="216" t="e">
        <f>VLOOKUP(A204,Enforcements!$C$7:$E$11,3,0)</f>
        <v>#N/A</v>
      </c>
      <c r="AD204" s="217">
        <f t="shared" si="61"/>
        <v>307</v>
      </c>
      <c r="AE204" s="218" t="str">
        <f t="shared" si="62"/>
        <v>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 &amp; aws s3 cp s3://rtdc.mdm.uploadarchive.raw/RTDC4010/ "%USERPROFILE%\AppData\Local\Temp\OnboardLogs"\RTDC4010\2017-10-02 --exclude "*" --recursive --include "*20171002*" &amp; "%USERPROFILE%\Documents\GitHub\mrs-test-scripts\Headless Mode &amp; Sideloading\WalkAndUnGZ.bat" "%USERPROFILE%\AppData\Local\Temp\OnboardLogs"\RTDC4010\2017-10-02</v>
      </c>
      <c r="AF204" s="68" t="str">
        <f t="shared" si="63"/>
        <v>"C:\Program Files (x86)\AstroGrep\AstroGrep.exe" /e /r /s /spath="%USERPROFILE%\AppData\Local\Temp\OnboardLogs" /stypes="app*4010*20171001*" /stext=" 07:.+((SYSTEM_STATE.+slice.+state.+changed )|(ment ac)|(multiple cpu faults)|(system.+state.+changed )|(\[timeout)|(PRM\|1\|D)|(kpr)|(kdp)|(train st.+moving)|(\|lc)|(penalty))"</v>
      </c>
      <c r="AG204" s="172" t="str">
        <f t="shared" si="64"/>
        <v>Other</v>
      </c>
      <c r="AH204" s="70" t="str">
        <f t="shared" si="65"/>
        <v>"%USERPROFILE%\Documents\GitHub\eaglep3\Utilities\RefineRTDCRunTimes.py" --tripid 307-30 --locoid 4010 --swversion DE.1.0.9.0 --startMP 204:546 --initTime 2017-10-01T01:11:33 --startdatetime 2017-10-01T01:13:28 --delay 62 --endMP 300:23346 --enddatetime 2017-10-01T01:28:12 --enforcementcount 0 &gt;&gt;c:\users\stu\Documents\GitHub\eaglep3-reporting\EC\2017-09-30-refined-times.txt</v>
      </c>
      <c r="AI204" s="88" t="str">
        <f t="shared" si="66"/>
        <v>echo {"issue":{"subject":"","project_id":79,"tracker_id":40,"status_id":1,"priority_id":2,"assigned_to_id":338,"start_date":"2017-10-01","description":"","custom_fields":[{"id":1,"name":"Subdivision","value":"Other"},{"id":4,"name":"Milepost","value":"2.3346"},{"id":17,"name":"Train ID","value":"307-30"},{"id":16,"name":"Locomotive ID","value":"4010"},{"id":130,"name":"Impact","value":""},{"id":150,"name":"Time of Event (Mountain Time)","value":"01:28:12"},{"id":151,"name":"Denver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34" t="str">
        <f t="shared" si="67"/>
        <v>start /low /b %USERPROFILE%\Documents\GitHub\eaglep3\Utilities\DownloadLogsFromS3.py --loco 4010 --day 2017-10-01</v>
      </c>
      <c r="AN204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07:28:12"},{"id":29,"name":"Sharepoint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0" t="str">
        <f t="shared" si="69"/>
        <v>https://d0f6bd738d7f1b3e5a7ca70fe4ff75f0.us-east-1.aws.found.io/app/kibana#/discover/Steve-Slow-Train-Analysis-(2080s-and-2083s)?_g=(refreshInterval:(display:Off,pause:!f,section:0,value:0),time:(from:'2017-10-01T00:11:33-0600',mode:absolute,to:'2017-10-01T02:28:12-0600'))&amp;_a=(columns:!('Message%20ID',Summary),filters:!(),index:'emp_*',interval:auto,query:(query_string:(analyze_wildcard:!t,query:'%22rtdc.l.rtdc.4010%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585</v>
      </c>
      <c r="B205" s="7">
        <v>4055</v>
      </c>
      <c r="C205" s="21" t="s">
        <v>195</v>
      </c>
      <c r="D205" s="21" t="s">
        <v>938</v>
      </c>
      <c r="E205" s="13">
        <v>43008.181550925925</v>
      </c>
      <c r="F205" s="13">
        <v>43008.185231481482</v>
      </c>
      <c r="G205" s="7">
        <v>66</v>
      </c>
      <c r="H205" s="21" t="s">
        <v>939</v>
      </c>
      <c r="I205" s="13">
        <v>43008.18949074074</v>
      </c>
      <c r="J205" s="7">
        <v>0</v>
      </c>
      <c r="K205" s="81" t="str">
        <f t="shared" ref="K205:K219" si="88">IF(ISEVEN(B205),(B205-1)&amp;"/"&amp;B205,B205&amp;"/"&amp;(B205+1))</f>
        <v>4055/4056</v>
      </c>
      <c r="L205" s="175" t="str">
        <f>VLOOKUP(A205,'Trips&amp;Operators'!$C$1:$G$99911,5,FALSE)</f>
        <v>LALONDE GREGORY</v>
      </c>
      <c r="M205" s="6">
        <f t="shared" ref="M205:M219" si="89">I205-F205</f>
        <v>4.2592592581058852E-3</v>
      </c>
      <c r="N205" s="7">
        <f t="shared" si="84"/>
        <v>6.1333333316724747</v>
      </c>
      <c r="O205" s="7"/>
      <c r="P205" s="7"/>
      <c r="Q205" s="22"/>
      <c r="R205" s="166"/>
      <c r="S205" s="228">
        <f t="shared" si="85"/>
        <v>1</v>
      </c>
      <c r="T205" s="166" t="str">
        <f t="shared" ref="T205:T219" si="90">IF(ISEVEN(LEFT(AD205,4)),"Southbound","NorthBound")</f>
        <v>Southbound</v>
      </c>
      <c r="U205" s="21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4" t="str">
        <f t="shared" ref="V205:V219" si="9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-30T03:21:26-0600',mode:absolute,to:'2017-09-30T05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5" s="215" t="str">
        <f>IF(AA205&lt;VLOOKUP(AG205,Variables!$AC$3:$AD$8,2,FALSE),"Y","N")</f>
        <v>Y</v>
      </c>
      <c r="X205" s="215">
        <f t="shared" ref="X205:X219" si="92">VALUE(LEFT(AD205,4))-VALUE(LEFT(AD204,4))</f>
        <v>1</v>
      </c>
      <c r="Y205" s="215">
        <f t="shared" si="86"/>
        <v>2.3677000000000001</v>
      </c>
      <c r="Z205" s="215">
        <f t="shared" si="87"/>
        <v>0.45300000000000001</v>
      </c>
      <c r="AA205" s="215">
        <f t="shared" ref="AA205:AA219" si="93">ABS(Z205-Y205)</f>
        <v>1.9147000000000001</v>
      </c>
      <c r="AB205" s="216" t="e">
        <f>VLOOKUP(A205,Enforcements!$C$7:$K$11,8,0)</f>
        <v>#N/A</v>
      </c>
      <c r="AC205" s="216" t="e">
        <f>VLOOKUP(A205,Enforcements!$C$7:$E$11,3,0)</f>
        <v>#N/A</v>
      </c>
      <c r="AD205" s="217">
        <f t="shared" ref="AD205:AD219" si="94">VALUE(LEFT(A205,LEN(A205)-3))</f>
        <v>308</v>
      </c>
      <c r="AE205" s="218" t="str">
        <f t="shared" ref="AE205:AE219" si="9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s3://rtdc.mdm.uploadarchive.raw/RTDC4055/ "%USERPROFILE%\AppData\Local\Temp\OnboardLogs"\RTDC4055\2017-09-30 --exclude "*" --recursive --include "*20170930*" &amp; "%USERPROFILE%\Documents\GitHub\mrs-test-scripts\Headless Mode &amp; Sideloading\WalkAndUnGZ.bat" "%USERPROFILE%\AppData\Local\Temp\OnboardLogs"\RTDC4055\2017-09-30 &amp; aws s3 cp s3://rtdc.mdm.uploadarchive.raw/RTDC4055/ "%USERPROFILE%\AppData\Local\Temp\OnboardLogs"\RTDC4055\2017-10-01 --exclude "*" --recursive --include "*20171001*" &amp; "%USERPROFILE%\Documents\GitHub\mrs-test-scripts\Headless Mode &amp; Sideloading\WalkAndUnGZ.bat" "%USERPROFILE%\AppData\Local\Temp\OnboardLogs"\RTDC4055\2017-10-01</v>
      </c>
      <c r="AF205" s="68" t="str">
        <f t="shared" ref="AF205:AF219" si="9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/stypes="app*4055*20170930*" /stext=" 10:.+((SYSTEM_STATE.+slice.+state.+changed )|(ment ac)|(multiple cpu faults)|(system.+state.+changed )|(\[timeout)|(PRM\|1\|D)|(kpr)|(kdp)|(train st.+moving)|(\|lc)|(penalty))"</v>
      </c>
      <c r="AG205" s="172" t="str">
        <f t="shared" ref="AG205:AG219" si="97">DetSubdiv(A205)</f>
        <v>Other</v>
      </c>
      <c r="AH205" s="70" t="str">
        <f t="shared" si="65"/>
        <v>"%USERPROFILE%\Documents\GitHub\eaglep3\Utilities\RefineRTDCRunTimes.py" --tripid 308-30 --locoid 4055 --swversion DE.1.0.9.0 --startMP 300:23677 --initTime 2017-09-30T04:21:26 --startdatetime 2017-09-30T04:26:44 --delay 66 --endMP 204:4530 --enddatetime 2017-09-30T04:32:52 --enforcementcount 0 &gt;&gt;c:\users\stu\Documents\GitHub\eaglep3-reporting\EC\2017-09-30-refined-times.txt</v>
      </c>
      <c r="AI205" s="88" t="str">
        <f t="shared" si="66"/>
        <v>echo {"issue":{"subject":"","project_id":79,"tracker_id":40,"status_id":1,"priority_id":2,"assigned_to_id":338,"start_date":"2017-09-30","description":"","custom_fields":[{"id":1,"name":"Subdivision","value":"Other"},{"id":4,"name":"Milepost","value":"0.453"},{"id":17,"name":"Train ID","value":"308-30"},{"id":16,"name":"Locomotive ID","value":"4055"},{"id":130,"name":"Impact","value":""},{"id":150,"name":"Time of Event (Mountain Time)","value":"04:32:52"},{"id":151,"name":"Denver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34" t="str">
        <f t="shared" si="67"/>
        <v>start /low /b %USERPROFILE%\Documents\GitHub\eaglep3\Utilities\DownloadLogsFromS3.py --loco 4055 --day 2017-09-30</v>
      </c>
      <c r="AN205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10:32:52"},{"id":29,"name":"Sharepoint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0" t="str">
        <f t="shared" si="69"/>
        <v>https://d0f6bd738d7f1b3e5a7ca70fe4ff75f0.us-east-1.aws.found.io/app/kibana#/discover/Steve-Slow-Train-Analysis-(2080s-and-2083s)?_g=(refreshInterval:(display:Off,pause:!f,section:0,value:0),time:(from:'2017-09-30T03:21:26-0600',mode:absolute,to:'2017-09-30T05:32:52-0600'))&amp;_a=(columns:!('Message%20ID',Summary),filters:!(),index:'emp_*',interval:auto,query:(query_string:(analyze_wildcard:!t,query:'%22rtdc.l.rtdc.4055%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825</v>
      </c>
      <c r="B206" s="7">
        <v>4052</v>
      </c>
      <c r="C206" s="21" t="s">
        <v>195</v>
      </c>
      <c r="D206" s="21" t="s">
        <v>370</v>
      </c>
      <c r="E206" s="13">
        <v>43009.066550925927</v>
      </c>
      <c r="F206" s="13">
        <v>43009.068958333337</v>
      </c>
      <c r="G206" s="7">
        <v>64</v>
      </c>
      <c r="H206" s="21" t="s">
        <v>572</v>
      </c>
      <c r="I206" s="13">
        <v>43009.078402777777</v>
      </c>
      <c r="J206" s="7">
        <v>0</v>
      </c>
      <c r="K206" s="81" t="str">
        <f t="shared" si="88"/>
        <v>4051/4052</v>
      </c>
      <c r="L206" s="175" t="str">
        <f>VLOOKUP(A206,'Trips&amp;Operators'!$C$1:$G$99911,5,FALSE)</f>
        <v>ELBAUM MIKE</v>
      </c>
      <c r="M206" s="6">
        <f t="shared" si="89"/>
        <v>9.444444440305233E-3</v>
      </c>
      <c r="N206" s="7">
        <f t="shared" si="84"/>
        <v>13.599999994039536</v>
      </c>
      <c r="O206" s="7"/>
      <c r="P206" s="7"/>
      <c r="Q206" s="22"/>
      <c r="R206" s="166"/>
      <c r="S206" s="228">
        <f t="shared" si="85"/>
        <v>1</v>
      </c>
      <c r="T206" s="166" t="str">
        <f t="shared" si="90"/>
        <v>NorthBound</v>
      </c>
      <c r="U206" s="21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4" t="str">
        <f t="shared" si="91"/>
        <v>https://d0f6bd738d7f1b3e5a7ca70fe4ff75f0.us-east-1.aws.found.io/app/kibana#/discover/Steve-Slow-Train-Analysis-(2080s-and-2083s)?_g=(refreshInterval:(display:Off,pause:!f,section:0,value:0),time:(from:'2017-10-01T00:35:50-0600',mode:absolute,to:'2017-10-01T02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6" s="215" t="str">
        <f>IF(AA206&lt;VLOOKUP(AG206,Variables!$AC$3:$AD$8,2,FALSE),"Y","N")</f>
        <v>Y</v>
      </c>
      <c r="X206" s="215">
        <f t="shared" si="92"/>
        <v>1</v>
      </c>
      <c r="Y206" s="215">
        <f t="shared" si="86"/>
        <v>4.5999999999999999E-2</v>
      </c>
      <c r="Z206" s="215">
        <f t="shared" si="87"/>
        <v>2.3302</v>
      </c>
      <c r="AA206" s="215">
        <f t="shared" si="93"/>
        <v>2.2842000000000002</v>
      </c>
      <c r="AB206" s="216" t="e">
        <f>VLOOKUP(A206,Enforcements!$C$7:$K$11,8,0)</f>
        <v>#N/A</v>
      </c>
      <c r="AC206" s="216" t="e">
        <f>VLOOKUP(A206,Enforcements!$C$7:$E$11,3,0)</f>
        <v>#N/A</v>
      </c>
      <c r="AD206" s="217">
        <f t="shared" si="94"/>
        <v>309</v>
      </c>
      <c r="AE206" s="218" t="str">
        <f t="shared" si="95"/>
        <v>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 &amp; aws s3 cp s3://rtdc.mdm.uploadarchive.raw/RTDC4052/ "%USERPROFILE%\AppData\Local\Temp\OnboardLogs"\RTDC4052\2017-10-02 --exclude "*" --recursive --include "*20171002*" &amp; "%USERPROFILE%\Documents\GitHub\mrs-test-scripts\Headless Mode &amp; Sideloading\WalkAndUnGZ.bat" "%USERPROFILE%\AppData\Local\Temp\OnboardLogs"\RTDC4052\2017-10-02</v>
      </c>
      <c r="AF206" s="68" t="str">
        <f t="shared" si="96"/>
        <v>"C:\Program Files (x86)\AstroGrep\AstroGrep.exe" /e /r /s /spath="%USERPROFILE%\AppData\Local\Temp\OnboardLogs" /stypes="app*4052*20171001*" /stext=" 07:.+((SYSTEM_STATE.+slice.+state.+changed )|(ment ac)|(multiple cpu faults)|(system.+state.+changed )|(\[timeout)|(PRM\|1\|D)|(kpr)|(kdp)|(train st.+moving)|(\|lc)|(penalty))"</v>
      </c>
      <c r="AG206" s="172" t="str">
        <f t="shared" si="97"/>
        <v>Other</v>
      </c>
      <c r="AH206" s="70" t="str">
        <f t="shared" si="65"/>
        <v>"%USERPROFILE%\Documents\GitHub\eaglep3\Utilities\RefineRTDCRunTimes.py" --tripid 309-30 --locoid 4052 --swversion DE.1.0.9.0 --startMP 204:460 --initTime 2017-10-01T01:35:50 --startdatetime 2017-10-01T01:39:18 --delay 64 --endMP 300:23302 --enddatetime 2017-10-01T01:52:54 --enforcementcount 0 &gt;&gt;c:\users\stu\Documents\GitHub\eaglep3-reporting\EC\2017-09-30-refined-times.txt</v>
      </c>
      <c r="AI206" s="88" t="str">
        <f t="shared" si="66"/>
        <v>echo {"issue":{"subject":"","project_id":79,"tracker_id":40,"status_id":1,"priority_id":2,"assigned_to_id":338,"start_date":"2017-10-01","description":"","custom_fields":[{"id":1,"name":"Subdivision","value":"Other"},{"id":4,"name":"Milepost","value":"2.3302"},{"id":17,"name":"Train ID","value":"309-30"},{"id":16,"name":"Locomotive ID","value":"4052"},{"id":130,"name":"Impact","value":""},{"id":150,"name":"Time of Event (Mountain Time)","value":"01:52:54"},{"id":151,"name":"Denver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34" t="str">
        <f t="shared" si="67"/>
        <v>start /low /b %USERPROFILE%\Documents\GitHub\eaglep3\Utilities\DownloadLogsFromS3.py --loco 4052 --day 2017-10-01</v>
      </c>
      <c r="AN206" s="143" t="str">
        <f t="shared" si="68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07:52:54"},{"id":29,"name":"Sharepoint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0" t="str">
        <f t="shared" si="69"/>
        <v>https://d0f6bd738d7f1b3e5a7ca70fe4ff75f0.us-east-1.aws.found.io/app/kibana#/discover/Steve-Slow-Train-Analysis-(2080s-and-2083s)?_g=(refreshInterval:(display:Off,pause:!f,section:0,value:0),time:(from:'2017-10-01T00:35:50-0600',mode:absolute,to:'2017-10-01T02:52:54-0600'))&amp;_a=(columns:!('Message%20ID',Summary),filters:!(),index:'emp_*',interval:auto,query:(query_string:(analyze_wildcard:!t,query:'%22rtdc.l.rtdc.4052%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587</v>
      </c>
      <c r="B207" s="7">
        <v>4003</v>
      </c>
      <c r="C207" s="21" t="s">
        <v>195</v>
      </c>
      <c r="D207" s="21" t="s">
        <v>940</v>
      </c>
      <c r="E207" s="13">
        <v>43008.201956018522</v>
      </c>
      <c r="F207" s="13">
        <v>43008.205277777779</v>
      </c>
      <c r="G207" s="7">
        <v>69</v>
      </c>
      <c r="H207" s="21" t="s">
        <v>941</v>
      </c>
      <c r="I207" s="13">
        <v>43008.210150462961</v>
      </c>
      <c r="J207" s="7">
        <v>0</v>
      </c>
      <c r="K207" s="81" t="str">
        <f t="shared" si="88"/>
        <v>4003/4004</v>
      </c>
      <c r="L207" s="175" t="str">
        <f>VLOOKUP(A207,'Trips&amp;Operators'!$C$1:$G$99911,5,FALSE)</f>
        <v>BIRENBAUM THOMAS</v>
      </c>
      <c r="M207" s="6">
        <f t="shared" si="89"/>
        <v>4.8726851819083095E-3</v>
      </c>
      <c r="N207" s="7">
        <f t="shared" si="84"/>
        <v>7.0166666619479656</v>
      </c>
      <c r="O207" s="7"/>
      <c r="P207" s="7"/>
      <c r="Q207" s="22"/>
      <c r="R207" s="166"/>
      <c r="S207" s="228">
        <f t="shared" si="85"/>
        <v>1</v>
      </c>
      <c r="T207" s="166" t="str">
        <f t="shared" si="90"/>
        <v>Southbound</v>
      </c>
      <c r="U207" s="21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4" t="str">
        <f t="shared" si="91"/>
        <v>https://d0f6bd738d7f1b3e5a7ca70fe4ff75f0.us-east-1.aws.found.io/app/kibana#/discover/Steve-Slow-Train-Analysis-(2080s-and-2083s)?_g=(refreshInterval:(display:Off,pause:!f,section:0,value:0),time:(from:'2017-09-30T03:50:49-0600',mode:absolute,to:'2017-09-30T06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7" s="215" t="str">
        <f>IF(AA207&lt;VLOOKUP(AG207,Variables!$AC$3:$AD$8,2,FALSE),"Y","N")</f>
        <v>Y</v>
      </c>
      <c r="X207" s="215">
        <f t="shared" si="92"/>
        <v>1</v>
      </c>
      <c r="Y207" s="215">
        <f t="shared" si="86"/>
        <v>2.2277</v>
      </c>
      <c r="Z207" s="215">
        <f t="shared" si="87"/>
        <v>0.4627</v>
      </c>
      <c r="AA207" s="215">
        <f t="shared" si="93"/>
        <v>1.7650000000000001</v>
      </c>
      <c r="AB207" s="216" t="e">
        <f>VLOOKUP(A207,Enforcements!$C$7:$K$11,8,0)</f>
        <v>#N/A</v>
      </c>
      <c r="AC207" s="216" t="e">
        <f>VLOOKUP(A207,Enforcements!$C$7:$E$11,3,0)</f>
        <v>#N/A</v>
      </c>
      <c r="AD207" s="217">
        <f t="shared" si="94"/>
        <v>310</v>
      </c>
      <c r="AE207" s="218" t="str">
        <f t="shared" si="95"/>
        <v>aws s3 cp s3://rtdc.mdm.uploadarchive.raw/RTDC4003/ "%USERPROFILE%\AppData\Local\Temp\OnboardLogs"\RTDC4003\2017-09-30 --exclude "*" --recursive --include "*20170930*" &amp; "%USERPROFILE%\Documents\GitHub\mrs-test-scripts\Headless Mode &amp; Sideloading\WalkAndUnGZ.bat" "%USERPROFILE%\AppData\Local\Temp\OnboardLogs"\RTDC4003\2017-09-30 &amp; aws s3 cp s3://rtdc.mdm.uploadarchive.raw/RTDC4003/ "%USERPROFILE%\AppData\Local\Temp\OnboardLogs"\RTDC4003\2017-10-01 --exclude "*" --recursive --include "*20171001*" &amp; "%USERPROFILE%\Documents\GitHub\mrs-test-scripts\Headless Mode &amp; Sideloading\WalkAndUnGZ.bat" "%USERPROFILE%\AppData\Local\Temp\OnboardLogs"\RTDC4003\2017-10-01</v>
      </c>
      <c r="AF207" s="68" t="str">
        <f t="shared" si="96"/>
        <v>"C:\Program Files (x86)\AstroGrep\AstroGrep.exe" /e /r /s /spath="%USERPROFILE%\AppData\Local\Temp\OnboardLogs" /stypes="app*4003*20170930*" /stext=" 11:.+((SYSTEM_STATE.+slice.+state.+changed )|(ment ac)|(multiple cpu faults)|(system.+state.+changed )|(\[timeout)|(PRM\|1\|D)|(kpr)|(kdp)|(train st.+moving)|(\|lc)|(penalty))"</v>
      </c>
      <c r="AG207" s="172" t="str">
        <f t="shared" si="97"/>
        <v>Other</v>
      </c>
      <c r="AH207" s="70" t="str">
        <f t="shared" si="65"/>
        <v>"%USERPROFILE%\Documents\GitHub\eaglep3\Utilities\RefineRTDCRunTimes.py" --tripid 310-30 --locoid 4003 --swversion DE.1.0.9.0 --startMP 300:22277 --initTime 2017-09-30T04:50:49 --startdatetime 2017-09-30T04:55:36 --delay 69 --endMP 204:4627 --enddatetime 2017-09-30T05:02:37 --enforcementcount 0 &gt;&gt;c:\users\stu\Documents\GitHub\eaglep3-reporting\EC\2017-09-30-refined-times.txt</v>
      </c>
      <c r="AI207" s="88" t="str">
        <f t="shared" si="66"/>
        <v>echo {"issue":{"subject":"","project_id":79,"tracker_id":40,"status_id":1,"priority_id":2,"assigned_to_id":338,"start_date":"2017-09-30","description":"","custom_fields":[{"id":1,"name":"Subdivision","value":"Other"},{"id":4,"name":"Milepost","value":"0.4627"},{"id":17,"name":"Train ID","value":"310-30"},{"id":16,"name":"Locomotive ID","value":"4003"},{"id":130,"name":"Impact","value":""},{"id":150,"name":"Time of Event (Mountain Time)","value":"05:02:37"},{"id":151,"name":"Denver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34" t="str">
        <f t="shared" si="67"/>
        <v>start /low /b %USERPROFILE%\Documents\GitHub\eaglep3\Utilities\DownloadLogsFromS3.py --loco 4003 --day 2017-09-30</v>
      </c>
      <c r="AN207" s="143" t="str">
        <f t="shared" si="68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11:02:37"},{"id":29,"name":"Sharepoint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0" t="str">
        <f t="shared" si="69"/>
        <v>https://d0f6bd738d7f1b3e5a7ca70fe4ff75f0.us-east-1.aws.found.io/app/kibana#/discover/Steve-Slow-Train-Analysis-(2080s-and-2083s)?_g=(refreshInterval:(display:Off,pause:!f,section:0,value:0),time:(from:'2017-09-30T03:50:49-0600',mode:absolute,to:'2017-09-30T06:02:37-0600'))&amp;_a=(columns:!('Message%20ID',Summary),filters:!(),index:'emp_*',interval:auto,query:(query_string:(analyze_wildcard:!t,query:'%22rtdc.l.rtdc.4003%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827</v>
      </c>
      <c r="B208" s="7">
        <v>4040</v>
      </c>
      <c r="C208" s="21" t="s">
        <v>195</v>
      </c>
      <c r="D208" s="21" t="s">
        <v>942</v>
      </c>
      <c r="E208" s="13">
        <v>43009.08966435185</v>
      </c>
      <c r="F208" s="13">
        <v>43009.090949074074</v>
      </c>
      <c r="G208" s="7">
        <v>48</v>
      </c>
      <c r="H208" s="21" t="s">
        <v>935</v>
      </c>
      <c r="I208" s="13">
        <v>43009.110266203701</v>
      </c>
      <c r="J208" s="7">
        <v>0</v>
      </c>
      <c r="K208" s="81" t="str">
        <f t="shared" si="88"/>
        <v>4039/4040</v>
      </c>
      <c r="L208" s="175" t="str">
        <f>VLOOKUP(A208,'Trips&amp;Operators'!$C$1:$G$99911,5,FALSE)</f>
        <v>RESPASS AARON</v>
      </c>
      <c r="M208" s="6">
        <f t="shared" si="89"/>
        <v>1.9317129626870155E-2</v>
      </c>
      <c r="N208" s="7">
        <f t="shared" si="84"/>
        <v>27.816666662693024</v>
      </c>
      <c r="O208" s="7"/>
      <c r="P208" s="7"/>
      <c r="Q208" s="22"/>
      <c r="R208" s="166"/>
      <c r="S208" s="228">
        <f t="shared" si="85"/>
        <v>1</v>
      </c>
      <c r="T208" s="166" t="str">
        <f t="shared" si="90"/>
        <v>NorthBound</v>
      </c>
      <c r="U208" s="21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4" t="str">
        <f t="shared" si="91"/>
        <v>https://d0f6bd738d7f1b3e5a7ca70fe4ff75f0.us-east-1.aws.found.io/app/kibana#/discover/Steve-Slow-Train-Analysis-(2080s-and-2083s)?_g=(refreshInterval:(display:Off,pause:!f,section:0,value:0),time:(from:'2017-10-01T01:09:07-0600',mode:absolute,to:'2017-10-01T03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8" s="215" t="str">
        <f>IF(AA208&lt;VLOOKUP(AG208,Variables!$AC$3:$AD$8,2,FALSE),"Y","N")</f>
        <v>Y</v>
      </c>
      <c r="X208" s="215">
        <f t="shared" si="92"/>
        <v>1</v>
      </c>
      <c r="Y208" s="215">
        <f t="shared" si="86"/>
        <v>5.2600000000000001E-2</v>
      </c>
      <c r="Z208" s="215">
        <f t="shared" si="87"/>
        <v>2.3292999999999999</v>
      </c>
      <c r="AA208" s="215">
        <f t="shared" si="93"/>
        <v>2.2766999999999999</v>
      </c>
      <c r="AB208" s="216" t="e">
        <f>VLOOKUP(A208,Enforcements!$C$7:$K$11,8,0)</f>
        <v>#N/A</v>
      </c>
      <c r="AC208" s="216" t="e">
        <f>VLOOKUP(A208,Enforcements!$C$7:$E$11,3,0)</f>
        <v>#N/A</v>
      </c>
      <c r="AD208" s="217">
        <f t="shared" si="94"/>
        <v>311</v>
      </c>
      <c r="AE208" s="218" t="str">
        <f t="shared" si="95"/>
        <v>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 &amp; aws s3 cp s3://rtdc.mdm.uploadarchive.raw/RTDC4040/ "%USERPROFILE%\AppData\Local\Temp\OnboardLogs"\RTDC4040\2017-10-02 --exclude "*" --recursive --include "*20171002*" &amp; "%USERPROFILE%\Documents\GitHub\mrs-test-scripts\Headless Mode &amp; Sideloading\WalkAndUnGZ.bat" "%USERPROFILE%\AppData\Local\Temp\OnboardLogs"\RTDC4040\2017-10-02</v>
      </c>
      <c r="AF208" s="68" t="str">
        <f t="shared" si="96"/>
        <v>"C:\Program Files (x86)\AstroGrep\AstroGrep.exe" /e /r /s /spath="%USERPROFILE%\AppData\Local\Temp\OnboardLogs" /stypes="app*4040*20171001*" /stext=" 08:.+((SYSTEM_STATE.+slice.+state.+changed )|(ment ac)|(multiple cpu faults)|(system.+state.+changed )|(\[timeout)|(PRM\|1\|D)|(kpr)|(kdp)|(train st.+moving)|(\|lc)|(penalty))"</v>
      </c>
      <c r="AG208" s="172" t="str">
        <f t="shared" si="97"/>
        <v>Other</v>
      </c>
      <c r="AH208" s="70" t="str">
        <f t="shared" ref="AH208:AH219" si="98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311-30 --locoid 4040 --swversion DE.1.0.9.0 --startMP 204:526 --initTime 2017-10-01T02:09:07 --startdatetime 2017-10-01T02:10:58 --delay 48 --endMP 300:23293 --enddatetime 2017-10-01T02:38:47 --enforcementcount 0 &gt;&gt;c:\users\stu\Documents\GitHub\eaglep3-reporting\EC\2017-09-30-refined-times.txt</v>
      </c>
      <c r="AI208" s="88" t="str">
        <f t="shared" ref="AI208:AI219" si="99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{"issue":{"subject":"","project_id":79,"tracker_id":40,"status_id":1,"priority_id":2,"assigned_to_id":338,"start_date":"2017-10-01","description":"","custom_fields":[{"id":1,"name":"Subdivision","value":"Other"},{"id":4,"name":"Milepost","value":"2.3293"},{"id":17,"name":"Train ID","value":"311-30"},{"id":16,"name":"Locomotive ID","value":"4040"},{"id":130,"name":"Impact","value":""},{"id":150,"name":"Time of Event (Mountain Time)","value":"02:38:47"},{"id":151,"name":"Denver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34" t="str">
        <f t="shared" ref="AM208:AM219" si="100">"start /low /b "&amp;dls3logs&amp;" --loco "&amp;B208&amp;" --day "&amp;TEXT(F208,"YYYY-MM-DD")</f>
        <v>start /low /b %USERPROFILE%\Documents\GitHub\eaglep3\Utilities\DownloadLogsFromS3.py --loco 4040 --day 2017-10-01</v>
      </c>
      <c r="AN208" s="143" t="str">
        <f t="shared" ref="AN208:AN219" si="101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08:38:47"},{"id":29,"name":"Sharepoint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0" t="str">
        <f t="shared" ref="AO208:AO219" si="102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-01T01:09:07-0600',mode:absolute,to:'2017-10-01T03:38:47-0600'))&amp;_a=(columns:!('Message%20ID',Summary),filters:!(),index:'emp_*',interval:auto,query:(query_string:(analyze_wildcard:!t,query:'%22rtdc.l.rtdc.4040%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651</v>
      </c>
      <c r="B209" s="7">
        <v>4019</v>
      </c>
      <c r="C209" s="21" t="s">
        <v>195</v>
      </c>
      <c r="D209" s="21" t="s">
        <v>943</v>
      </c>
      <c r="E209" s="13">
        <v>43008.213807870372</v>
      </c>
      <c r="F209" s="13">
        <v>43008.2184837963</v>
      </c>
      <c r="G209" s="7">
        <v>167</v>
      </c>
      <c r="H209" s="21" t="s">
        <v>360</v>
      </c>
      <c r="I209" s="13">
        <v>43008.226851851854</v>
      </c>
      <c r="J209" s="7">
        <v>0</v>
      </c>
      <c r="K209" s="81" t="str">
        <f t="shared" si="88"/>
        <v>4019/4020</v>
      </c>
      <c r="L209" s="175" t="str">
        <f>VLOOKUP(A209,'Trips&amp;Operators'!$C$1:$G$99911,5,FALSE)</f>
        <v>WILLIAMS DONTE</v>
      </c>
      <c r="M209" s="6">
        <f t="shared" si="89"/>
        <v>8.3680555544560775E-3</v>
      </c>
      <c r="N209" s="7">
        <f t="shared" si="84"/>
        <v>12.049999998416752</v>
      </c>
      <c r="O209" s="7"/>
      <c r="P209" s="7"/>
      <c r="Q209" s="22"/>
      <c r="R209" s="166"/>
      <c r="S209" s="228">
        <f t="shared" si="85"/>
        <v>1</v>
      </c>
      <c r="T209" s="166" t="str">
        <f t="shared" si="90"/>
        <v>Southbound</v>
      </c>
      <c r="U209" s="21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4" t="str">
        <f t="shared" si="91"/>
        <v>https://d0f6bd738d7f1b3e5a7ca70fe4ff75f0.us-east-1.aws.found.io/app/kibana#/discover/Steve-Slow-Train-Analysis-(2080s-and-2083s)?_g=(refreshInterval:(display:Off,pause:!f,section:0,value:0),time:(from:'2017-09-30T04:07:53-0600',mode:absolute,to:'2017-09-30T06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9" s="215" t="str">
        <f>IF(AA209&lt;VLOOKUP(AG209,Variables!$AC$3:$AD$8,2,FALSE),"Y","N")</f>
        <v>Y</v>
      </c>
      <c r="X209" s="215">
        <f t="shared" si="92"/>
        <v>1</v>
      </c>
      <c r="Y209" s="215">
        <f t="shared" si="86"/>
        <v>2.3567</v>
      </c>
      <c r="Z209" s="215">
        <f t="shared" si="87"/>
        <v>1.4500000000000001E-2</v>
      </c>
      <c r="AA209" s="215">
        <f t="shared" si="93"/>
        <v>2.3422000000000001</v>
      </c>
      <c r="AB209" s="216" t="e">
        <f>VLOOKUP(A209,Enforcements!$C$7:$K$11,8,0)</f>
        <v>#N/A</v>
      </c>
      <c r="AC209" s="216" t="e">
        <f>VLOOKUP(A209,Enforcements!$C$7:$E$11,3,0)</f>
        <v>#N/A</v>
      </c>
      <c r="AD209" s="217">
        <f t="shared" si="94"/>
        <v>312</v>
      </c>
      <c r="AE209" s="218" t="str">
        <f t="shared" si="95"/>
        <v>aws s3 cp s3://rtdc.mdm.uploadarchive.raw/RTDC4019/ "%USERPROFILE%\AppData\Local\Temp\OnboardLogs"\RTDC4019\2017-09-30 --exclude "*" --recursive --include "*20170930*" &amp; "%USERPROFILE%\Documents\GitHub\mrs-test-scripts\Headless Mode &amp; Sideloading\WalkAndUnGZ.bat" "%USERPROFILE%\AppData\Local\Temp\OnboardLogs"\RTDC4019\2017-09-30 &amp; aws s3 cp s3://rtdc.mdm.uploadarchive.raw/RTDC4019/ "%USERPROFILE%\AppData\Local\Temp\OnboardLogs"\RTDC4019\2017-10-01 --exclude "*" --recursive --include "*20171001*" &amp; "%USERPROFILE%\Documents\GitHub\mrs-test-scripts\Headless Mode &amp; Sideloading\WalkAndUnGZ.bat" "%USERPROFILE%\AppData\Local\Temp\OnboardLogs"\RTDC4019\2017-10-01</v>
      </c>
      <c r="AF209" s="68" t="str">
        <f t="shared" si="96"/>
        <v>"C:\Program Files (x86)\AstroGrep\AstroGrep.exe" /e /r /s /spath="%USERPROFILE%\AppData\Local\Temp\OnboardLogs" /stypes="app*4019*20170930*" /stext=" 11:.+((SYSTEM_STATE.+slice.+state.+changed )|(ment ac)|(multiple cpu faults)|(system.+state.+changed )|(\[timeout)|(PRM\|1\|D)|(kpr)|(kdp)|(train st.+moving)|(\|lc)|(penalty))"</v>
      </c>
      <c r="AG209" s="172" t="str">
        <f t="shared" si="97"/>
        <v>Other</v>
      </c>
      <c r="AH209" s="70" t="str">
        <f t="shared" si="98"/>
        <v>"%USERPROFILE%\Documents\GitHub\eaglep3\Utilities\RefineRTDCRunTimes.py" --tripid 312-30 --locoid 4019 --swversion DE.1.0.9.0 --startMP 300:23567 --initTime 2017-09-30T05:07:53 --startdatetime 2017-09-30T05:14:37 --delay 167 --endMP 204:145 --enddatetime 2017-09-30T05:26:40 --enforcementcount 0 &gt;&gt;c:\users\stu\Documents\GitHub\eaglep3-reporting\EC\2017-09-30-refined-times.txt</v>
      </c>
      <c r="AI209" s="88" t="str">
        <f t="shared" si="99"/>
        <v>echo {"issue":{"subject":"","project_id":79,"tracker_id":40,"status_id":1,"priority_id":2,"assigned_to_id":338,"start_date":"2017-09-30","description":"","custom_fields":[{"id":1,"name":"Subdivision","value":"Other"},{"id":4,"name":"Milepost","value":"0.0145"},{"id":17,"name":"Train ID","value":"312-30"},{"id":16,"name":"Locomotive ID","value":"4019"},{"id":130,"name":"Impact","value":""},{"id":150,"name":"Time of Event (Mountain Time)","value":"05:26:40"},{"id":151,"name":"Denver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34" t="str">
        <f t="shared" si="100"/>
        <v>start /low /b %USERPROFILE%\Documents\GitHub\eaglep3\Utilities\DownloadLogsFromS3.py --loco 4019 --day 2017-09-30</v>
      </c>
      <c r="AN209" s="143" t="str">
        <f t="shared" si="101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11:26:40"},{"id":29,"name":"Sharepoint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0" t="str">
        <f t="shared" si="102"/>
        <v>https://d0f6bd738d7f1b3e5a7ca70fe4ff75f0.us-east-1.aws.found.io/app/kibana#/discover/Steve-Slow-Train-Analysis-(2080s-and-2083s)?_g=(refreshInterval:(display:Off,pause:!f,section:0,value:0),time:(from:'2017-09-30T04:07:53-0600',mode:absolute,to:'2017-09-30T06:26:40-0600'))&amp;_a=(columns:!('Message%20ID',Summary),filters:!(),index:'emp_*',interval:auto,query:(query_string:(analyze_wildcard:!t,query:'%22rtdc.l.rtdc.4019%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817</v>
      </c>
      <c r="B210" s="7">
        <v>4017</v>
      </c>
      <c r="C210" s="21" t="s">
        <v>195</v>
      </c>
      <c r="D210" s="21" t="s">
        <v>584</v>
      </c>
      <c r="E210" s="13">
        <v>43008.977881944447</v>
      </c>
      <c r="F210" s="13">
        <v>43008.979780092595</v>
      </c>
      <c r="G210" s="7">
        <v>61</v>
      </c>
      <c r="H210" s="21" t="s">
        <v>912</v>
      </c>
      <c r="I210" s="13">
        <v>43008.992164351854</v>
      </c>
      <c r="J210" s="7">
        <v>0</v>
      </c>
      <c r="K210" s="81" t="str">
        <f t="shared" si="88"/>
        <v>4017/4018</v>
      </c>
      <c r="L210" s="175" t="str">
        <f>VLOOKUP(A210,'Trips&amp;Operators'!$C$1:$G$99911,5,FALSE)</f>
        <v>SMITH MICHAEL</v>
      </c>
      <c r="M210" s="6">
        <f t="shared" si="89"/>
        <v>1.2384259258396924E-2</v>
      </c>
      <c r="N210" s="7">
        <f t="shared" si="84"/>
        <v>17.83333333209157</v>
      </c>
      <c r="O210" s="7"/>
      <c r="P210" s="7"/>
      <c r="Q210" s="22"/>
      <c r="R210" s="166"/>
      <c r="S210" s="228">
        <f t="shared" si="85"/>
        <v>0</v>
      </c>
      <c r="T210" s="166" t="str">
        <f t="shared" si="90"/>
        <v>Southbound</v>
      </c>
      <c r="U210" s="21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4" t="str">
        <f t="shared" si="91"/>
        <v>https://d0f6bd738d7f1b3e5a7ca70fe4ff75f0.us-east-1.aws.found.io/app/kibana#/discover/Steve-Slow-Train-Analysis-(2080s-and-2083s)?_g=(refreshInterval:(display:Off,pause:!f,section:0,value:0),time:(from:'2017-09-30T22:28:09-0600',mode:absolute,to:'2017-10-01T00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215" t="str">
        <f>IF(AA210&lt;VLOOKUP(AG210,Variables!$AC$3:$AD$8,2,FALSE),"Y","N")</f>
        <v>Y</v>
      </c>
      <c r="X210" s="215">
        <f t="shared" si="92"/>
        <v>1590</v>
      </c>
      <c r="Y210" s="215">
        <f t="shared" si="86"/>
        <v>5.8615000000000004</v>
      </c>
      <c r="Z210" s="215">
        <f t="shared" si="87"/>
        <v>2.8740000000000001</v>
      </c>
      <c r="AA210" s="215">
        <f t="shared" si="93"/>
        <v>2.9875000000000003</v>
      </c>
      <c r="AB210" s="216" t="e">
        <f>VLOOKUP(A210,Enforcements!$C$7:$K$11,8,0)</f>
        <v>#N/A</v>
      </c>
      <c r="AC210" s="216" t="e">
        <f>VLOOKUP(A210,Enforcements!$C$7:$E$11,3,0)</f>
        <v>#N/A</v>
      </c>
      <c r="AD210" s="217">
        <f t="shared" si="94"/>
        <v>1902</v>
      </c>
      <c r="AE210" s="218" t="str">
        <f t="shared" si="95"/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AF210" s="68" t="str">
        <f t="shared" si="96"/>
        <v>"C:\Program Files (x86)\AstroGrep\AstroGrep.exe" /e /r /s /spath="%USERPROFILE%\AppData\Local\Temp\OnboardLogs" /stypes="app*4017*20171001*" /stext=" 05:.+((SYSTEM_STATE.+slice.+state.+changed )|(ment ac)|(multiple cpu faults)|(system.+state.+changed )|(\[timeout)|(PRM\|1\|D)|(kpr)|(kdp)|(train st.+moving)|(\|lc)|(penalty))"</v>
      </c>
      <c r="AG210" s="172" t="str">
        <f t="shared" si="97"/>
        <v>Other</v>
      </c>
      <c r="AH210" s="70" t="str">
        <f t="shared" si="98"/>
        <v>"%USERPROFILE%\Documents\GitHub\eaglep3\Utilities\RefineRTDCRunTimes.py" --tripid 1902-30 --locoid 4017 --swversion DE.1.0.9.0 --startMP 300:58615 --initTime 2017-09-30T23:28:09 --startdatetime 2017-09-30T23:30:53 --delay 61 --endMP 300:28740 --enddatetime 2017-09-30T23:48:43 --enforcementcount 0 &gt;&gt;c:\users\stu\Documents\GitHub\eaglep3-reporting\EC\2017-09-30-refined-times.txt</v>
      </c>
      <c r="AI210" s="88" t="str">
        <f t="shared" si="99"/>
        <v>echo {"issue":{"subject":"","project_id":79,"tracker_id":40,"status_id":1,"priority_id":2,"assigned_to_id":338,"start_date":"2017-09-30","description":"","custom_fields":[{"id":1,"name":"Subdivision","value":"Other"},{"id":4,"name":"Milepost","value":"2.874"},{"id":17,"name":"Train ID","value":"1902-30"},{"id":16,"name":"Locomotive ID","value":"4017"},{"id":130,"name":"Impact","value":""},{"id":150,"name":"Time of Event (Mountain Time)","value":"23:48:43"},{"id":151,"name":"Denver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34" t="str">
        <f t="shared" si="100"/>
        <v>start /low /b %USERPROFILE%\Documents\GitHub\eaglep3\Utilities\DownloadLogsFromS3.py --loco 4017 --day 2017-09-30</v>
      </c>
      <c r="AN210" s="143" t="str">
        <f t="shared" si="101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05:48:43"},{"id":29,"name":"Sharepoint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0" t="str">
        <f t="shared" si="102"/>
        <v>https://d0f6bd738d7f1b3e5a7ca70fe4ff75f0.us-east-1.aws.found.io/app/kibana#/discover/Steve-Slow-Train-Analysis-(2080s-and-2083s)?_g=(refreshInterval:(display:Off,pause:!f,section:0,value:0),time:(from:'2017-09-30T22:28:09-0600',mode:absolute,to:'2017-10-01T00:48:43-0600'))&amp;_a=(columns:!('Message%20ID',Summary),filters:!(),index:'emp_*',interval:auto,query:(query_string:(analyze_wildcard:!t,query:'%22rtdc.l.rtdc.4017%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629</v>
      </c>
      <c r="B211" s="7">
        <v>4046</v>
      </c>
      <c r="C211" s="21" t="s">
        <v>195</v>
      </c>
      <c r="D211" s="21" t="s">
        <v>393</v>
      </c>
      <c r="E211" s="13">
        <v>43008.123495370368</v>
      </c>
      <c r="F211" s="13">
        <v>43008.13685185185</v>
      </c>
      <c r="G211" s="7">
        <v>72</v>
      </c>
      <c r="H211" s="21" t="s">
        <v>944</v>
      </c>
      <c r="I211" s="13">
        <v>43008.138124999998</v>
      </c>
      <c r="J211" s="7">
        <v>0</v>
      </c>
      <c r="K211" s="81" t="str">
        <f t="shared" si="88"/>
        <v>4045/4046</v>
      </c>
      <c r="L211" s="175" t="str">
        <f>VLOOKUP(A211,'Trips&amp;Operators'!$C$1:$G$99911,5,FALSE)</f>
        <v>NEWELL JAMES</v>
      </c>
      <c r="M211" s="6">
        <f t="shared" si="89"/>
        <v>1.2731481474475004E-3</v>
      </c>
      <c r="N211" s="7">
        <f t="shared" si="84"/>
        <v>1.8333333323244005</v>
      </c>
      <c r="O211" s="7"/>
      <c r="P211" s="7"/>
      <c r="Q211" s="22"/>
      <c r="R211" s="166"/>
      <c r="S211" s="228">
        <f t="shared" si="85"/>
        <v>0</v>
      </c>
      <c r="T211" s="166" t="str">
        <f t="shared" si="90"/>
        <v>NorthBound</v>
      </c>
      <c r="U211" s="21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4" t="str">
        <f t="shared" si="91"/>
        <v>https://d0f6bd738d7f1b3e5a7ca70fe4ff75f0.us-east-1.aws.found.io/app/kibana#/discover/Steve-Slow-Train-Analysis-(2080s-and-2083s)?_g=(refreshInterval:(display:Off,pause:!f,section:0,value:0),time:(from:'2017-09-30T01:57:50-0600',mode:absolute,to:'2017-09-30T04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1" s="215" t="str">
        <f>IF(AA211&lt;VLOOKUP(AG211,Variables!$AC$3:$AD$8,2,FALSE),"Y","N")</f>
        <v>Y</v>
      </c>
      <c r="X211" s="215">
        <f t="shared" si="92"/>
        <v>-1851</v>
      </c>
      <c r="Y211" s="215">
        <f t="shared" si="86"/>
        <v>4.4699999999999997E-2</v>
      </c>
      <c r="Z211" s="215">
        <f t="shared" si="87"/>
        <v>0.33</v>
      </c>
      <c r="AA211" s="215">
        <f t="shared" si="93"/>
        <v>0.2853</v>
      </c>
      <c r="AB211" s="216" t="e">
        <f>VLOOKUP(A211,Enforcements!$C$7:$K$11,8,0)</f>
        <v>#N/A</v>
      </c>
      <c r="AC211" s="216" t="e">
        <f>VLOOKUP(A211,Enforcements!$C$7:$E$11,3,0)</f>
        <v>#N/A</v>
      </c>
      <c r="AD211" s="217">
        <f t="shared" si="94"/>
        <v>51</v>
      </c>
      <c r="AE211" s="218" t="str">
        <f t="shared" si="95"/>
        <v>aws s3 cp s3://rtdc.mdm.uploadarchive.raw/RTDC4046/ "%USERPROFILE%\AppData\Local\Temp\OnboardLogs"\RTDC4046\2017-09-30 --exclude "*" --recursive --include "*20170930*" &amp; "%USERPROFILE%\Documents\GitHub\mrs-test-scripts\Headless Mode &amp; Sideloading\WalkAndUnGZ.bat" "%USERPROFILE%\AppData\Local\Temp\OnboardLogs"\RTDC4046\2017-09-30 &amp; aws s3 cp s3://rtdc.mdm.uploadarchive.raw/RTDC4046/ "%USERPROFILE%\AppData\Local\Temp\OnboardLogs"\RTDC4046\2017-10-01 --exclude "*" --recursive --include "*20171001*" &amp; "%USERPROFILE%\Documents\GitHub\mrs-test-scripts\Headless Mode &amp; Sideloading\WalkAndUnGZ.bat" "%USERPROFILE%\AppData\Local\Temp\OnboardLogs"\RTDC4046\2017-10-01</v>
      </c>
      <c r="AF211" s="68" t="str">
        <f t="shared" si="96"/>
        <v>"C:\Program Files (x86)\AstroGrep\AstroGrep.exe" /e /r /s /spath="%USERPROFILE%\AppData\Local\Temp\OnboardLogs" /stypes="app*4046*20170930*" /stext=" 09:.+((SYSTEM_STATE.+slice.+state.+changed )|(ment ac)|(multiple cpu faults)|(system.+state.+changed )|(\[timeout)|(PRM\|1\|D)|(kpr)|(kdp)|(train st.+moving)|(\|lc)|(penalty))"</v>
      </c>
      <c r="AG211" s="172" t="str">
        <f t="shared" si="97"/>
        <v>Shuttle/Test</v>
      </c>
      <c r="AH211" s="70" t="str">
        <f t="shared" si="98"/>
        <v>"%USERPROFILE%\Documents\GitHub\eaglep3\Utilities\RefineRTDCRunTimes.py" --tripid 51-30 --locoid 4046 --swversion DE.1.0.9.0 --startMP 204:447 --initTime 2017-09-30T02:57:50 --startdatetime 2017-09-30T03:17:04 --delay 72 --endMP 204:3300 --enddatetime 2017-09-30T03:18:54 --enforcementcount 0 &gt;&gt;c:\users\stu\Documents\GitHub\eaglep3-reporting\EC\2017-09-30-refined-times.txt</v>
      </c>
      <c r="AI211" s="88" t="str">
        <f t="shared" si="99"/>
        <v>echo {"issue":{"subject":"","project_id":79,"tracker_id":40,"status_id":1,"priority_id":2,"assigned_to_id":338,"start_date":"2017-09-30","description":"","custom_fields":[{"id":1,"name":"Subdivision","value":"Shuttle/Test"},{"id":4,"name":"Milepost","value":"0.33"},{"id":17,"name":"Train ID","value":"51-30"},{"id":16,"name":"Locomotive ID","value":"4046"},{"id":130,"name":"Impact","value":""},{"id":150,"name":"Time of Event (Mountain Time)","value":"03:18:54"},{"id":151,"name":"Denver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34" t="str">
        <f t="shared" si="100"/>
        <v>start /low /b %USERPROFILE%\Documents\GitHub\eaglep3\Utilities\DownloadLogsFromS3.py --loco 4046 --day 2017-09-30</v>
      </c>
      <c r="AN211" s="143" t="str">
        <f t="shared" si="101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09:18:54"},{"id":29,"name":"Sharepoint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0" t="str">
        <f t="shared" si="102"/>
        <v>https://d0f6bd738d7f1b3e5a7ca70fe4ff75f0.us-east-1.aws.found.io/app/kibana#/discover/Steve-Slow-Train-Analysis-(2080s-and-2083s)?_g=(refreshInterval:(display:Off,pause:!f,section:0,value:0),time:(from:'2017-09-30T01:57:50-0600',mode:absolute,to:'2017-09-30T04:18:54-0600'))&amp;_a=(columns:!('Message%20ID',Summary),filters:!(),index:'emp_*',interval:auto,query:(query_string:(analyze_wildcard:!t,query:'%22rtdc.l.rtdc.4046%22')),sort:!(Time.ISO8601,asc))</v>
      </c>
    </row>
    <row r="212" spans="1:91" s="20" customFormat="1" x14ac:dyDescent="0.25">
      <c r="A212" s="32" t="s">
        <v>632</v>
      </c>
      <c r="B212" s="7">
        <v>4045</v>
      </c>
      <c r="C212" s="21" t="s">
        <v>195</v>
      </c>
      <c r="D212" s="21" t="s">
        <v>945</v>
      </c>
      <c r="E212" s="13">
        <v>43008.13863425926</v>
      </c>
      <c r="F212" s="13">
        <v>43008.140034722222</v>
      </c>
      <c r="G212" s="7">
        <v>49</v>
      </c>
      <c r="H212" s="21" t="s">
        <v>946</v>
      </c>
      <c r="I212" s="13">
        <v>43008.140902777777</v>
      </c>
      <c r="J212" s="7">
        <v>0</v>
      </c>
      <c r="K212" s="81" t="str">
        <f t="shared" si="88"/>
        <v>4045/4046</v>
      </c>
      <c r="L212" s="175" t="str">
        <f>VLOOKUP(A212,'Trips&amp;Operators'!$C$1:$G$99911,5,FALSE)</f>
        <v>NEWELL JAMES</v>
      </c>
      <c r="M212" s="6">
        <f t="shared" si="89"/>
        <v>8.6805555474711582E-4</v>
      </c>
      <c r="N212" s="7">
        <f t="shared" si="84"/>
        <v>1.2499999988358468</v>
      </c>
      <c r="O212" s="7"/>
      <c r="P212" s="7"/>
      <c r="Q212" s="22"/>
      <c r="R212" s="166"/>
      <c r="S212" s="228">
        <f t="shared" si="85"/>
        <v>0</v>
      </c>
      <c r="T212" s="166" t="str">
        <f t="shared" si="90"/>
        <v>Southbound</v>
      </c>
      <c r="U212" s="21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4" t="str">
        <f t="shared" si="91"/>
        <v>https://d0f6bd738d7f1b3e5a7ca70fe4ff75f0.us-east-1.aws.found.io/app/kibana#/discover/Steve-Slow-Train-Analysis-(2080s-and-2083s)?_g=(refreshInterval:(display:Off,pause:!f,section:0,value:0),time:(from:'2017-09-30T02:19:38-0600',mode:absolute,to:'2017-09-30T04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215" t="str">
        <f>IF(AA212&lt;VLOOKUP(AG212,Variables!$AC$3:$AD$8,2,FALSE),"Y","N")</f>
        <v>Y</v>
      </c>
      <c r="X212" s="215">
        <f t="shared" si="92"/>
        <v>1</v>
      </c>
      <c r="Y212" s="215">
        <f t="shared" si="86"/>
        <v>0.29630000000000001</v>
      </c>
      <c r="Z212" s="215">
        <f t="shared" si="87"/>
        <v>0.1154</v>
      </c>
      <c r="AA212" s="215">
        <f t="shared" si="93"/>
        <v>0.18090000000000001</v>
      </c>
      <c r="AB212" s="216" t="e">
        <f>VLOOKUP(A212,Enforcements!$C$7:$K$11,8,0)</f>
        <v>#N/A</v>
      </c>
      <c r="AC212" s="216" t="e">
        <f>VLOOKUP(A212,Enforcements!$C$7:$E$11,3,0)</f>
        <v>#N/A</v>
      </c>
      <c r="AD212" s="217">
        <f t="shared" si="94"/>
        <v>52</v>
      </c>
      <c r="AE212" s="218" t="str">
        <f t="shared" si="95"/>
        <v>aws s3 cp s3://rtdc.mdm.uploadarchive.raw/RTDC4045/ "%USERPROFILE%\AppData\Local\Temp\OnboardLogs"\RTDC4045\2017-09-30 --exclude "*" --recursive --include "*20170930*" &amp; "%USERPROFILE%\Documents\GitHub\mrs-test-scripts\Headless Mode &amp; Sideloading\WalkAndUnGZ.bat" "%USERPROFILE%\AppData\Local\Temp\OnboardLogs"\RTDC4045\2017-09-30 &amp; aws s3 cp s3://rtdc.mdm.uploadarchive.raw/RTDC4045/ "%USERPROFILE%\AppData\Local\Temp\OnboardLogs"\RTDC4045\2017-10-01 --exclude "*" --recursive --include "*20171001*" &amp; "%USERPROFILE%\Documents\GitHub\mrs-test-scripts\Headless Mode &amp; Sideloading\WalkAndUnGZ.bat" "%USERPROFILE%\AppData\Local\Temp\OnboardLogs"\RTDC4045\2017-10-01</v>
      </c>
      <c r="AF212" s="68" t="str">
        <f t="shared" si="96"/>
        <v>"C:\Program Files (x86)\AstroGrep\AstroGrep.exe" /e /r /s /spath="%USERPROFILE%\AppData\Local\Temp\OnboardLogs" /stypes="app*4045*20170930*" /stext=" 09:.+((SYSTEM_STATE.+slice.+state.+changed )|(ment ac)|(multiple cpu faults)|(system.+state.+changed )|(\[timeout)|(PRM\|1\|D)|(kpr)|(kdp)|(train st.+moving)|(\|lc)|(penalty))"</v>
      </c>
      <c r="AG212" s="172" t="str">
        <f t="shared" si="97"/>
        <v>Shuttle/Test</v>
      </c>
      <c r="AH212" s="70" t="str">
        <f t="shared" si="98"/>
        <v>"%USERPROFILE%\Documents\GitHub\eaglep3\Utilities\RefineRTDCRunTimes.py" --tripid 52-30 --locoid 4045 --swversion DE.1.0.9.0 --startMP 204:2963 --initTime 2017-09-30T03:19:38 --startdatetime 2017-09-30T03:21:39 --delay 49 --endMP 204:1154 --enddatetime 2017-09-30T03:22:54 --enforcementcount 0 &gt;&gt;c:\users\stu\Documents\GitHub\eaglep3-reporting\EC\2017-09-30-refined-times.txt</v>
      </c>
      <c r="AI212" s="88" t="str">
        <f t="shared" si="99"/>
        <v>echo {"issue":{"subject":"","project_id":79,"tracker_id":40,"status_id":1,"priority_id":2,"assigned_to_id":338,"start_date":"2017-09-30","description":"","custom_fields":[{"id":1,"name":"Subdivision","value":"Shuttle/Test"},{"id":4,"name":"Milepost","value":"0.1154"},{"id":17,"name":"Train ID","value":"52-30"},{"id":16,"name":"Locomotive ID","value":"4045"},{"id":130,"name":"Impact","value":""},{"id":150,"name":"Time of Event (Mountain Time)","value":"03:22:54"},{"id":151,"name":"Denver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34" t="str">
        <f t="shared" si="100"/>
        <v>start /low /b %USERPROFILE%\Documents\GitHub\eaglep3\Utilities\DownloadLogsFromS3.py --loco 4045 --day 2017-09-30</v>
      </c>
      <c r="AN212" s="143" t="str">
        <f t="shared" si="101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09:22:54"},{"id":29,"name":"Sharepoint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0" t="str">
        <f t="shared" si="102"/>
        <v>https://d0f6bd738d7f1b3e5a7ca70fe4ff75f0.us-east-1.aws.found.io/app/kibana#/discover/Steve-Slow-Train-Analysis-(2080s-and-2083s)?_g=(refreshInterval:(display:Off,pause:!f,section:0,value:0),time:(from:'2017-09-30T02:19:38-0600',mode:absolute,to:'2017-09-30T04:22:54-0600'))&amp;_a=(columns:!('Message%20ID',Summary),filters:!(),index:'emp_*',interval:auto,query:(query_string:(analyze_wildcard:!t,query:'%22rtdc.l.rtdc.4045%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678</v>
      </c>
      <c r="B213" s="7">
        <v>4046</v>
      </c>
      <c r="C213" s="21" t="s">
        <v>195</v>
      </c>
      <c r="D213" s="21" t="s">
        <v>947</v>
      </c>
      <c r="E213" s="13">
        <v>43008.327685185184</v>
      </c>
      <c r="F213" s="13">
        <v>43008.360902777778</v>
      </c>
      <c r="G213" s="7">
        <v>71</v>
      </c>
      <c r="H213" s="21" t="s">
        <v>948</v>
      </c>
      <c r="I213" s="13">
        <v>43008.362025462964</v>
      </c>
      <c r="J213" s="7">
        <v>0</v>
      </c>
      <c r="K213" s="81" t="str">
        <f t="shared" si="88"/>
        <v>4045/4046</v>
      </c>
      <c r="L213" s="175" t="str">
        <f>VLOOKUP(A213,'Trips&amp;Operators'!$C$1:$G$99911,5,FALSE)</f>
        <v>NEWELL JAMES</v>
      </c>
      <c r="M213" s="6">
        <f t="shared" si="89"/>
        <v>1.1226851856918074E-3</v>
      </c>
      <c r="N213" s="7">
        <f t="shared" si="84"/>
        <v>1.6166666673962027</v>
      </c>
      <c r="O213" s="7"/>
      <c r="P213" s="7"/>
      <c r="Q213" s="22"/>
      <c r="R213" s="166"/>
      <c r="S213" s="228">
        <f t="shared" si="85"/>
        <v>0</v>
      </c>
      <c r="T213" s="166" t="str">
        <f t="shared" si="90"/>
        <v>NorthBound</v>
      </c>
      <c r="U213" s="21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4" t="str">
        <f t="shared" si="91"/>
        <v>https://d0f6bd738d7f1b3e5a7ca70fe4ff75f0.us-east-1.aws.found.io/app/kibana#/discover/Steve-Slow-Train-Analysis-(2080s-and-2083s)?_g=(refreshInterval:(display:Off,pause:!f,section:0,value:0),time:(from:'2017-09-30T06:51:52-0600',mode:absolute,to:'2017-09-30T09:41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3" s="215" t="str">
        <f>IF(AA213&lt;VLOOKUP(AG213,Variables!$AC$3:$AD$8,2,FALSE),"Y","N")</f>
        <v>Y</v>
      </c>
      <c r="X213" s="215">
        <f t="shared" si="92"/>
        <v>9</v>
      </c>
      <c r="Y213" s="215">
        <f t="shared" si="86"/>
        <v>0.14749999999999999</v>
      </c>
      <c r="Z213" s="215">
        <f t="shared" si="87"/>
        <v>0.33629999999999999</v>
      </c>
      <c r="AA213" s="215">
        <f t="shared" si="93"/>
        <v>0.1888</v>
      </c>
      <c r="AB213" s="216" t="e">
        <f>VLOOKUP(A213,Enforcements!$C$7:$K$11,8,0)</f>
        <v>#N/A</v>
      </c>
      <c r="AC213" s="216" t="e">
        <f>VLOOKUP(A213,Enforcements!$C$7:$E$11,3,0)</f>
        <v>#N/A</v>
      </c>
      <c r="AD213" s="217">
        <f t="shared" si="94"/>
        <v>61</v>
      </c>
      <c r="AE213" s="218" t="str">
        <f t="shared" si="95"/>
        <v>aws s3 cp s3://rtdc.mdm.uploadarchive.raw/RTDC4046/ "%USERPROFILE%\AppData\Local\Temp\OnboardLogs"\RTDC4046\2017-09-30 --exclude "*" --recursive --include "*20170930*" &amp; "%USERPROFILE%\Documents\GitHub\mrs-test-scripts\Headless Mode &amp; Sideloading\WalkAndUnGZ.bat" "%USERPROFILE%\AppData\Local\Temp\OnboardLogs"\RTDC4046\2017-09-30 &amp; aws s3 cp s3://rtdc.mdm.uploadarchive.raw/RTDC4046/ "%USERPROFILE%\AppData\Local\Temp\OnboardLogs"\RTDC4046\2017-10-01 --exclude "*" --recursive --include "*20171001*" &amp; "%USERPROFILE%\Documents\GitHub\mrs-test-scripts\Headless Mode &amp; Sideloading\WalkAndUnGZ.bat" "%USERPROFILE%\AppData\Local\Temp\OnboardLogs"\RTDC4046\2017-10-01</v>
      </c>
      <c r="AF213" s="68" t="str">
        <f t="shared" si="96"/>
        <v>"C:\Program Files (x86)\AstroGrep\AstroGrep.exe" /e /r /s /spath="%USERPROFILE%\AppData\Local\Temp\OnboardLogs" /stypes="app*4046*20170930*" /stext=" 14:.+((SYSTEM_STATE.+slice.+state.+changed )|(ment ac)|(multiple cpu faults)|(system.+state.+changed )|(\[timeout)|(PRM\|1\|D)|(kpr)|(kdp)|(train st.+moving)|(\|lc)|(penalty))"</v>
      </c>
      <c r="AG213" s="172" t="str">
        <f t="shared" si="97"/>
        <v>Shuttle/Test</v>
      </c>
      <c r="AH213" s="70" t="str">
        <f t="shared" si="98"/>
        <v>"%USERPROFILE%\Documents\GitHub\eaglep3\Utilities\RefineRTDCRunTimes.py" --tripid 61-30 --locoid 4046 --swversion DE.1.0.9.0 --startMP 204:1475 --initTime 2017-09-30T07:51:52 --startdatetime 2017-09-30T08:39:42 --delay 71 --endMP 204:3363 --enddatetime 2017-09-30T08:41:19 --enforcementcount 0 &gt;&gt;c:\users\stu\Documents\GitHub\eaglep3-reporting\EC\2017-09-30-refined-times.txt</v>
      </c>
      <c r="AI213" s="88" t="str">
        <f t="shared" si="99"/>
        <v>echo {"issue":{"subject":"","project_id":79,"tracker_id":40,"status_id":1,"priority_id":2,"assigned_to_id":338,"start_date":"2017-09-30","description":"","custom_fields":[{"id":1,"name":"Subdivision","value":"Shuttle/Test"},{"id":4,"name":"Milepost","value":"0.3363"},{"id":17,"name":"Train ID","value":"61-30"},{"id":16,"name":"Locomotive ID","value":"4046"},{"id":130,"name":"Impact","value":""},{"id":150,"name":"Time of Event (Mountain Time)","value":"08:41:19"},{"id":151,"name":"Denver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34" t="str">
        <f t="shared" si="100"/>
        <v>start /low /b %USERPROFILE%\Documents\GitHub\eaglep3\Utilities\DownloadLogsFromS3.py --loco 4046 --day 2017-09-30</v>
      </c>
      <c r="AN213" s="143" t="str">
        <f t="shared" si="101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14:41:19"},{"id":29,"name":"Sharepoint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0" t="str">
        <f t="shared" si="102"/>
        <v>https://d0f6bd738d7f1b3e5a7ca70fe4ff75f0.us-east-1.aws.found.io/app/kibana#/discover/Steve-Slow-Train-Analysis-(2080s-and-2083s)?_g=(refreshInterval:(display:Off,pause:!f,section:0,value:0),time:(from:'2017-09-30T06:51:52-0600',mode:absolute,to:'2017-09-30T09:41:19-0600'))&amp;_a=(columns:!('Message%20ID',Summary),filters:!(),index:'emp_*',interval:auto,query:(query_string:(analyze_wildcard:!t,query:'%22rtdc.l.rtdc.4046%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678</v>
      </c>
      <c r="B214" s="7">
        <v>4045</v>
      </c>
      <c r="C214" s="21" t="s">
        <v>195</v>
      </c>
      <c r="D214" s="21" t="s">
        <v>949</v>
      </c>
      <c r="E214" s="13">
        <v>43008.359583333331</v>
      </c>
      <c r="F214" s="13">
        <v>43008.360902777778</v>
      </c>
      <c r="G214" s="7">
        <v>58</v>
      </c>
      <c r="H214" s="21" t="s">
        <v>363</v>
      </c>
      <c r="I214" s="13">
        <v>43008.362025462964</v>
      </c>
      <c r="J214" s="7">
        <v>0</v>
      </c>
      <c r="K214" s="81" t="str">
        <f t="shared" si="88"/>
        <v>4045/4046</v>
      </c>
      <c r="L214" s="175" t="str">
        <f>VLOOKUP(A214,'Trips&amp;Operators'!$C$1:$G$99911,5,FALSE)</f>
        <v>NEWELL JAMES</v>
      </c>
      <c r="M214" s="6">
        <f t="shared" si="89"/>
        <v>1.1226851856918074E-3</v>
      </c>
      <c r="N214" s="7">
        <f t="shared" si="84"/>
        <v>1.6166666673962027</v>
      </c>
      <c r="O214" s="7"/>
      <c r="P214" s="7"/>
      <c r="Q214" s="22"/>
      <c r="R214" s="166"/>
      <c r="S214" s="228">
        <f t="shared" si="85"/>
        <v>0</v>
      </c>
      <c r="T214" s="166" t="str">
        <f t="shared" si="90"/>
        <v>NorthBound</v>
      </c>
      <c r="U214" s="21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4" t="str">
        <f t="shared" si="91"/>
        <v>https://d0f6bd738d7f1b3e5a7ca70fe4ff75f0.us-east-1.aws.found.io/app/kibana#/discover/Steve-Slow-Train-Analysis-(2080s-and-2083s)?_g=(refreshInterval:(display:Off,pause:!f,section:0,value:0),time:(from:'2017-09-30T07:37:48-0600',mode:absolute,to:'2017-09-30T09:41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215" t="str">
        <f>IF(AA214&lt;VLOOKUP(AG214,Variables!$AC$3:$AD$8,2,FALSE),"Y","N")</f>
        <v>Y</v>
      </c>
      <c r="X214" s="215">
        <f t="shared" si="92"/>
        <v>0</v>
      </c>
      <c r="Y214" s="215">
        <f t="shared" si="86"/>
        <v>0.30449999999999999</v>
      </c>
      <c r="Z214" s="215">
        <f t="shared" si="87"/>
        <v>1.5599999999999999E-2</v>
      </c>
      <c r="AA214" s="215">
        <f t="shared" si="93"/>
        <v>0.28889999999999999</v>
      </c>
      <c r="AB214" s="216" t="e">
        <f>VLOOKUP(A214,Enforcements!$C$7:$K$11,8,0)</f>
        <v>#N/A</v>
      </c>
      <c r="AC214" s="216" t="e">
        <f>VLOOKUP(A214,Enforcements!$C$7:$E$11,3,0)</f>
        <v>#N/A</v>
      </c>
      <c r="AD214" s="217">
        <f t="shared" si="94"/>
        <v>61</v>
      </c>
      <c r="AE214" s="218" t="str">
        <f t="shared" si="95"/>
        <v>aws s3 cp s3://rtdc.mdm.uploadarchive.raw/RTDC4045/ "%USERPROFILE%\AppData\Local\Temp\OnboardLogs"\RTDC4045\2017-09-30 --exclude "*" --recursive --include "*20170930*" &amp; "%USERPROFILE%\Documents\GitHub\mrs-test-scripts\Headless Mode &amp; Sideloading\WalkAndUnGZ.bat" "%USERPROFILE%\AppData\Local\Temp\OnboardLogs"\RTDC4045\2017-09-30 &amp; aws s3 cp s3://rtdc.mdm.uploadarchive.raw/RTDC4045/ "%USERPROFILE%\AppData\Local\Temp\OnboardLogs"\RTDC4045\2017-10-01 --exclude "*" --recursive --include "*20171001*" &amp; "%USERPROFILE%\Documents\GitHub\mrs-test-scripts\Headless Mode &amp; Sideloading\WalkAndUnGZ.bat" "%USERPROFILE%\AppData\Local\Temp\OnboardLogs"\RTDC4045\2017-10-01</v>
      </c>
      <c r="AF214" s="68" t="str">
        <f t="shared" si="96"/>
        <v>"C:\Program Files (x86)\AstroGrep\AstroGrep.exe" /e /r /s /spath="%USERPROFILE%\AppData\Local\Temp\OnboardLogs" /stypes="app*4045*20170930*" /stext=" 14:.+((SYSTEM_STATE.+slice.+state.+changed )|(ment ac)|(multiple cpu faults)|(system.+state.+changed )|(\[timeout)|(PRM\|1\|D)|(kpr)|(kdp)|(train st.+moving)|(\|lc)|(penalty))"</v>
      </c>
      <c r="AG214" s="172" t="str">
        <f t="shared" si="97"/>
        <v>Shuttle/Test</v>
      </c>
      <c r="AH214" s="70" t="str">
        <f t="shared" si="98"/>
        <v>"%USERPROFILE%\Documents\GitHub\eaglep3\Utilities\RefineRTDCRunTimes.py" --tripid 61-30 --locoid 4045 --swversion DE.1.0.9.0 --startMP 204:3045 --initTime 2017-09-30T08:37:48 --startdatetime 2017-09-30T08:39:42 --delay 58 --endMP 204:156 --enddatetime 2017-09-30T08:41:19 --enforcementcount 0 &gt;&gt;c:\users\stu\Documents\GitHub\eaglep3-reporting\EC\2017-09-30-refined-times.txt</v>
      </c>
      <c r="AI214" s="88" t="str">
        <f t="shared" si="99"/>
        <v>echo {"issue":{"subject":"","project_id":79,"tracker_id":40,"status_id":1,"priority_id":2,"assigned_to_id":338,"start_date":"2017-09-30","description":"","custom_fields":[{"id":1,"name":"Subdivision","value":"Shuttle/Test"},{"id":4,"name":"Milepost","value":"0.0156"},{"id":17,"name":"Train ID","value":"61-30"},{"id":16,"name":"Locomotive ID","value":"4045"},{"id":130,"name":"Impact","value":""},{"id":150,"name":"Time of Event (Mountain Time)","value":"08:41:19"},{"id":151,"name":"Denver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34" t="str">
        <f t="shared" si="100"/>
        <v>start /low /b %USERPROFILE%\Documents\GitHub\eaglep3\Utilities\DownloadLogsFromS3.py --loco 4045 --day 2017-09-30</v>
      </c>
      <c r="AN214" s="143" t="str">
        <f t="shared" si="101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14:41:19"},{"id":29,"name":"Sharepoint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0" t="str">
        <f t="shared" si="102"/>
        <v>https://d0f6bd738d7f1b3e5a7ca70fe4ff75f0.us-east-1.aws.found.io/app/kibana#/discover/Steve-Slow-Train-Analysis-(2080s-and-2083s)?_g=(refreshInterval:(display:Off,pause:!f,section:0,value:0),time:(from:'2017-09-30T07:37:48-0600',mode:absolute,to:'2017-09-30T09:41:19-0600'))&amp;_a=(columns:!('Message%20ID',Summary),filters:!(),index:'emp_*',interval:auto,query:(query_string:(analyze_wildcard:!t,query:'%22rtdc.l.rtdc.4045%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688</v>
      </c>
      <c r="B215" s="7">
        <v>4003</v>
      </c>
      <c r="C215" s="21" t="s">
        <v>195</v>
      </c>
      <c r="D215" s="21" t="s">
        <v>950</v>
      </c>
      <c r="E215" s="13">
        <v>43008.380162037036</v>
      </c>
      <c r="F215" s="13">
        <v>43008.381666666668</v>
      </c>
      <c r="G215" s="7">
        <v>53</v>
      </c>
      <c r="H215" s="21" t="s">
        <v>951</v>
      </c>
      <c r="I215" s="13">
        <v>43008.382407407407</v>
      </c>
      <c r="J215" s="7">
        <v>0</v>
      </c>
      <c r="K215" s="81" t="str">
        <f t="shared" si="88"/>
        <v>4003/4004</v>
      </c>
      <c r="L215" s="175" t="str">
        <f>VLOOKUP(A215,'Trips&amp;Operators'!$C$1:$G$99911,5,FALSE)</f>
        <v>NEWELL JAMES</v>
      </c>
      <c r="M215" s="6">
        <f t="shared" si="89"/>
        <v>7.4074073927477002E-4</v>
      </c>
      <c r="N215" s="7">
        <f t="shared" si="84"/>
        <v>1.0666666645556688</v>
      </c>
      <c r="O215" s="7"/>
      <c r="P215" s="7"/>
      <c r="Q215" s="22"/>
      <c r="R215" s="166"/>
      <c r="S215" s="228">
        <f t="shared" si="85"/>
        <v>0</v>
      </c>
      <c r="T215" s="166" t="str">
        <f t="shared" si="90"/>
        <v>NorthBound</v>
      </c>
      <c r="U215" s="21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4" t="str">
        <f t="shared" si="91"/>
        <v>https://d0f6bd738d7f1b3e5a7ca70fe4ff75f0.us-east-1.aws.found.io/app/kibana#/discover/Steve-Slow-Train-Analysis-(2080s-and-2083s)?_g=(refreshInterval:(display:Off,pause:!f,section:0,value:0),time:(from:'2017-09-30T08:07:26-0600',mode:absolute,to:'2017-09-30T10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5" s="215" t="str">
        <f>IF(AA215&lt;VLOOKUP(AG215,Variables!$AC$3:$AD$8,2,FALSE),"Y","N")</f>
        <v>Y</v>
      </c>
      <c r="X215" s="215">
        <f t="shared" si="92"/>
        <v>2</v>
      </c>
      <c r="Y215" s="215">
        <f t="shared" si="86"/>
        <v>0.29649999999999999</v>
      </c>
      <c r="Z215" s="215">
        <f t="shared" si="87"/>
        <v>0.1164</v>
      </c>
      <c r="AA215" s="215">
        <f t="shared" si="93"/>
        <v>0.18009999999999998</v>
      </c>
      <c r="AB215" s="216" t="e">
        <f>VLOOKUP(A215,Enforcements!$C$7:$K$11,8,0)</f>
        <v>#N/A</v>
      </c>
      <c r="AC215" s="216" t="e">
        <f>VLOOKUP(A215,Enforcements!$C$7:$E$11,3,0)</f>
        <v>#N/A</v>
      </c>
      <c r="AD215" s="217">
        <f t="shared" si="94"/>
        <v>63</v>
      </c>
      <c r="AE215" s="218" t="str">
        <f t="shared" si="95"/>
        <v>aws s3 cp s3://rtdc.mdm.uploadarchive.raw/RTDC4003/ "%USERPROFILE%\AppData\Local\Temp\OnboardLogs"\RTDC4003\2017-09-30 --exclude "*" --recursive --include "*20170930*" &amp; "%USERPROFILE%\Documents\GitHub\mrs-test-scripts\Headless Mode &amp; Sideloading\WalkAndUnGZ.bat" "%USERPROFILE%\AppData\Local\Temp\OnboardLogs"\RTDC4003\2017-09-30 &amp; aws s3 cp s3://rtdc.mdm.uploadarchive.raw/RTDC4003/ "%USERPROFILE%\AppData\Local\Temp\OnboardLogs"\RTDC4003\2017-10-01 --exclude "*" --recursive --include "*20171001*" &amp; "%USERPROFILE%\Documents\GitHub\mrs-test-scripts\Headless Mode &amp; Sideloading\WalkAndUnGZ.bat" "%USERPROFILE%\AppData\Local\Temp\OnboardLogs"\RTDC4003\2017-10-01</v>
      </c>
      <c r="AF215" s="68" t="str">
        <f t="shared" si="96"/>
        <v>"C:\Program Files (x86)\AstroGrep\AstroGrep.exe" /e /r /s /spath="%USERPROFILE%\AppData\Local\Temp\OnboardLogs" /stypes="app*4003*20170930*" /stext=" 15:.+((SYSTEM_STATE.+slice.+state.+changed )|(ment ac)|(multiple cpu faults)|(system.+state.+changed )|(\[timeout)|(PRM\|1\|D)|(kpr)|(kdp)|(train st.+moving)|(\|lc)|(penalty))"</v>
      </c>
      <c r="AG215" s="172" t="str">
        <f t="shared" si="97"/>
        <v>Shuttle/Test</v>
      </c>
      <c r="AH215" s="70" t="str">
        <f t="shared" si="98"/>
        <v>"%USERPROFILE%\Documents\GitHub\eaglep3\Utilities\RefineRTDCRunTimes.py" --tripid 63-30 --locoid 4003 --swversion DE.1.0.9.0 --startMP 204:2965 --initTime 2017-09-30T09:07:26 --startdatetime 2017-09-30T09:09:36 --delay 53 --endMP 204:1164 --enddatetime 2017-09-30T09:10:40 --enforcementcount 0 &gt;&gt;c:\users\stu\Documents\GitHub\eaglep3-reporting\EC\2017-09-30-refined-times.txt</v>
      </c>
      <c r="AI215" s="88" t="str">
        <f t="shared" si="99"/>
        <v>echo {"issue":{"subject":"","project_id":79,"tracker_id":40,"status_id":1,"priority_id":2,"assigned_to_id":338,"start_date":"2017-09-30","description":"","custom_fields":[{"id":1,"name":"Subdivision","value":"Shuttle/Test"},{"id":4,"name":"Milepost","value":"0.1164"},{"id":17,"name":"Train ID","value":"63-30"},{"id":16,"name":"Locomotive ID","value":"4003"},{"id":130,"name":"Impact","value":""},{"id":150,"name":"Time of Event (Mountain Time)","value":"09:10:40"},{"id":151,"name":"Denver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34" t="str">
        <f t="shared" si="100"/>
        <v>start /low /b %USERPROFILE%\Documents\GitHub\eaglep3\Utilities\DownloadLogsFromS3.py --loco 4003 --day 2017-09-30</v>
      </c>
      <c r="AN215" s="143" t="str">
        <f t="shared" si="101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0" t="str">
        <f t="shared" si="102"/>
        <v>https://d0f6bd738d7f1b3e5a7ca70fe4ff75f0.us-east-1.aws.found.io/app/kibana#/discover/Steve-Slow-Train-Analysis-(2080s-and-2083s)?_g=(refreshInterval:(display:Off,pause:!f,section:0,value:0),time:(from:'2017-09-30T08:07:26-0600',mode:absolute,to:'2017-09-30T10:10:40-0600'))&amp;_a=(columns:!('Message%20ID',Summary),filters:!(),index:'emp_*',interval:auto,query:(query_string:(analyze_wildcard:!t,query:'%22rtdc.l.rtdc.4003%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688</v>
      </c>
      <c r="B216" s="7">
        <v>4004</v>
      </c>
      <c r="C216" s="21" t="s">
        <v>195</v>
      </c>
      <c r="D216" s="21" t="s">
        <v>918</v>
      </c>
      <c r="E216" s="13">
        <v>43008.375937500001</v>
      </c>
      <c r="F216" s="13">
        <v>43008.381666666668</v>
      </c>
      <c r="G216" s="7">
        <v>154</v>
      </c>
      <c r="H216" s="21" t="s">
        <v>952</v>
      </c>
      <c r="I216" s="13">
        <v>43008.382407407407</v>
      </c>
      <c r="J216" s="7">
        <v>0</v>
      </c>
      <c r="K216" s="81" t="str">
        <f t="shared" si="88"/>
        <v>4003/4004</v>
      </c>
      <c r="L216" s="175" t="str">
        <f>VLOOKUP(A216,'Trips&amp;Operators'!$C$1:$G$99911,5,FALSE)</f>
        <v>NEWELL JAMES</v>
      </c>
      <c r="M216" s="6">
        <f t="shared" si="89"/>
        <v>7.4074073927477002E-4</v>
      </c>
      <c r="N216" s="7">
        <f t="shared" si="84"/>
        <v>1.0666666645556688</v>
      </c>
      <c r="O216" s="7"/>
      <c r="P216" s="7"/>
      <c r="Q216" s="22"/>
      <c r="R216" s="166"/>
      <c r="S216" s="228">
        <f t="shared" si="85"/>
        <v>0</v>
      </c>
      <c r="T216" s="166" t="str">
        <f t="shared" si="90"/>
        <v>NorthBound</v>
      </c>
      <c r="U216" s="21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4" t="str">
        <f t="shared" si="91"/>
        <v>https://d0f6bd738d7f1b3e5a7ca70fe4ff75f0.us-east-1.aws.found.io/app/kibana#/discover/Steve-Slow-Train-Analysis-(2080s-and-2083s)?_g=(refreshInterval:(display:Off,pause:!f,section:0,value:0),time:(from:'2017-09-30T08:01:21-0600',mode:absolute,to:'2017-09-30T10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215" t="str">
        <f>IF(AA216&lt;VLOOKUP(AG216,Variables!$AC$3:$AD$8,2,FALSE),"Y","N")</f>
        <v>Y</v>
      </c>
      <c r="X216" s="215">
        <f t="shared" si="92"/>
        <v>0</v>
      </c>
      <c r="Y216" s="215">
        <f t="shared" si="86"/>
        <v>4.3999999999999997E-2</v>
      </c>
      <c r="Z216" s="215">
        <f t="shared" si="87"/>
        <v>0.32940000000000003</v>
      </c>
      <c r="AA216" s="215">
        <f t="shared" si="93"/>
        <v>0.28540000000000004</v>
      </c>
      <c r="AB216" s="216" t="e">
        <f>VLOOKUP(A216,Enforcements!$C$7:$K$11,8,0)</f>
        <v>#N/A</v>
      </c>
      <c r="AC216" s="216" t="e">
        <f>VLOOKUP(A216,Enforcements!$C$7:$E$11,3,0)</f>
        <v>#N/A</v>
      </c>
      <c r="AD216" s="217">
        <f t="shared" si="94"/>
        <v>63</v>
      </c>
      <c r="AE216" s="218" t="str">
        <f t="shared" si="95"/>
        <v>aws s3 cp s3://rtdc.mdm.uploadarchive.raw/RTDC4004/ "%USERPROFILE%\AppData\Local\Temp\OnboardLogs"\RTDC4004\2017-09-30 --exclude "*" --recursive --include "*20170930*" &amp; "%USERPROFILE%\Documents\GitHub\mrs-test-scripts\Headless Mode &amp; Sideloading\WalkAndUnGZ.bat" "%USERPROFILE%\AppData\Local\Temp\OnboardLogs"\RTDC4004\2017-09-30 &amp; aws s3 cp s3://rtdc.mdm.uploadarchive.raw/RTDC4004/ "%USERPROFILE%\AppData\Local\Temp\OnboardLogs"\RTDC4004\2017-10-01 --exclude "*" --recursive --include "*20171001*" &amp; "%USERPROFILE%\Documents\GitHub\mrs-test-scripts\Headless Mode &amp; Sideloading\WalkAndUnGZ.bat" "%USERPROFILE%\AppData\Local\Temp\OnboardLogs"\RTDC4004\2017-10-01</v>
      </c>
      <c r="AF216" s="68" t="str">
        <f t="shared" si="96"/>
        <v>"C:\Program Files (x86)\AstroGrep\AstroGrep.exe" /e /r /s /spath="%USERPROFILE%\AppData\Local\Temp\OnboardLogs" /stypes="app*4004*20170930*" /stext=" 15:.+((SYSTEM_STATE.+slice.+state.+changed )|(ment ac)|(multiple cpu faults)|(system.+state.+changed )|(\[timeout)|(PRM\|1\|D)|(kpr)|(kdp)|(train st.+moving)|(\|lc)|(penalty))"</v>
      </c>
      <c r="AG216" s="172" t="str">
        <f t="shared" si="97"/>
        <v>Shuttle/Test</v>
      </c>
      <c r="AH216" s="70" t="str">
        <f t="shared" si="98"/>
        <v>"%USERPROFILE%\Documents\GitHub\eaglep3\Utilities\RefineRTDCRunTimes.py" --tripid 63-30 --locoid 4004 --swversion DE.1.0.9.0 --startMP 204:440 --initTime 2017-09-30T09:01:21 --startdatetime 2017-09-30T09:09:36 --delay 154 --endMP 204:3294 --enddatetime 2017-09-30T09:10:40 --enforcementcount 0 &gt;&gt;c:\users\stu\Documents\GitHub\eaglep3-reporting\EC\2017-09-30-refined-times.txt</v>
      </c>
      <c r="AI216" s="88" t="str">
        <f t="shared" si="99"/>
        <v>echo {"issue":{"subject":"","project_id":79,"tracker_id":40,"status_id":1,"priority_id":2,"assigned_to_id":338,"start_date":"2017-09-30","description":"","custom_fields":[{"id":1,"name":"Subdivision","value":"Shuttle/Test"},{"id":4,"name":"Milepost","value":"0.3294"},{"id":17,"name":"Train ID","value":"63-30"},{"id":16,"name":"Locomotive ID","value":"4004"},{"id":130,"name":"Impact","value":""},{"id":150,"name":"Time of Event (Mountain Time)","value":"09:10:40"},{"id":151,"name":"Denver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34" t="str">
        <f t="shared" si="100"/>
        <v>start /low /b %USERPROFILE%\Documents\GitHub\eaglep3\Utilities\DownloadLogsFromS3.py --loco 4004 --day 2017-09-30</v>
      </c>
      <c r="AN216" s="143" t="str">
        <f t="shared" si="101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15:10:40"},{"id":29,"name":"Sharepoint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0" t="str">
        <f t="shared" si="102"/>
        <v>https://d0f6bd738d7f1b3e5a7ca70fe4ff75f0.us-east-1.aws.found.io/app/kibana#/discover/Steve-Slow-Train-Analysis-(2080s-and-2083s)?_g=(refreshInterval:(display:Off,pause:!f,section:0,value:0),time:(from:'2017-09-30T08:01:21-0600',mode:absolute,to:'2017-09-30T10:10:40-0600'))&amp;_a=(columns:!('Message%20ID',Summary),filters:!(),index:'emp_*',interval:auto,query:(query_string:(analyze_wildcard:!t,query:'%22rtdc.l.rtdc.4004%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777</v>
      </c>
      <c r="B217" s="7">
        <v>4049</v>
      </c>
      <c r="C217" s="21" t="s">
        <v>195</v>
      </c>
      <c r="D217" s="21" t="s">
        <v>953</v>
      </c>
      <c r="E217" s="13">
        <v>43008.737233796295</v>
      </c>
      <c r="F217" s="13">
        <v>43008.740046296298</v>
      </c>
      <c r="G217" s="7">
        <v>143</v>
      </c>
      <c r="H217" s="21" t="s">
        <v>954</v>
      </c>
      <c r="I217" s="13">
        <v>43008.745451388888</v>
      </c>
      <c r="J217" s="7">
        <v>0</v>
      </c>
      <c r="K217" s="81" t="str">
        <f t="shared" si="88"/>
        <v>4049/4050</v>
      </c>
      <c r="L217" s="175" t="str">
        <f>VLOOKUP(A217,'Trips&amp;Operators'!$C$1:$G$99911,5,FALSE)</f>
        <v>GUNTHIER ERIC</v>
      </c>
      <c r="M217" s="6">
        <f t="shared" si="89"/>
        <v>5.4050925900810398E-3</v>
      </c>
      <c r="N217" s="7">
        <f t="shared" si="84"/>
        <v>7.7833333297166973</v>
      </c>
      <c r="O217" s="7"/>
      <c r="P217" s="7"/>
      <c r="Q217" s="22"/>
      <c r="R217" s="166"/>
      <c r="S217" s="228">
        <f t="shared" si="85"/>
        <v>1</v>
      </c>
      <c r="T217" s="166" t="str">
        <f t="shared" si="90"/>
        <v>Southbound</v>
      </c>
      <c r="U217" s="21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4" t="str">
        <f t="shared" si="91"/>
        <v>https://d0f6bd738d7f1b3e5a7ca70fe4ff75f0.us-east-1.aws.found.io/app/kibana#/discover/Steve-Slow-Train-Analysis-(2080s-and-2083s)?_g=(refreshInterval:(display:Off,pause:!f,section:0,value:0),time:(from:'2017-09-30T16:41:37-0600',mode:absolute,to:'2017-09-30T18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7" s="215" t="str">
        <f>IF(AA217&lt;VLOOKUP(AG217,Variables!$AC$3:$AD$8,2,FALSE),"Y","N")</f>
        <v>Y</v>
      </c>
      <c r="X217" s="215">
        <f t="shared" si="92"/>
        <v>3</v>
      </c>
      <c r="Y217" s="215">
        <f t="shared" si="86"/>
        <v>2.3344999999999998</v>
      </c>
      <c r="Z217" s="215">
        <f t="shared" si="87"/>
        <v>0.2223</v>
      </c>
      <c r="AA217" s="215">
        <f t="shared" si="93"/>
        <v>2.1121999999999996</v>
      </c>
      <c r="AB217" s="216" t="e">
        <f>VLOOKUP(A217,Enforcements!$C$7:$K$11,8,0)</f>
        <v>#N/A</v>
      </c>
      <c r="AC217" s="216" t="e">
        <f>VLOOKUP(A217,Enforcements!$C$7:$E$11,3,0)</f>
        <v>#N/A</v>
      </c>
      <c r="AD217" s="217">
        <f t="shared" si="94"/>
        <v>66</v>
      </c>
      <c r="AE217" s="218" t="str">
        <f t="shared" si="95"/>
        <v>aws s3 cp s3://rtdc.mdm.uploadarchive.raw/RTDC4049/ "%USERPROFILE%\AppData\Local\Temp\OnboardLogs"\RTDC4049\2017-09-30 --exclude "*" --recursive --include "*20170930*" &amp; "%USERPROFILE%\Documents\GitHub\mrs-test-scripts\Headless Mode &amp; Sideloading\WalkAndUnGZ.bat" "%USERPROFILE%\AppData\Local\Temp\OnboardLogs"\RTDC4049\2017-09-30 &amp; 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</v>
      </c>
      <c r="AF217" s="68" t="str">
        <f t="shared" si="96"/>
        <v>"C:\Program Files (x86)\AstroGrep\AstroGrep.exe" /e /r /s /spath="%USERPROFILE%\AppData\Local\Temp\OnboardLogs" /stypes="app*4049*20170930*" /stext=" 23:.+((SYSTEM_STATE.+slice.+state.+changed )|(ment ac)|(multiple cpu faults)|(system.+state.+changed )|(\[timeout)|(PRM\|1\|D)|(kpr)|(kdp)|(train st.+moving)|(\|lc)|(penalty))"</v>
      </c>
      <c r="AG217" s="172" t="str">
        <f t="shared" si="97"/>
        <v>Shuttle/Test</v>
      </c>
      <c r="AH217" s="70" t="str">
        <f t="shared" si="98"/>
        <v>"%USERPROFILE%\Documents\GitHub\eaglep3\Utilities\RefineRTDCRunTimes.py" --tripid 66-30 --locoid 4049 --swversion DE.1.0.9.0 --startMP 300:23345 --initTime 2017-09-30T17:41:37 --startdatetime 2017-09-30T17:45:40 --delay 143 --endMP 204:2223 --enddatetime 2017-09-30T17:53:27 --enforcementcount 0 &gt;&gt;c:\users\stu\Documents\GitHub\eaglep3-reporting\EC\2017-09-30-refined-times.txt</v>
      </c>
      <c r="AI217" s="88" t="str">
        <f t="shared" si="99"/>
        <v>echo {"issue":{"subject":"","project_id":79,"tracker_id":40,"status_id":1,"priority_id":2,"assigned_to_id":338,"start_date":"2017-09-30","description":"","custom_fields":[{"id":1,"name":"Subdivision","value":"Shuttle/Test"},{"id":4,"name":"Milepost","value":"0.2223"},{"id":17,"name":"Train ID","value":"66-30"},{"id":16,"name":"Locomotive ID","value":"4049"},{"id":130,"name":"Impact","value":""},{"id":150,"name":"Time of Event (Mountain Time)","value":"17:53:27"},{"id":151,"name":"Denver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34" t="str">
        <f t="shared" si="100"/>
        <v>start /low /b %USERPROFILE%\Documents\GitHub\eaglep3\Utilities\DownloadLogsFromS3.py --loco 4049 --day 2017-09-30</v>
      </c>
      <c r="AN217" s="143" t="str">
        <f t="shared" si="101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0" t="str">
        <f t="shared" si="102"/>
        <v>https://d0f6bd738d7f1b3e5a7ca70fe4ff75f0.us-east-1.aws.found.io/app/kibana#/discover/Steve-Slow-Train-Analysis-(2080s-and-2083s)?_g=(refreshInterval:(display:Off,pause:!f,section:0,value:0),time:(from:'2017-09-30T16:41:37-0600',mode:absolute,to:'2017-09-30T18:53:27-0600'))&amp;_a=(columns:!('Message%20ID',Summary),filters:!(),index:'emp_*',interval:auto,query:(query_string:(analyze_wildcard:!t,query:'%22rtdc.l.rtdc.4049%22')),sort:!(Time.ISO8601,asc))</v>
      </c>
    </row>
    <row r="218" spans="1:91" x14ac:dyDescent="0.25">
      <c r="A218" s="32" t="s">
        <v>760</v>
      </c>
      <c r="B218" s="7">
        <v>4004</v>
      </c>
      <c r="C218" s="21" t="s">
        <v>195</v>
      </c>
      <c r="D218" s="21" t="s">
        <v>947</v>
      </c>
      <c r="E218" s="13">
        <v>43008.68204861111</v>
      </c>
      <c r="F218" s="13">
        <v>43008.691354166665</v>
      </c>
      <c r="G218" s="7">
        <v>70</v>
      </c>
      <c r="H218" s="21" t="s">
        <v>414</v>
      </c>
      <c r="I218" s="13">
        <v>43008.721736111111</v>
      </c>
      <c r="J218" s="7">
        <v>0</v>
      </c>
      <c r="K218" s="81" t="str">
        <f t="shared" si="88"/>
        <v>4003/4004</v>
      </c>
      <c r="L218" s="175" t="str">
        <f>VLOOKUP(A218,'Trips&amp;Operators'!$C$1:$G$99911,5,FALSE)</f>
        <v>MCREYNOLDS KYLE</v>
      </c>
      <c r="M218" s="6">
        <f t="shared" si="89"/>
        <v>3.0381944445252884E-2</v>
      </c>
      <c r="N218" s="7">
        <f t="shared" si="84"/>
        <v>43.750000001164153</v>
      </c>
      <c r="O218" s="7"/>
      <c r="P218" s="7"/>
      <c r="Q218" s="22"/>
      <c r="R218" s="166"/>
      <c r="S218" s="228">
        <f t="shared" si="85"/>
        <v>1</v>
      </c>
      <c r="T218" s="166" t="str">
        <f t="shared" si="90"/>
        <v>NorthBound</v>
      </c>
      <c r="U218" s="21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4" t="str">
        <f t="shared" si="91"/>
        <v>https://d0f6bd738d7f1b3e5a7ca70fe4ff75f0.us-east-1.aws.found.io/app/kibana#/discover/Steve-Slow-Train-Analysis-(2080s-and-2083s)?_g=(refreshInterval:(display:Off,pause:!f,section:0,value:0),time:(from:'2017-09-30T15:22:09-0600',mode:absolute,to:'2017-09-30T18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8" s="215" t="str">
        <f>IF(AA218&lt;VLOOKUP(AG218,Variables!$AC$3:$AD$8,2,FALSE),"Y","N")</f>
        <v>Y</v>
      </c>
      <c r="X218" s="215">
        <f t="shared" si="92"/>
        <v>9</v>
      </c>
      <c r="Y218" s="215">
        <f t="shared" si="86"/>
        <v>0.14749999999999999</v>
      </c>
      <c r="Z218" s="215">
        <f t="shared" si="87"/>
        <v>2.3346</v>
      </c>
      <c r="AA218" s="215">
        <f t="shared" si="93"/>
        <v>2.1871</v>
      </c>
      <c r="AB218" s="216" t="e">
        <f>VLOOKUP(A218,Enforcements!$C$7:$K$11,8,0)</f>
        <v>#N/A</v>
      </c>
      <c r="AC218" s="216" t="e">
        <f>VLOOKUP(A218,Enforcements!$C$7:$E$11,3,0)</f>
        <v>#N/A</v>
      </c>
      <c r="AD218" s="217">
        <f t="shared" si="94"/>
        <v>75</v>
      </c>
      <c r="AE218" s="218" t="str">
        <f t="shared" si="95"/>
        <v>aws s3 cp s3://rtdc.mdm.uploadarchive.raw/RTDC4004/ "%USERPROFILE%\AppData\Local\Temp\OnboardLogs"\RTDC4004\2017-09-30 --exclude "*" --recursive --include "*20170930*" &amp; "%USERPROFILE%\Documents\GitHub\mrs-test-scripts\Headless Mode &amp; Sideloading\WalkAndUnGZ.bat" "%USERPROFILE%\AppData\Local\Temp\OnboardLogs"\RTDC4004\2017-09-30 &amp; aws s3 cp s3://rtdc.mdm.uploadarchive.raw/RTDC4004/ "%USERPROFILE%\AppData\Local\Temp\OnboardLogs"\RTDC4004\2017-10-01 --exclude "*" --recursive --include "*20171001*" &amp; "%USERPROFILE%\Documents\GitHub\mrs-test-scripts\Headless Mode &amp; Sideloading\WalkAndUnGZ.bat" "%USERPROFILE%\AppData\Local\Temp\OnboardLogs"\RTDC4004\2017-10-01</v>
      </c>
      <c r="AF218" s="68" t="str">
        <f t="shared" si="96"/>
        <v>"C:\Program Files (x86)\AstroGrep\AstroGrep.exe" /e /r /s /spath="%USERPROFILE%\AppData\Local\Temp\OnboardLogs" /stypes="app*4004*20170930*" /stext=" 23:.+((SYSTEM_STATE.+slice.+state.+changed )|(ment ac)|(multiple cpu faults)|(system.+state.+changed )|(\[timeout)|(PRM\|1\|D)|(kpr)|(kdp)|(train st.+moving)|(\|lc)|(penalty))"</v>
      </c>
      <c r="AG218" s="172" t="str">
        <f t="shared" si="97"/>
        <v>Shuttle/Test</v>
      </c>
      <c r="AH218" s="70" t="str">
        <f t="shared" si="98"/>
        <v>"%USERPROFILE%\Documents\GitHub\eaglep3\Utilities\RefineRTDCRunTimes.py" --tripid 75-30 --locoid 4004 --swversion DE.1.0.9.0 --startMP 204:1475 --initTime 2017-09-30T16:22:09 --startdatetime 2017-09-30T16:35:33 --delay 70 --endMP 300:23346 --enddatetime 2017-09-30T17:19:18 --enforcementcount 0 &gt;&gt;c:\users\stu\Documents\GitHub\eaglep3-reporting\EC\2017-09-30-refined-times.txt</v>
      </c>
      <c r="AI218" s="88" t="str">
        <f t="shared" si="99"/>
        <v>echo {"issue":{"subject":"","project_id":79,"tracker_id":40,"status_id":1,"priority_id":2,"assigned_to_id":338,"start_date":"2017-09-30","description":"","custom_fields":[{"id":1,"name":"Subdivision","value":"Shuttle/Test"},{"id":4,"name":"Milepost","value":"2.3346"},{"id":17,"name":"Train ID","value":"75-30"},{"id":16,"name":"Locomotive ID","value":"4004"},{"id":130,"name":"Impact","value":""},{"id":150,"name":"Time of Event (Mountain Time)","value":"17:19:18"},{"id":151,"name":"Denver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34" t="str">
        <f t="shared" si="100"/>
        <v>start /low /b %USERPROFILE%\Documents\GitHub\eaglep3\Utilities\DownloadLogsFromS3.py --loco 4004 --day 2017-09-30</v>
      </c>
      <c r="AN218" s="143" t="str">
        <f t="shared" si="101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0" t="str">
        <f t="shared" si="102"/>
        <v>https://d0f6bd738d7f1b3e5a7ca70fe4ff75f0.us-east-1.aws.found.io/app/kibana#/discover/Steve-Slow-Train-Analysis-(2080s-and-2083s)?_g=(refreshInterval:(display:Off,pause:!f,section:0,value:0),time:(from:'2017-09-30T15:22:09-0600',mode:absolute,to:'2017-09-30T18:19:18-0600'))&amp;_a=(columns:!('Message%20ID',Summary),filters:!(),index:'emp_*',interval:auto,query:(query_string:(analyze_wildcard:!t,query:'%22rtdc.l.rtdc.4004%22')),sort:!(Time.ISO8601,asc))</v>
      </c>
    </row>
    <row r="219" spans="1:91" s="20" customFormat="1" x14ac:dyDescent="0.25">
      <c r="A219" s="32" t="s">
        <v>760</v>
      </c>
      <c r="B219" s="7">
        <v>4008</v>
      </c>
      <c r="C219" s="21" t="s">
        <v>195</v>
      </c>
      <c r="D219" s="21" t="s">
        <v>955</v>
      </c>
      <c r="E219" s="13">
        <v>43008.720439814817</v>
      </c>
      <c r="F219" s="13">
        <v>43008.732395833336</v>
      </c>
      <c r="G219" s="7">
        <v>252</v>
      </c>
      <c r="H219" s="21" t="s">
        <v>572</v>
      </c>
      <c r="I219" s="13">
        <v>43008.739629629628</v>
      </c>
      <c r="J219" s="7">
        <v>0</v>
      </c>
      <c r="K219" s="81" t="str">
        <f t="shared" si="88"/>
        <v>4007/4008</v>
      </c>
      <c r="L219" s="175" t="str">
        <f>VLOOKUP(A219,'Trips&amp;Operators'!$C$1:$G$99911,5,FALSE)</f>
        <v>MCREYNOLDS KYLE</v>
      </c>
      <c r="M219" s="6">
        <f t="shared" si="89"/>
        <v>7.2337962919846177E-3</v>
      </c>
      <c r="N219" s="7">
        <f t="shared" si="84"/>
        <v>10.41666666045785</v>
      </c>
      <c r="O219" s="7"/>
      <c r="P219" s="7"/>
      <c r="Q219" s="22"/>
      <c r="R219" s="166"/>
      <c r="S219" s="228">
        <f t="shared" si="85"/>
        <v>1</v>
      </c>
      <c r="T219" s="166" t="str">
        <f t="shared" si="90"/>
        <v>NorthBound</v>
      </c>
      <c r="U219" s="21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4" t="str">
        <f t="shared" si="91"/>
        <v>https://d0f6bd738d7f1b3e5a7ca70fe4ff75f0.us-east-1.aws.found.io/app/kibana#/discover/Steve-Slow-Train-Analysis-(2080s-and-2083s)?_g=(refreshInterval:(display:Off,pause:!f,section:0,value:0),time:(from:'2017-09-30T16:17:26-0600',mode:absolute,to:'2017-09-30T18:45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215" t="str">
        <f>IF(AA219&lt;VLOOKUP(AG219,Variables!$AC$3:$AD$8,2,FALSE),"Y","N")</f>
        <v>Y</v>
      </c>
      <c r="X219" s="215">
        <f t="shared" si="92"/>
        <v>0</v>
      </c>
      <c r="Y219" s="215">
        <f t="shared" si="86"/>
        <v>0.1147</v>
      </c>
      <c r="Z219" s="215">
        <f t="shared" si="87"/>
        <v>2.3302</v>
      </c>
      <c r="AA219" s="215">
        <f t="shared" si="93"/>
        <v>2.2155</v>
      </c>
      <c r="AB219" s="216" t="e">
        <f>VLOOKUP(A219,Enforcements!$C$7:$K$11,8,0)</f>
        <v>#N/A</v>
      </c>
      <c r="AC219" s="216" t="e">
        <f>VLOOKUP(A219,Enforcements!$C$7:$E$11,3,0)</f>
        <v>#N/A</v>
      </c>
      <c r="AD219" s="217">
        <f t="shared" si="94"/>
        <v>75</v>
      </c>
      <c r="AE219" s="218" t="str">
        <f t="shared" si="95"/>
        <v>aws s3 cp s3://rtdc.mdm.uploadarchive.raw/RTDC4008/ "%USERPROFILE%\AppData\Local\Temp\OnboardLogs"\RTDC4008\2017-09-30 --exclude "*" --recursive --include "*20170930*" &amp; "%USERPROFILE%\Documents\GitHub\mrs-test-scripts\Headless Mode &amp; Sideloading\WalkAndUnGZ.bat" "%USERPROFILE%\AppData\Local\Temp\OnboardLogs"\RTDC4008\2017-09-30 &amp; aws s3 cp s3://rtdc.mdm.uploadarchive.raw/RTDC4008/ "%USERPROFILE%\AppData\Local\Temp\OnboardLogs"\RTDC4008\2017-10-01 --exclude "*" --recursive --include "*20171001*" &amp; "%USERPROFILE%\Documents\GitHub\mrs-test-scripts\Headless Mode &amp; Sideloading\WalkAndUnGZ.bat" "%USERPROFILE%\AppData\Local\Temp\OnboardLogs"\RTDC4008\2017-10-01</v>
      </c>
      <c r="AF219" s="68" t="str">
        <f t="shared" si="96"/>
        <v>"C:\Program Files (x86)\AstroGrep\AstroGrep.exe" /e /r /s /spath="%USERPROFILE%\AppData\Local\Temp\OnboardLogs" /stypes="app*4008*20170930*" /stext=" 23:.+((SYSTEM_STATE.+slice.+state.+changed )|(ment ac)|(multiple cpu faults)|(system.+state.+changed )|(\[timeout)|(PRM\|1\|D)|(kpr)|(kdp)|(train st.+moving)|(\|lc)|(penalty))"</v>
      </c>
      <c r="AG219" s="172" t="str">
        <f t="shared" si="97"/>
        <v>Shuttle/Test</v>
      </c>
      <c r="AH219" s="70" t="str">
        <f t="shared" si="98"/>
        <v>"%USERPROFILE%\Documents\GitHub\eaglep3\Utilities\RefineRTDCRunTimes.py" --tripid 75-30 --locoid 4008 --swversion DE.1.0.9.0 --startMP 204:1147 --initTime 2017-09-30T17:17:26 --startdatetime 2017-09-30T17:34:39 --delay 252 --endMP 300:23302 --enddatetime 2017-09-30T17:45:04 --enforcementcount 0 &gt;&gt;c:\users\stu\Documents\GitHub\eaglep3-reporting\EC\2017-09-30-refined-times.txt</v>
      </c>
      <c r="AI219" s="88" t="str">
        <f t="shared" si="99"/>
        <v>echo {"issue":{"subject":"","project_id":79,"tracker_id":40,"status_id":1,"priority_id":2,"assigned_to_id":338,"start_date":"2017-09-30","description":"","custom_fields":[{"id":1,"name":"Subdivision","value":"Shuttle/Test"},{"id":4,"name":"Milepost","value":"2.3302"},{"id":17,"name":"Train ID","value":"75-30"},{"id":16,"name":"Locomotive ID","value":"4008"},{"id":130,"name":"Impact","value":""},{"id":150,"name":"Time of Event (Mountain Time)","value":"17:45:04"},{"id":151,"name":"Denver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34" t="str">
        <f t="shared" si="100"/>
        <v>start /low /b %USERPROFILE%\Documents\GitHub\eaglep3\Utilities\DownloadLogsFromS3.py --loco 4008 --day 2017-09-30</v>
      </c>
      <c r="AN219" s="143" t="str">
        <f t="shared" si="101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23:45:04"},{"id":29,"name":"Sharepoint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0" t="str">
        <f t="shared" si="102"/>
        <v>https://d0f6bd738d7f1b3e5a7ca70fe4ff75f0.us-east-1.aws.found.io/app/kibana#/discover/Steve-Slow-Train-Analysis-(2080s-and-2083s)?_g=(refreshInterval:(display:Off,pause:!f,section:0,value:0),time:(from:'2017-09-30T16:17:26-0600',mode:absolute,to:'2017-09-30T18:45:04-0600'))&amp;_a=(columns:!('Message%20ID',Summary),filters:!(),index:'emp_*',interval:auto,query:(query_string:(analyze_wildcard:!t,query:'%22rtdc.l.rtdc.4008%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 s="226"/>
      <c r="T220"/>
      <c r="U220" s="192"/>
      <c r="V220" s="192"/>
      <c r="W220" s="192"/>
      <c r="X220" s="192"/>
      <c r="Y220" s="192"/>
      <c r="Z220" s="192"/>
      <c r="AA220" s="192"/>
      <c r="AB220" s="192"/>
      <c r="AC220" s="192"/>
      <c r="AD220" s="192"/>
      <c r="AE220" s="192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 s="226"/>
      <c r="T221"/>
      <c r="U221" s="192"/>
      <c r="V221" s="192"/>
      <c r="W221" s="192"/>
      <c r="X221" s="192"/>
      <c r="Y221" s="192"/>
      <c r="Z221" s="192"/>
      <c r="AA221" s="192"/>
      <c r="AB221" s="192"/>
      <c r="AC221" s="192"/>
      <c r="AD221" s="192"/>
      <c r="AE221" s="192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 s="192"/>
      <c r="T222"/>
      <c r="U222" s="192"/>
      <c r="V222" s="192"/>
      <c r="W222" s="192"/>
      <c r="X222" s="192"/>
      <c r="Y222" s="192"/>
      <c r="Z222" s="192"/>
      <c r="AA222" s="192"/>
      <c r="AB222" s="192"/>
      <c r="AC222" s="192"/>
      <c r="AD222" s="192"/>
      <c r="AE222" s="19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 s="192"/>
      <c r="T223"/>
      <c r="U223" s="192"/>
      <c r="V223" s="192"/>
      <c r="W223" s="192"/>
      <c r="X223" s="192"/>
      <c r="Y223" s="192"/>
      <c r="Z223" s="192"/>
      <c r="AA223" s="192"/>
      <c r="AB223" s="192"/>
      <c r="AC223" s="192"/>
      <c r="AD223" s="192"/>
      <c r="AE223" s="192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 s="192"/>
      <c r="T224"/>
      <c r="U224" s="192"/>
      <c r="V224" s="192"/>
      <c r="W224" s="192"/>
      <c r="X224" s="192"/>
      <c r="Y224" s="192"/>
      <c r="Z224" s="192"/>
      <c r="AA224" s="192"/>
      <c r="AB224" s="192"/>
      <c r="AC224" s="192"/>
      <c r="AD224" s="192"/>
      <c r="AE224" s="192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 s="192"/>
      <c r="T225"/>
      <c r="V225" s="192"/>
      <c r="W225" s="192"/>
      <c r="X225" s="192"/>
      <c r="Y225" s="192"/>
      <c r="Z225" s="192"/>
      <c r="AA225" s="192"/>
      <c r="AB225" s="192"/>
      <c r="AC225" s="192"/>
      <c r="AE225" s="192"/>
      <c r="AF225"/>
      <c r="AG225"/>
      <c r="AH225"/>
      <c r="AI225"/>
      <c r="AM225"/>
      <c r="AO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 s="192"/>
      <c r="T226"/>
      <c r="U226" s="192"/>
      <c r="V226" s="192"/>
      <c r="W226" s="192"/>
      <c r="X226" s="192"/>
      <c r="Y226" s="192"/>
      <c r="Z226" s="192"/>
      <c r="AA226" s="192"/>
      <c r="AB226" s="192"/>
      <c r="AC226" s="192"/>
      <c r="AD226" s="192"/>
      <c r="AE226" s="192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 s="192"/>
      <c r="T227"/>
      <c r="V227" s="192"/>
      <c r="W227" s="192"/>
      <c r="X227" s="192"/>
      <c r="Y227" s="192"/>
      <c r="Z227" s="192"/>
      <c r="AA227" s="192"/>
      <c r="AB227" s="192"/>
      <c r="AC227" s="192"/>
      <c r="AE227" s="192"/>
      <c r="AF227"/>
      <c r="AG227"/>
      <c r="AH227"/>
      <c r="AI227"/>
      <c r="AM227"/>
      <c r="AO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 s="192"/>
      <c r="T228"/>
      <c r="U228" s="192"/>
      <c r="V228" s="192"/>
      <c r="W228" s="192"/>
      <c r="X228" s="192"/>
      <c r="Y228" s="192"/>
      <c r="Z228" s="192"/>
      <c r="AA228" s="192"/>
      <c r="AB228" s="192"/>
      <c r="AC228" s="192"/>
      <c r="AD228" s="192"/>
      <c r="AE228" s="192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 s="192"/>
      <c r="T229"/>
      <c r="V229" s="192"/>
      <c r="W229" s="192"/>
      <c r="X229" s="192"/>
      <c r="Y229" s="192"/>
      <c r="Z229" s="192"/>
      <c r="AA229" s="192"/>
      <c r="AB229" s="192"/>
      <c r="AC229" s="192"/>
      <c r="AE229" s="192"/>
      <c r="AF229"/>
      <c r="AG229"/>
      <c r="AH229"/>
      <c r="AI229"/>
      <c r="AM229"/>
      <c r="AO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 s="192"/>
      <c r="T230"/>
      <c r="U230" s="192"/>
      <c r="V230" s="192"/>
      <c r="W230" s="192"/>
      <c r="X230" s="192"/>
      <c r="Y230" s="192"/>
      <c r="Z230" s="192"/>
      <c r="AA230" s="192"/>
      <c r="AB230" s="192"/>
      <c r="AC230" s="192"/>
      <c r="AD230" s="192"/>
      <c r="AE230" s="192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 s="192"/>
      <c r="T231"/>
      <c r="V231" s="192"/>
      <c r="W231" s="192"/>
      <c r="X231" s="192"/>
      <c r="Y231" s="192"/>
      <c r="Z231" s="192"/>
      <c r="AA231" s="192"/>
      <c r="AB231" s="192"/>
      <c r="AC231" s="192"/>
      <c r="AE231" s="192"/>
      <c r="AF231"/>
      <c r="AG231"/>
      <c r="AH231"/>
      <c r="AI231"/>
      <c r="AM231"/>
      <c r="AO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 s="192"/>
      <c r="T232"/>
      <c r="U232" s="192"/>
      <c r="V232" s="192"/>
      <c r="W232" s="192"/>
      <c r="X232" s="192"/>
      <c r="Y232" s="192"/>
      <c r="Z232" s="192"/>
      <c r="AA232" s="192"/>
      <c r="AB232" s="192"/>
      <c r="AC232" s="192"/>
      <c r="AD232" s="192"/>
      <c r="AE232" s="19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 s="192"/>
      <c r="T233"/>
      <c r="U233" s="192"/>
      <c r="V233" s="192"/>
      <c r="W233" s="192"/>
      <c r="X233" s="192"/>
      <c r="Y233" s="192"/>
      <c r="Z233" s="192"/>
      <c r="AA233" s="192"/>
      <c r="AB233" s="192"/>
      <c r="AC233" s="192"/>
      <c r="AD233" s="192"/>
      <c r="AE233" s="192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 s="192"/>
      <c r="T234"/>
      <c r="V234" s="192"/>
      <c r="W234" s="192"/>
      <c r="X234" s="192"/>
      <c r="Y234" s="192"/>
      <c r="Z234" s="192"/>
      <c r="AA234" s="192"/>
      <c r="AB234" s="192"/>
      <c r="AC234" s="192"/>
      <c r="AE234" s="192"/>
      <c r="AF234"/>
      <c r="AG234"/>
      <c r="AH234"/>
      <c r="AI234"/>
      <c r="AM234"/>
      <c r="AO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 s="192"/>
      <c r="T235"/>
      <c r="U235" s="192"/>
      <c r="V235" s="192"/>
      <c r="W235" s="192"/>
      <c r="X235" s="192"/>
      <c r="Y235" s="192"/>
      <c r="Z235" s="192"/>
      <c r="AA235" s="192"/>
      <c r="AB235" s="192"/>
      <c r="AC235" s="192"/>
      <c r="AD235" s="192"/>
      <c r="AE235" s="192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 s="192"/>
      <c r="T236"/>
      <c r="V236" s="192"/>
      <c r="W236" s="192"/>
      <c r="X236" s="192"/>
      <c r="Y236" s="192"/>
      <c r="Z236" s="192"/>
      <c r="AA236" s="192"/>
      <c r="AB236" s="192"/>
      <c r="AC236" s="192"/>
      <c r="AE236" s="192"/>
      <c r="AF236"/>
      <c r="AG236"/>
      <c r="AH236"/>
      <c r="AI236"/>
      <c r="AM236"/>
      <c r="AO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 s="192"/>
      <c r="T237"/>
      <c r="U237" s="192"/>
      <c r="V237" s="192"/>
      <c r="W237" s="192"/>
      <c r="X237" s="192"/>
      <c r="Y237" s="192"/>
      <c r="Z237" s="192"/>
      <c r="AA237" s="192"/>
      <c r="AB237" s="192"/>
      <c r="AC237" s="192"/>
      <c r="AD237" s="192"/>
      <c r="AE237" s="192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 s="192"/>
      <c r="T238"/>
      <c r="U238" s="192"/>
      <c r="V238" s="192"/>
      <c r="W238" s="192"/>
      <c r="X238" s="192"/>
      <c r="Y238" s="192"/>
      <c r="Z238" s="192"/>
      <c r="AA238" s="192"/>
      <c r="AB238" s="192"/>
      <c r="AC238" s="192"/>
      <c r="AD238" s="192"/>
      <c r="AE238" s="192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 s="192"/>
      <c r="T239"/>
      <c r="U239" s="192"/>
      <c r="V239" s="192"/>
      <c r="W239" s="192"/>
      <c r="X239" s="192"/>
      <c r="Y239" s="192"/>
      <c r="Z239" s="192"/>
      <c r="AA239" s="192"/>
      <c r="AB239" s="192"/>
      <c r="AC239" s="192"/>
      <c r="AD239" s="192"/>
      <c r="AE239" s="192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 s="192"/>
      <c r="T240"/>
      <c r="V240" s="192"/>
      <c r="W240" s="192"/>
      <c r="X240" s="192"/>
      <c r="Y240" s="192"/>
      <c r="Z240" s="192"/>
      <c r="AA240" s="192"/>
      <c r="AB240" s="192"/>
      <c r="AC240" s="192"/>
      <c r="AE240" s="192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 s="192"/>
      <c r="T241"/>
      <c r="U241" s="192"/>
      <c r="V241" s="192"/>
      <c r="W241" s="192"/>
      <c r="X241" s="192"/>
      <c r="Y241" s="192"/>
      <c r="Z241" s="192"/>
      <c r="AA241" s="192"/>
      <c r="AB241" s="192"/>
      <c r="AC241" s="192"/>
      <c r="AD241" s="192"/>
      <c r="AE241" s="192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 s="192"/>
      <c r="T242"/>
      <c r="U242" s="192"/>
      <c r="V242" s="192"/>
      <c r="W242" s="192"/>
      <c r="X242" s="192"/>
      <c r="Y242" s="192"/>
      <c r="Z242" s="192"/>
      <c r="AA242" s="192"/>
      <c r="AB242" s="192"/>
      <c r="AC242" s="192"/>
      <c r="AD242" s="192"/>
      <c r="AE242" s="19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 s="192"/>
      <c r="T243"/>
      <c r="U243" s="192"/>
      <c r="V243" s="192"/>
      <c r="W243" s="192"/>
      <c r="X243" s="192"/>
      <c r="Y243" s="192"/>
      <c r="Z243" s="192"/>
      <c r="AA243" s="192"/>
      <c r="AB243" s="192"/>
      <c r="AC243" s="192"/>
      <c r="AD243" s="192"/>
      <c r="AE243" s="192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 s="192"/>
      <c r="T244"/>
      <c r="V244" s="192"/>
      <c r="W244" s="192"/>
      <c r="X244" s="192"/>
      <c r="Y244" s="192"/>
      <c r="Z244" s="192"/>
      <c r="AA244" s="192"/>
      <c r="AB244" s="192"/>
      <c r="AC244" s="192"/>
      <c r="AE244" s="192"/>
      <c r="AF244"/>
      <c r="AG244"/>
      <c r="AH244"/>
      <c r="AI244"/>
      <c r="AM244"/>
      <c r="AO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 s="192"/>
      <c r="T245"/>
      <c r="U245" s="192"/>
      <c r="V245" s="192"/>
      <c r="W245" s="192"/>
      <c r="X245" s="192"/>
      <c r="Y245" s="192"/>
      <c r="Z245" s="192"/>
      <c r="AA245" s="192"/>
      <c r="AB245" s="192"/>
      <c r="AC245" s="192"/>
      <c r="AD245" s="192"/>
      <c r="AE245" s="192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 s="192"/>
      <c r="T246"/>
      <c r="U246" s="192"/>
      <c r="V246" s="192"/>
      <c r="W246" s="192"/>
      <c r="X246" s="192"/>
      <c r="Y246" s="192"/>
      <c r="Z246" s="192"/>
      <c r="AA246" s="192"/>
      <c r="AB246" s="192"/>
      <c r="AC246" s="192"/>
      <c r="AD246" s="192"/>
      <c r="AE246" s="192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 s="192"/>
      <c r="T247"/>
      <c r="U247" s="192"/>
      <c r="V247" s="192"/>
      <c r="W247" s="192"/>
      <c r="X247" s="192"/>
      <c r="Y247" s="192"/>
      <c r="Z247" s="192"/>
      <c r="AA247" s="192"/>
      <c r="AB247" s="192"/>
      <c r="AC247" s="192"/>
      <c r="AD247" s="192"/>
      <c r="AE247" s="192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 s="192"/>
      <c r="T248"/>
      <c r="U248" s="192"/>
      <c r="V248" s="192"/>
      <c r="W248" s="192"/>
      <c r="X248" s="192"/>
      <c r="Y248" s="192"/>
      <c r="Z248" s="192"/>
      <c r="AA248" s="192"/>
      <c r="AB248" s="192"/>
      <c r="AC248" s="192"/>
      <c r="AD248" s="192"/>
      <c r="AE248" s="192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 s="192"/>
      <c r="T249"/>
      <c r="V249" s="192"/>
      <c r="W249" s="192"/>
      <c r="X249" s="192"/>
      <c r="Y249" s="192"/>
      <c r="Z249" s="192"/>
      <c r="AA249" s="192"/>
      <c r="AB249" s="192"/>
      <c r="AC249" s="192"/>
      <c r="AE249" s="192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 s="192"/>
      <c r="T250"/>
      <c r="V250" s="192"/>
      <c r="W250" s="192"/>
      <c r="X250" s="192"/>
      <c r="Y250" s="192"/>
      <c r="Z250" s="192"/>
      <c r="AA250" s="192"/>
      <c r="AB250" s="192"/>
      <c r="AC250" s="192"/>
      <c r="AE250" s="192"/>
      <c r="AF250"/>
      <c r="AG250"/>
      <c r="AH250"/>
      <c r="AI250"/>
      <c r="AM250"/>
      <c r="AO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 s="192"/>
      <c r="T251"/>
      <c r="U251" s="192"/>
      <c r="V251" s="192"/>
      <c r="W251" s="192"/>
      <c r="X251" s="192"/>
      <c r="Y251" s="192"/>
      <c r="Z251" s="192"/>
      <c r="AA251" s="192"/>
      <c r="AB251" s="192"/>
      <c r="AC251" s="192"/>
      <c r="AD251" s="192"/>
      <c r="AE251" s="192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 s="192"/>
      <c r="T252"/>
      <c r="V252" s="192"/>
      <c r="W252" s="192"/>
      <c r="X252" s="192"/>
      <c r="Y252" s="192"/>
      <c r="Z252" s="192"/>
      <c r="AA252" s="192"/>
      <c r="AB252" s="192"/>
      <c r="AC252" s="192"/>
      <c r="AE252" s="192"/>
      <c r="AF252"/>
      <c r="AG252"/>
      <c r="AH252"/>
      <c r="AI252"/>
      <c r="AM252"/>
      <c r="AO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 s="192"/>
      <c r="T253"/>
      <c r="U253" s="192"/>
      <c r="V253" s="192"/>
      <c r="W253" s="192"/>
      <c r="X253" s="192"/>
      <c r="Y253" s="192"/>
      <c r="Z253" s="192"/>
      <c r="AA253" s="192"/>
      <c r="AB253" s="192"/>
      <c r="AC253" s="192"/>
      <c r="AD253" s="192"/>
      <c r="AE253" s="192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 s="192"/>
      <c r="T254"/>
      <c r="U254" s="192"/>
      <c r="V254" s="192"/>
      <c r="W254" s="192"/>
      <c r="X254" s="192"/>
      <c r="Y254" s="192"/>
      <c r="Z254" s="192"/>
      <c r="AA254" s="192"/>
      <c r="AB254" s="192"/>
      <c r="AC254" s="192"/>
      <c r="AD254" s="192"/>
      <c r="AE254" s="192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 s="192"/>
      <c r="T255"/>
      <c r="U255" s="192"/>
      <c r="V255" s="192"/>
      <c r="W255" s="192"/>
      <c r="X255" s="192"/>
      <c r="Y255" s="192"/>
      <c r="Z255" s="192"/>
      <c r="AA255" s="192"/>
      <c r="AB255" s="192"/>
      <c r="AC255" s="192"/>
      <c r="AD255" s="192"/>
      <c r="AE255" s="192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 s="192"/>
      <c r="T256"/>
      <c r="V256" s="192"/>
      <c r="W256" s="192"/>
      <c r="X256" s="192"/>
      <c r="Y256" s="192"/>
      <c r="Z256" s="192"/>
      <c r="AA256" s="192"/>
      <c r="AB256" s="192"/>
      <c r="AC256" s="192"/>
      <c r="AE256" s="192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 s="192"/>
      <c r="T257"/>
      <c r="V257" s="192"/>
      <c r="W257" s="192"/>
      <c r="X257" s="192"/>
      <c r="Y257" s="192"/>
      <c r="Z257" s="192"/>
      <c r="AA257" s="192"/>
      <c r="AB257" s="192"/>
      <c r="AC257" s="192"/>
      <c r="AE257" s="192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 s="192"/>
      <c r="T258"/>
      <c r="V258" s="192"/>
      <c r="W258" s="192"/>
      <c r="X258" s="192"/>
      <c r="Y258" s="192"/>
      <c r="Z258" s="192"/>
      <c r="AA258" s="192"/>
      <c r="AB258" s="192"/>
      <c r="AC258" s="192"/>
      <c r="AE258" s="192"/>
      <c r="AF258"/>
      <c r="AG258"/>
      <c r="AH258"/>
      <c r="AI258"/>
      <c r="AM258"/>
      <c r="AO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 s="192"/>
      <c r="T259"/>
      <c r="U259" s="192"/>
      <c r="V259" s="192"/>
      <c r="W259" s="192"/>
      <c r="X259" s="192"/>
      <c r="Y259" s="192"/>
      <c r="Z259" s="192"/>
      <c r="AA259" s="192"/>
      <c r="AB259" s="192"/>
      <c r="AC259" s="192"/>
      <c r="AD259" s="192"/>
      <c r="AE259" s="192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 s="192"/>
      <c r="T260"/>
      <c r="V260" s="192"/>
      <c r="W260" s="192"/>
      <c r="X260" s="192"/>
      <c r="Y260" s="192"/>
      <c r="Z260" s="192"/>
      <c r="AA260" s="192"/>
      <c r="AB260" s="192"/>
      <c r="AC260" s="192"/>
      <c r="AE260" s="192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 s="192"/>
      <c r="T261"/>
      <c r="V261" s="192"/>
      <c r="W261" s="192"/>
      <c r="X261" s="192"/>
      <c r="Y261" s="192"/>
      <c r="Z261" s="192"/>
      <c r="AA261" s="192"/>
      <c r="AB261" s="192"/>
      <c r="AC261" s="192"/>
      <c r="AE261" s="192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 s="192"/>
      <c r="T262"/>
      <c r="V262" s="192"/>
      <c r="W262" s="192"/>
      <c r="X262" s="192"/>
      <c r="Y262" s="192"/>
      <c r="Z262" s="192"/>
      <c r="AA262" s="192"/>
      <c r="AB262" s="192"/>
      <c r="AC262" s="192"/>
      <c r="AE262" s="19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 s="192"/>
      <c r="T263"/>
      <c r="V263" s="192"/>
      <c r="W263" s="192"/>
      <c r="X263" s="192"/>
      <c r="Y263" s="192"/>
      <c r="Z263" s="192"/>
      <c r="AA263" s="192"/>
      <c r="AB263" s="192"/>
      <c r="AC263" s="192"/>
      <c r="AE263" s="192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 s="192"/>
      <c r="T264"/>
      <c r="V264" s="192"/>
      <c r="W264" s="192"/>
      <c r="X264" s="192"/>
      <c r="Y264" s="192"/>
      <c r="Z264" s="192"/>
      <c r="AA264" s="192"/>
      <c r="AB264" s="192"/>
      <c r="AC264" s="192"/>
      <c r="AE264" s="192"/>
      <c r="AF264"/>
      <c r="AG264"/>
      <c r="AH264"/>
      <c r="AI264"/>
      <c r="AM264"/>
      <c r="AO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 s="192"/>
      <c r="T265"/>
      <c r="U265" s="192"/>
      <c r="V265" s="192"/>
      <c r="W265" s="192"/>
      <c r="X265" s="192"/>
      <c r="Y265" s="192"/>
      <c r="Z265" s="192"/>
      <c r="AA265" s="192"/>
      <c r="AB265" s="192"/>
      <c r="AC265" s="192"/>
      <c r="AD265" s="192"/>
      <c r="AE265" s="192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 s="192"/>
      <c r="T266"/>
      <c r="U266" s="192"/>
      <c r="V266" s="192"/>
      <c r="W266" s="192"/>
      <c r="X266" s="192"/>
      <c r="Y266" s="192"/>
      <c r="Z266" s="192"/>
      <c r="AA266" s="192"/>
      <c r="AB266" s="192"/>
      <c r="AC266" s="192"/>
      <c r="AD266" s="192"/>
      <c r="AE266" s="192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 s="192"/>
      <c r="T267"/>
      <c r="V267" s="192"/>
      <c r="W267" s="192"/>
      <c r="X267" s="192"/>
      <c r="Y267" s="192"/>
      <c r="Z267" s="192"/>
      <c r="AA267" s="192"/>
      <c r="AB267" s="192"/>
      <c r="AC267" s="192"/>
      <c r="AE267" s="192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 s="192"/>
      <c r="T268"/>
      <c r="V268" s="192"/>
      <c r="W268" s="192"/>
      <c r="X268" s="192"/>
      <c r="Y268" s="192"/>
      <c r="Z268" s="192"/>
      <c r="AA268" s="192"/>
      <c r="AB268" s="192"/>
      <c r="AC268" s="192"/>
      <c r="AE268" s="192"/>
      <c r="AF268"/>
      <c r="AG268"/>
      <c r="AH268"/>
      <c r="AI268"/>
      <c r="AM268"/>
      <c r="AO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 s="192"/>
      <c r="T269"/>
      <c r="U269" s="192"/>
      <c r="V269" s="192"/>
      <c r="W269" s="192"/>
      <c r="X269" s="192"/>
      <c r="Y269" s="192"/>
      <c r="Z269" s="192"/>
      <c r="AA269" s="192"/>
      <c r="AB269" s="192"/>
      <c r="AC269" s="192"/>
      <c r="AD269" s="192"/>
      <c r="AE269" s="192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 s="192"/>
      <c r="T270"/>
      <c r="V270" s="192"/>
      <c r="W270" s="192"/>
      <c r="X270" s="192"/>
      <c r="Y270" s="192"/>
      <c r="Z270" s="192"/>
      <c r="AA270" s="192"/>
      <c r="AB270" s="192"/>
      <c r="AC270" s="192"/>
      <c r="AE270" s="192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 s="192"/>
      <c r="T271"/>
      <c r="V271" s="192"/>
      <c r="W271" s="192"/>
      <c r="X271" s="192"/>
      <c r="Y271" s="192"/>
      <c r="Z271" s="192"/>
      <c r="AA271" s="192"/>
      <c r="AB271" s="192"/>
      <c r="AC271" s="192"/>
      <c r="AE271" s="192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 s="192"/>
      <c r="T272"/>
      <c r="V272" s="192"/>
      <c r="W272" s="192"/>
      <c r="X272" s="192"/>
      <c r="Y272" s="192"/>
      <c r="Z272" s="192"/>
      <c r="AA272" s="192"/>
      <c r="AB272" s="192"/>
      <c r="AC272" s="192"/>
      <c r="AE272" s="19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 s="192"/>
      <c r="T273"/>
      <c r="V273" s="192"/>
      <c r="W273" s="192"/>
      <c r="X273" s="192"/>
      <c r="Y273" s="192"/>
      <c r="Z273" s="192"/>
      <c r="AA273" s="192"/>
      <c r="AB273" s="192"/>
      <c r="AC273" s="192"/>
      <c r="AE273" s="192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 s="192"/>
      <c r="T274"/>
      <c r="V274" s="192"/>
      <c r="W274" s="192"/>
      <c r="X274" s="192"/>
      <c r="Y274" s="192"/>
      <c r="Z274" s="192"/>
      <c r="AA274" s="192"/>
      <c r="AB274" s="192"/>
      <c r="AC274" s="192"/>
      <c r="AE274" s="192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 s="192"/>
      <c r="T275"/>
      <c r="V275" s="192"/>
      <c r="W275" s="192"/>
      <c r="X275" s="192"/>
      <c r="Y275" s="192"/>
      <c r="Z275" s="192"/>
      <c r="AA275" s="192"/>
      <c r="AB275" s="192"/>
      <c r="AC275" s="192"/>
      <c r="AE275" s="192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 s="192"/>
      <c r="T276"/>
      <c r="V276" s="192"/>
      <c r="W276" s="192"/>
      <c r="X276" s="192"/>
      <c r="Y276" s="192"/>
      <c r="Z276" s="192"/>
      <c r="AA276" s="192"/>
      <c r="AB276" s="192"/>
      <c r="AC276" s="192"/>
      <c r="AE276" s="192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 s="192"/>
      <c r="T277"/>
      <c r="V277" s="192"/>
      <c r="W277" s="192"/>
      <c r="X277" s="192"/>
      <c r="Y277" s="192"/>
      <c r="Z277" s="192"/>
      <c r="AA277" s="192"/>
      <c r="AB277" s="192"/>
      <c r="AC277" s="192"/>
      <c r="AE277" s="192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 s="192"/>
      <c r="T278"/>
      <c r="V278" s="192"/>
      <c r="W278" s="192"/>
      <c r="X278" s="192"/>
      <c r="Y278" s="192"/>
      <c r="Z278" s="192"/>
      <c r="AA278" s="192"/>
      <c r="AB278" s="192"/>
      <c r="AC278" s="192"/>
      <c r="AE278" s="192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 s="192"/>
      <c r="T279"/>
      <c r="V279" s="192"/>
      <c r="W279" s="192"/>
      <c r="X279" s="192"/>
      <c r="Y279" s="192"/>
      <c r="Z279" s="192"/>
      <c r="AA279" s="192"/>
      <c r="AB279" s="192"/>
      <c r="AC279" s="192"/>
      <c r="AE279" s="192"/>
      <c r="AF279"/>
      <c r="AG279"/>
      <c r="AH279"/>
      <c r="AI279"/>
      <c r="AM279"/>
      <c r="AO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 s="192"/>
      <c r="T280"/>
      <c r="U280" s="192"/>
      <c r="V280" s="192"/>
      <c r="W280" s="192"/>
      <c r="X280" s="192"/>
      <c r="Y280" s="192"/>
      <c r="Z280" s="192"/>
      <c r="AA280" s="192"/>
      <c r="AB280" s="192"/>
      <c r="AC280" s="192"/>
      <c r="AD280" s="192"/>
      <c r="AE280" s="192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 s="192"/>
      <c r="T281"/>
      <c r="V281" s="192"/>
      <c r="W281" s="192"/>
      <c r="X281" s="192"/>
      <c r="Y281" s="192"/>
      <c r="Z281" s="192"/>
      <c r="AA281" s="192"/>
      <c r="AB281" s="192"/>
      <c r="AC281" s="192"/>
      <c r="AE281" s="192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 s="192"/>
      <c r="T282"/>
      <c r="V282" s="192"/>
      <c r="W282" s="192"/>
      <c r="X282" s="192"/>
      <c r="Y282" s="192"/>
      <c r="Z282" s="192"/>
      <c r="AA282" s="192"/>
      <c r="AB282" s="192"/>
      <c r="AC282" s="192"/>
      <c r="AE282" s="19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 s="192"/>
      <c r="T283"/>
      <c r="V283" s="192"/>
      <c r="W283" s="192"/>
      <c r="X283" s="192"/>
      <c r="Y283" s="192"/>
      <c r="Z283" s="192"/>
      <c r="AA283" s="192"/>
      <c r="AB283" s="192"/>
      <c r="AC283" s="192"/>
      <c r="AE283" s="192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 s="192"/>
      <c r="T284"/>
      <c r="V284" s="192"/>
      <c r="W284" s="192"/>
      <c r="X284" s="192"/>
      <c r="Y284" s="192"/>
      <c r="Z284" s="192"/>
      <c r="AA284" s="192"/>
      <c r="AB284" s="192"/>
      <c r="AC284" s="192"/>
      <c r="AE284" s="192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 s="192"/>
      <c r="T285"/>
      <c r="V285" s="192"/>
      <c r="W285" s="192"/>
      <c r="X285" s="192"/>
      <c r="Y285" s="192"/>
      <c r="Z285" s="192"/>
      <c r="AA285" s="192"/>
      <c r="AB285" s="192"/>
      <c r="AC285" s="192"/>
      <c r="AE285" s="192"/>
      <c r="AF285"/>
      <c r="AG285"/>
      <c r="AH285"/>
      <c r="AI285"/>
      <c r="AM285"/>
      <c r="AO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 s="192"/>
      <c r="T286"/>
      <c r="U286" s="192"/>
      <c r="V286" s="192"/>
      <c r="W286" s="192"/>
      <c r="X286" s="192"/>
      <c r="Y286" s="192"/>
      <c r="Z286" s="192"/>
      <c r="AA286" s="192"/>
      <c r="AB286" s="192"/>
      <c r="AC286" s="192"/>
      <c r="AD286" s="192"/>
      <c r="AE286" s="192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 s="192"/>
      <c r="T287"/>
      <c r="V287" s="192"/>
      <c r="W287" s="192"/>
      <c r="X287" s="192"/>
      <c r="Y287" s="192"/>
      <c r="Z287" s="192"/>
      <c r="AA287" s="192"/>
      <c r="AB287" s="192"/>
      <c r="AC287" s="192"/>
      <c r="AE287" s="192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 s="192"/>
      <c r="T288"/>
      <c r="V288" s="192"/>
      <c r="W288" s="192"/>
      <c r="X288" s="192"/>
      <c r="Y288" s="192"/>
      <c r="Z288" s="192"/>
      <c r="AA288" s="192"/>
      <c r="AB288" s="192"/>
      <c r="AC288" s="192"/>
      <c r="AE288" s="192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 s="192"/>
      <c r="T289"/>
      <c r="V289" s="192"/>
      <c r="W289" s="192"/>
      <c r="X289" s="192"/>
      <c r="Y289" s="192"/>
      <c r="Z289" s="192"/>
      <c r="AA289" s="192"/>
      <c r="AB289" s="192"/>
      <c r="AC289" s="192"/>
      <c r="AE289" s="192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 s="192"/>
      <c r="T290"/>
      <c r="V290" s="192"/>
      <c r="W290" s="192"/>
      <c r="X290" s="192"/>
      <c r="Y290" s="192"/>
      <c r="Z290" s="192"/>
      <c r="AA290" s="192"/>
      <c r="AB290" s="192"/>
      <c r="AC290" s="192"/>
      <c r="AE290" s="192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 s="192"/>
      <c r="T291"/>
      <c r="V291" s="192"/>
      <c r="W291" s="192"/>
      <c r="X291" s="192"/>
      <c r="Y291" s="192"/>
      <c r="Z291" s="192"/>
      <c r="AA291" s="192"/>
      <c r="AB291" s="192"/>
      <c r="AC291" s="192"/>
      <c r="AE291" s="192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 s="192"/>
      <c r="T292"/>
      <c r="V292" s="192"/>
      <c r="W292" s="192"/>
      <c r="X292" s="192"/>
      <c r="Y292" s="192"/>
      <c r="Z292" s="192"/>
      <c r="AA292" s="192"/>
      <c r="AB292" s="192"/>
      <c r="AC292" s="192"/>
      <c r="AE292" s="1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 s="192"/>
      <c r="T293"/>
      <c r="V293" s="192"/>
      <c r="W293" s="192"/>
      <c r="X293" s="192"/>
      <c r="Y293" s="192"/>
      <c r="Z293" s="192"/>
      <c r="AA293" s="192"/>
      <c r="AB293" s="192"/>
      <c r="AC293" s="192"/>
      <c r="AE293" s="192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 s="192"/>
      <c r="T294"/>
      <c r="V294" s="192"/>
      <c r="W294" s="192"/>
      <c r="X294" s="192"/>
      <c r="Y294" s="192"/>
      <c r="Z294" s="192"/>
      <c r="AA294" s="192"/>
      <c r="AB294" s="192"/>
      <c r="AC294" s="192"/>
      <c r="AE294" s="192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 s="192"/>
      <c r="T295"/>
      <c r="V295" s="192"/>
      <c r="W295" s="192"/>
      <c r="X295" s="192"/>
      <c r="Y295" s="192"/>
      <c r="Z295" s="192"/>
      <c r="AA295" s="192"/>
      <c r="AB295" s="192"/>
      <c r="AC295" s="192"/>
      <c r="AE295" s="192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 s="192"/>
      <c r="T296"/>
      <c r="V296" s="192"/>
      <c r="W296" s="192"/>
      <c r="X296" s="192"/>
      <c r="Y296" s="192"/>
      <c r="Z296" s="192"/>
      <c r="AA296" s="192"/>
      <c r="AB296" s="192"/>
      <c r="AC296" s="192"/>
      <c r="AE296" s="192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 s="192"/>
      <c r="T297"/>
      <c r="V297" s="192"/>
      <c r="W297" s="192"/>
      <c r="X297" s="192"/>
      <c r="Y297" s="192"/>
      <c r="Z297" s="192"/>
      <c r="AA297" s="192"/>
      <c r="AB297" s="192"/>
      <c r="AC297" s="192"/>
      <c r="AE297" s="192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 s="192"/>
      <c r="T298"/>
      <c r="V298" s="192"/>
      <c r="W298" s="192"/>
      <c r="X298" s="192"/>
      <c r="Y298" s="192"/>
      <c r="Z298" s="192"/>
      <c r="AA298" s="192"/>
      <c r="AB298" s="192"/>
      <c r="AC298" s="192"/>
      <c r="AE298" s="192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 s="192"/>
      <c r="T299"/>
      <c r="V299" s="192"/>
      <c r="W299" s="192"/>
      <c r="X299" s="192"/>
      <c r="Y299" s="192"/>
      <c r="Z299" s="192"/>
      <c r="AA299" s="192"/>
      <c r="AB299" s="192"/>
      <c r="AC299" s="192"/>
      <c r="AE299" s="192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 s="192"/>
      <c r="T300"/>
      <c r="V300" s="192"/>
      <c r="W300" s="192"/>
      <c r="X300" s="192"/>
      <c r="Y300" s="192"/>
      <c r="Z300" s="192"/>
      <c r="AA300" s="192"/>
      <c r="AB300" s="192"/>
      <c r="AC300" s="192"/>
      <c r="AE300" s="192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 s="192"/>
      <c r="T301"/>
      <c r="V301" s="192"/>
      <c r="W301" s="192"/>
      <c r="X301" s="192"/>
      <c r="Y301" s="192"/>
      <c r="Z301" s="192"/>
      <c r="AA301" s="192"/>
      <c r="AB301" s="192"/>
      <c r="AC301" s="192"/>
      <c r="AE301" s="192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 s="192"/>
      <c r="T302"/>
      <c r="V302" s="192"/>
      <c r="W302" s="192"/>
      <c r="X302" s="192"/>
      <c r="Y302" s="192"/>
      <c r="Z302" s="192"/>
      <c r="AA302" s="192"/>
      <c r="AB302" s="192"/>
      <c r="AC302" s="192"/>
      <c r="AE302" s="192"/>
      <c r="AF302"/>
      <c r="AG302"/>
      <c r="AH302"/>
      <c r="AI302"/>
      <c r="AM302"/>
      <c r="AO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 s="192"/>
      <c r="T303"/>
      <c r="U303" s="192"/>
      <c r="V303" s="192"/>
      <c r="W303" s="192"/>
      <c r="X303" s="192"/>
      <c r="Y303" s="192"/>
      <c r="Z303" s="192"/>
      <c r="AA303" s="192"/>
      <c r="AB303" s="192"/>
      <c r="AC303" s="192"/>
      <c r="AD303" s="192"/>
      <c r="AE303" s="192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 s="192"/>
      <c r="T304"/>
      <c r="V304" s="192"/>
      <c r="W304" s="192"/>
      <c r="X304" s="192"/>
      <c r="Y304" s="192"/>
      <c r="Z304" s="192"/>
      <c r="AA304" s="192"/>
      <c r="AB304" s="192"/>
      <c r="AC304" s="192"/>
      <c r="AE304" s="192"/>
      <c r="AF304"/>
      <c r="AG304"/>
      <c r="AH304"/>
      <c r="AI304"/>
      <c r="AM304"/>
      <c r="AO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 s="192"/>
      <c r="T305"/>
      <c r="V305" s="192"/>
      <c r="W305" s="192"/>
      <c r="X305" s="192"/>
      <c r="Y305" s="192"/>
      <c r="Z305" s="192"/>
      <c r="AA305" s="192"/>
      <c r="AB305" s="192"/>
      <c r="AC305" s="192"/>
      <c r="AE305" s="192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 s="192"/>
      <c r="T306"/>
      <c r="V306" s="192"/>
      <c r="W306" s="192"/>
      <c r="X306" s="192"/>
      <c r="Y306" s="192"/>
      <c r="Z306" s="192"/>
      <c r="AA306" s="192"/>
      <c r="AB306" s="192"/>
      <c r="AC306" s="192"/>
      <c r="AE306" s="192"/>
      <c r="AF306"/>
      <c r="AG306"/>
      <c r="AH306"/>
      <c r="AI306"/>
      <c r="AM306"/>
      <c r="AO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 s="192"/>
      <c r="T307"/>
      <c r="U307" s="192"/>
      <c r="V307" s="192"/>
      <c r="W307" s="192"/>
      <c r="X307" s="192"/>
      <c r="Y307" s="192"/>
      <c r="Z307" s="192"/>
      <c r="AA307" s="192"/>
      <c r="AB307" s="192"/>
      <c r="AC307" s="192"/>
      <c r="AD307" s="192"/>
      <c r="AE307" s="192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 s="192"/>
      <c r="T308"/>
      <c r="V308" s="192"/>
      <c r="W308" s="192"/>
      <c r="X308" s="192"/>
      <c r="Y308" s="192"/>
      <c r="Z308" s="192"/>
      <c r="AA308" s="192"/>
      <c r="AB308" s="192"/>
      <c r="AC308" s="192"/>
      <c r="AE308" s="192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 s="192"/>
      <c r="T309"/>
      <c r="V309" s="192"/>
      <c r="W309" s="192"/>
      <c r="X309" s="192"/>
      <c r="Y309" s="192"/>
      <c r="Z309" s="192"/>
      <c r="AA309" s="192"/>
      <c r="AB309" s="192"/>
      <c r="AC309" s="192"/>
      <c r="AE309" s="192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 s="192"/>
      <c r="T310"/>
      <c r="V310" s="192"/>
      <c r="W310" s="192"/>
      <c r="X310" s="192"/>
      <c r="Y310" s="192"/>
      <c r="Z310" s="192"/>
      <c r="AA310" s="192"/>
      <c r="AB310" s="192"/>
      <c r="AC310" s="192"/>
      <c r="AE310" s="192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 s="192"/>
      <c r="T311"/>
      <c r="V311" s="192"/>
      <c r="W311" s="192"/>
      <c r="X311" s="192"/>
      <c r="Y311" s="192"/>
      <c r="Z311" s="192"/>
      <c r="AA311" s="192"/>
      <c r="AB311" s="192"/>
      <c r="AC311" s="192"/>
      <c r="AE311" s="192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 s="192"/>
      <c r="T312"/>
      <c r="V312" s="192"/>
      <c r="W312" s="192"/>
      <c r="X312" s="192"/>
      <c r="Y312" s="192"/>
      <c r="Z312" s="192"/>
      <c r="AA312" s="192"/>
      <c r="AB312" s="192"/>
      <c r="AC312" s="192"/>
      <c r="AE312" s="19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 s="192"/>
      <c r="T313"/>
      <c r="V313" s="192"/>
      <c r="W313" s="192"/>
      <c r="X313" s="192"/>
      <c r="Y313" s="192"/>
      <c r="Z313" s="192"/>
      <c r="AA313" s="192"/>
      <c r="AB313" s="192"/>
      <c r="AC313" s="192"/>
      <c r="AE313" s="192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 s="192"/>
      <c r="T314"/>
      <c r="V314" s="192"/>
      <c r="W314" s="192"/>
      <c r="X314" s="192"/>
      <c r="Y314" s="192"/>
      <c r="Z314" s="192"/>
      <c r="AA314" s="192"/>
      <c r="AB314" s="192"/>
      <c r="AC314" s="192"/>
      <c r="AE314" s="192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 s="192"/>
      <c r="T315"/>
      <c r="V315" s="192"/>
      <c r="W315" s="192"/>
      <c r="X315" s="192"/>
      <c r="Y315" s="192"/>
      <c r="Z315" s="192"/>
      <c r="AA315" s="192"/>
      <c r="AB315" s="192"/>
      <c r="AC315" s="192"/>
      <c r="AE315" s="192"/>
      <c r="AF315"/>
      <c r="AG315"/>
      <c r="AH315"/>
      <c r="AI315"/>
      <c r="AM315"/>
      <c r="AO315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 s="192"/>
      <c r="T316"/>
      <c r="V316" s="192"/>
      <c r="W316" s="192"/>
      <c r="X316" s="192"/>
      <c r="Y316" s="192"/>
      <c r="Z316" s="192"/>
      <c r="AA316" s="192"/>
      <c r="AB316" s="192"/>
      <c r="AC316" s="192"/>
      <c r="AE316" s="192"/>
      <c r="AF316"/>
      <c r="AG316"/>
      <c r="AH316"/>
      <c r="AI316"/>
      <c r="AM316"/>
      <c r="AO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 s="192"/>
      <c r="T317"/>
      <c r="V317" s="192"/>
      <c r="W317" s="192"/>
      <c r="X317" s="192"/>
      <c r="Y317" s="192"/>
      <c r="Z317" s="192"/>
      <c r="AA317" s="192"/>
      <c r="AB317" s="192"/>
      <c r="AC317" s="192"/>
      <c r="AE317" s="192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 s="192"/>
      <c r="T318"/>
      <c r="V318" s="192"/>
      <c r="W318" s="192"/>
      <c r="X318" s="192"/>
      <c r="Y318" s="192"/>
      <c r="Z318" s="192"/>
      <c r="AA318" s="192"/>
      <c r="AB318" s="192"/>
      <c r="AC318" s="192"/>
      <c r="AE318" s="192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 s="192"/>
      <c r="T319"/>
      <c r="V319" s="192"/>
      <c r="W319" s="192"/>
      <c r="X319" s="192"/>
      <c r="Y319" s="192"/>
      <c r="Z319" s="192"/>
      <c r="AA319" s="192"/>
      <c r="AB319" s="192"/>
      <c r="AC319" s="192"/>
      <c r="AE319" s="192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 s="192"/>
      <c r="T320"/>
      <c r="V320" s="192"/>
      <c r="W320" s="192"/>
      <c r="X320" s="192"/>
      <c r="Y320" s="192"/>
      <c r="Z320" s="192"/>
      <c r="AA320" s="192"/>
      <c r="AB320" s="192"/>
      <c r="AC320" s="192"/>
      <c r="AE320" s="192"/>
      <c r="AF320"/>
      <c r="AG320"/>
      <c r="AH320"/>
      <c r="AI320"/>
      <c r="AM320"/>
      <c r="AO320"/>
    </row>
    <row r="321" spans="1:4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 s="192"/>
      <c r="T321"/>
      <c r="V321" s="192"/>
      <c r="W321" s="192"/>
      <c r="X321" s="192"/>
      <c r="Y321" s="192"/>
      <c r="Z321" s="192"/>
      <c r="AA321" s="192"/>
      <c r="AB321" s="192"/>
      <c r="AC321" s="192"/>
      <c r="AE321" s="192"/>
      <c r="AF321"/>
      <c r="AG321"/>
      <c r="AH321"/>
      <c r="AI321"/>
      <c r="AM321"/>
      <c r="AO321"/>
    </row>
    <row r="322" spans="1:4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 s="192"/>
      <c r="T322"/>
      <c r="V322" s="192"/>
      <c r="W322" s="192"/>
      <c r="X322" s="192"/>
      <c r="Y322" s="192"/>
      <c r="Z322" s="192"/>
      <c r="AA322" s="192"/>
      <c r="AB322" s="192"/>
      <c r="AC322" s="192"/>
      <c r="AE322" s="192"/>
      <c r="AF322"/>
      <c r="AG322"/>
      <c r="AH322"/>
      <c r="AI322"/>
      <c r="AM322"/>
      <c r="AO322"/>
    </row>
    <row r="323" spans="1:4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 s="192"/>
      <c r="T323"/>
      <c r="V323" s="192"/>
      <c r="W323" s="192"/>
      <c r="X323" s="192"/>
      <c r="Y323" s="192"/>
      <c r="Z323" s="192"/>
      <c r="AA323" s="192"/>
      <c r="AB323" s="192"/>
      <c r="AC323" s="192"/>
      <c r="AE323" s="192"/>
      <c r="AF323"/>
      <c r="AG323"/>
      <c r="AH323"/>
      <c r="AI323"/>
      <c r="AM323"/>
      <c r="AO323"/>
    </row>
    <row r="324" spans="1:4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 s="192"/>
      <c r="T324"/>
      <c r="V324" s="192"/>
      <c r="W324" s="192"/>
      <c r="X324" s="192"/>
      <c r="Y324" s="192"/>
      <c r="Z324" s="192"/>
      <c r="AA324" s="192"/>
      <c r="AB324" s="192"/>
      <c r="AC324" s="192"/>
      <c r="AE324" s="192"/>
      <c r="AF324"/>
      <c r="AG324"/>
      <c r="AH324"/>
      <c r="AI324"/>
      <c r="AM324"/>
      <c r="AO324"/>
    </row>
    <row r="325" spans="1:4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 s="192"/>
      <c r="T325"/>
      <c r="V325" s="192"/>
      <c r="W325" s="192"/>
      <c r="X325" s="192"/>
      <c r="Y325" s="192"/>
      <c r="Z325" s="192"/>
      <c r="AA325" s="192"/>
      <c r="AB325" s="192"/>
      <c r="AC325" s="192"/>
      <c r="AE325" s="192"/>
      <c r="AF325"/>
      <c r="AG325"/>
      <c r="AH325"/>
      <c r="AI325"/>
      <c r="AM325"/>
      <c r="AO325"/>
    </row>
    <row r="326" spans="1:4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 s="192"/>
      <c r="T326"/>
      <c r="V326" s="192"/>
      <c r="W326" s="192"/>
      <c r="X326" s="192"/>
      <c r="Y326" s="192"/>
      <c r="Z326" s="192"/>
      <c r="AA326" s="192"/>
      <c r="AB326" s="192"/>
      <c r="AC326" s="192"/>
      <c r="AE326" s="192"/>
      <c r="AF326"/>
      <c r="AG326"/>
      <c r="AH326"/>
      <c r="AI326"/>
      <c r="AM326"/>
      <c r="AO326"/>
    </row>
    <row r="327" spans="1:4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 s="192"/>
      <c r="T327"/>
      <c r="V327" s="192"/>
      <c r="W327" s="192"/>
      <c r="X327" s="192"/>
      <c r="Y327" s="192"/>
      <c r="Z327" s="192"/>
      <c r="AA327" s="192"/>
      <c r="AB327" s="192"/>
      <c r="AC327" s="192"/>
      <c r="AE327" s="192"/>
      <c r="AF327"/>
      <c r="AG327"/>
      <c r="AH327"/>
      <c r="AI327"/>
      <c r="AM327"/>
      <c r="AO327"/>
    </row>
    <row r="328" spans="1:4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 s="192"/>
      <c r="T328"/>
      <c r="V328" s="192"/>
      <c r="W328" s="192"/>
      <c r="X328" s="192"/>
      <c r="Y328" s="192"/>
      <c r="Z328" s="192"/>
      <c r="AA328" s="192"/>
      <c r="AB328" s="192"/>
      <c r="AC328" s="192"/>
      <c r="AE328" s="192"/>
      <c r="AF328"/>
      <c r="AG328"/>
      <c r="AH328"/>
      <c r="AI328"/>
      <c r="AM328"/>
      <c r="AO328"/>
    </row>
  </sheetData>
  <autoFilter ref="A12:AG323">
    <sortState ref="A13:AG323">
      <sortCondition ref="AG13:AG219"/>
      <sortCondition ref="AD13:AD219"/>
    </sortState>
  </autoFilter>
  <sortState ref="A13:AN271">
    <sortCondition ref="AG13:AG271"/>
    <sortCondition ref="AD13:AD271"/>
  </sortState>
  <mergeCells count="1">
    <mergeCell ref="A11:P11"/>
  </mergeCells>
  <conditionalFormatting sqref="W11:W12 W329:X1048576 W13:X219">
    <cfRule type="cellIs" dxfId="10" priority="422" operator="equal">
      <formula>"Y"</formula>
    </cfRule>
  </conditionalFormatting>
  <conditionalFormatting sqref="X329:X1048576 X13:X219">
    <cfRule type="cellIs" dxfId="9" priority="405" operator="greaterThan">
      <formula>1</formula>
    </cfRule>
  </conditionalFormatting>
  <conditionalFormatting sqref="X329:X1048576 X12:X219">
    <cfRule type="cellIs" dxfId="8" priority="402" operator="equal">
      <formula>0</formula>
    </cfRule>
  </conditionalFormatting>
  <conditionalFormatting sqref="A13:S219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2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05" customWidth="1"/>
    <col min="5" max="5" width="29.42578125" style="105" customWidth="1"/>
    <col min="6" max="6" width="5.7109375" style="105" customWidth="1"/>
    <col min="7" max="7" width="5.85546875" style="105" customWidth="1"/>
    <col min="8" max="8" width="7.85546875" style="105" customWidth="1"/>
    <col min="9" max="9" width="9" style="105" customWidth="1"/>
    <col min="10" max="10" width="11.5703125" style="105" hidden="1" customWidth="1"/>
    <col min="11" max="11" width="9.140625" style="105" customWidth="1"/>
    <col min="12" max="12" width="4.85546875" style="105" customWidth="1"/>
    <col min="13" max="13" width="7.85546875" style="2" customWidth="1"/>
    <col min="14" max="14" width="16" style="104" customWidth="1"/>
    <col min="15" max="15" width="4.42578125" style="160" customWidth="1"/>
    <col min="16" max="16" width="30.42578125" style="105" customWidth="1"/>
    <col min="17" max="17" width="5" hidden="1" customWidth="1"/>
    <col min="18" max="18" width="5.5703125" style="69" customWidth="1"/>
    <col min="19" max="19" width="5.5703125" style="74" customWidth="1"/>
    <col min="20" max="20" width="6" style="66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49" customWidth="1"/>
    <col min="27" max="27" width="5.28515625" customWidth="1"/>
    <col min="28" max="28" width="5.5703125" customWidth="1"/>
    <col min="29" max="29" width="5.28515625" style="107" customWidth="1"/>
    <col min="30" max="30" width="6.7109375" customWidth="1"/>
    <col min="31" max="31" width="9.140625" style="134"/>
  </cols>
  <sheetData>
    <row r="1" spans="1:32" s="20" customFormat="1" ht="15.75" hidden="1" thickBot="1" x14ac:dyDescent="0.3">
      <c r="A1" s="8"/>
      <c r="D1" s="105"/>
      <c r="E1" s="105"/>
      <c r="F1" s="105"/>
      <c r="G1" s="105"/>
      <c r="H1" s="105"/>
      <c r="I1" s="105"/>
      <c r="J1" s="105"/>
      <c r="K1" s="105"/>
      <c r="L1" s="105"/>
      <c r="M1" s="2"/>
      <c r="N1" s="104"/>
      <c r="O1" s="160"/>
      <c r="P1" s="105"/>
      <c r="R1" s="69"/>
      <c r="S1" s="74"/>
      <c r="T1" s="66"/>
      <c r="V1" s="43"/>
      <c r="X1" s="2"/>
      <c r="Z1" s="149"/>
      <c r="AC1" s="107"/>
      <c r="AE1" s="134"/>
    </row>
    <row r="2" spans="1:32" s="20" customFormat="1" x14ac:dyDescent="0.25">
      <c r="A2" s="8"/>
      <c r="D2" s="105"/>
      <c r="E2" s="105"/>
      <c r="F2" s="105"/>
      <c r="G2" s="105"/>
      <c r="H2" s="105"/>
      <c r="I2" s="105"/>
      <c r="J2" s="105"/>
      <c r="K2" s="105"/>
      <c r="L2" s="116" t="s">
        <v>80</v>
      </c>
      <c r="M2" s="100"/>
      <c r="N2" s="117"/>
      <c r="O2" s="185">
        <f>COUNTIF($O$7:$O$245,"=Y")</f>
        <v>1</v>
      </c>
      <c r="P2" s="102"/>
      <c r="R2" s="69"/>
      <c r="S2" s="74"/>
      <c r="T2" s="66"/>
      <c r="V2" s="43"/>
      <c r="X2" s="2"/>
      <c r="Z2" s="149"/>
      <c r="AC2" s="108"/>
      <c r="AE2" s="134"/>
    </row>
    <row r="3" spans="1:32" s="20" customFormat="1" ht="15.75" thickBot="1" x14ac:dyDescent="0.3">
      <c r="A3" s="8"/>
      <c r="D3" s="105"/>
      <c r="E3" s="105"/>
      <c r="F3" s="105"/>
      <c r="G3" s="105"/>
      <c r="H3" s="105"/>
      <c r="I3" s="105"/>
      <c r="J3" s="105"/>
      <c r="K3" s="105"/>
      <c r="L3" s="118" t="s">
        <v>81</v>
      </c>
      <c r="M3" s="101"/>
      <c r="N3" s="119"/>
      <c r="O3" s="186">
        <f>COUNTA($O$7:$O$245)-O2</f>
        <v>26</v>
      </c>
      <c r="P3" s="102"/>
      <c r="R3" s="69"/>
      <c r="S3" s="74"/>
      <c r="T3" s="66"/>
      <c r="V3" s="43"/>
      <c r="X3" s="2"/>
      <c r="Z3" s="149"/>
      <c r="AC3" s="108"/>
      <c r="AE3" s="134"/>
    </row>
    <row r="4" spans="1:32" s="20" customFormat="1" x14ac:dyDescent="0.25">
      <c r="A4" s="8"/>
      <c r="D4" s="105"/>
      <c r="E4" s="105"/>
      <c r="F4" s="105"/>
      <c r="G4" s="105"/>
      <c r="H4" s="105"/>
      <c r="I4" s="105"/>
      <c r="J4" s="105"/>
      <c r="K4" s="105"/>
      <c r="L4" s="105"/>
      <c r="M4" s="2"/>
      <c r="N4" s="104"/>
      <c r="O4" s="182"/>
      <c r="P4" s="105"/>
      <c r="R4" s="69"/>
      <c r="S4" s="74"/>
      <c r="T4" s="66"/>
      <c r="V4" s="43"/>
      <c r="X4" s="2"/>
      <c r="Z4" s="149"/>
      <c r="AC4" s="108"/>
      <c r="AE4" s="134"/>
    </row>
    <row r="5" spans="1:32" s="10" customFormat="1" ht="15" customHeight="1" x14ac:dyDescent="0.25">
      <c r="A5" s="188" t="str">
        <f>"Eagle P3 Braking Events - "&amp;TEXT(Variables!$A$2,"YYYY-mm-dd")</f>
        <v>Eagle P3 Braking Events - 2017-09-30</v>
      </c>
      <c r="B5" s="188"/>
      <c r="C5" s="188"/>
      <c r="D5" s="188"/>
      <c r="E5" s="188"/>
      <c r="F5" s="188"/>
      <c r="G5" s="188"/>
      <c r="H5" s="188"/>
      <c r="I5" s="188"/>
      <c r="J5" s="188"/>
      <c r="K5" s="188"/>
      <c r="L5" s="188"/>
      <c r="M5" s="188"/>
      <c r="N5" s="188"/>
      <c r="O5" s="188"/>
      <c r="P5" s="120"/>
      <c r="R5" s="72"/>
      <c r="S5" s="75"/>
      <c r="T5" s="77"/>
      <c r="V5" s="44"/>
      <c r="X5" s="170"/>
      <c r="AC5" s="109"/>
      <c r="AE5" s="136"/>
    </row>
    <row r="6" spans="1:32" s="99" customFormat="1" ht="69.75" customHeight="1" x14ac:dyDescent="0.2">
      <c r="A6" s="89" t="s">
        <v>38</v>
      </c>
      <c r="B6" s="90" t="s">
        <v>37</v>
      </c>
      <c r="C6" s="90" t="s">
        <v>36</v>
      </c>
      <c r="D6" s="106" t="s">
        <v>35</v>
      </c>
      <c r="E6" s="106" t="s">
        <v>34</v>
      </c>
      <c r="F6" s="106" t="s">
        <v>33</v>
      </c>
      <c r="G6" s="106" t="s">
        <v>32</v>
      </c>
      <c r="H6" s="106" t="s">
        <v>31</v>
      </c>
      <c r="I6" s="106" t="s">
        <v>148</v>
      </c>
      <c r="J6" s="106" t="s">
        <v>30</v>
      </c>
      <c r="K6" s="106" t="s">
        <v>29</v>
      </c>
      <c r="L6" s="106" t="s">
        <v>28</v>
      </c>
      <c r="M6" s="91" t="s">
        <v>149</v>
      </c>
      <c r="N6" s="121" t="s">
        <v>47</v>
      </c>
      <c r="O6" s="167" t="s">
        <v>27</v>
      </c>
      <c r="P6" s="106" t="s">
        <v>24</v>
      </c>
      <c r="Q6" s="92"/>
      <c r="R6" s="93" t="s">
        <v>89</v>
      </c>
      <c r="S6" s="94" t="s">
        <v>55</v>
      </c>
      <c r="T6" s="95" t="s">
        <v>88</v>
      </c>
      <c r="U6" s="90" t="s">
        <v>83</v>
      </c>
      <c r="V6" s="96" t="s">
        <v>84</v>
      </c>
      <c r="W6" s="92" t="s">
        <v>354</v>
      </c>
      <c r="X6" s="171" t="s">
        <v>347</v>
      </c>
      <c r="Y6" s="97" t="s">
        <v>142</v>
      </c>
      <c r="Z6" s="150" t="s">
        <v>143</v>
      </c>
      <c r="AA6" s="98" t="s">
        <v>116</v>
      </c>
      <c r="AB6" s="98" t="s">
        <v>144</v>
      </c>
      <c r="AC6" s="110" t="s">
        <v>168</v>
      </c>
      <c r="AD6" s="99" t="s">
        <v>185</v>
      </c>
      <c r="AE6" s="135" t="s">
        <v>190</v>
      </c>
    </row>
    <row r="7" spans="1:32" s="1" customFormat="1" x14ac:dyDescent="0.25">
      <c r="A7" s="31">
        <v>43008.384745370371</v>
      </c>
      <c r="B7" s="30" t="s">
        <v>433</v>
      </c>
      <c r="C7" s="30" t="s">
        <v>593</v>
      </c>
      <c r="D7" s="30" t="s">
        <v>49</v>
      </c>
      <c r="E7" s="30" t="s">
        <v>186</v>
      </c>
      <c r="F7" s="42">
        <v>0</v>
      </c>
      <c r="G7" s="42">
        <v>69</v>
      </c>
      <c r="H7" s="42">
        <v>27505</v>
      </c>
      <c r="I7" s="42">
        <v>27481</v>
      </c>
      <c r="J7" s="30" t="s">
        <v>187</v>
      </c>
      <c r="K7" s="42">
        <v>27350</v>
      </c>
      <c r="L7" s="123" t="s">
        <v>51</v>
      </c>
      <c r="M7" s="124">
        <f t="shared" ref="M7:M33" si="0">CONVERT((I7-K7)/10000,"mi","ft")*IF(L7="Increasing Mileposts (1)",-1,1)</f>
        <v>69.168000000000006</v>
      </c>
      <c r="N7" s="125" t="str">
        <f>VLOOKUP(C7,'Trips&amp;Operators'!$C$1:$G$99911,5,FALSE)</f>
        <v>PAGE MARCUS</v>
      </c>
      <c r="O7" s="168" t="s">
        <v>179</v>
      </c>
      <c r="P7" s="126" t="s">
        <v>362</v>
      </c>
      <c r="Q7" s="30"/>
      <c r="R7" s="73" t="str">
        <f>VLOOKUP(C7,'Train Runs'!$A$13:$AE$9982,31,0)</f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S7" s="76" t="str">
        <f>VLOOKUP(C7,'Train Runs'!$A$13:$AE$9982,22,0)</f>
        <v>https://d0f6bd738d7f1b3e5a7ca70fe4ff75f0.us-east-1.aws.found.io/app/kibana#/discover/Steve-Slow-Train-Analysis-(2080s-and-2083s)?_g=(refreshInterval:(display:Off,pause:!f,section:0,value:0),time:(from:'2017-09-30T07:37:21-0600',mode:absolute,to:'2017-09-30T10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7" s="78" t="str">
        <f t="shared" ref="T7:T3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/stypes="*4051*201709301*" /stext=" 15:.+((SYSTEM_STATE.+slice.+state.+changed )|(ment ac)|(multiple cpu faults)|(system.+state.+changed )|(\[timeout)|(PRM\|1\|D)|(kpr)|(kdp)|(train st.+moving)|(\|lc)|(penalty))"</v>
      </c>
      <c r="U7" s="9" t="str">
        <f t="shared" ref="U7:U33" si="2">MID(B7,13,4)</f>
        <v>4051</v>
      </c>
      <c r="V7" s="31">
        <f t="shared" ref="V7:V33" si="3">A7-utc_offset/24</f>
        <v>43008.634745370371</v>
      </c>
      <c r="W7" s="45" t="str">
        <f t="shared" ref="W7:W33" si="4">DetSubdiv(C7)</f>
        <v>EC</v>
      </c>
      <c r="X7" s="22">
        <f t="shared" ref="X7:X33" si="5">VALUE(LEFT(C7,LEN(C7)-3))</f>
        <v>134</v>
      </c>
      <c r="Y7" s="88" t="str">
        <f t="shared" ref="Y7:Y3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Arrival","project_id":79,"tracker_id":40,"status_id":1,"priority_id":2,"assigned_to_id":338,"start_date":"2017-09-30","description":"","custom_fields":[{"id":1,"name":"Subdivision","value":"EC"},{"id":4,"name":"Milepost","value":"2.735"},{"id":17,"name":"Train ID","value":"134-30"},{"id":16,"name":"Locomotive ID","value":"4051"},{"id":130,"name":"Impact","value":""},{"id":150,"name":"Time of Event (Mountain Time)","value":"09:14:02"},{"id":151,"name":"Denver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1"/>
      <c r="AA7" s="47"/>
      <c r="AB7" s="47"/>
      <c r="AC7" s="107" t="str">
        <f t="shared" ref="AC7:AC3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/c/Users/stu/AppData/Local/Temp/OnboardLogs/RTDC4051 --include="*4051*201709301*"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"%USERPROFILE%\AppData\Local\Temp\OnboardLogs"\RTDC4051\*4051*201709301* &gt;&gt; 2017-09-30-SliceDisagreementCheck.txt</v>
      </c>
      <c r="AE7" s="137" t="str">
        <f t="shared" ref="AE7" si="8">"start /low /b "&amp;dls3logs&amp;" --loco "&amp;U7&amp;" --day "&amp;TEXT(V7,"YYYY-MM-DD")</f>
        <v>start /low /b %USERPROFILE%\Documents\GitHub\eaglep3\Utilities\DownloadLogsFromS3.py --loco 4051 --day 2017-09-30</v>
      </c>
    </row>
    <row r="8" spans="1:32" s="1" customFormat="1" x14ac:dyDescent="0.25">
      <c r="A8" s="31">
        <v>43008.838449074072</v>
      </c>
      <c r="B8" s="30" t="s">
        <v>432</v>
      </c>
      <c r="C8" s="30" t="s">
        <v>609</v>
      </c>
      <c r="D8" s="30" t="s">
        <v>49</v>
      </c>
      <c r="E8" s="30" t="s">
        <v>186</v>
      </c>
      <c r="F8" s="42">
        <v>0</v>
      </c>
      <c r="G8" s="42">
        <v>188</v>
      </c>
      <c r="H8" s="42">
        <v>30763</v>
      </c>
      <c r="I8" s="42">
        <v>30964</v>
      </c>
      <c r="J8" s="30" t="s">
        <v>187</v>
      </c>
      <c r="K8" s="42">
        <v>30830</v>
      </c>
      <c r="L8" s="123" t="s">
        <v>50</v>
      </c>
      <c r="M8" s="124">
        <f t="shared" si="0"/>
        <v>-70.751999999999995</v>
      </c>
      <c r="N8" s="125" t="str">
        <f>VLOOKUP(C8,'Trips&amp;Operators'!$C$1:$G$99911,5,FALSE)</f>
        <v>ELBAUM MIKE</v>
      </c>
      <c r="O8" s="168" t="s">
        <v>179</v>
      </c>
      <c r="P8" s="126" t="s">
        <v>362</v>
      </c>
      <c r="Q8" s="30"/>
      <c r="R8" s="73" t="str">
        <f>VLOOKUP(C8,'Train Runs'!$A$13:$AE$9982,31,0)</f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S8" s="76" t="str">
        <f>VLOOKUP(C8,'Train Runs'!$A$13:$AE$9982,22,0)</f>
        <v>https://d0f6bd738d7f1b3e5a7ca70fe4ff75f0.us-east-1.aws.found.io/app/kibana#/discover/Steve-Slow-Train-Analysis-(2080s-and-2083s)?_g=(refreshInterval:(display:Off,pause:!f,section:0,value:0),time:(from:'2017-09-30T18:50:36-0600',mode:absolute,to:'2017-09-30T21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8" s="78" t="str">
        <f t="shared" si="1"/>
        <v>"C:\Program Files (x86)\AstroGrep\AstroGrep.exe" /e /r /s /spath="%USERPROFILE%\AppData\Local\Temp\OnboardLogs" /stypes="*4052*201710010*" /stext=" 02:.+((SYSTEM_STATE.+slice.+state.+changed )|(ment ac)|(multiple cpu faults)|(system.+state.+changed )|(\[timeout)|(PRM\|1\|D)|(kpr)|(kdp)|(train st.+moving)|(\|lc)|(penalty))"</v>
      </c>
      <c r="U8" s="9" t="str">
        <f t="shared" si="2"/>
        <v>4052</v>
      </c>
      <c r="V8" s="31">
        <f t="shared" si="3"/>
        <v>43009.088449074072</v>
      </c>
      <c r="W8" s="45" t="str">
        <f t="shared" si="4"/>
        <v>EC</v>
      </c>
      <c r="X8" s="22">
        <f t="shared" si="5"/>
        <v>225</v>
      </c>
      <c r="Y8" s="88" t="str">
        <f t="shared" si="6"/>
        <v>echo {"issue":{"subject":"Early Arrival","project_id":79,"tracker_id":40,"status_id":1,"priority_id":2,"assigned_to_id":338,"start_date":"2017-09-30","description":"","custom_fields":[{"id":1,"name":"Subdivision","value":"EC"},{"id":4,"name":"Milepost","value":"3.083"},{"id":17,"name":"Train ID","value":"225-30"},{"id":16,"name":"Locomotive ID","value":"4052"},{"id":130,"name":"Impact","value":""},{"id":150,"name":"Time of Event (Mountain Time)","value":"20:07:22"},{"id":151,"name":"Denver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1"/>
      <c r="AA8" s="47"/>
      <c r="AB8" s="47"/>
      <c r="AC8" s="107" t="str">
        <f t="shared" si="7"/>
        <v>grep -hrE -A400 "Enforcement Action" /c/Users/stu/AppData/Local/Temp/OnboardLogs/RTDC4052 --include="*4052*201710010*"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"%USERPROFILE%\AppData\Local\Temp\OnboardLogs"\RTDC4052\*4052*201710010* &gt;&gt; 2017-09-30-SliceDisagreementCheck.txt</v>
      </c>
      <c r="AE8" s="137" t="str">
        <f t="shared" ref="AE8:AE33" si="9">"start /low /b "&amp;dls3logs&amp;" --loco "&amp;U8&amp;" --day "&amp;TEXT(V8,"YYYY-MM-DD")</f>
        <v>start /low /b %USERPROFILE%\Documents\GitHub\eaglep3\Utilities\DownloadLogsFromS3.py --loco 4052 --day 2017-10-01</v>
      </c>
    </row>
    <row r="9" spans="1:32" s="1" customFormat="1" x14ac:dyDescent="0.25">
      <c r="A9" s="31">
        <v>43009.059004629627</v>
      </c>
      <c r="B9" s="30" t="s">
        <v>433</v>
      </c>
      <c r="C9" s="30" t="s">
        <v>612</v>
      </c>
      <c r="D9" s="30" t="s">
        <v>49</v>
      </c>
      <c r="E9" s="30" t="s">
        <v>186</v>
      </c>
      <c r="F9" s="42">
        <v>270</v>
      </c>
      <c r="G9" s="42">
        <v>330</v>
      </c>
      <c r="H9" s="42">
        <v>35921</v>
      </c>
      <c r="I9" s="42">
        <v>35203</v>
      </c>
      <c r="J9" s="30" t="s">
        <v>187</v>
      </c>
      <c r="K9" s="42">
        <v>33257</v>
      </c>
      <c r="L9" s="123" t="s">
        <v>51</v>
      </c>
      <c r="M9" s="124">
        <f t="shared" si="0"/>
        <v>1027.4880000000001</v>
      </c>
      <c r="N9" s="125" t="str">
        <f>VLOOKUP(C9,'Trips&amp;Operators'!$C$1:$G$99911,5,FALSE)</f>
        <v>ELBAUM MIKE</v>
      </c>
      <c r="O9" s="168" t="s">
        <v>179</v>
      </c>
      <c r="P9" s="126" t="s">
        <v>362</v>
      </c>
      <c r="Q9" s="30"/>
      <c r="R9" s="73" t="str">
        <f>VLOOKUP(C9,'Train Runs'!$A$13:$AE$9982,31,0)</f>
        <v>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 &amp; aws s3 cp s3://rtdc.mdm.uploadarchive.raw/RTDC4051/ "%USERPROFILE%\AppData\Local\Temp\OnboardLogs"\RTDC4051\2017-10-02 --exclude "*" --recursive --include "*20171002*" &amp; "%USERPROFILE%\Documents\GitHub\mrs-test-scripts\Headless Mode &amp; Sideloading\WalkAndUnGZ.bat" "%USERPROFILE%\AppData\Local\Temp\OnboardLogs"\RTDC4051\2017-10-02</v>
      </c>
      <c r="S9" s="76" t="str">
        <f>VLOOKUP(C9,'Train Runs'!$A$13:$AE$9982,22,0)</f>
        <v>https://d0f6bd738d7f1b3e5a7ca70fe4ff75f0.us-east-1.aws.found.io/app/kibana#/discover/Steve-Slow-Train-Analysis-(2080s-and-2083s)?_g=(refreshInterval:(display:Off,pause:!f,section:0,value:0),time:(from:'2017-09-30T23:36:24-0600',mode:absolute,to:'2017-10-01T02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9" s="78" t="str">
        <f t="shared" si="1"/>
        <v>"C:\Program Files (x86)\AstroGrep\AstroGrep.exe" /e /r /s /spath="%USERPROFILE%\AppData\Local\Temp\OnboardLogs" /stypes="*4051*201710010*" /stext=" 07:.+((SYSTEM_STATE.+slice.+state.+changed )|(ment ac)|(multiple cpu faults)|(system.+state.+changed )|(\[timeout)|(PRM\|1\|D)|(kpr)|(kdp)|(train st.+moving)|(\|lc)|(penalty))"</v>
      </c>
      <c r="U9" s="9" t="str">
        <f t="shared" si="2"/>
        <v>4051</v>
      </c>
      <c r="V9" s="31">
        <f t="shared" si="3"/>
        <v>43009.309004629627</v>
      </c>
      <c r="W9" s="45" t="str">
        <f t="shared" si="4"/>
        <v>EC</v>
      </c>
      <c r="X9" s="22">
        <f t="shared" si="5"/>
        <v>242</v>
      </c>
      <c r="Y9" s="88" t="str">
        <f t="shared" si="6"/>
        <v>echo {"issue":{"subject":"Early Arrival","project_id":79,"tracker_id":40,"status_id":1,"priority_id":2,"assigned_to_id":338,"start_date":"2017-10-01","description":"","custom_fields":[{"id":1,"name":"Subdivision","value":"EC"},{"id":4,"name":"Milepost","value":"3.3257"},{"id":17,"name":"Train ID","value":"242-30"},{"id":16,"name":"Locomotive ID","value":"4051"},{"id":130,"name":"Impact","value":""},{"id":150,"name":"Time of Event (Mountain Time)","value":"01:24:58"},{"id":151,"name":"Denver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1"/>
      <c r="AA9" s="47"/>
      <c r="AB9" s="47"/>
      <c r="AC9" s="107" t="str">
        <f t="shared" si="7"/>
        <v>grep -hrE -A400 "Enforcement Action" /c/Users/stu/AppData/Local/Temp/OnboardLogs/RTDC4051 --include="*4051*201710010*"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"%USERPROFILE%\AppData\Local\Temp\OnboardLogs"\RTDC4051\*4051*201710010* &gt;&gt; 2017-09-30-SliceDisagreementCheck.txt</v>
      </c>
      <c r="AE9" s="137" t="str">
        <f t="shared" si="9"/>
        <v>start /low /b %USERPROFILE%\Documents\GitHub\eaglep3\Utilities\DownloadLogsFromS3.py --loco 4051 --day 2017-10-01</v>
      </c>
    </row>
    <row r="10" spans="1:32" s="1" customFormat="1" x14ac:dyDescent="0.25">
      <c r="A10" s="31">
        <v>43008.508148148147</v>
      </c>
      <c r="B10" s="30" t="s">
        <v>431</v>
      </c>
      <c r="C10" s="30" t="s">
        <v>598</v>
      </c>
      <c r="D10" s="30" t="s">
        <v>49</v>
      </c>
      <c r="E10" s="30" t="s">
        <v>186</v>
      </c>
      <c r="F10" s="42">
        <v>0</v>
      </c>
      <c r="G10" s="42">
        <v>543</v>
      </c>
      <c r="H10" s="42">
        <v>44769</v>
      </c>
      <c r="I10" s="42">
        <v>42841</v>
      </c>
      <c r="J10" s="30" t="s">
        <v>187</v>
      </c>
      <c r="K10" s="42">
        <v>42961</v>
      </c>
      <c r="L10" s="123" t="s">
        <v>51</v>
      </c>
      <c r="M10" s="124">
        <f t="shared" si="0"/>
        <v>-63.36</v>
      </c>
      <c r="N10" s="125" t="str">
        <f>VLOOKUP(C10,'Trips&amp;Operators'!$C$1:$G$99911,5,FALSE)</f>
        <v>DAVIDSON DAVID</v>
      </c>
      <c r="O10" s="168" t="s">
        <v>179</v>
      </c>
      <c r="P10" s="126" t="s">
        <v>362</v>
      </c>
      <c r="Q10" s="30"/>
      <c r="R10" s="73" t="str">
        <f>VLOOKUP(C10,'Train Runs'!$A$13:$AE$9982,31,0)</f>
        <v>aws s3 cp s3://rtdc.mdm.uploadarchive.raw/RTDC4009/ "%USERPROFILE%\AppData\Local\Temp\OnboardLogs"\RTDC4009\2017-09-30 --exclude "*" --recursive --include "*20170930*" &amp; "%USERPROFILE%\Documents\GitHub\mrs-test-scripts\Headless Mode &amp; Sideloading\WalkAndUnGZ.bat" "%USERPROFILE%\AppData\Local\Temp\OnboardLogs"\RTDC4009\2017-09-30 &amp; aws s3 cp s3://rtdc.mdm.uploadarchive.raw/RTDC4009/ "%USERPROFILE%\AppData\Local\Temp\OnboardLogs"\RTDC4009\2017-10-01 --exclude "*" --recursive --include "*20171001*" &amp; "%USERPROFILE%\Documents\GitHub\mrs-test-scripts\Headless Mode &amp; Sideloading\WalkAndUnGZ.bat" "%USERPROFILE%\AppData\Local\Temp\OnboardLogs"\RTDC4009\2017-10-01</v>
      </c>
      <c r="S10" s="76" t="str">
        <f>VLOOKUP(C10,'Train Runs'!$A$13:$AE$9982,22,0)</f>
        <v>https://d0f6bd738d7f1b3e5a7ca70fe4ff75f0.us-east-1.aws.found.io/app/kibana#/discover/Steve-Slow-Train-Analysis-(2080s-and-2083s)?_g=(refreshInterval:(display:Off,pause:!f,section:0,value:0),time:(from:'2017-09-30T10:27:01-0600',mode:absolute,to:'2017-09-30T13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78" t="str">
        <f t="shared" si="1"/>
        <v>"C:\Program Files (x86)\AstroGrep\AstroGrep.exe" /e /r /s /spath="%USERPROFILE%\AppData\Local\Temp\OnboardLogs" /stypes="*4009*201709301*" /stext=" 18:.+((SYSTEM_STATE.+slice.+state.+changed )|(ment ac)|(multiple cpu faults)|(system.+state.+changed )|(\[timeout)|(PRM\|1\|D)|(kpr)|(kdp)|(train st.+moving)|(\|lc)|(penalty))"</v>
      </c>
      <c r="U10" s="9" t="str">
        <f t="shared" si="2"/>
        <v>4009</v>
      </c>
      <c r="V10" s="31">
        <f t="shared" si="3"/>
        <v>43008.758148148147</v>
      </c>
      <c r="W10" s="45" t="str">
        <f t="shared" si="4"/>
        <v>EC</v>
      </c>
      <c r="X10" s="22">
        <f t="shared" si="5"/>
        <v>158</v>
      </c>
      <c r="Y10" s="88" t="str">
        <f t="shared" si="6"/>
        <v>echo {"issue":{"subject":"Early Arrival","project_id":79,"tracker_id":40,"status_id":1,"priority_id":2,"assigned_to_id":338,"start_date":"2017-09-30","description":"","custom_fields":[{"id":1,"name":"Subdivision","value":"EC"},{"id":4,"name":"Milepost","value":"4.2961"},{"id":17,"name":"Train ID","value":"158-30"},{"id":16,"name":"Locomotive ID","value":"4009"},{"id":130,"name":"Impact","value":""},{"id":150,"name":"Time of Event (Mountain Time)","value":"12:11:44"},{"id":151,"name":"Denver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1"/>
      <c r="AA10" s="47"/>
      <c r="AB10" s="47"/>
      <c r="AC10" s="107" t="str">
        <f t="shared" si="7"/>
        <v>grep -hrE -A400 "Enforcement Action" /c/Users/stu/AppData/Local/Temp/OnboardLogs/RTDC4009 --include="*4009*201709301*"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"%USERPROFILE%\AppData\Local\Temp\OnboardLogs"\RTDC4009\*4009*201709301* &gt;&gt; 2017-09-30-SliceDisagreementCheck.txt</v>
      </c>
      <c r="AE10" s="137" t="str">
        <f t="shared" si="9"/>
        <v>start /low /b %USERPROFILE%\Documents\GitHub\eaglep3\Utilities\DownloadLogsFromS3.py --loco 4009 --day 2017-09-30</v>
      </c>
    </row>
    <row r="11" spans="1:32" s="1" customFormat="1" x14ac:dyDescent="0.25">
      <c r="A11" s="31">
        <v>43008.592037037037</v>
      </c>
      <c r="B11" s="30" t="s">
        <v>521</v>
      </c>
      <c r="C11" s="30" t="s">
        <v>602</v>
      </c>
      <c r="D11" s="30" t="s">
        <v>95</v>
      </c>
      <c r="E11" s="30" t="s">
        <v>186</v>
      </c>
      <c r="F11" s="42">
        <v>0</v>
      </c>
      <c r="G11" s="42">
        <v>521</v>
      </c>
      <c r="H11" s="42">
        <v>58785</v>
      </c>
      <c r="I11" s="42">
        <v>60627</v>
      </c>
      <c r="J11" s="30" t="s">
        <v>187</v>
      </c>
      <c r="K11" s="42">
        <v>58783</v>
      </c>
      <c r="L11" s="123" t="s">
        <v>50</v>
      </c>
      <c r="M11" s="124">
        <f t="shared" si="0"/>
        <v>-973.63199999999995</v>
      </c>
      <c r="N11" s="125" t="str">
        <f>VLOOKUP(C11,'Trips&amp;Operators'!$C$1:$G$99911,5,FALSE)</f>
        <v>BERLING GARY</v>
      </c>
      <c r="O11" s="168" t="s">
        <v>179</v>
      </c>
      <c r="P11" s="126" t="s">
        <v>362</v>
      </c>
      <c r="Q11" s="30"/>
      <c r="R11" s="73" t="str">
        <f>VLOOKUP(C11,'Train Runs'!$A$13:$AE$9982,31,0)</f>
        <v>aws s3 cp s3://rtdc.mdm.uploadarchive.raw/RTDC4046/ "%USERPROFILE%\AppData\Local\Temp\OnboardLogs"\RTDC4046\2017-09-30 --exclude "*" --recursive --include "*20170930*" &amp; "%USERPROFILE%\Documents\GitHub\mrs-test-scripts\Headless Mode &amp; Sideloading\WalkAndUnGZ.bat" "%USERPROFILE%\AppData\Local\Temp\OnboardLogs"\RTDC4046\2017-09-30 &amp; aws s3 cp s3://rtdc.mdm.uploadarchive.raw/RTDC4046/ "%USERPROFILE%\AppData\Local\Temp\OnboardLogs"\RTDC4046\2017-10-01 --exclude "*" --recursive --include "*20171001*" &amp; "%USERPROFILE%\Documents\GitHub\mrs-test-scripts\Headless Mode &amp; Sideloading\WalkAndUnGZ.bat" "%USERPROFILE%\AppData\Local\Temp\OnboardLogs"\RTDC4046\2017-10-01</v>
      </c>
      <c r="S11" s="76" t="str">
        <f>VLOOKUP(C11,'Train Runs'!$A$13:$AE$9982,22,0)</f>
        <v>https://d0f6bd738d7f1b3e5a7ca70fe4ff75f0.us-east-1.aws.found.io/app/kibana#/discover/Steve-Slow-Train-Analysis-(2080s-and-2083s)?_g=(refreshInterval:(display:Off,pause:!f,section:0,value:0),time:(from:'2017-09-30T12:53:28-0600',mode:absolute,to:'2017-09-30T15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1" s="78" t="str">
        <f t="shared" si="1"/>
        <v>"C:\Program Files (x86)\AstroGrep\AstroGrep.exe" /e /r /s /spath="%USERPROFILE%\AppData\Local\Temp\OnboardLogs" /stypes="*4046*201709302*" /stext=" 20:.+((SYSTEM_STATE.+slice.+state.+changed )|(ment ac)|(multiple cpu faults)|(system.+state.+changed )|(\[timeout)|(PRM\|1\|D)|(kpr)|(kdp)|(train st.+moving)|(\|lc)|(penalty))"</v>
      </c>
      <c r="U11" s="9" t="str">
        <f t="shared" si="2"/>
        <v>4046</v>
      </c>
      <c r="V11" s="31">
        <f t="shared" si="3"/>
        <v>43008.842037037037</v>
      </c>
      <c r="W11" s="45" t="str">
        <f t="shared" si="4"/>
        <v>EC</v>
      </c>
      <c r="X11" s="22">
        <f t="shared" si="5"/>
        <v>183</v>
      </c>
      <c r="Y11" s="88" t="str">
        <f t="shared" si="6"/>
        <v>echo {"issue":{"subject":"Early Arrival","project_id":79,"tracker_id":40,"status_id":1,"priority_id":2,"assigned_to_id":338,"start_date":"2017-09-30","description":"","custom_fields":[{"id":1,"name":"Subdivision","value":"EC"},{"id":4,"name":"Milepost","value":"5.8783"},{"id":17,"name":"Train ID","value":"183-30"},{"id":16,"name":"Locomotive ID","value":"4046"},{"id":130,"name":"Impact","value":""},{"id":150,"name":"Time of Event (Mountain Time)","value":"14:12:32"},{"id":151,"name":"Denver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1"/>
      <c r="AA11" s="47"/>
      <c r="AB11" s="47"/>
      <c r="AC11" s="107" t="str">
        <f t="shared" si="7"/>
        <v>grep -hrE -A400 "Enforcement Action" /c/Users/stu/AppData/Local/Temp/OnboardLogs/RTDC4046 --include="*4046*201709302*"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"%USERPROFILE%\AppData\Local\Temp\OnboardLogs"\RTDC4046\*4046*201709302* &gt;&gt; 2017-09-30-SliceDisagreementCheck.txt</v>
      </c>
      <c r="AE11" s="137" t="str">
        <f t="shared" si="9"/>
        <v>start /low /b %USERPROFILE%\Documents\GitHub\eaglep3\Utilities\DownloadLogsFromS3.py --loco 4046 --day 2017-09-30</v>
      </c>
    </row>
    <row r="12" spans="1:32" x14ac:dyDescent="0.25">
      <c r="A12" s="31">
        <v>43008.274305555555</v>
      </c>
      <c r="B12" s="30" t="s">
        <v>586</v>
      </c>
      <c r="C12" s="30" t="s">
        <v>590</v>
      </c>
      <c r="D12" s="30" t="s">
        <v>49</v>
      </c>
      <c r="E12" s="30" t="s">
        <v>186</v>
      </c>
      <c r="F12" s="42">
        <v>0</v>
      </c>
      <c r="G12" s="42">
        <v>586</v>
      </c>
      <c r="H12" s="42">
        <v>66610</v>
      </c>
      <c r="I12" s="42">
        <v>64681</v>
      </c>
      <c r="J12" s="30" t="s">
        <v>187</v>
      </c>
      <c r="K12" s="42">
        <v>63309</v>
      </c>
      <c r="L12" s="123" t="s">
        <v>51</v>
      </c>
      <c r="M12" s="124">
        <f t="shared" si="0"/>
        <v>724.41600000000005</v>
      </c>
      <c r="N12" s="125" t="str">
        <f>VLOOKUP(C12,'Trips&amp;Operators'!$C$1:$G$99911,5,FALSE)</f>
        <v>BIRENBAUM THOMAS</v>
      </c>
      <c r="O12" s="168" t="s">
        <v>179</v>
      </c>
      <c r="P12" s="126" t="s">
        <v>362</v>
      </c>
      <c r="Q12" s="30"/>
      <c r="R12" s="73" t="str">
        <f>VLOOKUP(C12,'Train Runs'!$A$13:$AE$9982,31,0)</f>
        <v>aws s3 cp s3://rtdc.mdm.uploadarchive.raw/RTDC4003/ "%USERPROFILE%\AppData\Local\Temp\OnboardLogs"\RTDC4003\2017-09-30 --exclude "*" --recursive --include "*20170930*" &amp; "%USERPROFILE%\Documents\GitHub\mrs-test-scripts\Headless Mode &amp; Sideloading\WalkAndUnGZ.bat" "%USERPROFILE%\AppData\Local\Temp\OnboardLogs"\RTDC4003\2017-09-30 &amp; aws s3 cp s3://rtdc.mdm.uploadarchive.raw/RTDC4003/ "%USERPROFILE%\AppData\Local\Temp\OnboardLogs"\RTDC4003\2017-10-01 --exclude "*" --recursive --include "*20171001*" &amp; "%USERPROFILE%\Documents\GitHub\mrs-test-scripts\Headless Mode &amp; Sideloading\WalkAndUnGZ.bat" "%USERPROFILE%\AppData\Local\Temp\OnboardLogs"\RTDC4003\2017-10-01</v>
      </c>
      <c r="S12" s="76" t="str">
        <f>VLOOKUP(C12,'Train Runs'!$A$13:$AE$9982,22,0)</f>
        <v>https://d0f6bd738d7f1b3e5a7ca70fe4ff75f0.us-east-1.aws.found.io/app/kibana#/discover/Steve-Slow-Train-Analysis-(2080s-and-2083s)?_g=(refreshInterval:(display:Off,pause:!f,section:0,value:0),time:(from:'2017-09-30T04:51:08-0600',mode:absolute,to:'2017-09-30T07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78" t="str">
        <f t="shared" si="1"/>
        <v>"C:\Program Files (x86)\AstroGrep\AstroGrep.exe" /e /r /s /spath="%USERPROFILE%\AppData\Local\Temp\OnboardLogs" /stypes="*4003*201709301*" /stext=" 12:.+((SYSTEM_STATE.+slice.+state.+changed )|(ment ac)|(multiple cpu faults)|(system.+state.+changed )|(\[timeout)|(PRM\|1\|D)|(kpr)|(kdp)|(train st.+moving)|(\|lc)|(penalty))"</v>
      </c>
      <c r="U12" s="9" t="str">
        <f t="shared" si="2"/>
        <v>4003</v>
      </c>
      <c r="V12" s="31">
        <f t="shared" si="3"/>
        <v>43008.524305555555</v>
      </c>
      <c r="W12" s="45" t="str">
        <f t="shared" si="4"/>
        <v>EC</v>
      </c>
      <c r="X12" s="22">
        <f t="shared" si="5"/>
        <v>114</v>
      </c>
      <c r="Y12" s="88" t="str">
        <f t="shared" si="6"/>
        <v>echo {"issue":{"subject":"Early Arrival","project_id":79,"tracker_id":40,"status_id":1,"priority_id":2,"assigned_to_id":338,"start_date":"2017-09-30","description":"","custom_fields":[{"id":1,"name":"Subdivision","value":"EC"},{"id":4,"name":"Milepost","value":"6.3309"},{"id":17,"name":"Train ID","value":"114-30"},{"id":16,"name":"Locomotive ID","value":"4003"},{"id":130,"name":"Impact","value":""},{"id":150,"name":"Time of Event (Mountain Time)","value":"06:35:00"},{"id":151,"name":"Denver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1"/>
      <c r="AA12" s="47"/>
      <c r="AB12" s="47"/>
      <c r="AC12" s="107" t="str">
        <f t="shared" si="7"/>
        <v>grep -hrE -A400 "Enforcement Action" /c/Users/stu/AppData/Local/Temp/OnboardLogs/RTDC4003 --include="*4003*201709301*"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"%USERPROFILE%\AppData\Local\Temp\OnboardLogs"\RTDC4003\*4003*201709301* &gt;&gt; 2017-09-30-SliceDisagreementCheck.txt</v>
      </c>
      <c r="AE12" s="137" t="str">
        <f t="shared" si="9"/>
        <v>start /low /b %USERPROFILE%\Documents\GitHub\eaglep3\Utilities\DownloadLogsFromS3.py --loco 4003 --day 2017-09-30</v>
      </c>
      <c r="AF12" s="1"/>
    </row>
    <row r="13" spans="1:32" x14ac:dyDescent="0.25">
      <c r="A13" s="31">
        <v>43008.457777777781</v>
      </c>
      <c r="B13" s="30" t="s">
        <v>408</v>
      </c>
      <c r="C13" s="30" t="s">
        <v>596</v>
      </c>
      <c r="D13" s="30" t="s">
        <v>49</v>
      </c>
      <c r="E13" s="30" t="s">
        <v>186</v>
      </c>
      <c r="F13" s="42">
        <v>360</v>
      </c>
      <c r="G13" s="42">
        <v>421</v>
      </c>
      <c r="H13" s="42">
        <v>110036</v>
      </c>
      <c r="I13" s="42">
        <v>108976</v>
      </c>
      <c r="J13" s="30" t="s">
        <v>187</v>
      </c>
      <c r="K13" s="42">
        <v>109135</v>
      </c>
      <c r="L13" s="123" t="s">
        <v>51</v>
      </c>
      <c r="M13" s="124">
        <f t="shared" si="0"/>
        <v>-83.951999999999998</v>
      </c>
      <c r="N13" s="125" t="str">
        <f>VLOOKUP(C13,'Trips&amp;Operators'!$C$1:$G$99911,5,FALSE)</f>
        <v>GEBRETEKLE DAGNEW</v>
      </c>
      <c r="O13" s="168" t="s">
        <v>179</v>
      </c>
      <c r="P13" s="126" t="s">
        <v>362</v>
      </c>
      <c r="Q13" s="30"/>
      <c r="R13" s="73" t="str">
        <f>VLOOKUP(C13,'Train Runs'!$A$13:$AE$9982,31,0)</f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S13" s="76" t="str">
        <f>VLOOKUP(C13,'Train Runs'!$A$13:$AE$9982,22,0)</f>
        <v>https://d0f6bd738d7f1b3e5a7ca70fe4ff75f0.us-east-1.aws.found.io/app/kibana#/discover/Steve-Slow-Train-Analysis-(2080s-and-2083s)?_g=(refreshInterval:(display:Off,pause:!f,section:0,value:0),time:(from:'2017-09-30T09:23:23-0600',mode:absolute,to:'2017-09-30T12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78" t="str">
        <f t="shared" si="1"/>
        <v>"C:\Program Files (x86)\AstroGrep\AstroGrep.exe" /e /r /s /spath="%USERPROFILE%\AppData\Local\Temp\OnboardLogs" /stypes="*4039*201709301*"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4039</v>
      </c>
      <c r="V13" s="31">
        <f t="shared" si="3"/>
        <v>43008.707777777781</v>
      </c>
      <c r="W13" s="45" t="str">
        <f t="shared" si="4"/>
        <v>EC</v>
      </c>
      <c r="X13" s="22">
        <f t="shared" si="5"/>
        <v>150</v>
      </c>
      <c r="Y13" s="88" t="str">
        <f t="shared" si="6"/>
        <v>echo {"issue":{"subject":"Early Arrival","project_id":79,"tracker_id":40,"status_id":1,"priority_id":2,"assigned_to_id":338,"start_date":"2017-09-30","description":"","custom_fields":[{"id":1,"name":"Subdivision","value":"EC"},{"id":4,"name":"Milepost","value":"10.9135"},{"id":17,"name":"Train ID","value":"150-30"},{"id":16,"name":"Locomotive ID","value":"4039"},{"id":130,"name":"Impact","value":""},{"id":150,"name":"Time of Event (Mountain Time)","value":"10:59:12"},{"id":151,"name":"Denver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1"/>
      <c r="AA13" s="47"/>
      <c r="AB13" s="47"/>
      <c r="AC13" s="107" t="str">
        <f t="shared" si="7"/>
        <v>grep -hrE -A400 "Enforcement Action" /c/Users/stu/AppData/Local/Temp/OnboardLogs/RTDC4039 --include="*4039*201709301*"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"%USERPROFILE%\AppData\Local\Temp\OnboardLogs"\RTDC4039\*4039*201709301* &gt;&gt; 2017-09-30-SliceDisagreementCheck.txt</v>
      </c>
      <c r="AE13" s="137" t="str">
        <f t="shared" si="9"/>
        <v>start /low /b %USERPROFILE%\Documents\GitHub\eaglep3\Utilities\DownloadLogsFromS3.py --loco 4039 --day 2017-09-30</v>
      </c>
      <c r="AF13" s="1"/>
    </row>
    <row r="14" spans="1:32" x14ac:dyDescent="0.25">
      <c r="A14" s="31">
        <v>43008.855740740742</v>
      </c>
      <c r="B14" s="30" t="s">
        <v>411</v>
      </c>
      <c r="C14" s="30" t="s">
        <v>610</v>
      </c>
      <c r="D14" s="30" t="s">
        <v>95</v>
      </c>
      <c r="E14" s="30" t="s">
        <v>193</v>
      </c>
      <c r="F14" s="42">
        <v>200</v>
      </c>
      <c r="G14" s="42">
        <v>250</v>
      </c>
      <c r="H14" s="42">
        <v>5509</v>
      </c>
      <c r="I14" s="42">
        <v>6186</v>
      </c>
      <c r="J14" s="30" t="s">
        <v>194</v>
      </c>
      <c r="K14" s="42">
        <v>4677</v>
      </c>
      <c r="L14" s="123" t="s">
        <v>50</v>
      </c>
      <c r="M14" s="124">
        <f t="shared" si="0"/>
        <v>-796.75199999999995</v>
      </c>
      <c r="N14" s="125" t="str">
        <f>VLOOKUP(C14,'Trips&amp;Operators'!$C$1:$G$99911,5,FALSE)</f>
        <v>RESPASS AARON</v>
      </c>
      <c r="O14" s="168" t="s">
        <v>179</v>
      </c>
      <c r="P14" s="126"/>
      <c r="Q14" s="30"/>
      <c r="R14" s="73" t="str">
        <f>VLOOKUP(C14,'Train Runs'!$A$13:$AE$9982,31,0)</f>
        <v>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 &amp; aws s3 cp s3://rtdc.mdm.uploadarchive.raw/RTDC4040/ "%USERPROFILE%\AppData\Local\Temp\OnboardLogs"\RTDC4040\2017-10-01 --exclude "*" --recursive --include "*20171001*" &amp; "%USERPROFILE%\Documents\GitHub\mrs-test-scripts\Headless Mode &amp; Sideloading\WalkAndUnGZ.bat" "%USERPROFILE%\AppData\Local\Temp\OnboardLogs"\RTDC4040\2017-10-01</v>
      </c>
      <c r="S14" s="76" t="str">
        <f>VLOOKUP(C14,'Train Runs'!$A$13:$AE$9982,22,0)</f>
        <v>https://d0f6bd738d7f1b3e5a7ca70fe4ff75f0.us-east-1.aws.found.io/app/kibana#/discover/Steve-Slow-Train-Analysis-(2080s-and-2083s)?_g=(refreshInterval:(display:Off,pause:!f,section:0,value:0),time:(from:'2017-09-30T19:10:49-0600',mode:absolute,to:'2017-09-30T22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78" t="str">
        <f t="shared" si="1"/>
        <v>"C:\Program Files (x86)\AstroGrep\AstroGrep.exe" /e /r /s /spath="%USERPROFILE%\AppData\Local\Temp\OnboardLogs" /stypes="*4040*201710010*" /stext=" 02:.+((SYSTEM_STATE.+slice.+state.+changed )|(ment ac)|(multiple cpu faults)|(system.+state.+changed )|(\[timeout)|(PRM\|1\|D)|(kpr)|(kdp)|(train st.+moving)|(\|lc)|(penalty))"</v>
      </c>
      <c r="U14" s="9" t="str">
        <f t="shared" si="2"/>
        <v>4040</v>
      </c>
      <c r="V14" s="31">
        <f t="shared" si="3"/>
        <v>43009.105740740742</v>
      </c>
      <c r="W14" s="45" t="str">
        <f t="shared" si="4"/>
        <v>EC</v>
      </c>
      <c r="X14" s="22">
        <f t="shared" si="5"/>
        <v>227</v>
      </c>
      <c r="Y14" s="88" t="str">
        <f t="shared" si="6"/>
        <v>echo {"issue":{"subject":"","project_id":79,"tracker_id":40,"status_id":1,"priority_id":2,"assigned_to_id":338,"start_date":"2017-09-30","description":"","custom_fields":[{"id":1,"name":"Subdivision","value":"EC"},{"id":4,"name":"Milepost","value":"0.4677"},{"id":17,"name":"Train ID","value":"227-30"},{"id":16,"name":"Locomotive ID","value":"4040"},{"id":130,"name":"Impact","value":""},{"id":150,"name":"Time of Event (Mountain Time)","value":"20:32:16"},{"id":151,"name":"Denver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1"/>
      <c r="AA14" s="47"/>
      <c r="AB14" s="47"/>
      <c r="AC14" s="107" t="str">
        <f t="shared" si="7"/>
        <v>grep -hrE -A400 "Enforcement Action" /c/Users/stu/AppData/Local/Temp/OnboardLogs/RTDC4040 --include="*4040*201710010*"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"%USERPROFILE%\AppData\Local\Temp\OnboardLogs"\RTDC4040\*4040*201710010* &gt;&gt; 2017-09-30-SliceDisagreementCheck.txt</v>
      </c>
      <c r="AE14" s="137" t="str">
        <f t="shared" si="9"/>
        <v>start /low /b %USERPROFILE%\Documents\GitHub\eaglep3\Utilities\DownloadLogsFromS3.py --loco 4040 --day 2017-10-01</v>
      </c>
      <c r="AF14" s="1"/>
    </row>
    <row r="15" spans="1:32" x14ac:dyDescent="0.25">
      <c r="A15" s="31">
        <v>43008.471631944441</v>
      </c>
      <c r="B15" s="30" t="s">
        <v>408</v>
      </c>
      <c r="C15" s="30" t="s">
        <v>596</v>
      </c>
      <c r="D15" s="30" t="s">
        <v>49</v>
      </c>
      <c r="E15" s="30" t="s">
        <v>193</v>
      </c>
      <c r="F15" s="42">
        <v>450</v>
      </c>
      <c r="G15" s="42">
        <v>501</v>
      </c>
      <c r="H15" s="42">
        <v>17187</v>
      </c>
      <c r="I15" s="42">
        <v>13845</v>
      </c>
      <c r="J15" s="30" t="s">
        <v>194</v>
      </c>
      <c r="K15" s="42">
        <v>15167</v>
      </c>
      <c r="L15" s="123" t="s">
        <v>51</v>
      </c>
      <c r="M15" s="124">
        <f t="shared" si="0"/>
        <v>-698.01600000000008</v>
      </c>
      <c r="N15" s="125" t="str">
        <f>VLOOKUP(C15,'Trips&amp;Operators'!$C$1:$G$99911,5,FALSE)</f>
        <v>GEBRETEKLE DAGNEW</v>
      </c>
      <c r="O15" s="168" t="s">
        <v>179</v>
      </c>
      <c r="P15" s="126"/>
      <c r="Q15" s="30"/>
      <c r="R15" s="73" t="str">
        <f>VLOOKUP(C15,'Train Runs'!$A$13:$AE$9982,31,0)</f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S15" s="76" t="str">
        <f>VLOOKUP(C15,'Train Runs'!$A$13:$AE$9982,22,0)</f>
        <v>https://d0f6bd738d7f1b3e5a7ca70fe4ff75f0.us-east-1.aws.found.io/app/kibana#/discover/Steve-Slow-Train-Analysis-(2080s-and-2083s)?_g=(refreshInterval:(display:Off,pause:!f,section:0,value:0),time:(from:'2017-09-30T09:23:23-0600',mode:absolute,to:'2017-09-30T12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5" s="78" t="str">
        <f t="shared" si="1"/>
        <v>"C:\Program Files (x86)\AstroGrep\AstroGrep.exe" /e /r /s /spath="%USERPROFILE%\AppData\Local\Temp\OnboardLogs" /stypes="*4039*201709301*"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4039</v>
      </c>
      <c r="V15" s="31">
        <f t="shared" si="3"/>
        <v>43008.721631944441</v>
      </c>
      <c r="W15" s="45" t="str">
        <f t="shared" si="4"/>
        <v>EC</v>
      </c>
      <c r="X15" s="22">
        <f t="shared" si="5"/>
        <v>150</v>
      </c>
      <c r="Y15" s="88" t="str">
        <f t="shared" si="6"/>
        <v>echo {"issue":{"subject":"","project_id":79,"tracker_id":40,"status_id":1,"priority_id":2,"assigned_to_id":338,"start_date":"2017-09-30","description":"","custom_fields":[{"id":1,"name":"Subdivision","value":"EC"},{"id":4,"name":"Milepost","value":"1.5167"},{"id":17,"name":"Train ID","value":"150-30"},{"id":16,"name":"Locomotive ID","value":"4039"},{"id":130,"name":"Impact","value":""},{"id":150,"name":"Time of Event (Mountain Time)","value":"11:19:09"},{"id":151,"name":"Denver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1"/>
      <c r="AA15" s="47"/>
      <c r="AB15" s="47"/>
      <c r="AC15" s="107" t="str">
        <f t="shared" si="7"/>
        <v>grep -hrE -A400 "Enforcement Action" /c/Users/stu/AppData/Local/Temp/OnboardLogs/RTDC4039 --include="*4039*201709301*"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"%USERPROFILE%\AppData\Local\Temp\OnboardLogs"\RTDC4039\*4039*201709301* &gt;&gt; 2017-09-30-SliceDisagreementCheck.txt</v>
      </c>
      <c r="AE15" s="137" t="str">
        <f t="shared" si="9"/>
        <v>start /low /b %USERPROFILE%\Documents\GitHub\eaglep3\Utilities\DownloadLogsFromS3.py --loco 4039 --day 2017-09-30</v>
      </c>
      <c r="AF15" s="1"/>
    </row>
    <row r="16" spans="1:32" x14ac:dyDescent="0.25">
      <c r="A16" s="31">
        <v>43009.000405092593</v>
      </c>
      <c r="B16" s="30" t="s">
        <v>408</v>
      </c>
      <c r="C16" s="30" t="s">
        <v>611</v>
      </c>
      <c r="D16" s="30" t="s">
        <v>95</v>
      </c>
      <c r="E16" s="30" t="s">
        <v>193</v>
      </c>
      <c r="F16" s="42">
        <v>300</v>
      </c>
      <c r="G16" s="42">
        <v>352</v>
      </c>
      <c r="H16" s="42">
        <v>20253</v>
      </c>
      <c r="I16" s="42">
        <v>19232</v>
      </c>
      <c r="J16" s="30" t="s">
        <v>194</v>
      </c>
      <c r="K16" s="42">
        <v>21848</v>
      </c>
      <c r="L16" s="123" t="s">
        <v>51</v>
      </c>
      <c r="M16" s="124">
        <f t="shared" si="0"/>
        <v>-1381.248</v>
      </c>
      <c r="N16" s="125" t="str">
        <f>VLOOKUP(C16,'Trips&amp;Operators'!$C$1:$G$99911,5,FALSE)</f>
        <v>RESPASS AARON</v>
      </c>
      <c r="O16" s="168" t="s">
        <v>179</v>
      </c>
      <c r="P16" s="126"/>
      <c r="Q16" s="30"/>
      <c r="R16" s="73" t="str">
        <f>VLOOKUP(C16,'Train Runs'!$A$13:$AE$9982,31,0)</f>
        <v>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 &amp; aws s3 cp s3://rtdc.mdm.uploadarchive.raw/RTDC4039/ "%USERPROFILE%\AppData\Local\Temp\OnboardLogs"\RTDC4039\2017-10-01 --exclude "*" --recursive --include "*20171001*" &amp; "%USERPROFILE%\Documents\GitHub\mrs-test-scripts\Headless Mode &amp; Sideloading\WalkAndUnGZ.bat" "%USERPROFILE%\AppData\Local\Temp\OnboardLogs"\RTDC4039\2017-10-01</v>
      </c>
      <c r="S16" s="76" t="str">
        <f>VLOOKUP(C16,'Train Runs'!$A$13:$AE$9982,22,0)</f>
        <v>https://d0f6bd738d7f1b3e5a7ca70fe4ff75f0.us-east-1.aws.found.io/app/kibana#/discover/Steve-Slow-Train-Analysis-(2080s-and-2083s)?_g=(refreshInterval:(display:Off,pause:!f,section:0,value:0),time:(from:'2017-09-30T22:19:54-0600',mode:absolute,to:'2017-10-01T01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78" t="str">
        <f t="shared" si="1"/>
        <v>"C:\Program Files (x86)\AstroGrep\AstroGrep.exe" /e /r /s /spath="%USERPROFILE%\AppData\Local\Temp\OnboardLogs" /stypes="*4039*201710010*" /stext=" 06:.+((SYSTEM_STATE.+slice.+state.+changed )|(ment ac)|(multiple cpu faults)|(system.+state.+changed )|(\[timeout)|(PRM\|1\|D)|(kpr)|(kdp)|(train st.+moving)|(\|lc)|(penalty))"</v>
      </c>
      <c r="U16" s="9" t="str">
        <f t="shared" si="2"/>
        <v>4039</v>
      </c>
      <c r="V16" s="31">
        <f t="shared" si="3"/>
        <v>43009.250405092593</v>
      </c>
      <c r="W16" s="45" t="str">
        <f t="shared" si="4"/>
        <v>EC</v>
      </c>
      <c r="X16" s="22">
        <f t="shared" si="5"/>
        <v>236</v>
      </c>
      <c r="Y16" s="88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{"issue":{"subject":"","project_id":79,"tracker_id":40,"status_id":1,"priority_id":2,"assigned_to_id":338,"start_date":"2017-10-01","description":"","custom_fields":[{"id":1,"name":"Subdivision","value":"EC"},{"id":4,"name":"Milepost","value":"2.1848"},{"id":17,"name":"Train ID","value":"236-30"},{"id":16,"name":"Locomotive ID","value":"4039"},{"id":130,"name":"Impact","value":""},{"id":150,"name":"Time of Event (Mountain Time)","value":"00:00:35"},{"id":151,"name":"Denver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1"/>
      <c r="AA16" s="47"/>
      <c r="AB16" s="47"/>
      <c r="AC16" s="107" t="str">
        <f t="shared" si="7"/>
        <v>grep -hrE -A400 "Enforcement Action" /c/Users/stu/AppData/Local/Temp/OnboardLogs/RTDC4039 --include="*4039*201710010*"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"%USERPROFILE%\AppData\Local\Temp\OnboardLogs"\RTDC4039\*4039*201710010* &gt;&gt; 2017-09-30-SliceDisagreementCheck.txt</v>
      </c>
      <c r="AE16" s="137" t="str">
        <f t="shared" si="9"/>
        <v>start /low /b %USERPROFILE%\Documents\GitHub\eaglep3\Utilities\DownloadLogsFromS3.py --loco 4039 --day 2017-10-01</v>
      </c>
      <c r="AF16" s="1"/>
    </row>
    <row r="17" spans="1:32" x14ac:dyDescent="0.25">
      <c r="A17" s="31">
        <v>43008.475486111114</v>
      </c>
      <c r="B17" s="30" t="s">
        <v>432</v>
      </c>
      <c r="C17" s="30" t="s">
        <v>597</v>
      </c>
      <c r="D17" s="30" t="s">
        <v>49</v>
      </c>
      <c r="E17" s="30" t="s">
        <v>357</v>
      </c>
      <c r="F17" s="42">
        <v>0</v>
      </c>
      <c r="G17" s="42">
        <v>184</v>
      </c>
      <c r="H17" s="42">
        <v>19540</v>
      </c>
      <c r="I17" s="42">
        <v>19807</v>
      </c>
      <c r="J17" s="30" t="s">
        <v>358</v>
      </c>
      <c r="K17" s="42">
        <v>20617</v>
      </c>
      <c r="L17" s="123" t="s">
        <v>50</v>
      </c>
      <c r="M17" s="124">
        <f t="shared" si="0"/>
        <v>427.68</v>
      </c>
      <c r="N17" s="125" t="str">
        <f>VLOOKUP(C17,'Trips&amp;Operators'!$C$1:$G$99911,5,FALSE)</f>
        <v>DAVIS MICHAEL</v>
      </c>
      <c r="O17" s="168" t="s">
        <v>179</v>
      </c>
      <c r="P17" s="126" t="s">
        <v>975</v>
      </c>
      <c r="Q17" s="30"/>
      <c r="R17" s="73" t="str">
        <f>VLOOKUP(C17,'Train Runs'!$A$13:$AE$9982,31,0)</f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S17" s="76" t="str">
        <f>VLOOKUP(C17,'Train Runs'!$A$13:$AE$9982,22,0)</f>
        <v>https://d0f6bd738d7f1b3e5a7ca70fe4ff75f0.us-east-1.aws.found.io/app/kibana#/discover/Steve-Slow-Train-Analysis-(2080s-and-2083s)?_g=(refreshInterval:(display:Off,pause:!f,section:0,value:0),time:(from:'2017-09-30T10:12:36-0600',mode:absolute,to:'2017-09-30T13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7" s="78" t="str">
        <f t="shared" si="1"/>
        <v>"C:\Program Files (x86)\AstroGrep\AstroGrep.exe" /e /r /s /spath="%USERPROFILE%\AppData\Local\Temp\OnboardLogs" /stypes="*4052*201709301*"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4052</v>
      </c>
      <c r="V17" s="31">
        <f t="shared" si="3"/>
        <v>43008.725486111114</v>
      </c>
      <c r="W17" s="45" t="str">
        <f t="shared" si="4"/>
        <v>EC</v>
      </c>
      <c r="X17" s="22">
        <f t="shared" si="5"/>
        <v>161</v>
      </c>
      <c r="Y17" s="88" t="str">
        <f t="shared" si="6"/>
        <v>echo {"issue":{"subject":"Maintenance at York XING","project_id":79,"tracker_id":40,"status_id":1,"priority_id":2,"assigned_to_id":338,"start_date":"2017-09-30","description":"","custom_fields":[{"id":1,"name":"Subdivision","value":"EC"},{"id":4,"name":"Milepost","value":"2.0617"},{"id":17,"name":"Train ID","value":"161-30"},{"id":16,"name":"Locomotive ID","value":"4052"},{"id":130,"name":"Impact","value":""},{"id":150,"name":"Time of Event (Mountain Time)","value":"11:24:42"},{"id":151,"name":"Denver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1"/>
      <c r="AA17" s="47"/>
      <c r="AB17" s="47"/>
      <c r="AC17" s="107" t="str">
        <f t="shared" si="7"/>
        <v>grep -hrE -A400 "Enforcement Action" /c/Users/stu/AppData/Local/Temp/OnboardLogs/RTDC4052 --include="*4052*201709301*"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"%USERPROFILE%\AppData\Local\Temp\OnboardLogs"\RTDC4052\*4052*201709301* &gt;&gt; 2017-09-30-SliceDisagreementCheck.txt</v>
      </c>
      <c r="AE17" s="137" t="str">
        <f t="shared" si="9"/>
        <v>start /low /b %USERPROFILE%\Documents\GitHub\eaglep3\Utilities\DownloadLogsFromS3.py --loco 4052 --day 2017-09-30</v>
      </c>
      <c r="AF17" s="1"/>
    </row>
    <row r="18" spans="1:32" x14ac:dyDescent="0.25">
      <c r="A18" s="31">
        <v>43008.45412037037</v>
      </c>
      <c r="B18" s="30" t="s">
        <v>409</v>
      </c>
      <c r="C18" s="30" t="s">
        <v>595</v>
      </c>
      <c r="D18" s="30" t="s">
        <v>49</v>
      </c>
      <c r="E18" s="30" t="s">
        <v>357</v>
      </c>
      <c r="F18" s="42">
        <v>0</v>
      </c>
      <c r="G18" s="42">
        <v>168</v>
      </c>
      <c r="H18" s="42">
        <v>27628</v>
      </c>
      <c r="I18" s="42">
        <v>27865</v>
      </c>
      <c r="J18" s="30" t="s">
        <v>358</v>
      </c>
      <c r="K18" s="42">
        <v>28054</v>
      </c>
      <c r="L18" s="123" t="s">
        <v>50</v>
      </c>
      <c r="M18" s="124">
        <f t="shared" si="0"/>
        <v>99.792000000000002</v>
      </c>
      <c r="N18" s="125" t="str">
        <f>VLOOKUP(C18,'Trips&amp;Operators'!$C$1:$G$99911,5,FALSE)</f>
        <v>DAVIDSON DAVID</v>
      </c>
      <c r="O18" s="168" t="s">
        <v>179</v>
      </c>
      <c r="P18" s="126" t="s">
        <v>975</v>
      </c>
      <c r="Q18" s="30"/>
      <c r="R18" s="73" t="str">
        <f>VLOOKUP(C18,'Train Runs'!$A$13:$AE$9982,31,0)</f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S18" s="76" t="str">
        <f>VLOOKUP(C18,'Train Runs'!$A$13:$AE$9982,22,0)</f>
        <v>https://d0f6bd738d7f1b3e5a7ca70fe4ff75f0.us-east-1.aws.found.io/app/kibana#/discover/Steve-Slow-Train-Analysis-(2080s-and-2083s)?_g=(refreshInterval:(display:Off,pause:!f,section:0,value:0),time:(from:'2017-09-30T09:39:00-0600',mode:absolute,to:'2017-09-30T12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8" s="78" t="str">
        <f t="shared" si="1"/>
        <v>"C:\Program Files (x86)\AstroGrep\AstroGrep.exe" /e /r /s /spath="%USERPROFILE%\AppData\Local\Temp\OnboardLogs" /stypes="*4010*201709301*"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4010</v>
      </c>
      <c r="V18" s="31">
        <f t="shared" si="3"/>
        <v>43008.70412037037</v>
      </c>
      <c r="W18" s="45" t="str">
        <f t="shared" si="4"/>
        <v>EC</v>
      </c>
      <c r="X18" s="22">
        <f t="shared" si="5"/>
        <v>157</v>
      </c>
      <c r="Y18" s="88" t="str">
        <f t="shared" si="6"/>
        <v>echo {"issue":{"subject":"Maintenance at York XING","project_id":79,"tracker_id":40,"status_id":1,"priority_id":2,"assigned_to_id":338,"start_date":"2017-09-30","description":"","custom_fields":[{"id":1,"name":"Subdivision","value":"EC"},{"id":4,"name":"Milepost","value":"2.8054"},{"id":17,"name":"Train ID","value":"157-30"},{"id":16,"name":"Locomotive ID","value":"4010"},{"id":130,"name":"Impact","value":"Enforcement"},{"id":150,"name":"Time of Event (Mountain Time)","value":"10:53:56"},{"id":151,"name":"Denver Issue ID","value":""},{"id":178,"name":"Operational Impact","value":"Yes"},{"id":179,"name":"Denver Segment Assigned","value":"Signal"}]}} | curl --insecure -X POST -H "Content-Type: application/json" -H "X-Redmine-API-Key: d6333d4a04012a730768444271f8ca06482dae87" https://secure.xorail.net/redmine/issues.json --data @-</v>
      </c>
      <c r="Z18" s="151"/>
      <c r="AA18" s="47" t="s">
        <v>119</v>
      </c>
      <c r="AB18" s="47" t="s">
        <v>124</v>
      </c>
      <c r="AC18" s="107" t="str">
        <f t="shared" si="7"/>
        <v>grep -hrE -A400 "Enforcement Action" /c/Users/stu/AppData/Local/Temp/OnboardLogs/RTDC4010 --include="*4010*201709301*"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"%USERPROFILE%\AppData\Local\Temp\OnboardLogs"\RTDC4010\*4010*201709301* &gt;&gt; 2017-09-30-SliceDisagreementCheck.txt</v>
      </c>
      <c r="AE18" s="137" t="str">
        <f t="shared" si="9"/>
        <v>start /low /b %USERPROFILE%\Documents\GitHub\eaglep3\Utilities\DownloadLogsFromS3.py --loco 4010 --day 2017-09-30</v>
      </c>
      <c r="AF18" s="1"/>
    </row>
    <row r="19" spans="1:32" x14ac:dyDescent="0.25">
      <c r="A19" s="31">
        <v>43008.456261574072</v>
      </c>
      <c r="B19" s="30" t="s">
        <v>409</v>
      </c>
      <c r="C19" s="30" t="s">
        <v>595</v>
      </c>
      <c r="D19" s="30" t="s">
        <v>95</v>
      </c>
      <c r="E19" s="30" t="s">
        <v>357</v>
      </c>
      <c r="F19" s="42">
        <v>200</v>
      </c>
      <c r="G19" s="42">
        <v>265</v>
      </c>
      <c r="H19" s="42">
        <v>34385</v>
      </c>
      <c r="I19" s="42">
        <v>35034</v>
      </c>
      <c r="J19" s="30" t="s">
        <v>358</v>
      </c>
      <c r="K19" s="42">
        <v>28054</v>
      </c>
      <c r="L19" s="123" t="s">
        <v>50</v>
      </c>
      <c r="M19" s="124">
        <f t="shared" si="0"/>
        <v>-3685.44</v>
      </c>
      <c r="N19" s="125" t="str">
        <f>VLOOKUP(C19,'Trips&amp;Operators'!$C$1:$G$99911,5,FALSE)</f>
        <v>DAVIDSON DAVID</v>
      </c>
      <c r="O19" s="168" t="s">
        <v>179</v>
      </c>
      <c r="P19" s="126" t="s">
        <v>976</v>
      </c>
      <c r="Q19" s="30"/>
      <c r="R19" s="73" t="str">
        <f>VLOOKUP(C19,'Train Runs'!$A$13:$AE$9982,31,0)</f>
        <v>aws s3 cp s3://rtdc.mdm.uploadarchive.raw/RTDC4010/ "%USERPROFILE%\AppData\Local\Temp\OnboardLogs"\RTDC4010\2017-09-30 --exclude "*" --recursive --include "*20170930*" &amp; "%USERPROFILE%\Documents\GitHub\mrs-test-scripts\Headless Mode &amp; Sideloading\WalkAndUnGZ.bat" "%USERPROFILE%\AppData\Local\Temp\OnboardLogs"\RTDC4010\2017-09-30 &amp; aws s3 cp s3://rtdc.mdm.uploadarchive.raw/RTDC4010/ "%USERPROFILE%\AppData\Local\Temp\OnboardLogs"\RTDC4010\2017-10-01 --exclude "*" --recursive --include "*20171001*" &amp; "%USERPROFILE%\Documents\GitHub\mrs-test-scripts\Headless Mode &amp; Sideloading\WalkAndUnGZ.bat" "%USERPROFILE%\AppData\Local\Temp\OnboardLogs"\RTDC4010\2017-10-01</v>
      </c>
      <c r="S19" s="76" t="str">
        <f>VLOOKUP(C19,'Train Runs'!$A$13:$AE$9982,22,0)</f>
        <v>https://d0f6bd738d7f1b3e5a7ca70fe4ff75f0.us-east-1.aws.found.io/app/kibana#/discover/Steve-Slow-Train-Analysis-(2080s-and-2083s)?_g=(refreshInterval:(display:Off,pause:!f,section:0,value:0),time:(from:'2017-09-30T09:39:00-0600',mode:absolute,to:'2017-09-30T12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9" s="78" t="str">
        <f t="shared" si="1"/>
        <v>"C:\Program Files (x86)\AstroGrep\AstroGrep.exe" /e /r /s /spath="%USERPROFILE%\AppData\Local\Temp\OnboardLogs" /stypes="*4010*201709301*"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4010</v>
      </c>
      <c r="V19" s="31">
        <f t="shared" si="3"/>
        <v>43008.706261574072</v>
      </c>
      <c r="W19" s="45" t="str">
        <f t="shared" si="4"/>
        <v>EC</v>
      </c>
      <c r="X19" s="22">
        <f t="shared" si="5"/>
        <v>157</v>
      </c>
      <c r="Y19" s="88" t="str">
        <f t="shared" si="6"/>
        <v>echo {"issue":{"subject":"Overspeed","project_id":79,"tracker_id":40,"status_id":1,"priority_id":2,"assigned_to_id":338,"start_date":"2017-09-30","description":"","custom_fields":[{"id":1,"name":"Subdivision","value":"EC"},{"id":4,"name":"Milepost","value":"2.8054"},{"id":17,"name":"Train ID","value":"157-30"},{"id":16,"name":"Locomotive ID","value":"4010"},{"id":130,"name":"Impact","value":""},{"id":150,"name":"Time of Event (Mountain Time)","value":"10:57:01"},{"id":151,"name":"Denver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1"/>
      <c r="AA19" s="47"/>
      <c r="AB19" s="47"/>
      <c r="AC19" s="107" t="str">
        <f t="shared" si="7"/>
        <v>grep -hrE -A400 "Enforcement Action" /c/Users/stu/AppData/Local/Temp/OnboardLogs/RTDC4010 --include="*4010*201709301*"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"%USERPROFILE%\AppData\Local\Temp\OnboardLogs"\RTDC4010\*4010*201709301* &gt;&gt; 2017-09-30-SliceDisagreementCheck.txt</v>
      </c>
      <c r="AE19" s="137" t="str">
        <f t="shared" si="9"/>
        <v>start /low /b %USERPROFILE%\Documents\GitHub\eaglep3\Utilities\DownloadLogsFromS3.py --loco 4010 --day 2017-09-30</v>
      </c>
      <c r="AF19" s="1"/>
    </row>
    <row r="20" spans="1:32" x14ac:dyDescent="0.25">
      <c r="A20" s="31">
        <v>43008.537245370368</v>
      </c>
      <c r="B20" s="30" t="s">
        <v>433</v>
      </c>
      <c r="C20" s="30" t="s">
        <v>599</v>
      </c>
      <c r="D20" s="30" t="s">
        <v>49</v>
      </c>
      <c r="E20" s="30" t="s">
        <v>180</v>
      </c>
      <c r="F20" s="42">
        <v>0</v>
      </c>
      <c r="G20" s="42">
        <v>35</v>
      </c>
      <c r="H20" s="42">
        <v>141</v>
      </c>
      <c r="I20" s="42">
        <v>123</v>
      </c>
      <c r="J20" s="30" t="s">
        <v>181</v>
      </c>
      <c r="K20" s="42">
        <v>1</v>
      </c>
      <c r="L20" s="123" t="s">
        <v>51</v>
      </c>
      <c r="M20" s="124">
        <f t="shared" si="0"/>
        <v>64.415999999999997</v>
      </c>
      <c r="N20" s="125" t="str">
        <f>VLOOKUP(C20,'Trips&amp;Operators'!$C$1:$G$99911,5,FALSE)</f>
        <v>DAVIS MICHAEL</v>
      </c>
      <c r="O20" s="168" t="s">
        <v>179</v>
      </c>
      <c r="P20" s="126"/>
      <c r="Q20" s="30"/>
      <c r="R20" s="73" t="str">
        <f>VLOOKUP(C20,'Train Runs'!$A$13:$AE$9982,31,0)</f>
        <v>aws s3 cp s3://rtdc.mdm.uploadarchive.raw/RTDC4051/ "%USERPROFILE%\AppData\Local\Temp\OnboardLogs"\RTDC4051\2017-09-30 --exclude "*" --recursive --include "*20170930*" &amp; "%USERPROFILE%\Documents\GitHub\mrs-test-scripts\Headless Mode &amp; Sideloading\WalkAndUnGZ.bat" "%USERPROFILE%\AppData\Local\Temp\OnboardLogs"\RTDC4051\2017-09-30 &amp; aws s3 cp s3://rtdc.mdm.uploadarchive.raw/RTDC4051/ "%USERPROFILE%\AppData\Local\Temp\OnboardLogs"\RTDC4051\2017-10-01 --exclude "*" --recursive --include "*20171001*" &amp; "%USERPROFILE%\Documents\GitHub\mrs-test-scripts\Headless Mode &amp; Sideloading\WalkAndUnGZ.bat" "%USERPROFILE%\AppData\Local\Temp\OnboardLogs"\RTDC4051\2017-10-01</v>
      </c>
      <c r="S20" s="76" t="str">
        <f>VLOOKUP(C20,'Train Runs'!$A$13:$AE$9982,22,0)</f>
        <v>https://d0f6bd738d7f1b3e5a7ca70fe4ff75f0.us-east-1.aws.found.io/app/kibana#/discover/Steve-Slow-Train-Analysis-(2080s-and-2083s)?_g=(refreshInterval:(display:Off,pause:!f,section:0,value:0),time:(from:'2017-09-30T11:09:37-0600',mode:absolute,to:'2017-09-30T13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0" s="78" t="str">
        <f t="shared" si="1"/>
        <v>"C:\Program Files (x86)\AstroGrep\AstroGrep.exe" /e /r /s /spath="%USERPROFILE%\AppData\Local\Temp\OnboardLogs" /stypes="*4051*201709301*"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4051</v>
      </c>
      <c r="V20" s="31">
        <f t="shared" si="3"/>
        <v>43008.787245370368</v>
      </c>
      <c r="W20" s="45" t="str">
        <f t="shared" si="4"/>
        <v>EC</v>
      </c>
      <c r="X20" s="22">
        <f t="shared" si="5"/>
        <v>162</v>
      </c>
      <c r="Y20" s="88" t="str">
        <f t="shared" si="6"/>
        <v>echo {"issue":{"subject":"","project_id":79,"tracker_id":40,"status_id":1,"priority_id":2,"assigned_to_id":338,"start_date":"2017-09-30","description":"","custom_fields":[{"id":1,"name":"Subdivision","value":"EC"},{"id":4,"name":"Milepost","value":"0.0001"},{"id":17,"name":"Train ID","value":"162-30"},{"id":16,"name":"Locomotive ID","value":"4051"},{"id":130,"name":"Impact","value":""},{"id":150,"name":"Time of Event (Mountain Time)","value":"12:53:38"},{"id":151,"name":"Denver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1"/>
      <c r="AA20" s="47"/>
      <c r="AB20" s="47"/>
      <c r="AC20" s="107" t="str">
        <f t="shared" si="7"/>
        <v>grep -hrE -A400 "Enforcement Action" /c/Users/stu/AppData/Local/Temp/OnboardLogs/RTDC4051 --include="*4051*201709301*"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"%USERPROFILE%\AppData\Local\Temp\OnboardLogs"\RTDC4051\*4051*201709301* &gt;&gt; 2017-09-30-SliceDisagreementCheck.txt</v>
      </c>
      <c r="AE20" s="137" t="str">
        <f t="shared" si="9"/>
        <v>start /low /b %USERPROFILE%\Documents\GitHub\eaglep3\Utilities\DownloadLogsFromS3.py --loco 4051 --day 2017-09-30</v>
      </c>
      <c r="AF20" s="1"/>
    </row>
    <row r="21" spans="1:32" x14ac:dyDescent="0.25">
      <c r="A21" s="31">
        <v>43008.566932870373</v>
      </c>
      <c r="B21" s="30" t="s">
        <v>600</v>
      </c>
      <c r="C21" s="30" t="s">
        <v>601</v>
      </c>
      <c r="D21" s="30" t="s">
        <v>49</v>
      </c>
      <c r="E21" s="30" t="s">
        <v>180</v>
      </c>
      <c r="F21" s="42">
        <v>0</v>
      </c>
      <c r="G21" s="42">
        <v>43</v>
      </c>
      <c r="H21" s="42">
        <v>130</v>
      </c>
      <c r="I21" s="42">
        <v>99</v>
      </c>
      <c r="J21" s="30" t="s">
        <v>181</v>
      </c>
      <c r="K21" s="42">
        <v>1</v>
      </c>
      <c r="L21" s="123" t="s">
        <v>51</v>
      </c>
      <c r="M21" s="124">
        <f t="shared" si="0"/>
        <v>51.744</v>
      </c>
      <c r="N21" s="125" t="str">
        <f>VLOOKUP(C21,'Trips&amp;Operators'!$C$1:$G$99911,5,FALSE)</f>
        <v>BADERTSCHER DIANE</v>
      </c>
      <c r="O21" s="168" t="s">
        <v>179</v>
      </c>
      <c r="P21" s="126"/>
      <c r="Q21" s="30"/>
      <c r="R21" s="73" t="str">
        <f>VLOOKUP(C21,'Train Runs'!$A$13:$AE$9982,31,0)</f>
        <v>aws s3 cp s3://rtdc.mdm.uploadarchive.raw/RTDC4027/ "%USERPROFILE%\AppData\Local\Temp\OnboardLogs"\RTDC4027\2017-09-30 --exclude "*" --recursive --include "*20170930*" &amp; "%USERPROFILE%\Documents\GitHub\mrs-test-scripts\Headless Mode &amp; Sideloading\WalkAndUnGZ.bat" "%USERPROFILE%\AppData\Local\Temp\OnboardLogs"\RTDC4027\2017-09-30 &amp; aws s3 cp s3://rtdc.mdm.uploadarchive.raw/RTDC4027/ "%USERPROFILE%\AppData\Local\Temp\OnboardLogs"\RTDC4027\2017-10-01 --exclude "*" --recursive --include "*20171001*" &amp; "%USERPROFILE%\Documents\GitHub\mrs-test-scripts\Headless Mode &amp; Sideloading\WalkAndUnGZ.bat" "%USERPROFILE%\AppData\Local\Temp\OnboardLogs"\RTDC4027\2017-10-01</v>
      </c>
      <c r="S21" s="76" t="str">
        <f>VLOOKUP(C21,'Train Runs'!$A$13:$AE$9982,22,0)</f>
        <v>https://d0f6bd738d7f1b3e5a7ca70fe4ff75f0.us-east-1.aws.found.io/app/kibana#/discover/Steve-Slow-Train-Analysis-(2080s-and-2083s)?_g=(refreshInterval:(display:Off,pause:!f,section:0,value:0),time:(from:'2017-09-30T11:45:56-0600',mode:absolute,to:'2017-09-30T14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78" t="str">
        <f t="shared" si="1"/>
        <v>"C:\Program Files (x86)\AstroGrep\AstroGrep.exe" /e /r /s /spath="%USERPROFILE%\AppData\Local\Temp\OnboardLogs" /stypes="*4027*201709301*"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4027</v>
      </c>
      <c r="V21" s="31">
        <f t="shared" si="3"/>
        <v>43008.816932870373</v>
      </c>
      <c r="W21" s="45" t="str">
        <f t="shared" si="4"/>
        <v>EC</v>
      </c>
      <c r="X21" s="22">
        <f t="shared" si="5"/>
        <v>168</v>
      </c>
      <c r="Y21" s="88" t="str">
        <f t="shared" si="6"/>
        <v>echo {"issue":{"subject":"","project_id":79,"tracker_id":40,"status_id":1,"priority_id":2,"assigned_to_id":338,"start_date":"2017-09-30","description":"","custom_fields":[{"id":1,"name":"Subdivision","value":"EC"},{"id":4,"name":"Milepost","value":"0.0001"},{"id":17,"name":"Train ID","value":"168-30"},{"id":16,"name":"Locomotive ID","value":"4027"},{"id":130,"name":"Impact","value":""},{"id":150,"name":"Time of Event (Mountain Time)","value":"13:36:23"},{"id":151,"name":"Denver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1"/>
      <c r="AA21" s="47"/>
      <c r="AB21" s="47"/>
      <c r="AC21" s="107" t="str">
        <f t="shared" si="7"/>
        <v>grep -hrE -A400 "Enforcement Action" /c/Users/stu/AppData/Local/Temp/OnboardLogs/RTDC4027 --include="*4027*201709301*"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"%USERPROFILE%\AppData\Local\Temp\OnboardLogs"\RTDC4027\*4027*201709301* &gt;&gt; 2017-09-30-SliceDisagreementCheck.txt</v>
      </c>
      <c r="AE21" s="137" t="str">
        <f t="shared" si="9"/>
        <v>start /low /b %USERPROFILE%\Documents\GitHub\eaglep3\Utilities\DownloadLogsFromS3.py --loco 4027 --day 2017-09-30</v>
      </c>
      <c r="AF21" s="1"/>
    </row>
    <row r="22" spans="1:32" x14ac:dyDescent="0.25">
      <c r="A22" s="31">
        <v>43008.598680555559</v>
      </c>
      <c r="B22" s="30" t="s">
        <v>603</v>
      </c>
      <c r="C22" s="30" t="s">
        <v>604</v>
      </c>
      <c r="D22" s="30" t="s">
        <v>49</v>
      </c>
      <c r="E22" s="30" t="s">
        <v>180</v>
      </c>
      <c r="F22" s="42">
        <v>0</v>
      </c>
      <c r="G22" s="42">
        <v>43</v>
      </c>
      <c r="H22" s="42">
        <v>233328</v>
      </c>
      <c r="I22" s="42">
        <v>233349</v>
      </c>
      <c r="J22" s="30" t="s">
        <v>181</v>
      </c>
      <c r="K22" s="42">
        <v>233491</v>
      </c>
      <c r="L22" s="123" t="s">
        <v>50</v>
      </c>
      <c r="M22" s="124">
        <f t="shared" si="0"/>
        <v>74.975999999999999</v>
      </c>
      <c r="N22" s="125" t="str">
        <f>VLOOKUP(C22,'Trips&amp;Operators'!$C$1:$G$99911,5,FALSE)</f>
        <v>BADERTSCHER DIANE</v>
      </c>
      <c r="O22" s="168" t="s">
        <v>179</v>
      </c>
      <c r="P22" s="126"/>
      <c r="Q22" s="30"/>
      <c r="R22" s="73" t="str">
        <f>VLOOKUP(C22,'Train Runs'!$A$13:$AE$9982,31,0)</f>
        <v>aws s3 cp s3://rtdc.mdm.uploadarchive.raw/RTDC4028/ "%USERPROFILE%\AppData\Local\Temp\OnboardLogs"\RTDC4028\2017-09-30 --exclude "*" --recursive --include "*20170930*" &amp; "%USERPROFILE%\Documents\GitHub\mrs-test-scripts\Headless Mode &amp; Sideloading\WalkAndUnGZ.bat" "%USERPROFILE%\AppData\Local\Temp\OnboardLogs"\RTDC4028\2017-09-30 &amp; aws s3 cp s3://rtdc.mdm.uploadarchive.raw/RTDC4028/ "%USERPROFILE%\AppData\Local\Temp\OnboardLogs"\RTDC4028\2017-10-01 --exclude "*" --recursive --include "*20171001*" &amp; "%USERPROFILE%\Documents\GitHub\mrs-test-scripts\Headless Mode &amp; Sideloading\WalkAndUnGZ.bat" "%USERPROFILE%\AppData\Local\Temp\OnboardLogs"\RTDC4028\2017-10-01</v>
      </c>
      <c r="S22" s="76" t="str">
        <f>VLOOKUP(C22,'Train Runs'!$A$13:$AE$9982,22,0)</f>
        <v>https://d0f6bd738d7f1b3e5a7ca70fe4ff75f0.us-east-1.aws.found.io/app/kibana#/discover/Steve-Slow-Train-Analysis-(2080s-and-2083s)?_g=(refreshInterval:(display:Off,pause:!f,section:0,value:0),time:(from:'2017-09-30T12:39:05-0600',mode:absolute,to:'2017-09-30T15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2" s="78" t="str">
        <f t="shared" si="1"/>
        <v>"C:\Program Files (x86)\AstroGrep\AstroGrep.exe" /e /r /s /spath="%USERPROFILE%\AppData\Local\Temp\OnboardLogs" /stypes="*4028*201709302*"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4028</v>
      </c>
      <c r="V22" s="31">
        <f t="shared" si="3"/>
        <v>43008.848680555559</v>
      </c>
      <c r="W22" s="45" t="str">
        <f t="shared" si="4"/>
        <v>EC</v>
      </c>
      <c r="X22" s="22">
        <f t="shared" si="5"/>
        <v>181</v>
      </c>
      <c r="Y22" s="88" t="str">
        <f t="shared" si="6"/>
        <v>echo {"issue":{"subject":"","project_id":79,"tracker_id":40,"status_id":1,"priority_id":2,"assigned_to_id":338,"start_date":"2017-09-30","description":"","custom_fields":[{"id":1,"name":"Subdivision","value":"EC"},{"id":4,"name":"Milepost","value":"23.3491"},{"id":17,"name":"Train ID","value":"181-30"},{"id":16,"name":"Locomotive ID","value":"4028"},{"id":130,"name":"Impact","value":""},{"id":150,"name":"Time of Event (Mountain Time)","value":"14:22:06"},{"id":151,"name":"Denver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1"/>
      <c r="AA22" s="47"/>
      <c r="AB22" s="47"/>
      <c r="AC22" s="107" t="str">
        <f t="shared" si="7"/>
        <v>grep -hrE -A400 "Enforcement Action" /c/Users/stu/AppData/Local/Temp/OnboardLogs/RTDC4028 --include="*4028*201709302*"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"%USERPROFILE%\AppData\Local\Temp\OnboardLogs"\RTDC4028\*4028*201709302* &gt;&gt; 2017-09-30-SliceDisagreementCheck.txt</v>
      </c>
      <c r="AE22" s="137" t="str">
        <f t="shared" si="9"/>
        <v>start /low /b %USERPROFILE%\Documents\GitHub\eaglep3\Utilities\DownloadLogsFromS3.py --loco 4028 --day 2017-09-30</v>
      </c>
      <c r="AF22" s="1"/>
    </row>
    <row r="23" spans="1:32" x14ac:dyDescent="0.25">
      <c r="A23" s="31">
        <v>43008.628611111111</v>
      </c>
      <c r="B23" s="30" t="s">
        <v>606</v>
      </c>
      <c r="C23" s="30" t="s">
        <v>607</v>
      </c>
      <c r="D23" s="30" t="s">
        <v>49</v>
      </c>
      <c r="E23" s="30" t="s">
        <v>180</v>
      </c>
      <c r="F23" s="42">
        <v>0</v>
      </c>
      <c r="G23" s="42">
        <v>154</v>
      </c>
      <c r="H23" s="42">
        <v>232796</v>
      </c>
      <c r="I23" s="42">
        <v>233011</v>
      </c>
      <c r="J23" s="30" t="s">
        <v>181</v>
      </c>
      <c r="K23" s="42">
        <v>233491</v>
      </c>
      <c r="L23" s="123" t="s">
        <v>50</v>
      </c>
      <c r="M23" s="124">
        <f t="shared" si="0"/>
        <v>253.44</v>
      </c>
      <c r="N23" s="125" t="str">
        <f>VLOOKUP(C23,'Trips&amp;Operators'!$C$1:$G$99911,5,FALSE)</f>
        <v>HOLCOMB KAMDEN</v>
      </c>
      <c r="O23" s="168" t="s">
        <v>179</v>
      </c>
      <c r="P23" s="126"/>
      <c r="Q23" s="30"/>
      <c r="R23" s="73" t="str">
        <f>VLOOKUP(C23,'Train Runs'!$A$13:$AE$9982,31,0)</f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S23" s="76" t="str">
        <f>VLOOKUP(C23,'Train Runs'!$A$13:$AE$9982,22,0)</f>
        <v>https://d0f6bd738d7f1b3e5a7ca70fe4ff75f0.us-east-1.aws.found.io/app/kibana#/discover/Steve-Slow-Train-Analysis-(2080s-and-2083s)?_g=(refreshInterval:(display:Off,pause:!f,section:0,value:0),time:(from:'2017-09-30T13:22:26-0600',mode:absolute,to:'2017-09-30T16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3" s="78" t="str">
        <f t="shared" si="1"/>
        <v>"C:\Program Files (x86)\AstroGrep\AstroGrep.exe" /e /r /s /spath="%USERPROFILE%\AppData\Local\Temp\OnboardLogs" /stypes="*4020*201709302*" /stext=" 21:.+((SYSTEM_STATE.+slice.+state.+changed )|(ment ac)|(multiple cpu faults)|(system.+state.+changed )|(\[timeout)|(PRM\|1\|D)|(kpr)|(kdp)|(train st.+moving)|(\|lc)|(penalty))"</v>
      </c>
      <c r="U23" s="9" t="str">
        <f t="shared" si="2"/>
        <v>4020</v>
      </c>
      <c r="V23" s="31">
        <f t="shared" si="3"/>
        <v>43008.878611111111</v>
      </c>
      <c r="W23" s="45" t="str">
        <f t="shared" si="4"/>
        <v>EC</v>
      </c>
      <c r="X23" s="22">
        <f t="shared" si="5"/>
        <v>187</v>
      </c>
      <c r="Y23" s="88" t="str">
        <f t="shared" si="6"/>
        <v>echo {"issue":{"subject":"","project_id":79,"tracker_id":40,"status_id":1,"priority_id":2,"assigned_to_id":338,"start_date":"2017-09-30","description":"","custom_fields":[{"id":1,"name":"Subdivision","value":"EC"},{"id":4,"name":"Milepost","value":"23.3491"},{"id":17,"name":"Train ID","value":"187-30"},{"id":16,"name":"Locomotive ID","value":"4020"},{"id":130,"name":"Impact","value":""},{"id":150,"name":"Time of Event (Mountain Time)","value":"15:05:12"},{"id":151,"name":"Denver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1"/>
      <c r="AA23" s="47"/>
      <c r="AB23" s="47"/>
      <c r="AC23" s="107" t="str">
        <f t="shared" si="7"/>
        <v>grep -hrE -A400 "Enforcement Action" /c/Users/stu/AppData/Local/Temp/OnboardLogs/RTDC4020 --include="*4020*201709302*"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"%USERPROFILE%\AppData\Local\Temp\OnboardLogs"\RTDC4020\*4020*201709302* &gt;&gt; 2017-09-30-SliceDisagreementCheck.txt</v>
      </c>
      <c r="AE23" s="137" t="str">
        <f t="shared" si="9"/>
        <v>start /low /b %USERPROFILE%\Documents\GitHub\eaglep3\Utilities\DownloadLogsFromS3.py --loco 4020 --day 2017-09-30</v>
      </c>
      <c r="AF23" s="1"/>
    </row>
    <row r="24" spans="1:32" x14ac:dyDescent="0.25">
      <c r="A24" s="31">
        <v>43008.629155092596</v>
      </c>
      <c r="B24" s="30" t="s">
        <v>606</v>
      </c>
      <c r="C24" s="30" t="s">
        <v>607</v>
      </c>
      <c r="D24" s="30" t="s">
        <v>49</v>
      </c>
      <c r="E24" s="30" t="s">
        <v>180</v>
      </c>
      <c r="F24" s="42">
        <v>0</v>
      </c>
      <c r="G24" s="42">
        <v>57</v>
      </c>
      <c r="H24" s="42">
        <v>233281</v>
      </c>
      <c r="I24" s="42">
        <v>233340</v>
      </c>
      <c r="J24" s="30" t="s">
        <v>181</v>
      </c>
      <c r="K24" s="42">
        <v>233491</v>
      </c>
      <c r="L24" s="123" t="s">
        <v>50</v>
      </c>
      <c r="M24" s="124">
        <f t="shared" si="0"/>
        <v>79.727999999999994</v>
      </c>
      <c r="N24" s="125" t="str">
        <f>VLOOKUP(C24,'Trips&amp;Operators'!$C$1:$G$99911,5,FALSE)</f>
        <v>HOLCOMB KAMDEN</v>
      </c>
      <c r="O24" s="168" t="s">
        <v>179</v>
      </c>
      <c r="P24" s="126"/>
      <c r="Q24" s="30"/>
      <c r="R24" s="73" t="str">
        <f>VLOOKUP(C24,'Train Runs'!$A$13:$AE$9982,31,0)</f>
        <v>aws s3 cp s3://rtdc.mdm.uploadarchive.raw/RTDC4020/ "%USERPROFILE%\AppData\Local\Temp\OnboardLogs"\RTDC4020\2017-09-30 --exclude "*" --recursive --include "*20170930*" &amp; "%USERPROFILE%\Documents\GitHub\mrs-test-scripts\Headless Mode &amp; Sideloading\WalkAndUnGZ.bat" "%USERPROFILE%\AppData\Local\Temp\OnboardLogs"\RTDC4020\2017-09-30 &amp; aws s3 cp s3://rtdc.mdm.uploadarchive.raw/RTDC4020/ "%USERPROFILE%\AppData\Local\Temp\OnboardLogs"\RTDC4020\2017-10-01 --exclude "*" --recursive --include "*20171001*" &amp; "%USERPROFILE%\Documents\GitHub\mrs-test-scripts\Headless Mode &amp; Sideloading\WalkAndUnGZ.bat" "%USERPROFILE%\AppData\Local\Temp\OnboardLogs"\RTDC4020\2017-10-01</v>
      </c>
      <c r="S24" s="76" t="str">
        <f>VLOOKUP(C24,'Train Runs'!$A$13:$AE$9982,22,0)</f>
        <v>https://d0f6bd738d7f1b3e5a7ca70fe4ff75f0.us-east-1.aws.found.io/app/kibana#/discover/Steve-Slow-Train-Analysis-(2080s-and-2083s)?_g=(refreshInterval:(display:Off,pause:!f,section:0,value:0),time:(from:'2017-09-30T13:22:26-0600',mode:absolute,to:'2017-09-30T16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4" s="78" t="str">
        <f t="shared" si="1"/>
        <v>"C:\Program Files (x86)\AstroGrep\AstroGrep.exe" /e /r /s /spath="%USERPROFILE%\AppData\Local\Temp\OnboardLogs" /stypes="*4020*201709302*"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4020</v>
      </c>
      <c r="V24" s="31">
        <f t="shared" si="3"/>
        <v>43008.879155092596</v>
      </c>
      <c r="W24" s="45" t="str">
        <f t="shared" si="4"/>
        <v>EC</v>
      </c>
      <c r="X24" s="22">
        <f t="shared" si="5"/>
        <v>187</v>
      </c>
      <c r="Y24" s="88" t="str">
        <f t="shared" si="6"/>
        <v>echo {"issue":{"subject":"","project_id":79,"tracker_id":40,"status_id":1,"priority_id":2,"assigned_to_id":338,"start_date":"2017-09-30","description":"","custom_fields":[{"id":1,"name":"Subdivision","value":"EC"},{"id":4,"name":"Milepost","value":"23.3491"},{"id":17,"name":"Train ID","value":"187-30"},{"id":16,"name":"Locomotive ID","value":"4020"},{"id":130,"name":"Impact","value":""},{"id":150,"name":"Time of Event (Mountain Time)","value":"15:05:59"},{"id":151,"name":"Denver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1"/>
      <c r="AA24" s="47"/>
      <c r="AB24" s="47"/>
      <c r="AC24" s="107" t="str">
        <f t="shared" si="7"/>
        <v>grep -hrE -A400 "Enforcement Action" /c/Users/stu/AppData/Local/Temp/OnboardLogs/RTDC4020 --include="*4020*201709302*"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"%USERPROFILE%\AppData\Local\Temp\OnboardLogs"\RTDC4020\*4020*201709302* &gt;&gt; 2017-09-30-SliceDisagreementCheck.txt</v>
      </c>
      <c r="AE24" s="137" t="str">
        <f t="shared" si="9"/>
        <v>start /low /b %USERPROFILE%\Documents\GitHub\eaglep3\Utilities\DownloadLogsFromS3.py --loco 4020 --day 2017-09-30</v>
      </c>
      <c r="AF24" s="1"/>
    </row>
    <row r="25" spans="1:32" x14ac:dyDescent="0.25">
      <c r="A25" s="31">
        <v>43008.785949074074</v>
      </c>
      <c r="B25" s="30" t="s">
        <v>432</v>
      </c>
      <c r="C25" s="30" t="s">
        <v>608</v>
      </c>
      <c r="D25" s="30" t="s">
        <v>49</v>
      </c>
      <c r="E25" s="30" t="s">
        <v>180</v>
      </c>
      <c r="F25" s="42">
        <v>0</v>
      </c>
      <c r="G25" s="42">
        <v>134</v>
      </c>
      <c r="H25" s="42">
        <v>233082</v>
      </c>
      <c r="I25" s="42">
        <v>233247</v>
      </c>
      <c r="J25" s="30" t="s">
        <v>181</v>
      </c>
      <c r="K25" s="42">
        <v>233491</v>
      </c>
      <c r="L25" s="123" t="s">
        <v>50</v>
      </c>
      <c r="M25" s="124">
        <f t="shared" si="0"/>
        <v>128.83199999999999</v>
      </c>
      <c r="N25" s="125" t="str">
        <f>VLOOKUP(C25,'Trips&amp;Operators'!$C$1:$G$99911,5,FALSE)</f>
        <v>ELBAUM MIKE</v>
      </c>
      <c r="O25" s="168" t="s">
        <v>179</v>
      </c>
      <c r="P25" s="126"/>
      <c r="Q25" s="30"/>
      <c r="R25" s="73" t="str">
        <f>VLOOKUP(C25,'Train Runs'!$A$13:$AE$9982,31,0)</f>
        <v>aws s3 cp s3://rtdc.mdm.uploadarchive.raw/RTDC4052/ "%USERPROFILE%\AppData\Local\Temp\OnboardLogs"\RTDC4052\2017-09-30 --exclude "*" --recursive --include "*20170930*" &amp; "%USERPROFILE%\Documents\GitHub\mrs-test-scripts\Headless Mode &amp; Sideloading\WalkAndUnGZ.bat" "%USERPROFILE%\AppData\Local\Temp\OnboardLogs"\RTDC4052\2017-09-30 &amp; aws s3 cp s3://rtdc.mdm.uploadarchive.raw/RTDC4052/ "%USERPROFILE%\AppData\Local\Temp\OnboardLogs"\RTDC4052\2017-10-01 --exclude "*" --recursive --include "*20171001*" &amp; "%USERPROFILE%\Documents\GitHub\mrs-test-scripts\Headless Mode &amp; Sideloading\WalkAndUnGZ.bat" "%USERPROFILE%\AppData\Local\Temp\OnboardLogs"\RTDC4052\2017-10-01</v>
      </c>
      <c r="S25" s="76" t="str">
        <f>VLOOKUP(C25,'Train Runs'!$A$13:$AE$9982,22,0)</f>
        <v>https://d0f6bd738d7f1b3e5a7ca70fe4ff75f0.us-east-1.aws.found.io/app/kibana#/discover/Steve-Slow-Train-Analysis-(2080s-and-2083s)?_g=(refreshInterval:(display:Off,pause:!f,section:0,value:0),time:(from:'2017-09-30T17:09:12-0600',mode:absolute,to:'2017-09-30T19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5" s="78" t="str">
        <f t="shared" si="1"/>
        <v>"C:\Program Files (x86)\AstroGrep\AstroGrep.exe" /e /r /s /spath="%USERPROFILE%\AppData\Local\Temp\OnboardLogs" /stypes="*4052*201710010*" /stext=" 00:.+((SYSTEM_STATE.+slice.+state.+changed )|(ment ac)|(multiple cpu faults)|(system.+state.+changed )|(\[timeout)|(PRM\|1\|D)|(kpr)|(kdp)|(train st.+moving)|(\|lc)|(penalty))"</v>
      </c>
      <c r="U25" s="9" t="str">
        <f t="shared" si="2"/>
        <v>4052</v>
      </c>
      <c r="V25" s="31">
        <f t="shared" si="3"/>
        <v>43009.035949074074</v>
      </c>
      <c r="W25" s="45" t="str">
        <f t="shared" si="4"/>
        <v>EC</v>
      </c>
      <c r="X25" s="22">
        <f t="shared" si="5"/>
        <v>217</v>
      </c>
      <c r="Y25" s="88" t="str">
        <f t="shared" si="6"/>
        <v>echo {"issue":{"subject":"","project_id":79,"tracker_id":40,"status_id":1,"priority_id":2,"assigned_to_id":338,"start_date":"2017-09-30","description":"","custom_fields":[{"id":1,"name":"Subdivision","value":"EC"},{"id":4,"name":"Milepost","value":"23.3491"},{"id":17,"name":"Train ID","value":"217-30"},{"id":16,"name":"Locomotive ID","value":"4052"},{"id":130,"name":"Impact","value":""},{"id":150,"name":"Time of Event (Mountain Time)","value":"18:51:46"},{"id":151,"name":"Denver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1"/>
      <c r="AA25" s="47"/>
      <c r="AB25" s="47"/>
      <c r="AC25" s="107" t="str">
        <f t="shared" si="7"/>
        <v>grep -hrE -A400 "Enforcement Action" /c/Users/stu/AppData/Local/Temp/OnboardLogs/RTDC4052 --include="*4052*201710010*"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"%USERPROFILE%\AppData\Local\Temp\OnboardLogs"\RTDC4052\*4052*201710010* &gt;&gt; 2017-09-30-SliceDisagreementCheck.txt</v>
      </c>
      <c r="AE25" s="137" t="str">
        <f t="shared" si="9"/>
        <v>start /low /b %USERPROFILE%\Documents\GitHub\eaglep3\Utilities\DownloadLogsFromS3.py --loco 4052 --day 2017-10-01</v>
      </c>
      <c r="AF25" s="1"/>
    </row>
    <row r="26" spans="1:32" x14ac:dyDescent="0.25">
      <c r="A26" s="31">
        <v>43008.382997685185</v>
      </c>
      <c r="B26" s="30" t="s">
        <v>478</v>
      </c>
      <c r="C26" s="30" t="s">
        <v>592</v>
      </c>
      <c r="D26" s="30" t="s">
        <v>95</v>
      </c>
      <c r="E26" s="30" t="s">
        <v>193</v>
      </c>
      <c r="F26" s="42">
        <v>200</v>
      </c>
      <c r="G26" s="42">
        <v>252</v>
      </c>
      <c r="H26" s="42">
        <v>6155</v>
      </c>
      <c r="I26" s="42">
        <v>6683</v>
      </c>
      <c r="J26" s="30" t="s">
        <v>194</v>
      </c>
      <c r="K26" s="42">
        <v>4790</v>
      </c>
      <c r="L26" s="123" t="s">
        <v>50</v>
      </c>
      <c r="M26" s="124">
        <f t="shared" si="0"/>
        <v>-999.50400000000002</v>
      </c>
      <c r="N26" s="125" t="str">
        <f>VLOOKUP(C26,'Trips&amp;Operators'!$C$1:$G$99911,5,FALSE)</f>
        <v>LAMAR NEKESHA</v>
      </c>
      <c r="O26" s="168" t="s">
        <v>179</v>
      </c>
      <c r="P26" s="126"/>
      <c r="Q26" s="30"/>
      <c r="R26" s="73" t="str">
        <f>VLOOKUP(C26,'Train Runs'!$A$13:$AE$9982,31,0)</f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S26" s="76" t="str">
        <f>VLOOKUP(C26,'Train Runs'!$A$13:$AE$9982,22,0)</f>
        <v>https://d0f6bd738d7f1b3e5a7ca70fe4ff75f0.us-east-1.aws.found.io/app/kibana#/discover/Steve-Slow-Train-Analysis-(2080s-and-2083s)?_g=(refreshInterval:(display:Off,pause:!f,section:0,value:0),time:(from:'2017-09-30T08:02:54-0600',mode:absolute,to:'2017-09-30T10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6" s="78" t="str">
        <f t="shared" si="1"/>
        <v>"C:\Program Files (x86)\AstroGrep\AstroGrep.exe" /e /r /s /spath="%USERPROFILE%\AppData\Local\Temp\OnboardLogs" /stypes="*4018*201709301*" /stext=" 15:.+((SYSTEM_STATE.+slice.+state.+changed )|(ment ac)|(multiple cpu faults)|(system.+state.+changed )|(\[timeout)|(PRM\|1\|D)|(kpr)|(kdp)|(train st.+moving)|(\|lc)|(penalty))"</v>
      </c>
      <c r="U26" s="9" t="str">
        <f t="shared" si="2"/>
        <v>4018</v>
      </c>
      <c r="V26" s="31">
        <f t="shared" si="3"/>
        <v>43008.632997685185</v>
      </c>
      <c r="W26" s="45" t="str">
        <f t="shared" si="4"/>
        <v>NW</v>
      </c>
      <c r="X26" s="22">
        <f t="shared" si="5"/>
        <v>1807</v>
      </c>
      <c r="Y26" s="88" t="str">
        <f t="shared" si="6"/>
        <v>echo {"issue":{"subject":"","project_id":79,"tracker_id":40,"status_id":1,"priority_id":2,"assigned_to_id":338,"start_date":"2017-09-30","description":"","custom_fields":[{"id":1,"name":"Subdivision","value":"NW"},{"id":4,"name":"Milepost","value":"0.479"},{"id":17,"name":"Train ID","value":"1807-30"},{"id":16,"name":"Locomotive ID","value":"4018"},{"id":130,"name":"Impact","value":""},{"id":150,"name":"Time of Event (Mountain Time)","value":"09:11:31"},{"id":151,"name":"Denver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1"/>
      <c r="AA26" s="47"/>
      <c r="AB26" s="47"/>
      <c r="AC26" s="107" t="str">
        <f t="shared" si="7"/>
        <v>grep -hrE -A400 "Enforcement Action" /c/Users/stu/AppData/Local/Temp/OnboardLogs/RTDC4018 --include="*4018*201709301*"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"%USERPROFILE%\AppData\Local\Temp\OnboardLogs"\RTDC4018\*4018*201709301* &gt;&gt; 2017-09-30-SliceDisagreementCheck.txt</v>
      </c>
      <c r="AE26" s="137" t="str">
        <f t="shared" si="9"/>
        <v>start /low /b %USERPROFILE%\Documents\GitHub\eaglep3\Utilities\DownloadLogsFromS3.py --loco 4018 --day 2017-09-30</v>
      </c>
      <c r="AF26" s="1"/>
    </row>
    <row r="27" spans="1:32" x14ac:dyDescent="0.25">
      <c r="A27" s="31">
        <v>43008.598761574074</v>
      </c>
      <c r="B27" s="30" t="s">
        <v>478</v>
      </c>
      <c r="C27" s="30" t="s">
        <v>605</v>
      </c>
      <c r="D27" s="30" t="s">
        <v>49</v>
      </c>
      <c r="E27" s="30" t="s">
        <v>193</v>
      </c>
      <c r="F27" s="42">
        <v>150</v>
      </c>
      <c r="G27" s="42">
        <v>330</v>
      </c>
      <c r="H27" s="42">
        <v>55592</v>
      </c>
      <c r="I27" s="42">
        <v>56200</v>
      </c>
      <c r="J27" s="30" t="s">
        <v>194</v>
      </c>
      <c r="K27" s="42">
        <v>57008</v>
      </c>
      <c r="L27" s="123" t="s">
        <v>50</v>
      </c>
      <c r="M27" s="124">
        <f t="shared" si="0"/>
        <v>426.62400000000002</v>
      </c>
      <c r="N27" s="125" t="str">
        <f>VLOOKUP(C27,'Trips&amp;Operators'!$C$1:$G$99911,5,FALSE)</f>
        <v>SMITH MICHAEL</v>
      </c>
      <c r="O27" s="168" t="s">
        <v>179</v>
      </c>
      <c r="P27" s="126"/>
      <c r="Q27" s="30"/>
      <c r="R27" s="73" t="str">
        <f>VLOOKUP(C27,'Train Runs'!$A$13:$AE$9982,31,0)</f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S27" s="76" t="str">
        <f>VLOOKUP(C27,'Train Runs'!$A$13:$AE$9982,22,0)</f>
        <v>https://d0f6bd738d7f1b3e5a7ca70fe4ff75f0.us-east-1.aws.found.io/app/kibana#/discover/Steve-Slow-Train-Analysis-(2080s-and-2083s)?_g=(refreshInterval:(display:Off,pause:!f,section:0,value:0),time:(from:'2017-09-30T13:00:14-0600',mode:absolute,to:'2017-09-30T15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7" s="78" t="str">
        <f t="shared" si="1"/>
        <v>"C:\Program Files (x86)\AstroGrep\AstroGrep.exe" /e /r /s /spath="%USERPROFILE%\AppData\Local\Temp\OnboardLogs" /stypes="*4018*201709302*" /stext=" 20:.+((SYSTEM_STATE.+slice.+state.+changed )|(ment ac)|(multiple cpu faults)|(system.+state.+changed )|(\[timeout)|(PRM\|1\|D)|(kpr)|(kdp)|(train st.+moving)|(\|lc)|(penalty))"</v>
      </c>
      <c r="U27" s="9" t="str">
        <f t="shared" si="2"/>
        <v>4018</v>
      </c>
      <c r="V27" s="31">
        <f t="shared" si="3"/>
        <v>43008.848761574074</v>
      </c>
      <c r="W27" s="45" t="str">
        <f t="shared" si="4"/>
        <v>NW</v>
      </c>
      <c r="X27" s="22">
        <f t="shared" si="5"/>
        <v>1817</v>
      </c>
      <c r="Y27" s="88" t="str">
        <f t="shared" si="6"/>
        <v>echo {"issue":{"subject":"","project_id":79,"tracker_id":40,"status_id":1,"priority_id":2,"assigned_to_id":338,"start_date":"2017-09-30","description":"","custom_fields":[{"id":1,"name":"Subdivision","value":"NW"},{"id":4,"name":"Milepost","value":"5.7008"},{"id":17,"name":"Train ID","value":"1817-30"},{"id":16,"name":"Locomotive ID","value":"4018"},{"id":130,"name":"Impact","value":""},{"id":150,"name":"Time of Event (Mountain Time)","value":"14:22:13"},{"id":151,"name":"Denver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1"/>
      <c r="AA27" s="47"/>
      <c r="AB27" s="47"/>
      <c r="AC27" s="107" t="str">
        <f t="shared" si="7"/>
        <v>grep -hrE -A400 "Enforcement Action" /c/Users/stu/AppData/Local/Temp/OnboardLogs/RTDC4018 --include="*4018*201709302*"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"%USERPROFILE%\AppData\Local\Temp\OnboardLogs"\RTDC4018\*4018*201709302* &gt;&gt; 2017-09-30-SliceDisagreementCheck.txt</v>
      </c>
      <c r="AE27" s="137" t="str">
        <f t="shared" si="9"/>
        <v>start /low /b %USERPROFILE%\Documents\GitHub\eaglep3\Utilities\DownloadLogsFromS3.py --loco 4018 --day 2017-09-30</v>
      </c>
      <c r="AF27" s="1"/>
    </row>
    <row r="28" spans="1:32" x14ac:dyDescent="0.25">
      <c r="A28" s="31">
        <v>43008.238333333335</v>
      </c>
      <c r="B28" s="30" t="s">
        <v>410</v>
      </c>
      <c r="C28" s="30" t="s">
        <v>588</v>
      </c>
      <c r="D28" s="30" t="s">
        <v>95</v>
      </c>
      <c r="E28" s="30" t="s">
        <v>357</v>
      </c>
      <c r="F28" s="42">
        <v>0</v>
      </c>
      <c r="G28" s="42">
        <v>134</v>
      </c>
      <c r="H28" s="42">
        <v>58232</v>
      </c>
      <c r="I28" s="42">
        <v>58000</v>
      </c>
      <c r="J28" s="30" t="s">
        <v>358</v>
      </c>
      <c r="K28" s="42">
        <v>59060</v>
      </c>
      <c r="L28" s="123" t="s">
        <v>51</v>
      </c>
      <c r="M28" s="124">
        <f t="shared" si="0"/>
        <v>-559.67999999999995</v>
      </c>
      <c r="N28" s="125" t="str">
        <f>VLOOKUP(C28,'Trips&amp;Operators'!$C$1:$G$99911,5,FALSE)</f>
        <v>LAMAR NEKESHA</v>
      </c>
      <c r="O28" s="168" t="s">
        <v>179</v>
      </c>
      <c r="P28" s="126" t="s">
        <v>974</v>
      </c>
      <c r="Q28" s="30"/>
      <c r="R28" s="73" t="str">
        <f>VLOOKUP(C28,'Train Runs'!$A$13:$AE$9982,31,0)</f>
        <v>aws s3 cp s3://rtdc.mdm.uploadarchive.raw/RTDC4017/ "%USERPROFILE%\AppData\Local\Temp\OnboardLogs"\RTDC4017\2017-09-30 --exclude "*" --recursive --include "*20170930*" &amp; "%USERPROFILE%\Documents\GitHub\mrs-test-scripts\Headless Mode &amp; Sideloading\WalkAndUnGZ.bat" "%USERPROFILE%\AppData\Local\Temp\OnboardLogs"\RTDC4017\2017-09-30 &amp; 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</v>
      </c>
      <c r="S28" s="76" t="str">
        <f>VLOOKUP(C28,'Train Runs'!$A$13:$AE$9982,22,0)</f>
        <v>https://d0f6bd738d7f1b3e5a7ca70fe4ff75f0.us-east-1.aws.found.io/app/kibana#/discover/Steve-Slow-Train-Analysis-(2080s-and-2083s)?_g=(refreshInterval:(display:Off,pause:!f,section:0,value:0),time:(from:'2017-09-30T04:41:03-0600',mode:absolute,to:'2017-09-30T07:01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8" s="78" t="str">
        <f t="shared" si="1"/>
        <v>"C:\Program Files (x86)\AstroGrep\AstroGrep.exe" /e /r /s /spath="%USERPROFILE%\AppData\Local\Temp\OnboardLogs" /stypes="*4017*201709301*"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4017</v>
      </c>
      <c r="V28" s="31">
        <f t="shared" si="3"/>
        <v>43008.488333333335</v>
      </c>
      <c r="W28" s="45" t="str">
        <f t="shared" si="4"/>
        <v>NW</v>
      </c>
      <c r="X28" s="22">
        <f t="shared" si="5"/>
        <v>1800</v>
      </c>
      <c r="Y28" s="88" t="str">
        <f t="shared" si="6"/>
        <v>echo {"issue":{"subject":"Selected wrong track","project_id":79,"tracker_id":40,"status_id":1,"priority_id":2,"assigned_to_id":338,"start_date":"2017-09-30","description":"","custom_fields":[{"id":1,"name":"Subdivision","value":"NW"},{"id":4,"name":"Milepost","value":"5.906"},{"id":17,"name":"Train ID","value":"1800-30"},{"id":16,"name":"Locomotive ID","value":"4017"},{"id":130,"name":"Impact","value":""},{"id":150,"name":"Time of Event (Mountain Time)","value":"05:43:12"},{"id":151,"name":"Denver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1"/>
      <c r="AA28" s="47"/>
      <c r="AB28" s="47"/>
      <c r="AC28" s="107" t="str">
        <f t="shared" si="7"/>
        <v>grep -hrE -A400 "Enforcement Action" /c/Users/stu/AppData/Local/Temp/OnboardLogs/RTDC4017 --include="*4017*201709301*"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"%USERPROFILE%\AppData\Local\Temp\OnboardLogs"\RTDC4017\*4017*201709301* &gt;&gt; 2017-09-30-SliceDisagreementCheck.txt</v>
      </c>
      <c r="AE28" s="137" t="str">
        <f t="shared" si="9"/>
        <v>start /low /b %USERPROFILE%\Documents\GitHub\eaglep3\Utilities\DownloadLogsFromS3.py --loco 4017 --day 2017-09-30</v>
      </c>
      <c r="AF28" s="1"/>
    </row>
    <row r="29" spans="1:32" x14ac:dyDescent="0.25">
      <c r="A29" s="31">
        <v>43008.265567129631</v>
      </c>
      <c r="B29" s="30" t="s">
        <v>478</v>
      </c>
      <c r="C29" s="30" t="s">
        <v>589</v>
      </c>
      <c r="D29" s="30" t="s">
        <v>49</v>
      </c>
      <c r="E29" s="30" t="s">
        <v>180</v>
      </c>
      <c r="F29" s="42">
        <v>0</v>
      </c>
      <c r="G29" s="42">
        <v>30</v>
      </c>
      <c r="H29" s="42">
        <v>58986</v>
      </c>
      <c r="I29" s="42">
        <v>59010</v>
      </c>
      <c r="J29" s="30" t="s">
        <v>181</v>
      </c>
      <c r="K29" s="42">
        <v>59048</v>
      </c>
      <c r="L29" s="123" t="s">
        <v>50</v>
      </c>
      <c r="M29" s="124">
        <f t="shared" si="0"/>
        <v>20.064</v>
      </c>
      <c r="N29" s="125" t="str">
        <f>VLOOKUP(C29,'Trips&amp;Operators'!$C$1:$G$99911,5,FALSE)</f>
        <v>LAMAR NEKESHA</v>
      </c>
      <c r="O29" s="168" t="s">
        <v>179</v>
      </c>
      <c r="P29" s="126"/>
      <c r="Q29" s="30"/>
      <c r="R29" s="73" t="str">
        <f>VLOOKUP(C29,'Train Runs'!$A$13:$AE$9982,31,0)</f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S29" s="76" t="str">
        <f>VLOOKUP(C29,'Train Runs'!$A$13:$AE$9982,22,0)</f>
        <v>https://d0f6bd738d7f1b3e5a7ca70fe4ff75f0.us-east-1.aws.found.io/app/kibana#/discover/Steve-Slow-Train-Analysis-(2080s-and-2083s)?_g=(refreshInterval:(display:Off,pause:!f,section:0,value:0),time:(from:'2017-09-30T05:04:19-0600',mode:absolute,to:'2017-09-30T07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9" s="78" t="str">
        <f t="shared" si="1"/>
        <v>"C:\Program Files (x86)\AstroGrep\AstroGrep.exe" /e /r /s /spath="%USERPROFILE%\AppData\Local\Temp\OnboardLogs" /stypes="*4018*201709301*"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4018</v>
      </c>
      <c r="V29" s="31">
        <f t="shared" si="3"/>
        <v>43008.515567129631</v>
      </c>
      <c r="W29" s="45" t="str">
        <f t="shared" si="4"/>
        <v>NW</v>
      </c>
      <c r="X29" s="22">
        <f t="shared" si="5"/>
        <v>1801</v>
      </c>
      <c r="Y29" s="88" t="str">
        <f t="shared" si="6"/>
        <v>echo {"issue":{"subject":"","project_id":79,"tracker_id":40,"status_id":1,"priority_id":2,"assigned_to_id":338,"start_date":"2017-09-30","description":"","custom_fields":[{"id":1,"name":"Subdivision","value":"NW"},{"id":4,"name":"Milepost","value":"5.9048"},{"id":17,"name":"Train ID","value":"1801-30"},{"id":16,"name":"Locomotive ID","value":"4018"},{"id":130,"name":"Impact","value":""},{"id":150,"name":"Time of Event (Mountain Time)","value":"06:22:25"},{"id":151,"name":"Denver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1"/>
      <c r="AA29" s="47"/>
      <c r="AB29" s="47"/>
      <c r="AC29" s="107" t="str">
        <f t="shared" si="7"/>
        <v>grep -hrE -A400 "Enforcement Action" /c/Users/stu/AppData/Local/Temp/OnboardLogs/RTDC4018 --include="*4018*201709301*"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"%USERPROFILE%\AppData\Local\Temp\OnboardLogs"\RTDC4018\*4018*201709301* &gt;&gt; 2017-09-30-SliceDisagreementCheck.txt</v>
      </c>
      <c r="AE29" s="137" t="str">
        <f t="shared" si="9"/>
        <v>start /low /b %USERPROFILE%\Documents\GitHub\eaglep3\Utilities\DownloadLogsFromS3.py --loco 4018 --day 2017-09-30</v>
      </c>
      <c r="AF29" s="1"/>
    </row>
    <row r="30" spans="1:32" x14ac:dyDescent="0.25">
      <c r="A30" s="31">
        <v>43008.30704861111</v>
      </c>
      <c r="B30" s="30" t="s">
        <v>478</v>
      </c>
      <c r="C30" s="30" t="s">
        <v>591</v>
      </c>
      <c r="D30" s="30" t="s">
        <v>49</v>
      </c>
      <c r="E30" s="30" t="s">
        <v>180</v>
      </c>
      <c r="F30" s="42">
        <v>0</v>
      </c>
      <c r="G30" s="42">
        <v>14</v>
      </c>
      <c r="H30" s="42">
        <v>59027</v>
      </c>
      <c r="I30" s="42">
        <v>59031</v>
      </c>
      <c r="J30" s="30" t="s">
        <v>181</v>
      </c>
      <c r="K30" s="42">
        <v>59048</v>
      </c>
      <c r="L30" s="123" t="s">
        <v>50</v>
      </c>
      <c r="M30" s="124">
        <f t="shared" si="0"/>
        <v>8.9760000000000009</v>
      </c>
      <c r="N30" s="125" t="str">
        <f>VLOOKUP(C30,'Trips&amp;Operators'!$C$1:$G$99911,5,FALSE)</f>
        <v>LAMAR NEKESHA</v>
      </c>
      <c r="O30" s="168" t="s">
        <v>179</v>
      </c>
      <c r="P30" s="126"/>
      <c r="Q30" s="30"/>
      <c r="R30" s="73" t="str">
        <f>VLOOKUP(C30,'Train Runs'!$A$13:$AE$9982,31,0)</f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S30" s="76" t="str">
        <f>VLOOKUP(C30,'Train Runs'!$A$13:$AE$9982,22,0)</f>
        <v>https://d0f6bd738d7f1b3e5a7ca70fe4ff75f0.us-east-1.aws.found.io/app/kibana#/discover/Steve-Slow-Train-Analysis-(2080s-and-2083s)?_g=(refreshInterval:(display:Off,pause:!f,section:0,value:0),time:(from:'2017-09-30T05:36:04-0600',mode:absolute,to:'2017-09-30T08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78" t="str">
        <f t="shared" si="1"/>
        <v>"C:\Program Files (x86)\AstroGrep\AstroGrep.exe" /e /r /s /spath="%USERPROFILE%\AppData\Local\Temp\OnboardLogs" /stypes="*4018*201709301*"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4018</v>
      </c>
      <c r="V30" s="31">
        <f t="shared" si="3"/>
        <v>43008.55704861111</v>
      </c>
      <c r="W30" s="45" t="str">
        <f t="shared" si="4"/>
        <v>NW</v>
      </c>
      <c r="X30" s="22">
        <f t="shared" si="5"/>
        <v>1803</v>
      </c>
      <c r="Y30" s="88" t="str">
        <f t="shared" si="6"/>
        <v>echo {"issue":{"subject":"","project_id":79,"tracker_id":40,"status_id":1,"priority_id":2,"assigned_to_id":338,"start_date":"2017-09-30","description":"","custom_fields":[{"id":1,"name":"Subdivision","value":"NW"},{"id":4,"name":"Milepost","value":"5.9048"},{"id":17,"name":"Train ID","value":"1803-30"},{"id":16,"name":"Locomotive ID","value":"4018"},{"id":130,"name":"Impact","value":""},{"id":150,"name":"Time of Event (Mountain Time)","value":"07:22:09"},{"id":151,"name":"Denver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1"/>
      <c r="AA30" s="47"/>
      <c r="AB30" s="47"/>
      <c r="AC30" s="107" t="str">
        <f t="shared" si="7"/>
        <v>grep -hrE -A400 "Enforcement Action" /c/Users/stu/AppData/Local/Temp/OnboardLogs/RTDC4018 --include="*4018*201709301*"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"%USERPROFILE%\AppData\Local\Temp\OnboardLogs"\RTDC4018\*4018*201709301* &gt;&gt; 2017-09-30-SliceDisagreementCheck.txt</v>
      </c>
      <c r="AE30" s="137" t="str">
        <f t="shared" si="9"/>
        <v>start /low /b %USERPROFILE%\Documents\GitHub\eaglep3\Utilities\DownloadLogsFromS3.py --loco 4018 --day 2017-09-30</v>
      </c>
      <c r="AF30" s="1"/>
    </row>
    <row r="31" spans="1:32" x14ac:dyDescent="0.25">
      <c r="A31" s="31">
        <v>43008.432152777779</v>
      </c>
      <c r="B31" s="30" t="s">
        <v>478</v>
      </c>
      <c r="C31" s="30" t="s">
        <v>594</v>
      </c>
      <c r="D31" s="30" t="s">
        <v>49</v>
      </c>
      <c r="E31" s="30" t="s">
        <v>180</v>
      </c>
      <c r="F31" s="42">
        <v>0</v>
      </c>
      <c r="G31" s="42">
        <v>27</v>
      </c>
      <c r="H31" s="42">
        <v>58988</v>
      </c>
      <c r="I31" s="42">
        <v>59010</v>
      </c>
      <c r="J31" s="30" t="s">
        <v>181</v>
      </c>
      <c r="K31" s="42">
        <v>59048</v>
      </c>
      <c r="L31" s="123" t="s">
        <v>50</v>
      </c>
      <c r="M31" s="124">
        <f t="shared" si="0"/>
        <v>20.064</v>
      </c>
      <c r="N31" s="125" t="str">
        <f>VLOOKUP(C31,'Trips&amp;Operators'!$C$1:$G$99911,5,FALSE)</f>
        <v>LAMAR NEKESHA</v>
      </c>
      <c r="O31" s="168" t="s">
        <v>179</v>
      </c>
      <c r="P31" s="126"/>
      <c r="Q31" s="30"/>
      <c r="R31" s="73" t="str">
        <f>VLOOKUP(C31,'Train Runs'!$A$13:$AE$9982,31,0)</f>
        <v>aws s3 cp s3://rtdc.mdm.uploadarchive.raw/RTDC4018/ "%USERPROFILE%\AppData\Local\Temp\OnboardLogs"\RTDC4018\2017-09-30 --exclude "*" --recursive --include "*20170930*" &amp; "%USERPROFILE%\Documents\GitHub\mrs-test-scripts\Headless Mode &amp; Sideloading\WalkAndUnGZ.bat" "%USERPROFILE%\AppData\Local\Temp\OnboardLogs"\RTDC4018\2017-09-30 &amp; 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</v>
      </c>
      <c r="S31" s="76" t="str">
        <f>VLOOKUP(C31,'Train Runs'!$A$13:$AE$9982,22,0)</f>
        <v>https://d0f6bd738d7f1b3e5a7ca70fe4ff75f0.us-east-1.aws.found.io/app/kibana#/discover/Steve-Slow-Train-Analysis-(2080s-and-2083s)?_g=(refreshInterval:(display:Off,pause:!f,section:0,value:0),time:(from:'2017-09-30T09:02:37-0600',mode:absolute,to:'2017-09-30T11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1" s="78" t="str">
        <f t="shared" si="1"/>
        <v>"C:\Program Files (x86)\AstroGrep\AstroGrep.exe" /e /r /s /spath="%USERPROFILE%\AppData\Local\Temp\OnboardLogs" /stypes="*4018*201709301*" /stext=" 16:.+((SYSTEM_STATE.+slice.+state.+changed )|(ment ac)|(multiple cpu faults)|(system.+state.+changed )|(\[timeout)|(PRM\|1\|D)|(kpr)|(kdp)|(train st.+moving)|(\|lc)|(penalty))"</v>
      </c>
      <c r="U31" s="9" t="str">
        <f t="shared" si="2"/>
        <v>4018</v>
      </c>
      <c r="V31" s="31">
        <f t="shared" si="3"/>
        <v>43008.682152777779</v>
      </c>
      <c r="W31" s="45" t="str">
        <f t="shared" si="4"/>
        <v>NW</v>
      </c>
      <c r="X31" s="22">
        <f t="shared" si="5"/>
        <v>1809</v>
      </c>
      <c r="Y31" s="88" t="str">
        <f t="shared" si="6"/>
        <v>echo {"issue":{"subject":"","project_id":79,"tracker_id":40,"status_id":1,"priority_id":2,"assigned_to_id":338,"start_date":"2017-09-30","description":"","custom_fields":[{"id":1,"name":"Subdivision","value":"NW"},{"id":4,"name":"Milepost","value":"5.9048"},{"id":17,"name":"Train ID","value":"1809-30"},{"id":16,"name":"Locomotive ID","value":"4018"},{"id":130,"name":"Impact","value":""},{"id":150,"name":"Time of Event (Mountain Time)","value":"10:22:18"},{"id":151,"name":"Denver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1"/>
      <c r="AA31" s="47"/>
      <c r="AB31" s="47"/>
      <c r="AC31" s="107" t="str">
        <f t="shared" si="7"/>
        <v>grep -hrE -A400 "Enforcement Action" /c/Users/stu/AppData/Local/Temp/OnboardLogs/RTDC4018 --include="*4018*201709301*"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"%USERPROFILE%\AppData\Local\Temp\OnboardLogs"\RTDC4018\*4018*201709301* &gt;&gt; 2017-09-30-SliceDisagreementCheck.txt</v>
      </c>
      <c r="AE31" s="137" t="str">
        <f t="shared" si="9"/>
        <v>start /low /b %USERPROFILE%\Documents\GitHub\eaglep3\Utilities\DownloadLogsFromS3.py --loco 4018 --day 2017-09-30</v>
      </c>
      <c r="AF31" s="1"/>
    </row>
    <row r="32" spans="1:32" x14ac:dyDescent="0.25">
      <c r="A32" s="31">
        <v>43008.18949074074</v>
      </c>
      <c r="B32" s="30" t="s">
        <v>504</v>
      </c>
      <c r="C32" s="30" t="s">
        <v>585</v>
      </c>
      <c r="D32" s="30" t="s">
        <v>95</v>
      </c>
      <c r="E32" s="30" t="s">
        <v>357</v>
      </c>
      <c r="F32" s="42">
        <v>0</v>
      </c>
      <c r="G32" s="42">
        <v>79</v>
      </c>
      <c r="H32" s="42">
        <v>4796</v>
      </c>
      <c r="I32" s="42">
        <v>4640</v>
      </c>
      <c r="J32" s="30" t="s">
        <v>358</v>
      </c>
      <c r="K32" s="42">
        <v>4798</v>
      </c>
      <c r="L32" s="123" t="s">
        <v>51</v>
      </c>
      <c r="M32" s="124">
        <f t="shared" si="0"/>
        <v>-83.424000000000007</v>
      </c>
      <c r="N32" s="125" t="str">
        <f>VLOOKUP(C32,'Trips&amp;Operators'!$C$1:$G$99911,5,FALSE)</f>
        <v>LALONDE GREGORY</v>
      </c>
      <c r="O32" s="168" t="s">
        <v>179</v>
      </c>
      <c r="P32" s="126"/>
      <c r="Q32" s="30"/>
      <c r="R32" s="73" t="str">
        <f>VLOOKUP(C32,'Train Runs'!$A$13:$AE$9982,31,0)</f>
        <v>aws s3 cp s3://rtdc.mdm.uploadarchive.raw/RTDC4055/ "%USERPROFILE%\AppData\Local\Temp\OnboardLogs"\RTDC4055\2017-09-30 --exclude "*" --recursive --include "*20170930*" &amp; "%USERPROFILE%\Documents\GitHub\mrs-test-scripts\Headless Mode &amp; Sideloading\WalkAndUnGZ.bat" "%USERPROFILE%\AppData\Local\Temp\OnboardLogs"\RTDC4055\2017-09-30 &amp; aws s3 cp s3://rtdc.mdm.uploadarchive.raw/RTDC4055/ "%USERPROFILE%\AppData\Local\Temp\OnboardLogs"\RTDC4055\2017-10-01 --exclude "*" --recursive --include "*20171001*" &amp; "%USERPROFILE%\Documents\GitHub\mrs-test-scripts\Headless Mode &amp; Sideloading\WalkAndUnGZ.bat" "%USERPROFILE%\AppData\Local\Temp\OnboardLogs"\RTDC4055\2017-10-01</v>
      </c>
      <c r="S32" s="76" t="str">
        <f>VLOOKUP(C32,'Train Runs'!$A$13:$AE$9982,22,0)</f>
        <v>https://d0f6bd738d7f1b3e5a7ca70fe4ff75f0.us-east-1.aws.found.io/app/kibana#/discover/Steve-Slow-Train-Analysis-(2080s-and-2083s)?_g=(refreshInterval:(display:Off,pause:!f,section:0,value:0),time:(from:'2017-09-30T03:21:26-0600',mode:absolute,to:'2017-09-30T05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2" s="78" t="str">
        <f t="shared" si="1"/>
        <v>"C:\Program Files (x86)\AstroGrep\AstroGrep.exe" /e /r /s /spath="%USERPROFILE%\AppData\Local\Temp\OnboardLogs" /stypes="*4055*201709301*" /stext=" 10:.+((SYSTEM_STATE.+slice.+state.+changed )|(ment ac)|(multiple cpu faults)|(system.+state.+changed )|(\[timeout)|(PRM\|1\|D)|(kpr)|(kdp)|(train st.+moving)|(\|lc)|(penalty))"</v>
      </c>
      <c r="U32" s="9" t="str">
        <f t="shared" si="2"/>
        <v>4055</v>
      </c>
      <c r="V32" s="31">
        <f t="shared" si="3"/>
        <v>43008.43949074074</v>
      </c>
      <c r="W32" s="45" t="str">
        <f t="shared" si="4"/>
        <v>Other</v>
      </c>
      <c r="X32" s="22">
        <f t="shared" si="5"/>
        <v>308</v>
      </c>
      <c r="Y32" s="88" t="str">
        <f t="shared" si="6"/>
        <v>echo {"issue":{"subject":"","project_id":79,"tracker_id":40,"status_id":1,"priority_id":2,"assigned_to_id":338,"start_date":"2017-09-30","description":"","custom_fields":[{"id":1,"name":"Subdivision","value":"Other"},{"id":4,"name":"Milepost","value":"0.4798"},{"id":17,"name":"Train ID","value":"308-30"},{"id":16,"name":"Locomotive ID","value":"4055"},{"id":130,"name":"Impact","value":""},{"id":150,"name":"Time of Event (Mountain Time)","value":"04:32:52"},{"id":151,"name":"Denver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1"/>
      <c r="AA32" s="47"/>
      <c r="AB32" s="47"/>
      <c r="AC32" s="107" t="str">
        <f t="shared" si="7"/>
        <v>grep -hrE -A400 "Enforcement Action" /c/Users/stu/AppData/Local/Temp/OnboardLogs/RTDC4055 --include="*4055*201709301*"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"%USERPROFILE%\AppData\Local\Temp\OnboardLogs"\RTDC4055\*4055*201709301* &gt;&gt; 2017-09-30-SliceDisagreementCheck.txt</v>
      </c>
      <c r="AE32" s="137" t="str">
        <f t="shared" si="9"/>
        <v>start /low /b %USERPROFILE%\Documents\GitHub\eaglep3\Utilities\DownloadLogsFromS3.py --loco 4055 --day 2017-09-30</v>
      </c>
      <c r="AF32" s="1"/>
    </row>
    <row r="33" spans="1:32" x14ac:dyDescent="0.25">
      <c r="A33" s="31">
        <v>43008.210150462961</v>
      </c>
      <c r="B33" s="30" t="s">
        <v>586</v>
      </c>
      <c r="C33" s="30" t="s">
        <v>587</v>
      </c>
      <c r="D33" s="30" t="s">
        <v>49</v>
      </c>
      <c r="E33" s="30" t="s">
        <v>357</v>
      </c>
      <c r="F33" s="42">
        <v>0</v>
      </c>
      <c r="G33" s="42">
        <v>72</v>
      </c>
      <c r="H33" s="42">
        <v>4858</v>
      </c>
      <c r="I33" s="42">
        <v>4779</v>
      </c>
      <c r="J33" s="30" t="s">
        <v>358</v>
      </c>
      <c r="K33" s="42">
        <v>4798</v>
      </c>
      <c r="L33" s="123" t="s">
        <v>51</v>
      </c>
      <c r="M33" s="124">
        <f t="shared" si="0"/>
        <v>-10.032</v>
      </c>
      <c r="N33" s="125" t="str">
        <f>VLOOKUP(C33,'Trips&amp;Operators'!$C$1:$G$99911,5,FALSE)</f>
        <v>BIRENBAUM THOMAS</v>
      </c>
      <c r="O33" s="168" t="s">
        <v>977</v>
      </c>
      <c r="P33" s="126" t="s">
        <v>978</v>
      </c>
      <c r="Q33" s="30"/>
      <c r="R33" s="73" t="str">
        <f>VLOOKUP(C33,'Train Runs'!$A$13:$AE$9982,31,0)</f>
        <v>aws s3 cp s3://rtdc.mdm.uploadarchive.raw/RTDC4003/ "%USERPROFILE%\AppData\Local\Temp\OnboardLogs"\RTDC4003\2017-09-30 --exclude "*" --recursive --include "*20170930*" &amp; "%USERPROFILE%\Documents\GitHub\mrs-test-scripts\Headless Mode &amp; Sideloading\WalkAndUnGZ.bat" "%USERPROFILE%\AppData\Local\Temp\OnboardLogs"\RTDC4003\2017-09-30 &amp; aws s3 cp s3://rtdc.mdm.uploadarchive.raw/RTDC4003/ "%USERPROFILE%\AppData\Local\Temp\OnboardLogs"\RTDC4003\2017-10-01 --exclude "*" --recursive --include "*20171001*" &amp; "%USERPROFILE%\Documents\GitHub\mrs-test-scripts\Headless Mode &amp; Sideloading\WalkAndUnGZ.bat" "%USERPROFILE%\AppData\Local\Temp\OnboardLogs"\RTDC4003\2017-10-01</v>
      </c>
      <c r="S33" s="76" t="str">
        <f>VLOOKUP(C33,'Train Runs'!$A$13:$AE$9982,22,0)</f>
        <v>https://d0f6bd738d7f1b3e5a7ca70fe4ff75f0.us-east-1.aws.found.io/app/kibana#/discover/Steve-Slow-Train-Analysis-(2080s-and-2083s)?_g=(refreshInterval:(display:Off,pause:!f,section:0,value:0),time:(from:'2017-09-30T03:50:49-0600',mode:absolute,to:'2017-09-30T06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3" s="78" t="str">
        <f t="shared" si="1"/>
        <v>"C:\Program Files (x86)\AstroGrep\AstroGrep.exe" /e /r /s /spath="%USERPROFILE%\AppData\Local\Temp\OnboardLogs" /stypes="*4003*201709301*" /stext=" 11:.+((SYSTEM_STATE.+slice.+state.+changed )|(ment ac)|(multiple cpu faults)|(system.+state.+changed )|(\[timeout)|(PRM\|1\|D)|(kpr)|(kdp)|(train st.+moving)|(\|lc)|(penalty))"</v>
      </c>
      <c r="U33" s="9" t="str">
        <f t="shared" si="2"/>
        <v>4003</v>
      </c>
      <c r="V33" s="31">
        <f t="shared" si="3"/>
        <v>43008.460150462961</v>
      </c>
      <c r="W33" s="45" t="str">
        <f t="shared" si="4"/>
        <v>Other</v>
      </c>
      <c r="X33" s="22">
        <f t="shared" si="5"/>
        <v>310</v>
      </c>
      <c r="Y33" s="88" t="str">
        <f t="shared" si="6"/>
        <v>echo {"issue":{"subject":"Poor GPS at Wawetta St overpass","project_id":79,"tracker_id":40,"status_id":1,"priority_id":2,"assigned_to_id":338,"start_date":"2017-09-30","description":"","custom_fields":[{"id":1,"name":"Subdivision","value":"Other"},{"id":4,"name":"Milepost","value":"0.4798"},{"id":17,"name":"Train ID","value":"310-30"},{"id":16,"name":"Locomotive ID","value":"4003"},{"id":130,"name":"Impact","value":""},{"id":150,"name":"Time of Event (Mountain Time)","value":"05:02:37"},{"id":151,"name":"Denver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1"/>
      <c r="AA33" s="47"/>
      <c r="AB33" s="47"/>
      <c r="AC33" s="107" t="str">
        <f t="shared" si="7"/>
        <v>grep -hrE -A400 "Enforcement Action" /c/Users/stu/AppData/Local/Temp/OnboardLogs/RTDC4003 --include="*4003*201709301*"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"%USERPROFILE%\AppData\Local\Temp\OnboardLogs"\RTDC4003\*4003*201709301* &gt;&gt; 2017-09-30-SliceDisagreementCheck.txt</v>
      </c>
      <c r="AE33" s="137" t="str">
        <f t="shared" si="9"/>
        <v>start /low /b %USERPROFILE%\Documents\GitHub\eaglep3\Utilities\DownloadLogsFromS3.py --loco 4003 --day 2017-09-30</v>
      </c>
      <c r="AF33" s="1"/>
    </row>
    <row r="34" spans="1:32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</sheetData>
  <autoFilter ref="A6:AC44">
    <sortState ref="A7:AC44">
      <sortCondition ref="W7:W33"/>
      <sortCondition ref="E7:E33"/>
      <sortCondition ref="K7:K33"/>
      <sortCondition ref="F7:F33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3:O1048576 O7:O3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3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AA7:AA33</xm:sqref>
        </x14:dataValidation>
        <x14:dataValidation type="list" allowBlank="1" showInputMessage="1" showErrorMessage="1">
          <x14:formula1>
            <xm:f>'Redmine List Values'!$C$2:$C$15</xm:f>
          </x14:formula1>
          <xm:sqref>AB7:AB33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82" customWidth="1"/>
    <col min="2" max="2" width="9.140625" style="2" customWidth="1"/>
    <col min="3" max="3" width="8" style="80" bestFit="1" customWidth="1"/>
    <col min="4" max="4" width="9.85546875" style="13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79" customWidth="1"/>
    <col min="10" max="10" width="9.140625" customWidth="1"/>
  </cols>
  <sheetData>
    <row r="1" spans="1:10" s="20" customFormat="1" x14ac:dyDescent="0.25">
      <c r="A1" s="182"/>
      <c r="B1" s="189" t="str">
        <f>"Trips that did not appear in PTC Data "&amp;TEXT(Variables!$A$2,"YYYY-mm-dd")</f>
        <v>Trips that did not appear in PTC Data 2017-09-30</v>
      </c>
      <c r="C1" s="189"/>
      <c r="D1" s="189"/>
      <c r="E1" s="189"/>
      <c r="F1" s="189"/>
      <c r="I1" s="179"/>
    </row>
    <row r="2" spans="1:10" s="23" customFormat="1" ht="45" x14ac:dyDescent="0.25">
      <c r="A2" s="187" t="s">
        <v>147</v>
      </c>
      <c r="B2" s="82" t="s">
        <v>58</v>
      </c>
      <c r="C2" s="79" t="s">
        <v>59</v>
      </c>
      <c r="D2" s="14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0" t="s">
        <v>101</v>
      </c>
      <c r="J2" s="28" t="s">
        <v>60</v>
      </c>
    </row>
    <row r="3" spans="1:10" x14ac:dyDescent="0.25">
      <c r="A3" s="183">
        <v>1805</v>
      </c>
      <c r="B3" s="42" t="str">
        <f>A3&amp;"-"&amp;IF(DAY(Variables!$A$2)&lt;10,0,"")&amp;DAY(Variables!$A$2)</f>
        <v>1805-30</v>
      </c>
      <c r="C3" s="127"/>
      <c r="D3" s="145" t="str">
        <f>VLOOKUP(B3,'Trips&amp;Operators'!$C$1:$H$1072,6,FALSE)</f>
        <v>4018</v>
      </c>
      <c r="E3" s="30"/>
      <c r="F3" s="21" t="str">
        <f>VLOOKUP(B3,'Trips&amp;Operators'!$C$2:$E$9912,3,FALSE)</f>
        <v>LAMAR</v>
      </c>
      <c r="G3" s="21" t="str">
        <f>VLOOKUP(B3,'Trips&amp;Operators'!$C$1:$F$9912,4,FALSE)</f>
        <v>NEKESHA</v>
      </c>
      <c r="H3" s="29" t="str">
        <f>VLOOKUP(B3,'Trips&amp;Operators'!$C$1:$H$9912,5,FALSE)</f>
        <v>LAMAR NEKESHA</v>
      </c>
      <c r="I3" s="18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221805-30%22)),sort:!(Time.ISO8601,asc))</v>
      </c>
      <c r="J3" s="30" t="str">
        <f>VLOOKUP(B3,'Train Runs'!$A$13:$A$99979,1,FALSE)</f>
        <v>1805-30</v>
      </c>
    </row>
    <row r="4" spans="1:10" x14ac:dyDescent="0.25">
      <c r="A4" s="183"/>
      <c r="B4" s="42" t="str">
        <f>A4&amp;"-"&amp;IF(DAY(Variables!$A$2)&lt;10,0,"")&amp;DAY(Variables!$A$2)</f>
        <v>-30</v>
      </c>
      <c r="C4" s="127"/>
      <c r="D4" s="145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" s="30" t="e">
        <f>VLOOKUP(B4,'Train Runs'!$A$13:$A$99979,1,FALSE)</f>
        <v>#N/A</v>
      </c>
    </row>
    <row r="5" spans="1:10" x14ac:dyDescent="0.25">
      <c r="A5" s="183"/>
      <c r="B5" s="42" t="str">
        <f>A5&amp;"-"&amp;IF(DAY(Variables!$A$2)&lt;10,0,"")&amp;DAY(Variables!$A$2)</f>
        <v>-30</v>
      </c>
      <c r="C5" s="127"/>
      <c r="D5" s="145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Runs'!$A$13:$A$99979,1,FALSE)</f>
        <v>#N/A</v>
      </c>
    </row>
    <row r="6" spans="1:10" x14ac:dyDescent="0.25">
      <c r="A6" s="183"/>
      <c r="B6" s="42" t="str">
        <f>A6&amp;"-"&amp;IF(DAY(Variables!$A$2)&lt;10,0,"")&amp;DAY(Variables!$A$2)</f>
        <v>-30</v>
      </c>
      <c r="C6" s="127"/>
      <c r="D6" s="145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Runs'!$A$13:$A$99979,1,FALSE)</f>
        <v>#N/A</v>
      </c>
    </row>
    <row r="7" spans="1:10" x14ac:dyDescent="0.25">
      <c r="A7" s="183"/>
      <c r="B7" s="42" t="str">
        <f>A7&amp;"-"&amp;IF(DAY(Variables!$A$2)&lt;10,0,"")&amp;DAY(Variables!$A$2)</f>
        <v>-30</v>
      </c>
      <c r="C7" s="127"/>
      <c r="D7" s="145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Runs'!$A$13:$A$99979,1,FALSE)</f>
        <v>#N/A</v>
      </c>
    </row>
    <row r="8" spans="1:10" x14ac:dyDescent="0.25">
      <c r="A8" s="183"/>
      <c r="B8" s="42" t="str">
        <f>A8&amp;"-"&amp;IF(DAY(Variables!$A$2)&lt;10,0,"")&amp;DAY(Variables!$A$2)</f>
        <v>-30</v>
      </c>
      <c r="C8" s="127"/>
      <c r="D8" s="145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Runs'!$A$13:$A$99979,1,FALSE)</f>
        <v>#N/A</v>
      </c>
    </row>
    <row r="9" spans="1:10" x14ac:dyDescent="0.25">
      <c r="A9" s="183"/>
      <c r="B9" s="42" t="str">
        <f>A9&amp;"-"&amp;IF(DAY(Variables!$A$2)&lt;10,0,"")&amp;DAY(Variables!$A$2)</f>
        <v>-30</v>
      </c>
      <c r="C9" s="127"/>
      <c r="D9" s="145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Runs'!$A$13:$A$99979,1,FALSE)</f>
        <v>#N/A</v>
      </c>
    </row>
    <row r="10" spans="1:10" x14ac:dyDescent="0.25">
      <c r="A10" s="183"/>
      <c r="B10" s="42" t="str">
        <f>A10&amp;"-"&amp;IF(DAY(Variables!$A$2)&lt;10,0,"")&amp;DAY(Variables!$A$2)</f>
        <v>-30</v>
      </c>
      <c r="C10" s="127"/>
      <c r="D10" s="145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Runs'!$A$13:$A$99979,1,FALSE)</f>
        <v>#N/A</v>
      </c>
    </row>
    <row r="11" spans="1:10" x14ac:dyDescent="0.25">
      <c r="A11" s="183"/>
      <c r="B11" s="42" t="str">
        <f>A11&amp;"-"&amp;IF(DAY(Variables!$A$2)&lt;10,0,"")&amp;DAY(Variables!$A$2)</f>
        <v>-30</v>
      </c>
      <c r="C11" s="127"/>
      <c r="D11" s="145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Runs'!$A$13:$A$99979,1,FALSE)</f>
        <v>#N/A</v>
      </c>
    </row>
    <row r="12" spans="1:10" x14ac:dyDescent="0.25">
      <c r="A12" s="183"/>
      <c r="B12" s="42" t="str">
        <f>A12&amp;"-"&amp;IF(DAY(Variables!$A$2)&lt;10,0,"")&amp;DAY(Variables!$A$2)</f>
        <v>-30</v>
      </c>
      <c r="C12" s="127"/>
      <c r="D12" s="145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Runs'!$A$13:$A$99979,1,FALSE)</f>
        <v>#N/A</v>
      </c>
    </row>
    <row r="13" spans="1:10" x14ac:dyDescent="0.25">
      <c r="A13" s="183"/>
      <c r="B13" s="42" t="str">
        <f>A13&amp;"-"&amp;IF(DAY(Variables!$A$2)&lt;10,0,"")&amp;DAY(Variables!$A$2)</f>
        <v>-30</v>
      </c>
      <c r="C13" s="127"/>
      <c r="D13" s="145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Runs'!$A$13:$A$99979,1,FALSE)</f>
        <v>#N/A</v>
      </c>
    </row>
    <row r="14" spans="1:10" x14ac:dyDescent="0.25">
      <c r="A14" s="183"/>
      <c r="B14" s="42" t="str">
        <f>A14&amp;"-"&amp;IF(DAY(Variables!$A$2)&lt;10,0,"")&amp;DAY(Variables!$A$2)</f>
        <v>-30</v>
      </c>
      <c r="C14" s="127"/>
      <c r="D14" s="145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Runs'!$A$13:$A$99979,1,FALSE)</f>
        <v>#N/A</v>
      </c>
    </row>
    <row r="15" spans="1:10" x14ac:dyDescent="0.25">
      <c r="A15" s="183"/>
      <c r="B15" s="42" t="str">
        <f>A15&amp;"-"&amp;IF(DAY(Variables!$A$2)&lt;10,0,"")&amp;DAY(Variables!$A$2)</f>
        <v>-30</v>
      </c>
      <c r="C15" s="127"/>
      <c r="D15" s="145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Runs'!$A$13:$A$99979,1,FALSE)</f>
        <v>#N/A</v>
      </c>
    </row>
    <row r="16" spans="1:10" x14ac:dyDescent="0.25">
      <c r="A16" s="183"/>
      <c r="B16" s="42" t="str">
        <f>A16&amp;"-"&amp;IF(DAY(Variables!$A$2)&lt;10,0,"")&amp;DAY(Variables!$A$2)</f>
        <v>-30</v>
      </c>
      <c r="C16" s="127"/>
      <c r="D16" s="145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Runs'!$A$13:$A$99979,1,FALSE)</f>
        <v>#N/A</v>
      </c>
    </row>
    <row r="17" spans="1:10" x14ac:dyDescent="0.25">
      <c r="A17" s="183"/>
      <c r="B17" s="42" t="str">
        <f>A17&amp;"-"&amp;IF(DAY(Variables!$A$2)&lt;10,0,"")&amp;DAY(Variables!$A$2)</f>
        <v>-30</v>
      </c>
      <c r="C17" s="127"/>
      <c r="D17" s="145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Runs'!$A$13:$A$99979,1,FALSE)</f>
        <v>#N/A</v>
      </c>
    </row>
    <row r="18" spans="1:10" x14ac:dyDescent="0.25">
      <c r="A18" s="183"/>
      <c r="B18" s="42" t="str">
        <f>A18&amp;"-"&amp;IF(DAY(Variables!$A$2)&lt;10,0,"")&amp;DAY(Variables!$A$2)</f>
        <v>-30</v>
      </c>
      <c r="C18" s="127"/>
      <c r="D18" s="145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Runs'!$A$13:$A$99979,1,FALSE)</f>
        <v>#N/A</v>
      </c>
    </row>
    <row r="19" spans="1:10" x14ac:dyDescent="0.25">
      <c r="A19" s="183"/>
      <c r="B19" s="42"/>
      <c r="C19" s="127"/>
      <c r="D19" s="145"/>
      <c r="E19" s="30"/>
      <c r="F19" s="21"/>
      <c r="G19" s="21"/>
      <c r="H19" s="29"/>
      <c r="I19" s="181"/>
      <c r="J19" s="30"/>
    </row>
    <row r="20" spans="1:10" x14ac:dyDescent="0.25">
      <c r="A20" s="183"/>
      <c r="B20" s="42"/>
      <c r="C20" s="127"/>
      <c r="D20" s="145"/>
      <c r="E20" s="30"/>
      <c r="F20" s="21"/>
      <c r="G20" s="21"/>
      <c r="H20" s="29"/>
      <c r="I20" s="181"/>
      <c r="J20" s="30"/>
    </row>
    <row r="21" spans="1:10" x14ac:dyDescent="0.25">
      <c r="A21" s="183"/>
      <c r="B21" s="42"/>
      <c r="C21" s="127"/>
      <c r="D21" s="145"/>
      <c r="E21" s="30"/>
      <c r="F21" s="21"/>
      <c r="G21" s="21"/>
      <c r="H21" s="29"/>
      <c r="I21" s="181"/>
      <c r="J21" s="30"/>
    </row>
    <row r="22" spans="1:10" x14ac:dyDescent="0.25">
      <c r="A22" s="183"/>
      <c r="B22" s="42"/>
      <c r="C22" s="127"/>
      <c r="D22" s="145"/>
      <c r="E22" s="30"/>
      <c r="F22" s="21"/>
      <c r="G22" s="21"/>
      <c r="H22" s="29"/>
      <c r="I22" s="181"/>
      <c r="J22" s="30"/>
    </row>
    <row r="23" spans="1:10" x14ac:dyDescent="0.25">
      <c r="A23" s="183"/>
      <c r="B23" s="42"/>
      <c r="C23" s="127"/>
      <c r="D23" s="145"/>
      <c r="E23" s="30"/>
      <c r="F23" s="21"/>
      <c r="G23" s="21"/>
      <c r="H23" s="29"/>
      <c r="I23" s="181"/>
      <c r="J23" s="30"/>
    </row>
    <row r="24" spans="1:10" x14ac:dyDescent="0.25">
      <c r="A24" s="183"/>
      <c r="B24" s="42"/>
      <c r="C24" s="127"/>
      <c r="D24" s="145"/>
      <c r="E24" s="30"/>
      <c r="F24" s="21"/>
      <c r="G24" s="21"/>
      <c r="H24" s="29"/>
      <c r="I24" s="181"/>
      <c r="J24" s="30"/>
    </row>
    <row r="25" spans="1:10" x14ac:dyDescent="0.25">
      <c r="A25" s="183"/>
      <c r="B25" s="42"/>
      <c r="C25" s="127"/>
      <c r="D25" s="145"/>
      <c r="E25" s="30"/>
      <c r="F25" s="21"/>
      <c r="G25" s="21"/>
      <c r="H25" s="29"/>
      <c r="I25" s="181"/>
      <c r="J25" s="30"/>
    </row>
    <row r="26" spans="1:10" x14ac:dyDescent="0.25">
      <c r="A26" s="183"/>
      <c r="B26" s="42"/>
      <c r="C26" s="127"/>
      <c r="D26" s="145"/>
      <c r="E26" s="30"/>
      <c r="F26" s="21"/>
      <c r="G26" s="21"/>
      <c r="H26" s="29"/>
      <c r="I26" s="181"/>
      <c r="J26" s="30"/>
    </row>
    <row r="27" spans="1:10" x14ac:dyDescent="0.25">
      <c r="A27" s="183"/>
      <c r="B27" s="42"/>
      <c r="C27" s="127"/>
      <c r="D27" s="145"/>
      <c r="E27" s="30"/>
      <c r="F27" s="21"/>
      <c r="G27" s="21"/>
      <c r="H27" s="29"/>
      <c r="I27" s="181"/>
      <c r="J27" s="30"/>
    </row>
    <row r="28" spans="1:10" x14ac:dyDescent="0.25">
      <c r="A28" s="183"/>
      <c r="B28" s="42"/>
      <c r="C28" s="127"/>
      <c r="D28" s="145"/>
      <c r="E28" s="30"/>
      <c r="F28" s="21"/>
      <c r="G28" s="21"/>
      <c r="H28" s="29"/>
      <c r="I28" s="181"/>
      <c r="J28" s="30"/>
    </row>
    <row r="29" spans="1:10" x14ac:dyDescent="0.25">
      <c r="A29" s="183"/>
      <c r="B29" s="42"/>
      <c r="C29" s="127"/>
      <c r="D29" s="145"/>
      <c r="E29" s="30"/>
      <c r="F29" s="21"/>
      <c r="G29" s="21"/>
      <c r="H29" s="29"/>
      <c r="I29" s="181"/>
      <c r="J29" s="30"/>
    </row>
    <row r="30" spans="1:10" x14ac:dyDescent="0.25">
      <c r="A30" s="183"/>
      <c r="B30" s="42"/>
      <c r="C30" s="127"/>
      <c r="D30" s="145"/>
      <c r="E30" s="30"/>
      <c r="F30" s="21"/>
      <c r="G30" s="21"/>
      <c r="H30" s="29"/>
      <c r="I30" s="181"/>
      <c r="J30" s="30"/>
    </row>
    <row r="31" spans="1:10" x14ac:dyDescent="0.25">
      <c r="A31" s="183"/>
      <c r="B31" s="42"/>
      <c r="C31" s="127"/>
      <c r="D31" s="145"/>
      <c r="E31" s="30"/>
      <c r="F31" s="21"/>
      <c r="G31" s="21"/>
      <c r="H31" s="29"/>
      <c r="I31" s="181"/>
      <c r="J31" s="30"/>
    </row>
    <row r="32" spans="1:10" x14ac:dyDescent="0.25">
      <c r="A32" s="183"/>
      <c r="B32" s="42"/>
      <c r="C32" s="127"/>
      <c r="D32" s="145"/>
      <c r="E32" s="30"/>
      <c r="F32" s="21"/>
      <c r="G32" s="21"/>
      <c r="H32" s="29"/>
      <c r="I32" s="181"/>
      <c r="J32" s="30"/>
    </row>
    <row r="33" spans="1:10" x14ac:dyDescent="0.25">
      <c r="A33" s="183"/>
      <c r="B33" s="42"/>
      <c r="C33" s="127"/>
      <c r="D33" s="145"/>
      <c r="E33" s="30"/>
      <c r="F33" s="21"/>
      <c r="G33" s="21"/>
      <c r="H33" s="29"/>
      <c r="I33" s="181"/>
      <c r="J33" s="30"/>
    </row>
    <row r="34" spans="1:10" x14ac:dyDescent="0.25">
      <c r="A34" s="183"/>
      <c r="B34" s="42"/>
      <c r="C34" s="127"/>
      <c r="D34" s="145"/>
      <c r="E34" s="30"/>
      <c r="F34" s="21"/>
      <c r="G34" s="21"/>
      <c r="H34" s="29"/>
      <c r="I34" s="181"/>
      <c r="J34" s="30"/>
    </row>
    <row r="35" spans="1:10" x14ac:dyDescent="0.25">
      <c r="A35" s="183"/>
      <c r="B35" s="42"/>
      <c r="C35" s="127"/>
      <c r="D35" s="145"/>
      <c r="E35" s="30"/>
      <c r="F35" s="21"/>
      <c r="G35" s="21"/>
      <c r="H35" s="29"/>
      <c r="I35" s="181"/>
      <c r="J35" s="30"/>
    </row>
    <row r="36" spans="1:10" x14ac:dyDescent="0.25">
      <c r="A36" s="183"/>
      <c r="B36" s="42"/>
      <c r="C36" s="127"/>
      <c r="D36" s="145"/>
      <c r="E36" s="30"/>
      <c r="F36" s="21"/>
      <c r="G36" s="21"/>
      <c r="H36" s="29"/>
      <c r="I36" s="181"/>
      <c r="J36" s="30"/>
    </row>
    <row r="37" spans="1:10" x14ac:dyDescent="0.25">
      <c r="A37" s="183"/>
      <c r="B37" s="42"/>
      <c r="C37" s="127"/>
      <c r="D37" s="145"/>
      <c r="E37" s="30"/>
      <c r="F37" s="21"/>
      <c r="G37" s="21"/>
      <c r="H37" s="29"/>
      <c r="I37" s="181"/>
      <c r="J37" s="30"/>
    </row>
    <row r="38" spans="1:10" x14ac:dyDescent="0.25">
      <c r="A38" s="183"/>
      <c r="B38" s="42"/>
      <c r="C38" s="127"/>
      <c r="D38" s="145"/>
      <c r="E38" s="30"/>
      <c r="F38" s="21"/>
      <c r="G38" s="21"/>
      <c r="H38" s="29"/>
      <c r="I38" s="181"/>
      <c r="J38" s="30"/>
    </row>
    <row r="39" spans="1:10" x14ac:dyDescent="0.25">
      <c r="A39" s="183"/>
      <c r="B39" s="42"/>
      <c r="C39" s="127"/>
      <c r="D39" s="145"/>
      <c r="E39" s="30"/>
      <c r="F39" s="21"/>
      <c r="G39" s="21"/>
      <c r="H39" s="29"/>
      <c r="I39" s="181"/>
      <c r="J39" s="30"/>
    </row>
    <row r="40" spans="1:10" x14ac:dyDescent="0.25">
      <c r="A40" s="183"/>
      <c r="B40" s="42"/>
      <c r="C40" s="127"/>
      <c r="D40" s="145"/>
      <c r="E40" s="30"/>
      <c r="F40" s="21"/>
      <c r="G40" s="21"/>
      <c r="H40" s="29"/>
      <c r="I40" s="181"/>
      <c r="J40" s="30"/>
    </row>
    <row r="41" spans="1:10" x14ac:dyDescent="0.25">
      <c r="A41" s="183"/>
      <c r="B41" s="42"/>
      <c r="C41" s="127"/>
      <c r="D41" s="145"/>
      <c r="E41" s="30"/>
      <c r="F41" s="21"/>
      <c r="G41" s="21"/>
      <c r="H41" s="29"/>
      <c r="I41" s="181"/>
      <c r="J41" s="30"/>
    </row>
    <row r="42" spans="1:10" x14ac:dyDescent="0.25">
      <c r="A42" s="183"/>
      <c r="B42" s="42"/>
      <c r="C42" s="127"/>
      <c r="D42" s="145"/>
      <c r="E42" s="30"/>
      <c r="F42" s="21"/>
      <c r="G42" s="21"/>
      <c r="H42" s="29"/>
      <c r="I42" s="181"/>
      <c r="J42" s="30"/>
    </row>
    <row r="43" spans="1:10" x14ac:dyDescent="0.25">
      <c r="A43" s="183"/>
      <c r="B43" s="42"/>
      <c r="C43" s="127"/>
      <c r="D43" s="145"/>
      <c r="E43" s="30"/>
      <c r="F43" s="21"/>
      <c r="G43" s="21"/>
      <c r="H43" s="29"/>
      <c r="I43" s="181"/>
      <c r="J43" s="30"/>
    </row>
    <row r="44" spans="1:10" x14ac:dyDescent="0.25">
      <c r="A44" s="183"/>
      <c r="B44" s="42"/>
      <c r="C44" s="127"/>
      <c r="D44" s="145"/>
      <c r="E44" s="30"/>
      <c r="F44" s="21"/>
      <c r="G44" s="21"/>
      <c r="H44" s="29"/>
      <c r="I44" s="181"/>
      <c r="J44" s="30"/>
    </row>
    <row r="45" spans="1:10" x14ac:dyDescent="0.25">
      <c r="A45" s="183"/>
      <c r="B45" s="42"/>
      <c r="C45" s="127"/>
      <c r="D45" s="145"/>
      <c r="E45" s="30"/>
      <c r="F45" s="21"/>
      <c r="G45" s="21"/>
      <c r="H45" s="29"/>
      <c r="I45" s="181"/>
      <c r="J45" s="30"/>
    </row>
    <row r="46" spans="1:10" x14ac:dyDescent="0.25">
      <c r="A46" s="183"/>
      <c r="B46" s="42"/>
      <c r="C46" s="127"/>
      <c r="D46" s="145"/>
      <c r="E46" s="30"/>
      <c r="F46" s="21"/>
      <c r="G46" s="21"/>
      <c r="H46" s="29"/>
      <c r="I46" s="181"/>
      <c r="J46" s="30"/>
    </row>
    <row r="47" spans="1:10" x14ac:dyDescent="0.25">
      <c r="A47" s="183"/>
      <c r="B47" s="42"/>
      <c r="C47" s="127"/>
      <c r="D47" s="145"/>
      <c r="E47" s="30"/>
      <c r="F47" s="21"/>
      <c r="G47" s="21"/>
      <c r="H47" s="29"/>
      <c r="I47" s="181"/>
      <c r="J47" s="30"/>
    </row>
    <row r="48" spans="1:10" x14ac:dyDescent="0.25">
      <c r="A48" s="183"/>
      <c r="B48" s="42"/>
      <c r="C48" s="127"/>
      <c r="D48" s="145"/>
      <c r="E48" s="30"/>
      <c r="F48" s="21"/>
      <c r="G48" s="21"/>
      <c r="H48" s="29"/>
      <c r="I48" s="181"/>
      <c r="J48" s="30"/>
    </row>
    <row r="49" spans="1:10" x14ac:dyDescent="0.25">
      <c r="A49" s="183"/>
      <c r="B49" s="42"/>
      <c r="C49" s="127"/>
      <c r="D49" s="145"/>
      <c r="E49" s="30"/>
      <c r="F49" s="21"/>
      <c r="G49" s="21"/>
      <c r="H49" s="29"/>
      <c r="I49" s="181"/>
      <c r="J49" s="30"/>
    </row>
    <row r="50" spans="1:10" x14ac:dyDescent="0.25">
      <c r="A50" s="183"/>
      <c r="B50" s="42"/>
      <c r="C50" s="127"/>
      <c r="D50" s="145"/>
      <c r="E50" s="30"/>
      <c r="F50" s="21"/>
      <c r="G50" s="21"/>
      <c r="H50" s="29"/>
      <c r="I50" s="181"/>
      <c r="J50" s="30"/>
    </row>
    <row r="51" spans="1:10" x14ac:dyDescent="0.25">
      <c r="A51" s="183"/>
      <c r="B51" s="42"/>
      <c r="C51" s="127"/>
      <c r="D51" s="145"/>
      <c r="E51" s="30"/>
      <c r="F51" s="21"/>
      <c r="G51" s="21"/>
      <c r="H51" s="29"/>
      <c r="I51" s="181"/>
      <c r="J51" s="30"/>
    </row>
    <row r="52" spans="1:10" x14ac:dyDescent="0.25">
      <c r="A52" s="183"/>
      <c r="B52" s="42"/>
      <c r="C52" s="127"/>
      <c r="D52" s="145"/>
      <c r="E52" s="30"/>
      <c r="F52" s="21"/>
      <c r="G52" s="21"/>
      <c r="H52" s="29"/>
      <c r="I52" s="181"/>
      <c r="J52" s="30"/>
    </row>
    <row r="53" spans="1:10" x14ac:dyDescent="0.25">
      <c r="A53" s="183"/>
      <c r="B53" s="42"/>
      <c r="C53" s="127"/>
      <c r="D53" s="145"/>
      <c r="E53" s="30"/>
      <c r="F53" s="21"/>
      <c r="G53" s="21"/>
      <c r="H53" s="29"/>
      <c r="I53" s="181"/>
      <c r="J53" s="30"/>
    </row>
    <row r="54" spans="1:10" x14ac:dyDescent="0.25">
      <c r="A54" s="183"/>
      <c r="B54" s="42"/>
      <c r="C54" s="127"/>
      <c r="D54" s="145"/>
      <c r="E54" s="30"/>
      <c r="F54" s="21"/>
      <c r="G54" s="21"/>
      <c r="H54" s="29"/>
      <c r="I54" s="181"/>
      <c r="J54" s="30"/>
    </row>
    <row r="55" spans="1:10" x14ac:dyDescent="0.25">
      <c r="A55" s="183"/>
      <c r="B55" s="42"/>
      <c r="C55" s="127"/>
      <c r="D55" s="145"/>
      <c r="E55" s="30"/>
      <c r="F55" s="21"/>
      <c r="G55" s="21"/>
      <c r="H55" s="29"/>
      <c r="I55" s="181"/>
      <c r="J55" s="30"/>
    </row>
    <row r="56" spans="1:10" x14ac:dyDescent="0.25">
      <c r="A56" s="183"/>
      <c r="B56" s="42"/>
      <c r="C56" s="127"/>
      <c r="D56" s="145"/>
      <c r="E56" s="30"/>
      <c r="F56" s="21"/>
      <c r="G56" s="21"/>
      <c r="H56" s="29"/>
      <c r="I56" s="181"/>
      <c r="J56" s="30"/>
    </row>
    <row r="57" spans="1:10" x14ac:dyDescent="0.25">
      <c r="A57" s="183"/>
      <c r="B57" s="42"/>
      <c r="C57" s="127"/>
      <c r="D57" s="145"/>
      <c r="E57" s="30"/>
      <c r="F57" s="21"/>
      <c r="G57" s="21"/>
      <c r="H57" s="29"/>
      <c r="I57" s="181"/>
      <c r="J57" s="30"/>
    </row>
    <row r="58" spans="1:10" x14ac:dyDescent="0.25">
      <c r="A58" s="183"/>
      <c r="B58" s="42"/>
      <c r="C58" s="127"/>
      <c r="D58" s="145"/>
      <c r="E58" s="30"/>
      <c r="F58" s="21"/>
      <c r="G58" s="21"/>
      <c r="H58" s="29"/>
      <c r="I58" s="181"/>
      <c r="J58" s="30"/>
    </row>
    <row r="59" spans="1:10" x14ac:dyDescent="0.25">
      <c r="A59" s="183"/>
      <c r="B59" s="42"/>
      <c r="C59" s="127"/>
      <c r="D59" s="145"/>
      <c r="E59" s="30"/>
      <c r="F59" s="21"/>
      <c r="G59" s="21"/>
      <c r="H59" s="29"/>
      <c r="I59" s="181"/>
      <c r="J59" s="30"/>
    </row>
    <row r="60" spans="1:10" x14ac:dyDescent="0.25">
      <c r="A60" s="183"/>
      <c r="B60" s="42"/>
      <c r="C60" s="127"/>
      <c r="D60" s="145"/>
      <c r="E60" s="30"/>
      <c r="F60" s="21"/>
      <c r="G60" s="21"/>
      <c r="H60" s="29"/>
      <c r="I60" s="181"/>
      <c r="J60" s="30"/>
    </row>
    <row r="61" spans="1:10" x14ac:dyDescent="0.25">
      <c r="A61" s="183"/>
      <c r="B61" s="42"/>
      <c r="C61" s="127"/>
      <c r="D61" s="145"/>
      <c r="E61" s="30"/>
      <c r="F61" s="21"/>
      <c r="G61" s="21"/>
      <c r="H61" s="29"/>
      <c r="I61" s="181"/>
      <c r="J61" s="30"/>
    </row>
    <row r="62" spans="1:10" x14ac:dyDescent="0.25">
      <c r="A62" s="183"/>
      <c r="B62" s="42"/>
      <c r="C62" s="127"/>
      <c r="D62" s="145"/>
      <c r="E62" s="30"/>
      <c r="F62" s="21"/>
      <c r="G62" s="21"/>
      <c r="H62" s="29"/>
      <c r="I62" s="181"/>
      <c r="J62" s="30"/>
    </row>
    <row r="63" spans="1:10" x14ac:dyDescent="0.25">
      <c r="A63" s="183"/>
      <c r="B63" s="42"/>
      <c r="C63" s="127"/>
      <c r="D63" s="145"/>
      <c r="E63" s="30"/>
      <c r="F63" s="21"/>
      <c r="G63" s="21"/>
      <c r="H63" s="29"/>
      <c r="I63" s="181"/>
      <c r="J63" s="30"/>
    </row>
    <row r="64" spans="1:10" x14ac:dyDescent="0.25">
      <c r="A64" s="183"/>
      <c r="B64" s="42"/>
      <c r="C64" s="127"/>
      <c r="D64" s="145"/>
      <c r="E64" s="30"/>
      <c r="F64" s="21"/>
      <c r="G64" s="21"/>
      <c r="H64" s="29"/>
      <c r="I64" s="181"/>
      <c r="J64" s="30"/>
    </row>
    <row r="65" spans="1:10" x14ac:dyDescent="0.25">
      <c r="A65" s="183"/>
      <c r="B65" s="42"/>
      <c r="C65" s="127"/>
      <c r="D65" s="145"/>
      <c r="E65" s="30"/>
      <c r="F65" s="21"/>
      <c r="G65" s="21"/>
      <c r="H65" s="29"/>
      <c r="I65" s="181"/>
      <c r="J65" s="30"/>
    </row>
    <row r="66" spans="1:10" x14ac:dyDescent="0.25">
      <c r="A66" s="183"/>
      <c r="B66" s="42"/>
      <c r="C66" s="127"/>
      <c r="D66" s="145"/>
      <c r="E66" s="30"/>
      <c r="F66" s="21"/>
      <c r="G66" s="21"/>
      <c r="H66" s="29"/>
      <c r="I66" s="181"/>
      <c r="J66" s="30"/>
    </row>
    <row r="67" spans="1:10" x14ac:dyDescent="0.25">
      <c r="A67" s="183"/>
      <c r="B67" s="42"/>
      <c r="C67" s="127"/>
      <c r="D67" s="145"/>
      <c r="E67" s="30"/>
      <c r="F67" s="21"/>
      <c r="G67" s="21"/>
      <c r="H67" s="29"/>
      <c r="I67" s="181"/>
      <c r="J67" s="30"/>
    </row>
    <row r="68" spans="1:10" x14ac:dyDescent="0.25">
      <c r="A68" s="183"/>
      <c r="B68" s="42"/>
      <c r="C68" s="127"/>
      <c r="D68" s="145"/>
      <c r="E68" s="30"/>
      <c r="F68" s="21"/>
      <c r="G68" s="21"/>
      <c r="H68" s="29"/>
      <c r="I68" s="181"/>
      <c r="J68" s="30"/>
    </row>
    <row r="69" spans="1:10" x14ac:dyDescent="0.25">
      <c r="A69" s="183"/>
      <c r="B69" s="42"/>
      <c r="C69" s="127"/>
      <c r="D69" s="145"/>
      <c r="E69" s="30"/>
      <c r="F69" s="21"/>
      <c r="G69" s="21"/>
      <c r="H69" s="29"/>
      <c r="I69" s="181"/>
      <c r="J69" s="30"/>
    </row>
    <row r="70" spans="1:10" x14ac:dyDescent="0.25">
      <c r="A70" s="183"/>
      <c r="B70" s="42"/>
      <c r="C70" s="127"/>
      <c r="D70" s="145"/>
      <c r="E70" s="30"/>
      <c r="F70" s="21"/>
      <c r="G70" s="21"/>
      <c r="H70" s="29"/>
      <c r="I70" s="181"/>
      <c r="J70" s="30"/>
    </row>
    <row r="71" spans="1:10" x14ac:dyDescent="0.25">
      <c r="A71" s="183"/>
      <c r="B71" s="42"/>
      <c r="C71" s="127"/>
      <c r="D71" s="145"/>
      <c r="E71" s="30"/>
      <c r="F71" s="21"/>
      <c r="G71" s="21"/>
      <c r="H71" s="29"/>
      <c r="I71" s="181"/>
      <c r="J71" s="30"/>
    </row>
    <row r="72" spans="1:10" x14ac:dyDescent="0.25">
      <c r="A72" s="183"/>
      <c r="B72" s="42"/>
      <c r="C72" s="127"/>
      <c r="D72" s="145"/>
      <c r="E72" s="30"/>
      <c r="F72" s="21"/>
      <c r="G72" s="21"/>
      <c r="H72" s="29"/>
      <c r="I72" s="181"/>
      <c r="J72" s="30"/>
    </row>
    <row r="73" spans="1:10" x14ac:dyDescent="0.25">
      <c r="A73" s="183"/>
      <c r="B73" s="42"/>
      <c r="C73" s="127"/>
      <c r="D73" s="145"/>
      <c r="E73" s="30"/>
      <c r="F73" s="21"/>
      <c r="G73" s="21"/>
      <c r="H73" s="29"/>
      <c r="I73" s="181"/>
      <c r="J73" s="30"/>
    </row>
    <row r="74" spans="1:10" x14ac:dyDescent="0.25">
      <c r="A74" s="183"/>
      <c r="B74" s="42"/>
      <c r="C74" s="127"/>
      <c r="D74" s="145"/>
      <c r="E74" s="30"/>
      <c r="F74" s="21"/>
      <c r="G74" s="21"/>
      <c r="H74" s="29"/>
      <c r="I74" s="18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0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43008.034618055557</v>
      </c>
      <c r="B2" s="20" t="s">
        <v>613</v>
      </c>
      <c r="C2" s="20" t="s">
        <v>614</v>
      </c>
      <c r="D2" s="130">
        <v>3500000</v>
      </c>
      <c r="E2" s="20" t="s">
        <v>615</v>
      </c>
      <c r="F2" s="20" t="s">
        <v>616</v>
      </c>
      <c r="G2" s="8" t="str">
        <f>E2&amp;" "&amp;F2</f>
        <v>GUNTHIER ERIC</v>
      </c>
      <c r="H2" t="str">
        <f>MID(B2,13,4)</f>
        <v>4011</v>
      </c>
    </row>
    <row r="3" spans="1:8" x14ac:dyDescent="0.25">
      <c r="A3" s="8">
        <v>43008.039652777778</v>
      </c>
      <c r="B3" s="20" t="s">
        <v>617</v>
      </c>
      <c r="C3" s="20" t="s">
        <v>618</v>
      </c>
      <c r="D3" s="130">
        <v>3190000</v>
      </c>
      <c r="E3" s="20" t="s">
        <v>376</v>
      </c>
      <c r="F3" s="20" t="s">
        <v>377</v>
      </c>
      <c r="G3" s="8" t="str">
        <f t="shared" ref="G3:G66" si="0">E3&amp;" "&amp;F3</f>
        <v>HART KEVIN</v>
      </c>
      <c r="H3" s="20" t="str">
        <f t="shared" ref="H3:H66" si="1">MID(B3,13,4)</f>
        <v>4002</v>
      </c>
    </row>
    <row r="4" spans="1:8" x14ac:dyDescent="0.25">
      <c r="A4" s="8">
        <v>43008.046469907407</v>
      </c>
      <c r="B4" s="20" t="s">
        <v>484</v>
      </c>
      <c r="C4" s="20" t="s">
        <v>619</v>
      </c>
      <c r="D4" s="130">
        <v>3340000</v>
      </c>
      <c r="E4" s="20" t="s">
        <v>435</v>
      </c>
      <c r="F4" s="20" t="s">
        <v>436</v>
      </c>
      <c r="G4" s="8" t="str">
        <f t="shared" si="0"/>
        <v>ELBAUM MIKE</v>
      </c>
      <c r="H4" s="20" t="str">
        <f t="shared" si="1"/>
        <v>4053</v>
      </c>
    </row>
    <row r="5" spans="1:8" x14ac:dyDescent="0.25">
      <c r="A5" s="8">
        <v>43008.047789351855</v>
      </c>
      <c r="B5" s="20" t="s">
        <v>479</v>
      </c>
      <c r="C5" s="20" t="s">
        <v>620</v>
      </c>
      <c r="D5" s="130">
        <v>2730000</v>
      </c>
      <c r="E5" s="20" t="s">
        <v>457</v>
      </c>
      <c r="F5" s="20" t="s">
        <v>458</v>
      </c>
      <c r="G5" s="8" t="str">
        <f t="shared" si="0"/>
        <v>YANG JAN</v>
      </c>
      <c r="H5" s="20" t="str">
        <f t="shared" si="1"/>
        <v>4032</v>
      </c>
    </row>
    <row r="6" spans="1:8" x14ac:dyDescent="0.25">
      <c r="A6" s="8">
        <v>43008.069733796299</v>
      </c>
      <c r="B6" s="20" t="s">
        <v>621</v>
      </c>
      <c r="C6" s="20" t="s">
        <v>622</v>
      </c>
      <c r="D6" s="130">
        <v>3500000</v>
      </c>
      <c r="E6" s="20" t="s">
        <v>615</v>
      </c>
      <c r="F6" s="20" t="s">
        <v>616</v>
      </c>
      <c r="G6" s="8" t="str">
        <f t="shared" si="0"/>
        <v>GUNTHIER ERIC</v>
      </c>
      <c r="H6" s="20" t="str">
        <f t="shared" si="1"/>
        <v>4012</v>
      </c>
    </row>
    <row r="7" spans="1:8" x14ac:dyDescent="0.25">
      <c r="A7" s="8">
        <v>43008.079930555556</v>
      </c>
      <c r="B7" s="20" t="s">
        <v>417</v>
      </c>
      <c r="C7" s="20" t="s">
        <v>623</v>
      </c>
      <c r="D7" s="130">
        <v>3190000</v>
      </c>
      <c r="E7" s="20" t="s">
        <v>376</v>
      </c>
      <c r="F7" s="20" t="s">
        <v>377</v>
      </c>
      <c r="G7" s="8" t="str">
        <f t="shared" si="0"/>
        <v>HART KEVIN</v>
      </c>
      <c r="H7" s="20" t="str">
        <f t="shared" si="1"/>
        <v>4001</v>
      </c>
    </row>
    <row r="8" spans="1:8" x14ac:dyDescent="0.25">
      <c r="A8" s="8">
        <v>43008.087280092594</v>
      </c>
      <c r="B8" s="20" t="s">
        <v>624</v>
      </c>
      <c r="C8" s="20" t="s">
        <v>625</v>
      </c>
      <c r="D8" s="130">
        <v>3340000</v>
      </c>
      <c r="E8" s="20" t="s">
        <v>435</v>
      </c>
      <c r="F8" s="20" t="s">
        <v>436</v>
      </c>
      <c r="G8" s="8" t="str">
        <f t="shared" si="0"/>
        <v>ELBAUM MIKE</v>
      </c>
      <c r="H8" s="20" t="str">
        <f t="shared" si="1"/>
        <v>4054</v>
      </c>
    </row>
    <row r="9" spans="1:8" ht="15.75" thickBot="1" x14ac:dyDescent="0.3">
      <c r="A9" s="24">
        <v>43008.109293981484</v>
      </c>
      <c r="B9" s="20" t="s">
        <v>617</v>
      </c>
      <c r="C9" s="20" t="s">
        <v>626</v>
      </c>
      <c r="D9" s="130">
        <v>3190000</v>
      </c>
      <c r="E9" s="20" t="s">
        <v>376</v>
      </c>
      <c r="F9" s="20" t="s">
        <v>377</v>
      </c>
      <c r="G9" s="8" t="str">
        <f t="shared" si="0"/>
        <v>HART KEVIN</v>
      </c>
      <c r="H9" s="20" t="str">
        <f t="shared" si="1"/>
        <v>4002</v>
      </c>
    </row>
    <row r="10" spans="1:8" x14ac:dyDescent="0.25">
      <c r="A10" s="8">
        <v>43008.109699074077</v>
      </c>
      <c r="B10" s="20" t="s">
        <v>627</v>
      </c>
      <c r="C10" s="20" t="s">
        <v>628</v>
      </c>
      <c r="D10" s="130">
        <v>1780000</v>
      </c>
      <c r="E10" s="20" t="s">
        <v>482</v>
      </c>
      <c r="F10" s="20" t="s">
        <v>483</v>
      </c>
      <c r="G10" s="8" t="str">
        <f t="shared" si="0"/>
        <v>DE LA ROSA ALEX</v>
      </c>
      <c r="H10" s="20" t="str">
        <f t="shared" si="1"/>
        <v>4045</v>
      </c>
    </row>
    <row r="11" spans="1:8" x14ac:dyDescent="0.25">
      <c r="A11" s="8">
        <v>43008.123969907407</v>
      </c>
      <c r="B11" s="20" t="s">
        <v>521</v>
      </c>
      <c r="C11" s="20" t="s">
        <v>629</v>
      </c>
      <c r="D11" s="130">
        <v>1810000</v>
      </c>
      <c r="E11" s="20" t="s">
        <v>489</v>
      </c>
      <c r="F11" s="20" t="s">
        <v>369</v>
      </c>
      <c r="G11" s="8" t="str">
        <f t="shared" si="0"/>
        <v>NEWELL JAMES</v>
      </c>
      <c r="H11" s="20" t="str">
        <f t="shared" si="1"/>
        <v>4046</v>
      </c>
    </row>
    <row r="12" spans="1:8" x14ac:dyDescent="0.25">
      <c r="A12" s="8">
        <v>43008.125590277778</v>
      </c>
      <c r="B12" s="20" t="s">
        <v>603</v>
      </c>
      <c r="C12" s="20" t="s">
        <v>630</v>
      </c>
      <c r="D12" s="130">
        <v>1780000</v>
      </c>
      <c r="E12" s="20" t="s">
        <v>482</v>
      </c>
      <c r="F12" s="20" t="s">
        <v>483</v>
      </c>
      <c r="G12" s="8" t="str">
        <f t="shared" si="0"/>
        <v>DE LA ROSA ALEX</v>
      </c>
      <c r="H12" s="20" t="str">
        <f t="shared" si="1"/>
        <v>4028</v>
      </c>
    </row>
    <row r="13" spans="1:8" x14ac:dyDescent="0.25">
      <c r="A13" s="8">
        <v>43008.137546296297</v>
      </c>
      <c r="B13" s="20" t="s">
        <v>431</v>
      </c>
      <c r="C13" s="20" t="s">
        <v>631</v>
      </c>
      <c r="D13" s="130">
        <v>2010000</v>
      </c>
      <c r="E13" s="20" t="s">
        <v>506</v>
      </c>
      <c r="F13" s="20" t="s">
        <v>507</v>
      </c>
      <c r="G13" s="8" t="str">
        <f t="shared" si="0"/>
        <v>MAELZER KURT</v>
      </c>
      <c r="H13" s="20" t="str">
        <f t="shared" si="1"/>
        <v>4009</v>
      </c>
    </row>
    <row r="14" spans="1:8" x14ac:dyDescent="0.25">
      <c r="A14" s="8">
        <v>43008.138981481483</v>
      </c>
      <c r="B14" s="20" t="s">
        <v>627</v>
      </c>
      <c r="C14" s="20" t="s">
        <v>632</v>
      </c>
      <c r="D14" s="130">
        <v>1810000</v>
      </c>
      <c r="E14" s="20" t="s">
        <v>489</v>
      </c>
      <c r="F14" s="20" t="s">
        <v>369</v>
      </c>
      <c r="G14" s="8" t="str">
        <f t="shared" si="0"/>
        <v>NEWELL JAMES</v>
      </c>
      <c r="H14" s="20" t="str">
        <f t="shared" si="1"/>
        <v>4045</v>
      </c>
    </row>
    <row r="15" spans="1:8" x14ac:dyDescent="0.25">
      <c r="A15" s="8">
        <v>43008.149155092593</v>
      </c>
      <c r="B15" s="20" t="s">
        <v>409</v>
      </c>
      <c r="C15" s="20" t="s">
        <v>633</v>
      </c>
      <c r="D15" s="130">
        <v>2010000</v>
      </c>
      <c r="E15" s="20" t="s">
        <v>506</v>
      </c>
      <c r="F15" s="20" t="s">
        <v>507</v>
      </c>
      <c r="G15" s="8" t="str">
        <f t="shared" si="0"/>
        <v>MAELZER KURT</v>
      </c>
      <c r="H15" s="20" t="str">
        <f t="shared" si="1"/>
        <v>4010</v>
      </c>
    </row>
    <row r="16" spans="1:8" x14ac:dyDescent="0.25">
      <c r="A16" s="8">
        <v>43008.157557870371</v>
      </c>
      <c r="B16" s="20" t="s">
        <v>433</v>
      </c>
      <c r="C16" s="20" t="s">
        <v>634</v>
      </c>
      <c r="D16" s="130">
        <v>1990000</v>
      </c>
      <c r="E16" s="20" t="s">
        <v>342</v>
      </c>
      <c r="F16" s="20" t="s">
        <v>480</v>
      </c>
      <c r="G16" s="8" t="str">
        <f t="shared" si="0"/>
        <v>DAVIS WENDY</v>
      </c>
      <c r="H16" s="20" t="str">
        <f t="shared" si="1"/>
        <v>4051</v>
      </c>
    </row>
    <row r="17" spans="1:8" x14ac:dyDescent="0.25">
      <c r="A17" s="8">
        <v>43008.158414351848</v>
      </c>
      <c r="B17" s="20" t="s">
        <v>433</v>
      </c>
      <c r="C17" s="20" t="s">
        <v>634</v>
      </c>
      <c r="D17" s="130">
        <v>1990000</v>
      </c>
      <c r="E17" s="20" t="s">
        <v>342</v>
      </c>
      <c r="F17" s="20" t="s">
        <v>480</v>
      </c>
      <c r="G17" s="8" t="str">
        <f t="shared" si="0"/>
        <v>DAVIS WENDY</v>
      </c>
      <c r="H17" s="20" t="str">
        <f t="shared" si="1"/>
        <v>4051</v>
      </c>
    </row>
    <row r="18" spans="1:8" x14ac:dyDescent="0.25">
      <c r="A18" s="8">
        <v>43008.171793981484</v>
      </c>
      <c r="B18" s="20" t="s">
        <v>408</v>
      </c>
      <c r="C18" s="20" t="s">
        <v>635</v>
      </c>
      <c r="D18" s="130">
        <v>1100000</v>
      </c>
      <c r="E18" s="20" t="s">
        <v>636</v>
      </c>
      <c r="F18" s="20" t="s">
        <v>637</v>
      </c>
      <c r="G18" s="8" t="str">
        <f t="shared" si="0"/>
        <v>GEBRETEKLE DAGNEW</v>
      </c>
      <c r="H18" s="20" t="str">
        <f t="shared" si="1"/>
        <v>4039</v>
      </c>
    </row>
    <row r="19" spans="1:8" x14ac:dyDescent="0.25">
      <c r="A19" s="8">
        <v>43008.172083333331</v>
      </c>
      <c r="B19" s="20" t="s">
        <v>432</v>
      </c>
      <c r="C19" s="20" t="s">
        <v>638</v>
      </c>
      <c r="D19" s="130">
        <v>1990000</v>
      </c>
      <c r="E19" s="20" t="s">
        <v>342</v>
      </c>
      <c r="F19" s="20" t="s">
        <v>480</v>
      </c>
      <c r="G19" s="8" t="str">
        <f t="shared" si="0"/>
        <v>DAVIS WENDY</v>
      </c>
      <c r="H19" s="20" t="str">
        <f t="shared" si="1"/>
        <v>4052</v>
      </c>
    </row>
    <row r="20" spans="1:8" x14ac:dyDescent="0.25">
      <c r="A20" s="8">
        <v>43008.173530092594</v>
      </c>
      <c r="B20" s="20" t="s">
        <v>600</v>
      </c>
      <c r="C20" s="20" t="s">
        <v>639</v>
      </c>
      <c r="D20" s="130">
        <v>1780000</v>
      </c>
      <c r="E20" s="20" t="s">
        <v>482</v>
      </c>
      <c r="F20" s="20" t="s">
        <v>483</v>
      </c>
      <c r="G20" s="8" t="str">
        <f t="shared" si="0"/>
        <v>DE LA ROSA ALEX</v>
      </c>
      <c r="H20" s="20" t="str">
        <f t="shared" si="1"/>
        <v>4027</v>
      </c>
    </row>
    <row r="21" spans="1:8" x14ac:dyDescent="0.25">
      <c r="A21" s="8">
        <v>43008.182083333333</v>
      </c>
      <c r="B21" s="20" t="s">
        <v>504</v>
      </c>
      <c r="C21" s="20" t="s">
        <v>585</v>
      </c>
      <c r="D21" s="130">
        <v>2530000</v>
      </c>
      <c r="E21" s="20" t="s">
        <v>640</v>
      </c>
      <c r="F21" s="20" t="s">
        <v>641</v>
      </c>
      <c r="G21" s="8" t="str">
        <f t="shared" si="0"/>
        <v>LALONDE GREGORY</v>
      </c>
      <c r="H21" s="20" t="str">
        <f t="shared" si="1"/>
        <v>4055</v>
      </c>
    </row>
    <row r="22" spans="1:8" x14ac:dyDescent="0.25">
      <c r="A22" s="26">
        <v>43008.184583333335</v>
      </c>
      <c r="B22" s="20" t="s">
        <v>411</v>
      </c>
      <c r="C22" s="20" t="s">
        <v>642</v>
      </c>
      <c r="D22" s="130">
        <v>1100000</v>
      </c>
      <c r="E22" s="20" t="s">
        <v>636</v>
      </c>
      <c r="F22" s="20" t="s">
        <v>637</v>
      </c>
      <c r="G22" s="8" t="str">
        <f t="shared" si="0"/>
        <v>GEBRETEKLE DAGNEW</v>
      </c>
      <c r="H22" s="20" t="str">
        <f t="shared" si="1"/>
        <v>4040</v>
      </c>
    </row>
    <row r="23" spans="1:8" x14ac:dyDescent="0.25">
      <c r="A23" s="8">
        <v>43008.186284722222</v>
      </c>
      <c r="B23" s="20" t="s">
        <v>431</v>
      </c>
      <c r="C23" s="20" t="s">
        <v>643</v>
      </c>
      <c r="D23" s="130">
        <v>2010000</v>
      </c>
      <c r="E23" s="20" t="s">
        <v>506</v>
      </c>
      <c r="F23" s="20" t="s">
        <v>507</v>
      </c>
      <c r="G23" s="8" t="str">
        <f t="shared" si="0"/>
        <v>MAELZER KURT</v>
      </c>
      <c r="H23" s="20" t="str">
        <f t="shared" si="1"/>
        <v>4009</v>
      </c>
    </row>
    <row r="24" spans="1:8" x14ac:dyDescent="0.25">
      <c r="A24" s="8">
        <v>43008.196006944447</v>
      </c>
      <c r="B24" s="20" t="s">
        <v>505</v>
      </c>
      <c r="C24" s="20" t="s">
        <v>644</v>
      </c>
      <c r="D24" s="130">
        <v>2530000</v>
      </c>
      <c r="E24" s="20" t="s">
        <v>640</v>
      </c>
      <c r="F24" s="20" t="s">
        <v>641</v>
      </c>
      <c r="G24" s="8" t="str">
        <f t="shared" si="0"/>
        <v>LALONDE GREGORY</v>
      </c>
      <c r="H24" s="20" t="str">
        <f t="shared" si="1"/>
        <v>4056</v>
      </c>
    </row>
    <row r="25" spans="1:8" x14ac:dyDescent="0.25">
      <c r="A25" s="8">
        <v>43008.202476851853</v>
      </c>
      <c r="B25" s="20" t="s">
        <v>586</v>
      </c>
      <c r="C25" s="20" t="s">
        <v>587</v>
      </c>
      <c r="D25" s="130">
        <v>3030000</v>
      </c>
      <c r="E25" s="20" t="s">
        <v>645</v>
      </c>
      <c r="F25" s="20" t="s">
        <v>646</v>
      </c>
      <c r="G25" s="8" t="str">
        <f t="shared" si="0"/>
        <v>BIRENBAUM THOMAS</v>
      </c>
      <c r="H25" s="20" t="str">
        <f t="shared" si="1"/>
        <v>4003</v>
      </c>
    </row>
    <row r="26" spans="1:8" x14ac:dyDescent="0.25">
      <c r="A26" s="8">
        <v>43008.203923611109</v>
      </c>
      <c r="B26" s="20" t="s">
        <v>603</v>
      </c>
      <c r="C26" s="20" t="s">
        <v>647</v>
      </c>
      <c r="D26" s="130">
        <v>1810000</v>
      </c>
      <c r="E26" s="20" t="s">
        <v>489</v>
      </c>
      <c r="F26" s="20" t="s">
        <v>369</v>
      </c>
      <c r="G26" s="8" t="str">
        <f t="shared" si="0"/>
        <v>NEWELL JAMES</v>
      </c>
      <c r="H26" s="20" t="str">
        <f t="shared" si="1"/>
        <v>4028</v>
      </c>
    </row>
    <row r="27" spans="1:8" x14ac:dyDescent="0.25">
      <c r="A27" s="8">
        <v>43008.205555555556</v>
      </c>
      <c r="B27" s="20" t="s">
        <v>433</v>
      </c>
      <c r="C27" s="20" t="s">
        <v>648</v>
      </c>
      <c r="D27" s="130">
        <v>1990000</v>
      </c>
      <c r="E27" s="20" t="s">
        <v>342</v>
      </c>
      <c r="F27" s="20" t="s">
        <v>480</v>
      </c>
      <c r="G27" s="8" t="str">
        <f t="shared" si="0"/>
        <v>DAVIS WENDY</v>
      </c>
      <c r="H27" s="20" t="str">
        <f t="shared" si="1"/>
        <v>4051</v>
      </c>
    </row>
    <row r="28" spans="1:8" x14ac:dyDescent="0.25">
      <c r="A28" s="8">
        <v>43008.213680555556</v>
      </c>
      <c r="B28" s="20" t="s">
        <v>408</v>
      </c>
      <c r="C28" s="20" t="s">
        <v>649</v>
      </c>
      <c r="D28" s="130">
        <v>1100000</v>
      </c>
      <c r="E28" s="20" t="s">
        <v>636</v>
      </c>
      <c r="F28" s="20" t="s">
        <v>637</v>
      </c>
      <c r="G28" s="8" t="str">
        <f t="shared" si="0"/>
        <v>GEBRETEKLE DAGNEW</v>
      </c>
      <c r="H28" s="20" t="str">
        <f t="shared" si="1"/>
        <v>4039</v>
      </c>
    </row>
    <row r="29" spans="1:8" x14ac:dyDescent="0.25">
      <c r="A29" s="8">
        <v>43008.215474537035</v>
      </c>
      <c r="B29" s="20" t="s">
        <v>650</v>
      </c>
      <c r="C29" s="20" t="s">
        <v>651</v>
      </c>
      <c r="D29" s="130">
        <v>3040000</v>
      </c>
      <c r="E29" s="20" t="s">
        <v>509</v>
      </c>
      <c r="F29" s="20" t="s">
        <v>510</v>
      </c>
      <c r="G29" s="8" t="str">
        <f t="shared" si="0"/>
        <v>WILLIAMS DONTE</v>
      </c>
      <c r="H29" s="20" t="str">
        <f t="shared" si="1"/>
        <v>4019</v>
      </c>
    </row>
    <row r="30" spans="1:8" x14ac:dyDescent="0.25">
      <c r="A30" s="8">
        <v>43008.217361111114</v>
      </c>
      <c r="B30" s="20" t="s">
        <v>652</v>
      </c>
      <c r="C30" s="20" t="s">
        <v>653</v>
      </c>
      <c r="D30" s="130">
        <v>3030000</v>
      </c>
      <c r="E30" s="20" t="s">
        <v>645</v>
      </c>
      <c r="F30" s="20" t="s">
        <v>646</v>
      </c>
      <c r="G30" s="8" t="str">
        <f t="shared" si="0"/>
        <v>BIRENBAUM THOMAS</v>
      </c>
      <c r="H30" s="20" t="str">
        <f t="shared" si="1"/>
        <v>4004</v>
      </c>
    </row>
    <row r="31" spans="1:8" x14ac:dyDescent="0.25">
      <c r="A31" s="8">
        <v>43008.223773148151</v>
      </c>
      <c r="B31" s="20" t="s">
        <v>504</v>
      </c>
      <c r="C31" s="20" t="s">
        <v>654</v>
      </c>
      <c r="D31" s="130">
        <v>2530000</v>
      </c>
      <c r="E31" s="20" t="s">
        <v>640</v>
      </c>
      <c r="F31" s="20" t="s">
        <v>641</v>
      </c>
      <c r="G31" s="8" t="str">
        <f t="shared" si="0"/>
        <v>LALONDE GREGORY</v>
      </c>
      <c r="H31" s="20" t="str">
        <f t="shared" si="1"/>
        <v>4055</v>
      </c>
    </row>
    <row r="32" spans="1:8" x14ac:dyDescent="0.25">
      <c r="A32" s="8">
        <v>43008.224652777775</v>
      </c>
      <c r="B32" s="20" t="s">
        <v>409</v>
      </c>
      <c r="C32" s="20" t="s">
        <v>655</v>
      </c>
      <c r="D32" s="130">
        <v>2010000</v>
      </c>
      <c r="E32" s="20" t="s">
        <v>506</v>
      </c>
      <c r="F32" s="20" t="s">
        <v>507</v>
      </c>
      <c r="G32" s="8" t="str">
        <f t="shared" si="0"/>
        <v>MAELZER KURT</v>
      </c>
      <c r="H32" s="20" t="str">
        <f t="shared" si="1"/>
        <v>4010</v>
      </c>
    </row>
    <row r="33" spans="1:8" x14ac:dyDescent="0.25">
      <c r="A33" s="8">
        <v>43008.225324074076</v>
      </c>
      <c r="B33" s="20" t="s">
        <v>478</v>
      </c>
      <c r="C33" s="20" t="s">
        <v>656</v>
      </c>
      <c r="D33" s="130">
        <v>3090000</v>
      </c>
      <c r="E33" s="20" t="s">
        <v>657</v>
      </c>
      <c r="F33" s="20" t="s">
        <v>658</v>
      </c>
      <c r="G33" s="8" t="str">
        <f t="shared" si="0"/>
        <v>LAMAR NEKESHA</v>
      </c>
      <c r="H33" s="20" t="str">
        <f t="shared" si="1"/>
        <v>4018</v>
      </c>
    </row>
    <row r="34" spans="1:8" x14ac:dyDescent="0.25">
      <c r="A34" s="8">
        <v>43008.226377314815</v>
      </c>
      <c r="B34" s="20" t="s">
        <v>478</v>
      </c>
      <c r="C34" s="20" t="s">
        <v>656</v>
      </c>
      <c r="D34" s="130">
        <v>3090000</v>
      </c>
      <c r="E34" s="20" t="s">
        <v>657</v>
      </c>
      <c r="F34" s="20" t="s">
        <v>658</v>
      </c>
      <c r="G34" s="8" t="str">
        <f t="shared" si="0"/>
        <v>LAMAR NEKESHA</v>
      </c>
      <c r="H34" s="20" t="str">
        <f t="shared" si="1"/>
        <v>4018</v>
      </c>
    </row>
    <row r="35" spans="1:8" x14ac:dyDescent="0.25">
      <c r="A35" s="8">
        <v>43008.227083333331</v>
      </c>
      <c r="B35" s="20" t="s">
        <v>478</v>
      </c>
      <c r="C35" s="20" t="s">
        <v>656</v>
      </c>
      <c r="D35" s="130">
        <v>3090000</v>
      </c>
      <c r="E35" s="20" t="s">
        <v>657</v>
      </c>
      <c r="F35" s="20" t="s">
        <v>658</v>
      </c>
      <c r="G35" s="8" t="str">
        <f t="shared" si="0"/>
        <v>LAMAR NEKESHA</v>
      </c>
      <c r="H35" s="20" t="str">
        <f t="shared" si="1"/>
        <v>4018</v>
      </c>
    </row>
    <row r="36" spans="1:8" x14ac:dyDescent="0.25">
      <c r="A36" s="8">
        <v>43008.227754629632</v>
      </c>
      <c r="B36" s="20" t="s">
        <v>478</v>
      </c>
      <c r="C36" s="20" t="s">
        <v>656</v>
      </c>
      <c r="D36" s="130">
        <v>3090000</v>
      </c>
      <c r="E36" s="20" t="s">
        <v>657</v>
      </c>
      <c r="F36" s="20" t="s">
        <v>658</v>
      </c>
      <c r="G36" s="8" t="str">
        <f t="shared" si="0"/>
        <v>LAMAR NEKESHA</v>
      </c>
      <c r="H36" s="20" t="str">
        <f t="shared" si="1"/>
        <v>4018</v>
      </c>
    </row>
    <row r="37" spans="1:8" x14ac:dyDescent="0.25">
      <c r="A37" s="8">
        <v>43008.234699074077</v>
      </c>
      <c r="B37" s="20" t="s">
        <v>606</v>
      </c>
      <c r="C37" s="20" t="s">
        <v>659</v>
      </c>
      <c r="D37" s="130">
        <v>3040000</v>
      </c>
      <c r="E37" s="20" t="s">
        <v>509</v>
      </c>
      <c r="F37" s="20" t="s">
        <v>510</v>
      </c>
      <c r="G37" s="8" t="str">
        <f t="shared" si="0"/>
        <v>WILLIAMS DONTE</v>
      </c>
      <c r="H37" s="20" t="str">
        <f t="shared" si="1"/>
        <v>4020</v>
      </c>
    </row>
    <row r="38" spans="1:8" x14ac:dyDescent="0.25">
      <c r="A38" s="8">
        <v>43008.237384259257</v>
      </c>
      <c r="B38" s="20" t="s">
        <v>410</v>
      </c>
      <c r="C38" s="20" t="s">
        <v>588</v>
      </c>
      <c r="D38" s="130">
        <v>3090000</v>
      </c>
      <c r="E38" s="20" t="s">
        <v>657</v>
      </c>
      <c r="F38" s="20" t="s">
        <v>658</v>
      </c>
      <c r="G38" s="8" t="str">
        <f t="shared" si="0"/>
        <v>LAMAR NEKESHA</v>
      </c>
      <c r="H38" s="20" t="str">
        <f t="shared" si="1"/>
        <v>4017</v>
      </c>
    </row>
    <row r="39" spans="1:8" x14ac:dyDescent="0.25">
      <c r="A39" s="8">
        <v>43008.240659722222</v>
      </c>
      <c r="B39" s="20" t="s">
        <v>410</v>
      </c>
      <c r="C39" s="20" t="s">
        <v>588</v>
      </c>
      <c r="D39" s="130">
        <v>3090000</v>
      </c>
      <c r="E39" s="20" t="s">
        <v>657</v>
      </c>
      <c r="F39" s="20" t="s">
        <v>658</v>
      </c>
      <c r="G39" s="8" t="str">
        <f t="shared" si="0"/>
        <v>LAMAR NEKESHA</v>
      </c>
      <c r="H39" s="20" t="str">
        <f t="shared" si="1"/>
        <v>4017</v>
      </c>
    </row>
    <row r="40" spans="1:8" x14ac:dyDescent="0.25">
      <c r="A40" s="8">
        <v>43008.243645833332</v>
      </c>
      <c r="B40" s="25" t="s">
        <v>600</v>
      </c>
      <c r="C40" s="20" t="s">
        <v>660</v>
      </c>
      <c r="D40" s="130">
        <v>1810000</v>
      </c>
      <c r="E40" s="20" t="s">
        <v>489</v>
      </c>
      <c r="F40" s="20" t="s">
        <v>369</v>
      </c>
      <c r="G40" s="8" t="str">
        <f t="shared" si="0"/>
        <v>NEWELL JAMES</v>
      </c>
      <c r="H40" s="20" t="str">
        <f t="shared" si="1"/>
        <v>4027</v>
      </c>
    </row>
    <row r="41" spans="1:8" x14ac:dyDescent="0.25">
      <c r="A41" s="8">
        <v>43008.24428240741</v>
      </c>
      <c r="B41" s="20" t="s">
        <v>586</v>
      </c>
      <c r="C41" s="20" t="s">
        <v>590</v>
      </c>
      <c r="D41" s="130">
        <v>3030000</v>
      </c>
      <c r="E41" s="20" t="s">
        <v>645</v>
      </c>
      <c r="F41" s="20" t="s">
        <v>646</v>
      </c>
      <c r="G41" s="8" t="str">
        <f t="shared" si="0"/>
        <v>BIRENBAUM THOMAS</v>
      </c>
      <c r="H41" s="20" t="str">
        <f t="shared" si="1"/>
        <v>4003</v>
      </c>
    </row>
    <row r="42" spans="1:8" x14ac:dyDescent="0.25">
      <c r="A42" s="8">
        <v>43008.2503125</v>
      </c>
      <c r="B42" s="20" t="s">
        <v>432</v>
      </c>
      <c r="C42" s="20" t="s">
        <v>661</v>
      </c>
      <c r="D42" s="130">
        <v>1990000</v>
      </c>
      <c r="E42" s="20" t="s">
        <v>342</v>
      </c>
      <c r="F42" s="20" t="s">
        <v>480</v>
      </c>
      <c r="G42" s="8" t="str">
        <f t="shared" si="0"/>
        <v>DAVIS WENDY</v>
      </c>
      <c r="H42" s="20" t="str">
        <f t="shared" si="1"/>
        <v>4052</v>
      </c>
    </row>
    <row r="43" spans="1:8" x14ac:dyDescent="0.25">
      <c r="A43" s="8">
        <v>43008.253587962965</v>
      </c>
      <c r="B43" s="20" t="s">
        <v>478</v>
      </c>
      <c r="C43" s="20" t="s">
        <v>589</v>
      </c>
      <c r="D43" s="130">
        <v>3090000</v>
      </c>
      <c r="E43" s="20" t="s">
        <v>657</v>
      </c>
      <c r="F43" s="20" t="s">
        <v>658</v>
      </c>
      <c r="G43" s="8" t="str">
        <f t="shared" si="0"/>
        <v>LAMAR NEKESHA</v>
      </c>
      <c r="H43" s="20" t="str">
        <f t="shared" si="1"/>
        <v>4018</v>
      </c>
    </row>
    <row r="44" spans="1:8" x14ac:dyDescent="0.25">
      <c r="A44" s="8">
        <v>43008.257175925923</v>
      </c>
      <c r="B44" s="20" t="s">
        <v>411</v>
      </c>
      <c r="C44" s="20" t="s">
        <v>662</v>
      </c>
      <c r="D44" s="130">
        <v>1100000</v>
      </c>
      <c r="E44" s="20" t="s">
        <v>636</v>
      </c>
      <c r="F44" s="20" t="s">
        <v>637</v>
      </c>
      <c r="G44" s="8" t="str">
        <f t="shared" si="0"/>
        <v>GEBRETEKLE DAGNEW</v>
      </c>
      <c r="H44" s="20" t="str">
        <f t="shared" si="1"/>
        <v>4040</v>
      </c>
    </row>
    <row r="45" spans="1:8" x14ac:dyDescent="0.25">
      <c r="A45" s="8">
        <v>43008.264490740738</v>
      </c>
      <c r="B45" s="20" t="s">
        <v>431</v>
      </c>
      <c r="C45" s="20" t="s">
        <v>663</v>
      </c>
      <c r="D45" s="130">
        <v>2010000</v>
      </c>
      <c r="E45" s="20" t="s">
        <v>506</v>
      </c>
      <c r="F45" s="20" t="s">
        <v>507</v>
      </c>
      <c r="G45" s="8" t="str">
        <f t="shared" si="0"/>
        <v>MAELZER KURT</v>
      </c>
      <c r="H45" s="20" t="str">
        <f t="shared" si="1"/>
        <v>4009</v>
      </c>
    </row>
    <row r="46" spans="1:8" x14ac:dyDescent="0.25">
      <c r="A46" s="8">
        <v>43008.269652777781</v>
      </c>
      <c r="B46" s="20" t="s">
        <v>505</v>
      </c>
      <c r="C46" s="20" t="s">
        <v>664</v>
      </c>
      <c r="D46" s="130">
        <v>2530000</v>
      </c>
      <c r="E46" s="20" t="s">
        <v>640</v>
      </c>
      <c r="F46" s="20" t="s">
        <v>641</v>
      </c>
      <c r="G46" s="8" t="str">
        <f t="shared" si="0"/>
        <v>LALONDE GREGORY</v>
      </c>
      <c r="H46" s="20" t="str">
        <f t="shared" si="1"/>
        <v>4056</v>
      </c>
    </row>
    <row r="47" spans="1:8" x14ac:dyDescent="0.25">
      <c r="A47" s="8">
        <v>43008.275347222225</v>
      </c>
      <c r="B47" s="20" t="s">
        <v>650</v>
      </c>
      <c r="C47" s="20" t="s">
        <v>665</v>
      </c>
      <c r="D47" s="130">
        <v>3040000</v>
      </c>
      <c r="E47" s="20" t="s">
        <v>509</v>
      </c>
      <c r="F47" s="20" t="s">
        <v>510</v>
      </c>
      <c r="G47" s="8" t="str">
        <f t="shared" si="0"/>
        <v>WILLIAMS DONTE</v>
      </c>
      <c r="H47" s="20" t="str">
        <f t="shared" si="1"/>
        <v>4019</v>
      </c>
    </row>
    <row r="48" spans="1:8" x14ac:dyDescent="0.25">
      <c r="A48" s="8">
        <v>43008.275462962964</v>
      </c>
      <c r="B48" s="20" t="s">
        <v>410</v>
      </c>
      <c r="C48" s="20" t="s">
        <v>666</v>
      </c>
      <c r="D48" s="130">
        <v>3090000</v>
      </c>
      <c r="E48" s="20" t="s">
        <v>657</v>
      </c>
      <c r="F48" s="20" t="s">
        <v>658</v>
      </c>
      <c r="G48" s="8" t="str">
        <f t="shared" si="0"/>
        <v>LAMAR NEKESHA</v>
      </c>
      <c r="H48" s="20" t="str">
        <f t="shared" si="1"/>
        <v>4017</v>
      </c>
    </row>
    <row r="49" spans="1:8" x14ac:dyDescent="0.25">
      <c r="A49" s="8">
        <v>43008.276631944442</v>
      </c>
      <c r="B49" s="20" t="s">
        <v>603</v>
      </c>
      <c r="C49" s="20" t="s">
        <v>667</v>
      </c>
      <c r="D49" s="130">
        <v>1780000</v>
      </c>
      <c r="E49" s="20" t="s">
        <v>482</v>
      </c>
      <c r="F49" s="20" t="s">
        <v>483</v>
      </c>
      <c r="G49" s="8" t="str">
        <f t="shared" si="0"/>
        <v>DE LA ROSA ALEX</v>
      </c>
      <c r="H49" s="20" t="str">
        <f t="shared" si="1"/>
        <v>4028</v>
      </c>
    </row>
    <row r="50" spans="1:8" x14ac:dyDescent="0.25">
      <c r="A50" s="8">
        <v>43008.284479166665</v>
      </c>
      <c r="B50" s="20" t="s">
        <v>433</v>
      </c>
      <c r="C50" s="20" t="s">
        <v>668</v>
      </c>
      <c r="D50" s="130">
        <v>1990000</v>
      </c>
      <c r="E50" s="20" t="s">
        <v>342</v>
      </c>
      <c r="F50" s="20" t="s">
        <v>480</v>
      </c>
      <c r="G50" s="8" t="str">
        <f t="shared" si="0"/>
        <v>DAVIS WENDY</v>
      </c>
      <c r="H50" s="20" t="str">
        <f t="shared" si="1"/>
        <v>4051</v>
      </c>
    </row>
    <row r="51" spans="1:8" x14ac:dyDescent="0.25">
      <c r="A51" s="8">
        <v>43008.289340277777</v>
      </c>
      <c r="B51" s="20" t="s">
        <v>652</v>
      </c>
      <c r="C51" s="20" t="s">
        <v>669</v>
      </c>
      <c r="D51" s="130">
        <v>3030000</v>
      </c>
      <c r="E51" s="20" t="s">
        <v>645</v>
      </c>
      <c r="F51" s="20" t="s">
        <v>646</v>
      </c>
      <c r="G51" s="8" t="str">
        <f t="shared" si="0"/>
        <v>BIRENBAUM THOMAS</v>
      </c>
      <c r="H51" s="20" t="str">
        <f t="shared" si="1"/>
        <v>4004</v>
      </c>
    </row>
    <row r="52" spans="1:8" x14ac:dyDescent="0.25">
      <c r="A52" s="8">
        <v>43008.290069444447</v>
      </c>
      <c r="B52" s="20" t="s">
        <v>408</v>
      </c>
      <c r="C52" s="20" t="s">
        <v>670</v>
      </c>
      <c r="D52" s="130">
        <v>1100000</v>
      </c>
      <c r="E52" s="20" t="s">
        <v>636</v>
      </c>
      <c r="F52" s="20" t="s">
        <v>637</v>
      </c>
      <c r="G52" s="8" t="str">
        <f t="shared" si="0"/>
        <v>GEBRETEKLE DAGNEW</v>
      </c>
      <c r="H52" s="20" t="str">
        <f t="shared" si="1"/>
        <v>4039</v>
      </c>
    </row>
    <row r="53" spans="1:8" x14ac:dyDescent="0.25">
      <c r="A53" s="8">
        <v>43008.294942129629</v>
      </c>
      <c r="B53" s="20" t="s">
        <v>478</v>
      </c>
      <c r="C53" s="20" t="s">
        <v>591</v>
      </c>
      <c r="D53" s="130">
        <v>3090000</v>
      </c>
      <c r="E53" s="20" t="s">
        <v>657</v>
      </c>
      <c r="F53" s="20" t="s">
        <v>658</v>
      </c>
      <c r="G53" s="8" t="str">
        <f t="shared" si="0"/>
        <v>LAMAR NEKESHA</v>
      </c>
      <c r="H53" s="20" t="str">
        <f t="shared" si="1"/>
        <v>4018</v>
      </c>
    </row>
    <row r="54" spans="1:8" x14ac:dyDescent="0.25">
      <c r="A54" s="8">
        <v>43008.297233796293</v>
      </c>
      <c r="B54" s="20" t="s">
        <v>504</v>
      </c>
      <c r="C54" s="20" t="s">
        <v>671</v>
      </c>
      <c r="D54" s="130">
        <v>2530000</v>
      </c>
      <c r="E54" s="20" t="s">
        <v>640</v>
      </c>
      <c r="F54" s="20" t="s">
        <v>641</v>
      </c>
      <c r="G54" s="8" t="str">
        <f t="shared" si="0"/>
        <v>LALONDE GREGORY</v>
      </c>
      <c r="H54" s="20" t="str">
        <f t="shared" si="1"/>
        <v>4055</v>
      </c>
    </row>
    <row r="55" spans="1:8" x14ac:dyDescent="0.25">
      <c r="A55" s="8">
        <v>43008.300775462965</v>
      </c>
      <c r="B55" s="20" t="s">
        <v>409</v>
      </c>
      <c r="C55" s="20" t="s">
        <v>672</v>
      </c>
      <c r="D55" s="130">
        <v>2010000</v>
      </c>
      <c r="E55" s="20" t="s">
        <v>506</v>
      </c>
      <c r="F55" s="20" t="s">
        <v>507</v>
      </c>
      <c r="G55" s="8" t="str">
        <f t="shared" si="0"/>
        <v>MAELZER KURT</v>
      </c>
      <c r="H55" s="20" t="str">
        <f t="shared" si="1"/>
        <v>4010</v>
      </c>
    </row>
    <row r="56" spans="1:8" x14ac:dyDescent="0.25">
      <c r="A56" s="8">
        <v>43008.309178240743</v>
      </c>
      <c r="B56" s="20" t="s">
        <v>606</v>
      </c>
      <c r="C56" s="20" t="s">
        <v>673</v>
      </c>
      <c r="D56" s="130">
        <v>3040000</v>
      </c>
      <c r="E56" s="20" t="s">
        <v>509</v>
      </c>
      <c r="F56" s="20" t="s">
        <v>510</v>
      </c>
      <c r="G56" s="8" t="str">
        <f t="shared" si="0"/>
        <v>WILLIAMS DONTE</v>
      </c>
      <c r="H56" s="20" t="str">
        <f t="shared" si="1"/>
        <v>4020</v>
      </c>
    </row>
    <row r="57" spans="1:8" x14ac:dyDescent="0.25">
      <c r="A57" s="8">
        <v>43008.317523148151</v>
      </c>
      <c r="B57" s="20" t="s">
        <v>586</v>
      </c>
      <c r="C57" s="20" t="s">
        <v>674</v>
      </c>
      <c r="D57" s="130">
        <v>3030000</v>
      </c>
      <c r="E57" s="20" t="s">
        <v>645</v>
      </c>
      <c r="F57" s="20" t="s">
        <v>646</v>
      </c>
      <c r="G57" s="8" t="str">
        <f t="shared" si="0"/>
        <v>BIRENBAUM THOMAS</v>
      </c>
      <c r="H57" s="20" t="str">
        <f t="shared" si="1"/>
        <v>4003</v>
      </c>
    </row>
    <row r="58" spans="1:8" x14ac:dyDescent="0.25">
      <c r="A58" s="8">
        <v>43008.318356481483</v>
      </c>
      <c r="B58" s="20" t="s">
        <v>410</v>
      </c>
      <c r="C58" s="20" t="s">
        <v>675</v>
      </c>
      <c r="D58" s="130">
        <v>3090000</v>
      </c>
      <c r="E58" s="20" t="s">
        <v>657</v>
      </c>
      <c r="F58" s="20" t="s">
        <v>658</v>
      </c>
      <c r="G58" s="8" t="str">
        <f t="shared" si="0"/>
        <v>LAMAR NEKESHA</v>
      </c>
      <c r="H58" s="20" t="str">
        <f t="shared" si="1"/>
        <v>4017</v>
      </c>
    </row>
    <row r="59" spans="1:8" x14ac:dyDescent="0.25">
      <c r="A59" s="8">
        <v>43008.318460648145</v>
      </c>
      <c r="B59" s="20" t="s">
        <v>600</v>
      </c>
      <c r="C59" s="20" t="s">
        <v>676</v>
      </c>
      <c r="D59" s="130">
        <v>1780000</v>
      </c>
      <c r="E59" s="20" t="s">
        <v>482</v>
      </c>
      <c r="F59" s="20" t="s">
        <v>483</v>
      </c>
      <c r="G59" s="8" t="str">
        <f t="shared" si="0"/>
        <v>DE LA ROSA ALEX</v>
      </c>
      <c r="H59" s="20" t="str">
        <f t="shared" si="1"/>
        <v>4027</v>
      </c>
    </row>
    <row r="60" spans="1:8" x14ac:dyDescent="0.25">
      <c r="A60" s="8">
        <v>43008.31931712963</v>
      </c>
      <c r="B60" s="20" t="s">
        <v>432</v>
      </c>
      <c r="C60" s="20" t="s">
        <v>677</v>
      </c>
      <c r="D60" s="130">
        <v>3260000</v>
      </c>
      <c r="E60" s="20" t="s">
        <v>511</v>
      </c>
      <c r="F60" s="20" t="s">
        <v>512</v>
      </c>
      <c r="G60" s="8" t="str">
        <f t="shared" si="0"/>
        <v>PAGE MARCUS</v>
      </c>
      <c r="H60" s="20" t="str">
        <f t="shared" si="1"/>
        <v>4052</v>
      </c>
    </row>
    <row r="61" spans="1:8" x14ac:dyDescent="0.25">
      <c r="A61" s="8">
        <v>43008.328159722223</v>
      </c>
      <c r="B61" s="20" t="s">
        <v>521</v>
      </c>
      <c r="C61" s="20" t="s">
        <v>678</v>
      </c>
      <c r="D61" s="130">
        <v>1810000</v>
      </c>
      <c r="E61" s="20" t="s">
        <v>489</v>
      </c>
      <c r="F61" s="20" t="s">
        <v>369</v>
      </c>
      <c r="G61" s="8" t="str">
        <f t="shared" si="0"/>
        <v>NEWELL JAMES</v>
      </c>
      <c r="H61" s="20" t="str">
        <f t="shared" si="1"/>
        <v>4046</v>
      </c>
    </row>
    <row r="62" spans="1:8" x14ac:dyDescent="0.25">
      <c r="A62" s="8">
        <v>43008.328946759262</v>
      </c>
      <c r="B62" s="20" t="s">
        <v>586</v>
      </c>
      <c r="C62" s="20" t="s">
        <v>674</v>
      </c>
      <c r="D62" s="130">
        <v>3030000</v>
      </c>
      <c r="E62" s="20" t="s">
        <v>645</v>
      </c>
      <c r="F62" s="20" t="s">
        <v>646</v>
      </c>
      <c r="G62" s="8" t="str">
        <f t="shared" si="0"/>
        <v>BIRENBAUM THOMAS</v>
      </c>
      <c r="H62" s="20" t="str">
        <f t="shared" si="1"/>
        <v>4003</v>
      </c>
    </row>
    <row r="63" spans="1:8" x14ac:dyDescent="0.25">
      <c r="A63" s="8">
        <v>43008.330011574071</v>
      </c>
      <c r="B63" s="20" t="s">
        <v>411</v>
      </c>
      <c r="C63" s="20" t="s">
        <v>679</v>
      </c>
      <c r="D63" s="130">
        <v>1100000</v>
      </c>
      <c r="E63" s="20" t="s">
        <v>636</v>
      </c>
      <c r="F63" s="20" t="s">
        <v>637</v>
      </c>
      <c r="G63" s="8" t="str">
        <f t="shared" si="0"/>
        <v>GEBRETEKLE DAGNEW</v>
      </c>
      <c r="H63" s="20" t="str">
        <f t="shared" si="1"/>
        <v>4040</v>
      </c>
    </row>
    <row r="64" spans="1:8" x14ac:dyDescent="0.25">
      <c r="A64" s="26">
        <v>43008.332488425927</v>
      </c>
      <c r="B64" s="20" t="s">
        <v>431</v>
      </c>
      <c r="C64" s="20" t="s">
        <v>680</v>
      </c>
      <c r="D64" s="130">
        <v>2010000</v>
      </c>
      <c r="E64" s="20" t="s">
        <v>506</v>
      </c>
      <c r="F64" s="20" t="s">
        <v>507</v>
      </c>
      <c r="G64" s="8" t="str">
        <f t="shared" si="0"/>
        <v>MAELZER KURT</v>
      </c>
      <c r="H64" s="20" t="str">
        <f t="shared" si="1"/>
        <v>4009</v>
      </c>
    </row>
    <row r="65" spans="1:8" x14ac:dyDescent="0.25">
      <c r="A65" s="8">
        <v>43008.33734953704</v>
      </c>
      <c r="B65" s="20" t="s">
        <v>478</v>
      </c>
      <c r="C65" s="20" t="s">
        <v>681</v>
      </c>
      <c r="D65" s="130">
        <v>3090000</v>
      </c>
      <c r="E65" s="20" t="s">
        <v>657</v>
      </c>
      <c r="F65" s="20" t="s">
        <v>658</v>
      </c>
      <c r="G65" s="8" t="str">
        <f t="shared" si="0"/>
        <v>LAMAR NEKESHA</v>
      </c>
      <c r="H65" s="20" t="str">
        <f t="shared" si="1"/>
        <v>4018</v>
      </c>
    </row>
    <row r="66" spans="1:8" x14ac:dyDescent="0.25">
      <c r="A66" s="8">
        <v>43008.339479166665</v>
      </c>
      <c r="B66" s="20" t="s">
        <v>505</v>
      </c>
      <c r="C66" s="20" t="s">
        <v>682</v>
      </c>
      <c r="D66" s="130">
        <v>3180000</v>
      </c>
      <c r="E66" s="20" t="s">
        <v>683</v>
      </c>
      <c r="F66" s="20" t="s">
        <v>684</v>
      </c>
      <c r="G66" s="8" t="str">
        <f t="shared" si="0"/>
        <v>HUFFSMITH MONTY</v>
      </c>
      <c r="H66" s="20" t="str">
        <f t="shared" si="1"/>
        <v>4056</v>
      </c>
    </row>
    <row r="67" spans="1:8" x14ac:dyDescent="0.25">
      <c r="A67" s="8">
        <v>43008.347986111112</v>
      </c>
      <c r="B67" s="20" t="s">
        <v>650</v>
      </c>
      <c r="C67" s="20" t="s">
        <v>685</v>
      </c>
      <c r="D67" s="130">
        <v>3040000</v>
      </c>
      <c r="E67" s="20" t="s">
        <v>509</v>
      </c>
      <c r="F67" s="20" t="s">
        <v>510</v>
      </c>
      <c r="G67" s="8" t="str">
        <f t="shared" ref="G67:G130" si="2">E67&amp;" "&amp;F67</f>
        <v>WILLIAMS DONTE</v>
      </c>
      <c r="H67" s="20" t="str">
        <f t="shared" ref="H67:H130" si="3">MID(B67,13,4)</f>
        <v>4019</v>
      </c>
    </row>
    <row r="68" spans="1:8" x14ac:dyDescent="0.25">
      <c r="A68" s="8">
        <v>43008.349988425929</v>
      </c>
      <c r="B68" s="20" t="s">
        <v>603</v>
      </c>
      <c r="C68" s="20" t="s">
        <v>686</v>
      </c>
      <c r="D68" s="130">
        <v>1780000</v>
      </c>
      <c r="E68" s="20" t="s">
        <v>482</v>
      </c>
      <c r="F68" s="20" t="s">
        <v>483</v>
      </c>
      <c r="G68" s="8" t="str">
        <f t="shared" si="2"/>
        <v>DE LA ROSA ALEX</v>
      </c>
      <c r="H68" s="20" t="str">
        <f t="shared" si="3"/>
        <v>4028</v>
      </c>
    </row>
    <row r="69" spans="1:8" x14ac:dyDescent="0.25">
      <c r="A69" s="8">
        <v>43008.358541666668</v>
      </c>
      <c r="B69" s="20" t="s">
        <v>627</v>
      </c>
      <c r="C69" s="20" t="s">
        <v>678</v>
      </c>
      <c r="D69" s="130">
        <v>1810000</v>
      </c>
      <c r="E69" s="20" t="s">
        <v>489</v>
      </c>
      <c r="F69" s="20" t="s">
        <v>369</v>
      </c>
      <c r="G69" s="8" t="str">
        <f t="shared" si="2"/>
        <v>NEWELL JAMES</v>
      </c>
      <c r="H69" s="20" t="str">
        <f t="shared" si="3"/>
        <v>4045</v>
      </c>
    </row>
    <row r="70" spans="1:8" x14ac:dyDescent="0.25">
      <c r="A70" s="8">
        <v>43008.359375</v>
      </c>
      <c r="B70" s="20" t="s">
        <v>410</v>
      </c>
      <c r="C70" s="20" t="s">
        <v>687</v>
      </c>
      <c r="D70" s="130">
        <v>3090000</v>
      </c>
      <c r="E70" s="20" t="s">
        <v>657</v>
      </c>
      <c r="F70" s="20" t="s">
        <v>658</v>
      </c>
      <c r="G70" s="8" t="str">
        <f t="shared" si="2"/>
        <v>LAMAR NEKESHA</v>
      </c>
      <c r="H70" s="20" t="str">
        <f t="shared" si="3"/>
        <v>4017</v>
      </c>
    </row>
    <row r="71" spans="1:8" x14ac:dyDescent="0.25">
      <c r="A71" s="8">
        <v>43008.359479166669</v>
      </c>
      <c r="B71" s="20" t="s">
        <v>627</v>
      </c>
      <c r="C71" s="20" t="s">
        <v>688</v>
      </c>
      <c r="D71" s="130">
        <v>1810000</v>
      </c>
      <c r="E71" s="20" t="s">
        <v>489</v>
      </c>
      <c r="F71" s="20" t="s">
        <v>369</v>
      </c>
      <c r="G71" s="8" t="str">
        <f t="shared" si="2"/>
        <v>NEWELL JAMES</v>
      </c>
      <c r="H71" s="20" t="str">
        <f t="shared" si="3"/>
        <v>4045</v>
      </c>
    </row>
    <row r="72" spans="1:8" x14ac:dyDescent="0.25">
      <c r="A72" s="8">
        <v>43008.359965277778</v>
      </c>
      <c r="B72" s="20" t="s">
        <v>433</v>
      </c>
      <c r="C72" s="20" t="s">
        <v>593</v>
      </c>
      <c r="D72" s="130">
        <v>3260000</v>
      </c>
      <c r="E72" s="20" t="s">
        <v>511</v>
      </c>
      <c r="F72" s="20" t="s">
        <v>512</v>
      </c>
      <c r="G72" s="8" t="str">
        <f t="shared" si="2"/>
        <v>PAGE MARCUS</v>
      </c>
      <c r="H72" s="20" t="str">
        <f t="shared" si="3"/>
        <v>4051</v>
      </c>
    </row>
    <row r="73" spans="1:8" x14ac:dyDescent="0.25">
      <c r="A73" s="8">
        <v>43008.360034722224</v>
      </c>
      <c r="B73" s="20" t="s">
        <v>627</v>
      </c>
      <c r="C73" s="20" t="s">
        <v>678</v>
      </c>
      <c r="D73" s="130">
        <v>1810000</v>
      </c>
      <c r="E73" s="20" t="s">
        <v>489</v>
      </c>
      <c r="F73" s="20" t="s">
        <v>369</v>
      </c>
      <c r="G73" s="8" t="str">
        <f t="shared" si="2"/>
        <v>NEWELL JAMES</v>
      </c>
      <c r="H73" s="20" t="str">
        <f t="shared" si="3"/>
        <v>4045</v>
      </c>
    </row>
    <row r="74" spans="1:8" x14ac:dyDescent="0.25">
      <c r="A74" s="8">
        <v>43008.360347222224</v>
      </c>
      <c r="B74" s="20" t="s">
        <v>408</v>
      </c>
      <c r="C74" s="20" t="s">
        <v>689</v>
      </c>
      <c r="D74" s="130">
        <v>1100000</v>
      </c>
      <c r="E74" s="20" t="s">
        <v>636</v>
      </c>
      <c r="F74" s="20" t="s">
        <v>637</v>
      </c>
      <c r="G74" s="8" t="str">
        <f t="shared" si="2"/>
        <v>GEBRETEKLE DAGNEW</v>
      </c>
      <c r="H74" s="20" t="str">
        <f t="shared" si="3"/>
        <v>4039</v>
      </c>
    </row>
    <row r="75" spans="1:8" x14ac:dyDescent="0.25">
      <c r="A75" s="8">
        <v>43008.363981481481</v>
      </c>
      <c r="B75" s="20" t="s">
        <v>521</v>
      </c>
      <c r="C75" s="20" t="s">
        <v>690</v>
      </c>
      <c r="D75" s="130">
        <v>3030000</v>
      </c>
      <c r="E75" s="20" t="s">
        <v>645</v>
      </c>
      <c r="F75" s="20" t="s">
        <v>646</v>
      </c>
      <c r="G75" s="8" t="str">
        <f t="shared" si="2"/>
        <v>BIRENBAUM THOMAS</v>
      </c>
      <c r="H75" s="20" t="str">
        <f t="shared" si="3"/>
        <v>4046</v>
      </c>
    </row>
    <row r="76" spans="1:8" x14ac:dyDescent="0.25">
      <c r="A76" s="8">
        <v>43008.371354166666</v>
      </c>
      <c r="B76" s="20" t="s">
        <v>409</v>
      </c>
      <c r="C76" s="20" t="s">
        <v>691</v>
      </c>
      <c r="D76" s="130">
        <v>2010000</v>
      </c>
      <c r="E76" s="20" t="s">
        <v>506</v>
      </c>
      <c r="F76" s="20" t="s">
        <v>507</v>
      </c>
      <c r="G76" s="8" t="str">
        <f t="shared" si="2"/>
        <v>MAELZER KURT</v>
      </c>
      <c r="H76" s="20" t="str">
        <f t="shared" si="3"/>
        <v>4010</v>
      </c>
    </row>
    <row r="77" spans="1:8" x14ac:dyDescent="0.25">
      <c r="A77" s="8">
        <v>43008.376481481479</v>
      </c>
      <c r="B77" s="20" t="s">
        <v>504</v>
      </c>
      <c r="C77" s="20" t="s">
        <v>692</v>
      </c>
      <c r="D77" s="130">
        <v>3180000</v>
      </c>
      <c r="E77" s="20" t="s">
        <v>683</v>
      </c>
      <c r="F77" s="20" t="s">
        <v>684</v>
      </c>
      <c r="G77" s="8" t="str">
        <f t="shared" si="2"/>
        <v>HUFFSMITH MONTY</v>
      </c>
      <c r="H77" s="20" t="str">
        <f t="shared" si="3"/>
        <v>4055</v>
      </c>
    </row>
    <row r="78" spans="1:8" x14ac:dyDescent="0.25">
      <c r="A78" s="8">
        <v>43008.377500000002</v>
      </c>
      <c r="B78" s="20" t="s">
        <v>652</v>
      </c>
      <c r="C78" s="20" t="s">
        <v>688</v>
      </c>
      <c r="D78" s="130">
        <v>1810000</v>
      </c>
      <c r="E78" s="20" t="s">
        <v>489</v>
      </c>
      <c r="F78" s="20" t="s">
        <v>369</v>
      </c>
      <c r="G78" s="8" t="str">
        <f t="shared" si="2"/>
        <v>NEWELL JAMES</v>
      </c>
      <c r="H78" s="20" t="str">
        <f t="shared" si="3"/>
        <v>4004</v>
      </c>
    </row>
    <row r="79" spans="1:8" x14ac:dyDescent="0.25">
      <c r="A79" s="8">
        <v>43008.377581018518</v>
      </c>
      <c r="B79" s="20" t="s">
        <v>478</v>
      </c>
      <c r="C79" s="20" t="s">
        <v>592</v>
      </c>
      <c r="D79" s="130">
        <v>3090000</v>
      </c>
      <c r="E79" s="20" t="s">
        <v>657</v>
      </c>
      <c r="F79" s="20" t="s">
        <v>658</v>
      </c>
      <c r="G79" s="8" t="str">
        <f t="shared" si="2"/>
        <v>LAMAR NEKESHA</v>
      </c>
      <c r="H79" s="20" t="str">
        <f t="shared" si="3"/>
        <v>4018</v>
      </c>
    </row>
    <row r="80" spans="1:8" x14ac:dyDescent="0.25">
      <c r="A80" s="8">
        <v>43008.380057870374</v>
      </c>
      <c r="B80" s="20" t="s">
        <v>586</v>
      </c>
      <c r="C80" s="20" t="s">
        <v>629</v>
      </c>
      <c r="D80" s="130">
        <v>1810000</v>
      </c>
      <c r="E80" s="20" t="s">
        <v>489</v>
      </c>
      <c r="F80" s="20" t="s">
        <v>369</v>
      </c>
      <c r="G80" s="8" t="str">
        <f t="shared" si="2"/>
        <v>NEWELL JAMES</v>
      </c>
      <c r="H80" s="20" t="str">
        <f t="shared" si="3"/>
        <v>4003</v>
      </c>
    </row>
    <row r="81" spans="1:8" x14ac:dyDescent="0.25">
      <c r="A81" s="8">
        <v>43008.380567129629</v>
      </c>
      <c r="B81" s="20" t="s">
        <v>586</v>
      </c>
      <c r="C81" s="20" t="s">
        <v>688</v>
      </c>
      <c r="D81" s="130">
        <v>1810000</v>
      </c>
      <c r="E81" s="20" t="s">
        <v>489</v>
      </c>
      <c r="F81" s="20" t="s">
        <v>369</v>
      </c>
      <c r="G81" s="8" t="str">
        <f t="shared" si="2"/>
        <v>NEWELL JAMES</v>
      </c>
      <c r="H81" s="20" t="str">
        <f t="shared" si="3"/>
        <v>4003</v>
      </c>
    </row>
    <row r="82" spans="1:8" x14ac:dyDescent="0.25">
      <c r="A82" s="8">
        <v>43008.382592592592</v>
      </c>
      <c r="B82" s="20" t="s">
        <v>606</v>
      </c>
      <c r="C82" s="20" t="s">
        <v>693</v>
      </c>
      <c r="D82" s="130">
        <v>3040000</v>
      </c>
      <c r="E82" s="20" t="s">
        <v>509</v>
      </c>
      <c r="F82" s="20" t="s">
        <v>510</v>
      </c>
      <c r="G82" s="8" t="str">
        <f t="shared" si="2"/>
        <v>WILLIAMS DONTE</v>
      </c>
      <c r="H82" s="20" t="str">
        <f t="shared" si="3"/>
        <v>4020</v>
      </c>
    </row>
    <row r="83" spans="1:8" x14ac:dyDescent="0.25">
      <c r="A83" s="8">
        <v>43008.38790509259</v>
      </c>
      <c r="B83" s="20" t="s">
        <v>600</v>
      </c>
      <c r="C83" s="20" t="s">
        <v>694</v>
      </c>
      <c r="D83" s="130">
        <v>1780000</v>
      </c>
      <c r="E83" s="20" t="s">
        <v>482</v>
      </c>
      <c r="F83" s="20" t="s">
        <v>483</v>
      </c>
      <c r="G83" s="8" t="str">
        <f t="shared" si="2"/>
        <v>DE LA ROSA ALEX</v>
      </c>
      <c r="H83" s="20" t="str">
        <f t="shared" si="3"/>
        <v>4027</v>
      </c>
    </row>
    <row r="84" spans="1:8" x14ac:dyDescent="0.25">
      <c r="A84" s="8">
        <v>43008.390324074076</v>
      </c>
      <c r="B84" s="20" t="s">
        <v>627</v>
      </c>
      <c r="C84" s="20" t="s">
        <v>695</v>
      </c>
      <c r="D84" s="130">
        <v>3030000</v>
      </c>
      <c r="E84" s="20" t="s">
        <v>645</v>
      </c>
      <c r="F84" s="20" t="s">
        <v>646</v>
      </c>
      <c r="G84" s="8" t="str">
        <f t="shared" si="2"/>
        <v>BIRENBAUM THOMAS</v>
      </c>
      <c r="H84" s="20" t="str">
        <f t="shared" si="3"/>
        <v>4045</v>
      </c>
    </row>
    <row r="85" spans="1:8" x14ac:dyDescent="0.25">
      <c r="A85" s="8">
        <v>43008.394178240742</v>
      </c>
      <c r="B85" s="20" t="s">
        <v>432</v>
      </c>
      <c r="C85" s="20" t="s">
        <v>696</v>
      </c>
      <c r="D85" s="130">
        <v>1990000</v>
      </c>
      <c r="E85" s="20" t="s">
        <v>342</v>
      </c>
      <c r="F85" s="20" t="s">
        <v>480</v>
      </c>
      <c r="G85" s="8" t="str">
        <f t="shared" si="2"/>
        <v>DAVIS WENDY</v>
      </c>
      <c r="H85" s="20" t="str">
        <f t="shared" si="3"/>
        <v>4052</v>
      </c>
    </row>
    <row r="86" spans="1:8" x14ac:dyDescent="0.25">
      <c r="A86" s="8">
        <v>43008.399768518517</v>
      </c>
      <c r="B86" s="20" t="s">
        <v>410</v>
      </c>
      <c r="C86" s="20" t="s">
        <v>697</v>
      </c>
      <c r="D86" s="130">
        <v>3090000</v>
      </c>
      <c r="E86" s="20" t="s">
        <v>657</v>
      </c>
      <c r="F86" s="20" t="s">
        <v>658</v>
      </c>
      <c r="G86" s="8" t="str">
        <f t="shared" si="2"/>
        <v>LAMAR NEKESHA</v>
      </c>
      <c r="H86" s="20" t="str">
        <f t="shared" si="3"/>
        <v>4017</v>
      </c>
    </row>
    <row r="87" spans="1:8" x14ac:dyDescent="0.25">
      <c r="A87" s="8">
        <v>43008.403101851851</v>
      </c>
      <c r="B87" s="20" t="s">
        <v>411</v>
      </c>
      <c r="C87" s="20" t="s">
        <v>698</v>
      </c>
      <c r="D87" s="130">
        <v>1100000</v>
      </c>
      <c r="E87" s="20" t="s">
        <v>636</v>
      </c>
      <c r="F87" s="20" t="s">
        <v>637</v>
      </c>
      <c r="G87" s="8" t="str">
        <f t="shared" si="2"/>
        <v>GEBRETEKLE DAGNEW</v>
      </c>
      <c r="H87" s="20" t="str">
        <f t="shared" si="3"/>
        <v>4040</v>
      </c>
    </row>
    <row r="88" spans="1:8" x14ac:dyDescent="0.25">
      <c r="A88" s="8">
        <v>43008.407280092593</v>
      </c>
      <c r="B88" s="20" t="s">
        <v>431</v>
      </c>
      <c r="C88" s="20" t="s">
        <v>699</v>
      </c>
      <c r="D88" s="130">
        <v>2010000</v>
      </c>
      <c r="E88" s="20" t="s">
        <v>506</v>
      </c>
      <c r="F88" s="20" t="s">
        <v>507</v>
      </c>
      <c r="G88" s="8" t="str">
        <f t="shared" si="2"/>
        <v>MAELZER KURT</v>
      </c>
      <c r="H88" s="20" t="str">
        <f t="shared" si="3"/>
        <v>4009</v>
      </c>
    </row>
    <row r="89" spans="1:8" x14ac:dyDescent="0.25">
      <c r="A89" s="8">
        <v>43008.414178240739</v>
      </c>
      <c r="B89" s="20" t="s">
        <v>505</v>
      </c>
      <c r="C89" s="20" t="s">
        <v>700</v>
      </c>
      <c r="D89" s="130">
        <v>2530000</v>
      </c>
      <c r="E89" s="20" t="s">
        <v>640</v>
      </c>
      <c r="F89" s="20" t="s">
        <v>641</v>
      </c>
      <c r="G89" s="8" t="str">
        <f t="shared" si="2"/>
        <v>LALONDE GREGORY</v>
      </c>
      <c r="H89" s="20" t="str">
        <f t="shared" si="3"/>
        <v>4056</v>
      </c>
    </row>
    <row r="90" spans="1:8" x14ac:dyDescent="0.25">
      <c r="A90" s="8">
        <v>43008.418842592589</v>
      </c>
      <c r="B90" s="20" t="s">
        <v>478</v>
      </c>
      <c r="C90" s="20" t="s">
        <v>594</v>
      </c>
      <c r="D90" s="130">
        <v>3090000</v>
      </c>
      <c r="E90" s="20" t="s">
        <v>657</v>
      </c>
      <c r="F90" s="20" t="s">
        <v>658</v>
      </c>
      <c r="G90" s="8" t="str">
        <f t="shared" si="2"/>
        <v>LAMAR NEKESHA</v>
      </c>
      <c r="H90" s="20" t="str">
        <f t="shared" si="3"/>
        <v>4018</v>
      </c>
    </row>
    <row r="91" spans="1:8" x14ac:dyDescent="0.25">
      <c r="A91" s="8">
        <v>43008.421226851853</v>
      </c>
      <c r="B91" s="20" t="s">
        <v>650</v>
      </c>
      <c r="C91" s="20" t="s">
        <v>701</v>
      </c>
      <c r="D91" s="130">
        <v>3040000</v>
      </c>
      <c r="E91" s="20" t="s">
        <v>509</v>
      </c>
      <c r="F91" s="20" t="s">
        <v>510</v>
      </c>
      <c r="G91" s="8" t="str">
        <f t="shared" si="2"/>
        <v>WILLIAMS DONTE</v>
      </c>
      <c r="H91" s="20" t="str">
        <f t="shared" si="3"/>
        <v>4019</v>
      </c>
    </row>
    <row r="92" spans="1:8" x14ac:dyDescent="0.25">
      <c r="A92" s="8">
        <v>43008.423449074071</v>
      </c>
      <c r="B92" s="20" t="s">
        <v>603</v>
      </c>
      <c r="C92" s="20" t="s">
        <v>702</v>
      </c>
      <c r="D92" s="130">
        <v>2550000</v>
      </c>
      <c r="E92" s="20" t="s">
        <v>513</v>
      </c>
      <c r="F92" s="20" t="s">
        <v>514</v>
      </c>
      <c r="G92" s="8" t="str">
        <f t="shared" si="2"/>
        <v>BADERTSCHER DIANE</v>
      </c>
      <c r="H92" s="20" t="str">
        <f t="shared" si="3"/>
        <v>4028</v>
      </c>
    </row>
    <row r="93" spans="1:8" x14ac:dyDescent="0.25">
      <c r="A93" s="8">
        <v>43008.428611111114</v>
      </c>
      <c r="B93" s="20" t="s">
        <v>433</v>
      </c>
      <c r="C93" s="20" t="s">
        <v>703</v>
      </c>
      <c r="D93" s="130">
        <v>1990000</v>
      </c>
      <c r="E93" s="20" t="s">
        <v>342</v>
      </c>
      <c r="F93" s="20" t="s">
        <v>480</v>
      </c>
      <c r="G93" s="8" t="str">
        <f t="shared" si="2"/>
        <v>DAVIS WENDY</v>
      </c>
      <c r="H93" s="20" t="str">
        <f t="shared" si="3"/>
        <v>4051</v>
      </c>
    </row>
    <row r="94" spans="1:8" x14ac:dyDescent="0.25">
      <c r="A94" s="8">
        <v>43008.433240740742</v>
      </c>
      <c r="B94" s="20" t="s">
        <v>408</v>
      </c>
      <c r="C94" s="20" t="s">
        <v>596</v>
      </c>
      <c r="D94" s="130">
        <v>1100000</v>
      </c>
      <c r="E94" s="20" t="s">
        <v>636</v>
      </c>
      <c r="F94" s="20" t="s">
        <v>637</v>
      </c>
      <c r="G94" s="8" t="str">
        <f t="shared" si="2"/>
        <v>GEBRETEKLE DAGNEW</v>
      </c>
      <c r="H94" s="20" t="str">
        <f t="shared" si="3"/>
        <v>4039</v>
      </c>
    </row>
    <row r="95" spans="1:8" x14ac:dyDescent="0.25">
      <c r="A95" s="8">
        <v>43008.435763888891</v>
      </c>
      <c r="B95" s="20" t="s">
        <v>521</v>
      </c>
      <c r="C95" s="20" t="s">
        <v>704</v>
      </c>
      <c r="D95" s="130">
        <v>3030000</v>
      </c>
      <c r="E95" s="20" t="s">
        <v>645</v>
      </c>
      <c r="F95" s="20" t="s">
        <v>646</v>
      </c>
      <c r="G95" s="8" t="str">
        <f t="shared" si="2"/>
        <v>BIRENBAUM THOMAS</v>
      </c>
      <c r="H95" s="20" t="str">
        <f t="shared" si="3"/>
        <v>4046</v>
      </c>
    </row>
    <row r="96" spans="1:8" x14ac:dyDescent="0.25">
      <c r="A96" s="8">
        <v>43008.441828703704</v>
      </c>
      <c r="B96" s="20" t="s">
        <v>410</v>
      </c>
      <c r="C96" s="20" t="s">
        <v>705</v>
      </c>
      <c r="D96" s="130">
        <v>3090000</v>
      </c>
      <c r="E96" s="20" t="s">
        <v>657</v>
      </c>
      <c r="F96" s="20" t="s">
        <v>658</v>
      </c>
      <c r="G96" s="8" t="str">
        <f t="shared" si="2"/>
        <v>LAMAR NEKESHA</v>
      </c>
      <c r="H96" s="20" t="str">
        <f t="shared" si="3"/>
        <v>4017</v>
      </c>
    </row>
    <row r="97" spans="1:8" x14ac:dyDescent="0.25">
      <c r="A97" s="8">
        <v>43008.443148148152</v>
      </c>
      <c r="B97" s="20" t="s">
        <v>504</v>
      </c>
      <c r="C97" s="20" t="s">
        <v>706</v>
      </c>
      <c r="D97" s="130">
        <v>2530000</v>
      </c>
      <c r="E97" s="20" t="s">
        <v>640</v>
      </c>
      <c r="F97" s="20" t="s">
        <v>641</v>
      </c>
      <c r="G97" s="8" t="str">
        <f t="shared" si="2"/>
        <v>LALONDE GREGORY</v>
      </c>
      <c r="H97" s="20" t="str">
        <f t="shared" si="3"/>
        <v>4055</v>
      </c>
    </row>
    <row r="98" spans="1:8" x14ac:dyDescent="0.25">
      <c r="A98" s="8">
        <v>43008.444652777776</v>
      </c>
      <c r="B98" s="20" t="s">
        <v>409</v>
      </c>
      <c r="C98" s="20" t="s">
        <v>595</v>
      </c>
      <c r="D98" s="130">
        <v>2600000</v>
      </c>
      <c r="E98" s="20" t="s">
        <v>522</v>
      </c>
      <c r="F98" s="20" t="s">
        <v>523</v>
      </c>
      <c r="G98" s="8" t="str">
        <f t="shared" si="2"/>
        <v>DAVIDSON DAVID</v>
      </c>
      <c r="H98" s="20" t="str">
        <f t="shared" si="3"/>
        <v>4010</v>
      </c>
    </row>
    <row r="99" spans="1:8" x14ac:dyDescent="0.25">
      <c r="A99" s="8">
        <v>43008.456064814818</v>
      </c>
      <c r="B99" s="20" t="s">
        <v>606</v>
      </c>
      <c r="C99" s="20" t="s">
        <v>707</v>
      </c>
      <c r="D99" s="130">
        <v>3040000</v>
      </c>
      <c r="E99" s="20" t="s">
        <v>509</v>
      </c>
      <c r="F99" s="20" t="s">
        <v>510</v>
      </c>
      <c r="G99" s="8" t="str">
        <f t="shared" si="2"/>
        <v>WILLIAMS DONTE</v>
      </c>
      <c r="H99" s="20" t="str">
        <f t="shared" si="3"/>
        <v>4020</v>
      </c>
    </row>
    <row r="100" spans="1:8" x14ac:dyDescent="0.25">
      <c r="A100" s="8">
        <v>43008.457175925927</v>
      </c>
      <c r="B100" s="20" t="s">
        <v>478</v>
      </c>
      <c r="C100" s="20" t="s">
        <v>708</v>
      </c>
      <c r="D100" s="130">
        <v>3090000</v>
      </c>
      <c r="E100" s="20" t="s">
        <v>657</v>
      </c>
      <c r="F100" s="20" t="s">
        <v>658</v>
      </c>
      <c r="G100" s="8" t="str">
        <f t="shared" si="2"/>
        <v>LAMAR NEKESHA</v>
      </c>
      <c r="H100" s="20" t="str">
        <f t="shared" si="3"/>
        <v>4018</v>
      </c>
    </row>
    <row r="101" spans="1:8" x14ac:dyDescent="0.25">
      <c r="A101" s="8">
        <v>43008.461909722224</v>
      </c>
      <c r="B101" s="20" t="s">
        <v>600</v>
      </c>
      <c r="C101" s="20" t="s">
        <v>709</v>
      </c>
      <c r="D101" s="130">
        <v>2550000</v>
      </c>
      <c r="E101" s="20" t="s">
        <v>513</v>
      </c>
      <c r="F101" s="20" t="s">
        <v>514</v>
      </c>
      <c r="G101" s="8" t="str">
        <f t="shared" si="2"/>
        <v>BADERTSCHER DIANE</v>
      </c>
      <c r="H101" s="20" t="str">
        <f t="shared" si="3"/>
        <v>4027</v>
      </c>
    </row>
    <row r="102" spans="1:8" x14ac:dyDescent="0.25">
      <c r="A102" s="8">
        <v>43008.464004629626</v>
      </c>
      <c r="B102" s="20" t="s">
        <v>627</v>
      </c>
      <c r="C102" s="20" t="s">
        <v>710</v>
      </c>
      <c r="D102" s="130">
        <v>3030000</v>
      </c>
      <c r="E102" s="20" t="s">
        <v>645</v>
      </c>
      <c r="F102" s="20" t="s">
        <v>646</v>
      </c>
      <c r="G102" s="8" t="str">
        <f t="shared" si="2"/>
        <v>BIRENBAUM THOMAS</v>
      </c>
      <c r="H102" s="20" t="str">
        <f t="shared" si="3"/>
        <v>4045</v>
      </c>
    </row>
    <row r="103" spans="1:8" x14ac:dyDescent="0.25">
      <c r="A103" s="8">
        <v>43008.467777777776</v>
      </c>
      <c r="B103" s="20" t="s">
        <v>432</v>
      </c>
      <c r="C103" s="20" t="s">
        <v>597</v>
      </c>
      <c r="D103" s="130">
        <v>920000</v>
      </c>
      <c r="E103" s="20" t="s">
        <v>342</v>
      </c>
      <c r="F103" s="20" t="s">
        <v>711</v>
      </c>
      <c r="G103" s="8" t="str">
        <f t="shared" si="2"/>
        <v>DAVIS MICHAEL</v>
      </c>
      <c r="H103" s="20" t="str">
        <f t="shared" si="3"/>
        <v>4052</v>
      </c>
    </row>
    <row r="104" spans="1:8" x14ac:dyDescent="0.25">
      <c r="A104" s="8">
        <v>43008.477719907409</v>
      </c>
      <c r="B104" s="20" t="s">
        <v>431</v>
      </c>
      <c r="C104" s="20" t="s">
        <v>598</v>
      </c>
      <c r="D104" s="130">
        <v>2600000</v>
      </c>
      <c r="E104" s="20" t="s">
        <v>522</v>
      </c>
      <c r="F104" s="20" t="s">
        <v>523</v>
      </c>
      <c r="G104" s="8" t="str">
        <f t="shared" si="2"/>
        <v>DAVIDSON DAVID</v>
      </c>
      <c r="H104" s="20" t="str">
        <f t="shared" si="3"/>
        <v>4009</v>
      </c>
    </row>
    <row r="105" spans="1:8" x14ac:dyDescent="0.25">
      <c r="A105" s="8">
        <v>43008.478715277779</v>
      </c>
      <c r="B105" s="20" t="s">
        <v>411</v>
      </c>
      <c r="C105" s="20" t="s">
        <v>712</v>
      </c>
      <c r="D105" s="130">
        <v>2630000</v>
      </c>
      <c r="E105" s="20" t="s">
        <v>713</v>
      </c>
      <c r="F105" s="20" t="s">
        <v>714</v>
      </c>
      <c r="G105" s="8" t="str">
        <f t="shared" si="2"/>
        <v>SAFIEF AEIMEN</v>
      </c>
      <c r="H105" s="20" t="str">
        <f t="shared" si="3"/>
        <v>4040</v>
      </c>
    </row>
    <row r="106" spans="1:8" x14ac:dyDescent="0.25">
      <c r="A106" s="8">
        <v>43008.482685185183</v>
      </c>
      <c r="B106" s="20" t="s">
        <v>410</v>
      </c>
      <c r="C106" s="20" t="s">
        <v>715</v>
      </c>
      <c r="D106" s="130">
        <v>3090000</v>
      </c>
      <c r="E106" s="20" t="s">
        <v>657</v>
      </c>
      <c r="F106" s="20" t="s">
        <v>658</v>
      </c>
      <c r="G106" s="8" t="str">
        <f t="shared" si="2"/>
        <v>LAMAR NEKESHA</v>
      </c>
      <c r="H106" s="20" t="str">
        <f t="shared" si="3"/>
        <v>4017</v>
      </c>
    </row>
    <row r="107" spans="1:8" x14ac:dyDescent="0.25">
      <c r="A107" s="8">
        <v>43008.485636574071</v>
      </c>
      <c r="B107" s="20" t="s">
        <v>505</v>
      </c>
      <c r="C107" s="20" t="s">
        <v>716</v>
      </c>
      <c r="D107" s="130">
        <v>2970000</v>
      </c>
      <c r="E107" s="20" t="s">
        <v>717</v>
      </c>
      <c r="F107" s="20" t="s">
        <v>718</v>
      </c>
      <c r="G107" s="8" t="str">
        <f t="shared" si="2"/>
        <v>GUZMAN DANNY</v>
      </c>
      <c r="H107" s="20" t="str">
        <f t="shared" si="3"/>
        <v>4056</v>
      </c>
    </row>
    <row r="108" spans="1:8" x14ac:dyDescent="0.25">
      <c r="A108" s="8">
        <v>43008.493703703702</v>
      </c>
      <c r="B108" s="20" t="s">
        <v>650</v>
      </c>
      <c r="C108" s="20" t="s">
        <v>719</v>
      </c>
      <c r="D108" s="130">
        <v>3040000</v>
      </c>
      <c r="E108" s="20" t="s">
        <v>509</v>
      </c>
      <c r="F108" s="20" t="s">
        <v>510</v>
      </c>
      <c r="G108" s="8" t="str">
        <f t="shared" si="2"/>
        <v>WILLIAMS DONTE</v>
      </c>
      <c r="H108" s="20" t="str">
        <f t="shared" si="3"/>
        <v>4019</v>
      </c>
    </row>
    <row r="109" spans="1:8" x14ac:dyDescent="0.25">
      <c r="A109" s="8">
        <v>43008.498564814814</v>
      </c>
      <c r="B109" s="20" t="s">
        <v>603</v>
      </c>
      <c r="C109" s="20" t="s">
        <v>720</v>
      </c>
      <c r="D109" s="130">
        <v>2550000</v>
      </c>
      <c r="E109" s="20" t="s">
        <v>513</v>
      </c>
      <c r="F109" s="20" t="s">
        <v>514</v>
      </c>
      <c r="G109" s="8" t="str">
        <f t="shared" si="2"/>
        <v>BADERTSCHER DIANE</v>
      </c>
      <c r="H109" s="20" t="str">
        <f t="shared" si="3"/>
        <v>4028</v>
      </c>
    </row>
    <row r="110" spans="1:8" x14ac:dyDescent="0.25">
      <c r="A110" s="8">
        <v>43008.504120370373</v>
      </c>
      <c r="B110" s="20" t="s">
        <v>478</v>
      </c>
      <c r="C110" s="20" t="s">
        <v>721</v>
      </c>
      <c r="D110" s="130">
        <v>3090000</v>
      </c>
      <c r="E110" s="20" t="s">
        <v>657</v>
      </c>
      <c r="F110" s="20" t="s">
        <v>658</v>
      </c>
      <c r="G110" s="8" t="str">
        <f t="shared" si="2"/>
        <v>LAMAR NEKESHA</v>
      </c>
      <c r="H110" s="20" t="str">
        <f t="shared" si="3"/>
        <v>4018</v>
      </c>
    </row>
    <row r="111" spans="1:8" x14ac:dyDescent="0.25">
      <c r="A111" s="8">
        <v>43008.507361111115</v>
      </c>
      <c r="B111" s="20" t="s">
        <v>433</v>
      </c>
      <c r="C111" s="20" t="s">
        <v>599</v>
      </c>
      <c r="D111" s="130">
        <v>920000</v>
      </c>
      <c r="E111" s="20" t="s">
        <v>342</v>
      </c>
      <c r="F111" s="20" t="s">
        <v>711</v>
      </c>
      <c r="G111" s="8" t="str">
        <f t="shared" si="2"/>
        <v>DAVIS MICHAEL</v>
      </c>
      <c r="H111" s="20" t="str">
        <f t="shared" si="3"/>
        <v>4051</v>
      </c>
    </row>
    <row r="112" spans="1:8" x14ac:dyDescent="0.25">
      <c r="A112" s="8">
        <v>43008.507696759261</v>
      </c>
      <c r="B112" s="20" t="s">
        <v>521</v>
      </c>
      <c r="C112" s="20" t="s">
        <v>722</v>
      </c>
      <c r="D112" s="130">
        <v>2350000</v>
      </c>
      <c r="E112" s="20" t="s">
        <v>487</v>
      </c>
      <c r="F112" s="20" t="s">
        <v>488</v>
      </c>
      <c r="G112" s="8" t="str">
        <f t="shared" si="2"/>
        <v>BERLING GARY</v>
      </c>
      <c r="H112" s="20" t="str">
        <f t="shared" si="3"/>
        <v>4046</v>
      </c>
    </row>
    <row r="113" spans="1:8" x14ac:dyDescent="0.25">
      <c r="A113" s="8">
        <v>43008.511550925927</v>
      </c>
      <c r="B113" s="20" t="s">
        <v>408</v>
      </c>
      <c r="C113" s="20" t="s">
        <v>723</v>
      </c>
      <c r="D113" s="130">
        <v>2630000</v>
      </c>
      <c r="E113" s="20" t="s">
        <v>713</v>
      </c>
      <c r="F113" s="20" t="s">
        <v>714</v>
      </c>
      <c r="G113" s="8" t="str">
        <f t="shared" si="2"/>
        <v>SAFIEF AEIMEN</v>
      </c>
      <c r="H113" s="20" t="str">
        <f t="shared" si="3"/>
        <v>4039</v>
      </c>
    </row>
    <row r="114" spans="1:8" x14ac:dyDescent="0.25">
      <c r="A114" s="8">
        <v>43008.517164351855</v>
      </c>
      <c r="B114" s="20" t="s">
        <v>504</v>
      </c>
      <c r="C114" s="20" t="s">
        <v>724</v>
      </c>
      <c r="D114" s="130">
        <v>2970000</v>
      </c>
      <c r="E114" s="20" t="s">
        <v>717</v>
      </c>
      <c r="F114" s="20" t="s">
        <v>718</v>
      </c>
      <c r="G114" s="8" t="str">
        <f t="shared" si="2"/>
        <v>GUZMAN DANNY</v>
      </c>
      <c r="H114" s="20" t="str">
        <f t="shared" si="3"/>
        <v>4055</v>
      </c>
    </row>
    <row r="115" spans="1:8" x14ac:dyDescent="0.25">
      <c r="A115" s="8">
        <v>43008.519780092596</v>
      </c>
      <c r="B115" s="20" t="s">
        <v>409</v>
      </c>
      <c r="C115" s="20" t="s">
        <v>725</v>
      </c>
      <c r="D115" s="130">
        <v>1770000</v>
      </c>
      <c r="E115" s="20" t="s">
        <v>515</v>
      </c>
      <c r="F115" s="20" t="s">
        <v>516</v>
      </c>
      <c r="G115" s="8" t="str">
        <f t="shared" si="2"/>
        <v>BRUDER RICHARD</v>
      </c>
      <c r="H115" s="20" t="str">
        <f t="shared" si="3"/>
        <v>4010</v>
      </c>
    </row>
    <row r="116" spans="1:8" x14ac:dyDescent="0.25">
      <c r="A116" s="8">
        <v>43008.525949074072</v>
      </c>
      <c r="B116" s="20" t="s">
        <v>410</v>
      </c>
      <c r="C116" s="20" t="s">
        <v>726</v>
      </c>
      <c r="D116" s="130">
        <v>3090000</v>
      </c>
      <c r="E116" s="20" t="s">
        <v>657</v>
      </c>
      <c r="F116" s="20" t="s">
        <v>658</v>
      </c>
      <c r="G116" s="8" t="str">
        <f t="shared" si="2"/>
        <v>LAMAR NEKESHA</v>
      </c>
      <c r="H116" s="20" t="str">
        <f t="shared" si="3"/>
        <v>4017</v>
      </c>
    </row>
    <row r="117" spans="1:8" x14ac:dyDescent="0.25">
      <c r="A117" s="8">
        <v>43008.530972222223</v>
      </c>
      <c r="B117" s="20" t="s">
        <v>606</v>
      </c>
      <c r="C117" s="20" t="s">
        <v>727</v>
      </c>
      <c r="D117" s="130">
        <v>2420000</v>
      </c>
      <c r="E117" s="20" t="s">
        <v>519</v>
      </c>
      <c r="F117" s="20" t="s">
        <v>520</v>
      </c>
      <c r="G117" s="8" t="str">
        <f t="shared" si="2"/>
        <v>HOLCOMB KAMDEN</v>
      </c>
      <c r="H117" s="20" t="str">
        <f t="shared" si="3"/>
        <v>4020</v>
      </c>
    </row>
    <row r="118" spans="1:8" x14ac:dyDescent="0.25">
      <c r="A118" s="8">
        <v>43008.532465277778</v>
      </c>
      <c r="B118" s="20" t="s">
        <v>600</v>
      </c>
      <c r="C118" s="20" t="s">
        <v>601</v>
      </c>
      <c r="D118" s="130">
        <v>2550000</v>
      </c>
      <c r="E118" s="20" t="s">
        <v>513</v>
      </c>
      <c r="F118" s="20" t="s">
        <v>514</v>
      </c>
      <c r="G118" s="8" t="str">
        <f t="shared" si="2"/>
        <v>BADERTSCHER DIANE</v>
      </c>
      <c r="H118" s="20" t="str">
        <f t="shared" si="3"/>
        <v>4027</v>
      </c>
    </row>
    <row r="119" spans="1:8" x14ac:dyDescent="0.25">
      <c r="A119" s="8">
        <v>43008.539456018516</v>
      </c>
      <c r="B119" s="20" t="s">
        <v>432</v>
      </c>
      <c r="C119" s="20" t="s">
        <v>728</v>
      </c>
      <c r="D119" s="130">
        <v>920000</v>
      </c>
      <c r="E119" s="20" t="s">
        <v>342</v>
      </c>
      <c r="F119" s="20" t="s">
        <v>711</v>
      </c>
      <c r="G119" s="8" t="str">
        <f t="shared" si="2"/>
        <v>DAVIS MICHAEL</v>
      </c>
      <c r="H119" s="20" t="str">
        <f t="shared" si="3"/>
        <v>4052</v>
      </c>
    </row>
    <row r="120" spans="1:8" x14ac:dyDescent="0.25">
      <c r="A120" s="8">
        <v>43008.543877314813</v>
      </c>
      <c r="B120" s="20" t="s">
        <v>478</v>
      </c>
      <c r="C120" s="20" t="s">
        <v>729</v>
      </c>
      <c r="D120" s="130">
        <v>3090000</v>
      </c>
      <c r="E120" s="20" t="s">
        <v>657</v>
      </c>
      <c r="F120" s="20" t="s">
        <v>658</v>
      </c>
      <c r="G120" s="8" t="str">
        <f t="shared" si="2"/>
        <v>LAMAR NEKESHA</v>
      </c>
      <c r="H120" s="20" t="str">
        <f t="shared" si="3"/>
        <v>4018</v>
      </c>
    </row>
    <row r="121" spans="1:8" x14ac:dyDescent="0.25">
      <c r="A121" s="8">
        <v>43008.544178240743</v>
      </c>
      <c r="B121" s="20" t="s">
        <v>627</v>
      </c>
      <c r="C121" s="20" t="s">
        <v>730</v>
      </c>
      <c r="D121" s="130">
        <v>2350000</v>
      </c>
      <c r="E121" s="20" t="s">
        <v>487</v>
      </c>
      <c r="F121" s="20" t="s">
        <v>488</v>
      </c>
      <c r="G121" s="8" t="str">
        <f t="shared" si="2"/>
        <v>BERLING GARY</v>
      </c>
      <c r="H121" s="20" t="str">
        <f t="shared" si="3"/>
        <v>4045</v>
      </c>
    </row>
    <row r="122" spans="1:8" x14ac:dyDescent="0.25">
      <c r="A122" s="8">
        <v>43008.549884259257</v>
      </c>
      <c r="B122" s="25" t="s">
        <v>411</v>
      </c>
      <c r="C122" s="20" t="s">
        <v>731</v>
      </c>
      <c r="D122" s="130">
        <v>2630000</v>
      </c>
      <c r="E122" s="20" t="s">
        <v>713</v>
      </c>
      <c r="F122" s="20" t="s">
        <v>714</v>
      </c>
      <c r="G122" s="8" t="str">
        <f t="shared" si="2"/>
        <v>SAFIEF AEIMEN</v>
      </c>
      <c r="H122" s="20" t="str">
        <f t="shared" si="3"/>
        <v>4040</v>
      </c>
    </row>
    <row r="123" spans="1:8" x14ac:dyDescent="0.25">
      <c r="A123" s="8">
        <v>43008.557442129626</v>
      </c>
      <c r="B123" s="20" t="s">
        <v>431</v>
      </c>
      <c r="C123" s="20" t="s">
        <v>732</v>
      </c>
      <c r="D123" s="130">
        <v>1770000</v>
      </c>
      <c r="E123" s="20" t="s">
        <v>515</v>
      </c>
      <c r="F123" s="20" t="s">
        <v>516</v>
      </c>
      <c r="G123" s="8" t="str">
        <f t="shared" si="2"/>
        <v>BRUDER RICHARD</v>
      </c>
      <c r="H123" s="20" t="str">
        <f t="shared" si="3"/>
        <v>4009</v>
      </c>
    </row>
    <row r="124" spans="1:8" x14ac:dyDescent="0.25">
      <c r="A124" s="8">
        <v>43008.558518518519</v>
      </c>
      <c r="B124" s="20" t="s">
        <v>505</v>
      </c>
      <c r="C124" s="20" t="s">
        <v>733</v>
      </c>
      <c r="D124" s="130">
        <v>2970000</v>
      </c>
      <c r="E124" s="20" t="s">
        <v>717</v>
      </c>
      <c r="F124" s="20" t="s">
        <v>718</v>
      </c>
      <c r="G124" s="8" t="str">
        <f t="shared" si="2"/>
        <v>GUZMAN DANNY</v>
      </c>
      <c r="H124" s="20" t="str">
        <f t="shared" si="3"/>
        <v>4056</v>
      </c>
    </row>
    <row r="125" spans="1:8" x14ac:dyDescent="0.25">
      <c r="A125" s="8">
        <v>43008.568078703705</v>
      </c>
      <c r="B125" s="20" t="s">
        <v>650</v>
      </c>
      <c r="C125" s="20" t="s">
        <v>734</v>
      </c>
      <c r="D125" s="130">
        <v>2420000</v>
      </c>
      <c r="E125" s="20" t="s">
        <v>519</v>
      </c>
      <c r="F125" s="20" t="s">
        <v>520</v>
      </c>
      <c r="G125" s="8" t="str">
        <f t="shared" si="2"/>
        <v>HOLCOMB KAMDEN</v>
      </c>
      <c r="H125" s="20" t="str">
        <f t="shared" si="3"/>
        <v>4019</v>
      </c>
    </row>
    <row r="126" spans="1:8" x14ac:dyDescent="0.25">
      <c r="A126" s="8">
        <v>43008.568611111114</v>
      </c>
      <c r="B126" s="20" t="s">
        <v>410</v>
      </c>
      <c r="C126" s="20" t="s">
        <v>735</v>
      </c>
      <c r="D126" s="130">
        <v>3090000</v>
      </c>
      <c r="E126" s="20" t="s">
        <v>657</v>
      </c>
      <c r="F126" s="20" t="s">
        <v>658</v>
      </c>
      <c r="G126" s="8" t="str">
        <f t="shared" si="2"/>
        <v>LAMAR NEKESHA</v>
      </c>
      <c r="H126" s="20" t="str">
        <f t="shared" si="3"/>
        <v>4017</v>
      </c>
    </row>
    <row r="127" spans="1:8" x14ac:dyDescent="0.25">
      <c r="A127" s="8">
        <v>43008.569247685184</v>
      </c>
      <c r="B127" s="20" t="s">
        <v>603</v>
      </c>
      <c r="C127" s="20" t="s">
        <v>604</v>
      </c>
      <c r="D127" s="130">
        <v>2550000</v>
      </c>
      <c r="E127" s="20" t="s">
        <v>513</v>
      </c>
      <c r="F127" s="20" t="s">
        <v>514</v>
      </c>
      <c r="G127" s="8" t="str">
        <f t="shared" si="2"/>
        <v>BADERTSCHER DIANE</v>
      </c>
      <c r="H127" s="20" t="str">
        <f t="shared" si="3"/>
        <v>4028</v>
      </c>
    </row>
    <row r="128" spans="1:8" x14ac:dyDescent="0.25">
      <c r="A128" s="8">
        <v>43008.579270833332</v>
      </c>
      <c r="B128" s="20" t="s">
        <v>521</v>
      </c>
      <c r="C128" s="20" t="s">
        <v>602</v>
      </c>
      <c r="D128" s="130">
        <v>2350000</v>
      </c>
      <c r="E128" s="20" t="s">
        <v>487</v>
      </c>
      <c r="F128" s="20" t="s">
        <v>488</v>
      </c>
      <c r="G128" s="8" t="str">
        <f t="shared" si="2"/>
        <v>BERLING GARY</v>
      </c>
      <c r="H128" s="20" t="str">
        <f t="shared" si="3"/>
        <v>4046</v>
      </c>
    </row>
    <row r="129" spans="1:8" x14ac:dyDescent="0.25">
      <c r="A129" s="8">
        <v>43008.580648148149</v>
      </c>
      <c r="B129" s="20" t="s">
        <v>408</v>
      </c>
      <c r="C129" s="20" t="s">
        <v>736</v>
      </c>
      <c r="D129" s="130">
        <v>2630000</v>
      </c>
      <c r="E129" s="20" t="s">
        <v>713</v>
      </c>
      <c r="F129" s="20" t="s">
        <v>714</v>
      </c>
      <c r="G129" s="8" t="str">
        <f t="shared" si="2"/>
        <v>SAFIEF AEIMEN</v>
      </c>
      <c r="H129" s="20" t="str">
        <f t="shared" si="3"/>
        <v>4039</v>
      </c>
    </row>
    <row r="130" spans="1:8" x14ac:dyDescent="0.25">
      <c r="A130" s="8">
        <v>43008.580868055556</v>
      </c>
      <c r="B130" s="20" t="s">
        <v>433</v>
      </c>
      <c r="C130" s="20" t="s">
        <v>737</v>
      </c>
      <c r="D130" s="130">
        <v>920000</v>
      </c>
      <c r="E130" s="20" t="s">
        <v>342</v>
      </c>
      <c r="F130" s="20" t="s">
        <v>711</v>
      </c>
      <c r="G130" s="8" t="str">
        <f t="shared" si="2"/>
        <v>DAVIS MICHAEL</v>
      </c>
      <c r="H130" s="20" t="str">
        <f t="shared" si="3"/>
        <v>4051</v>
      </c>
    </row>
    <row r="131" spans="1:8" x14ac:dyDescent="0.25">
      <c r="A131" s="8">
        <v>43008.584039351852</v>
      </c>
      <c r="B131" s="20" t="s">
        <v>478</v>
      </c>
      <c r="C131" s="20" t="s">
        <v>605</v>
      </c>
      <c r="D131" s="130">
        <v>2230000</v>
      </c>
      <c r="E131" s="20" t="s">
        <v>738</v>
      </c>
      <c r="F131" s="20" t="s">
        <v>711</v>
      </c>
      <c r="G131" s="8" t="str">
        <f t="shared" ref="G131:G194" si="4">E131&amp;" "&amp;F131</f>
        <v>SMITH MICHAEL</v>
      </c>
      <c r="H131" s="20" t="str">
        <f t="shared" ref="H131:H194" si="5">MID(B131,13,4)</f>
        <v>4018</v>
      </c>
    </row>
    <row r="132" spans="1:8" x14ac:dyDescent="0.25">
      <c r="A132" s="8">
        <v>43008.588912037034</v>
      </c>
      <c r="B132" s="20" t="s">
        <v>504</v>
      </c>
      <c r="C132" s="20" t="s">
        <v>739</v>
      </c>
      <c r="D132" s="130">
        <v>2970000</v>
      </c>
      <c r="E132" s="20" t="s">
        <v>717</v>
      </c>
      <c r="F132" s="20" t="s">
        <v>718</v>
      </c>
      <c r="G132" s="8" t="str">
        <f t="shared" si="4"/>
        <v>GUZMAN DANNY</v>
      </c>
      <c r="H132" s="20" t="str">
        <f t="shared" si="5"/>
        <v>4055</v>
      </c>
    </row>
    <row r="133" spans="1:8" x14ac:dyDescent="0.25">
      <c r="A133" s="8">
        <v>43008.59002314815</v>
      </c>
      <c r="B133" s="20" t="s">
        <v>409</v>
      </c>
      <c r="C133" s="20" t="s">
        <v>740</v>
      </c>
      <c r="D133" s="130">
        <v>1770000</v>
      </c>
      <c r="E133" s="20" t="s">
        <v>515</v>
      </c>
      <c r="F133" s="20" t="s">
        <v>516</v>
      </c>
      <c r="G133" s="8" t="str">
        <f t="shared" si="4"/>
        <v>BRUDER RICHARD</v>
      </c>
      <c r="H133" s="20" t="str">
        <f t="shared" si="5"/>
        <v>4010</v>
      </c>
    </row>
    <row r="134" spans="1:8" x14ac:dyDescent="0.25">
      <c r="A134" s="8">
        <v>43008.590208333335</v>
      </c>
      <c r="B134" s="20" t="s">
        <v>478</v>
      </c>
      <c r="C134" s="20" t="s">
        <v>605</v>
      </c>
      <c r="D134" s="130">
        <v>2230000</v>
      </c>
      <c r="E134" s="20" t="s">
        <v>738</v>
      </c>
      <c r="F134" s="20" t="s">
        <v>711</v>
      </c>
      <c r="G134" s="8" t="str">
        <f t="shared" si="4"/>
        <v>SMITH MICHAEL</v>
      </c>
      <c r="H134" s="20" t="str">
        <f t="shared" si="5"/>
        <v>4018</v>
      </c>
    </row>
    <row r="135" spans="1:8" x14ac:dyDescent="0.25">
      <c r="A135" s="8">
        <v>43008.599340277775</v>
      </c>
      <c r="B135" s="20" t="s">
        <v>606</v>
      </c>
      <c r="C135" s="20" t="s">
        <v>607</v>
      </c>
      <c r="D135" s="130">
        <v>2420000</v>
      </c>
      <c r="E135" s="20" t="s">
        <v>519</v>
      </c>
      <c r="F135" s="20" t="s">
        <v>520</v>
      </c>
      <c r="G135" s="8" t="str">
        <f t="shared" si="4"/>
        <v>HOLCOMB KAMDEN</v>
      </c>
      <c r="H135" s="20" t="str">
        <f t="shared" si="5"/>
        <v>4020</v>
      </c>
    </row>
    <row r="136" spans="1:8" x14ac:dyDescent="0.25">
      <c r="A136" s="8">
        <v>43008.603692129633</v>
      </c>
      <c r="B136" s="20" t="s">
        <v>410</v>
      </c>
      <c r="C136" s="20" t="s">
        <v>741</v>
      </c>
      <c r="D136" s="130">
        <v>2230000</v>
      </c>
      <c r="E136" s="20" t="s">
        <v>738</v>
      </c>
      <c r="F136" s="20" t="s">
        <v>711</v>
      </c>
      <c r="G136" s="8" t="str">
        <f t="shared" si="4"/>
        <v>SMITH MICHAEL</v>
      </c>
      <c r="H136" s="20" t="str">
        <f t="shared" si="5"/>
        <v>4017</v>
      </c>
    </row>
    <row r="137" spans="1:8" x14ac:dyDescent="0.25">
      <c r="A137" s="8">
        <v>43008.605451388888</v>
      </c>
      <c r="B137" s="20" t="s">
        <v>600</v>
      </c>
      <c r="C137" s="20" t="s">
        <v>742</v>
      </c>
      <c r="D137" s="130">
        <v>2550000</v>
      </c>
      <c r="E137" s="20" t="s">
        <v>513</v>
      </c>
      <c r="F137" s="20" t="s">
        <v>514</v>
      </c>
      <c r="G137" s="8" t="str">
        <f t="shared" si="4"/>
        <v>BADERTSCHER DIANE</v>
      </c>
      <c r="H137" s="20" t="str">
        <f t="shared" si="5"/>
        <v>4027</v>
      </c>
    </row>
    <row r="138" spans="1:8" x14ac:dyDescent="0.25">
      <c r="A138" s="8">
        <v>43008.612280092595</v>
      </c>
      <c r="B138" s="20" t="s">
        <v>432</v>
      </c>
      <c r="C138" s="20" t="s">
        <v>743</v>
      </c>
      <c r="D138" s="130">
        <v>920000</v>
      </c>
      <c r="E138" s="20" t="s">
        <v>342</v>
      </c>
      <c r="F138" s="20" t="s">
        <v>711</v>
      </c>
      <c r="G138" s="8" t="str">
        <f t="shared" si="4"/>
        <v>DAVIS MICHAEL</v>
      </c>
      <c r="H138" s="20" t="str">
        <f t="shared" si="5"/>
        <v>4052</v>
      </c>
    </row>
    <row r="139" spans="1:8" x14ac:dyDescent="0.25">
      <c r="A139" s="8">
        <v>43008.615300925929</v>
      </c>
      <c r="B139" s="20" t="s">
        <v>627</v>
      </c>
      <c r="C139" s="20" t="s">
        <v>744</v>
      </c>
      <c r="D139" s="130">
        <v>2350000</v>
      </c>
      <c r="E139" s="20" t="s">
        <v>487</v>
      </c>
      <c r="F139" s="20" t="s">
        <v>488</v>
      </c>
      <c r="G139" s="8" t="str">
        <f t="shared" si="4"/>
        <v>BERLING GARY</v>
      </c>
      <c r="H139" s="20" t="str">
        <f t="shared" si="5"/>
        <v>4045</v>
      </c>
    </row>
    <row r="140" spans="1:8" x14ac:dyDescent="0.25">
      <c r="A140" s="8">
        <v>43008.622303240743</v>
      </c>
      <c r="B140" s="20" t="s">
        <v>411</v>
      </c>
      <c r="C140" s="20" t="s">
        <v>745</v>
      </c>
      <c r="D140" s="130">
        <v>2630000</v>
      </c>
      <c r="E140" s="20" t="s">
        <v>713</v>
      </c>
      <c r="F140" s="20" t="s">
        <v>714</v>
      </c>
      <c r="G140" s="8" t="str">
        <f t="shared" si="4"/>
        <v>SAFIEF AEIMEN</v>
      </c>
      <c r="H140" s="20" t="str">
        <f t="shared" si="5"/>
        <v>4040</v>
      </c>
    </row>
    <row r="141" spans="1:8" x14ac:dyDescent="0.25">
      <c r="A141" s="8">
        <v>43008.624803240738</v>
      </c>
      <c r="B141" s="20" t="s">
        <v>478</v>
      </c>
      <c r="C141" s="20" t="s">
        <v>746</v>
      </c>
      <c r="D141" s="130">
        <v>2230000</v>
      </c>
      <c r="E141" s="20" t="s">
        <v>738</v>
      </c>
      <c r="F141" s="20" t="s">
        <v>711</v>
      </c>
      <c r="G141" s="8" t="str">
        <f t="shared" si="4"/>
        <v>SMITH MICHAEL</v>
      </c>
      <c r="H141" s="20" t="str">
        <f t="shared" si="5"/>
        <v>4018</v>
      </c>
    </row>
    <row r="142" spans="1:8" x14ac:dyDescent="0.25">
      <c r="A142" s="8">
        <v>43008.630335648151</v>
      </c>
      <c r="B142" s="20" t="s">
        <v>505</v>
      </c>
      <c r="C142" s="20" t="s">
        <v>747</v>
      </c>
      <c r="D142" s="130">
        <v>2970000</v>
      </c>
      <c r="E142" s="20" t="s">
        <v>717</v>
      </c>
      <c r="F142" s="20" t="s">
        <v>718</v>
      </c>
      <c r="G142" s="8" t="str">
        <f t="shared" si="4"/>
        <v>GUZMAN DANNY</v>
      </c>
      <c r="H142" s="20" t="str">
        <f t="shared" si="5"/>
        <v>4056</v>
      </c>
    </row>
    <row r="143" spans="1:8" x14ac:dyDescent="0.25">
      <c r="A143" s="8">
        <v>43008.630856481483</v>
      </c>
      <c r="B143" s="20" t="s">
        <v>431</v>
      </c>
      <c r="C143" s="20" t="s">
        <v>748</v>
      </c>
      <c r="D143" s="130">
        <v>1770000</v>
      </c>
      <c r="E143" s="20" t="s">
        <v>515</v>
      </c>
      <c r="F143" s="20" t="s">
        <v>516</v>
      </c>
      <c r="G143" s="8" t="str">
        <f t="shared" si="4"/>
        <v>BRUDER RICHARD</v>
      </c>
      <c r="H143" s="20" t="str">
        <f t="shared" si="5"/>
        <v>4009</v>
      </c>
    </row>
    <row r="144" spans="1:8" x14ac:dyDescent="0.25">
      <c r="A144" s="8">
        <v>43008.636064814818</v>
      </c>
      <c r="B144" s="20" t="s">
        <v>650</v>
      </c>
      <c r="C144" s="20" t="s">
        <v>749</v>
      </c>
      <c r="D144" s="130">
        <v>2420000</v>
      </c>
      <c r="E144" s="20" t="s">
        <v>519</v>
      </c>
      <c r="F144" s="20" t="s">
        <v>520</v>
      </c>
      <c r="G144" s="8" t="str">
        <f t="shared" si="4"/>
        <v>HOLCOMB KAMDEN</v>
      </c>
      <c r="H144" s="20" t="str">
        <f t="shared" si="5"/>
        <v>4019</v>
      </c>
    </row>
    <row r="145" spans="1:8" x14ac:dyDescent="0.25">
      <c r="A145" s="8">
        <v>43008.642418981479</v>
      </c>
      <c r="B145" s="20" t="s">
        <v>603</v>
      </c>
      <c r="C145" s="20" t="s">
        <v>750</v>
      </c>
      <c r="D145" s="130">
        <v>2550000</v>
      </c>
      <c r="E145" s="20" t="s">
        <v>513</v>
      </c>
      <c r="F145" s="20" t="s">
        <v>514</v>
      </c>
      <c r="G145" s="8" t="str">
        <f t="shared" si="4"/>
        <v>BADERTSCHER DIANE</v>
      </c>
      <c r="H145" s="20" t="str">
        <f t="shared" si="5"/>
        <v>4028</v>
      </c>
    </row>
    <row r="146" spans="1:8" x14ac:dyDescent="0.25">
      <c r="A146" s="8">
        <v>43008.64435185185</v>
      </c>
      <c r="B146" s="20" t="s">
        <v>410</v>
      </c>
      <c r="C146" s="20" t="s">
        <v>751</v>
      </c>
      <c r="D146" s="130">
        <v>2230000</v>
      </c>
      <c r="E146" s="20" t="s">
        <v>738</v>
      </c>
      <c r="F146" s="20" t="s">
        <v>711</v>
      </c>
      <c r="G146" s="8" t="str">
        <f t="shared" si="4"/>
        <v>SMITH MICHAEL</v>
      </c>
      <c r="H146" s="20" t="str">
        <f t="shared" si="5"/>
        <v>4017</v>
      </c>
    </row>
    <row r="147" spans="1:8" x14ac:dyDescent="0.25">
      <c r="A147" s="8">
        <v>43008.651782407411</v>
      </c>
      <c r="B147" s="20" t="s">
        <v>521</v>
      </c>
      <c r="C147" s="20" t="s">
        <v>752</v>
      </c>
      <c r="D147" s="130">
        <v>2350000</v>
      </c>
      <c r="E147" s="20" t="s">
        <v>487</v>
      </c>
      <c r="F147" s="20" t="s">
        <v>488</v>
      </c>
      <c r="G147" s="8" t="str">
        <f t="shared" si="4"/>
        <v>BERLING GARY</v>
      </c>
      <c r="H147" s="20" t="str">
        <f t="shared" si="5"/>
        <v>4046</v>
      </c>
    </row>
    <row r="148" spans="1:8" x14ac:dyDescent="0.25">
      <c r="A148" s="8">
        <v>43008.652430555558</v>
      </c>
      <c r="B148" s="20" t="s">
        <v>433</v>
      </c>
      <c r="C148" s="20" t="s">
        <v>753</v>
      </c>
      <c r="D148" s="130">
        <v>920000</v>
      </c>
      <c r="E148" s="20" t="s">
        <v>342</v>
      </c>
      <c r="F148" s="20" t="s">
        <v>711</v>
      </c>
      <c r="G148" s="8" t="str">
        <f t="shared" si="4"/>
        <v>DAVIS MICHAEL</v>
      </c>
      <c r="H148" s="20" t="str">
        <f t="shared" si="5"/>
        <v>4051</v>
      </c>
    </row>
    <row r="149" spans="1:8" x14ac:dyDescent="0.25">
      <c r="A149" s="8">
        <v>43008.652731481481</v>
      </c>
      <c r="B149" s="20" t="s">
        <v>408</v>
      </c>
      <c r="C149" s="20" t="s">
        <v>754</v>
      </c>
      <c r="D149" s="130">
        <v>2630000</v>
      </c>
      <c r="E149" s="20" t="s">
        <v>713</v>
      </c>
      <c r="F149" s="20" t="s">
        <v>714</v>
      </c>
      <c r="G149" s="8" t="str">
        <f t="shared" si="4"/>
        <v>SAFIEF AEIMEN</v>
      </c>
      <c r="H149" s="20" t="str">
        <f t="shared" si="5"/>
        <v>4039</v>
      </c>
    </row>
    <row r="150" spans="1:8" x14ac:dyDescent="0.25">
      <c r="A150" s="8">
        <v>43008.66300925926</v>
      </c>
      <c r="B150" s="20" t="s">
        <v>504</v>
      </c>
      <c r="C150" s="20" t="s">
        <v>755</v>
      </c>
      <c r="D150" s="130">
        <v>2970000</v>
      </c>
      <c r="E150" s="20" t="s">
        <v>717</v>
      </c>
      <c r="F150" s="20" t="s">
        <v>718</v>
      </c>
      <c r="G150" s="8" t="str">
        <f t="shared" si="4"/>
        <v>GUZMAN DANNY</v>
      </c>
      <c r="H150" s="20" t="str">
        <f t="shared" si="5"/>
        <v>4055</v>
      </c>
    </row>
    <row r="151" spans="1:8" x14ac:dyDescent="0.25">
      <c r="A151" s="8">
        <v>43008.663472222222</v>
      </c>
      <c r="B151" s="20" t="s">
        <v>409</v>
      </c>
      <c r="C151" s="20" t="s">
        <v>756</v>
      </c>
      <c r="D151" s="130">
        <v>1770000</v>
      </c>
      <c r="E151" s="20" t="s">
        <v>515</v>
      </c>
      <c r="F151" s="20" t="s">
        <v>516</v>
      </c>
      <c r="G151" s="8" t="str">
        <f t="shared" si="4"/>
        <v>BRUDER RICHARD</v>
      </c>
      <c r="H151" s="20" t="str">
        <f t="shared" si="5"/>
        <v>4010</v>
      </c>
    </row>
    <row r="152" spans="1:8" x14ac:dyDescent="0.25">
      <c r="A152" s="8">
        <v>43008.666851851849</v>
      </c>
      <c r="B152" s="20" t="s">
        <v>478</v>
      </c>
      <c r="C152" s="20" t="s">
        <v>757</v>
      </c>
      <c r="D152" s="130">
        <v>2230000</v>
      </c>
      <c r="E152" s="20" t="s">
        <v>738</v>
      </c>
      <c r="F152" s="20" t="s">
        <v>711</v>
      </c>
      <c r="G152" s="8" t="str">
        <f t="shared" si="4"/>
        <v>SMITH MICHAEL</v>
      </c>
      <c r="H152" s="20" t="str">
        <f t="shared" si="5"/>
        <v>4018</v>
      </c>
    </row>
    <row r="153" spans="1:8" x14ac:dyDescent="0.25">
      <c r="A153" s="8">
        <v>43008.672546296293</v>
      </c>
      <c r="B153" s="20" t="s">
        <v>606</v>
      </c>
      <c r="C153" s="20" t="s">
        <v>758</v>
      </c>
      <c r="D153" s="130">
        <v>2420000</v>
      </c>
      <c r="E153" s="20" t="s">
        <v>519</v>
      </c>
      <c r="F153" s="20" t="s">
        <v>520</v>
      </c>
      <c r="G153" s="8" t="str">
        <f t="shared" si="4"/>
        <v>HOLCOMB KAMDEN</v>
      </c>
      <c r="H153" s="20" t="str">
        <f t="shared" si="5"/>
        <v>4020</v>
      </c>
    </row>
    <row r="154" spans="1:8" x14ac:dyDescent="0.25">
      <c r="A154" s="8">
        <v>43008.679178240738</v>
      </c>
      <c r="B154" s="20" t="s">
        <v>600</v>
      </c>
      <c r="C154" s="20" t="s">
        <v>759</v>
      </c>
      <c r="D154" s="130">
        <v>2550000</v>
      </c>
      <c r="E154" s="20" t="s">
        <v>513</v>
      </c>
      <c r="F154" s="20" t="s">
        <v>514</v>
      </c>
      <c r="G154" s="8" t="str">
        <f t="shared" si="4"/>
        <v>BADERTSCHER DIANE</v>
      </c>
      <c r="H154" s="20" t="str">
        <f t="shared" si="5"/>
        <v>4027</v>
      </c>
    </row>
    <row r="155" spans="1:8" x14ac:dyDescent="0.25">
      <c r="A155" s="8">
        <v>43008.682615740741</v>
      </c>
      <c r="B155" s="20" t="s">
        <v>652</v>
      </c>
      <c r="C155" s="20" t="s">
        <v>760</v>
      </c>
      <c r="D155" s="130">
        <v>2540000</v>
      </c>
      <c r="E155" s="20" t="s">
        <v>485</v>
      </c>
      <c r="F155" s="20" t="s">
        <v>486</v>
      </c>
      <c r="G155" s="8" t="str">
        <f t="shared" si="4"/>
        <v>MCREYNOLDS KYLE</v>
      </c>
      <c r="H155" s="20" t="str">
        <f t="shared" si="5"/>
        <v>4004</v>
      </c>
    </row>
    <row r="156" spans="1:8" x14ac:dyDescent="0.25">
      <c r="A156" s="8">
        <v>43008.685011574074</v>
      </c>
      <c r="B156" s="20" t="s">
        <v>410</v>
      </c>
      <c r="C156" s="20" t="s">
        <v>761</v>
      </c>
      <c r="D156" s="130">
        <v>2230000</v>
      </c>
      <c r="E156" s="20" t="s">
        <v>738</v>
      </c>
      <c r="F156" s="20" t="s">
        <v>711</v>
      </c>
      <c r="G156" s="8" t="str">
        <f t="shared" si="4"/>
        <v>SMITH MICHAEL</v>
      </c>
      <c r="H156" s="20" t="str">
        <f t="shared" si="5"/>
        <v>4017</v>
      </c>
    </row>
    <row r="157" spans="1:8" x14ac:dyDescent="0.25">
      <c r="A157" s="8">
        <v>43008.686238425929</v>
      </c>
      <c r="B157" s="20" t="s">
        <v>432</v>
      </c>
      <c r="C157" s="20" t="s">
        <v>762</v>
      </c>
      <c r="D157" s="130">
        <v>920000</v>
      </c>
      <c r="E157" s="20" t="s">
        <v>342</v>
      </c>
      <c r="F157" s="20" t="s">
        <v>711</v>
      </c>
      <c r="G157" s="8" t="str">
        <f t="shared" si="4"/>
        <v>DAVIS MICHAEL</v>
      </c>
      <c r="H157" s="20" t="str">
        <f t="shared" si="5"/>
        <v>4052</v>
      </c>
    </row>
    <row r="158" spans="1:8" x14ac:dyDescent="0.25">
      <c r="A158" s="8">
        <v>43008.693240740744</v>
      </c>
      <c r="B158" s="20" t="s">
        <v>627</v>
      </c>
      <c r="C158" s="20" t="s">
        <v>763</v>
      </c>
      <c r="D158" s="130">
        <v>2350000</v>
      </c>
      <c r="E158" s="20" t="s">
        <v>487</v>
      </c>
      <c r="F158" s="20" t="s">
        <v>488</v>
      </c>
      <c r="G158" s="8" t="str">
        <f t="shared" si="4"/>
        <v>BERLING GARY</v>
      </c>
      <c r="H158" s="20" t="str">
        <f t="shared" si="5"/>
        <v>4045</v>
      </c>
    </row>
    <row r="159" spans="1:8" x14ac:dyDescent="0.25">
      <c r="A159" s="8">
        <v>43008.695763888885</v>
      </c>
      <c r="B159" s="20" t="s">
        <v>411</v>
      </c>
      <c r="C159" s="20" t="s">
        <v>764</v>
      </c>
      <c r="D159" s="130">
        <v>2630000</v>
      </c>
      <c r="E159" s="20" t="s">
        <v>713</v>
      </c>
      <c r="F159" s="20" t="s">
        <v>714</v>
      </c>
      <c r="G159" s="8" t="str">
        <f t="shared" si="4"/>
        <v>SAFIEF AEIMEN</v>
      </c>
      <c r="H159" s="20" t="str">
        <f t="shared" si="5"/>
        <v>4040</v>
      </c>
    </row>
    <row r="160" spans="1:8" x14ac:dyDescent="0.25">
      <c r="A160" s="8">
        <v>43008.703113425923</v>
      </c>
      <c r="B160" s="20" t="s">
        <v>431</v>
      </c>
      <c r="C160" s="20" t="s">
        <v>765</v>
      </c>
      <c r="D160" s="130">
        <v>1770000</v>
      </c>
      <c r="E160" s="20" t="s">
        <v>515</v>
      </c>
      <c r="F160" s="20" t="s">
        <v>516</v>
      </c>
      <c r="G160" s="8" t="str">
        <f t="shared" si="4"/>
        <v>BRUDER RICHARD</v>
      </c>
      <c r="H160" s="20" t="str">
        <f t="shared" si="5"/>
        <v>4009</v>
      </c>
    </row>
    <row r="161" spans="1:8" x14ac:dyDescent="0.25">
      <c r="A161" s="8">
        <v>43008.704733796294</v>
      </c>
      <c r="B161" s="20" t="s">
        <v>505</v>
      </c>
      <c r="C161" s="20" t="s">
        <v>766</v>
      </c>
      <c r="D161" s="130">
        <v>2970000</v>
      </c>
      <c r="E161" s="20" t="s">
        <v>717</v>
      </c>
      <c r="F161" s="20" t="s">
        <v>718</v>
      </c>
      <c r="G161" s="8" t="str">
        <f t="shared" si="4"/>
        <v>GUZMAN DANNY</v>
      </c>
      <c r="H161" s="20" t="str">
        <f t="shared" si="5"/>
        <v>4056</v>
      </c>
    </row>
    <row r="162" spans="1:8" x14ac:dyDescent="0.25">
      <c r="A162" s="8">
        <v>43008.709004629629</v>
      </c>
      <c r="B162" s="20" t="s">
        <v>478</v>
      </c>
      <c r="C162" s="20" t="s">
        <v>767</v>
      </c>
      <c r="D162" s="130">
        <v>2230000</v>
      </c>
      <c r="E162" s="20" t="s">
        <v>738</v>
      </c>
      <c r="F162" s="20" t="s">
        <v>711</v>
      </c>
      <c r="G162" s="8" t="str">
        <f t="shared" si="4"/>
        <v>SMITH MICHAEL</v>
      </c>
      <c r="H162" s="20" t="str">
        <f t="shared" si="5"/>
        <v>4018</v>
      </c>
    </row>
    <row r="163" spans="1:8" x14ac:dyDescent="0.25">
      <c r="A163" s="8">
        <v>43008.715069444443</v>
      </c>
      <c r="B163" s="20" t="s">
        <v>650</v>
      </c>
      <c r="C163" s="20" t="s">
        <v>768</v>
      </c>
      <c r="D163" s="130">
        <v>2420000</v>
      </c>
      <c r="E163" s="20" t="s">
        <v>519</v>
      </c>
      <c r="F163" s="20" t="s">
        <v>520</v>
      </c>
      <c r="G163" s="8" t="str">
        <f t="shared" si="4"/>
        <v>HOLCOMB KAMDEN</v>
      </c>
      <c r="H163" s="20" t="str">
        <f t="shared" si="5"/>
        <v>4019</v>
      </c>
    </row>
    <row r="164" spans="1:8" x14ac:dyDescent="0.25">
      <c r="A164" s="8">
        <v>43008.715555555558</v>
      </c>
      <c r="B164" s="20" t="s">
        <v>603</v>
      </c>
      <c r="C164" s="20" t="s">
        <v>769</v>
      </c>
      <c r="D164" s="130">
        <v>2550000</v>
      </c>
      <c r="E164" s="20" t="s">
        <v>513</v>
      </c>
      <c r="F164" s="20" t="s">
        <v>514</v>
      </c>
      <c r="G164" s="8" t="str">
        <f t="shared" si="4"/>
        <v>BADERTSCHER DIANE</v>
      </c>
      <c r="H164" s="20" t="str">
        <f t="shared" si="5"/>
        <v>4028</v>
      </c>
    </row>
    <row r="165" spans="1:8" x14ac:dyDescent="0.25">
      <c r="A165" s="8">
        <v>43008.722951388889</v>
      </c>
      <c r="B165" s="20" t="s">
        <v>770</v>
      </c>
      <c r="C165" s="20" t="s">
        <v>760</v>
      </c>
      <c r="D165" s="130">
        <v>3330000</v>
      </c>
      <c r="E165" s="20" t="s">
        <v>517</v>
      </c>
      <c r="F165" s="20" t="s">
        <v>518</v>
      </c>
      <c r="G165" s="8" t="str">
        <f t="shared" si="4"/>
        <v>GONZALEZ ARMANDO</v>
      </c>
      <c r="H165" s="20" t="str">
        <f t="shared" si="5"/>
        <v>4008</v>
      </c>
    </row>
    <row r="166" spans="1:8" x14ac:dyDescent="0.25">
      <c r="A166" s="8">
        <v>43008.725891203707</v>
      </c>
      <c r="B166" s="20" t="s">
        <v>433</v>
      </c>
      <c r="C166" s="20" t="s">
        <v>771</v>
      </c>
      <c r="D166" s="130">
        <v>920000</v>
      </c>
      <c r="E166" s="20" t="s">
        <v>342</v>
      </c>
      <c r="F166" s="20" t="s">
        <v>711</v>
      </c>
      <c r="G166" s="8" t="str">
        <f t="shared" si="4"/>
        <v>DAVIS MICHAEL</v>
      </c>
      <c r="H166" s="20" t="str">
        <f t="shared" si="5"/>
        <v>4051</v>
      </c>
    </row>
    <row r="167" spans="1:8" x14ac:dyDescent="0.25">
      <c r="A167" s="8">
        <v>43008.725995370369</v>
      </c>
      <c r="B167" s="20" t="s">
        <v>521</v>
      </c>
      <c r="C167" s="20" t="s">
        <v>772</v>
      </c>
      <c r="D167" s="130">
        <v>2350000</v>
      </c>
      <c r="E167" s="20" t="s">
        <v>487</v>
      </c>
      <c r="F167" s="20" t="s">
        <v>488</v>
      </c>
      <c r="G167" s="8" t="str">
        <f t="shared" si="4"/>
        <v>BERLING GARY</v>
      </c>
      <c r="H167" s="20" t="str">
        <f t="shared" si="5"/>
        <v>4046</v>
      </c>
    </row>
    <row r="168" spans="1:8" x14ac:dyDescent="0.25">
      <c r="A168" s="8">
        <v>43008.727268518516</v>
      </c>
      <c r="B168" s="20" t="s">
        <v>408</v>
      </c>
      <c r="C168" s="20" t="s">
        <v>773</v>
      </c>
      <c r="D168" s="130">
        <v>2630000</v>
      </c>
      <c r="E168" s="20" t="s">
        <v>713</v>
      </c>
      <c r="F168" s="20" t="s">
        <v>714</v>
      </c>
      <c r="G168" s="8" t="str">
        <f t="shared" si="4"/>
        <v>SAFIEF AEIMEN</v>
      </c>
      <c r="H168" s="20" t="str">
        <f t="shared" si="5"/>
        <v>4039</v>
      </c>
    </row>
    <row r="169" spans="1:8" x14ac:dyDescent="0.25">
      <c r="A169" s="8">
        <v>43008.729363425926</v>
      </c>
      <c r="B169" s="20" t="s">
        <v>410</v>
      </c>
      <c r="C169" s="20" t="s">
        <v>774</v>
      </c>
      <c r="D169" s="130">
        <v>2230000</v>
      </c>
      <c r="E169" s="20" t="s">
        <v>738</v>
      </c>
      <c r="F169" s="20" t="s">
        <v>711</v>
      </c>
      <c r="G169" s="8" t="str">
        <f t="shared" si="4"/>
        <v>SMITH MICHAEL</v>
      </c>
      <c r="H169" s="20" t="str">
        <f t="shared" si="5"/>
        <v>4017</v>
      </c>
    </row>
    <row r="170" spans="1:8" x14ac:dyDescent="0.25">
      <c r="A170" s="8">
        <v>43008.734583333331</v>
      </c>
      <c r="B170" s="20" t="s">
        <v>504</v>
      </c>
      <c r="C170" s="20" t="s">
        <v>775</v>
      </c>
      <c r="D170" s="130">
        <v>2970000</v>
      </c>
      <c r="E170" s="20" t="s">
        <v>717</v>
      </c>
      <c r="F170" s="20" t="s">
        <v>718</v>
      </c>
      <c r="G170" s="8" t="str">
        <f t="shared" si="4"/>
        <v>GUZMAN DANNY</v>
      </c>
      <c r="H170" s="20" t="str">
        <f t="shared" si="5"/>
        <v>4055</v>
      </c>
    </row>
    <row r="171" spans="1:8" x14ac:dyDescent="0.25">
      <c r="A171" s="8">
        <v>43008.735208333332</v>
      </c>
      <c r="B171" s="20" t="s">
        <v>409</v>
      </c>
      <c r="C171" s="20" t="s">
        <v>776</v>
      </c>
      <c r="D171" s="130">
        <v>3000000</v>
      </c>
      <c r="E171" s="20" t="s">
        <v>481</v>
      </c>
      <c r="F171" s="20" t="s">
        <v>413</v>
      </c>
      <c r="G171" s="8" t="str">
        <f t="shared" si="4"/>
        <v>FORTUNATO FRANK</v>
      </c>
      <c r="H171" s="20" t="str">
        <f t="shared" si="5"/>
        <v>4010</v>
      </c>
    </row>
    <row r="172" spans="1:8" x14ac:dyDescent="0.25">
      <c r="A172" s="8">
        <v>43008.738564814812</v>
      </c>
      <c r="B172" s="20" t="s">
        <v>445</v>
      </c>
      <c r="C172" s="20" t="s">
        <v>777</v>
      </c>
      <c r="D172" s="130">
        <v>3500000</v>
      </c>
      <c r="E172" s="20" t="s">
        <v>615</v>
      </c>
      <c r="F172" s="20" t="s">
        <v>616</v>
      </c>
      <c r="G172" s="8" t="str">
        <f t="shared" si="4"/>
        <v>GUNTHIER ERIC</v>
      </c>
      <c r="H172" s="20" t="str">
        <f t="shared" si="5"/>
        <v>4049</v>
      </c>
    </row>
    <row r="173" spans="1:8" x14ac:dyDescent="0.25">
      <c r="A173" s="8">
        <v>43008.743969907409</v>
      </c>
      <c r="B173" s="20" t="s">
        <v>606</v>
      </c>
      <c r="C173" s="20" t="s">
        <v>778</v>
      </c>
      <c r="D173" s="130">
        <v>2420000</v>
      </c>
      <c r="E173" s="20" t="s">
        <v>519</v>
      </c>
      <c r="F173" s="20" t="s">
        <v>520</v>
      </c>
      <c r="G173" s="8" t="str">
        <f t="shared" si="4"/>
        <v>HOLCOMB KAMDEN</v>
      </c>
      <c r="H173" s="20" t="str">
        <f t="shared" si="5"/>
        <v>4020</v>
      </c>
    </row>
    <row r="174" spans="1:8" x14ac:dyDescent="0.25">
      <c r="A174" s="8">
        <v>43008.748171296298</v>
      </c>
      <c r="B174" s="20" t="s">
        <v>600</v>
      </c>
      <c r="C174" s="20" t="s">
        <v>779</v>
      </c>
      <c r="D174" s="130">
        <v>2550000</v>
      </c>
      <c r="E174" s="20" t="s">
        <v>513</v>
      </c>
      <c r="F174" s="20" t="s">
        <v>514</v>
      </c>
      <c r="G174" s="8" t="str">
        <f t="shared" si="4"/>
        <v>BADERTSCHER DIANE</v>
      </c>
      <c r="H174" s="20" t="str">
        <f t="shared" si="5"/>
        <v>4027</v>
      </c>
    </row>
    <row r="175" spans="1:8" x14ac:dyDescent="0.25">
      <c r="A175" s="8">
        <v>43008.75309027778</v>
      </c>
      <c r="B175" s="20" t="s">
        <v>478</v>
      </c>
      <c r="C175" s="20" t="s">
        <v>780</v>
      </c>
      <c r="D175" s="130">
        <v>2230000</v>
      </c>
      <c r="E175" s="20" t="s">
        <v>738</v>
      </c>
      <c r="F175" s="20" t="s">
        <v>711</v>
      </c>
      <c r="G175" s="8" t="str">
        <f t="shared" si="4"/>
        <v>SMITH MICHAEL</v>
      </c>
      <c r="H175" s="20" t="str">
        <f t="shared" si="5"/>
        <v>4018</v>
      </c>
    </row>
    <row r="176" spans="1:8" x14ac:dyDescent="0.25">
      <c r="A176" s="8">
        <v>43008.757013888891</v>
      </c>
      <c r="B176" s="20" t="s">
        <v>432</v>
      </c>
      <c r="C176" s="20" t="s">
        <v>608</v>
      </c>
      <c r="D176" s="130">
        <v>3340000</v>
      </c>
      <c r="E176" s="20" t="s">
        <v>435</v>
      </c>
      <c r="F176" s="20" t="s">
        <v>436</v>
      </c>
      <c r="G176" s="8" t="str">
        <f t="shared" si="4"/>
        <v>ELBAUM MIKE</v>
      </c>
      <c r="H176" s="20" t="str">
        <f t="shared" si="5"/>
        <v>4052</v>
      </c>
    </row>
    <row r="177" spans="1:8" x14ac:dyDescent="0.25">
      <c r="A177" s="8">
        <v>43008.761655092596</v>
      </c>
      <c r="B177" s="20" t="s">
        <v>627</v>
      </c>
      <c r="C177" s="20" t="s">
        <v>781</v>
      </c>
      <c r="D177" s="130">
        <v>2350000</v>
      </c>
      <c r="E177" s="20" t="s">
        <v>487</v>
      </c>
      <c r="F177" s="20" t="s">
        <v>488</v>
      </c>
      <c r="G177" s="8" t="str">
        <f t="shared" si="4"/>
        <v>BERLING GARY</v>
      </c>
      <c r="H177" s="20" t="str">
        <f t="shared" si="5"/>
        <v>4045</v>
      </c>
    </row>
    <row r="178" spans="1:8" x14ac:dyDescent="0.25">
      <c r="A178" s="8">
        <v>43008.76902777778</v>
      </c>
      <c r="B178" s="20" t="s">
        <v>411</v>
      </c>
      <c r="C178" s="20" t="s">
        <v>782</v>
      </c>
      <c r="D178" s="130">
        <v>3220000</v>
      </c>
      <c r="E178" s="20" t="s">
        <v>783</v>
      </c>
      <c r="F178" s="20" t="s">
        <v>784</v>
      </c>
      <c r="G178" s="8" t="str">
        <f t="shared" si="4"/>
        <v>RESPASS AARON</v>
      </c>
      <c r="H178" s="20" t="str">
        <f t="shared" si="5"/>
        <v>4040</v>
      </c>
    </row>
    <row r="179" spans="1:8" x14ac:dyDescent="0.25">
      <c r="A179" s="8">
        <v>43008.769317129627</v>
      </c>
      <c r="B179" s="20" t="s">
        <v>410</v>
      </c>
      <c r="C179" s="20" t="s">
        <v>785</v>
      </c>
      <c r="D179" s="130">
        <v>2230000</v>
      </c>
      <c r="E179" s="20" t="s">
        <v>738</v>
      </c>
      <c r="F179" s="20" t="s">
        <v>711</v>
      </c>
      <c r="G179" s="8" t="str">
        <f t="shared" si="4"/>
        <v>SMITH MICHAEL</v>
      </c>
      <c r="H179" s="20" t="str">
        <f t="shared" si="5"/>
        <v>4017</v>
      </c>
    </row>
    <row r="180" spans="1:8" x14ac:dyDescent="0.25">
      <c r="A180" s="8">
        <v>43008.770104166666</v>
      </c>
      <c r="B180" s="20" t="s">
        <v>431</v>
      </c>
      <c r="C180" s="20" t="s">
        <v>786</v>
      </c>
      <c r="D180" s="130">
        <v>3000000</v>
      </c>
      <c r="E180" s="20" t="s">
        <v>481</v>
      </c>
      <c r="F180" s="20" t="s">
        <v>413</v>
      </c>
      <c r="G180" s="8" t="str">
        <f t="shared" si="4"/>
        <v>FORTUNATO FRANK</v>
      </c>
      <c r="H180" s="20" t="str">
        <f t="shared" si="5"/>
        <v>4009</v>
      </c>
    </row>
    <row r="181" spans="1:8" x14ac:dyDescent="0.25">
      <c r="A181" s="8">
        <v>43008.780798611115</v>
      </c>
      <c r="B181" s="20" t="s">
        <v>505</v>
      </c>
      <c r="C181" s="20" t="s">
        <v>787</v>
      </c>
      <c r="D181" s="130">
        <v>2970000</v>
      </c>
      <c r="E181" s="20" t="s">
        <v>717</v>
      </c>
      <c r="F181" s="20" t="s">
        <v>718</v>
      </c>
      <c r="G181" s="8" t="str">
        <f t="shared" si="4"/>
        <v>GUZMAN DANNY</v>
      </c>
      <c r="H181" s="20" t="str">
        <f t="shared" si="5"/>
        <v>4056</v>
      </c>
    </row>
    <row r="182" spans="1:8" x14ac:dyDescent="0.25">
      <c r="A182" s="8">
        <v>43008.787175925929</v>
      </c>
      <c r="B182" s="20" t="s">
        <v>650</v>
      </c>
      <c r="C182" s="20" t="s">
        <v>788</v>
      </c>
      <c r="D182" s="130">
        <v>2420000</v>
      </c>
      <c r="E182" s="20" t="s">
        <v>519</v>
      </c>
      <c r="F182" s="20" t="s">
        <v>520</v>
      </c>
      <c r="G182" s="8" t="str">
        <f t="shared" si="4"/>
        <v>HOLCOMB KAMDEN</v>
      </c>
      <c r="H182" s="20" t="str">
        <f t="shared" si="5"/>
        <v>4019</v>
      </c>
    </row>
    <row r="183" spans="1:8" x14ac:dyDescent="0.25">
      <c r="A183" s="8">
        <v>43008.787800925929</v>
      </c>
      <c r="B183" s="20" t="s">
        <v>433</v>
      </c>
      <c r="C183" s="20" t="s">
        <v>789</v>
      </c>
      <c r="D183" s="130">
        <v>3340000</v>
      </c>
      <c r="E183" s="20" t="s">
        <v>435</v>
      </c>
      <c r="F183" s="20" t="s">
        <v>436</v>
      </c>
      <c r="G183" s="8" t="str">
        <f t="shared" si="4"/>
        <v>ELBAUM MIKE</v>
      </c>
      <c r="H183" s="20" t="str">
        <f t="shared" si="5"/>
        <v>4051</v>
      </c>
    </row>
    <row r="184" spans="1:8" x14ac:dyDescent="0.25">
      <c r="A184" s="8">
        <v>43008.790983796294</v>
      </c>
      <c r="B184" s="20" t="s">
        <v>603</v>
      </c>
      <c r="C184" s="20" t="s">
        <v>790</v>
      </c>
      <c r="D184" s="130">
        <v>3320000</v>
      </c>
      <c r="E184" s="20" t="s">
        <v>379</v>
      </c>
      <c r="F184" s="20" t="s">
        <v>380</v>
      </c>
      <c r="G184" s="8" t="str">
        <f t="shared" si="4"/>
        <v>NICHOLSON WESLEY</v>
      </c>
      <c r="H184" s="20" t="str">
        <f t="shared" si="5"/>
        <v>4028</v>
      </c>
    </row>
    <row r="185" spans="1:8" x14ac:dyDescent="0.25">
      <c r="A185" s="8">
        <v>43008.792557870373</v>
      </c>
      <c r="B185" s="20" t="s">
        <v>478</v>
      </c>
      <c r="C185" s="20" t="s">
        <v>791</v>
      </c>
      <c r="D185" s="130">
        <v>2230000</v>
      </c>
      <c r="E185" s="20" t="s">
        <v>738</v>
      </c>
      <c r="F185" s="20" t="s">
        <v>711</v>
      </c>
      <c r="G185" s="8" t="str">
        <f t="shared" si="4"/>
        <v>SMITH MICHAEL</v>
      </c>
      <c r="H185" s="20" t="str">
        <f t="shared" si="5"/>
        <v>4018</v>
      </c>
    </row>
    <row r="186" spans="1:8" x14ac:dyDescent="0.25">
      <c r="A186" s="8">
        <v>43008.797812500001</v>
      </c>
      <c r="B186" s="20" t="s">
        <v>521</v>
      </c>
      <c r="C186" s="20" t="s">
        <v>792</v>
      </c>
      <c r="D186" s="130">
        <v>2350000</v>
      </c>
      <c r="E186" s="20" t="s">
        <v>487</v>
      </c>
      <c r="F186" s="20" t="s">
        <v>488</v>
      </c>
      <c r="G186" s="8" t="str">
        <f t="shared" si="4"/>
        <v>BERLING GARY</v>
      </c>
      <c r="H186" s="20" t="str">
        <f t="shared" si="5"/>
        <v>4046</v>
      </c>
    </row>
    <row r="187" spans="1:8" x14ac:dyDescent="0.25">
      <c r="A187" s="8">
        <v>43008.798159722224</v>
      </c>
      <c r="B187" s="20" t="s">
        <v>408</v>
      </c>
      <c r="C187" s="20" t="s">
        <v>793</v>
      </c>
      <c r="D187" s="130">
        <v>3220000</v>
      </c>
      <c r="E187" s="20" t="s">
        <v>783</v>
      </c>
      <c r="F187" s="20" t="s">
        <v>784</v>
      </c>
      <c r="G187" s="8" t="str">
        <f t="shared" si="4"/>
        <v>RESPASS AARON</v>
      </c>
      <c r="H187" s="20" t="str">
        <f t="shared" si="5"/>
        <v>4039</v>
      </c>
    </row>
    <row r="188" spans="1:8" x14ac:dyDescent="0.25">
      <c r="A188" s="8">
        <v>43008.810277777775</v>
      </c>
      <c r="B188" s="20" t="s">
        <v>410</v>
      </c>
      <c r="C188" s="20" t="s">
        <v>794</v>
      </c>
      <c r="D188" s="130">
        <v>2230000</v>
      </c>
      <c r="E188" s="20" t="s">
        <v>738</v>
      </c>
      <c r="F188" s="20" t="s">
        <v>711</v>
      </c>
      <c r="G188" s="8" t="str">
        <f t="shared" si="4"/>
        <v>SMITH MICHAEL</v>
      </c>
      <c r="H188" s="20" t="str">
        <f t="shared" si="5"/>
        <v>4017</v>
      </c>
    </row>
    <row r="189" spans="1:8" x14ac:dyDescent="0.25">
      <c r="A189" s="8">
        <v>43008.811365740738</v>
      </c>
      <c r="B189" s="20" t="s">
        <v>409</v>
      </c>
      <c r="C189" s="20" t="s">
        <v>795</v>
      </c>
      <c r="D189" s="130">
        <v>3000000</v>
      </c>
      <c r="E189" s="20" t="s">
        <v>481</v>
      </c>
      <c r="F189" s="20" t="s">
        <v>413</v>
      </c>
      <c r="G189" s="8" t="str">
        <f t="shared" si="4"/>
        <v>FORTUNATO FRANK</v>
      </c>
      <c r="H189" s="20" t="str">
        <f t="shared" si="5"/>
        <v>4010</v>
      </c>
    </row>
    <row r="190" spans="1:8" x14ac:dyDescent="0.25">
      <c r="A190" s="8">
        <v>43008.819467592592</v>
      </c>
      <c r="B190" s="20" t="s">
        <v>606</v>
      </c>
      <c r="C190" s="20" t="s">
        <v>796</v>
      </c>
      <c r="D190" s="130">
        <v>2420000</v>
      </c>
      <c r="E190" s="20" t="s">
        <v>519</v>
      </c>
      <c r="F190" s="20" t="s">
        <v>520</v>
      </c>
      <c r="G190" s="8" t="str">
        <f t="shared" si="4"/>
        <v>HOLCOMB KAMDEN</v>
      </c>
      <c r="H190" s="20" t="str">
        <f t="shared" si="5"/>
        <v>4020</v>
      </c>
    </row>
    <row r="191" spans="1:8" x14ac:dyDescent="0.25">
      <c r="A191" s="8">
        <v>43008.826527777775</v>
      </c>
      <c r="B191" s="20" t="s">
        <v>600</v>
      </c>
      <c r="C191" s="20" t="s">
        <v>797</v>
      </c>
      <c r="D191" s="130">
        <v>3320000</v>
      </c>
      <c r="E191" s="20" t="s">
        <v>379</v>
      </c>
      <c r="F191" s="20" t="s">
        <v>380</v>
      </c>
      <c r="G191" s="8" t="str">
        <f t="shared" si="4"/>
        <v>NICHOLSON WESLEY</v>
      </c>
      <c r="H191" s="20" t="str">
        <f t="shared" si="5"/>
        <v>4027</v>
      </c>
    </row>
    <row r="192" spans="1:8" x14ac:dyDescent="0.25">
      <c r="A192" s="8">
        <v>43008.827199074076</v>
      </c>
      <c r="B192" s="20" t="s">
        <v>432</v>
      </c>
      <c r="C192" s="20" t="s">
        <v>609</v>
      </c>
      <c r="D192" s="130">
        <v>3340000</v>
      </c>
      <c r="E192" s="20" t="s">
        <v>435</v>
      </c>
      <c r="F192" s="20" t="s">
        <v>436</v>
      </c>
      <c r="G192" s="8" t="str">
        <f t="shared" si="4"/>
        <v>ELBAUM MIKE</v>
      </c>
      <c r="H192" s="20" t="str">
        <f t="shared" si="5"/>
        <v>4052</v>
      </c>
    </row>
    <row r="193" spans="1:8" x14ac:dyDescent="0.25">
      <c r="A193" s="8">
        <v>43008.837152777778</v>
      </c>
      <c r="B193" s="20" t="s">
        <v>478</v>
      </c>
      <c r="C193" s="20" t="s">
        <v>798</v>
      </c>
      <c r="D193" s="130">
        <v>2230000</v>
      </c>
      <c r="E193" s="20" t="s">
        <v>738</v>
      </c>
      <c r="F193" s="20" t="s">
        <v>711</v>
      </c>
      <c r="G193" s="8" t="str">
        <f t="shared" si="4"/>
        <v>SMITH MICHAEL</v>
      </c>
      <c r="H193" s="20" t="str">
        <f t="shared" si="5"/>
        <v>4018</v>
      </c>
    </row>
    <row r="194" spans="1:8" x14ac:dyDescent="0.25">
      <c r="A194" s="8">
        <v>43008.840798611112</v>
      </c>
      <c r="B194" s="20" t="s">
        <v>431</v>
      </c>
      <c r="C194" s="20" t="s">
        <v>799</v>
      </c>
      <c r="D194" s="130">
        <v>3000000</v>
      </c>
      <c r="E194" s="20" t="s">
        <v>481</v>
      </c>
      <c r="F194" s="20" t="s">
        <v>413</v>
      </c>
      <c r="G194" s="8" t="str">
        <f t="shared" si="4"/>
        <v>FORTUNATO FRANK</v>
      </c>
      <c r="H194" s="20" t="str">
        <f t="shared" si="5"/>
        <v>4009</v>
      </c>
    </row>
    <row r="195" spans="1:8" x14ac:dyDescent="0.25">
      <c r="A195" s="8">
        <v>43008.841666666667</v>
      </c>
      <c r="B195" s="20" t="s">
        <v>411</v>
      </c>
      <c r="C195" s="20" t="s">
        <v>610</v>
      </c>
      <c r="D195" s="130">
        <v>3220000</v>
      </c>
      <c r="E195" s="20" t="s">
        <v>783</v>
      </c>
      <c r="F195" s="20" t="s">
        <v>784</v>
      </c>
      <c r="G195" s="8" t="str">
        <f t="shared" ref="G195:G258" si="6">E195&amp;" "&amp;F195</f>
        <v>RESPASS AARON</v>
      </c>
      <c r="H195" s="20" t="str">
        <f t="shared" ref="H195:H258" si="7">MID(B195,13,4)</f>
        <v>4040</v>
      </c>
    </row>
    <row r="196" spans="1:8" x14ac:dyDescent="0.25">
      <c r="A196" s="8">
        <v>43008.851643518516</v>
      </c>
      <c r="B196" s="20" t="s">
        <v>410</v>
      </c>
      <c r="C196" s="20" t="s">
        <v>800</v>
      </c>
      <c r="D196" s="130">
        <v>2230000</v>
      </c>
      <c r="E196" s="20" t="s">
        <v>738</v>
      </c>
      <c r="F196" s="20" t="s">
        <v>711</v>
      </c>
      <c r="G196" s="8" t="str">
        <f t="shared" si="6"/>
        <v>SMITH MICHAEL</v>
      </c>
      <c r="H196" s="20" t="str">
        <f t="shared" si="7"/>
        <v>4017</v>
      </c>
    </row>
    <row r="197" spans="1:8" x14ac:dyDescent="0.25">
      <c r="A197" s="8">
        <v>43008.859826388885</v>
      </c>
      <c r="B197" s="20" t="s">
        <v>433</v>
      </c>
      <c r="C197" s="20" t="s">
        <v>801</v>
      </c>
      <c r="D197" s="130">
        <v>3340000</v>
      </c>
      <c r="E197" s="20" t="s">
        <v>435</v>
      </c>
      <c r="F197" s="20" t="s">
        <v>436</v>
      </c>
      <c r="G197" s="8" t="str">
        <f t="shared" si="6"/>
        <v>ELBAUM MIKE</v>
      </c>
      <c r="H197" s="20" t="str">
        <f t="shared" si="7"/>
        <v>4051</v>
      </c>
    </row>
    <row r="198" spans="1:8" x14ac:dyDescent="0.25">
      <c r="A198" s="8">
        <v>43008.867488425924</v>
      </c>
      <c r="B198" s="20" t="s">
        <v>603</v>
      </c>
      <c r="C198" s="20" t="s">
        <v>802</v>
      </c>
      <c r="D198" s="130">
        <v>3320000</v>
      </c>
      <c r="E198" s="20" t="s">
        <v>379</v>
      </c>
      <c r="F198" s="20" t="s">
        <v>380</v>
      </c>
      <c r="G198" s="8" t="str">
        <f t="shared" si="6"/>
        <v>NICHOLSON WESLEY</v>
      </c>
      <c r="H198" s="20" t="str">
        <f t="shared" si="7"/>
        <v>4028</v>
      </c>
    </row>
    <row r="199" spans="1:8" x14ac:dyDescent="0.25">
      <c r="A199" s="8">
        <v>43008.874421296299</v>
      </c>
      <c r="B199" s="20" t="s">
        <v>478</v>
      </c>
      <c r="C199" s="20" t="s">
        <v>803</v>
      </c>
      <c r="D199" s="130">
        <v>2230000</v>
      </c>
      <c r="E199" s="20" t="s">
        <v>738</v>
      </c>
      <c r="F199" s="20" t="s">
        <v>711</v>
      </c>
      <c r="G199" s="8" t="str">
        <f t="shared" si="6"/>
        <v>SMITH MICHAEL</v>
      </c>
      <c r="H199" s="20" t="str">
        <f t="shared" si="7"/>
        <v>4018</v>
      </c>
    </row>
    <row r="200" spans="1:8" x14ac:dyDescent="0.25">
      <c r="A200" s="8">
        <v>43008.880393518521</v>
      </c>
      <c r="B200" s="20" t="s">
        <v>409</v>
      </c>
      <c r="C200" s="20" t="s">
        <v>804</v>
      </c>
      <c r="D200" s="130">
        <v>3000000</v>
      </c>
      <c r="E200" s="20" t="s">
        <v>481</v>
      </c>
      <c r="F200" s="20" t="s">
        <v>413</v>
      </c>
      <c r="G200" s="8" t="str">
        <f t="shared" si="6"/>
        <v>FORTUNATO FRANK</v>
      </c>
      <c r="H200" s="20" t="str">
        <f t="shared" si="7"/>
        <v>4010</v>
      </c>
    </row>
    <row r="201" spans="1:8" x14ac:dyDescent="0.25">
      <c r="A201" s="8">
        <v>43008.887881944444</v>
      </c>
      <c r="B201" s="20" t="s">
        <v>408</v>
      </c>
      <c r="C201" s="20" t="s">
        <v>805</v>
      </c>
      <c r="D201" s="130">
        <v>3220000</v>
      </c>
      <c r="E201" s="20" t="s">
        <v>783</v>
      </c>
      <c r="F201" s="20" t="s">
        <v>784</v>
      </c>
      <c r="G201" s="8" t="str">
        <f t="shared" si="6"/>
        <v>RESPASS AARON</v>
      </c>
      <c r="H201" s="20" t="str">
        <f t="shared" si="7"/>
        <v>4039</v>
      </c>
    </row>
    <row r="202" spans="1:8" x14ac:dyDescent="0.25">
      <c r="A202" s="26">
        <v>43008.893726851849</v>
      </c>
      <c r="B202" s="20" t="s">
        <v>410</v>
      </c>
      <c r="C202" s="20" t="s">
        <v>806</v>
      </c>
      <c r="D202" s="130">
        <v>2230000</v>
      </c>
      <c r="E202" s="20" t="s">
        <v>738</v>
      </c>
      <c r="F202" s="20" t="s">
        <v>711</v>
      </c>
      <c r="G202" s="8" t="str">
        <f t="shared" si="6"/>
        <v>SMITH MICHAEL</v>
      </c>
      <c r="H202" s="20" t="str">
        <f t="shared" si="7"/>
        <v>4017</v>
      </c>
    </row>
    <row r="203" spans="1:8" x14ac:dyDescent="0.25">
      <c r="A203" s="8">
        <v>43008.899953703702</v>
      </c>
      <c r="B203" s="20" t="s">
        <v>432</v>
      </c>
      <c r="C203" s="20" t="s">
        <v>807</v>
      </c>
      <c r="D203" s="130">
        <v>3340000</v>
      </c>
      <c r="E203" s="20" t="s">
        <v>435</v>
      </c>
      <c r="F203" s="20" t="s">
        <v>436</v>
      </c>
      <c r="G203" s="8" t="str">
        <f t="shared" si="6"/>
        <v>ELBAUM MIKE</v>
      </c>
      <c r="H203" s="20" t="str">
        <f t="shared" si="7"/>
        <v>4052</v>
      </c>
    </row>
    <row r="204" spans="1:8" x14ac:dyDescent="0.25">
      <c r="A204" s="8">
        <v>43008.905706018515</v>
      </c>
      <c r="B204" s="20" t="s">
        <v>600</v>
      </c>
      <c r="C204" s="20" t="s">
        <v>808</v>
      </c>
      <c r="D204" s="130">
        <v>3320000</v>
      </c>
      <c r="E204" s="20" t="s">
        <v>379</v>
      </c>
      <c r="F204" s="20" t="s">
        <v>380</v>
      </c>
      <c r="G204" s="8" t="str">
        <f t="shared" si="6"/>
        <v>NICHOLSON WESLEY</v>
      </c>
      <c r="H204" s="20" t="str">
        <f t="shared" si="7"/>
        <v>4027</v>
      </c>
    </row>
    <row r="205" spans="1:8" x14ac:dyDescent="0.25">
      <c r="A205" s="8">
        <v>43008.917060185187</v>
      </c>
      <c r="B205" s="20" t="s">
        <v>478</v>
      </c>
      <c r="C205" s="20" t="s">
        <v>809</v>
      </c>
      <c r="D205" s="130">
        <v>2230000</v>
      </c>
      <c r="E205" s="20" t="s">
        <v>738</v>
      </c>
      <c r="F205" s="20" t="s">
        <v>711</v>
      </c>
      <c r="G205" s="8" t="str">
        <f t="shared" si="6"/>
        <v>SMITH MICHAEL</v>
      </c>
      <c r="H205" s="20" t="str">
        <f t="shared" si="7"/>
        <v>4018</v>
      </c>
    </row>
    <row r="206" spans="1:8" x14ac:dyDescent="0.25">
      <c r="A206" s="8">
        <v>43008.92328703704</v>
      </c>
      <c r="B206" s="20" t="s">
        <v>411</v>
      </c>
      <c r="C206" s="20" t="s">
        <v>810</v>
      </c>
      <c r="D206" s="130">
        <v>3220000</v>
      </c>
      <c r="E206" s="20" t="s">
        <v>783</v>
      </c>
      <c r="F206" s="20" t="s">
        <v>784</v>
      </c>
      <c r="G206" s="8" t="str">
        <f t="shared" si="6"/>
        <v>RESPASS AARON</v>
      </c>
      <c r="H206" s="20" t="str">
        <f t="shared" si="7"/>
        <v>4040</v>
      </c>
    </row>
    <row r="207" spans="1:8" x14ac:dyDescent="0.25">
      <c r="A207" s="8">
        <v>43008.923425925925</v>
      </c>
      <c r="B207" s="20" t="s">
        <v>431</v>
      </c>
      <c r="C207" s="20" t="s">
        <v>811</v>
      </c>
      <c r="D207" s="130">
        <v>3000000</v>
      </c>
      <c r="E207" s="20" t="s">
        <v>481</v>
      </c>
      <c r="F207" s="20" t="s">
        <v>413</v>
      </c>
      <c r="G207" s="8" t="str">
        <f t="shared" si="6"/>
        <v>FORTUNATO FRANK</v>
      </c>
      <c r="H207" s="20" t="str">
        <f t="shared" si="7"/>
        <v>4009</v>
      </c>
    </row>
    <row r="208" spans="1:8" x14ac:dyDescent="0.25">
      <c r="A208" s="8">
        <v>43008.936493055553</v>
      </c>
      <c r="B208" s="20" t="s">
        <v>410</v>
      </c>
      <c r="C208" s="20" t="s">
        <v>812</v>
      </c>
      <c r="D208" s="130">
        <v>2230000</v>
      </c>
      <c r="E208" s="20" t="s">
        <v>738</v>
      </c>
      <c r="F208" s="20" t="s">
        <v>711</v>
      </c>
      <c r="G208" s="8" t="str">
        <f t="shared" si="6"/>
        <v>SMITH MICHAEL</v>
      </c>
      <c r="H208" s="20" t="str">
        <f t="shared" si="7"/>
        <v>4017</v>
      </c>
    </row>
    <row r="209" spans="1:8" x14ac:dyDescent="0.25">
      <c r="A209" s="8">
        <v>43008.943368055552</v>
      </c>
      <c r="B209" s="20" t="s">
        <v>433</v>
      </c>
      <c r="C209" s="20" t="s">
        <v>813</v>
      </c>
      <c r="D209" s="130">
        <v>3340000</v>
      </c>
      <c r="E209" s="20" t="s">
        <v>435</v>
      </c>
      <c r="F209" s="20" t="s">
        <v>436</v>
      </c>
      <c r="G209" s="8" t="str">
        <f t="shared" si="6"/>
        <v>ELBAUM MIKE</v>
      </c>
      <c r="H209" s="20" t="str">
        <f t="shared" si="7"/>
        <v>4051</v>
      </c>
    </row>
    <row r="210" spans="1:8" x14ac:dyDescent="0.25">
      <c r="A210" s="8">
        <v>43008.953425925924</v>
      </c>
      <c r="B210" s="20" t="s">
        <v>603</v>
      </c>
      <c r="C210" s="20" t="s">
        <v>814</v>
      </c>
      <c r="D210" s="130">
        <v>3320000</v>
      </c>
      <c r="E210" s="20" t="s">
        <v>379</v>
      </c>
      <c r="F210" s="20" t="s">
        <v>380</v>
      </c>
      <c r="G210" s="8" t="str">
        <f t="shared" si="6"/>
        <v>NICHOLSON WESLEY</v>
      </c>
      <c r="H210" s="20" t="str">
        <f t="shared" si="7"/>
        <v>4028</v>
      </c>
    </row>
    <row r="211" spans="1:8" x14ac:dyDescent="0.25">
      <c r="A211" s="8">
        <v>43008.959074074075</v>
      </c>
      <c r="B211" s="20" t="s">
        <v>478</v>
      </c>
      <c r="C211" s="20" t="s">
        <v>815</v>
      </c>
      <c r="D211" s="130">
        <v>2230000</v>
      </c>
      <c r="E211" s="20" t="s">
        <v>738</v>
      </c>
      <c r="F211" s="20" t="s">
        <v>711</v>
      </c>
      <c r="G211" s="8" t="str">
        <f t="shared" si="6"/>
        <v>SMITH MICHAEL</v>
      </c>
      <c r="H211" s="20" t="str">
        <f t="shared" si="7"/>
        <v>4018</v>
      </c>
    </row>
    <row r="212" spans="1:8" x14ac:dyDescent="0.25">
      <c r="A212" s="8">
        <v>43008.964930555558</v>
      </c>
      <c r="B212" s="20" t="s">
        <v>409</v>
      </c>
      <c r="C212" s="20" t="s">
        <v>816</v>
      </c>
      <c r="D212" s="130">
        <v>3000000</v>
      </c>
      <c r="E212" s="20" t="s">
        <v>481</v>
      </c>
      <c r="F212" s="20" t="s">
        <v>413</v>
      </c>
      <c r="G212" s="8" t="str">
        <f t="shared" si="6"/>
        <v>FORTUNATO FRANK</v>
      </c>
      <c r="H212" s="20" t="str">
        <f t="shared" si="7"/>
        <v>4010</v>
      </c>
    </row>
    <row r="213" spans="1:8" x14ac:dyDescent="0.25">
      <c r="A213" s="8">
        <v>43008.97252314815</v>
      </c>
      <c r="B213" s="20" t="s">
        <v>408</v>
      </c>
      <c r="C213" s="20" t="s">
        <v>611</v>
      </c>
      <c r="D213" s="130">
        <v>3220000</v>
      </c>
      <c r="E213" s="20" t="s">
        <v>783</v>
      </c>
      <c r="F213" s="20" t="s">
        <v>784</v>
      </c>
      <c r="G213" s="8" t="str">
        <f t="shared" si="6"/>
        <v>RESPASS AARON</v>
      </c>
      <c r="H213" s="20" t="str">
        <f t="shared" si="7"/>
        <v>4039</v>
      </c>
    </row>
    <row r="214" spans="1:8" x14ac:dyDescent="0.25">
      <c r="A214" s="8">
        <v>43008.978379629632</v>
      </c>
      <c r="B214" s="20" t="s">
        <v>410</v>
      </c>
      <c r="C214" s="20" t="s">
        <v>817</v>
      </c>
      <c r="D214" s="130">
        <v>2230000</v>
      </c>
      <c r="E214" s="20" t="s">
        <v>738</v>
      </c>
      <c r="F214" s="20" t="s">
        <v>711</v>
      </c>
      <c r="G214" s="8" t="str">
        <f t="shared" si="6"/>
        <v>SMITH MICHAEL</v>
      </c>
      <c r="H214" s="20" t="str">
        <f t="shared" si="7"/>
        <v>4017</v>
      </c>
    </row>
    <row r="215" spans="1:8" x14ac:dyDescent="0.25">
      <c r="A215" s="8">
        <v>43008.995439814818</v>
      </c>
      <c r="B215" s="20" t="s">
        <v>600</v>
      </c>
      <c r="C215" s="20" t="s">
        <v>818</v>
      </c>
      <c r="D215" s="130">
        <v>3320000</v>
      </c>
      <c r="E215" s="20" t="s">
        <v>379</v>
      </c>
      <c r="F215" s="20" t="s">
        <v>380</v>
      </c>
      <c r="G215" s="8" t="str">
        <f t="shared" si="6"/>
        <v>NICHOLSON WESLEY</v>
      </c>
      <c r="H215" s="20" t="str">
        <f t="shared" si="7"/>
        <v>4027</v>
      </c>
    </row>
    <row r="216" spans="1:8" x14ac:dyDescent="0.25">
      <c r="A216" s="8">
        <v>43008.997731481482</v>
      </c>
      <c r="B216" s="20" t="s">
        <v>432</v>
      </c>
      <c r="C216" s="20" t="s">
        <v>819</v>
      </c>
      <c r="D216" s="130">
        <v>3340000</v>
      </c>
      <c r="E216" s="20" t="s">
        <v>435</v>
      </c>
      <c r="F216" s="20" t="s">
        <v>436</v>
      </c>
      <c r="G216" s="8" t="str">
        <f t="shared" si="6"/>
        <v>ELBAUM MIKE</v>
      </c>
      <c r="H216" s="20" t="str">
        <f t="shared" si="7"/>
        <v>4052</v>
      </c>
    </row>
    <row r="217" spans="1:8" x14ac:dyDescent="0.25">
      <c r="A217" s="8">
        <v>43009.005902777775</v>
      </c>
      <c r="B217" s="20" t="s">
        <v>431</v>
      </c>
      <c r="C217" s="20" t="s">
        <v>820</v>
      </c>
      <c r="D217" s="130">
        <v>3000000</v>
      </c>
      <c r="E217" s="20" t="s">
        <v>481</v>
      </c>
      <c r="F217" s="20" t="s">
        <v>413</v>
      </c>
      <c r="G217" s="8" t="str">
        <f t="shared" si="6"/>
        <v>FORTUNATO FRANK</v>
      </c>
      <c r="H217" s="20" t="str">
        <f t="shared" si="7"/>
        <v>4009</v>
      </c>
    </row>
    <row r="218" spans="1:8" x14ac:dyDescent="0.25">
      <c r="A218" s="8">
        <v>43009.015787037039</v>
      </c>
      <c r="B218" s="20" t="s">
        <v>411</v>
      </c>
      <c r="C218" s="20" t="s">
        <v>821</v>
      </c>
      <c r="D218" s="130">
        <v>3220000</v>
      </c>
      <c r="E218" s="20" t="s">
        <v>783</v>
      </c>
      <c r="F218" s="20" t="s">
        <v>784</v>
      </c>
      <c r="G218" s="8" t="str">
        <f t="shared" si="6"/>
        <v>RESPASS AARON</v>
      </c>
      <c r="H218" s="20" t="str">
        <f t="shared" si="7"/>
        <v>4040</v>
      </c>
    </row>
    <row r="219" spans="1:8" x14ac:dyDescent="0.25">
      <c r="A219" s="8">
        <v>43009.025694444441</v>
      </c>
      <c r="B219" s="20" t="s">
        <v>433</v>
      </c>
      <c r="C219" s="20" t="s">
        <v>612</v>
      </c>
      <c r="D219" s="130">
        <v>3340000</v>
      </c>
      <c r="E219" s="20" t="s">
        <v>435</v>
      </c>
      <c r="F219" s="20" t="s">
        <v>436</v>
      </c>
      <c r="G219" s="8" t="str">
        <f t="shared" si="6"/>
        <v>ELBAUM MIKE</v>
      </c>
      <c r="H219" s="20" t="str">
        <f t="shared" si="7"/>
        <v>4051</v>
      </c>
    </row>
    <row r="220" spans="1:8" x14ac:dyDescent="0.25">
      <c r="A220" s="8">
        <v>43009.030833333331</v>
      </c>
      <c r="B220" s="20" t="s">
        <v>603</v>
      </c>
      <c r="C220" s="20" t="s">
        <v>822</v>
      </c>
      <c r="D220" s="130">
        <v>3320000</v>
      </c>
      <c r="E220" s="20" t="s">
        <v>379</v>
      </c>
      <c r="F220" s="20" t="s">
        <v>380</v>
      </c>
      <c r="G220" s="8" t="str">
        <f t="shared" si="6"/>
        <v>NICHOLSON WESLEY</v>
      </c>
      <c r="H220" s="20" t="str">
        <f t="shared" si="7"/>
        <v>4028</v>
      </c>
    </row>
    <row r="221" spans="1:8" x14ac:dyDescent="0.25">
      <c r="A221" s="8">
        <v>43009.047152777777</v>
      </c>
      <c r="B221" s="20" t="s">
        <v>408</v>
      </c>
      <c r="C221" s="20" t="s">
        <v>823</v>
      </c>
      <c r="D221" s="130">
        <v>3220000</v>
      </c>
      <c r="E221" s="20" t="s">
        <v>783</v>
      </c>
      <c r="F221" s="20" t="s">
        <v>784</v>
      </c>
      <c r="G221" s="8" t="str">
        <f t="shared" si="6"/>
        <v>RESPASS AARON</v>
      </c>
      <c r="H221" s="20" t="str">
        <f t="shared" si="7"/>
        <v>4039</v>
      </c>
    </row>
    <row r="222" spans="1:8" x14ac:dyDescent="0.25">
      <c r="A222" s="8">
        <v>43009.050196759257</v>
      </c>
      <c r="B222" s="20" t="s">
        <v>409</v>
      </c>
      <c r="C222" s="20" t="s">
        <v>824</v>
      </c>
      <c r="D222" s="130">
        <v>3000000</v>
      </c>
      <c r="E222" s="20" t="s">
        <v>481</v>
      </c>
      <c r="F222" s="20" t="s">
        <v>413</v>
      </c>
      <c r="G222" s="8" t="str">
        <f t="shared" si="6"/>
        <v>FORTUNATO FRANK</v>
      </c>
      <c r="H222" s="20" t="str">
        <f t="shared" si="7"/>
        <v>4010</v>
      </c>
    </row>
    <row r="223" spans="1:8" x14ac:dyDescent="0.25">
      <c r="A223" s="8">
        <v>43009.067083333335</v>
      </c>
      <c r="B223" s="20" t="s">
        <v>432</v>
      </c>
      <c r="C223" s="20" t="s">
        <v>825</v>
      </c>
      <c r="D223" s="130">
        <v>3340000</v>
      </c>
      <c r="E223" s="20" t="s">
        <v>435</v>
      </c>
      <c r="F223" s="20" t="s">
        <v>436</v>
      </c>
      <c r="G223" s="8" t="str">
        <f t="shared" si="6"/>
        <v>ELBAUM MIKE</v>
      </c>
      <c r="H223" s="20" t="str">
        <f t="shared" si="7"/>
        <v>4052</v>
      </c>
    </row>
    <row r="224" spans="1:8" x14ac:dyDescent="0.25">
      <c r="A224" s="8">
        <v>43009.073368055557</v>
      </c>
      <c r="B224" t="s">
        <v>600</v>
      </c>
      <c r="C224" t="s">
        <v>826</v>
      </c>
      <c r="D224" s="130">
        <v>3320000</v>
      </c>
      <c r="E224" t="s">
        <v>379</v>
      </c>
      <c r="F224" s="20" t="s">
        <v>380</v>
      </c>
      <c r="G224" s="8" t="str">
        <f t="shared" si="6"/>
        <v>NICHOLSON WESLEY</v>
      </c>
      <c r="H224" s="20" t="str">
        <f t="shared" si="7"/>
        <v>4027</v>
      </c>
    </row>
    <row r="225" spans="1:8" x14ac:dyDescent="0.25">
      <c r="A225" s="8">
        <v>43009.090011574073</v>
      </c>
      <c r="B225" t="s">
        <v>411</v>
      </c>
      <c r="C225" t="s">
        <v>827</v>
      </c>
      <c r="D225" s="130">
        <v>3220000</v>
      </c>
      <c r="E225" t="s">
        <v>783</v>
      </c>
      <c r="F225" s="20" t="s">
        <v>784</v>
      </c>
      <c r="G225" s="8" t="str">
        <f t="shared" si="6"/>
        <v>RESPASS AARON</v>
      </c>
      <c r="H225" s="20" t="str">
        <f t="shared" si="7"/>
        <v>4040</v>
      </c>
    </row>
    <row r="226" spans="1:8" x14ac:dyDescent="0.25">
      <c r="A226" s="8">
        <v>43009.111296296294</v>
      </c>
      <c r="B226" t="s">
        <v>828</v>
      </c>
      <c r="C226" t="s">
        <v>829</v>
      </c>
      <c r="D226" s="130">
        <v>2140000</v>
      </c>
      <c r="E226" t="s">
        <v>459</v>
      </c>
      <c r="F226" s="20" t="s">
        <v>460</v>
      </c>
      <c r="G226" s="8" t="str">
        <f t="shared" si="6"/>
        <v>ROBINSON KADDIBA</v>
      </c>
      <c r="H226" s="20" t="str">
        <f t="shared" si="7"/>
        <v>4041</v>
      </c>
    </row>
    <row r="227" spans="1:8" x14ac:dyDescent="0.25">
      <c r="A227" s="8">
        <v>43009.112002314818</v>
      </c>
      <c r="B227" t="s">
        <v>828</v>
      </c>
      <c r="C227" t="s">
        <v>830</v>
      </c>
      <c r="D227" s="130">
        <v>2140000</v>
      </c>
      <c r="E227" t="s">
        <v>459</v>
      </c>
      <c r="F227" s="20" t="s">
        <v>460</v>
      </c>
      <c r="G227" s="8" t="str">
        <f t="shared" si="6"/>
        <v>ROBINSON KADDIBA</v>
      </c>
      <c r="H227" s="20" t="str">
        <f t="shared" si="7"/>
        <v>4041</v>
      </c>
    </row>
    <row r="228" spans="1:8" x14ac:dyDescent="0.25">
      <c r="A228" s="8">
        <v>43009.113333333335</v>
      </c>
      <c r="B228" t="s">
        <v>603</v>
      </c>
      <c r="C228" t="s">
        <v>831</v>
      </c>
      <c r="D228" s="130">
        <v>3320000</v>
      </c>
      <c r="E228" t="s">
        <v>379</v>
      </c>
      <c r="F228" s="20" t="s">
        <v>380</v>
      </c>
      <c r="G228" s="8" t="str">
        <f t="shared" si="6"/>
        <v>NICHOLSON WESLEY</v>
      </c>
      <c r="H228" s="20" t="str">
        <f t="shared" si="7"/>
        <v>4028</v>
      </c>
    </row>
    <row r="229" spans="1:8" x14ac:dyDescent="0.25">
      <c r="A229" s="8">
        <v>43006.877418981479</v>
      </c>
      <c r="B229" t="s">
        <v>498</v>
      </c>
      <c r="C229" t="s">
        <v>524</v>
      </c>
      <c r="D229" s="130">
        <v>2680000</v>
      </c>
      <c r="E229" t="s">
        <v>372</v>
      </c>
      <c r="F229" s="20" t="s">
        <v>373</v>
      </c>
      <c r="G229" s="8" t="str">
        <f t="shared" si="6"/>
        <v>DUNCAN SHEILA</v>
      </c>
      <c r="H229" s="20" t="str">
        <f t="shared" si="7"/>
        <v>4062</v>
      </c>
    </row>
    <row r="230" spans="1:8" x14ac:dyDescent="0.25">
      <c r="A230" s="8">
        <v>43006.882951388892</v>
      </c>
      <c r="B230" t="s">
        <v>433</v>
      </c>
      <c r="C230" t="s">
        <v>525</v>
      </c>
      <c r="D230" s="130">
        <v>2600000</v>
      </c>
      <c r="E230" t="s">
        <v>522</v>
      </c>
      <c r="F230" s="20" t="s">
        <v>523</v>
      </c>
      <c r="G230" s="8" t="str">
        <f t="shared" si="6"/>
        <v>DAVIDSON DAVID</v>
      </c>
      <c r="H230" s="20" t="str">
        <f t="shared" si="7"/>
        <v>4051</v>
      </c>
    </row>
    <row r="231" spans="1:8" x14ac:dyDescent="0.25">
      <c r="A231" s="8">
        <v>43006.885243055556</v>
      </c>
      <c r="B231" t="s">
        <v>409</v>
      </c>
      <c r="C231" t="s">
        <v>526</v>
      </c>
      <c r="D231" s="130">
        <v>890000</v>
      </c>
      <c r="E231" t="s">
        <v>364</v>
      </c>
      <c r="F231" s="20" t="s">
        <v>365</v>
      </c>
      <c r="G231" s="8" t="str">
        <f t="shared" si="6"/>
        <v>LOZA FIDEL</v>
      </c>
      <c r="H231" s="20" t="str">
        <f t="shared" si="7"/>
        <v>4010</v>
      </c>
    </row>
    <row r="232" spans="1:8" x14ac:dyDescent="0.25">
      <c r="A232" s="8">
        <v>43006.893043981479</v>
      </c>
      <c r="B232" t="s">
        <v>499</v>
      </c>
      <c r="C232" t="s">
        <v>524</v>
      </c>
      <c r="D232" s="130">
        <v>2680000</v>
      </c>
      <c r="E232" t="s">
        <v>372</v>
      </c>
      <c r="F232" s="20" t="s">
        <v>373</v>
      </c>
      <c r="G232" s="8" t="str">
        <f t="shared" si="6"/>
        <v>DUNCAN SHEILA</v>
      </c>
      <c r="H232" s="20" t="str">
        <f t="shared" si="7"/>
        <v>4061</v>
      </c>
    </row>
    <row r="233" spans="1:8" x14ac:dyDescent="0.25">
      <c r="A233" s="8">
        <v>43006.893703703703</v>
      </c>
      <c r="B233" t="s">
        <v>499</v>
      </c>
      <c r="C233" t="s">
        <v>501</v>
      </c>
      <c r="D233" s="130">
        <v>2680000</v>
      </c>
      <c r="E233" t="s">
        <v>372</v>
      </c>
      <c r="F233" s="20" t="s">
        <v>373</v>
      </c>
      <c r="G233" s="8" t="str">
        <f t="shared" si="6"/>
        <v>DUNCAN SHEILA</v>
      </c>
      <c r="H233" s="20" t="str">
        <f t="shared" si="7"/>
        <v>4061</v>
      </c>
    </row>
    <row r="234" spans="1:8" x14ac:dyDescent="0.25">
      <c r="A234" s="8">
        <v>43006.903078703705</v>
      </c>
      <c r="B234" t="s">
        <v>508</v>
      </c>
      <c r="C234" t="s">
        <v>527</v>
      </c>
      <c r="D234" s="130">
        <v>3340000</v>
      </c>
      <c r="E234" t="s">
        <v>435</v>
      </c>
      <c r="F234" s="20" t="s">
        <v>436</v>
      </c>
      <c r="G234" s="8" t="str">
        <f t="shared" si="6"/>
        <v>ELBAUM MIKE</v>
      </c>
      <c r="H234" s="20" t="str">
        <f t="shared" si="7"/>
        <v>4060</v>
      </c>
    </row>
    <row r="235" spans="1:8" x14ac:dyDescent="0.25">
      <c r="A235" s="8">
        <v>43006.912615740737</v>
      </c>
      <c r="B235" t="s">
        <v>504</v>
      </c>
      <c r="C235" t="s">
        <v>528</v>
      </c>
      <c r="D235" s="130">
        <v>3190000</v>
      </c>
      <c r="E235" t="s">
        <v>376</v>
      </c>
      <c r="F235" s="20" t="s">
        <v>377</v>
      </c>
      <c r="G235" s="8" t="str">
        <f t="shared" si="6"/>
        <v>HART KEVIN</v>
      </c>
      <c r="H235" s="20" t="str">
        <f t="shared" si="7"/>
        <v>4055</v>
      </c>
    </row>
    <row r="236" spans="1:8" x14ac:dyDescent="0.25">
      <c r="A236" s="8">
        <v>43006.914826388886</v>
      </c>
      <c r="B236" t="s">
        <v>498</v>
      </c>
      <c r="C236" t="s">
        <v>529</v>
      </c>
      <c r="D236" s="130">
        <v>2680000</v>
      </c>
      <c r="E236" t="s">
        <v>372</v>
      </c>
      <c r="F236" s="20" t="s">
        <v>373</v>
      </c>
      <c r="G236" s="8" t="str">
        <f t="shared" si="6"/>
        <v>DUNCAN SHEILA</v>
      </c>
      <c r="H236" s="20" t="str">
        <f t="shared" si="7"/>
        <v>4062</v>
      </c>
    </row>
    <row r="237" spans="1:8" x14ac:dyDescent="0.25">
      <c r="A237" s="8">
        <v>43006.923807870371</v>
      </c>
      <c r="B237" t="s">
        <v>432</v>
      </c>
      <c r="C237" t="s">
        <v>530</v>
      </c>
      <c r="D237" s="130">
        <v>2620000</v>
      </c>
      <c r="E237" t="s">
        <v>374</v>
      </c>
      <c r="F237" s="20" t="s">
        <v>375</v>
      </c>
      <c r="G237" s="8" t="str">
        <f t="shared" si="6"/>
        <v>PERKINS DARREN</v>
      </c>
      <c r="H237" s="20" t="str">
        <f t="shared" si="7"/>
        <v>4052</v>
      </c>
    </row>
    <row r="238" spans="1:8" x14ac:dyDescent="0.25">
      <c r="A238" s="8">
        <v>43006.933958333335</v>
      </c>
      <c r="B238" t="s">
        <v>431</v>
      </c>
      <c r="C238" t="s">
        <v>531</v>
      </c>
      <c r="D238" s="130">
        <v>890000</v>
      </c>
      <c r="E238" t="s">
        <v>364</v>
      </c>
      <c r="F238" s="20" t="s">
        <v>365</v>
      </c>
      <c r="G238" s="8" t="str">
        <f t="shared" si="6"/>
        <v>LOZA FIDEL</v>
      </c>
      <c r="H238" s="20" t="str">
        <f t="shared" si="7"/>
        <v>4009</v>
      </c>
    </row>
    <row r="239" spans="1:8" x14ac:dyDescent="0.25">
      <c r="A239" s="8">
        <v>43006.934699074074</v>
      </c>
      <c r="B239" t="s">
        <v>499</v>
      </c>
      <c r="C239" t="s">
        <v>532</v>
      </c>
      <c r="D239" s="130">
        <v>2680000</v>
      </c>
      <c r="E239" t="s">
        <v>372</v>
      </c>
      <c r="F239" s="20" t="s">
        <v>373</v>
      </c>
      <c r="G239" s="8" t="str">
        <f t="shared" si="6"/>
        <v>DUNCAN SHEILA</v>
      </c>
      <c r="H239" s="20" t="str">
        <f t="shared" si="7"/>
        <v>4061</v>
      </c>
    </row>
    <row r="240" spans="1:8" x14ac:dyDescent="0.25">
      <c r="A240" s="8">
        <v>43006.943020833336</v>
      </c>
      <c r="B240" t="s">
        <v>500</v>
      </c>
      <c r="C240" t="s">
        <v>533</v>
      </c>
      <c r="D240" s="130">
        <v>3340000</v>
      </c>
      <c r="E240" t="s">
        <v>435</v>
      </c>
      <c r="F240" s="20" t="s">
        <v>436</v>
      </c>
      <c r="G240" s="8" t="str">
        <f t="shared" si="6"/>
        <v>ELBAUM MIKE</v>
      </c>
      <c r="H240" s="20" t="str">
        <f t="shared" si="7"/>
        <v>4059</v>
      </c>
    </row>
    <row r="241" spans="1:8" x14ac:dyDescent="0.25">
      <c r="A241" s="8">
        <v>43006.946597222224</v>
      </c>
      <c r="B241" t="s">
        <v>505</v>
      </c>
      <c r="C241" t="s">
        <v>534</v>
      </c>
      <c r="D241" s="130">
        <v>3320000</v>
      </c>
      <c r="E241" t="s">
        <v>379</v>
      </c>
      <c r="F241" s="20" t="s">
        <v>380</v>
      </c>
      <c r="G241" s="8" t="str">
        <f t="shared" si="6"/>
        <v>NICHOLSON WESLEY</v>
      </c>
      <c r="H241" s="20" t="str">
        <f t="shared" si="7"/>
        <v>4056</v>
      </c>
    </row>
    <row r="242" spans="1:8" x14ac:dyDescent="0.25">
      <c r="A242" s="8">
        <v>43006.957013888888</v>
      </c>
      <c r="B242" t="s">
        <v>498</v>
      </c>
      <c r="C242" t="s">
        <v>535</v>
      </c>
      <c r="D242" s="130">
        <v>2680000</v>
      </c>
      <c r="E242" t="s">
        <v>372</v>
      </c>
      <c r="F242" s="20" t="s">
        <v>373</v>
      </c>
      <c r="G242" s="8" t="str">
        <f t="shared" si="6"/>
        <v>DUNCAN SHEILA</v>
      </c>
      <c r="H242" s="20" t="str">
        <f t="shared" si="7"/>
        <v>4062</v>
      </c>
    </row>
    <row r="243" spans="1:8" x14ac:dyDescent="0.25">
      <c r="A243" s="8">
        <v>43006.966423611113</v>
      </c>
      <c r="B243" t="s">
        <v>433</v>
      </c>
      <c r="C243" t="s">
        <v>502</v>
      </c>
      <c r="D243" s="130">
        <v>2620000</v>
      </c>
      <c r="E243" t="s">
        <v>374</v>
      </c>
      <c r="F243" s="20" t="s">
        <v>375</v>
      </c>
      <c r="G243" s="8" t="str">
        <f t="shared" si="6"/>
        <v>PERKINS DARREN</v>
      </c>
      <c r="H243" s="20" t="str">
        <f t="shared" si="7"/>
        <v>4051</v>
      </c>
    </row>
    <row r="244" spans="1:8" x14ac:dyDescent="0.25">
      <c r="A244" s="8">
        <v>43006.967951388891</v>
      </c>
      <c r="B244" t="s">
        <v>409</v>
      </c>
      <c r="C244" t="s">
        <v>536</v>
      </c>
      <c r="D244" s="130">
        <v>890000</v>
      </c>
      <c r="E244" t="s">
        <v>364</v>
      </c>
      <c r="F244" s="20" t="s">
        <v>365</v>
      </c>
      <c r="G244" s="8" t="str">
        <f t="shared" si="6"/>
        <v>LOZA FIDEL</v>
      </c>
      <c r="H244" s="20" t="str">
        <f t="shared" si="7"/>
        <v>4010</v>
      </c>
    </row>
    <row r="245" spans="1:8" x14ac:dyDescent="0.25">
      <c r="A245" s="8">
        <v>43006.976307870369</v>
      </c>
      <c r="B245" t="s">
        <v>499</v>
      </c>
      <c r="C245" t="s">
        <v>537</v>
      </c>
      <c r="D245" s="130">
        <v>2680000</v>
      </c>
      <c r="E245" t="s">
        <v>372</v>
      </c>
      <c r="F245" s="20" t="s">
        <v>373</v>
      </c>
      <c r="G245" s="8" t="str">
        <f t="shared" si="6"/>
        <v>DUNCAN SHEILA</v>
      </c>
      <c r="H245" s="20" t="str">
        <f t="shared" si="7"/>
        <v>4061</v>
      </c>
    </row>
    <row r="246" spans="1:8" x14ac:dyDescent="0.25">
      <c r="A246" s="8">
        <v>43006.989004629628</v>
      </c>
      <c r="B246" t="s">
        <v>504</v>
      </c>
      <c r="C246" t="s">
        <v>538</v>
      </c>
      <c r="D246" s="130">
        <v>3320000</v>
      </c>
      <c r="E246" t="s">
        <v>379</v>
      </c>
      <c r="F246" s="20" t="s">
        <v>380</v>
      </c>
      <c r="G246" s="8" t="str">
        <f t="shared" si="6"/>
        <v>NICHOLSON WESLEY</v>
      </c>
      <c r="H246" s="20" t="str">
        <f t="shared" si="7"/>
        <v>4055</v>
      </c>
    </row>
    <row r="247" spans="1:8" x14ac:dyDescent="0.25">
      <c r="A247" s="8">
        <v>43006.992245370369</v>
      </c>
      <c r="B247" t="s">
        <v>508</v>
      </c>
      <c r="C247" t="s">
        <v>539</v>
      </c>
      <c r="D247" s="130">
        <v>3340000</v>
      </c>
      <c r="E247" t="s">
        <v>435</v>
      </c>
      <c r="F247" s="20" t="s">
        <v>436</v>
      </c>
      <c r="G247" s="8" t="str">
        <f t="shared" si="6"/>
        <v>ELBAUM MIKE</v>
      </c>
      <c r="H247" s="20" t="str">
        <f t="shared" si="7"/>
        <v>4060</v>
      </c>
    </row>
    <row r="248" spans="1:8" x14ac:dyDescent="0.25">
      <c r="A248" s="8">
        <v>43007.007013888891</v>
      </c>
      <c r="B248" t="s">
        <v>432</v>
      </c>
      <c r="C248" t="s">
        <v>540</v>
      </c>
      <c r="D248" s="130">
        <v>2620000</v>
      </c>
      <c r="E248" t="s">
        <v>374</v>
      </c>
      <c r="F248" s="20" t="s">
        <v>375</v>
      </c>
      <c r="G248" s="8" t="str">
        <f t="shared" si="6"/>
        <v>PERKINS DARREN</v>
      </c>
      <c r="H248" s="20" t="str">
        <f t="shared" si="7"/>
        <v>4052</v>
      </c>
    </row>
    <row r="249" spans="1:8" x14ac:dyDescent="0.25">
      <c r="A249" s="8">
        <v>43007.016562500001</v>
      </c>
      <c r="B249" t="s">
        <v>431</v>
      </c>
      <c r="C249" t="s">
        <v>541</v>
      </c>
      <c r="D249" s="130">
        <v>890000</v>
      </c>
      <c r="E249" t="s">
        <v>364</v>
      </c>
      <c r="F249" s="20" t="s">
        <v>365</v>
      </c>
      <c r="G249" s="8" t="str">
        <f t="shared" si="6"/>
        <v>LOZA FIDEL</v>
      </c>
      <c r="H249" s="20" t="str">
        <f t="shared" si="7"/>
        <v>4009</v>
      </c>
    </row>
    <row r="250" spans="1:8" x14ac:dyDescent="0.25">
      <c r="A250" s="8">
        <v>43007.026076388887</v>
      </c>
      <c r="B250" t="s">
        <v>500</v>
      </c>
      <c r="C250" t="s">
        <v>542</v>
      </c>
      <c r="D250" s="130">
        <v>3340000</v>
      </c>
      <c r="E250" t="s">
        <v>435</v>
      </c>
      <c r="F250" s="20" t="s">
        <v>436</v>
      </c>
      <c r="G250" s="8" t="str">
        <f t="shared" si="6"/>
        <v>ELBAUM MIKE</v>
      </c>
      <c r="H250" s="20" t="str">
        <f t="shared" si="7"/>
        <v>4059</v>
      </c>
    </row>
    <row r="251" spans="1:8" x14ac:dyDescent="0.25">
      <c r="A251" s="8">
        <v>43007.030821759261</v>
      </c>
      <c r="B251" t="s">
        <v>505</v>
      </c>
      <c r="C251" t="s">
        <v>543</v>
      </c>
      <c r="D251" s="130">
        <v>3190000</v>
      </c>
      <c r="E251" t="s">
        <v>376</v>
      </c>
      <c r="F251" s="20" t="s">
        <v>377</v>
      </c>
      <c r="G251" s="8" t="str">
        <f t="shared" si="6"/>
        <v>HART KEVIN</v>
      </c>
      <c r="H251" s="20" t="str">
        <f t="shared" si="7"/>
        <v>4056</v>
      </c>
    </row>
    <row r="252" spans="1:8" x14ac:dyDescent="0.25">
      <c r="A252" s="8">
        <v>43007.048449074071</v>
      </c>
      <c r="B252" t="s">
        <v>409</v>
      </c>
      <c r="C252" t="s">
        <v>544</v>
      </c>
      <c r="D252" s="130">
        <v>890000</v>
      </c>
      <c r="E252" t="s">
        <v>364</v>
      </c>
      <c r="F252" s="20" t="s">
        <v>365</v>
      </c>
      <c r="G252" s="8" t="str">
        <f t="shared" si="6"/>
        <v>LOZA FIDEL</v>
      </c>
      <c r="H252" s="20" t="str">
        <f t="shared" si="7"/>
        <v>4010</v>
      </c>
    </row>
    <row r="253" spans="1:8" x14ac:dyDescent="0.25">
      <c r="A253" s="8">
        <v>43007.055196759262</v>
      </c>
      <c r="B253" t="s">
        <v>433</v>
      </c>
      <c r="C253" t="s">
        <v>545</v>
      </c>
      <c r="D253" s="130">
        <v>2620000</v>
      </c>
      <c r="E253" t="s">
        <v>374</v>
      </c>
      <c r="F253" s="20" t="s">
        <v>375</v>
      </c>
      <c r="G253" s="8" t="str">
        <f t="shared" si="6"/>
        <v>PERKINS DARREN</v>
      </c>
      <c r="H253" s="20" t="str">
        <f t="shared" si="7"/>
        <v>4051</v>
      </c>
    </row>
    <row r="254" spans="1:8" x14ac:dyDescent="0.25">
      <c r="A254" s="8">
        <v>43007.066562499997</v>
      </c>
      <c r="B254" t="s">
        <v>508</v>
      </c>
      <c r="C254" t="s">
        <v>546</v>
      </c>
      <c r="D254" s="130">
        <v>3340000</v>
      </c>
      <c r="E254" t="s">
        <v>435</v>
      </c>
      <c r="F254" s="20" t="s">
        <v>436</v>
      </c>
      <c r="G254" s="8" t="str">
        <f t="shared" si="6"/>
        <v>ELBAUM MIKE</v>
      </c>
      <c r="H254" s="20" t="str">
        <f t="shared" si="7"/>
        <v>4060</v>
      </c>
    </row>
    <row r="255" spans="1:8" x14ac:dyDescent="0.25">
      <c r="A255" s="8">
        <v>43007.088275462964</v>
      </c>
      <c r="B255" t="s">
        <v>432</v>
      </c>
      <c r="C255" t="s">
        <v>503</v>
      </c>
      <c r="D255" s="130">
        <v>2620000</v>
      </c>
      <c r="E255" t="s">
        <v>374</v>
      </c>
      <c r="F255" s="20" t="s">
        <v>375</v>
      </c>
      <c r="G255" s="8" t="str">
        <f t="shared" si="6"/>
        <v>PERKINS DARREN</v>
      </c>
      <c r="H255" s="20" t="str">
        <f t="shared" si="7"/>
        <v>4052</v>
      </c>
    </row>
    <row r="256" spans="1:8" x14ac:dyDescent="0.25">
      <c r="A256" s="8">
        <v>43007.112627314818</v>
      </c>
      <c r="B256" t="s">
        <v>484</v>
      </c>
      <c r="C256" t="s">
        <v>547</v>
      </c>
      <c r="D256" s="130">
        <v>1830000</v>
      </c>
      <c r="E256" t="s">
        <v>397</v>
      </c>
      <c r="F256" s="20" t="s">
        <v>398</v>
      </c>
      <c r="G256" s="8" t="str">
        <f t="shared" si="6"/>
        <v>YORK EDGAR</v>
      </c>
      <c r="H256" s="20" t="str">
        <f t="shared" si="7"/>
        <v>4053</v>
      </c>
    </row>
    <row r="257" spans="1:8" x14ac:dyDescent="0.25">
      <c r="A257" s="8">
        <v>43000.067048611112</v>
      </c>
      <c r="B257" t="s">
        <v>434</v>
      </c>
      <c r="C257" t="s">
        <v>437</v>
      </c>
      <c r="D257" s="130">
        <v>3340000</v>
      </c>
      <c r="E257" t="s">
        <v>435</v>
      </c>
      <c r="F257" s="20" t="s">
        <v>436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389</v>
      </c>
      <c r="C258" t="s">
        <v>438</v>
      </c>
      <c r="D258" s="130">
        <v>3320000</v>
      </c>
      <c r="E258" t="s">
        <v>379</v>
      </c>
      <c r="F258" s="20" t="s">
        <v>380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409</v>
      </c>
      <c r="C259" t="s">
        <v>439</v>
      </c>
      <c r="D259" s="130">
        <v>2620000</v>
      </c>
      <c r="E259" t="s">
        <v>374</v>
      </c>
      <c r="F259" s="20" t="s">
        <v>375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417</v>
      </c>
      <c r="C260" t="s">
        <v>440</v>
      </c>
      <c r="D260" s="130">
        <v>1830000</v>
      </c>
      <c r="E260" t="s">
        <v>397</v>
      </c>
      <c r="F260" s="20" t="s">
        <v>398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399</v>
      </c>
      <c r="C261" t="s">
        <v>441</v>
      </c>
      <c r="D261" s="130">
        <v>900000</v>
      </c>
      <c r="E261" t="s">
        <v>421</v>
      </c>
      <c r="F261" s="20" t="s">
        <v>422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416</v>
      </c>
      <c r="C262" t="s">
        <v>425</v>
      </c>
      <c r="D262" s="130">
        <v>2620000</v>
      </c>
      <c r="E262" t="s">
        <v>374</v>
      </c>
      <c r="F262" s="20" t="s">
        <v>375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401</v>
      </c>
      <c r="C263" t="s">
        <v>419</v>
      </c>
      <c r="D263" s="130">
        <v>3310000</v>
      </c>
      <c r="E263" t="s">
        <v>423</v>
      </c>
      <c r="F263" s="20" t="s">
        <v>424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401</v>
      </c>
      <c r="C264" t="s">
        <v>419</v>
      </c>
      <c r="D264" s="130">
        <v>3310000</v>
      </c>
      <c r="E264" t="s">
        <v>423</v>
      </c>
      <c r="F264" s="20" t="s">
        <v>424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408</v>
      </c>
      <c r="C265" t="s">
        <v>426</v>
      </c>
      <c r="D265" s="130">
        <v>890000</v>
      </c>
      <c r="E265" t="s">
        <v>364</v>
      </c>
      <c r="F265" s="20" t="s">
        <v>365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418</v>
      </c>
      <c r="C266" t="s">
        <v>427</v>
      </c>
      <c r="D266" s="130">
        <v>2680000</v>
      </c>
      <c r="E266" t="s">
        <v>372</v>
      </c>
      <c r="F266" s="20" t="s">
        <v>373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415</v>
      </c>
      <c r="C267" t="s">
        <v>427</v>
      </c>
      <c r="D267" s="130">
        <v>2680000</v>
      </c>
      <c r="E267" t="s">
        <v>372</v>
      </c>
      <c r="F267" s="20" t="s">
        <v>373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396</v>
      </c>
      <c r="C268" t="s">
        <v>420</v>
      </c>
      <c r="D268" s="130">
        <v>3190000</v>
      </c>
      <c r="E268" t="s">
        <v>376</v>
      </c>
      <c r="F268" s="20" t="s">
        <v>377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411</v>
      </c>
      <c r="C269" t="s">
        <v>428</v>
      </c>
      <c r="D269" s="130">
        <v>890000</v>
      </c>
      <c r="E269" t="s">
        <v>364</v>
      </c>
      <c r="F269" s="20" t="s">
        <v>365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418</v>
      </c>
      <c r="C270" t="s">
        <v>427</v>
      </c>
      <c r="D270" s="130">
        <v>2680000</v>
      </c>
      <c r="E270" t="s">
        <v>372</v>
      </c>
      <c r="F270" s="20" t="s">
        <v>373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396</v>
      </c>
      <c r="C271" t="s">
        <v>420</v>
      </c>
      <c r="D271" s="130">
        <v>3190000</v>
      </c>
      <c r="E271" t="s">
        <v>376</v>
      </c>
      <c r="F271" s="20" t="s">
        <v>377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412</v>
      </c>
      <c r="C272" t="s">
        <v>429</v>
      </c>
      <c r="D272" s="130">
        <v>3190000</v>
      </c>
      <c r="E272" t="s">
        <v>376</v>
      </c>
      <c r="F272" s="20" t="s">
        <v>377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402</v>
      </c>
      <c r="C273" t="s">
        <v>430</v>
      </c>
      <c r="D273" s="130">
        <v>1830000</v>
      </c>
      <c r="E273" t="s">
        <v>397</v>
      </c>
      <c r="F273" s="20" t="s">
        <v>398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22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02" bestFit="1" customWidth="1"/>
    <col min="18" max="16384" width="9.140625" style="102"/>
  </cols>
  <sheetData>
    <row r="1" spans="1:19" s="103" customFormat="1" x14ac:dyDescent="0.25">
      <c r="A1" s="184" t="s">
        <v>157</v>
      </c>
      <c r="B1" s="184" t="s">
        <v>160</v>
      </c>
      <c r="C1" s="184" t="s">
        <v>153</v>
      </c>
      <c r="D1" s="128" t="s">
        <v>165</v>
      </c>
      <c r="E1" s="184" t="s">
        <v>154</v>
      </c>
      <c r="F1" s="184" t="s">
        <v>152</v>
      </c>
      <c r="G1" s="184" t="s">
        <v>150</v>
      </c>
      <c r="H1" s="184" t="s">
        <v>163</v>
      </c>
      <c r="I1" s="184" t="s">
        <v>164</v>
      </c>
      <c r="J1" s="184" t="s">
        <v>446</v>
      </c>
      <c r="K1" s="184" t="s">
        <v>158</v>
      </c>
      <c r="L1" s="184" t="s">
        <v>156</v>
      </c>
      <c r="M1" s="184" t="s">
        <v>151</v>
      </c>
      <c r="N1" s="184" t="s">
        <v>161</v>
      </c>
      <c r="O1" s="184" t="s">
        <v>344</v>
      </c>
      <c r="P1" s="184" t="s">
        <v>155</v>
      </c>
      <c r="Q1" s="184" t="s">
        <v>162</v>
      </c>
      <c r="R1" s="184" t="s">
        <v>345</v>
      </c>
      <c r="S1" s="184" t="s">
        <v>159</v>
      </c>
    </row>
    <row r="2" spans="1:19" x14ac:dyDescent="0.25">
      <c r="A2" s="182">
        <v>49.35</v>
      </c>
      <c r="B2" s="182">
        <v>0.2</v>
      </c>
      <c r="C2" s="182">
        <v>46.25</v>
      </c>
      <c r="D2" s="8">
        <v>43008</v>
      </c>
      <c r="E2" s="182">
        <v>0.89</v>
      </c>
      <c r="F2" s="182" t="s">
        <v>548</v>
      </c>
      <c r="G2" s="182">
        <v>276.02999999999997</v>
      </c>
      <c r="H2" s="182">
        <v>1.1999999999999999E-3</v>
      </c>
      <c r="I2" s="182">
        <v>0.03</v>
      </c>
      <c r="J2" s="182" t="s">
        <v>447</v>
      </c>
      <c r="K2" s="182">
        <v>1017.15</v>
      </c>
      <c r="L2" s="182" t="s">
        <v>549</v>
      </c>
      <c r="M2" s="182">
        <v>49.35</v>
      </c>
      <c r="N2" s="182">
        <v>1506751200</v>
      </c>
      <c r="O2" s="182">
        <v>0</v>
      </c>
      <c r="P2" s="182">
        <v>7.94</v>
      </c>
      <c r="Q2" s="182">
        <v>205</v>
      </c>
      <c r="R2" s="182">
        <v>2.34</v>
      </c>
      <c r="S2" s="182">
        <v>2.09</v>
      </c>
    </row>
    <row r="3" spans="1:19" x14ac:dyDescent="0.25">
      <c r="A3" s="182">
        <v>48.43</v>
      </c>
      <c r="B3" s="182">
        <v>0.08</v>
      </c>
      <c r="C3" s="182">
        <v>46.41</v>
      </c>
      <c r="D3" s="8">
        <v>43008.041666666664</v>
      </c>
      <c r="E3" s="182">
        <v>0.93</v>
      </c>
      <c r="F3" s="182" t="s">
        <v>548</v>
      </c>
      <c r="G3" s="182">
        <v>276.51</v>
      </c>
      <c r="H3" s="182">
        <v>1E-4</v>
      </c>
      <c r="I3" s="182">
        <v>0.02</v>
      </c>
      <c r="J3" s="182" t="s">
        <v>447</v>
      </c>
      <c r="K3" s="182">
        <v>1016.37</v>
      </c>
      <c r="L3" s="182" t="s">
        <v>549</v>
      </c>
      <c r="M3" s="182">
        <v>48.43</v>
      </c>
      <c r="N3" s="182">
        <v>1506754800</v>
      </c>
      <c r="O3" s="182">
        <v>0</v>
      </c>
      <c r="P3" s="182">
        <v>8.3800000000000008</v>
      </c>
      <c r="Q3" s="182">
        <v>210</v>
      </c>
      <c r="R3" s="182">
        <v>3.05</v>
      </c>
      <c r="S3" s="182">
        <v>2.36</v>
      </c>
    </row>
    <row r="4" spans="1:19" x14ac:dyDescent="0.25">
      <c r="A4" s="182">
        <v>46.52</v>
      </c>
      <c r="B4" s="182">
        <v>0.02</v>
      </c>
      <c r="C4" s="182">
        <v>44.93</v>
      </c>
      <c r="D4" s="8">
        <v>43008.083333333336</v>
      </c>
      <c r="E4" s="182">
        <v>0.94</v>
      </c>
      <c r="F4" s="182" t="s">
        <v>548</v>
      </c>
      <c r="G4" s="182">
        <v>277.23</v>
      </c>
      <c r="H4" s="182">
        <v>0</v>
      </c>
      <c r="I4" s="182">
        <v>0</v>
      </c>
      <c r="J4" s="182"/>
      <c r="K4" s="182">
        <v>1016.31</v>
      </c>
      <c r="L4" s="182" t="s">
        <v>549</v>
      </c>
      <c r="M4" s="182">
        <v>46.52</v>
      </c>
      <c r="N4" s="182">
        <v>1506758400</v>
      </c>
      <c r="O4" s="182">
        <v>0</v>
      </c>
      <c r="P4" s="182">
        <v>7.59</v>
      </c>
      <c r="Q4" s="182">
        <v>260</v>
      </c>
      <c r="R4" s="182">
        <v>2.95</v>
      </c>
      <c r="S4" s="182">
        <v>1.96</v>
      </c>
    </row>
    <row r="5" spans="1:19" x14ac:dyDescent="0.25">
      <c r="A5" s="182">
        <v>46.24</v>
      </c>
      <c r="B5" s="182">
        <v>0.01</v>
      </c>
      <c r="C5" s="182">
        <v>43.8</v>
      </c>
      <c r="D5" s="8">
        <v>43008.125</v>
      </c>
      <c r="E5" s="182">
        <v>0.91</v>
      </c>
      <c r="F5" s="182" t="s">
        <v>548</v>
      </c>
      <c r="G5" s="182">
        <v>277.83</v>
      </c>
      <c r="H5" s="182">
        <v>0</v>
      </c>
      <c r="I5" s="182">
        <v>0</v>
      </c>
      <c r="J5" s="182"/>
      <c r="K5" s="182">
        <v>1015.81</v>
      </c>
      <c r="L5" s="182" t="s">
        <v>549</v>
      </c>
      <c r="M5" s="182">
        <v>46.24</v>
      </c>
      <c r="N5" s="182">
        <v>1506762000</v>
      </c>
      <c r="O5" s="182">
        <v>0</v>
      </c>
      <c r="P5" s="182">
        <v>2.91</v>
      </c>
      <c r="Q5" s="182">
        <v>250</v>
      </c>
      <c r="R5" s="182">
        <v>1.78</v>
      </c>
      <c r="S5" s="182">
        <v>0.73</v>
      </c>
    </row>
    <row r="6" spans="1:19" x14ac:dyDescent="0.25">
      <c r="A6" s="182">
        <v>44.34</v>
      </c>
      <c r="B6" s="182">
        <v>0.02</v>
      </c>
      <c r="C6" s="182">
        <v>42.93</v>
      </c>
      <c r="D6" s="8">
        <v>43008.166666666664</v>
      </c>
      <c r="E6" s="182">
        <v>0.95</v>
      </c>
      <c r="F6" s="182" t="s">
        <v>548</v>
      </c>
      <c r="G6" s="182">
        <v>278.43</v>
      </c>
      <c r="H6" s="182">
        <v>0</v>
      </c>
      <c r="I6" s="182">
        <v>0</v>
      </c>
      <c r="J6" s="182"/>
      <c r="K6" s="182">
        <v>1015.47</v>
      </c>
      <c r="L6" s="182" t="s">
        <v>549</v>
      </c>
      <c r="M6" s="182">
        <v>44.34</v>
      </c>
      <c r="N6" s="182">
        <v>1506765600</v>
      </c>
      <c r="O6" s="182">
        <v>0</v>
      </c>
      <c r="P6" s="182">
        <v>8.3000000000000007</v>
      </c>
      <c r="Q6" s="182">
        <v>262</v>
      </c>
      <c r="R6" s="182">
        <v>2.62</v>
      </c>
      <c r="S6" s="182">
        <v>2.12</v>
      </c>
    </row>
    <row r="7" spans="1:19" x14ac:dyDescent="0.25">
      <c r="A7" s="182">
        <v>44.19</v>
      </c>
      <c r="B7" s="182">
        <v>0.19</v>
      </c>
      <c r="C7" s="182">
        <v>42.73</v>
      </c>
      <c r="D7" s="8">
        <v>43008.208333333336</v>
      </c>
      <c r="E7" s="182">
        <v>0.95</v>
      </c>
      <c r="F7" s="182" t="s">
        <v>548</v>
      </c>
      <c r="G7" s="182">
        <v>279.02</v>
      </c>
      <c r="H7" s="182">
        <v>1.1999999999999999E-3</v>
      </c>
      <c r="I7" s="182">
        <v>0.06</v>
      </c>
      <c r="J7" s="182" t="s">
        <v>447</v>
      </c>
      <c r="K7" s="182">
        <v>1015.45</v>
      </c>
      <c r="L7" s="182" t="s">
        <v>549</v>
      </c>
      <c r="M7" s="182">
        <v>44.19</v>
      </c>
      <c r="N7" s="182">
        <v>1506769200</v>
      </c>
      <c r="O7" s="182">
        <v>0</v>
      </c>
      <c r="P7" s="182">
        <v>8.0399999999999991</v>
      </c>
      <c r="Q7" s="182">
        <v>205</v>
      </c>
      <c r="R7" s="182">
        <v>3.71</v>
      </c>
      <c r="S7" s="182">
        <v>2.5299999999999998</v>
      </c>
    </row>
    <row r="8" spans="1:19" x14ac:dyDescent="0.25">
      <c r="A8" s="182">
        <v>44.41</v>
      </c>
      <c r="B8" s="182">
        <v>0.38</v>
      </c>
      <c r="C8" s="182">
        <v>42.94</v>
      </c>
      <c r="D8" s="8">
        <v>43008.25</v>
      </c>
      <c r="E8" s="182">
        <v>0.95</v>
      </c>
      <c r="F8" s="182" t="s">
        <v>448</v>
      </c>
      <c r="G8" s="182">
        <v>276.39999999999998</v>
      </c>
      <c r="H8" s="182">
        <v>0</v>
      </c>
      <c r="I8" s="182">
        <v>0</v>
      </c>
      <c r="J8" s="182"/>
      <c r="K8" s="182">
        <v>1015.89</v>
      </c>
      <c r="L8" s="182" t="s">
        <v>461</v>
      </c>
      <c r="M8" s="182">
        <v>44.41</v>
      </c>
      <c r="N8" s="182">
        <v>1506772800</v>
      </c>
      <c r="O8" s="182">
        <v>0</v>
      </c>
      <c r="P8" s="182">
        <v>5.69</v>
      </c>
      <c r="Q8" s="182">
        <v>215</v>
      </c>
      <c r="R8" s="182">
        <v>4.43</v>
      </c>
      <c r="S8" s="182">
        <v>2.65</v>
      </c>
    </row>
    <row r="9" spans="1:19" x14ac:dyDescent="0.25">
      <c r="A9" s="182">
        <v>43.59</v>
      </c>
      <c r="B9" s="182">
        <v>0.49</v>
      </c>
      <c r="C9" s="182">
        <v>41.77</v>
      </c>
      <c r="D9" s="8">
        <v>43008.291666666664</v>
      </c>
      <c r="E9" s="182">
        <v>0.93</v>
      </c>
      <c r="F9" s="182" t="s">
        <v>448</v>
      </c>
      <c r="G9" s="182">
        <v>276.64</v>
      </c>
      <c r="H9" s="182">
        <v>0</v>
      </c>
      <c r="I9" s="182">
        <v>0</v>
      </c>
      <c r="J9" s="182"/>
      <c r="K9" s="182">
        <v>1016.22</v>
      </c>
      <c r="L9" s="182" t="s">
        <v>461</v>
      </c>
      <c r="M9" s="182">
        <v>43.59</v>
      </c>
      <c r="N9" s="182">
        <v>1506776400</v>
      </c>
      <c r="O9" s="182">
        <v>0</v>
      </c>
      <c r="P9" s="182">
        <v>2.15</v>
      </c>
      <c r="Q9" s="182">
        <v>225</v>
      </c>
      <c r="R9" s="182">
        <v>2.17</v>
      </c>
      <c r="S9" s="182">
        <v>0.6</v>
      </c>
    </row>
    <row r="10" spans="1:19" x14ac:dyDescent="0.25">
      <c r="A10" s="182">
        <v>45.28</v>
      </c>
      <c r="B10" s="182">
        <v>0.63</v>
      </c>
      <c r="C10" s="182">
        <v>42.91</v>
      </c>
      <c r="D10" s="8">
        <v>43008.333333333336</v>
      </c>
      <c r="E10" s="182">
        <v>0.91</v>
      </c>
      <c r="F10" s="182" t="s">
        <v>450</v>
      </c>
      <c r="G10" s="182">
        <v>277</v>
      </c>
      <c r="H10" s="182">
        <v>0</v>
      </c>
      <c r="I10" s="182">
        <v>0</v>
      </c>
      <c r="J10" s="182"/>
      <c r="K10" s="182">
        <v>1016.02</v>
      </c>
      <c r="L10" s="182" t="s">
        <v>449</v>
      </c>
      <c r="M10" s="182">
        <v>45.28</v>
      </c>
      <c r="N10" s="182">
        <v>1506780000</v>
      </c>
      <c r="O10" s="182">
        <v>0</v>
      </c>
      <c r="P10" s="182">
        <v>2</v>
      </c>
      <c r="Q10" s="182">
        <v>252</v>
      </c>
      <c r="R10" s="182">
        <v>2.48</v>
      </c>
      <c r="S10" s="182">
        <v>0.59</v>
      </c>
    </row>
    <row r="11" spans="1:19" x14ac:dyDescent="0.25">
      <c r="A11" s="182">
        <v>51.16</v>
      </c>
      <c r="B11" s="182">
        <v>0.65</v>
      </c>
      <c r="C11" s="182">
        <v>44.89</v>
      </c>
      <c r="D11" s="8">
        <v>43008.375</v>
      </c>
      <c r="E11" s="182">
        <v>0.79</v>
      </c>
      <c r="F11" s="182" t="s">
        <v>832</v>
      </c>
      <c r="G11" s="182">
        <v>277.36</v>
      </c>
      <c r="H11" s="182">
        <v>0</v>
      </c>
      <c r="I11" s="182">
        <v>0</v>
      </c>
      <c r="J11" s="182"/>
      <c r="K11" s="182">
        <v>1015.61</v>
      </c>
      <c r="L11" s="182" t="s">
        <v>833</v>
      </c>
      <c r="M11" s="182">
        <v>51.16</v>
      </c>
      <c r="N11" s="182">
        <v>1506783600</v>
      </c>
      <c r="O11" s="182">
        <v>1</v>
      </c>
      <c r="P11" s="182">
        <v>1.93</v>
      </c>
      <c r="Q11" s="182">
        <v>208</v>
      </c>
      <c r="R11" s="182">
        <v>4.03</v>
      </c>
      <c r="S11" s="182">
        <v>0.68</v>
      </c>
    </row>
    <row r="12" spans="1:19" x14ac:dyDescent="0.25">
      <c r="A12" s="182">
        <v>57.43</v>
      </c>
      <c r="B12" s="182">
        <v>0.33</v>
      </c>
      <c r="C12" s="182">
        <v>45.84</v>
      </c>
      <c r="D12" s="8">
        <v>43008.416666666664</v>
      </c>
      <c r="E12" s="182">
        <v>0.65</v>
      </c>
      <c r="F12" s="182" t="s">
        <v>450</v>
      </c>
      <c r="G12" s="182">
        <v>277.72000000000003</v>
      </c>
      <c r="H12" s="182">
        <v>0</v>
      </c>
      <c r="I12" s="182">
        <v>0</v>
      </c>
      <c r="J12" s="182"/>
      <c r="K12" s="182">
        <v>1014.96</v>
      </c>
      <c r="L12" s="182" t="s">
        <v>461</v>
      </c>
      <c r="M12" s="182">
        <v>57.43</v>
      </c>
      <c r="N12" s="182">
        <v>1506787200</v>
      </c>
      <c r="O12" s="182">
        <v>2</v>
      </c>
      <c r="P12" s="182">
        <v>3.57</v>
      </c>
      <c r="Q12" s="182">
        <v>200</v>
      </c>
      <c r="R12" s="182">
        <v>5.96</v>
      </c>
      <c r="S12" s="182">
        <v>1.62</v>
      </c>
    </row>
    <row r="13" spans="1:19" x14ac:dyDescent="0.25">
      <c r="A13" s="182">
        <v>62.94</v>
      </c>
      <c r="B13" s="182">
        <v>0.26</v>
      </c>
      <c r="C13" s="182">
        <v>45.25</v>
      </c>
      <c r="D13" s="8">
        <v>43008.458333333336</v>
      </c>
      <c r="E13" s="182">
        <v>0.52</v>
      </c>
      <c r="F13" s="182" t="s">
        <v>450</v>
      </c>
      <c r="G13" s="182">
        <v>277.95999999999998</v>
      </c>
      <c r="H13" s="182">
        <v>0</v>
      </c>
      <c r="I13" s="182">
        <v>0</v>
      </c>
      <c r="J13" s="182"/>
      <c r="K13" s="182">
        <v>1013.78</v>
      </c>
      <c r="L13" s="182" t="s">
        <v>461</v>
      </c>
      <c r="M13" s="182">
        <v>62.94</v>
      </c>
      <c r="N13" s="182">
        <v>1506790800</v>
      </c>
      <c r="O13" s="182">
        <v>4</v>
      </c>
      <c r="P13" s="182">
        <v>3.69</v>
      </c>
      <c r="Q13" s="182">
        <v>138</v>
      </c>
      <c r="R13" s="182">
        <v>6.11</v>
      </c>
      <c r="S13" s="182">
        <v>0.84</v>
      </c>
    </row>
    <row r="14" spans="1:19" x14ac:dyDescent="0.25">
      <c r="A14" s="182">
        <v>67.42</v>
      </c>
      <c r="B14" s="182">
        <v>0.14000000000000001</v>
      </c>
      <c r="C14" s="182">
        <v>42.32</v>
      </c>
      <c r="D14" s="8">
        <v>43008.5</v>
      </c>
      <c r="E14" s="182">
        <v>0.4</v>
      </c>
      <c r="F14" s="182" t="s">
        <v>834</v>
      </c>
      <c r="G14" s="182">
        <v>277.95999999999998</v>
      </c>
      <c r="H14" s="182">
        <v>0</v>
      </c>
      <c r="I14" s="182">
        <v>0</v>
      </c>
      <c r="J14" s="182"/>
      <c r="K14" s="182">
        <v>1012.64</v>
      </c>
      <c r="L14" s="182" t="s">
        <v>549</v>
      </c>
      <c r="M14" s="182">
        <v>67.42</v>
      </c>
      <c r="N14" s="182">
        <v>1506794400</v>
      </c>
      <c r="O14" s="182">
        <v>5</v>
      </c>
      <c r="P14" s="182">
        <v>3.52</v>
      </c>
      <c r="Q14" s="182">
        <v>94</v>
      </c>
      <c r="R14" s="182">
        <v>5.41</v>
      </c>
      <c r="S14" s="182">
        <v>0.44</v>
      </c>
    </row>
    <row r="15" spans="1:19" x14ac:dyDescent="0.25">
      <c r="A15" s="182">
        <v>68.959999999999994</v>
      </c>
      <c r="B15" s="182">
        <v>0.05</v>
      </c>
      <c r="C15" s="182">
        <v>41.33</v>
      </c>
      <c r="D15" s="8">
        <v>43008.541666666664</v>
      </c>
      <c r="E15" s="182">
        <v>0.37</v>
      </c>
      <c r="F15" s="182" t="s">
        <v>834</v>
      </c>
      <c r="G15" s="182">
        <v>278.20999999999998</v>
      </c>
      <c r="H15" s="182">
        <v>0</v>
      </c>
      <c r="I15" s="182">
        <v>0</v>
      </c>
      <c r="J15" s="182"/>
      <c r="K15" s="182">
        <v>1011.32</v>
      </c>
      <c r="L15" s="182" t="s">
        <v>549</v>
      </c>
      <c r="M15" s="182">
        <v>68.959999999999994</v>
      </c>
      <c r="N15" s="182">
        <v>1506798000</v>
      </c>
      <c r="O15" s="182">
        <v>6</v>
      </c>
      <c r="P15" s="182">
        <v>3.52</v>
      </c>
      <c r="Q15" s="182">
        <v>120</v>
      </c>
      <c r="R15" s="182">
        <v>6.21</v>
      </c>
      <c r="S15" s="182">
        <v>1.29</v>
      </c>
    </row>
    <row r="16" spans="1:19" x14ac:dyDescent="0.25">
      <c r="A16" s="182">
        <v>70.28</v>
      </c>
      <c r="B16" s="182">
        <v>0.05</v>
      </c>
      <c r="C16" s="182">
        <v>42.21</v>
      </c>
      <c r="D16" s="8">
        <v>43008.583333333336</v>
      </c>
      <c r="E16" s="182">
        <v>0.36</v>
      </c>
      <c r="F16" s="182" t="s">
        <v>834</v>
      </c>
      <c r="G16" s="182">
        <v>278.68</v>
      </c>
      <c r="H16" s="182">
        <v>0</v>
      </c>
      <c r="I16" s="182">
        <v>0</v>
      </c>
      <c r="J16" s="182"/>
      <c r="K16" s="182">
        <v>1009.97</v>
      </c>
      <c r="L16" s="182" t="s">
        <v>549</v>
      </c>
      <c r="M16" s="182">
        <v>70.28</v>
      </c>
      <c r="N16" s="182">
        <v>1506801600</v>
      </c>
      <c r="O16" s="182">
        <v>5</v>
      </c>
      <c r="P16" s="182">
        <v>3.66</v>
      </c>
      <c r="Q16" s="182">
        <v>107</v>
      </c>
      <c r="R16" s="182">
        <v>7.51</v>
      </c>
      <c r="S16" s="182">
        <v>2.41</v>
      </c>
    </row>
    <row r="17" spans="1:19" x14ac:dyDescent="0.25">
      <c r="A17" s="182">
        <v>70.75</v>
      </c>
      <c r="B17" s="182">
        <v>7.0000000000000007E-2</v>
      </c>
      <c r="C17" s="182">
        <v>42.3</v>
      </c>
      <c r="D17" s="8">
        <v>43008.625</v>
      </c>
      <c r="E17" s="182">
        <v>0.36</v>
      </c>
      <c r="F17" s="182" t="s">
        <v>834</v>
      </c>
      <c r="G17" s="182">
        <v>279.75</v>
      </c>
      <c r="H17" s="182">
        <v>0</v>
      </c>
      <c r="I17" s="182">
        <v>0</v>
      </c>
      <c r="J17" s="182"/>
      <c r="K17" s="182">
        <v>1008.89</v>
      </c>
      <c r="L17" s="182" t="s">
        <v>549</v>
      </c>
      <c r="M17" s="182">
        <v>70.75</v>
      </c>
      <c r="N17" s="182">
        <v>1506805200</v>
      </c>
      <c r="O17" s="182">
        <v>4</v>
      </c>
      <c r="P17" s="182">
        <v>3.66</v>
      </c>
      <c r="Q17" s="182">
        <v>118</v>
      </c>
      <c r="R17" s="182">
        <v>10.4</v>
      </c>
      <c r="S17" s="182">
        <v>3.5</v>
      </c>
    </row>
    <row r="18" spans="1:19" x14ac:dyDescent="0.25">
      <c r="A18" s="182">
        <v>70.27</v>
      </c>
      <c r="B18" s="182">
        <v>0.2</v>
      </c>
      <c r="C18" s="182">
        <v>43.41</v>
      </c>
      <c r="D18" s="8">
        <v>43008.666666666664</v>
      </c>
      <c r="E18" s="182">
        <v>0.38</v>
      </c>
      <c r="F18" s="182" t="s">
        <v>834</v>
      </c>
      <c r="G18" s="182">
        <v>281.75</v>
      </c>
      <c r="H18" s="182">
        <v>8.0000000000000004E-4</v>
      </c>
      <c r="I18" s="182">
        <v>0.01</v>
      </c>
      <c r="J18" s="182" t="s">
        <v>447</v>
      </c>
      <c r="K18" s="182">
        <v>1008.12</v>
      </c>
      <c r="L18" s="182" t="s">
        <v>549</v>
      </c>
      <c r="M18" s="182">
        <v>70.27</v>
      </c>
      <c r="N18" s="182">
        <v>1506808800</v>
      </c>
      <c r="O18" s="182">
        <v>2</v>
      </c>
      <c r="P18" s="182">
        <v>3.52</v>
      </c>
      <c r="Q18" s="182">
        <v>132</v>
      </c>
      <c r="R18" s="182">
        <v>12.55</v>
      </c>
      <c r="S18" s="182">
        <v>3.76</v>
      </c>
    </row>
    <row r="19" spans="1:19" x14ac:dyDescent="0.25">
      <c r="A19" s="182">
        <v>67.569999999999993</v>
      </c>
      <c r="B19" s="182">
        <v>0.34</v>
      </c>
      <c r="C19" s="182">
        <v>45.06</v>
      </c>
      <c r="D19" s="8">
        <v>43008.708333333336</v>
      </c>
      <c r="E19" s="182">
        <v>0.44</v>
      </c>
      <c r="F19" s="182" t="s">
        <v>450</v>
      </c>
      <c r="G19" s="182">
        <v>284.2</v>
      </c>
      <c r="H19" s="182">
        <v>3.7000000000000002E-3</v>
      </c>
      <c r="I19" s="182">
        <v>0.03</v>
      </c>
      <c r="J19" s="182" t="s">
        <v>447</v>
      </c>
      <c r="K19" s="182">
        <v>1008.11</v>
      </c>
      <c r="L19" s="182" t="s">
        <v>461</v>
      </c>
      <c r="M19" s="182">
        <v>67.569999999999993</v>
      </c>
      <c r="N19" s="182">
        <v>1506812400</v>
      </c>
      <c r="O19" s="182">
        <v>1</v>
      </c>
      <c r="P19" s="182">
        <v>3.3</v>
      </c>
      <c r="Q19" s="182">
        <v>226</v>
      </c>
      <c r="R19" s="182">
        <v>12.58</v>
      </c>
      <c r="S19" s="182">
        <v>1.99</v>
      </c>
    </row>
    <row r="20" spans="1:19" x14ac:dyDescent="0.25">
      <c r="A20" s="182">
        <v>62.33</v>
      </c>
      <c r="B20" s="182">
        <v>0.42</v>
      </c>
      <c r="C20" s="182">
        <v>44.28</v>
      </c>
      <c r="D20" s="8">
        <v>43008.75</v>
      </c>
      <c r="E20" s="182">
        <v>0.52</v>
      </c>
      <c r="F20" s="182" t="s">
        <v>447</v>
      </c>
      <c r="G20" s="182">
        <v>284.18</v>
      </c>
      <c r="H20" s="182">
        <v>5.1000000000000004E-3</v>
      </c>
      <c r="I20" s="182">
        <v>0.04</v>
      </c>
      <c r="J20" s="182" t="s">
        <v>447</v>
      </c>
      <c r="K20" s="182">
        <v>1008.38</v>
      </c>
      <c r="L20" s="182" t="s">
        <v>835</v>
      </c>
      <c r="M20" s="182">
        <v>62.33</v>
      </c>
      <c r="N20" s="182">
        <v>1506816000</v>
      </c>
      <c r="O20" s="182">
        <v>0</v>
      </c>
      <c r="P20" s="182">
        <v>4.29</v>
      </c>
      <c r="Q20" s="182">
        <v>281</v>
      </c>
      <c r="R20" s="182">
        <v>15.68</v>
      </c>
      <c r="S20" s="182">
        <v>5.36</v>
      </c>
    </row>
    <row r="21" spans="1:19" x14ac:dyDescent="0.25">
      <c r="A21" s="182">
        <v>61.11</v>
      </c>
      <c r="B21" s="182">
        <v>0.23</v>
      </c>
      <c r="C21" s="182">
        <v>42.14</v>
      </c>
      <c r="D21" s="8">
        <v>43008.791666666664</v>
      </c>
      <c r="E21" s="182">
        <v>0.5</v>
      </c>
      <c r="F21" s="182" t="s">
        <v>548</v>
      </c>
      <c r="G21" s="182">
        <v>285.35000000000002</v>
      </c>
      <c r="H21" s="182">
        <v>2.9999999999999997E-4</v>
      </c>
      <c r="I21" s="182">
        <v>0.01</v>
      </c>
      <c r="J21" s="182" t="s">
        <v>447</v>
      </c>
      <c r="K21" s="182">
        <v>1009</v>
      </c>
      <c r="L21" s="182" t="s">
        <v>549</v>
      </c>
      <c r="M21" s="182">
        <v>61.11</v>
      </c>
      <c r="N21" s="182">
        <v>1506819600</v>
      </c>
      <c r="O21" s="182">
        <v>0</v>
      </c>
      <c r="P21" s="182">
        <v>4.49</v>
      </c>
      <c r="Q21" s="182">
        <v>279</v>
      </c>
      <c r="R21" s="182">
        <v>7.44</v>
      </c>
      <c r="S21" s="182">
        <v>2.98</v>
      </c>
    </row>
    <row r="22" spans="1:19" x14ac:dyDescent="0.25">
      <c r="A22" s="182">
        <v>59.38</v>
      </c>
      <c r="B22" s="182">
        <v>0.18</v>
      </c>
      <c r="C22" s="182">
        <v>41.06</v>
      </c>
      <c r="D22" s="8">
        <v>43008.833333333336</v>
      </c>
      <c r="E22" s="182">
        <v>0.51</v>
      </c>
      <c r="F22" s="182" t="s">
        <v>548</v>
      </c>
      <c r="G22" s="182">
        <v>286.39</v>
      </c>
      <c r="H22" s="182">
        <v>2.0000000000000001E-4</v>
      </c>
      <c r="I22" s="182">
        <v>0.01</v>
      </c>
      <c r="J22" s="182" t="s">
        <v>447</v>
      </c>
      <c r="K22" s="182">
        <v>1009.13</v>
      </c>
      <c r="L22" s="182" t="s">
        <v>549</v>
      </c>
      <c r="M22" s="182">
        <v>59.38</v>
      </c>
      <c r="N22" s="182">
        <v>1506823200</v>
      </c>
      <c r="O22" s="182">
        <v>0</v>
      </c>
      <c r="P22" s="182">
        <v>3.73</v>
      </c>
      <c r="Q22" s="182">
        <v>262</v>
      </c>
      <c r="R22" s="182">
        <v>6.25</v>
      </c>
      <c r="S22" s="182">
        <v>1.9</v>
      </c>
    </row>
    <row r="23" spans="1:19" x14ac:dyDescent="0.25">
      <c r="A23" s="182">
        <v>56.48</v>
      </c>
      <c r="B23" s="182">
        <v>7.0000000000000007E-2</v>
      </c>
      <c r="C23" s="182">
        <v>41.16</v>
      </c>
      <c r="D23" s="8">
        <v>43008.875</v>
      </c>
      <c r="E23" s="182">
        <v>0.56000000000000005</v>
      </c>
      <c r="F23" s="182" t="s">
        <v>548</v>
      </c>
      <c r="G23" s="182">
        <v>287.55</v>
      </c>
      <c r="H23" s="182">
        <v>2.9999999999999997E-4</v>
      </c>
      <c r="I23" s="182">
        <v>0.01</v>
      </c>
      <c r="J23" s="182" t="s">
        <v>447</v>
      </c>
      <c r="K23" s="182">
        <v>1009.13</v>
      </c>
      <c r="L23" s="182" t="s">
        <v>549</v>
      </c>
      <c r="M23" s="182">
        <v>56.48</v>
      </c>
      <c r="N23" s="182">
        <v>1506826800</v>
      </c>
      <c r="O23" s="182">
        <v>0</v>
      </c>
      <c r="P23" s="182">
        <v>4.2300000000000004</v>
      </c>
      <c r="Q23" s="182">
        <v>252</v>
      </c>
      <c r="R23" s="182">
        <v>4.62</v>
      </c>
      <c r="S23" s="182">
        <v>1.48</v>
      </c>
    </row>
    <row r="24" spans="1:19" x14ac:dyDescent="0.25">
      <c r="A24" s="182">
        <v>54.24</v>
      </c>
      <c r="B24" s="182">
        <v>0.4</v>
      </c>
      <c r="C24" s="182">
        <v>41.27</v>
      </c>
      <c r="D24" s="8">
        <v>43008.916666666664</v>
      </c>
      <c r="E24" s="182">
        <v>0.61</v>
      </c>
      <c r="F24" s="182" t="s">
        <v>448</v>
      </c>
      <c r="G24" s="182">
        <v>288.81</v>
      </c>
      <c r="H24" s="182">
        <v>1E-4</v>
      </c>
      <c r="I24" s="182">
        <v>0.02</v>
      </c>
      <c r="J24" s="182" t="s">
        <v>447</v>
      </c>
      <c r="K24" s="182">
        <v>1008.21</v>
      </c>
      <c r="L24" s="182" t="s">
        <v>461</v>
      </c>
      <c r="M24" s="182">
        <v>54.24</v>
      </c>
      <c r="N24" s="182">
        <v>1506830400</v>
      </c>
      <c r="O24" s="182">
        <v>0</v>
      </c>
      <c r="P24" s="182">
        <v>10</v>
      </c>
      <c r="Q24" s="182">
        <v>195</v>
      </c>
      <c r="R24" s="182">
        <v>5.68</v>
      </c>
      <c r="S24" s="182">
        <v>3.23</v>
      </c>
    </row>
    <row r="25" spans="1:19" x14ac:dyDescent="0.25">
      <c r="A25" s="182">
        <v>53.75</v>
      </c>
      <c r="B25" s="182">
        <v>0.08</v>
      </c>
      <c r="C25" s="182">
        <v>41.01</v>
      </c>
      <c r="D25" s="8">
        <v>43008.958333333336</v>
      </c>
      <c r="E25" s="182">
        <v>0.62</v>
      </c>
      <c r="F25" s="182" t="s">
        <v>548</v>
      </c>
      <c r="G25" s="182">
        <v>290.17</v>
      </c>
      <c r="H25" s="182">
        <v>2.9999999999999997E-4</v>
      </c>
      <c r="I25" s="182">
        <v>0.01</v>
      </c>
      <c r="J25" s="182" t="s">
        <v>447</v>
      </c>
      <c r="K25" s="182">
        <v>1007.94</v>
      </c>
      <c r="L25" s="182" t="s">
        <v>549</v>
      </c>
      <c r="M25" s="182">
        <v>53.75</v>
      </c>
      <c r="N25" s="182">
        <v>1506834000</v>
      </c>
      <c r="O25" s="182">
        <v>0</v>
      </c>
      <c r="P25" s="182">
        <v>4.95</v>
      </c>
      <c r="Q25" s="182">
        <v>216</v>
      </c>
      <c r="R25" s="182">
        <v>4.78</v>
      </c>
      <c r="S25" s="182">
        <v>1.82</v>
      </c>
    </row>
    <row r="26" spans="1:19" x14ac:dyDescent="0.25">
      <c r="A26" s="182">
        <v>53.76</v>
      </c>
      <c r="B26" s="182">
        <v>0.08</v>
      </c>
      <c r="C26" s="182">
        <v>41.43</v>
      </c>
      <c r="D26" s="8">
        <v>43009</v>
      </c>
      <c r="E26" s="182">
        <v>0.63</v>
      </c>
      <c r="F26" s="182" t="s">
        <v>548</v>
      </c>
      <c r="G26" s="182">
        <v>292.10000000000002</v>
      </c>
      <c r="H26" s="182">
        <v>2.0000000000000001E-4</v>
      </c>
      <c r="I26" s="182">
        <v>0.01</v>
      </c>
      <c r="J26" s="182" t="s">
        <v>447</v>
      </c>
      <c r="K26" s="182">
        <v>1007.82</v>
      </c>
      <c r="L26" s="182" t="s">
        <v>549</v>
      </c>
      <c r="M26" s="182">
        <v>53.76</v>
      </c>
      <c r="N26" s="182">
        <v>1506837600</v>
      </c>
      <c r="O26" s="182">
        <v>0</v>
      </c>
      <c r="P26" s="182">
        <v>3.65</v>
      </c>
      <c r="Q26" s="182">
        <v>194</v>
      </c>
      <c r="R26" s="182">
        <v>4.79</v>
      </c>
      <c r="S26" s="182">
        <v>2.02</v>
      </c>
    </row>
    <row r="27" spans="1:19" x14ac:dyDescent="0.25">
      <c r="A27" s="182">
        <v>54.85</v>
      </c>
      <c r="B27" s="182">
        <v>0.19</v>
      </c>
      <c r="C27" s="182">
        <v>41.34</v>
      </c>
      <c r="D27" s="8">
        <v>43009.041666666664</v>
      </c>
      <c r="E27" s="182">
        <v>0.6</v>
      </c>
      <c r="F27" s="182" t="s">
        <v>548</v>
      </c>
      <c r="G27" s="182">
        <v>293.33999999999997</v>
      </c>
      <c r="H27" s="182">
        <v>0</v>
      </c>
      <c r="I27" s="182">
        <v>0</v>
      </c>
      <c r="J27" s="182"/>
      <c r="K27" s="182">
        <v>1007.39</v>
      </c>
      <c r="L27" s="182" t="s">
        <v>549</v>
      </c>
      <c r="M27" s="182">
        <v>54.85</v>
      </c>
      <c r="N27" s="182">
        <v>1506841200</v>
      </c>
      <c r="O27" s="182">
        <v>0</v>
      </c>
      <c r="P27" s="182">
        <v>3.69</v>
      </c>
      <c r="Q27" s="182">
        <v>211</v>
      </c>
      <c r="R27" s="182">
        <v>5.56</v>
      </c>
      <c r="S27" s="182">
        <v>1.93</v>
      </c>
    </row>
    <row r="28" spans="1:19" x14ac:dyDescent="0.25">
      <c r="A28" s="182">
        <v>52.95</v>
      </c>
      <c r="B28" s="182">
        <v>0.16</v>
      </c>
      <c r="C28" s="182">
        <v>40.9</v>
      </c>
      <c r="D28" s="8">
        <v>43009.083333333336</v>
      </c>
      <c r="E28" s="182">
        <v>0.64</v>
      </c>
      <c r="F28" s="182" t="s">
        <v>548</v>
      </c>
      <c r="G28" s="182">
        <v>294.47000000000003</v>
      </c>
      <c r="H28" s="182">
        <v>4.0000000000000002E-4</v>
      </c>
      <c r="I28" s="182">
        <v>0.01</v>
      </c>
      <c r="J28" s="182" t="s">
        <v>447</v>
      </c>
      <c r="K28" s="182">
        <v>1006.24</v>
      </c>
      <c r="L28" s="182" t="s">
        <v>549</v>
      </c>
      <c r="M28" s="182">
        <v>52.95</v>
      </c>
      <c r="N28" s="182">
        <v>1506844800</v>
      </c>
      <c r="O28" s="182">
        <v>0</v>
      </c>
      <c r="P28" s="182">
        <v>3.69</v>
      </c>
      <c r="Q28" s="182">
        <v>217</v>
      </c>
      <c r="R28" s="182">
        <v>4.7699999999999996</v>
      </c>
      <c r="S28" s="182">
        <v>1.81</v>
      </c>
    </row>
    <row r="29" spans="1:19" x14ac:dyDescent="0.25">
      <c r="A29" s="182">
        <v>52.1</v>
      </c>
      <c r="B29" s="182">
        <v>0.19</v>
      </c>
      <c r="C29" s="182">
        <v>40.39</v>
      </c>
      <c r="D29" s="8">
        <v>43009.125</v>
      </c>
      <c r="E29" s="182">
        <v>0.64</v>
      </c>
      <c r="F29" s="182" t="s">
        <v>548</v>
      </c>
      <c r="G29" s="182">
        <v>295.38</v>
      </c>
      <c r="H29" s="182">
        <v>5.9999999999999995E-4</v>
      </c>
      <c r="I29" s="182">
        <v>0.02</v>
      </c>
      <c r="J29" s="182" t="s">
        <v>447</v>
      </c>
      <c r="K29" s="182">
        <v>1006.26</v>
      </c>
      <c r="L29" s="182" t="s">
        <v>549</v>
      </c>
      <c r="M29" s="182">
        <v>52.1</v>
      </c>
      <c r="N29" s="182">
        <v>1506848400</v>
      </c>
      <c r="O29" s="182">
        <v>0</v>
      </c>
      <c r="P29" s="182">
        <v>3.69</v>
      </c>
      <c r="Q29" s="182">
        <v>229</v>
      </c>
      <c r="R29" s="182">
        <v>4.93</v>
      </c>
      <c r="S29" s="182">
        <v>1.37</v>
      </c>
    </row>
    <row r="30" spans="1:19" x14ac:dyDescent="0.25">
      <c r="A30" s="132"/>
      <c r="B30" s="132"/>
      <c r="C30" s="132"/>
      <c r="D30" s="8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</row>
    <row r="31" spans="1:19" x14ac:dyDescent="0.25">
      <c r="A31" s="133" t="s">
        <v>182</v>
      </c>
    </row>
    <row r="33" spans="1:1" x14ac:dyDescent="0.25">
      <c r="A33" s="133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0" customWidth="1"/>
    <col min="10" max="10" width="24.28515625" style="132" bestFit="1" customWidth="1"/>
    <col min="11" max="11" width="15.28515625" style="132" hidden="1" customWidth="1"/>
    <col min="12" max="12" width="13.5703125" style="132" hidden="1" customWidth="1"/>
    <col min="13" max="13" width="9" style="146" bestFit="1" customWidth="1"/>
    <col min="14" max="17" width="9.140625" style="132"/>
    <col min="20" max="24" width="9.140625" style="146"/>
    <col min="29" max="29" width="12.42578125" customWidth="1"/>
    <col min="30" max="30" width="9.140625" style="160"/>
    <col min="31" max="32" width="9.140625" style="50"/>
  </cols>
  <sheetData>
    <row r="1" spans="1:32" ht="45.75" x14ac:dyDescent="0.3">
      <c r="A1" s="11" t="s">
        <v>25</v>
      </c>
      <c r="C1" s="111" t="s">
        <v>96</v>
      </c>
      <c r="D1" s="112" t="s">
        <v>97</v>
      </c>
      <c r="J1" s="138" t="s">
        <v>98</v>
      </c>
      <c r="K1" s="138" t="s">
        <v>66</v>
      </c>
      <c r="L1" s="138" t="s">
        <v>67</v>
      </c>
      <c r="O1" s="139" t="s">
        <v>99</v>
      </c>
      <c r="T1" s="148" t="s">
        <v>327</v>
      </c>
      <c r="U1" s="148"/>
      <c r="V1" s="148"/>
      <c r="W1" s="148"/>
      <c r="X1" s="148"/>
    </row>
    <row r="2" spans="1:32" ht="15.75" thickBot="1" x14ac:dyDescent="0.3">
      <c r="A2" s="12">
        <v>43008</v>
      </c>
      <c r="B2" s="4"/>
      <c r="C2" s="113">
        <v>50</v>
      </c>
      <c r="D2" s="114">
        <v>25</v>
      </c>
      <c r="F2" t="s">
        <v>110</v>
      </c>
      <c r="J2" s="138"/>
      <c r="K2" s="138" t="s">
        <v>66</v>
      </c>
      <c r="L2" s="138" t="s">
        <v>67</v>
      </c>
      <c r="T2" s="147" t="s">
        <v>328</v>
      </c>
      <c r="U2" s="147">
        <v>167</v>
      </c>
      <c r="V2" s="147">
        <v>168</v>
      </c>
      <c r="W2" s="147">
        <v>199</v>
      </c>
      <c r="X2" s="147">
        <v>200</v>
      </c>
      <c r="AD2" t="s">
        <v>348</v>
      </c>
      <c r="AE2" s="50" t="s">
        <v>351</v>
      </c>
      <c r="AF2" s="50" t="s">
        <v>352</v>
      </c>
    </row>
    <row r="3" spans="1:32" x14ac:dyDescent="0.25">
      <c r="C3" s="50"/>
      <c r="F3" t="s">
        <v>52</v>
      </c>
      <c r="J3" s="140" t="s">
        <v>68</v>
      </c>
      <c r="K3" s="141">
        <v>2.7052</v>
      </c>
      <c r="L3" s="141">
        <v>2.7349999999999999</v>
      </c>
      <c r="M3" s="146">
        <f t="shared" ref="M3:M14" si="0">AVERAGE(K3:L3)</f>
        <v>2.7201</v>
      </c>
      <c r="O3" s="132" t="s">
        <v>100</v>
      </c>
      <c r="P3" s="132">
        <f>AVERAGE(1.0714,1.1016)</f>
        <v>1.0865</v>
      </c>
      <c r="T3" s="147" t="s">
        <v>329</v>
      </c>
      <c r="U3" s="147">
        <v>174</v>
      </c>
      <c r="V3" s="147">
        <v>176</v>
      </c>
      <c r="W3" s="147">
        <v>207</v>
      </c>
      <c r="X3" s="147">
        <v>210</v>
      </c>
      <c r="AC3" s="30" t="s">
        <v>102</v>
      </c>
      <c r="AD3" s="123">
        <v>23</v>
      </c>
      <c r="AE3" s="42">
        <v>100</v>
      </c>
      <c r="AF3" s="42">
        <v>299</v>
      </c>
    </row>
    <row r="4" spans="1:32" ht="45" x14ac:dyDescent="0.25">
      <c r="C4" s="111" t="s">
        <v>96</v>
      </c>
      <c r="D4" s="112" t="s">
        <v>97</v>
      </c>
      <c r="F4" t="s">
        <v>53</v>
      </c>
      <c r="J4" s="140" t="s">
        <v>69</v>
      </c>
      <c r="K4" s="141">
        <v>3.0830000000000002</v>
      </c>
      <c r="L4" s="141">
        <v>3.097</v>
      </c>
      <c r="M4" s="146">
        <f t="shared" si="0"/>
        <v>3.09</v>
      </c>
      <c r="T4" s="147" t="s">
        <v>330</v>
      </c>
      <c r="U4" s="147">
        <v>173</v>
      </c>
      <c r="V4" s="147">
        <v>175</v>
      </c>
      <c r="W4" s="147">
        <v>208</v>
      </c>
      <c r="X4" s="147">
        <v>209</v>
      </c>
      <c r="AC4" s="30" t="s">
        <v>103</v>
      </c>
      <c r="AD4" s="123">
        <v>5.65</v>
      </c>
      <c r="AE4" s="42">
        <v>800</v>
      </c>
      <c r="AF4" s="42">
        <v>899</v>
      </c>
    </row>
    <row r="5" spans="1:32" x14ac:dyDescent="0.25">
      <c r="C5" s="50">
        <v>30</v>
      </c>
      <c r="D5" s="50">
        <v>9</v>
      </c>
      <c r="J5" s="140" t="s">
        <v>70</v>
      </c>
      <c r="K5" s="141">
        <v>3.3136000000000001</v>
      </c>
      <c r="L5" s="141">
        <v>3.3256999999999999</v>
      </c>
      <c r="M5" s="146">
        <f t="shared" si="0"/>
        <v>3.3196500000000002</v>
      </c>
      <c r="T5" s="147" t="s">
        <v>331</v>
      </c>
      <c r="U5" s="147">
        <v>187</v>
      </c>
      <c r="V5" s="147">
        <v>188</v>
      </c>
      <c r="W5" s="147">
        <v>223</v>
      </c>
      <c r="X5" s="147">
        <v>224</v>
      </c>
      <c r="AC5" s="30" t="s">
        <v>349</v>
      </c>
      <c r="AD5" s="123">
        <v>11.15</v>
      </c>
      <c r="AE5" s="42">
        <v>400</v>
      </c>
      <c r="AF5" s="42">
        <v>600</v>
      </c>
    </row>
    <row r="6" spans="1:32" x14ac:dyDescent="0.25">
      <c r="C6" s="50"/>
      <c r="F6" t="s">
        <v>111</v>
      </c>
      <c r="J6" s="140" t="s">
        <v>71</v>
      </c>
      <c r="K6" s="141">
        <v>4.2778999999999998</v>
      </c>
      <c r="L6" s="141">
        <v>4.2961</v>
      </c>
      <c r="M6" s="146">
        <f t="shared" si="0"/>
        <v>4.2869999999999999</v>
      </c>
      <c r="T6" s="147"/>
      <c r="U6" s="147"/>
      <c r="V6" s="147"/>
      <c r="W6" s="147"/>
      <c r="X6" s="147"/>
      <c r="AC6" s="45" t="s">
        <v>103</v>
      </c>
      <c r="AD6" s="173">
        <v>5.65</v>
      </c>
      <c r="AE6" s="42">
        <v>1800</v>
      </c>
      <c r="AF6" s="42">
        <v>1899</v>
      </c>
    </row>
    <row r="7" spans="1:32" x14ac:dyDescent="0.25">
      <c r="C7" s="50"/>
      <c r="F7" t="s">
        <v>343</v>
      </c>
      <c r="J7" s="140" t="s">
        <v>72</v>
      </c>
      <c r="K7" s="141">
        <v>4.7865000000000002</v>
      </c>
      <c r="L7" s="141">
        <v>4.8048000000000002</v>
      </c>
      <c r="M7" s="146">
        <f t="shared" si="0"/>
        <v>4.7956500000000002</v>
      </c>
      <c r="T7" s="147"/>
      <c r="U7" s="147"/>
      <c r="V7" s="147"/>
      <c r="W7" s="147"/>
      <c r="X7" s="147"/>
      <c r="AC7" s="30" t="s">
        <v>350</v>
      </c>
      <c r="AD7" s="123">
        <v>99</v>
      </c>
      <c r="AE7" s="42">
        <v>0</v>
      </c>
      <c r="AF7" s="42">
        <v>99</v>
      </c>
    </row>
    <row r="8" spans="1:32" x14ac:dyDescent="0.25">
      <c r="C8" s="50"/>
      <c r="F8" t="s">
        <v>406</v>
      </c>
      <c r="J8" s="140" t="s">
        <v>73</v>
      </c>
      <c r="K8" s="141">
        <v>5.3155000000000001</v>
      </c>
      <c r="L8" s="141">
        <v>5.3277000000000001</v>
      </c>
      <c r="M8" s="146">
        <f t="shared" si="0"/>
        <v>5.3216000000000001</v>
      </c>
      <c r="T8" s="147"/>
      <c r="U8" s="147"/>
      <c r="V8" s="147"/>
      <c r="W8" s="147"/>
      <c r="X8" s="147"/>
      <c r="AC8" s="45" t="s">
        <v>353</v>
      </c>
      <c r="AD8" s="166">
        <v>9999</v>
      </c>
      <c r="AE8" s="123">
        <v>9999</v>
      </c>
      <c r="AF8" s="123">
        <v>9999</v>
      </c>
    </row>
    <row r="9" spans="1:32" x14ac:dyDescent="0.25">
      <c r="C9" s="50"/>
      <c r="J9" s="140" t="s">
        <v>74</v>
      </c>
      <c r="K9" s="141">
        <v>5.8117000000000001</v>
      </c>
      <c r="L9" s="141">
        <v>5.8300999999999998</v>
      </c>
      <c r="M9" s="146">
        <f t="shared" si="0"/>
        <v>5.8209</v>
      </c>
      <c r="T9" s="147"/>
      <c r="U9" s="147"/>
      <c r="V9" s="147"/>
      <c r="W9" s="147"/>
      <c r="X9" s="147"/>
    </row>
    <row r="10" spans="1:32" x14ac:dyDescent="0.25">
      <c r="C10" s="50"/>
      <c r="J10" s="140" t="s">
        <v>75</v>
      </c>
      <c r="K10" s="141">
        <v>5.8783000000000003</v>
      </c>
      <c r="L10" s="141">
        <v>5.8903999999999996</v>
      </c>
      <c r="M10" s="146">
        <f t="shared" si="0"/>
        <v>5.8843499999999995</v>
      </c>
      <c r="T10" s="147"/>
      <c r="U10" s="147"/>
      <c r="V10" s="147"/>
      <c r="W10" s="147"/>
      <c r="X10" s="147"/>
    </row>
    <row r="11" spans="1:32" x14ac:dyDescent="0.25">
      <c r="C11" s="50"/>
      <c r="J11" s="140" t="s">
        <v>76</v>
      </c>
      <c r="K11" s="141">
        <v>6.3068</v>
      </c>
      <c r="L11" s="141">
        <v>6.3308999999999997</v>
      </c>
      <c r="M11" s="146">
        <f t="shared" si="0"/>
        <v>6.3188499999999994</v>
      </c>
      <c r="T11" s="147"/>
      <c r="U11" s="147"/>
      <c r="V11" s="147"/>
      <c r="W11" s="147"/>
      <c r="X11" s="147"/>
    </row>
    <row r="12" spans="1:32" x14ac:dyDescent="0.25">
      <c r="C12" s="50"/>
      <c r="J12" s="140" t="s">
        <v>77</v>
      </c>
      <c r="K12" s="141">
        <v>7.8349000000000002</v>
      </c>
      <c r="L12" s="141">
        <v>7.8468999999999998</v>
      </c>
      <c r="M12" s="146">
        <f t="shared" si="0"/>
        <v>7.8408999999999995</v>
      </c>
      <c r="T12" s="147"/>
      <c r="U12" s="147"/>
      <c r="V12" s="147"/>
      <c r="W12" s="147"/>
      <c r="X12" s="147"/>
    </row>
    <row r="13" spans="1:32" x14ac:dyDescent="0.25">
      <c r="C13" s="50"/>
      <c r="J13" s="140" t="s">
        <v>78</v>
      </c>
      <c r="K13" s="141">
        <v>10.373799999999999</v>
      </c>
      <c r="L13" s="141">
        <v>10.38</v>
      </c>
      <c r="M13" s="146">
        <f t="shared" si="0"/>
        <v>10.376899999999999</v>
      </c>
      <c r="T13" s="147"/>
      <c r="U13" s="147"/>
      <c r="V13" s="147"/>
      <c r="W13" s="147"/>
      <c r="X13" s="147"/>
    </row>
    <row r="14" spans="1:32" x14ac:dyDescent="0.25">
      <c r="C14" s="50"/>
      <c r="J14" s="140" t="s">
        <v>79</v>
      </c>
      <c r="K14" s="141">
        <v>10.8954</v>
      </c>
      <c r="L14" s="141">
        <v>10.913500000000001</v>
      </c>
      <c r="M14" s="146">
        <f t="shared" si="0"/>
        <v>10.904450000000001</v>
      </c>
      <c r="T14" s="147"/>
      <c r="U14" s="147"/>
      <c r="V14" s="147"/>
      <c r="W14" s="147"/>
      <c r="X14" s="147"/>
    </row>
    <row r="15" spans="1:32" x14ac:dyDescent="0.25">
      <c r="C15" s="50"/>
      <c r="J15" s="140"/>
      <c r="K15" s="141"/>
      <c r="L15" s="141"/>
      <c r="T15" s="147"/>
      <c r="U15" s="147"/>
      <c r="V15" s="147"/>
      <c r="W15" s="147"/>
      <c r="X15" s="147"/>
    </row>
    <row r="16" spans="1:32" x14ac:dyDescent="0.25">
      <c r="C16" s="50"/>
      <c r="J16" s="140"/>
      <c r="K16" s="141"/>
      <c r="L16" s="141"/>
      <c r="T16" s="147"/>
      <c r="U16" s="147"/>
      <c r="V16" s="147"/>
      <c r="W16" s="147"/>
      <c r="X16" s="147"/>
    </row>
    <row r="17" spans="3:24" x14ac:dyDescent="0.25">
      <c r="C17" s="129" t="s">
        <v>183</v>
      </c>
      <c r="J17" s="140"/>
      <c r="K17" s="141"/>
      <c r="L17" s="141"/>
      <c r="T17" s="147"/>
      <c r="U17" s="147"/>
      <c r="V17" s="147"/>
      <c r="W17" s="147"/>
      <c r="X17" s="147"/>
    </row>
    <row r="18" spans="3:24" x14ac:dyDescent="0.25">
      <c r="C18" t="s">
        <v>956</v>
      </c>
      <c r="J18" s="140" t="s">
        <v>85</v>
      </c>
      <c r="K18" s="141"/>
      <c r="L18" s="141"/>
      <c r="M18" s="146" t="str">
        <f>"""C:\Program Files (x86)\AstroGrep\AstroGrep.exe"""</f>
        <v>"C:\Program Files (x86)\AstroGrep\AstroGrep.exe"</v>
      </c>
      <c r="T18" s="147"/>
      <c r="U18" s="147"/>
      <c r="V18" s="147"/>
      <c r="W18" s="147"/>
      <c r="X18" s="147"/>
    </row>
    <row r="19" spans="3:24" x14ac:dyDescent="0.25">
      <c r="C19" t="s">
        <v>957</v>
      </c>
      <c r="J19" s="140" t="s">
        <v>86</v>
      </c>
      <c r="K19" s="141"/>
      <c r="L19" s="141"/>
      <c r="M19" s="146" t="s">
        <v>109</v>
      </c>
      <c r="T19" s="147"/>
      <c r="U19" s="147"/>
      <c r="V19" s="147"/>
      <c r="W19" s="147"/>
      <c r="X19" s="147"/>
    </row>
    <row r="20" spans="3:24" x14ac:dyDescent="0.25">
      <c r="C20" t="s">
        <v>958</v>
      </c>
      <c r="J20" s="132" t="s">
        <v>87</v>
      </c>
      <c r="M20" s="146" t="s">
        <v>341</v>
      </c>
      <c r="N20" s="146" t="s">
        <v>326</v>
      </c>
      <c r="T20" s="147"/>
      <c r="U20" s="147"/>
      <c r="V20" s="147"/>
      <c r="W20" s="147"/>
      <c r="X20" s="147"/>
    </row>
    <row r="21" spans="3:24" x14ac:dyDescent="0.25">
      <c r="C21" t="s">
        <v>959</v>
      </c>
      <c r="J21" s="132" t="s">
        <v>90</v>
      </c>
      <c r="K21" s="132" t="s">
        <v>91</v>
      </c>
      <c r="M21" s="146" t="s">
        <v>173</v>
      </c>
      <c r="T21" s="147"/>
      <c r="U21" s="147"/>
      <c r="V21" s="147"/>
      <c r="W21" s="147"/>
      <c r="X21" s="147"/>
    </row>
    <row r="22" spans="3:24" x14ac:dyDescent="0.25">
      <c r="C22" t="s">
        <v>960</v>
      </c>
      <c r="J22" s="132" t="s">
        <v>92</v>
      </c>
      <c r="K22" s="132" t="s">
        <v>477</v>
      </c>
      <c r="M22" s="146" t="s">
        <v>108</v>
      </c>
      <c r="T22" s="147"/>
      <c r="U22" s="147"/>
      <c r="V22" s="147"/>
      <c r="W22" s="147"/>
      <c r="X22" s="147"/>
    </row>
    <row r="23" spans="3:24" x14ac:dyDescent="0.25">
      <c r="C23" t="s">
        <v>961</v>
      </c>
      <c r="J23" s="142" t="s">
        <v>94</v>
      </c>
      <c r="M23" s="146" t="str">
        <f>"-06"</f>
        <v>-06</v>
      </c>
      <c r="T23" s="147"/>
      <c r="U23" s="147"/>
      <c r="V23" s="147"/>
      <c r="W23" s="147"/>
      <c r="X23" s="147"/>
    </row>
    <row r="24" spans="3:24" x14ac:dyDescent="0.25">
      <c r="C24" t="s">
        <v>962</v>
      </c>
      <c r="J24" s="132" t="s">
        <v>105</v>
      </c>
      <c r="M24" s="146" t="s">
        <v>107</v>
      </c>
      <c r="T24" s="147"/>
      <c r="U24" s="147"/>
      <c r="V24" s="147"/>
      <c r="W24" s="147"/>
      <c r="X24" s="147"/>
    </row>
    <row r="25" spans="3:24" x14ac:dyDescent="0.25">
      <c r="C25" t="s">
        <v>963</v>
      </c>
      <c r="J25" s="132" t="s">
        <v>145</v>
      </c>
      <c r="M25" s="146" t="b">
        <v>1</v>
      </c>
    </row>
    <row r="26" spans="3:24" x14ac:dyDescent="0.25">
      <c r="C26" t="s">
        <v>964</v>
      </c>
      <c r="J26" s="132" t="s">
        <v>146</v>
      </c>
      <c r="M26" s="146" t="str">
        <f>"c:\users\stu\Documents\GitHub\eaglep3-reporting\EC\"&amp;TEXT(A2,"yyyy-mm-dd")&amp;"-refined-times.txt"</f>
        <v>c:\users\stu\Documents\GitHub\eaglep3-reporting\EC\2017-09-30-refined-times.txt</v>
      </c>
    </row>
    <row r="27" spans="3:24" x14ac:dyDescent="0.25">
      <c r="C27" t="s">
        <v>965</v>
      </c>
      <c r="J27" s="132" t="s">
        <v>175</v>
      </c>
      <c r="M27" s="146" t="str">
        <f>"c:\users\stu\Documents\GitHub\eaglep3-reporting\EC\"&amp;TEXT(A2,"YYYY-MM-DD")&amp;"-Enforcements.txt"</f>
        <v>c:\users\stu\Documents\GitHub\eaglep3-reporting\EC\2017-09-30-Enforcements.txt</v>
      </c>
    </row>
    <row r="28" spans="3:24" x14ac:dyDescent="0.25">
      <c r="C28" t="s">
        <v>966</v>
      </c>
      <c r="J28" s="132" t="s">
        <v>176</v>
      </c>
      <c r="M28" s="146" t="str">
        <f>"c:\users\stu\Documents\GitHub\eaglep3-reporting\EC\"&amp;TEXT(A2,"YYYY-MM-DD")&amp;"-Runs-refined.txt"</f>
        <v>c:\users\stu\Documents\GitHub\eaglep3-reporting\EC\2017-09-30-Runs-refined.txt</v>
      </c>
    </row>
    <row r="29" spans="3:24" x14ac:dyDescent="0.25">
      <c r="C29" t="s">
        <v>967</v>
      </c>
      <c r="J29" s="132" t="s">
        <v>177</v>
      </c>
      <c r="M29" s="146" t="str">
        <f>"c:\users\stu\Documents\GitHub\eaglep3-reporting\EC\"&amp;TEXT(A2,"YYYY-MM-DD")&amp;"-Trips.txt"</f>
        <v>c:\users\stu\Documents\GitHub\eaglep3-reporting\EC\2017-09-30-Trips.txt</v>
      </c>
    </row>
    <row r="30" spans="3:24" x14ac:dyDescent="0.25">
      <c r="C30" t="s">
        <v>968</v>
      </c>
      <c r="J30" s="132" t="s">
        <v>178</v>
      </c>
      <c r="M30" s="146" t="str">
        <f>"c:\users\stu\Documents\GitHub\eaglep3-reporting\EC\"&amp;TEXT(A2,"YYYY-MM-DD")&amp;"-Weather.txt"</f>
        <v>c:\users\stu\Documents\GitHub\eaglep3-reporting\EC\2017-09-30-Weather.txt</v>
      </c>
    </row>
    <row r="31" spans="3:24" x14ac:dyDescent="0.25">
      <c r="C31" t="s">
        <v>969</v>
      </c>
      <c r="J31" s="132" t="s">
        <v>191</v>
      </c>
      <c r="M31" s="146" t="s">
        <v>192</v>
      </c>
    </row>
    <row r="32" spans="3:24" x14ac:dyDescent="0.25">
      <c r="C32" t="s">
        <v>970</v>
      </c>
    </row>
    <row r="33" spans="3:3" x14ac:dyDescent="0.25">
      <c r="C33" t="s">
        <v>971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85" bestFit="1" customWidth="1"/>
    <col min="2" max="7" width="9.140625" style="85"/>
    <col min="8" max="8" width="17.7109375" style="178" bestFit="1" customWidth="1"/>
    <col min="9" max="10" width="9.140625" style="178"/>
    <col min="11" max="16384" width="9.140625" style="85"/>
  </cols>
  <sheetData>
    <row r="1" spans="1:11" x14ac:dyDescent="0.25">
      <c r="A1" s="84" t="s">
        <v>116</v>
      </c>
      <c r="B1" s="84" t="s">
        <v>117</v>
      </c>
      <c r="C1" s="85" t="s">
        <v>118</v>
      </c>
      <c r="H1" s="160" t="s">
        <v>112</v>
      </c>
      <c r="I1" s="176" t="s">
        <v>114</v>
      </c>
      <c r="J1" s="160" t="s">
        <v>333</v>
      </c>
    </row>
    <row r="2" spans="1:11" x14ac:dyDescent="0.25">
      <c r="A2" s="85" t="s">
        <v>119</v>
      </c>
      <c r="B2" s="85" t="s">
        <v>120</v>
      </c>
      <c r="C2" s="85" t="s">
        <v>121</v>
      </c>
      <c r="H2" s="160" t="s">
        <v>113</v>
      </c>
      <c r="I2" s="160" t="s">
        <v>115</v>
      </c>
      <c r="J2" s="160" t="s">
        <v>334</v>
      </c>
    </row>
    <row r="3" spans="1:11" x14ac:dyDescent="0.25">
      <c r="A3" s="85" t="s">
        <v>122</v>
      </c>
      <c r="B3" s="85" t="s">
        <v>123</v>
      </c>
      <c r="C3" s="85" t="s">
        <v>124</v>
      </c>
      <c r="H3" s="160" t="s">
        <v>138</v>
      </c>
      <c r="I3" s="160">
        <v>1</v>
      </c>
      <c r="J3" s="160">
        <v>1</v>
      </c>
      <c r="K3" s="49"/>
    </row>
    <row r="4" spans="1:11" x14ac:dyDescent="0.25">
      <c r="A4" s="85" t="s">
        <v>125</v>
      </c>
      <c r="C4" s="85" t="s">
        <v>126</v>
      </c>
      <c r="H4" s="160" t="s">
        <v>139</v>
      </c>
      <c r="I4" s="160">
        <v>2</v>
      </c>
      <c r="J4" s="160">
        <v>1</v>
      </c>
      <c r="K4" s="49"/>
    </row>
    <row r="5" spans="1:11" x14ac:dyDescent="0.25">
      <c r="A5" s="85" t="s">
        <v>127</v>
      </c>
      <c r="C5" s="85" t="s">
        <v>128</v>
      </c>
      <c r="H5" s="160" t="s">
        <v>140</v>
      </c>
      <c r="I5" s="160">
        <v>338</v>
      </c>
      <c r="J5" s="160">
        <v>10</v>
      </c>
      <c r="K5" s="49"/>
    </row>
    <row r="6" spans="1:11" x14ac:dyDescent="0.25">
      <c r="A6" s="85" t="s">
        <v>129</v>
      </c>
      <c r="C6" s="85" t="s">
        <v>130</v>
      </c>
      <c r="H6" s="177" t="s">
        <v>141</v>
      </c>
      <c r="I6" s="177" t="s">
        <v>120</v>
      </c>
    </row>
    <row r="7" spans="1:11" x14ac:dyDescent="0.25">
      <c r="A7" s="85" t="s">
        <v>131</v>
      </c>
      <c r="C7" s="85" t="s">
        <v>132</v>
      </c>
    </row>
    <row r="8" spans="1:11" x14ac:dyDescent="0.25">
      <c r="C8" s="85" t="s">
        <v>133</v>
      </c>
    </row>
    <row r="9" spans="1:11" x14ac:dyDescent="0.25">
      <c r="C9" s="86" t="s">
        <v>166</v>
      </c>
    </row>
    <row r="10" spans="1:11" x14ac:dyDescent="0.25">
      <c r="C10" s="85" t="s">
        <v>134</v>
      </c>
    </row>
    <row r="11" spans="1:11" x14ac:dyDescent="0.25">
      <c r="C11" s="85" t="s">
        <v>135</v>
      </c>
    </row>
    <row r="12" spans="1:11" x14ac:dyDescent="0.25">
      <c r="C12" s="85" t="s">
        <v>136</v>
      </c>
    </row>
    <row r="13" spans="1:11" x14ac:dyDescent="0.25">
      <c r="C13" s="85" t="s">
        <v>137</v>
      </c>
    </row>
    <row r="14" spans="1:11" x14ac:dyDescent="0.25">
      <c r="C14" s="86" t="s">
        <v>167</v>
      </c>
    </row>
    <row r="15" spans="1:11" x14ac:dyDescent="0.25">
      <c r="C15" s="86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2017-10-02T15:35:35Z</dcterms:modified>
</cp:coreProperties>
</file>