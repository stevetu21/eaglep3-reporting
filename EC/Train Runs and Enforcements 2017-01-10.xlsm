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Enforcements!$A$6:$AC$42</definedName>
    <definedName name="_xlnm._FilterDatabase" localSheetId="2" hidden="1">'Missing Trips'!$A$2:$J$143</definedName>
    <definedName name="_xlnm._FilterDatabase" localSheetId="0" hidden="1">'Train Runs'!$A$12:$AG$221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Runs'!$A$12:$J$66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4" i="9" l="1"/>
  <c r="C84" i="9" s="1"/>
  <c r="B85" i="9"/>
  <c r="C85" i="9"/>
  <c r="B86" i="9"/>
  <c r="C86" i="9" s="1"/>
  <c r="B87" i="9"/>
  <c r="C87" i="9"/>
  <c r="B88" i="9"/>
  <c r="C88" i="9" s="1"/>
  <c r="B89" i="9"/>
  <c r="C89" i="9"/>
  <c r="S120" i="1"/>
  <c r="P120" i="1"/>
  <c r="S117" i="1"/>
  <c r="P117" i="1"/>
  <c r="S114" i="1"/>
  <c r="P114" i="1"/>
  <c r="S111" i="1"/>
  <c r="P111" i="1"/>
  <c r="S107" i="1"/>
  <c r="P107" i="1"/>
  <c r="S102" i="1"/>
  <c r="P102" i="1"/>
  <c r="S99" i="1"/>
  <c r="P99" i="1"/>
  <c r="S96" i="1"/>
  <c r="P96" i="1"/>
  <c r="P28" i="1"/>
  <c r="X19" i="1"/>
  <c r="X20" i="1"/>
  <c r="X21" i="1"/>
  <c r="X22" i="1"/>
  <c r="X23" i="1"/>
  <c r="K14" i="1"/>
  <c r="L14" i="1"/>
  <c r="M14" i="1"/>
  <c r="N14" i="1" s="1"/>
  <c r="V14" i="1"/>
  <c r="Y14" i="1"/>
  <c r="Z14" i="1"/>
  <c r="AA14" i="1" s="1"/>
  <c r="AB14" i="1"/>
  <c r="AC14" i="1"/>
  <c r="AD14" i="1"/>
  <c r="T14" i="1" s="1"/>
  <c r="AE14" i="1"/>
  <c r="AF14" i="1"/>
  <c r="AG14" i="1"/>
  <c r="AH14" i="1"/>
  <c r="AM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AF15" i="1"/>
  <c r="AH15" i="1"/>
  <c r="AM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G16" i="1"/>
  <c r="AH16" i="1"/>
  <c r="AM16" i="1"/>
  <c r="K17" i="1"/>
  <c r="L17" i="1"/>
  <c r="M17" i="1"/>
  <c r="N17" i="1" s="1"/>
  <c r="V17" i="1"/>
  <c r="Y17" i="1"/>
  <c r="Z17" i="1"/>
  <c r="AB17" i="1"/>
  <c r="AC17" i="1"/>
  <c r="AD17" i="1"/>
  <c r="AG17" i="1" s="1"/>
  <c r="AE17" i="1"/>
  <c r="AF17" i="1"/>
  <c r="AH17" i="1"/>
  <c r="AI17" i="1"/>
  <c r="AM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K19" i="1"/>
  <c r="L19" i="1"/>
  <c r="M19" i="1"/>
  <c r="N19" i="1" s="1"/>
  <c r="V19" i="1"/>
  <c r="Y19" i="1"/>
  <c r="Z19" i="1"/>
  <c r="AB19" i="1"/>
  <c r="AC19" i="1"/>
  <c r="AD19" i="1"/>
  <c r="AG19" i="1" s="1"/>
  <c r="AE19" i="1"/>
  <c r="AF19" i="1"/>
  <c r="AH19" i="1"/>
  <c r="AI19" i="1"/>
  <c r="AM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AM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G21" i="1"/>
  <c r="U21" i="1" s="1"/>
  <c r="AH21" i="1"/>
  <c r="AM21" i="1"/>
  <c r="K22" i="1"/>
  <c r="L22" i="1"/>
  <c r="M22" i="1"/>
  <c r="N22" i="1" s="1"/>
  <c r="V22" i="1"/>
  <c r="Y22" i="1"/>
  <c r="Z22" i="1"/>
  <c r="AA22" i="1" s="1"/>
  <c r="W22" i="1" s="1"/>
  <c r="AB22" i="1"/>
  <c r="AC22" i="1"/>
  <c r="AD22" i="1"/>
  <c r="AG22" i="1" s="1"/>
  <c r="AE22" i="1"/>
  <c r="R23" i="3" s="1"/>
  <c r="AF22" i="1"/>
  <c r="AH22" i="1"/>
  <c r="AM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K24" i="1"/>
  <c r="L24" i="1"/>
  <c r="M24" i="1"/>
  <c r="N24" i="1"/>
  <c r="V24" i="1"/>
  <c r="Y24" i="1"/>
  <c r="Z24" i="1"/>
  <c r="AB24" i="1"/>
  <c r="AC24" i="1"/>
  <c r="AD24" i="1"/>
  <c r="AE24" i="1"/>
  <c r="AF24" i="1"/>
  <c r="AH24" i="1"/>
  <c r="AM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K26" i="1"/>
  <c r="L26" i="1"/>
  <c r="M26" i="1"/>
  <c r="N26" i="1" s="1"/>
  <c r="V26" i="1"/>
  <c r="X26" i="1"/>
  <c r="Y26" i="1"/>
  <c r="Z26" i="1"/>
  <c r="AB26" i="1"/>
  <c r="AC26" i="1"/>
  <c r="AD26" i="1"/>
  <c r="AG26" i="1" s="1"/>
  <c r="AE26" i="1"/>
  <c r="AF26" i="1"/>
  <c r="AH26" i="1"/>
  <c r="AM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K28" i="1"/>
  <c r="L28" i="1"/>
  <c r="M28" i="1"/>
  <c r="V28" i="1"/>
  <c r="Y28" i="1"/>
  <c r="Z28" i="1"/>
  <c r="AB28" i="1"/>
  <c r="AC28" i="1"/>
  <c r="AD28" i="1"/>
  <c r="AE28" i="1"/>
  <c r="AF28" i="1"/>
  <c r="AH28" i="1"/>
  <c r="AM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K30" i="1"/>
  <c r="L30" i="1"/>
  <c r="M30" i="1"/>
  <c r="N30" i="1" s="1"/>
  <c r="V30" i="1"/>
  <c r="Y30" i="1"/>
  <c r="Z30" i="1"/>
  <c r="AB30" i="1"/>
  <c r="AC30" i="1"/>
  <c r="AD30" i="1"/>
  <c r="AG30" i="1" s="1"/>
  <c r="AE30" i="1"/>
  <c r="AF30" i="1"/>
  <c r="AH30" i="1"/>
  <c r="AM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AH34" i="1"/>
  <c r="AM34" i="1"/>
  <c r="K35" i="1"/>
  <c r="L35" i="1"/>
  <c r="M35" i="1"/>
  <c r="N35" i="1"/>
  <c r="V35" i="1"/>
  <c r="Y35" i="1"/>
  <c r="Z35" i="1"/>
  <c r="AB35" i="1"/>
  <c r="AC35" i="1"/>
  <c r="AD35" i="1"/>
  <c r="AE35" i="1"/>
  <c r="AF35" i="1"/>
  <c r="AH35" i="1"/>
  <c r="AM35" i="1"/>
  <c r="K36" i="1"/>
  <c r="L36" i="1"/>
  <c r="M36" i="1"/>
  <c r="N36" i="1"/>
  <c r="V36" i="1"/>
  <c r="Y36" i="1"/>
  <c r="Z36" i="1"/>
  <c r="AB36" i="1"/>
  <c r="AC36" i="1"/>
  <c r="AD36" i="1"/>
  <c r="AE36" i="1"/>
  <c r="AF36" i="1"/>
  <c r="AH36" i="1"/>
  <c r="AM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K38" i="1"/>
  <c r="L38" i="1"/>
  <c r="M38" i="1"/>
  <c r="N38" i="1" s="1"/>
  <c r="V38" i="1"/>
  <c r="Y38" i="1"/>
  <c r="Z38" i="1"/>
  <c r="AB38" i="1"/>
  <c r="AC38" i="1"/>
  <c r="AD38" i="1"/>
  <c r="X38" i="1" s="1"/>
  <c r="AE38" i="1"/>
  <c r="AF38" i="1"/>
  <c r="AH38" i="1"/>
  <c r="AM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K40" i="1"/>
  <c r="L40" i="1"/>
  <c r="M40" i="1"/>
  <c r="N40" i="1" s="1"/>
  <c r="T40" i="1"/>
  <c r="V40" i="1"/>
  <c r="Y40" i="1"/>
  <c r="Z40" i="1"/>
  <c r="AB40" i="1"/>
  <c r="AC40" i="1"/>
  <c r="AD40" i="1"/>
  <c r="AG40" i="1" s="1"/>
  <c r="AE40" i="1"/>
  <c r="AF40" i="1"/>
  <c r="AH40" i="1"/>
  <c r="AM40" i="1"/>
  <c r="K41" i="1"/>
  <c r="L41" i="1"/>
  <c r="M41" i="1"/>
  <c r="N41" i="1" s="1"/>
  <c r="V41" i="1"/>
  <c r="Y41" i="1"/>
  <c r="Z41" i="1"/>
  <c r="AB41" i="1"/>
  <c r="AC41" i="1"/>
  <c r="AD41" i="1"/>
  <c r="AE41" i="1"/>
  <c r="R7" i="3" s="1"/>
  <c r="AF41" i="1"/>
  <c r="AH41" i="1"/>
  <c r="AM41" i="1"/>
  <c r="K42" i="1"/>
  <c r="L42" i="1"/>
  <c r="M42" i="1"/>
  <c r="N42" i="1" s="1"/>
  <c r="V42" i="1"/>
  <c r="Y42" i="1"/>
  <c r="Z42" i="1"/>
  <c r="AA42" i="1" s="1"/>
  <c r="W42" i="1" s="1"/>
  <c r="AB42" i="1"/>
  <c r="AC42" i="1"/>
  <c r="AD42" i="1"/>
  <c r="AG42" i="1" s="1"/>
  <c r="AE42" i="1"/>
  <c r="R12" i="3" s="1"/>
  <c r="AF42" i="1"/>
  <c r="AH42" i="1"/>
  <c r="AM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AM44" i="1"/>
  <c r="K45" i="1"/>
  <c r="L45" i="1"/>
  <c r="M45" i="1"/>
  <c r="N45" i="1" s="1"/>
  <c r="V45" i="1"/>
  <c r="Y45" i="1"/>
  <c r="Z45" i="1"/>
  <c r="AA45" i="1" s="1"/>
  <c r="AB45" i="1"/>
  <c r="AC45" i="1"/>
  <c r="AD45" i="1"/>
  <c r="AE45" i="1"/>
  <c r="AF45" i="1"/>
  <c r="AH45" i="1"/>
  <c r="AM45" i="1"/>
  <c r="K46" i="1"/>
  <c r="L46" i="1"/>
  <c r="M46" i="1"/>
  <c r="N46" i="1" s="1"/>
  <c r="V46" i="1"/>
  <c r="Y46" i="1"/>
  <c r="Z46" i="1"/>
  <c r="AI46" i="1" s="1"/>
  <c r="AB46" i="1"/>
  <c r="AC46" i="1"/>
  <c r="AD46" i="1"/>
  <c r="AG46" i="1" s="1"/>
  <c r="AE46" i="1"/>
  <c r="AF46" i="1"/>
  <c r="AH46" i="1"/>
  <c r="AM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K50" i="1"/>
  <c r="L50" i="1"/>
  <c r="M50" i="1"/>
  <c r="N50" i="1" s="1"/>
  <c r="V50" i="1"/>
  <c r="Y50" i="1"/>
  <c r="Z50" i="1"/>
  <c r="AA50" i="1" s="1"/>
  <c r="W50" i="1" s="1"/>
  <c r="AB50" i="1"/>
  <c r="AC50" i="1"/>
  <c r="AD50" i="1"/>
  <c r="AG50" i="1" s="1"/>
  <c r="AE50" i="1"/>
  <c r="AF50" i="1"/>
  <c r="AH50" i="1"/>
  <c r="AM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AM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K54" i="1"/>
  <c r="L54" i="1"/>
  <c r="M54" i="1"/>
  <c r="N54" i="1" s="1"/>
  <c r="V54" i="1"/>
  <c r="Y54" i="1"/>
  <c r="Z54" i="1"/>
  <c r="AI54" i="1" s="1"/>
  <c r="AB54" i="1"/>
  <c r="AC54" i="1"/>
  <c r="AD54" i="1"/>
  <c r="AG54" i="1" s="1"/>
  <c r="AE54" i="1"/>
  <c r="AF54" i="1"/>
  <c r="AH54" i="1"/>
  <c r="AM54" i="1"/>
  <c r="K55" i="1"/>
  <c r="L55" i="1"/>
  <c r="M55" i="1"/>
  <c r="N55" i="1" s="1"/>
  <c r="V55" i="1"/>
  <c r="Y55" i="1"/>
  <c r="Z55" i="1"/>
  <c r="AA55" i="1" s="1"/>
  <c r="AB55" i="1"/>
  <c r="AC55" i="1"/>
  <c r="AD55" i="1"/>
  <c r="AG55" i="1" s="1"/>
  <c r="AE55" i="1"/>
  <c r="AF55" i="1"/>
  <c r="AH55" i="1"/>
  <c r="AM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K61" i="1"/>
  <c r="L61" i="1"/>
  <c r="M61" i="1"/>
  <c r="N61" i="1" s="1"/>
  <c r="V61" i="1"/>
  <c r="Y61" i="1"/>
  <c r="Z61" i="1"/>
  <c r="AA61" i="1" s="1"/>
  <c r="AB61" i="1"/>
  <c r="AC61" i="1"/>
  <c r="AD61" i="1"/>
  <c r="AE61" i="1"/>
  <c r="AF61" i="1"/>
  <c r="AH61" i="1"/>
  <c r="AM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K63" i="1"/>
  <c r="L63" i="1"/>
  <c r="M63" i="1"/>
  <c r="N63" i="1" s="1"/>
  <c r="V63" i="1"/>
  <c r="Y63" i="1"/>
  <c r="AA63" i="1" s="1"/>
  <c r="Z63" i="1"/>
  <c r="AB63" i="1"/>
  <c r="AC63" i="1"/>
  <c r="AD63" i="1"/>
  <c r="AE63" i="1"/>
  <c r="AF63" i="1"/>
  <c r="AH63" i="1"/>
  <c r="AM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K65" i="1"/>
  <c r="L65" i="1"/>
  <c r="M65" i="1"/>
  <c r="N65" i="1" s="1"/>
  <c r="V65" i="1"/>
  <c r="Y65" i="1"/>
  <c r="Z65" i="1"/>
  <c r="AA65" i="1" s="1"/>
  <c r="AB65" i="1"/>
  <c r="AC65" i="1"/>
  <c r="AD65" i="1"/>
  <c r="X65" i="1" s="1"/>
  <c r="AE65" i="1"/>
  <c r="AF65" i="1"/>
  <c r="AH65" i="1"/>
  <c r="AM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K67" i="1"/>
  <c r="L67" i="1"/>
  <c r="M67" i="1"/>
  <c r="N67" i="1" s="1"/>
  <c r="V67" i="1"/>
  <c r="Y67" i="1"/>
  <c r="AA67" i="1" s="1"/>
  <c r="Z67" i="1"/>
  <c r="AB67" i="1"/>
  <c r="AC67" i="1"/>
  <c r="AD67" i="1"/>
  <c r="AE67" i="1"/>
  <c r="AF67" i="1"/>
  <c r="AH67" i="1"/>
  <c r="AM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K69" i="1"/>
  <c r="L69" i="1"/>
  <c r="M69" i="1"/>
  <c r="N69" i="1" s="1"/>
  <c r="V69" i="1"/>
  <c r="Y69" i="1"/>
  <c r="Z69" i="1"/>
  <c r="AA69" i="1" s="1"/>
  <c r="AB69" i="1"/>
  <c r="AC69" i="1"/>
  <c r="AD69" i="1"/>
  <c r="AE69" i="1"/>
  <c r="AF69" i="1"/>
  <c r="AH69" i="1"/>
  <c r="AM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K73" i="1"/>
  <c r="L73" i="1"/>
  <c r="M73" i="1"/>
  <c r="N73" i="1" s="1"/>
  <c r="V73" i="1"/>
  <c r="Y73" i="1"/>
  <c r="Z73" i="1"/>
  <c r="AA73" i="1" s="1"/>
  <c r="AB73" i="1"/>
  <c r="AC73" i="1"/>
  <c r="AD73" i="1"/>
  <c r="X73" i="1" s="1"/>
  <c r="AE73" i="1"/>
  <c r="AF73" i="1"/>
  <c r="AH73" i="1"/>
  <c r="AM73" i="1"/>
  <c r="K74" i="1"/>
  <c r="L74" i="1"/>
  <c r="M74" i="1"/>
  <c r="N74" i="1" s="1"/>
  <c r="V74" i="1"/>
  <c r="S13" i="3" s="1"/>
  <c r="Y74" i="1"/>
  <c r="Z74" i="1"/>
  <c r="AB74" i="1"/>
  <c r="AC74" i="1"/>
  <c r="AD74" i="1"/>
  <c r="AE74" i="1"/>
  <c r="AF74" i="1"/>
  <c r="AH74" i="1"/>
  <c r="AM74" i="1"/>
  <c r="K75" i="1"/>
  <c r="L75" i="1"/>
  <c r="M75" i="1"/>
  <c r="N75" i="1" s="1"/>
  <c r="V75" i="1"/>
  <c r="Y75" i="1"/>
  <c r="Z75" i="1"/>
  <c r="AA75" i="1"/>
  <c r="AB75" i="1"/>
  <c r="AC75" i="1"/>
  <c r="AD75" i="1"/>
  <c r="AE75" i="1"/>
  <c r="AF75" i="1"/>
  <c r="AH75" i="1"/>
  <c r="AM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K78" i="1"/>
  <c r="L78" i="1"/>
  <c r="M78" i="1"/>
  <c r="N78" i="1" s="1"/>
  <c r="V78" i="1"/>
  <c r="Y78" i="1"/>
  <c r="Z78" i="1"/>
  <c r="AA78" i="1" s="1"/>
  <c r="AB78" i="1"/>
  <c r="AC78" i="1"/>
  <c r="AD78" i="1"/>
  <c r="AE78" i="1"/>
  <c r="AF78" i="1"/>
  <c r="AH78" i="1"/>
  <c r="AM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K81" i="1"/>
  <c r="L81" i="1"/>
  <c r="M81" i="1"/>
  <c r="N81" i="1" s="1"/>
  <c r="V81" i="1"/>
  <c r="Y81" i="1"/>
  <c r="Z81" i="1"/>
  <c r="AB81" i="1"/>
  <c r="AC81" i="1"/>
  <c r="AD81" i="1"/>
  <c r="X81" i="1" s="1"/>
  <c r="AE81" i="1"/>
  <c r="AF81" i="1"/>
  <c r="AH81" i="1"/>
  <c r="AM81" i="1"/>
  <c r="K82" i="1"/>
  <c r="L82" i="1"/>
  <c r="M82" i="1"/>
  <c r="N82" i="1" s="1"/>
  <c r="V82" i="1"/>
  <c r="S8" i="3" s="1"/>
  <c r="Y82" i="1"/>
  <c r="Z82" i="1"/>
  <c r="AA82" i="1" s="1"/>
  <c r="AB82" i="1"/>
  <c r="AC82" i="1"/>
  <c r="AD82" i="1"/>
  <c r="AE82" i="1"/>
  <c r="AF82" i="1"/>
  <c r="AH82" i="1"/>
  <c r="AM82" i="1"/>
  <c r="K83" i="1"/>
  <c r="L83" i="1"/>
  <c r="M83" i="1"/>
  <c r="N83" i="1" s="1"/>
  <c r="V83" i="1"/>
  <c r="Y83" i="1"/>
  <c r="Z83" i="1"/>
  <c r="AA83" i="1"/>
  <c r="AB83" i="1"/>
  <c r="AC83" i="1"/>
  <c r="AD83" i="1"/>
  <c r="X83" i="1" s="1"/>
  <c r="AE83" i="1"/>
  <c r="AF83" i="1"/>
  <c r="AH83" i="1"/>
  <c r="AM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K85" i="1"/>
  <c r="L85" i="1"/>
  <c r="M85" i="1"/>
  <c r="N85" i="1" s="1"/>
  <c r="V85" i="1"/>
  <c r="Y85" i="1"/>
  <c r="Z85" i="1"/>
  <c r="AA85" i="1" s="1"/>
  <c r="AB85" i="1"/>
  <c r="AC85" i="1"/>
  <c r="AD85" i="1"/>
  <c r="AE85" i="1"/>
  <c r="AF85" i="1"/>
  <c r="AH85" i="1"/>
  <c r="AM85" i="1"/>
  <c r="K86" i="1"/>
  <c r="L86" i="1"/>
  <c r="M86" i="1"/>
  <c r="N86" i="1" s="1"/>
  <c r="V86" i="1"/>
  <c r="Y86" i="1"/>
  <c r="Z86" i="1"/>
  <c r="AA86" i="1" s="1"/>
  <c r="AB86" i="1"/>
  <c r="AC86" i="1"/>
  <c r="AD86" i="1"/>
  <c r="AE86" i="1"/>
  <c r="AF86" i="1"/>
  <c r="AH86" i="1"/>
  <c r="AM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AH88" i="1"/>
  <c r="AM88" i="1"/>
  <c r="K89" i="1"/>
  <c r="L89" i="1"/>
  <c r="M89" i="1"/>
  <c r="N89" i="1" s="1"/>
  <c r="T89" i="1"/>
  <c r="V89" i="1"/>
  <c r="Y89" i="1"/>
  <c r="Z89" i="1"/>
  <c r="AB89" i="1"/>
  <c r="AC89" i="1"/>
  <c r="AD89" i="1"/>
  <c r="AG89" i="1" s="1"/>
  <c r="AE89" i="1"/>
  <c r="AF89" i="1"/>
  <c r="AH89" i="1"/>
  <c r="AM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AM90" i="1"/>
  <c r="K91" i="1"/>
  <c r="L91" i="1"/>
  <c r="M91" i="1"/>
  <c r="N91" i="1" s="1"/>
  <c r="T91" i="1"/>
  <c r="V91" i="1"/>
  <c r="Y91" i="1"/>
  <c r="Z91" i="1"/>
  <c r="AB91" i="1"/>
  <c r="AC91" i="1"/>
  <c r="AD91" i="1"/>
  <c r="AG91" i="1" s="1"/>
  <c r="AE91" i="1"/>
  <c r="AF91" i="1"/>
  <c r="AH91" i="1"/>
  <c r="AM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AH92" i="1"/>
  <c r="AM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AH94" i="1"/>
  <c r="AM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K96" i="1"/>
  <c r="L96" i="1"/>
  <c r="M96" i="1"/>
  <c r="V96" i="1"/>
  <c r="S20" i="3" s="1"/>
  <c r="Y96" i="1"/>
  <c r="Z96" i="1"/>
  <c r="AB96" i="1"/>
  <c r="AC96" i="1"/>
  <c r="AD96" i="1"/>
  <c r="AG96" i="1" s="1"/>
  <c r="AE96" i="1"/>
  <c r="R25" i="3" s="1"/>
  <c r="AF96" i="1"/>
  <c r="AH96" i="1"/>
  <c r="AM96" i="1"/>
  <c r="K97" i="1"/>
  <c r="L97" i="1"/>
  <c r="M97" i="1"/>
  <c r="V97" i="1"/>
  <c r="Y97" i="1"/>
  <c r="Z97" i="1"/>
  <c r="AB97" i="1"/>
  <c r="AC97" i="1"/>
  <c r="AD97" i="1"/>
  <c r="AG97" i="1" s="1"/>
  <c r="AE97" i="1"/>
  <c r="AF97" i="1"/>
  <c r="AH97" i="1"/>
  <c r="AM97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AH98" i="1"/>
  <c r="AM98" i="1"/>
  <c r="K99" i="1"/>
  <c r="L99" i="1"/>
  <c r="M99" i="1"/>
  <c r="V99" i="1"/>
  <c r="Y99" i="1"/>
  <c r="Z99" i="1"/>
  <c r="AA99" i="1" s="1"/>
  <c r="AB99" i="1"/>
  <c r="AC99" i="1"/>
  <c r="AD99" i="1"/>
  <c r="AG99" i="1" s="1"/>
  <c r="AE99" i="1"/>
  <c r="AF99" i="1"/>
  <c r="AH99" i="1"/>
  <c r="AM99" i="1"/>
  <c r="K100" i="1"/>
  <c r="L100" i="1"/>
  <c r="M100" i="1"/>
  <c r="V100" i="1"/>
  <c r="Y100" i="1"/>
  <c r="Z100" i="1"/>
  <c r="AB100" i="1"/>
  <c r="AC100" i="1"/>
  <c r="AD100" i="1"/>
  <c r="AG100" i="1" s="1"/>
  <c r="AE100" i="1"/>
  <c r="AF100" i="1"/>
  <c r="AH100" i="1"/>
  <c r="AM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K102" i="1"/>
  <c r="L102" i="1"/>
  <c r="M102" i="1"/>
  <c r="V102" i="1"/>
  <c r="S9" i="3" s="1"/>
  <c r="Y102" i="1"/>
  <c r="Z102" i="1"/>
  <c r="AB102" i="1"/>
  <c r="AC102" i="1"/>
  <c r="AD102" i="1"/>
  <c r="AG102" i="1" s="1"/>
  <c r="AE102" i="1"/>
  <c r="R9" i="3" s="1"/>
  <c r="AF102" i="1"/>
  <c r="AH102" i="1"/>
  <c r="AM102" i="1"/>
  <c r="K103" i="1"/>
  <c r="L103" i="1"/>
  <c r="M103" i="1"/>
  <c r="V103" i="1"/>
  <c r="Y103" i="1"/>
  <c r="Z103" i="1"/>
  <c r="AB103" i="1"/>
  <c r="AC103" i="1"/>
  <c r="AD103" i="1"/>
  <c r="T103" i="1" s="1"/>
  <c r="AE103" i="1"/>
  <c r="AF103" i="1"/>
  <c r="AH103" i="1"/>
  <c r="AM103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AH104" i="1"/>
  <c r="AM104" i="1"/>
  <c r="K105" i="1"/>
  <c r="L105" i="1"/>
  <c r="M105" i="1"/>
  <c r="N105" i="1" s="1"/>
  <c r="V105" i="1"/>
  <c r="Y105" i="1"/>
  <c r="Z105" i="1"/>
  <c r="AA105" i="1" s="1"/>
  <c r="AB105" i="1"/>
  <c r="AC105" i="1"/>
  <c r="AD105" i="1"/>
  <c r="AE105" i="1"/>
  <c r="AF105" i="1"/>
  <c r="AH105" i="1"/>
  <c r="AM105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AH106" i="1"/>
  <c r="AM106" i="1"/>
  <c r="K107" i="1"/>
  <c r="L107" i="1"/>
  <c r="M107" i="1"/>
  <c r="V107" i="1"/>
  <c r="Y107" i="1"/>
  <c r="Z107" i="1"/>
  <c r="AA107" i="1" s="1"/>
  <c r="AB107" i="1"/>
  <c r="AC107" i="1"/>
  <c r="AD107" i="1"/>
  <c r="AE107" i="1"/>
  <c r="AF107" i="1"/>
  <c r="AH107" i="1"/>
  <c r="AM107" i="1"/>
  <c r="K108" i="1"/>
  <c r="L108" i="1"/>
  <c r="M108" i="1"/>
  <c r="V108" i="1"/>
  <c r="Y108" i="1"/>
  <c r="Z108" i="1"/>
  <c r="AB108" i="1"/>
  <c r="AC108" i="1"/>
  <c r="AD108" i="1"/>
  <c r="AG108" i="1" s="1"/>
  <c r="AE108" i="1"/>
  <c r="AF108" i="1"/>
  <c r="AH108" i="1"/>
  <c r="AM108" i="1"/>
  <c r="K109" i="1"/>
  <c r="L109" i="1"/>
  <c r="M109" i="1"/>
  <c r="N109" i="1" s="1"/>
  <c r="V109" i="1"/>
  <c r="Y109" i="1"/>
  <c r="Z109" i="1"/>
  <c r="AA109" i="1" s="1"/>
  <c r="AB109" i="1"/>
  <c r="AC109" i="1"/>
  <c r="AD109" i="1"/>
  <c r="AG109" i="1" s="1"/>
  <c r="AE109" i="1"/>
  <c r="R21" i="3" s="1"/>
  <c r="AF109" i="1"/>
  <c r="AH109" i="1"/>
  <c r="AM109" i="1"/>
  <c r="K110" i="1"/>
  <c r="L110" i="1"/>
  <c r="M110" i="1"/>
  <c r="N110" i="1"/>
  <c r="V110" i="1"/>
  <c r="Y110" i="1"/>
  <c r="Z110" i="1"/>
  <c r="AB110" i="1"/>
  <c r="AC110" i="1"/>
  <c r="AD110" i="1"/>
  <c r="AG110" i="1" s="1"/>
  <c r="AI110" i="1" s="1"/>
  <c r="AE110" i="1"/>
  <c r="AF110" i="1"/>
  <c r="AH110" i="1"/>
  <c r="AM110" i="1"/>
  <c r="K111" i="1"/>
  <c r="L111" i="1"/>
  <c r="M111" i="1"/>
  <c r="V111" i="1"/>
  <c r="S17" i="3" s="1"/>
  <c r="Y111" i="1"/>
  <c r="Z111" i="1"/>
  <c r="AB111" i="1"/>
  <c r="AC111" i="1"/>
  <c r="AD111" i="1"/>
  <c r="AG111" i="1" s="1"/>
  <c r="AE111" i="1"/>
  <c r="R17" i="3" s="1"/>
  <c r="AF111" i="1"/>
  <c r="AH111" i="1"/>
  <c r="AM111" i="1"/>
  <c r="K112" i="1"/>
  <c r="L112" i="1"/>
  <c r="M112" i="1"/>
  <c r="V112" i="1"/>
  <c r="Y112" i="1"/>
  <c r="AA112" i="1" s="1"/>
  <c r="Z112" i="1"/>
  <c r="AB112" i="1"/>
  <c r="AC112" i="1"/>
  <c r="AD112" i="1"/>
  <c r="AE112" i="1"/>
  <c r="AF112" i="1"/>
  <c r="AH112" i="1"/>
  <c r="AM112" i="1"/>
  <c r="K113" i="1"/>
  <c r="L113" i="1"/>
  <c r="M113" i="1"/>
  <c r="N113" i="1" s="1"/>
  <c r="V113" i="1"/>
  <c r="Y113" i="1"/>
  <c r="AA113" i="1" s="1"/>
  <c r="Z113" i="1"/>
  <c r="AB113" i="1"/>
  <c r="AC113" i="1"/>
  <c r="AD113" i="1"/>
  <c r="T113" i="1" s="1"/>
  <c r="AE113" i="1"/>
  <c r="AF113" i="1"/>
  <c r="AH113" i="1"/>
  <c r="AM113" i="1"/>
  <c r="K114" i="1"/>
  <c r="L114" i="1"/>
  <c r="M114" i="1"/>
  <c r="V114" i="1"/>
  <c r="Y114" i="1"/>
  <c r="Z114" i="1"/>
  <c r="AB114" i="1"/>
  <c r="AC114" i="1"/>
  <c r="AD114" i="1"/>
  <c r="AE114" i="1"/>
  <c r="AF114" i="1"/>
  <c r="AH114" i="1"/>
  <c r="AM114" i="1"/>
  <c r="K115" i="1"/>
  <c r="L115" i="1"/>
  <c r="M115" i="1"/>
  <c r="V115" i="1"/>
  <c r="Y115" i="1"/>
  <c r="Z115" i="1"/>
  <c r="AB115" i="1"/>
  <c r="AC115" i="1"/>
  <c r="AD115" i="1"/>
  <c r="AE115" i="1"/>
  <c r="AF115" i="1"/>
  <c r="AH115" i="1"/>
  <c r="AM115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AH116" i="1"/>
  <c r="AM116" i="1"/>
  <c r="K117" i="1"/>
  <c r="L117" i="1"/>
  <c r="M117" i="1"/>
  <c r="V117" i="1"/>
  <c r="Y117" i="1"/>
  <c r="Z117" i="1"/>
  <c r="AB117" i="1"/>
  <c r="AC117" i="1"/>
  <c r="AD117" i="1"/>
  <c r="AE117" i="1"/>
  <c r="AF117" i="1"/>
  <c r="AH117" i="1"/>
  <c r="AM117" i="1"/>
  <c r="K118" i="1"/>
  <c r="L118" i="1"/>
  <c r="M118" i="1"/>
  <c r="V118" i="1"/>
  <c r="Y118" i="1"/>
  <c r="Z118" i="1"/>
  <c r="AA118" i="1" s="1"/>
  <c r="W118" i="1" s="1"/>
  <c r="AB118" i="1"/>
  <c r="AC118" i="1"/>
  <c r="AD118" i="1"/>
  <c r="AG118" i="1" s="1"/>
  <c r="AE118" i="1"/>
  <c r="AF118" i="1"/>
  <c r="AH118" i="1"/>
  <c r="AI118" i="1"/>
  <c r="AM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K120" i="1"/>
  <c r="L120" i="1"/>
  <c r="M120" i="1"/>
  <c r="V120" i="1"/>
  <c r="Y120" i="1"/>
  <c r="Z120" i="1"/>
  <c r="AB120" i="1"/>
  <c r="AC120" i="1"/>
  <c r="AD120" i="1"/>
  <c r="AE120" i="1"/>
  <c r="AF120" i="1"/>
  <c r="AH120" i="1"/>
  <c r="AM120" i="1"/>
  <c r="K121" i="1"/>
  <c r="L121" i="1"/>
  <c r="M121" i="1"/>
  <c r="V121" i="1"/>
  <c r="Y121" i="1"/>
  <c r="Z121" i="1"/>
  <c r="AB121" i="1"/>
  <c r="AC121" i="1"/>
  <c r="AD121" i="1"/>
  <c r="T121" i="1" s="1"/>
  <c r="AE121" i="1"/>
  <c r="AF121" i="1"/>
  <c r="AH121" i="1"/>
  <c r="AM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AF124" i="1"/>
  <c r="AH124" i="1"/>
  <c r="AM124" i="1"/>
  <c r="K125" i="1"/>
  <c r="L125" i="1"/>
  <c r="M125" i="1"/>
  <c r="N125" i="1"/>
  <c r="V125" i="1"/>
  <c r="Y125" i="1"/>
  <c r="AA125" i="1" s="1"/>
  <c r="Z125" i="1"/>
  <c r="AB125" i="1"/>
  <c r="AC125" i="1"/>
  <c r="AD125" i="1"/>
  <c r="AG125" i="1" s="1"/>
  <c r="AE125" i="1"/>
  <c r="AF125" i="1"/>
  <c r="AH125" i="1"/>
  <c r="AI125" i="1"/>
  <c r="AM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K127" i="1"/>
  <c r="L127" i="1"/>
  <c r="M127" i="1"/>
  <c r="N127" i="1"/>
  <c r="V127" i="1"/>
  <c r="Y127" i="1"/>
  <c r="Z127" i="1"/>
  <c r="AI127" i="1" s="1"/>
  <c r="AB127" i="1"/>
  <c r="AC127" i="1"/>
  <c r="AD127" i="1"/>
  <c r="AG127" i="1" s="1"/>
  <c r="AE127" i="1"/>
  <c r="AF127" i="1"/>
  <c r="AH127" i="1"/>
  <c r="AM127" i="1"/>
  <c r="K128" i="1"/>
  <c r="L128" i="1"/>
  <c r="M128" i="1"/>
  <c r="N128" i="1" s="1"/>
  <c r="V128" i="1"/>
  <c r="Y128" i="1"/>
  <c r="Z128" i="1"/>
  <c r="AB128" i="1"/>
  <c r="AC128" i="1"/>
  <c r="AD128" i="1"/>
  <c r="X128" i="1" s="1"/>
  <c r="AE128" i="1"/>
  <c r="AF128" i="1"/>
  <c r="AH128" i="1"/>
  <c r="AM128" i="1"/>
  <c r="K129" i="1"/>
  <c r="L129" i="1"/>
  <c r="M129" i="1"/>
  <c r="N129" i="1" s="1"/>
  <c r="V129" i="1"/>
  <c r="Y129" i="1"/>
  <c r="Z129" i="1"/>
  <c r="AA129" i="1" s="1"/>
  <c r="AB129" i="1"/>
  <c r="AC129" i="1"/>
  <c r="AD129" i="1"/>
  <c r="AE129" i="1"/>
  <c r="AF129" i="1"/>
  <c r="AH129" i="1"/>
  <c r="AM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K131" i="1"/>
  <c r="L131" i="1"/>
  <c r="M131" i="1"/>
  <c r="N131" i="1" s="1"/>
  <c r="V131" i="1"/>
  <c r="Y131" i="1"/>
  <c r="Z131" i="1"/>
  <c r="AA131" i="1" s="1"/>
  <c r="AB131" i="1"/>
  <c r="AC131" i="1"/>
  <c r="AD131" i="1"/>
  <c r="AE131" i="1"/>
  <c r="AF131" i="1"/>
  <c r="AH131" i="1"/>
  <c r="AM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K136" i="1"/>
  <c r="L136" i="1"/>
  <c r="M136" i="1"/>
  <c r="N136" i="1" s="1"/>
  <c r="T136" i="1"/>
  <c r="V136" i="1"/>
  <c r="Y136" i="1"/>
  <c r="Z136" i="1"/>
  <c r="AB136" i="1"/>
  <c r="AC136" i="1"/>
  <c r="AD136" i="1"/>
  <c r="AE136" i="1"/>
  <c r="R10" i="3" s="1"/>
  <c r="AF136" i="1"/>
  <c r="AH136" i="1"/>
  <c r="AM136" i="1"/>
  <c r="K137" i="1"/>
  <c r="L137" i="1"/>
  <c r="M137" i="1"/>
  <c r="N137" i="1"/>
  <c r="V137" i="1"/>
  <c r="Y137" i="1"/>
  <c r="AA137" i="1" s="1"/>
  <c r="Z137" i="1"/>
  <c r="AB137" i="1"/>
  <c r="AC137" i="1"/>
  <c r="AD137" i="1"/>
  <c r="AE137" i="1"/>
  <c r="AF137" i="1"/>
  <c r="AH137" i="1"/>
  <c r="AM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K140" i="1"/>
  <c r="L140" i="1"/>
  <c r="M140" i="1"/>
  <c r="N140" i="1" s="1"/>
  <c r="V140" i="1"/>
  <c r="Y140" i="1"/>
  <c r="Z140" i="1"/>
  <c r="AB140" i="1"/>
  <c r="AC140" i="1"/>
  <c r="AD140" i="1"/>
  <c r="X140" i="1" s="1"/>
  <c r="AE140" i="1"/>
  <c r="AF140" i="1"/>
  <c r="AH140" i="1"/>
  <c r="AM140" i="1"/>
  <c r="K141" i="1"/>
  <c r="L141" i="1"/>
  <c r="M141" i="1"/>
  <c r="N141" i="1"/>
  <c r="V141" i="1"/>
  <c r="Y141" i="1"/>
  <c r="Z141" i="1"/>
  <c r="AB141" i="1"/>
  <c r="AC141" i="1"/>
  <c r="AD141" i="1"/>
  <c r="AE141" i="1"/>
  <c r="AF141" i="1"/>
  <c r="AH141" i="1"/>
  <c r="AM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K145" i="1"/>
  <c r="L145" i="1"/>
  <c r="M145" i="1"/>
  <c r="N145" i="1" s="1"/>
  <c r="V145" i="1"/>
  <c r="Y145" i="1"/>
  <c r="Z145" i="1"/>
  <c r="AA145" i="1" s="1"/>
  <c r="AB145" i="1"/>
  <c r="AC145" i="1"/>
  <c r="AD145" i="1"/>
  <c r="AE145" i="1"/>
  <c r="AF145" i="1"/>
  <c r="AH145" i="1"/>
  <c r="AM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K147" i="1"/>
  <c r="L147" i="1"/>
  <c r="M147" i="1"/>
  <c r="N147" i="1"/>
  <c r="V147" i="1"/>
  <c r="Y147" i="1"/>
  <c r="Z147" i="1"/>
  <c r="AB147" i="1"/>
  <c r="AC147" i="1"/>
  <c r="AD147" i="1"/>
  <c r="AE147" i="1"/>
  <c r="AF147" i="1"/>
  <c r="AH147" i="1"/>
  <c r="AM147" i="1"/>
  <c r="K148" i="1"/>
  <c r="L148" i="1"/>
  <c r="M148" i="1"/>
  <c r="N148" i="1"/>
  <c r="V148" i="1"/>
  <c r="Y148" i="1"/>
  <c r="Z148" i="1"/>
  <c r="AB148" i="1"/>
  <c r="AC148" i="1"/>
  <c r="AD148" i="1"/>
  <c r="AE148" i="1"/>
  <c r="AF148" i="1"/>
  <c r="AH148" i="1"/>
  <c r="AM148" i="1"/>
  <c r="K149" i="1"/>
  <c r="L149" i="1"/>
  <c r="M149" i="1"/>
  <c r="N149" i="1" s="1"/>
  <c r="T149" i="1"/>
  <c r="V149" i="1"/>
  <c r="Y149" i="1"/>
  <c r="Z149" i="1"/>
  <c r="AB149" i="1"/>
  <c r="AC149" i="1"/>
  <c r="AD149" i="1"/>
  <c r="AE149" i="1"/>
  <c r="AF149" i="1"/>
  <c r="AH149" i="1"/>
  <c r="AM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K152" i="1"/>
  <c r="L152" i="1"/>
  <c r="M152" i="1"/>
  <c r="N152" i="1" s="1"/>
  <c r="V152" i="1"/>
  <c r="S11" i="3" s="1"/>
  <c r="Y152" i="1"/>
  <c r="Z152" i="1"/>
  <c r="AB152" i="1"/>
  <c r="AC152" i="1"/>
  <c r="AD152" i="1"/>
  <c r="AE152" i="1"/>
  <c r="AF152" i="1"/>
  <c r="AH152" i="1"/>
  <c r="AM152" i="1"/>
  <c r="K153" i="1"/>
  <c r="L153" i="1"/>
  <c r="M153" i="1"/>
  <c r="N153" i="1" s="1"/>
  <c r="V153" i="1"/>
  <c r="Y153" i="1"/>
  <c r="Z153" i="1"/>
  <c r="AA153" i="1" s="1"/>
  <c r="AB153" i="1"/>
  <c r="AC153" i="1"/>
  <c r="AD153" i="1"/>
  <c r="AE153" i="1"/>
  <c r="AF153" i="1"/>
  <c r="AH153" i="1"/>
  <c r="AM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K157" i="1"/>
  <c r="L157" i="1"/>
  <c r="M157" i="1"/>
  <c r="N157" i="1" s="1"/>
  <c r="V157" i="1"/>
  <c r="Y157" i="1"/>
  <c r="Z157" i="1"/>
  <c r="AA157" i="1" s="1"/>
  <c r="W157" i="1" s="1"/>
  <c r="AB157" i="1"/>
  <c r="AC157" i="1"/>
  <c r="AD157" i="1"/>
  <c r="AG157" i="1" s="1"/>
  <c r="AE157" i="1"/>
  <c r="AF157" i="1"/>
  <c r="AH157" i="1"/>
  <c r="AM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58" i="1"/>
  <c r="AM158" i="1"/>
  <c r="K159" i="1"/>
  <c r="L159" i="1"/>
  <c r="M159" i="1"/>
  <c r="N159" i="1" s="1"/>
  <c r="V159" i="1"/>
  <c r="Y159" i="1"/>
  <c r="AA159" i="1" s="1"/>
  <c r="Z159" i="1"/>
  <c r="AB159" i="1"/>
  <c r="AC159" i="1"/>
  <c r="AD159" i="1"/>
  <c r="AG159" i="1" s="1"/>
  <c r="AE159" i="1"/>
  <c r="AF159" i="1"/>
  <c r="AH159" i="1"/>
  <c r="AI159" i="1"/>
  <c r="AM159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60" i="1"/>
  <c r="AM160" i="1"/>
  <c r="K161" i="1"/>
  <c r="L161" i="1"/>
  <c r="M161" i="1"/>
  <c r="N161" i="1"/>
  <c r="V161" i="1"/>
  <c r="Y161" i="1"/>
  <c r="Z161" i="1"/>
  <c r="AB161" i="1"/>
  <c r="AC161" i="1"/>
  <c r="AD161" i="1"/>
  <c r="AG161" i="1" s="1"/>
  <c r="AE161" i="1"/>
  <c r="AF161" i="1"/>
  <c r="AH161" i="1"/>
  <c r="AM161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62" i="1"/>
  <c r="AM162" i="1"/>
  <c r="K210" i="1"/>
  <c r="L210" i="1"/>
  <c r="M210" i="1"/>
  <c r="N210" i="1" s="1"/>
  <c r="V210" i="1"/>
  <c r="Y210" i="1"/>
  <c r="Z210" i="1"/>
  <c r="AA210" i="1" s="1"/>
  <c r="W210" i="1" s="1"/>
  <c r="AB210" i="1"/>
  <c r="AC210" i="1"/>
  <c r="AD210" i="1"/>
  <c r="AG210" i="1" s="1"/>
  <c r="AE210" i="1"/>
  <c r="AF210" i="1"/>
  <c r="AH163" i="1"/>
  <c r="AM163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4" i="1"/>
  <c r="AM164" i="1"/>
  <c r="K212" i="1"/>
  <c r="L212" i="1"/>
  <c r="M212" i="1"/>
  <c r="N212" i="1" s="1"/>
  <c r="V212" i="1"/>
  <c r="Y212" i="1"/>
  <c r="Z212" i="1"/>
  <c r="AB212" i="1"/>
  <c r="AC212" i="1"/>
  <c r="AD212" i="1"/>
  <c r="AG212" i="1" s="1"/>
  <c r="AE212" i="1"/>
  <c r="AF212" i="1"/>
  <c r="AH165" i="1"/>
  <c r="AM165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6" i="1"/>
  <c r="AM166" i="1"/>
  <c r="K214" i="1"/>
  <c r="L214" i="1"/>
  <c r="M214" i="1"/>
  <c r="N214" i="1" s="1"/>
  <c r="V214" i="1"/>
  <c r="Y214" i="1"/>
  <c r="Z214" i="1"/>
  <c r="AA214" i="1" s="1"/>
  <c r="W214" i="1" s="1"/>
  <c r="AB214" i="1"/>
  <c r="AC214" i="1"/>
  <c r="AD214" i="1"/>
  <c r="AG214" i="1" s="1"/>
  <c r="AE214" i="1"/>
  <c r="AF214" i="1"/>
  <c r="AH167" i="1"/>
  <c r="AM167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8" i="1"/>
  <c r="AM168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AH169" i="1"/>
  <c r="AM169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70" i="1"/>
  <c r="AM170" i="1"/>
  <c r="K218" i="1"/>
  <c r="L218" i="1"/>
  <c r="M218" i="1"/>
  <c r="N218" i="1" s="1"/>
  <c r="V218" i="1"/>
  <c r="Y218" i="1"/>
  <c r="Z218" i="1"/>
  <c r="AB218" i="1"/>
  <c r="AC218" i="1"/>
  <c r="AD218" i="1"/>
  <c r="AG218" i="1" s="1"/>
  <c r="AE218" i="1"/>
  <c r="AF218" i="1"/>
  <c r="AH171" i="1"/>
  <c r="AM171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172" i="1"/>
  <c r="AM172" i="1"/>
  <c r="K220" i="1"/>
  <c r="L220" i="1"/>
  <c r="M220" i="1"/>
  <c r="N220" i="1" s="1"/>
  <c r="V220" i="1"/>
  <c r="Y220" i="1"/>
  <c r="Z220" i="1"/>
  <c r="AA220" i="1" s="1"/>
  <c r="W220" i="1" s="1"/>
  <c r="AB220" i="1"/>
  <c r="AC220" i="1"/>
  <c r="AD220" i="1"/>
  <c r="AG220" i="1" s="1"/>
  <c r="AE220" i="1"/>
  <c r="AF220" i="1"/>
  <c r="AH173" i="1"/>
  <c r="AM173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174" i="1"/>
  <c r="AM174" i="1"/>
  <c r="K222" i="1"/>
  <c r="L222" i="1"/>
  <c r="M222" i="1"/>
  <c r="N222" i="1" s="1"/>
  <c r="V222" i="1"/>
  <c r="Y222" i="1"/>
  <c r="Z222" i="1"/>
  <c r="AB222" i="1"/>
  <c r="AC222" i="1"/>
  <c r="AD222" i="1"/>
  <c r="AG222" i="1" s="1"/>
  <c r="AE222" i="1"/>
  <c r="AF222" i="1"/>
  <c r="AH175" i="1"/>
  <c r="AM175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176" i="1"/>
  <c r="AM176" i="1"/>
  <c r="K231" i="1"/>
  <c r="L231" i="1"/>
  <c r="M231" i="1"/>
  <c r="N231" i="1" s="1"/>
  <c r="V231" i="1"/>
  <c r="Y231" i="1"/>
  <c r="Z231" i="1"/>
  <c r="AB231" i="1"/>
  <c r="AC231" i="1"/>
  <c r="AD231" i="1"/>
  <c r="AG231" i="1" s="1"/>
  <c r="AE231" i="1"/>
  <c r="R46" i="3" s="1"/>
  <c r="AF231" i="1"/>
  <c r="AH177" i="1"/>
  <c r="AM177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8" i="1"/>
  <c r="AM178" i="1"/>
  <c r="K233" i="1"/>
  <c r="L233" i="1"/>
  <c r="M233" i="1"/>
  <c r="N233" i="1"/>
  <c r="V233" i="1"/>
  <c r="Y233" i="1"/>
  <c r="Z233" i="1"/>
  <c r="AB233" i="1"/>
  <c r="AC233" i="1"/>
  <c r="AD233" i="1"/>
  <c r="AG233" i="1" s="1"/>
  <c r="AE233" i="1"/>
  <c r="AF233" i="1"/>
  <c r="AH179" i="1"/>
  <c r="AM179" i="1"/>
  <c r="K234" i="1"/>
  <c r="L234" i="1"/>
  <c r="M234" i="1"/>
  <c r="N234" i="1" s="1"/>
  <c r="V234" i="1"/>
  <c r="Y234" i="1"/>
  <c r="Z234" i="1"/>
  <c r="AB234" i="1"/>
  <c r="AC234" i="1"/>
  <c r="AD234" i="1"/>
  <c r="AE234" i="1"/>
  <c r="R43" i="3" s="1"/>
  <c r="AF234" i="1"/>
  <c r="AH180" i="1"/>
  <c r="AM180" i="1"/>
  <c r="K235" i="1"/>
  <c r="L235" i="1"/>
  <c r="M235" i="1"/>
  <c r="N235" i="1" s="1"/>
  <c r="V235" i="1"/>
  <c r="Y235" i="1"/>
  <c r="Z235" i="1"/>
  <c r="AB235" i="1"/>
  <c r="AC235" i="1"/>
  <c r="AD235" i="1"/>
  <c r="AG235" i="1" s="1"/>
  <c r="AE235" i="1"/>
  <c r="AF235" i="1"/>
  <c r="AH181" i="1"/>
  <c r="AM181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2" i="1"/>
  <c r="AM182" i="1"/>
  <c r="K237" i="1"/>
  <c r="L237" i="1"/>
  <c r="M237" i="1"/>
  <c r="N237" i="1" s="1"/>
  <c r="V237" i="1"/>
  <c r="S42" i="3" s="1"/>
  <c r="Y237" i="1"/>
  <c r="Z237" i="1"/>
  <c r="AA237" i="1" s="1"/>
  <c r="W237" i="1" s="1"/>
  <c r="AB237" i="1"/>
  <c r="AC237" i="1"/>
  <c r="AD237" i="1"/>
  <c r="AG237" i="1" s="1"/>
  <c r="AE237" i="1"/>
  <c r="R42" i="3" s="1"/>
  <c r="AF237" i="1"/>
  <c r="AH183" i="1"/>
  <c r="AM183" i="1"/>
  <c r="K238" i="1"/>
  <c r="L238" i="1"/>
  <c r="M238" i="1"/>
  <c r="N238" i="1"/>
  <c r="V238" i="1"/>
  <c r="S44" i="3" s="1"/>
  <c r="Y238" i="1"/>
  <c r="Z238" i="1"/>
  <c r="AB238" i="1"/>
  <c r="AC238" i="1"/>
  <c r="AD238" i="1"/>
  <c r="X238" i="1" s="1"/>
  <c r="AE238" i="1"/>
  <c r="AF238" i="1"/>
  <c r="AH184" i="1"/>
  <c r="AM184" i="1"/>
  <c r="K239" i="1"/>
  <c r="L239" i="1"/>
  <c r="M239" i="1"/>
  <c r="N239" i="1"/>
  <c r="V239" i="1"/>
  <c r="Y239" i="1"/>
  <c r="Z239" i="1"/>
  <c r="AB239" i="1"/>
  <c r="AC239" i="1"/>
  <c r="AD239" i="1"/>
  <c r="AG239" i="1" s="1"/>
  <c r="AE239" i="1"/>
  <c r="AF239" i="1"/>
  <c r="AH185" i="1"/>
  <c r="AM185" i="1"/>
  <c r="K240" i="1"/>
  <c r="L240" i="1"/>
  <c r="M240" i="1"/>
  <c r="N240" i="1" s="1"/>
  <c r="V240" i="1"/>
  <c r="Y240" i="1"/>
  <c r="Z240" i="1"/>
  <c r="AB240" i="1"/>
  <c r="AC240" i="1"/>
  <c r="AD240" i="1"/>
  <c r="T240" i="1" s="1"/>
  <c r="AE240" i="1"/>
  <c r="AF240" i="1"/>
  <c r="AH186" i="1"/>
  <c r="AM186" i="1"/>
  <c r="K241" i="1"/>
  <c r="L241" i="1"/>
  <c r="M241" i="1"/>
  <c r="N241" i="1" s="1"/>
  <c r="V241" i="1"/>
  <c r="Y241" i="1"/>
  <c r="Z241" i="1"/>
  <c r="AB241" i="1"/>
  <c r="AC241" i="1"/>
  <c r="AD241" i="1"/>
  <c r="AG241" i="1" s="1"/>
  <c r="AE241" i="1"/>
  <c r="AF241" i="1"/>
  <c r="AH187" i="1"/>
  <c r="AM187" i="1"/>
  <c r="K163" i="1"/>
  <c r="L163" i="1"/>
  <c r="M163" i="1"/>
  <c r="N163" i="1" s="1"/>
  <c r="V163" i="1"/>
  <c r="Y163" i="1"/>
  <c r="Z163" i="1"/>
  <c r="AB163" i="1"/>
  <c r="AC163" i="1"/>
  <c r="AD163" i="1"/>
  <c r="X163" i="1" s="1"/>
  <c r="AE163" i="1"/>
  <c r="AF163" i="1"/>
  <c r="AH188" i="1"/>
  <c r="AM188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R31" i="3" s="1"/>
  <c r="AF164" i="1"/>
  <c r="AH189" i="1"/>
  <c r="AM189" i="1"/>
  <c r="K165" i="1"/>
  <c r="L165" i="1"/>
  <c r="M165" i="1"/>
  <c r="N165" i="1" s="1"/>
  <c r="V165" i="1"/>
  <c r="Y165" i="1"/>
  <c r="Z165" i="1"/>
  <c r="AA165" i="1" s="1"/>
  <c r="AB165" i="1"/>
  <c r="AC165" i="1"/>
  <c r="AD165" i="1"/>
  <c r="T165" i="1" s="1"/>
  <c r="AE165" i="1"/>
  <c r="AF165" i="1"/>
  <c r="AH190" i="1"/>
  <c r="AM190" i="1"/>
  <c r="K166" i="1"/>
  <c r="L166" i="1"/>
  <c r="M166" i="1"/>
  <c r="N166" i="1" s="1"/>
  <c r="V166" i="1"/>
  <c r="Y166" i="1"/>
  <c r="AA166" i="1" s="1"/>
  <c r="Z166" i="1"/>
  <c r="AB166" i="1"/>
  <c r="AC166" i="1"/>
  <c r="AD166" i="1"/>
  <c r="AG166" i="1" s="1"/>
  <c r="AE166" i="1"/>
  <c r="AF166" i="1"/>
  <c r="AH191" i="1"/>
  <c r="AM191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92" i="1"/>
  <c r="AM192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AH193" i="1"/>
  <c r="AM193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94" i="1"/>
  <c r="AM194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AH195" i="1"/>
  <c r="AM195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96" i="1"/>
  <c r="AM196" i="1"/>
  <c r="K172" i="1"/>
  <c r="L172" i="1"/>
  <c r="M172" i="1"/>
  <c r="N172" i="1" s="1"/>
  <c r="V172" i="1"/>
  <c r="Y172" i="1"/>
  <c r="Z172" i="1"/>
  <c r="AA172" i="1" s="1"/>
  <c r="AB172" i="1"/>
  <c r="AC172" i="1"/>
  <c r="AD172" i="1"/>
  <c r="AG172" i="1" s="1"/>
  <c r="AE172" i="1"/>
  <c r="AF172" i="1"/>
  <c r="AH197" i="1"/>
  <c r="AM197" i="1"/>
  <c r="K173" i="1"/>
  <c r="L173" i="1"/>
  <c r="M173" i="1"/>
  <c r="N173" i="1" s="1"/>
  <c r="V173" i="1"/>
  <c r="Y173" i="1"/>
  <c r="Z173" i="1"/>
  <c r="AB173" i="1"/>
  <c r="AC173" i="1"/>
  <c r="AD173" i="1"/>
  <c r="AG173" i="1" s="1"/>
  <c r="AI173" i="1" s="1"/>
  <c r="AE173" i="1"/>
  <c r="AF173" i="1"/>
  <c r="AH198" i="1"/>
  <c r="AM198" i="1"/>
  <c r="K174" i="1"/>
  <c r="L174" i="1"/>
  <c r="M174" i="1"/>
  <c r="N174" i="1" s="1"/>
  <c r="V174" i="1"/>
  <c r="Y174" i="1"/>
  <c r="Z174" i="1"/>
  <c r="AA174" i="1" s="1"/>
  <c r="AB174" i="1"/>
  <c r="AC174" i="1"/>
  <c r="AD174" i="1"/>
  <c r="AG174" i="1" s="1"/>
  <c r="AE174" i="1"/>
  <c r="AF174" i="1"/>
  <c r="AH199" i="1"/>
  <c r="AM199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AH200" i="1"/>
  <c r="AM200" i="1"/>
  <c r="K176" i="1"/>
  <c r="L176" i="1"/>
  <c r="M176" i="1"/>
  <c r="N176" i="1" s="1"/>
  <c r="V176" i="1"/>
  <c r="S37" i="3" s="1"/>
  <c r="Y176" i="1"/>
  <c r="Z176" i="1"/>
  <c r="AB176" i="1"/>
  <c r="AC176" i="1"/>
  <c r="AD176" i="1"/>
  <c r="AG176" i="1" s="1"/>
  <c r="AE176" i="1"/>
  <c r="AF176" i="1"/>
  <c r="AH201" i="1"/>
  <c r="AM201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02" i="1"/>
  <c r="AM202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203" i="1"/>
  <c r="AM203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AH204" i="1"/>
  <c r="AM204" i="1"/>
  <c r="K180" i="1"/>
  <c r="L180" i="1"/>
  <c r="M180" i="1"/>
  <c r="N180" i="1" s="1"/>
  <c r="V180" i="1"/>
  <c r="Y180" i="1"/>
  <c r="Z180" i="1"/>
  <c r="AA180" i="1" s="1"/>
  <c r="AB180" i="1"/>
  <c r="AC180" i="1"/>
  <c r="AD180" i="1"/>
  <c r="AG180" i="1" s="1"/>
  <c r="AE180" i="1"/>
  <c r="AF180" i="1"/>
  <c r="AH205" i="1"/>
  <c r="AM205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06" i="1"/>
  <c r="AM206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AH207" i="1"/>
  <c r="AM207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208" i="1"/>
  <c r="AM208" i="1"/>
  <c r="K184" i="1"/>
  <c r="L184" i="1"/>
  <c r="M184" i="1"/>
  <c r="N184" i="1" s="1"/>
  <c r="V184" i="1"/>
  <c r="Y184" i="1"/>
  <c r="Z184" i="1"/>
  <c r="AA184" i="1" s="1"/>
  <c r="AB184" i="1"/>
  <c r="AC184" i="1"/>
  <c r="AD184" i="1"/>
  <c r="AG184" i="1" s="1"/>
  <c r="AE184" i="1"/>
  <c r="AF184" i="1"/>
  <c r="AH209" i="1"/>
  <c r="AM209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10" i="1"/>
  <c r="AM210" i="1"/>
  <c r="K186" i="1"/>
  <c r="L186" i="1"/>
  <c r="M186" i="1"/>
  <c r="N186" i="1"/>
  <c r="V186" i="1"/>
  <c r="Y186" i="1"/>
  <c r="Z186" i="1"/>
  <c r="AA186" i="1" s="1"/>
  <c r="W186" i="1" s="1"/>
  <c r="AB186" i="1"/>
  <c r="AC186" i="1"/>
  <c r="AD186" i="1"/>
  <c r="AG186" i="1" s="1"/>
  <c r="AE186" i="1"/>
  <c r="AF186" i="1"/>
  <c r="AH211" i="1"/>
  <c r="AM211" i="1"/>
  <c r="K187" i="1"/>
  <c r="L187" i="1"/>
  <c r="M187" i="1"/>
  <c r="N187" i="1" s="1"/>
  <c r="V187" i="1"/>
  <c r="Y187" i="1"/>
  <c r="Z187" i="1"/>
  <c r="AA187" i="1" s="1"/>
  <c r="AB187" i="1"/>
  <c r="AC187" i="1"/>
  <c r="AD187" i="1"/>
  <c r="T187" i="1" s="1"/>
  <c r="AE187" i="1"/>
  <c r="AF187" i="1"/>
  <c r="AH212" i="1"/>
  <c r="AM212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213" i="1"/>
  <c r="AM213" i="1"/>
  <c r="K189" i="1"/>
  <c r="L189" i="1"/>
  <c r="M189" i="1"/>
  <c r="N189" i="1"/>
  <c r="V189" i="1"/>
  <c r="Y189" i="1"/>
  <c r="Z189" i="1"/>
  <c r="AB189" i="1"/>
  <c r="AC189" i="1"/>
  <c r="AD189" i="1"/>
  <c r="AG189" i="1" s="1"/>
  <c r="AE189" i="1"/>
  <c r="AF189" i="1"/>
  <c r="AH214" i="1"/>
  <c r="AM214" i="1"/>
  <c r="K190" i="1"/>
  <c r="L190" i="1"/>
  <c r="M190" i="1"/>
  <c r="N190" i="1" s="1"/>
  <c r="V190" i="1"/>
  <c r="Y190" i="1"/>
  <c r="Z190" i="1"/>
  <c r="AA190" i="1" s="1"/>
  <c r="AB190" i="1"/>
  <c r="AC190" i="1"/>
  <c r="AD190" i="1"/>
  <c r="AE190" i="1"/>
  <c r="AF190" i="1"/>
  <c r="AH215" i="1"/>
  <c r="AM215" i="1"/>
  <c r="K191" i="1"/>
  <c r="L191" i="1"/>
  <c r="M191" i="1"/>
  <c r="N191" i="1" s="1"/>
  <c r="V191" i="1"/>
  <c r="S33" i="3" s="1"/>
  <c r="Y191" i="1"/>
  <c r="Z191" i="1"/>
  <c r="AB191" i="1"/>
  <c r="AC191" i="1"/>
  <c r="AD191" i="1"/>
  <c r="T191" i="1" s="1"/>
  <c r="AE191" i="1"/>
  <c r="AF191" i="1"/>
  <c r="AH216" i="1"/>
  <c r="AM216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AH217" i="1"/>
  <c r="AM217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218" i="1"/>
  <c r="AM218" i="1"/>
  <c r="K194" i="1"/>
  <c r="L194" i="1"/>
  <c r="M194" i="1"/>
  <c r="N194" i="1" s="1"/>
  <c r="V194" i="1"/>
  <c r="S38" i="3" s="1"/>
  <c r="Y194" i="1"/>
  <c r="Z194" i="1"/>
  <c r="AA194" i="1" s="1"/>
  <c r="W194" i="1" s="1"/>
  <c r="AB194" i="1"/>
  <c r="AC194" i="1"/>
  <c r="AD194" i="1"/>
  <c r="AG194" i="1" s="1"/>
  <c r="AE194" i="1"/>
  <c r="AF194" i="1"/>
  <c r="AH219" i="1"/>
  <c r="AM219" i="1"/>
  <c r="K195" i="1"/>
  <c r="L195" i="1"/>
  <c r="M195" i="1"/>
  <c r="N195" i="1" s="1"/>
  <c r="V195" i="1"/>
  <c r="S32" i="3" s="1"/>
  <c r="Y195" i="1"/>
  <c r="Z195" i="1"/>
  <c r="AB195" i="1"/>
  <c r="AC195" i="1"/>
  <c r="AD195" i="1"/>
  <c r="T195" i="1" s="1"/>
  <c r="AE195" i="1"/>
  <c r="AF195" i="1"/>
  <c r="AH220" i="1"/>
  <c r="AM220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AH221" i="1"/>
  <c r="AM221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22" i="1"/>
  <c r="AM222" i="1"/>
  <c r="K198" i="1"/>
  <c r="L198" i="1"/>
  <c r="M198" i="1"/>
  <c r="N198" i="1" s="1"/>
  <c r="V198" i="1"/>
  <c r="X198" i="1"/>
  <c r="Y198" i="1"/>
  <c r="AA198" i="1" s="1"/>
  <c r="W198" i="1" s="1"/>
  <c r="Z198" i="1"/>
  <c r="AB198" i="1"/>
  <c r="AC198" i="1"/>
  <c r="AD198" i="1"/>
  <c r="AG198" i="1" s="1"/>
  <c r="AE198" i="1"/>
  <c r="AF198" i="1"/>
  <c r="AH223" i="1"/>
  <c r="AM223" i="1"/>
  <c r="K199" i="1"/>
  <c r="L199" i="1"/>
  <c r="M199" i="1"/>
  <c r="N199" i="1" s="1"/>
  <c r="V199" i="1"/>
  <c r="S30" i="3" s="1"/>
  <c r="Y199" i="1"/>
  <c r="Z199" i="1"/>
  <c r="AB199" i="1"/>
  <c r="AC199" i="1"/>
  <c r="AD199" i="1"/>
  <c r="T199" i="1" s="1"/>
  <c r="AE199" i="1"/>
  <c r="AF199" i="1"/>
  <c r="AH224" i="1"/>
  <c r="AM224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AH225" i="1"/>
  <c r="AM225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26" i="1"/>
  <c r="AM226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227" i="1"/>
  <c r="AM227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28" i="1"/>
  <c r="AM228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AH229" i="1"/>
  <c r="AM229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30" i="1"/>
  <c r="AM230" i="1"/>
  <c r="K206" i="1"/>
  <c r="L206" i="1"/>
  <c r="M206" i="1"/>
  <c r="N206" i="1" s="1"/>
  <c r="V206" i="1"/>
  <c r="Y206" i="1"/>
  <c r="Z206" i="1"/>
  <c r="AA206" i="1"/>
  <c r="W206" i="1" s="1"/>
  <c r="AB206" i="1"/>
  <c r="AC206" i="1"/>
  <c r="AD206" i="1"/>
  <c r="AG206" i="1" s="1"/>
  <c r="AE206" i="1"/>
  <c r="AF206" i="1"/>
  <c r="AH231" i="1"/>
  <c r="AM231" i="1"/>
  <c r="K207" i="1"/>
  <c r="L207" i="1"/>
  <c r="M207" i="1"/>
  <c r="N207" i="1" s="1"/>
  <c r="V207" i="1"/>
  <c r="S35" i="3" s="1"/>
  <c r="Y207" i="1"/>
  <c r="Z207" i="1"/>
  <c r="AB207" i="1"/>
  <c r="AC207" i="1"/>
  <c r="AD207" i="1"/>
  <c r="T207" i="1" s="1"/>
  <c r="AE207" i="1"/>
  <c r="AF207" i="1"/>
  <c r="AH232" i="1"/>
  <c r="AM232" i="1"/>
  <c r="K208" i="1"/>
  <c r="L208" i="1"/>
  <c r="M208" i="1"/>
  <c r="N208" i="1" s="1"/>
  <c r="V208" i="1"/>
  <c r="S40" i="3" s="1"/>
  <c r="Y208" i="1"/>
  <c r="Z208" i="1"/>
  <c r="AA208" i="1" s="1"/>
  <c r="AB208" i="1"/>
  <c r="AC208" i="1"/>
  <c r="AD208" i="1"/>
  <c r="AG208" i="1" s="1"/>
  <c r="AE208" i="1"/>
  <c r="AF208" i="1"/>
  <c r="AH233" i="1"/>
  <c r="AM233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234" i="1"/>
  <c r="AM234" i="1"/>
  <c r="K224" i="1"/>
  <c r="L224" i="1"/>
  <c r="M224" i="1"/>
  <c r="N224" i="1"/>
  <c r="V224" i="1"/>
  <c r="Y224" i="1"/>
  <c r="Z224" i="1"/>
  <c r="AB224" i="1"/>
  <c r="AC224" i="1"/>
  <c r="AD224" i="1"/>
  <c r="AG224" i="1" s="1"/>
  <c r="AE224" i="1"/>
  <c r="AF224" i="1"/>
  <c r="AH235" i="1"/>
  <c r="AM235" i="1"/>
  <c r="K225" i="1"/>
  <c r="L225" i="1"/>
  <c r="M225" i="1"/>
  <c r="N225" i="1" s="1"/>
  <c r="V225" i="1"/>
  <c r="Y225" i="1"/>
  <c r="Z225" i="1"/>
  <c r="AA225" i="1" s="1"/>
  <c r="AB225" i="1"/>
  <c r="AC225" i="1"/>
  <c r="AD225" i="1"/>
  <c r="T225" i="1" s="1"/>
  <c r="AE225" i="1"/>
  <c r="AF225" i="1"/>
  <c r="AH236" i="1"/>
  <c r="AM236" i="1"/>
  <c r="K226" i="1"/>
  <c r="L226" i="1"/>
  <c r="M226" i="1"/>
  <c r="N226" i="1" s="1"/>
  <c r="V226" i="1"/>
  <c r="Y226" i="1"/>
  <c r="Z226" i="1"/>
  <c r="AB226" i="1"/>
  <c r="AC226" i="1"/>
  <c r="AD226" i="1"/>
  <c r="AG226" i="1" s="1"/>
  <c r="AE226" i="1"/>
  <c r="AF226" i="1"/>
  <c r="AH237" i="1"/>
  <c r="AM237" i="1"/>
  <c r="K227" i="1"/>
  <c r="L227" i="1"/>
  <c r="M227" i="1"/>
  <c r="N227" i="1"/>
  <c r="V227" i="1"/>
  <c r="S45" i="3" s="1"/>
  <c r="Y227" i="1"/>
  <c r="Z227" i="1"/>
  <c r="AB227" i="1"/>
  <c r="AC227" i="1"/>
  <c r="AD227" i="1"/>
  <c r="T227" i="1" s="1"/>
  <c r="AE227" i="1"/>
  <c r="AF227" i="1"/>
  <c r="AH238" i="1"/>
  <c r="AM238" i="1"/>
  <c r="K228" i="1"/>
  <c r="L228" i="1"/>
  <c r="M228" i="1"/>
  <c r="N228" i="1" s="1"/>
  <c r="V228" i="1"/>
  <c r="Y228" i="1"/>
  <c r="Z228" i="1"/>
  <c r="AA228" i="1" s="1"/>
  <c r="W228" i="1" s="1"/>
  <c r="AB228" i="1"/>
  <c r="AC228" i="1"/>
  <c r="AD228" i="1"/>
  <c r="AG228" i="1" s="1"/>
  <c r="AE228" i="1"/>
  <c r="AF228" i="1"/>
  <c r="AH239" i="1"/>
  <c r="AM239" i="1"/>
  <c r="K229" i="1"/>
  <c r="L229" i="1"/>
  <c r="M229" i="1"/>
  <c r="N229" i="1" s="1"/>
  <c r="V229" i="1"/>
  <c r="Y229" i="1"/>
  <c r="Z229" i="1"/>
  <c r="AA229" i="1" s="1"/>
  <c r="AB229" i="1"/>
  <c r="AC229" i="1"/>
  <c r="AD229" i="1"/>
  <c r="T229" i="1" s="1"/>
  <c r="AE229" i="1"/>
  <c r="AF229" i="1"/>
  <c r="AH240" i="1"/>
  <c r="AM240" i="1"/>
  <c r="K230" i="1"/>
  <c r="L230" i="1"/>
  <c r="M230" i="1"/>
  <c r="N230" i="1" s="1"/>
  <c r="V230" i="1"/>
  <c r="Y230" i="1"/>
  <c r="Z230" i="1"/>
  <c r="AA230" i="1" s="1"/>
  <c r="AB230" i="1"/>
  <c r="AC230" i="1"/>
  <c r="AD230" i="1"/>
  <c r="AG230" i="1" s="1"/>
  <c r="AE230" i="1"/>
  <c r="AF230" i="1"/>
  <c r="AH241" i="1"/>
  <c r="AM241" i="1"/>
  <c r="M31" i="3"/>
  <c r="S31" i="3"/>
  <c r="U31" i="3"/>
  <c r="V31" i="3"/>
  <c r="W31" i="3"/>
  <c r="X31" i="3"/>
  <c r="M23" i="3"/>
  <c r="S23" i="3"/>
  <c r="U23" i="3"/>
  <c r="V23" i="3"/>
  <c r="W23" i="3"/>
  <c r="Y23" i="3" s="1"/>
  <c r="X23" i="3"/>
  <c r="M7" i="3"/>
  <c r="S7" i="3"/>
  <c r="U7" i="3"/>
  <c r="AC7" i="3" s="1"/>
  <c r="V7" i="3"/>
  <c r="W7" i="3"/>
  <c r="X7" i="3"/>
  <c r="M12" i="3"/>
  <c r="S12" i="3"/>
  <c r="U12" i="3"/>
  <c r="AC12" i="3" s="1"/>
  <c r="V12" i="3"/>
  <c r="W12" i="3"/>
  <c r="X12" i="3"/>
  <c r="M24" i="3"/>
  <c r="S24" i="3"/>
  <c r="U24" i="3"/>
  <c r="T24" i="3" s="1"/>
  <c r="V24" i="3"/>
  <c r="W24" i="3"/>
  <c r="X24" i="3"/>
  <c r="AC24" i="3"/>
  <c r="M37" i="3"/>
  <c r="R37" i="3"/>
  <c r="U37" i="3"/>
  <c r="V37" i="3"/>
  <c r="W37" i="3"/>
  <c r="Y37" i="3" s="1"/>
  <c r="X37" i="3"/>
  <c r="M46" i="3"/>
  <c r="S46" i="3"/>
  <c r="U46" i="3"/>
  <c r="AC46" i="3" s="1"/>
  <c r="V46" i="3"/>
  <c r="W46" i="3"/>
  <c r="X46" i="3"/>
  <c r="M43" i="3"/>
  <c r="S43" i="3"/>
  <c r="U43" i="3"/>
  <c r="AC43" i="3" s="1"/>
  <c r="V43" i="3"/>
  <c r="W43" i="3"/>
  <c r="X43" i="3"/>
  <c r="M13" i="3"/>
  <c r="R13" i="3"/>
  <c r="U13" i="3"/>
  <c r="T13" i="3" s="1"/>
  <c r="V13" i="3"/>
  <c r="W13" i="3"/>
  <c r="X13" i="3"/>
  <c r="AC13" i="3"/>
  <c r="M8" i="3"/>
  <c r="R8" i="3"/>
  <c r="U8" i="3"/>
  <c r="V8" i="3"/>
  <c r="W8" i="3"/>
  <c r="X8" i="3"/>
  <c r="M20" i="3"/>
  <c r="R20" i="3"/>
  <c r="U20" i="3"/>
  <c r="AC20" i="3" s="1"/>
  <c r="V20" i="3"/>
  <c r="W20" i="3"/>
  <c r="Y20" i="3" s="1"/>
  <c r="X20" i="3"/>
  <c r="M21" i="3"/>
  <c r="S21" i="3"/>
  <c r="U21" i="3"/>
  <c r="AC21" i="3" s="1"/>
  <c r="V21" i="3"/>
  <c r="W21" i="3"/>
  <c r="X21" i="3"/>
  <c r="M45" i="3"/>
  <c r="R45" i="3"/>
  <c r="U45" i="3"/>
  <c r="T45" i="3" s="1"/>
  <c r="V45" i="3"/>
  <c r="W45" i="3"/>
  <c r="X45" i="3"/>
  <c r="AC45" i="3"/>
  <c r="M25" i="3"/>
  <c r="S25" i="3"/>
  <c r="U25" i="3"/>
  <c r="V25" i="3"/>
  <c r="W25" i="3"/>
  <c r="X25" i="3"/>
  <c r="M17" i="3"/>
  <c r="U17" i="3"/>
  <c r="AC17" i="3" s="1"/>
  <c r="V17" i="3"/>
  <c r="W17" i="3"/>
  <c r="X17" i="3"/>
  <c r="M22" i="3"/>
  <c r="R22" i="3"/>
  <c r="U22" i="3"/>
  <c r="AC22" i="3" s="1"/>
  <c r="V22" i="3"/>
  <c r="W22" i="3"/>
  <c r="X22" i="3"/>
  <c r="M9" i="3"/>
  <c r="U9" i="3"/>
  <c r="T9" i="3" s="1"/>
  <c r="V9" i="3"/>
  <c r="W9" i="3"/>
  <c r="X9" i="3"/>
  <c r="AC9" i="3"/>
  <c r="M18" i="3"/>
  <c r="R18" i="3"/>
  <c r="U18" i="3"/>
  <c r="V18" i="3"/>
  <c r="W18" i="3"/>
  <c r="X18" i="3"/>
  <c r="M19" i="3"/>
  <c r="R19" i="3"/>
  <c r="S19" i="3"/>
  <c r="U19" i="3"/>
  <c r="AC19" i="3" s="1"/>
  <c r="V19" i="3"/>
  <c r="W19" i="3"/>
  <c r="X19" i="3"/>
  <c r="M16" i="3"/>
  <c r="R16" i="3"/>
  <c r="S16" i="3"/>
  <c r="U16" i="3"/>
  <c r="AC16" i="3" s="1"/>
  <c r="V16" i="3"/>
  <c r="W16" i="3"/>
  <c r="X16" i="3"/>
  <c r="M33" i="3"/>
  <c r="R33" i="3"/>
  <c r="U33" i="3"/>
  <c r="T33" i="3" s="1"/>
  <c r="V33" i="3"/>
  <c r="W33" i="3"/>
  <c r="X33" i="3"/>
  <c r="AC33" i="3"/>
  <c r="M15" i="3"/>
  <c r="R15" i="3"/>
  <c r="S15" i="3"/>
  <c r="U15" i="3"/>
  <c r="AD15" i="3" s="1"/>
  <c r="V15" i="3"/>
  <c r="W15" i="3"/>
  <c r="X15" i="3"/>
  <c r="M27" i="3"/>
  <c r="R27" i="3"/>
  <c r="U27" i="3"/>
  <c r="AC27" i="3" s="1"/>
  <c r="V27" i="3"/>
  <c r="W27" i="3"/>
  <c r="Y27" i="3" s="1"/>
  <c r="X27" i="3"/>
  <c r="M26" i="3"/>
  <c r="R26" i="3"/>
  <c r="S26" i="3"/>
  <c r="U26" i="3"/>
  <c r="AC26" i="3" s="1"/>
  <c r="V26" i="3"/>
  <c r="W26" i="3"/>
  <c r="X26" i="3"/>
  <c r="M38" i="3"/>
  <c r="U38" i="3"/>
  <c r="T38" i="3" s="1"/>
  <c r="V38" i="3"/>
  <c r="W38" i="3"/>
  <c r="X38" i="3"/>
  <c r="AC38" i="3"/>
  <c r="M39" i="3"/>
  <c r="S39" i="3"/>
  <c r="U39" i="3"/>
  <c r="AD39" i="3" s="1"/>
  <c r="V39" i="3"/>
  <c r="W39" i="3"/>
  <c r="X39" i="3"/>
  <c r="M29" i="3"/>
  <c r="R29" i="3"/>
  <c r="U29" i="3"/>
  <c r="AC29" i="3" s="1"/>
  <c r="V29" i="3"/>
  <c r="W29" i="3"/>
  <c r="Y29" i="3" s="1"/>
  <c r="X29" i="3"/>
  <c r="M32" i="3"/>
  <c r="R32" i="3"/>
  <c r="U32" i="3"/>
  <c r="AC32" i="3" s="1"/>
  <c r="V32" i="3"/>
  <c r="W32" i="3"/>
  <c r="X32" i="3"/>
  <c r="M34" i="3"/>
  <c r="R34" i="3"/>
  <c r="U34" i="3"/>
  <c r="T34" i="3" s="1"/>
  <c r="V34" i="3"/>
  <c r="AE29" i="3" s="1"/>
  <c r="W34" i="3"/>
  <c r="X34" i="3"/>
  <c r="AC34" i="3"/>
  <c r="M44" i="3"/>
  <c r="R44" i="3"/>
  <c r="U44" i="3"/>
  <c r="AD44" i="3" s="1"/>
  <c r="V44" i="3"/>
  <c r="W44" i="3"/>
  <c r="X44" i="3"/>
  <c r="M41" i="3"/>
  <c r="R41" i="3"/>
  <c r="U41" i="3"/>
  <c r="AC41" i="3" s="1"/>
  <c r="V41" i="3"/>
  <c r="W41" i="3"/>
  <c r="X41" i="3"/>
  <c r="M42" i="3"/>
  <c r="U42" i="3"/>
  <c r="AC42" i="3" s="1"/>
  <c r="V42" i="3"/>
  <c r="W42" i="3"/>
  <c r="X42" i="3"/>
  <c r="M30" i="3"/>
  <c r="R30" i="3"/>
  <c r="U30" i="3"/>
  <c r="T30" i="3" s="1"/>
  <c r="V30" i="3"/>
  <c r="W30" i="3"/>
  <c r="X30" i="3"/>
  <c r="M28" i="3"/>
  <c r="R28" i="3"/>
  <c r="S28" i="3"/>
  <c r="U28" i="3"/>
  <c r="V28" i="3"/>
  <c r="W28" i="3"/>
  <c r="X28" i="3"/>
  <c r="M10" i="3"/>
  <c r="S10" i="3"/>
  <c r="U10" i="3"/>
  <c r="AC10" i="3" s="1"/>
  <c r="V10" i="3"/>
  <c r="W10" i="3"/>
  <c r="X10" i="3"/>
  <c r="M40" i="3"/>
  <c r="R40" i="3"/>
  <c r="U40" i="3"/>
  <c r="AC40" i="3" s="1"/>
  <c r="V40" i="3"/>
  <c r="W40" i="3"/>
  <c r="X40" i="3"/>
  <c r="AD40" i="3"/>
  <c r="M35" i="3"/>
  <c r="R35" i="3"/>
  <c r="U35" i="3"/>
  <c r="T35" i="3" s="1"/>
  <c r="V35" i="3"/>
  <c r="W35" i="3"/>
  <c r="X35" i="3"/>
  <c r="AC35" i="3"/>
  <c r="M36" i="3"/>
  <c r="R36" i="3"/>
  <c r="U36" i="3"/>
  <c r="V36" i="3"/>
  <c r="W36" i="3"/>
  <c r="Y36" i="3" s="1"/>
  <c r="X36" i="3"/>
  <c r="M11" i="3"/>
  <c r="R11" i="3"/>
  <c r="U11" i="3"/>
  <c r="AC11" i="3" s="1"/>
  <c r="V11" i="3"/>
  <c r="AE11" i="3" s="1"/>
  <c r="W11" i="3"/>
  <c r="X11" i="3"/>
  <c r="Y21" i="3" l="1"/>
  <c r="AE26" i="3"/>
  <c r="AE10" i="3"/>
  <c r="Y41" i="3"/>
  <c r="AE19" i="3"/>
  <c r="Y15" i="3"/>
  <c r="Y33" i="3"/>
  <c r="Y18" i="3"/>
  <c r="Y46" i="3"/>
  <c r="AC31" i="3"/>
  <c r="AD9" i="3"/>
  <c r="AD24" i="3"/>
  <c r="AA114" i="1"/>
  <c r="S18" i="3"/>
  <c r="AA97" i="1"/>
  <c r="Y32" i="3"/>
  <c r="AD8" i="3"/>
  <c r="R24" i="3"/>
  <c r="AE32" i="3"/>
  <c r="AE42" i="3"/>
  <c r="AD38" i="3"/>
  <c r="X200" i="1"/>
  <c r="X176" i="1"/>
  <c r="X156" i="1"/>
  <c r="AG153" i="1"/>
  <c r="AI153" i="1" s="1"/>
  <c r="T153" i="1"/>
  <c r="X132" i="1"/>
  <c r="X130" i="1"/>
  <c r="AG115" i="1"/>
  <c r="AI115" i="1" s="1"/>
  <c r="T115" i="1"/>
  <c r="AG105" i="1"/>
  <c r="T105" i="1"/>
  <c r="AA66" i="1"/>
  <c r="AA62" i="1"/>
  <c r="T117" i="1"/>
  <c r="AG117" i="1"/>
  <c r="AI117" i="1" s="1"/>
  <c r="S41" i="3"/>
  <c r="R38" i="3"/>
  <c r="R39" i="3"/>
  <c r="AA139" i="1"/>
  <c r="S22" i="3"/>
  <c r="S27" i="3"/>
  <c r="AG107" i="1"/>
  <c r="T107" i="1"/>
  <c r="U107" i="1" s="1"/>
  <c r="AA87" i="1"/>
  <c r="X49" i="1"/>
  <c r="AA48" i="1"/>
  <c r="W48" i="1" s="1"/>
  <c r="X34" i="1"/>
  <c r="AA20" i="1"/>
  <c r="W20" i="1" s="1"/>
  <c r="AI20" i="1"/>
  <c r="X17" i="1"/>
  <c r="T31" i="3"/>
  <c r="AD26" i="3"/>
  <c r="AE22" i="3"/>
  <c r="X218" i="1"/>
  <c r="Y28" i="3"/>
  <c r="AG190" i="1"/>
  <c r="X190" i="1"/>
  <c r="X126" i="1"/>
  <c r="T126" i="1"/>
  <c r="AG93" i="1"/>
  <c r="U93" i="1" s="1"/>
  <c r="S93" i="1" s="1"/>
  <c r="AG48" i="1"/>
  <c r="T48" i="1"/>
  <c r="AD18" i="3"/>
  <c r="Y25" i="3"/>
  <c r="AI193" i="1"/>
  <c r="AI175" i="1"/>
  <c r="X160" i="1"/>
  <c r="Y35" i="3"/>
  <c r="T26" i="3"/>
  <c r="Y17" i="3"/>
  <c r="Y7" i="3"/>
  <c r="Y31" i="3"/>
  <c r="AA224" i="1"/>
  <c r="W224" i="1" s="1"/>
  <c r="AA204" i="1"/>
  <c r="W204" i="1" s="1"/>
  <c r="AI183" i="1"/>
  <c r="AA182" i="1"/>
  <c r="AA179" i="1"/>
  <c r="AA176" i="1"/>
  <c r="W176" i="1" s="1"/>
  <c r="X167" i="1"/>
  <c r="X237" i="1"/>
  <c r="AA236" i="1"/>
  <c r="X219" i="1"/>
  <c r="AA218" i="1"/>
  <c r="W218" i="1" s="1"/>
  <c r="AI161" i="1"/>
  <c r="AA151" i="1"/>
  <c r="X144" i="1"/>
  <c r="AA143" i="1"/>
  <c r="X138" i="1"/>
  <c r="AA119" i="1"/>
  <c r="AA111" i="1"/>
  <c r="W111" i="1" s="1"/>
  <c r="AA103" i="1"/>
  <c r="AA91" i="1"/>
  <c r="AA81" i="1"/>
  <c r="AA77" i="1"/>
  <c r="AA74" i="1"/>
  <c r="AA71" i="1"/>
  <c r="AA70" i="1"/>
  <c r="X67" i="1"/>
  <c r="AA59" i="1"/>
  <c r="X57" i="1"/>
  <c r="AA53" i="1"/>
  <c r="AI34" i="1"/>
  <c r="AA28" i="1"/>
  <c r="AA19" i="1"/>
  <c r="W19" i="1" s="1"/>
  <c r="AA17" i="1"/>
  <c r="W17" i="1" s="1"/>
  <c r="AI15" i="1"/>
  <c r="U14" i="1"/>
  <c r="AA127" i="1"/>
  <c r="W127" i="1" s="1"/>
  <c r="AA120" i="1"/>
  <c r="AI109" i="1"/>
  <c r="AA101" i="1"/>
  <c r="AA89" i="1"/>
  <c r="AA79" i="1"/>
  <c r="X75" i="1"/>
  <c r="AI26" i="1"/>
  <c r="X230" i="1"/>
  <c r="X228" i="1"/>
  <c r="X192" i="1"/>
  <c r="AA140" i="1"/>
  <c r="AA138" i="1"/>
  <c r="AA133" i="1"/>
  <c r="AA126" i="1"/>
  <c r="W126" i="1" s="1"/>
  <c r="AA123" i="1"/>
  <c r="AA122" i="1"/>
  <c r="AA117" i="1"/>
  <c r="X111" i="1"/>
  <c r="AA110" i="1"/>
  <c r="AG101" i="1"/>
  <c r="U101" i="1" s="1"/>
  <c r="S101" i="1" s="1"/>
  <c r="AA80" i="1"/>
  <c r="AA72" i="1"/>
  <c r="AA64" i="1"/>
  <c r="X59" i="1"/>
  <c r="AA54" i="1"/>
  <c r="W54" i="1" s="1"/>
  <c r="X52" i="1"/>
  <c r="AI50" i="1"/>
  <c r="AA49" i="1"/>
  <c r="AA44" i="1"/>
  <c r="W44" i="1" s="1"/>
  <c r="T44" i="1"/>
  <c r="U44" i="1" s="1"/>
  <c r="S44" i="1" s="1"/>
  <c r="AA36" i="1"/>
  <c r="AA25" i="1"/>
  <c r="AA15" i="1"/>
  <c r="W15" i="1" s="1"/>
  <c r="AA203" i="1"/>
  <c r="AA200" i="1"/>
  <c r="AA196" i="1"/>
  <c r="AI189" i="1"/>
  <c r="X184" i="1"/>
  <c r="X182" i="1"/>
  <c r="AI179" i="1"/>
  <c r="AA178" i="1"/>
  <c r="W178" i="1" s="1"/>
  <c r="X169" i="1"/>
  <c r="AA241" i="1"/>
  <c r="W241" i="1" s="1"/>
  <c r="AA235" i="1"/>
  <c r="W235" i="1" s="1"/>
  <c r="X223" i="1"/>
  <c r="X215" i="1"/>
  <c r="X214" i="1"/>
  <c r="AA213" i="1"/>
  <c r="AA155" i="1"/>
  <c r="AA149" i="1"/>
  <c r="X136" i="1"/>
  <c r="T128" i="1"/>
  <c r="U115" i="1"/>
  <c r="X109" i="1"/>
  <c r="X85" i="1"/>
  <c r="X77" i="1"/>
  <c r="X69" i="1"/>
  <c r="X61" i="1"/>
  <c r="AA16" i="1"/>
  <c r="X15" i="1"/>
  <c r="AA226" i="1"/>
  <c r="X208" i="1"/>
  <c r="AA207" i="1"/>
  <c r="X206" i="1"/>
  <c r="AA202" i="1"/>
  <c r="W202" i="1" s="1"/>
  <c r="AA195" i="1"/>
  <c r="AA192" i="1"/>
  <c r="W192" i="1" s="1"/>
  <c r="AA188" i="1"/>
  <c r="W188" i="1" s="1"/>
  <c r="X174" i="1"/>
  <c r="AA170" i="1"/>
  <c r="W170" i="1" s="1"/>
  <c r="W166" i="1"/>
  <c r="AA212" i="1"/>
  <c r="W212" i="1" s="1"/>
  <c r="W159" i="1"/>
  <c r="AA158" i="1"/>
  <c r="AA154" i="1"/>
  <c r="AA147" i="1"/>
  <c r="AA141" i="1"/>
  <c r="AA135" i="1"/>
  <c r="AA132" i="1"/>
  <c r="AA130" i="1"/>
  <c r="AA124" i="1"/>
  <c r="AG119" i="1"/>
  <c r="U119" i="1" s="1"/>
  <c r="S119" i="1" s="1"/>
  <c r="X119" i="1"/>
  <c r="T99" i="1"/>
  <c r="U99" i="1" s="1"/>
  <c r="T97" i="1"/>
  <c r="AA95" i="1"/>
  <c r="AA93" i="1"/>
  <c r="W93" i="1" s="1"/>
  <c r="X87" i="1"/>
  <c r="AA84" i="1"/>
  <c r="X79" i="1"/>
  <c r="AA76" i="1"/>
  <c r="X71" i="1"/>
  <c r="AA68" i="1"/>
  <c r="X63" i="1"/>
  <c r="AA57" i="1"/>
  <c r="AI55" i="1"/>
  <c r="AA52" i="1"/>
  <c r="W52" i="1" s="1"/>
  <c r="T52" i="1"/>
  <c r="AA46" i="1"/>
  <c r="W46" i="1" s="1"/>
  <c r="X44" i="1"/>
  <c r="AI42" i="1"/>
  <c r="AA41" i="1"/>
  <c r="AA38" i="1"/>
  <c r="AA164" i="1"/>
  <c r="W164" i="1" s="1"/>
  <c r="X241" i="1"/>
  <c r="AA233" i="1"/>
  <c r="W233" i="1" s="1"/>
  <c r="AA222" i="1"/>
  <c r="W222" i="1" s="1"/>
  <c r="AA221" i="1"/>
  <c r="W221" i="1" s="1"/>
  <c r="W101" i="1"/>
  <c r="X55" i="1"/>
  <c r="X48" i="1"/>
  <c r="AA30" i="1"/>
  <c r="W30" i="1" s="1"/>
  <c r="AI22" i="1"/>
  <c r="T228" i="1"/>
  <c r="U228" i="1" s="1"/>
  <c r="S228" i="1" s="1"/>
  <c r="AA227" i="1"/>
  <c r="X224" i="1"/>
  <c r="T206" i="1"/>
  <c r="AA205" i="1"/>
  <c r="X202" i="1"/>
  <c r="T198" i="1"/>
  <c r="U198" i="1" s="1"/>
  <c r="S198" i="1" s="1"/>
  <c r="AA197" i="1"/>
  <c r="X194" i="1"/>
  <c r="T190" i="1"/>
  <c r="AA189" i="1"/>
  <c r="X186" i="1"/>
  <c r="T182" i="1"/>
  <c r="U182" i="1" s="1"/>
  <c r="S182" i="1" s="1"/>
  <c r="AA181" i="1"/>
  <c r="X178" i="1"/>
  <c r="T174" i="1"/>
  <c r="AA173" i="1"/>
  <c r="W173" i="1" s="1"/>
  <c r="X171" i="1"/>
  <c r="AA168" i="1"/>
  <c r="W168" i="1" s="1"/>
  <c r="X166" i="1"/>
  <c r="AA240" i="1"/>
  <c r="X234" i="1"/>
  <c r="AA231" i="1"/>
  <c r="W231" i="1" s="1"/>
  <c r="X222" i="1"/>
  <c r="AA217" i="1"/>
  <c r="X211" i="1"/>
  <c r="AA161" i="1"/>
  <c r="W161" i="1" s="1"/>
  <c r="X159" i="1"/>
  <c r="AI157" i="1"/>
  <c r="AG151" i="1"/>
  <c r="AI151" i="1" s="1"/>
  <c r="X151" i="1"/>
  <c r="AA146" i="1"/>
  <c r="T123" i="1"/>
  <c r="AG123" i="1"/>
  <c r="W110" i="1"/>
  <c r="AI107" i="1"/>
  <c r="U105" i="1"/>
  <c r="S105" i="1" s="1"/>
  <c r="AI105" i="1"/>
  <c r="T230" i="1"/>
  <c r="U230" i="1" s="1"/>
  <c r="S230" i="1" s="1"/>
  <c r="X226" i="1"/>
  <c r="T208" i="1"/>
  <c r="X204" i="1"/>
  <c r="T200" i="1"/>
  <c r="AA199" i="1"/>
  <c r="X196" i="1"/>
  <c r="T192" i="1"/>
  <c r="U192" i="1" s="1"/>
  <c r="S192" i="1" s="1"/>
  <c r="AA191" i="1"/>
  <c r="X188" i="1"/>
  <c r="T184" i="1"/>
  <c r="AA183" i="1"/>
  <c r="W183" i="1" s="1"/>
  <c r="X180" i="1"/>
  <c r="T176" i="1"/>
  <c r="AA175" i="1"/>
  <c r="W175" i="1" s="1"/>
  <c r="X172" i="1"/>
  <c r="X170" i="1"/>
  <c r="X233" i="1"/>
  <c r="X210" i="1"/>
  <c r="AG155" i="1"/>
  <c r="AI155" i="1" s="1"/>
  <c r="X155" i="1"/>
  <c r="W119" i="1"/>
  <c r="W55" i="1"/>
  <c r="T224" i="1"/>
  <c r="U224" i="1" s="1"/>
  <c r="S224" i="1" s="1"/>
  <c r="AA209" i="1"/>
  <c r="T202" i="1"/>
  <c r="AA201" i="1"/>
  <c r="T194" i="1"/>
  <c r="AA193" i="1"/>
  <c r="W193" i="1" s="1"/>
  <c r="T186" i="1"/>
  <c r="AA185" i="1"/>
  <c r="T178" i="1"/>
  <c r="AA177" i="1"/>
  <c r="AA169" i="1"/>
  <c r="AA239" i="1"/>
  <c r="W239" i="1" s="1"/>
  <c r="AA232" i="1"/>
  <c r="AA216" i="1"/>
  <c r="W216" i="1" s="1"/>
  <c r="AA162" i="1"/>
  <c r="AA150" i="1"/>
  <c r="AG147" i="1"/>
  <c r="AI147" i="1" s="1"/>
  <c r="X147" i="1"/>
  <c r="T142" i="1"/>
  <c r="AG142" i="1"/>
  <c r="T134" i="1"/>
  <c r="AG134" i="1"/>
  <c r="W124" i="1"/>
  <c r="AI119" i="1"/>
  <c r="AI111" i="1"/>
  <c r="U91" i="1"/>
  <c r="S91" i="1" s="1"/>
  <c r="AI91" i="1"/>
  <c r="U89" i="1"/>
  <c r="S89" i="1" s="1"/>
  <c r="AI89" i="1"/>
  <c r="T226" i="1"/>
  <c r="T204" i="1"/>
  <c r="T196" i="1"/>
  <c r="U196" i="1" s="1"/>
  <c r="S196" i="1" s="1"/>
  <c r="T188" i="1"/>
  <c r="T180" i="1"/>
  <c r="T172" i="1"/>
  <c r="W151" i="1"/>
  <c r="X148" i="1"/>
  <c r="T148" i="1"/>
  <c r="AI99" i="1"/>
  <c r="U97" i="1"/>
  <c r="AI97" i="1"/>
  <c r="W105" i="1"/>
  <c r="W97" i="1"/>
  <c r="W89" i="1"/>
  <c r="AA60" i="1"/>
  <c r="AA58" i="1"/>
  <c r="AA56" i="1"/>
  <c r="AI52" i="1"/>
  <c r="AG47" i="1"/>
  <c r="X47" i="1"/>
  <c r="AI44" i="1"/>
  <c r="X41" i="1"/>
  <c r="AA40" i="1"/>
  <c r="W40" i="1" s="1"/>
  <c r="AA37" i="1"/>
  <c r="AI30" i="1"/>
  <c r="AA26" i="1"/>
  <c r="W26" i="1" s="1"/>
  <c r="AA24" i="1"/>
  <c r="U20" i="1"/>
  <c r="S20" i="1" s="1"/>
  <c r="T20" i="1"/>
  <c r="T19" i="1"/>
  <c r="T17" i="1"/>
  <c r="U17" i="1" s="1"/>
  <c r="S17" i="1" s="1"/>
  <c r="T140" i="1"/>
  <c r="T138" i="1"/>
  <c r="T132" i="1"/>
  <c r="T130" i="1"/>
  <c r="AA121" i="1"/>
  <c r="X117" i="1"/>
  <c r="AG113" i="1"/>
  <c r="U113" i="1" s="1"/>
  <c r="W109" i="1"/>
  <c r="W107" i="1"/>
  <c r="AG103" i="1"/>
  <c r="W99" i="1"/>
  <c r="AG95" i="1"/>
  <c r="W95" i="1" s="1"/>
  <c r="W91" i="1"/>
  <c r="T87" i="1"/>
  <c r="T85" i="1"/>
  <c r="T83" i="1"/>
  <c r="T81" i="1"/>
  <c r="T79" i="1"/>
  <c r="T77" i="1"/>
  <c r="T75" i="1"/>
  <c r="T73" i="1"/>
  <c r="T71" i="1"/>
  <c r="T69" i="1"/>
  <c r="T67" i="1"/>
  <c r="T65" i="1"/>
  <c r="T63" i="1"/>
  <c r="T61" i="1"/>
  <c r="T59" i="1"/>
  <c r="T57" i="1"/>
  <c r="T55" i="1"/>
  <c r="AA33" i="1"/>
  <c r="X30" i="1"/>
  <c r="U15" i="1"/>
  <c r="S15" i="1" s="1"/>
  <c r="T15" i="1"/>
  <c r="X153" i="1"/>
  <c r="AG140" i="1"/>
  <c r="AG138" i="1"/>
  <c r="AG136" i="1"/>
  <c r="AG132" i="1"/>
  <c r="U132" i="1" s="1"/>
  <c r="S132" i="1" s="1"/>
  <c r="AG130" i="1"/>
  <c r="U130" i="1" s="1"/>
  <c r="S130" i="1" s="1"/>
  <c r="AG128" i="1"/>
  <c r="AG126" i="1"/>
  <c r="AG121" i="1"/>
  <c r="U121" i="1" s="1"/>
  <c r="T111" i="1"/>
  <c r="U111" i="1" s="1"/>
  <c r="T109" i="1"/>
  <c r="AI101" i="1"/>
  <c r="AI93" i="1"/>
  <c r="AG87" i="1"/>
  <c r="AG85" i="1"/>
  <c r="AG83" i="1"/>
  <c r="AG81" i="1"/>
  <c r="AG79" i="1"/>
  <c r="AG77" i="1"/>
  <c r="AG75" i="1"/>
  <c r="AG73" i="1"/>
  <c r="AG71" i="1"/>
  <c r="AG69" i="1"/>
  <c r="AG67" i="1"/>
  <c r="AG65" i="1"/>
  <c r="AG63" i="1"/>
  <c r="AG61" i="1"/>
  <c r="AG59" i="1"/>
  <c r="W59" i="1" s="1"/>
  <c r="AG57" i="1"/>
  <c r="X53" i="1"/>
  <c r="AG51" i="1"/>
  <c r="X51" i="1"/>
  <c r="AI48" i="1"/>
  <c r="X45" i="1"/>
  <c r="AG43" i="1"/>
  <c r="X43" i="1"/>
  <c r="AA34" i="1"/>
  <c r="W34" i="1" s="1"/>
  <c r="AA32" i="1"/>
  <c r="AA29" i="1"/>
  <c r="T22" i="1"/>
  <c r="U22" i="1" s="1"/>
  <c r="S22" i="1" s="1"/>
  <c r="W14" i="1"/>
  <c r="AA142" i="1"/>
  <c r="W142" i="1" s="1"/>
  <c r="AA134" i="1"/>
  <c r="AA116" i="1"/>
  <c r="W116" i="1" s="1"/>
  <c r="AA115" i="1"/>
  <c r="W115" i="1" s="1"/>
  <c r="AG18" i="1"/>
  <c r="U18" i="1" s="1"/>
  <c r="S18" i="1" s="1"/>
  <c r="AI233" i="1"/>
  <c r="U208" i="1"/>
  <c r="S208" i="1" s="1"/>
  <c r="U200" i="1"/>
  <c r="S200" i="1" s="1"/>
  <c r="AI214" i="1"/>
  <c r="AI209" i="1"/>
  <c r="U184" i="1"/>
  <c r="S184" i="1" s="1"/>
  <c r="AI201" i="1"/>
  <c r="U176" i="1"/>
  <c r="S176" i="1" s="1"/>
  <c r="AI198" i="1"/>
  <c r="AI241" i="1"/>
  <c r="W226" i="1"/>
  <c r="AI235" i="1"/>
  <c r="W209" i="1"/>
  <c r="S202" i="1"/>
  <c r="U202" i="1"/>
  <c r="W201" i="1"/>
  <c r="W196" i="1"/>
  <c r="U194" i="1"/>
  <c r="S194" i="1" s="1"/>
  <c r="U186" i="1"/>
  <c r="S186" i="1" s="1"/>
  <c r="AI208" i="1"/>
  <c r="W180" i="1"/>
  <c r="U178" i="1"/>
  <c r="S178" i="1" s="1"/>
  <c r="AI200" i="1"/>
  <c r="W172" i="1"/>
  <c r="U204" i="1"/>
  <c r="S204" i="1" s="1"/>
  <c r="AI226" i="1"/>
  <c r="AI218" i="1"/>
  <c r="W190" i="1"/>
  <c r="U188" i="1"/>
  <c r="S188" i="1" s="1"/>
  <c r="W182" i="1"/>
  <c r="U180" i="1"/>
  <c r="S180" i="1" s="1"/>
  <c r="W179" i="1"/>
  <c r="W174" i="1"/>
  <c r="U172" i="1"/>
  <c r="S172" i="1" s="1"/>
  <c r="U226" i="1"/>
  <c r="S226" i="1" s="1"/>
  <c r="AI237" i="1"/>
  <c r="W230" i="1"/>
  <c r="AI239" i="1"/>
  <c r="W208" i="1"/>
  <c r="U206" i="1"/>
  <c r="S206" i="1" s="1"/>
  <c r="AI231" i="1"/>
  <c r="W200" i="1"/>
  <c r="U190" i="1"/>
  <c r="S190" i="1" s="1"/>
  <c r="W189" i="1"/>
  <c r="W184" i="1"/>
  <c r="AI204" i="1"/>
  <c r="U174" i="1"/>
  <c r="S174" i="1" s="1"/>
  <c r="T167" i="1"/>
  <c r="AG227" i="1"/>
  <c r="W227" i="1" s="1"/>
  <c r="AG207" i="1"/>
  <c r="AI207" i="1" s="1"/>
  <c r="AG205" i="1"/>
  <c r="AI205" i="1" s="1"/>
  <c r="S29" i="3"/>
  <c r="X227" i="1"/>
  <c r="X209" i="1"/>
  <c r="T209" i="1"/>
  <c r="U209" i="1" s="1"/>
  <c r="S209" i="1" s="1"/>
  <c r="X207" i="1"/>
  <c r="X201" i="1"/>
  <c r="T201" i="1"/>
  <c r="U201" i="1" s="1"/>
  <c r="S201" i="1" s="1"/>
  <c r="X193" i="1"/>
  <c r="T193" i="1"/>
  <c r="U193" i="1" s="1"/>
  <c r="S193" i="1" s="1"/>
  <c r="X189" i="1"/>
  <c r="T189" i="1"/>
  <c r="U189" i="1" s="1"/>
  <c r="S189" i="1" s="1"/>
  <c r="X183" i="1"/>
  <c r="T183" i="1"/>
  <c r="U183" i="1" s="1"/>
  <c r="S183" i="1" s="1"/>
  <c r="X179" i="1"/>
  <c r="T179" i="1"/>
  <c r="U179" i="1" s="1"/>
  <c r="S179" i="1" s="1"/>
  <c r="X175" i="1"/>
  <c r="T175" i="1"/>
  <c r="U175" i="1" s="1"/>
  <c r="S175" i="1" s="1"/>
  <c r="X173" i="1"/>
  <c r="T173" i="1"/>
  <c r="U173" i="1" s="1"/>
  <c r="S173" i="1" s="1"/>
  <c r="T169" i="1"/>
  <c r="S36" i="3"/>
  <c r="S34" i="3"/>
  <c r="AA171" i="1"/>
  <c r="T170" i="1"/>
  <c r="U170" i="1" s="1"/>
  <c r="S170" i="1" s="1"/>
  <c r="AG169" i="1"/>
  <c r="AA167" i="1"/>
  <c r="T166" i="1"/>
  <c r="U166" i="1" s="1"/>
  <c r="S166" i="1" s="1"/>
  <c r="AG165" i="1"/>
  <c r="AI165" i="1" s="1"/>
  <c r="X165" i="1"/>
  <c r="AA163" i="1"/>
  <c r="T241" i="1"/>
  <c r="AG240" i="1"/>
  <c r="X240" i="1"/>
  <c r="AA238" i="1"/>
  <c r="T237" i="1"/>
  <c r="AG236" i="1"/>
  <c r="X236" i="1"/>
  <c r="AA234" i="1"/>
  <c r="T233" i="1"/>
  <c r="AG232" i="1"/>
  <c r="X232" i="1"/>
  <c r="AA223" i="1"/>
  <c r="T222" i="1"/>
  <c r="AG221" i="1"/>
  <c r="AI221" i="1" s="1"/>
  <c r="X221" i="1"/>
  <c r="AA219" i="1"/>
  <c r="T218" i="1"/>
  <c r="AG217" i="1"/>
  <c r="AI217" i="1" s="1"/>
  <c r="X217" i="1"/>
  <c r="AA215" i="1"/>
  <c r="T214" i="1"/>
  <c r="AG213" i="1"/>
  <c r="AI213" i="1" s="1"/>
  <c r="X213" i="1"/>
  <c r="AA211" i="1"/>
  <c r="T210" i="1"/>
  <c r="AG162" i="1"/>
  <c r="X162" i="1"/>
  <c r="AA160" i="1"/>
  <c r="T159" i="1"/>
  <c r="AG158" i="1"/>
  <c r="X158" i="1"/>
  <c r="AA156" i="1"/>
  <c r="T155" i="1"/>
  <c r="AG154" i="1"/>
  <c r="X154" i="1"/>
  <c r="T152" i="1"/>
  <c r="AG148" i="1"/>
  <c r="T144" i="1"/>
  <c r="AG135" i="1"/>
  <c r="T135" i="1"/>
  <c r="X135" i="1"/>
  <c r="AI128" i="1"/>
  <c r="U128" i="1"/>
  <c r="S128" i="1" s="1"/>
  <c r="W125" i="1"/>
  <c r="T122" i="1"/>
  <c r="X122" i="1"/>
  <c r="AG122" i="1"/>
  <c r="W122" i="1" s="1"/>
  <c r="X123" i="1"/>
  <c r="T163" i="1"/>
  <c r="T238" i="1"/>
  <c r="T234" i="1"/>
  <c r="T223" i="1"/>
  <c r="T219" i="1"/>
  <c r="T215" i="1"/>
  <c r="T211" i="1"/>
  <c r="T160" i="1"/>
  <c r="T156" i="1"/>
  <c r="AG145" i="1"/>
  <c r="W145" i="1" s="1"/>
  <c r="X145" i="1"/>
  <c r="AG143" i="1"/>
  <c r="W143" i="1" s="1"/>
  <c r="T143" i="1"/>
  <c r="X143" i="1"/>
  <c r="AI136" i="1"/>
  <c r="U136" i="1"/>
  <c r="S136" i="1" s="1"/>
  <c r="AG133" i="1"/>
  <c r="T133" i="1"/>
  <c r="X133" i="1"/>
  <c r="AI126" i="1"/>
  <c r="U126" i="1"/>
  <c r="S126" i="1" s="1"/>
  <c r="T114" i="1"/>
  <c r="X114" i="1"/>
  <c r="AG114" i="1"/>
  <c r="X115" i="1"/>
  <c r="AI102" i="1"/>
  <c r="AI94" i="1"/>
  <c r="X31" i="1"/>
  <c r="AG31" i="1"/>
  <c r="T31" i="1"/>
  <c r="T171" i="1"/>
  <c r="AG229" i="1"/>
  <c r="AI229" i="1" s="1"/>
  <c r="AG203" i="1"/>
  <c r="AI203" i="1" s="1"/>
  <c r="AG199" i="1"/>
  <c r="AI199" i="1" s="1"/>
  <c r="AG197" i="1"/>
  <c r="W197" i="1" s="1"/>
  <c r="AG195" i="1"/>
  <c r="AI195" i="1" s="1"/>
  <c r="AG191" i="1"/>
  <c r="AI191" i="1" s="1"/>
  <c r="AG187" i="1"/>
  <c r="AI187" i="1" s="1"/>
  <c r="AG185" i="1"/>
  <c r="AI185" i="1" s="1"/>
  <c r="AG181" i="1"/>
  <c r="AI181" i="1" s="1"/>
  <c r="AG177" i="1"/>
  <c r="AI177" i="1" s="1"/>
  <c r="AG171" i="1"/>
  <c r="AI171" i="1" s="1"/>
  <c r="T168" i="1"/>
  <c r="AG167" i="1"/>
  <c r="AI167" i="1" s="1"/>
  <c r="T164" i="1"/>
  <c r="U164" i="1" s="1"/>
  <c r="S164" i="1" s="1"/>
  <c r="AG163" i="1"/>
  <c r="AI163" i="1" s="1"/>
  <c r="T239" i="1"/>
  <c r="U239" i="1" s="1"/>
  <c r="S239" i="1" s="1"/>
  <c r="AG238" i="1"/>
  <c r="W236" i="1"/>
  <c r="T235" i="1"/>
  <c r="U235" i="1" s="1"/>
  <c r="S235" i="1" s="1"/>
  <c r="AG234" i="1"/>
  <c r="AI234" i="1" s="1"/>
  <c r="T231" i="1"/>
  <c r="U231" i="1" s="1"/>
  <c r="S231" i="1" s="1"/>
  <c r="AG223" i="1"/>
  <c r="AI223" i="1" s="1"/>
  <c r="T220" i="1"/>
  <c r="U220" i="1" s="1"/>
  <c r="S220" i="1" s="1"/>
  <c r="AG219" i="1"/>
  <c r="AI219" i="1" s="1"/>
  <c r="W217" i="1"/>
  <c r="T216" i="1"/>
  <c r="U216" i="1" s="1"/>
  <c r="S216" i="1" s="1"/>
  <c r="AG215" i="1"/>
  <c r="AI215" i="1" s="1"/>
  <c r="T212" i="1"/>
  <c r="U212" i="1" s="1"/>
  <c r="S212" i="1" s="1"/>
  <c r="AG211" i="1"/>
  <c r="AI211" i="1" s="1"/>
  <c r="T161" i="1"/>
  <c r="U161" i="1" s="1"/>
  <c r="S161" i="1" s="1"/>
  <c r="AG160" i="1"/>
  <c r="W158" i="1"/>
  <c r="T157" i="1"/>
  <c r="U157" i="1" s="1"/>
  <c r="S157" i="1" s="1"/>
  <c r="AG156" i="1"/>
  <c r="AG152" i="1"/>
  <c r="X152" i="1"/>
  <c r="AG144" i="1"/>
  <c r="AG141" i="1"/>
  <c r="W141" i="1" s="1"/>
  <c r="T141" i="1"/>
  <c r="X141" i="1"/>
  <c r="X134" i="1"/>
  <c r="AI104" i="1"/>
  <c r="AI96" i="1"/>
  <c r="AI88" i="1"/>
  <c r="U168" i="1"/>
  <c r="AG225" i="1"/>
  <c r="AI225" i="1" s="1"/>
  <c r="X229" i="1"/>
  <c r="X225" i="1"/>
  <c r="X205" i="1"/>
  <c r="X203" i="1"/>
  <c r="X199" i="1"/>
  <c r="X197" i="1"/>
  <c r="X195" i="1"/>
  <c r="X191" i="1"/>
  <c r="X187" i="1"/>
  <c r="X185" i="1"/>
  <c r="X181" i="1"/>
  <c r="X177" i="1"/>
  <c r="X168" i="1"/>
  <c r="S168" i="1"/>
  <c r="X164" i="1"/>
  <c r="U241" i="1"/>
  <c r="S241" i="1" s="1"/>
  <c r="X239" i="1"/>
  <c r="U237" i="1"/>
  <c r="S237" i="1" s="1"/>
  <c r="X235" i="1"/>
  <c r="U233" i="1"/>
  <c r="S233" i="1" s="1"/>
  <c r="X231" i="1"/>
  <c r="U222" i="1"/>
  <c r="S222" i="1" s="1"/>
  <c r="X220" i="1"/>
  <c r="U218" i="1"/>
  <c r="S218" i="1" s="1"/>
  <c r="X216" i="1"/>
  <c r="U214" i="1"/>
  <c r="S214" i="1" s="1"/>
  <c r="X212" i="1"/>
  <c r="U210" i="1"/>
  <c r="S210" i="1" s="1"/>
  <c r="X161" i="1"/>
  <c r="U159" i="1"/>
  <c r="S159" i="1" s="1"/>
  <c r="X157" i="1"/>
  <c r="AG149" i="1"/>
  <c r="X149" i="1"/>
  <c r="T145" i="1"/>
  <c r="AI142" i="1"/>
  <c r="U142" i="1"/>
  <c r="S142" i="1" s="1"/>
  <c r="X142" i="1"/>
  <c r="W135" i="1"/>
  <c r="AA152" i="1"/>
  <c r="W152" i="1" s="1"/>
  <c r="T151" i="1"/>
  <c r="U151" i="1" s="1"/>
  <c r="S151" i="1" s="1"/>
  <c r="AG150" i="1"/>
  <c r="X150" i="1"/>
  <c r="AA148" i="1"/>
  <c r="W148" i="1" s="1"/>
  <c r="T147" i="1"/>
  <c r="AG146" i="1"/>
  <c r="X146" i="1"/>
  <c r="AA144" i="1"/>
  <c r="W144" i="1" s="1"/>
  <c r="AG139" i="1"/>
  <c r="T139" i="1"/>
  <c r="X139" i="1"/>
  <c r="AA136" i="1"/>
  <c r="W136" i="1" s="1"/>
  <c r="AG131" i="1"/>
  <c r="T131" i="1"/>
  <c r="X131" i="1"/>
  <c r="AA128" i="1"/>
  <c r="W128" i="1" s="1"/>
  <c r="AI124" i="1"/>
  <c r="AI123" i="1"/>
  <c r="AI116" i="1"/>
  <c r="AI108" i="1"/>
  <c r="AI100" i="1"/>
  <c r="AI92" i="1"/>
  <c r="AI138" i="1"/>
  <c r="AG137" i="1"/>
  <c r="T137" i="1"/>
  <c r="X137" i="1"/>
  <c r="AG129" i="1"/>
  <c r="W129" i="1" s="1"/>
  <c r="T129" i="1"/>
  <c r="X129" i="1"/>
  <c r="U117" i="1"/>
  <c r="U109" i="1"/>
  <c r="S109" i="1" s="1"/>
  <c r="AI106" i="1"/>
  <c r="AI98" i="1"/>
  <c r="AI90" i="1"/>
  <c r="X127" i="1"/>
  <c r="T127" i="1"/>
  <c r="U127" i="1" s="1"/>
  <c r="S127" i="1" s="1"/>
  <c r="X125" i="1"/>
  <c r="T125" i="1"/>
  <c r="U125" i="1" s="1"/>
  <c r="S125" i="1" s="1"/>
  <c r="T124" i="1"/>
  <c r="U124" i="1" s="1"/>
  <c r="S124" i="1" s="1"/>
  <c r="X124" i="1"/>
  <c r="T116" i="1"/>
  <c r="U116" i="1" s="1"/>
  <c r="S116" i="1" s="1"/>
  <c r="X116" i="1"/>
  <c r="AI113" i="1"/>
  <c r="S113" i="1"/>
  <c r="T108" i="1"/>
  <c r="U108" i="1" s="1"/>
  <c r="X108" i="1"/>
  <c r="T106" i="1"/>
  <c r="U106" i="1" s="1"/>
  <c r="S106" i="1" s="1"/>
  <c r="X106" i="1"/>
  <c r="T104" i="1"/>
  <c r="U104" i="1" s="1"/>
  <c r="S104" i="1" s="1"/>
  <c r="X104" i="1"/>
  <c r="T102" i="1"/>
  <c r="U102" i="1" s="1"/>
  <c r="X102" i="1"/>
  <c r="T100" i="1"/>
  <c r="U100" i="1" s="1"/>
  <c r="X100" i="1"/>
  <c r="T98" i="1"/>
  <c r="U98" i="1" s="1"/>
  <c r="S98" i="1" s="1"/>
  <c r="X98" i="1"/>
  <c r="T96" i="1"/>
  <c r="U96" i="1" s="1"/>
  <c r="X96" i="1"/>
  <c r="T94" i="1"/>
  <c r="U94" i="1" s="1"/>
  <c r="S94" i="1" s="1"/>
  <c r="X94" i="1"/>
  <c r="T92" i="1"/>
  <c r="U92" i="1" s="1"/>
  <c r="S92" i="1" s="1"/>
  <c r="X92" i="1"/>
  <c r="T90" i="1"/>
  <c r="U90" i="1" s="1"/>
  <c r="S90" i="1" s="1"/>
  <c r="X90" i="1"/>
  <c r="T88" i="1"/>
  <c r="U88" i="1" s="1"/>
  <c r="S88" i="1" s="1"/>
  <c r="X88" i="1"/>
  <c r="T86" i="1"/>
  <c r="X86" i="1"/>
  <c r="AG86" i="1"/>
  <c r="T84" i="1"/>
  <c r="X84" i="1"/>
  <c r="AG84" i="1"/>
  <c r="W84" i="1" s="1"/>
  <c r="T82" i="1"/>
  <c r="X82" i="1"/>
  <c r="AG82" i="1"/>
  <c r="W82" i="1" s="1"/>
  <c r="T80" i="1"/>
  <c r="X80" i="1"/>
  <c r="AG80" i="1"/>
  <c r="T78" i="1"/>
  <c r="X78" i="1"/>
  <c r="AG78" i="1"/>
  <c r="W78" i="1" s="1"/>
  <c r="T76" i="1"/>
  <c r="X76" i="1"/>
  <c r="AG76" i="1"/>
  <c r="T74" i="1"/>
  <c r="X74" i="1"/>
  <c r="AG74" i="1"/>
  <c r="W74" i="1" s="1"/>
  <c r="T72" i="1"/>
  <c r="X72" i="1"/>
  <c r="AG72" i="1"/>
  <c r="T70" i="1"/>
  <c r="X70" i="1"/>
  <c r="AG70" i="1"/>
  <c r="W70" i="1" s="1"/>
  <c r="T68" i="1"/>
  <c r="X68" i="1"/>
  <c r="AG68" i="1"/>
  <c r="W68" i="1" s="1"/>
  <c r="T66" i="1"/>
  <c r="X66" i="1"/>
  <c r="AG66" i="1"/>
  <c r="T64" i="1"/>
  <c r="X64" i="1"/>
  <c r="AG64" i="1"/>
  <c r="W64" i="1" s="1"/>
  <c r="T62" i="1"/>
  <c r="X62" i="1"/>
  <c r="AG62" i="1"/>
  <c r="T60" i="1"/>
  <c r="X60" i="1"/>
  <c r="AG60" i="1"/>
  <c r="W60" i="1" s="1"/>
  <c r="T58" i="1"/>
  <c r="X58" i="1"/>
  <c r="AG58" i="1"/>
  <c r="W58" i="1" s="1"/>
  <c r="T56" i="1"/>
  <c r="X56" i="1"/>
  <c r="AG56" i="1"/>
  <c r="X35" i="1"/>
  <c r="AG35" i="1"/>
  <c r="T35" i="1"/>
  <c r="T120" i="1"/>
  <c r="X120" i="1"/>
  <c r="T112" i="1"/>
  <c r="X112" i="1"/>
  <c r="X27" i="1"/>
  <c r="AG27" i="1"/>
  <c r="T27" i="1"/>
  <c r="X121" i="1"/>
  <c r="AG120" i="1"/>
  <c r="T118" i="1"/>
  <c r="U118" i="1" s="1"/>
  <c r="X118" i="1"/>
  <c r="X113" i="1"/>
  <c r="AG112" i="1"/>
  <c r="T110" i="1"/>
  <c r="U110" i="1" s="1"/>
  <c r="S110" i="1" s="1"/>
  <c r="X110" i="1"/>
  <c r="AA108" i="1"/>
  <c r="W108" i="1" s="1"/>
  <c r="X107" i="1"/>
  <c r="AA106" i="1"/>
  <c r="W106" i="1" s="1"/>
  <c r="X105" i="1"/>
  <c r="AA104" i="1"/>
  <c r="W104" i="1" s="1"/>
  <c r="X103" i="1"/>
  <c r="AA102" i="1"/>
  <c r="W102" i="1" s="1"/>
  <c r="X101" i="1"/>
  <c r="AA100" i="1"/>
  <c r="W100" i="1" s="1"/>
  <c r="X99" i="1"/>
  <c r="AA98" i="1"/>
  <c r="W98" i="1" s="1"/>
  <c r="X97" i="1"/>
  <c r="AA96" i="1"/>
  <c r="W96" i="1" s="1"/>
  <c r="X95" i="1"/>
  <c r="AA94" i="1"/>
  <c r="W94" i="1" s="1"/>
  <c r="X93" i="1"/>
  <c r="AA92" i="1"/>
  <c r="W92" i="1" s="1"/>
  <c r="X91" i="1"/>
  <c r="AA90" i="1"/>
  <c r="W90" i="1" s="1"/>
  <c r="X89" i="1"/>
  <c r="AA88" i="1"/>
  <c r="W88" i="1" s="1"/>
  <c r="W86" i="1"/>
  <c r="W72" i="1"/>
  <c r="W62" i="1"/>
  <c r="AI51" i="1"/>
  <c r="U51" i="1"/>
  <c r="S51" i="1" s="1"/>
  <c r="AI47" i="1"/>
  <c r="U47" i="1"/>
  <c r="S47" i="1" s="1"/>
  <c r="AI43" i="1"/>
  <c r="U43" i="1"/>
  <c r="S43" i="1" s="1"/>
  <c r="X39" i="1"/>
  <c r="AG39" i="1"/>
  <c r="T39" i="1"/>
  <c r="X40" i="1"/>
  <c r="AG23" i="1"/>
  <c r="T23" i="1"/>
  <c r="S55" i="1"/>
  <c r="X54" i="1"/>
  <c r="U52" i="1"/>
  <c r="S52" i="1" s="1"/>
  <c r="X50" i="1"/>
  <c r="U48" i="1"/>
  <c r="S48" i="1" s="1"/>
  <c r="X46" i="1"/>
  <c r="X42" i="1"/>
  <c r="U19" i="1"/>
  <c r="S19" i="1" s="1"/>
  <c r="AI16" i="1"/>
  <c r="U16" i="1"/>
  <c r="S16" i="1" s="1"/>
  <c r="T53" i="1"/>
  <c r="T49" i="1"/>
  <c r="T45" i="1"/>
  <c r="T41" i="1"/>
  <c r="AG38" i="1"/>
  <c r="T38" i="1"/>
  <c r="U55" i="1"/>
  <c r="T54" i="1"/>
  <c r="U54" i="1" s="1"/>
  <c r="S54" i="1" s="1"/>
  <c r="AG53" i="1"/>
  <c r="AA51" i="1"/>
  <c r="W51" i="1" s="1"/>
  <c r="T50" i="1"/>
  <c r="U50" i="1" s="1"/>
  <c r="S50" i="1" s="1"/>
  <c r="AG49" i="1"/>
  <c r="AA47" i="1"/>
  <c r="W47" i="1" s="1"/>
  <c r="T46" i="1"/>
  <c r="U46" i="1" s="1"/>
  <c r="S46" i="1" s="1"/>
  <c r="AG45" i="1"/>
  <c r="AA43" i="1"/>
  <c r="W43" i="1" s="1"/>
  <c r="T42" i="1"/>
  <c r="U42" i="1" s="1"/>
  <c r="S42" i="1" s="1"/>
  <c r="AG41" i="1"/>
  <c r="W41" i="1" s="1"/>
  <c r="AI40" i="1"/>
  <c r="U40" i="1"/>
  <c r="S40" i="1" s="1"/>
  <c r="AG36" i="1"/>
  <c r="X36" i="1"/>
  <c r="T36" i="1"/>
  <c r="AG32" i="1"/>
  <c r="X32" i="1"/>
  <c r="T32" i="1"/>
  <c r="AG28" i="1"/>
  <c r="W28" i="1" s="1"/>
  <c r="X28" i="1"/>
  <c r="T28" i="1"/>
  <c r="AG24" i="1"/>
  <c r="X24" i="1"/>
  <c r="T24" i="1"/>
  <c r="AA39" i="1"/>
  <c r="AG37" i="1"/>
  <c r="X37" i="1"/>
  <c r="AA35" i="1"/>
  <c r="T34" i="1"/>
  <c r="U34" i="1" s="1"/>
  <c r="S34" i="1" s="1"/>
  <c r="AG33" i="1"/>
  <c r="X33" i="1"/>
  <c r="AA31" i="1"/>
  <c r="W31" i="1" s="1"/>
  <c r="T30" i="1"/>
  <c r="U30" i="1" s="1"/>
  <c r="S30" i="1" s="1"/>
  <c r="AG29" i="1"/>
  <c r="X29" i="1"/>
  <c r="AA27" i="1"/>
  <c r="T26" i="1"/>
  <c r="U26" i="1" s="1"/>
  <c r="S26" i="1" s="1"/>
  <c r="AG25" i="1"/>
  <c r="W25" i="1" s="1"/>
  <c r="X25" i="1"/>
  <c r="AA23" i="1"/>
  <c r="W23" i="1" s="1"/>
  <c r="S21" i="1"/>
  <c r="AI21" i="1"/>
  <c r="AA18" i="1"/>
  <c r="W18" i="1" s="1"/>
  <c r="AA21" i="1"/>
  <c r="W21" i="1" s="1"/>
  <c r="AI18" i="1"/>
  <c r="W16" i="1"/>
  <c r="S14" i="1"/>
  <c r="AI14" i="1"/>
  <c r="X18" i="1"/>
  <c r="X16" i="1"/>
  <c r="AD43" i="3"/>
  <c r="AC30" i="3"/>
  <c r="Y11" i="3"/>
  <c r="AD35" i="3"/>
  <c r="Y19" i="3"/>
  <c r="Y9" i="3"/>
  <c r="Y10" i="3"/>
  <c r="AD28" i="3"/>
  <c r="Y30" i="3"/>
  <c r="AD42" i="3"/>
  <c r="AD32" i="3"/>
  <c r="Y39" i="3"/>
  <c r="Y26" i="3"/>
  <c r="AE27" i="3"/>
  <c r="AD16" i="3"/>
  <c r="AD25" i="3"/>
  <c r="AE20" i="3"/>
  <c r="AE43" i="3"/>
  <c r="AD37" i="3"/>
  <c r="Y24" i="3"/>
  <c r="T7" i="3"/>
  <c r="AD30" i="3"/>
  <c r="AD36" i="3"/>
  <c r="AD33" i="3"/>
  <c r="T19" i="3"/>
  <c r="AE21" i="3"/>
  <c r="AD13" i="3"/>
  <c r="T43" i="3"/>
  <c r="AD31" i="3"/>
  <c r="AD23" i="3"/>
  <c r="T10" i="3"/>
  <c r="Y44" i="3"/>
  <c r="AD22" i="3"/>
  <c r="AD21" i="3"/>
  <c r="Y8" i="3"/>
  <c r="Y43" i="3"/>
  <c r="AD12" i="3"/>
  <c r="T16" i="3"/>
  <c r="T17" i="3"/>
  <c r="T12" i="3"/>
  <c r="T41" i="3"/>
  <c r="T29" i="3"/>
  <c r="Y16" i="3"/>
  <c r="T22" i="3"/>
  <c r="Y45" i="3"/>
  <c r="T20" i="3"/>
  <c r="Y12" i="3"/>
  <c r="AE7" i="3"/>
  <c r="T40" i="3"/>
  <c r="Y40" i="3"/>
  <c r="T42" i="3"/>
  <c r="Y34" i="3"/>
  <c r="T11" i="3"/>
  <c r="AE40" i="3"/>
  <c r="Y42" i="3"/>
  <c r="AE41" i="3"/>
  <c r="AD34" i="3"/>
  <c r="T32" i="3"/>
  <c r="Y38" i="3"/>
  <c r="T27" i="3"/>
  <c r="AE16" i="3"/>
  <c r="Y22" i="3"/>
  <c r="AE17" i="3"/>
  <c r="AD45" i="3"/>
  <c r="T21" i="3"/>
  <c r="Y13" i="3"/>
  <c r="T46" i="3"/>
  <c r="AE12" i="3"/>
  <c r="AC36" i="3"/>
  <c r="AC28" i="3"/>
  <c r="AC44" i="3"/>
  <c r="AC39" i="3"/>
  <c r="AC15" i="3"/>
  <c r="AC18" i="3"/>
  <c r="AC25" i="3"/>
  <c r="AC8" i="3"/>
  <c r="AC37" i="3"/>
  <c r="AC23" i="3"/>
  <c r="AD11" i="3"/>
  <c r="AE36" i="3"/>
  <c r="T36" i="3"/>
  <c r="AD10" i="3"/>
  <c r="AE28" i="3"/>
  <c r="T28" i="3"/>
  <c r="AD41" i="3"/>
  <c r="AE44" i="3"/>
  <c r="T44" i="3"/>
  <c r="AD29" i="3"/>
  <c r="AE39" i="3"/>
  <c r="T39" i="3"/>
  <c r="AD27" i="3"/>
  <c r="AE15" i="3"/>
  <c r="T15" i="3"/>
  <c r="AD19" i="3"/>
  <c r="AE18" i="3"/>
  <c r="T18" i="3"/>
  <c r="AD17" i="3"/>
  <c r="AE25" i="3"/>
  <c r="T25" i="3"/>
  <c r="AD20" i="3"/>
  <c r="AE8" i="3"/>
  <c r="T8" i="3"/>
  <c r="AD46" i="3"/>
  <c r="AE37" i="3"/>
  <c r="T37" i="3"/>
  <c r="AD7" i="3"/>
  <c r="AE23" i="3"/>
  <c r="T23" i="3"/>
  <c r="AE35" i="3"/>
  <c r="AE30" i="3"/>
  <c r="AE34" i="3"/>
  <c r="AE38" i="3"/>
  <c r="AE33" i="3"/>
  <c r="AE9" i="3"/>
  <c r="AE45" i="3"/>
  <c r="AE13" i="3"/>
  <c r="AE24" i="3"/>
  <c r="AE31" i="3"/>
  <c r="B31" i="9"/>
  <c r="B32" i="9"/>
  <c r="C32" i="9"/>
  <c r="B33" i="9"/>
  <c r="B34" i="9"/>
  <c r="C34" i="9" s="1"/>
  <c r="B35" i="9"/>
  <c r="B36" i="9"/>
  <c r="B37" i="9"/>
  <c r="B38" i="9"/>
  <c r="C39" i="9" s="1"/>
  <c r="B39" i="9"/>
  <c r="B40" i="9"/>
  <c r="C41" i="9" s="1"/>
  <c r="C40" i="9"/>
  <c r="B41" i="9"/>
  <c r="B42" i="9"/>
  <c r="C42" i="9"/>
  <c r="B43" i="9"/>
  <c r="C44" i="9" s="1"/>
  <c r="B44" i="9"/>
  <c r="B45" i="9"/>
  <c r="B46" i="9"/>
  <c r="C47" i="9" s="1"/>
  <c r="B47" i="9"/>
  <c r="B48" i="9"/>
  <c r="C49" i="9" s="1"/>
  <c r="C48" i="9"/>
  <c r="B49" i="9"/>
  <c r="B50" i="9"/>
  <c r="C50" i="9"/>
  <c r="B51" i="9"/>
  <c r="C52" i="9" s="1"/>
  <c r="B52" i="9"/>
  <c r="B53" i="9"/>
  <c r="B54" i="9"/>
  <c r="C55" i="9" s="1"/>
  <c r="B55" i="9"/>
  <c r="B56" i="9"/>
  <c r="C57" i="9" s="1"/>
  <c r="C56" i="9"/>
  <c r="B57" i="9"/>
  <c r="B58" i="9"/>
  <c r="C58" i="9"/>
  <c r="B59" i="9"/>
  <c r="C60" i="9" s="1"/>
  <c r="B60" i="9"/>
  <c r="B61" i="9"/>
  <c r="B62" i="9"/>
  <c r="C63" i="9" s="1"/>
  <c r="B63" i="9"/>
  <c r="B64" i="9"/>
  <c r="C65" i="9" s="1"/>
  <c r="C64" i="9"/>
  <c r="B65" i="9"/>
  <c r="B66" i="9"/>
  <c r="C66" i="9"/>
  <c r="B67" i="9"/>
  <c r="C68" i="9" s="1"/>
  <c r="B68" i="9"/>
  <c r="B69" i="9"/>
  <c r="B70" i="9"/>
  <c r="C71" i="9" s="1"/>
  <c r="B71" i="9"/>
  <c r="B72" i="9"/>
  <c r="C73" i="9" s="1"/>
  <c r="C72" i="9"/>
  <c r="B73" i="9"/>
  <c r="B74" i="9"/>
  <c r="C74" i="9"/>
  <c r="B75" i="9"/>
  <c r="C76" i="9" s="1"/>
  <c r="B76" i="9"/>
  <c r="B77" i="9"/>
  <c r="B78" i="9"/>
  <c r="C79" i="9" s="1"/>
  <c r="B79" i="9"/>
  <c r="B80" i="9"/>
  <c r="C81" i="9" s="1"/>
  <c r="C80" i="9"/>
  <c r="B81" i="9"/>
  <c r="B82" i="9"/>
  <c r="C82" i="9"/>
  <c r="B83" i="9"/>
  <c r="R14" i="3"/>
  <c r="M14" i="3"/>
  <c r="U14" i="3"/>
  <c r="V14" i="3"/>
  <c r="W14" i="3"/>
  <c r="X14" i="3"/>
  <c r="C75" i="9" l="1"/>
  <c r="C78" i="9"/>
  <c r="C77" i="9"/>
  <c r="C70" i="9"/>
  <c r="C69" i="9"/>
  <c r="C62" i="9"/>
  <c r="C61" i="9"/>
  <c r="C54" i="9"/>
  <c r="C53" i="9"/>
  <c r="C46" i="9"/>
  <c r="C45" i="9"/>
  <c r="C38" i="9"/>
  <c r="C37" i="9"/>
  <c r="C33" i="9"/>
  <c r="C83" i="9"/>
  <c r="C67" i="9"/>
  <c r="C59" i="9"/>
  <c r="C51" i="9"/>
  <c r="C43" i="9"/>
  <c r="C36" i="9"/>
  <c r="C35" i="9"/>
  <c r="W117" i="1"/>
  <c r="AI132" i="1"/>
  <c r="W240" i="1"/>
  <c r="W32" i="1"/>
  <c r="U140" i="1"/>
  <c r="S140" i="1" s="1"/>
  <c r="U134" i="1"/>
  <c r="S134" i="1" s="1"/>
  <c r="W39" i="1"/>
  <c r="W66" i="1"/>
  <c r="AI121" i="1"/>
  <c r="U147" i="1"/>
  <c r="S147" i="1" s="1"/>
  <c r="U155" i="1"/>
  <c r="S155" i="1" s="1"/>
  <c r="W213" i="1"/>
  <c r="W165" i="1"/>
  <c r="U153" i="1"/>
  <c r="S153" i="1" s="1"/>
  <c r="W76" i="1"/>
  <c r="W154" i="1"/>
  <c r="W133" i="1"/>
  <c r="W153" i="1"/>
  <c r="W80" i="1"/>
  <c r="AI140" i="1"/>
  <c r="AI134" i="1"/>
  <c r="W35" i="1"/>
  <c r="W134" i="1"/>
  <c r="U138" i="1"/>
  <c r="S138" i="1" s="1"/>
  <c r="U123" i="1"/>
  <c r="S123" i="1" s="1"/>
  <c r="AI130" i="1"/>
  <c r="W57" i="1"/>
  <c r="W147" i="1"/>
  <c r="AI227" i="1"/>
  <c r="U61" i="1"/>
  <c r="S61" i="1" s="1"/>
  <c r="AI61" i="1"/>
  <c r="U69" i="1"/>
  <c r="S69" i="1" s="1"/>
  <c r="AI69" i="1"/>
  <c r="U77" i="1"/>
  <c r="S77" i="1" s="1"/>
  <c r="AI77" i="1"/>
  <c r="U85" i="1"/>
  <c r="S85" i="1" s="1"/>
  <c r="AI85" i="1"/>
  <c r="U95" i="1"/>
  <c r="S95" i="1" s="1"/>
  <c r="AI95" i="1"/>
  <c r="W121" i="1"/>
  <c r="W61" i="1"/>
  <c r="W69" i="1"/>
  <c r="W77" i="1"/>
  <c r="W85" i="1"/>
  <c r="W130" i="1"/>
  <c r="W132" i="1"/>
  <c r="U63" i="1"/>
  <c r="S63" i="1" s="1"/>
  <c r="AI63" i="1"/>
  <c r="U71" i="1"/>
  <c r="S71" i="1" s="1"/>
  <c r="AI71" i="1"/>
  <c r="U79" i="1"/>
  <c r="S79" i="1" s="1"/>
  <c r="AI79" i="1"/>
  <c r="U87" i="1"/>
  <c r="S87" i="1" s="1"/>
  <c r="AI87" i="1"/>
  <c r="W63" i="1"/>
  <c r="W71" i="1"/>
  <c r="W79" i="1"/>
  <c r="W87" i="1"/>
  <c r="W113" i="1"/>
  <c r="W138" i="1"/>
  <c r="W123" i="1"/>
  <c r="W140" i="1"/>
  <c r="U57" i="1"/>
  <c r="S57" i="1" s="1"/>
  <c r="AI57" i="1"/>
  <c r="U65" i="1"/>
  <c r="S65" i="1" s="1"/>
  <c r="AI65" i="1"/>
  <c r="U73" i="1"/>
  <c r="S73" i="1" s="1"/>
  <c r="AI73" i="1"/>
  <c r="U81" i="1"/>
  <c r="S81" i="1" s="1"/>
  <c r="AI81" i="1"/>
  <c r="U103" i="1"/>
  <c r="AI103" i="1"/>
  <c r="W65" i="1"/>
  <c r="W73" i="1"/>
  <c r="W81" i="1"/>
  <c r="W169" i="1"/>
  <c r="AI169" i="1"/>
  <c r="AI197" i="1"/>
  <c r="U59" i="1"/>
  <c r="S59" i="1" s="1"/>
  <c r="AI59" i="1"/>
  <c r="U67" i="1"/>
  <c r="S67" i="1" s="1"/>
  <c r="AI67" i="1"/>
  <c r="U75" i="1"/>
  <c r="S75" i="1" s="1"/>
  <c r="AI75" i="1"/>
  <c r="U83" i="1"/>
  <c r="S83" i="1" s="1"/>
  <c r="AI83" i="1"/>
  <c r="W67" i="1"/>
  <c r="W75" i="1"/>
  <c r="W83" i="1"/>
  <c r="W103" i="1"/>
  <c r="W155" i="1"/>
  <c r="AI53" i="1"/>
  <c r="U53" i="1"/>
  <c r="S53" i="1" s="1"/>
  <c r="U38" i="1"/>
  <c r="S38" i="1" s="1"/>
  <c r="AI38" i="1"/>
  <c r="W38" i="1"/>
  <c r="AI29" i="1"/>
  <c r="U29" i="1"/>
  <c r="S29" i="1" s="1"/>
  <c r="AI37" i="1"/>
  <c r="U37" i="1"/>
  <c r="S37" i="1" s="1"/>
  <c r="AI49" i="1"/>
  <c r="U49" i="1"/>
  <c r="S49" i="1" s="1"/>
  <c r="U112" i="1"/>
  <c r="AI112" i="1"/>
  <c r="U120" i="1"/>
  <c r="AI120" i="1"/>
  <c r="U56" i="1"/>
  <c r="S56" i="1" s="1"/>
  <c r="AI56" i="1"/>
  <c r="U64" i="1"/>
  <c r="S64" i="1" s="1"/>
  <c r="AI64" i="1"/>
  <c r="U72" i="1"/>
  <c r="S72" i="1" s="1"/>
  <c r="AI72" i="1"/>
  <c r="U80" i="1"/>
  <c r="S80" i="1" s="1"/>
  <c r="AI80" i="1"/>
  <c r="W112" i="1"/>
  <c r="U137" i="1"/>
  <c r="S137" i="1" s="1"/>
  <c r="AI137" i="1"/>
  <c r="W137" i="1"/>
  <c r="U139" i="1"/>
  <c r="S139" i="1" s="1"/>
  <c r="AI139" i="1"/>
  <c r="W139" i="1"/>
  <c r="AI144" i="1"/>
  <c r="U144" i="1"/>
  <c r="S144" i="1" s="1"/>
  <c r="AI160" i="1"/>
  <c r="U160" i="1"/>
  <c r="S160" i="1" s="1"/>
  <c r="AI176" i="1"/>
  <c r="U223" i="1"/>
  <c r="S223" i="1" s="1"/>
  <c r="AI192" i="1"/>
  <c r="U167" i="1"/>
  <c r="S167" i="1" s="1"/>
  <c r="U177" i="1"/>
  <c r="S177" i="1" s="1"/>
  <c r="AI202" i="1"/>
  <c r="U191" i="1"/>
  <c r="S191" i="1" s="1"/>
  <c r="AI216" i="1"/>
  <c r="U203" i="1"/>
  <c r="S203" i="1" s="1"/>
  <c r="AI228" i="1"/>
  <c r="AI31" i="1"/>
  <c r="U31" i="1"/>
  <c r="S31" i="1" s="1"/>
  <c r="AI114" i="1"/>
  <c r="U114" i="1"/>
  <c r="U133" i="1"/>
  <c r="S133" i="1" s="1"/>
  <c r="AI133" i="1"/>
  <c r="W114" i="1"/>
  <c r="AI154" i="1"/>
  <c r="U154" i="1"/>
  <c r="S154" i="1" s="1"/>
  <c r="AI158" i="1"/>
  <c r="U158" i="1"/>
  <c r="S158" i="1" s="1"/>
  <c r="AI162" i="1"/>
  <c r="U162" i="1"/>
  <c r="S162" i="1" s="1"/>
  <c r="AI166" i="1"/>
  <c r="U213" i="1"/>
  <c r="S213" i="1" s="1"/>
  <c r="AI170" i="1"/>
  <c r="U217" i="1"/>
  <c r="S217" i="1" s="1"/>
  <c r="AI174" i="1"/>
  <c r="U221" i="1"/>
  <c r="S221" i="1" s="1"/>
  <c r="AI178" i="1"/>
  <c r="U232" i="1"/>
  <c r="S232" i="1" s="1"/>
  <c r="AI182" i="1"/>
  <c r="U236" i="1"/>
  <c r="S236" i="1" s="1"/>
  <c r="AI186" i="1"/>
  <c r="U240" i="1"/>
  <c r="S240" i="1" s="1"/>
  <c r="AI190" i="1"/>
  <c r="U165" i="1"/>
  <c r="S165" i="1" s="1"/>
  <c r="AI33" i="1"/>
  <c r="U33" i="1"/>
  <c r="S33" i="1" s="1"/>
  <c r="U24" i="1"/>
  <c r="S24" i="1" s="1"/>
  <c r="AI24" i="1"/>
  <c r="W33" i="1"/>
  <c r="U36" i="1"/>
  <c r="S36" i="1" s="1"/>
  <c r="AI36" i="1"/>
  <c r="AI45" i="1"/>
  <c r="U45" i="1"/>
  <c r="S45" i="1" s="1"/>
  <c r="W36" i="1"/>
  <c r="W56" i="1"/>
  <c r="U62" i="1"/>
  <c r="S62" i="1" s="1"/>
  <c r="AI62" i="1"/>
  <c r="U78" i="1"/>
  <c r="S78" i="1" s="1"/>
  <c r="AI78" i="1"/>
  <c r="U86" i="1"/>
  <c r="S86" i="1" s="1"/>
  <c r="AI86" i="1"/>
  <c r="AI146" i="1"/>
  <c r="U146" i="1"/>
  <c r="S146" i="1" s="1"/>
  <c r="AI150" i="1"/>
  <c r="U150" i="1"/>
  <c r="S150" i="1" s="1"/>
  <c r="U149" i="1"/>
  <c r="S149" i="1" s="1"/>
  <c r="AI149" i="1"/>
  <c r="W149" i="1"/>
  <c r="AI156" i="1"/>
  <c r="U156" i="1"/>
  <c r="S156" i="1" s="1"/>
  <c r="AI172" i="1"/>
  <c r="U219" i="1"/>
  <c r="S219" i="1" s="1"/>
  <c r="AI188" i="1"/>
  <c r="U163" i="1"/>
  <c r="S163" i="1" s="1"/>
  <c r="U181" i="1"/>
  <c r="S181" i="1" s="1"/>
  <c r="AI206" i="1"/>
  <c r="U195" i="1"/>
  <c r="S195" i="1" s="1"/>
  <c r="AI220" i="1"/>
  <c r="U229" i="1"/>
  <c r="S229" i="1" s="1"/>
  <c r="AI240" i="1"/>
  <c r="U145" i="1"/>
  <c r="S145" i="1" s="1"/>
  <c r="AI145" i="1"/>
  <c r="AI148" i="1"/>
  <c r="U148" i="1"/>
  <c r="S148" i="1" s="1"/>
  <c r="W171" i="1"/>
  <c r="AI230" i="1"/>
  <c r="U205" i="1"/>
  <c r="S205" i="1" s="1"/>
  <c r="W205" i="1"/>
  <c r="U28" i="1"/>
  <c r="S28" i="1"/>
  <c r="AI28" i="1"/>
  <c r="W29" i="1"/>
  <c r="AI25" i="1"/>
  <c r="U25" i="1"/>
  <c r="S25" i="1" s="1"/>
  <c r="U70" i="1"/>
  <c r="S70" i="1" s="1"/>
  <c r="AI70" i="1"/>
  <c r="W49" i="1"/>
  <c r="W27" i="1"/>
  <c r="U32" i="1"/>
  <c r="S32" i="1" s="1"/>
  <c r="AI32" i="1"/>
  <c r="W37" i="1"/>
  <c r="AI41" i="1"/>
  <c r="U41" i="1"/>
  <c r="S41" i="1" s="1"/>
  <c r="W24" i="1"/>
  <c r="AI23" i="1"/>
  <c r="U23" i="1"/>
  <c r="S23" i="1" s="1"/>
  <c r="AI39" i="1"/>
  <c r="U39" i="1"/>
  <c r="S39" i="1" s="1"/>
  <c r="AI35" i="1"/>
  <c r="U35" i="1"/>
  <c r="S35" i="1" s="1"/>
  <c r="U60" i="1"/>
  <c r="S60" i="1" s="1"/>
  <c r="AI60" i="1"/>
  <c r="U68" i="1"/>
  <c r="S68" i="1" s="1"/>
  <c r="AI68" i="1"/>
  <c r="U76" i="1"/>
  <c r="S76" i="1" s="1"/>
  <c r="AI76" i="1"/>
  <c r="U84" i="1"/>
  <c r="S84" i="1" s="1"/>
  <c r="AI84" i="1"/>
  <c r="W120" i="1"/>
  <c r="U129" i="1"/>
  <c r="S129" i="1" s="1"/>
  <c r="AI129" i="1"/>
  <c r="U131" i="1"/>
  <c r="S131" i="1" s="1"/>
  <c r="AI131" i="1"/>
  <c r="W131" i="1"/>
  <c r="W150" i="1"/>
  <c r="U225" i="1"/>
  <c r="S225" i="1" s="1"/>
  <c r="AI236" i="1"/>
  <c r="W162" i="1"/>
  <c r="AI168" i="1"/>
  <c r="U215" i="1"/>
  <c r="S215" i="1" s="1"/>
  <c r="W232" i="1"/>
  <c r="AI184" i="1"/>
  <c r="U238" i="1"/>
  <c r="S238" i="1" s="1"/>
  <c r="U185" i="1"/>
  <c r="S185" i="1"/>
  <c r="AI210" i="1"/>
  <c r="U197" i="1"/>
  <c r="S197" i="1" s="1"/>
  <c r="AI222" i="1"/>
  <c r="W45" i="1"/>
  <c r="W146" i="1"/>
  <c r="U135" i="1"/>
  <c r="S135" i="1" s="1"/>
  <c r="AI135" i="1"/>
  <c r="W156" i="1"/>
  <c r="W160" i="1"/>
  <c r="W211" i="1"/>
  <c r="W215" i="1"/>
  <c r="W219" i="1"/>
  <c r="W223" i="1"/>
  <c r="W234" i="1"/>
  <c r="W238" i="1"/>
  <c r="W163" i="1"/>
  <c r="W167" i="1"/>
  <c r="AI232" i="1"/>
  <c r="U207" i="1"/>
  <c r="S207" i="1" s="1"/>
  <c r="W181" i="1"/>
  <c r="W225" i="1"/>
  <c r="W203" i="1"/>
  <c r="W177" i="1"/>
  <c r="W185" i="1"/>
  <c r="AI27" i="1"/>
  <c r="U27" i="1"/>
  <c r="S27" i="1" s="1"/>
  <c r="U58" i="1"/>
  <c r="S58" i="1"/>
  <c r="AI58" i="1"/>
  <c r="U66" i="1"/>
  <c r="S66" i="1" s="1"/>
  <c r="AI66" i="1"/>
  <c r="U74" i="1"/>
  <c r="S74" i="1" s="1"/>
  <c r="AI74" i="1"/>
  <c r="U82" i="1"/>
  <c r="S82" i="1" s="1"/>
  <c r="AI82" i="1"/>
  <c r="U141" i="1"/>
  <c r="S141" i="1" s="1"/>
  <c r="AI141" i="1"/>
  <c r="U152" i="1"/>
  <c r="S152" i="1" s="1"/>
  <c r="AI152" i="1"/>
  <c r="AI164" i="1"/>
  <c r="U211" i="1"/>
  <c r="S211" i="1" s="1"/>
  <c r="AI180" i="1"/>
  <c r="U234" i="1"/>
  <c r="S234" i="1" s="1"/>
  <c r="U171" i="1"/>
  <c r="S171" i="1" s="1"/>
  <c r="AI196" i="1"/>
  <c r="U187" i="1"/>
  <c r="S187" i="1"/>
  <c r="AI212" i="1"/>
  <c r="U199" i="1"/>
  <c r="S199" i="1" s="1"/>
  <c r="AI224" i="1"/>
  <c r="W53" i="1"/>
  <c r="U143" i="1"/>
  <c r="S143" i="1" s="1"/>
  <c r="AI143" i="1"/>
  <c r="AI122" i="1"/>
  <c r="U122" i="1"/>
  <c r="S122" i="1" s="1"/>
  <c r="AI194" i="1"/>
  <c r="U169" i="1"/>
  <c r="S169" i="1" s="1"/>
  <c r="AI238" i="1"/>
  <c r="U227" i="1"/>
  <c r="S227" i="1" s="1"/>
  <c r="W187" i="1"/>
  <c r="W195" i="1"/>
  <c r="W191" i="1"/>
  <c r="W199" i="1"/>
  <c r="W207" i="1"/>
  <c r="W229" i="1"/>
  <c r="AC14" i="3"/>
  <c r="AE46" i="3"/>
  <c r="S14" i="3"/>
  <c r="Y14" i="3"/>
  <c r="AE14" i="3"/>
  <c r="AD14" i="3"/>
  <c r="T14" i="3"/>
  <c r="B4" i="6" l="1"/>
  <c r="B5" i="6" l="1"/>
  <c r="I4" i="6"/>
  <c r="F4" i="6"/>
  <c r="J4" i="6"/>
  <c r="G4" i="6"/>
  <c r="B3" i="6"/>
  <c r="F3" i="6" s="1"/>
  <c r="G5" i="6" l="1"/>
  <c r="I5" i="6"/>
  <c r="J5" i="6"/>
  <c r="F5" i="6"/>
  <c r="B6" i="6"/>
  <c r="I3" i="6"/>
  <c r="G3" i="6"/>
  <c r="J3" i="6"/>
  <c r="Z13" i="1"/>
  <c r="Y13" i="1"/>
  <c r="G6" i="6" l="1"/>
  <c r="I6" i="6"/>
  <c r="F6" i="6"/>
  <c r="J6" i="6"/>
  <c r="B7" i="6"/>
  <c r="B8" i="6" l="1"/>
  <c r="G7" i="6"/>
  <c r="F7" i="6"/>
  <c r="I7" i="6"/>
  <c r="J7" i="6"/>
  <c r="AM13" i="1"/>
  <c r="B9" i="6" l="1"/>
  <c r="I8" i="6"/>
  <c r="F8" i="6"/>
  <c r="J8" i="6"/>
  <c r="G8" i="6"/>
  <c r="H8" i="6"/>
  <c r="M28" i="5"/>
  <c r="G9" i="6" l="1"/>
  <c r="I9" i="6"/>
  <c r="J9" i="6"/>
  <c r="F9" i="6"/>
  <c r="H9" i="6"/>
  <c r="B10" i="6"/>
  <c r="B11" i="6" l="1"/>
  <c r="G10" i="6"/>
  <c r="H10" i="6"/>
  <c r="F10" i="6"/>
  <c r="I10" i="6"/>
  <c r="J10" i="6"/>
  <c r="B12" i="6" l="1"/>
  <c r="G11" i="6"/>
  <c r="F11" i="6"/>
  <c r="J11" i="6"/>
  <c r="I11" i="6"/>
  <c r="H11" i="6"/>
  <c r="B13" i="6" l="1"/>
  <c r="I12" i="6"/>
  <c r="F12" i="6"/>
  <c r="J12" i="6"/>
  <c r="G12" i="6"/>
  <c r="H12" i="6"/>
  <c r="G13" i="6" l="1"/>
  <c r="I13" i="6"/>
  <c r="J13" i="6"/>
  <c r="F13" i="6"/>
  <c r="H13" i="6"/>
  <c r="B14" i="6"/>
  <c r="G14" i="6" l="1"/>
  <c r="H14" i="6"/>
  <c r="J14" i="6"/>
  <c r="I14" i="6"/>
  <c r="F14" i="6"/>
  <c r="B15" i="6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N31" i="3" s="1"/>
  <c r="G33" i="4"/>
  <c r="N23" i="3" s="1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N7" i="3" s="1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N37" i="3" s="1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N46" i="3" s="1"/>
  <c r="G92" i="4"/>
  <c r="G93" i="4"/>
  <c r="G94" i="4"/>
  <c r="G95" i="4"/>
  <c r="G96" i="4"/>
  <c r="G97" i="4"/>
  <c r="G98" i="4"/>
  <c r="G99" i="4"/>
  <c r="G100" i="4"/>
  <c r="G101" i="4"/>
  <c r="G102" i="4"/>
  <c r="N43" i="3" s="1"/>
  <c r="G103" i="4"/>
  <c r="G104" i="4"/>
  <c r="G105" i="4"/>
  <c r="G106" i="4"/>
  <c r="N13" i="3" s="1"/>
  <c r="G107" i="4"/>
  <c r="G108" i="4"/>
  <c r="G109" i="4"/>
  <c r="G110" i="4"/>
  <c r="G111" i="4"/>
  <c r="G112" i="4"/>
  <c r="G113" i="4"/>
  <c r="G114" i="4"/>
  <c r="G115" i="4"/>
  <c r="G116" i="4"/>
  <c r="G117" i="4"/>
  <c r="G118" i="4"/>
  <c r="N8" i="3" s="1"/>
  <c r="G119" i="4"/>
  <c r="G120" i="4"/>
  <c r="G121" i="4"/>
  <c r="G122" i="4"/>
  <c r="G123" i="4"/>
  <c r="G124" i="4"/>
  <c r="G125" i="4"/>
  <c r="G126" i="4"/>
  <c r="G127" i="4"/>
  <c r="G128" i="4"/>
  <c r="G129" i="4"/>
  <c r="H4" i="6" s="1"/>
  <c r="G130" i="4"/>
  <c r="G131" i="4"/>
  <c r="G132" i="4"/>
  <c r="G133" i="4"/>
  <c r="G134" i="4"/>
  <c r="G135" i="4"/>
  <c r="G136" i="4"/>
  <c r="G137" i="4"/>
  <c r="H6" i="6" s="1"/>
  <c r="G138" i="4"/>
  <c r="G139" i="4"/>
  <c r="G140" i="4"/>
  <c r="G141" i="4"/>
  <c r="N45" i="3" s="1"/>
  <c r="G142" i="4"/>
  <c r="G143" i="4"/>
  <c r="G144" i="4"/>
  <c r="G145" i="4"/>
  <c r="N17" i="3" s="1"/>
  <c r="G146" i="4"/>
  <c r="G147" i="4"/>
  <c r="G148" i="4"/>
  <c r="G149" i="4"/>
  <c r="G150" i="4"/>
  <c r="G151" i="4"/>
  <c r="G152" i="4"/>
  <c r="G153" i="4"/>
  <c r="G154" i="4"/>
  <c r="G155" i="4"/>
  <c r="G156" i="4"/>
  <c r="N33" i="3" s="1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N28" i="3" s="1"/>
  <c r="G182" i="4"/>
  <c r="G183" i="4"/>
  <c r="N44" i="3" s="1"/>
  <c r="G184" i="4"/>
  <c r="G185" i="4"/>
  <c r="G186" i="4"/>
  <c r="G187" i="4"/>
  <c r="G188" i="4"/>
  <c r="G189" i="4"/>
  <c r="G190" i="4"/>
  <c r="N30" i="3" s="1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N10" i="3" s="1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N40" i="3" s="1"/>
  <c r="G222" i="4"/>
  <c r="G223" i="4"/>
  <c r="G224" i="4"/>
  <c r="G225" i="4"/>
  <c r="G226" i="4"/>
  <c r="G227" i="4"/>
  <c r="G228" i="4"/>
  <c r="G229" i="4"/>
  <c r="G230" i="4"/>
  <c r="G231" i="4"/>
  <c r="G232" i="4"/>
  <c r="N11" i="3" s="1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32" i="3" l="1"/>
  <c r="N29" i="3"/>
  <c r="N34" i="3"/>
  <c r="N35" i="3"/>
  <c r="N36" i="3"/>
  <c r="N42" i="3"/>
  <c r="N41" i="3"/>
  <c r="N22" i="3"/>
  <c r="N27" i="3"/>
  <c r="N19" i="3"/>
  <c r="N16" i="3"/>
  <c r="N15" i="3"/>
  <c r="N9" i="3"/>
  <c r="N26" i="3"/>
  <c r="N18" i="3"/>
  <c r="N38" i="3"/>
  <c r="N39" i="3"/>
  <c r="H5" i="6"/>
  <c r="N21" i="3"/>
  <c r="N25" i="3"/>
  <c r="N20" i="3"/>
  <c r="N12" i="3"/>
  <c r="N24" i="3"/>
  <c r="H7" i="6"/>
  <c r="N14" i="3"/>
  <c r="B16" i="6"/>
  <c r="G15" i="6"/>
  <c r="F15" i="6"/>
  <c r="J15" i="6"/>
  <c r="I15" i="6"/>
  <c r="H15" i="6"/>
  <c r="H3" i="6"/>
  <c r="L13" i="1"/>
  <c r="I16" i="6" l="1"/>
  <c r="F16" i="6"/>
  <c r="J16" i="6"/>
  <c r="G16" i="6"/>
  <c r="H16" i="6"/>
  <c r="B17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G17" i="6" l="1"/>
  <c r="I17" i="6"/>
  <c r="J17" i="6"/>
  <c r="F17" i="6"/>
  <c r="H17" i="6"/>
  <c r="B18" i="6"/>
  <c r="K13" i="1"/>
  <c r="M13" i="1"/>
  <c r="N13" i="1" s="1"/>
  <c r="V13" i="1"/>
  <c r="AB13" i="1"/>
  <c r="AC13" i="1"/>
  <c r="AD13" i="1"/>
  <c r="X14" i="1" s="1"/>
  <c r="AE13" i="1"/>
  <c r="G18" i="6" l="1"/>
  <c r="H18" i="6"/>
  <c r="I18" i="6"/>
  <c r="F18" i="6"/>
  <c r="J18" i="6"/>
  <c r="B19" i="6"/>
  <c r="T13" i="1"/>
  <c r="X13" i="1"/>
  <c r="AA13" i="1"/>
  <c r="AG13" i="1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B20" i="6" l="1"/>
  <c r="G19" i="6"/>
  <c r="F19" i="6"/>
  <c r="I19" i="6"/>
  <c r="J19" i="6"/>
  <c r="H19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W13" i="1"/>
  <c r="AI13" i="1"/>
  <c r="B21" i="6" l="1"/>
  <c r="I20" i="6"/>
  <c r="F20" i="6"/>
  <c r="J20" i="6"/>
  <c r="G20" i="6"/>
  <c r="H20" i="6"/>
  <c r="M30" i="5"/>
  <c r="M29" i="5"/>
  <c r="M27" i="5"/>
  <c r="G21" i="6" l="1"/>
  <c r="I21" i="6"/>
  <c r="J21" i="6"/>
  <c r="F21" i="6"/>
  <c r="H21" i="6"/>
  <c r="B22" i="6"/>
  <c r="M26" i="5"/>
  <c r="G22" i="6" l="1"/>
  <c r="H22" i="6"/>
  <c r="I22" i="6"/>
  <c r="F22" i="6"/>
  <c r="J22" i="6"/>
  <c r="B23" i="6"/>
  <c r="AH13" i="1"/>
  <c r="J7" i="1"/>
  <c r="B24" i="6" l="1"/>
  <c r="G23" i="6"/>
  <c r="F23" i="6"/>
  <c r="I23" i="6"/>
  <c r="J23" i="6"/>
  <c r="H23" i="6"/>
  <c r="X6" i="1"/>
  <c r="W6" i="1"/>
  <c r="V6" i="1"/>
  <c r="S6" i="1"/>
  <c r="R2" i="1"/>
  <c r="I2" i="1"/>
  <c r="O6" i="1"/>
  <c r="N6" i="1"/>
  <c r="M6" i="1"/>
  <c r="J6" i="1"/>
  <c r="I24" i="6" l="1"/>
  <c r="F24" i="6"/>
  <c r="J24" i="6"/>
  <c r="G24" i="6"/>
  <c r="H24" i="6"/>
  <c r="B25" i="6"/>
  <c r="P3" i="5"/>
  <c r="G25" i="6" l="1"/>
  <c r="I25" i="6"/>
  <c r="J25" i="6"/>
  <c r="F25" i="6"/>
  <c r="H25" i="6"/>
  <c r="B26" i="6"/>
  <c r="M18" i="5"/>
  <c r="G26" i="6" l="1"/>
  <c r="H26" i="6"/>
  <c r="I26" i="6"/>
  <c r="F26" i="6"/>
  <c r="J26" i="6"/>
  <c r="B27" i="6"/>
  <c r="AF13" i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B28" i="6" l="1"/>
  <c r="G27" i="6"/>
  <c r="F27" i="6"/>
  <c r="I27" i="6"/>
  <c r="J27" i="6"/>
  <c r="H27" i="6"/>
  <c r="V5" i="1"/>
  <c r="V8" i="1" s="1"/>
  <c r="F266" i="4"/>
  <c r="G266" i="4" s="1"/>
  <c r="F267" i="4"/>
  <c r="G267" i="4" s="1"/>
  <c r="F268" i="4"/>
  <c r="G268" i="4" s="1"/>
  <c r="F269" i="4"/>
  <c r="G269" i="4" s="1"/>
  <c r="F270" i="4"/>
  <c r="G270" i="4" s="1"/>
  <c r="F271" i="4"/>
  <c r="G271" i="4" s="1"/>
  <c r="F272" i="4"/>
  <c r="G272" i="4" s="1"/>
  <c r="F273" i="4"/>
  <c r="G273" i="4" s="1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B29" i="6" l="1"/>
  <c r="I28" i="6"/>
  <c r="F28" i="6"/>
  <c r="J28" i="6"/>
  <c r="G28" i="6"/>
  <c r="H28" i="6"/>
  <c r="G259" i="4"/>
  <c r="F260" i="4"/>
  <c r="G260" i="4" s="1"/>
  <c r="F261" i="4"/>
  <c r="G261" i="4" s="1"/>
  <c r="F262" i="4"/>
  <c r="G262" i="4" s="1"/>
  <c r="F263" i="4"/>
  <c r="G263" i="4" s="1"/>
  <c r="F264" i="4"/>
  <c r="G264" i="4" s="1"/>
  <c r="F265" i="4"/>
  <c r="G265" i="4" s="1"/>
  <c r="I29" i="6" l="1"/>
  <c r="F29" i="6"/>
  <c r="J29" i="6"/>
  <c r="G29" i="6"/>
  <c r="H29" i="6"/>
  <c r="B30" i="6"/>
  <c r="M14" i="5"/>
  <c r="M13" i="5"/>
  <c r="M12" i="5"/>
  <c r="M11" i="5"/>
  <c r="M10" i="5"/>
  <c r="M9" i="5"/>
  <c r="M8" i="5"/>
  <c r="M7" i="5"/>
  <c r="M6" i="5"/>
  <c r="M5" i="5"/>
  <c r="M4" i="5"/>
  <c r="M3" i="5"/>
  <c r="F30" i="6" l="1"/>
  <c r="H30" i="6"/>
  <c r="J30" i="6"/>
  <c r="G30" i="6"/>
  <c r="I30" i="6"/>
  <c r="B31" i="6"/>
  <c r="U13" i="1"/>
  <c r="S13" i="1" s="1"/>
  <c r="O2" i="3"/>
  <c r="O3" i="3" s="1"/>
  <c r="I31" i="6" l="1"/>
  <c r="F31" i="6"/>
  <c r="J31" i="6"/>
  <c r="G31" i="6"/>
  <c r="H31" i="6"/>
  <c r="B32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I32" i="6" l="1"/>
  <c r="J32" i="6"/>
  <c r="F32" i="6"/>
  <c r="G32" i="6"/>
  <c r="H32" i="6"/>
  <c r="B33" i="6"/>
  <c r="J8" i="1"/>
  <c r="J4" i="1"/>
  <c r="S8" i="1"/>
  <c r="S4" i="1"/>
  <c r="F33" i="6" l="1"/>
  <c r="I33" i="6"/>
  <c r="J33" i="6"/>
  <c r="H33" i="6"/>
  <c r="G33" i="6"/>
  <c r="B34" i="6"/>
  <c r="S9" i="1"/>
  <c r="J9" i="1"/>
  <c r="B35" i="6" l="1"/>
  <c r="F34" i="6"/>
  <c r="I34" i="6"/>
  <c r="G34" i="6"/>
  <c r="J34" i="6"/>
  <c r="H34" i="6"/>
  <c r="S11" i="1"/>
  <c r="A11" i="1"/>
  <c r="B36" i="6" l="1"/>
  <c r="G35" i="6"/>
  <c r="I35" i="6"/>
  <c r="H35" i="6"/>
  <c r="J35" i="6"/>
  <c r="F35" i="6"/>
  <c r="B1" i="6"/>
  <c r="A5" i="3"/>
  <c r="G36" i="6" l="1"/>
  <c r="F36" i="6"/>
  <c r="I36" i="6"/>
  <c r="J36" i="6"/>
  <c r="H36" i="6"/>
  <c r="B37" i="6"/>
  <c r="F37" i="6" l="1"/>
  <c r="I37" i="6"/>
  <c r="J37" i="6"/>
  <c r="G37" i="6"/>
  <c r="H37" i="6"/>
  <c r="B38" i="6"/>
  <c r="B39" i="6" l="1"/>
  <c r="J38" i="6"/>
  <c r="G38" i="6"/>
  <c r="I38" i="6"/>
  <c r="F38" i="6"/>
  <c r="H38" i="6"/>
  <c r="F39" i="6" l="1"/>
  <c r="G39" i="6"/>
  <c r="H39" i="6"/>
  <c r="I39" i="6"/>
  <c r="J39" i="6"/>
  <c r="B40" i="6"/>
  <c r="J40" i="6" l="1"/>
  <c r="H40" i="6"/>
  <c r="I40" i="6"/>
  <c r="F40" i="6"/>
  <c r="G40" i="6"/>
  <c r="B41" i="6"/>
  <c r="B42" i="6" l="1"/>
  <c r="J41" i="6"/>
  <c r="F41" i="6"/>
  <c r="H41" i="6"/>
  <c r="G41" i="6"/>
  <c r="I41" i="6"/>
  <c r="F42" i="6" l="1"/>
  <c r="I42" i="6"/>
  <c r="G42" i="6"/>
  <c r="H42" i="6"/>
  <c r="J42" i="6"/>
  <c r="B43" i="6"/>
  <c r="G43" i="6" l="1"/>
  <c r="I43" i="6"/>
  <c r="H43" i="6"/>
  <c r="J43" i="6"/>
  <c r="F43" i="6"/>
  <c r="B44" i="6"/>
  <c r="F44" i="6" l="1"/>
  <c r="H44" i="6"/>
  <c r="I44" i="6"/>
  <c r="J44" i="6"/>
  <c r="G44" i="6"/>
  <c r="B45" i="6"/>
  <c r="F45" i="6" l="1"/>
  <c r="I45" i="6"/>
  <c r="J45" i="6"/>
  <c r="G45" i="6"/>
  <c r="H45" i="6"/>
  <c r="B46" i="6"/>
  <c r="B47" i="6" l="1"/>
  <c r="F46" i="6"/>
  <c r="H46" i="6"/>
  <c r="J46" i="6"/>
  <c r="I46" i="6"/>
  <c r="G46" i="6"/>
  <c r="F47" i="6" l="1"/>
  <c r="H47" i="6"/>
  <c r="J47" i="6"/>
  <c r="I47" i="6"/>
  <c r="G47" i="6"/>
  <c r="B48" i="6"/>
  <c r="J48" i="6" l="1"/>
  <c r="H48" i="6"/>
  <c r="F48" i="6"/>
  <c r="I48" i="6"/>
  <c r="G48" i="6"/>
  <c r="B49" i="6"/>
  <c r="B50" i="6" l="1"/>
  <c r="F49" i="6"/>
  <c r="G49" i="6"/>
  <c r="H49" i="6"/>
  <c r="I49" i="6"/>
  <c r="J49" i="6"/>
  <c r="B51" i="6" l="1"/>
  <c r="H50" i="6"/>
  <c r="I50" i="6"/>
  <c r="F50" i="6"/>
  <c r="J50" i="6"/>
  <c r="G50" i="6"/>
  <c r="B52" i="6" l="1"/>
  <c r="I51" i="6"/>
  <c r="F51" i="6"/>
  <c r="H51" i="6"/>
  <c r="J51" i="6"/>
  <c r="G51" i="6"/>
  <c r="F52" i="6" l="1"/>
  <c r="G52" i="6"/>
  <c r="I52" i="6"/>
  <c r="J52" i="6"/>
  <c r="H52" i="6"/>
  <c r="B53" i="6"/>
  <c r="F53" i="6" l="1"/>
  <c r="I53" i="6"/>
  <c r="J53" i="6"/>
  <c r="H53" i="6"/>
  <c r="G53" i="6"/>
  <c r="B54" i="6"/>
  <c r="F54" i="6" l="1"/>
  <c r="H54" i="6"/>
  <c r="G54" i="6"/>
  <c r="J54" i="6"/>
  <c r="I54" i="6"/>
  <c r="B55" i="6"/>
  <c r="B56" i="6" l="1"/>
  <c r="I55" i="6"/>
  <c r="G55" i="6"/>
  <c r="F55" i="6"/>
  <c r="H55" i="6"/>
  <c r="J55" i="6"/>
  <c r="J56" i="6" l="1"/>
  <c r="H56" i="6"/>
  <c r="F56" i="6"/>
  <c r="I56" i="6"/>
  <c r="G56" i="6"/>
  <c r="B57" i="6"/>
  <c r="H57" i="6" l="1"/>
  <c r="J57" i="6"/>
  <c r="F57" i="6"/>
  <c r="G57" i="6"/>
  <c r="I57" i="6"/>
  <c r="B58" i="6"/>
  <c r="H58" i="6" l="1"/>
  <c r="J58" i="6"/>
  <c r="F58" i="6"/>
  <c r="I58" i="6"/>
  <c r="G58" i="6"/>
  <c r="B59" i="6"/>
  <c r="H59" i="6" l="1"/>
  <c r="J59" i="6"/>
  <c r="I59" i="6"/>
  <c r="F59" i="6"/>
  <c r="G59" i="6"/>
  <c r="B60" i="6"/>
  <c r="I60" i="6" l="1"/>
  <c r="G60" i="6"/>
  <c r="F60" i="6"/>
  <c r="H60" i="6"/>
  <c r="J60" i="6"/>
  <c r="B61" i="6"/>
  <c r="B62" i="6" l="1"/>
  <c r="J61" i="6"/>
  <c r="I61" i="6"/>
  <c r="G61" i="6"/>
  <c r="F61" i="6"/>
  <c r="H61" i="6"/>
  <c r="B63" i="6" l="1"/>
  <c r="J62" i="6"/>
  <c r="I62" i="6"/>
  <c r="G62" i="6"/>
  <c r="F62" i="6"/>
  <c r="H62" i="6"/>
  <c r="I63" i="6" l="1"/>
  <c r="F63" i="6"/>
  <c r="H63" i="6"/>
  <c r="J63" i="6"/>
  <c r="G63" i="6"/>
  <c r="B64" i="6"/>
  <c r="B65" i="6" l="1"/>
  <c r="F64" i="6"/>
  <c r="I64" i="6"/>
  <c r="G64" i="6"/>
  <c r="J64" i="6"/>
  <c r="H64" i="6"/>
  <c r="G65" i="6" l="1"/>
  <c r="F65" i="6"/>
  <c r="I65" i="6"/>
  <c r="H65" i="6"/>
  <c r="J65" i="6"/>
  <c r="B66" i="6"/>
  <c r="I66" i="6" l="1"/>
  <c r="F66" i="6"/>
  <c r="J66" i="6"/>
  <c r="G66" i="6"/>
  <c r="H66" i="6"/>
  <c r="B67" i="6"/>
  <c r="G67" i="6" l="1"/>
  <c r="H67" i="6"/>
  <c r="I67" i="6"/>
  <c r="J67" i="6"/>
  <c r="F67" i="6"/>
  <c r="B68" i="6"/>
  <c r="B69" i="6" l="1"/>
  <c r="I68" i="6"/>
  <c r="J68" i="6"/>
  <c r="H68" i="6"/>
  <c r="F68" i="6"/>
  <c r="G68" i="6"/>
  <c r="J69" i="6" l="1"/>
  <c r="I69" i="6"/>
  <c r="G69" i="6"/>
  <c r="F69" i="6"/>
  <c r="H69" i="6"/>
  <c r="B70" i="6"/>
  <c r="B71" i="6" l="1"/>
  <c r="G70" i="6"/>
  <c r="J70" i="6"/>
  <c r="I70" i="6"/>
  <c r="F70" i="6"/>
  <c r="H70" i="6"/>
  <c r="I71" i="6" l="1"/>
  <c r="F71" i="6"/>
  <c r="G71" i="6"/>
  <c r="J71" i="6"/>
  <c r="H71" i="6"/>
  <c r="B72" i="6"/>
  <c r="B73" i="6" l="1"/>
  <c r="I72" i="6"/>
  <c r="F72" i="6"/>
  <c r="G72" i="6"/>
  <c r="J72" i="6"/>
  <c r="H72" i="6"/>
  <c r="G73" i="6" l="1"/>
  <c r="H73" i="6"/>
  <c r="J73" i="6"/>
  <c r="I73" i="6"/>
  <c r="F73" i="6"/>
  <c r="B74" i="6"/>
  <c r="B75" i="6" l="1"/>
  <c r="G74" i="6"/>
  <c r="H74" i="6"/>
  <c r="J74" i="6"/>
  <c r="F74" i="6"/>
  <c r="I74" i="6"/>
  <c r="F75" i="6" l="1"/>
  <c r="G75" i="6"/>
  <c r="I75" i="6"/>
  <c r="H75" i="6"/>
  <c r="J75" i="6"/>
  <c r="B76" i="6"/>
  <c r="G76" i="6" l="1"/>
  <c r="F76" i="6"/>
  <c r="H76" i="6"/>
  <c r="I76" i="6"/>
  <c r="J76" i="6"/>
  <c r="B77" i="6"/>
  <c r="B78" i="6" l="1"/>
  <c r="J77" i="6"/>
  <c r="G77" i="6"/>
  <c r="I77" i="6"/>
  <c r="F77" i="6"/>
  <c r="H77" i="6"/>
  <c r="B79" i="6" l="1"/>
  <c r="J78" i="6"/>
  <c r="I78" i="6"/>
  <c r="G78" i="6"/>
  <c r="F78" i="6"/>
  <c r="H78" i="6"/>
  <c r="H79" i="6" l="1"/>
  <c r="F79" i="6"/>
  <c r="G79" i="6"/>
  <c r="J79" i="6"/>
  <c r="I79" i="6"/>
  <c r="B80" i="6"/>
  <c r="B81" i="6" l="1"/>
  <c r="F80" i="6"/>
  <c r="I80" i="6"/>
  <c r="G80" i="6"/>
  <c r="J80" i="6"/>
  <c r="H80" i="6"/>
  <c r="B82" i="6" l="1"/>
  <c r="J81" i="6"/>
  <c r="F81" i="6"/>
  <c r="G81" i="6"/>
  <c r="H81" i="6"/>
  <c r="I81" i="6"/>
  <c r="I82" i="6" l="1"/>
  <c r="F82" i="6"/>
  <c r="J82" i="6"/>
  <c r="G82" i="6"/>
  <c r="H82" i="6"/>
  <c r="B83" i="6"/>
  <c r="I83" i="6" l="1"/>
  <c r="H83" i="6"/>
  <c r="J83" i="6"/>
  <c r="G83" i="6"/>
  <c r="F83" i="6"/>
  <c r="B84" i="6"/>
  <c r="B85" i="6" l="1"/>
  <c r="I84" i="6"/>
  <c r="J84" i="6"/>
  <c r="H84" i="6"/>
  <c r="F84" i="6"/>
  <c r="G84" i="6"/>
  <c r="J85" i="6" l="1"/>
  <c r="G85" i="6"/>
  <c r="F85" i="6"/>
  <c r="H85" i="6"/>
  <c r="I85" i="6"/>
  <c r="B86" i="6"/>
  <c r="I86" i="6" l="1"/>
  <c r="G86" i="6"/>
  <c r="H86" i="6"/>
  <c r="J86" i="6"/>
  <c r="F86" i="6"/>
  <c r="B87" i="6"/>
  <c r="G87" i="6" l="1"/>
  <c r="F87" i="6"/>
  <c r="H87" i="6"/>
  <c r="J87" i="6"/>
  <c r="I87" i="6"/>
  <c r="B88" i="6"/>
  <c r="B89" i="6" l="1"/>
  <c r="J88" i="6"/>
  <c r="F88" i="6"/>
  <c r="H88" i="6"/>
  <c r="G88" i="6"/>
  <c r="I88" i="6"/>
  <c r="B90" i="6" l="1"/>
  <c r="J89" i="6"/>
  <c r="F89" i="6"/>
  <c r="G89" i="6"/>
  <c r="H89" i="6"/>
  <c r="I89" i="6"/>
  <c r="H90" i="6" l="1"/>
  <c r="G90" i="6"/>
  <c r="I90" i="6"/>
  <c r="F90" i="6"/>
  <c r="J90" i="6"/>
  <c r="B91" i="6"/>
  <c r="G91" i="6" l="1"/>
  <c r="I91" i="6"/>
  <c r="H91" i="6"/>
  <c r="J91" i="6"/>
  <c r="F91" i="6"/>
  <c r="B92" i="6"/>
  <c r="B93" i="6" l="1"/>
  <c r="J92" i="6"/>
  <c r="F92" i="6"/>
  <c r="H92" i="6"/>
  <c r="G92" i="6"/>
  <c r="I92" i="6"/>
  <c r="B94" i="6" l="1"/>
  <c r="J93" i="6"/>
  <c r="I93" i="6"/>
  <c r="F93" i="6"/>
  <c r="G93" i="6"/>
  <c r="H93" i="6"/>
  <c r="B95" i="6" l="1"/>
  <c r="J94" i="6"/>
  <c r="F94" i="6"/>
  <c r="I94" i="6"/>
  <c r="G94" i="6"/>
  <c r="H94" i="6"/>
  <c r="I95" i="6" l="1"/>
  <c r="J95" i="6"/>
  <c r="F95" i="6"/>
  <c r="H95" i="6"/>
  <c r="G95" i="6"/>
  <c r="B96" i="6"/>
  <c r="F96" i="6" l="1"/>
  <c r="J96" i="6"/>
  <c r="H96" i="6"/>
  <c r="G96" i="6"/>
  <c r="I96" i="6"/>
  <c r="B97" i="6"/>
  <c r="J97" i="6" l="1"/>
  <c r="I97" i="6"/>
  <c r="G97" i="6"/>
  <c r="F97" i="6"/>
  <c r="H97" i="6"/>
  <c r="B98" i="6"/>
  <c r="B99" i="6" l="1"/>
  <c r="F98" i="6"/>
  <c r="G98" i="6"/>
  <c r="H98" i="6"/>
  <c r="I98" i="6"/>
  <c r="J98" i="6"/>
  <c r="F99" i="6" l="1"/>
  <c r="G99" i="6"/>
  <c r="H99" i="6"/>
  <c r="I99" i="6"/>
  <c r="J99" i="6"/>
  <c r="B100" i="6"/>
  <c r="B101" i="6" l="1"/>
  <c r="J100" i="6"/>
  <c r="F100" i="6"/>
  <c r="I100" i="6"/>
  <c r="G100" i="6"/>
  <c r="H100" i="6"/>
  <c r="F101" i="6" l="1"/>
  <c r="H101" i="6"/>
  <c r="I101" i="6"/>
  <c r="G101" i="6"/>
  <c r="J101" i="6"/>
  <c r="B102" i="6"/>
  <c r="B103" i="6" l="1"/>
  <c r="H102" i="6"/>
  <c r="G102" i="6"/>
  <c r="I102" i="6"/>
  <c r="F102" i="6"/>
  <c r="J102" i="6"/>
  <c r="B104" i="6" l="1"/>
  <c r="J103" i="6"/>
  <c r="H103" i="6"/>
  <c r="I103" i="6"/>
  <c r="F103" i="6"/>
  <c r="G103" i="6"/>
  <c r="J104" i="6" l="1"/>
  <c r="H104" i="6"/>
  <c r="F104" i="6"/>
  <c r="G104" i="6"/>
  <c r="I104" i="6"/>
  <c r="B105" i="6"/>
  <c r="I105" i="6" l="1"/>
  <c r="J105" i="6"/>
  <c r="F105" i="6"/>
  <c r="H105" i="6"/>
  <c r="G105" i="6"/>
  <c r="B106" i="6"/>
  <c r="B107" i="6" l="1"/>
  <c r="F106" i="6"/>
  <c r="I106" i="6"/>
  <c r="J106" i="6"/>
  <c r="G106" i="6"/>
  <c r="H106" i="6"/>
  <c r="B108" i="6" l="1"/>
  <c r="F107" i="6"/>
  <c r="I107" i="6"/>
  <c r="G107" i="6"/>
  <c r="H107" i="6"/>
  <c r="J107" i="6"/>
  <c r="B109" i="6" l="1"/>
  <c r="J108" i="6"/>
  <c r="I108" i="6"/>
  <c r="H108" i="6"/>
  <c r="G108" i="6"/>
  <c r="F108" i="6"/>
  <c r="B110" i="6" l="1"/>
  <c r="H109" i="6"/>
  <c r="I109" i="6"/>
  <c r="J109" i="6"/>
  <c r="F109" i="6"/>
  <c r="G109" i="6"/>
  <c r="I110" i="6" l="1"/>
  <c r="G110" i="6"/>
  <c r="H110" i="6"/>
  <c r="J110" i="6"/>
  <c r="F110" i="6"/>
  <c r="B111" i="6"/>
  <c r="B112" i="6" l="1"/>
  <c r="G111" i="6"/>
  <c r="I111" i="6"/>
  <c r="J111" i="6"/>
  <c r="H111" i="6"/>
  <c r="F111" i="6"/>
  <c r="F112" i="6" l="1"/>
  <c r="H112" i="6"/>
  <c r="J112" i="6"/>
  <c r="G112" i="6"/>
  <c r="I112" i="6"/>
  <c r="B113" i="6"/>
  <c r="H113" i="6" l="1"/>
  <c r="F113" i="6"/>
  <c r="G113" i="6"/>
  <c r="J113" i="6"/>
  <c r="I113" i="6"/>
  <c r="B114" i="6"/>
  <c r="I114" i="6" l="1"/>
  <c r="H114" i="6"/>
  <c r="G114" i="6"/>
  <c r="F114" i="6"/>
  <c r="J114" i="6"/>
  <c r="B115" i="6"/>
  <c r="H115" i="6" l="1"/>
  <c r="I115" i="6"/>
  <c r="J115" i="6"/>
  <c r="G115" i="6"/>
  <c r="F115" i="6"/>
  <c r="B116" i="6"/>
  <c r="J116" i="6" l="1"/>
  <c r="G116" i="6"/>
  <c r="F116" i="6"/>
  <c r="I116" i="6"/>
  <c r="H116" i="6"/>
  <c r="B117" i="6"/>
  <c r="J117" i="6" l="1"/>
  <c r="F117" i="6"/>
  <c r="H117" i="6"/>
  <c r="I117" i="6"/>
  <c r="G117" i="6"/>
  <c r="B118" i="6"/>
  <c r="I118" i="6" l="1"/>
  <c r="G118" i="6"/>
  <c r="H118" i="6"/>
  <c r="F118" i="6"/>
  <c r="J118" i="6"/>
  <c r="B119" i="6"/>
  <c r="B120" i="6" l="1"/>
  <c r="J119" i="6"/>
  <c r="G119" i="6"/>
  <c r="H119" i="6"/>
  <c r="F119" i="6"/>
  <c r="I119" i="6"/>
  <c r="J120" i="6" l="1"/>
  <c r="F120" i="6"/>
  <c r="H120" i="6"/>
  <c r="G120" i="6"/>
  <c r="I120" i="6"/>
  <c r="B121" i="6"/>
  <c r="B122" i="6" l="1"/>
  <c r="J121" i="6"/>
  <c r="G121" i="6"/>
  <c r="H121" i="6"/>
  <c r="F121" i="6"/>
  <c r="I121" i="6"/>
  <c r="B123" i="6" l="1"/>
  <c r="F122" i="6"/>
  <c r="H122" i="6"/>
  <c r="I122" i="6"/>
  <c r="G122" i="6"/>
  <c r="J122" i="6"/>
  <c r="B124" i="6" l="1"/>
  <c r="J123" i="6"/>
  <c r="I123" i="6"/>
  <c r="F123" i="6"/>
  <c r="G123" i="6"/>
  <c r="H123" i="6"/>
  <c r="B125" i="6" l="1"/>
  <c r="J124" i="6"/>
  <c r="H124" i="6"/>
  <c r="G124" i="6"/>
  <c r="I124" i="6"/>
  <c r="F124" i="6"/>
  <c r="G125" i="6" l="1"/>
  <c r="I125" i="6"/>
  <c r="H125" i="6"/>
  <c r="J125" i="6"/>
  <c r="F125" i="6"/>
  <c r="B126" i="6"/>
  <c r="B127" i="6" l="1"/>
  <c r="J126" i="6"/>
  <c r="F126" i="6"/>
  <c r="I126" i="6"/>
  <c r="G126" i="6"/>
  <c r="H126" i="6"/>
  <c r="F127" i="6" l="1"/>
  <c r="G127" i="6"/>
  <c r="I127" i="6"/>
  <c r="H127" i="6"/>
  <c r="J127" i="6"/>
  <c r="B128" i="6"/>
  <c r="F128" i="6" l="1"/>
  <c r="H128" i="6"/>
  <c r="G128" i="6"/>
  <c r="I128" i="6"/>
  <c r="J128" i="6"/>
  <c r="B129" i="6"/>
  <c r="J129" i="6" l="1"/>
  <c r="H129" i="6"/>
  <c r="F129" i="6"/>
  <c r="I129" i="6"/>
  <c r="G129" i="6"/>
  <c r="B130" i="6"/>
  <c r="I130" i="6" l="1"/>
  <c r="F130" i="6"/>
  <c r="H130" i="6"/>
  <c r="G130" i="6"/>
  <c r="J130" i="6"/>
  <c r="B131" i="6"/>
  <c r="F131" i="6" l="1"/>
  <c r="H131" i="6"/>
  <c r="G131" i="6"/>
  <c r="J131" i="6"/>
  <c r="I131" i="6"/>
  <c r="B132" i="6"/>
  <c r="J132" i="6" l="1"/>
  <c r="F132" i="6"/>
  <c r="G132" i="6"/>
  <c r="H132" i="6"/>
  <c r="I132" i="6"/>
  <c r="B133" i="6"/>
  <c r="G133" i="6" l="1"/>
  <c r="H133" i="6"/>
  <c r="I133" i="6"/>
  <c r="J133" i="6"/>
  <c r="F133" i="6"/>
  <c r="B134" i="6"/>
  <c r="B135" i="6" l="1"/>
  <c r="H134" i="6"/>
  <c r="G134" i="6"/>
  <c r="I134" i="6"/>
  <c r="J134" i="6"/>
  <c r="F134" i="6"/>
  <c r="B136" i="6" l="1"/>
  <c r="J135" i="6"/>
  <c r="G135" i="6"/>
  <c r="H135" i="6"/>
  <c r="F135" i="6"/>
  <c r="I135" i="6"/>
  <c r="H136" i="6" l="1"/>
  <c r="F136" i="6"/>
  <c r="G136" i="6"/>
  <c r="I136" i="6"/>
  <c r="J136" i="6"/>
  <c r="B137" i="6"/>
  <c r="F137" i="6" l="1"/>
  <c r="I137" i="6"/>
  <c r="H137" i="6"/>
  <c r="J137" i="6"/>
  <c r="G137" i="6"/>
  <c r="B138" i="6"/>
  <c r="F138" i="6" l="1"/>
  <c r="G138" i="6"/>
  <c r="J138" i="6"/>
  <c r="H138" i="6"/>
  <c r="I138" i="6"/>
  <c r="B139" i="6"/>
  <c r="B140" i="6" l="1"/>
  <c r="H139" i="6"/>
  <c r="I139" i="6"/>
  <c r="J139" i="6"/>
  <c r="F139" i="6"/>
  <c r="G139" i="6"/>
  <c r="B141" i="6" l="1"/>
  <c r="J140" i="6"/>
  <c r="I140" i="6"/>
  <c r="H140" i="6"/>
  <c r="G140" i="6"/>
  <c r="F140" i="6"/>
  <c r="B143" i="6" l="1"/>
  <c r="B142" i="6"/>
  <c r="F141" i="6"/>
  <c r="I141" i="6"/>
  <c r="G141" i="6"/>
  <c r="H141" i="6"/>
  <c r="J141" i="6"/>
  <c r="G142" i="6" l="1"/>
  <c r="H142" i="6"/>
  <c r="J142" i="6"/>
  <c r="F142" i="6"/>
  <c r="I142" i="6"/>
  <c r="J143" i="6"/>
  <c r="F143" i="6"/>
  <c r="G143" i="6"/>
  <c r="H143" i="6"/>
  <c r="I143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<sst xmlns="http://schemas.openxmlformats.org/spreadsheetml/2006/main" count="2704" uniqueCount="926">
  <si>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</si>
  <si>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</si>
  <si>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</si>
  <si>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</si>
  <si>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</si>
  <si>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</si>
  <si>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</si>
  <si>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</si>
  <si>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</si>
  <si>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</si>
  <si>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</si>
  <si>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</si>
  <si>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</si>
  <si>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</si>
  <si>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</si>
  <si>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</si>
  <si>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</si>
  <si>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</si>
  <si>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</si>
  <si>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</si>
  <si>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</si>
  <si>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</si>
  <si>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</si>
  <si>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</si>
  <si>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</si>
  <si>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</si>
  <si>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</si>
  <si>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</si>
  <si>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</si>
  <si>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</si>
  <si>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</si>
  <si>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</si>
  <si>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</si>
  <si>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</si>
  <si>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</si>
  <si>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</si>
  <si>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</si>
  <si>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</si>
  <si>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</si>
  <si>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</si>
  <si>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</si>
  <si>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</si>
  <si>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</si>
  <si>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</si>
  <si>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</si>
  <si>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</si>
  <si>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</si>
  <si>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</si>
  <si>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</si>
  <si>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</si>
  <si>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</si>
  <si>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</si>
  <si>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</si>
  <si>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</si>
  <si>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</si>
  <si>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</si>
  <si>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</si>
  <si>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</si>
  <si>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</si>
  <si>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</si>
  <si>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</si>
  <si>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</si>
  <si>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</si>
  <si>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</si>
  <si>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</si>
  <si>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</si>
  <si>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</si>
  <si>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</si>
  <si>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</si>
  <si>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</si>
  <si>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</si>
  <si>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</si>
  <si>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</si>
  <si>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</si>
  <si>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</si>
  <si>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</si>
  <si>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</si>
  <si>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</si>
  <si>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</si>
  <si>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</si>
  <si>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</si>
  <si>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</si>
  <si>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</si>
  <si>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</si>
  <si>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</si>
  <si>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</si>
  <si>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</si>
  <si>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</si>
  <si>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</si>
  <si>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</si>
  <si>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</si>
  <si>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</si>
  <si>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</si>
  <si>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</si>
  <si>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</si>
  <si>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</si>
  <si>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</si>
  <si>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</si>
  <si>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</si>
  <si>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</si>
  <si>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</si>
  <si>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</si>
  <si>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</si>
  <si>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</si>
  <si>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</si>
  <si>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</si>
  <si>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</si>
  <si>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</si>
  <si>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</si>
  <si>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</si>
  <si>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</si>
  <si>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</si>
  <si>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</si>
  <si>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</si>
  <si>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</si>
  <si>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</si>
  <si>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</si>
  <si>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</si>
  <si>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</si>
  <si>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</si>
  <si>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</si>
  <si>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</si>
  <si>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</si>
  <si>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</si>
  <si>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</si>
  <si>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</si>
  <si>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</si>
  <si>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</si>
  <si>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</si>
  <si>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</si>
  <si>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</si>
  <si>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</si>
  <si>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</si>
  <si>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</si>
  <si>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</si>
  <si>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</si>
  <si>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</si>
  <si>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</si>
  <si>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</si>
  <si>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</si>
  <si>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</si>
  <si>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</si>
  <si>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</si>
  <si>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</si>
  <si>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</si>
  <si>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</si>
  <si>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</si>
  <si>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</si>
  <si>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</si>
  <si>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</si>
  <si>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</si>
  <si>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</si>
  <si>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</si>
  <si>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</si>
  <si>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</si>
  <si>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</si>
  <si>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</si>
  <si>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</si>
  <si>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</si>
  <si>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</si>
  <si>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</si>
  <si>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</si>
  <si>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</si>
  <si>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</si>
  <si>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</si>
  <si>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</si>
  <si>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</si>
  <si>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</si>
  <si>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</si>
  <si>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</si>
  <si>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</si>
  <si>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</si>
  <si>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</si>
  <si>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</si>
  <si>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</si>
  <si>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</si>
  <si>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</si>
  <si>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</si>
  <si>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</si>
  <si>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</si>
  <si>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</si>
  <si>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</si>
  <si>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</si>
  <si>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</si>
  <si>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</si>
  <si>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</si>
  <si>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</si>
  <si>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</si>
  <si>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</si>
  <si>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</si>
  <si>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</si>
  <si>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</si>
  <si>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204:447</t>
  </si>
  <si>
    <t>204:451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</si>
  <si>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</si>
  <si>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</si>
  <si>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</si>
  <si>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</si>
  <si>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</si>
  <si>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</si>
  <si>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</si>
  <si>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</si>
  <si>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</si>
  <si>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rtdc.l.rtdc.4040:itc</t>
  </si>
  <si>
    <t>rtdc.l.rtdc.4039:itc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</si>
  <si>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</si>
  <si>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</si>
  <si>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</si>
  <si>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</si>
  <si>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</si>
  <si>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</si>
  <si>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</si>
  <si>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</si>
  <si>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</si>
  <si>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</si>
  <si>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</si>
  <si>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</si>
  <si>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</si>
  <si>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</si>
  <si>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</si>
  <si>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</si>
  <si>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rtdc.l.rtdc.4014:itc</t>
  </si>
  <si>
    <t>CLI Grep2 (for slice disagreement)</t>
  </si>
  <si>
    <t>204:455</t>
  </si>
  <si>
    <t>rtdc.l.rtdc.4042:itc</t>
  </si>
  <si>
    <t>DAVIDSON</t>
  </si>
  <si>
    <t>204:145</t>
  </si>
  <si>
    <t>CHANDLER</t>
  </si>
  <si>
    <t>LALONDE</t>
  </si>
  <si>
    <t>81-25</t>
  </si>
  <si>
    <t>313-25</t>
  </si>
  <si>
    <t>315-25</t>
  </si>
  <si>
    <t>partly-cloudy-night</t>
  </si>
  <si>
    <t>GRADE CROSSING</t>
  </si>
  <si>
    <t>Bulletin (2)</t>
  </si>
  <si>
    <t>JAMES</t>
  </si>
  <si>
    <t>Last + First</t>
  </si>
  <si>
    <t>Employee First Name</t>
  </si>
  <si>
    <t>KELVIN</t>
  </si>
  <si>
    <t>204:453</t>
  </si>
  <si>
    <t>204:464</t>
  </si>
  <si>
    <t>204:147</t>
  </si>
  <si>
    <t>204:139</t>
  </si>
  <si>
    <t>MICHAEL</t>
  </si>
  <si>
    <t>204:232977</t>
  </si>
  <si>
    <t>204:160</t>
  </si>
  <si>
    <t>204:462</t>
  </si>
  <si>
    <t>rtdc.l.rtdc.4013:itc</t>
  </si>
  <si>
    <t>rtdc.l.rtdc.4004:itc</t>
  </si>
  <si>
    <t>rtdc.l.rtdc.4003:itc</t>
  </si>
  <si>
    <t>204:233289</t>
  </si>
  <si>
    <t>204:232986</t>
  </si>
  <si>
    <t>SMITH</t>
  </si>
  <si>
    <t>NEWELL</t>
  </si>
  <si>
    <t>204:449</t>
  </si>
  <si>
    <t>204:232973</t>
  </si>
  <si>
    <t>rtdc.l.rtdc.4044:itc</t>
  </si>
  <si>
    <t>rtdc.l.rtdc.4043:itc</t>
  </si>
  <si>
    <t>OUN</t>
  </si>
  <si>
    <t>ZACK</t>
  </si>
  <si>
    <t>243-18</t>
  </si>
  <si>
    <t>309-18</t>
  </si>
  <si>
    <t>242-18</t>
  </si>
  <si>
    <t>311-18</t>
  </si>
  <si>
    <t>244-18</t>
  </si>
  <si>
    <t>313-18</t>
  </si>
  <si>
    <t>315-18</t>
  </si>
  <si>
    <t>302-19</t>
  </si>
  <si>
    <t>204:152</t>
  </si>
  <si>
    <t>204:158</t>
  </si>
  <si>
    <t>204:141</t>
  </si>
  <si>
    <t>204:232971</t>
  </si>
  <si>
    <t>204:457</t>
  </si>
  <si>
    <t>204:156</t>
  </si>
  <si>
    <t>300:58931</t>
  </si>
  <si>
    <t>204:232989</t>
  </si>
  <si>
    <t>rtdc.l.rtdc.4041:itc</t>
  </si>
  <si>
    <t>204:437</t>
  </si>
  <si>
    <t>rtdc.l.rtdc.4030:itc</t>
  </si>
  <si>
    <t>rtdc.l.rtdc.4029:itc</t>
  </si>
  <si>
    <t>YORK</t>
  </si>
  <si>
    <t>EDGAR</t>
  </si>
  <si>
    <t>204:467</t>
  </si>
  <si>
    <t>204:233000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</si>
  <si>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</si>
  <si>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</si>
  <si>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</si>
  <si>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</si>
  <si>
    <t>rtdc.l.rtdc.4007:itc</t>
  </si>
  <si>
    <t>rtdc.l.rtdc.4031:itc</t>
  </si>
  <si>
    <t>204:475</t>
  </si>
  <si>
    <t>204:232983</t>
  </si>
  <si>
    <t>204:233298</t>
  </si>
  <si>
    <t>204:446</t>
  </si>
  <si>
    <t>rtdc.l.rtdc.4032:itc</t>
  </si>
  <si>
    <t>204:233295</t>
  </si>
  <si>
    <t>300:58613</t>
  </si>
  <si>
    <t>PERMANENT SPEED RESTRICTION</t>
  </si>
  <si>
    <t>Speed (6)</t>
  </si>
  <si>
    <t>Y</t>
  </si>
  <si>
    <t>DUNCAN</t>
  </si>
  <si>
    <t>SHEILA</t>
  </si>
  <si>
    <t>precipType</t>
  </si>
  <si>
    <t>204:469</t>
  </si>
  <si>
    <t>204:165</t>
  </si>
  <si>
    <t>204:466</t>
  </si>
  <si>
    <t>rtdc.l.rtdc.4001:itc</t>
  </si>
  <si>
    <t>204:232987</t>
  </si>
  <si>
    <t>204:136</t>
  </si>
  <si>
    <t>204:233301</t>
  </si>
  <si>
    <t>204:232993</t>
  </si>
  <si>
    <t>204:233299</t>
  </si>
  <si>
    <t>204:233006</t>
  </si>
  <si>
    <t>rtdc.l.rtdc.4019:itc</t>
  </si>
  <si>
    <t>rtdc.l.rtdc.4020:itc</t>
  </si>
  <si>
    <t>DIANE</t>
  </si>
  <si>
    <t>204:233293</t>
  </si>
  <si>
    <t>204:233309</t>
  </si>
  <si>
    <t>204:232969</t>
  </si>
  <si>
    <t>204:232994</t>
  </si>
  <si>
    <t>204:232984</t>
  </si>
  <si>
    <t>204:232974</t>
  </si>
  <si>
    <t>204:438</t>
  </si>
  <si>
    <t>300:23346</t>
  </si>
  <si>
    <t>300:58935</t>
  </si>
  <si>
    <t>300:58623</t>
  </si>
  <si>
    <t>rtdc.l.rtdc.4026:itc</t>
  </si>
  <si>
    <t>MAELZER</t>
  </si>
  <si>
    <t>KURT</t>
  </si>
  <si>
    <t>DAVIS</t>
  </si>
  <si>
    <t>WENDY</t>
  </si>
  <si>
    <t>SAFIEF</t>
  </si>
  <si>
    <t>AEIMEN</t>
  </si>
  <si>
    <t>Partly Cloudy</t>
  </si>
  <si>
    <t>partly-cloudy-day</t>
  </si>
  <si>
    <t>rain</t>
  </si>
  <si>
    <t>204:138</t>
  </si>
  <si>
    <t>204:233317</t>
  </si>
  <si>
    <t>204:233318</t>
  </si>
  <si>
    <t>204:233304</t>
  </si>
  <si>
    <t>204:232985</t>
  </si>
  <si>
    <t>204:233308</t>
  </si>
  <si>
    <t>204:233319</t>
  </si>
  <si>
    <t>204:471</t>
  </si>
  <si>
    <t>204:170</t>
  </si>
  <si>
    <t>204:161</t>
  </si>
  <si>
    <t>204:232964</t>
  </si>
  <si>
    <t>204:232978</t>
  </si>
  <si>
    <t>204:233306</t>
  </si>
  <si>
    <t>204:163</t>
  </si>
  <si>
    <t>204:232980</t>
  </si>
  <si>
    <t>300:58621</t>
  </si>
  <si>
    <t>204:127</t>
  </si>
  <si>
    <t>300:58611</t>
  </si>
  <si>
    <t>204:154</t>
  </si>
  <si>
    <t>204:232996</t>
  </si>
  <si>
    <t>204:132</t>
  </si>
  <si>
    <t>204:477</t>
  </si>
  <si>
    <t>204:233281</t>
  </si>
  <si>
    <t>204:473</t>
  </si>
  <si>
    <t>300:23301</t>
  </si>
  <si>
    <t>204:435</t>
  </si>
  <si>
    <t>Onboard in-route failure</t>
  </si>
  <si>
    <t>Wi-MAX data drop</t>
  </si>
  <si>
    <t>Early arrival</t>
  </si>
  <si>
    <t>Banner without braking</t>
  </si>
  <si>
    <t>rtdc.l.rtdc.4015:itc</t>
  </si>
  <si>
    <t>STARKS</t>
  </si>
  <si>
    <t>ANGELINA</t>
  </si>
  <si>
    <t>BONDS</t>
  </si>
  <si>
    <t>REYNALDO</t>
  </si>
  <si>
    <t>YANG</t>
  </si>
  <si>
    <t>JAN</t>
  </si>
  <si>
    <t>CLARK</t>
  </si>
  <si>
    <t>KATHLEEN</t>
  </si>
  <si>
    <t>ADANE</t>
  </si>
  <si>
    <t>ELSHADAY</t>
  </si>
  <si>
    <t>rtdc.l.rtdc.4016:itc</t>
  </si>
  <si>
    <t>COMELLA</t>
  </si>
  <si>
    <t>JUSTIN</t>
  </si>
  <si>
    <t>MAHAN</t>
  </si>
  <si>
    <t>DUANE</t>
  </si>
  <si>
    <t>STORY</t>
  </si>
  <si>
    <t>SAMANTHA</t>
  </si>
  <si>
    <t>311-09</t>
  </si>
  <si>
    <t>244-09</t>
  </si>
  <si>
    <t>313-09</t>
  </si>
  <si>
    <t>315-09</t>
  </si>
  <si>
    <t>204:233321</t>
  </si>
  <si>
    <t>204:233297</t>
  </si>
  <si>
    <t>204:233300</t>
  </si>
  <si>
    <t>204:480</t>
  </si>
  <si>
    <t>204:233315</t>
  </si>
  <si>
    <t>204:233312</t>
  </si>
  <si>
    <t>204:703</t>
  </si>
  <si>
    <t>204:233282</t>
  </si>
  <si>
    <t>204:232975</t>
  </si>
  <si>
    <t>204:233278</t>
  </si>
  <si>
    <t>204:431</t>
  </si>
  <si>
    <t>204:125</t>
  </si>
  <si>
    <t>204:442</t>
  </si>
  <si>
    <t>204:458</t>
  </si>
  <si>
    <t>204:232961</t>
  </si>
  <si>
    <t>204:167</t>
  </si>
  <si>
    <t>204:233287</t>
  </si>
  <si>
    <t>204:232972</t>
  </si>
  <si>
    <t>204:232998</t>
  </si>
  <si>
    <t>204:232991</t>
  </si>
  <si>
    <t>204:232963</t>
  </si>
  <si>
    <t>204:233303</t>
  </si>
  <si>
    <t>300:23295</t>
  </si>
  <si>
    <t>204:1179</t>
  </si>
  <si>
    <t>204:1479</t>
  </si>
  <si>
    <t>204:670</t>
  </si>
  <si>
    <t>300:58928</t>
  </si>
  <si>
    <t>300:58924</t>
  </si>
  <si>
    <t>300:58643</t>
  </si>
  <si>
    <t>204:981</t>
  </si>
  <si>
    <t>300:58615</t>
  </si>
  <si>
    <t>204:946</t>
  </si>
  <si>
    <t>204:951</t>
  </si>
  <si>
    <t>204:666</t>
  </si>
  <si>
    <t>300:58939</t>
  </si>
  <si>
    <t>300:58956</t>
  </si>
  <si>
    <t>204:671</t>
  </si>
  <si>
    <t>start /low /b %USERPROFILE%\Documents\GitHub\eaglep3\Utilities\DownloadLogsFromS3.py --loco 4019 --day 2017-01-10</t>
  </si>
  <si>
    <t>start /low /b %USERPROFILE%\Documents\GitHub\eaglep3\Utilities\DownloadLogsFromS3.py --loco 4013 --day 2017-01-10</t>
  </si>
  <si>
    <t>110-10</t>
  </si>
  <si>
    <t>801-10</t>
  </si>
  <si>
    <t>rtdc.l.rtdc.4018:itc</t>
  </si>
  <si>
    <t>129-10</t>
  </si>
  <si>
    <t>rtdc.l.rtdc.4017:itc</t>
  </si>
  <si>
    <t>130-10</t>
  </si>
  <si>
    <t>813-10</t>
  </si>
  <si>
    <t>50-10</t>
  </si>
  <si>
    <t>52-10</t>
  </si>
  <si>
    <t>162-10</t>
  </si>
  <si>
    <t>rtdc.l.rtdc.4008:itc</t>
  </si>
  <si>
    <t>170-10</t>
  </si>
  <si>
    <t>184-10</t>
  </si>
  <si>
    <t>193-10</t>
  </si>
  <si>
    <t>904-10</t>
  </si>
  <si>
    <t>195-10</t>
  </si>
  <si>
    <t>197-10</t>
  </si>
  <si>
    <t>188-10</t>
  </si>
  <si>
    <t>190-10</t>
  </si>
  <si>
    <t>828-10</t>
  </si>
  <si>
    <t>831-10</t>
  </si>
  <si>
    <t>832-10</t>
  </si>
  <si>
    <t>TEMPORARY SPEED RESTRICTION</t>
  </si>
  <si>
    <t>72-10</t>
  </si>
  <si>
    <t>71-10</t>
  </si>
  <si>
    <t>836-10</t>
  </si>
  <si>
    <t>213-10</t>
  </si>
  <si>
    <t>218-10</t>
  </si>
  <si>
    <t>845-10</t>
  </si>
  <si>
    <t>844-10</t>
  </si>
  <si>
    <t>234-10</t>
  </si>
  <si>
    <t>302-10</t>
  </si>
  <si>
    <t>CUSHING</t>
  </si>
  <si>
    <t>HARRY</t>
  </si>
  <si>
    <t>101-10</t>
  </si>
  <si>
    <t>304-10</t>
  </si>
  <si>
    <t>103-10</t>
  </si>
  <si>
    <t>102-10</t>
  </si>
  <si>
    <t>308-10</t>
  </si>
  <si>
    <t>105-10</t>
  </si>
  <si>
    <t>107-10</t>
  </si>
  <si>
    <t>310-10</t>
  </si>
  <si>
    <t>104-10</t>
  </si>
  <si>
    <t>109-10</t>
  </si>
  <si>
    <t>901-10</t>
  </si>
  <si>
    <t>111-10</t>
  </si>
  <si>
    <t>LOZA</t>
  </si>
  <si>
    <t>FIDEL</t>
  </si>
  <si>
    <t>113-10</t>
  </si>
  <si>
    <t>106-10</t>
  </si>
  <si>
    <t>800-10</t>
  </si>
  <si>
    <t>108-10</t>
  </si>
  <si>
    <t>rtdc.l.rtdc.4025:itc</t>
  </si>
  <si>
    <t>117-10</t>
  </si>
  <si>
    <t>115-10</t>
  </si>
  <si>
    <t>902-10</t>
  </si>
  <si>
    <t>BROWN</t>
  </si>
  <si>
    <t>JACOB</t>
  </si>
  <si>
    <t>112-10</t>
  </si>
  <si>
    <t>119-10</t>
  </si>
  <si>
    <t>114-10</t>
  </si>
  <si>
    <t>802-10</t>
  </si>
  <si>
    <t>121-10</t>
  </si>
  <si>
    <t>803-10</t>
  </si>
  <si>
    <t>116-10</t>
  </si>
  <si>
    <t>123-10</t>
  </si>
  <si>
    <t>805-10</t>
  </si>
  <si>
    <t>118-10</t>
  </si>
  <si>
    <t>804-10</t>
  </si>
  <si>
    <t>125-10</t>
  </si>
  <si>
    <t>120-10</t>
  </si>
  <si>
    <t>127-10</t>
  </si>
  <si>
    <t>122-10</t>
  </si>
  <si>
    <t>806-10</t>
  </si>
  <si>
    <t>807-10</t>
  </si>
  <si>
    <t>124-10</t>
  </si>
  <si>
    <t>131-10</t>
  </si>
  <si>
    <t>809-10</t>
  </si>
  <si>
    <t>126-10</t>
  </si>
  <si>
    <t>808-10</t>
  </si>
  <si>
    <t>133-10</t>
  </si>
  <si>
    <t>128-10</t>
  </si>
  <si>
    <t>135-10</t>
  </si>
  <si>
    <t>810-10</t>
  </si>
  <si>
    <t>137-10</t>
  </si>
  <si>
    <t>811-10</t>
  </si>
  <si>
    <t>132-10</t>
  </si>
  <si>
    <t>139-10</t>
  </si>
  <si>
    <t>903-10</t>
  </si>
  <si>
    <t>812-10</t>
  </si>
  <si>
    <t>134-10</t>
  </si>
  <si>
    <t>141-10</t>
  </si>
  <si>
    <t>136-10</t>
  </si>
  <si>
    <t>143-10</t>
  </si>
  <si>
    <t>138-10</t>
  </si>
  <si>
    <t>145-10</t>
  </si>
  <si>
    <t>147-10</t>
  </si>
  <si>
    <t>140-10</t>
  </si>
  <si>
    <t>142-10</t>
  </si>
  <si>
    <t>814-10</t>
  </si>
  <si>
    <t>149-10</t>
  </si>
  <si>
    <t>144-10</t>
  </si>
  <si>
    <t>151-10</t>
  </si>
  <si>
    <t>146-10</t>
  </si>
  <si>
    <t>153-10</t>
  </si>
  <si>
    <t>815-10</t>
  </si>
  <si>
    <t>148-10</t>
  </si>
  <si>
    <t>155-10</t>
  </si>
  <si>
    <t>816-10</t>
  </si>
  <si>
    <t>150-10</t>
  </si>
  <si>
    <t>157-10</t>
  </si>
  <si>
    <t>152-10</t>
  </si>
  <si>
    <t>159-10</t>
  </si>
  <si>
    <t>154-10</t>
  </si>
  <si>
    <t>156-10</t>
  </si>
  <si>
    <t>161-10</t>
  </si>
  <si>
    <t>817-10</t>
  </si>
  <si>
    <t>163-10</t>
  </si>
  <si>
    <t>158-10</t>
  </si>
  <si>
    <t>818-10</t>
  </si>
  <si>
    <t>165-10</t>
  </si>
  <si>
    <t>STRICKLAND</t>
  </si>
  <si>
    <t>EVAN</t>
  </si>
  <si>
    <t>51-10</t>
  </si>
  <si>
    <t>160-10</t>
  </si>
  <si>
    <t>167-10</t>
  </si>
  <si>
    <t>53-10</t>
  </si>
  <si>
    <t>169-10</t>
  </si>
  <si>
    <t>164-10</t>
  </si>
  <si>
    <t>819-10</t>
  </si>
  <si>
    <t>166-10</t>
  </si>
  <si>
    <t>171-10</t>
  </si>
  <si>
    <t>BRANNON</t>
  </si>
  <si>
    <t>JEFFREY</t>
  </si>
  <si>
    <t>820-10</t>
  </si>
  <si>
    <t>173-10</t>
  </si>
  <si>
    <t>168-10</t>
  </si>
  <si>
    <t>175-10</t>
  </si>
  <si>
    <t>821-10</t>
  </si>
  <si>
    <t>SCOTT</t>
  </si>
  <si>
    <t>177-10</t>
  </si>
  <si>
    <t>172-10</t>
  </si>
  <si>
    <t>179-10</t>
  </si>
  <si>
    <t>822-10</t>
  </si>
  <si>
    <t>174-10</t>
  </si>
  <si>
    <t>181-10</t>
  </si>
  <si>
    <t>176-10</t>
  </si>
  <si>
    <t>183-10</t>
  </si>
  <si>
    <t>178-10</t>
  </si>
  <si>
    <t>185-10</t>
  </si>
  <si>
    <t>823-10</t>
  </si>
  <si>
    <t>180-10</t>
  </si>
  <si>
    <t>187-10</t>
  </si>
  <si>
    <t>182-10</t>
  </si>
  <si>
    <t>824-10</t>
  </si>
  <si>
    <t>189-10</t>
  </si>
  <si>
    <t>191-10</t>
  </si>
  <si>
    <t>186-10</t>
  </si>
  <si>
    <t>825-10</t>
  </si>
  <si>
    <t>HILLS</t>
  </si>
  <si>
    <t>DUSTIN</t>
  </si>
  <si>
    <t>826-10</t>
  </si>
  <si>
    <t>827-10</t>
  </si>
  <si>
    <t>192-10</t>
  </si>
  <si>
    <t>199-10</t>
  </si>
  <si>
    <t>HAITHCOX</t>
  </si>
  <si>
    <t>194-10</t>
  </si>
  <si>
    <t>201-10</t>
  </si>
  <si>
    <t>DE LA ROSA</t>
  </si>
  <si>
    <t>ALEX</t>
  </si>
  <si>
    <t>829-10</t>
  </si>
  <si>
    <t>196-10</t>
  </si>
  <si>
    <t>830-10</t>
  </si>
  <si>
    <t>198-10</t>
  </si>
  <si>
    <t>205-10</t>
  </si>
  <si>
    <t>207-10</t>
  </si>
  <si>
    <t>200-10</t>
  </si>
  <si>
    <t>70-10</t>
  </si>
  <si>
    <t>202-10</t>
  </si>
  <si>
    <t>209-10</t>
  </si>
  <si>
    <t>833-10</t>
  </si>
  <si>
    <t>211-10</t>
  </si>
  <si>
    <t>835-10</t>
  </si>
  <si>
    <t>206-10</t>
  </si>
  <si>
    <t>NELSON</t>
  </si>
  <si>
    <t>ARIANE</t>
  </si>
  <si>
    <t>834-10</t>
  </si>
  <si>
    <t>73-10</t>
  </si>
  <si>
    <t>215-10</t>
  </si>
  <si>
    <t>208-10</t>
  </si>
  <si>
    <t>217-10</t>
  </si>
  <si>
    <t>210-10</t>
  </si>
  <si>
    <t>75-10</t>
  </si>
  <si>
    <t>837-10</t>
  </si>
  <si>
    <t>212-10</t>
  </si>
  <si>
    <t>74-10</t>
  </si>
  <si>
    <t>214-10</t>
  </si>
  <si>
    <t>219-10</t>
  </si>
  <si>
    <t>839-10</t>
  </si>
  <si>
    <t>838-10</t>
  </si>
  <si>
    <t>303-10</t>
  </si>
  <si>
    <t>216-10</t>
  </si>
  <si>
    <t>221-10</t>
  </si>
  <si>
    <t>906-10</t>
  </si>
  <si>
    <t>841-10</t>
  </si>
  <si>
    <t>305-10</t>
  </si>
  <si>
    <t>220-10</t>
  </si>
  <si>
    <t>223-10</t>
  </si>
  <si>
    <t>840-10</t>
  </si>
  <si>
    <t>307-10</t>
  </si>
  <si>
    <t>222-10</t>
  </si>
  <si>
    <t>225-10</t>
  </si>
  <si>
    <t>227-10</t>
  </si>
  <si>
    <t>224-10</t>
  </si>
  <si>
    <t>843-10</t>
  </si>
  <si>
    <t>842-10</t>
  </si>
  <si>
    <t>226-10</t>
  </si>
  <si>
    <t>229-10</t>
  </si>
  <si>
    <t>228-10</t>
  </si>
  <si>
    <t>231-10</t>
  </si>
  <si>
    <t>230-10</t>
  </si>
  <si>
    <t>233-10</t>
  </si>
  <si>
    <t>847-10</t>
  </si>
  <si>
    <t>235-10</t>
  </si>
  <si>
    <t>232-10</t>
  </si>
  <si>
    <t>908-10</t>
  </si>
  <si>
    <t>237-10</t>
  </si>
  <si>
    <t>239-10</t>
  </si>
  <si>
    <t>236-10</t>
  </si>
  <si>
    <t>238-10</t>
  </si>
  <si>
    <t>241-10</t>
  </si>
  <si>
    <t>240-10</t>
  </si>
  <si>
    <t>302-11</t>
  </si>
  <si>
    <t>ISHMAEL</t>
  </si>
  <si>
    <t>JOSEPH</t>
  </si>
  <si>
    <t>clear-night</t>
  </si>
  <si>
    <t>Clear</t>
  </si>
  <si>
    <t>204:697</t>
  </si>
  <si>
    <t>204:233270</t>
  </si>
  <si>
    <t>204:232632</t>
  </si>
  <si>
    <t>204:775</t>
  </si>
  <si>
    <t>204:233332</t>
  </si>
  <si>
    <t>204:232689</t>
  </si>
  <si>
    <t>204:763</t>
  </si>
  <si>
    <t>204:232660</t>
  </si>
  <si>
    <t>204:233284</t>
  </si>
  <si>
    <t>204:232952</t>
  </si>
  <si>
    <t>204:752</t>
  </si>
  <si>
    <t>204:233288</t>
  </si>
  <si>
    <t>204:232979</t>
  </si>
  <si>
    <t>204:757</t>
  </si>
  <si>
    <t>204:18498</t>
  </si>
  <si>
    <t>204:233310</t>
  </si>
  <si>
    <t>204:232981</t>
  </si>
  <si>
    <t>204:129</t>
  </si>
  <si>
    <t>204:233349</t>
  </si>
  <si>
    <t>204:232982</t>
  </si>
  <si>
    <t>204:486</t>
  </si>
  <si>
    <t>204:233305</t>
  </si>
  <si>
    <t>204:460</t>
  </si>
  <si>
    <t>204:233302</t>
  </si>
  <si>
    <t>204:233257</t>
  </si>
  <si>
    <t>204:233268</t>
  </si>
  <si>
    <t>204:38826</t>
  </si>
  <si>
    <t>204:36782</t>
  </si>
  <si>
    <t>204:320</t>
  </si>
  <si>
    <t>204:18396</t>
  </si>
  <si>
    <t>204:198</t>
  </si>
  <si>
    <t>204:39090</t>
  </si>
  <si>
    <t>204:18784</t>
  </si>
  <si>
    <t>204:212</t>
  </si>
  <si>
    <t>204:38839</t>
  </si>
  <si>
    <t>204:44021</t>
  </si>
  <si>
    <t>204:36799</t>
  </si>
  <si>
    <t>204:1165</t>
  </si>
  <si>
    <t>204:232943</t>
  </si>
  <si>
    <t>204:169</t>
  </si>
  <si>
    <t>204:38551</t>
  </si>
  <si>
    <t>204:64679</t>
  </si>
  <si>
    <t>204:233291</t>
  </si>
  <si>
    <t>204:642</t>
  </si>
  <si>
    <t>204:19148</t>
  </si>
  <si>
    <t>204:64688</t>
  </si>
  <si>
    <t>204:233013</t>
  </si>
  <si>
    <t>204:511</t>
  </si>
  <si>
    <t>204:38240</t>
  </si>
  <si>
    <t>204:64722</t>
  </si>
  <si>
    <t>204:38242</t>
  </si>
  <si>
    <t>204:64702</t>
  </si>
  <si>
    <t>204:513</t>
  </si>
  <si>
    <t>204:233285</t>
  </si>
  <si>
    <t>204:232944</t>
  </si>
  <si>
    <t>204:233324</t>
  </si>
  <si>
    <t>204:233336</t>
  </si>
  <si>
    <t>204:233042</t>
  </si>
  <si>
    <t>204:489</t>
  </si>
  <si>
    <t>204:214</t>
  </si>
  <si>
    <t>300:22017</t>
  </si>
  <si>
    <t>300:23035</t>
  </si>
  <si>
    <t>300:22852</t>
  </si>
  <si>
    <t>300:19523</t>
  </si>
  <si>
    <t>300:22867</t>
  </si>
  <si>
    <t>300:22144</t>
  </si>
  <si>
    <t>300:23353</t>
  </si>
  <si>
    <t>300:23312</t>
  </si>
  <si>
    <t>300:23266</t>
  </si>
  <si>
    <t>204:871</t>
  </si>
  <si>
    <t>300:25442</t>
  </si>
  <si>
    <t>300:24767</t>
  </si>
  <si>
    <t>300:21856</t>
  </si>
  <si>
    <t>204:97</t>
  </si>
  <si>
    <t>204:394</t>
  </si>
  <si>
    <t>300:24258</t>
  </si>
  <si>
    <t>300:23137</t>
  </si>
  <si>
    <t>204:148</t>
  </si>
  <si>
    <t>300:25597</t>
  </si>
  <si>
    <t>300:23355</t>
  </si>
  <si>
    <t>204:1496</t>
  </si>
  <si>
    <t>300:21977</t>
  </si>
  <si>
    <t>204:348</t>
  </si>
  <si>
    <t>204:741</t>
  </si>
  <si>
    <t>204:1023</t>
  </si>
  <si>
    <t>204:747</t>
  </si>
  <si>
    <t>300:58965</t>
  </si>
  <si>
    <t>300:58655</t>
  </si>
  <si>
    <t>204:698</t>
  </si>
  <si>
    <t>204:1034</t>
  </si>
  <si>
    <t>300:58619</t>
  </si>
  <si>
    <t>204:743</t>
  </si>
  <si>
    <t>204:1016</t>
  </si>
  <si>
    <t>204:706</t>
  </si>
  <si>
    <t>204:1009</t>
  </si>
  <si>
    <t>300:58963</t>
  </si>
  <si>
    <t>300:58641</t>
  </si>
  <si>
    <t>204:738</t>
  </si>
  <si>
    <t>204:1021</t>
  </si>
  <si>
    <t>300:58948</t>
  </si>
  <si>
    <t>300:58626</t>
  </si>
  <si>
    <t>204:1004</t>
  </si>
  <si>
    <t>300:58971</t>
  </si>
  <si>
    <t>204:724</t>
  </si>
  <si>
    <t>204:1018</t>
  </si>
  <si>
    <t>204:734</t>
  </si>
  <si>
    <t>300:58967</t>
  </si>
  <si>
    <t>300:58651</t>
  </si>
  <si>
    <t>204:731</t>
  </si>
  <si>
    <t>204:654</t>
  </si>
  <si>
    <t>204:955</t>
  </si>
  <si>
    <t>204:962</t>
  </si>
  <si>
    <t>204:659</t>
  </si>
  <si>
    <t>204:929</t>
  </si>
  <si>
    <t>300:58992</t>
  </si>
  <si>
    <t>300:58683</t>
  </si>
  <si>
    <t>204:787</t>
  </si>
  <si>
    <t>300:58933</t>
  </si>
  <si>
    <t>204:1060</t>
  </si>
  <si>
    <t>300:58941</t>
  </si>
  <si>
    <t>204:661</t>
  </si>
  <si>
    <t>204:930</t>
  </si>
  <si>
    <t>300:58608</t>
  </si>
  <si>
    <t>300:58990</t>
  </si>
  <si>
    <t>300:58668</t>
  </si>
  <si>
    <t>204:680</t>
  </si>
  <si>
    <t>300:59003</t>
  </si>
  <si>
    <t>204:684</t>
  </si>
  <si>
    <t>204:937</t>
  </si>
  <si>
    <t>204:645</t>
  </si>
  <si>
    <t>204:957</t>
  </si>
  <si>
    <t>300:58664</t>
  </si>
  <si>
    <t>204:678</t>
  </si>
  <si>
    <t>300:58988</t>
  </si>
  <si>
    <t>204:967</t>
  </si>
  <si>
    <t>300:30114</t>
  </si>
  <si>
    <t>300:23186</t>
  </si>
  <si>
    <t>204:729</t>
  </si>
  <si>
    <t>204:1042</t>
  </si>
  <si>
    <t>300:24227</t>
  </si>
  <si>
    <t>300:23207</t>
  </si>
  <si>
    <t>204:638</t>
  </si>
  <si>
    <t>300:58692</t>
  </si>
  <si>
    <t>300:28791</t>
  </si>
  <si>
    <t>300:58696</t>
  </si>
  <si>
    <t>300:21538</t>
  </si>
  <si>
    <t>start /low /b %USERPROFILE%\Documents\GitHub\eaglep3\Utilities\DownloadLogsFromS3.py --loco 4014 --day 2017-01-10</t>
  </si>
  <si>
    <t>start /low /b %USERPROFILE%\Documents\GitHub\eaglep3\Utilities\DownloadLogsFromS3.py --loco 4017 --day 2017-01-10</t>
  </si>
  <si>
    <t>start /low /b %USERPROFILE%\Documents\GitHub\eaglep3\Utilities\DownloadLogsFromS3.py --loco 4008 --day 2017-01-10</t>
  </si>
  <si>
    <t>start /low /b %USERPROFILE%\Documents\GitHub\eaglep3\Utilities\DownloadLogsFromS3.py --loco 4026 --day 2017-01-10</t>
  </si>
  <si>
    <t>start /low /b %USERPROFILE%\Documents\GitHub\eaglep3\Utilities\DownloadLogsFromS3.py --loco 4016 --day 2017-01-10</t>
  </si>
  <si>
    <t>start /low /b %USERPROFILE%\Documents\GitHub\eaglep3\Utilities\DownloadLogsFromS3.py --loco 4007 --day 2017-01-10</t>
  </si>
  <si>
    <t>start /low /b %USERPROFILE%\Documents\GitHub\eaglep3\Utilities\DownloadLogsFromS3.py --loco 4018 --day 2017-01-10</t>
  </si>
  <si>
    <t>start /low /b %USERPROFILE%\Documents\GitHub\eaglep3\Utilities\DownloadLogsFromS3.py --loco 4042 --day 2017-01-10</t>
  </si>
  <si>
    <t>start /low /b %USERPROFILE%\Documents\GitHub\eaglep3\Utilities\DownloadLogsFromS3.py --loco 4041 --day 2017-01-11</t>
  </si>
  <si>
    <t>start /low /b %USERPROFILE%\Documents\GitHub\eaglep3\Utilities\DownloadLogsFromS3.py --loco 4032 --day 2017-01-10</t>
  </si>
  <si>
    <t>start /low /b %USERPROFILE%\Documents\GitHub\eaglep3\Utilities\DownloadLogsFromS3.py --loco 4031 --day 2017-01-10</t>
  </si>
  <si>
    <t>start /low /b %USERPROFILE%\Documents\GitHub\eaglep3\Utilities\DownloadLogsFromS3.py --loco 4007 --day 2017-01-11</t>
  </si>
  <si>
    <t>start /low /b %USERPROFILE%\Documents\GitHub\eaglep3\Utilities\DownloadLogsFromS3.py --loco 4001 --day 2017-01-11</t>
  </si>
  <si>
    <t>start /low /b %USERPROFILE%\Documents\GitHub\eaglep3\Utilities\DownloadLogsFromS3.py --loco 4002 --day 2017-01-10</t>
  </si>
  <si>
    <t>start /low /b %USERPROFILE%\Documents\GitHub\eaglep3\Utilities\DownloadLogsFromS3.py --loco 4001 --day 2017-01-10</t>
  </si>
  <si>
    <t>start /low /b %USERPROFILE%\Documents\GitHub\eaglep3\Utilities\DownloadLogsFromS3.py --loco 4030 --day 2017-01-11</t>
  </si>
  <si>
    <t>start /low /b %USERPROFILE%\Documents\GitHub\eaglep3\Utilities\DownloadLogsFromS3.py --loco 4029 --day 2017-01-10</t>
  </si>
  <si>
    <t>start /low /b %USERPROFILE%\Documents\GitHub\eaglep3\Utilities\DownloadLogsFromS3.py --loco 4002 --day 2017-01-11</t>
  </si>
  <si>
    <t>start /low /b %USERPROFILE%\Documents\GitHub\eaglep3\Utilities\DownloadLogsFromS3.py --loco 4029 --day 2017-01-11</t>
  </si>
  <si>
    <t>Time skip at 14:01:02:442 UTC</t>
  </si>
  <si>
    <t>At 15:25:54, EC0386RH 44-2T 2S downgraded from 270 to STOP &amp; PROCEED and stayed that way for quite some time. Do logs tell of any issues at this time?</t>
  </si>
  <si>
    <t>Cancelled?</t>
  </si>
  <si>
    <t>Form C</t>
  </si>
  <si>
    <t>SYS :2017/01/10 12:42:02.892:ENFORCEMENT:Reactive Enforcement Action:  Target Number: 0001001E  Target Speed:  15.0  Current Speed:  20.3</t>
  </si>
  <si>
    <t>SYS :2017/01/10 12:42:03.025:ENFORCEMENT:Reactive Enforcement Action:  Target Number: 0001001E  Target Speed:  15.0  Current Speed:  20.3</t>
  </si>
  <si>
    <t>SYS :2017/01/10 12:42:03.746:ENFORCEMENT:Reactive Enforcement Action:  Target Number: 0001001E  Target Speed:  15.0  Current Speed:  20.3</t>
  </si>
  <si>
    <t>SYS :2017/01/10 13:01:51.871:ENFORCEMENT:Predictive Enforcement Action:  Target Number: 000101C3  Target Speed:  15.0  Current Speed:  32.3</t>
  </si>
  <si>
    <t>SYS :2017/01/10 13:01:52.025:ENFORCEMENT:Predictive Enforcement Action:  Target Number: 000101C5  Target Speed:  15.0  Current Speed:  32.1</t>
  </si>
  <si>
    <t>SYS :2017/01/10 13:22:57.748:ENFORCEMENT:Predictive Enforcement Action:  Target Number: 00001004  Target Speed:   0.0  Current Speed:   3.7</t>
  </si>
  <si>
    <t>SYS :2017/01/10 13:22:57.881:ENFORCEMENT:Predictive Enforcement Action:  Target Number: 00001004  Target Speed:   0.0  Current Speed:   3.7</t>
  </si>
  <si>
    <t>SYS :2017/01/10 13:22:58.000:ENFORCEMENT:Predictive Enforcement Action:  Target Number: 00001004  Target Speed:   0.0  Current Speed:   3.5</t>
  </si>
  <si>
    <t>SYS :2017/01/10 14:25:55.803:ENFORCEMENT:Predictive Enforcement Action:  Target Number: 00017068  Target Speed:   0.0  Current Speed:  40.3</t>
  </si>
  <si>
    <t>SYS :2017/01/10 14:25:56.997:ENFORCEMENT:Predictive Enforcement Action:  Target Number: 00017068  Target Speed:   0.0  Current Speed:  39.0</t>
  </si>
  <si>
    <t>SYS :2017/01/10 15:36:41.509:ENFORCEMENT:Predictive Enforcement Action:  Target Number: 0001706A  Target Speed:  27.0  Current Speed:  34.9</t>
  </si>
  <si>
    <t>SYS :2017/01/10 15:36:43.105:ENFORCEMENT:Predictive Enforcement Action:  Target Number: 00017069  Target Speed:  27.0  Current Speed:  34.7</t>
  </si>
  <si>
    <t>SYS :2017/01/10 15:51:34.491:ENFORCEMENT:Predictive Enforcement Action:  Target Number: 00001010  Target Speed:   0.0  Current Speed:   6.0</t>
  </si>
  <si>
    <t>SYS :2017/01/10 15:51:35.077:ENFORCEMENT:Predictive Enforcement Action:  Target Number: 00001010  Target Speed:   0.0  Current Speed:   6.0</t>
  </si>
  <si>
    <t>SYS :2017/01/10 16:34:31.272:ENFORCEMENT:Predictive Enforcement Action:  Target Number: 00001026  Target Speed:   0.0  Current Speed:   5.3</t>
  </si>
  <si>
    <t>SYS :2017/01/10 16:34:31.282:ENFORCEMENT:Predictive Enforcement Action:  Target Number: 00001024  Target Speed:   0.0  Current Speed:   5.3</t>
  </si>
  <si>
    <t>SYS :2017/01/10 16:34:33.543:ENFORCEMENT:Predictive Enforcement Action:  Target Number: 00001024  Target Speed:   0.0  Current Speed:   4.6</t>
  </si>
  <si>
    <t>SYS :2017/01/10 19:19:23.663:ENFORCEMENT:Reactive Enforcement Action:  Target Number: 000100AD  Target Speed:  60.0  Current Speed:  65.1</t>
  </si>
  <si>
    <t>SYS :2017/01/10 19:19:24.351:ENFORCEMENT:Reactive Enforcement Action:  Target Number: 0001007F  Target Speed:  60.0  Current Speed:  65.1</t>
  </si>
  <si>
    <t>SYS :2017/01/10 19:19:24.519:ENFORCEMENT:Reactive Enforcement Action:  Target Number: 00010035  Target Speed:  60.0  Current Speed:  65.1</t>
  </si>
  <si>
    <t>SYS :2017/01/10 20:37:43.970:ENFORCEMENT:Predictive Enforcement Action:  Target Number: 0000E002  Target Speed:   0.0  Current Speed:  27.5</t>
  </si>
  <si>
    <t>SYS :2017/01/10 20:37:44.491:ENFORCEMENT:Predictive Enforcement Action:  Target Number: 0000E002  Target Speed:   0.0  Current Speed:  27.5</t>
  </si>
  <si>
    <t>SYS :2017/01/10 22:25:56.018:ENFORCEMENT:Predictive Enforcement Action:  Target Number: 0000620A  Target Speed:   0.0  Current Speed:  21.7</t>
  </si>
  <si>
    <t>SYS :2017/01/10 22:25:56.485:ENFORCEMENT:Predictive Enforcement Action:  Target Number: 0000623C  Target Speed:   0.0  Current Speed:  21.7</t>
  </si>
  <si>
    <t>SYS :2017/01/10 22:31:19.461:ENFORCEMENT:Predictive Enforcement Action:  Target Number: 000060B7  Target Speed:   0.0  Current Speed:  15.2</t>
  </si>
  <si>
    <t>SYS :2017/01/10 22:31:19.761:ENFORCEMENT:Predictive Enforcement Action:  Target Number: 000061F0  Target Speed:   0.0  Current Speed:  15.2</t>
  </si>
  <si>
    <t>SYS :2017/01/10 22:31:20.440:ENFORCEMENT:Predictive Enforcement Action:  Target Number: 000061FA  Target Speed:   0.0  Current Speed:  15.0</t>
  </si>
  <si>
    <t>SYS :2017/01/10 22:35:23.684:ENFORCEMENT:Predictive Enforcement Action:  Target Number: 0000101E  Target Speed:   0.0  Current Speed:   2.6</t>
  </si>
  <si>
    <t>SYS :2017/01/10 22:35:23.941:ENFORCEMENT:Predictive Enforcement Action:  Target Number: 0000101E  Target Speed:   0.0  Current Speed:   2.6</t>
  </si>
  <si>
    <t>SYS :2017/01/10 22:35:24.137:ENFORCEMENT:Predictive Enforcement Action:  Target Number: 0000101E  Target Speed:   0.0  Current Speed:   2.6</t>
  </si>
  <si>
    <t>SYS :2017/01/10 22:41:32.473:ENFORCEMENT:Predictive Enforcement Action:  Target Number: 00001012  Target Speed:   0.0  Current Speed:  11.0</t>
  </si>
  <si>
    <t>SYS :2017/01/10 22:45:08.194:ENFORCEMENT:Predictive Enforcement Action:  Target Number: 00006254  Target Speed:   0.0  Current Speed:   3.0</t>
  </si>
  <si>
    <t>SYS :2017/01/10 22:45:08.221:ENFORCEMENT:Predictive Enforcement Action:  Target Number: 00006253  Target Speed:   0.0  Current Speed:   3.0</t>
  </si>
  <si>
    <t>SYS :2017/01/10 22:45:08.445:ENFORCEMENT:Predictive Enforcement Action:  Target Number: 00006251  Target Speed:   0.0  Current Speed:   3.2</t>
  </si>
  <si>
    <t>SYS :2017/01/10 23:08:05.992:ENFORCEMENT:Reactive Enforcement Action:  Target Number: 000063CA  Target Speed:  20.0  Current Speed:  26.5</t>
  </si>
  <si>
    <t>SYS :2017/01/10 23:08:06.030:ENFORCEMENT:Reactive Enforcement Action:  Target Number: 000063AA  Target Speed:  20.0  Current Speed:  26.5</t>
  </si>
  <si>
    <t>SYS :2017/01/10 23:08:06.400:ENFORCEMENT:Reactive Enforcement Action:  Target Number: 0000639E  Target Speed:  20.0  Current Speed:  26.5</t>
  </si>
  <si>
    <t>SYS :2017/01/10 23:10:35.217:ENFORCEMENT:Predictive Enforcement Action:  Target Number: 0000E004  Target Speed:   0.0  Current Speed:   4.0</t>
  </si>
  <si>
    <t>SYS :2017/01/10 23:10:35.347:ENFORCEMENT:Predictive Enforcement Action:  Target Number: 0000E004  Target Speed:   0.0  Current Speed:   3.9</t>
  </si>
  <si>
    <t>SYS :2017/01/10 23:14:08.211:ENFORCEMENT:Predictive Enforcement Action:  Target Number: 00006246  Target Speed:   0.0  Current Speed:   6.9</t>
  </si>
  <si>
    <t>SYS :2017/01/10 23:14:08.348:ENFORCEMENT:Predictive Enforcement Action:  Target Number: 00006212  Target Speed:   0.0  Current Speed:   6.9</t>
  </si>
  <si>
    <t>SYS :2017/01/10 23:17:36.333:ENFORCEMENT:Predictive Enforcement Action:  Target Number: 000061EF  Target Speed:   0.0  Current Speed:   8.6</t>
  </si>
  <si>
    <t>SYS :2017/01/10 23:17:36.357:ENFORCEMENT:Predictive Enforcement Action:  Target Number: 00006057  Target Speed:   0.0  Current Speed:   8.6</t>
  </si>
  <si>
    <t>SYS :2017/01/10 23:17:36.518:ENFORCEMENT:Predictive Enforcement Action:  Target Number: 00006133  Target Speed:   0.0  Current Speed:   8.6</t>
  </si>
  <si>
    <t>SYS :2017/01/10 23:20:08.334:ENFORCEMENT:Predictive Enforcement Action:  Target Number: 000061F1  Target Speed:   0.0  Current Speed:   4.0</t>
  </si>
  <si>
    <t>SYS :2017/01/10 23:20:08.351:ENFORCEMENT:Predictive Enforcement Action:  Target Number: 00006059  Target Speed:   0.0  Current Speed:   5.5</t>
  </si>
  <si>
    <t>SYS :2017/01/10 23:20:08.512:ENFORCEMENT:Predictive Enforcement Action:  Target Number: 00006135  Target Speed:   0.0  Current Speed:   4.0</t>
  </si>
  <si>
    <t>SYS :2017/01/10 23:25:00.948:ENFORCEMENT:Predictive Enforcement Action:  Target Number: 00001021  Target Speed:   0.0  Current Speed:  15.8</t>
  </si>
  <si>
    <t>SYS :2017/01/10 23:25:01.146:ENFORCEMENT:Predictive Enforcement Action:  Target Number: 00001021  Target Speed:   0.0  Current Speed:  15.8</t>
  </si>
  <si>
    <t>SYS :2017/01/10 23:25:50.682:ENFORCEMENT:Predictive Enforcement Action:  Target Number: 00001021  Target Speed:   0.0  Current Speed:   6.5</t>
  </si>
  <si>
    <t>SYS :2017/01/10 23:25:50.945:ENFORCEMENT:Predictive Enforcement Action:  Target Number: 00001021  Target Speed:   0.0  Current Speed:   6.4</t>
  </si>
  <si>
    <t>SYS :2017/01/10 23:25:51.145:ENFORCEMENT:Predictive Enforcement Action:  Target Number: 00001021  Target Speed:   0.0  Current Speed:   6.4</t>
  </si>
  <si>
    <t>SYS :2017/01/10 23:26:27.332:ENFORCEMENT:Predictive Enforcement Action:  Target Number: 000061F3  Target Speed:   0.0  Current Speed:  10.1</t>
  </si>
  <si>
    <t>SYS :2017/01/10 23:26:27.339:ENFORCEMENT:Predictive Enforcement Action:  Target Number: 0000605B  Target Speed:   0.0  Current Speed:  10.1</t>
  </si>
  <si>
    <t>SYS :2017/01/10 23:26:27.503:ENFORCEMENT:Predictive Enforcement Action:  Target Number: 00006137  Target Speed:   0.0  Current Speed:  10.1</t>
  </si>
  <si>
    <t>SYS :2017/01/10 23:32:17.975:ENFORCEMENT:Predictive Enforcement Action:  Target Number: 0000101C  Target Speed:   0.0  Current Speed:   7.1</t>
  </si>
  <si>
    <t>SYS :2017/01/10 23:32:18.006:ENFORCEMENT:Predictive Enforcement Action:  Target Number: 0000101C  Target Speed:   0.0  Current Speed:   7.1</t>
  </si>
  <si>
    <t>SYS :2017/01/11 00:05:56.877:ENFORCEMENT:Predictive Enforcement Action:  Target Number: 00001025  Target Speed:   0.0  Current Speed:   7.1</t>
  </si>
  <si>
    <t>SYS :2017/01/11 00:05:57.021:ENFORCEMENT:Predictive Enforcement Action:  Target Number: 00001025  Target Speed:   0.0  Current Speed:   7.1</t>
  </si>
  <si>
    <t>SYS :2017/01/11 00:05:57.196:ENFORCEMENT:Predictive Enforcement Action:  Target Number: 00001026  Target Speed:   0.0  Current Speed:   6.9</t>
  </si>
  <si>
    <t>SYS :2017/01/11 00:06:29.023:ENFORCEMENT:Predictive Enforcement Action:  Target Number: 00001025  Target Speed:   0.0  Current Speed:   4.5</t>
  </si>
  <si>
    <t>SYS :2017/01/11 00:06:32.195:ENFORCEMENT:Predictive Enforcement Action:  Target Number: 00001026  Target Speed:   0.0  Current Speed:   4.1</t>
  </si>
  <si>
    <t>SYS :2017/01/11 00:06:32.867:ENFORCEMENT:Predictive Enforcement Action:  Target Number: 00001025  Target Speed:   0.0  Current Speed:   4.4</t>
  </si>
  <si>
    <t>SYS :2017/01/11 00:20:13.689:ENFORCEMENT:Predictive Enforcement Action:  Target Number: 00017082  Target Speed:   9.0  Current Speed:  21.6</t>
  </si>
  <si>
    <t>SYS :2017/01/11 00:20:13.948:ENFORCEMENT:Predictive Enforcement Action:  Target Number: 0000A007  Target Speed:  10.0  Current Speed:  21.6</t>
  </si>
  <si>
    <t>SYS :2017/01/11 00:20:13.960:ENFORCEMENT:Predictive Enforcement Action:  Target Number: 00017082  Target Speed:   9.0  Current Speed:  21.6</t>
  </si>
  <si>
    <t>SYS :2017/01/11 00:20:14.148:ENFORCEMENT:Predictive Enforcement Action:  Target Number: 0000A007  Target Speed:  10.0  Current Speed:  21.6</t>
  </si>
  <si>
    <t>SYS :2017/01/11 00:20:14.162:ENFORCEMENT:Predictive Enforcement Action:  Target Number: 00017082  Target Speed:   9.0  Current Speed:  21.6</t>
  </si>
  <si>
    <t>SYS :2017/01/11 00:21:17.949:ENFORCEMENT:Reactive Enforcement Action:  Target Number: 0000A007  Target Speed:  10.0  Current Speed:  15.4</t>
  </si>
  <si>
    <t>SYS :2017/01/11 00:21:18.145:ENFORCEMENT:Reactive Enforcement Action:  Target Number: 0000A007  Target Speed:  10.0  Current Speed:  15.4</t>
  </si>
  <si>
    <t>SYS :2017/01/11 00:21:18.688:ENFORCEMENT:Reactive Enforcement Action:  Target Number: 0000A007  Target Speed:  10.0  Current Speed:  15.4</t>
  </si>
  <si>
    <t>SYS :2017/01/11 00:26:27.940:ENFORCEMENT:Predictive Enforcement Action:  Target Number: 00001024  Target Speed:   0.0  Current Speed:   3.9</t>
  </si>
  <si>
    <t>SYS :2017/01/11 00:26:28.145:ENFORCEMENT:Predictive Enforcement Action:  Target Number: 00001024  Target Speed:   0.0  Current Speed:   3.9</t>
  </si>
  <si>
    <t>SYS :2017/01/11 00:26:28.685:ENFORCEMENT:Predictive Enforcement Action:  Target Number: 00001024  Target Speed:   0.0  Current Speed:   3.9</t>
  </si>
  <si>
    <t>SYS :2017/01/11 01:16:46.948:ENFORCEMENT:Reactive Enforcement Action:  Target Number: 00010167  Target Speed:  40.0  Current Speed:  45.8</t>
  </si>
  <si>
    <t>SYS :2017/01/11 01:16:47.153:ENFORCEMENT:Reactive Enforcement Action:  Target Number: 00010167  Target Speed:  40.0  Current Speed:  45.8</t>
  </si>
  <si>
    <t>SYS :2017/01/11 01:16:47.688:ENFORCEMENT:Reactive Enforcement Action:  Target Number: 00010166  Target Speed:  40.0  Current Speed:  45.8</t>
  </si>
  <si>
    <t>SYS :2017/01/11 01:21:32.975:ENFORCEMENT:Predictive Enforcement Action:  Target Number: 0000101E  Target Speed:   0.0  Current Speed:  14.4</t>
  </si>
  <si>
    <t>SYS :2017/01/11 01:21:33.011:ENFORCEMENT:Predictive Enforcement Action:  Target Number: 0000101E  Target Speed:   0.0  Current Speed:  14.4</t>
  </si>
  <si>
    <t>SYS :2017/01/11 01:21:33.389:ENFORCEMENT:Predictive Enforcement Action:  Target Number: 0000101E  Target Speed:   0.0  Current Speed:  14.4</t>
  </si>
  <si>
    <t>SYS :2017/01/11 02:40:36.629:ENFORCEMENT:Predictive Enforcement Action:  Target Number: 0000E002  Target Speed:   0.0  Current Speed:  20.3</t>
  </si>
  <si>
    <t>SYS :2017/01/11 04:35:47.262:ENFORCEMENT:Predictive Enforcement Action:  Target Number: 00001047  Target Speed:   0.0  Current Speed:   2.7</t>
  </si>
  <si>
    <t>SYS :2017/01/11 04:35:47.282:ENFORCEMENT:Predictive Enforcement Action:  Target Number: 00001045  Target Speed:   0.0  Current Speed:   2.7</t>
  </si>
  <si>
    <t>SYS :2017/01/11 04:35:47.542:ENFORCEMENT:Predictive Enforcement Action:  Target Number: 00001043  Target Speed:   0.0  Current Speed:   2.4</t>
  </si>
  <si>
    <t>SYS :2017/01/11 04:54:42.499:ENFORCEMENT:Predictive Enforcement Action:  Target Number: 00001054  Target Speed:   0.0  Current Speed:  13.8</t>
  </si>
  <si>
    <t>SYS :2017/01/11 04:55:41.496:ENFORCEMENT:Predictive Enforcement Action:  Target Number: 00001054  Target Speed:   0.0  Current Speed:   4.0</t>
  </si>
  <si>
    <t>SYS :2017/01/11 06:22:56.159:ENFORCEMENT:Predictive Enforcement Action:  Target Number: 0000E004  Target Speed:   0.0  Current Speed:  38.1</t>
  </si>
  <si>
    <t>SYS :2017/01/11 06:22:56.629:ENFORCEMENT:Predictive Enforcement Action:  Target Number: 0000E004  Target Speed:   0.0  Current Speed:  38.0</t>
  </si>
  <si>
    <t>SYS :2017/01/11 06:22:56.669:ENFORCEMENT:Predictive Enforcement Action:  Target Number: 0000E004  Target Speed:   0.0  Current Speed:  38.0</t>
  </si>
  <si>
    <t>Form C, banner without braking</t>
  </si>
  <si>
    <t>Overspeed</t>
  </si>
  <si>
    <t>http://stevetu21.github.io/eaglep3/load_kml.html?kml=http://rtdc.gmaps-snips.s3.amazonaws.com/e7e1d881-8a4b-45e4-8835-b5cff48ae2c1.kml</t>
  </si>
  <si>
    <t>EC0386RH offline due to maintenance to mitigate crossing gate / OCS contact @ Dahlia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</si>
</sst>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0" fontId="8" fillId="4" borderId="9" xfId="1" applyNumberFormat="1" applyFont="1" applyFill="1" applyBorder="1" applyAlignment="1">
      <alignment horizontal="center"/>
    </xf>
    <xf numFmtId="0" fontId="8" fillId="4" borderId="0" xfId="1" applyNumberFormat="1" applyFont="1" applyFill="1" applyBorder="1" applyAlignment="1">
      <alignment horizontal="center"/>
    </xf>
    <xf numFmtId="0" fontId="8" fillId="0" borderId="10" xfId="1" applyNumberFormat="1" applyFont="1" applyFill="1" applyBorder="1" applyAlignment="1">
      <alignment wrapText="1"/>
    </xf>
    <xf numFmtId="0" fontId="8" fillId="0" borderId="10" xfId="1" applyNumberFormat="1" applyFont="1" applyFill="1" applyBorder="1" applyAlignment="1">
      <alignment horizontal="right" wrapText="1"/>
    </xf>
    <xf numFmtId="0" fontId="0" fillId="0" borderId="0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41"/>
  <sheetViews>
    <sheetView tabSelected="1" workbookViewId="0"/>
  </sheetViews>
  <sheetFormatPr defaultRowHeight="15" x14ac:dyDescent="0.25"/>
  <cols>
    <col min="1" max="1" width="8" style="36" customWidth="1"/>
    <col min="2" max="2" width="6.140625" style="38" customWidth="1"/>
    <col min="3" max="3" width="13.5703125" style="28" hidden="1" customWidth="1"/>
    <col min="4" max="4" width="16.140625" style="28" hidden="1" customWidth="1"/>
    <col min="5" max="5" width="19.5703125" style="35" hidden="1" customWidth="1"/>
    <col min="6" max="6" width="18.28515625" style="35" customWidth="1"/>
    <col min="7" max="7" width="4.85546875" style="38" hidden="1" customWidth="1"/>
    <col min="8" max="8" width="22.140625" style="35" hidden="1" customWidth="1"/>
    <col min="9" max="9" width="18.5703125" style="35" customWidth="1"/>
    <col min="10" max="10" width="7.28515625" style="38" customWidth="1"/>
    <col min="11" max="11" width="10.42578125" style="28" customWidth="1"/>
    <col min="12" max="12" width="11.5703125" style="28" customWidth="1"/>
    <col min="13" max="13" width="7.42578125" style="37" customWidth="1"/>
    <col min="14" max="14" width="3.28515625" style="38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2" customWidth="1"/>
    <col min="23" max="23" width="3.85546875" style="20" customWidth="1"/>
    <col min="24" max="24" width="6.5703125" style="171" customWidth="1"/>
    <col min="25" max="25" width="11.5703125" style="62" bestFit="1" customWidth="1"/>
    <col min="26" max="26" width="7.28515625" style="62" customWidth="1"/>
    <col min="27" max="27" width="9.140625" style="62"/>
    <col min="28" max="28" width="10.7109375" style="59" hidden="1" customWidth="1"/>
    <col min="29" max="29" width="9.42578125" style="53" hidden="1" customWidth="1"/>
    <col min="30" max="30" width="7.85546875" style="54" customWidth="1"/>
    <col min="31" max="31" width="4.5703125" style="85" customWidth="1"/>
    <col min="32" max="32" width="6.28515625" style="82" customWidth="1"/>
    <col min="33" max="33" width="5.42578125" customWidth="1"/>
    <col min="34" max="34" width="5" style="88" customWidth="1"/>
    <col min="35" max="35" width="5.7109375" style="107" customWidth="1"/>
    <col min="36" max="36" width="9.85546875" customWidth="1"/>
    <col min="37" max="37" width="7.7109375" customWidth="1"/>
    <col min="38" max="38" width="7.85546875" customWidth="1"/>
    <col min="39" max="39" width="9.140625" style="180"/>
  </cols>
  <sheetData>
    <row r="1" spans="1:91" s="21" customFormat="1" ht="15.75" thickBot="1" x14ac:dyDescent="0.3">
      <c r="A1" s="36"/>
      <c r="B1" s="38"/>
      <c r="C1" s="28"/>
      <c r="D1" s="28"/>
      <c r="E1" s="35"/>
      <c r="F1" s="35"/>
      <c r="G1" s="38"/>
      <c r="H1" s="35"/>
      <c r="I1" s="35" t="s">
        <v>105</v>
      </c>
      <c r="J1" s="38"/>
      <c r="K1" s="28"/>
      <c r="L1" s="28"/>
      <c r="M1" s="37"/>
      <c r="N1" s="38"/>
      <c r="O1" s="2"/>
      <c r="P1" s="2"/>
      <c r="R1" s="35" t="s">
        <v>106</v>
      </c>
      <c r="S1" s="38"/>
      <c r="T1" s="28"/>
      <c r="U1" s="161"/>
      <c r="V1" s="37"/>
      <c r="W1" s="38"/>
      <c r="X1" s="165"/>
      <c r="Y1" s="62"/>
      <c r="Z1" s="62"/>
      <c r="AA1" s="62"/>
      <c r="AB1" s="59"/>
      <c r="AC1" s="53"/>
      <c r="AD1" s="54"/>
      <c r="AE1" s="1"/>
      <c r="AF1" s="1"/>
      <c r="AG1" s="1"/>
      <c r="AH1" s="50"/>
      <c r="AI1" s="1"/>
      <c r="AM1" s="180"/>
    </row>
    <row r="2" spans="1:91" s="21" customFormat="1" ht="15.75" thickBot="1" x14ac:dyDescent="0.3">
      <c r="A2" s="36"/>
      <c r="B2" s="38"/>
      <c r="C2" s="28"/>
      <c r="D2" s="28"/>
      <c r="E2" s="35"/>
      <c r="F2" s="35"/>
      <c r="G2" s="38"/>
      <c r="H2" s="35"/>
      <c r="I2" s="67">
        <f>Variables!$A$2</f>
        <v>42745</v>
      </c>
      <c r="J2" s="68"/>
      <c r="K2" s="69"/>
      <c r="L2" s="69"/>
      <c r="M2" s="70" t="s">
        <v>8</v>
      </c>
      <c r="N2" s="71"/>
      <c r="O2" s="72"/>
      <c r="P2" s="2"/>
      <c r="R2" s="67">
        <f>Variables!$A$2</f>
        <v>42745</v>
      </c>
      <c r="S2" s="68"/>
      <c r="T2" s="69"/>
      <c r="U2" s="162"/>
      <c r="V2" s="90" t="s">
        <v>8</v>
      </c>
      <c r="W2" s="71"/>
      <c r="X2" s="168"/>
      <c r="Y2" s="62"/>
      <c r="Z2" s="62"/>
      <c r="AA2" s="62"/>
      <c r="AB2" s="59"/>
      <c r="AC2" s="53"/>
      <c r="AD2" s="54"/>
      <c r="AE2" s="1"/>
      <c r="AF2" s="1"/>
      <c r="AG2" s="1"/>
      <c r="AH2" s="50"/>
      <c r="AI2" s="1"/>
      <c r="AM2" s="180"/>
    </row>
    <row r="3" spans="1:91" s="21" customFormat="1" ht="15.75" thickBot="1" x14ac:dyDescent="0.3">
      <c r="A3" s="36"/>
      <c r="B3" s="38"/>
      <c r="C3" s="28"/>
      <c r="D3" s="28"/>
      <c r="E3" s="35"/>
      <c r="F3" s="35"/>
      <c r="G3" s="38"/>
      <c r="H3" s="35"/>
      <c r="I3" s="73" t="s">
        <v>10</v>
      </c>
      <c r="J3" s="74"/>
      <c r="K3" s="75"/>
      <c r="L3" s="75"/>
      <c r="M3" s="39" t="s">
        <v>11</v>
      </c>
      <c r="N3" s="40" t="s">
        <v>12</v>
      </c>
      <c r="O3" s="3" t="s">
        <v>13</v>
      </c>
      <c r="P3" s="2"/>
      <c r="R3" s="73" t="s">
        <v>10</v>
      </c>
      <c r="S3" s="74"/>
      <c r="T3" s="75"/>
      <c r="U3" s="163"/>
      <c r="V3" s="39" t="s">
        <v>11</v>
      </c>
      <c r="W3" s="40" t="s">
        <v>12</v>
      </c>
      <c r="X3" s="169" t="s">
        <v>13</v>
      </c>
      <c r="Y3" s="62"/>
      <c r="Z3" s="62"/>
      <c r="AA3" s="62"/>
      <c r="AB3" s="59"/>
      <c r="AC3" s="53"/>
      <c r="AD3" s="54"/>
      <c r="AE3" s="1"/>
      <c r="AF3" s="1"/>
      <c r="AG3" s="1"/>
      <c r="AH3" s="50"/>
      <c r="AI3" s="1"/>
      <c r="AM3" s="180"/>
    </row>
    <row r="4" spans="1:91" s="21" customFormat="1" ht="15.75" thickBot="1" x14ac:dyDescent="0.3">
      <c r="A4" s="36"/>
      <c r="B4" s="38"/>
      <c r="C4" s="28"/>
      <c r="D4" s="28"/>
      <c r="E4" s="35"/>
      <c r="F4" s="35"/>
      <c r="G4" s="38"/>
      <c r="H4" s="35"/>
      <c r="I4" s="76" t="s">
        <v>14</v>
      </c>
      <c r="J4" s="52">
        <f>SUM(J5:J7)</f>
        <v>142</v>
      </c>
      <c r="K4" s="41"/>
      <c r="L4" s="41"/>
      <c r="M4" s="42" t="s">
        <v>15</v>
      </c>
      <c r="N4" s="40" t="s">
        <v>15</v>
      </c>
      <c r="O4" s="3" t="s">
        <v>15</v>
      </c>
      <c r="P4" s="2"/>
      <c r="R4" s="76" t="s">
        <v>14</v>
      </c>
      <c r="S4" s="52">
        <f>SUM(S5:S7)</f>
        <v>47</v>
      </c>
      <c r="T4" s="41"/>
      <c r="U4" s="164"/>
      <c r="V4" s="42" t="s">
        <v>15</v>
      </c>
      <c r="W4" s="40" t="s">
        <v>15</v>
      </c>
      <c r="X4" s="169" t="s">
        <v>15</v>
      </c>
      <c r="Y4" s="62"/>
      <c r="Z4" s="62"/>
      <c r="AA4" s="62"/>
      <c r="AB4" s="59"/>
      <c r="AC4" s="53"/>
      <c r="AD4" s="54"/>
      <c r="AE4" s="1"/>
      <c r="AF4" s="1"/>
      <c r="AG4" s="1"/>
      <c r="AH4" s="50"/>
      <c r="AI4" s="1"/>
      <c r="AM4" s="180"/>
    </row>
    <row r="5" spans="1:91" s="21" customFormat="1" ht="15.75" thickBot="1" x14ac:dyDescent="0.3">
      <c r="A5" s="36"/>
      <c r="B5" s="38"/>
      <c r="C5" s="28"/>
      <c r="D5" s="28"/>
      <c r="E5" s="35"/>
      <c r="F5" s="35"/>
      <c r="G5" s="38"/>
      <c r="H5" s="35"/>
      <c r="I5" s="76" t="s">
        <v>17</v>
      </c>
      <c r="J5" s="52">
        <f>COUNTIFS($N$13:$N$9354,"&gt;0",$AG$13:$AG$9354,I1)</f>
        <v>133</v>
      </c>
      <c r="K5" s="41"/>
      <c r="L5" s="41"/>
      <c r="M5" s="42">
        <f>AVERAGEIFS($N$13:$N$9354,$AG$13:$AG$9354,I1)</f>
        <v>40.109022555967329</v>
      </c>
      <c r="N5" s="40">
        <f t="array" ref="N5">MIN(IF($AG$13:$AG$9354=I1,IF(ISNUMBER($N$13:$N$9354),IF($N$13:$N$9354&gt;0,$N$13:$N$9354))))</f>
        <v>34.799999993992969</v>
      </c>
      <c r="O5" s="3">
        <f t="array" ref="O5">MAX(IF($AG$13:$AG$9354=I1,IF(ISNUMBER($N$13:$N$9354),IF($N$13:$N$9354&gt;0,$N$13:$N$9354))))</f>
        <v>56.849999993573874</v>
      </c>
      <c r="P5" s="2"/>
      <c r="R5" s="76" t="s">
        <v>17</v>
      </c>
      <c r="S5" s="52">
        <f>COUNTIFS($N$13:$N$9354,"&gt;0",$AG$13:$AG$9354,R1)</f>
        <v>47</v>
      </c>
      <c r="T5" s="41"/>
      <c r="U5" s="164"/>
      <c r="V5" s="42">
        <f>AVERAGEIFS($N$13:$N$9354,$AG$13:$AG$9354,R1)</f>
        <v>15.31985815641708</v>
      </c>
      <c r="W5" s="40">
        <f t="array" ref="W5">MIN(IF($AG$13:$AG$9354=R1,IF(ISNUMBER($N$13:$N$9354),IF($N$13:$N$9354&gt;0,$N$13:$N$9354))))</f>
        <v>12.983333340380341</v>
      </c>
      <c r="X5" s="169">
        <f t="array" ref="X5">MAX(IF($AG$13:$AG$9354=R1,IF(ISNUMBER($N$13:$N$9354),IF($N$13:$N$9354&gt;0,$N$13:$N$9354))))</f>
        <v>19.233333334559575</v>
      </c>
      <c r="Y5" s="62"/>
      <c r="Z5" s="62"/>
      <c r="AA5" s="62"/>
      <c r="AB5" s="59"/>
      <c r="AC5" s="53"/>
      <c r="AD5" s="54"/>
      <c r="AE5" s="1"/>
      <c r="AF5" s="1"/>
      <c r="AG5" s="1"/>
      <c r="AH5" s="50"/>
      <c r="AI5" s="1"/>
      <c r="AM5" s="180"/>
    </row>
    <row r="6" spans="1:91" s="21" customFormat="1" ht="15.75" thickBot="1" x14ac:dyDescent="0.3">
      <c r="A6" s="36"/>
      <c r="B6" s="38"/>
      <c r="C6" s="28"/>
      <c r="D6" s="28"/>
      <c r="E6" s="35"/>
      <c r="F6" s="35"/>
      <c r="G6" s="38"/>
      <c r="H6" s="35"/>
      <c r="I6" s="77" t="s">
        <v>43</v>
      </c>
      <c r="J6" s="52">
        <f>COUNT($O$13:$O$130)</f>
        <v>0</v>
      </c>
      <c r="K6" s="41"/>
      <c r="L6" s="41"/>
      <c r="M6" s="42">
        <f>IFERROR(AVERAGE($O$13:$O$130),0)</f>
        <v>0</v>
      </c>
      <c r="N6" s="40">
        <f>MIN($O$13:$O$130)</f>
        <v>0</v>
      </c>
      <c r="O6" s="3">
        <f>MAX($O$13:$O$130)</f>
        <v>0</v>
      </c>
      <c r="P6" s="2"/>
      <c r="R6" s="77" t="s">
        <v>43</v>
      </c>
      <c r="S6" s="52">
        <f>COUNT($O$13:$O$130)</f>
        <v>0</v>
      </c>
      <c r="T6" s="41"/>
      <c r="U6" s="164"/>
      <c r="V6" s="42">
        <f>IFERROR(AVERAGE($O$13:$O$130),0)</f>
        <v>0</v>
      </c>
      <c r="W6" s="40">
        <f>MIN($O$13:$O$130)</f>
        <v>0</v>
      </c>
      <c r="X6" s="169">
        <f>MAX($O$13:$O$130)</f>
        <v>0</v>
      </c>
      <c r="Y6" s="62"/>
      <c r="Z6" s="62"/>
      <c r="AA6" s="62"/>
      <c r="AB6" s="59"/>
      <c r="AC6" s="53"/>
      <c r="AD6" s="54"/>
      <c r="AE6" s="1"/>
      <c r="AF6" s="1"/>
      <c r="AG6" s="1"/>
      <c r="AH6" s="50"/>
      <c r="AI6" s="1"/>
      <c r="AM6" s="180"/>
    </row>
    <row r="7" spans="1:91" s="21" customFormat="1" ht="15.75" thickBot="1" x14ac:dyDescent="0.3">
      <c r="A7" s="36"/>
      <c r="B7" s="38"/>
      <c r="C7" s="28"/>
      <c r="D7" s="28"/>
      <c r="E7" s="35"/>
      <c r="F7" s="35"/>
      <c r="G7" s="38"/>
      <c r="H7" s="35"/>
      <c r="I7" s="78" t="s">
        <v>9</v>
      </c>
      <c r="J7" s="52">
        <f>COUNTIFS($P$13:$P$9354,"&gt;0",$AG$13:$AG$9354,I1)</f>
        <v>9</v>
      </c>
      <c r="K7" s="41"/>
      <c r="L7" s="41"/>
      <c r="M7" s="40" t="s">
        <v>15</v>
      </c>
      <c r="N7" s="40" t="s">
        <v>15</v>
      </c>
      <c r="O7" s="3" t="s">
        <v>15</v>
      </c>
      <c r="P7" s="2"/>
      <c r="R7" s="78" t="s">
        <v>9</v>
      </c>
      <c r="S7" s="52">
        <f>COUNTIFS($P$13:$P$9354,"&gt;0",$AG$13:$AG$9354,R1)</f>
        <v>0</v>
      </c>
      <c r="T7" s="41"/>
      <c r="U7" s="164"/>
      <c r="V7" s="42" t="s">
        <v>15</v>
      </c>
      <c r="W7" s="40" t="s">
        <v>15</v>
      </c>
      <c r="X7" s="169" t="s">
        <v>15</v>
      </c>
      <c r="Y7" s="62"/>
      <c r="Z7" s="62"/>
      <c r="AA7" s="62"/>
      <c r="AB7" s="59"/>
      <c r="AC7" s="53"/>
      <c r="AD7" s="54"/>
      <c r="AE7" s="1"/>
      <c r="AF7" s="1"/>
      <c r="AG7" s="1"/>
      <c r="AH7" s="50"/>
      <c r="AI7" s="1"/>
      <c r="AM7" s="180"/>
    </row>
    <row r="8" spans="1:91" s="21" customFormat="1" ht="15.75" thickBot="1" x14ac:dyDescent="0.3">
      <c r="A8" s="36"/>
      <c r="B8" s="38"/>
      <c r="C8" s="28"/>
      <c r="D8" s="28"/>
      <c r="E8" s="35"/>
      <c r="F8" s="35"/>
      <c r="G8" s="38"/>
      <c r="H8" s="35"/>
      <c r="I8" s="76" t="s">
        <v>16</v>
      </c>
      <c r="J8" s="52">
        <f>J5</f>
        <v>133</v>
      </c>
      <c r="K8" s="41"/>
      <c r="L8" s="41"/>
      <c r="M8" s="42">
        <f>M5</f>
        <v>40.109022555967329</v>
      </c>
      <c r="N8" s="40">
        <f>N5</f>
        <v>34.799999993992969</v>
      </c>
      <c r="O8" s="3">
        <f>O5</f>
        <v>56.849999993573874</v>
      </c>
      <c r="P8" s="2"/>
      <c r="R8" s="76" t="s">
        <v>16</v>
      </c>
      <c r="S8" s="52">
        <f>S5</f>
        <v>47</v>
      </c>
      <c r="T8" s="41"/>
      <c r="U8" s="164"/>
      <c r="V8" s="42">
        <f>V5</f>
        <v>15.31985815641708</v>
      </c>
      <c r="W8" s="40">
        <f>W5</f>
        <v>12.983333340380341</v>
      </c>
      <c r="X8" s="169">
        <f>X5</f>
        <v>19.233333334559575</v>
      </c>
      <c r="Y8" s="62"/>
      <c r="Z8" s="62"/>
      <c r="AA8" s="62"/>
      <c r="AB8" s="59"/>
      <c r="AC8" s="53"/>
      <c r="AD8" s="54"/>
      <c r="AE8" s="1"/>
      <c r="AF8" s="1"/>
      <c r="AG8" s="1"/>
      <c r="AH8" s="50"/>
      <c r="AI8" s="1"/>
      <c r="AM8" s="180"/>
    </row>
    <row r="9" spans="1:91" s="21" customFormat="1" ht="15.75" thickBot="1" x14ac:dyDescent="0.3">
      <c r="A9" s="36"/>
      <c r="B9" s="38"/>
      <c r="C9" s="28"/>
      <c r="D9" s="28"/>
      <c r="E9" s="35"/>
      <c r="F9" s="35"/>
      <c r="G9" s="38"/>
      <c r="H9" s="35"/>
      <c r="I9" s="76" t="s">
        <v>19</v>
      </c>
      <c r="J9" s="142">
        <f>J8/J4</f>
        <v>0.93661971830985913</v>
      </c>
      <c r="K9" s="43"/>
      <c r="L9" s="43"/>
      <c r="M9" s="79"/>
      <c r="N9" s="38"/>
      <c r="O9" s="80"/>
      <c r="P9" s="2"/>
      <c r="R9" s="76" t="s">
        <v>19</v>
      </c>
      <c r="S9" s="142">
        <f>S8/S4</f>
        <v>1</v>
      </c>
      <c r="T9" s="43"/>
      <c r="U9" s="161"/>
      <c r="V9" s="79"/>
      <c r="W9" s="38"/>
      <c r="X9" s="170"/>
      <c r="Y9" s="62"/>
      <c r="Z9" s="62"/>
      <c r="AA9" s="62"/>
      <c r="AB9" s="59"/>
      <c r="AC9" s="53"/>
      <c r="AD9" s="54"/>
      <c r="AE9" s="1"/>
      <c r="AF9" s="1"/>
      <c r="AG9" s="1"/>
      <c r="AH9" s="50"/>
      <c r="AI9" s="1"/>
      <c r="AM9" s="180"/>
    </row>
    <row r="10" spans="1:91" s="21" customFormat="1" x14ac:dyDescent="0.25">
      <c r="A10" s="36"/>
      <c r="B10" s="38"/>
      <c r="C10" s="28"/>
      <c r="D10" s="28"/>
      <c r="E10" s="35"/>
      <c r="F10" s="35"/>
      <c r="G10" s="38"/>
      <c r="H10" s="35"/>
      <c r="I10" s="35"/>
      <c r="J10" s="38"/>
      <c r="K10" s="28"/>
      <c r="L10" s="28"/>
      <c r="M10" s="37"/>
      <c r="N10" s="38"/>
      <c r="O10" s="2"/>
      <c r="P10" s="2"/>
      <c r="U10" s="165"/>
      <c r="V10" s="91"/>
      <c r="W10" s="20"/>
      <c r="X10" s="171"/>
      <c r="Y10" s="62"/>
      <c r="Z10" s="62"/>
      <c r="AA10" s="62"/>
      <c r="AB10" s="59"/>
      <c r="AC10" s="53"/>
      <c r="AD10" s="54"/>
      <c r="AE10" s="1"/>
      <c r="AF10" s="1"/>
      <c r="AG10" s="1"/>
      <c r="AH10" s="50"/>
      <c r="AI10" s="1"/>
      <c r="AM10" s="180"/>
    </row>
    <row r="11" spans="1:91" ht="16.5" thickBot="1" x14ac:dyDescent="0.3">
      <c r="A11" s="189" t="str">
        <f>"Eagle P3 System Performance - "&amp;TEXT(Variables!A2,"yyyy-mm-dd")</f>
        <v>Eagle P3 System Performance - 2017-01-10</v>
      </c>
      <c r="B11" s="189"/>
      <c r="C11" s="189"/>
      <c r="D11" s="189"/>
      <c r="E11" s="189"/>
      <c r="F11" s="189"/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S11" s="66">
        <f>AVERAGE(S13:S94)</f>
        <v>1</v>
      </c>
      <c r="V11" s="91"/>
      <c r="AE11" s="1"/>
      <c r="AF11" s="1"/>
      <c r="AG11" s="1"/>
      <c r="AH11" s="50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1" t="s">
        <v>64</v>
      </c>
      <c r="U12" s="166" t="s">
        <v>65</v>
      </c>
      <c r="V12" s="93" t="s">
        <v>45</v>
      </c>
      <c r="W12" s="48" t="s">
        <v>23</v>
      </c>
      <c r="X12" s="172" t="s">
        <v>48</v>
      </c>
      <c r="Y12" s="63" t="s">
        <v>20</v>
      </c>
      <c r="Z12" s="63" t="s">
        <v>21</v>
      </c>
      <c r="AA12" s="63" t="s">
        <v>22</v>
      </c>
      <c r="AB12" s="60" t="s">
        <v>39</v>
      </c>
      <c r="AC12" s="56" t="s">
        <v>40</v>
      </c>
      <c r="AD12" s="55" t="s">
        <v>82</v>
      </c>
      <c r="AE12" s="86" t="s">
        <v>89</v>
      </c>
      <c r="AF12" s="83" t="s">
        <v>94</v>
      </c>
      <c r="AG12" s="4" t="s">
        <v>107</v>
      </c>
      <c r="AH12" s="89" t="s">
        <v>109</v>
      </c>
      <c r="AI12" s="114" t="s">
        <v>148</v>
      </c>
      <c r="AJ12" s="48" t="s">
        <v>149</v>
      </c>
      <c r="AK12" s="48" t="s">
        <v>122</v>
      </c>
      <c r="AL12" s="48" t="s">
        <v>150</v>
      </c>
      <c r="AM12" s="181" t="s">
        <v>284</v>
      </c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4" t="s">
        <v>461</v>
      </c>
      <c r="B13" s="7">
        <v>4016</v>
      </c>
      <c r="C13" s="22" t="s">
        <v>202</v>
      </c>
      <c r="D13" s="22" t="s">
        <v>664</v>
      </c>
      <c r="E13" s="13">
        <v>42745.129560185182</v>
      </c>
      <c r="F13" s="13">
        <v>42745.135821759257</v>
      </c>
      <c r="G13" s="7">
        <v>1</v>
      </c>
      <c r="H13" s="22" t="s">
        <v>665</v>
      </c>
      <c r="I13" s="13">
        <v>42745.162199074075</v>
      </c>
      <c r="J13" s="7">
        <v>0</v>
      </c>
      <c r="K13" s="105" t="str">
        <f t="shared" ref="K13:K76" si="0">IF(ISEVEN(B13),(B13-1)&amp;"/"&amp;B13,B13&amp;"/"&amp;(B13+1))</f>
        <v>4015/4016</v>
      </c>
      <c r="L13" s="22" t="str">
        <f>VLOOKUP(A13,'Trips&amp;Operators'!$C$1:$G$99999,5,FALSE)</f>
        <v>CUSHING HARRY</v>
      </c>
      <c r="M13" s="6">
        <f t="shared" ref="M13:M76" si="1">I13-F13</f>
        <v>2.6377314818091691E-2</v>
      </c>
      <c r="N13" s="7">
        <f t="shared" ref="N13:N27" si="2">24*60*SUM($M13:$M13)</f>
        <v>37.983333338052034</v>
      </c>
      <c r="O13" s="7"/>
      <c r="P13" s="7"/>
      <c r="Q13" s="23"/>
      <c r="R13" s="23"/>
      <c r="S13" s="32">
        <f t="shared" ref="S13:S44" si="3">SUM(U13:U13)/IF(AG13="EC",12,1)</f>
        <v>1</v>
      </c>
      <c r="T13" s="47" t="str">
        <f t="shared" ref="T13:T76" si="4">IF(ISEVEN(LEFT(AD13,4)),"Southbound","NorthBound")</f>
        <v>NorthBound</v>
      </c>
      <c r="U13" s="16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4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https://search-rtdc-monitor-bjffxe2xuh6vdkpspy63sjmuny.us-east-1.es.amazonaws.com/_plugin/kibana/#/discover/Steve-Slow-Train-Analysis-(2080s-and-2083s)?_g=(refreshInterval:(display:Off,section:0,value:0),time:(from:'2017-01-10 02:06:34-700',mode:absolute,to:'2017-01-10 04:53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3" s="49" t="str">
        <f t="shared" ref="W13:W76" si="6">IF(AA13&lt;IF(AG13="EC",23,5.65),"Y","N")</f>
        <v>N</v>
      </c>
      <c r="X13" s="173" t="e">
        <f t="shared" ref="X13:X18" si="7">VALUE(LEFT(AD13,4))-VALUE(LEFT(AD12,4))</f>
        <v>#VALUE!</v>
      </c>
      <c r="Y13" s="64">
        <f t="shared" ref="Y13:Y76" si="8">RIGHT(D13,LEN(D13)-4)/10000</f>
        <v>6.9699999999999998E-2</v>
      </c>
      <c r="Z13" s="64">
        <f t="shared" ref="Z13:Z76" si="9">RIGHT(H13,LEN(H13)-4)/10000</f>
        <v>23.327000000000002</v>
      </c>
      <c r="AA13" s="64">
        <f t="shared" ref="AA13:AA76" si="10">ABS(Z13-Y13)</f>
        <v>23.257300000000001</v>
      </c>
      <c r="AB13" s="61" t="e">
        <f>VLOOKUP(A13,Enforcements!$C$7:$K$17,8,0)</f>
        <v>#N/A</v>
      </c>
      <c r="AC13" s="57" t="e">
        <f>VLOOKUP(A13,Enforcements!$C$7:$E$17,3,0)</f>
        <v>#N/A</v>
      </c>
      <c r="AD13" s="58" t="str">
        <f t="shared" ref="AD13:AD76" si="11">IF(LEN(A13)=6,"0"&amp;A13,A13)</f>
        <v>0101-10</v>
      </c>
      <c r="AE13" s="87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s3://rtdc.mdm.uploadarchive.raw/RTDC4016/ "%USERPROFILE%\AppData\Local\Temp\OnboardLogs"\RTDC4016\2017-01-10 --exclude "*" --recursive --include "*20170110*" &amp; "%USERPROFILE%\Documents\GitHub\mrs-test-scripts\Headless Mode &amp; Sideloading\WalkAndUnGZ.bat" "%USERPROFILE%\AppData\Local\Temp\OnboardLogs"\RTDC4016\2017-01-10 &amp; aws s3 cp s3://rtdc.mdm.uploadarchive.raw/RTDC4016/ "%USERPROFILE%\AppData\Local\Temp\OnboardLogs"\RTDC4016\2017-01-11 --exclude "*" --recursive --include "*20170111*" &amp; "%USERPROFILE%\Documents\GitHub\mrs-test-scripts\Headless Mode &amp; Sideloading\WalkAndUnGZ.bat" "%USERPROFILE%\AppData\Local\Temp\OnboardLogs"\RTDC4016\2017-01-11</v>
      </c>
      <c r="AF13" s="84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/stypes="app*4016*20170110*" /stext=" 10:.+((SYSTEM_STATE.+slice.+state.+changed )|(ment ac)|(multiple cpu faults)|(system.+state.+changed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88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101-10 --locoid 4016 --swversion DE.1.0.8.0 --startMP 204:697 --initTime 2017-01-10T03:06:34 --startdatetime 2017-01-10T03:15:35 --delay 1 --endMP 204:233270 --enddatetime 2017-01-10T03:53:34 --enforcementcount 0 &gt;&gt;C:\Users\stu\Documents\GitHub\eaglep3-reporting\EC\2017-01-10-refined-times.txt</v>
      </c>
      <c r="AI13" s="115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{"issue":{"subject":"","project_id":79,"tracker_id":40,"status_id":1,"priority_id":2,"assigned_to_id":23,"start_date":"2017-01-10","description":"","custom_fields":[{"id":1,"name":"Subdivision","value":"EC"},{"id":4,"name":"Milepost","value":"23.327"},{"id":17,"name":"Train ID","value":"101-10"},{"id":16,"name":"Locomotive ID","value":"4016"},{"id":130,"name":"Impact","value":""},{"id":150,"name":"Time of Event (Mountain Time)","value":"03:53:34"},{"id":151,"name":"Denver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0"/>
      <c r="AK13" s="50"/>
      <c r="AL13" s="50"/>
      <c r="AM13" s="180" t="str">
        <f t="shared" ref="AM13" si="17">"start /low /b "&amp;dls3logs&amp;" --loco "&amp;B13&amp;" --day "&amp;TEXT(F13,"YYYY-MM-DD")</f>
        <v>start /low /b %USERPROFILE%\Documents\GitHub\eaglep3\Utilities\DownloadLogsFromS3.py --loco 4016 --day 2017-01-10</v>
      </c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4" t="s">
        <v>464</v>
      </c>
      <c r="B14" s="7">
        <v>4008</v>
      </c>
      <c r="C14" s="22" t="s">
        <v>202</v>
      </c>
      <c r="D14" s="22" t="s">
        <v>666</v>
      </c>
      <c r="E14" s="13">
        <v>42745.169050925928</v>
      </c>
      <c r="F14" s="13">
        <v>42745.174583333333</v>
      </c>
      <c r="G14" s="7">
        <v>1</v>
      </c>
      <c r="H14" s="22" t="s">
        <v>308</v>
      </c>
      <c r="I14" s="13">
        <v>42745.203969907408</v>
      </c>
      <c r="J14" s="7">
        <v>0</v>
      </c>
      <c r="K14" s="105" t="str">
        <f t="shared" si="0"/>
        <v>4007/4008</v>
      </c>
      <c r="L14" s="22" t="str">
        <f>VLOOKUP(A14,'Trips&amp;Operators'!$C$1:$G$99999,5,FALSE)</f>
        <v>CUSHING HARRY</v>
      </c>
      <c r="M14" s="6">
        <f t="shared" si="1"/>
        <v>2.9386574075033423E-2</v>
      </c>
      <c r="N14" s="7">
        <f t="shared" si="2"/>
        <v>42.316666668048128</v>
      </c>
      <c r="O14" s="7"/>
      <c r="P14" s="7"/>
      <c r="Q14" s="23"/>
      <c r="R14" s="23"/>
      <c r="S14" s="32">
        <f t="shared" si="3"/>
        <v>1</v>
      </c>
      <c r="T14" s="47" t="str">
        <f t="shared" si="4"/>
        <v>Southbound</v>
      </c>
      <c r="U14" s="167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https://search-rtdc-monitor-bjffxe2xuh6vdkpspy63sjmuny.us-east-1.es.amazonaws.com/_plugin/kibana/#/discover/Steve-Slow-Train-Analysis-(2080s-and-2083s)?_g=(refreshInterval:(display:Off,section:0,value:0),time:(from:'2017-01-10 03:03:26-700',mode:absolute,to:'2017-01-10 05:53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4" s="49" t="str">
        <f t="shared" si="6"/>
        <v>N</v>
      </c>
      <c r="X14" s="173">
        <f t="shared" si="7"/>
        <v>1</v>
      </c>
      <c r="Y14" s="64">
        <f t="shared" si="8"/>
        <v>23.263200000000001</v>
      </c>
      <c r="Z14" s="64">
        <f t="shared" si="9"/>
        <v>1.3599999999999999E-2</v>
      </c>
      <c r="AA14" s="64">
        <f t="shared" si="10"/>
        <v>23.249600000000001</v>
      </c>
      <c r="AB14" s="61" t="e">
        <f>VLOOKUP(A14,Enforcements!$C$7:$K$17,8,0)</f>
        <v>#N/A</v>
      </c>
      <c r="AC14" s="57" t="e">
        <f>VLOOKUP(A14,Enforcements!$C$7:$E$17,3,0)</f>
        <v>#N/A</v>
      </c>
      <c r="AD14" s="58" t="str">
        <f t="shared" si="11"/>
        <v>0102-10</v>
      </c>
      <c r="AE14" s="87" t="str">
        <f t="shared" si="12"/>
        <v>aws s3 cp s3://rtdc.mdm.uploadarchive.raw/RTDC4008/ "%USERPROFILE%\AppData\Local\Temp\OnboardLogs"\RTDC4008\2017-01-10 --exclude "*" --recursive --include "*20170110*" &amp; "%USERPROFILE%\Documents\GitHub\mrs-test-scripts\Headless Mode &amp; Sideloading\WalkAndUnGZ.bat" "%USERPROFILE%\AppData\Local\Temp\OnboardLogs"\RTDC4008\2017-01-10 &amp; aws s3 cp s3://rtdc.mdm.uploadarchive.raw/RTDC4008/ "%USERPROFILE%\AppData\Local\Temp\OnboardLogs"\RTDC4008\2017-01-11 --exclude "*" --recursive --include "*20170111*" &amp; "%USERPROFILE%\Documents\GitHub\mrs-test-scripts\Headless Mode &amp; Sideloading\WalkAndUnGZ.bat" "%USERPROFILE%\AppData\Local\Temp\OnboardLogs"\RTDC4008\2017-01-11</v>
      </c>
      <c r="AF14" s="84" t="str">
        <f t="shared" si="13"/>
        <v>"C:\Program Files (x86)\AstroGrep\AstroGrep.exe" /spath="%USERPROFILE%\AppData\Local\Temp\OnboardLogs" /stypes="app*4008*20170110*" /stext=" 11:.+((SYSTEM_STATE.+slice.+state.+changed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88" t="str">
        <f t="shared" ref="AH14:AH76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102-10 --locoid 4008 --swversion DE.1.0.8.0 --startMP 204:232632 --initTime 2017-01-10T04:03:26 --startdatetime 2017-01-10T04:11:24 --delay 1 --endMP 204:136 --enddatetime 2017-01-10T04:53:43 --enforcementcount 0 &gt;&gt;C:\Users\stu\Documents\GitHub\eaglep3-reporting\EC\2017-01-10-refined-times.txt</v>
      </c>
      <c r="AI14" s="115" t="str">
        <f t="shared" ref="AI14:AI76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{"issue":{"subject":"","project_id":79,"tracker_id":40,"status_id":1,"priority_id":2,"assigned_to_id":23,"start_date":"2017-01-10","description":"","custom_fields":[{"id":1,"name":"Subdivision","value":"EC"},{"id":4,"name":"Milepost","value":"0.0136"},{"id":17,"name":"Train ID","value":"102-10"},{"id":16,"name":"Locomotive ID","value":"4008"},{"id":130,"name":"Impact","value":""},{"id":150,"name":"Time of Event (Mountain Time)","value":"04:53:43"},{"id":151,"name":"Denver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0"/>
      <c r="AK14" s="50"/>
      <c r="AL14" s="50"/>
      <c r="AM14" s="180" t="str">
        <f t="shared" ref="AM14:AM76" si="20">"start /low /b "&amp;dls3logs&amp;" --loco "&amp;B14&amp;" --day "&amp;TEXT(F14,"YYYY-MM-DD")</f>
        <v>start /low /b %USERPROFILE%\Documents\GitHub\eaglep3\Utilities\DownloadLogsFromS3.py --loco 4008 --day 2017-01-10</v>
      </c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4" t="s">
        <v>463</v>
      </c>
      <c r="B15" s="7">
        <v>4018</v>
      </c>
      <c r="C15" s="22" t="s">
        <v>202</v>
      </c>
      <c r="D15" s="22" t="s">
        <v>667</v>
      </c>
      <c r="E15" s="13">
        <v>42745.149583333332</v>
      </c>
      <c r="F15" s="13">
        <v>42745.156481481485</v>
      </c>
      <c r="G15" s="7">
        <v>1</v>
      </c>
      <c r="H15" s="22" t="s">
        <v>668</v>
      </c>
      <c r="I15" s="13">
        <v>42745.181956018518</v>
      </c>
      <c r="J15" s="7">
        <v>0</v>
      </c>
      <c r="K15" s="105" t="str">
        <f t="shared" si="0"/>
        <v>4017/4018</v>
      </c>
      <c r="L15" s="22" t="str">
        <f>VLOOKUP(A15,'Trips&amp;Operators'!$C$1:$G$99999,5,FALSE)</f>
        <v>MAELZER KURT</v>
      </c>
      <c r="M15" s="6">
        <f t="shared" si="1"/>
        <v>2.5474537033005618E-2</v>
      </c>
      <c r="N15" s="7">
        <f t="shared" si="2"/>
        <v>36.683333327528089</v>
      </c>
      <c r="O15" s="7"/>
      <c r="P15" s="7"/>
      <c r="Q15" s="23"/>
      <c r="R15" s="23"/>
      <c r="S15" s="32">
        <f t="shared" si="3"/>
        <v>1</v>
      </c>
      <c r="T15" s="47" t="str">
        <f t="shared" si="4"/>
        <v>NorthBound</v>
      </c>
      <c r="U15" s="167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https://search-rtdc-monitor-bjffxe2xuh6vdkpspy63sjmuny.us-east-1.es.amazonaws.com/_plugin/kibana/#/discover/Steve-Slow-Train-Analysis-(2080s-and-2083s)?_g=(refreshInterval:(display:Off,section:0,value:0),time:(from:'2017-01-10 02:35:24-700',mode:absolute,to:'2017-01-10 05:22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5" s="49" t="str">
        <f t="shared" si="6"/>
        <v>N</v>
      </c>
      <c r="X15" s="173">
        <f t="shared" si="7"/>
        <v>1</v>
      </c>
      <c r="Y15" s="64">
        <f t="shared" si="8"/>
        <v>7.7499999999999999E-2</v>
      </c>
      <c r="Z15" s="64">
        <f t="shared" si="9"/>
        <v>23.333200000000001</v>
      </c>
      <c r="AA15" s="64">
        <f t="shared" si="10"/>
        <v>23.255700000000001</v>
      </c>
      <c r="AB15" s="61" t="e">
        <f>VLOOKUP(A15,Enforcements!$C$7:$K$17,8,0)</f>
        <v>#N/A</v>
      </c>
      <c r="AC15" s="57" t="e">
        <f>VLOOKUP(A15,Enforcements!$C$7:$E$17,3,0)</f>
        <v>#N/A</v>
      </c>
      <c r="AD15" s="58" t="str">
        <f t="shared" si="11"/>
        <v>0103-10</v>
      </c>
      <c r="AE15" s="87" t="str">
        <f t="shared" si="12"/>
        <v>aws s3 cp s3://rtdc.mdm.uploadarchive.raw/RTDC4018/ "%USERPROFILE%\AppData\Local\Temp\OnboardLogs"\RTDC4018\2017-01-10 --exclude "*" --recursive --include "*20170110*" &amp; "%USERPROFILE%\Documents\GitHub\mrs-test-scripts\Headless Mode &amp; Sideloading\WalkAndUnGZ.bat" "%USERPROFILE%\AppData\Local\Temp\OnboardLogs"\RTDC4018\2017-01-10 &amp; aws s3 cp s3://rtdc.mdm.uploadarchive.raw/RTDC4018/ "%USERPROFILE%\AppData\Local\Temp\OnboardLogs"\RTDC4018\2017-01-11 --exclude "*" --recursive --include "*20170111*" &amp; "%USERPROFILE%\Documents\GitHub\mrs-test-scripts\Headless Mode &amp; Sideloading\WalkAndUnGZ.bat" "%USERPROFILE%\AppData\Local\Temp\OnboardLogs"\RTDC4018\2017-01-11</v>
      </c>
      <c r="AF15" s="84" t="str">
        <f t="shared" si="13"/>
        <v>"C:\Program Files (x86)\AstroGrep\AstroGrep.exe" /spath="%USERPROFILE%\AppData\Local\Temp\OnboardLogs" /stypes="app*4018*20170110*" /stext=" 11:.+((SYSTEM_STATE.+slice.+state.+changed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88" t="str">
        <f t="shared" si="18"/>
        <v>"%USERPROFILE%\Documents\GitHub\eaglep3\Utilities\RefineRTDCRunTimes.py" --tripid 103-10 --locoid 4018 --swversion DE.1.0.8.0 --startMP 204:775 --initTime 2017-01-10T03:35:24 --startdatetime 2017-01-10T03:45:20 --delay 1 --endMP 204:233332 --enddatetime 2017-01-10T04:22:01 --enforcementcount 0 &gt;&gt;C:\Users\stu\Documents\GitHub\eaglep3-reporting\EC\2017-01-10-refined-times.txt</v>
      </c>
      <c r="AI15" s="115" t="str">
        <f t="shared" si="19"/>
        <v>echo {"issue":{"subject":"","project_id":79,"tracker_id":40,"status_id":1,"priority_id":2,"assigned_to_id":23,"start_date":"2017-01-10","description":"","custom_fields":[{"id":1,"name":"Subdivision","value":"EC"},{"id":4,"name":"Milepost","value":"23.3332"},{"id":17,"name":"Train ID","value":"103-10"},{"id":16,"name":"Locomotive ID","value":"4018"},{"id":130,"name":"Impact","value":""},{"id":150,"name":"Time of Event (Mountain Time)","value":"04:22:01"},{"id":151,"name":"Denver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0"/>
      <c r="AK15" s="50"/>
      <c r="AL15" s="50"/>
      <c r="AM15" s="180" t="str">
        <f t="shared" si="20"/>
        <v>start /low /b %USERPROFILE%\Documents\GitHub\eaglep3\Utilities\DownloadLogsFromS3.py --loco 4018 --day 2017-01-10</v>
      </c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4" t="s">
        <v>469</v>
      </c>
      <c r="B16" s="7">
        <v>4026</v>
      </c>
      <c r="C16" s="22" t="s">
        <v>202</v>
      </c>
      <c r="D16" s="22" t="s">
        <v>669</v>
      </c>
      <c r="E16" s="13">
        <v>42745.188067129631</v>
      </c>
      <c r="F16" s="13">
        <v>42745.195543981485</v>
      </c>
      <c r="G16" s="7">
        <v>1</v>
      </c>
      <c r="H16" s="22" t="s">
        <v>242</v>
      </c>
      <c r="I16" s="13">
        <v>42745.22246527778</v>
      </c>
      <c r="J16" s="7">
        <v>0</v>
      </c>
      <c r="K16" s="105" t="str">
        <f t="shared" si="0"/>
        <v>4025/4026</v>
      </c>
      <c r="L16" s="22" t="str">
        <f>VLOOKUP(A16,'Trips&amp;Operators'!$C$1:$G$99999,5,FALSE)</f>
        <v>MAELZER KURT</v>
      </c>
      <c r="M16" s="6">
        <f t="shared" si="1"/>
        <v>2.6921296295768116E-2</v>
      </c>
      <c r="N16" s="7">
        <f t="shared" si="2"/>
        <v>38.766666665906087</v>
      </c>
      <c r="O16" s="7"/>
      <c r="P16" s="7"/>
      <c r="Q16" s="23"/>
      <c r="R16" s="23"/>
      <c r="S16" s="32">
        <f t="shared" si="3"/>
        <v>1</v>
      </c>
      <c r="T16" s="47" t="str">
        <f t="shared" si="4"/>
        <v>Southbound</v>
      </c>
      <c r="U16" s="167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https://search-rtdc-monitor-bjffxe2xuh6vdkpspy63sjmuny.us-east-1.es.amazonaws.com/_plugin/kibana/#/discover/Steve-Slow-Train-Analysis-(2080s-and-2083s)?_g=(refreshInterval:(display:Off,section:0,value:0),time:(from:'2017-01-10 03:30:49-700',mode:absolute,to:'2017-01-10 06:20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6" s="49" t="str">
        <f t="shared" si="6"/>
        <v>N</v>
      </c>
      <c r="X16" s="173">
        <f t="shared" si="7"/>
        <v>1</v>
      </c>
      <c r="Y16" s="64">
        <f t="shared" si="8"/>
        <v>23.268899999999999</v>
      </c>
      <c r="Z16" s="64">
        <f t="shared" si="9"/>
        <v>1.3899999999999999E-2</v>
      </c>
      <c r="AA16" s="64">
        <f t="shared" si="10"/>
        <v>23.254999999999999</v>
      </c>
      <c r="AB16" s="61" t="e">
        <f>VLOOKUP(A16,Enforcements!$C$7:$K$17,8,0)</f>
        <v>#N/A</v>
      </c>
      <c r="AC16" s="57" t="e">
        <f>VLOOKUP(A16,Enforcements!$C$7:$E$17,3,0)</f>
        <v>#N/A</v>
      </c>
      <c r="AD16" s="58" t="str">
        <f t="shared" si="11"/>
        <v>0104-10</v>
      </c>
      <c r="AE16" s="87" t="str">
        <f t="shared" si="12"/>
        <v>aws s3 cp s3://rtdc.mdm.uploadarchive.raw/RTDC4026/ "%USERPROFILE%\AppData\Local\Temp\OnboardLogs"\RTDC4026\2017-01-10 --exclude "*" --recursive --include "*20170110*" &amp; "%USERPROFILE%\Documents\GitHub\mrs-test-scripts\Headless Mode &amp; Sideloading\WalkAndUnGZ.bat" "%USERPROFILE%\AppData\Local\Temp\OnboardLogs"\RTDC4026\2017-01-10 &amp; aws s3 cp s3://rtdc.mdm.uploadarchive.raw/RTDC4026/ "%USERPROFILE%\AppData\Local\Temp\OnboardLogs"\RTDC4026\2017-01-11 --exclude "*" --recursive --include "*20170111*" &amp; "%USERPROFILE%\Documents\GitHub\mrs-test-scripts\Headless Mode &amp; Sideloading\WalkAndUnGZ.bat" "%USERPROFILE%\AppData\Local\Temp\OnboardLogs"\RTDC4026\2017-01-11</v>
      </c>
      <c r="AF16" s="84" t="str">
        <f t="shared" si="13"/>
        <v>"C:\Program Files (x86)\AstroGrep\AstroGrep.exe" /spath="%USERPROFILE%\AppData\Local\Temp\OnboardLogs" /stypes="app*4026*20170110*" /stext=" 12:.+((SYSTEM_STATE.+slice.+state.+changed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88" t="str">
        <f t="shared" si="18"/>
        <v>"%USERPROFILE%\Documents\GitHub\eaglep3\Utilities\RefineRTDCRunTimes.py" --tripid 104-10 --locoid 4026 --swversion DE.1.0.8.0 --startMP 204:232689 --initTime 2017-01-10T04:30:49 --startdatetime 2017-01-10T04:41:35 --delay 1 --endMP 204:139 --enddatetime 2017-01-10T05:20:21 --enforcementcount 0 &gt;&gt;C:\Users\stu\Documents\GitHub\eaglep3-reporting\EC\2017-01-10-refined-times.txt</v>
      </c>
      <c r="AI16" s="115" t="str">
        <f t="shared" si="19"/>
        <v>echo {"issue":{"subject":"","project_id":79,"tracker_id":40,"status_id":1,"priority_id":2,"assigned_to_id":23,"start_date":"2017-01-10","description":"","custom_fields":[{"id":1,"name":"Subdivision","value":"EC"},{"id":4,"name":"Milepost","value":"0.0139"},{"id":17,"name":"Train ID","value":"104-10"},{"id":16,"name":"Locomotive ID","value":"4026"},{"id":130,"name":"Impact","value":""},{"id":150,"name":"Time of Event (Mountain Time)","value":"05:20:21"},{"id":151,"name":"Denver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0"/>
      <c r="AK16" s="50"/>
      <c r="AL16" s="50"/>
      <c r="AM16" s="180" t="str">
        <f t="shared" si="20"/>
        <v>start /low /b %USERPROFILE%\Documents\GitHub\eaglep3\Utilities\DownloadLogsFromS3.py --loco 4026 --day 2017-01-10</v>
      </c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4" t="s">
        <v>466</v>
      </c>
      <c r="B17" s="7">
        <v>4020</v>
      </c>
      <c r="C17" s="22" t="s">
        <v>202</v>
      </c>
      <c r="D17" s="22" t="s">
        <v>670</v>
      </c>
      <c r="E17" s="13">
        <v>42745.17260416667</v>
      </c>
      <c r="F17" s="13">
        <v>42745.177291666667</v>
      </c>
      <c r="G17" s="7">
        <v>2</v>
      </c>
      <c r="H17" s="22" t="s">
        <v>348</v>
      </c>
      <c r="I17" s="13">
        <v>42745.203275462962</v>
      </c>
      <c r="J17" s="7">
        <v>0</v>
      </c>
      <c r="K17" s="105" t="str">
        <f t="shared" si="0"/>
        <v>4019/4020</v>
      </c>
      <c r="L17" s="22" t="str">
        <f>VLOOKUP(A17,'Trips&amp;Operators'!$C$1:$G$99999,5,FALSE)</f>
        <v>STARKS ANGELINA</v>
      </c>
      <c r="M17" s="6">
        <f t="shared" si="1"/>
        <v>2.5983796294895001E-2</v>
      </c>
      <c r="N17" s="7">
        <f t="shared" si="2"/>
        <v>37.416666664648801</v>
      </c>
      <c r="O17" s="7"/>
      <c r="P17" s="7"/>
      <c r="Q17" s="23"/>
      <c r="R17" s="23"/>
      <c r="S17" s="32">
        <f t="shared" si="3"/>
        <v>1</v>
      </c>
      <c r="T17" s="47" t="str">
        <f t="shared" si="4"/>
        <v>NorthBound</v>
      </c>
      <c r="U17" s="167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https://search-rtdc-monitor-bjffxe2xuh6vdkpspy63sjmuny.us-east-1.es.amazonaws.com/_plugin/kibana/#/discover/Steve-Slow-Train-Analysis-(2080s-and-2083s)?_g=(refreshInterval:(display:Off,section:0,value:0),time:(from:'2017-01-10 03:08:33-700',mode:absolute,to:'2017-01-10 05:52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7" s="49" t="str">
        <f t="shared" si="6"/>
        <v>N</v>
      </c>
      <c r="X17" s="173">
        <f t="shared" si="7"/>
        <v>1</v>
      </c>
      <c r="Y17" s="64">
        <f t="shared" si="8"/>
        <v>7.6300000000000007E-2</v>
      </c>
      <c r="Z17" s="64">
        <f t="shared" si="9"/>
        <v>23.3306</v>
      </c>
      <c r="AA17" s="64">
        <f t="shared" si="10"/>
        <v>23.254300000000001</v>
      </c>
      <c r="AB17" s="61" t="e">
        <f>VLOOKUP(A17,Enforcements!$C$7:$K$17,8,0)</f>
        <v>#N/A</v>
      </c>
      <c r="AC17" s="57" t="e">
        <f>VLOOKUP(A17,Enforcements!$C$7:$E$17,3,0)</f>
        <v>#N/A</v>
      </c>
      <c r="AD17" s="58" t="str">
        <f t="shared" si="11"/>
        <v>0105-10</v>
      </c>
      <c r="AE17" s="87" t="str">
        <f t="shared" si="12"/>
        <v>aws s3 cp s3://rtdc.mdm.uploadarchive.raw/RTDC4020/ "%USERPROFILE%\AppData\Local\Temp\OnboardLogs"\RTDC4020\2017-01-10 --exclude "*" --recursive --include "*20170110*" &amp; "%USERPROFILE%\Documents\GitHub\mrs-test-scripts\Headless Mode &amp; Sideloading\WalkAndUnGZ.bat" "%USERPROFILE%\AppData\Local\Temp\OnboardLogs"\RTDC4020\2017-01-10 &amp; aws s3 cp s3://rtdc.mdm.uploadarchive.raw/RTDC4020/ "%USERPROFILE%\AppData\Local\Temp\OnboardLogs"\RTDC4020\2017-01-11 --exclude "*" --recursive --include "*20170111*" &amp; "%USERPROFILE%\Documents\GitHub\mrs-test-scripts\Headless Mode &amp; Sideloading\WalkAndUnGZ.bat" "%USERPROFILE%\AppData\Local\Temp\OnboardLogs"\RTDC4020\2017-01-11</v>
      </c>
      <c r="AF17" s="84" t="str">
        <f t="shared" si="13"/>
        <v>"C:\Program Files (x86)\AstroGrep\AstroGrep.exe" /spath="%USERPROFILE%\AppData\Local\Temp\OnboardLogs" /stypes="app*4020*20170110*" /stext=" 11:.+((SYSTEM_STATE.+slice.+state.+changed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88" t="str">
        <f t="shared" si="18"/>
        <v>"%USERPROFILE%\Documents\GitHub\eaglep3\Utilities\RefineRTDCRunTimes.py" --tripid 105-10 --locoid 4020 --swversion DE.1.0.8.0 --startMP 204:763 --initTime 2017-01-10T04:08:33 --startdatetime 2017-01-10T04:15:18 --delay 2 --endMP 204:233306 --enddatetime 2017-01-10T04:52:43 --enforcementcount 0 &gt;&gt;C:\Users\stu\Documents\GitHub\eaglep3-reporting\EC\2017-01-10-refined-times.txt</v>
      </c>
      <c r="AI17" s="115" t="str">
        <f t="shared" si="19"/>
        <v>echo {"issue":{"subject":"","project_id":79,"tracker_id":40,"status_id":1,"priority_id":2,"assigned_to_id":23,"start_date":"2017-01-10","description":"","custom_fields":[{"id":1,"name":"Subdivision","value":"EC"},{"id":4,"name":"Milepost","value":"23.3306"},{"id":17,"name":"Train ID","value":"105-10"},{"id":16,"name":"Locomotive ID","value":"4020"},{"id":130,"name":"Impact","value":""},{"id":150,"name":"Time of Event (Mountain Time)","value":"04:52:43"},{"id":151,"name":"Denver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0"/>
      <c r="AK17" s="50"/>
      <c r="AL17" s="50"/>
      <c r="AM17" s="180" t="str">
        <f t="shared" si="20"/>
        <v>start /low /b %USERPROFILE%\Documents\GitHub\eaglep3\Utilities\DownloadLogsFromS3.py --loco 4020 --day 2017-01-10</v>
      </c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4" t="s">
        <v>476</v>
      </c>
      <c r="B18" s="7">
        <v>4041</v>
      </c>
      <c r="C18" s="22" t="s">
        <v>202</v>
      </c>
      <c r="D18" s="22" t="s">
        <v>671</v>
      </c>
      <c r="E18" s="13">
        <v>42745.212997685187</v>
      </c>
      <c r="F18" s="13">
        <v>42745.216238425928</v>
      </c>
      <c r="G18" s="7">
        <v>1</v>
      </c>
      <c r="H18" s="22" t="s">
        <v>191</v>
      </c>
      <c r="I18" s="13">
        <v>42745.243460648147</v>
      </c>
      <c r="J18" s="7">
        <v>0</v>
      </c>
      <c r="K18" s="105" t="str">
        <f t="shared" si="0"/>
        <v>4041/4042</v>
      </c>
      <c r="L18" s="22" t="str">
        <f>VLOOKUP(A18,'Trips&amp;Operators'!$C$1:$G$99999,5,FALSE)</f>
        <v>STARKS ANGELINA</v>
      </c>
      <c r="M18" s="6">
        <f t="shared" si="1"/>
        <v>2.7222222219279502E-2</v>
      </c>
      <c r="N18" s="7">
        <f t="shared" si="2"/>
        <v>39.199999995762482</v>
      </c>
      <c r="O18" s="7"/>
      <c r="P18" s="7"/>
      <c r="Q18" s="23"/>
      <c r="R18" s="23"/>
      <c r="S18" s="32">
        <f t="shared" si="3"/>
        <v>1</v>
      </c>
      <c r="T18" s="47" t="str">
        <f t="shared" si="4"/>
        <v>Southbound</v>
      </c>
      <c r="U18" s="167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https://search-rtdc-monitor-bjffxe2xuh6vdkpspy63sjmuny.us-east-1.es.amazonaws.com/_plugin/kibana/#/discover/Steve-Slow-Train-Analysis-(2080s-and-2083s)?_g=(refreshInterval:(display:Off,section:0,value:0),time:(from:'2017-01-10 04:06:43-700',mode:absolute,to:'2017-01-10 06:50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8" s="49" t="str">
        <f t="shared" si="6"/>
        <v>N</v>
      </c>
      <c r="X18" s="173">
        <f t="shared" si="7"/>
        <v>1</v>
      </c>
      <c r="Y18" s="64">
        <f t="shared" si="8"/>
        <v>23.265999999999998</v>
      </c>
      <c r="Z18" s="64">
        <f t="shared" si="9"/>
        <v>1.49E-2</v>
      </c>
      <c r="AA18" s="64">
        <f t="shared" si="10"/>
        <v>23.251099999999997</v>
      </c>
      <c r="AB18" s="61" t="e">
        <f>VLOOKUP(A18,Enforcements!$C$7:$K$17,8,0)</f>
        <v>#N/A</v>
      </c>
      <c r="AC18" s="57" t="e">
        <f>VLOOKUP(A18,Enforcements!$C$7:$E$17,3,0)</f>
        <v>#N/A</v>
      </c>
      <c r="AD18" s="58" t="str">
        <f t="shared" si="11"/>
        <v>0106-10</v>
      </c>
      <c r="AE18" s="87" t="str">
        <f t="shared" si="12"/>
        <v>aws s3 cp s3://rtdc.mdm.uploadarchive.raw/RTDC4041/ "%USERPROFILE%\AppData\Local\Temp\OnboardLogs"\RTDC4041\2017-01-10 --exclude "*" --recursive --include "*20170110*" &amp; "%USERPROFILE%\Documents\GitHub\mrs-test-scripts\Headless Mode &amp; Sideloading\WalkAndUnGZ.bat" "%USERPROFILE%\AppData\Local\Temp\OnboardLogs"\RTDC4041\2017-01-10 &amp; aws s3 cp s3://rtdc.mdm.uploadarchive.raw/RTDC4041/ "%USERPROFILE%\AppData\Local\Temp\OnboardLogs"\RTDC4041\2017-01-11 --exclude "*" --recursive --include "*20170111*" &amp; "%USERPROFILE%\Documents\GitHub\mrs-test-scripts\Headless Mode &amp; Sideloading\WalkAndUnGZ.bat" "%USERPROFILE%\AppData\Local\Temp\OnboardLogs"\RTDC4041\2017-01-11</v>
      </c>
      <c r="AF18" s="84" t="str">
        <f t="shared" si="13"/>
        <v>"C:\Program Files (x86)\AstroGrep\AstroGrep.exe" /spath="%USERPROFILE%\AppData\Local\Temp\OnboardLogs" /stypes="app*4041*20170110*" /stext=" 12:.+((SYSTEM_STATE.+slice.+state.+changed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88" t="str">
        <f t="shared" si="18"/>
        <v>"%USERPROFILE%\Documents\GitHub\eaglep3\Utilities\RefineRTDCRunTimes.py" --tripid 106-10 --locoid 4041 --swversion DE.1.0.8.0 --startMP 204:232660 --initTime 2017-01-10T05:06:43 --startdatetime 2017-01-10T05:11:23 --delay 1 --endMP 204:149 --enddatetime 2017-01-10T05:50:35 --enforcementcount 0 &gt;&gt;C:\Users\stu\Documents\GitHub\eaglep3-reporting\EC\2017-01-10-refined-times.txt</v>
      </c>
      <c r="AI18" s="115" t="str">
        <f t="shared" si="19"/>
        <v>echo {"issue":{"subject":"","project_id":79,"tracker_id":40,"status_id":1,"priority_id":2,"assigned_to_id":23,"start_date":"2017-01-10","description":"","custom_fields":[{"id":1,"name":"Subdivision","value":"EC"},{"id":4,"name":"Milepost","value":"0.0149"},{"id":17,"name":"Train ID","value":"106-10"},{"id":16,"name":"Locomotive ID","value":"4041"},{"id":130,"name":"Impact","value":""},{"id":150,"name":"Time of Event (Mountain Time)","value":"05:50:35"},{"id":151,"name":"Denver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0"/>
      <c r="AK18" s="50"/>
      <c r="AL18" s="50"/>
      <c r="AM18" s="180" t="str">
        <f t="shared" si="20"/>
        <v>start /low /b %USERPROFILE%\Documents\GitHub\eaglep3\Utilities\DownloadLogsFromS3.py --loco 4041 --day 2017-01-10</v>
      </c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4" t="s">
        <v>467</v>
      </c>
      <c r="B19" s="7">
        <v>4014</v>
      </c>
      <c r="C19" s="22" t="s">
        <v>202</v>
      </c>
      <c r="D19" s="22" t="s">
        <v>361</v>
      </c>
      <c r="E19" s="13">
        <v>42745.183634259258</v>
      </c>
      <c r="F19" s="13">
        <v>42745.187743055554</v>
      </c>
      <c r="G19" s="7">
        <v>1</v>
      </c>
      <c r="H19" s="22" t="s">
        <v>672</v>
      </c>
      <c r="I19" s="13">
        <v>42745.213460648149</v>
      </c>
      <c r="J19" s="7">
        <v>0</v>
      </c>
      <c r="K19" s="105" t="str">
        <f t="shared" si="0"/>
        <v>4013/4014</v>
      </c>
      <c r="L19" s="22" t="str">
        <f>VLOOKUP(A19,'Trips&amp;Operators'!$C$1:$G$99999,5,FALSE)</f>
        <v>BONDS REYNALDO</v>
      </c>
      <c r="M19" s="6">
        <f t="shared" si="1"/>
        <v>2.5717592594446614E-2</v>
      </c>
      <c r="N19" s="7">
        <f t="shared" si="2"/>
        <v>37.033333336003125</v>
      </c>
      <c r="O19" s="7"/>
      <c r="P19" s="7"/>
      <c r="Q19" s="23"/>
      <c r="R19" s="23"/>
      <c r="S19" s="32">
        <f t="shared" si="3"/>
        <v>1</v>
      </c>
      <c r="T19" s="47" t="str">
        <f t="shared" si="4"/>
        <v>NorthBound</v>
      </c>
      <c r="U19" s="167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https://search-rtdc-monitor-bjffxe2xuh6vdkpspy63sjmuny.us-east-1.es.amazonaws.com/_plugin/kibana/#/discover/Steve-Slow-Train-Analysis-(2080s-and-2083s)?_g=(refreshInterval:(display:Off,section:0,value:0),time:(from:'2017-01-10 03:24:26-700',mode:absolute,to:'2017-01-10 06:07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9" s="49" t="str">
        <f t="shared" si="6"/>
        <v>N</v>
      </c>
      <c r="X19" s="173">
        <f t="shared" ref="X19:X23" si="21">VALUE(LEFT(AD19,4))-VALUE(LEFT(AD18,4))</f>
        <v>1</v>
      </c>
      <c r="Y19" s="64">
        <f t="shared" si="8"/>
        <v>4.3499999999999997E-2</v>
      </c>
      <c r="Z19" s="64">
        <f t="shared" si="9"/>
        <v>23.328399999999998</v>
      </c>
      <c r="AA19" s="64">
        <f t="shared" si="10"/>
        <v>23.284899999999997</v>
      </c>
      <c r="AB19" s="61" t="e">
        <f>VLOOKUP(A19,Enforcements!$C$7:$K$17,8,0)</f>
        <v>#N/A</v>
      </c>
      <c r="AC19" s="57" t="e">
        <f>VLOOKUP(A19,Enforcements!$C$7:$E$17,3,0)</f>
        <v>#N/A</v>
      </c>
      <c r="AD19" s="58" t="str">
        <f t="shared" si="11"/>
        <v>0107-10</v>
      </c>
      <c r="AE19" s="87" t="str">
        <f t="shared" si="12"/>
        <v>aws s3 cp s3://rtdc.mdm.uploadarchive.raw/RTDC4014/ "%USERPROFILE%\AppData\Local\Temp\OnboardLogs"\RTDC4014\2017-01-10 --exclude "*" --recursive --include "*20170110*" &amp; "%USERPROFILE%\Documents\GitHub\mrs-test-scripts\Headless Mode &amp; Sideloading\WalkAndUnGZ.bat" "%USERPROFILE%\AppData\Local\Temp\OnboardLogs"\RTDC4014\2017-01-10 &amp; aws s3 cp s3://rtdc.mdm.uploadarchive.raw/RTDC4014/ "%USERPROFILE%\AppData\Local\Temp\OnboardLogs"\RTDC4014\2017-01-11 --exclude "*" --recursive --include "*20170111*" &amp; "%USERPROFILE%\Documents\GitHub\mrs-test-scripts\Headless Mode &amp; Sideloading\WalkAndUnGZ.bat" "%USERPROFILE%\AppData\Local\Temp\OnboardLogs"\RTDC4014\2017-01-11</v>
      </c>
      <c r="AF19" s="84" t="str">
        <f t="shared" si="13"/>
        <v>"C:\Program Files (x86)\AstroGrep\AstroGrep.exe" /spath="%USERPROFILE%\AppData\Local\Temp\OnboardLogs" /stypes="app*4014*20170110*" /stext=" 12:.+((SYSTEM_STATE.+slice.+state.+changed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88" t="str">
        <f t="shared" si="18"/>
        <v>"%USERPROFILE%\Documents\GitHub\eaglep3\Utilities\RefineRTDCRunTimes.py" --tripid 107-10 --locoid 4014 --swversion DE.1.0.8.0 --startMP 204:435 --initTime 2017-01-10T04:24:26 --startdatetime 2017-01-10T04:30:21 --delay 1 --endMP 204:233284 --enddatetime 2017-01-10T05:07:23 --enforcementcount 0 &gt;&gt;C:\Users\stu\Documents\GitHub\eaglep3-reporting\EC\2017-01-10-refined-times.txt</v>
      </c>
      <c r="AI19" s="115" t="str">
        <f t="shared" si="19"/>
        <v>echo {"issue":{"subject":"","project_id":79,"tracker_id":40,"status_id":1,"priority_id":2,"assigned_to_id":23,"start_date":"2017-01-10","description":"","custom_fields":[{"id":1,"name":"Subdivision","value":"EC"},{"id":4,"name":"Milepost","value":"23.3284"},{"id":17,"name":"Train ID","value":"107-10"},{"id":16,"name":"Locomotive ID","value":"4014"},{"id":130,"name":"Impact","value":""},{"id":150,"name":"Time of Event (Mountain Time)","value":"05:07:23"},{"id":151,"name":"Denver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0"/>
      <c r="AK19" s="50"/>
      <c r="AL19" s="50"/>
      <c r="AM19" s="180" t="str">
        <f t="shared" si="20"/>
        <v>start /low /b %USERPROFILE%\Documents\GitHub\eaglep3\Utilities\DownloadLogsFromS3.py --loco 4014 --day 2017-01-10</v>
      </c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4" t="s">
        <v>478</v>
      </c>
      <c r="B20" s="7">
        <v>4013</v>
      </c>
      <c r="C20" s="22" t="s">
        <v>202</v>
      </c>
      <c r="D20" s="22" t="s">
        <v>673</v>
      </c>
      <c r="E20" s="13">
        <v>42745.22252314815</v>
      </c>
      <c r="F20" s="13">
        <v>42745.226550925923</v>
      </c>
      <c r="G20" s="7">
        <v>1</v>
      </c>
      <c r="H20" s="22" t="s">
        <v>245</v>
      </c>
      <c r="I20" s="13">
        <v>42745.254212962966</v>
      </c>
      <c r="J20" s="7">
        <v>0</v>
      </c>
      <c r="K20" s="105" t="str">
        <f t="shared" si="0"/>
        <v>4013/4014</v>
      </c>
      <c r="L20" s="22" t="str">
        <f>VLOOKUP(A20,'Trips&amp;Operators'!$C$1:$G$99999,5,FALSE)</f>
        <v>BONDS REYNALDO</v>
      </c>
      <c r="M20" s="6">
        <f t="shared" si="1"/>
        <v>2.7662037042318843E-2</v>
      </c>
      <c r="N20" s="7">
        <f t="shared" si="2"/>
        <v>39.833333340939134</v>
      </c>
      <c r="O20" s="7"/>
      <c r="P20" s="7"/>
      <c r="Q20" s="23"/>
      <c r="R20" s="23"/>
      <c r="S20" s="32">
        <f t="shared" si="3"/>
        <v>1</v>
      </c>
      <c r="T20" s="47" t="str">
        <f t="shared" si="4"/>
        <v>Southbound</v>
      </c>
      <c r="U20" s="167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https://search-rtdc-monitor-bjffxe2xuh6vdkpspy63sjmuny.us-east-1.es.amazonaws.com/_plugin/kibana/#/discover/Steve-Slow-Train-Analysis-(2080s-and-2083s)?_g=(refreshInterval:(display:Off,section:0,value:0),time:(from:'2017-01-10 04:20:26-700',mode:absolute,to:'2017-01-10 07:06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0" s="49" t="str">
        <f t="shared" si="6"/>
        <v>N</v>
      </c>
      <c r="X20" s="173">
        <f t="shared" si="21"/>
        <v>1</v>
      </c>
      <c r="Y20" s="64">
        <f t="shared" si="8"/>
        <v>23.295200000000001</v>
      </c>
      <c r="Z20" s="64">
        <f t="shared" si="9"/>
        <v>1.6E-2</v>
      </c>
      <c r="AA20" s="64">
        <f t="shared" si="10"/>
        <v>23.279200000000003</v>
      </c>
      <c r="AB20" s="61" t="e">
        <f>VLOOKUP(A20,Enforcements!$C$7:$K$17,8,0)</f>
        <v>#N/A</v>
      </c>
      <c r="AC20" s="57" t="e">
        <f>VLOOKUP(A20,Enforcements!$C$7:$E$17,3,0)</f>
        <v>#N/A</v>
      </c>
      <c r="AD20" s="58" t="str">
        <f t="shared" si="11"/>
        <v>0108-10</v>
      </c>
      <c r="AE20" s="87" t="str">
        <f t="shared" si="12"/>
        <v>aws s3 cp s3://rtdc.mdm.uploadarchive.raw/RTDC4013/ "%USERPROFILE%\AppData\Local\Temp\OnboardLogs"\RTDC4013\2017-01-10 --exclude "*" --recursive --include "*20170110*" &amp; "%USERPROFILE%\Documents\GitHub\mrs-test-scripts\Headless Mode &amp; Sideloading\WalkAndUnGZ.bat" "%USERPROFILE%\AppData\Local\Temp\OnboardLogs"\RTDC4013\2017-01-10 &amp; aws s3 cp s3://rtdc.mdm.uploadarchive.raw/RTDC4013/ "%USERPROFILE%\AppData\Local\Temp\OnboardLogs"\RTDC4013\2017-01-11 --exclude "*" --recursive --include "*20170111*" &amp; "%USERPROFILE%\Documents\GitHub\mrs-test-scripts\Headless Mode &amp; Sideloading\WalkAndUnGZ.bat" "%USERPROFILE%\AppData\Local\Temp\OnboardLogs"\RTDC4013\2017-01-11</v>
      </c>
      <c r="AF20" s="84" t="str">
        <f t="shared" si="13"/>
        <v>"C:\Program Files (x86)\AstroGrep\AstroGrep.exe" /spath="%USERPROFILE%\AppData\Local\Temp\OnboardLogs" /stypes="app*4013*20170110*" /stext=" 13:.+((SYSTEM_STATE.+slice.+state.+changed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88" t="str">
        <f t="shared" si="18"/>
        <v>"%USERPROFILE%\Documents\GitHub\eaglep3\Utilities\RefineRTDCRunTimes.py" --tripid 108-10 --locoid 4013 --swversion DE.1.0.8.0 --startMP 204:232952 --initTime 2017-01-10T05:20:26 --startdatetime 2017-01-10T05:26:14 --delay 1 --endMP 204:160 --enddatetime 2017-01-10T06:06:04 --enforcementcount 0 &gt;&gt;C:\Users\stu\Documents\GitHub\eaglep3-reporting\EC\2017-01-10-refined-times.txt</v>
      </c>
      <c r="AI20" s="115" t="str">
        <f t="shared" si="19"/>
        <v>echo {"issue":{"subject":"","project_id":79,"tracker_id":40,"status_id":1,"priority_id":2,"assigned_to_id":23,"start_date":"2017-01-10","description":"","custom_fields":[{"id":1,"name":"Subdivision","value":"EC"},{"id":4,"name":"Milepost","value":"0.016"},{"id":17,"name":"Train ID","value":"108-10"},{"id":16,"name":"Locomotive ID","value":"4013"},{"id":130,"name":"Impact","value":""},{"id":150,"name":"Time of Event (Mountain Time)","value":"06:06:04"},{"id":151,"name":"Denver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0"/>
      <c r="AK20" s="50"/>
      <c r="AL20" s="50"/>
      <c r="AM20" s="180" t="str">
        <f t="shared" si="20"/>
        <v>start /low /b %USERPROFILE%\Documents\GitHub\eaglep3\Utilities\DownloadLogsFromS3.py --loco 4013 --day 2017-01-10</v>
      </c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4" t="s">
        <v>470</v>
      </c>
      <c r="B21" s="7">
        <v>4031</v>
      </c>
      <c r="C21" s="22" t="s">
        <v>202</v>
      </c>
      <c r="D21" s="22" t="s">
        <v>401</v>
      </c>
      <c r="E21" s="13">
        <v>42745.19290509259</v>
      </c>
      <c r="F21" s="13">
        <v>42745.198101851849</v>
      </c>
      <c r="G21" s="7">
        <v>1</v>
      </c>
      <c r="H21" s="22" t="s">
        <v>389</v>
      </c>
      <c r="I21" s="13">
        <v>42745.223657407405</v>
      </c>
      <c r="J21" s="7">
        <v>0</v>
      </c>
      <c r="K21" s="105" t="str">
        <f t="shared" si="0"/>
        <v>4031/4032</v>
      </c>
      <c r="L21" s="22" t="str">
        <f>VLOOKUP(A21,'Trips&amp;Operators'!$C$1:$G$99999,5,FALSE)</f>
        <v>DAVIS WENDY</v>
      </c>
      <c r="M21" s="6">
        <f t="shared" si="1"/>
        <v>2.5555555555911269E-2</v>
      </c>
      <c r="N21" s="7">
        <f t="shared" si="2"/>
        <v>36.800000000512227</v>
      </c>
      <c r="O21" s="7"/>
      <c r="P21" s="7"/>
      <c r="Q21" s="23"/>
      <c r="R21" s="23"/>
      <c r="S21" s="32">
        <f t="shared" si="3"/>
        <v>1</v>
      </c>
      <c r="T21" s="47" t="str">
        <f t="shared" si="4"/>
        <v>NorthBound</v>
      </c>
      <c r="U21" s="167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https://search-rtdc-monitor-bjffxe2xuh6vdkpspy63sjmuny.us-east-1.es.amazonaws.com/_plugin/kibana/#/discover/Steve-Slow-Train-Analysis-(2080s-and-2083s)?_g=(refreshInterval:(display:Off,section:0,value:0),time:(from:'2017-01-10 03:37:47-700',mode:absolute,to:'2017-01-10 06:22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1" s="49" t="str">
        <f t="shared" si="6"/>
        <v>N</v>
      </c>
      <c r="X21" s="173">
        <f t="shared" si="21"/>
        <v>1</v>
      </c>
      <c r="Y21" s="64">
        <f t="shared" si="8"/>
        <v>4.58E-2</v>
      </c>
      <c r="Z21" s="64">
        <f t="shared" si="9"/>
        <v>23.329699999999999</v>
      </c>
      <c r="AA21" s="64">
        <f t="shared" si="10"/>
        <v>23.283899999999999</v>
      </c>
      <c r="AB21" s="61" t="e">
        <f>VLOOKUP(A21,Enforcements!$C$7:$K$17,8,0)</f>
        <v>#N/A</v>
      </c>
      <c r="AC21" s="57" t="e">
        <f>VLOOKUP(A21,Enforcements!$C$7:$E$17,3,0)</f>
        <v>#N/A</v>
      </c>
      <c r="AD21" s="58" t="str">
        <f t="shared" si="11"/>
        <v>0109-10</v>
      </c>
      <c r="AE21" s="87" t="str">
        <f t="shared" si="12"/>
        <v>aws s3 cp s3://rtdc.mdm.uploadarchive.raw/RTDC4031/ "%USERPROFILE%\AppData\Local\Temp\OnboardLogs"\RTDC4031\2017-01-10 --exclude "*" --recursive --include "*20170110*" &amp; "%USERPROFILE%\Documents\GitHub\mrs-test-scripts\Headless Mode &amp; Sideloading\WalkAndUnGZ.bat" "%USERPROFILE%\AppData\Local\Temp\OnboardLogs"\RTDC4031\2017-01-10 &amp; aws s3 cp s3://rtdc.mdm.uploadarchive.raw/RTDC4031/ "%USERPROFILE%\AppData\Local\Temp\OnboardLogs"\RTDC4031\2017-01-11 --exclude "*" --recursive --include "*20170111*" &amp; "%USERPROFILE%\Documents\GitHub\mrs-test-scripts\Headless Mode &amp; Sideloading\WalkAndUnGZ.bat" "%USERPROFILE%\AppData\Local\Temp\OnboardLogs"\RTDC4031\2017-01-11</v>
      </c>
      <c r="AF21" s="84" t="str">
        <f t="shared" si="13"/>
        <v>"C:\Program Files (x86)\AstroGrep\AstroGrep.exe" /spath="%USERPROFILE%\AppData\Local\Temp\OnboardLogs" /stypes="app*4031*20170110*" /stext=" 12:.+((SYSTEM_STATE.+slice.+state.+changed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88" t="str">
        <f t="shared" si="18"/>
        <v>"%USERPROFILE%\Documents\GitHub\eaglep3\Utilities\RefineRTDCRunTimes.py" --tripid 109-10 --locoid 4031 --swversion DE.1.0.8.0 --startMP 204:458 --initTime 2017-01-10T04:37:47 --startdatetime 2017-01-10T04:45:16 --delay 1 --endMP 204:233297 --enddatetime 2017-01-10T05:22:04 --enforcementcount 0 &gt;&gt;C:\Users\stu\Documents\GitHub\eaglep3-reporting\EC\2017-01-10-refined-times.txt</v>
      </c>
      <c r="AI21" s="115" t="str">
        <f t="shared" si="19"/>
        <v>echo {"issue":{"subject":"","project_id":79,"tracker_id":40,"status_id":1,"priority_id":2,"assigned_to_id":23,"start_date":"2017-01-10","description":"","custom_fields":[{"id":1,"name":"Subdivision","value":"EC"},{"id":4,"name":"Milepost","value":"23.3297"},{"id":17,"name":"Train ID","value":"109-10"},{"id":16,"name":"Locomotive ID","value":"4031"},{"id":130,"name":"Impact","value":""},{"id":150,"name":"Time of Event (Mountain Time)","value":"05:22:04"},{"id":151,"name":"Denver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0"/>
      <c r="AK21" s="50"/>
      <c r="AL21" s="50"/>
      <c r="AM21" s="180" t="str">
        <f t="shared" si="20"/>
        <v>start /low /b %USERPROFILE%\Documents\GitHub\eaglep3\Utilities\DownloadLogsFromS3.py --loco 4031 --day 2017-01-10</v>
      </c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4" t="s">
        <v>427</v>
      </c>
      <c r="B22" s="7">
        <v>4032</v>
      </c>
      <c r="C22" s="22" t="s">
        <v>202</v>
      </c>
      <c r="D22" s="22" t="s">
        <v>275</v>
      </c>
      <c r="E22" s="13">
        <v>42745.233981481484</v>
      </c>
      <c r="F22" s="13">
        <v>42745.236990740741</v>
      </c>
      <c r="G22" s="7">
        <v>1</v>
      </c>
      <c r="H22" s="22" t="s">
        <v>349</v>
      </c>
      <c r="I22" s="13">
        <v>42745.265856481485</v>
      </c>
      <c r="J22" s="7">
        <v>0</v>
      </c>
      <c r="K22" s="105" t="str">
        <f t="shared" si="0"/>
        <v>4031/4032</v>
      </c>
      <c r="L22" s="22" t="str">
        <f>VLOOKUP(A22,'Trips&amp;Operators'!$C$1:$G$99999,5,FALSE)</f>
        <v>DAVIS WENDY</v>
      </c>
      <c r="M22" s="6">
        <f t="shared" si="1"/>
        <v>2.8865740743640345E-2</v>
      </c>
      <c r="N22" s="7">
        <f t="shared" si="2"/>
        <v>41.566666670842096</v>
      </c>
      <c r="O22" s="7"/>
      <c r="P22" s="7"/>
      <c r="Q22" s="23"/>
      <c r="R22" s="23"/>
      <c r="S22" s="32">
        <f t="shared" si="3"/>
        <v>1</v>
      </c>
      <c r="T22" s="47" t="str">
        <f t="shared" si="4"/>
        <v>Southbound</v>
      </c>
      <c r="U22" s="167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https://search-rtdc-monitor-bjffxe2xuh6vdkpspy63sjmuny.us-east-1.es.amazonaws.com/_plugin/kibana/#/discover/Steve-Slow-Train-Analysis-(2080s-and-2083s)?_g=(refreshInterval:(display:Off,section:0,value:0),time:(from:'2017-01-10 04:36:56-700',mode:absolute,to:'2017-01-10 07:22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2" s="49" t="str">
        <f t="shared" si="6"/>
        <v>N</v>
      </c>
      <c r="X22" s="173">
        <f t="shared" si="21"/>
        <v>1</v>
      </c>
      <c r="Y22" s="64">
        <f t="shared" si="8"/>
        <v>23.2989</v>
      </c>
      <c r="Z22" s="64">
        <f t="shared" si="9"/>
        <v>1.6299999999999999E-2</v>
      </c>
      <c r="AA22" s="64">
        <f t="shared" si="10"/>
        <v>23.282599999999999</v>
      </c>
      <c r="AB22" s="61" t="str">
        <f>VLOOKUP(A22,Enforcements!$C$7:$K$17,8,0)</f>
        <v>Speed (6)</v>
      </c>
      <c r="AC22" s="57" t="str">
        <f>VLOOKUP(A22,Enforcements!$C$7:$E$17,3,0)</f>
        <v>PERMANENT SPEED RESTRICTION</v>
      </c>
      <c r="AD22" s="58" t="str">
        <f t="shared" si="11"/>
        <v>0110-10</v>
      </c>
      <c r="AE22" s="87" t="str">
        <f t="shared" si="12"/>
        <v>aws s3 cp s3://rtdc.mdm.uploadarchive.raw/RTDC4032/ "%USERPROFILE%\AppData\Local\Temp\OnboardLogs"\RTDC4032\2017-01-10 --exclude "*" --recursive --include "*20170110*" &amp; "%USERPROFILE%\Documents\GitHub\mrs-test-scripts\Headless Mode &amp; Sideloading\WalkAndUnGZ.bat" "%USERPROFILE%\AppData\Local\Temp\OnboardLogs"\RTDC4032\2017-01-10 &amp; aws s3 cp s3://rtdc.mdm.uploadarchive.raw/RTDC4032/ "%USERPROFILE%\AppData\Local\Temp\OnboardLogs"\RTDC4032\2017-01-11 --exclude "*" --recursive --include "*20170111*" &amp; "%USERPROFILE%\Documents\GitHub\mrs-test-scripts\Headless Mode &amp; Sideloading\WalkAndUnGZ.bat" "%USERPROFILE%\AppData\Local\Temp\OnboardLogs"\RTDC4032\2017-01-11</v>
      </c>
      <c r="AF22" s="84" t="str">
        <f t="shared" si="13"/>
        <v>"C:\Program Files (x86)\AstroGrep\AstroGrep.exe" /spath="%USERPROFILE%\AppData\Local\Temp\OnboardLogs" /stypes="app*4032*20170110*" /stext=" 13:.+((SYSTEM_STATE.+slice.+state.+changed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88" t="str">
        <f t="shared" si="18"/>
        <v>"%USERPROFILE%\Documents\GitHub\eaglep3\Utilities\RefineRTDCRunTimes.py" --tripid 110-10 --locoid 4032 --swversion DE.1.0.8.0 --startMP 204:232989 --initTime 2017-01-10T05:36:56 --startdatetime 2017-01-10T05:41:16 --delay 1 --endMP 204:163 --enddatetime 2017-01-10T06:22:50 --enforcementcount 0 &gt;&gt;C:\Users\stu\Documents\GitHub\eaglep3-reporting\EC\2017-01-10-refined-times.txt</v>
      </c>
      <c r="AI22" s="115" t="str">
        <f t="shared" si="19"/>
        <v>echo {"issue":{"subject":"","project_id":79,"tracker_id":40,"status_id":1,"priority_id":2,"assigned_to_id":23,"start_date":"2017-01-10","description":"","custom_fields":[{"id":1,"name":"Subdivision","value":"EC"},{"id":4,"name":"Milepost","value":"0.0163"},{"id":17,"name":"Train ID","value":"110-10"},{"id":16,"name":"Locomotive ID","value":"4032"},{"id":130,"name":"Impact","value":""},{"id":150,"name":"Time of Event (Mountain Time)","value":"06:22:50"},{"id":151,"name":"Denver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0"/>
      <c r="AK22" s="50"/>
      <c r="AL22" s="50"/>
      <c r="AM22" s="180" t="str">
        <f t="shared" si="20"/>
        <v>start /low /b %USERPROFILE%\Documents\GitHub\eaglep3\Utilities\DownloadLogsFromS3.py --loco 4032 --day 2017-01-10</v>
      </c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4" t="s">
        <v>472</v>
      </c>
      <c r="B23" s="7">
        <v>4016</v>
      </c>
      <c r="C23" s="22" t="s">
        <v>202</v>
      </c>
      <c r="D23" s="22" t="s">
        <v>674</v>
      </c>
      <c r="E23" s="13">
        <v>42745.207256944443</v>
      </c>
      <c r="F23" s="13">
        <v>42745.208807870367</v>
      </c>
      <c r="G23" s="7">
        <v>1</v>
      </c>
      <c r="H23" s="22" t="s">
        <v>675</v>
      </c>
      <c r="I23" s="13">
        <v>42745.233020833337</v>
      </c>
      <c r="J23" s="7">
        <v>0</v>
      </c>
      <c r="K23" s="105" t="str">
        <f t="shared" si="0"/>
        <v>4015/4016</v>
      </c>
      <c r="L23" s="22" t="str">
        <f>VLOOKUP(A23,'Trips&amp;Operators'!$C$1:$G$99999,5,FALSE)</f>
        <v>LOZA FIDEL</v>
      </c>
      <c r="M23" s="6">
        <f t="shared" si="1"/>
        <v>2.4212962969613727E-2</v>
      </c>
      <c r="N23" s="7">
        <f t="shared" si="2"/>
        <v>34.866666676243767</v>
      </c>
      <c r="O23" s="7"/>
      <c r="P23" s="7"/>
      <c r="Q23" s="23"/>
      <c r="R23" s="23"/>
      <c r="S23" s="32">
        <f t="shared" si="3"/>
        <v>1</v>
      </c>
      <c r="T23" s="47" t="str">
        <f t="shared" si="4"/>
        <v>NorthBound</v>
      </c>
      <c r="U23" s="167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https://search-rtdc-monitor-bjffxe2xuh6vdkpspy63sjmuny.us-east-1.es.amazonaws.com/_plugin/kibana/#/discover/Steve-Slow-Train-Analysis-(2080s-and-2083s)?_g=(refreshInterval:(display:Off,section:0,value:0),time:(from:'2017-01-10 03:58:27-700',mode:absolute,to:'2017-01-10 06:35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3" s="49" t="str">
        <f t="shared" si="6"/>
        <v>N</v>
      </c>
      <c r="X23" s="173">
        <f t="shared" si="21"/>
        <v>1</v>
      </c>
      <c r="Y23" s="64">
        <f t="shared" si="8"/>
        <v>7.5200000000000003E-2</v>
      </c>
      <c r="Z23" s="64">
        <f t="shared" si="9"/>
        <v>23.328800000000001</v>
      </c>
      <c r="AA23" s="64">
        <f t="shared" si="10"/>
        <v>23.253600000000002</v>
      </c>
      <c r="AB23" s="61" t="e">
        <f>VLOOKUP(A23,Enforcements!$C$7:$K$17,8,0)</f>
        <v>#N/A</v>
      </c>
      <c r="AC23" s="57" t="e">
        <f>VLOOKUP(A23,Enforcements!$C$7:$E$17,3,0)</f>
        <v>#N/A</v>
      </c>
      <c r="AD23" s="58" t="str">
        <f t="shared" si="11"/>
        <v>0111-10</v>
      </c>
      <c r="AE23" s="87" t="str">
        <f t="shared" si="12"/>
        <v>aws s3 cp s3://rtdc.mdm.uploadarchive.raw/RTDC4016/ "%USERPROFILE%\AppData\Local\Temp\OnboardLogs"\RTDC4016\2017-01-10 --exclude "*" --recursive --include "*20170110*" &amp; "%USERPROFILE%\Documents\GitHub\mrs-test-scripts\Headless Mode &amp; Sideloading\WalkAndUnGZ.bat" "%USERPROFILE%\AppData\Local\Temp\OnboardLogs"\RTDC4016\2017-01-10 &amp; aws s3 cp s3://rtdc.mdm.uploadarchive.raw/RTDC4016/ "%USERPROFILE%\AppData\Local\Temp\OnboardLogs"\RTDC4016\2017-01-11 --exclude "*" --recursive --include "*20170111*" &amp; "%USERPROFILE%\Documents\GitHub\mrs-test-scripts\Headless Mode &amp; Sideloading\WalkAndUnGZ.bat" "%USERPROFILE%\AppData\Local\Temp\OnboardLogs"\RTDC4016\2017-01-11</v>
      </c>
      <c r="AF23" s="84" t="str">
        <f t="shared" si="13"/>
        <v>"C:\Program Files (x86)\AstroGrep\AstroGrep.exe" /spath="%USERPROFILE%\AppData\Local\Temp\OnboardLogs" /stypes="app*4016*20170110*" /stext=" 12:.+((SYSTEM_STATE.+slice.+state.+changed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88" t="str">
        <f t="shared" si="18"/>
        <v>"%USERPROFILE%\Documents\GitHub\eaglep3\Utilities\RefineRTDCRunTimes.py" --tripid 111-10 --locoid 4016 --swversion DE.1.0.8.0 --startMP 204:752 --initTime 2017-01-10T04:58:27 --startdatetime 2017-01-10T05:00:41 --delay 1 --endMP 204:233288 --enddatetime 2017-01-10T05:35:33 --enforcementcount 0 &gt;&gt;C:\Users\stu\Documents\GitHub\eaglep3-reporting\EC\2017-01-10-refined-times.txt</v>
      </c>
      <c r="AI23" s="115" t="str">
        <f t="shared" si="19"/>
        <v>echo {"issue":{"subject":"","project_id":79,"tracker_id":40,"status_id":1,"priority_id":2,"assigned_to_id":23,"start_date":"2017-01-10","description":"","custom_fields":[{"id":1,"name":"Subdivision","value":"EC"},{"id":4,"name":"Milepost","value":"23.3288"},{"id":17,"name":"Train ID","value":"111-10"},{"id":16,"name":"Locomotive ID","value":"4016"},{"id":130,"name":"Impact","value":""},{"id":150,"name":"Time of Event (Mountain Time)","value":"05:35:33"},{"id":151,"name":"Denver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0"/>
      <c r="AK23" s="50"/>
      <c r="AL23" s="50"/>
      <c r="AM23" s="180" t="str">
        <f t="shared" si="20"/>
        <v>start /low /b %USERPROFILE%\Documents\GitHub\eaglep3\Utilities\DownloadLogsFromS3.py --loco 4016 --day 2017-01-10</v>
      </c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4" t="s">
        <v>485</v>
      </c>
      <c r="B24" s="7">
        <v>4015</v>
      </c>
      <c r="C24" s="22" t="s">
        <v>202</v>
      </c>
      <c r="D24" s="22" t="s">
        <v>271</v>
      </c>
      <c r="E24" s="13">
        <v>42745.245497685188</v>
      </c>
      <c r="F24" s="13">
        <v>42745.247534722221</v>
      </c>
      <c r="G24" s="7">
        <v>1</v>
      </c>
      <c r="H24" s="22" t="s">
        <v>245</v>
      </c>
      <c r="I24" s="13">
        <v>42745.274201388886</v>
      </c>
      <c r="J24" s="7">
        <v>0</v>
      </c>
      <c r="K24" s="105" t="str">
        <f t="shared" si="0"/>
        <v>4015/4016</v>
      </c>
      <c r="L24" s="22" t="str">
        <f>VLOOKUP(A24,'Trips&amp;Operators'!$C$1:$G$99999,5,FALSE)</f>
        <v>LOZA FIDEL</v>
      </c>
      <c r="M24" s="6">
        <f t="shared" si="1"/>
        <v>2.6666666664823424E-2</v>
      </c>
      <c r="N24" s="7">
        <f t="shared" si="2"/>
        <v>38.399999997345731</v>
      </c>
      <c r="O24" s="7"/>
      <c r="P24" s="7"/>
      <c r="Q24" s="23"/>
      <c r="R24" s="23"/>
      <c r="S24" s="32">
        <f t="shared" si="3"/>
        <v>1</v>
      </c>
      <c r="T24" s="47" t="str">
        <f t="shared" si="4"/>
        <v>Southbound</v>
      </c>
      <c r="U24" s="167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https://search-rtdc-monitor-bjffxe2xuh6vdkpspy63sjmuny.us-east-1.es.amazonaws.com/_plugin/kibana/#/discover/Steve-Slow-Train-Analysis-(2080s-and-2083s)?_g=(refreshInterval:(display:Off,section:0,value:0),time:(from:'2017-01-10 04:53:31-700',mode:absolute,to:'2017-01-10 07:34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4" s="49" t="str">
        <f t="shared" si="6"/>
        <v>N</v>
      </c>
      <c r="X24" s="173">
        <f t="shared" ref="X24:X87" si="22">VALUE(LEFT(AD24,4))-VALUE(LEFT(AD23,4))</f>
        <v>1</v>
      </c>
      <c r="Y24" s="64">
        <f t="shared" si="8"/>
        <v>23.2971</v>
      </c>
      <c r="Z24" s="64">
        <f t="shared" si="9"/>
        <v>1.6E-2</v>
      </c>
      <c r="AA24" s="64">
        <f t="shared" si="10"/>
        <v>23.281100000000002</v>
      </c>
      <c r="AB24" s="61" t="e">
        <f>VLOOKUP(A24,Enforcements!$C$7:$K$17,8,0)</f>
        <v>#N/A</v>
      </c>
      <c r="AC24" s="57" t="e">
        <f>VLOOKUP(A24,Enforcements!$C$7:$E$17,3,0)</f>
        <v>#N/A</v>
      </c>
      <c r="AD24" s="58" t="str">
        <f t="shared" si="11"/>
        <v>0112-10</v>
      </c>
      <c r="AE24" s="87" t="str">
        <f t="shared" si="12"/>
        <v>aws s3 cp s3://rtdc.mdm.uploadarchive.raw/RTDC4015/ "%USERPROFILE%\AppData\Local\Temp\OnboardLogs"\RTDC4015\2017-01-10 --exclude "*" --recursive --include "*20170110*" &amp; "%USERPROFILE%\Documents\GitHub\mrs-test-scripts\Headless Mode &amp; Sideloading\WalkAndUnGZ.bat" "%USERPROFILE%\AppData\Local\Temp\OnboardLogs"\RTDC4015\2017-01-10 &amp; aws s3 cp s3://rtdc.mdm.uploadarchive.raw/RTDC4015/ "%USERPROFILE%\AppData\Local\Temp\OnboardLogs"\RTDC4015\2017-01-11 --exclude "*" --recursive --include "*20170111*" &amp; "%USERPROFILE%\Documents\GitHub\mrs-test-scripts\Headless Mode &amp; Sideloading\WalkAndUnGZ.bat" "%USERPROFILE%\AppData\Local\Temp\OnboardLogs"\RTDC4015\2017-01-11</v>
      </c>
      <c r="AF24" s="84" t="str">
        <f t="shared" si="13"/>
        <v>"C:\Program Files (x86)\AstroGrep\AstroGrep.exe" /spath="%USERPROFILE%\AppData\Local\Temp\OnboardLogs" /stypes="app*4015*20170110*" /stext=" 13:.+((SYSTEM_STATE.+slice.+state.+changed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88" t="str">
        <f t="shared" si="18"/>
        <v>"%USERPROFILE%\Documents\GitHub\eaglep3\Utilities\RefineRTDCRunTimes.py" --tripid 112-10 --locoid 4015 --swversion DE.1.0.8.0 --startMP 204:232971 --initTime 2017-01-10T05:53:31 --startdatetime 2017-01-10T05:56:27 --delay 1 --endMP 204:160 --enddatetime 2017-01-10T06:34:51 --enforcementcount 0 &gt;&gt;C:\Users\stu\Documents\GitHub\eaglep3-reporting\EC\2017-01-10-refined-times.txt</v>
      </c>
      <c r="AI24" s="115" t="str">
        <f t="shared" si="19"/>
        <v>echo {"issue":{"subject":"","project_id":79,"tracker_id":40,"status_id":1,"priority_id":2,"assigned_to_id":23,"start_date":"2017-01-10","description":"","custom_fields":[{"id":1,"name":"Subdivision","value":"EC"},{"id":4,"name":"Milepost","value":"0.016"},{"id":17,"name":"Train ID","value":"112-10"},{"id":16,"name":"Locomotive ID","value":"4015"},{"id":130,"name":"Impact","value":""},{"id":150,"name":"Time of Event (Mountain Time)","value":"06:34:51"},{"id":151,"name":"Denver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0"/>
      <c r="AK24" s="50"/>
      <c r="AL24" s="50"/>
      <c r="AM24" s="180" t="str">
        <f t="shared" si="20"/>
        <v>start /low /b %USERPROFILE%\Documents\GitHub\eaglep3\Utilities\DownloadLogsFromS3.py --loco 4015 --day 2017-01-10</v>
      </c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4" t="s">
        <v>475</v>
      </c>
      <c r="B25" s="7">
        <v>4007</v>
      </c>
      <c r="C25" s="22" t="s">
        <v>202</v>
      </c>
      <c r="D25" s="22" t="s">
        <v>400</v>
      </c>
      <c r="E25" s="13">
        <v>42745.211342592593</v>
      </c>
      <c r="F25" s="13">
        <v>42745.218969907408</v>
      </c>
      <c r="G25" s="7">
        <v>1</v>
      </c>
      <c r="H25" s="22" t="s">
        <v>389</v>
      </c>
      <c r="I25" s="13">
        <v>42745.245717592596</v>
      </c>
      <c r="J25" s="7">
        <v>0</v>
      </c>
      <c r="K25" s="105" t="str">
        <f t="shared" si="0"/>
        <v>4007/4008</v>
      </c>
      <c r="L25" s="22" t="str">
        <f>VLOOKUP(A25,'Trips&amp;Operators'!$C$1:$G$99999,5,FALSE)</f>
        <v>CUSHING HARRY</v>
      </c>
      <c r="M25" s="6">
        <f t="shared" si="1"/>
        <v>2.6747685187729076E-2</v>
      </c>
      <c r="N25" s="7">
        <f t="shared" si="2"/>
        <v>38.516666670329869</v>
      </c>
      <c r="O25" s="7"/>
      <c r="P25" s="7"/>
      <c r="Q25" s="23"/>
      <c r="R25" s="23"/>
      <c r="S25" s="32">
        <f t="shared" si="3"/>
        <v>1</v>
      </c>
      <c r="T25" s="47" t="str">
        <f t="shared" si="4"/>
        <v>NorthBound</v>
      </c>
      <c r="U25" s="167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https://search-rtdc-monitor-bjffxe2xuh6vdkpspy63sjmuny.us-east-1.es.amazonaws.com/_plugin/kibana/#/discover/Steve-Slow-Train-Analysis-(2080s-and-2083s)?_g=(refreshInterval:(display:Off,section:0,value:0),time:(from:'2017-01-10 04:04:20-700',mode:absolute,to:'2017-01-10 06:53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5" s="49" t="str">
        <f t="shared" si="6"/>
        <v>N</v>
      </c>
      <c r="X25" s="173">
        <f t="shared" si="22"/>
        <v>1</v>
      </c>
      <c r="Y25" s="64">
        <f t="shared" si="8"/>
        <v>4.4200000000000003E-2</v>
      </c>
      <c r="Z25" s="64">
        <f t="shared" si="9"/>
        <v>23.329699999999999</v>
      </c>
      <c r="AA25" s="64">
        <f t="shared" si="10"/>
        <v>23.285499999999999</v>
      </c>
      <c r="AB25" s="61" t="e">
        <f>VLOOKUP(A25,Enforcements!$C$7:$K$17,8,0)</f>
        <v>#N/A</v>
      </c>
      <c r="AC25" s="57" t="e">
        <f>VLOOKUP(A25,Enforcements!$C$7:$E$17,3,0)</f>
        <v>#N/A</v>
      </c>
      <c r="AD25" s="58" t="str">
        <f t="shared" si="11"/>
        <v>0113-10</v>
      </c>
      <c r="AE25" s="87" t="str">
        <f t="shared" si="12"/>
        <v>aws s3 cp s3://rtdc.mdm.uploadarchive.raw/RTDC4007/ "%USERPROFILE%\AppData\Local\Temp\OnboardLogs"\RTDC4007\2017-01-10 --exclude "*" --recursive --include "*20170110*" &amp; "%USERPROFILE%\Documents\GitHub\mrs-test-scripts\Headless Mode &amp; Sideloading\WalkAndUnGZ.bat" "%USERPROFILE%\AppData\Local\Temp\OnboardLogs"\RTDC4007\2017-01-10 &amp; aws s3 cp s3://rtdc.mdm.uploadarchive.raw/RTDC4007/ "%USERPROFILE%\AppData\Local\Temp\OnboardLogs"\RTDC4007\2017-01-11 --exclude "*" --recursive --include "*20170111*" &amp; "%USERPROFILE%\Documents\GitHub\mrs-test-scripts\Headless Mode &amp; Sideloading\WalkAndUnGZ.bat" "%USERPROFILE%\AppData\Local\Temp\OnboardLogs"\RTDC4007\2017-01-11</v>
      </c>
      <c r="AF25" s="84" t="str">
        <f t="shared" si="13"/>
        <v>"C:\Program Files (x86)\AstroGrep\AstroGrep.exe" /spath="%USERPROFILE%\AppData\Local\Temp\OnboardLogs" /stypes="app*4007*20170110*" /stext=" 12:.+((SYSTEM_STATE.+slice.+state.+changed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88" t="str">
        <f t="shared" si="18"/>
        <v>"%USERPROFILE%\Documents\GitHub\eaglep3\Utilities\RefineRTDCRunTimes.py" --tripid 113-10 --locoid 4007 --swversion DE.1.0.8.0 --startMP 204:442 --initTime 2017-01-10T05:04:20 --startdatetime 2017-01-10T05:15:19 --delay 1 --endMP 204:233297 --enddatetime 2017-01-10T05:53:50 --enforcementcount 0 &gt;&gt;C:\Users\stu\Documents\GitHub\eaglep3-reporting\EC\2017-01-10-refined-times.txt</v>
      </c>
      <c r="AI25" s="115" t="str">
        <f t="shared" si="19"/>
        <v>echo {"issue":{"subject":"","project_id":79,"tracker_id":40,"status_id":1,"priority_id":2,"assigned_to_id":23,"start_date":"2017-01-10","description":"","custom_fields":[{"id":1,"name":"Subdivision","value":"EC"},{"id":4,"name":"Milepost","value":"23.3297"},{"id":17,"name":"Train ID","value":"113-10"},{"id":16,"name":"Locomotive ID","value":"4007"},{"id":130,"name":"Impact","value":""},{"id":150,"name":"Time of Event (Mountain Time)","value":"05:53:50"},{"id":151,"name":"Denver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0"/>
      <c r="AK25" s="50"/>
      <c r="AL25" s="50"/>
      <c r="AM25" s="180" t="str">
        <f t="shared" si="20"/>
        <v>start /low /b %USERPROFILE%\Documents\GitHub\eaglep3\Utilities\DownloadLogsFromS3.py --loco 4007 --day 2017-01-10</v>
      </c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4" t="s">
        <v>487</v>
      </c>
      <c r="B26" s="7">
        <v>4008</v>
      </c>
      <c r="C26" s="22" t="s">
        <v>202</v>
      </c>
      <c r="D26" s="22" t="s">
        <v>676</v>
      </c>
      <c r="E26" s="13">
        <v>42745.252106481479</v>
      </c>
      <c r="F26" s="13">
        <v>42745.257893518516</v>
      </c>
      <c r="G26" s="7">
        <v>1</v>
      </c>
      <c r="H26" s="22" t="s">
        <v>345</v>
      </c>
      <c r="I26" s="13">
        <v>42745.285312499997</v>
      </c>
      <c r="J26" s="7">
        <v>0</v>
      </c>
      <c r="K26" s="105" t="str">
        <f t="shared" si="0"/>
        <v>4007/4008</v>
      </c>
      <c r="L26" s="22" t="str">
        <f>VLOOKUP(A26,'Trips&amp;Operators'!$C$1:$G$99999,5,FALSE)</f>
        <v>CUSHING HARRY</v>
      </c>
      <c r="M26" s="6">
        <f t="shared" si="1"/>
        <v>2.7418981480877846E-2</v>
      </c>
      <c r="N26" s="7">
        <f t="shared" si="2"/>
        <v>39.483333332464099</v>
      </c>
      <c r="O26" s="7"/>
      <c r="P26" s="7"/>
      <c r="Q26" s="23"/>
      <c r="R26" s="23"/>
      <c r="S26" s="32">
        <f t="shared" si="3"/>
        <v>1</v>
      </c>
      <c r="T26" s="47" t="str">
        <f t="shared" si="4"/>
        <v>Southbound</v>
      </c>
      <c r="U26" s="167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https://search-rtdc-monitor-bjffxe2xuh6vdkpspy63sjmuny.us-east-1.es.amazonaws.com/_plugin/kibana/#/discover/Steve-Slow-Train-Analysis-(2080s-and-2083s)?_g=(refreshInterval:(display:Off,section:0,value:0),time:(from:'2017-01-10 05:03:02-700',mode:absolute,to:'2017-01-10 07:50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6" s="49" t="str">
        <f t="shared" si="6"/>
        <v>N</v>
      </c>
      <c r="X26" s="173">
        <f t="shared" si="22"/>
        <v>1</v>
      </c>
      <c r="Y26" s="64">
        <f t="shared" si="8"/>
        <v>23.297899999999998</v>
      </c>
      <c r="Z26" s="64">
        <f t="shared" si="9"/>
        <v>1.61E-2</v>
      </c>
      <c r="AA26" s="64">
        <f t="shared" si="10"/>
        <v>23.281799999999997</v>
      </c>
      <c r="AB26" s="61" t="e">
        <f>VLOOKUP(A26,Enforcements!$C$7:$K$17,8,0)</f>
        <v>#N/A</v>
      </c>
      <c r="AC26" s="57" t="e">
        <f>VLOOKUP(A26,Enforcements!$C$7:$E$17,3,0)</f>
        <v>#N/A</v>
      </c>
      <c r="AD26" s="58" t="str">
        <f t="shared" si="11"/>
        <v>0114-10</v>
      </c>
      <c r="AE26" s="87" t="str">
        <f t="shared" si="12"/>
        <v>aws s3 cp s3://rtdc.mdm.uploadarchive.raw/RTDC4008/ "%USERPROFILE%\AppData\Local\Temp\OnboardLogs"\RTDC4008\2017-01-10 --exclude "*" --recursive --include "*20170110*" &amp; "%USERPROFILE%\Documents\GitHub\mrs-test-scripts\Headless Mode &amp; Sideloading\WalkAndUnGZ.bat" "%USERPROFILE%\AppData\Local\Temp\OnboardLogs"\RTDC4008\2017-01-10 &amp; aws s3 cp s3://rtdc.mdm.uploadarchive.raw/RTDC4008/ "%USERPROFILE%\AppData\Local\Temp\OnboardLogs"\RTDC4008\2017-01-11 --exclude "*" --recursive --include "*20170111*" &amp; "%USERPROFILE%\Documents\GitHub\mrs-test-scripts\Headless Mode &amp; Sideloading\WalkAndUnGZ.bat" "%USERPROFILE%\AppData\Local\Temp\OnboardLogs"\RTDC4008\2017-01-11</v>
      </c>
      <c r="AF26" s="84" t="str">
        <f t="shared" si="13"/>
        <v>"C:\Program Files (x86)\AstroGrep\AstroGrep.exe" /spath="%USERPROFILE%\AppData\Local\Temp\OnboardLogs" /stypes="app*4008*20170110*" /stext=" 13:.+((SYSTEM_STATE.+slice.+state.+changed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88" t="str">
        <f t="shared" si="18"/>
        <v>"%USERPROFILE%\Documents\GitHub\eaglep3\Utilities\RefineRTDCRunTimes.py" --tripid 114-10 --locoid 4008 --swversion DE.1.0.8.0 --startMP 204:232979 --initTime 2017-01-10T06:03:02 --startdatetime 2017-01-10T06:11:22 --delay 1 --endMP 204:161 --enddatetime 2017-01-10T06:50:51 --enforcementcount 0 &gt;&gt;C:\Users\stu\Documents\GitHub\eaglep3-reporting\EC\2017-01-10-refined-times.txt</v>
      </c>
      <c r="AI26" s="115" t="str">
        <f t="shared" si="19"/>
        <v>echo {"issue":{"subject":"","project_id":79,"tracker_id":40,"status_id":1,"priority_id":2,"assigned_to_id":23,"start_date":"2017-01-10","description":"","custom_fields":[{"id":1,"name":"Subdivision","value":"EC"},{"id":4,"name":"Milepost","value":"0.0161"},{"id":17,"name":"Train ID","value":"114-10"},{"id":16,"name":"Locomotive ID","value":"4008"},{"id":130,"name":"Impact","value":""},{"id":150,"name":"Time of Event (Mountain Time)","value":"06:50:51"},{"id":151,"name":"Denver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0"/>
      <c r="AK26" s="50"/>
      <c r="AL26" s="50"/>
      <c r="AM26" s="180" t="str">
        <f t="shared" si="20"/>
        <v>start /low /b %USERPROFILE%\Documents\GitHub\eaglep3\Utilities\DownloadLogsFromS3.py --loco 4008 --day 2017-01-10</v>
      </c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4" t="s">
        <v>481</v>
      </c>
      <c r="B27" s="7">
        <v>4018</v>
      </c>
      <c r="C27" s="22" t="s">
        <v>202</v>
      </c>
      <c r="D27" s="22" t="s">
        <v>677</v>
      </c>
      <c r="E27" s="13">
        <v>42745.225208333337</v>
      </c>
      <c r="F27" s="13">
        <v>42745.229502314818</v>
      </c>
      <c r="G27" s="7">
        <v>2</v>
      </c>
      <c r="H27" s="22" t="s">
        <v>250</v>
      </c>
      <c r="I27" s="13">
        <v>42745.253831018519</v>
      </c>
      <c r="J27" s="7">
        <v>0</v>
      </c>
      <c r="K27" s="105" t="str">
        <f t="shared" si="0"/>
        <v>4017/4018</v>
      </c>
      <c r="L27" s="22" t="str">
        <f>VLOOKUP(A27,'Trips&amp;Operators'!$C$1:$G$99999,5,FALSE)</f>
        <v>DUNCAN SHEILA</v>
      </c>
      <c r="M27" s="6">
        <f t="shared" si="1"/>
        <v>2.4328703701030463E-2</v>
      </c>
      <c r="N27" s="7">
        <f t="shared" si="2"/>
        <v>35.033333329483867</v>
      </c>
      <c r="O27" s="7"/>
      <c r="P27" s="7"/>
      <c r="Q27" s="23"/>
      <c r="R27" s="23"/>
      <c r="S27" s="32">
        <f t="shared" si="3"/>
        <v>1</v>
      </c>
      <c r="T27" s="47" t="str">
        <f t="shared" si="4"/>
        <v>NorthBound</v>
      </c>
      <c r="U27" s="167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https://search-rtdc-monitor-bjffxe2xuh6vdkpspy63sjmuny.us-east-1.es.amazonaws.com/_plugin/kibana/#/discover/Steve-Slow-Train-Analysis-(2080s-and-2083s)?_g=(refreshInterval:(display:Off,section:0,value:0),time:(from:'2017-01-10 04:24:18-700',mode:absolute,to:'2017-01-10 07:05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7" s="49" t="str">
        <f t="shared" si="6"/>
        <v>N</v>
      </c>
      <c r="X27" s="173">
        <f t="shared" si="22"/>
        <v>1</v>
      </c>
      <c r="Y27" s="64">
        <f t="shared" si="8"/>
        <v>7.5700000000000003E-2</v>
      </c>
      <c r="Z27" s="64">
        <f t="shared" si="9"/>
        <v>23.328900000000001</v>
      </c>
      <c r="AA27" s="64">
        <f t="shared" si="10"/>
        <v>23.2532</v>
      </c>
      <c r="AB27" s="61" t="e">
        <f>VLOOKUP(A27,Enforcements!$C$7:$K$17,8,0)</f>
        <v>#N/A</v>
      </c>
      <c r="AC27" s="57" t="e">
        <f>VLOOKUP(A27,Enforcements!$C$7:$E$17,3,0)</f>
        <v>#N/A</v>
      </c>
      <c r="AD27" s="58" t="str">
        <f t="shared" si="11"/>
        <v>0115-10</v>
      </c>
      <c r="AE27" s="87" t="str">
        <f t="shared" si="12"/>
        <v>aws s3 cp s3://rtdc.mdm.uploadarchive.raw/RTDC4018/ "%USERPROFILE%\AppData\Local\Temp\OnboardLogs"\RTDC4018\2017-01-10 --exclude "*" --recursive --include "*20170110*" &amp; "%USERPROFILE%\Documents\GitHub\mrs-test-scripts\Headless Mode &amp; Sideloading\WalkAndUnGZ.bat" "%USERPROFILE%\AppData\Local\Temp\OnboardLogs"\RTDC4018\2017-01-10 &amp; aws s3 cp s3://rtdc.mdm.uploadarchive.raw/RTDC4018/ "%USERPROFILE%\AppData\Local\Temp\OnboardLogs"\RTDC4018\2017-01-11 --exclude "*" --recursive --include "*20170111*" &amp; "%USERPROFILE%\Documents\GitHub\mrs-test-scripts\Headless Mode &amp; Sideloading\WalkAndUnGZ.bat" "%USERPROFILE%\AppData\Local\Temp\OnboardLogs"\RTDC4018\2017-01-11</v>
      </c>
      <c r="AF27" s="84" t="str">
        <f t="shared" si="13"/>
        <v>"C:\Program Files (x86)\AstroGrep\AstroGrep.exe" /spath="%USERPROFILE%\AppData\Local\Temp\OnboardLogs" /stypes="app*4018*20170110*" /stext=" 13:.+((SYSTEM_STATE.+slice.+state.+changed )|(ment ac)|(multiple cpu faults)|(system.+state.+changed )|(\[timeout)|(PRM\|1\|D)|(kpr)|(kdp)|(\|lc)|(penalty))" /e /r /s</v>
      </c>
      <c r="AG27" s="1" t="str">
        <f t="shared" si="14"/>
        <v>EC</v>
      </c>
      <c r="AH27" s="88" t="str">
        <f t="shared" si="18"/>
        <v>"%USERPROFILE%\Documents\GitHub\eaglep3\Utilities\RefineRTDCRunTimes.py" --tripid 115-10 --locoid 4018 --swversion DE.1.0.8.0 --startMP 204:757 --initTime 2017-01-10T05:24:18 --startdatetime 2017-01-10T05:30:29 --delay 2 --endMP 204:233289 --enddatetime 2017-01-10T06:05:31 --enforcementcount 0 &gt;&gt;C:\Users\stu\Documents\GitHub\eaglep3-reporting\EC\2017-01-10-refined-times.txt</v>
      </c>
      <c r="AI27" s="115" t="str">
        <f t="shared" si="19"/>
        <v>echo {"issue":{"subject":"","project_id":79,"tracker_id":40,"status_id":1,"priority_id":2,"assigned_to_id":23,"start_date":"2017-01-10","description":"","custom_fields":[{"id":1,"name":"Subdivision","value":"EC"},{"id":4,"name":"Milepost","value":"23.3289"},{"id":17,"name":"Train ID","value":"115-10"},{"id":16,"name":"Locomotive ID","value":"4018"},{"id":130,"name":"Impact","value":""},{"id":150,"name":"Time of Event (Mountain Time)","value":"06:05:31"},{"id":151,"name":"Denver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0"/>
      <c r="AK27" s="50"/>
      <c r="AL27" s="50"/>
      <c r="AM27" s="180" t="str">
        <f t="shared" si="20"/>
        <v>start /low /b %USERPROFILE%\Documents\GitHub\eaglep3\Utilities\DownloadLogsFromS3.py --loco 4018 --day 2017-01-10</v>
      </c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4" t="s">
        <v>491</v>
      </c>
      <c r="B28" s="7">
        <v>4017</v>
      </c>
      <c r="C28" s="22" t="s">
        <v>202</v>
      </c>
      <c r="D28" s="22" t="s">
        <v>402</v>
      </c>
      <c r="E28" s="13">
        <v>42745.2659375</v>
      </c>
      <c r="F28" s="13">
        <v>42745.268287037034</v>
      </c>
      <c r="G28" s="7">
        <v>1</v>
      </c>
      <c r="H28" s="22" t="s">
        <v>678</v>
      </c>
      <c r="I28" s="13">
        <v>42745.292453703703</v>
      </c>
      <c r="J28" s="7">
        <v>0</v>
      </c>
      <c r="K28" s="105" t="str">
        <f t="shared" si="0"/>
        <v>4017/4018</v>
      </c>
      <c r="L28" s="22" t="str">
        <f>VLOOKUP(A28,'Trips&amp;Operators'!$C$1:$G$99999,5,FALSE)</f>
        <v>DUNCAN SHEILA</v>
      </c>
      <c r="M28" s="6">
        <f t="shared" si="1"/>
        <v>2.4166666669771075E-2</v>
      </c>
      <c r="N28" s="7"/>
      <c r="O28" s="7"/>
      <c r="P28" s="7">
        <f>24*60*SUM($M28:$M28)</f>
        <v>34.800000004470348</v>
      </c>
      <c r="Q28" s="23"/>
      <c r="R28" s="23" t="s">
        <v>362</v>
      </c>
      <c r="S28" s="32">
        <f t="shared" si="3"/>
        <v>1</v>
      </c>
      <c r="T28" s="47" t="str">
        <f t="shared" si="4"/>
        <v>Southbound</v>
      </c>
      <c r="U28" s="167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https://search-rtdc-monitor-bjffxe2xuh6vdkpspy63sjmuny.us-east-1.es.amazonaws.com/_plugin/kibana/#/discover/Steve-Slow-Train-Analysis-(2080s-and-2083s)?_g=(refreshInterval:(display:Off,section:0,value:0),time:(from:'2017-01-10 05:22:57-700',mode:absolute,to:'2017-01-10 08:01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8" s="49" t="str">
        <f t="shared" si="6"/>
        <v>Y</v>
      </c>
      <c r="X28" s="173">
        <f t="shared" si="22"/>
        <v>1</v>
      </c>
      <c r="Y28" s="64">
        <f t="shared" si="8"/>
        <v>23.296099999999999</v>
      </c>
      <c r="Z28" s="64">
        <f t="shared" si="9"/>
        <v>1.8498000000000001</v>
      </c>
      <c r="AA28" s="64">
        <f t="shared" si="10"/>
        <v>21.446300000000001</v>
      </c>
      <c r="AB28" s="61" t="e">
        <f>VLOOKUP(A28,Enforcements!$C$7:$K$17,8,0)</f>
        <v>#N/A</v>
      </c>
      <c r="AC28" s="57" t="e">
        <f>VLOOKUP(A28,Enforcements!$C$7:$E$17,3,0)</f>
        <v>#N/A</v>
      </c>
      <c r="AD28" s="58" t="str">
        <f t="shared" si="11"/>
        <v>0116-10</v>
      </c>
      <c r="AE28" s="87" t="str">
        <f t="shared" si="12"/>
        <v>aws s3 cp s3://rtdc.mdm.uploadarchive.raw/RTDC4017/ "%USERPROFILE%\AppData\Local\Temp\OnboardLogs"\RTDC4017\2017-01-10 --exclude "*" --recursive --include "*20170110*" &amp; "%USERPROFILE%\Documents\GitHub\mrs-test-scripts\Headless Mode &amp; Sideloading\WalkAndUnGZ.bat" "%USERPROFILE%\AppData\Local\Temp\OnboardLogs"\RTDC4017\2017-01-10 &amp; aws s3 cp s3://rtdc.mdm.uploadarchive.raw/RTDC4017/ "%USERPROFILE%\AppData\Local\Temp\OnboardLogs"\RTDC4017\2017-01-11 --exclude "*" --recursive --include "*20170111*" &amp; "%USERPROFILE%\Documents\GitHub\mrs-test-scripts\Headless Mode &amp; Sideloading\WalkAndUnGZ.bat" "%USERPROFILE%\AppData\Local\Temp\OnboardLogs"\RTDC4017\2017-01-11</v>
      </c>
      <c r="AF28" s="84" t="str">
        <f t="shared" si="13"/>
        <v>"C:\Program Files (x86)\AstroGrep\AstroGrep.exe" /spath="%USERPROFILE%\AppData\Local\Temp\OnboardLogs" /stypes="app*4017*20170110*" /stext=" 14:.+((SYSTEM_STATE.+slice.+state.+changed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88" t="str">
        <f t="shared" si="18"/>
        <v>"%USERPROFILE%\Documents\GitHub\eaglep3\Utilities\RefineRTDCRunTimes.py" --tripid 116-10 --locoid 4017 --swversion DE.1.0.8.0 --startMP 204:232961 --initTime 2017-01-10T06:22:57 --startdatetime 2017-01-10T06:26:20 --delay 1 --endMP 204:18498 --enddatetime 2017-01-10T07:01:08 --enforcementcount 0 &gt;&gt;C:\Users\stu\Documents\GitHub\eaglep3-reporting\EC\2017-01-10-refined-times.txt</v>
      </c>
      <c r="AI28" s="115" t="str">
        <f t="shared" si="19"/>
        <v>echo {"issue":{"subject":"Onboard in-route failure","project_id":79,"tracker_id":40,"status_id":1,"priority_id":2,"assigned_to_id":23,"start_date":"2017-01-10","description":"Time skip at 14:01:02:442 UTC","custom_fields":[{"id":1,"name":"Subdivision","value":"EC"},{"id":4,"name":"Milepost","value":"1.8498"},{"id":17,"name":"Train ID","value":"116-10"},{"id":16,"name":"Locomotive ID","value":"4017"},{"id":130,"name":"Impact","value":"Enforcement"},{"id":150,"name":"Time of Event (Mountain Time)","value":"07:01:08"},{"id":151,"name":"Denver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28" s="50" t="s">
        <v>829</v>
      </c>
      <c r="AK28" s="50" t="s">
        <v>125</v>
      </c>
      <c r="AL28" s="50" t="s">
        <v>174</v>
      </c>
      <c r="AM28" s="180" t="str">
        <f t="shared" si="20"/>
        <v>start /low /b %USERPROFILE%\Documents\GitHub\eaglep3\Utilities\DownloadLogsFromS3.py --loco 4017 --day 2017-01-10</v>
      </c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4" t="s">
        <v>480</v>
      </c>
      <c r="B29" s="7">
        <v>4025</v>
      </c>
      <c r="C29" s="22" t="s">
        <v>202</v>
      </c>
      <c r="D29" s="22" t="s">
        <v>254</v>
      </c>
      <c r="E29" s="13">
        <v>42745.225312499999</v>
      </c>
      <c r="F29" s="13">
        <v>42745.24</v>
      </c>
      <c r="G29" s="7">
        <v>1</v>
      </c>
      <c r="H29" s="22" t="s">
        <v>358</v>
      </c>
      <c r="I29" s="13">
        <v>42745.266041666669</v>
      </c>
      <c r="J29" s="7">
        <v>0</v>
      </c>
      <c r="K29" s="105" t="str">
        <f t="shared" si="0"/>
        <v>4025/4026</v>
      </c>
      <c r="L29" s="22" t="str">
        <f>VLOOKUP(A29,'Trips&amp;Operators'!$C$1:$G$99999,5,FALSE)</f>
        <v>MAELZER KURT</v>
      </c>
      <c r="M29" s="6">
        <f t="shared" si="1"/>
        <v>2.6041666671517305E-2</v>
      </c>
      <c r="N29" s="7">
        <f t="shared" ref="N29:N60" si="23">24*60*SUM($M29:$M29)</f>
        <v>37.500000006984919</v>
      </c>
      <c r="O29" s="7"/>
      <c r="P29" s="7"/>
      <c r="Q29" s="23"/>
      <c r="R29" s="23"/>
      <c r="S29" s="32">
        <f t="shared" si="3"/>
        <v>1</v>
      </c>
      <c r="T29" s="47" t="str">
        <f t="shared" si="4"/>
        <v>NorthBound</v>
      </c>
      <c r="U29" s="167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https://search-rtdc-monitor-bjffxe2xuh6vdkpspy63sjmuny.us-east-1.es.amazonaws.com/_plugin/kibana/#/discover/Steve-Slow-Train-Analysis-(2080s-and-2083s)?_g=(refreshInterval:(display:Off,section:0,value:0),time:(from:'2017-01-10 04:24:27-700',mode:absolute,to:'2017-01-10 07:23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9" s="49" t="str">
        <f t="shared" si="6"/>
        <v>N</v>
      </c>
      <c r="X29" s="173">
        <f t="shared" si="22"/>
        <v>1</v>
      </c>
      <c r="Y29" s="64">
        <f t="shared" si="8"/>
        <v>4.4900000000000002E-2</v>
      </c>
      <c r="Z29" s="64">
        <f t="shared" si="9"/>
        <v>23.328099999999999</v>
      </c>
      <c r="AA29" s="64">
        <f t="shared" si="10"/>
        <v>23.283200000000001</v>
      </c>
      <c r="AB29" s="61" t="e">
        <f>VLOOKUP(A29,Enforcements!$C$7:$K$17,8,0)</f>
        <v>#N/A</v>
      </c>
      <c r="AC29" s="57" t="e">
        <f>VLOOKUP(A29,Enforcements!$C$7:$E$17,3,0)</f>
        <v>#N/A</v>
      </c>
      <c r="AD29" s="58" t="str">
        <f t="shared" si="11"/>
        <v>0117-10</v>
      </c>
      <c r="AE29" s="87" t="str">
        <f t="shared" si="12"/>
        <v>aws s3 cp s3://rtdc.mdm.uploadarchive.raw/RTDC4025/ "%USERPROFILE%\AppData\Local\Temp\OnboardLogs"\RTDC4025\2017-01-10 --exclude "*" --recursive --include "*20170110*" &amp; "%USERPROFILE%\Documents\GitHub\mrs-test-scripts\Headless Mode &amp; Sideloading\WalkAndUnGZ.bat" "%USERPROFILE%\AppData\Local\Temp\OnboardLogs"\RTDC4025\2017-01-10 &amp; aws s3 cp s3://rtdc.mdm.uploadarchive.raw/RTDC4025/ "%USERPROFILE%\AppData\Local\Temp\OnboardLogs"\RTDC4025\2017-01-11 --exclude "*" --recursive --include "*20170111*" &amp; "%USERPROFILE%\Documents\GitHub\mrs-test-scripts\Headless Mode &amp; Sideloading\WalkAndUnGZ.bat" "%USERPROFILE%\AppData\Local\Temp\OnboardLogs"\RTDC4025\2017-01-11</v>
      </c>
      <c r="AF29" s="84" t="str">
        <f t="shared" si="13"/>
        <v>"C:\Program Files (x86)\AstroGrep\AstroGrep.exe" /spath="%USERPROFILE%\AppData\Local\Temp\OnboardLogs" /stypes="app*4025*20170110*" /stext=" 13:.+((SYSTEM_STATE.+slice.+state.+changed )|(ment ac)|(multiple cpu faults)|(system.+state.+changed )|(\[timeout)|(PRM\|1\|D)|(kpr)|(kdp)|(\|lc)|(penalty))" /e /r /s</v>
      </c>
      <c r="AG29" s="1" t="str">
        <f t="shared" si="14"/>
        <v>EC</v>
      </c>
      <c r="AH29" s="88" t="str">
        <f t="shared" si="18"/>
        <v>"%USERPROFILE%\Documents\GitHub\eaglep3\Utilities\RefineRTDCRunTimes.py" --tripid 117-10 --locoid 4025 --swversion DE.1.0.8.0 --startMP 204:449 --initTime 2017-01-10T05:24:27 --startdatetime 2017-01-10T05:45:36 --delay 1 --endMP 204:233281 --enddatetime 2017-01-10T06:23:06 --enforcementcount 0 &gt;&gt;C:\Users\stu\Documents\GitHub\eaglep3-reporting\EC\2017-01-10-refined-times.txt</v>
      </c>
      <c r="AI29" s="115" t="str">
        <f t="shared" si="19"/>
        <v>echo {"issue":{"subject":"","project_id":79,"tracker_id":40,"status_id":1,"priority_id":2,"assigned_to_id":23,"start_date":"2017-01-10","description":"","custom_fields":[{"id":1,"name":"Subdivision","value":"EC"},{"id":4,"name":"Milepost","value":"23.3281"},{"id":17,"name":"Train ID","value":"117-10"},{"id":16,"name":"Locomotive ID","value":"4025"},{"id":130,"name":"Impact","value":""},{"id":150,"name":"Time of Event (Mountain Time)","value":"06:23:06"},{"id":151,"name":"Denver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0"/>
      <c r="AK29" s="50"/>
      <c r="AL29" s="50"/>
      <c r="AM29" s="180" t="str">
        <f t="shared" si="20"/>
        <v>start /low /b %USERPROFILE%\Documents\GitHub\eaglep3\Utilities\DownloadLogsFromS3.py --loco 4025 --day 2017-01-10</v>
      </c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4" t="s">
        <v>494</v>
      </c>
      <c r="B30" s="7">
        <v>4026</v>
      </c>
      <c r="C30" s="22" t="s">
        <v>202</v>
      </c>
      <c r="D30" s="22" t="s">
        <v>407</v>
      </c>
      <c r="E30" s="13">
        <v>42745.274027777778</v>
      </c>
      <c r="F30" s="13">
        <v>42745.278749999998</v>
      </c>
      <c r="G30" s="7">
        <v>0</v>
      </c>
      <c r="H30" s="22" t="s">
        <v>241</v>
      </c>
      <c r="I30" s="13">
        <v>42745.30568287037</v>
      </c>
      <c r="J30" s="7">
        <v>0</v>
      </c>
      <c r="K30" s="105" t="str">
        <f t="shared" si="0"/>
        <v>4025/4026</v>
      </c>
      <c r="L30" s="22" t="str">
        <f>VLOOKUP(A30,'Trips&amp;Operators'!$C$1:$G$99999,5,FALSE)</f>
        <v>MAELZER KURT</v>
      </c>
      <c r="M30" s="6">
        <f t="shared" si="1"/>
        <v>2.6932870372547768E-2</v>
      </c>
      <c r="N30" s="7">
        <f t="shared" si="23"/>
        <v>38.783333336468786</v>
      </c>
      <c r="O30" s="7"/>
      <c r="P30" s="7"/>
      <c r="Q30" s="23"/>
      <c r="R30" s="23"/>
      <c r="S30" s="32">
        <f t="shared" si="3"/>
        <v>1</v>
      </c>
      <c r="T30" s="47" t="str">
        <f t="shared" si="4"/>
        <v>Southbound</v>
      </c>
      <c r="U30" s="167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https://search-rtdc-monitor-bjffxe2xuh6vdkpspy63sjmuny.us-east-1.es.amazonaws.com/_plugin/kibana/#/discover/Steve-Slow-Train-Analysis-(2080s-and-2083s)?_g=(refreshInterval:(display:Off,section:0,value:0),time:(from:'2017-01-10 05:34:36-700',mode:absolute,to:'2017-01-10 08:20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30" s="49" t="str">
        <f t="shared" si="6"/>
        <v>N</v>
      </c>
      <c r="X30" s="173">
        <f t="shared" si="22"/>
        <v>1</v>
      </c>
      <c r="Y30" s="64">
        <f t="shared" si="8"/>
        <v>23.299099999999999</v>
      </c>
      <c r="Z30" s="64">
        <f t="shared" si="9"/>
        <v>1.47E-2</v>
      </c>
      <c r="AA30" s="64">
        <f t="shared" si="10"/>
        <v>23.284399999999998</v>
      </c>
      <c r="AB30" s="61" t="e">
        <f>VLOOKUP(A30,Enforcements!$C$7:$K$17,8,0)</f>
        <v>#N/A</v>
      </c>
      <c r="AC30" s="57" t="e">
        <f>VLOOKUP(A30,Enforcements!$C$7:$E$17,3,0)</f>
        <v>#N/A</v>
      </c>
      <c r="AD30" s="58" t="str">
        <f t="shared" si="11"/>
        <v>0118-10</v>
      </c>
      <c r="AE30" s="87" t="str">
        <f t="shared" si="12"/>
        <v>aws s3 cp s3://rtdc.mdm.uploadarchive.raw/RTDC4026/ "%USERPROFILE%\AppData\Local\Temp\OnboardLogs"\RTDC4026\2017-01-10 --exclude "*" --recursive --include "*20170110*" &amp; "%USERPROFILE%\Documents\GitHub\mrs-test-scripts\Headless Mode &amp; Sideloading\WalkAndUnGZ.bat" "%USERPROFILE%\AppData\Local\Temp\OnboardLogs"\RTDC4026\2017-01-10 &amp; aws s3 cp s3://rtdc.mdm.uploadarchive.raw/RTDC4026/ "%USERPROFILE%\AppData\Local\Temp\OnboardLogs"\RTDC4026\2017-01-11 --exclude "*" --recursive --include "*20170111*" &amp; "%USERPROFILE%\Documents\GitHub\mrs-test-scripts\Headless Mode &amp; Sideloading\WalkAndUnGZ.bat" "%USERPROFILE%\AppData\Local\Temp\OnboardLogs"\RTDC4026\2017-01-11</v>
      </c>
      <c r="AF30" s="84" t="str">
        <f t="shared" si="13"/>
        <v>"C:\Program Files (x86)\AstroGrep\AstroGrep.exe" /spath="%USERPROFILE%\AppData\Local\Temp\OnboardLogs" /stypes="app*4026*20170110*" /stext=" 14:.+((SYSTEM_STATE.+slice.+state.+changed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88" t="str">
        <f t="shared" si="18"/>
        <v>"%USERPROFILE%\Documents\GitHub\eaglep3\Utilities\RefineRTDCRunTimes.py" --tripid 118-10 --locoid 4026 --swversion DE.1.0.8.0 --startMP 204:232991 --initTime 2017-01-10T06:34:36 --startdatetime 2017-01-10T06:41:24 --delay 0 --endMP 204:147 --enddatetime 2017-01-10T07:20:11 --enforcementcount 0 &gt;&gt;C:\Users\stu\Documents\GitHub\eaglep3-reporting\EC\2017-01-10-refined-times.txt</v>
      </c>
      <c r="AI30" s="115" t="str">
        <f t="shared" si="19"/>
        <v>echo {"issue":{"subject":"","project_id":79,"tracker_id":40,"status_id":1,"priority_id":2,"assigned_to_id":23,"start_date":"2017-01-10","description":"","custom_fields":[{"id":1,"name":"Subdivision","value":"EC"},{"id":4,"name":"Milepost","value":"0.0147"},{"id":17,"name":"Train ID","value":"118-10"},{"id":16,"name":"Locomotive ID","value":"4026"},{"id":130,"name":"Impact","value":""},{"id":150,"name":"Time of Event (Mountain Time)","value":"07:20:11"},{"id":151,"name":"Denver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0"/>
      <c r="AK30" s="50"/>
      <c r="AL30" s="50"/>
      <c r="AM30" s="180" t="str">
        <f t="shared" si="20"/>
        <v>start /low /b %USERPROFILE%\Documents\GitHub\eaglep3\Utilities\DownloadLogsFromS3.py --loco 4026 --day 2017-01-10</v>
      </c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4" t="s">
        <v>486</v>
      </c>
      <c r="B31" s="7">
        <v>4020</v>
      </c>
      <c r="C31" s="22" t="s">
        <v>202</v>
      </c>
      <c r="D31" s="22" t="s">
        <v>394</v>
      </c>
      <c r="E31" s="13">
        <v>42745.247766203705</v>
      </c>
      <c r="F31" s="13">
        <v>42745.250231481485</v>
      </c>
      <c r="G31" s="7">
        <v>1</v>
      </c>
      <c r="H31" s="22" t="s">
        <v>295</v>
      </c>
      <c r="I31" s="13">
        <v>42745.277175925927</v>
      </c>
      <c r="J31" s="7">
        <v>0</v>
      </c>
      <c r="K31" s="105" t="str">
        <f t="shared" si="0"/>
        <v>4019/4020</v>
      </c>
      <c r="L31" s="22" t="str">
        <f>VLOOKUP(A31,'Trips&amp;Operators'!$C$1:$G$99999,5,FALSE)</f>
        <v>STARKS ANGELINA</v>
      </c>
      <c r="M31" s="6">
        <f t="shared" si="1"/>
        <v>2.6944444442051463E-2</v>
      </c>
      <c r="N31" s="7">
        <f t="shared" si="23"/>
        <v>38.799999996554106</v>
      </c>
      <c r="O31" s="7"/>
      <c r="P31" s="7"/>
      <c r="Q31" s="23"/>
      <c r="R31" s="23"/>
      <c r="S31" s="32">
        <f t="shared" si="3"/>
        <v>1</v>
      </c>
      <c r="T31" s="47" t="str">
        <f t="shared" si="4"/>
        <v>NorthBound</v>
      </c>
      <c r="U31" s="167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https://search-rtdc-monitor-bjffxe2xuh6vdkpspy63sjmuny.us-east-1.es.amazonaws.com/_plugin/kibana/#/discover/Steve-Slow-Train-Analysis-(2080s-and-2083s)?_g=(refreshInterval:(display:Off,section:0,value:0),time:(from:'2017-01-10 04:56:47-700',mode:absolute,to:'2017-01-10 07:39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31" s="49" t="str">
        <f t="shared" si="6"/>
        <v>N</v>
      </c>
      <c r="X31" s="173">
        <f t="shared" si="22"/>
        <v>1</v>
      </c>
      <c r="Y31" s="64">
        <f t="shared" si="8"/>
        <v>7.0300000000000001E-2</v>
      </c>
      <c r="Z31" s="64">
        <f t="shared" si="9"/>
        <v>23.329499999999999</v>
      </c>
      <c r="AA31" s="64">
        <f t="shared" si="10"/>
        <v>23.2592</v>
      </c>
      <c r="AB31" s="61" t="e">
        <f>VLOOKUP(A31,Enforcements!$C$7:$K$17,8,0)</f>
        <v>#N/A</v>
      </c>
      <c r="AC31" s="57" t="e">
        <f>VLOOKUP(A31,Enforcements!$C$7:$E$17,3,0)</f>
        <v>#N/A</v>
      </c>
      <c r="AD31" s="58" t="str">
        <f t="shared" si="11"/>
        <v>0119-10</v>
      </c>
      <c r="AE31" s="87" t="str">
        <f t="shared" si="12"/>
        <v>aws s3 cp s3://rtdc.mdm.uploadarchive.raw/RTDC4020/ "%USERPROFILE%\AppData\Local\Temp\OnboardLogs"\RTDC4020\2017-01-10 --exclude "*" --recursive --include "*20170110*" &amp; "%USERPROFILE%\Documents\GitHub\mrs-test-scripts\Headless Mode &amp; Sideloading\WalkAndUnGZ.bat" "%USERPROFILE%\AppData\Local\Temp\OnboardLogs"\RTDC4020\2017-01-10 &amp; aws s3 cp s3://rtdc.mdm.uploadarchive.raw/RTDC4020/ "%USERPROFILE%\AppData\Local\Temp\OnboardLogs"\RTDC4020\2017-01-11 --exclude "*" --recursive --include "*20170111*" &amp; "%USERPROFILE%\Documents\GitHub\mrs-test-scripts\Headless Mode &amp; Sideloading\WalkAndUnGZ.bat" "%USERPROFILE%\AppData\Local\Temp\OnboardLogs"\RTDC4020\2017-01-11</v>
      </c>
      <c r="AF31" s="84" t="str">
        <f t="shared" si="13"/>
        <v>"C:\Program Files (x86)\AstroGrep\AstroGrep.exe" /spath="%USERPROFILE%\AppData\Local\Temp\OnboardLogs" /stypes="app*4020*20170110*" /stext=" 13:.+((SYSTEM_STATE.+slice.+state.+changed )|(ment ac)|(multiple cpu faults)|(system.+state.+changed )|(\[timeout)|(PRM\|1\|D)|(kpr)|(kdp)|(\|lc)|(penalty))" /e /r /s</v>
      </c>
      <c r="AG31" s="1" t="str">
        <f t="shared" si="14"/>
        <v>EC</v>
      </c>
      <c r="AH31" s="88" t="str">
        <f t="shared" si="18"/>
        <v>"%USERPROFILE%\Documents\GitHub\eaglep3\Utilities\RefineRTDCRunTimes.py" --tripid 119-10 --locoid 4020 --swversion DE.1.0.8.0 --startMP 204:703 --initTime 2017-01-10T05:56:47 --startdatetime 2017-01-10T06:00:20 --delay 1 --endMP 204:233295 --enddatetime 2017-01-10T06:39:08 --enforcementcount 0 &gt;&gt;C:\Users\stu\Documents\GitHub\eaglep3-reporting\EC\2017-01-10-refined-times.txt</v>
      </c>
      <c r="AI31" s="115" t="str">
        <f t="shared" si="19"/>
        <v>echo {"issue":{"subject":"","project_id":79,"tracker_id":40,"status_id":1,"priority_id":2,"assigned_to_id":23,"start_date":"2017-01-10","description":"","custom_fields":[{"id":1,"name":"Subdivision","value":"EC"},{"id":4,"name":"Milepost","value":"23.3295"},{"id":17,"name":"Train ID","value":"119-10"},{"id":16,"name":"Locomotive ID","value":"4020"},{"id":130,"name":"Impact","value":""},{"id":150,"name":"Time of Event (Mountain Time)","value":"06:39:08"},{"id":151,"name":"Denver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0"/>
      <c r="AK31" s="50"/>
      <c r="AL31" s="50"/>
      <c r="AM31" s="180" t="str">
        <f t="shared" si="20"/>
        <v>start /low /b %USERPROFILE%\Documents\GitHub\eaglep3\Utilities\DownloadLogsFromS3.py --loco 4020 --day 2017-01-10</v>
      </c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4" t="s">
        <v>497</v>
      </c>
      <c r="B32" s="7">
        <v>4019</v>
      </c>
      <c r="C32" s="22" t="s">
        <v>202</v>
      </c>
      <c r="D32" s="22" t="s">
        <v>255</v>
      </c>
      <c r="E32" s="13">
        <v>42745.285937499997</v>
      </c>
      <c r="F32" s="13">
        <v>42745.2890625</v>
      </c>
      <c r="G32" s="7">
        <v>1</v>
      </c>
      <c r="H32" s="22" t="s">
        <v>273</v>
      </c>
      <c r="I32" s="13">
        <v>42745.316504629627</v>
      </c>
      <c r="J32" s="7">
        <v>0</v>
      </c>
      <c r="K32" s="105" t="str">
        <f t="shared" si="0"/>
        <v>4019/4020</v>
      </c>
      <c r="L32" s="22" t="str">
        <f>VLOOKUP(A32,'Trips&amp;Operators'!$C$1:$G$99999,5,FALSE)</f>
        <v>STARKS ANGELINA</v>
      </c>
      <c r="M32" s="6">
        <f t="shared" si="1"/>
        <v>2.7442129627161194E-2</v>
      </c>
      <c r="N32" s="7">
        <f t="shared" si="23"/>
        <v>39.516666663112119</v>
      </c>
      <c r="O32" s="7"/>
      <c r="P32" s="7"/>
      <c r="Q32" s="23"/>
      <c r="R32" s="23"/>
      <c r="S32" s="32">
        <f t="shared" si="3"/>
        <v>1</v>
      </c>
      <c r="T32" s="47" t="str">
        <f t="shared" si="4"/>
        <v>Southbound</v>
      </c>
      <c r="U32" s="167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https://search-rtdc-monitor-bjffxe2xuh6vdkpspy63sjmuny.us-east-1.es.amazonaws.com/_plugin/kibana/#/discover/Steve-Slow-Train-Analysis-(2080s-and-2083s)?_g=(refreshInterval:(display:Off,section:0,value:0),time:(from:'2017-01-10 05:51:45-700',mode:absolute,to:'2017-01-10 08:35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32" s="49" t="str">
        <f t="shared" si="6"/>
        <v>N</v>
      </c>
      <c r="X32" s="173">
        <f t="shared" si="22"/>
        <v>1</v>
      </c>
      <c r="Y32" s="64">
        <f t="shared" si="8"/>
        <v>23.2973</v>
      </c>
      <c r="Z32" s="64">
        <f t="shared" si="9"/>
        <v>1.5599999999999999E-2</v>
      </c>
      <c r="AA32" s="64">
        <f t="shared" si="10"/>
        <v>23.281700000000001</v>
      </c>
      <c r="AB32" s="61" t="e">
        <f>VLOOKUP(A32,Enforcements!$C$7:$K$17,8,0)</f>
        <v>#N/A</v>
      </c>
      <c r="AC32" s="57" t="e">
        <f>VLOOKUP(A32,Enforcements!$C$7:$E$17,3,0)</f>
        <v>#N/A</v>
      </c>
      <c r="AD32" s="58" t="str">
        <f t="shared" si="11"/>
        <v>0120-10</v>
      </c>
      <c r="AE32" s="87" t="str">
        <f t="shared" si="12"/>
        <v>aws s3 cp s3://rtdc.mdm.uploadarchive.raw/RTDC4019/ "%USERPROFILE%\AppData\Local\Temp\OnboardLogs"\RTDC4019\2017-01-10 --exclude "*" --recursive --include "*20170110*" &amp; "%USERPROFILE%\Documents\GitHub\mrs-test-scripts\Headless Mode &amp; Sideloading\WalkAndUnGZ.bat" "%USERPROFILE%\AppData\Local\Temp\OnboardLogs"\RTDC4019\2017-01-10 &amp; aws s3 cp s3://rtdc.mdm.uploadarchive.raw/RTDC4019/ "%USERPROFILE%\AppData\Local\Temp\OnboardLogs"\RTDC4019\2017-01-11 --exclude "*" --recursive --include "*20170111*" &amp; "%USERPROFILE%\Documents\GitHub\mrs-test-scripts\Headless Mode &amp; Sideloading\WalkAndUnGZ.bat" "%USERPROFILE%\AppData\Local\Temp\OnboardLogs"\RTDC4019\2017-01-11</v>
      </c>
      <c r="AF32" s="84" t="str">
        <f t="shared" si="13"/>
        <v>"C:\Program Files (x86)\AstroGrep\AstroGrep.exe" /spath="%USERPROFILE%\AppData\Local\Temp\OnboardLogs" /stypes="app*4019*20170110*" /stext=" 14:.+((SYSTEM_STATE.+slice.+state.+changed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88" t="str">
        <f t="shared" si="18"/>
        <v>"%USERPROFILE%\Documents\GitHub\eaglep3\Utilities\RefineRTDCRunTimes.py" --tripid 120-10 --locoid 4019 --swversion DE.1.0.8.0 --startMP 204:232973 --initTime 2017-01-10T06:51:45 --startdatetime 2017-01-10T06:56:15 --delay 1 --endMP 204:156 --enddatetime 2017-01-10T07:35:46 --enforcementcount 0 &gt;&gt;C:\Users\stu\Documents\GitHub\eaglep3-reporting\EC\2017-01-10-refined-times.txt</v>
      </c>
      <c r="AI32" s="115" t="str">
        <f t="shared" si="19"/>
        <v>echo {"issue":{"subject":"","project_id":79,"tracker_id":40,"status_id":1,"priority_id":2,"assigned_to_id":23,"start_date":"2017-01-10","description":"","custom_fields":[{"id":1,"name":"Subdivision","value":"EC"},{"id":4,"name":"Milepost","value":"0.0156"},{"id":17,"name":"Train ID","value":"120-10"},{"id":16,"name":"Locomotive ID","value":"4019"},{"id":130,"name":"Impact","value":""},{"id":150,"name":"Time of Event (Mountain Time)","value":"07:35:46"},{"id":151,"name":"Denver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0"/>
      <c r="AK32" s="50"/>
      <c r="AL32" s="50"/>
      <c r="AM32" s="180" t="str">
        <f t="shared" si="20"/>
        <v>start /low /b %USERPROFILE%\Documents\GitHub\eaglep3\Utilities\DownloadLogsFromS3.py --loco 4019 --day 2017-01-10</v>
      </c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4" t="s">
        <v>489</v>
      </c>
      <c r="B33" s="7">
        <v>4014</v>
      </c>
      <c r="C33" s="22" t="s">
        <v>202</v>
      </c>
      <c r="D33" s="22" t="s">
        <v>192</v>
      </c>
      <c r="E33" s="13">
        <v>42745.255902777775</v>
      </c>
      <c r="F33" s="13">
        <v>42745.26059027778</v>
      </c>
      <c r="G33" s="7">
        <v>1</v>
      </c>
      <c r="H33" s="22" t="s">
        <v>679</v>
      </c>
      <c r="I33" s="13">
        <v>42745.286365740743</v>
      </c>
      <c r="J33" s="7">
        <v>0</v>
      </c>
      <c r="K33" s="105" t="str">
        <f t="shared" si="0"/>
        <v>4013/4014</v>
      </c>
      <c r="L33" s="22" t="str">
        <f>VLOOKUP(A33,'Trips&amp;Operators'!$C$1:$G$99999,5,FALSE)</f>
        <v>BONDS REYNALDO</v>
      </c>
      <c r="M33" s="6">
        <f t="shared" si="1"/>
        <v>2.5775462963792961E-2</v>
      </c>
      <c r="N33" s="7">
        <f t="shared" si="23"/>
        <v>37.116666667861864</v>
      </c>
      <c r="O33" s="7"/>
      <c r="P33" s="7"/>
      <c r="Q33" s="23"/>
      <c r="R33" s="23"/>
      <c r="S33" s="32">
        <f t="shared" si="3"/>
        <v>1</v>
      </c>
      <c r="T33" s="47" t="str">
        <f t="shared" si="4"/>
        <v>NorthBound</v>
      </c>
      <c r="U33" s="167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https://search-rtdc-monitor-bjffxe2xuh6vdkpspy63sjmuny.us-east-1.es.amazonaws.com/_plugin/kibana/#/discover/Steve-Slow-Train-Analysis-(2080s-and-2083s)?_g=(refreshInterval:(display:Off,section:0,value:0),time:(from:'2017-01-10 05:08:30-700',mode:absolute,to:'2017-01-10 07:52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33" s="49" t="str">
        <f t="shared" si="6"/>
        <v>N</v>
      </c>
      <c r="X33" s="173">
        <f t="shared" si="22"/>
        <v>1</v>
      </c>
      <c r="Y33" s="64">
        <f t="shared" si="8"/>
        <v>4.4699999999999997E-2</v>
      </c>
      <c r="Z33" s="64">
        <f t="shared" si="9"/>
        <v>23.331</v>
      </c>
      <c r="AA33" s="64">
        <f t="shared" si="10"/>
        <v>23.286300000000001</v>
      </c>
      <c r="AB33" s="61" t="e">
        <f>VLOOKUP(A33,Enforcements!$C$7:$K$17,8,0)</f>
        <v>#N/A</v>
      </c>
      <c r="AC33" s="57" t="e">
        <f>VLOOKUP(A33,Enforcements!$C$7:$E$17,3,0)</f>
        <v>#N/A</v>
      </c>
      <c r="AD33" s="58" t="str">
        <f t="shared" si="11"/>
        <v>0121-10</v>
      </c>
      <c r="AE33" s="87" t="str">
        <f t="shared" si="12"/>
        <v>aws s3 cp s3://rtdc.mdm.uploadarchive.raw/RTDC4014/ "%USERPROFILE%\AppData\Local\Temp\OnboardLogs"\RTDC4014\2017-01-10 --exclude "*" --recursive --include "*20170110*" &amp; "%USERPROFILE%\Documents\GitHub\mrs-test-scripts\Headless Mode &amp; Sideloading\WalkAndUnGZ.bat" "%USERPROFILE%\AppData\Local\Temp\OnboardLogs"\RTDC4014\2017-01-10 &amp; aws s3 cp s3://rtdc.mdm.uploadarchive.raw/RTDC4014/ "%USERPROFILE%\AppData\Local\Temp\OnboardLogs"\RTDC4014\2017-01-11 --exclude "*" --recursive --include "*20170111*" &amp; "%USERPROFILE%\Documents\GitHub\mrs-test-scripts\Headless Mode &amp; Sideloading\WalkAndUnGZ.bat" "%USERPROFILE%\AppData\Local\Temp\OnboardLogs"\RTDC4014\2017-01-11</v>
      </c>
      <c r="AF33" s="84" t="str">
        <f t="shared" si="13"/>
        <v>"C:\Program Files (x86)\AstroGrep\AstroGrep.exe" /spath="%USERPROFILE%\AppData\Local\Temp\OnboardLogs" /stypes="app*4014*20170110*" /stext=" 13:.+((SYSTEM_STATE.+slice.+state.+changed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88" t="str">
        <f t="shared" si="18"/>
        <v>"%USERPROFILE%\Documents\GitHub\eaglep3\Utilities\RefineRTDCRunTimes.py" --tripid 121-10 --locoid 4014 --swversion DE.1.0.8.0 --startMP 204:447 --initTime 2017-01-10T06:08:30 --startdatetime 2017-01-10T06:15:15 --delay 1 --endMP 204:233310 --enddatetime 2017-01-10T06:52:22 --enforcementcount 0 &gt;&gt;C:\Users\stu\Documents\GitHub\eaglep3-reporting\EC\2017-01-10-refined-times.txt</v>
      </c>
      <c r="AI33" s="115" t="str">
        <f t="shared" si="19"/>
        <v>echo {"issue":{"subject":"","project_id":79,"tracker_id":40,"status_id":1,"priority_id":2,"assigned_to_id":23,"start_date":"2017-01-10","description":"","custom_fields":[{"id":1,"name":"Subdivision","value":"EC"},{"id":4,"name":"Milepost","value":"23.331"},{"id":17,"name":"Train ID","value":"121-10"},{"id":16,"name":"Locomotive ID","value":"4014"},{"id":130,"name":"Impact","value":""},{"id":150,"name":"Time of Event (Mountain Time)","value":"06:52:22"},{"id":151,"name":"Denver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0"/>
      <c r="AK33" s="50"/>
      <c r="AL33" s="50"/>
      <c r="AM33" s="180" t="str">
        <f t="shared" si="20"/>
        <v>start /low /b %USERPROFILE%\Documents\GitHub\eaglep3\Utilities\DownloadLogsFromS3.py --loco 4014 --day 2017-01-10</v>
      </c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4" t="s">
        <v>499</v>
      </c>
      <c r="B34" s="7">
        <v>4013</v>
      </c>
      <c r="C34" s="22" t="s">
        <v>202</v>
      </c>
      <c r="D34" s="22" t="s">
        <v>680</v>
      </c>
      <c r="E34" s="13">
        <v>42745.293113425927</v>
      </c>
      <c r="F34" s="13">
        <v>42745.299456018518</v>
      </c>
      <c r="G34" s="7">
        <v>1</v>
      </c>
      <c r="H34" s="22" t="s">
        <v>681</v>
      </c>
      <c r="I34" s="13">
        <v>42745.326990740738</v>
      </c>
      <c r="J34" s="7">
        <v>0</v>
      </c>
      <c r="K34" s="105" t="str">
        <f t="shared" si="0"/>
        <v>4013/4014</v>
      </c>
      <c r="L34" s="22" t="str">
        <f>VLOOKUP(A34,'Trips&amp;Operators'!$C$1:$G$99999,5,FALSE)</f>
        <v>BONDS REYNALDO</v>
      </c>
      <c r="M34" s="6">
        <f t="shared" si="1"/>
        <v>2.753472221957054E-2</v>
      </c>
      <c r="N34" s="7">
        <f t="shared" si="23"/>
        <v>39.649999996181577</v>
      </c>
      <c r="O34" s="7"/>
      <c r="P34" s="7"/>
      <c r="Q34" s="23"/>
      <c r="R34" s="23"/>
      <c r="S34" s="32">
        <f t="shared" si="3"/>
        <v>1</v>
      </c>
      <c r="T34" s="47" t="str">
        <f t="shared" si="4"/>
        <v>Southbound</v>
      </c>
      <c r="U34" s="167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https://search-rtdc-monitor-bjffxe2xuh6vdkpspy63sjmuny.us-east-1.es.amazonaws.com/_plugin/kibana/#/discover/Steve-Slow-Train-Analysis-(2080s-and-2083s)?_g=(refreshInterval:(display:Off,section:0,value:0),time:(from:'2017-01-10 06:02:05-700',mode:absolute,to:'2017-01-10 08:50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34" s="49" t="str">
        <f t="shared" si="6"/>
        <v>N</v>
      </c>
      <c r="X34" s="173">
        <f t="shared" si="22"/>
        <v>1</v>
      </c>
      <c r="Y34" s="64">
        <f t="shared" si="8"/>
        <v>23.298100000000002</v>
      </c>
      <c r="Z34" s="64">
        <f t="shared" si="9"/>
        <v>1.29E-2</v>
      </c>
      <c r="AA34" s="64">
        <f t="shared" si="10"/>
        <v>23.285200000000003</v>
      </c>
      <c r="AB34" s="61" t="e">
        <f>VLOOKUP(A34,Enforcements!$C$7:$K$17,8,0)</f>
        <v>#N/A</v>
      </c>
      <c r="AC34" s="57" t="e">
        <f>VLOOKUP(A34,Enforcements!$C$7:$E$17,3,0)</f>
        <v>#N/A</v>
      </c>
      <c r="AD34" s="58" t="str">
        <f t="shared" si="11"/>
        <v>0122-10</v>
      </c>
      <c r="AE34" s="87" t="str">
        <f t="shared" si="12"/>
        <v>aws s3 cp s3://rtdc.mdm.uploadarchive.raw/RTDC4013/ "%USERPROFILE%\AppData\Local\Temp\OnboardLogs"\RTDC4013\2017-01-10 --exclude "*" --recursive --include "*20170110*" &amp; "%USERPROFILE%\Documents\GitHub\mrs-test-scripts\Headless Mode &amp; Sideloading\WalkAndUnGZ.bat" "%USERPROFILE%\AppData\Local\Temp\OnboardLogs"\RTDC4013\2017-01-10 &amp; aws s3 cp s3://rtdc.mdm.uploadarchive.raw/RTDC4013/ "%USERPROFILE%\AppData\Local\Temp\OnboardLogs"\RTDC4013\2017-01-11 --exclude "*" --recursive --include "*20170111*" &amp; "%USERPROFILE%\Documents\GitHub\mrs-test-scripts\Headless Mode &amp; Sideloading\WalkAndUnGZ.bat" "%USERPROFILE%\AppData\Local\Temp\OnboardLogs"\RTDC4013\2017-01-11</v>
      </c>
      <c r="AF34" s="84" t="str">
        <f t="shared" si="13"/>
        <v>"C:\Program Files (x86)\AstroGrep\AstroGrep.exe" /spath="%USERPROFILE%\AppData\Local\Temp\OnboardLogs" /stypes="app*4013*20170110*" /stext=" 14:.+((SYSTEM_STATE.+slice.+state.+changed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88" t="str">
        <f t="shared" si="18"/>
        <v>"%USERPROFILE%\Documents\GitHub\eaglep3\Utilities\RefineRTDCRunTimes.py" --tripid 122-10 --locoid 4013 --swversion DE.1.0.8.0 --startMP 204:232981 --initTime 2017-01-10T07:02:05 --startdatetime 2017-01-10T07:11:13 --delay 1 --endMP 204:129 --enddatetime 2017-01-10T07:50:52 --enforcementcount 0 &gt;&gt;C:\Users\stu\Documents\GitHub\eaglep3-reporting\EC\2017-01-10-refined-times.txt</v>
      </c>
      <c r="AI34" s="115" t="str">
        <f t="shared" si="19"/>
        <v>echo {"issue":{"subject":"","project_id":79,"tracker_id":40,"status_id":1,"priority_id":2,"assigned_to_id":23,"start_date":"2017-01-10","description":"","custom_fields":[{"id":1,"name":"Subdivision","value":"EC"},{"id":4,"name":"Milepost","value":"0.0129"},{"id":17,"name":"Train ID","value":"122-10"},{"id":16,"name":"Locomotive ID","value":"4013"},{"id":130,"name":"Impact","value":""},{"id":150,"name":"Time of Event (Mountain Time)","value":"07:50:52"},{"id":151,"name":"Denver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0"/>
      <c r="AK34" s="50"/>
      <c r="AL34" s="50"/>
      <c r="AM34" s="180" t="str">
        <f t="shared" si="20"/>
        <v>start /low /b %USERPROFILE%\Documents\GitHub\eaglep3\Utilities\DownloadLogsFromS3.py --loco 4013 --day 2017-01-10</v>
      </c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4" t="s">
        <v>492</v>
      </c>
      <c r="B35" s="7">
        <v>4031</v>
      </c>
      <c r="C35" s="22" t="s">
        <v>202</v>
      </c>
      <c r="D35" s="22" t="s">
        <v>343</v>
      </c>
      <c r="E35" s="13">
        <v>42745.267546296294</v>
      </c>
      <c r="F35" s="13">
        <v>42745.271041666667</v>
      </c>
      <c r="G35" s="7">
        <v>1</v>
      </c>
      <c r="H35" s="22" t="s">
        <v>311</v>
      </c>
      <c r="I35" s="13">
        <v>42745.296053240738</v>
      </c>
      <c r="J35" s="7">
        <v>0</v>
      </c>
      <c r="K35" s="105" t="str">
        <f t="shared" si="0"/>
        <v>4031/4032</v>
      </c>
      <c r="L35" s="22" t="str">
        <f>VLOOKUP(A35,'Trips&amp;Operators'!$C$1:$G$99999,5,FALSE)</f>
        <v>DAVIS WENDY</v>
      </c>
      <c r="M35" s="6">
        <f t="shared" si="1"/>
        <v>2.5011574070958886E-2</v>
      </c>
      <c r="N35" s="7">
        <f t="shared" si="23"/>
        <v>36.016666662180796</v>
      </c>
      <c r="O35" s="7"/>
      <c r="P35" s="7"/>
      <c r="Q35" s="23"/>
      <c r="R35" s="23"/>
      <c r="S35" s="32">
        <f t="shared" si="3"/>
        <v>1</v>
      </c>
      <c r="T35" s="47" t="str">
        <f t="shared" si="4"/>
        <v>NorthBound</v>
      </c>
      <c r="U35" s="167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https://search-rtdc-monitor-bjffxe2xuh6vdkpspy63sjmuny.us-east-1.es.amazonaws.com/_plugin/kibana/#/discover/Steve-Slow-Train-Analysis-(2080s-and-2083s)?_g=(refreshInterval:(display:Off,section:0,value:0),time:(from:'2017-01-10 05:25:16-700',mode:absolute,to:'2017-01-10 08:06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35" s="49" t="str">
        <f t="shared" si="6"/>
        <v>N</v>
      </c>
      <c r="X35" s="173">
        <f t="shared" si="22"/>
        <v>1</v>
      </c>
      <c r="Y35" s="64">
        <f t="shared" si="8"/>
        <v>4.7100000000000003E-2</v>
      </c>
      <c r="Z35" s="64">
        <f t="shared" si="9"/>
        <v>23.329899999999999</v>
      </c>
      <c r="AA35" s="64">
        <f t="shared" si="10"/>
        <v>23.282799999999998</v>
      </c>
      <c r="AB35" s="61" t="e">
        <f>VLOOKUP(A35,Enforcements!$C$7:$K$17,8,0)</f>
        <v>#N/A</v>
      </c>
      <c r="AC35" s="57" t="e">
        <f>VLOOKUP(A35,Enforcements!$C$7:$E$17,3,0)</f>
        <v>#N/A</v>
      </c>
      <c r="AD35" s="58" t="str">
        <f t="shared" si="11"/>
        <v>0123-10</v>
      </c>
      <c r="AE35" s="87" t="str">
        <f t="shared" si="12"/>
        <v>aws s3 cp s3://rtdc.mdm.uploadarchive.raw/RTDC4031/ "%USERPROFILE%\AppData\Local\Temp\OnboardLogs"\RTDC4031\2017-01-10 --exclude "*" --recursive --include "*20170110*" &amp; "%USERPROFILE%\Documents\GitHub\mrs-test-scripts\Headless Mode &amp; Sideloading\WalkAndUnGZ.bat" "%USERPROFILE%\AppData\Local\Temp\OnboardLogs"\RTDC4031\2017-01-10 &amp; aws s3 cp s3://rtdc.mdm.uploadarchive.raw/RTDC4031/ "%USERPROFILE%\AppData\Local\Temp\OnboardLogs"\RTDC4031\2017-01-11 --exclude "*" --recursive --include "*20170111*" &amp; "%USERPROFILE%\Documents\GitHub\mrs-test-scripts\Headless Mode &amp; Sideloading\WalkAndUnGZ.bat" "%USERPROFILE%\AppData\Local\Temp\OnboardLogs"\RTDC4031\2017-01-11</v>
      </c>
      <c r="AF35" s="84" t="str">
        <f t="shared" si="13"/>
        <v>"C:\Program Files (x86)\AstroGrep\AstroGrep.exe" /spath="%USERPROFILE%\AppData\Local\Temp\OnboardLogs" /stypes="app*4031*20170110*" /stext=" 14:.+((SYSTEM_STATE.+slice.+state.+changed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88" t="str">
        <f t="shared" si="18"/>
        <v>"%USERPROFILE%\Documents\GitHub\eaglep3\Utilities\RefineRTDCRunTimes.py" --tripid 123-10 --locoid 4031 --swversion DE.1.0.8.0 --startMP 204:471 --initTime 2017-01-10T06:25:16 --startdatetime 2017-01-10T06:30:18 --delay 1 --endMP 204:233299 --enddatetime 2017-01-10T07:06:19 --enforcementcount 0 &gt;&gt;C:\Users\stu\Documents\GitHub\eaglep3-reporting\EC\2017-01-10-refined-times.txt</v>
      </c>
      <c r="AI35" s="115" t="str">
        <f t="shared" si="19"/>
        <v>echo {"issue":{"subject":"","project_id":79,"tracker_id":40,"status_id":1,"priority_id":2,"assigned_to_id":23,"start_date":"2017-01-10","description":"","custom_fields":[{"id":1,"name":"Subdivision","value":"EC"},{"id":4,"name":"Milepost","value":"23.3299"},{"id":17,"name":"Train ID","value":"123-10"},{"id":16,"name":"Locomotive ID","value":"4031"},{"id":130,"name":"Impact","value":""},{"id":150,"name":"Time of Event (Mountain Time)","value":"07:06:19"},{"id":151,"name":"Denver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0"/>
      <c r="AK35" s="50"/>
      <c r="AL35" s="50"/>
      <c r="AM35" s="180" t="str">
        <f t="shared" si="20"/>
        <v>start /low /b %USERPROFILE%\Documents\GitHub\eaglep3\Utilities\DownloadLogsFromS3.py --loco 4031 --day 2017-01-10</v>
      </c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4" t="s">
        <v>502</v>
      </c>
      <c r="B36" s="7">
        <v>4032</v>
      </c>
      <c r="C36" s="22" t="s">
        <v>202</v>
      </c>
      <c r="D36" s="22" t="s">
        <v>396</v>
      </c>
      <c r="E36" s="13">
        <v>42745.305775462963</v>
      </c>
      <c r="F36" s="13">
        <v>42745.309895833336</v>
      </c>
      <c r="G36" s="7">
        <v>1</v>
      </c>
      <c r="H36" s="22" t="s">
        <v>354</v>
      </c>
      <c r="I36" s="13">
        <v>42745.337523148148</v>
      </c>
      <c r="J36" s="7">
        <v>0</v>
      </c>
      <c r="K36" s="105" t="str">
        <f t="shared" si="0"/>
        <v>4031/4032</v>
      </c>
      <c r="L36" s="22" t="str">
        <f>VLOOKUP(A36,'Trips&amp;Operators'!$C$1:$G$99999,5,FALSE)</f>
        <v>DAVIS WENDY</v>
      </c>
      <c r="M36" s="6">
        <f t="shared" si="1"/>
        <v>2.7627314811979886E-2</v>
      </c>
      <c r="N36" s="7">
        <f t="shared" si="23"/>
        <v>39.783333329251036</v>
      </c>
      <c r="O36" s="7"/>
      <c r="P36" s="7"/>
      <c r="Q36" s="23"/>
      <c r="R36" s="23"/>
      <c r="S36" s="32">
        <f t="shared" si="3"/>
        <v>1</v>
      </c>
      <c r="T36" s="47" t="str">
        <f t="shared" si="4"/>
        <v>Southbound</v>
      </c>
      <c r="U36" s="167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https://search-rtdc-monitor-bjffxe2xuh6vdkpspy63sjmuny.us-east-1.es.amazonaws.com/_plugin/kibana/#/discover/Steve-Slow-Train-Analysis-(2080s-and-2083s)?_g=(refreshInterval:(display:Off,section:0,value:0),time:(from:'2017-01-10 06:20:19-700',mode:absolute,to:'2017-01-10 09:06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36" s="49" t="str">
        <f t="shared" si="6"/>
        <v>N</v>
      </c>
      <c r="X36" s="173">
        <f t="shared" si="22"/>
        <v>1</v>
      </c>
      <c r="Y36" s="64">
        <f t="shared" si="8"/>
        <v>23.297499999999999</v>
      </c>
      <c r="Z36" s="64">
        <f t="shared" si="9"/>
        <v>1.54E-2</v>
      </c>
      <c r="AA36" s="64">
        <f t="shared" si="10"/>
        <v>23.2821</v>
      </c>
      <c r="AB36" s="61" t="e">
        <f>VLOOKUP(A36,Enforcements!$C$7:$K$17,8,0)</f>
        <v>#N/A</v>
      </c>
      <c r="AC36" s="57" t="e">
        <f>VLOOKUP(A36,Enforcements!$C$7:$E$17,3,0)</f>
        <v>#N/A</v>
      </c>
      <c r="AD36" s="58" t="str">
        <f t="shared" si="11"/>
        <v>0124-10</v>
      </c>
      <c r="AE36" s="87" t="str">
        <f t="shared" si="12"/>
        <v>aws s3 cp s3://rtdc.mdm.uploadarchive.raw/RTDC4032/ "%USERPROFILE%\AppData\Local\Temp\OnboardLogs"\RTDC4032\2017-01-10 --exclude "*" --recursive --include "*20170110*" &amp; "%USERPROFILE%\Documents\GitHub\mrs-test-scripts\Headless Mode &amp; Sideloading\WalkAndUnGZ.bat" "%USERPROFILE%\AppData\Local\Temp\OnboardLogs"\RTDC4032\2017-01-10 &amp; aws s3 cp s3://rtdc.mdm.uploadarchive.raw/RTDC4032/ "%USERPROFILE%\AppData\Local\Temp\OnboardLogs"\RTDC4032\2017-01-11 --exclude "*" --recursive --include "*20170111*" &amp; "%USERPROFILE%\Documents\GitHub\mrs-test-scripts\Headless Mode &amp; Sideloading\WalkAndUnGZ.bat" "%USERPROFILE%\AppData\Local\Temp\OnboardLogs"\RTDC4032\2017-01-11</v>
      </c>
      <c r="AF36" s="84" t="str">
        <f t="shared" si="13"/>
        <v>"C:\Program Files (x86)\AstroGrep\AstroGrep.exe" /spath="%USERPROFILE%\AppData\Local\Temp\OnboardLogs" /stypes="app*4032*20170110*" /stext=" 15:.+((SYSTEM_STATE.+slice.+state.+changed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88" t="str">
        <f t="shared" si="18"/>
        <v>"%USERPROFILE%\Documents\GitHub\eaglep3\Utilities\RefineRTDCRunTimes.py" --tripid 124-10 --locoid 4032 --swversion DE.1.0.8.0 --startMP 204:232975 --initTime 2017-01-10T07:20:19 --startdatetime 2017-01-10T07:26:15 --delay 1 --endMP 204:154 --enddatetime 2017-01-10T08:06:02 --enforcementcount 0 &gt;&gt;C:\Users\stu\Documents\GitHub\eaglep3-reporting\EC\2017-01-10-refined-times.txt</v>
      </c>
      <c r="AI36" s="115" t="str">
        <f t="shared" si="19"/>
        <v>echo {"issue":{"subject":"","project_id":79,"tracker_id":40,"status_id":1,"priority_id":2,"assigned_to_id":23,"start_date":"2017-01-10","description":"","custom_fields":[{"id":1,"name":"Subdivision","value":"EC"},{"id":4,"name":"Milepost","value":"0.0154"},{"id":17,"name":"Train ID","value":"124-10"},{"id":16,"name":"Locomotive ID","value":"4032"},{"id":130,"name":"Impact","value":""},{"id":150,"name":"Time of Event (Mountain Time)","value":"08:06:02"},{"id":151,"name":"Denver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0"/>
      <c r="AK36" s="50"/>
      <c r="AL36" s="50"/>
      <c r="AM36" s="180" t="str">
        <f t="shared" si="20"/>
        <v>start /low /b %USERPROFILE%\Documents\GitHub\eaglep3\Utilities\DownloadLogsFromS3.py --loco 4032 --day 2017-01-10</v>
      </c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4" t="s">
        <v>496</v>
      </c>
      <c r="B37" s="7">
        <v>4016</v>
      </c>
      <c r="C37" s="22" t="s">
        <v>202</v>
      </c>
      <c r="D37" s="22" t="s">
        <v>322</v>
      </c>
      <c r="E37" s="13">
        <v>42745.277453703704</v>
      </c>
      <c r="F37" s="13">
        <v>42745.281701388885</v>
      </c>
      <c r="G37" s="7">
        <v>1</v>
      </c>
      <c r="H37" s="22" t="s">
        <v>393</v>
      </c>
      <c r="I37" s="13">
        <v>42745.306828703702</v>
      </c>
      <c r="J37" s="7">
        <v>0</v>
      </c>
      <c r="K37" s="105" t="str">
        <f t="shared" si="0"/>
        <v>4015/4016</v>
      </c>
      <c r="L37" s="22" t="str">
        <f>VLOOKUP(A37,'Trips&amp;Operators'!$C$1:$G$99999,5,FALSE)</f>
        <v>LOZA FIDEL</v>
      </c>
      <c r="M37" s="6">
        <f t="shared" si="1"/>
        <v>2.5127314816927537E-2</v>
      </c>
      <c r="N37" s="7">
        <f t="shared" si="23"/>
        <v>36.183333336375654</v>
      </c>
      <c r="O37" s="7"/>
      <c r="P37" s="7"/>
      <c r="Q37" s="23"/>
      <c r="R37" s="23"/>
      <c r="S37" s="32">
        <f t="shared" si="3"/>
        <v>1</v>
      </c>
      <c r="T37" s="47" t="str">
        <f t="shared" si="4"/>
        <v>NorthBound</v>
      </c>
      <c r="U37" s="167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https://search-rtdc-monitor-bjffxe2xuh6vdkpspy63sjmuny.us-east-1.es.amazonaws.com/_plugin/kibana/#/discover/Steve-Slow-Train-Analysis-(2080s-and-2083s)?_g=(refreshInterval:(display:Off,section:0,value:0),time:(from:'2017-01-10 05:39:32-700',mode:absolute,to:'2017-01-10 08:21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37" s="49" t="str">
        <f t="shared" si="6"/>
        <v>N</v>
      </c>
      <c r="X37" s="173">
        <f t="shared" si="22"/>
        <v>1</v>
      </c>
      <c r="Y37" s="64">
        <f t="shared" si="8"/>
        <v>4.3799999999999999E-2</v>
      </c>
      <c r="Z37" s="64">
        <f t="shared" si="9"/>
        <v>23.331199999999999</v>
      </c>
      <c r="AA37" s="64">
        <f t="shared" si="10"/>
        <v>23.287399999999998</v>
      </c>
      <c r="AB37" s="61" t="e">
        <f>VLOOKUP(A37,Enforcements!$C$7:$K$17,8,0)</f>
        <v>#N/A</v>
      </c>
      <c r="AC37" s="57" t="e">
        <f>VLOOKUP(A37,Enforcements!$C$7:$E$17,3,0)</f>
        <v>#N/A</v>
      </c>
      <c r="AD37" s="58" t="str">
        <f t="shared" si="11"/>
        <v>0125-10</v>
      </c>
      <c r="AE37" s="87" t="str">
        <f t="shared" si="12"/>
        <v>aws s3 cp s3://rtdc.mdm.uploadarchive.raw/RTDC4016/ "%USERPROFILE%\AppData\Local\Temp\OnboardLogs"\RTDC4016\2017-01-10 --exclude "*" --recursive --include "*20170110*" &amp; "%USERPROFILE%\Documents\GitHub\mrs-test-scripts\Headless Mode &amp; Sideloading\WalkAndUnGZ.bat" "%USERPROFILE%\AppData\Local\Temp\OnboardLogs"\RTDC4016\2017-01-10 &amp; aws s3 cp s3://rtdc.mdm.uploadarchive.raw/RTDC4016/ "%USERPROFILE%\AppData\Local\Temp\OnboardLogs"\RTDC4016\2017-01-11 --exclude "*" --recursive --include "*20170111*" &amp; "%USERPROFILE%\Documents\GitHub\mrs-test-scripts\Headless Mode &amp; Sideloading\WalkAndUnGZ.bat" "%USERPROFILE%\AppData\Local\Temp\OnboardLogs"\RTDC4016\2017-01-11</v>
      </c>
      <c r="AF37" s="84" t="str">
        <f t="shared" si="13"/>
        <v>"C:\Program Files (x86)\AstroGrep\AstroGrep.exe" /spath="%USERPROFILE%\AppData\Local\Temp\OnboardLogs" /stypes="app*4016*20170110*" /stext=" 14:.+((SYSTEM_STATE.+slice.+state.+changed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88" t="str">
        <f t="shared" si="18"/>
        <v>"%USERPROFILE%\Documents\GitHub\eaglep3\Utilities\RefineRTDCRunTimes.py" --tripid 125-10 --locoid 4016 --swversion DE.1.0.8.0 --startMP 204:438 --initTime 2017-01-10T06:39:32 --startdatetime 2017-01-10T06:45:39 --delay 1 --endMP 204:233312 --enddatetime 2017-01-10T07:21:50 --enforcementcount 0 &gt;&gt;C:\Users\stu\Documents\GitHub\eaglep3-reporting\EC\2017-01-10-refined-times.txt</v>
      </c>
      <c r="AI37" s="115" t="str">
        <f t="shared" si="19"/>
        <v>echo {"issue":{"subject":"","project_id":79,"tracker_id":40,"status_id":1,"priority_id":2,"assigned_to_id":23,"start_date":"2017-01-10","description":"","custom_fields":[{"id":1,"name":"Subdivision","value":"EC"},{"id":4,"name":"Milepost","value":"23.3312"},{"id":17,"name":"Train ID","value":"125-10"},{"id":16,"name":"Locomotive ID","value":"4016"},{"id":130,"name":"Impact","value":""},{"id":150,"name":"Time of Event (Mountain Time)","value":"07:21:50"},{"id":151,"name":"Denver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0"/>
      <c r="AK37" s="50"/>
      <c r="AL37" s="50"/>
      <c r="AM37" s="180" t="str">
        <f t="shared" si="20"/>
        <v>start /low /b %USERPROFILE%\Documents\GitHub\eaglep3\Utilities\DownloadLogsFromS3.py --loco 4016 --day 2017-01-10</v>
      </c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4" t="s">
        <v>505</v>
      </c>
      <c r="B38" s="7">
        <v>4015</v>
      </c>
      <c r="C38" s="22" t="s">
        <v>202</v>
      </c>
      <c r="D38" s="22" t="s">
        <v>355</v>
      </c>
      <c r="E38" s="13">
        <v>42745.315578703703</v>
      </c>
      <c r="F38" s="13">
        <v>42745.320543981485</v>
      </c>
      <c r="G38" s="7">
        <v>1</v>
      </c>
      <c r="H38" s="22" t="s">
        <v>354</v>
      </c>
      <c r="I38" s="13">
        <v>42745.347407407404</v>
      </c>
      <c r="J38" s="7">
        <v>0</v>
      </c>
      <c r="K38" s="105" t="str">
        <f t="shared" si="0"/>
        <v>4015/4016</v>
      </c>
      <c r="L38" s="22" t="str">
        <f>VLOOKUP(A38,'Trips&amp;Operators'!$C$1:$G$99999,5,FALSE)</f>
        <v>LOZA FIDEL</v>
      </c>
      <c r="M38" s="6">
        <f t="shared" si="1"/>
        <v>2.6863425919145811E-2</v>
      </c>
      <c r="N38" s="7">
        <f t="shared" si="23"/>
        <v>38.683333323569968</v>
      </c>
      <c r="O38" s="7"/>
      <c r="P38" s="7"/>
      <c r="Q38" s="23"/>
      <c r="R38" s="23"/>
      <c r="S38" s="32">
        <f t="shared" si="3"/>
        <v>1</v>
      </c>
      <c r="T38" s="47" t="str">
        <f t="shared" si="4"/>
        <v>Southbound</v>
      </c>
      <c r="U38" s="167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https://search-rtdc-monitor-bjffxe2xuh6vdkpspy63sjmuny.us-east-1.es.amazonaws.com/_plugin/kibana/#/discover/Steve-Slow-Train-Analysis-(2080s-and-2083s)?_g=(refreshInterval:(display:Off,section:0,value:0),time:(from:'2017-01-10 06:34:26-700',mode:absolute,to:'2017-01-10 09:20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38" s="49" t="str">
        <f t="shared" si="6"/>
        <v>N</v>
      </c>
      <c r="X38" s="173">
        <f t="shared" si="22"/>
        <v>1</v>
      </c>
      <c r="Y38" s="64">
        <f t="shared" si="8"/>
        <v>23.299600000000002</v>
      </c>
      <c r="Z38" s="64">
        <f t="shared" si="9"/>
        <v>1.54E-2</v>
      </c>
      <c r="AA38" s="64">
        <f t="shared" si="10"/>
        <v>23.284200000000002</v>
      </c>
      <c r="AB38" s="61" t="e">
        <f>VLOOKUP(A38,Enforcements!$C$7:$K$17,8,0)</f>
        <v>#N/A</v>
      </c>
      <c r="AC38" s="57" t="e">
        <f>VLOOKUP(A38,Enforcements!$C$7:$E$17,3,0)</f>
        <v>#N/A</v>
      </c>
      <c r="AD38" s="58" t="str">
        <f t="shared" si="11"/>
        <v>0126-10</v>
      </c>
      <c r="AE38" s="87" t="str">
        <f t="shared" si="12"/>
        <v>aws s3 cp s3://rtdc.mdm.uploadarchive.raw/RTDC4015/ "%USERPROFILE%\AppData\Local\Temp\OnboardLogs"\RTDC4015\2017-01-10 --exclude "*" --recursive --include "*20170110*" &amp; "%USERPROFILE%\Documents\GitHub\mrs-test-scripts\Headless Mode &amp; Sideloading\WalkAndUnGZ.bat" "%USERPROFILE%\AppData\Local\Temp\OnboardLogs"\RTDC4015\2017-01-10 &amp; aws s3 cp s3://rtdc.mdm.uploadarchive.raw/RTDC4015/ "%USERPROFILE%\AppData\Local\Temp\OnboardLogs"\RTDC4015\2017-01-11 --exclude "*" --recursive --include "*20170111*" &amp; "%USERPROFILE%\Documents\GitHub\mrs-test-scripts\Headless Mode &amp; Sideloading\WalkAndUnGZ.bat" "%USERPROFILE%\AppData\Local\Temp\OnboardLogs"\RTDC4015\2017-01-11</v>
      </c>
      <c r="AF38" s="84" t="str">
        <f t="shared" si="13"/>
        <v>"C:\Program Files (x86)\AstroGrep\AstroGrep.exe" /spath="%USERPROFILE%\AppData\Local\Temp\OnboardLogs" /stypes="app*4015*20170110*" /stext=" 15:.+((SYSTEM_STATE.+slice.+state.+changed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88" t="str">
        <f t="shared" si="18"/>
        <v>"%USERPROFILE%\Documents\GitHub\eaglep3\Utilities\RefineRTDCRunTimes.py" --tripid 126-10 --locoid 4015 --swversion DE.1.0.8.0 --startMP 204:232996 --initTime 2017-01-10T07:34:26 --startdatetime 2017-01-10T07:41:35 --delay 1 --endMP 204:154 --enddatetime 2017-01-10T08:20:16 --enforcementcount 0 &gt;&gt;C:\Users\stu\Documents\GitHub\eaglep3-reporting\EC\2017-01-10-refined-times.txt</v>
      </c>
      <c r="AI38" s="115" t="str">
        <f t="shared" si="19"/>
        <v>echo {"issue":{"subject":"","project_id":79,"tracker_id":40,"status_id":1,"priority_id":2,"assigned_to_id":23,"start_date":"2017-01-10","description":"","custom_fields":[{"id":1,"name":"Subdivision","value":"EC"},{"id":4,"name":"Milepost","value":"0.0154"},{"id":17,"name":"Train ID","value":"126-10"},{"id":16,"name":"Locomotive ID","value":"4015"},{"id":130,"name":"Impact","value":""},{"id":150,"name":"Time of Event (Mountain Time)","value":"08:20:16"},{"id":151,"name":"Denver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0"/>
      <c r="AK38" s="50"/>
      <c r="AL38" s="50"/>
      <c r="AM38" s="180" t="str">
        <f t="shared" si="20"/>
        <v>start /low /b %USERPROFILE%\Documents\GitHub\eaglep3\Utilities\DownloadLogsFromS3.py --loco 4015 --day 2017-01-10</v>
      </c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4" t="s">
        <v>498</v>
      </c>
      <c r="B39" s="7">
        <v>4007</v>
      </c>
      <c r="C39" s="22" t="s">
        <v>202</v>
      </c>
      <c r="D39" s="22" t="s">
        <v>401</v>
      </c>
      <c r="E39" s="13">
        <v>42745.289629629631</v>
      </c>
      <c r="F39" s="13">
        <v>42745.291921296295</v>
      </c>
      <c r="G39" s="7">
        <v>1</v>
      </c>
      <c r="H39" s="22" t="s">
        <v>668</v>
      </c>
      <c r="I39" s="13">
        <v>42745.318136574075</v>
      </c>
      <c r="J39" s="7">
        <v>0</v>
      </c>
      <c r="K39" s="105" t="str">
        <f t="shared" si="0"/>
        <v>4007/4008</v>
      </c>
      <c r="L39" s="22" t="str">
        <f>VLOOKUP(A39,'Trips&amp;Operators'!$C$1:$G$99999,5,FALSE)</f>
        <v>CUSHING HARRY</v>
      </c>
      <c r="M39" s="6">
        <f t="shared" si="1"/>
        <v>2.6215277779556345E-2</v>
      </c>
      <c r="N39" s="7">
        <f t="shared" si="23"/>
        <v>37.750000002561137</v>
      </c>
      <c r="O39" s="7"/>
      <c r="P39" s="7"/>
      <c r="Q39" s="23"/>
      <c r="R39" s="23"/>
      <c r="S39" s="32">
        <f t="shared" si="3"/>
        <v>1</v>
      </c>
      <c r="T39" s="47" t="str">
        <f t="shared" si="4"/>
        <v>NorthBound</v>
      </c>
      <c r="U39" s="167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https://search-rtdc-monitor-bjffxe2xuh6vdkpspy63sjmuny.us-east-1.es.amazonaws.com/_plugin/kibana/#/discover/Steve-Slow-Train-Analysis-(2080s-and-2083s)?_g=(refreshInterval:(display:Off,section:0,value:0),time:(from:'2017-01-10 05:57:04-700',mode:absolute,to:'2017-01-10 08:38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39" s="49" t="str">
        <f t="shared" si="6"/>
        <v>N</v>
      </c>
      <c r="X39" s="173">
        <f t="shared" si="22"/>
        <v>1</v>
      </c>
      <c r="Y39" s="64">
        <f t="shared" si="8"/>
        <v>4.58E-2</v>
      </c>
      <c r="Z39" s="64">
        <f t="shared" si="9"/>
        <v>23.333200000000001</v>
      </c>
      <c r="AA39" s="64">
        <f t="shared" si="10"/>
        <v>23.287400000000002</v>
      </c>
      <c r="AB39" s="61" t="e">
        <f>VLOOKUP(A39,Enforcements!$C$7:$K$17,8,0)</f>
        <v>#N/A</v>
      </c>
      <c r="AC39" s="57" t="e">
        <f>VLOOKUP(A39,Enforcements!$C$7:$E$17,3,0)</f>
        <v>#N/A</v>
      </c>
      <c r="AD39" s="58" t="str">
        <f t="shared" si="11"/>
        <v>0127-10</v>
      </c>
      <c r="AE39" s="87" t="str">
        <f t="shared" si="12"/>
        <v>aws s3 cp s3://rtdc.mdm.uploadarchive.raw/RTDC4007/ "%USERPROFILE%\AppData\Local\Temp\OnboardLogs"\RTDC4007\2017-01-10 --exclude "*" --recursive --include "*20170110*" &amp; "%USERPROFILE%\Documents\GitHub\mrs-test-scripts\Headless Mode &amp; Sideloading\WalkAndUnGZ.bat" "%USERPROFILE%\AppData\Local\Temp\OnboardLogs"\RTDC4007\2017-01-10 &amp; aws s3 cp s3://rtdc.mdm.uploadarchive.raw/RTDC4007/ "%USERPROFILE%\AppData\Local\Temp\OnboardLogs"\RTDC4007\2017-01-11 --exclude "*" --recursive --include "*20170111*" &amp; "%USERPROFILE%\Documents\GitHub\mrs-test-scripts\Headless Mode &amp; Sideloading\WalkAndUnGZ.bat" "%USERPROFILE%\AppData\Local\Temp\OnboardLogs"\RTDC4007\2017-01-11</v>
      </c>
      <c r="AF39" s="84" t="str">
        <f t="shared" si="13"/>
        <v>"C:\Program Files (x86)\AstroGrep\AstroGrep.exe" /spath="%USERPROFILE%\AppData\Local\Temp\OnboardLogs" /stypes="app*4007*20170110*" /stext=" 14:.+((SYSTEM_STATE.+slice.+state.+changed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88" t="str">
        <f t="shared" si="18"/>
        <v>"%USERPROFILE%\Documents\GitHub\eaglep3\Utilities\RefineRTDCRunTimes.py" --tripid 127-10 --locoid 4007 --swversion DE.1.0.8.0 --startMP 204:458 --initTime 2017-01-10T06:57:04 --startdatetime 2017-01-10T07:00:22 --delay 1 --endMP 204:233332 --enddatetime 2017-01-10T07:38:07 --enforcementcount 0 &gt;&gt;C:\Users\stu\Documents\GitHub\eaglep3-reporting\EC\2017-01-10-refined-times.txt</v>
      </c>
      <c r="AI39" s="115" t="str">
        <f t="shared" si="19"/>
        <v>echo {"issue":{"subject":"","project_id":79,"tracker_id":40,"status_id":1,"priority_id":2,"assigned_to_id":23,"start_date":"2017-01-10","description":"","custom_fields":[{"id":1,"name":"Subdivision","value":"EC"},{"id":4,"name":"Milepost","value":"23.3332"},{"id":17,"name":"Train ID","value":"127-10"},{"id":16,"name":"Locomotive ID","value":"4007"},{"id":130,"name":"Impact","value":""},{"id":150,"name":"Time of Event (Mountain Time)","value":"07:38:07"},{"id":151,"name":"Denver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0"/>
      <c r="AK39" s="50"/>
      <c r="AL39" s="50"/>
      <c r="AM39" s="180" t="str">
        <f t="shared" si="20"/>
        <v>start /low /b %USERPROFILE%\Documents\GitHub\eaglep3\Utilities\DownloadLogsFromS3.py --loco 4007 --day 2017-01-10</v>
      </c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4" t="s">
        <v>508</v>
      </c>
      <c r="B40" s="7">
        <v>4008</v>
      </c>
      <c r="C40" s="22" t="s">
        <v>202</v>
      </c>
      <c r="D40" s="22" t="s">
        <v>283</v>
      </c>
      <c r="E40" s="13">
        <v>42745.325312499997</v>
      </c>
      <c r="F40" s="13">
        <v>42745.330891203703</v>
      </c>
      <c r="G40" s="7">
        <v>1</v>
      </c>
      <c r="H40" s="22" t="s">
        <v>245</v>
      </c>
      <c r="I40" s="13">
        <v>42745.358194444445</v>
      </c>
      <c r="J40" s="7">
        <v>0</v>
      </c>
      <c r="K40" s="105" t="str">
        <f t="shared" si="0"/>
        <v>4007/4008</v>
      </c>
      <c r="L40" s="22" t="str">
        <f>VLOOKUP(A40,'Trips&amp;Operators'!$C$1:$G$99999,5,FALSE)</f>
        <v>CUSHING HARRY</v>
      </c>
      <c r="M40" s="6">
        <f t="shared" si="1"/>
        <v>2.7303240742185153E-2</v>
      </c>
      <c r="N40" s="7">
        <f t="shared" si="23"/>
        <v>39.31666666874662</v>
      </c>
      <c r="O40" s="7"/>
      <c r="P40" s="7"/>
      <c r="Q40" s="23"/>
      <c r="R40" s="23"/>
      <c r="S40" s="32">
        <f t="shared" si="3"/>
        <v>1</v>
      </c>
      <c r="T40" s="47" t="str">
        <f t="shared" si="4"/>
        <v>Southbound</v>
      </c>
      <c r="U40" s="167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https://search-rtdc-monitor-bjffxe2xuh6vdkpspy63sjmuny.us-east-1.es.amazonaws.com/_plugin/kibana/#/discover/Steve-Slow-Train-Analysis-(2080s-and-2083s)?_g=(refreshInterval:(display:Off,section:0,value:0),time:(from:'2017-01-10 06:48:27-700',mode:absolute,to:'2017-01-10 09:35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40" s="49" t="str">
        <f t="shared" si="6"/>
        <v>N</v>
      </c>
      <c r="X40" s="173">
        <f t="shared" si="22"/>
        <v>1</v>
      </c>
      <c r="Y40" s="64">
        <f t="shared" si="8"/>
        <v>23.3</v>
      </c>
      <c r="Z40" s="64">
        <f t="shared" si="9"/>
        <v>1.6E-2</v>
      </c>
      <c r="AA40" s="64">
        <f t="shared" si="10"/>
        <v>23.284000000000002</v>
      </c>
      <c r="AB40" s="61" t="e">
        <f>VLOOKUP(A40,Enforcements!$C$7:$K$17,8,0)</f>
        <v>#N/A</v>
      </c>
      <c r="AC40" s="57" t="e">
        <f>VLOOKUP(A40,Enforcements!$C$7:$E$17,3,0)</f>
        <v>#N/A</v>
      </c>
      <c r="AD40" s="58" t="str">
        <f t="shared" si="11"/>
        <v>0128-10</v>
      </c>
      <c r="AE40" s="87" t="str">
        <f t="shared" si="12"/>
        <v>aws s3 cp s3://rtdc.mdm.uploadarchive.raw/RTDC4008/ "%USERPROFILE%\AppData\Local\Temp\OnboardLogs"\RTDC4008\2017-01-10 --exclude "*" --recursive --include "*20170110*" &amp; "%USERPROFILE%\Documents\GitHub\mrs-test-scripts\Headless Mode &amp; Sideloading\WalkAndUnGZ.bat" "%USERPROFILE%\AppData\Local\Temp\OnboardLogs"\RTDC4008\2017-01-10 &amp; aws s3 cp s3://rtdc.mdm.uploadarchive.raw/RTDC4008/ "%USERPROFILE%\AppData\Local\Temp\OnboardLogs"\RTDC4008\2017-01-11 --exclude "*" --recursive --include "*20170111*" &amp; "%USERPROFILE%\Documents\GitHub\mrs-test-scripts\Headless Mode &amp; Sideloading\WalkAndUnGZ.bat" "%USERPROFILE%\AppData\Local\Temp\OnboardLogs"\RTDC4008\2017-01-11</v>
      </c>
      <c r="AF40" s="84" t="str">
        <f t="shared" si="13"/>
        <v>"C:\Program Files (x86)\AstroGrep\AstroGrep.exe" /spath="%USERPROFILE%\AppData\Local\Temp\OnboardLogs" /stypes="app*4008*20170110*" /stext=" 15:.+((SYSTEM_STATE.+slice.+state.+changed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88" t="str">
        <f t="shared" si="18"/>
        <v>"%USERPROFILE%\Documents\GitHub\eaglep3\Utilities\RefineRTDCRunTimes.py" --tripid 128-10 --locoid 4008 --swversion DE.1.0.8.0 --startMP 204:233000 --initTime 2017-01-10T07:48:27 --startdatetime 2017-01-10T07:56:29 --delay 1 --endMP 204:160 --enddatetime 2017-01-10T08:35:48 --enforcementcount 0 &gt;&gt;C:\Users\stu\Documents\GitHub\eaglep3-reporting\EC\2017-01-10-refined-times.txt</v>
      </c>
      <c r="AI40" s="115" t="str">
        <f t="shared" si="19"/>
        <v>echo {"issue":{"subject":"","project_id":79,"tracker_id":40,"status_id":1,"priority_id":2,"assigned_to_id":23,"start_date":"2017-01-10","description":"","custom_fields":[{"id":1,"name":"Subdivision","value":"EC"},{"id":4,"name":"Milepost","value":"0.016"},{"id":17,"name":"Train ID","value":"128-10"},{"id":16,"name":"Locomotive ID","value":"4008"},{"id":130,"name":"Impact","value":""},{"id":150,"name":"Time of Event (Mountain Time)","value":"08:35:48"},{"id":151,"name":"Denver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0"/>
      <c r="AK40" s="50"/>
      <c r="AL40" s="50"/>
      <c r="AM40" s="180" t="str">
        <f t="shared" si="20"/>
        <v>start /low /b %USERPROFILE%\Documents\GitHub\eaglep3\Utilities\DownloadLogsFromS3.py --loco 4008 --day 2017-01-10</v>
      </c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4" t="s">
        <v>430</v>
      </c>
      <c r="B41" s="7">
        <v>4018</v>
      </c>
      <c r="C41" s="22" t="s">
        <v>202</v>
      </c>
      <c r="D41" s="22" t="s">
        <v>246</v>
      </c>
      <c r="E41" s="13">
        <v>42745.297129629631</v>
      </c>
      <c r="F41" s="13">
        <v>42745.302430555559</v>
      </c>
      <c r="G41" s="7">
        <v>1</v>
      </c>
      <c r="H41" s="22" t="s">
        <v>292</v>
      </c>
      <c r="I41" s="13">
        <v>42745.327893518515</v>
      </c>
      <c r="J41" s="7">
        <v>0</v>
      </c>
      <c r="K41" s="105" t="str">
        <f t="shared" si="0"/>
        <v>4017/4018</v>
      </c>
      <c r="L41" s="22" t="str">
        <f>VLOOKUP(A41,'Trips&amp;Operators'!$C$1:$G$99999,5,FALSE)</f>
        <v>DUNCAN SHEILA</v>
      </c>
      <c r="M41" s="6">
        <f t="shared" si="1"/>
        <v>2.5462962956225965E-2</v>
      </c>
      <c r="N41" s="7">
        <f t="shared" si="23"/>
        <v>36.66666665696539</v>
      </c>
      <c r="O41" s="7"/>
      <c r="P41" s="7"/>
      <c r="Q41" s="23"/>
      <c r="R41" s="23"/>
      <c r="S41" s="32">
        <f t="shared" si="3"/>
        <v>1</v>
      </c>
      <c r="T41" s="47" t="str">
        <f t="shared" si="4"/>
        <v>NorthBound</v>
      </c>
      <c r="U41" s="167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https://search-rtdc-monitor-bjffxe2xuh6vdkpspy63sjmuny.us-east-1.es.amazonaws.com/_plugin/kibana/#/discover/Steve-Slow-Train-Analysis-(2080s-and-2083s)?_g=(refreshInterval:(display:Off,section:0,value:0),time:(from:'2017-01-10 06:07:52-700',mode:absolute,to:'2017-01-10 08:52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41" s="49" t="str">
        <f t="shared" si="6"/>
        <v>N</v>
      </c>
      <c r="X41" s="173">
        <f t="shared" si="22"/>
        <v>1</v>
      </c>
      <c r="Y41" s="64">
        <f t="shared" si="8"/>
        <v>4.6199999999999998E-2</v>
      </c>
      <c r="Z41" s="64">
        <f t="shared" si="9"/>
        <v>23.329799999999999</v>
      </c>
      <c r="AA41" s="64">
        <f t="shared" si="10"/>
        <v>23.2836</v>
      </c>
      <c r="AB41" s="61" t="str">
        <f>VLOOKUP(A41,Enforcements!$C$7:$K$17,8,0)</f>
        <v>Bulletin (2)</v>
      </c>
      <c r="AC41" s="57" t="str">
        <f>VLOOKUP(A41,Enforcements!$C$7:$E$17,3,0)</f>
        <v>GRADE CROSSING</v>
      </c>
      <c r="AD41" s="58" t="str">
        <f t="shared" si="11"/>
        <v>0129-10</v>
      </c>
      <c r="AE41" s="87" t="str">
        <f t="shared" si="12"/>
        <v>aws s3 cp s3://rtdc.mdm.uploadarchive.raw/RTDC4018/ "%USERPROFILE%\AppData\Local\Temp\OnboardLogs"\RTDC4018\2017-01-10 --exclude "*" --recursive --include "*20170110*" &amp; "%USERPROFILE%\Documents\GitHub\mrs-test-scripts\Headless Mode &amp; Sideloading\WalkAndUnGZ.bat" "%USERPROFILE%\AppData\Local\Temp\OnboardLogs"\RTDC4018\2017-01-10 &amp; aws s3 cp s3://rtdc.mdm.uploadarchive.raw/RTDC4018/ "%USERPROFILE%\AppData\Local\Temp\OnboardLogs"\RTDC4018\2017-01-11 --exclude "*" --recursive --include "*20170111*" &amp; "%USERPROFILE%\Documents\GitHub\mrs-test-scripts\Headless Mode &amp; Sideloading\WalkAndUnGZ.bat" "%USERPROFILE%\AppData\Local\Temp\OnboardLogs"\RTDC4018\2017-01-11</v>
      </c>
      <c r="AF41" s="84" t="str">
        <f t="shared" si="13"/>
        <v>"C:\Program Files (x86)\AstroGrep\AstroGrep.exe" /spath="%USERPROFILE%\AppData\Local\Temp\OnboardLogs" /stypes="app*4018*20170110*" /stext=" 14:.+((SYSTEM_STATE.+slice.+state.+changed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88" t="str">
        <f t="shared" si="18"/>
        <v>"%USERPROFILE%\Documents\GitHub\eaglep3\Utilities\RefineRTDCRunTimes.py" --tripid 129-10 --locoid 4018 --swversion DE.1.0.8.0 --startMP 204:462 --initTime 2017-01-10T07:07:52 --startdatetime 2017-01-10T07:15:30 --delay 1 --endMP 204:233298 --enddatetime 2017-01-10T07:52:10 --enforcementcount 0 &gt;&gt;C:\Users\stu\Documents\GitHub\eaglep3-reporting\EC\2017-01-10-refined-times.txt</v>
      </c>
      <c r="AI41" s="115" t="str">
        <f t="shared" si="19"/>
        <v>echo {"issue":{"subject":"","project_id":79,"tracker_id":40,"status_id":1,"priority_id":2,"assigned_to_id":23,"start_date":"2017-01-10","description":"","custom_fields":[{"id":1,"name":"Subdivision","value":"EC"},{"id":4,"name":"Milepost","value":"23.3298"},{"id":17,"name":"Train ID","value":"129-10"},{"id":16,"name":"Locomotive ID","value":"4018"},{"id":130,"name":"Impact","value":""},{"id":150,"name":"Time of Event (Mountain Time)","value":"07:52:10"},{"id":151,"name":"Denver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0"/>
      <c r="AK41" s="50"/>
      <c r="AL41" s="50"/>
      <c r="AM41" s="180" t="str">
        <f t="shared" si="20"/>
        <v>start /low /b %USERPROFILE%\Documents\GitHub\eaglep3\Utilities\DownloadLogsFromS3.py --loco 4018 --day 2017-01-10</v>
      </c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4" t="s">
        <v>432</v>
      </c>
      <c r="B42" s="7">
        <v>4017</v>
      </c>
      <c r="C42" s="22" t="s">
        <v>202</v>
      </c>
      <c r="D42" s="22" t="s">
        <v>291</v>
      </c>
      <c r="E42" s="13">
        <v>42745.329768518517</v>
      </c>
      <c r="F42" s="13">
        <v>42745.341944444444</v>
      </c>
      <c r="G42" s="7">
        <v>1</v>
      </c>
      <c r="H42" s="22" t="s">
        <v>304</v>
      </c>
      <c r="I42" s="13">
        <v>42745.369212962964</v>
      </c>
      <c r="J42" s="7">
        <v>0</v>
      </c>
      <c r="K42" s="105" t="str">
        <f t="shared" si="0"/>
        <v>4017/4018</v>
      </c>
      <c r="L42" s="22" t="str">
        <f>VLOOKUP(A42,'Trips&amp;Operators'!$C$1:$G$99999,5,FALSE)</f>
        <v>DUNCAN SHEILA</v>
      </c>
      <c r="M42" s="6">
        <f t="shared" si="1"/>
        <v>2.7268518519122154E-2</v>
      </c>
      <c r="N42" s="7">
        <f t="shared" si="23"/>
        <v>39.266666667535901</v>
      </c>
      <c r="O42" s="7"/>
      <c r="P42" s="7"/>
      <c r="Q42" s="23"/>
      <c r="R42" s="23"/>
      <c r="S42" s="32">
        <f t="shared" si="3"/>
        <v>1</v>
      </c>
      <c r="T42" s="47" t="str">
        <f t="shared" si="4"/>
        <v>Southbound</v>
      </c>
      <c r="U42" s="167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https://search-rtdc-monitor-bjffxe2xuh6vdkpspy63sjmuny.us-east-1.es.amazonaws.com/_plugin/kibana/#/discover/Steve-Slow-Train-Analysis-(2080s-and-2083s)?_g=(refreshInterval:(display:Off,section:0,value:0),time:(from:'2017-01-10 06:54:52-700',mode:absolute,to:'2017-01-10 09:51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42" s="49" t="str">
        <f t="shared" si="6"/>
        <v>N</v>
      </c>
      <c r="X42" s="173">
        <f t="shared" si="22"/>
        <v>1</v>
      </c>
      <c r="Y42" s="64">
        <f t="shared" si="8"/>
        <v>23.298300000000001</v>
      </c>
      <c r="Z42" s="64">
        <f t="shared" si="9"/>
        <v>1.6500000000000001E-2</v>
      </c>
      <c r="AA42" s="64">
        <f t="shared" si="10"/>
        <v>23.2818</v>
      </c>
      <c r="AB42" s="61" t="str">
        <f>VLOOKUP(A42,Enforcements!$C$7:$K$17,8,0)</f>
        <v>Bulletin (2)</v>
      </c>
      <c r="AC42" s="57" t="str">
        <f>VLOOKUP(A42,Enforcements!$C$7:$E$17,3,0)</f>
        <v>GRADE CROSSING</v>
      </c>
      <c r="AD42" s="58" t="str">
        <f t="shared" si="11"/>
        <v>0130-10</v>
      </c>
      <c r="AE42" s="87" t="str">
        <f t="shared" si="12"/>
        <v>aws s3 cp s3://rtdc.mdm.uploadarchive.raw/RTDC4017/ "%USERPROFILE%\AppData\Local\Temp\OnboardLogs"\RTDC4017\2017-01-10 --exclude "*" --recursive --include "*20170110*" &amp; "%USERPROFILE%\Documents\GitHub\mrs-test-scripts\Headless Mode &amp; Sideloading\WalkAndUnGZ.bat" "%USERPROFILE%\AppData\Local\Temp\OnboardLogs"\RTDC4017\2017-01-10 &amp; aws s3 cp s3://rtdc.mdm.uploadarchive.raw/RTDC4017/ "%USERPROFILE%\AppData\Local\Temp\OnboardLogs"\RTDC4017\2017-01-11 --exclude "*" --recursive --include "*20170111*" &amp; "%USERPROFILE%\Documents\GitHub\mrs-test-scripts\Headless Mode &amp; Sideloading\WalkAndUnGZ.bat" "%USERPROFILE%\AppData\Local\Temp\OnboardLogs"\RTDC4017\2017-01-11</v>
      </c>
      <c r="AF42" s="84" t="str">
        <f t="shared" si="13"/>
        <v>"C:\Program Files (x86)\AstroGrep\AstroGrep.exe" /spath="%USERPROFILE%\AppData\Local\Temp\OnboardLogs" /stypes="app*4017*20170110*" /stext=" 15:.+((SYSTEM_STATE.+slice.+state.+changed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88" t="str">
        <f t="shared" si="18"/>
        <v>"%USERPROFILE%\Documents\GitHub\eaglep3\Utilities\RefineRTDCRunTimes.py" --tripid 130-10 --locoid 4017 --swversion DE.1.0.8.0 --startMP 204:232983 --initTime 2017-01-10T07:54:52 --startdatetime 2017-01-10T08:12:24 --delay 1 --endMP 204:165 --enddatetime 2017-01-10T08:51:40 --enforcementcount 0 &gt;&gt;C:\Users\stu\Documents\GitHub\eaglep3-reporting\EC\2017-01-10-refined-times.txt</v>
      </c>
      <c r="AI42" s="115" t="str">
        <f t="shared" si="19"/>
        <v>echo {"issue":{"subject":"","project_id":79,"tracker_id":40,"status_id":1,"priority_id":2,"assigned_to_id":23,"start_date":"2017-01-10","description":"","custom_fields":[{"id":1,"name":"Subdivision","value":"EC"},{"id":4,"name":"Milepost","value":"0.0165"},{"id":17,"name":"Train ID","value":"130-10"},{"id":16,"name":"Locomotive ID","value":"4017"},{"id":130,"name":"Impact","value":""},{"id":150,"name":"Time of Event (Mountain Time)","value":"08:51:40"},{"id":151,"name":"Denver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0"/>
      <c r="AK42" s="50"/>
      <c r="AL42" s="50"/>
      <c r="AM42" s="180" t="str">
        <f t="shared" si="20"/>
        <v>start /low /b %USERPROFILE%\Documents\GitHub\eaglep3\Utilities\DownloadLogsFromS3.py --loco 4017 --day 2017-01-10</v>
      </c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4" t="s">
        <v>503</v>
      </c>
      <c r="B43" s="7">
        <v>4025</v>
      </c>
      <c r="C43" s="22" t="s">
        <v>202</v>
      </c>
      <c r="D43" s="22" t="s">
        <v>400</v>
      </c>
      <c r="E43" s="13">
        <v>42745.308067129627</v>
      </c>
      <c r="F43" s="13">
        <v>42745.312754629631</v>
      </c>
      <c r="G43" s="7">
        <v>0</v>
      </c>
      <c r="H43" s="22" t="s">
        <v>409</v>
      </c>
      <c r="I43" s="13">
        <v>42745.337696759256</v>
      </c>
      <c r="J43" s="7">
        <v>0</v>
      </c>
      <c r="K43" s="105" t="str">
        <f t="shared" si="0"/>
        <v>4025/4026</v>
      </c>
      <c r="L43" s="22" t="str">
        <f>VLOOKUP(A43,'Trips&amp;Operators'!$C$1:$G$99999,5,FALSE)</f>
        <v>MAELZER KURT</v>
      </c>
      <c r="M43" s="6">
        <f t="shared" si="1"/>
        <v>2.4942129624832887E-2</v>
      </c>
      <c r="N43" s="7">
        <f t="shared" si="23"/>
        <v>35.916666659759358</v>
      </c>
      <c r="O43" s="7"/>
      <c r="P43" s="7"/>
      <c r="Q43" s="23"/>
      <c r="R43" s="23"/>
      <c r="S43" s="32">
        <f t="shared" si="3"/>
        <v>1</v>
      </c>
      <c r="T43" s="47" t="str">
        <f t="shared" si="4"/>
        <v>NorthBound</v>
      </c>
      <c r="U43" s="167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https://search-rtdc-monitor-bjffxe2xuh6vdkpspy63sjmuny.us-east-1.es.amazonaws.com/_plugin/kibana/#/discover/Steve-Slow-Train-Analysis-(2080s-and-2083s)?_g=(refreshInterval:(display:Off,section:0,value:0),time:(from:'2017-01-10 06:23:37-700',mode:absolute,to:'2017-01-10 09:06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43" s="49" t="str">
        <f t="shared" si="6"/>
        <v>N</v>
      </c>
      <c r="X43" s="173">
        <f t="shared" si="22"/>
        <v>1</v>
      </c>
      <c r="Y43" s="64">
        <f t="shared" si="8"/>
        <v>4.4200000000000003E-2</v>
      </c>
      <c r="Z43" s="64">
        <f t="shared" si="9"/>
        <v>23.330300000000001</v>
      </c>
      <c r="AA43" s="64">
        <f t="shared" si="10"/>
        <v>23.286100000000001</v>
      </c>
      <c r="AB43" s="61" t="e">
        <f>VLOOKUP(A43,Enforcements!$C$7:$K$17,8,0)</f>
        <v>#N/A</v>
      </c>
      <c r="AC43" s="57" t="e">
        <f>VLOOKUP(A43,Enforcements!$C$7:$E$17,3,0)</f>
        <v>#N/A</v>
      </c>
      <c r="AD43" s="58" t="str">
        <f t="shared" si="11"/>
        <v>0131-10</v>
      </c>
      <c r="AE43" s="87" t="str">
        <f t="shared" si="12"/>
        <v>aws s3 cp s3://rtdc.mdm.uploadarchive.raw/RTDC4025/ "%USERPROFILE%\AppData\Local\Temp\OnboardLogs"\RTDC4025\2017-01-10 --exclude "*" --recursive --include "*20170110*" &amp; "%USERPROFILE%\Documents\GitHub\mrs-test-scripts\Headless Mode &amp; Sideloading\WalkAndUnGZ.bat" "%USERPROFILE%\AppData\Local\Temp\OnboardLogs"\RTDC4025\2017-01-10 &amp; aws s3 cp s3://rtdc.mdm.uploadarchive.raw/RTDC4025/ "%USERPROFILE%\AppData\Local\Temp\OnboardLogs"\RTDC4025\2017-01-11 --exclude "*" --recursive --include "*20170111*" &amp; "%USERPROFILE%\Documents\GitHub\mrs-test-scripts\Headless Mode &amp; Sideloading\WalkAndUnGZ.bat" "%USERPROFILE%\AppData\Local\Temp\OnboardLogs"\RTDC4025\2017-01-11</v>
      </c>
      <c r="AF43" s="84" t="str">
        <f t="shared" si="13"/>
        <v>"C:\Program Files (x86)\AstroGrep\AstroGrep.exe" /spath="%USERPROFILE%\AppData\Local\Temp\OnboardLogs" /stypes="app*4025*20170110*" /stext=" 15:.+((SYSTEM_STATE.+slice.+state.+changed )|(ment ac)|(multiple cpu faults)|(system.+state.+changed )|(\[timeout)|(PRM\|1\|D)|(kpr)|(kdp)|(\|lc)|(penalty))" /e /r /s</v>
      </c>
      <c r="AG43" s="1" t="str">
        <f t="shared" si="14"/>
        <v>EC</v>
      </c>
      <c r="AH43" s="88" t="str">
        <f t="shared" si="18"/>
        <v>"%USERPROFILE%\Documents\GitHub\eaglep3\Utilities\RefineRTDCRunTimes.py" --tripid 131-10 --locoid 4025 --swversion DE.1.0.8.0 --startMP 204:442 --initTime 2017-01-10T07:23:37 --startdatetime 2017-01-10T07:30:22 --delay 0 --endMP 204:233303 --enddatetime 2017-01-10T08:06:17 --enforcementcount 0 &gt;&gt;C:\Users\stu\Documents\GitHub\eaglep3-reporting\EC\2017-01-10-refined-times.txt</v>
      </c>
      <c r="AI43" s="115" t="str">
        <f t="shared" si="19"/>
        <v>echo {"issue":{"subject":"","project_id":79,"tracker_id":40,"status_id":1,"priority_id":2,"assigned_to_id":23,"start_date":"2017-01-10","description":"","custom_fields":[{"id":1,"name":"Subdivision","value":"EC"},{"id":4,"name":"Milepost","value":"23.3303"},{"id":17,"name":"Train ID","value":"131-10"},{"id":16,"name":"Locomotive ID","value":"4025"},{"id":130,"name":"Impact","value":""},{"id":150,"name":"Time of Event (Mountain Time)","value":"08:06:17"},{"id":151,"name":"Denver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0"/>
      <c r="AK43" s="50"/>
      <c r="AL43" s="50"/>
      <c r="AM43" s="180" t="str">
        <f t="shared" si="20"/>
        <v>start /low /b %USERPROFILE%\Documents\GitHub\eaglep3\Utilities\DownloadLogsFromS3.py --loco 4025 --day 2017-01-10</v>
      </c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4" t="s">
        <v>513</v>
      </c>
      <c r="B44" s="7">
        <v>4026</v>
      </c>
      <c r="C44" s="22" t="s">
        <v>202</v>
      </c>
      <c r="D44" s="22" t="s">
        <v>251</v>
      </c>
      <c r="E44" s="13">
        <v>42745.342499999999</v>
      </c>
      <c r="F44" s="13">
        <v>42745.351678240739</v>
      </c>
      <c r="G44" s="7">
        <v>1</v>
      </c>
      <c r="H44" s="22" t="s">
        <v>336</v>
      </c>
      <c r="I44" s="13">
        <v>42745.378333333334</v>
      </c>
      <c r="J44" s="7">
        <v>0</v>
      </c>
      <c r="K44" s="105" t="str">
        <f t="shared" si="0"/>
        <v>4025/4026</v>
      </c>
      <c r="L44" s="22" t="str">
        <f>VLOOKUP(A44,'Trips&amp;Operators'!$C$1:$G$99999,5,FALSE)</f>
        <v>MAELZER KURT</v>
      </c>
      <c r="M44" s="6">
        <f t="shared" si="1"/>
        <v>2.6655092595319729E-2</v>
      </c>
      <c r="N44" s="7">
        <f t="shared" si="23"/>
        <v>38.38333333726041</v>
      </c>
      <c r="O44" s="7"/>
      <c r="P44" s="7"/>
      <c r="Q44" s="23"/>
      <c r="R44" s="23"/>
      <c r="S44" s="32">
        <f t="shared" si="3"/>
        <v>1</v>
      </c>
      <c r="T44" s="47" t="str">
        <f t="shared" si="4"/>
        <v>Southbound</v>
      </c>
      <c r="U44" s="167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https://search-rtdc-monitor-bjffxe2xuh6vdkpspy63sjmuny.us-east-1.es.amazonaws.com/_plugin/kibana/#/discover/Steve-Slow-Train-Analysis-(2080s-and-2083s)?_g=(refreshInterval:(display:Off,section:0,value:0),time:(from:'2017-01-10 07:13:12-700',mode:absolute,to:'2017-01-10 10:04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44" s="49" t="str">
        <f t="shared" si="6"/>
        <v>N</v>
      </c>
      <c r="X44" s="173">
        <f t="shared" si="22"/>
        <v>1</v>
      </c>
      <c r="Y44" s="64">
        <f t="shared" si="8"/>
        <v>23.2986</v>
      </c>
      <c r="Z44" s="64">
        <f t="shared" si="9"/>
        <v>1.38E-2</v>
      </c>
      <c r="AA44" s="64">
        <f t="shared" si="10"/>
        <v>23.284800000000001</v>
      </c>
      <c r="AB44" s="61" t="e">
        <f>VLOOKUP(A44,Enforcements!$C$7:$K$17,8,0)</f>
        <v>#N/A</v>
      </c>
      <c r="AC44" s="57" t="e">
        <f>VLOOKUP(A44,Enforcements!$C$7:$E$17,3,0)</f>
        <v>#N/A</v>
      </c>
      <c r="AD44" s="58" t="str">
        <f t="shared" si="11"/>
        <v>0132-10</v>
      </c>
      <c r="AE44" s="87" t="str">
        <f t="shared" si="12"/>
        <v>aws s3 cp s3://rtdc.mdm.uploadarchive.raw/RTDC4026/ "%USERPROFILE%\AppData\Local\Temp\OnboardLogs"\RTDC4026\2017-01-10 --exclude "*" --recursive --include "*20170110*" &amp; "%USERPROFILE%\Documents\GitHub\mrs-test-scripts\Headless Mode &amp; Sideloading\WalkAndUnGZ.bat" "%USERPROFILE%\AppData\Local\Temp\OnboardLogs"\RTDC4026\2017-01-10 &amp; aws s3 cp s3://rtdc.mdm.uploadarchive.raw/RTDC4026/ "%USERPROFILE%\AppData\Local\Temp\OnboardLogs"\RTDC4026\2017-01-11 --exclude "*" --recursive --include "*20170111*" &amp; "%USERPROFILE%\Documents\GitHub\mrs-test-scripts\Headless Mode &amp; Sideloading\WalkAndUnGZ.bat" "%USERPROFILE%\AppData\Local\Temp\OnboardLogs"\RTDC4026\2017-01-11</v>
      </c>
      <c r="AF44" s="84" t="str">
        <f t="shared" si="13"/>
        <v>"C:\Program Files (x86)\AstroGrep\AstroGrep.exe" /spath="%USERPROFILE%\AppData\Local\Temp\OnboardLogs" /stypes="app*4026*20170110*" /stext=" 16:.+((SYSTEM_STATE.+slice.+state.+changed )|(ment ac)|(multiple cpu faults)|(system.+state.+changed )|(\[timeout)|(PRM\|1\|D)|(kpr)|(kdp)|(\|lc)|(penalty))" /e /r /s</v>
      </c>
      <c r="AG44" s="1" t="str">
        <f t="shared" si="14"/>
        <v>EC</v>
      </c>
      <c r="AH44" s="88" t="str">
        <f t="shared" si="18"/>
        <v>"%USERPROFILE%\Documents\GitHub\eaglep3\Utilities\RefineRTDCRunTimes.py" --tripid 132-10 --locoid 4026 --swversion DE.1.0.8.0 --startMP 204:232986 --initTime 2017-01-10T08:13:12 --startdatetime 2017-01-10T08:26:25 --delay 1 --endMP 204:138 --enddatetime 2017-01-10T09:04:48 --enforcementcount 0 &gt;&gt;C:\Users\stu\Documents\GitHub\eaglep3-reporting\EC\2017-01-10-refined-times.txt</v>
      </c>
      <c r="AI44" s="115" t="str">
        <f t="shared" si="19"/>
        <v>echo {"issue":{"subject":"","project_id":79,"tracker_id":40,"status_id":1,"priority_id":2,"assigned_to_id":23,"start_date":"2017-01-10","description":"","custom_fields":[{"id":1,"name":"Subdivision","value":"EC"},{"id":4,"name":"Milepost","value":"0.0138"},{"id":17,"name":"Train ID","value":"132-10"},{"id":16,"name":"Locomotive ID","value":"4026"},{"id":130,"name":"Impact","value":""},{"id":150,"name":"Time of Event (Mountain Time)","value":"09:04:48"},{"id":151,"name":"Denver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0"/>
      <c r="AK44" s="50"/>
      <c r="AL44" s="50"/>
      <c r="AM44" s="180" t="str">
        <f t="shared" si="20"/>
        <v>start /low /b %USERPROFILE%\Documents\GitHub\eaglep3\Utilities\DownloadLogsFromS3.py --loco 4026 --day 2017-01-10</v>
      </c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4" t="s">
        <v>507</v>
      </c>
      <c r="B45" s="7">
        <v>4020</v>
      </c>
      <c r="C45" s="22" t="s">
        <v>202</v>
      </c>
      <c r="D45" s="22" t="s">
        <v>246</v>
      </c>
      <c r="E45" s="13">
        <v>42745.318402777775</v>
      </c>
      <c r="F45" s="13">
        <v>42745.323101851849</v>
      </c>
      <c r="G45" s="7">
        <v>1</v>
      </c>
      <c r="H45" s="22" t="s">
        <v>341</v>
      </c>
      <c r="I45" s="13">
        <v>42745.348391203705</v>
      </c>
      <c r="J45" s="7">
        <v>0</v>
      </c>
      <c r="K45" s="105" t="str">
        <f t="shared" si="0"/>
        <v>4019/4020</v>
      </c>
      <c r="L45" s="22" t="str">
        <f>VLOOKUP(A45,'Trips&amp;Operators'!$C$1:$G$99999,5,FALSE)</f>
        <v>STARKS ANGELINA</v>
      </c>
      <c r="M45" s="6">
        <f t="shared" si="1"/>
        <v>2.5289351855462883E-2</v>
      </c>
      <c r="N45" s="7">
        <f t="shared" si="23"/>
        <v>36.416666671866551</v>
      </c>
      <c r="O45" s="7"/>
      <c r="P45" s="7"/>
      <c r="Q45" s="23"/>
      <c r="R45" s="23"/>
      <c r="S45" s="32">
        <f t="shared" ref="S45:S76" si="24">SUM(U45:U45)/IF(AG45="EC",12,1)</f>
        <v>1</v>
      </c>
      <c r="T45" s="47" t="str">
        <f t="shared" si="4"/>
        <v>NorthBound</v>
      </c>
      <c r="U45" s="167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https://search-rtdc-monitor-bjffxe2xuh6vdkpspy63sjmuny.us-east-1.es.amazonaws.com/_plugin/kibana/#/discover/Steve-Slow-Train-Analysis-(2080s-and-2083s)?_g=(refreshInterval:(display:Off,section:0,value:0),time:(from:'2017-01-10 06:38:30-700',mode:absolute,to:'2017-01-10 09:21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45" s="49" t="str">
        <f t="shared" si="6"/>
        <v>N</v>
      </c>
      <c r="X45" s="173">
        <f t="shared" si="22"/>
        <v>1</v>
      </c>
      <c r="Y45" s="64">
        <f t="shared" si="8"/>
        <v>4.6199999999999998E-2</v>
      </c>
      <c r="Z45" s="64">
        <f t="shared" si="9"/>
        <v>23.3308</v>
      </c>
      <c r="AA45" s="64">
        <f t="shared" si="10"/>
        <v>23.284600000000001</v>
      </c>
      <c r="AB45" s="61" t="e">
        <f>VLOOKUP(A45,Enforcements!$C$7:$K$17,8,0)</f>
        <v>#N/A</v>
      </c>
      <c r="AC45" s="57" t="e">
        <f>VLOOKUP(A45,Enforcements!$C$7:$E$17,3,0)</f>
        <v>#N/A</v>
      </c>
      <c r="AD45" s="58" t="str">
        <f t="shared" si="11"/>
        <v>0133-10</v>
      </c>
      <c r="AE45" s="87" t="str">
        <f t="shared" si="12"/>
        <v>aws s3 cp s3://rtdc.mdm.uploadarchive.raw/RTDC4020/ "%USERPROFILE%\AppData\Local\Temp\OnboardLogs"\RTDC4020\2017-01-10 --exclude "*" --recursive --include "*20170110*" &amp; "%USERPROFILE%\Documents\GitHub\mrs-test-scripts\Headless Mode &amp; Sideloading\WalkAndUnGZ.bat" "%USERPROFILE%\AppData\Local\Temp\OnboardLogs"\RTDC4020\2017-01-10 &amp; aws s3 cp s3://rtdc.mdm.uploadarchive.raw/RTDC4020/ "%USERPROFILE%\AppData\Local\Temp\OnboardLogs"\RTDC4020\2017-01-11 --exclude "*" --recursive --include "*20170111*" &amp; "%USERPROFILE%\Documents\GitHub\mrs-test-scripts\Headless Mode &amp; Sideloading\WalkAndUnGZ.bat" "%USERPROFILE%\AppData\Local\Temp\OnboardLogs"\RTDC4020\2017-01-11</v>
      </c>
      <c r="AF45" s="84" t="str">
        <f t="shared" si="13"/>
        <v>"C:\Program Files (x86)\AstroGrep\AstroGrep.exe" /spath="%USERPROFILE%\AppData\Local\Temp\OnboardLogs" /stypes="app*4020*20170110*" /stext=" 15:.+((SYSTEM_STATE.+slice.+state.+changed )|(ment ac)|(multiple cpu faults)|(system.+state.+changed )|(\[timeout)|(PRM\|1\|D)|(kpr)|(kdp)|(\|lc)|(penalty))" /e /r /s</v>
      </c>
      <c r="AG45" s="1" t="str">
        <f t="shared" si="14"/>
        <v>EC</v>
      </c>
      <c r="AH45" s="88" t="str">
        <f t="shared" si="18"/>
        <v>"%USERPROFILE%\Documents\GitHub\eaglep3\Utilities\RefineRTDCRunTimes.py" --tripid 133-10 --locoid 4020 --swversion DE.1.0.8.0 --startMP 204:462 --initTime 2017-01-10T07:38:30 --startdatetime 2017-01-10T07:45:16 --delay 1 --endMP 204:233308 --enddatetime 2017-01-10T08:21:41 --enforcementcount 0 &gt;&gt;C:\Users\stu\Documents\GitHub\eaglep3-reporting\EC\2017-01-10-refined-times.txt</v>
      </c>
      <c r="AI45" s="115" t="str">
        <f t="shared" si="19"/>
        <v>echo {"issue":{"subject":"","project_id":79,"tracker_id":40,"status_id":1,"priority_id":2,"assigned_to_id":23,"start_date":"2017-01-10","description":"","custom_fields":[{"id":1,"name":"Subdivision","value":"EC"},{"id":4,"name":"Milepost","value":"23.3308"},{"id":17,"name":"Train ID","value":"133-10"},{"id":16,"name":"Locomotive ID","value":"4020"},{"id":130,"name":"Impact","value":""},{"id":150,"name":"Time of Event (Mountain Time)","value":"08:21:41"},{"id":151,"name":"Denver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0"/>
      <c r="AK45" s="50"/>
      <c r="AL45" s="50"/>
      <c r="AM45" s="180" t="str">
        <f t="shared" si="20"/>
        <v>start /low /b %USERPROFILE%\Documents\GitHub\eaglep3\Utilities\DownloadLogsFromS3.py --loco 4020 --day 2017-01-10</v>
      </c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4" t="s">
        <v>517</v>
      </c>
      <c r="B46" s="7">
        <v>4019</v>
      </c>
      <c r="C46" s="22" t="s">
        <v>202</v>
      </c>
      <c r="D46" s="22" t="s">
        <v>312</v>
      </c>
      <c r="E46" s="13">
        <v>42745.360034722224</v>
      </c>
      <c r="F46" s="13">
        <v>42745.361990740741</v>
      </c>
      <c r="G46" s="7">
        <v>1</v>
      </c>
      <c r="H46" s="22" t="s">
        <v>681</v>
      </c>
      <c r="I46" s="13">
        <v>42745.388622685183</v>
      </c>
      <c r="J46" s="7">
        <v>0</v>
      </c>
      <c r="K46" s="105" t="str">
        <f t="shared" si="0"/>
        <v>4019/4020</v>
      </c>
      <c r="L46" s="22" t="str">
        <f>VLOOKUP(A46,'Trips&amp;Operators'!$C$1:$G$99999,5,FALSE)</f>
        <v>STARKS ANGELINA</v>
      </c>
      <c r="M46" s="6">
        <f t="shared" si="1"/>
        <v>2.6631944441760425E-2</v>
      </c>
      <c r="N46" s="7">
        <f t="shared" si="23"/>
        <v>38.349999996135011</v>
      </c>
      <c r="O46" s="7"/>
      <c r="P46" s="7"/>
      <c r="Q46" s="23"/>
      <c r="R46" s="23"/>
      <c r="S46" s="32">
        <f t="shared" si="24"/>
        <v>1</v>
      </c>
      <c r="T46" s="47" t="str">
        <f t="shared" si="4"/>
        <v>Southbound</v>
      </c>
      <c r="U46" s="167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https://search-rtdc-monitor-bjffxe2xuh6vdkpspy63sjmuny.us-east-1.es.amazonaws.com/_plugin/kibana/#/discover/Steve-Slow-Train-Analysis-(2080s-and-2083s)?_g=(refreshInterval:(display:Off,section:0,value:0),time:(from:'2017-01-10 07:38:27-700',mode:absolute,to:'2017-01-10 10:19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46" s="49" t="str">
        <f t="shared" si="6"/>
        <v>N</v>
      </c>
      <c r="X46" s="173">
        <f t="shared" si="22"/>
        <v>1</v>
      </c>
      <c r="Y46" s="64">
        <f t="shared" si="8"/>
        <v>23.300599999999999</v>
      </c>
      <c r="Z46" s="64">
        <f t="shared" si="9"/>
        <v>1.29E-2</v>
      </c>
      <c r="AA46" s="64">
        <f t="shared" si="10"/>
        <v>23.287700000000001</v>
      </c>
      <c r="AB46" s="61" t="e">
        <f>VLOOKUP(A46,Enforcements!$C$7:$K$17,8,0)</f>
        <v>#N/A</v>
      </c>
      <c r="AC46" s="57" t="e">
        <f>VLOOKUP(A46,Enforcements!$C$7:$E$17,3,0)</f>
        <v>#N/A</v>
      </c>
      <c r="AD46" s="58" t="str">
        <f t="shared" si="11"/>
        <v>0134-10</v>
      </c>
      <c r="AE46" s="87" t="str">
        <f t="shared" si="12"/>
        <v>aws s3 cp s3://rtdc.mdm.uploadarchive.raw/RTDC4019/ "%USERPROFILE%\AppData\Local\Temp\OnboardLogs"\RTDC4019\2017-01-10 --exclude "*" --recursive --include "*20170110*" &amp; "%USERPROFILE%\Documents\GitHub\mrs-test-scripts\Headless Mode &amp; Sideloading\WalkAndUnGZ.bat" "%USERPROFILE%\AppData\Local\Temp\OnboardLogs"\RTDC4019\2017-01-10 &amp; aws s3 cp s3://rtdc.mdm.uploadarchive.raw/RTDC4019/ "%USERPROFILE%\AppData\Local\Temp\OnboardLogs"\RTDC4019\2017-01-11 --exclude "*" --recursive --include "*20170111*" &amp; "%USERPROFILE%\Documents\GitHub\mrs-test-scripts\Headless Mode &amp; Sideloading\WalkAndUnGZ.bat" "%USERPROFILE%\AppData\Local\Temp\OnboardLogs"\RTDC4019\2017-01-11</v>
      </c>
      <c r="AF46" s="84" t="str">
        <f t="shared" si="13"/>
        <v>"C:\Program Files (x86)\AstroGrep\AstroGrep.exe" /spath="%USERPROFILE%\AppData\Local\Temp\OnboardLogs" /stypes="app*4019*20170110*" /stext=" 16:.+((SYSTEM_STATE.+slice.+state.+changed )|(ment ac)|(multiple cpu faults)|(system.+state.+changed )|(\[timeout)|(PRM\|1\|D)|(kpr)|(kdp)|(\|lc)|(penalty))" /e /r /s</v>
      </c>
      <c r="AG46" s="1" t="str">
        <f t="shared" si="14"/>
        <v>EC</v>
      </c>
      <c r="AH46" s="88" t="str">
        <f t="shared" si="18"/>
        <v>"%USERPROFILE%\Documents\GitHub\eaglep3\Utilities\RefineRTDCRunTimes.py" --tripid 134-10 --locoid 4019 --swversion DE.1.0.8.0 --startMP 204:233006 --initTime 2017-01-10T08:38:27 --startdatetime 2017-01-10T08:41:16 --delay 1 --endMP 204:129 --enddatetime 2017-01-10T09:19:37 --enforcementcount 0 &gt;&gt;C:\Users\stu\Documents\GitHub\eaglep3-reporting\EC\2017-01-10-refined-times.txt</v>
      </c>
      <c r="AI46" s="115" t="str">
        <f t="shared" si="19"/>
        <v>echo {"issue":{"subject":"","project_id":79,"tracker_id":40,"status_id":1,"priority_id":2,"assigned_to_id":23,"start_date":"2017-01-10","description":"","custom_fields":[{"id":1,"name":"Subdivision","value":"EC"},{"id":4,"name":"Milepost","value":"0.0129"},{"id":17,"name":"Train ID","value":"134-10"},{"id":16,"name":"Locomotive ID","value":"4019"},{"id":130,"name":"Impact","value":""},{"id":150,"name":"Time of Event (Mountain Time)","value":"09:19:37"},{"id":151,"name":"Denver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0"/>
      <c r="AK46" s="50"/>
      <c r="AL46" s="50"/>
      <c r="AM46" s="180" t="str">
        <f t="shared" si="20"/>
        <v>start /low /b %USERPROFILE%\Documents\GitHub\eaglep3\Utilities\DownloadLogsFromS3.py --loco 4019 --day 2017-01-10</v>
      </c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4" t="s">
        <v>509</v>
      </c>
      <c r="B47" s="7">
        <v>4014</v>
      </c>
      <c r="C47" s="22" t="s">
        <v>202</v>
      </c>
      <c r="D47" s="22" t="s">
        <v>277</v>
      </c>
      <c r="E47" s="13">
        <v>42745.328634259262</v>
      </c>
      <c r="F47" s="13">
        <v>42745.333506944444</v>
      </c>
      <c r="G47" s="7">
        <v>1</v>
      </c>
      <c r="H47" s="22" t="s">
        <v>682</v>
      </c>
      <c r="I47" s="13">
        <v>42745.358749999999</v>
      </c>
      <c r="J47" s="7">
        <v>0</v>
      </c>
      <c r="K47" s="105" t="str">
        <f t="shared" si="0"/>
        <v>4013/4014</v>
      </c>
      <c r="L47" s="22" t="str">
        <f>VLOOKUP(A47,'Trips&amp;Operators'!$C$1:$G$99999,5,FALSE)</f>
        <v>BONDS REYNALDO</v>
      </c>
      <c r="M47" s="6">
        <f t="shared" si="1"/>
        <v>2.5243055555620231E-2</v>
      </c>
      <c r="N47" s="7">
        <f t="shared" si="23"/>
        <v>36.350000000093132</v>
      </c>
      <c r="O47" s="7"/>
      <c r="P47" s="7"/>
      <c r="Q47" s="23"/>
      <c r="R47" s="23"/>
      <c r="S47" s="32">
        <f t="shared" si="24"/>
        <v>1</v>
      </c>
      <c r="T47" s="47" t="str">
        <f t="shared" si="4"/>
        <v>NorthBound</v>
      </c>
      <c r="U47" s="167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https://search-rtdc-monitor-bjffxe2xuh6vdkpspy63sjmuny.us-east-1.es.amazonaws.com/_plugin/kibana/#/discover/Steve-Slow-Train-Analysis-(2080s-and-2083s)?_g=(refreshInterval:(display:Off,section:0,value:0),time:(from:'2017-01-10 06:53:14-700',mode:absolute,to:'2017-01-10 09:36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47" s="49" t="str">
        <f t="shared" si="6"/>
        <v>N</v>
      </c>
      <c r="X47" s="173">
        <f t="shared" si="22"/>
        <v>1</v>
      </c>
      <c r="Y47" s="64">
        <f t="shared" si="8"/>
        <v>4.3700000000000003E-2</v>
      </c>
      <c r="Z47" s="64">
        <f t="shared" si="9"/>
        <v>23.334900000000001</v>
      </c>
      <c r="AA47" s="64">
        <f t="shared" si="10"/>
        <v>23.2912</v>
      </c>
      <c r="AB47" s="61" t="e">
        <f>VLOOKUP(A47,Enforcements!$C$7:$K$17,8,0)</f>
        <v>#N/A</v>
      </c>
      <c r="AC47" s="57" t="e">
        <f>VLOOKUP(A47,Enforcements!$C$7:$E$17,3,0)</f>
        <v>#N/A</v>
      </c>
      <c r="AD47" s="58" t="str">
        <f t="shared" si="11"/>
        <v>0135-10</v>
      </c>
      <c r="AE47" s="87" t="str">
        <f t="shared" si="12"/>
        <v>aws s3 cp s3://rtdc.mdm.uploadarchive.raw/RTDC4014/ "%USERPROFILE%\AppData\Local\Temp\OnboardLogs"\RTDC4014\2017-01-10 --exclude "*" --recursive --include "*20170110*" &amp; "%USERPROFILE%\Documents\GitHub\mrs-test-scripts\Headless Mode &amp; Sideloading\WalkAndUnGZ.bat" "%USERPROFILE%\AppData\Local\Temp\OnboardLogs"\RTDC4014\2017-01-10 &amp; aws s3 cp s3://rtdc.mdm.uploadarchive.raw/RTDC4014/ "%USERPROFILE%\AppData\Local\Temp\OnboardLogs"\RTDC4014\2017-01-11 --exclude "*" --recursive --include "*20170111*" &amp; "%USERPROFILE%\Documents\GitHub\mrs-test-scripts\Headless Mode &amp; Sideloading\WalkAndUnGZ.bat" "%USERPROFILE%\AppData\Local\Temp\OnboardLogs"\RTDC4014\2017-01-11</v>
      </c>
      <c r="AF47" s="84" t="str">
        <f t="shared" si="13"/>
        <v>"C:\Program Files (x86)\AstroGrep\AstroGrep.exe" /spath="%USERPROFILE%\AppData\Local\Temp\OnboardLogs" /stypes="app*4014*20170110*" /stext=" 15:.+((SYSTEM_STATE.+slice.+state.+changed )|(ment ac)|(multiple cpu faults)|(system.+state.+changed )|(\[timeout)|(PRM\|1\|D)|(kpr)|(kdp)|(\|lc)|(penalty))" /e /r /s</v>
      </c>
      <c r="AG47" s="1" t="str">
        <f t="shared" si="14"/>
        <v>EC</v>
      </c>
      <c r="AH47" s="88" t="str">
        <f t="shared" si="18"/>
        <v>"%USERPROFILE%\Documents\GitHub\eaglep3\Utilities\RefineRTDCRunTimes.py" --tripid 135-10 --locoid 4014 --swversion DE.1.0.8.0 --startMP 204:437 --initTime 2017-01-10T07:53:14 --startdatetime 2017-01-10T08:00:15 --delay 1 --endMP 204:233349 --enddatetime 2017-01-10T08:36:36 --enforcementcount 0 &gt;&gt;C:\Users\stu\Documents\GitHub\eaglep3-reporting\EC\2017-01-10-refined-times.txt</v>
      </c>
      <c r="AI47" s="115" t="str">
        <f t="shared" si="19"/>
        <v>echo {"issue":{"subject":"","project_id":79,"tracker_id":40,"status_id":1,"priority_id":2,"assigned_to_id":23,"start_date":"2017-01-10","description":"","custom_fields":[{"id":1,"name":"Subdivision","value":"EC"},{"id":4,"name":"Milepost","value":"23.3349"},{"id":17,"name":"Train ID","value":"135-10"},{"id":16,"name":"Locomotive ID","value":"4014"},{"id":130,"name":"Impact","value":""},{"id":150,"name":"Time of Event (Mountain Time)","value":"08:36:36"},{"id":151,"name":"Denver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0"/>
      <c r="AK47" s="50"/>
      <c r="AL47" s="50"/>
      <c r="AM47" s="180" t="str">
        <f t="shared" si="20"/>
        <v>start /low /b %USERPROFILE%\Documents\GitHub\eaglep3\Utilities\DownloadLogsFromS3.py --loco 4014 --day 2017-01-10</v>
      </c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4" t="s">
        <v>519</v>
      </c>
      <c r="B48" s="7">
        <v>4013</v>
      </c>
      <c r="C48" s="22" t="s">
        <v>202</v>
      </c>
      <c r="D48" s="22" t="s">
        <v>683</v>
      </c>
      <c r="E48" s="13">
        <v>42745.366527777776</v>
      </c>
      <c r="F48" s="13">
        <v>42745.372372685182</v>
      </c>
      <c r="G48" s="7">
        <v>0</v>
      </c>
      <c r="H48" s="22" t="s">
        <v>242</v>
      </c>
      <c r="I48" s="13">
        <v>42745.399548611109</v>
      </c>
      <c r="J48" s="7">
        <v>0</v>
      </c>
      <c r="K48" s="105" t="str">
        <f t="shared" si="0"/>
        <v>4013/4014</v>
      </c>
      <c r="L48" s="22" t="str">
        <f>VLOOKUP(A48,'Trips&amp;Operators'!$C$1:$G$99999,5,FALSE)</f>
        <v>BONDS REYNALDO</v>
      </c>
      <c r="M48" s="6">
        <f t="shared" si="1"/>
        <v>2.7175925926712807E-2</v>
      </c>
      <c r="N48" s="7">
        <f t="shared" si="23"/>
        <v>39.133333334466442</v>
      </c>
      <c r="O48" s="7"/>
      <c r="P48" s="7"/>
      <c r="Q48" s="23"/>
      <c r="R48" s="23"/>
      <c r="S48" s="32">
        <f t="shared" si="24"/>
        <v>1</v>
      </c>
      <c r="T48" s="47" t="str">
        <f t="shared" si="4"/>
        <v>Southbound</v>
      </c>
      <c r="U48" s="167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https://search-rtdc-monitor-bjffxe2xuh6vdkpspy63sjmuny.us-east-1.es.amazonaws.com/_plugin/kibana/#/discover/Steve-Slow-Train-Analysis-(2080s-and-2083s)?_g=(refreshInterval:(display:Off,section:0,value:0),time:(from:'2017-01-10 07:47:48-700',mode:absolute,to:'2017-01-10 10:35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48" s="49" t="str">
        <f t="shared" si="6"/>
        <v>N</v>
      </c>
      <c r="X48" s="173">
        <f t="shared" si="22"/>
        <v>1</v>
      </c>
      <c r="Y48" s="64">
        <f t="shared" si="8"/>
        <v>23.298200000000001</v>
      </c>
      <c r="Z48" s="64">
        <f t="shared" si="9"/>
        <v>1.3899999999999999E-2</v>
      </c>
      <c r="AA48" s="64">
        <f t="shared" si="10"/>
        <v>23.284300000000002</v>
      </c>
      <c r="AB48" s="61" t="e">
        <f>VLOOKUP(A48,Enforcements!$C$7:$K$17,8,0)</f>
        <v>#N/A</v>
      </c>
      <c r="AC48" s="57" t="e">
        <f>VLOOKUP(A48,Enforcements!$C$7:$E$17,3,0)</f>
        <v>#N/A</v>
      </c>
      <c r="AD48" s="58" t="str">
        <f t="shared" si="11"/>
        <v>0136-10</v>
      </c>
      <c r="AE48" s="87" t="str">
        <f t="shared" si="12"/>
        <v>aws s3 cp s3://rtdc.mdm.uploadarchive.raw/RTDC4013/ "%USERPROFILE%\AppData\Local\Temp\OnboardLogs"\RTDC4013\2017-01-10 --exclude "*" --recursive --include "*20170110*" &amp; "%USERPROFILE%\Documents\GitHub\mrs-test-scripts\Headless Mode &amp; Sideloading\WalkAndUnGZ.bat" "%USERPROFILE%\AppData\Local\Temp\OnboardLogs"\RTDC4013\2017-01-10 &amp; aws s3 cp s3://rtdc.mdm.uploadarchive.raw/RTDC4013/ "%USERPROFILE%\AppData\Local\Temp\OnboardLogs"\RTDC4013\2017-01-11 --exclude "*" --recursive --include "*20170111*" &amp; "%USERPROFILE%\Documents\GitHub\mrs-test-scripts\Headless Mode &amp; Sideloading\WalkAndUnGZ.bat" "%USERPROFILE%\AppData\Local\Temp\OnboardLogs"\RTDC4013\2017-01-11</v>
      </c>
      <c r="AF48" s="84" t="str">
        <f t="shared" si="13"/>
        <v>"C:\Program Files (x86)\AstroGrep\AstroGrep.exe" /spath="%USERPROFILE%\AppData\Local\Temp\OnboardLogs" /stypes="app*4013*20170110*" /stext=" 16:.+((SYSTEM_STATE.+slice.+state.+changed )|(ment ac)|(multiple cpu faults)|(system.+state.+changed )|(\[timeout)|(PRM\|1\|D)|(kpr)|(kdp)|(\|lc)|(penalty))" /e /r /s</v>
      </c>
      <c r="AG48" s="1" t="str">
        <f t="shared" si="14"/>
        <v>EC</v>
      </c>
      <c r="AH48" s="88" t="str">
        <f t="shared" si="18"/>
        <v>"%USERPROFILE%\Documents\GitHub\eaglep3\Utilities\RefineRTDCRunTimes.py" --tripid 136-10 --locoid 4013 --swversion DE.1.0.8.0 --startMP 204:232982 --initTime 2017-01-10T08:47:48 --startdatetime 2017-01-10T08:56:13 --delay 0 --endMP 204:139 --enddatetime 2017-01-10T09:35:21 --enforcementcount 0 &gt;&gt;C:\Users\stu\Documents\GitHub\eaglep3-reporting\EC\2017-01-10-refined-times.txt</v>
      </c>
      <c r="AI48" s="115" t="str">
        <f t="shared" si="19"/>
        <v>echo {"issue":{"subject":"","project_id":79,"tracker_id":40,"status_id":1,"priority_id":2,"assigned_to_id":23,"start_date":"2017-01-10","description":"","custom_fields":[{"id":1,"name":"Subdivision","value":"EC"},{"id":4,"name":"Milepost","value":"0.0139"},{"id":17,"name":"Train ID","value":"136-10"},{"id":16,"name":"Locomotive ID","value":"4013"},{"id":130,"name":"Impact","value":""},{"id":150,"name":"Time of Event (Mountain Time)","value":"09:35:21"},{"id":151,"name":"Denver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0"/>
      <c r="AK48" s="50"/>
      <c r="AL48" s="50"/>
      <c r="AM48" s="180" t="str">
        <f t="shared" si="20"/>
        <v>start /low /b %USERPROFILE%\Documents\GitHub\eaglep3\Utilities\DownloadLogsFromS3.py --loco 4013 --day 2017-01-10</v>
      </c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4" t="s">
        <v>511</v>
      </c>
      <c r="B49" s="7">
        <v>4031</v>
      </c>
      <c r="C49" s="22" t="s">
        <v>202</v>
      </c>
      <c r="D49" s="22" t="s">
        <v>684</v>
      </c>
      <c r="E49" s="13">
        <v>42745.338877314818</v>
      </c>
      <c r="F49" s="13">
        <v>42745.343923611108</v>
      </c>
      <c r="G49" s="7">
        <v>1</v>
      </c>
      <c r="H49" s="22" t="s">
        <v>339</v>
      </c>
      <c r="I49" s="13">
        <v>42745.369444444441</v>
      </c>
      <c r="J49" s="7">
        <v>0</v>
      </c>
      <c r="K49" s="105" t="str">
        <f t="shared" si="0"/>
        <v>4031/4032</v>
      </c>
      <c r="L49" s="22" t="str">
        <f>VLOOKUP(A49,'Trips&amp;Operators'!$C$1:$G$99999,5,FALSE)</f>
        <v>DAVIS WENDY</v>
      </c>
      <c r="M49" s="6">
        <f t="shared" si="1"/>
        <v>2.5520833332848269E-2</v>
      </c>
      <c r="N49" s="7">
        <f t="shared" si="23"/>
        <v>36.749999999301508</v>
      </c>
      <c r="O49" s="7"/>
      <c r="P49" s="7"/>
      <c r="Q49" s="23"/>
      <c r="R49" s="23"/>
      <c r="S49" s="32">
        <f t="shared" si="24"/>
        <v>1</v>
      </c>
      <c r="T49" s="47" t="str">
        <f t="shared" si="4"/>
        <v>NorthBound</v>
      </c>
      <c r="U49" s="167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https://search-rtdc-monitor-bjffxe2xuh6vdkpspy63sjmuny.us-east-1.es.amazonaws.com/_plugin/kibana/#/discover/Steve-Slow-Train-Analysis-(2080s-and-2083s)?_g=(refreshInterval:(display:Off,section:0,value:0),time:(from:'2017-01-10 07:07:59-700',mode:absolute,to:'2017-01-10 09:52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49" s="49" t="str">
        <f t="shared" si="6"/>
        <v>N</v>
      </c>
      <c r="X49" s="173">
        <f t="shared" si="22"/>
        <v>1</v>
      </c>
      <c r="Y49" s="64">
        <f t="shared" si="8"/>
        <v>4.8599999999999997E-2</v>
      </c>
      <c r="Z49" s="64">
        <f t="shared" si="9"/>
        <v>23.330400000000001</v>
      </c>
      <c r="AA49" s="64">
        <f t="shared" si="10"/>
        <v>23.2818</v>
      </c>
      <c r="AB49" s="61" t="e">
        <f>VLOOKUP(A49,Enforcements!$C$7:$K$17,8,0)</f>
        <v>#N/A</v>
      </c>
      <c r="AC49" s="57" t="e">
        <f>VLOOKUP(A49,Enforcements!$C$7:$E$17,3,0)</f>
        <v>#N/A</v>
      </c>
      <c r="AD49" s="58" t="str">
        <f t="shared" si="11"/>
        <v>0137-10</v>
      </c>
      <c r="AE49" s="87" t="str">
        <f t="shared" si="12"/>
        <v>aws s3 cp s3://rtdc.mdm.uploadarchive.raw/RTDC4031/ "%USERPROFILE%\AppData\Local\Temp\OnboardLogs"\RTDC4031\2017-01-10 --exclude "*" --recursive --include "*20170110*" &amp; "%USERPROFILE%\Documents\GitHub\mrs-test-scripts\Headless Mode &amp; Sideloading\WalkAndUnGZ.bat" "%USERPROFILE%\AppData\Local\Temp\OnboardLogs"\RTDC4031\2017-01-10 &amp; aws s3 cp s3://rtdc.mdm.uploadarchive.raw/RTDC4031/ "%USERPROFILE%\AppData\Local\Temp\OnboardLogs"\RTDC4031\2017-01-11 --exclude "*" --recursive --include "*20170111*" &amp; "%USERPROFILE%\Documents\GitHub\mrs-test-scripts\Headless Mode &amp; Sideloading\WalkAndUnGZ.bat" "%USERPROFILE%\AppData\Local\Temp\OnboardLogs"\RTDC4031\2017-01-11</v>
      </c>
      <c r="AF49" s="84" t="str">
        <f t="shared" si="13"/>
        <v>"C:\Program Files (x86)\AstroGrep\AstroGrep.exe" /spath="%USERPROFILE%\AppData\Local\Temp\OnboardLogs" /stypes="app*4031*20170110*" /stext=" 15:.+((SYSTEM_STATE.+slice.+state.+changed )|(ment ac)|(multiple cpu faults)|(system.+state.+changed )|(\[timeout)|(PRM\|1\|D)|(kpr)|(kdp)|(\|lc)|(penalty))" /e /r /s</v>
      </c>
      <c r="AG49" s="1" t="str">
        <f t="shared" si="14"/>
        <v>EC</v>
      </c>
      <c r="AH49" s="88" t="str">
        <f t="shared" si="18"/>
        <v>"%USERPROFILE%\Documents\GitHub\eaglep3\Utilities\RefineRTDCRunTimes.py" --tripid 137-10 --locoid 4031 --swversion DE.1.0.8.0 --startMP 204:486 --initTime 2017-01-10T08:07:59 --startdatetime 2017-01-10T08:15:15 --delay 1 --endMP 204:233304 --enddatetime 2017-01-10T08:52:00 --enforcementcount 0 &gt;&gt;C:\Users\stu\Documents\GitHub\eaglep3-reporting\EC\2017-01-10-refined-times.txt</v>
      </c>
      <c r="AI49" s="115" t="str">
        <f t="shared" si="19"/>
        <v>echo {"issue":{"subject":"","project_id":79,"tracker_id":40,"status_id":1,"priority_id":2,"assigned_to_id":23,"start_date":"2017-01-10","description":"","custom_fields":[{"id":1,"name":"Subdivision","value":"EC"},{"id":4,"name":"Milepost","value":"23.3304"},{"id":17,"name":"Train ID","value":"137-10"},{"id":16,"name":"Locomotive ID","value":"4031"},{"id":130,"name":"Impact","value":""},{"id":150,"name":"Time of Event (Mountain Time)","value":"08:52:00"},{"id":151,"name":"Denver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0"/>
      <c r="AK49" s="50"/>
      <c r="AL49" s="50"/>
      <c r="AM49" s="180" t="str">
        <f t="shared" si="20"/>
        <v>start /low /b %USERPROFILE%\Documents\GitHub\eaglep3\Utilities\DownloadLogsFromS3.py --loco 4031 --day 2017-01-10</v>
      </c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4" t="s">
        <v>521</v>
      </c>
      <c r="B50" s="7">
        <v>4032</v>
      </c>
      <c r="C50" s="22" t="s">
        <v>202</v>
      </c>
      <c r="D50" s="22" t="s">
        <v>340</v>
      </c>
      <c r="E50" s="13">
        <v>42745.378807870373</v>
      </c>
      <c r="F50" s="13">
        <v>42745.382800925923</v>
      </c>
      <c r="G50" s="7">
        <v>1</v>
      </c>
      <c r="H50" s="22" t="s">
        <v>345</v>
      </c>
      <c r="I50" s="13">
        <v>42745.411041666666</v>
      </c>
      <c r="J50" s="7">
        <v>0</v>
      </c>
      <c r="K50" s="105" t="str">
        <f t="shared" si="0"/>
        <v>4031/4032</v>
      </c>
      <c r="L50" s="22" t="str">
        <f>VLOOKUP(A50,'Trips&amp;Operators'!$C$1:$G$99999,5,FALSE)</f>
        <v>DAVIS WENDY</v>
      </c>
      <c r="M50" s="6">
        <f t="shared" si="1"/>
        <v>2.8240740743058268E-2</v>
      </c>
      <c r="N50" s="7">
        <f t="shared" si="23"/>
        <v>40.666666670003906</v>
      </c>
      <c r="O50" s="7"/>
      <c r="P50" s="7"/>
      <c r="Q50" s="23"/>
      <c r="R50" s="23"/>
      <c r="S50" s="32">
        <f t="shared" si="24"/>
        <v>1</v>
      </c>
      <c r="T50" s="47" t="str">
        <f t="shared" si="4"/>
        <v>Southbound</v>
      </c>
      <c r="U50" s="167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https://search-rtdc-monitor-bjffxe2xuh6vdkpspy63sjmuny.us-east-1.es.amazonaws.com/_plugin/kibana/#/discover/Steve-Slow-Train-Analysis-(2080s-and-2083s)?_g=(refreshInterval:(display:Off,section:0,value:0),time:(from:'2017-01-10 08:05:29-700',mode:absolute,to:'2017-01-10 10:51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50" s="49" t="str">
        <f t="shared" si="6"/>
        <v>N</v>
      </c>
      <c r="X50" s="173">
        <f t="shared" si="22"/>
        <v>1</v>
      </c>
      <c r="Y50" s="64">
        <f t="shared" si="8"/>
        <v>23.298500000000001</v>
      </c>
      <c r="Z50" s="64">
        <f t="shared" si="9"/>
        <v>1.61E-2</v>
      </c>
      <c r="AA50" s="64">
        <f t="shared" si="10"/>
        <v>23.282399999999999</v>
      </c>
      <c r="AB50" s="61" t="e">
        <f>VLOOKUP(A50,Enforcements!$C$7:$K$17,8,0)</f>
        <v>#N/A</v>
      </c>
      <c r="AC50" s="57" t="e">
        <f>VLOOKUP(A50,Enforcements!$C$7:$E$17,3,0)</f>
        <v>#N/A</v>
      </c>
      <c r="AD50" s="58" t="str">
        <f t="shared" si="11"/>
        <v>0138-10</v>
      </c>
      <c r="AE50" s="87" t="str">
        <f t="shared" si="12"/>
        <v>aws s3 cp s3://rtdc.mdm.uploadarchive.raw/RTDC4032/ "%USERPROFILE%\AppData\Local\Temp\OnboardLogs"\RTDC4032\2017-01-10 --exclude "*" --recursive --include "*20170110*" &amp; "%USERPROFILE%\Documents\GitHub\mrs-test-scripts\Headless Mode &amp; Sideloading\WalkAndUnGZ.bat" "%USERPROFILE%\AppData\Local\Temp\OnboardLogs"\RTDC4032\2017-01-10 &amp; aws s3 cp s3://rtdc.mdm.uploadarchive.raw/RTDC4032/ "%USERPROFILE%\AppData\Local\Temp\OnboardLogs"\RTDC4032\2017-01-11 --exclude "*" --recursive --include "*20170111*" &amp; "%USERPROFILE%\Documents\GitHub\mrs-test-scripts\Headless Mode &amp; Sideloading\WalkAndUnGZ.bat" "%USERPROFILE%\AppData\Local\Temp\OnboardLogs"\RTDC4032\2017-01-11</v>
      </c>
      <c r="AF50" s="84" t="str">
        <f t="shared" si="13"/>
        <v>"C:\Program Files (x86)\AstroGrep\AstroGrep.exe" /spath="%USERPROFILE%\AppData\Local\Temp\OnboardLogs" /stypes="app*4032*20170110*" /stext=" 16:.+((SYSTEM_STATE.+slice.+state.+changed )|(ment ac)|(multiple cpu faults)|(system.+state.+changed )|(\[timeout)|(PRM\|1\|D)|(kpr)|(kdp)|(\|lc)|(penalty))" /e /r /s</v>
      </c>
      <c r="AG50" s="1" t="str">
        <f t="shared" si="14"/>
        <v>EC</v>
      </c>
      <c r="AH50" s="88" t="str">
        <f t="shared" si="18"/>
        <v>"%USERPROFILE%\Documents\GitHub\eaglep3\Utilities\RefineRTDCRunTimes.py" --tripid 138-10 --locoid 4032 --swversion DE.1.0.8.0 --startMP 204:232985 --initTime 2017-01-10T09:05:29 --startdatetime 2017-01-10T09:11:14 --delay 1 --endMP 204:161 --enddatetime 2017-01-10T09:51:54 --enforcementcount 0 &gt;&gt;C:\Users\stu\Documents\GitHub\eaglep3-reporting\EC\2017-01-10-refined-times.txt</v>
      </c>
      <c r="AI50" s="115" t="str">
        <f t="shared" si="19"/>
        <v>echo {"issue":{"subject":"","project_id":79,"tracker_id":40,"status_id":1,"priority_id":2,"assigned_to_id":23,"start_date":"2017-01-10","description":"","custom_fields":[{"id":1,"name":"Subdivision","value":"EC"},{"id":4,"name":"Milepost","value":"0.0161"},{"id":17,"name":"Train ID","value":"138-10"},{"id":16,"name":"Locomotive ID","value":"4032"},{"id":130,"name":"Impact","value":""},{"id":150,"name":"Time of Event (Mountain Time)","value":"09:51:54"},{"id":151,"name":"Denver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0"/>
      <c r="AK50" s="50"/>
      <c r="AL50" s="50"/>
      <c r="AM50" s="180" t="str">
        <f t="shared" si="20"/>
        <v>start /low /b %USERPROFILE%\Documents\GitHub\eaglep3\Utilities\DownloadLogsFromS3.py --loco 4032 --day 2017-01-10</v>
      </c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4" t="s">
        <v>514</v>
      </c>
      <c r="B51" s="7">
        <v>4016</v>
      </c>
      <c r="C51" s="22" t="s">
        <v>202</v>
      </c>
      <c r="D51" s="22" t="s">
        <v>193</v>
      </c>
      <c r="E51" s="13">
        <v>42745.349212962959</v>
      </c>
      <c r="F51" s="13">
        <v>42745.354467592595</v>
      </c>
      <c r="G51" s="7">
        <v>1</v>
      </c>
      <c r="H51" s="22" t="s">
        <v>685</v>
      </c>
      <c r="I51" s="13">
        <v>42745.378923611112</v>
      </c>
      <c r="J51" s="7">
        <v>0</v>
      </c>
      <c r="K51" s="105" t="str">
        <f t="shared" si="0"/>
        <v>4015/4016</v>
      </c>
      <c r="L51" s="22" t="str">
        <f>VLOOKUP(A51,'Trips&amp;Operators'!$C$1:$G$99999,5,FALSE)</f>
        <v>LOZA FIDEL</v>
      </c>
      <c r="M51" s="6">
        <f t="shared" si="1"/>
        <v>2.4456018516502809E-2</v>
      </c>
      <c r="N51" s="7">
        <f t="shared" si="23"/>
        <v>35.216666663764045</v>
      </c>
      <c r="O51" s="7"/>
      <c r="P51" s="7"/>
      <c r="Q51" s="23"/>
      <c r="R51" s="23"/>
      <c r="S51" s="32">
        <f t="shared" si="24"/>
        <v>1</v>
      </c>
      <c r="T51" s="47" t="str">
        <f t="shared" si="4"/>
        <v>NorthBound</v>
      </c>
      <c r="U51" s="167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https://search-rtdc-monitor-bjffxe2xuh6vdkpspy63sjmuny.us-east-1.es.amazonaws.com/_plugin/kibana/#/discover/Steve-Slow-Train-Analysis-(2080s-and-2083s)?_g=(refreshInterval:(display:Off,section:0,value:0),time:(from:'2017-01-10 07:22:52-700',mode:absolute,to:'2017-01-10 10:05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51" s="49" t="str">
        <f t="shared" si="6"/>
        <v>N</v>
      </c>
      <c r="X51" s="173">
        <f t="shared" si="22"/>
        <v>1</v>
      </c>
      <c r="Y51" s="64">
        <f t="shared" si="8"/>
        <v>4.5100000000000001E-2</v>
      </c>
      <c r="Z51" s="64">
        <f t="shared" si="9"/>
        <v>23.330500000000001</v>
      </c>
      <c r="AA51" s="64">
        <f t="shared" si="10"/>
        <v>23.285399999999999</v>
      </c>
      <c r="AB51" s="61" t="e">
        <f>VLOOKUP(A51,Enforcements!$C$7:$K$17,8,0)</f>
        <v>#N/A</v>
      </c>
      <c r="AC51" s="57" t="e">
        <f>VLOOKUP(A51,Enforcements!$C$7:$E$17,3,0)</f>
        <v>#N/A</v>
      </c>
      <c r="AD51" s="58" t="str">
        <f t="shared" si="11"/>
        <v>0139-10</v>
      </c>
      <c r="AE51" s="87" t="str">
        <f t="shared" si="12"/>
        <v>aws s3 cp s3://rtdc.mdm.uploadarchive.raw/RTDC4016/ "%USERPROFILE%\AppData\Local\Temp\OnboardLogs"\RTDC4016\2017-01-10 --exclude "*" --recursive --include "*20170110*" &amp; "%USERPROFILE%\Documents\GitHub\mrs-test-scripts\Headless Mode &amp; Sideloading\WalkAndUnGZ.bat" "%USERPROFILE%\AppData\Local\Temp\OnboardLogs"\RTDC4016\2017-01-10 &amp; aws s3 cp s3://rtdc.mdm.uploadarchive.raw/RTDC4016/ "%USERPROFILE%\AppData\Local\Temp\OnboardLogs"\RTDC4016\2017-01-11 --exclude "*" --recursive --include "*20170111*" &amp; "%USERPROFILE%\Documents\GitHub\mrs-test-scripts\Headless Mode &amp; Sideloading\WalkAndUnGZ.bat" "%USERPROFILE%\AppData\Local\Temp\OnboardLogs"\RTDC4016\2017-01-11</v>
      </c>
      <c r="AF51" s="84" t="str">
        <f t="shared" si="13"/>
        <v>"C:\Program Files (x86)\AstroGrep\AstroGrep.exe" /spath="%USERPROFILE%\AppData\Local\Temp\OnboardLogs" /stypes="app*4016*20170110*" /stext=" 16:.+((SYSTEM_STATE.+slice.+state.+changed )|(ment ac)|(multiple cpu faults)|(system.+state.+changed )|(\[timeout)|(PRM\|1\|D)|(kpr)|(kdp)|(\|lc)|(penalty))" /e /r /s</v>
      </c>
      <c r="AG51" s="1" t="str">
        <f t="shared" si="14"/>
        <v>EC</v>
      </c>
      <c r="AH51" s="88" t="str">
        <f t="shared" si="18"/>
        <v>"%USERPROFILE%\Documents\GitHub\eaglep3\Utilities\RefineRTDCRunTimes.py" --tripid 139-10 --locoid 4016 --swversion DE.1.0.8.0 --startMP 204:451 --initTime 2017-01-10T08:22:52 --startdatetime 2017-01-10T08:30:26 --delay 1 --endMP 204:233305 --enddatetime 2017-01-10T09:05:39 --enforcementcount 0 &gt;&gt;C:\Users\stu\Documents\GitHub\eaglep3-reporting\EC\2017-01-10-refined-times.txt</v>
      </c>
      <c r="AI51" s="115" t="str">
        <f t="shared" si="19"/>
        <v>echo {"issue":{"subject":"","project_id":79,"tracker_id":40,"status_id":1,"priority_id":2,"assigned_to_id":23,"start_date":"2017-01-10","description":"","custom_fields":[{"id":1,"name":"Subdivision","value":"EC"},{"id":4,"name":"Milepost","value":"23.3305"},{"id":17,"name":"Train ID","value":"139-10"},{"id":16,"name":"Locomotive ID","value":"4016"},{"id":130,"name":"Impact","value":""},{"id":150,"name":"Time of Event (Mountain Time)","value":"09:05:39"},{"id":151,"name":"Denver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0"/>
      <c r="AK51" s="50"/>
      <c r="AL51" s="50"/>
      <c r="AM51" s="180" t="str">
        <f t="shared" si="20"/>
        <v>start /low /b %USERPROFILE%\Documents\GitHub\eaglep3\Utilities\DownloadLogsFromS3.py --loco 4016 --day 2017-01-10</v>
      </c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4" t="s">
        <v>524</v>
      </c>
      <c r="B52" s="7">
        <v>4015</v>
      </c>
      <c r="C52" s="22" t="s">
        <v>202</v>
      </c>
      <c r="D52" s="22" t="s">
        <v>350</v>
      </c>
      <c r="E52" s="13">
        <v>42745.390081018515</v>
      </c>
      <c r="F52" s="13">
        <v>42745.393310185187</v>
      </c>
      <c r="G52" s="7">
        <v>1</v>
      </c>
      <c r="H52" s="22" t="s">
        <v>273</v>
      </c>
      <c r="I52" s="13">
        <v>42745.419733796298</v>
      </c>
      <c r="J52" s="7">
        <v>0</v>
      </c>
      <c r="K52" s="105" t="str">
        <f t="shared" si="0"/>
        <v>4015/4016</v>
      </c>
      <c r="L52" s="22" t="str">
        <f>VLOOKUP(A52,'Trips&amp;Operators'!$C$1:$G$99999,5,FALSE)</f>
        <v>LOZA FIDEL</v>
      </c>
      <c r="M52" s="6">
        <f t="shared" si="1"/>
        <v>2.6423611110658385E-2</v>
      </c>
      <c r="N52" s="7">
        <f t="shared" si="23"/>
        <v>38.049999999348074</v>
      </c>
      <c r="O52" s="7"/>
      <c r="P52" s="7"/>
      <c r="Q52" s="23"/>
      <c r="R52" s="23"/>
      <c r="S52" s="32">
        <f t="shared" si="24"/>
        <v>1</v>
      </c>
      <c r="T52" s="47" t="str">
        <f t="shared" si="4"/>
        <v>Southbound</v>
      </c>
      <c r="U52" s="167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https://search-rtdc-monitor-bjffxe2xuh6vdkpspy63sjmuny.us-east-1.es.amazonaws.com/_plugin/kibana/#/discover/Steve-Slow-Train-Analysis-(2080s-and-2083s)?_g=(refreshInterval:(display:Off,section:0,value:0),time:(from:'2017-01-10 08:21:43-700',mode:absolute,to:'2017-01-10 11:04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52" s="49" t="str">
        <f t="shared" si="6"/>
        <v>N</v>
      </c>
      <c r="X52" s="173">
        <f t="shared" si="22"/>
        <v>1</v>
      </c>
      <c r="Y52" s="64">
        <f t="shared" si="8"/>
        <v>23.297999999999998</v>
      </c>
      <c r="Z52" s="64">
        <f t="shared" si="9"/>
        <v>1.5599999999999999E-2</v>
      </c>
      <c r="AA52" s="64">
        <f t="shared" si="10"/>
        <v>23.282399999999999</v>
      </c>
      <c r="AB52" s="61" t="e">
        <f>VLOOKUP(A52,Enforcements!$C$7:$K$17,8,0)</f>
        <v>#N/A</v>
      </c>
      <c r="AC52" s="57" t="e">
        <f>VLOOKUP(A52,Enforcements!$C$7:$E$17,3,0)</f>
        <v>#N/A</v>
      </c>
      <c r="AD52" s="58" t="str">
        <f t="shared" si="11"/>
        <v>0140-10</v>
      </c>
      <c r="AE52" s="87" t="str">
        <f t="shared" si="12"/>
        <v>aws s3 cp s3://rtdc.mdm.uploadarchive.raw/RTDC4015/ "%USERPROFILE%\AppData\Local\Temp\OnboardLogs"\RTDC4015\2017-01-10 --exclude "*" --recursive --include "*20170110*" &amp; "%USERPROFILE%\Documents\GitHub\mrs-test-scripts\Headless Mode &amp; Sideloading\WalkAndUnGZ.bat" "%USERPROFILE%\AppData\Local\Temp\OnboardLogs"\RTDC4015\2017-01-10 &amp; aws s3 cp s3://rtdc.mdm.uploadarchive.raw/RTDC4015/ "%USERPROFILE%\AppData\Local\Temp\OnboardLogs"\RTDC4015\2017-01-11 --exclude "*" --recursive --include "*20170111*" &amp; "%USERPROFILE%\Documents\GitHub\mrs-test-scripts\Headless Mode &amp; Sideloading\WalkAndUnGZ.bat" "%USERPROFILE%\AppData\Local\Temp\OnboardLogs"\RTDC4015\2017-01-11</v>
      </c>
      <c r="AF52" s="84" t="str">
        <f t="shared" si="13"/>
        <v>"C:\Program Files (x86)\AstroGrep\AstroGrep.exe" /spath="%USERPROFILE%\AppData\Local\Temp\OnboardLogs" /stypes="app*4015*20170110*" /stext=" 17:.+((SYSTEM_STATE.+slice.+state.+changed )|(ment ac)|(multiple cpu faults)|(system.+state.+changed )|(\[timeout)|(PRM\|1\|D)|(kpr)|(kdp)|(\|lc)|(penalty))" /e /r /s</v>
      </c>
      <c r="AG52" s="1" t="str">
        <f t="shared" si="14"/>
        <v>EC</v>
      </c>
      <c r="AH52" s="88" t="str">
        <f t="shared" si="18"/>
        <v>"%USERPROFILE%\Documents\GitHub\eaglep3\Utilities\RefineRTDCRunTimes.py" --tripid 140-10 --locoid 4015 --swversion DE.1.0.8.0 --startMP 204:232980 --initTime 2017-01-10T09:21:43 --startdatetime 2017-01-10T09:26:22 --delay 1 --endMP 204:156 --enddatetime 2017-01-10T10:04:25 --enforcementcount 0 &gt;&gt;C:\Users\stu\Documents\GitHub\eaglep3-reporting\EC\2017-01-10-refined-times.txt</v>
      </c>
      <c r="AI52" s="115" t="str">
        <f t="shared" si="19"/>
        <v>echo {"issue":{"subject":"","project_id":79,"tracker_id":40,"status_id":1,"priority_id":2,"assigned_to_id":23,"start_date":"2017-01-10","description":"","custom_fields":[{"id":1,"name":"Subdivision","value":"EC"},{"id":4,"name":"Milepost","value":"0.0156"},{"id":17,"name":"Train ID","value":"140-10"},{"id":16,"name":"Locomotive ID","value":"4015"},{"id":130,"name":"Impact","value":""},{"id":150,"name":"Time of Event (Mountain Time)","value":"10:04:25"},{"id":151,"name":"Denver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0"/>
      <c r="AK52" s="50"/>
      <c r="AL52" s="50"/>
      <c r="AM52" s="180" t="str">
        <f t="shared" si="20"/>
        <v>start /low /b %USERPROFILE%\Documents\GitHub\eaglep3\Utilities\DownloadLogsFromS3.py --loco 4015 --day 2017-01-10</v>
      </c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4" t="s">
        <v>518</v>
      </c>
      <c r="B53" s="7">
        <v>4007</v>
      </c>
      <c r="C53" s="22" t="s">
        <v>202</v>
      </c>
      <c r="D53" s="22" t="s">
        <v>686</v>
      </c>
      <c r="E53" s="13">
        <v>42745.362476851849</v>
      </c>
      <c r="F53" s="13">
        <v>42745.364861111113</v>
      </c>
      <c r="G53" s="7">
        <v>1</v>
      </c>
      <c r="H53" s="22" t="s">
        <v>388</v>
      </c>
      <c r="I53" s="13">
        <v>42745.390439814815</v>
      </c>
      <c r="J53" s="7">
        <v>0</v>
      </c>
      <c r="K53" s="105" t="str">
        <f t="shared" si="0"/>
        <v>4007/4008</v>
      </c>
      <c r="L53" s="22" t="str">
        <f>VLOOKUP(A53,'Trips&amp;Operators'!$C$1:$G$99999,5,FALSE)</f>
        <v>CUSHING HARRY</v>
      </c>
      <c r="M53" s="6">
        <f t="shared" si="1"/>
        <v>2.5578703702194616E-2</v>
      </c>
      <c r="N53" s="7">
        <f t="shared" si="23"/>
        <v>36.833333331160247</v>
      </c>
      <c r="O53" s="7"/>
      <c r="P53" s="7"/>
      <c r="Q53" s="23"/>
      <c r="R53" s="23"/>
      <c r="S53" s="32">
        <f t="shared" si="24"/>
        <v>1</v>
      </c>
      <c r="T53" s="47" t="str">
        <f t="shared" si="4"/>
        <v>NorthBound</v>
      </c>
      <c r="U53" s="167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https://search-rtdc-monitor-bjffxe2xuh6vdkpspy63sjmuny.us-east-1.es.amazonaws.com/_plugin/kibana/#/discover/Steve-Slow-Train-Analysis-(2080s-and-2083s)?_g=(refreshInterval:(display:Off,section:0,value:0),time:(from:'2017-01-10 07:41:58-700',mode:absolute,to:'2017-01-10 10:22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53" s="49" t="str">
        <f t="shared" si="6"/>
        <v>N</v>
      </c>
      <c r="X53" s="173">
        <f t="shared" si="22"/>
        <v>1</v>
      </c>
      <c r="Y53" s="64">
        <f t="shared" si="8"/>
        <v>4.5999999999999999E-2</v>
      </c>
      <c r="Z53" s="64">
        <f t="shared" si="9"/>
        <v>23.332100000000001</v>
      </c>
      <c r="AA53" s="64">
        <f t="shared" si="10"/>
        <v>23.286100000000001</v>
      </c>
      <c r="AB53" s="61" t="e">
        <f>VLOOKUP(A53,Enforcements!$C$7:$K$17,8,0)</f>
        <v>#N/A</v>
      </c>
      <c r="AC53" s="57" t="e">
        <f>VLOOKUP(A53,Enforcements!$C$7:$E$17,3,0)</f>
        <v>#N/A</v>
      </c>
      <c r="AD53" s="58" t="str">
        <f t="shared" si="11"/>
        <v>0141-10</v>
      </c>
      <c r="AE53" s="87" t="str">
        <f t="shared" si="12"/>
        <v>aws s3 cp s3://rtdc.mdm.uploadarchive.raw/RTDC4007/ "%USERPROFILE%\AppData\Local\Temp\OnboardLogs"\RTDC4007\2017-01-10 --exclude "*" --recursive --include "*20170110*" &amp; "%USERPROFILE%\Documents\GitHub\mrs-test-scripts\Headless Mode &amp; Sideloading\WalkAndUnGZ.bat" "%USERPROFILE%\AppData\Local\Temp\OnboardLogs"\RTDC4007\2017-01-10 &amp; aws s3 cp s3://rtdc.mdm.uploadarchive.raw/RTDC4007/ "%USERPROFILE%\AppData\Local\Temp\OnboardLogs"\RTDC4007\2017-01-11 --exclude "*" --recursive --include "*20170111*" &amp; "%USERPROFILE%\Documents\GitHub\mrs-test-scripts\Headless Mode &amp; Sideloading\WalkAndUnGZ.bat" "%USERPROFILE%\AppData\Local\Temp\OnboardLogs"\RTDC4007\2017-01-11</v>
      </c>
      <c r="AF53" s="84" t="str">
        <f t="shared" si="13"/>
        <v>"C:\Program Files (x86)\AstroGrep\AstroGrep.exe" /spath="%USERPROFILE%\AppData\Local\Temp\OnboardLogs" /stypes="app*4007*20170110*" /stext=" 16:.+((SYSTEM_STATE.+slice.+state.+changed )|(ment ac)|(multiple cpu faults)|(system.+state.+changed )|(\[timeout)|(PRM\|1\|D)|(kpr)|(kdp)|(\|lc)|(penalty))" /e /r /s</v>
      </c>
      <c r="AG53" s="1" t="str">
        <f t="shared" si="14"/>
        <v>EC</v>
      </c>
      <c r="AH53" s="88" t="str">
        <f t="shared" si="18"/>
        <v>"%USERPROFILE%\Documents\GitHub\eaglep3\Utilities\RefineRTDCRunTimes.py" --tripid 141-10 --locoid 4007 --swversion DE.1.0.8.0 --startMP 204:460 --initTime 2017-01-10T08:41:58 --startdatetime 2017-01-10T08:45:24 --delay 1 --endMP 204:233321 --enddatetime 2017-01-10T09:22:14 --enforcementcount 0 &gt;&gt;C:\Users\stu\Documents\GitHub\eaglep3-reporting\EC\2017-01-10-refined-times.txt</v>
      </c>
      <c r="AI53" s="115" t="str">
        <f t="shared" si="19"/>
        <v>echo {"issue":{"subject":"","project_id":79,"tracker_id":40,"status_id":1,"priority_id":2,"assigned_to_id":23,"start_date":"2017-01-10","description":"","custom_fields":[{"id":1,"name":"Subdivision","value":"EC"},{"id":4,"name":"Milepost","value":"23.3321"},{"id":17,"name":"Train ID","value":"141-10"},{"id":16,"name":"Locomotive ID","value":"4007"},{"id":130,"name":"Impact","value":""},{"id":150,"name":"Time of Event (Mountain Time)","value":"09:22:14"},{"id":151,"name":"Denver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0"/>
      <c r="AK53" s="50"/>
      <c r="AL53" s="50"/>
      <c r="AM53" s="180" t="str">
        <f t="shared" si="20"/>
        <v>start /low /b %USERPROFILE%\Documents\GitHub\eaglep3\Utilities\DownloadLogsFromS3.py --loco 4007 --day 2017-01-10</v>
      </c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4" t="s">
        <v>525</v>
      </c>
      <c r="B54" s="7">
        <v>4008</v>
      </c>
      <c r="C54" s="22" t="s">
        <v>202</v>
      </c>
      <c r="D54" s="22" t="s">
        <v>310</v>
      </c>
      <c r="E54" s="13">
        <v>42745.399317129632</v>
      </c>
      <c r="F54" s="13">
        <v>42745.403784722221</v>
      </c>
      <c r="G54" s="7">
        <v>1</v>
      </c>
      <c r="H54" s="22" t="s">
        <v>352</v>
      </c>
      <c r="I54" s="13">
        <v>42745.430289351854</v>
      </c>
      <c r="J54" s="7">
        <v>0</v>
      </c>
      <c r="K54" s="105" t="str">
        <f t="shared" si="0"/>
        <v>4007/4008</v>
      </c>
      <c r="L54" s="22" t="str">
        <f>VLOOKUP(A54,'Trips&amp;Operators'!$C$1:$G$99999,5,FALSE)</f>
        <v>CUSHING HARRY</v>
      </c>
      <c r="M54" s="6">
        <f t="shared" si="1"/>
        <v>2.6504629633564036E-2</v>
      </c>
      <c r="N54" s="7">
        <f t="shared" si="23"/>
        <v>38.166666672332212</v>
      </c>
      <c r="O54" s="7"/>
      <c r="P54" s="7"/>
      <c r="Q54" s="23"/>
      <c r="R54" s="23"/>
      <c r="S54" s="32">
        <f t="shared" si="24"/>
        <v>1</v>
      </c>
      <c r="T54" s="47" t="str">
        <f t="shared" si="4"/>
        <v>Southbound</v>
      </c>
      <c r="U54" s="167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https://search-rtdc-monitor-bjffxe2xuh6vdkpspy63sjmuny.us-east-1.es.amazonaws.com/_plugin/kibana/#/discover/Steve-Slow-Train-Analysis-(2080s-and-2083s)?_g=(refreshInterval:(display:Off,section:0,value:0),time:(from:'2017-01-10 08:35:01-700',mode:absolute,to:'2017-01-10 11:19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54" s="49" t="str">
        <f t="shared" si="6"/>
        <v>N</v>
      </c>
      <c r="X54" s="173">
        <f t="shared" si="22"/>
        <v>1</v>
      </c>
      <c r="Y54" s="64">
        <f t="shared" si="8"/>
        <v>23.299299999999999</v>
      </c>
      <c r="Z54" s="64">
        <f t="shared" si="9"/>
        <v>1.2699999999999999E-2</v>
      </c>
      <c r="AA54" s="64">
        <f t="shared" si="10"/>
        <v>23.2866</v>
      </c>
      <c r="AB54" s="61" t="e">
        <f>VLOOKUP(A54,Enforcements!$C$7:$K$17,8,0)</f>
        <v>#N/A</v>
      </c>
      <c r="AC54" s="57" t="e">
        <f>VLOOKUP(A54,Enforcements!$C$7:$E$17,3,0)</f>
        <v>#N/A</v>
      </c>
      <c r="AD54" s="58" t="str">
        <f t="shared" si="11"/>
        <v>0142-10</v>
      </c>
      <c r="AE54" s="87" t="str">
        <f t="shared" si="12"/>
        <v>aws s3 cp s3://rtdc.mdm.uploadarchive.raw/RTDC4008/ "%USERPROFILE%\AppData\Local\Temp\OnboardLogs"\RTDC4008\2017-01-10 --exclude "*" --recursive --include "*20170110*" &amp; "%USERPROFILE%\Documents\GitHub\mrs-test-scripts\Headless Mode &amp; Sideloading\WalkAndUnGZ.bat" "%USERPROFILE%\AppData\Local\Temp\OnboardLogs"\RTDC4008\2017-01-10 &amp; aws s3 cp s3://rtdc.mdm.uploadarchive.raw/RTDC4008/ "%USERPROFILE%\AppData\Local\Temp\OnboardLogs"\RTDC4008\2017-01-11 --exclude "*" --recursive --include "*20170111*" &amp; "%USERPROFILE%\Documents\GitHub\mrs-test-scripts\Headless Mode &amp; Sideloading\WalkAndUnGZ.bat" "%USERPROFILE%\AppData\Local\Temp\OnboardLogs"\RTDC4008\2017-01-11</v>
      </c>
      <c r="AF54" s="84" t="str">
        <f t="shared" si="13"/>
        <v>"C:\Program Files (x86)\AstroGrep\AstroGrep.exe" /spath="%USERPROFILE%\AppData\Local\Temp\OnboardLogs" /stypes="app*4008*20170110*" /stext=" 17:.+((SYSTEM_STATE.+slice.+state.+changed )|(ment ac)|(multiple cpu faults)|(system.+state.+changed )|(\[timeout)|(PRM\|1\|D)|(kpr)|(kdp)|(\|lc)|(penalty))" /e /r /s</v>
      </c>
      <c r="AG54" s="1" t="str">
        <f t="shared" si="14"/>
        <v>EC</v>
      </c>
      <c r="AH54" s="88" t="str">
        <f t="shared" si="18"/>
        <v>"%USERPROFILE%\Documents\GitHub\eaglep3\Utilities\RefineRTDCRunTimes.py" --tripid 142-10 --locoid 4008 --swversion DE.1.0.8.0 --startMP 204:232993 --initTime 2017-01-10T09:35:01 --startdatetime 2017-01-10T09:41:27 --delay 1 --endMP 204:127 --enddatetime 2017-01-10T10:19:37 --enforcementcount 0 &gt;&gt;C:\Users\stu\Documents\GitHub\eaglep3-reporting\EC\2017-01-10-refined-times.txt</v>
      </c>
      <c r="AI54" s="115" t="str">
        <f t="shared" si="19"/>
        <v>echo {"issue":{"subject":"","project_id":79,"tracker_id":40,"status_id":1,"priority_id":2,"assigned_to_id":23,"start_date":"2017-01-10","description":"","custom_fields":[{"id":1,"name":"Subdivision","value":"EC"},{"id":4,"name":"Milepost","value":"0.0127"},{"id":17,"name":"Train ID","value":"142-10"},{"id":16,"name":"Locomotive ID","value":"4008"},{"id":130,"name":"Impact","value":""},{"id":150,"name":"Time of Event (Mountain Time)","value":"10:19:37"},{"id":151,"name":"Denver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0"/>
      <c r="AK54" s="50"/>
      <c r="AL54" s="50"/>
      <c r="AM54" s="180" t="str">
        <f t="shared" si="20"/>
        <v>start /low /b %USERPROFILE%\Documents\GitHub\eaglep3\Utilities\DownloadLogsFromS3.py --loco 4008 --day 2017-01-10</v>
      </c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4" t="s">
        <v>520</v>
      </c>
      <c r="B55" s="7">
        <v>4018</v>
      </c>
      <c r="C55" s="22" t="s">
        <v>202</v>
      </c>
      <c r="D55" s="22" t="s">
        <v>303</v>
      </c>
      <c r="E55" s="13">
        <v>42745.371319444443</v>
      </c>
      <c r="F55" s="13">
        <v>42745.375185185185</v>
      </c>
      <c r="G55" s="7">
        <v>1</v>
      </c>
      <c r="H55" s="22" t="s">
        <v>309</v>
      </c>
      <c r="I55" s="13">
        <v>42745.400046296294</v>
      </c>
      <c r="J55" s="7">
        <v>0</v>
      </c>
      <c r="K55" s="105" t="str">
        <f t="shared" si="0"/>
        <v>4017/4018</v>
      </c>
      <c r="L55" s="22" t="str">
        <f>VLOOKUP(A55,'Trips&amp;Operators'!$C$1:$G$99999,5,FALSE)</f>
        <v>DUNCAN SHEILA</v>
      </c>
      <c r="M55" s="6">
        <f t="shared" si="1"/>
        <v>2.4861111109203193E-2</v>
      </c>
      <c r="N55" s="7">
        <f t="shared" si="23"/>
        <v>35.799999997252598</v>
      </c>
      <c r="O55" s="7"/>
      <c r="P55" s="7"/>
      <c r="Q55" s="23"/>
      <c r="R55" s="23"/>
      <c r="S55" s="32">
        <f t="shared" si="24"/>
        <v>1</v>
      </c>
      <c r="T55" s="47" t="str">
        <f t="shared" si="4"/>
        <v>NorthBound</v>
      </c>
      <c r="U55" s="167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https://search-rtdc-monitor-bjffxe2xuh6vdkpspy63sjmuny.us-east-1.es.amazonaws.com/_plugin/kibana/#/discover/Steve-Slow-Train-Analysis-(2080s-and-2083s)?_g=(refreshInterval:(display:Off,section:0,value:0),time:(from:'2017-01-10 07:54:42-700',mode:absolute,to:'2017-01-10 10:36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55" s="49" t="str">
        <f t="shared" si="6"/>
        <v>N</v>
      </c>
      <c r="X55" s="173">
        <f t="shared" si="22"/>
        <v>1</v>
      </c>
      <c r="Y55" s="64">
        <f t="shared" si="8"/>
        <v>4.6899999999999997E-2</v>
      </c>
      <c r="Z55" s="64">
        <f t="shared" si="9"/>
        <v>23.330100000000002</v>
      </c>
      <c r="AA55" s="64">
        <f t="shared" si="10"/>
        <v>23.283200000000001</v>
      </c>
      <c r="AB55" s="61" t="e">
        <f>VLOOKUP(A55,Enforcements!$C$7:$K$17,8,0)</f>
        <v>#N/A</v>
      </c>
      <c r="AC55" s="57" t="e">
        <f>VLOOKUP(A55,Enforcements!$C$7:$E$17,3,0)</f>
        <v>#N/A</v>
      </c>
      <c r="AD55" s="58" t="str">
        <f t="shared" si="11"/>
        <v>0143-10</v>
      </c>
      <c r="AE55" s="87" t="str">
        <f t="shared" si="12"/>
        <v>aws s3 cp s3://rtdc.mdm.uploadarchive.raw/RTDC4018/ "%USERPROFILE%\AppData\Local\Temp\OnboardLogs"\RTDC4018\2017-01-10 --exclude "*" --recursive --include "*20170110*" &amp; "%USERPROFILE%\Documents\GitHub\mrs-test-scripts\Headless Mode &amp; Sideloading\WalkAndUnGZ.bat" "%USERPROFILE%\AppData\Local\Temp\OnboardLogs"\RTDC4018\2017-01-10 &amp; aws s3 cp s3://rtdc.mdm.uploadarchive.raw/RTDC4018/ "%USERPROFILE%\AppData\Local\Temp\OnboardLogs"\RTDC4018\2017-01-11 --exclude "*" --recursive --include "*20170111*" &amp; "%USERPROFILE%\Documents\GitHub\mrs-test-scripts\Headless Mode &amp; Sideloading\WalkAndUnGZ.bat" "%USERPROFILE%\AppData\Local\Temp\OnboardLogs"\RTDC4018\2017-01-11</v>
      </c>
      <c r="AF55" s="84" t="str">
        <f t="shared" si="13"/>
        <v>"C:\Program Files (x86)\AstroGrep\AstroGrep.exe" /spath="%USERPROFILE%\AppData\Local\Temp\OnboardLogs" /stypes="app*4018*20170110*" /stext=" 16:.+((SYSTEM_STATE.+slice.+state.+changed )|(ment ac)|(multiple cpu faults)|(system.+state.+changed )|(\[timeout)|(PRM\|1\|D)|(kpr)|(kdp)|(\|lc)|(penalty))" /e /r /s</v>
      </c>
      <c r="AG55" s="1" t="str">
        <f t="shared" si="14"/>
        <v>EC</v>
      </c>
      <c r="AH55" s="88" t="str">
        <f t="shared" si="18"/>
        <v>"%USERPROFILE%\Documents\GitHub\eaglep3\Utilities\RefineRTDCRunTimes.py" --tripid 143-10 --locoid 4018 --swversion DE.1.0.8.0 --startMP 204:469 --initTime 2017-01-10T08:54:42 --startdatetime 2017-01-10T09:00:16 --delay 1 --endMP 204:233301 --enddatetime 2017-01-10T09:36:04 --enforcementcount 0 &gt;&gt;C:\Users\stu\Documents\GitHub\eaglep3-reporting\EC\2017-01-10-refined-times.txt</v>
      </c>
      <c r="AI55" s="115" t="str">
        <f t="shared" si="19"/>
        <v>echo {"issue":{"subject":"","project_id":79,"tracker_id":40,"status_id":1,"priority_id":2,"assigned_to_id":23,"start_date":"2017-01-10","description":"","custom_fields":[{"id":1,"name":"Subdivision","value":"EC"},{"id":4,"name":"Milepost","value":"23.3301"},{"id":17,"name":"Train ID","value":"143-10"},{"id":16,"name":"Locomotive ID","value":"4018"},{"id":130,"name":"Impact","value":""},{"id":150,"name":"Time of Event (Mountain Time)","value":"09:36:04"},{"id":151,"name":"Denver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0"/>
      <c r="AK55" s="50"/>
      <c r="AL55" s="50"/>
      <c r="AM55" s="180" t="str">
        <f t="shared" si="20"/>
        <v>start /low /b %USERPROFILE%\Documents\GitHub\eaglep3\Utilities\DownloadLogsFromS3.py --loco 4018 --day 2017-01-10</v>
      </c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4" t="s">
        <v>528</v>
      </c>
      <c r="B56" s="7">
        <v>4017</v>
      </c>
      <c r="C56" s="22" t="s">
        <v>202</v>
      </c>
      <c r="D56" s="22" t="s">
        <v>396</v>
      </c>
      <c r="E56" s="13">
        <v>42745.409699074073</v>
      </c>
      <c r="F56" s="13">
        <v>42745.414097222223</v>
      </c>
      <c r="G56" s="7">
        <v>1</v>
      </c>
      <c r="H56" s="22" t="s">
        <v>270</v>
      </c>
      <c r="I56" s="13">
        <v>42745.440555555557</v>
      </c>
      <c r="J56" s="7">
        <v>0</v>
      </c>
      <c r="K56" s="105" t="str">
        <f t="shared" si="0"/>
        <v>4017/4018</v>
      </c>
      <c r="L56" s="22" t="str">
        <f>VLOOKUP(A56,'Trips&amp;Operators'!$C$1:$G$99999,5,FALSE)</f>
        <v>DUNCAN SHEILA</v>
      </c>
      <c r="M56" s="6">
        <f t="shared" si="1"/>
        <v>2.6458333333721384E-2</v>
      </c>
      <c r="N56" s="7">
        <f t="shared" si="23"/>
        <v>38.100000000558794</v>
      </c>
      <c r="O56" s="7"/>
      <c r="P56" s="7"/>
      <c r="Q56" s="23"/>
      <c r="R56" s="23"/>
      <c r="S56" s="32">
        <f t="shared" si="24"/>
        <v>1</v>
      </c>
      <c r="T56" s="47" t="str">
        <f t="shared" si="4"/>
        <v>Southbound</v>
      </c>
      <c r="U56" s="167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https://search-rtdc-monitor-bjffxe2xuh6vdkpspy63sjmuny.us-east-1.es.amazonaws.com/_plugin/kibana/#/discover/Steve-Slow-Train-Analysis-(2080s-and-2083s)?_g=(refreshInterval:(display:Off,section:0,value:0),time:(from:'2017-01-10 08:49:58-700',mode:absolute,to:'2017-01-10 11:34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56" s="49" t="str">
        <f t="shared" si="6"/>
        <v>N</v>
      </c>
      <c r="X56" s="173">
        <f t="shared" si="22"/>
        <v>1</v>
      </c>
      <c r="Y56" s="64">
        <f t="shared" si="8"/>
        <v>23.297499999999999</v>
      </c>
      <c r="Z56" s="64">
        <f t="shared" si="9"/>
        <v>1.41E-2</v>
      </c>
      <c r="AA56" s="64">
        <f t="shared" si="10"/>
        <v>23.2834</v>
      </c>
      <c r="AB56" s="61" t="e">
        <f>VLOOKUP(A56,Enforcements!$C$7:$K$17,8,0)</f>
        <v>#N/A</v>
      </c>
      <c r="AC56" s="57" t="e">
        <f>VLOOKUP(A56,Enforcements!$C$7:$E$17,3,0)</f>
        <v>#N/A</v>
      </c>
      <c r="AD56" s="58" t="str">
        <f t="shared" si="11"/>
        <v>0144-10</v>
      </c>
      <c r="AE56" s="87" t="str">
        <f t="shared" si="12"/>
        <v>aws s3 cp s3://rtdc.mdm.uploadarchive.raw/RTDC4017/ "%USERPROFILE%\AppData\Local\Temp\OnboardLogs"\RTDC4017\2017-01-10 --exclude "*" --recursive --include "*20170110*" &amp; "%USERPROFILE%\Documents\GitHub\mrs-test-scripts\Headless Mode &amp; Sideloading\WalkAndUnGZ.bat" "%USERPROFILE%\AppData\Local\Temp\OnboardLogs"\RTDC4017\2017-01-10 &amp; aws s3 cp s3://rtdc.mdm.uploadarchive.raw/RTDC4017/ "%USERPROFILE%\AppData\Local\Temp\OnboardLogs"\RTDC4017\2017-01-11 --exclude "*" --recursive --include "*20170111*" &amp; "%USERPROFILE%\Documents\GitHub\mrs-test-scripts\Headless Mode &amp; Sideloading\WalkAndUnGZ.bat" "%USERPROFILE%\AppData\Local\Temp\OnboardLogs"\RTDC4017\2017-01-11</v>
      </c>
      <c r="AF56" s="84" t="str">
        <f t="shared" si="13"/>
        <v>"C:\Program Files (x86)\AstroGrep\AstroGrep.exe" /spath="%USERPROFILE%\AppData\Local\Temp\OnboardLogs" /stypes="app*4017*20170110*" /stext=" 17:.+((SYSTEM_STATE.+slice.+state.+changed )|(ment ac)|(multiple cpu faults)|(system.+state.+changed )|(\[timeout)|(PRM\|1\|D)|(kpr)|(kdp)|(\|lc)|(penalty))" /e /r /s</v>
      </c>
      <c r="AG56" s="1" t="str">
        <f t="shared" si="14"/>
        <v>EC</v>
      </c>
      <c r="AH56" s="88" t="str">
        <f t="shared" si="18"/>
        <v>"%USERPROFILE%\Documents\GitHub\eaglep3\Utilities\RefineRTDCRunTimes.py" --tripid 144-10 --locoid 4017 --swversion DE.1.0.8.0 --startMP 204:232975 --initTime 2017-01-10T09:49:58 --startdatetime 2017-01-10T09:56:18 --delay 1 --endMP 204:141 --enddatetime 2017-01-10T10:34:24 --enforcementcount 0 &gt;&gt;C:\Users\stu\Documents\GitHub\eaglep3-reporting\EC\2017-01-10-refined-times.txt</v>
      </c>
      <c r="AI56" s="115" t="str">
        <f t="shared" si="19"/>
        <v>echo {"issue":{"subject":"","project_id":79,"tracker_id":40,"status_id":1,"priority_id":2,"assigned_to_id":23,"start_date":"2017-01-10","description":"","custom_fields":[{"id":1,"name":"Subdivision","value":"EC"},{"id":4,"name":"Milepost","value":"0.0141"},{"id":17,"name":"Train ID","value":"144-10"},{"id":16,"name":"Locomotive ID","value":"4017"},{"id":130,"name":"Impact","value":""},{"id":150,"name":"Time of Event (Mountain Time)","value":"10:34:24"},{"id":151,"name":"Denver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0"/>
      <c r="AK56" s="50"/>
      <c r="AL56" s="50"/>
      <c r="AM56" s="180" t="str">
        <f t="shared" si="20"/>
        <v>start /low /b %USERPROFILE%\Documents\GitHub\eaglep3\Utilities\DownloadLogsFromS3.py --loco 4017 --day 2017-01-10</v>
      </c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4" t="s">
        <v>522</v>
      </c>
      <c r="B57" s="7">
        <v>4025</v>
      </c>
      <c r="C57" s="22" t="s">
        <v>202</v>
      </c>
      <c r="D57" s="22" t="s">
        <v>272</v>
      </c>
      <c r="E57" s="13">
        <v>42745.380289351851</v>
      </c>
      <c r="F57" s="13">
        <v>42745.386076388888</v>
      </c>
      <c r="G57" s="7">
        <v>1</v>
      </c>
      <c r="H57" s="22" t="s">
        <v>679</v>
      </c>
      <c r="I57" s="13">
        <v>42745.410902777781</v>
      </c>
      <c r="J57" s="7">
        <v>0</v>
      </c>
      <c r="K57" s="105" t="str">
        <f t="shared" si="0"/>
        <v>4025/4026</v>
      </c>
      <c r="L57" s="22" t="str">
        <f>VLOOKUP(A57,'Trips&amp;Operators'!$C$1:$G$99999,5,FALSE)</f>
        <v>MAELZER KURT</v>
      </c>
      <c r="M57" s="6">
        <f t="shared" si="1"/>
        <v>2.4826388893416151E-2</v>
      </c>
      <c r="N57" s="7">
        <f t="shared" si="23"/>
        <v>35.750000006519258</v>
      </c>
      <c r="O57" s="7"/>
      <c r="P57" s="7"/>
      <c r="Q57" s="23"/>
      <c r="R57" s="23"/>
      <c r="S57" s="32">
        <f t="shared" si="24"/>
        <v>1</v>
      </c>
      <c r="T57" s="47" t="str">
        <f t="shared" si="4"/>
        <v>NorthBound</v>
      </c>
      <c r="U57" s="167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https://search-rtdc-monitor-bjffxe2xuh6vdkpspy63sjmuny.us-east-1.es.amazonaws.com/_plugin/kibana/#/discover/Steve-Slow-Train-Analysis-(2080s-and-2083s)?_g=(refreshInterval:(display:Off,section:0,value:0),time:(from:'2017-01-10 08:07:37-700',mode:absolute,to:'2017-01-10 10:51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57" s="49" t="str">
        <f t="shared" si="6"/>
        <v>N</v>
      </c>
      <c r="X57" s="173">
        <f t="shared" si="22"/>
        <v>1</v>
      </c>
      <c r="Y57" s="64">
        <f t="shared" si="8"/>
        <v>4.5699999999999998E-2</v>
      </c>
      <c r="Z57" s="64">
        <f t="shared" si="9"/>
        <v>23.331</v>
      </c>
      <c r="AA57" s="64">
        <f t="shared" si="10"/>
        <v>23.285299999999999</v>
      </c>
      <c r="AB57" s="61" t="e">
        <f>VLOOKUP(A57,Enforcements!$C$7:$K$17,8,0)</f>
        <v>#N/A</v>
      </c>
      <c r="AC57" s="57" t="e">
        <f>VLOOKUP(A57,Enforcements!$C$7:$E$17,3,0)</f>
        <v>#N/A</v>
      </c>
      <c r="AD57" s="58" t="str">
        <f t="shared" si="11"/>
        <v>0145-10</v>
      </c>
      <c r="AE57" s="87" t="str">
        <f t="shared" si="12"/>
        <v>aws s3 cp s3://rtdc.mdm.uploadarchive.raw/RTDC4025/ "%USERPROFILE%\AppData\Local\Temp\OnboardLogs"\RTDC4025\2017-01-10 --exclude "*" --recursive --include "*20170110*" &amp; "%USERPROFILE%\Documents\GitHub\mrs-test-scripts\Headless Mode &amp; Sideloading\WalkAndUnGZ.bat" "%USERPROFILE%\AppData\Local\Temp\OnboardLogs"\RTDC4025\2017-01-10 &amp; aws s3 cp s3://rtdc.mdm.uploadarchive.raw/RTDC4025/ "%USERPROFILE%\AppData\Local\Temp\OnboardLogs"\RTDC4025\2017-01-11 --exclude "*" --recursive --include "*20170111*" &amp; "%USERPROFILE%\Documents\GitHub\mrs-test-scripts\Headless Mode &amp; Sideloading\WalkAndUnGZ.bat" "%USERPROFILE%\AppData\Local\Temp\OnboardLogs"\RTDC4025\2017-01-11</v>
      </c>
      <c r="AF57" s="84" t="str">
        <f t="shared" si="13"/>
        <v>"C:\Program Files (x86)\AstroGrep\AstroGrep.exe" /spath="%USERPROFILE%\AppData\Local\Temp\OnboardLogs" /stypes="app*4025*20170110*" /stext=" 16:.+((SYSTEM_STATE.+slice.+state.+changed )|(ment ac)|(multiple cpu faults)|(system.+state.+changed )|(\[timeout)|(PRM\|1\|D)|(kpr)|(kdp)|(\|lc)|(penalty))" /e /r /s</v>
      </c>
      <c r="AG57" s="1" t="str">
        <f t="shared" si="14"/>
        <v>EC</v>
      </c>
      <c r="AH57" s="88" t="str">
        <f t="shared" si="18"/>
        <v>"%USERPROFILE%\Documents\GitHub\eaglep3\Utilities\RefineRTDCRunTimes.py" --tripid 145-10 --locoid 4025 --swversion DE.1.0.8.0 --startMP 204:457 --initTime 2017-01-10T09:07:37 --startdatetime 2017-01-10T09:15:57 --delay 1 --endMP 204:233310 --enddatetime 2017-01-10T09:51:42 --enforcementcount 0 &gt;&gt;C:\Users\stu\Documents\GitHub\eaglep3-reporting\EC\2017-01-10-refined-times.txt</v>
      </c>
      <c r="AI57" s="115" t="str">
        <f t="shared" si="19"/>
        <v>echo {"issue":{"subject":"","project_id":79,"tracker_id":40,"status_id":1,"priority_id":2,"assigned_to_id":23,"start_date":"2017-01-10","description":"","custom_fields":[{"id":1,"name":"Subdivision","value":"EC"},{"id":4,"name":"Milepost","value":"23.331"},{"id":17,"name":"Train ID","value":"145-10"},{"id":16,"name":"Locomotive ID","value":"4025"},{"id":130,"name":"Impact","value":""},{"id":150,"name":"Time of Event (Mountain Time)","value":"09:51:42"},{"id":151,"name":"Denver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0"/>
      <c r="AK57" s="50"/>
      <c r="AL57" s="50"/>
      <c r="AM57" s="180" t="str">
        <f t="shared" si="20"/>
        <v>start /low /b %USERPROFILE%\Documents\GitHub\eaglep3\Utilities\DownloadLogsFromS3.py --loco 4025 --day 2017-01-10</v>
      </c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4" t="s">
        <v>530</v>
      </c>
      <c r="B58" s="7">
        <v>4026</v>
      </c>
      <c r="C58" s="22" t="s">
        <v>202</v>
      </c>
      <c r="D58" s="22" t="s">
        <v>407</v>
      </c>
      <c r="E58" s="13">
        <v>42745.415613425925</v>
      </c>
      <c r="F58" s="13">
        <v>42745.42459490741</v>
      </c>
      <c r="G58" s="7">
        <v>1</v>
      </c>
      <c r="H58" s="22" t="s">
        <v>356</v>
      </c>
      <c r="I58" s="13">
        <v>42745.451273148145</v>
      </c>
      <c r="J58" s="7">
        <v>0</v>
      </c>
      <c r="K58" s="105" t="str">
        <f t="shared" si="0"/>
        <v>4025/4026</v>
      </c>
      <c r="L58" s="22" t="str">
        <f>VLOOKUP(A58,'Trips&amp;Operators'!$C$1:$G$99999,5,FALSE)</f>
        <v>MAELZER KURT</v>
      </c>
      <c r="M58" s="6">
        <f t="shared" si="1"/>
        <v>2.6678240734327119E-2</v>
      </c>
      <c r="N58" s="7">
        <f t="shared" si="23"/>
        <v>38.416666657431051</v>
      </c>
      <c r="O58" s="7"/>
      <c r="P58" s="7"/>
      <c r="Q58" s="23"/>
      <c r="R58" s="23"/>
      <c r="S58" s="32">
        <f t="shared" si="24"/>
        <v>1</v>
      </c>
      <c r="T58" s="47" t="str">
        <f t="shared" si="4"/>
        <v>Southbound</v>
      </c>
      <c r="U58" s="167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https://search-rtdc-monitor-bjffxe2xuh6vdkpspy63sjmuny.us-east-1.es.amazonaws.com/_plugin/kibana/#/discover/Steve-Slow-Train-Analysis-(2080s-and-2083s)?_g=(refreshInterval:(display:Off,section:0,value:0),time:(from:'2017-01-10 08:58:29-700',mode:absolute,to:'2017-01-10 11:49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58" s="49" t="str">
        <f t="shared" si="6"/>
        <v>N</v>
      </c>
      <c r="X58" s="173">
        <f t="shared" si="22"/>
        <v>1</v>
      </c>
      <c r="Y58" s="64">
        <f t="shared" si="8"/>
        <v>23.299099999999999</v>
      </c>
      <c r="Z58" s="64">
        <f t="shared" si="9"/>
        <v>1.32E-2</v>
      </c>
      <c r="AA58" s="64">
        <f t="shared" si="10"/>
        <v>23.285899999999998</v>
      </c>
      <c r="AB58" s="61" t="e">
        <f>VLOOKUP(A58,Enforcements!$C$7:$K$17,8,0)</f>
        <v>#N/A</v>
      </c>
      <c r="AC58" s="57" t="e">
        <f>VLOOKUP(A58,Enforcements!$C$7:$E$17,3,0)</f>
        <v>#N/A</v>
      </c>
      <c r="AD58" s="58" t="str">
        <f t="shared" si="11"/>
        <v>0146-10</v>
      </c>
      <c r="AE58" s="87" t="str">
        <f t="shared" si="12"/>
        <v>aws s3 cp s3://rtdc.mdm.uploadarchive.raw/RTDC4026/ "%USERPROFILE%\AppData\Local\Temp\OnboardLogs"\RTDC4026\2017-01-10 --exclude "*" --recursive --include "*20170110*" &amp; "%USERPROFILE%\Documents\GitHub\mrs-test-scripts\Headless Mode &amp; Sideloading\WalkAndUnGZ.bat" "%USERPROFILE%\AppData\Local\Temp\OnboardLogs"\RTDC4026\2017-01-10 &amp; aws s3 cp s3://rtdc.mdm.uploadarchive.raw/RTDC4026/ "%USERPROFILE%\AppData\Local\Temp\OnboardLogs"\RTDC4026\2017-01-11 --exclude "*" --recursive --include "*20170111*" &amp; "%USERPROFILE%\Documents\GitHub\mrs-test-scripts\Headless Mode &amp; Sideloading\WalkAndUnGZ.bat" "%USERPROFILE%\AppData\Local\Temp\OnboardLogs"\RTDC4026\2017-01-11</v>
      </c>
      <c r="AF58" s="84" t="str">
        <f t="shared" si="13"/>
        <v>"C:\Program Files (x86)\AstroGrep\AstroGrep.exe" /spath="%USERPROFILE%\AppData\Local\Temp\OnboardLogs" /stypes="app*4026*20170110*" /stext=" 17:.+((SYSTEM_STATE.+slice.+state.+changed )|(ment ac)|(multiple cpu faults)|(system.+state.+changed )|(\[timeout)|(PRM\|1\|D)|(kpr)|(kdp)|(\|lc)|(penalty))" /e /r /s</v>
      </c>
      <c r="AG58" s="1" t="str">
        <f t="shared" si="14"/>
        <v>EC</v>
      </c>
      <c r="AH58" s="88" t="str">
        <f t="shared" si="18"/>
        <v>"%USERPROFILE%\Documents\GitHub\eaglep3\Utilities\RefineRTDCRunTimes.py" --tripid 146-10 --locoid 4026 --swversion DE.1.0.8.0 --startMP 204:232991 --initTime 2017-01-10T09:58:29 --startdatetime 2017-01-10T10:11:25 --delay 1 --endMP 204:132 --enddatetime 2017-01-10T10:49:50 --enforcementcount 0 &gt;&gt;C:\Users\stu\Documents\GitHub\eaglep3-reporting\EC\2017-01-10-refined-times.txt</v>
      </c>
      <c r="AI58" s="115" t="str">
        <f t="shared" si="19"/>
        <v>echo {"issue":{"subject":"","project_id":79,"tracker_id":40,"status_id":1,"priority_id":2,"assigned_to_id":23,"start_date":"2017-01-10","description":"","custom_fields":[{"id":1,"name":"Subdivision","value":"EC"},{"id":4,"name":"Milepost","value":"0.0132"},{"id":17,"name":"Train ID","value":"146-10"},{"id":16,"name":"Locomotive ID","value":"4026"},{"id":130,"name":"Impact","value":""},{"id":150,"name":"Time of Event (Mountain Time)","value":"10:49:50"},{"id":151,"name":"Denver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0"/>
      <c r="AK58" s="50"/>
      <c r="AL58" s="50"/>
      <c r="AM58" s="180" t="str">
        <f t="shared" si="20"/>
        <v>start /low /b %USERPROFILE%\Documents\GitHub\eaglep3\Utilities\DownloadLogsFromS3.py --loco 4026 --day 2017-01-10</v>
      </c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4" t="s">
        <v>523</v>
      </c>
      <c r="B59" s="7">
        <v>4020</v>
      </c>
      <c r="C59" s="22" t="s">
        <v>202</v>
      </c>
      <c r="D59" s="22" t="s">
        <v>192</v>
      </c>
      <c r="E59" s="13">
        <v>42745.389814814815</v>
      </c>
      <c r="F59" s="13">
        <v>42745.396238425928</v>
      </c>
      <c r="G59" s="7">
        <v>1</v>
      </c>
      <c r="H59" s="22" t="s">
        <v>292</v>
      </c>
      <c r="I59" s="13">
        <v>42745.421076388891</v>
      </c>
      <c r="J59" s="7">
        <v>0</v>
      </c>
      <c r="K59" s="105" t="str">
        <f t="shared" si="0"/>
        <v>4019/4020</v>
      </c>
      <c r="L59" s="22" t="str">
        <f>VLOOKUP(A59,'Trips&amp;Operators'!$C$1:$G$99999,5,FALSE)</f>
        <v>STARKS ANGELINA</v>
      </c>
      <c r="M59" s="6">
        <f t="shared" si="1"/>
        <v>2.4837962962919846E-2</v>
      </c>
      <c r="N59" s="7">
        <f t="shared" si="23"/>
        <v>35.766666666604578</v>
      </c>
      <c r="O59" s="7"/>
      <c r="P59" s="7"/>
      <c r="Q59" s="23"/>
      <c r="R59" s="23"/>
      <c r="S59" s="32">
        <f t="shared" si="24"/>
        <v>1</v>
      </c>
      <c r="T59" s="47" t="str">
        <f t="shared" si="4"/>
        <v>NorthBound</v>
      </c>
      <c r="U59" s="167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https://search-rtdc-monitor-bjffxe2xuh6vdkpspy63sjmuny.us-east-1.es.amazonaws.com/_plugin/kibana/#/discover/Steve-Slow-Train-Analysis-(2080s-and-2083s)?_g=(refreshInterval:(display:Off,section:0,value:0),time:(from:'2017-01-10 08:21:20-700',mode:absolute,to:'2017-01-10 11:06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59" s="49" t="str">
        <f t="shared" si="6"/>
        <v>N</v>
      </c>
      <c r="X59" s="173">
        <f t="shared" si="22"/>
        <v>1</v>
      </c>
      <c r="Y59" s="64">
        <f t="shared" si="8"/>
        <v>4.4699999999999997E-2</v>
      </c>
      <c r="Z59" s="64">
        <f t="shared" si="9"/>
        <v>23.329799999999999</v>
      </c>
      <c r="AA59" s="64">
        <f t="shared" si="10"/>
        <v>23.2851</v>
      </c>
      <c r="AB59" s="61" t="e">
        <f>VLOOKUP(A59,Enforcements!$C$7:$K$17,8,0)</f>
        <v>#N/A</v>
      </c>
      <c r="AC59" s="57" t="e">
        <f>VLOOKUP(A59,Enforcements!$C$7:$E$17,3,0)</f>
        <v>#N/A</v>
      </c>
      <c r="AD59" s="58" t="str">
        <f t="shared" si="11"/>
        <v>0147-10</v>
      </c>
      <c r="AE59" s="87" t="str">
        <f t="shared" si="12"/>
        <v>aws s3 cp s3://rtdc.mdm.uploadarchive.raw/RTDC4020/ "%USERPROFILE%\AppData\Local\Temp\OnboardLogs"\RTDC4020\2017-01-10 --exclude "*" --recursive --include "*20170110*" &amp; "%USERPROFILE%\Documents\GitHub\mrs-test-scripts\Headless Mode &amp; Sideloading\WalkAndUnGZ.bat" "%USERPROFILE%\AppData\Local\Temp\OnboardLogs"\RTDC4020\2017-01-10 &amp; aws s3 cp s3://rtdc.mdm.uploadarchive.raw/RTDC4020/ "%USERPROFILE%\AppData\Local\Temp\OnboardLogs"\RTDC4020\2017-01-11 --exclude "*" --recursive --include "*20170111*" &amp; "%USERPROFILE%\Documents\GitHub\mrs-test-scripts\Headless Mode &amp; Sideloading\WalkAndUnGZ.bat" "%USERPROFILE%\AppData\Local\Temp\OnboardLogs"\RTDC4020\2017-01-11</v>
      </c>
      <c r="AF59" s="84" t="str">
        <f t="shared" si="13"/>
        <v>"C:\Program Files (x86)\AstroGrep\AstroGrep.exe" /spath="%USERPROFILE%\AppData\Local\Temp\OnboardLogs" /stypes="app*4020*20170110*" /stext=" 17:.+((SYSTEM_STATE.+slice.+state.+changed )|(ment ac)|(multiple cpu faults)|(system.+state.+changed )|(\[timeout)|(PRM\|1\|D)|(kpr)|(kdp)|(\|lc)|(penalty))" /e /r /s</v>
      </c>
      <c r="AG59" s="1" t="str">
        <f t="shared" si="14"/>
        <v>EC</v>
      </c>
      <c r="AH59" s="88" t="str">
        <f t="shared" si="18"/>
        <v>"%USERPROFILE%\Documents\GitHub\eaglep3\Utilities\RefineRTDCRunTimes.py" --tripid 147-10 --locoid 4020 --swversion DE.1.0.8.0 --startMP 204:447 --initTime 2017-01-10T09:21:20 --startdatetime 2017-01-10T09:30:35 --delay 1 --endMP 204:233298 --enddatetime 2017-01-10T10:06:21 --enforcementcount 0 &gt;&gt;C:\Users\stu\Documents\GitHub\eaglep3-reporting\EC\2017-01-10-refined-times.txt</v>
      </c>
      <c r="AI59" s="115" t="str">
        <f t="shared" si="19"/>
        <v>echo {"issue":{"subject":"","project_id":79,"tracker_id":40,"status_id":1,"priority_id":2,"assigned_to_id":23,"start_date":"2017-01-10","description":"","custom_fields":[{"id":1,"name":"Subdivision","value":"EC"},{"id":4,"name":"Milepost","value":"23.3298"},{"id":17,"name":"Train ID","value":"147-10"},{"id":16,"name":"Locomotive ID","value":"4020"},{"id":130,"name":"Impact","value":""},{"id":150,"name":"Time of Event (Mountain Time)","value":"10:06:21"},{"id":151,"name":"Denver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0"/>
      <c r="AK59" s="50"/>
      <c r="AL59" s="50"/>
      <c r="AM59" s="180" t="str">
        <f t="shared" si="20"/>
        <v>start /low /b %USERPROFILE%\Documents\GitHub\eaglep3\Utilities\DownloadLogsFromS3.py --loco 4020 --day 2017-01-10</v>
      </c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4" t="s">
        <v>533</v>
      </c>
      <c r="B60" s="7">
        <v>4019</v>
      </c>
      <c r="C60" s="22" t="s">
        <v>202</v>
      </c>
      <c r="D60" s="22" t="s">
        <v>244</v>
      </c>
      <c r="E60" s="13">
        <v>42745.431354166663</v>
      </c>
      <c r="F60" s="13">
        <v>42745.434895833336</v>
      </c>
      <c r="G60" s="7">
        <v>1</v>
      </c>
      <c r="H60" s="22" t="s">
        <v>226</v>
      </c>
      <c r="I60" s="13">
        <v>42745.461863425924</v>
      </c>
      <c r="J60" s="7">
        <v>0</v>
      </c>
      <c r="K60" s="105" t="str">
        <f t="shared" si="0"/>
        <v>4019/4020</v>
      </c>
      <c r="L60" s="22" t="str">
        <f>VLOOKUP(A60,'Trips&amp;Operators'!$C$1:$G$99999,5,FALSE)</f>
        <v>STARKS ANGELINA</v>
      </c>
      <c r="M60" s="6">
        <f t="shared" si="1"/>
        <v>2.696759258833481E-2</v>
      </c>
      <c r="N60" s="7">
        <f t="shared" si="23"/>
        <v>38.833333327202126</v>
      </c>
      <c r="O60" s="7"/>
      <c r="P60" s="7"/>
      <c r="Q60" s="23"/>
      <c r="R60" s="23"/>
      <c r="S60" s="32">
        <f t="shared" si="24"/>
        <v>1</v>
      </c>
      <c r="T60" s="47" t="str">
        <f t="shared" si="4"/>
        <v>Southbound</v>
      </c>
      <c r="U60" s="167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https://search-rtdc-monitor-bjffxe2xuh6vdkpspy63sjmuny.us-east-1.es.amazonaws.com/_plugin/kibana/#/discover/Steve-Slow-Train-Analysis-(2080s-and-2083s)?_g=(refreshInterval:(display:Off,section:0,value:0),time:(from:'2017-01-10 09:21:09-700',mode:absolute,to:'2017-01-10 12:05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60" s="49" t="str">
        <f t="shared" si="6"/>
        <v>N</v>
      </c>
      <c r="X60" s="173">
        <f t="shared" si="22"/>
        <v>1</v>
      </c>
      <c r="Y60" s="64">
        <f t="shared" si="8"/>
        <v>23.297699999999999</v>
      </c>
      <c r="Z60" s="64">
        <f t="shared" si="9"/>
        <v>1.4500000000000001E-2</v>
      </c>
      <c r="AA60" s="64">
        <f t="shared" si="10"/>
        <v>23.283199999999997</v>
      </c>
      <c r="AB60" s="61" t="e">
        <f>VLOOKUP(A60,Enforcements!$C$7:$K$17,8,0)</f>
        <v>#N/A</v>
      </c>
      <c r="AC60" s="57" t="e">
        <f>VLOOKUP(A60,Enforcements!$C$7:$E$17,3,0)</f>
        <v>#N/A</v>
      </c>
      <c r="AD60" s="58" t="str">
        <f t="shared" si="11"/>
        <v>0148-10</v>
      </c>
      <c r="AE60" s="87" t="str">
        <f t="shared" si="12"/>
        <v>aws s3 cp s3://rtdc.mdm.uploadarchive.raw/RTDC4019/ "%USERPROFILE%\AppData\Local\Temp\OnboardLogs"\RTDC4019\2017-01-10 --exclude "*" --recursive --include "*20170110*" &amp; "%USERPROFILE%\Documents\GitHub\mrs-test-scripts\Headless Mode &amp; Sideloading\WalkAndUnGZ.bat" "%USERPROFILE%\AppData\Local\Temp\OnboardLogs"\RTDC4019\2017-01-10 &amp; aws s3 cp s3://rtdc.mdm.uploadarchive.raw/RTDC4019/ "%USERPROFILE%\AppData\Local\Temp\OnboardLogs"\RTDC4019\2017-01-11 --exclude "*" --recursive --include "*20170111*" &amp; "%USERPROFILE%\Documents\GitHub\mrs-test-scripts\Headless Mode &amp; Sideloading\WalkAndUnGZ.bat" "%USERPROFILE%\AppData\Local\Temp\OnboardLogs"\RTDC4019\2017-01-11</v>
      </c>
      <c r="AF60" s="84" t="str">
        <f t="shared" si="13"/>
        <v>"C:\Program Files (x86)\AstroGrep\AstroGrep.exe" /spath="%USERPROFILE%\AppData\Local\Temp\OnboardLogs" /stypes="app*4019*20170110*" /stext=" 18:.+((SYSTEM_STATE.+slice.+state.+changed )|(ment ac)|(multiple cpu faults)|(system.+state.+changed )|(\[timeout)|(PRM\|1\|D)|(kpr)|(kdp)|(\|lc)|(penalty))" /e /r /s</v>
      </c>
      <c r="AG60" s="1" t="str">
        <f t="shared" si="14"/>
        <v>EC</v>
      </c>
      <c r="AH60" s="88" t="str">
        <f t="shared" si="18"/>
        <v>"%USERPROFILE%\Documents\GitHub\eaglep3\Utilities\RefineRTDCRunTimes.py" --tripid 148-10 --locoid 4019 --swversion DE.1.0.8.0 --startMP 204:232977 --initTime 2017-01-10T10:21:09 --startdatetime 2017-01-10T10:26:15 --delay 1 --endMP 204:145 --enddatetime 2017-01-10T11:05:05 --enforcementcount 0 &gt;&gt;C:\Users\stu\Documents\GitHub\eaglep3-reporting\EC\2017-01-10-refined-times.txt</v>
      </c>
      <c r="AI60" s="115" t="str">
        <f t="shared" si="19"/>
        <v>echo {"issue":{"subject":"","project_id":79,"tracker_id":40,"status_id":1,"priority_id":2,"assigned_to_id":23,"start_date":"2017-01-10","description":"","custom_fields":[{"id":1,"name":"Subdivision","value":"EC"},{"id":4,"name":"Milepost","value":"0.0145"},{"id":17,"name":"Train ID","value":"148-10"},{"id":16,"name":"Locomotive ID","value":"4019"},{"id":130,"name":"Impact","value":""},{"id":150,"name":"Time of Event (Mountain Time)","value":"11:05:05"},{"id":151,"name":"Denver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0"/>
      <c r="AK60" s="50"/>
      <c r="AL60" s="50"/>
      <c r="AM60" s="180" t="str">
        <f t="shared" si="20"/>
        <v>start /low /b %USERPROFILE%\Documents\GitHub\eaglep3\Utilities\DownloadLogsFromS3.py --loco 4019 --day 2017-01-10</v>
      </c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4" t="s">
        <v>527</v>
      </c>
      <c r="B61" s="7">
        <v>4014</v>
      </c>
      <c r="C61" s="22" t="s">
        <v>202</v>
      </c>
      <c r="D61" s="22" t="s">
        <v>322</v>
      </c>
      <c r="E61" s="13">
        <v>42745.401516203703</v>
      </c>
      <c r="F61" s="13">
        <v>42745.406597222223</v>
      </c>
      <c r="G61" s="7">
        <v>1</v>
      </c>
      <c r="H61" s="22" t="s">
        <v>404</v>
      </c>
      <c r="I61" s="13">
        <v>42745.43204861111</v>
      </c>
      <c r="J61" s="7">
        <v>0</v>
      </c>
      <c r="K61" s="105" t="str">
        <f t="shared" si="0"/>
        <v>4013/4014</v>
      </c>
      <c r="L61" s="22" t="str">
        <f>VLOOKUP(A61,'Trips&amp;Operators'!$C$1:$G$99999,5,FALSE)</f>
        <v>BONDS REYNALDO</v>
      </c>
      <c r="M61" s="6">
        <f t="shared" si="1"/>
        <v>2.545138888672227E-2</v>
      </c>
      <c r="N61" s="7">
        <f t="shared" ref="N61:N95" si="25">24*60*SUM($M61:$M61)</f>
        <v>36.649999996880069</v>
      </c>
      <c r="O61" s="7"/>
      <c r="P61" s="7"/>
      <c r="Q61" s="23"/>
      <c r="R61" s="23"/>
      <c r="S61" s="32">
        <f t="shared" si="24"/>
        <v>1</v>
      </c>
      <c r="T61" s="47" t="str">
        <f t="shared" si="4"/>
        <v>NorthBound</v>
      </c>
      <c r="U61" s="167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https://search-rtdc-monitor-bjffxe2xuh6vdkpspy63sjmuny.us-east-1.es.amazonaws.com/_plugin/kibana/#/discover/Steve-Slow-Train-Analysis-(2080s-and-2083s)?_g=(refreshInterval:(display:Off,section:0,value:0),time:(from:'2017-01-10 08:38:11-700',mode:absolute,to:'2017-01-10 11:22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61" s="49" t="str">
        <f t="shared" si="6"/>
        <v>N</v>
      </c>
      <c r="X61" s="173">
        <f t="shared" si="22"/>
        <v>1</v>
      </c>
      <c r="Y61" s="64">
        <f t="shared" si="8"/>
        <v>4.3799999999999999E-2</v>
      </c>
      <c r="Z61" s="64">
        <f t="shared" si="9"/>
        <v>23.328700000000001</v>
      </c>
      <c r="AA61" s="64">
        <f t="shared" si="10"/>
        <v>23.2849</v>
      </c>
      <c r="AB61" s="61" t="e">
        <f>VLOOKUP(A61,Enforcements!$C$7:$K$17,8,0)</f>
        <v>#N/A</v>
      </c>
      <c r="AC61" s="57" t="e">
        <f>VLOOKUP(A61,Enforcements!$C$7:$E$17,3,0)</f>
        <v>#N/A</v>
      </c>
      <c r="AD61" s="58" t="str">
        <f t="shared" si="11"/>
        <v>0149-10</v>
      </c>
      <c r="AE61" s="87" t="str">
        <f t="shared" si="12"/>
        <v>aws s3 cp s3://rtdc.mdm.uploadarchive.raw/RTDC4014/ "%USERPROFILE%\AppData\Local\Temp\OnboardLogs"\RTDC4014\2017-01-10 --exclude "*" --recursive --include "*20170110*" &amp; "%USERPROFILE%\Documents\GitHub\mrs-test-scripts\Headless Mode &amp; Sideloading\WalkAndUnGZ.bat" "%USERPROFILE%\AppData\Local\Temp\OnboardLogs"\RTDC4014\2017-01-10 &amp; aws s3 cp s3://rtdc.mdm.uploadarchive.raw/RTDC4014/ "%USERPROFILE%\AppData\Local\Temp\OnboardLogs"\RTDC4014\2017-01-11 --exclude "*" --recursive --include "*20170111*" &amp; "%USERPROFILE%\Documents\GitHub\mrs-test-scripts\Headless Mode &amp; Sideloading\WalkAndUnGZ.bat" "%USERPROFILE%\AppData\Local\Temp\OnboardLogs"\RTDC4014\2017-01-11</v>
      </c>
      <c r="AF61" s="84" t="str">
        <f t="shared" si="13"/>
        <v>"C:\Program Files (x86)\AstroGrep\AstroGrep.exe" /spath="%USERPROFILE%\AppData\Local\Temp\OnboardLogs" /stypes="app*4014*20170110*" /stext=" 17:.+((SYSTEM_STATE.+slice.+state.+changed )|(ment ac)|(multiple cpu faults)|(system.+state.+changed )|(\[timeout)|(PRM\|1\|D)|(kpr)|(kdp)|(\|lc)|(penalty))" /e /r /s</v>
      </c>
      <c r="AG61" s="1" t="str">
        <f t="shared" si="14"/>
        <v>EC</v>
      </c>
      <c r="AH61" s="88" t="str">
        <f t="shared" si="18"/>
        <v>"%USERPROFILE%\Documents\GitHub\eaglep3\Utilities\RefineRTDCRunTimes.py" --tripid 149-10 --locoid 4014 --swversion DE.1.0.8.0 --startMP 204:438 --initTime 2017-01-10T09:38:11 --startdatetime 2017-01-10T09:45:30 --delay 1 --endMP 204:233287 --enddatetime 2017-01-10T10:22:09 --enforcementcount 0 &gt;&gt;C:\Users\stu\Documents\GitHub\eaglep3-reporting\EC\2017-01-10-refined-times.txt</v>
      </c>
      <c r="AI61" s="115" t="str">
        <f t="shared" si="19"/>
        <v>echo {"issue":{"subject":"","project_id":79,"tracker_id":40,"status_id":1,"priority_id":2,"assigned_to_id":23,"start_date":"2017-01-10","description":"","custom_fields":[{"id":1,"name":"Subdivision","value":"EC"},{"id":4,"name":"Milepost","value":"23.3287"},{"id":17,"name":"Train ID","value":"149-10"},{"id":16,"name":"Locomotive ID","value":"4014"},{"id":130,"name":"Impact","value":""},{"id":150,"name":"Time of Event (Mountain Time)","value":"10:22:09"},{"id":151,"name":"Denver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0"/>
      <c r="AK61" s="50"/>
      <c r="AL61" s="50"/>
      <c r="AM61" s="180" t="str">
        <f t="shared" si="20"/>
        <v>start /low /b %USERPROFILE%\Documents\GitHub\eaglep3\Utilities\DownloadLogsFromS3.py --loco 4014 --day 2017-01-10</v>
      </c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4" t="s">
        <v>536</v>
      </c>
      <c r="B62" s="7">
        <v>4013</v>
      </c>
      <c r="C62" s="22" t="s">
        <v>202</v>
      </c>
      <c r="D62" s="22" t="s">
        <v>307</v>
      </c>
      <c r="E62" s="13">
        <v>42745.442962962959</v>
      </c>
      <c r="F62" s="13">
        <v>42745.445370370369</v>
      </c>
      <c r="G62" s="7">
        <v>1</v>
      </c>
      <c r="H62" s="22" t="s">
        <v>208</v>
      </c>
      <c r="I62" s="13">
        <v>42745.472997685189</v>
      </c>
      <c r="J62" s="7">
        <v>0</v>
      </c>
      <c r="K62" s="105" t="str">
        <f t="shared" si="0"/>
        <v>4013/4014</v>
      </c>
      <c r="L62" s="22" t="str">
        <f>VLOOKUP(A62,'Trips&amp;Operators'!$C$1:$G$99999,5,FALSE)</f>
        <v>BONDS REYNALDO</v>
      </c>
      <c r="M62" s="6">
        <f t="shared" si="1"/>
        <v>2.7627314819255844E-2</v>
      </c>
      <c r="N62" s="7">
        <f t="shared" si="25"/>
        <v>39.783333339728415</v>
      </c>
      <c r="O62" s="7"/>
      <c r="P62" s="7"/>
      <c r="Q62" s="23"/>
      <c r="R62" s="23"/>
      <c r="S62" s="32">
        <f t="shared" si="24"/>
        <v>1</v>
      </c>
      <c r="T62" s="47" t="str">
        <f t="shared" si="4"/>
        <v>Southbound</v>
      </c>
      <c r="U62" s="167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https://search-rtdc-monitor-bjffxe2xuh6vdkpspy63sjmuny.us-east-1.es.amazonaws.com/_plugin/kibana/#/discover/Steve-Slow-Train-Analysis-(2080s-and-2083s)?_g=(refreshInterval:(display:Off,section:0,value:0),time:(from:'2017-01-10 09:37:52-700',mode:absolute,to:'2017-01-10 12:21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62" s="49" t="str">
        <f t="shared" si="6"/>
        <v>N</v>
      </c>
      <c r="X62" s="173">
        <f t="shared" si="22"/>
        <v>1</v>
      </c>
      <c r="Y62" s="64">
        <f t="shared" si="8"/>
        <v>23.2987</v>
      </c>
      <c r="Z62" s="64">
        <f t="shared" si="9"/>
        <v>1.4999999999999999E-2</v>
      </c>
      <c r="AA62" s="64">
        <f t="shared" si="10"/>
        <v>23.2837</v>
      </c>
      <c r="AB62" s="61" t="e">
        <f>VLOOKUP(A62,Enforcements!$C$7:$K$17,8,0)</f>
        <v>#N/A</v>
      </c>
      <c r="AC62" s="57" t="e">
        <f>VLOOKUP(A62,Enforcements!$C$7:$E$17,3,0)</f>
        <v>#N/A</v>
      </c>
      <c r="AD62" s="58" t="str">
        <f t="shared" si="11"/>
        <v>0150-10</v>
      </c>
      <c r="AE62" s="87" t="str">
        <f t="shared" si="12"/>
        <v>aws s3 cp s3://rtdc.mdm.uploadarchive.raw/RTDC4013/ "%USERPROFILE%\AppData\Local\Temp\OnboardLogs"\RTDC4013\2017-01-10 --exclude "*" --recursive --include "*20170110*" &amp; "%USERPROFILE%\Documents\GitHub\mrs-test-scripts\Headless Mode &amp; Sideloading\WalkAndUnGZ.bat" "%USERPROFILE%\AppData\Local\Temp\OnboardLogs"\RTDC4013\2017-01-10 &amp; aws s3 cp s3://rtdc.mdm.uploadarchive.raw/RTDC4013/ "%USERPROFILE%\AppData\Local\Temp\OnboardLogs"\RTDC4013\2017-01-11 --exclude "*" --recursive --include "*20170111*" &amp; "%USERPROFILE%\Documents\GitHub\mrs-test-scripts\Headless Mode &amp; Sideloading\WalkAndUnGZ.bat" "%USERPROFILE%\AppData\Local\Temp\OnboardLogs"\RTDC4013\2017-01-11</v>
      </c>
      <c r="AF62" s="84" t="str">
        <f t="shared" si="13"/>
        <v>"C:\Program Files (x86)\AstroGrep\AstroGrep.exe" /spath="%USERPROFILE%\AppData\Local\Temp\OnboardLogs" /stypes="app*4013*20170110*" /stext=" 18:.+((SYSTEM_STATE.+slice.+state.+changed )|(ment ac)|(multiple cpu faults)|(system.+state.+changed )|(\[timeout)|(PRM\|1\|D)|(kpr)|(kdp)|(\|lc)|(penalty))" /e /r /s</v>
      </c>
      <c r="AG62" s="1" t="str">
        <f t="shared" si="14"/>
        <v>EC</v>
      </c>
      <c r="AH62" s="88" t="str">
        <f t="shared" si="18"/>
        <v>"%USERPROFILE%\Documents\GitHub\eaglep3\Utilities\RefineRTDCRunTimes.py" --tripid 150-10 --locoid 4013 --swversion DE.1.0.8.0 --startMP 204:232987 --initTime 2017-01-10T10:37:52 --startdatetime 2017-01-10T10:41:20 --delay 1 --endMP 204:150 --enddatetime 2017-01-10T11:21:07 --enforcementcount 0 &gt;&gt;C:\Users\stu\Documents\GitHub\eaglep3-reporting\EC\2017-01-10-refined-times.txt</v>
      </c>
      <c r="AI62" s="115" t="str">
        <f t="shared" si="19"/>
        <v>echo {"issue":{"subject":"","project_id":79,"tracker_id":40,"status_id":1,"priority_id":2,"assigned_to_id":23,"start_date":"2017-01-10","description":"","custom_fields":[{"id":1,"name":"Subdivision","value":"EC"},{"id":4,"name":"Milepost","value":"0.015"},{"id":17,"name":"Train ID","value":"150-10"},{"id":16,"name":"Locomotive ID","value":"4013"},{"id":130,"name":"Impact","value":""},{"id":150,"name":"Time of Event (Mountain Time)","value":"11:21:07"},{"id":151,"name":"Denver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0"/>
      <c r="AK62" s="50"/>
      <c r="AL62" s="50"/>
      <c r="AM62" s="180" t="str">
        <f t="shared" si="20"/>
        <v>start /low /b %USERPROFILE%\Documents\GitHub\eaglep3\Utilities\DownloadLogsFromS3.py --loco 4013 --day 2017-01-10</v>
      </c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4" t="s">
        <v>529</v>
      </c>
      <c r="B63" s="7">
        <v>4031</v>
      </c>
      <c r="C63" s="22" t="s">
        <v>202</v>
      </c>
      <c r="D63" s="22" t="s">
        <v>240</v>
      </c>
      <c r="E63" s="13">
        <v>42745.412349537037</v>
      </c>
      <c r="F63" s="13">
        <v>42745.416828703703</v>
      </c>
      <c r="G63" s="7">
        <v>2</v>
      </c>
      <c r="H63" s="22" t="s">
        <v>309</v>
      </c>
      <c r="I63" s="13">
        <v>42745.441562499997</v>
      </c>
      <c r="J63" s="7">
        <v>0</v>
      </c>
      <c r="K63" s="105" t="str">
        <f t="shared" si="0"/>
        <v>4031/4032</v>
      </c>
      <c r="L63" s="22" t="str">
        <f>VLOOKUP(A63,'Trips&amp;Operators'!$C$1:$G$99999,5,FALSE)</f>
        <v>DAVIS WENDY</v>
      </c>
      <c r="M63" s="6">
        <f t="shared" si="1"/>
        <v>2.4733796293730848E-2</v>
      </c>
      <c r="N63" s="7">
        <f t="shared" si="25"/>
        <v>35.61666666297242</v>
      </c>
      <c r="O63" s="7"/>
      <c r="P63" s="7"/>
      <c r="Q63" s="23"/>
      <c r="R63" s="23"/>
      <c r="S63" s="32">
        <f t="shared" si="24"/>
        <v>1</v>
      </c>
      <c r="T63" s="47" t="str">
        <f t="shared" si="4"/>
        <v>NorthBound</v>
      </c>
      <c r="U63" s="167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https://search-rtdc-monitor-bjffxe2xuh6vdkpspy63sjmuny.us-east-1.es.amazonaws.com/_plugin/kibana/#/discover/Steve-Slow-Train-Analysis-(2080s-and-2083s)?_g=(refreshInterval:(display:Off,section:0,value:0),time:(from:'2017-01-10 08:53:47-700',mode:absolute,to:'2017-01-10 11:35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63" s="49" t="str">
        <f t="shared" si="6"/>
        <v>N</v>
      </c>
      <c r="X63" s="173">
        <f t="shared" si="22"/>
        <v>1</v>
      </c>
      <c r="Y63" s="64">
        <f t="shared" si="8"/>
        <v>4.6399999999999997E-2</v>
      </c>
      <c r="Z63" s="64">
        <f t="shared" si="9"/>
        <v>23.330100000000002</v>
      </c>
      <c r="AA63" s="64">
        <f t="shared" si="10"/>
        <v>23.283700000000003</v>
      </c>
      <c r="AB63" s="61" t="e">
        <f>VLOOKUP(A63,Enforcements!$C$7:$K$17,8,0)</f>
        <v>#N/A</v>
      </c>
      <c r="AC63" s="57" t="e">
        <f>VLOOKUP(A63,Enforcements!$C$7:$E$17,3,0)</f>
        <v>#N/A</v>
      </c>
      <c r="AD63" s="58" t="str">
        <f t="shared" si="11"/>
        <v>0151-10</v>
      </c>
      <c r="AE63" s="87" t="str">
        <f t="shared" si="12"/>
        <v>aws s3 cp s3://rtdc.mdm.uploadarchive.raw/RTDC4031/ "%USERPROFILE%\AppData\Local\Temp\OnboardLogs"\RTDC4031\2017-01-10 --exclude "*" --recursive --include "*20170110*" &amp; "%USERPROFILE%\Documents\GitHub\mrs-test-scripts\Headless Mode &amp; Sideloading\WalkAndUnGZ.bat" "%USERPROFILE%\AppData\Local\Temp\OnboardLogs"\RTDC4031\2017-01-10 &amp; aws s3 cp s3://rtdc.mdm.uploadarchive.raw/RTDC4031/ "%USERPROFILE%\AppData\Local\Temp\OnboardLogs"\RTDC4031\2017-01-11 --exclude "*" --recursive --include "*20170111*" &amp; "%USERPROFILE%\Documents\GitHub\mrs-test-scripts\Headless Mode &amp; Sideloading\WalkAndUnGZ.bat" "%USERPROFILE%\AppData\Local\Temp\OnboardLogs"\RTDC4031\2017-01-11</v>
      </c>
      <c r="AF63" s="84" t="str">
        <f t="shared" si="13"/>
        <v>"C:\Program Files (x86)\AstroGrep\AstroGrep.exe" /spath="%USERPROFILE%\AppData\Local\Temp\OnboardLogs" /stypes="app*4031*20170110*" /stext=" 17:.+((SYSTEM_STATE.+slice.+state.+changed )|(ment ac)|(multiple cpu faults)|(system.+state.+changed )|(\[timeout)|(PRM\|1\|D)|(kpr)|(kdp)|(\|lc)|(penalty))" /e /r /s</v>
      </c>
      <c r="AG63" s="1" t="str">
        <f t="shared" si="14"/>
        <v>EC</v>
      </c>
      <c r="AH63" s="88" t="str">
        <f t="shared" si="18"/>
        <v>"%USERPROFILE%\Documents\GitHub\eaglep3\Utilities\RefineRTDCRunTimes.py" --tripid 151-10 --locoid 4031 --swversion DE.1.0.8.0 --startMP 204:464 --initTime 2017-01-10T09:53:47 --startdatetime 2017-01-10T10:00:14 --delay 2 --endMP 204:233301 --enddatetime 2017-01-10T10:35:51 --enforcementcount 0 &gt;&gt;C:\Users\stu\Documents\GitHub\eaglep3-reporting\EC\2017-01-10-refined-times.txt</v>
      </c>
      <c r="AI63" s="115" t="str">
        <f t="shared" si="19"/>
        <v>echo {"issue":{"subject":"","project_id":79,"tracker_id":40,"status_id":1,"priority_id":2,"assigned_to_id":23,"start_date":"2017-01-10","description":"","custom_fields":[{"id":1,"name":"Subdivision","value":"EC"},{"id":4,"name":"Milepost","value":"23.3301"},{"id":17,"name":"Train ID","value":"151-10"},{"id":16,"name":"Locomotive ID","value":"4031"},{"id":130,"name":"Impact","value":""},{"id":150,"name":"Time of Event (Mountain Time)","value":"10:35:51"},{"id":151,"name":"Denver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0"/>
      <c r="AK63" s="50"/>
      <c r="AL63" s="50"/>
      <c r="AM63" s="180" t="str">
        <f t="shared" si="20"/>
        <v>start /low /b %USERPROFILE%\Documents\GitHub\eaglep3\Utilities\DownloadLogsFromS3.py --loco 4031 --day 2017-01-10</v>
      </c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4" t="s">
        <v>538</v>
      </c>
      <c r="B64" s="7">
        <v>4032</v>
      </c>
      <c r="C64" s="22" t="s">
        <v>202</v>
      </c>
      <c r="D64" s="22" t="s">
        <v>347</v>
      </c>
      <c r="E64" s="13">
        <v>42745.45275462963</v>
      </c>
      <c r="F64" s="13">
        <v>42745.455706018518</v>
      </c>
      <c r="G64" s="7">
        <v>1</v>
      </c>
      <c r="H64" s="22" t="s">
        <v>226</v>
      </c>
      <c r="I64" s="13">
        <v>42745.48369212963</v>
      </c>
      <c r="J64" s="7">
        <v>0</v>
      </c>
      <c r="K64" s="105" t="str">
        <f t="shared" si="0"/>
        <v>4031/4032</v>
      </c>
      <c r="L64" s="22" t="str">
        <f>VLOOKUP(A64,'Trips&amp;Operators'!$C$1:$G$99999,5,FALSE)</f>
        <v>DAVIS WENDY</v>
      </c>
      <c r="M64" s="6">
        <f t="shared" si="1"/>
        <v>2.7986111112113576E-2</v>
      </c>
      <c r="N64" s="7">
        <f t="shared" si="25"/>
        <v>40.30000000144355</v>
      </c>
      <c r="O64" s="7"/>
      <c r="P64" s="7"/>
      <c r="Q64" s="23"/>
      <c r="R64" s="23"/>
      <c r="S64" s="32">
        <f t="shared" si="24"/>
        <v>1</v>
      </c>
      <c r="T64" s="47" t="str">
        <f t="shared" si="4"/>
        <v>Southbound</v>
      </c>
      <c r="U64" s="167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https://search-rtdc-monitor-bjffxe2xuh6vdkpspy63sjmuny.us-east-1.es.amazonaws.com/_plugin/kibana/#/discover/Steve-Slow-Train-Analysis-(2080s-and-2083s)?_g=(refreshInterval:(display:Off,section:0,value:0),time:(from:'2017-01-10 09:51:58-700',mode:absolute,to:'2017-01-10 12:36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64" s="49" t="str">
        <f t="shared" si="6"/>
        <v>N</v>
      </c>
      <c r="X64" s="173">
        <f t="shared" si="22"/>
        <v>1</v>
      </c>
      <c r="Y64" s="64">
        <f t="shared" si="8"/>
        <v>23.297799999999999</v>
      </c>
      <c r="Z64" s="64">
        <f t="shared" si="9"/>
        <v>1.4500000000000001E-2</v>
      </c>
      <c r="AA64" s="64">
        <f t="shared" si="10"/>
        <v>23.283299999999997</v>
      </c>
      <c r="AB64" s="61" t="e">
        <f>VLOOKUP(A64,Enforcements!$C$7:$K$17,8,0)</f>
        <v>#N/A</v>
      </c>
      <c r="AC64" s="57" t="e">
        <f>VLOOKUP(A64,Enforcements!$C$7:$E$17,3,0)</f>
        <v>#N/A</v>
      </c>
      <c r="AD64" s="58" t="str">
        <f t="shared" si="11"/>
        <v>0152-10</v>
      </c>
      <c r="AE64" s="87" t="str">
        <f t="shared" si="12"/>
        <v>aws s3 cp s3://rtdc.mdm.uploadarchive.raw/RTDC4032/ "%USERPROFILE%\AppData\Local\Temp\OnboardLogs"\RTDC4032\2017-01-10 --exclude "*" --recursive --include "*20170110*" &amp; "%USERPROFILE%\Documents\GitHub\mrs-test-scripts\Headless Mode &amp; Sideloading\WalkAndUnGZ.bat" "%USERPROFILE%\AppData\Local\Temp\OnboardLogs"\RTDC4032\2017-01-10 &amp; aws s3 cp s3://rtdc.mdm.uploadarchive.raw/RTDC4032/ "%USERPROFILE%\AppData\Local\Temp\OnboardLogs"\RTDC4032\2017-01-11 --exclude "*" --recursive --include "*20170111*" &amp; "%USERPROFILE%\Documents\GitHub\mrs-test-scripts\Headless Mode &amp; Sideloading\WalkAndUnGZ.bat" "%USERPROFILE%\AppData\Local\Temp\OnboardLogs"\RTDC4032\2017-01-11</v>
      </c>
      <c r="AF64" s="84" t="str">
        <f t="shared" si="13"/>
        <v>"C:\Program Files (x86)\AstroGrep\AstroGrep.exe" /spath="%USERPROFILE%\AppData\Local\Temp\OnboardLogs" /stypes="app*4032*20170110*" /stext=" 18:.+((SYSTEM_STATE.+slice.+state.+changed )|(ment ac)|(multiple cpu faults)|(system.+state.+changed )|(\[timeout)|(PRM\|1\|D)|(kpr)|(kdp)|(\|lc)|(penalty))" /e /r /s</v>
      </c>
      <c r="AG64" s="1" t="str">
        <f t="shared" si="14"/>
        <v>EC</v>
      </c>
      <c r="AH64" s="88" t="str">
        <f t="shared" si="18"/>
        <v>"%USERPROFILE%\Documents\GitHub\eaglep3\Utilities\RefineRTDCRunTimes.py" --tripid 152-10 --locoid 4032 --swversion DE.1.0.8.0 --startMP 204:232978 --initTime 2017-01-10T10:51:58 --startdatetime 2017-01-10T10:56:13 --delay 1 --endMP 204:145 --enddatetime 2017-01-10T11:36:31 --enforcementcount 0 &gt;&gt;C:\Users\stu\Documents\GitHub\eaglep3-reporting\EC\2017-01-10-refined-times.txt</v>
      </c>
      <c r="AI64" s="115" t="str">
        <f t="shared" si="19"/>
        <v>echo {"issue":{"subject":"","project_id":79,"tracker_id":40,"status_id":1,"priority_id":2,"assigned_to_id":23,"start_date":"2017-01-10","description":"","custom_fields":[{"id":1,"name":"Subdivision","value":"EC"},{"id":4,"name":"Milepost","value":"0.0145"},{"id":17,"name":"Train ID","value":"152-10"},{"id":16,"name":"Locomotive ID","value":"4032"},{"id":130,"name":"Impact","value":""},{"id":150,"name":"Time of Event (Mountain Time)","value":"11:36:31"},{"id":151,"name":"Denver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0"/>
      <c r="AK64" s="50"/>
      <c r="AL64" s="50"/>
      <c r="AM64" s="180" t="str">
        <f t="shared" si="20"/>
        <v>start /low /b %USERPROFILE%\Documents\GitHub\eaglep3\Utilities\DownloadLogsFromS3.py --loco 4032 --day 2017-01-10</v>
      </c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4" t="s">
        <v>531</v>
      </c>
      <c r="B65" s="7">
        <v>4016</v>
      </c>
      <c r="C65" s="22" t="s">
        <v>202</v>
      </c>
      <c r="D65" s="22" t="s">
        <v>686</v>
      </c>
      <c r="E65" s="13">
        <v>42745.425023148149</v>
      </c>
      <c r="F65" s="13">
        <v>42745.427442129629</v>
      </c>
      <c r="G65" s="7">
        <v>1</v>
      </c>
      <c r="H65" s="22" t="s">
        <v>687</v>
      </c>
      <c r="I65" s="13">
        <v>42745.452141203707</v>
      </c>
      <c r="J65" s="7">
        <v>0</v>
      </c>
      <c r="K65" s="105" t="str">
        <f t="shared" si="0"/>
        <v>4015/4016</v>
      </c>
      <c r="L65" s="22" t="str">
        <f>VLOOKUP(A65,'Trips&amp;Operators'!$C$1:$G$99999,5,FALSE)</f>
        <v>LOZA FIDEL</v>
      </c>
      <c r="M65" s="6">
        <f t="shared" si="1"/>
        <v>2.4699074077943806E-2</v>
      </c>
      <c r="N65" s="7">
        <f t="shared" si="25"/>
        <v>35.56666667223908</v>
      </c>
      <c r="O65" s="7"/>
      <c r="P65" s="7"/>
      <c r="Q65" s="23"/>
      <c r="R65" s="23"/>
      <c r="S65" s="32">
        <f t="shared" si="24"/>
        <v>1</v>
      </c>
      <c r="T65" s="47" t="str">
        <f t="shared" si="4"/>
        <v>NorthBound</v>
      </c>
      <c r="U65" s="167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https://search-rtdc-monitor-bjffxe2xuh6vdkpspy63sjmuny.us-east-1.es.amazonaws.com/_plugin/kibana/#/discover/Steve-Slow-Train-Analysis-(2080s-and-2083s)?_g=(refreshInterval:(display:Off,section:0,value:0),time:(from:'2017-01-10 09:12:02-700',mode:absolute,to:'2017-01-10 11:51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65" s="49" t="str">
        <f t="shared" si="6"/>
        <v>N</v>
      </c>
      <c r="X65" s="173">
        <f t="shared" si="22"/>
        <v>1</v>
      </c>
      <c r="Y65" s="64">
        <f t="shared" si="8"/>
        <v>4.5999999999999999E-2</v>
      </c>
      <c r="Z65" s="64">
        <f t="shared" si="9"/>
        <v>23.330200000000001</v>
      </c>
      <c r="AA65" s="64">
        <f t="shared" si="10"/>
        <v>23.284200000000002</v>
      </c>
      <c r="AB65" s="61" t="e">
        <f>VLOOKUP(A65,Enforcements!$C$7:$K$17,8,0)</f>
        <v>#N/A</v>
      </c>
      <c r="AC65" s="57" t="e">
        <f>VLOOKUP(A65,Enforcements!$C$7:$E$17,3,0)</f>
        <v>#N/A</v>
      </c>
      <c r="AD65" s="58" t="str">
        <f t="shared" si="11"/>
        <v>0153-10</v>
      </c>
      <c r="AE65" s="87" t="str">
        <f t="shared" si="12"/>
        <v>aws s3 cp s3://rtdc.mdm.uploadarchive.raw/RTDC4016/ "%USERPROFILE%\AppData\Local\Temp\OnboardLogs"\RTDC4016\2017-01-10 --exclude "*" --recursive --include "*20170110*" &amp; "%USERPROFILE%\Documents\GitHub\mrs-test-scripts\Headless Mode &amp; Sideloading\WalkAndUnGZ.bat" "%USERPROFILE%\AppData\Local\Temp\OnboardLogs"\RTDC4016\2017-01-10 &amp; aws s3 cp s3://rtdc.mdm.uploadarchive.raw/RTDC4016/ "%USERPROFILE%\AppData\Local\Temp\OnboardLogs"\RTDC4016\2017-01-11 --exclude "*" --recursive --include "*20170111*" &amp; "%USERPROFILE%\Documents\GitHub\mrs-test-scripts\Headless Mode &amp; Sideloading\WalkAndUnGZ.bat" "%USERPROFILE%\AppData\Local\Temp\OnboardLogs"\RTDC4016\2017-01-11</v>
      </c>
      <c r="AF65" s="84" t="str">
        <f t="shared" si="13"/>
        <v>"C:\Program Files (x86)\AstroGrep\AstroGrep.exe" /spath="%USERPROFILE%\AppData\Local\Temp\OnboardLogs" /stypes="app*4016*20170110*" /stext=" 17:.+((SYSTEM_STATE.+slice.+state.+changed )|(ment ac)|(multiple cpu faults)|(system.+state.+changed )|(\[timeout)|(PRM\|1\|D)|(kpr)|(kdp)|(\|lc)|(penalty))" /e /r /s</v>
      </c>
      <c r="AG65" s="1" t="str">
        <f t="shared" si="14"/>
        <v>EC</v>
      </c>
      <c r="AH65" s="88" t="str">
        <f t="shared" si="18"/>
        <v>"%USERPROFILE%\Documents\GitHub\eaglep3\Utilities\RefineRTDCRunTimes.py" --tripid 153-10 --locoid 4016 --swversion DE.1.0.8.0 --startMP 204:460 --initTime 2017-01-10T10:12:02 --startdatetime 2017-01-10T10:15:31 --delay 1 --endMP 204:233302 --enddatetime 2017-01-10T10:51:05 --enforcementcount 0 &gt;&gt;C:\Users\stu\Documents\GitHub\eaglep3-reporting\EC\2017-01-10-refined-times.txt</v>
      </c>
      <c r="AI65" s="115" t="str">
        <f t="shared" si="19"/>
        <v>echo {"issue":{"subject":"","project_id":79,"tracker_id":40,"status_id":1,"priority_id":2,"assigned_to_id":23,"start_date":"2017-01-10","description":"","custom_fields":[{"id":1,"name":"Subdivision","value":"EC"},{"id":4,"name":"Milepost","value":"23.3302"},{"id":17,"name":"Train ID","value":"153-10"},{"id":16,"name":"Locomotive ID","value":"4016"},{"id":130,"name":"Impact","value":""},{"id":150,"name":"Time of Event (Mountain Time)","value":"10:51:05"},{"id":151,"name":"Denver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0"/>
      <c r="AK65" s="50"/>
      <c r="AL65" s="50"/>
      <c r="AM65" s="180" t="str">
        <f t="shared" si="20"/>
        <v>start /low /b %USERPROFILE%\Documents\GitHub\eaglep3\Utilities\DownloadLogsFromS3.py --loco 4016 --day 2017-01-10</v>
      </c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4" t="s">
        <v>540</v>
      </c>
      <c r="B66" s="7">
        <v>4015</v>
      </c>
      <c r="C66" s="22" t="s">
        <v>202</v>
      </c>
      <c r="D66" s="22" t="s">
        <v>407</v>
      </c>
      <c r="E66" s="13">
        <v>42745.460300925923</v>
      </c>
      <c r="F66" s="13">
        <v>42745.466354166667</v>
      </c>
      <c r="G66" s="7">
        <v>1</v>
      </c>
      <c r="H66" s="22" t="s">
        <v>226</v>
      </c>
      <c r="I66" s="13">
        <v>42745.498680555553</v>
      </c>
      <c r="J66" s="7">
        <v>0</v>
      </c>
      <c r="K66" s="105" t="str">
        <f t="shared" si="0"/>
        <v>4015/4016</v>
      </c>
      <c r="L66" s="22" t="str">
        <f>VLOOKUP(A66,'Trips&amp;Operators'!$C$1:$G$99999,5,FALSE)</f>
        <v>LOZA FIDEL</v>
      </c>
      <c r="M66" s="6">
        <f t="shared" si="1"/>
        <v>3.2326388885849155E-2</v>
      </c>
      <c r="N66" s="7">
        <f t="shared" si="25"/>
        <v>46.549999995622784</v>
      </c>
      <c r="O66" s="7"/>
      <c r="P66" s="7"/>
      <c r="Q66" s="23"/>
      <c r="R66" s="23"/>
      <c r="S66" s="32">
        <f t="shared" si="24"/>
        <v>1</v>
      </c>
      <c r="T66" s="47" t="str">
        <f t="shared" si="4"/>
        <v>Southbound</v>
      </c>
      <c r="U66" s="167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https://search-rtdc-monitor-bjffxe2xuh6vdkpspy63sjmuny.us-east-1.es.amazonaws.com/_plugin/kibana/#/discover/Steve-Slow-Train-Analysis-(2080s-and-2083s)?_g=(refreshInterval:(display:Off,section:0,value:0),time:(from:'2017-01-10 10:02:50-700',mode:absolute,to:'2017-01-10 12:58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66" s="49" t="str">
        <f t="shared" si="6"/>
        <v>N</v>
      </c>
      <c r="X66" s="173">
        <f t="shared" si="22"/>
        <v>1</v>
      </c>
      <c r="Y66" s="64">
        <f t="shared" si="8"/>
        <v>23.299099999999999</v>
      </c>
      <c r="Z66" s="64">
        <f t="shared" si="9"/>
        <v>1.4500000000000001E-2</v>
      </c>
      <c r="AA66" s="64">
        <f t="shared" si="10"/>
        <v>23.284599999999998</v>
      </c>
      <c r="AB66" s="61" t="e">
        <f>VLOOKUP(A66,Enforcements!$C$7:$K$17,8,0)</f>
        <v>#N/A</v>
      </c>
      <c r="AC66" s="57" t="e">
        <f>VLOOKUP(A66,Enforcements!$C$7:$E$17,3,0)</f>
        <v>#N/A</v>
      </c>
      <c r="AD66" s="58" t="str">
        <f t="shared" si="11"/>
        <v>0154-10</v>
      </c>
      <c r="AE66" s="87" t="str">
        <f t="shared" si="12"/>
        <v>aws s3 cp s3://rtdc.mdm.uploadarchive.raw/RTDC4015/ "%USERPROFILE%\AppData\Local\Temp\OnboardLogs"\RTDC4015\2017-01-10 --exclude "*" --recursive --include "*20170110*" &amp; "%USERPROFILE%\Documents\GitHub\mrs-test-scripts\Headless Mode &amp; Sideloading\WalkAndUnGZ.bat" "%USERPROFILE%\AppData\Local\Temp\OnboardLogs"\RTDC4015\2017-01-10 &amp; aws s3 cp s3://rtdc.mdm.uploadarchive.raw/RTDC4015/ "%USERPROFILE%\AppData\Local\Temp\OnboardLogs"\RTDC4015\2017-01-11 --exclude "*" --recursive --include "*20170111*" &amp; "%USERPROFILE%\Documents\GitHub\mrs-test-scripts\Headless Mode &amp; Sideloading\WalkAndUnGZ.bat" "%USERPROFILE%\AppData\Local\Temp\OnboardLogs"\RTDC4015\2017-01-11</v>
      </c>
      <c r="AF66" s="84" t="str">
        <f t="shared" si="13"/>
        <v>"C:\Program Files (x86)\AstroGrep\AstroGrep.exe" /spath="%USERPROFILE%\AppData\Local\Temp\OnboardLogs" /stypes="app*4015*20170110*" /stext=" 18:.+((SYSTEM_STATE.+slice.+state.+changed )|(ment ac)|(multiple cpu faults)|(system.+state.+changed )|(\[timeout)|(PRM\|1\|D)|(kpr)|(kdp)|(\|lc)|(penalty))" /e /r /s</v>
      </c>
      <c r="AG66" s="1" t="str">
        <f t="shared" si="14"/>
        <v>EC</v>
      </c>
      <c r="AH66" s="88" t="str">
        <f t="shared" si="18"/>
        <v>"%USERPROFILE%\Documents\GitHub\eaglep3\Utilities\RefineRTDCRunTimes.py" --tripid 154-10 --locoid 4015 --swversion DE.1.0.8.0 --startMP 204:232991 --initTime 2017-01-10T11:02:50 --startdatetime 2017-01-10T11:11:33 --delay 1 --endMP 204:145 --enddatetime 2017-01-10T11:58:06 --enforcementcount 0 &gt;&gt;C:\Users\stu\Documents\GitHub\eaglep3-reporting\EC\2017-01-10-refined-times.txt</v>
      </c>
      <c r="AI66" s="115" t="str">
        <f t="shared" si="19"/>
        <v>echo {"issue":{"subject":"","project_id":79,"tracker_id":40,"status_id":1,"priority_id":2,"assigned_to_id":23,"start_date":"2017-01-10","description":"","custom_fields":[{"id":1,"name":"Subdivision","value":"EC"},{"id":4,"name":"Milepost","value":"0.0145"},{"id":17,"name":"Train ID","value":"154-10"},{"id":16,"name":"Locomotive ID","value":"4015"},{"id":130,"name":"Impact","value":""},{"id":150,"name":"Time of Event (Mountain Time)","value":"11:58:06"},{"id":151,"name":"Denver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0"/>
      <c r="AK66" s="50"/>
      <c r="AL66" s="50"/>
      <c r="AM66" s="180" t="str">
        <f t="shared" si="20"/>
        <v>start /low /b %USERPROFILE%\Documents\GitHub\eaglep3\Utilities\DownloadLogsFromS3.py --loco 4015 --day 2017-01-10</v>
      </c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4" t="s">
        <v>534</v>
      </c>
      <c r="B67" s="7">
        <v>4007</v>
      </c>
      <c r="C67" s="22" t="s">
        <v>202</v>
      </c>
      <c r="D67" s="22" t="s">
        <v>322</v>
      </c>
      <c r="E67" s="13">
        <v>42745.433888888889</v>
      </c>
      <c r="F67" s="13">
        <v>42745.437847222223</v>
      </c>
      <c r="G67" s="7">
        <v>0</v>
      </c>
      <c r="H67" s="22" t="s">
        <v>688</v>
      </c>
      <c r="I67" s="13">
        <v>42745.462013888886</v>
      </c>
      <c r="J67" s="7">
        <v>0</v>
      </c>
      <c r="K67" s="105" t="str">
        <f t="shared" si="0"/>
        <v>4007/4008</v>
      </c>
      <c r="L67" s="22" t="str">
        <f>VLOOKUP(A67,'Trips&amp;Operators'!$C$1:$G$99999,5,FALSE)</f>
        <v>YORK EDGAR</v>
      </c>
      <c r="M67" s="6">
        <f t="shared" si="1"/>
        <v>2.4166666662495118E-2</v>
      </c>
      <c r="N67" s="7">
        <f t="shared" si="25"/>
        <v>34.799999993992969</v>
      </c>
      <c r="O67" s="7"/>
      <c r="P67" s="7"/>
      <c r="Q67" s="23"/>
      <c r="R67" s="23"/>
      <c r="S67" s="32">
        <f t="shared" si="24"/>
        <v>1</v>
      </c>
      <c r="T67" s="47" t="str">
        <f t="shared" si="4"/>
        <v>NorthBound</v>
      </c>
      <c r="U67" s="167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https://search-rtdc-monitor-bjffxe2xuh6vdkpspy63sjmuny.us-east-1.es.amazonaws.com/_plugin/kibana/#/discover/Steve-Slow-Train-Analysis-(2080s-and-2083s)?_g=(refreshInterval:(display:Off,section:0,value:0),time:(from:'2017-01-10 09:24:48-700',mode:absolute,to:'2017-01-10 12:05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67" s="49" t="str">
        <f t="shared" si="6"/>
        <v>N</v>
      </c>
      <c r="X67" s="173">
        <f t="shared" si="22"/>
        <v>1</v>
      </c>
      <c r="Y67" s="64">
        <f t="shared" si="8"/>
        <v>4.3799999999999999E-2</v>
      </c>
      <c r="Z67" s="64">
        <f t="shared" si="9"/>
        <v>23.325700000000001</v>
      </c>
      <c r="AA67" s="64">
        <f t="shared" si="10"/>
        <v>23.2819</v>
      </c>
      <c r="AB67" s="61" t="e">
        <f>VLOOKUP(A67,Enforcements!$C$7:$K$17,8,0)</f>
        <v>#N/A</v>
      </c>
      <c r="AC67" s="57" t="e">
        <f>VLOOKUP(A67,Enforcements!$C$7:$E$17,3,0)</f>
        <v>#N/A</v>
      </c>
      <c r="AD67" s="58" t="str">
        <f t="shared" si="11"/>
        <v>0155-10</v>
      </c>
      <c r="AE67" s="87" t="str">
        <f t="shared" si="12"/>
        <v>aws s3 cp s3://rtdc.mdm.uploadarchive.raw/RTDC4007/ "%USERPROFILE%\AppData\Local\Temp\OnboardLogs"\RTDC4007\2017-01-10 --exclude "*" --recursive --include "*20170110*" &amp; "%USERPROFILE%\Documents\GitHub\mrs-test-scripts\Headless Mode &amp; Sideloading\WalkAndUnGZ.bat" "%USERPROFILE%\AppData\Local\Temp\OnboardLogs"\RTDC4007\2017-01-10 &amp; aws s3 cp s3://rtdc.mdm.uploadarchive.raw/RTDC4007/ "%USERPROFILE%\AppData\Local\Temp\OnboardLogs"\RTDC4007\2017-01-11 --exclude "*" --recursive --include "*20170111*" &amp; "%USERPROFILE%\Documents\GitHub\mrs-test-scripts\Headless Mode &amp; Sideloading\WalkAndUnGZ.bat" "%USERPROFILE%\AppData\Local\Temp\OnboardLogs"\RTDC4007\2017-01-11</v>
      </c>
      <c r="AF67" s="84" t="str">
        <f t="shared" si="13"/>
        <v>"C:\Program Files (x86)\AstroGrep\AstroGrep.exe" /spath="%USERPROFILE%\AppData\Local\Temp\OnboardLogs" /stypes="app*4007*20170110*" /stext=" 18:.+((SYSTEM_STATE.+slice.+state.+changed )|(ment ac)|(multiple cpu faults)|(system.+state.+changed )|(\[timeout)|(PRM\|1\|D)|(kpr)|(kdp)|(\|lc)|(penalty))" /e /r /s</v>
      </c>
      <c r="AG67" s="1" t="str">
        <f t="shared" si="14"/>
        <v>EC</v>
      </c>
      <c r="AH67" s="88" t="str">
        <f t="shared" si="18"/>
        <v>"%USERPROFILE%\Documents\GitHub\eaglep3\Utilities\RefineRTDCRunTimes.py" --tripid 155-10 --locoid 4007 --swversion DE.1.0.8.0 --startMP 204:438 --initTime 2017-01-10T10:24:48 --startdatetime 2017-01-10T10:30:30 --delay 0 --endMP 204:233257 --enddatetime 2017-01-10T11:05:18 --enforcementcount 0 &gt;&gt;C:\Users\stu\Documents\GitHub\eaglep3-reporting\EC\2017-01-10-refined-times.txt</v>
      </c>
      <c r="AI67" s="115" t="str">
        <f t="shared" si="19"/>
        <v>echo {"issue":{"subject":"","project_id":79,"tracker_id":40,"status_id":1,"priority_id":2,"assigned_to_id":23,"start_date":"2017-01-10","description":"","custom_fields":[{"id":1,"name":"Subdivision","value":"EC"},{"id":4,"name":"Milepost","value":"23.3257"},{"id":17,"name":"Train ID","value":"155-10"},{"id":16,"name":"Locomotive ID","value":"4007"},{"id":130,"name":"Impact","value":""},{"id":150,"name":"Time of Event (Mountain Time)","value":"11:05:18"},{"id":151,"name":"Denver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0"/>
      <c r="AK67" s="50"/>
      <c r="AL67" s="50"/>
      <c r="AM67" s="180" t="str">
        <f t="shared" si="20"/>
        <v>start /low /b %USERPROFILE%\Documents\GitHub\eaglep3\Utilities\DownloadLogsFromS3.py --loco 4007 --day 2017-01-10</v>
      </c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4" t="s">
        <v>541</v>
      </c>
      <c r="B68" s="7">
        <v>4008</v>
      </c>
      <c r="C68" s="22" t="s">
        <v>202</v>
      </c>
      <c r="D68" s="22" t="s">
        <v>320</v>
      </c>
      <c r="E68" s="13">
        <v>42745.463692129626</v>
      </c>
      <c r="F68" s="13">
        <v>42745.477071759262</v>
      </c>
      <c r="G68" s="7">
        <v>1</v>
      </c>
      <c r="H68" s="22" t="s">
        <v>349</v>
      </c>
      <c r="I68" s="13">
        <v>42745.504548611112</v>
      </c>
      <c r="J68" s="7">
        <v>0</v>
      </c>
      <c r="K68" s="105" t="str">
        <f t="shared" si="0"/>
        <v>4007/4008</v>
      </c>
      <c r="L68" s="22" t="str">
        <f>VLOOKUP(A68,'Trips&amp;Operators'!$C$1:$G$99999,5,FALSE)</f>
        <v>YORK EDGAR</v>
      </c>
      <c r="M68" s="6">
        <f t="shared" si="1"/>
        <v>2.7476851850224193E-2</v>
      </c>
      <c r="N68" s="7">
        <f t="shared" si="25"/>
        <v>39.566666664322838</v>
      </c>
      <c r="O68" s="7"/>
      <c r="P68" s="7"/>
      <c r="Q68" s="23"/>
      <c r="R68" s="23"/>
      <c r="S68" s="32">
        <f t="shared" si="24"/>
        <v>1</v>
      </c>
      <c r="T68" s="47" t="str">
        <f t="shared" si="4"/>
        <v>Southbound</v>
      </c>
      <c r="U68" s="167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https://search-rtdc-monitor-bjffxe2xuh6vdkpspy63sjmuny.us-east-1.es.amazonaws.com/_plugin/kibana/#/discover/Steve-Slow-Train-Analysis-(2080s-and-2083s)?_g=(refreshInterval:(display:Off,section:0,value:0),time:(from:'2017-01-10 10:07:43-700',mode:absolute,to:'2017-01-10 13:06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68" s="49" t="str">
        <f t="shared" si="6"/>
        <v>N</v>
      </c>
      <c r="X68" s="173">
        <f t="shared" si="22"/>
        <v>1</v>
      </c>
      <c r="Y68" s="64">
        <f t="shared" si="8"/>
        <v>23.298400000000001</v>
      </c>
      <c r="Z68" s="64">
        <f t="shared" si="9"/>
        <v>1.6299999999999999E-2</v>
      </c>
      <c r="AA68" s="64">
        <f t="shared" si="10"/>
        <v>23.2821</v>
      </c>
      <c r="AB68" s="61" t="e">
        <f>VLOOKUP(A68,Enforcements!$C$7:$K$17,8,0)</f>
        <v>#N/A</v>
      </c>
      <c r="AC68" s="57" t="e">
        <f>VLOOKUP(A68,Enforcements!$C$7:$E$17,3,0)</f>
        <v>#N/A</v>
      </c>
      <c r="AD68" s="58" t="str">
        <f t="shared" si="11"/>
        <v>0156-10</v>
      </c>
      <c r="AE68" s="87" t="str">
        <f t="shared" si="12"/>
        <v>aws s3 cp s3://rtdc.mdm.uploadarchive.raw/RTDC4008/ "%USERPROFILE%\AppData\Local\Temp\OnboardLogs"\RTDC4008\2017-01-10 --exclude "*" --recursive --include "*20170110*" &amp; "%USERPROFILE%\Documents\GitHub\mrs-test-scripts\Headless Mode &amp; Sideloading\WalkAndUnGZ.bat" "%USERPROFILE%\AppData\Local\Temp\OnboardLogs"\RTDC4008\2017-01-10 &amp; aws s3 cp s3://rtdc.mdm.uploadarchive.raw/RTDC4008/ "%USERPROFILE%\AppData\Local\Temp\OnboardLogs"\RTDC4008\2017-01-11 --exclude "*" --recursive --include "*20170111*" &amp; "%USERPROFILE%\Documents\GitHub\mrs-test-scripts\Headless Mode &amp; Sideloading\WalkAndUnGZ.bat" "%USERPROFILE%\AppData\Local\Temp\OnboardLogs"\RTDC4008\2017-01-11</v>
      </c>
      <c r="AF68" s="84" t="str">
        <f t="shared" si="13"/>
        <v>"C:\Program Files (x86)\AstroGrep\AstroGrep.exe" /spath="%USERPROFILE%\AppData\Local\Temp\OnboardLogs" /stypes="app*4008*20170110*" /stext=" 19:.+((SYSTEM_STATE.+slice.+state.+changed )|(ment ac)|(multiple cpu faults)|(system.+state.+changed )|(\[timeout)|(PRM\|1\|D)|(kpr)|(kdp)|(\|lc)|(penalty))" /e /r /s</v>
      </c>
      <c r="AG68" s="1" t="str">
        <f t="shared" si="14"/>
        <v>EC</v>
      </c>
      <c r="AH68" s="88" t="str">
        <f t="shared" si="18"/>
        <v>"%USERPROFILE%\Documents\GitHub\eaglep3\Utilities\RefineRTDCRunTimes.py" --tripid 156-10 --locoid 4008 --swversion DE.1.0.8.0 --startMP 204:232984 --initTime 2017-01-10T11:07:43 --startdatetime 2017-01-10T11:26:59 --delay 1 --endMP 204:163 --enddatetime 2017-01-10T12:06:33 --enforcementcount 0 &gt;&gt;C:\Users\stu\Documents\GitHub\eaglep3-reporting\EC\2017-01-10-refined-times.txt</v>
      </c>
      <c r="AI68" s="115" t="str">
        <f t="shared" si="19"/>
        <v>echo {"issue":{"subject":"","project_id":79,"tracker_id":40,"status_id":1,"priority_id":2,"assigned_to_id":23,"start_date":"2017-01-10","description":"","custom_fields":[{"id":1,"name":"Subdivision","value":"EC"},{"id":4,"name":"Milepost","value":"0.0163"},{"id":17,"name":"Train ID","value":"156-10"},{"id":16,"name":"Locomotive ID","value":"4008"},{"id":130,"name":"Impact","value":""},{"id":150,"name":"Time of Event (Mountain Time)","value":"12:06:33"},{"id":151,"name":"Denver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0"/>
      <c r="AK68" s="50"/>
      <c r="AL68" s="50"/>
      <c r="AM68" s="180" t="str">
        <f t="shared" si="20"/>
        <v>start /low /b %USERPROFILE%\Documents\GitHub\eaglep3\Utilities\DownloadLogsFromS3.py --loco 4008 --day 2017-01-10</v>
      </c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4" t="s">
        <v>537</v>
      </c>
      <c r="B69" s="7">
        <v>4018</v>
      </c>
      <c r="C69" s="22" t="s">
        <v>202</v>
      </c>
      <c r="D69" s="22" t="s">
        <v>282</v>
      </c>
      <c r="E69" s="13">
        <v>42745.446030092593</v>
      </c>
      <c r="F69" s="13">
        <v>42745.448217592595</v>
      </c>
      <c r="G69" s="7">
        <v>1</v>
      </c>
      <c r="H69" s="22" t="s">
        <v>679</v>
      </c>
      <c r="I69" s="13">
        <v>42745.472916666666</v>
      </c>
      <c r="J69" s="7">
        <v>0</v>
      </c>
      <c r="K69" s="105" t="str">
        <f t="shared" si="0"/>
        <v>4017/4018</v>
      </c>
      <c r="L69" s="22" t="str">
        <f>VLOOKUP(A69,'Trips&amp;Operators'!$C$1:$G$99999,5,FALSE)</f>
        <v>DUNCAN SHEILA</v>
      </c>
      <c r="M69" s="6">
        <f t="shared" si="1"/>
        <v>2.4699074070667848E-2</v>
      </c>
      <c r="N69" s="7">
        <f t="shared" si="25"/>
        <v>35.566666661761701</v>
      </c>
      <c r="O69" s="7"/>
      <c r="P69" s="7"/>
      <c r="Q69" s="23"/>
      <c r="R69" s="23"/>
      <c r="S69" s="32">
        <f t="shared" si="24"/>
        <v>1</v>
      </c>
      <c r="T69" s="47" t="str">
        <f t="shared" si="4"/>
        <v>NorthBound</v>
      </c>
      <c r="U69" s="167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https://search-rtdc-monitor-bjffxe2xuh6vdkpspy63sjmuny.us-east-1.es.amazonaws.com/_plugin/kibana/#/discover/Steve-Slow-Train-Analysis-(2080s-and-2083s)?_g=(refreshInterval:(display:Off,section:0,value:0),time:(from:'2017-01-10 09:42:17-700',mode:absolute,to:'2017-01-10 12:21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69" s="49" t="str">
        <f t="shared" si="6"/>
        <v>N</v>
      </c>
      <c r="X69" s="173">
        <f t="shared" si="22"/>
        <v>1</v>
      </c>
      <c r="Y69" s="64">
        <f t="shared" si="8"/>
        <v>4.6699999999999998E-2</v>
      </c>
      <c r="Z69" s="64">
        <f t="shared" si="9"/>
        <v>23.331</v>
      </c>
      <c r="AA69" s="64">
        <f t="shared" si="10"/>
        <v>23.284299999999998</v>
      </c>
      <c r="AB69" s="61" t="e">
        <f>VLOOKUP(A69,Enforcements!$C$7:$K$17,8,0)</f>
        <v>#N/A</v>
      </c>
      <c r="AC69" s="57" t="e">
        <f>VLOOKUP(A69,Enforcements!$C$7:$E$17,3,0)</f>
        <v>#N/A</v>
      </c>
      <c r="AD69" s="58" t="str">
        <f t="shared" si="11"/>
        <v>0157-10</v>
      </c>
      <c r="AE69" s="87" t="str">
        <f t="shared" si="12"/>
        <v>aws s3 cp s3://rtdc.mdm.uploadarchive.raw/RTDC4018/ "%USERPROFILE%\AppData\Local\Temp\OnboardLogs"\RTDC4018\2017-01-10 --exclude "*" --recursive --include "*20170110*" &amp; "%USERPROFILE%\Documents\GitHub\mrs-test-scripts\Headless Mode &amp; Sideloading\WalkAndUnGZ.bat" "%USERPROFILE%\AppData\Local\Temp\OnboardLogs"\RTDC4018\2017-01-10 &amp; aws s3 cp s3://rtdc.mdm.uploadarchive.raw/RTDC4018/ "%USERPROFILE%\AppData\Local\Temp\OnboardLogs"\RTDC4018\2017-01-11 --exclude "*" --recursive --include "*20170111*" &amp; "%USERPROFILE%\Documents\GitHub\mrs-test-scripts\Headless Mode &amp; Sideloading\WalkAndUnGZ.bat" "%USERPROFILE%\AppData\Local\Temp\OnboardLogs"\RTDC4018\2017-01-11</v>
      </c>
      <c r="AF69" s="84" t="str">
        <f t="shared" si="13"/>
        <v>"C:\Program Files (x86)\AstroGrep\AstroGrep.exe" /spath="%USERPROFILE%\AppData\Local\Temp\OnboardLogs" /stypes="app*4018*20170110*" /stext=" 18:.+((SYSTEM_STATE.+slice.+state.+changed )|(ment ac)|(multiple cpu faults)|(system.+state.+changed )|(\[timeout)|(PRM\|1\|D)|(kpr)|(kdp)|(\|lc)|(penalty))" /e /r /s</v>
      </c>
      <c r="AG69" s="1" t="str">
        <f t="shared" si="14"/>
        <v>EC</v>
      </c>
      <c r="AH69" s="88" t="str">
        <f t="shared" si="18"/>
        <v>"%USERPROFILE%\Documents\GitHub\eaglep3\Utilities\RefineRTDCRunTimes.py" --tripid 157-10 --locoid 4018 --swversion DE.1.0.8.0 --startMP 204:467 --initTime 2017-01-10T10:42:17 --startdatetime 2017-01-10T10:45:26 --delay 1 --endMP 204:233310 --enddatetime 2017-01-10T11:21:00 --enforcementcount 0 &gt;&gt;C:\Users\stu\Documents\GitHub\eaglep3-reporting\EC\2017-01-10-refined-times.txt</v>
      </c>
      <c r="AI69" s="115" t="str">
        <f t="shared" si="19"/>
        <v>echo {"issue":{"subject":"","project_id":79,"tracker_id":40,"status_id":1,"priority_id":2,"assigned_to_id":23,"start_date":"2017-01-10","description":"","custom_fields":[{"id":1,"name":"Subdivision","value":"EC"},{"id":4,"name":"Milepost","value":"23.331"},{"id":17,"name":"Train ID","value":"157-10"},{"id":16,"name":"Locomotive ID","value":"4018"},{"id":130,"name":"Impact","value":""},{"id":150,"name":"Time of Event (Mountain Time)","value":"11:21:00"},{"id":151,"name":"Denver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0"/>
      <c r="AK69" s="50"/>
      <c r="AL69" s="50"/>
      <c r="AM69" s="180" t="str">
        <f t="shared" si="20"/>
        <v>start /low /b %USERPROFILE%\Documents\GitHub\eaglep3\Utilities\DownloadLogsFromS3.py --loco 4018 --day 2017-01-10</v>
      </c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4" t="s">
        <v>545</v>
      </c>
      <c r="B70" s="7">
        <v>4017</v>
      </c>
      <c r="C70" s="22" t="s">
        <v>202</v>
      </c>
      <c r="D70" s="22" t="s">
        <v>340</v>
      </c>
      <c r="E70" s="13">
        <v>42745.47761574074</v>
      </c>
      <c r="F70" s="13">
        <v>42745.487141203703</v>
      </c>
      <c r="G70" s="7">
        <v>1</v>
      </c>
      <c r="H70" s="22" t="s">
        <v>268</v>
      </c>
      <c r="I70" s="13">
        <v>42745.515092592592</v>
      </c>
      <c r="J70" s="7">
        <v>0</v>
      </c>
      <c r="K70" s="105" t="str">
        <f t="shared" si="0"/>
        <v>4017/4018</v>
      </c>
      <c r="L70" s="22" t="str">
        <f>VLOOKUP(A70,'Trips&amp;Operators'!$C$1:$G$99999,5,FALSE)</f>
        <v>DUNCAN SHEILA</v>
      </c>
      <c r="M70" s="6">
        <f t="shared" si="1"/>
        <v>2.7951388889050577E-2</v>
      </c>
      <c r="N70" s="7">
        <f t="shared" si="25"/>
        <v>40.250000000232831</v>
      </c>
      <c r="O70" s="7"/>
      <c r="P70" s="7"/>
      <c r="Q70" s="23"/>
      <c r="R70" s="23"/>
      <c r="S70" s="32">
        <f t="shared" si="24"/>
        <v>1</v>
      </c>
      <c r="T70" s="47" t="str">
        <f t="shared" si="4"/>
        <v>Southbound</v>
      </c>
      <c r="U70" s="167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https://search-rtdc-monitor-bjffxe2xuh6vdkpspy63sjmuny.us-east-1.es.amazonaws.com/_plugin/kibana/#/discover/Steve-Slow-Train-Analysis-(2080s-and-2083s)?_g=(refreshInterval:(display:Off,section:0,value:0),time:(from:'2017-01-10 10:27:46-700',mode:absolute,to:'2017-01-10 13:21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70" s="49" t="str">
        <f t="shared" si="6"/>
        <v>N</v>
      </c>
      <c r="X70" s="173">
        <f t="shared" si="22"/>
        <v>1</v>
      </c>
      <c r="Y70" s="64">
        <f t="shared" si="8"/>
        <v>23.298500000000001</v>
      </c>
      <c r="Z70" s="64">
        <f t="shared" si="9"/>
        <v>1.52E-2</v>
      </c>
      <c r="AA70" s="64">
        <f t="shared" si="10"/>
        <v>23.283300000000001</v>
      </c>
      <c r="AB70" s="61" t="e">
        <f>VLOOKUP(A70,Enforcements!$C$7:$K$17,8,0)</f>
        <v>#N/A</v>
      </c>
      <c r="AC70" s="57" t="e">
        <f>VLOOKUP(A70,Enforcements!$C$7:$E$17,3,0)</f>
        <v>#N/A</v>
      </c>
      <c r="AD70" s="58" t="str">
        <f t="shared" si="11"/>
        <v>0158-10</v>
      </c>
      <c r="AE70" s="87" t="str">
        <f t="shared" si="12"/>
        <v>aws s3 cp s3://rtdc.mdm.uploadarchive.raw/RTDC4017/ "%USERPROFILE%\AppData\Local\Temp\OnboardLogs"\RTDC4017\2017-01-10 --exclude "*" --recursive --include "*20170110*" &amp; "%USERPROFILE%\Documents\GitHub\mrs-test-scripts\Headless Mode &amp; Sideloading\WalkAndUnGZ.bat" "%USERPROFILE%\AppData\Local\Temp\OnboardLogs"\RTDC4017\2017-01-10 &amp; aws s3 cp s3://rtdc.mdm.uploadarchive.raw/RTDC4017/ "%USERPROFILE%\AppData\Local\Temp\OnboardLogs"\RTDC4017\2017-01-11 --exclude "*" --recursive --include "*20170111*" &amp; "%USERPROFILE%\Documents\GitHub\mrs-test-scripts\Headless Mode &amp; Sideloading\WalkAndUnGZ.bat" "%USERPROFILE%\AppData\Local\Temp\OnboardLogs"\RTDC4017\2017-01-11</v>
      </c>
      <c r="AF70" s="84" t="str">
        <f t="shared" si="13"/>
        <v>"C:\Program Files (x86)\AstroGrep\AstroGrep.exe" /spath="%USERPROFILE%\AppData\Local\Temp\OnboardLogs" /stypes="app*4017*20170110*" /stext=" 19:.+((SYSTEM_STATE.+slice.+state.+changed )|(ment ac)|(multiple cpu faults)|(system.+state.+changed )|(\[timeout)|(PRM\|1\|D)|(kpr)|(kdp)|(\|lc)|(penalty))" /e /r /s</v>
      </c>
      <c r="AG70" s="1" t="str">
        <f t="shared" si="14"/>
        <v>EC</v>
      </c>
      <c r="AH70" s="88" t="str">
        <f t="shared" si="18"/>
        <v>"%USERPROFILE%\Documents\GitHub\eaglep3\Utilities\RefineRTDCRunTimes.py" --tripid 158-10 --locoid 4017 --swversion DE.1.0.8.0 --startMP 204:232985 --initTime 2017-01-10T11:27:46 --startdatetime 2017-01-10T11:41:29 --delay 1 --endMP 204:152 --enddatetime 2017-01-10T12:21:44 --enforcementcount 0 &gt;&gt;C:\Users\stu\Documents\GitHub\eaglep3-reporting\EC\2017-01-10-refined-times.txt</v>
      </c>
      <c r="AI70" s="115" t="str">
        <f t="shared" si="19"/>
        <v>echo {"issue":{"subject":"","project_id":79,"tracker_id":40,"status_id":1,"priority_id":2,"assigned_to_id":23,"start_date":"2017-01-10","description":"","custom_fields":[{"id":1,"name":"Subdivision","value":"EC"},{"id":4,"name":"Milepost","value":"0.0152"},{"id":17,"name":"Train ID","value":"158-10"},{"id":16,"name":"Locomotive ID","value":"4017"},{"id":130,"name":"Impact","value":""},{"id":150,"name":"Time of Event (Mountain Time)","value":"12:21:44"},{"id":151,"name":"Denver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0"/>
      <c r="AK70" s="50"/>
      <c r="AL70" s="50"/>
      <c r="AM70" s="180" t="str">
        <f t="shared" si="20"/>
        <v>start /low /b %USERPROFILE%\Documents\GitHub\eaglep3\Utilities\DownloadLogsFromS3.py --loco 4017 --day 2017-01-10</v>
      </c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4" t="s">
        <v>539</v>
      </c>
      <c r="B71" s="7">
        <v>4025</v>
      </c>
      <c r="C71" s="22" t="s">
        <v>202</v>
      </c>
      <c r="D71" s="22" t="s">
        <v>361</v>
      </c>
      <c r="E71" s="13">
        <v>42745.455335648148</v>
      </c>
      <c r="F71" s="13">
        <v>42745.458831018521</v>
      </c>
      <c r="G71" s="7">
        <v>1</v>
      </c>
      <c r="H71" s="22" t="s">
        <v>397</v>
      </c>
      <c r="I71" s="13">
        <v>42745.484837962962</v>
      </c>
      <c r="J71" s="7">
        <v>0</v>
      </c>
      <c r="K71" s="105" t="str">
        <f t="shared" si="0"/>
        <v>4025/4026</v>
      </c>
      <c r="L71" s="22" t="str">
        <f>VLOOKUP(A71,'Trips&amp;Operators'!$C$1:$G$99999,5,FALSE)</f>
        <v>DAVIS MICHAEL</v>
      </c>
      <c r="M71" s="6">
        <f t="shared" si="1"/>
        <v>2.6006944441178348E-2</v>
      </c>
      <c r="N71" s="7">
        <f t="shared" si="25"/>
        <v>37.449999995296821</v>
      </c>
      <c r="O71" s="7"/>
      <c r="P71" s="7"/>
      <c r="Q71" s="23"/>
      <c r="R71" s="23"/>
      <c r="S71" s="32">
        <f t="shared" si="24"/>
        <v>1</v>
      </c>
      <c r="T71" s="47" t="str">
        <f t="shared" si="4"/>
        <v>NorthBound</v>
      </c>
      <c r="U71" s="167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https://search-rtdc-monitor-bjffxe2xuh6vdkpspy63sjmuny.us-east-1.es.amazonaws.com/_plugin/kibana/#/discover/Steve-Slow-Train-Analysis-(2080s-and-2083s)?_g=(refreshInterval:(display:Off,section:0,value:0),time:(from:'2017-01-10 09:55:41-700',mode:absolute,to:'2017-01-10 12:38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71" s="49" t="str">
        <f t="shared" si="6"/>
        <v>N</v>
      </c>
      <c r="X71" s="173">
        <f t="shared" si="22"/>
        <v>1</v>
      </c>
      <c r="Y71" s="64">
        <f t="shared" si="8"/>
        <v>4.3499999999999997E-2</v>
      </c>
      <c r="Z71" s="64">
        <f t="shared" si="9"/>
        <v>23.3278</v>
      </c>
      <c r="AA71" s="64">
        <f t="shared" si="10"/>
        <v>23.284299999999998</v>
      </c>
      <c r="AB71" s="61" t="e">
        <f>VLOOKUP(A71,Enforcements!$C$7:$K$17,8,0)</f>
        <v>#N/A</v>
      </c>
      <c r="AC71" s="57" t="e">
        <f>VLOOKUP(A71,Enforcements!$C$7:$E$17,3,0)</f>
        <v>#N/A</v>
      </c>
      <c r="AD71" s="58" t="str">
        <f t="shared" si="11"/>
        <v>0159-10</v>
      </c>
      <c r="AE71" s="87" t="str">
        <f t="shared" si="12"/>
        <v>aws s3 cp s3://rtdc.mdm.uploadarchive.raw/RTDC4025/ "%USERPROFILE%\AppData\Local\Temp\OnboardLogs"\RTDC4025\2017-01-10 --exclude "*" --recursive --include "*20170110*" &amp; "%USERPROFILE%\Documents\GitHub\mrs-test-scripts\Headless Mode &amp; Sideloading\WalkAndUnGZ.bat" "%USERPROFILE%\AppData\Local\Temp\OnboardLogs"\RTDC4025\2017-01-10 &amp; aws s3 cp s3://rtdc.mdm.uploadarchive.raw/RTDC4025/ "%USERPROFILE%\AppData\Local\Temp\OnboardLogs"\RTDC4025\2017-01-11 --exclude "*" --recursive --include "*20170111*" &amp; "%USERPROFILE%\Documents\GitHub\mrs-test-scripts\Headless Mode &amp; Sideloading\WalkAndUnGZ.bat" "%USERPROFILE%\AppData\Local\Temp\OnboardLogs"\RTDC4025\2017-01-11</v>
      </c>
      <c r="AF71" s="84" t="str">
        <f t="shared" si="13"/>
        <v>"C:\Program Files (x86)\AstroGrep\AstroGrep.exe" /spath="%USERPROFILE%\AppData\Local\Temp\OnboardLogs" /stypes="app*4025*20170110*" /stext=" 18:.+((SYSTEM_STATE.+slice.+state.+changed )|(ment ac)|(multiple cpu faults)|(system.+state.+changed )|(\[timeout)|(PRM\|1\|D)|(kpr)|(kdp)|(\|lc)|(penalty))" /e /r /s</v>
      </c>
      <c r="AG71" s="1" t="str">
        <f t="shared" si="14"/>
        <v>EC</v>
      </c>
      <c r="AH71" s="88" t="str">
        <f t="shared" si="18"/>
        <v>"%USERPROFILE%\Documents\GitHub\eaglep3\Utilities\RefineRTDCRunTimes.py" --tripid 159-10 --locoid 4025 --swversion DE.1.0.8.0 --startMP 204:435 --initTime 2017-01-10T10:55:41 --startdatetime 2017-01-10T11:00:43 --delay 1 --endMP 204:233278 --enddatetime 2017-01-10T11:38:10 --enforcementcount 0 &gt;&gt;C:\Users\stu\Documents\GitHub\eaglep3-reporting\EC\2017-01-10-refined-times.txt</v>
      </c>
      <c r="AI71" s="115" t="str">
        <f t="shared" si="19"/>
        <v>echo {"issue":{"subject":"","project_id":79,"tracker_id":40,"status_id":1,"priority_id":2,"assigned_to_id":23,"start_date":"2017-01-10","description":"","custom_fields":[{"id":1,"name":"Subdivision","value":"EC"},{"id":4,"name":"Milepost","value":"23.3278"},{"id":17,"name":"Train ID","value":"159-10"},{"id":16,"name":"Locomotive ID","value":"4025"},{"id":130,"name":"Impact","value":""},{"id":150,"name":"Time of Event (Mountain Time)","value":"11:38:10"},{"id":151,"name":"Denver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0"/>
      <c r="AK71" s="50"/>
      <c r="AL71" s="50"/>
      <c r="AM71" s="180" t="str">
        <f t="shared" si="20"/>
        <v>start /low /b %USERPROFILE%\Documents\GitHub\eaglep3\Utilities\DownloadLogsFromS3.py --loco 4025 --day 2017-01-10</v>
      </c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4" t="s">
        <v>551</v>
      </c>
      <c r="B72" s="7">
        <v>4026</v>
      </c>
      <c r="C72" s="22" t="s">
        <v>202</v>
      </c>
      <c r="D72" s="22" t="s">
        <v>408</v>
      </c>
      <c r="E72" s="13">
        <v>42745.49454861111</v>
      </c>
      <c r="F72" s="13">
        <v>42745.498645833337</v>
      </c>
      <c r="G72" s="7">
        <v>1</v>
      </c>
      <c r="H72" s="22" t="s">
        <v>241</v>
      </c>
      <c r="I72" s="13">
        <v>42745.531863425924</v>
      </c>
      <c r="J72" s="7">
        <v>0</v>
      </c>
      <c r="K72" s="105" t="str">
        <f t="shared" si="0"/>
        <v>4025/4026</v>
      </c>
      <c r="L72" s="22" t="str">
        <f>VLOOKUP(A72,'Trips&amp;Operators'!$C$1:$G$99999,5,FALSE)</f>
        <v>DAVIS MICHAEL</v>
      </c>
      <c r="M72" s="6">
        <f t="shared" si="1"/>
        <v>3.3217592586879618E-2</v>
      </c>
      <c r="N72" s="7">
        <f t="shared" si="25"/>
        <v>47.833333325106651</v>
      </c>
      <c r="O72" s="7"/>
      <c r="P72" s="7"/>
      <c r="Q72" s="23"/>
      <c r="R72" s="23"/>
      <c r="S72" s="32">
        <f t="shared" si="24"/>
        <v>1</v>
      </c>
      <c r="T72" s="47" t="str">
        <f t="shared" si="4"/>
        <v>Southbound</v>
      </c>
      <c r="U72" s="167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https://search-rtdc-monitor-bjffxe2xuh6vdkpspy63sjmuny.us-east-1.es.amazonaws.com/_plugin/kibana/#/discover/Steve-Slow-Train-Analysis-(2080s-and-2083s)?_g=(refreshInterval:(display:Off,section:0,value:0),time:(from:'2017-01-10 10:52:09-700',mode:absolute,to:'2017-01-10 13:45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72" s="49" t="str">
        <f t="shared" si="6"/>
        <v>N</v>
      </c>
      <c r="X72" s="173">
        <f t="shared" si="22"/>
        <v>1</v>
      </c>
      <c r="Y72" s="64">
        <f t="shared" si="8"/>
        <v>23.296299999999999</v>
      </c>
      <c r="Z72" s="64">
        <f t="shared" si="9"/>
        <v>1.47E-2</v>
      </c>
      <c r="AA72" s="64">
        <f t="shared" si="10"/>
        <v>23.281599999999997</v>
      </c>
      <c r="AB72" s="61" t="e">
        <f>VLOOKUP(A72,Enforcements!$C$7:$K$17,8,0)</f>
        <v>#N/A</v>
      </c>
      <c r="AC72" s="57" t="e">
        <f>VLOOKUP(A72,Enforcements!$C$7:$E$17,3,0)</f>
        <v>#N/A</v>
      </c>
      <c r="AD72" s="58" t="str">
        <f t="shared" si="11"/>
        <v>0160-10</v>
      </c>
      <c r="AE72" s="87" t="str">
        <f t="shared" si="12"/>
        <v>aws s3 cp s3://rtdc.mdm.uploadarchive.raw/RTDC4026/ "%USERPROFILE%\AppData\Local\Temp\OnboardLogs"\RTDC4026\2017-01-10 --exclude "*" --recursive --include "*20170110*" &amp; "%USERPROFILE%\Documents\GitHub\mrs-test-scripts\Headless Mode &amp; Sideloading\WalkAndUnGZ.bat" "%USERPROFILE%\AppData\Local\Temp\OnboardLogs"\RTDC4026\2017-01-10 &amp; aws s3 cp s3://rtdc.mdm.uploadarchive.raw/RTDC4026/ "%USERPROFILE%\AppData\Local\Temp\OnboardLogs"\RTDC4026\2017-01-11 --exclude "*" --recursive --include "*20170111*" &amp; "%USERPROFILE%\Documents\GitHub\mrs-test-scripts\Headless Mode &amp; Sideloading\WalkAndUnGZ.bat" "%USERPROFILE%\AppData\Local\Temp\OnboardLogs"\RTDC4026\2017-01-11</v>
      </c>
      <c r="AF72" s="84" t="str">
        <f t="shared" si="13"/>
        <v>"C:\Program Files (x86)\AstroGrep\AstroGrep.exe" /spath="%USERPROFILE%\AppData\Local\Temp\OnboardLogs" /stypes="app*4026*20170110*" /stext=" 19:.+((SYSTEM_STATE.+slice.+state.+changed )|(ment ac)|(multiple cpu faults)|(system.+state.+changed )|(\[timeout)|(PRM\|1\|D)|(kpr)|(kdp)|(\|lc)|(penalty))" /e /r /s</v>
      </c>
      <c r="AG72" s="1" t="str">
        <f t="shared" si="14"/>
        <v>EC</v>
      </c>
      <c r="AH72" s="88" t="str">
        <f t="shared" si="18"/>
        <v>"%USERPROFILE%\Documents\GitHub\eaglep3\Utilities\RefineRTDCRunTimes.py" --tripid 160-10 --locoid 4026 --swversion DE.1.0.8.0 --startMP 204:232963 --initTime 2017-01-10T11:52:09 --startdatetime 2017-01-10T11:58:03 --delay 1 --endMP 204:147 --enddatetime 2017-01-10T12:45:53 --enforcementcount 0 &gt;&gt;C:\Users\stu\Documents\GitHub\eaglep3-reporting\EC\2017-01-10-refined-times.txt</v>
      </c>
      <c r="AI72" s="115" t="str">
        <f t="shared" si="19"/>
        <v>echo {"issue":{"subject":"","project_id":79,"tracker_id":40,"status_id":1,"priority_id":2,"assigned_to_id":23,"start_date":"2017-01-10","description":"","custom_fields":[{"id":1,"name":"Subdivision","value":"EC"},{"id":4,"name":"Milepost","value":"0.0147"},{"id":17,"name":"Train ID","value":"160-10"},{"id":16,"name":"Locomotive ID","value":"4026"},{"id":130,"name":"Impact","value":""},{"id":150,"name":"Time of Event (Mountain Time)","value":"12:45:53"},{"id":151,"name":"Denver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0"/>
      <c r="AK72" s="50"/>
      <c r="AL72" s="50"/>
      <c r="AM72" s="180" t="str">
        <f t="shared" si="20"/>
        <v>start /low /b %USERPROFILE%\Documents\GitHub\eaglep3\Utilities\DownloadLogsFromS3.py --loco 4026 --day 2017-01-10</v>
      </c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4" t="s">
        <v>542</v>
      </c>
      <c r="B73" s="7">
        <v>4020</v>
      </c>
      <c r="C73" s="22" t="s">
        <v>202</v>
      </c>
      <c r="D73" s="22" t="s">
        <v>193</v>
      </c>
      <c r="E73" s="13">
        <v>42745.465208333335</v>
      </c>
      <c r="F73" s="13">
        <v>42745.468993055554</v>
      </c>
      <c r="G73" s="7">
        <v>1</v>
      </c>
      <c r="H73" s="22" t="s">
        <v>292</v>
      </c>
      <c r="I73" s="13">
        <v>42745.494120370371</v>
      </c>
      <c r="J73" s="7">
        <v>0</v>
      </c>
      <c r="K73" s="105" t="str">
        <f t="shared" si="0"/>
        <v>4019/4020</v>
      </c>
      <c r="L73" s="22" t="str">
        <f>VLOOKUP(A73,'Trips&amp;Operators'!$C$1:$G$99999,5,FALSE)</f>
        <v>YANG JAN</v>
      </c>
      <c r="M73" s="6">
        <f t="shared" si="1"/>
        <v>2.5127314816927537E-2</v>
      </c>
      <c r="N73" s="7">
        <f t="shared" si="25"/>
        <v>36.183333336375654</v>
      </c>
      <c r="O73" s="7"/>
      <c r="P73" s="7"/>
      <c r="Q73" s="23"/>
      <c r="R73" s="23"/>
      <c r="S73" s="32">
        <f t="shared" si="24"/>
        <v>1</v>
      </c>
      <c r="T73" s="47" t="str">
        <f t="shared" si="4"/>
        <v>NorthBound</v>
      </c>
      <c r="U73" s="167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https://search-rtdc-monitor-bjffxe2xuh6vdkpspy63sjmuny.us-east-1.es.amazonaws.com/_plugin/kibana/#/discover/Steve-Slow-Train-Analysis-(2080s-and-2083s)?_g=(refreshInterval:(display:Off,section:0,value:0),time:(from:'2017-01-10 10:09:54-700',mode:absolute,to:'2017-01-10 12:51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73" s="49" t="str">
        <f t="shared" si="6"/>
        <v>N</v>
      </c>
      <c r="X73" s="173">
        <f t="shared" si="22"/>
        <v>1</v>
      </c>
      <c r="Y73" s="64">
        <f t="shared" si="8"/>
        <v>4.5100000000000001E-2</v>
      </c>
      <c r="Z73" s="64">
        <f t="shared" si="9"/>
        <v>23.329799999999999</v>
      </c>
      <c r="AA73" s="64">
        <f t="shared" si="10"/>
        <v>23.284699999999997</v>
      </c>
      <c r="AB73" s="61" t="e">
        <f>VLOOKUP(A73,Enforcements!$C$7:$K$17,8,0)</f>
        <v>#N/A</v>
      </c>
      <c r="AC73" s="57" t="e">
        <f>VLOOKUP(A73,Enforcements!$C$7:$E$17,3,0)</f>
        <v>#N/A</v>
      </c>
      <c r="AD73" s="58" t="str">
        <f t="shared" si="11"/>
        <v>0161-10</v>
      </c>
      <c r="AE73" s="87" t="str">
        <f t="shared" si="12"/>
        <v>aws s3 cp s3://rtdc.mdm.uploadarchive.raw/RTDC4020/ "%USERPROFILE%\AppData\Local\Temp\OnboardLogs"\RTDC4020\2017-01-10 --exclude "*" --recursive --include "*20170110*" &amp; "%USERPROFILE%\Documents\GitHub\mrs-test-scripts\Headless Mode &amp; Sideloading\WalkAndUnGZ.bat" "%USERPROFILE%\AppData\Local\Temp\OnboardLogs"\RTDC4020\2017-01-10 &amp; aws s3 cp s3://rtdc.mdm.uploadarchive.raw/RTDC4020/ "%USERPROFILE%\AppData\Local\Temp\OnboardLogs"\RTDC4020\2017-01-11 --exclude "*" --recursive --include "*20170111*" &amp; "%USERPROFILE%\Documents\GitHub\mrs-test-scripts\Headless Mode &amp; Sideloading\WalkAndUnGZ.bat" "%USERPROFILE%\AppData\Local\Temp\OnboardLogs"\RTDC4020\2017-01-11</v>
      </c>
      <c r="AF73" s="84" t="str">
        <f t="shared" si="13"/>
        <v>"C:\Program Files (x86)\AstroGrep\AstroGrep.exe" /spath="%USERPROFILE%\AppData\Local\Temp\OnboardLogs" /stypes="app*4020*20170110*" /stext=" 18:.+((SYSTEM_STATE.+slice.+state.+changed )|(ment ac)|(multiple cpu faults)|(system.+state.+changed )|(\[timeout)|(PRM\|1\|D)|(kpr)|(kdp)|(\|lc)|(penalty))" /e /r /s</v>
      </c>
      <c r="AG73" s="1" t="str">
        <f t="shared" si="14"/>
        <v>EC</v>
      </c>
      <c r="AH73" s="88" t="str">
        <f t="shared" si="18"/>
        <v>"%USERPROFILE%\Documents\GitHub\eaglep3\Utilities\RefineRTDCRunTimes.py" --tripid 161-10 --locoid 4020 --swversion DE.1.0.8.0 --startMP 204:451 --initTime 2017-01-10T11:09:54 --startdatetime 2017-01-10T11:15:21 --delay 1 --endMP 204:233298 --enddatetime 2017-01-10T11:51:32 --enforcementcount 0 &gt;&gt;C:\Users\stu\Documents\GitHub\eaglep3-reporting\EC\2017-01-10-refined-times.txt</v>
      </c>
      <c r="AI73" s="115" t="str">
        <f t="shared" si="19"/>
        <v>echo {"issue":{"subject":"","project_id":79,"tracker_id":40,"status_id":1,"priority_id":2,"assigned_to_id":23,"start_date":"2017-01-10","description":"","custom_fields":[{"id":1,"name":"Subdivision","value":"EC"},{"id":4,"name":"Milepost","value":"23.3298"},{"id":17,"name":"Train ID","value":"161-10"},{"id":16,"name":"Locomotive ID","value":"4020"},{"id":130,"name":"Impact","value":""},{"id":150,"name":"Time of Event (Mountain Time)","value":"11:51:32"},{"id":151,"name":"Denver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0"/>
      <c r="AK73" s="50"/>
      <c r="AL73" s="50"/>
      <c r="AM73" s="180" t="str">
        <f t="shared" si="20"/>
        <v>start /low /b %USERPROFILE%\Documents\GitHub\eaglep3\Utilities\DownloadLogsFromS3.py --loco 4020 --day 2017-01-10</v>
      </c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4" t="s">
        <v>436</v>
      </c>
      <c r="B74" s="7">
        <v>4019</v>
      </c>
      <c r="C74" s="22" t="s">
        <v>202</v>
      </c>
      <c r="D74" s="22" t="s">
        <v>680</v>
      </c>
      <c r="E74" s="13">
        <v>42745.504143518519</v>
      </c>
      <c r="F74" s="13">
        <v>42745.507986111108</v>
      </c>
      <c r="G74" s="7">
        <v>1</v>
      </c>
      <c r="H74" s="22" t="s">
        <v>349</v>
      </c>
      <c r="I74" s="13">
        <v>42745.540798611109</v>
      </c>
      <c r="J74" s="7">
        <v>0</v>
      </c>
      <c r="K74" s="105" t="str">
        <f t="shared" si="0"/>
        <v>4019/4020</v>
      </c>
      <c r="L74" s="22" t="str">
        <f>VLOOKUP(A74,'Trips&amp;Operators'!$C$1:$G$99999,5,FALSE)</f>
        <v>YANG JAN</v>
      </c>
      <c r="M74" s="6">
        <f t="shared" si="1"/>
        <v>3.2812500001455192E-2</v>
      </c>
      <c r="N74" s="7">
        <f t="shared" si="25"/>
        <v>47.250000002095476</v>
      </c>
      <c r="O74" s="7"/>
      <c r="P74" s="7"/>
      <c r="Q74" s="23"/>
      <c r="R74" s="23"/>
      <c r="S74" s="32">
        <f t="shared" si="24"/>
        <v>1</v>
      </c>
      <c r="T74" s="47" t="str">
        <f t="shared" si="4"/>
        <v>Southbound</v>
      </c>
      <c r="U74" s="167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https://search-rtdc-monitor-bjffxe2xuh6vdkpspy63sjmuny.us-east-1.es.amazonaws.com/_plugin/kibana/#/discover/Steve-Slow-Train-Analysis-(2080s-and-2083s)?_g=(refreshInterval:(display:Off,section:0,value:0),time:(from:'2017-01-10 11:05:58-700',mode:absolute,to:'2017-01-10 13:58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74" s="49" t="str">
        <f t="shared" si="6"/>
        <v>N</v>
      </c>
      <c r="X74" s="173">
        <f t="shared" si="22"/>
        <v>1</v>
      </c>
      <c r="Y74" s="64">
        <f t="shared" si="8"/>
        <v>23.298100000000002</v>
      </c>
      <c r="Z74" s="64">
        <f t="shared" si="9"/>
        <v>1.6299999999999999E-2</v>
      </c>
      <c r="AA74" s="64">
        <f t="shared" si="10"/>
        <v>23.2818</v>
      </c>
      <c r="AB74" s="61" t="str">
        <f>VLOOKUP(A74,Enforcements!$C$7:$K$17,8,0)</f>
        <v>Speed (6)</v>
      </c>
      <c r="AC74" s="57" t="str">
        <f>VLOOKUP(A74,Enforcements!$C$7:$E$17,3,0)</f>
        <v>PERMANENT SPEED RESTRICTION</v>
      </c>
      <c r="AD74" s="58" t="str">
        <f t="shared" si="11"/>
        <v>0162-10</v>
      </c>
      <c r="AE74" s="87" t="str">
        <f t="shared" si="12"/>
        <v>aws s3 cp s3://rtdc.mdm.uploadarchive.raw/RTDC4019/ "%USERPROFILE%\AppData\Local\Temp\OnboardLogs"\RTDC4019\2017-01-10 --exclude "*" --recursive --include "*20170110*" &amp; "%USERPROFILE%\Documents\GitHub\mrs-test-scripts\Headless Mode &amp; Sideloading\WalkAndUnGZ.bat" "%USERPROFILE%\AppData\Local\Temp\OnboardLogs"\RTDC4019\2017-01-10 &amp; aws s3 cp s3://rtdc.mdm.uploadarchive.raw/RTDC4019/ "%USERPROFILE%\AppData\Local\Temp\OnboardLogs"\RTDC4019\2017-01-11 --exclude "*" --recursive --include "*20170111*" &amp; "%USERPROFILE%\Documents\GitHub\mrs-test-scripts\Headless Mode &amp; Sideloading\WalkAndUnGZ.bat" "%USERPROFILE%\AppData\Local\Temp\OnboardLogs"\RTDC4019\2017-01-11</v>
      </c>
      <c r="AF74" s="84" t="str">
        <f t="shared" si="13"/>
        <v>"C:\Program Files (x86)\AstroGrep\AstroGrep.exe" /spath="%USERPROFILE%\AppData\Local\Temp\OnboardLogs" /stypes="app*4019*20170110*" /stext=" 19:.+((SYSTEM_STATE.+slice.+state.+changed )|(ment ac)|(multiple cpu faults)|(system.+state.+changed )|(\[timeout)|(PRM\|1\|D)|(kpr)|(kdp)|(\|lc)|(penalty))" /e /r /s</v>
      </c>
      <c r="AG74" s="1" t="str">
        <f t="shared" si="14"/>
        <v>EC</v>
      </c>
      <c r="AH74" s="88" t="str">
        <f t="shared" si="18"/>
        <v>"%USERPROFILE%\Documents\GitHub\eaglep3\Utilities\RefineRTDCRunTimes.py" --tripid 162-10 --locoid 4019 --swversion DE.1.0.8.0 --startMP 204:232981 --initTime 2017-01-10T12:05:58 --startdatetime 2017-01-10T12:11:30 --delay 1 --endMP 204:163 --enddatetime 2017-01-10T12:58:45 --enforcementcount 0 &gt;&gt;C:\Users\stu\Documents\GitHub\eaglep3-reporting\EC\2017-01-10-refined-times.txt</v>
      </c>
      <c r="AI74" s="115" t="str">
        <f t="shared" si="19"/>
        <v>echo {"issue":{"subject":"","project_id":79,"tracker_id":40,"status_id":1,"priority_id":2,"assigned_to_id":23,"start_date":"2017-01-10","description":"","custom_fields":[{"id":1,"name":"Subdivision","value":"EC"},{"id":4,"name":"Milepost","value":"0.0163"},{"id":17,"name":"Train ID","value":"162-10"},{"id":16,"name":"Locomotive ID","value":"4019"},{"id":130,"name":"Impact","value":""},{"id":150,"name":"Time of Event (Mountain Time)","value":"12:58:45"},{"id":151,"name":"Denver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0"/>
      <c r="AK74" s="50"/>
      <c r="AL74" s="50"/>
      <c r="AM74" s="180" t="str">
        <f t="shared" si="20"/>
        <v>start /low /b %USERPROFILE%\Documents\GitHub\eaglep3\Utilities\DownloadLogsFromS3.py --loco 4019 --day 2017-01-10</v>
      </c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4" t="s">
        <v>544</v>
      </c>
      <c r="B75" s="7">
        <v>4014</v>
      </c>
      <c r="C75" s="22" t="s">
        <v>202</v>
      </c>
      <c r="D75" s="22" t="s">
        <v>305</v>
      </c>
      <c r="E75" s="13">
        <v>42745.475613425922</v>
      </c>
      <c r="F75" s="13">
        <v>42745.480243055557</v>
      </c>
      <c r="G75" s="7">
        <v>1</v>
      </c>
      <c r="H75" s="22" t="s">
        <v>250</v>
      </c>
      <c r="I75" s="13">
        <v>42745.506284722222</v>
      </c>
      <c r="J75" s="7">
        <v>0</v>
      </c>
      <c r="K75" s="105" t="str">
        <f t="shared" si="0"/>
        <v>4013/4014</v>
      </c>
      <c r="L75" s="22" t="str">
        <f>VLOOKUP(A75,'Trips&amp;Operators'!$C$1:$G$99999,5,FALSE)</f>
        <v>COMELLA JUSTIN</v>
      </c>
      <c r="M75" s="6">
        <f t="shared" si="1"/>
        <v>2.6041666664241347E-2</v>
      </c>
      <c r="N75" s="7">
        <f t="shared" si="25"/>
        <v>37.49999999650754</v>
      </c>
      <c r="O75" s="7"/>
      <c r="P75" s="7"/>
      <c r="Q75" s="23"/>
      <c r="R75" s="23"/>
      <c r="S75" s="32">
        <f t="shared" si="24"/>
        <v>1</v>
      </c>
      <c r="T75" s="47" t="str">
        <f t="shared" si="4"/>
        <v>NorthBound</v>
      </c>
      <c r="U75" s="167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https://search-rtdc-monitor-bjffxe2xuh6vdkpspy63sjmuny.us-east-1.es.amazonaws.com/_plugin/kibana/#/discover/Steve-Slow-Train-Analysis-(2080s-and-2083s)?_g=(refreshInterval:(display:Off,section:0,value:0),time:(from:'2017-01-10 10:24:53-700',mode:absolute,to:'2017-01-10 13:09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75" s="49" t="str">
        <f t="shared" si="6"/>
        <v>N</v>
      </c>
      <c r="X75" s="173">
        <f t="shared" si="22"/>
        <v>1</v>
      </c>
      <c r="Y75" s="64">
        <f t="shared" si="8"/>
        <v>4.6600000000000003E-2</v>
      </c>
      <c r="Z75" s="64">
        <f t="shared" si="9"/>
        <v>23.328900000000001</v>
      </c>
      <c r="AA75" s="64">
        <f t="shared" si="10"/>
        <v>23.282299999999999</v>
      </c>
      <c r="AB75" s="61" t="e">
        <f>VLOOKUP(A75,Enforcements!$C$7:$K$17,8,0)</f>
        <v>#N/A</v>
      </c>
      <c r="AC75" s="57" t="e">
        <f>VLOOKUP(A75,Enforcements!$C$7:$E$17,3,0)</f>
        <v>#N/A</v>
      </c>
      <c r="AD75" s="58" t="str">
        <f t="shared" si="11"/>
        <v>0163-10</v>
      </c>
      <c r="AE75" s="87" t="str">
        <f t="shared" si="12"/>
        <v>aws s3 cp s3://rtdc.mdm.uploadarchive.raw/RTDC4014/ "%USERPROFILE%\AppData\Local\Temp\OnboardLogs"\RTDC4014\2017-01-10 --exclude "*" --recursive --include "*20170110*" &amp; "%USERPROFILE%\Documents\GitHub\mrs-test-scripts\Headless Mode &amp; Sideloading\WalkAndUnGZ.bat" "%USERPROFILE%\AppData\Local\Temp\OnboardLogs"\RTDC4014\2017-01-10 &amp; aws s3 cp s3://rtdc.mdm.uploadarchive.raw/RTDC4014/ "%USERPROFILE%\AppData\Local\Temp\OnboardLogs"\RTDC4014\2017-01-11 --exclude "*" --recursive --include "*20170111*" &amp; "%USERPROFILE%\Documents\GitHub\mrs-test-scripts\Headless Mode &amp; Sideloading\WalkAndUnGZ.bat" "%USERPROFILE%\AppData\Local\Temp\OnboardLogs"\RTDC4014\2017-01-11</v>
      </c>
      <c r="AF75" s="84" t="str">
        <f t="shared" si="13"/>
        <v>"C:\Program Files (x86)\AstroGrep\AstroGrep.exe" /spath="%USERPROFILE%\AppData\Local\Temp\OnboardLogs" /stypes="app*4014*20170110*" /stext=" 19:.+((SYSTEM_STATE.+slice.+state.+changed )|(ment ac)|(multiple cpu faults)|(system.+state.+changed )|(\[timeout)|(PRM\|1\|D)|(kpr)|(kdp)|(\|lc)|(penalty))" /e /r /s</v>
      </c>
      <c r="AG75" s="1" t="str">
        <f t="shared" si="14"/>
        <v>EC</v>
      </c>
      <c r="AH75" s="88" t="str">
        <f t="shared" si="18"/>
        <v>"%USERPROFILE%\Documents\GitHub\eaglep3\Utilities\RefineRTDCRunTimes.py" --tripid 163-10 --locoid 4014 --swversion DE.1.0.8.0 --startMP 204:466 --initTime 2017-01-10T11:24:53 --startdatetime 2017-01-10T11:31:33 --delay 1 --endMP 204:233289 --enddatetime 2017-01-10T12:09:03 --enforcementcount 0 &gt;&gt;C:\Users\stu\Documents\GitHub\eaglep3-reporting\EC\2017-01-10-refined-times.txt</v>
      </c>
      <c r="AI75" s="115" t="str">
        <f t="shared" si="19"/>
        <v>echo {"issue":{"subject":"","project_id":79,"tracker_id":40,"status_id":1,"priority_id":2,"assigned_to_id":23,"start_date":"2017-01-10","description":"","custom_fields":[{"id":1,"name":"Subdivision","value":"EC"},{"id":4,"name":"Milepost","value":"23.3289"},{"id":17,"name":"Train ID","value":"163-10"},{"id":16,"name":"Locomotive ID","value":"4014"},{"id":130,"name":"Impact","value":""},{"id":150,"name":"Time of Event (Mountain Time)","value":"12:09:03"},{"id":151,"name":"Denver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0"/>
      <c r="AK75" s="50"/>
      <c r="AL75" s="50"/>
      <c r="AM75" s="180" t="str">
        <f t="shared" si="20"/>
        <v>start /low /b %USERPROFILE%\Documents\GitHub\eaglep3\Utilities\DownloadLogsFromS3.py --loco 4014 --day 2017-01-10</v>
      </c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4" t="s">
        <v>555</v>
      </c>
      <c r="B76" s="7">
        <v>4013</v>
      </c>
      <c r="C76" s="22" t="s">
        <v>202</v>
      </c>
      <c r="D76" s="22" t="s">
        <v>408</v>
      </c>
      <c r="E76" s="13">
        <v>42745.509930555556</v>
      </c>
      <c r="F76" s="13">
        <v>42745.518206018518</v>
      </c>
      <c r="G76" s="7">
        <v>1</v>
      </c>
      <c r="H76" s="22" t="s">
        <v>273</v>
      </c>
      <c r="I76" s="13">
        <v>42745.551307870373</v>
      </c>
      <c r="J76" s="7">
        <v>0</v>
      </c>
      <c r="K76" s="105" t="str">
        <f t="shared" si="0"/>
        <v>4013/4014</v>
      </c>
      <c r="L76" s="22" t="str">
        <f>VLOOKUP(A76,'Trips&amp;Operators'!$C$1:$G$99999,5,FALSE)</f>
        <v>COMELLA JUSTIN</v>
      </c>
      <c r="M76" s="6">
        <f t="shared" si="1"/>
        <v>3.3101851855462883E-2</v>
      </c>
      <c r="N76" s="7">
        <f t="shared" si="25"/>
        <v>47.666666671866551</v>
      </c>
      <c r="O76" s="7"/>
      <c r="P76" s="7"/>
      <c r="Q76" s="23"/>
      <c r="R76" s="23"/>
      <c r="S76" s="32">
        <f t="shared" si="24"/>
        <v>1</v>
      </c>
      <c r="T76" s="47" t="str">
        <f t="shared" si="4"/>
        <v>Southbound</v>
      </c>
      <c r="U76" s="167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https://search-rtdc-monitor-bjffxe2xuh6vdkpspy63sjmuny.us-east-1.es.amazonaws.com/_plugin/kibana/#/discover/Steve-Slow-Train-Analysis-(2080s-and-2083s)?_g=(refreshInterval:(display:Off,section:0,value:0),time:(from:'2017-01-10 11:14:18-700',mode:absolute,to:'2017-01-10 14:13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76" s="49" t="str">
        <f t="shared" si="6"/>
        <v>N</v>
      </c>
      <c r="X76" s="173">
        <f t="shared" si="22"/>
        <v>1</v>
      </c>
      <c r="Y76" s="64">
        <f t="shared" si="8"/>
        <v>23.296299999999999</v>
      </c>
      <c r="Z76" s="64">
        <f t="shared" si="9"/>
        <v>1.5599999999999999E-2</v>
      </c>
      <c r="AA76" s="64">
        <f t="shared" si="10"/>
        <v>23.2807</v>
      </c>
      <c r="AB76" s="61" t="e">
        <f>VLOOKUP(A76,Enforcements!$C$7:$K$17,8,0)</f>
        <v>#N/A</v>
      </c>
      <c r="AC76" s="57" t="e">
        <f>VLOOKUP(A76,Enforcements!$C$7:$E$17,3,0)</f>
        <v>#N/A</v>
      </c>
      <c r="AD76" s="58" t="str">
        <f t="shared" si="11"/>
        <v>0164-10</v>
      </c>
      <c r="AE76" s="87" t="str">
        <f t="shared" si="12"/>
        <v>aws s3 cp s3://rtdc.mdm.uploadarchive.raw/RTDC4013/ "%USERPROFILE%\AppData\Local\Temp\OnboardLogs"\RTDC4013\2017-01-10 --exclude "*" --recursive --include "*20170110*" &amp; "%USERPROFILE%\Documents\GitHub\mrs-test-scripts\Headless Mode &amp; Sideloading\WalkAndUnGZ.bat" "%USERPROFILE%\AppData\Local\Temp\OnboardLogs"\RTDC4013\2017-01-10 &amp; aws s3 cp s3://rtdc.mdm.uploadarchive.raw/RTDC4013/ "%USERPROFILE%\AppData\Local\Temp\OnboardLogs"\RTDC4013\2017-01-11 --exclude "*" --recursive --include "*20170111*" &amp; "%USERPROFILE%\Documents\GitHub\mrs-test-scripts\Headless Mode &amp; Sideloading\WalkAndUnGZ.bat" "%USERPROFILE%\AppData\Local\Temp\OnboardLogs"\RTDC4013\2017-01-11</v>
      </c>
      <c r="AF76" s="84" t="str">
        <f t="shared" si="13"/>
        <v>"C:\Program Files (x86)\AstroGrep\AstroGrep.exe" /spath="%USERPROFILE%\AppData\Local\Temp\OnboardLogs" /stypes="app*4013*20170110*" /stext=" 20:.+((SYSTEM_STATE.+slice.+state.+changed )|(ment ac)|(multiple cpu faults)|(system.+state.+changed )|(\[timeout)|(PRM\|1\|D)|(kpr)|(kdp)|(\|lc)|(penalty))" /e /r /s</v>
      </c>
      <c r="AG76" s="1" t="str">
        <f t="shared" si="14"/>
        <v>EC</v>
      </c>
      <c r="AH76" s="88" t="str">
        <f t="shared" si="18"/>
        <v>"%USERPROFILE%\Documents\GitHub\eaglep3\Utilities\RefineRTDCRunTimes.py" --tripid 164-10 --locoid 4013 --swversion DE.1.0.8.0 --startMP 204:232963 --initTime 2017-01-10T12:14:18 --startdatetime 2017-01-10T12:26:13 --delay 1 --endMP 204:156 --enddatetime 2017-01-10T13:13:53 --enforcementcount 0 &gt;&gt;C:\Users\stu\Documents\GitHub\eaglep3-reporting\EC\2017-01-10-refined-times.txt</v>
      </c>
      <c r="AI76" s="115" t="str">
        <f t="shared" si="19"/>
        <v>echo {"issue":{"subject":"","project_id":79,"tracker_id":40,"status_id":1,"priority_id":2,"assigned_to_id":23,"start_date":"2017-01-10","description":"","custom_fields":[{"id":1,"name":"Subdivision","value":"EC"},{"id":4,"name":"Milepost","value":"0.0156"},{"id":17,"name":"Train ID","value":"164-10"},{"id":16,"name":"Locomotive ID","value":"4013"},{"id":130,"name":"Impact","value":""},{"id":150,"name":"Time of Event (Mountain Time)","value":"13:13:53"},{"id":151,"name":"Denver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0"/>
      <c r="AK76" s="50"/>
      <c r="AL76" s="50"/>
      <c r="AM76" s="180" t="str">
        <f t="shared" si="20"/>
        <v>start /low /b %USERPROFILE%\Documents\GitHub\eaglep3\Utilities\DownloadLogsFromS3.py --loco 4013 --day 2017-01-10</v>
      </c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4" t="s">
        <v>547</v>
      </c>
      <c r="B77" s="7">
        <v>4031</v>
      </c>
      <c r="C77" s="22" t="s">
        <v>202</v>
      </c>
      <c r="D77" s="22" t="s">
        <v>282</v>
      </c>
      <c r="E77" s="13">
        <v>42745.485682870371</v>
      </c>
      <c r="F77" s="13">
        <v>42745.489988425928</v>
      </c>
      <c r="G77" s="7">
        <v>2</v>
      </c>
      <c r="H77" s="22" t="s">
        <v>687</v>
      </c>
      <c r="I77" s="13">
        <v>42745.516979166663</v>
      </c>
      <c r="J77" s="7">
        <v>0</v>
      </c>
      <c r="K77" s="105" t="str">
        <f t="shared" ref="K77:K140" si="26">IF(ISEVEN(B77),(B77-1)&amp;"/"&amp;B77,B77&amp;"/"&amp;(B77+1))</f>
        <v>4031/4032</v>
      </c>
      <c r="L77" s="22" t="str">
        <f>VLOOKUP(A77,'Trips&amp;Operators'!$C$1:$G$99999,5,FALSE)</f>
        <v>STRICKLAND EVAN</v>
      </c>
      <c r="M77" s="6">
        <f t="shared" ref="M77:M140" si="27">I77-F77</f>
        <v>2.6990740734618157E-2</v>
      </c>
      <c r="N77" s="7">
        <f t="shared" si="25"/>
        <v>38.866666657850146</v>
      </c>
      <c r="O77" s="7"/>
      <c r="P77" s="7"/>
      <c r="Q77" s="23"/>
      <c r="R77" s="23"/>
      <c r="S77" s="32">
        <f t="shared" ref="S77:S95" si="28">SUM(U77:U77)/IF(AG77="EC",12,1)</f>
        <v>1</v>
      </c>
      <c r="T77" s="47" t="str">
        <f t="shared" ref="T77:T140" si="29">IF(ISEVEN(LEFT(AD77,4)),"Southbound","NorthBound")</f>
        <v>NorthBound</v>
      </c>
      <c r="U77" s="167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4" t="str">
        <f t="shared" ref="V77:V140" si="30"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https://search-rtdc-monitor-bjffxe2xuh6vdkpspy63sjmuny.us-east-1.es.amazonaws.com/_plugin/kibana/#/discover/Steve-Slow-Train-Analysis-(2080s-and-2083s)?_g=(refreshInterval:(display:Off,section:0,value:0),time:(from:'2017-01-10 10:39:23-700',mode:absolute,to:'2017-01-10 13:24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77" s="49" t="str">
        <f t="shared" ref="W77:W140" si="31">IF(AA77&lt;IF(AG77="EC",23,5.65),"Y","N")</f>
        <v>N</v>
      </c>
      <c r="X77" s="173">
        <f t="shared" si="22"/>
        <v>1</v>
      </c>
      <c r="Y77" s="64">
        <f t="shared" ref="Y77:Y140" si="32">RIGHT(D77,LEN(D77)-4)/10000</f>
        <v>4.6699999999999998E-2</v>
      </c>
      <c r="Z77" s="64">
        <f t="shared" ref="Z77:Z140" si="33">RIGHT(H77,LEN(H77)-4)/10000</f>
        <v>23.330200000000001</v>
      </c>
      <c r="AA77" s="64">
        <f t="shared" ref="AA77:AA140" si="34">ABS(Z77-Y77)</f>
        <v>23.2835</v>
      </c>
      <c r="AB77" s="61" t="e">
        <f>VLOOKUP(A77,Enforcements!$C$7:$K$17,8,0)</f>
        <v>#N/A</v>
      </c>
      <c r="AC77" s="57" t="e">
        <f>VLOOKUP(A77,Enforcements!$C$7:$E$17,3,0)</f>
        <v>#N/A</v>
      </c>
      <c r="AD77" s="58" t="str">
        <f t="shared" ref="AD77:AD140" si="35">IF(LEN(A77)=6,"0"&amp;A77,A77)</f>
        <v>0165-10</v>
      </c>
      <c r="AE77" s="87" t="str">
        <f t="shared" ref="AE77:AE140" si="36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s3://rtdc.mdm.uploadarchive.raw/RTDC4031/ "%USERPROFILE%\AppData\Local\Temp\OnboardLogs"\RTDC4031\2017-01-10 --exclude "*" --recursive --include "*20170110*" &amp; "%USERPROFILE%\Documents\GitHub\mrs-test-scripts\Headless Mode &amp; Sideloading\WalkAndUnGZ.bat" "%USERPROFILE%\AppData\Local\Temp\OnboardLogs"\RTDC4031\2017-01-10 &amp; aws s3 cp s3://rtdc.mdm.uploadarchive.raw/RTDC4031/ "%USERPROFILE%\AppData\Local\Temp\OnboardLogs"\RTDC4031\2017-01-11 --exclude "*" --recursive --include "*20170111*" &amp; "%USERPROFILE%\Documents\GitHub\mrs-test-scripts\Headless Mode &amp; Sideloading\WalkAndUnGZ.bat" "%USERPROFILE%\AppData\Local\Temp\OnboardLogs"\RTDC4031\2017-01-11</v>
      </c>
      <c r="AF77" s="84" t="str">
        <f t="shared" ref="AF77:AF140" si="37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/stypes="app*4031*20170110*" /stext=" 19:.+((SYSTEM_STATE.+slice.+state.+changed )|(ment ac)|(multiple cpu faults)|(system.+state.+changed )|(\[timeout)|(PRM\|1\|D)|(kpr)|(kdp)|(\|lc)|(penalty))" /e /r /s</v>
      </c>
      <c r="AG77" s="1" t="str">
        <f t="shared" ref="AG77:AG140" si="38">IFERROR(IF(VALUE(LEFT(AD77,2))&lt;=2,"EC",IF(OR(VALUE(LEFT(AD77,2))=8,VALUE(LEFT(AD77,2))=18),"NW","Other")),"Other")</f>
        <v>EC</v>
      </c>
      <c r="AH77" s="88" t="str">
        <f t="shared" ref="AH77:AH140" si="39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165-10 --locoid 4031 --swversion DE.1.0.8.0 --startMP 204:467 --initTime 2017-01-10T11:39:23 --startdatetime 2017-01-10T11:45:35 --delay 2 --endMP 204:233302 --enddatetime 2017-01-10T12:24:27 --enforcementcount 0 &gt;&gt;C:\Users\stu\Documents\GitHub\eaglep3-reporting\EC\2017-01-10-refined-times.txt</v>
      </c>
      <c r="AI77" s="115" t="str">
        <f t="shared" ref="AI77:AI140" si="40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{"issue":{"subject":"","project_id":79,"tracker_id":40,"status_id":1,"priority_id":2,"assigned_to_id":23,"start_date":"2017-01-10","description":"","custom_fields":[{"id":1,"name":"Subdivision","value":"EC"},{"id":4,"name":"Milepost","value":"23.3302"},{"id":17,"name":"Train ID","value":"165-10"},{"id":16,"name":"Locomotive ID","value":"4031"},{"id":130,"name":"Impact","value":""},{"id":150,"name":"Time of Event (Mountain Time)","value":"12:24:27"},{"id":151,"name":"Denver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0"/>
      <c r="AK77" s="50"/>
      <c r="AL77" s="50"/>
      <c r="AM77" s="180" t="str">
        <f t="shared" ref="AM77:AM140" si="41">"start /low /b "&amp;dls3logs&amp;" --loco "&amp;B77&amp;" --day "&amp;TEXT(F77,"YYYY-MM-DD")</f>
        <v>start /low /b %USERPROFILE%\Documents\GitHub\eaglep3\Utilities\DownloadLogsFromS3.py --loco 4031 --day 2017-01-10</v>
      </c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4" t="s">
        <v>557</v>
      </c>
      <c r="B78" s="7">
        <v>4032</v>
      </c>
      <c r="C78" s="22" t="s">
        <v>202</v>
      </c>
      <c r="D78" s="22" t="s">
        <v>319</v>
      </c>
      <c r="E78" s="13">
        <v>42745.518877314818</v>
      </c>
      <c r="F78" s="13">
        <v>42745.528009259258</v>
      </c>
      <c r="G78" s="7">
        <v>2</v>
      </c>
      <c r="H78" s="22" t="s">
        <v>245</v>
      </c>
      <c r="I78" s="13">
        <v>42745.557592592595</v>
      </c>
      <c r="J78" s="7">
        <v>0</v>
      </c>
      <c r="K78" s="105" t="str">
        <f t="shared" si="26"/>
        <v>4031/4032</v>
      </c>
      <c r="L78" s="22" t="str">
        <f>VLOOKUP(A78,'Trips&amp;Operators'!$C$1:$G$99999,5,FALSE)</f>
        <v>STRICKLAND EVAN</v>
      </c>
      <c r="M78" s="6">
        <f t="shared" si="27"/>
        <v>2.9583333336631767E-2</v>
      </c>
      <c r="N78" s="7">
        <f t="shared" si="25"/>
        <v>42.600000004749745</v>
      </c>
      <c r="O78" s="7"/>
      <c r="P78" s="7"/>
      <c r="Q78" s="23"/>
      <c r="R78" s="23"/>
      <c r="S78" s="32">
        <f t="shared" si="28"/>
        <v>1</v>
      </c>
      <c r="T78" s="47" t="str">
        <f t="shared" si="29"/>
        <v>Southbound</v>
      </c>
      <c r="U78" s="167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https://search-rtdc-monitor-bjffxe2xuh6vdkpspy63sjmuny.us-east-1.es.amazonaws.com/_plugin/kibana/#/discover/Steve-Slow-Train-Analysis-(2080s-and-2083s)?_g=(refreshInterval:(display:Off,section:0,value:0),time:(from:'2017-01-10 11:27:11-700',mode:absolute,to:'2017-01-10 14:22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78" s="49" t="str">
        <f t="shared" si="31"/>
        <v>N</v>
      </c>
      <c r="X78" s="173">
        <f t="shared" si="22"/>
        <v>1</v>
      </c>
      <c r="Y78" s="64">
        <f t="shared" si="32"/>
        <v>23.299399999999999</v>
      </c>
      <c r="Z78" s="64">
        <f t="shared" si="33"/>
        <v>1.6E-2</v>
      </c>
      <c r="AA78" s="64">
        <f t="shared" si="34"/>
        <v>23.2834</v>
      </c>
      <c r="AB78" s="61" t="e">
        <f>VLOOKUP(A78,Enforcements!$C$7:$K$17,8,0)</f>
        <v>#N/A</v>
      </c>
      <c r="AC78" s="57" t="e">
        <f>VLOOKUP(A78,Enforcements!$C$7:$E$17,3,0)</f>
        <v>#N/A</v>
      </c>
      <c r="AD78" s="58" t="str">
        <f t="shared" si="35"/>
        <v>0166-10</v>
      </c>
      <c r="AE78" s="87" t="str">
        <f t="shared" si="36"/>
        <v>aws s3 cp s3://rtdc.mdm.uploadarchive.raw/RTDC4032/ "%USERPROFILE%\AppData\Local\Temp\OnboardLogs"\RTDC4032\2017-01-10 --exclude "*" --recursive --include "*20170110*" &amp; "%USERPROFILE%\Documents\GitHub\mrs-test-scripts\Headless Mode &amp; Sideloading\WalkAndUnGZ.bat" "%USERPROFILE%\AppData\Local\Temp\OnboardLogs"\RTDC4032\2017-01-10 &amp; aws s3 cp s3://rtdc.mdm.uploadarchive.raw/RTDC4032/ "%USERPROFILE%\AppData\Local\Temp\OnboardLogs"\RTDC4032\2017-01-11 --exclude "*" --recursive --include "*20170111*" &amp; "%USERPROFILE%\Documents\GitHub\mrs-test-scripts\Headless Mode &amp; Sideloading\WalkAndUnGZ.bat" "%USERPROFILE%\AppData\Local\Temp\OnboardLogs"\RTDC4032\2017-01-11</v>
      </c>
      <c r="AF78" s="84" t="str">
        <f t="shared" si="37"/>
        <v>"C:\Program Files (x86)\AstroGrep\AstroGrep.exe" /spath="%USERPROFILE%\AppData\Local\Temp\OnboardLogs" /stypes="app*4032*20170110*" /stext=" 20:.+((SYSTEM_STATE.+slice.+state.+changed )|(ment ac)|(multiple cpu faults)|(system.+state.+changed )|(\[timeout)|(PRM\|1\|D)|(kpr)|(kdp)|(\|lc)|(penalty))" /e /r /s</v>
      </c>
      <c r="AG78" s="1" t="str">
        <f t="shared" si="38"/>
        <v>EC</v>
      </c>
      <c r="AH78" s="88" t="str">
        <f t="shared" si="39"/>
        <v>"%USERPROFILE%\Documents\GitHub\eaglep3\Utilities\RefineRTDCRunTimes.py" --tripid 166-10 --locoid 4032 --swversion DE.1.0.8.0 --startMP 204:232994 --initTime 2017-01-10T12:27:11 --startdatetime 2017-01-10T12:40:20 --delay 2 --endMP 204:160 --enddatetime 2017-01-10T13:22:56 --enforcementcount 0 &gt;&gt;C:\Users\stu\Documents\GitHub\eaglep3-reporting\EC\2017-01-10-refined-times.txt</v>
      </c>
      <c r="AI78" s="115" t="str">
        <f t="shared" si="40"/>
        <v>echo {"issue":{"subject":"","project_id":79,"tracker_id":40,"status_id":1,"priority_id":2,"assigned_to_id":23,"start_date":"2017-01-10","description":"","custom_fields":[{"id":1,"name":"Subdivision","value":"EC"},{"id":4,"name":"Milepost","value":"0.016"},{"id":17,"name":"Train ID","value":"166-10"},{"id":16,"name":"Locomotive ID","value":"4032"},{"id":130,"name":"Impact","value":""},{"id":150,"name":"Time of Event (Mountain Time)","value":"13:22:56"},{"id":151,"name":"Denver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0"/>
      <c r="AK78" s="50"/>
      <c r="AL78" s="50"/>
      <c r="AM78" s="180" t="str">
        <f t="shared" si="41"/>
        <v>start /low /b %USERPROFILE%\Documents\GitHub\eaglep3\Utilities\DownloadLogsFromS3.py --loco 4032 --day 2017-01-10</v>
      </c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4" t="s">
        <v>552</v>
      </c>
      <c r="B79" s="7">
        <v>4016</v>
      </c>
      <c r="C79" s="22" t="s">
        <v>202</v>
      </c>
      <c r="D79" s="22" t="s">
        <v>361</v>
      </c>
      <c r="E79" s="13">
        <v>42745.502430555556</v>
      </c>
      <c r="F79" s="13">
        <v>42745.504502314812</v>
      </c>
      <c r="G79" s="7">
        <v>1</v>
      </c>
      <c r="H79" s="22" t="s">
        <v>316</v>
      </c>
      <c r="I79" s="13">
        <v>42745.533043981479</v>
      </c>
      <c r="J79" s="7">
        <v>0</v>
      </c>
      <c r="K79" s="105" t="str">
        <f t="shared" si="26"/>
        <v>4015/4016</v>
      </c>
      <c r="L79" s="22" t="str">
        <f>VLOOKUP(A79,'Trips&amp;Operators'!$C$1:$G$99999,5,FALSE)</f>
        <v>MAHAN DUANE</v>
      </c>
      <c r="M79" s="6">
        <f t="shared" si="27"/>
        <v>2.8541666666569654E-2</v>
      </c>
      <c r="N79" s="7">
        <f t="shared" si="25"/>
        <v>41.099999999860302</v>
      </c>
      <c r="O79" s="7"/>
      <c r="P79" s="7"/>
      <c r="Q79" s="23"/>
      <c r="R79" s="23"/>
      <c r="S79" s="32">
        <f t="shared" si="28"/>
        <v>1</v>
      </c>
      <c r="T79" s="47" t="str">
        <f t="shared" si="29"/>
        <v>NorthBound</v>
      </c>
      <c r="U79" s="167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https://search-rtdc-monitor-bjffxe2xuh6vdkpspy63sjmuny.us-east-1.es.amazonaws.com/_plugin/kibana/#/discover/Steve-Slow-Train-Analysis-(2080s-and-2083s)?_g=(refreshInterval:(display:Off,section:0,value:0),time:(from:'2017-01-10 11:03:30-700',mode:absolute,to:'2017-01-10 13:47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79" s="49" t="str">
        <f t="shared" si="31"/>
        <v>N</v>
      </c>
      <c r="X79" s="173">
        <f t="shared" si="22"/>
        <v>1</v>
      </c>
      <c r="Y79" s="64">
        <f t="shared" si="32"/>
        <v>4.3499999999999997E-2</v>
      </c>
      <c r="Z79" s="64">
        <f t="shared" si="33"/>
        <v>23.3293</v>
      </c>
      <c r="AA79" s="64">
        <f t="shared" si="34"/>
        <v>23.285799999999998</v>
      </c>
      <c r="AB79" s="61" t="e">
        <f>VLOOKUP(A79,Enforcements!$C$7:$K$17,8,0)</f>
        <v>#N/A</v>
      </c>
      <c r="AC79" s="57" t="e">
        <f>VLOOKUP(A79,Enforcements!$C$7:$E$17,3,0)</f>
        <v>#N/A</v>
      </c>
      <c r="AD79" s="58" t="str">
        <f t="shared" si="35"/>
        <v>0167-10</v>
      </c>
      <c r="AE79" s="87" t="str">
        <f t="shared" si="36"/>
        <v>aws s3 cp s3://rtdc.mdm.uploadarchive.raw/RTDC4016/ "%USERPROFILE%\AppData\Local\Temp\OnboardLogs"\RTDC4016\2017-01-10 --exclude "*" --recursive --include "*20170110*" &amp; "%USERPROFILE%\Documents\GitHub\mrs-test-scripts\Headless Mode &amp; Sideloading\WalkAndUnGZ.bat" "%USERPROFILE%\AppData\Local\Temp\OnboardLogs"\RTDC4016\2017-01-10 &amp; aws s3 cp s3://rtdc.mdm.uploadarchive.raw/RTDC4016/ "%USERPROFILE%\AppData\Local\Temp\OnboardLogs"\RTDC4016\2017-01-11 --exclude "*" --recursive --include "*20170111*" &amp; "%USERPROFILE%\Documents\GitHub\mrs-test-scripts\Headless Mode &amp; Sideloading\WalkAndUnGZ.bat" "%USERPROFILE%\AppData\Local\Temp\OnboardLogs"\RTDC4016\2017-01-11</v>
      </c>
      <c r="AF79" s="84" t="str">
        <f t="shared" si="37"/>
        <v>"C:\Program Files (x86)\AstroGrep\AstroGrep.exe" /spath="%USERPROFILE%\AppData\Local\Temp\OnboardLogs" /stypes="app*4016*20170110*" /stext=" 19:.+((SYSTEM_STATE.+slice.+state.+changed )|(ment ac)|(multiple cpu faults)|(system.+state.+changed )|(\[timeout)|(PRM\|1\|D)|(kpr)|(kdp)|(\|lc)|(penalty))" /e /r /s</v>
      </c>
      <c r="AG79" s="1" t="str">
        <f t="shared" si="38"/>
        <v>EC</v>
      </c>
      <c r="AH79" s="88" t="str">
        <f t="shared" si="39"/>
        <v>"%USERPROFILE%\Documents\GitHub\eaglep3\Utilities\RefineRTDCRunTimes.py" --tripid 167-10 --locoid 4016 --swversion DE.1.0.8.0 --startMP 204:435 --initTime 2017-01-10T12:03:30 --startdatetime 2017-01-10T12:06:29 --delay 1 --endMP 204:233293 --enddatetime 2017-01-10T12:47:35 --enforcementcount 0 &gt;&gt;C:\Users\stu\Documents\GitHub\eaglep3-reporting\EC\2017-01-10-refined-times.txt</v>
      </c>
      <c r="AI79" s="115" t="str">
        <f t="shared" si="40"/>
        <v>echo {"issue":{"subject":"","project_id":79,"tracker_id":40,"status_id":1,"priority_id":2,"assigned_to_id":23,"start_date":"2017-01-10","description":"","custom_fields":[{"id":1,"name":"Subdivision","value":"EC"},{"id":4,"name":"Milepost","value":"23.3293"},{"id":17,"name":"Train ID","value":"167-10"},{"id":16,"name":"Locomotive ID","value":"4016"},{"id":130,"name":"Impact","value":""},{"id":150,"name":"Time of Event (Mountain Time)","value":"12:47:35"},{"id":151,"name":"Denver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0"/>
      <c r="AK79" s="50"/>
      <c r="AL79" s="50"/>
      <c r="AM79" s="180" t="str">
        <f t="shared" si="41"/>
        <v>start /low /b %USERPROFILE%\Documents\GitHub\eaglep3\Utilities\DownloadLogsFromS3.py --loco 4016 --day 2017-01-10</v>
      </c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4" t="s">
        <v>563</v>
      </c>
      <c r="B80" s="7">
        <v>4015</v>
      </c>
      <c r="C80" s="22" t="s">
        <v>202</v>
      </c>
      <c r="D80" s="22" t="s">
        <v>318</v>
      </c>
      <c r="E80" s="13">
        <v>42745.537129629629</v>
      </c>
      <c r="F80" s="13">
        <v>42745.540497685186</v>
      </c>
      <c r="G80" s="7">
        <v>2</v>
      </c>
      <c r="H80" s="22" t="s">
        <v>354</v>
      </c>
      <c r="I80" s="13">
        <v>42745.57136574074</v>
      </c>
      <c r="J80" s="7">
        <v>0</v>
      </c>
      <c r="K80" s="105" t="str">
        <f t="shared" si="26"/>
        <v>4015/4016</v>
      </c>
      <c r="L80" s="22" t="str">
        <f>VLOOKUP(A80,'Trips&amp;Operators'!$C$1:$G$99999,5,FALSE)</f>
        <v>MAHAN DUANE</v>
      </c>
      <c r="M80" s="6">
        <f t="shared" si="27"/>
        <v>3.0868055553582963E-2</v>
      </c>
      <c r="N80" s="7">
        <f t="shared" si="25"/>
        <v>44.449999997159466</v>
      </c>
      <c r="O80" s="7"/>
      <c r="P80" s="7"/>
      <c r="Q80" s="23"/>
      <c r="R80" s="23"/>
      <c r="S80" s="32">
        <f t="shared" si="28"/>
        <v>1</v>
      </c>
      <c r="T80" s="47" t="str">
        <f t="shared" si="29"/>
        <v>Southbound</v>
      </c>
      <c r="U80" s="167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https://search-rtdc-monitor-bjffxe2xuh6vdkpspy63sjmuny.us-east-1.es.amazonaws.com/_plugin/kibana/#/discover/Steve-Slow-Train-Analysis-(2080s-and-2083s)?_g=(refreshInterval:(display:Off,section:0,value:0),time:(from:'2017-01-10 11:53:28-700',mode:absolute,to:'2017-01-10 14:42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80" s="49" t="str">
        <f t="shared" si="31"/>
        <v>N</v>
      </c>
      <c r="X80" s="173">
        <f t="shared" si="22"/>
        <v>1</v>
      </c>
      <c r="Y80" s="64">
        <f t="shared" si="32"/>
        <v>23.296900000000001</v>
      </c>
      <c r="Z80" s="64">
        <f t="shared" si="33"/>
        <v>1.54E-2</v>
      </c>
      <c r="AA80" s="64">
        <f t="shared" si="34"/>
        <v>23.281500000000001</v>
      </c>
      <c r="AB80" s="61" t="e">
        <f>VLOOKUP(A80,Enforcements!$C$7:$K$17,8,0)</f>
        <v>#N/A</v>
      </c>
      <c r="AC80" s="57" t="e">
        <f>VLOOKUP(A80,Enforcements!$C$7:$E$17,3,0)</f>
        <v>#N/A</v>
      </c>
      <c r="AD80" s="58" t="str">
        <f t="shared" si="35"/>
        <v>0168-10</v>
      </c>
      <c r="AE80" s="87" t="str">
        <f t="shared" si="36"/>
        <v>aws s3 cp s3://rtdc.mdm.uploadarchive.raw/RTDC4015/ "%USERPROFILE%\AppData\Local\Temp\OnboardLogs"\RTDC4015\2017-01-10 --exclude "*" --recursive --include "*20170110*" &amp; "%USERPROFILE%\Documents\GitHub\mrs-test-scripts\Headless Mode &amp; Sideloading\WalkAndUnGZ.bat" "%USERPROFILE%\AppData\Local\Temp\OnboardLogs"\RTDC4015\2017-01-10 &amp; aws s3 cp s3://rtdc.mdm.uploadarchive.raw/RTDC4015/ "%USERPROFILE%\AppData\Local\Temp\OnboardLogs"\RTDC4015\2017-01-11 --exclude "*" --recursive --include "*20170111*" &amp; "%USERPROFILE%\Documents\GitHub\mrs-test-scripts\Headless Mode &amp; Sideloading\WalkAndUnGZ.bat" "%USERPROFILE%\AppData\Local\Temp\OnboardLogs"\RTDC4015\2017-01-11</v>
      </c>
      <c r="AF80" s="84" t="str">
        <f t="shared" si="37"/>
        <v>"C:\Program Files (x86)\AstroGrep\AstroGrep.exe" /spath="%USERPROFILE%\AppData\Local\Temp\OnboardLogs" /stypes="app*4015*20170110*" /stext=" 20:.+((SYSTEM_STATE.+slice.+state.+changed )|(ment ac)|(multiple cpu faults)|(system.+state.+changed )|(\[timeout)|(PRM\|1\|D)|(kpr)|(kdp)|(\|lc)|(penalty))" /e /r /s</v>
      </c>
      <c r="AG80" s="1" t="str">
        <f t="shared" si="38"/>
        <v>EC</v>
      </c>
      <c r="AH80" s="88" t="str">
        <f t="shared" si="39"/>
        <v>"%USERPROFILE%\Documents\GitHub\eaglep3\Utilities\RefineRTDCRunTimes.py" --tripid 168-10 --locoid 4015 --swversion DE.1.0.8.0 --startMP 204:232969 --initTime 2017-01-10T12:53:28 --startdatetime 2017-01-10T12:58:19 --delay 2 --endMP 204:154 --enddatetime 2017-01-10T13:42:46 --enforcementcount 0 &gt;&gt;C:\Users\stu\Documents\GitHub\eaglep3-reporting\EC\2017-01-10-refined-times.txt</v>
      </c>
      <c r="AI80" s="115" t="str">
        <f t="shared" si="40"/>
        <v>echo {"issue":{"subject":"","project_id":79,"tracker_id":40,"status_id":1,"priority_id":2,"assigned_to_id":23,"start_date":"2017-01-10","description":"","custom_fields":[{"id":1,"name":"Subdivision","value":"EC"},{"id":4,"name":"Milepost","value":"0.0154"},{"id":17,"name":"Train ID","value":"168-10"},{"id":16,"name":"Locomotive ID","value":"4015"},{"id":130,"name":"Impact","value":""},{"id":150,"name":"Time of Event (Mountain Time)","value":"13:42:46"},{"id":151,"name":"Denver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0"/>
      <c r="AK80" s="50"/>
      <c r="AL80" s="50"/>
      <c r="AM80" s="180" t="str">
        <f t="shared" si="41"/>
        <v>start /low /b %USERPROFILE%\Documents\GitHub\eaglep3\Utilities\DownloadLogsFromS3.py --loco 4015 --day 2017-01-10</v>
      </c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4" t="s">
        <v>554</v>
      </c>
      <c r="B81" s="7">
        <v>4007</v>
      </c>
      <c r="C81" s="22" t="s">
        <v>202</v>
      </c>
      <c r="D81" s="22" t="s">
        <v>401</v>
      </c>
      <c r="E81" s="13">
        <v>42745.507361111115</v>
      </c>
      <c r="F81" s="13">
        <v>42745.510636574072</v>
      </c>
      <c r="G81" s="7">
        <v>2</v>
      </c>
      <c r="H81" s="22" t="s">
        <v>337</v>
      </c>
      <c r="I81" s="13">
        <v>42745.542291666665</v>
      </c>
      <c r="J81" s="7">
        <v>0</v>
      </c>
      <c r="K81" s="105" t="str">
        <f t="shared" si="26"/>
        <v>4007/4008</v>
      </c>
      <c r="L81" s="22" t="str">
        <f>VLOOKUP(A81,'Trips&amp;Operators'!$C$1:$G$99999,5,FALSE)</f>
        <v>ADANE ELSHADAY</v>
      </c>
      <c r="M81" s="6">
        <f t="shared" si="27"/>
        <v>3.1655092592700385E-2</v>
      </c>
      <c r="N81" s="7">
        <f t="shared" si="25"/>
        <v>45.583333333488554</v>
      </c>
      <c r="O81" s="7"/>
      <c r="P81" s="7"/>
      <c r="Q81" s="23"/>
      <c r="R81" s="23"/>
      <c r="S81" s="32">
        <f t="shared" si="28"/>
        <v>1</v>
      </c>
      <c r="T81" s="47" t="str">
        <f t="shared" si="29"/>
        <v>NorthBound</v>
      </c>
      <c r="U81" s="167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https://search-rtdc-monitor-bjffxe2xuh6vdkpspy63sjmuny.us-east-1.es.amazonaws.com/_plugin/kibana/#/discover/Steve-Slow-Train-Analysis-(2080s-and-2083s)?_g=(refreshInterval:(display:Off,section:0,value:0),time:(from:'2017-01-10 11:10:36-700',mode:absolute,to:'2017-01-10 14:00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81" s="49" t="str">
        <f t="shared" si="31"/>
        <v>N</v>
      </c>
      <c r="X81" s="173">
        <f t="shared" si="22"/>
        <v>1</v>
      </c>
      <c r="Y81" s="64">
        <f t="shared" si="32"/>
        <v>4.58E-2</v>
      </c>
      <c r="Z81" s="64">
        <f t="shared" si="33"/>
        <v>23.331700000000001</v>
      </c>
      <c r="AA81" s="64">
        <f t="shared" si="34"/>
        <v>23.285900000000002</v>
      </c>
      <c r="AB81" s="61" t="e">
        <f>VLOOKUP(A81,Enforcements!$C$7:$K$17,8,0)</f>
        <v>#N/A</v>
      </c>
      <c r="AC81" s="57" t="e">
        <f>VLOOKUP(A81,Enforcements!$C$7:$E$17,3,0)</f>
        <v>#N/A</v>
      </c>
      <c r="AD81" s="58" t="str">
        <f t="shared" si="35"/>
        <v>0169-10</v>
      </c>
      <c r="AE81" s="87" t="str">
        <f t="shared" si="36"/>
        <v>aws s3 cp s3://rtdc.mdm.uploadarchive.raw/RTDC4007/ "%USERPROFILE%\AppData\Local\Temp\OnboardLogs"\RTDC4007\2017-01-10 --exclude "*" --recursive --include "*20170110*" &amp; "%USERPROFILE%\Documents\GitHub\mrs-test-scripts\Headless Mode &amp; Sideloading\WalkAndUnGZ.bat" "%USERPROFILE%\AppData\Local\Temp\OnboardLogs"\RTDC4007\2017-01-10 &amp; aws s3 cp s3://rtdc.mdm.uploadarchive.raw/RTDC4007/ "%USERPROFILE%\AppData\Local\Temp\OnboardLogs"\RTDC4007\2017-01-11 --exclude "*" --recursive --include "*20170111*" &amp; "%USERPROFILE%\Documents\GitHub\mrs-test-scripts\Headless Mode &amp; Sideloading\WalkAndUnGZ.bat" "%USERPROFILE%\AppData\Local\Temp\OnboardLogs"\RTDC4007\2017-01-11</v>
      </c>
      <c r="AF81" s="84" t="str">
        <f t="shared" si="37"/>
        <v>"C:\Program Files (x86)\AstroGrep\AstroGrep.exe" /spath="%USERPROFILE%\AppData\Local\Temp\OnboardLogs" /stypes="app*4007*20170110*" /stext=" 20:.+((SYSTEM_STATE.+slice.+state.+changed )|(ment ac)|(multiple cpu faults)|(system.+state.+changed )|(\[timeout)|(PRM\|1\|D)|(kpr)|(kdp)|(\|lc)|(penalty))" /e /r /s</v>
      </c>
      <c r="AG81" s="1" t="str">
        <f t="shared" si="38"/>
        <v>EC</v>
      </c>
      <c r="AH81" s="88" t="str">
        <f t="shared" si="39"/>
        <v>"%USERPROFILE%\Documents\GitHub\eaglep3\Utilities\RefineRTDCRunTimes.py" --tripid 169-10 --locoid 4007 --swversion DE.1.0.8.0 --startMP 204:458 --initTime 2017-01-10T12:10:36 --startdatetime 2017-01-10T12:15:19 --delay 2 --endMP 204:233317 --enddatetime 2017-01-10T13:00:54 --enforcementcount 0 &gt;&gt;C:\Users\stu\Documents\GitHub\eaglep3-reporting\EC\2017-01-10-refined-times.txt</v>
      </c>
      <c r="AI81" s="115" t="str">
        <f t="shared" si="40"/>
        <v>echo {"issue":{"subject":"","project_id":79,"tracker_id":40,"status_id":1,"priority_id":2,"assigned_to_id":23,"start_date":"2017-01-10","description":"","custom_fields":[{"id":1,"name":"Subdivision","value":"EC"},{"id":4,"name":"Milepost","value":"23.3317"},{"id":17,"name":"Train ID","value":"169-10"},{"id":16,"name":"Locomotive ID","value":"4007"},{"id":130,"name":"Impact","value":""},{"id":150,"name":"Time of Event (Mountain Time)","value":"13:00:54"},{"id":151,"name":"Denver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0"/>
      <c r="AK81" s="50"/>
      <c r="AL81" s="50"/>
      <c r="AM81" s="180" t="str">
        <f t="shared" si="41"/>
        <v>start /low /b %USERPROFILE%\Documents\GitHub\eaglep3\Utilities\DownloadLogsFromS3.py --loco 4007 --day 2017-01-10</v>
      </c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4" t="s">
        <v>438</v>
      </c>
      <c r="B82" s="7">
        <v>4008</v>
      </c>
      <c r="C82" s="22" t="s">
        <v>202</v>
      </c>
      <c r="D82" s="22" t="s">
        <v>283</v>
      </c>
      <c r="E82" s="13">
        <v>42745.547337962962</v>
      </c>
      <c r="F82" s="13">
        <v>42745.549699074072</v>
      </c>
      <c r="G82" s="7">
        <v>2</v>
      </c>
      <c r="H82" s="22" t="s">
        <v>268</v>
      </c>
      <c r="I82" s="13">
        <v>42745.576527777775</v>
      </c>
      <c r="J82" s="7">
        <v>0</v>
      </c>
      <c r="K82" s="105" t="str">
        <f t="shared" si="26"/>
        <v>4007/4008</v>
      </c>
      <c r="L82" s="22" t="str">
        <f>VLOOKUP(A82,'Trips&amp;Operators'!$C$1:$G$99999,5,FALSE)</f>
        <v>ADANE ELSHADAY</v>
      </c>
      <c r="M82" s="6">
        <f t="shared" si="27"/>
        <v>2.6828703703358769E-2</v>
      </c>
      <c r="N82" s="7">
        <f t="shared" si="25"/>
        <v>38.633333332836628</v>
      </c>
      <c r="O82" s="7"/>
      <c r="P82" s="7"/>
      <c r="Q82" s="23"/>
      <c r="R82" s="23"/>
      <c r="S82" s="32">
        <f t="shared" si="28"/>
        <v>1</v>
      </c>
      <c r="T82" s="47" t="str">
        <f t="shared" si="29"/>
        <v>Southbound</v>
      </c>
      <c r="U82" s="167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https://search-rtdc-monitor-bjffxe2xuh6vdkpspy63sjmuny.us-east-1.es.amazonaws.com/_plugin/kibana/#/discover/Steve-Slow-Train-Analysis-(2080s-and-2083s)?_g=(refreshInterval:(display:Off,section:0,value:0),time:(from:'2017-01-10 12:08:10-700',mode:absolute,to:'2017-01-10 14:50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82" s="49" t="str">
        <f t="shared" si="31"/>
        <v>N</v>
      </c>
      <c r="X82" s="173">
        <f t="shared" si="22"/>
        <v>1</v>
      </c>
      <c r="Y82" s="64">
        <f t="shared" si="32"/>
        <v>23.3</v>
      </c>
      <c r="Z82" s="64">
        <f t="shared" si="33"/>
        <v>1.52E-2</v>
      </c>
      <c r="AA82" s="64">
        <f t="shared" si="34"/>
        <v>23.284800000000001</v>
      </c>
      <c r="AB82" s="61" t="str">
        <f>VLOOKUP(A82,Enforcements!$C$7:$K$17,8,0)</f>
        <v>Bulletin (2)</v>
      </c>
      <c r="AC82" s="57" t="str">
        <f>VLOOKUP(A82,Enforcements!$C$7:$E$17,3,0)</f>
        <v>GRADE CROSSING</v>
      </c>
      <c r="AD82" s="58" t="str">
        <f t="shared" si="35"/>
        <v>0170-10</v>
      </c>
      <c r="AE82" s="87" t="str">
        <f t="shared" si="36"/>
        <v>aws s3 cp s3://rtdc.mdm.uploadarchive.raw/RTDC4008/ "%USERPROFILE%\AppData\Local\Temp\OnboardLogs"\RTDC4008\2017-01-10 --exclude "*" --recursive --include "*20170110*" &amp; "%USERPROFILE%\Documents\GitHub\mrs-test-scripts\Headless Mode &amp; Sideloading\WalkAndUnGZ.bat" "%USERPROFILE%\AppData\Local\Temp\OnboardLogs"\RTDC4008\2017-01-10 &amp; aws s3 cp s3://rtdc.mdm.uploadarchive.raw/RTDC4008/ "%USERPROFILE%\AppData\Local\Temp\OnboardLogs"\RTDC4008\2017-01-11 --exclude "*" --recursive --include "*20170111*" &amp; "%USERPROFILE%\Documents\GitHub\mrs-test-scripts\Headless Mode &amp; Sideloading\WalkAndUnGZ.bat" "%USERPROFILE%\AppData\Local\Temp\OnboardLogs"\RTDC4008\2017-01-11</v>
      </c>
      <c r="AF82" s="84" t="str">
        <f t="shared" si="37"/>
        <v>"C:\Program Files (x86)\AstroGrep\AstroGrep.exe" /spath="%USERPROFILE%\AppData\Local\Temp\OnboardLogs" /stypes="app*4008*20170110*" /stext=" 20:.+((SYSTEM_STATE.+slice.+state.+changed )|(ment ac)|(multiple cpu faults)|(system.+state.+changed )|(\[timeout)|(PRM\|1\|D)|(kpr)|(kdp)|(\|lc)|(penalty))" /e /r /s</v>
      </c>
      <c r="AG82" s="1" t="str">
        <f t="shared" si="38"/>
        <v>EC</v>
      </c>
      <c r="AH82" s="88" t="str">
        <f t="shared" si="39"/>
        <v>"%USERPROFILE%\Documents\GitHub\eaglep3\Utilities\RefineRTDCRunTimes.py" --tripid 170-10 --locoid 4008 --swversion DE.1.0.8.0 --startMP 204:233000 --initTime 2017-01-10T13:08:10 --startdatetime 2017-01-10T13:11:34 --delay 2 --endMP 204:152 --enddatetime 2017-01-10T13:50:12 --enforcementcount 0 &gt;&gt;C:\Users\stu\Documents\GitHub\eaglep3-reporting\EC\2017-01-10-refined-times.txt</v>
      </c>
      <c r="AI82" s="115" t="str">
        <f t="shared" si="40"/>
        <v>echo {"issue":{"subject":"","project_id":79,"tracker_id":40,"status_id":1,"priority_id":2,"assigned_to_id":23,"start_date":"2017-01-10","description":"","custom_fields":[{"id":1,"name":"Subdivision","value":"EC"},{"id":4,"name":"Milepost","value":"0.0152"},{"id":17,"name":"Train ID","value":"170-10"},{"id":16,"name":"Locomotive ID","value":"4008"},{"id":130,"name":"Impact","value":""},{"id":150,"name":"Time of Event (Mountain Time)","value":"13:50:12"},{"id":151,"name":"Denver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0"/>
      <c r="AK82" s="50"/>
      <c r="AL82" s="50"/>
      <c r="AM82" s="180" t="str">
        <f t="shared" si="41"/>
        <v>start /low /b %USERPROFILE%\Documents\GitHub\eaglep3\Utilities\DownloadLogsFromS3.py --loco 4008 --day 2017-01-10</v>
      </c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4" t="s">
        <v>558</v>
      </c>
      <c r="B83" s="7">
        <v>4018</v>
      </c>
      <c r="C83" s="22" t="s">
        <v>202</v>
      </c>
      <c r="D83" s="22" t="s">
        <v>401</v>
      </c>
      <c r="E83" s="13">
        <v>42745.52</v>
      </c>
      <c r="F83" s="13">
        <v>42745.521585648145</v>
      </c>
      <c r="G83" s="7">
        <v>1</v>
      </c>
      <c r="H83" s="22" t="s">
        <v>338</v>
      </c>
      <c r="I83" s="13">
        <v>42745.548692129632</v>
      </c>
      <c r="J83" s="7">
        <v>0</v>
      </c>
      <c r="K83" s="105" t="str">
        <f t="shared" si="26"/>
        <v>4017/4018</v>
      </c>
      <c r="L83" s="22" t="str">
        <f>VLOOKUP(A83,'Trips&amp;Operators'!$C$1:$G$99999,5,FALSE)</f>
        <v>BRANNON JEFFREY</v>
      </c>
      <c r="M83" s="6">
        <f t="shared" si="27"/>
        <v>2.7106481487862766E-2</v>
      </c>
      <c r="N83" s="7">
        <f t="shared" si="25"/>
        <v>39.033333342522383</v>
      </c>
      <c r="O83" s="7"/>
      <c r="P83" s="7"/>
      <c r="Q83" s="23"/>
      <c r="R83" s="23"/>
      <c r="S83" s="32">
        <f t="shared" si="28"/>
        <v>1</v>
      </c>
      <c r="T83" s="47" t="str">
        <f t="shared" si="29"/>
        <v>NorthBound</v>
      </c>
      <c r="U83" s="167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https://search-rtdc-monitor-bjffxe2xuh6vdkpspy63sjmuny.us-east-1.es.amazonaws.com/_plugin/kibana/#/discover/Steve-Slow-Train-Analysis-(2080s-and-2083s)?_g=(refreshInterval:(display:Off,section:0,value:0),time:(from:'2017-01-10 11:28:48-700',mode:absolute,to:'2017-01-10 14:10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83" s="49" t="str">
        <f t="shared" si="31"/>
        <v>N</v>
      </c>
      <c r="X83" s="173">
        <f t="shared" si="22"/>
        <v>1</v>
      </c>
      <c r="Y83" s="64">
        <f t="shared" si="32"/>
        <v>4.58E-2</v>
      </c>
      <c r="Z83" s="64">
        <f t="shared" si="33"/>
        <v>23.331800000000001</v>
      </c>
      <c r="AA83" s="64">
        <f t="shared" si="34"/>
        <v>23.286000000000001</v>
      </c>
      <c r="AB83" s="61" t="e">
        <f>VLOOKUP(A83,Enforcements!$C$7:$K$17,8,0)</f>
        <v>#N/A</v>
      </c>
      <c r="AC83" s="57" t="e">
        <f>VLOOKUP(A83,Enforcements!$C$7:$E$17,3,0)</f>
        <v>#N/A</v>
      </c>
      <c r="AD83" s="58" t="str">
        <f t="shared" si="35"/>
        <v>0171-10</v>
      </c>
      <c r="AE83" s="87" t="str">
        <f t="shared" si="36"/>
        <v>aws s3 cp s3://rtdc.mdm.uploadarchive.raw/RTDC4018/ "%USERPROFILE%\AppData\Local\Temp\OnboardLogs"\RTDC4018\2017-01-10 --exclude "*" --recursive --include "*20170110*" &amp; "%USERPROFILE%\Documents\GitHub\mrs-test-scripts\Headless Mode &amp; Sideloading\WalkAndUnGZ.bat" "%USERPROFILE%\AppData\Local\Temp\OnboardLogs"\RTDC4018\2017-01-10 &amp; aws s3 cp s3://rtdc.mdm.uploadarchive.raw/RTDC4018/ "%USERPROFILE%\AppData\Local\Temp\OnboardLogs"\RTDC4018\2017-01-11 --exclude "*" --recursive --include "*20170111*" &amp; "%USERPROFILE%\Documents\GitHub\mrs-test-scripts\Headless Mode &amp; Sideloading\WalkAndUnGZ.bat" "%USERPROFILE%\AppData\Local\Temp\OnboardLogs"\RTDC4018\2017-01-11</v>
      </c>
      <c r="AF83" s="84" t="str">
        <f t="shared" si="37"/>
        <v>"C:\Program Files (x86)\AstroGrep\AstroGrep.exe" /spath="%USERPROFILE%\AppData\Local\Temp\OnboardLogs" /stypes="app*4018*20170110*" /stext=" 20:.+((SYSTEM_STATE.+slice.+state.+changed )|(ment ac)|(multiple cpu faults)|(system.+state.+changed )|(\[timeout)|(PRM\|1\|D)|(kpr)|(kdp)|(\|lc)|(penalty))" /e /r /s</v>
      </c>
      <c r="AG83" s="1" t="str">
        <f t="shared" si="38"/>
        <v>EC</v>
      </c>
      <c r="AH83" s="88" t="str">
        <f t="shared" si="39"/>
        <v>"%USERPROFILE%\Documents\GitHub\eaglep3\Utilities\RefineRTDCRunTimes.py" --tripid 171-10 --locoid 4018 --swversion DE.1.0.8.0 --startMP 204:458 --initTime 2017-01-10T12:28:48 --startdatetime 2017-01-10T12:31:05 --delay 1 --endMP 204:233318 --enddatetime 2017-01-10T13:10:07 --enforcementcount 0 &gt;&gt;C:\Users\stu\Documents\GitHub\eaglep3-reporting\EC\2017-01-10-refined-times.txt</v>
      </c>
      <c r="AI83" s="115" t="str">
        <f t="shared" si="40"/>
        <v>echo {"issue":{"subject":"","project_id":79,"tracker_id":40,"status_id":1,"priority_id":2,"assigned_to_id":23,"start_date":"2017-01-10","description":"","custom_fields":[{"id":1,"name":"Subdivision","value":"EC"},{"id":4,"name":"Milepost","value":"23.3318"},{"id":17,"name":"Train ID","value":"171-10"},{"id":16,"name":"Locomotive ID","value":"4018"},{"id":130,"name":"Impact","value":""},{"id":150,"name":"Time of Event (Mountain Time)","value":"13:10:07"},{"id":151,"name":"Denver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0"/>
      <c r="AK83" s="50"/>
      <c r="AL83" s="50"/>
      <c r="AM83" s="180" t="str">
        <f t="shared" si="41"/>
        <v>start /low /b %USERPROFILE%\Documents\GitHub\eaglep3\Utilities\DownloadLogsFromS3.py --loco 4018 --day 2017-01-10</v>
      </c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4" t="s">
        <v>568</v>
      </c>
      <c r="B84" s="7">
        <v>4017</v>
      </c>
      <c r="C84" s="22" t="s">
        <v>202</v>
      </c>
      <c r="D84" s="22" t="s">
        <v>355</v>
      </c>
      <c r="E84" s="13">
        <v>42745.55773148148</v>
      </c>
      <c r="F84" s="13">
        <v>42745.559907407405</v>
      </c>
      <c r="G84" s="7">
        <v>1</v>
      </c>
      <c r="H84" s="22" t="s">
        <v>226</v>
      </c>
      <c r="I84" s="13">
        <v>42745.588379629633</v>
      </c>
      <c r="J84" s="7">
        <v>0</v>
      </c>
      <c r="K84" s="105" t="str">
        <f t="shared" si="26"/>
        <v>4017/4018</v>
      </c>
      <c r="L84" s="22" t="str">
        <f>VLOOKUP(A84,'Trips&amp;Operators'!$C$1:$G$99999,5,FALSE)</f>
        <v>BRANNON JEFFREY</v>
      </c>
      <c r="M84" s="6">
        <f t="shared" si="27"/>
        <v>2.8472222227719612E-2</v>
      </c>
      <c r="N84" s="7">
        <f t="shared" si="25"/>
        <v>41.000000007916242</v>
      </c>
      <c r="O84" s="7"/>
      <c r="P84" s="7"/>
      <c r="Q84" s="23"/>
      <c r="R84" s="23"/>
      <c r="S84" s="32">
        <f t="shared" si="28"/>
        <v>1</v>
      </c>
      <c r="T84" s="47" t="str">
        <f t="shared" si="29"/>
        <v>Southbound</v>
      </c>
      <c r="U84" s="167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https://search-rtdc-monitor-bjffxe2xuh6vdkpspy63sjmuny.us-east-1.es.amazonaws.com/_plugin/kibana/#/discover/Steve-Slow-Train-Analysis-(2080s-and-2083s)?_g=(refreshInterval:(display:Off,section:0,value:0),time:(from:'2017-01-10 12:23:08-700',mode:absolute,to:'2017-01-10 15:07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84" s="49" t="str">
        <f t="shared" si="31"/>
        <v>N</v>
      </c>
      <c r="X84" s="173">
        <f t="shared" si="22"/>
        <v>1</v>
      </c>
      <c r="Y84" s="64">
        <f t="shared" si="32"/>
        <v>23.299600000000002</v>
      </c>
      <c r="Z84" s="64">
        <f t="shared" si="33"/>
        <v>1.4500000000000001E-2</v>
      </c>
      <c r="AA84" s="64">
        <f t="shared" si="34"/>
        <v>23.2851</v>
      </c>
      <c r="AB84" s="61" t="e">
        <f>VLOOKUP(A84,Enforcements!$C$7:$K$17,8,0)</f>
        <v>#N/A</v>
      </c>
      <c r="AC84" s="57" t="e">
        <f>VLOOKUP(A84,Enforcements!$C$7:$E$17,3,0)</f>
        <v>#N/A</v>
      </c>
      <c r="AD84" s="58" t="str">
        <f t="shared" si="35"/>
        <v>0172-10</v>
      </c>
      <c r="AE84" s="87" t="str">
        <f t="shared" si="36"/>
        <v>aws s3 cp s3://rtdc.mdm.uploadarchive.raw/RTDC4017/ "%USERPROFILE%\AppData\Local\Temp\OnboardLogs"\RTDC4017\2017-01-10 --exclude "*" --recursive --include "*20170110*" &amp; "%USERPROFILE%\Documents\GitHub\mrs-test-scripts\Headless Mode &amp; Sideloading\WalkAndUnGZ.bat" "%USERPROFILE%\AppData\Local\Temp\OnboardLogs"\RTDC4017\2017-01-10 &amp; aws s3 cp s3://rtdc.mdm.uploadarchive.raw/RTDC4017/ "%USERPROFILE%\AppData\Local\Temp\OnboardLogs"\RTDC4017\2017-01-11 --exclude "*" --recursive --include "*20170111*" &amp; "%USERPROFILE%\Documents\GitHub\mrs-test-scripts\Headless Mode &amp; Sideloading\WalkAndUnGZ.bat" "%USERPROFILE%\AppData\Local\Temp\OnboardLogs"\RTDC4017\2017-01-11</v>
      </c>
      <c r="AF84" s="84" t="str">
        <f t="shared" si="37"/>
        <v>"C:\Program Files (x86)\AstroGrep\AstroGrep.exe" /spath="%USERPROFILE%\AppData\Local\Temp\OnboardLogs" /stypes="app*4017*20170110*" /stext=" 21:.+((SYSTEM_STATE.+slice.+state.+changed )|(ment ac)|(multiple cpu faults)|(system.+state.+changed )|(\[timeout)|(PRM\|1\|D)|(kpr)|(kdp)|(\|lc)|(penalty))" /e /r /s</v>
      </c>
      <c r="AG84" s="1" t="str">
        <f t="shared" si="38"/>
        <v>EC</v>
      </c>
      <c r="AH84" s="88" t="str">
        <f t="shared" si="39"/>
        <v>"%USERPROFILE%\Documents\GitHub\eaglep3\Utilities\RefineRTDCRunTimes.py" --tripid 172-10 --locoid 4017 --swversion DE.1.0.8.0 --startMP 204:232996 --initTime 2017-01-10T13:23:08 --startdatetime 2017-01-10T13:26:16 --delay 1 --endMP 204:145 --enddatetime 2017-01-10T14:07:16 --enforcementcount 0 &gt;&gt;C:\Users\stu\Documents\GitHub\eaglep3-reporting\EC\2017-01-10-refined-times.txt</v>
      </c>
      <c r="AI84" s="115" t="str">
        <f t="shared" si="40"/>
        <v>echo {"issue":{"subject":"","project_id":79,"tracker_id":40,"status_id":1,"priority_id":2,"assigned_to_id":23,"start_date":"2017-01-10","description":"","custom_fields":[{"id":1,"name":"Subdivision","value":"EC"},{"id":4,"name":"Milepost","value":"0.0145"},{"id":17,"name":"Train ID","value":"172-10"},{"id":16,"name":"Locomotive ID","value":"4017"},{"id":130,"name":"Impact","value":""},{"id":150,"name":"Time of Event (Mountain Time)","value":"14:07:16"},{"id":151,"name":"Denver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0"/>
      <c r="AK84" s="50"/>
      <c r="AL84" s="50"/>
      <c r="AM84" s="180" t="str">
        <f t="shared" si="41"/>
        <v>start /low /b %USERPROFILE%\Documents\GitHub\eaglep3\Utilities\DownloadLogsFromS3.py --loco 4017 --day 2017-01-10</v>
      </c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4" t="s">
        <v>562</v>
      </c>
      <c r="B85" s="7">
        <v>4025</v>
      </c>
      <c r="C85" s="22" t="s">
        <v>202</v>
      </c>
      <c r="D85" s="22" t="s">
        <v>272</v>
      </c>
      <c r="E85" s="13">
        <v>42745.534050925926</v>
      </c>
      <c r="F85" s="13">
        <v>42745.535902777781</v>
      </c>
      <c r="G85" s="7">
        <v>1</v>
      </c>
      <c r="H85" s="22" t="s">
        <v>339</v>
      </c>
      <c r="I85" s="13">
        <v>42745.567118055558</v>
      </c>
      <c r="J85" s="7">
        <v>0</v>
      </c>
      <c r="K85" s="105" t="str">
        <f t="shared" si="26"/>
        <v>4025/4026</v>
      </c>
      <c r="L85" s="22" t="str">
        <f>VLOOKUP(A85,'Trips&amp;Operators'!$C$1:$G$99999,5,FALSE)</f>
        <v>DAVIS MICHAEL</v>
      </c>
      <c r="M85" s="6">
        <f t="shared" si="27"/>
        <v>3.1215277776937E-2</v>
      </c>
      <c r="N85" s="7">
        <f t="shared" si="25"/>
        <v>44.949999998789281</v>
      </c>
      <c r="O85" s="7"/>
      <c r="P85" s="7"/>
      <c r="Q85" s="23"/>
      <c r="R85" s="23"/>
      <c r="S85" s="32">
        <f t="shared" si="28"/>
        <v>1</v>
      </c>
      <c r="T85" s="47" t="str">
        <f t="shared" si="29"/>
        <v>NorthBound</v>
      </c>
      <c r="U85" s="167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https://search-rtdc-monitor-bjffxe2xuh6vdkpspy63sjmuny.us-east-1.es.amazonaws.com/_plugin/kibana/#/discover/Steve-Slow-Train-Analysis-(2080s-and-2083s)?_g=(refreshInterval:(display:Off,section:0,value:0),time:(from:'2017-01-10 11:49:02-700',mode:absolute,to:'2017-01-10 14:36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85" s="49" t="str">
        <f t="shared" si="31"/>
        <v>N</v>
      </c>
      <c r="X85" s="173">
        <f t="shared" si="22"/>
        <v>1</v>
      </c>
      <c r="Y85" s="64">
        <f t="shared" si="32"/>
        <v>4.5699999999999998E-2</v>
      </c>
      <c r="Z85" s="64">
        <f t="shared" si="33"/>
        <v>23.330400000000001</v>
      </c>
      <c r="AA85" s="64">
        <f t="shared" si="34"/>
        <v>23.284700000000001</v>
      </c>
      <c r="AB85" s="61" t="e">
        <f>VLOOKUP(A85,Enforcements!$C$7:$K$17,8,0)</f>
        <v>#N/A</v>
      </c>
      <c r="AC85" s="57" t="e">
        <f>VLOOKUP(A85,Enforcements!$C$7:$E$17,3,0)</f>
        <v>#N/A</v>
      </c>
      <c r="AD85" s="58" t="str">
        <f t="shared" si="35"/>
        <v>0173-10</v>
      </c>
      <c r="AE85" s="87" t="str">
        <f t="shared" si="36"/>
        <v>aws s3 cp s3://rtdc.mdm.uploadarchive.raw/RTDC4025/ "%USERPROFILE%\AppData\Local\Temp\OnboardLogs"\RTDC4025\2017-01-10 --exclude "*" --recursive --include "*20170110*" &amp; "%USERPROFILE%\Documents\GitHub\mrs-test-scripts\Headless Mode &amp; Sideloading\WalkAndUnGZ.bat" "%USERPROFILE%\AppData\Local\Temp\OnboardLogs"\RTDC4025\2017-01-10 &amp; aws s3 cp s3://rtdc.mdm.uploadarchive.raw/RTDC4025/ "%USERPROFILE%\AppData\Local\Temp\OnboardLogs"\RTDC4025\2017-01-11 --exclude "*" --recursive --include "*20170111*" &amp; "%USERPROFILE%\Documents\GitHub\mrs-test-scripts\Headless Mode &amp; Sideloading\WalkAndUnGZ.bat" "%USERPROFILE%\AppData\Local\Temp\OnboardLogs"\RTDC4025\2017-01-11</v>
      </c>
      <c r="AF85" s="84" t="str">
        <f t="shared" si="37"/>
        <v>"C:\Program Files (x86)\AstroGrep\AstroGrep.exe" /spath="%USERPROFILE%\AppData\Local\Temp\OnboardLogs" /stypes="app*4025*20170110*" /stext=" 20:.+((SYSTEM_STATE.+slice.+state.+changed )|(ment ac)|(multiple cpu faults)|(system.+state.+changed )|(\[timeout)|(PRM\|1\|D)|(kpr)|(kdp)|(\|lc)|(penalty))" /e /r /s</v>
      </c>
      <c r="AG85" s="1" t="str">
        <f t="shared" si="38"/>
        <v>EC</v>
      </c>
      <c r="AH85" s="88" t="str">
        <f t="shared" si="39"/>
        <v>"%USERPROFILE%\Documents\GitHub\eaglep3\Utilities\RefineRTDCRunTimes.py" --tripid 173-10 --locoid 4025 --swversion DE.1.0.8.0 --startMP 204:457 --initTime 2017-01-10T12:49:02 --startdatetime 2017-01-10T12:51:42 --delay 1 --endMP 204:233304 --enddatetime 2017-01-10T13:36:39 --enforcementcount 0 &gt;&gt;C:\Users\stu\Documents\GitHub\eaglep3-reporting\EC\2017-01-10-refined-times.txt</v>
      </c>
      <c r="AI85" s="115" t="str">
        <f t="shared" si="40"/>
        <v>echo {"issue":{"subject":"","project_id":79,"tracker_id":40,"status_id":1,"priority_id":2,"assigned_to_id":23,"start_date":"2017-01-10","description":"","custom_fields":[{"id":1,"name":"Subdivision","value":"EC"},{"id":4,"name":"Milepost","value":"23.3304"},{"id":17,"name":"Train ID","value":"173-10"},{"id":16,"name":"Locomotive ID","value":"4025"},{"id":130,"name":"Impact","value":""},{"id":150,"name":"Time of Event (Mountain Time)","value":"13:36:39"},{"id":151,"name":"Denver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0"/>
      <c r="AK85" s="50"/>
      <c r="AL85" s="50"/>
      <c r="AM85" s="180" t="str">
        <f t="shared" si="41"/>
        <v>start /low /b %USERPROFILE%\Documents\GitHub\eaglep3\Utilities\DownloadLogsFromS3.py --loco 4025 --day 2017-01-10</v>
      </c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1" customFormat="1" x14ac:dyDescent="0.25">
      <c r="A86" s="34" t="s">
        <v>571</v>
      </c>
      <c r="B86" s="7">
        <v>4026</v>
      </c>
      <c r="C86" s="22" t="s">
        <v>202</v>
      </c>
      <c r="D86" s="22" t="s">
        <v>405</v>
      </c>
      <c r="E86" s="13">
        <v>42745.569895833331</v>
      </c>
      <c r="F86" s="13">
        <v>42745.571527777778</v>
      </c>
      <c r="G86" s="7">
        <v>1</v>
      </c>
      <c r="H86" s="22" t="s">
        <v>273</v>
      </c>
      <c r="I86" s="13">
        <v>42745.600914351853</v>
      </c>
      <c r="J86" s="7">
        <v>0</v>
      </c>
      <c r="K86" s="105" t="str">
        <f t="shared" si="26"/>
        <v>4025/4026</v>
      </c>
      <c r="L86" s="22" t="str">
        <f>VLOOKUP(A86,'Trips&amp;Operators'!$C$1:$G$99999,5,FALSE)</f>
        <v>DAVIS MICHAEL</v>
      </c>
      <c r="M86" s="6">
        <f t="shared" si="27"/>
        <v>2.9386574075033423E-2</v>
      </c>
      <c r="N86" s="7">
        <f t="shared" si="25"/>
        <v>42.316666668048128</v>
      </c>
      <c r="O86" s="7"/>
      <c r="P86" s="7"/>
      <c r="Q86" s="23"/>
      <c r="R86" s="23"/>
      <c r="S86" s="32">
        <f t="shared" si="28"/>
        <v>1</v>
      </c>
      <c r="T86" s="47" t="str">
        <f t="shared" si="29"/>
        <v>Southbound</v>
      </c>
      <c r="U86" s="167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https://search-rtdc-monitor-bjffxe2xuh6vdkpspy63sjmuny.us-east-1.es.amazonaws.com/_plugin/kibana/#/discover/Steve-Slow-Train-Analysis-(2080s-and-2083s)?_g=(refreshInterval:(display:Off,section:0,value:0),time:(from:'2017-01-10 12:40:39-700',mode:absolute,to:'2017-01-10 15:25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86" s="49" t="str">
        <f t="shared" si="31"/>
        <v>N</v>
      </c>
      <c r="X86" s="173">
        <f t="shared" si="22"/>
        <v>1</v>
      </c>
      <c r="Y86" s="64">
        <f t="shared" si="32"/>
        <v>23.2972</v>
      </c>
      <c r="Z86" s="64">
        <f t="shared" si="33"/>
        <v>1.5599999999999999E-2</v>
      </c>
      <c r="AA86" s="64">
        <f t="shared" si="34"/>
        <v>23.281600000000001</v>
      </c>
      <c r="AB86" s="61" t="e">
        <f>VLOOKUP(A86,Enforcements!$C$7:$K$17,8,0)</f>
        <v>#N/A</v>
      </c>
      <c r="AC86" s="57" t="e">
        <f>VLOOKUP(A86,Enforcements!$C$7:$E$17,3,0)</f>
        <v>#N/A</v>
      </c>
      <c r="AD86" s="58" t="str">
        <f t="shared" si="35"/>
        <v>0174-10</v>
      </c>
      <c r="AE86" s="87" t="str">
        <f t="shared" si="36"/>
        <v>aws s3 cp s3://rtdc.mdm.uploadarchive.raw/RTDC4026/ "%USERPROFILE%\AppData\Local\Temp\OnboardLogs"\RTDC4026\2017-01-10 --exclude "*" --recursive --include "*20170110*" &amp; "%USERPROFILE%\Documents\GitHub\mrs-test-scripts\Headless Mode &amp; Sideloading\WalkAndUnGZ.bat" "%USERPROFILE%\AppData\Local\Temp\OnboardLogs"\RTDC4026\2017-01-10 &amp; aws s3 cp s3://rtdc.mdm.uploadarchive.raw/RTDC4026/ "%USERPROFILE%\AppData\Local\Temp\OnboardLogs"\RTDC4026\2017-01-11 --exclude "*" --recursive --include "*20170111*" &amp; "%USERPROFILE%\Documents\GitHub\mrs-test-scripts\Headless Mode &amp; Sideloading\WalkAndUnGZ.bat" "%USERPROFILE%\AppData\Local\Temp\OnboardLogs"\RTDC4026\2017-01-11</v>
      </c>
      <c r="AF86" s="84" t="str">
        <f t="shared" si="37"/>
        <v>"C:\Program Files (x86)\AstroGrep\AstroGrep.exe" /spath="%USERPROFILE%\AppData\Local\Temp\OnboardLogs" /stypes="app*4026*20170110*" /stext=" 21:.+((SYSTEM_STATE.+slice.+state.+changed )|(ment ac)|(multiple cpu faults)|(system.+state.+changed )|(\[timeout)|(PRM\|1\|D)|(kpr)|(kdp)|(\|lc)|(penalty))" /e /r /s</v>
      </c>
      <c r="AG86" s="1" t="str">
        <f t="shared" si="38"/>
        <v>EC</v>
      </c>
      <c r="AH86" s="88" t="str">
        <f t="shared" si="39"/>
        <v>"%USERPROFILE%\Documents\GitHub\eaglep3\Utilities\RefineRTDCRunTimes.py" --tripid 174-10 --locoid 4026 --swversion DE.1.0.8.0 --startMP 204:232972 --initTime 2017-01-10T13:40:39 --startdatetime 2017-01-10T13:43:00 --delay 1 --endMP 204:156 --enddatetime 2017-01-10T14:25:19 --enforcementcount 0 &gt;&gt;C:\Users\stu\Documents\GitHub\eaglep3-reporting\EC\2017-01-10-refined-times.txt</v>
      </c>
      <c r="AI86" s="115" t="str">
        <f t="shared" si="40"/>
        <v>echo {"issue":{"subject":"","project_id":79,"tracker_id":40,"status_id":1,"priority_id":2,"assigned_to_id":23,"start_date":"2017-01-10","description":"","custom_fields":[{"id":1,"name":"Subdivision","value":"EC"},{"id":4,"name":"Milepost","value":"0.0156"},{"id":17,"name":"Train ID","value":"174-10"},{"id":16,"name":"Locomotive ID","value":"4026"},{"id":130,"name":"Impact","value":""},{"id":150,"name":"Time of Event (Mountain Time)","value":"14:25:19"},{"id":151,"name":"Denver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0"/>
      <c r="AK86" s="50"/>
      <c r="AL86" s="50"/>
      <c r="AM86" s="180" t="str">
        <f t="shared" si="41"/>
        <v>start /low /b %USERPROFILE%\Documents\GitHub\eaglep3\Utilities\DownloadLogsFromS3.py --loco 4026 --day 2017-01-10</v>
      </c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1" customFormat="1" x14ac:dyDescent="0.25">
      <c r="A87" s="34" t="s">
        <v>564</v>
      </c>
      <c r="B87" s="7">
        <v>4020</v>
      </c>
      <c r="C87" s="22" t="s">
        <v>202</v>
      </c>
      <c r="D87" s="22" t="s">
        <v>192</v>
      </c>
      <c r="E87" s="13">
        <v>42745.542094907411</v>
      </c>
      <c r="F87" s="13">
        <v>42745.543576388889</v>
      </c>
      <c r="G87" s="7">
        <v>1</v>
      </c>
      <c r="H87" s="22" t="s">
        <v>675</v>
      </c>
      <c r="I87" s="13">
        <v>42745.574675925927</v>
      </c>
      <c r="J87" s="7">
        <v>0</v>
      </c>
      <c r="K87" s="105" t="str">
        <f t="shared" si="26"/>
        <v>4019/4020</v>
      </c>
      <c r="L87" s="22" t="str">
        <f>VLOOKUP(A87,'Trips&amp;Operators'!$C$1:$G$99999,5,FALSE)</f>
        <v>YANG JAN</v>
      </c>
      <c r="M87" s="6">
        <f t="shared" si="27"/>
        <v>3.1099537038244307E-2</v>
      </c>
      <c r="N87" s="7">
        <f t="shared" si="25"/>
        <v>44.783333335071802</v>
      </c>
      <c r="O87" s="7"/>
      <c r="P87" s="7"/>
      <c r="Q87" s="23"/>
      <c r="R87" s="23"/>
      <c r="S87" s="32">
        <f t="shared" si="28"/>
        <v>1</v>
      </c>
      <c r="T87" s="47" t="str">
        <f t="shared" si="29"/>
        <v>NorthBound</v>
      </c>
      <c r="U87" s="167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https://search-rtdc-monitor-bjffxe2xuh6vdkpspy63sjmuny.us-east-1.es.amazonaws.com/_plugin/kibana/#/discover/Steve-Slow-Train-Analysis-(2080s-and-2083s)?_g=(refreshInterval:(display:Off,section:0,value:0),time:(from:'2017-01-10 12:00:37-700',mode:absolute,to:'2017-01-10 14:47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87" s="49" t="str">
        <f t="shared" si="31"/>
        <v>N</v>
      </c>
      <c r="X87" s="173">
        <f t="shared" si="22"/>
        <v>1</v>
      </c>
      <c r="Y87" s="64">
        <f t="shared" si="32"/>
        <v>4.4699999999999997E-2</v>
      </c>
      <c r="Z87" s="64">
        <f t="shared" si="33"/>
        <v>23.328800000000001</v>
      </c>
      <c r="AA87" s="64">
        <f t="shared" si="34"/>
        <v>23.284100000000002</v>
      </c>
      <c r="AB87" s="61" t="e">
        <f>VLOOKUP(A87,Enforcements!$C$7:$K$17,8,0)</f>
        <v>#N/A</v>
      </c>
      <c r="AC87" s="57" t="e">
        <f>VLOOKUP(A87,Enforcements!$C$7:$E$17,3,0)</f>
        <v>#N/A</v>
      </c>
      <c r="AD87" s="58" t="str">
        <f t="shared" si="35"/>
        <v>0175-10</v>
      </c>
      <c r="AE87" s="87" t="str">
        <f t="shared" si="36"/>
        <v>aws s3 cp s3://rtdc.mdm.uploadarchive.raw/RTDC4020/ "%USERPROFILE%\AppData\Local\Temp\OnboardLogs"\RTDC4020\2017-01-10 --exclude "*" --recursive --include "*20170110*" &amp; "%USERPROFILE%\Documents\GitHub\mrs-test-scripts\Headless Mode &amp; Sideloading\WalkAndUnGZ.bat" "%USERPROFILE%\AppData\Local\Temp\OnboardLogs"\RTDC4020\2017-01-10 &amp; aws s3 cp s3://rtdc.mdm.uploadarchive.raw/RTDC4020/ "%USERPROFILE%\AppData\Local\Temp\OnboardLogs"\RTDC4020\2017-01-11 --exclude "*" --recursive --include "*20170111*" &amp; "%USERPROFILE%\Documents\GitHub\mrs-test-scripts\Headless Mode &amp; Sideloading\WalkAndUnGZ.bat" "%USERPROFILE%\AppData\Local\Temp\OnboardLogs"\RTDC4020\2017-01-11</v>
      </c>
      <c r="AF87" s="84" t="str">
        <f t="shared" si="37"/>
        <v>"C:\Program Files (x86)\AstroGrep\AstroGrep.exe" /spath="%USERPROFILE%\AppData\Local\Temp\OnboardLogs" /stypes="app*4020*20170110*" /stext=" 20:.+((SYSTEM_STATE.+slice.+state.+changed )|(ment ac)|(multiple cpu faults)|(system.+state.+changed )|(\[timeout)|(PRM\|1\|D)|(kpr)|(kdp)|(\|lc)|(penalty))" /e /r /s</v>
      </c>
      <c r="AG87" s="1" t="str">
        <f t="shared" si="38"/>
        <v>EC</v>
      </c>
      <c r="AH87" s="88" t="str">
        <f t="shared" si="39"/>
        <v>"%USERPROFILE%\Documents\GitHub\eaglep3\Utilities\RefineRTDCRunTimes.py" --tripid 175-10 --locoid 4020 --swversion DE.1.0.8.0 --startMP 204:447 --initTime 2017-01-10T13:00:37 --startdatetime 2017-01-10T13:02:45 --delay 1 --endMP 204:233288 --enddatetime 2017-01-10T13:47:32 --enforcementcount 0 &gt;&gt;C:\Users\stu\Documents\GitHub\eaglep3-reporting\EC\2017-01-10-refined-times.txt</v>
      </c>
      <c r="AI87" s="115" t="str">
        <f t="shared" si="40"/>
        <v>echo {"issue":{"subject":"","project_id":79,"tracker_id":40,"status_id":1,"priority_id":2,"assigned_to_id":23,"start_date":"2017-01-10","description":"","custom_fields":[{"id":1,"name":"Subdivision","value":"EC"},{"id":4,"name":"Milepost","value":"23.3288"},{"id":17,"name":"Train ID","value":"175-10"},{"id":16,"name":"Locomotive ID","value":"4020"},{"id":130,"name":"Impact","value":""},{"id":150,"name":"Time of Event (Mountain Time)","value":"13:47:32"},{"id":151,"name":"Denver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0"/>
      <c r="AK87" s="50"/>
      <c r="AL87" s="50"/>
      <c r="AM87" s="180" t="str">
        <f t="shared" si="41"/>
        <v>start /low /b %USERPROFILE%\Documents\GitHub\eaglep3\Utilities\DownloadLogsFromS3.py --loco 4020 --day 2017-01-10</v>
      </c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1" customFormat="1" x14ac:dyDescent="0.25">
      <c r="A88" s="34" t="s">
        <v>573</v>
      </c>
      <c r="B88" s="7">
        <v>4019</v>
      </c>
      <c r="C88" s="22" t="s">
        <v>202</v>
      </c>
      <c r="D88" s="22" t="s">
        <v>318</v>
      </c>
      <c r="E88" s="13">
        <v>42745.576388888891</v>
      </c>
      <c r="F88" s="13">
        <v>42745.580729166664</v>
      </c>
      <c r="G88" s="7">
        <v>1</v>
      </c>
      <c r="H88" s="22" t="s">
        <v>208</v>
      </c>
      <c r="I88" s="13">
        <v>42745.611539351848</v>
      </c>
      <c r="J88" s="7">
        <v>0</v>
      </c>
      <c r="K88" s="105" t="str">
        <f t="shared" si="26"/>
        <v>4019/4020</v>
      </c>
      <c r="L88" s="22" t="str">
        <f>VLOOKUP(A88,'Trips&amp;Operators'!$C$1:$G$99999,5,FALSE)</f>
        <v>YANG JAN</v>
      </c>
      <c r="M88" s="6">
        <f t="shared" si="27"/>
        <v>3.0810185184236616E-2</v>
      </c>
      <c r="N88" s="7">
        <f t="shared" si="25"/>
        <v>44.366666665300727</v>
      </c>
      <c r="O88" s="7"/>
      <c r="P88" s="7"/>
      <c r="Q88" s="23"/>
      <c r="R88" s="23"/>
      <c r="S88" s="32">
        <f t="shared" si="28"/>
        <v>1</v>
      </c>
      <c r="T88" s="47" t="str">
        <f t="shared" si="29"/>
        <v>Southbound</v>
      </c>
      <c r="U88" s="167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https://search-rtdc-monitor-bjffxe2xuh6vdkpspy63sjmuny.us-east-1.es.amazonaws.com/_plugin/kibana/#/discover/Steve-Slow-Train-Analysis-(2080s-and-2083s)?_g=(refreshInterval:(display:Off,section:0,value:0),time:(from:'2017-01-10 12:50:00-700',mode:absolute,to:'2017-01-10 15:40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88" s="49" t="str">
        <f t="shared" si="31"/>
        <v>N</v>
      </c>
      <c r="X88" s="173">
        <f t="shared" ref="X88:X151" si="42">VALUE(LEFT(AD88,4))-VALUE(LEFT(AD87,4))</f>
        <v>1</v>
      </c>
      <c r="Y88" s="64">
        <f t="shared" si="32"/>
        <v>23.296900000000001</v>
      </c>
      <c r="Z88" s="64">
        <f t="shared" si="33"/>
        <v>1.4999999999999999E-2</v>
      </c>
      <c r="AA88" s="64">
        <f t="shared" si="34"/>
        <v>23.2819</v>
      </c>
      <c r="AB88" s="61" t="e">
        <f>VLOOKUP(A88,Enforcements!$C$7:$K$17,8,0)</f>
        <v>#N/A</v>
      </c>
      <c r="AC88" s="57" t="e">
        <f>VLOOKUP(A88,Enforcements!$C$7:$E$17,3,0)</f>
        <v>#N/A</v>
      </c>
      <c r="AD88" s="58" t="str">
        <f t="shared" si="35"/>
        <v>0176-10</v>
      </c>
      <c r="AE88" s="87" t="str">
        <f t="shared" si="36"/>
        <v>aws s3 cp s3://rtdc.mdm.uploadarchive.raw/RTDC4019/ "%USERPROFILE%\AppData\Local\Temp\OnboardLogs"\RTDC4019\2017-01-10 --exclude "*" --recursive --include "*20170110*" &amp; "%USERPROFILE%\Documents\GitHub\mrs-test-scripts\Headless Mode &amp; Sideloading\WalkAndUnGZ.bat" "%USERPROFILE%\AppData\Local\Temp\OnboardLogs"\RTDC4019\2017-01-10 &amp; aws s3 cp s3://rtdc.mdm.uploadarchive.raw/RTDC4019/ "%USERPROFILE%\AppData\Local\Temp\OnboardLogs"\RTDC4019\2017-01-11 --exclude "*" --recursive --include "*20170111*" &amp; "%USERPROFILE%\Documents\GitHub\mrs-test-scripts\Headless Mode &amp; Sideloading\WalkAndUnGZ.bat" "%USERPROFILE%\AppData\Local\Temp\OnboardLogs"\RTDC4019\2017-01-11</v>
      </c>
      <c r="AF88" s="84" t="str">
        <f t="shared" si="37"/>
        <v>"C:\Program Files (x86)\AstroGrep\AstroGrep.exe" /spath="%USERPROFILE%\AppData\Local\Temp\OnboardLogs" /stypes="app*4019*20170110*" /stext=" 21:.+((SYSTEM_STATE.+slice.+state.+changed )|(ment ac)|(multiple cpu faults)|(system.+state.+changed )|(\[timeout)|(PRM\|1\|D)|(kpr)|(kdp)|(\|lc)|(penalty))" /e /r /s</v>
      </c>
      <c r="AG88" s="1" t="str">
        <f t="shared" si="38"/>
        <v>EC</v>
      </c>
      <c r="AH88" s="88" t="str">
        <f t="shared" si="39"/>
        <v>"%USERPROFILE%\Documents\GitHub\eaglep3\Utilities\RefineRTDCRunTimes.py" --tripid 176-10 --locoid 4019 --swversion DE.1.0.8.0 --startMP 204:232969 --initTime 2017-01-10T13:50:00 --startdatetime 2017-01-10T13:56:15 --delay 1 --endMP 204:150 --enddatetime 2017-01-10T14:40:37 --enforcementcount 0 &gt;&gt;C:\Users\stu\Documents\GitHub\eaglep3-reporting\EC\2017-01-10-refined-times.txt</v>
      </c>
      <c r="AI88" s="115" t="str">
        <f t="shared" si="40"/>
        <v>echo {"issue":{"subject":"","project_id":79,"tracker_id":40,"status_id":1,"priority_id":2,"assigned_to_id":23,"start_date":"2017-01-10","description":"","custom_fields":[{"id":1,"name":"Subdivision","value":"EC"},{"id":4,"name":"Milepost","value":"0.015"},{"id":17,"name":"Train ID","value":"176-10"},{"id":16,"name":"Locomotive ID","value":"4019"},{"id":130,"name":"Impact","value":""},{"id":150,"name":"Time of Event (Mountain Time)","value":"14:40:37"},{"id":151,"name":"Denver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0"/>
      <c r="AK88" s="50"/>
      <c r="AL88" s="50"/>
      <c r="AM88" s="180" t="str">
        <f t="shared" si="41"/>
        <v>start /low /b %USERPROFILE%\Documents\GitHub\eaglep3\Utilities\DownloadLogsFromS3.py --loco 4019 --day 2017-01-10</v>
      </c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1" customFormat="1" x14ac:dyDescent="0.25">
      <c r="A89" s="34" t="s">
        <v>567</v>
      </c>
      <c r="B89" s="7">
        <v>4014</v>
      </c>
      <c r="C89" s="22" t="s">
        <v>202</v>
      </c>
      <c r="D89" s="22" t="s">
        <v>192</v>
      </c>
      <c r="E89" s="13">
        <v>42745.55228009259</v>
      </c>
      <c r="F89" s="13">
        <v>42745.554293981484</v>
      </c>
      <c r="G89" s="7">
        <v>1</v>
      </c>
      <c r="H89" s="22" t="s">
        <v>292</v>
      </c>
      <c r="I89" s="13">
        <v>42745.586087962962</v>
      </c>
      <c r="J89" s="7">
        <v>0</v>
      </c>
      <c r="K89" s="105" t="str">
        <f t="shared" si="26"/>
        <v>4013/4014</v>
      </c>
      <c r="L89" s="22" t="str">
        <f>VLOOKUP(A89,'Trips&amp;Operators'!$C$1:$G$99999,5,FALSE)</f>
        <v>COMELLA JUSTIN</v>
      </c>
      <c r="M89" s="6">
        <f t="shared" si="27"/>
        <v>3.1793981477676425E-2</v>
      </c>
      <c r="N89" s="7">
        <f t="shared" si="25"/>
        <v>45.783333327854052</v>
      </c>
      <c r="O89" s="7"/>
      <c r="P89" s="7"/>
      <c r="Q89" s="23"/>
      <c r="R89" s="23"/>
      <c r="S89" s="32">
        <f t="shared" si="28"/>
        <v>1</v>
      </c>
      <c r="T89" s="47" t="str">
        <f t="shared" si="29"/>
        <v>NorthBound</v>
      </c>
      <c r="U89" s="167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https://search-rtdc-monitor-bjffxe2xuh6vdkpspy63sjmuny.us-east-1.es.amazonaws.com/_plugin/kibana/#/discover/Steve-Slow-Train-Analysis-(2080s-and-2083s)?_g=(refreshInterval:(display:Off,section:0,value:0),time:(from:'2017-01-10 12:15:17-700',mode:absolute,to:'2017-01-10 15:03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89" s="49" t="str">
        <f t="shared" si="31"/>
        <v>N</v>
      </c>
      <c r="X89" s="173">
        <f t="shared" si="42"/>
        <v>1</v>
      </c>
      <c r="Y89" s="64">
        <f t="shared" si="32"/>
        <v>4.4699999999999997E-2</v>
      </c>
      <c r="Z89" s="64">
        <f t="shared" si="33"/>
        <v>23.329799999999999</v>
      </c>
      <c r="AA89" s="64">
        <f t="shared" si="34"/>
        <v>23.2851</v>
      </c>
      <c r="AB89" s="61" t="e">
        <f>VLOOKUP(A89,Enforcements!$C$7:$K$17,8,0)</f>
        <v>#N/A</v>
      </c>
      <c r="AC89" s="57" t="e">
        <f>VLOOKUP(A89,Enforcements!$C$7:$E$17,3,0)</f>
        <v>#N/A</v>
      </c>
      <c r="AD89" s="58" t="str">
        <f t="shared" si="35"/>
        <v>0177-10</v>
      </c>
      <c r="AE89" s="87" t="str">
        <f t="shared" si="36"/>
        <v>aws s3 cp s3://rtdc.mdm.uploadarchive.raw/RTDC4014/ "%USERPROFILE%\AppData\Local\Temp\OnboardLogs"\RTDC4014\2017-01-10 --exclude "*" --recursive --include "*20170110*" &amp; "%USERPROFILE%\Documents\GitHub\mrs-test-scripts\Headless Mode &amp; Sideloading\WalkAndUnGZ.bat" "%USERPROFILE%\AppData\Local\Temp\OnboardLogs"\RTDC4014\2017-01-10 &amp; aws s3 cp s3://rtdc.mdm.uploadarchive.raw/RTDC4014/ "%USERPROFILE%\AppData\Local\Temp\OnboardLogs"\RTDC4014\2017-01-11 --exclude "*" --recursive --include "*20170111*" &amp; "%USERPROFILE%\Documents\GitHub\mrs-test-scripts\Headless Mode &amp; Sideloading\WalkAndUnGZ.bat" "%USERPROFILE%\AppData\Local\Temp\OnboardLogs"\RTDC4014\2017-01-11</v>
      </c>
      <c r="AF89" s="84" t="str">
        <f t="shared" si="37"/>
        <v>"C:\Program Files (x86)\AstroGrep\AstroGrep.exe" /spath="%USERPROFILE%\AppData\Local\Temp\OnboardLogs" /stypes="app*4014*20170110*" /stext=" 21:.+((SYSTEM_STATE.+slice.+state.+changed )|(ment ac)|(multiple cpu faults)|(system.+state.+changed )|(\[timeout)|(PRM\|1\|D)|(kpr)|(kdp)|(\|lc)|(penalty))" /e /r /s</v>
      </c>
      <c r="AG89" s="1" t="str">
        <f t="shared" si="38"/>
        <v>EC</v>
      </c>
      <c r="AH89" s="88" t="str">
        <f t="shared" si="39"/>
        <v>"%USERPROFILE%\Documents\GitHub\eaglep3\Utilities\RefineRTDCRunTimes.py" --tripid 177-10 --locoid 4014 --swversion DE.1.0.8.0 --startMP 204:447 --initTime 2017-01-10T13:15:17 --startdatetime 2017-01-10T13:18:11 --delay 1 --endMP 204:233298 --enddatetime 2017-01-10T14:03:58 --enforcementcount 0 &gt;&gt;C:\Users\stu\Documents\GitHub\eaglep3-reporting\EC\2017-01-10-refined-times.txt</v>
      </c>
      <c r="AI89" s="115" t="str">
        <f t="shared" si="40"/>
        <v>echo {"issue":{"subject":"","project_id":79,"tracker_id":40,"status_id":1,"priority_id":2,"assigned_to_id":23,"start_date":"2017-01-10","description":"","custom_fields":[{"id":1,"name":"Subdivision","value":"EC"},{"id":4,"name":"Milepost","value":"23.3298"},{"id":17,"name":"Train ID","value":"177-10"},{"id":16,"name":"Locomotive ID","value":"4014"},{"id":130,"name":"Impact","value":""},{"id":150,"name":"Time of Event (Mountain Time)","value":"14:03:58"},{"id":151,"name":"Denver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0"/>
      <c r="AK89" s="50"/>
      <c r="AL89" s="50"/>
      <c r="AM89" s="180" t="str">
        <f t="shared" si="41"/>
        <v>start /low /b %USERPROFILE%\Documents\GitHub\eaglep3\Utilities\DownloadLogsFromS3.py --loco 4014 --day 2017-01-10</v>
      </c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x14ac:dyDescent="0.25">
      <c r="A90" s="34" t="s">
        <v>575</v>
      </c>
      <c r="B90" s="7">
        <v>4013</v>
      </c>
      <c r="C90" s="22" t="s">
        <v>202</v>
      </c>
      <c r="D90" s="22" t="s">
        <v>321</v>
      </c>
      <c r="E90" s="13">
        <v>42745.589837962965</v>
      </c>
      <c r="F90" s="13">
        <v>42745.591168981482</v>
      </c>
      <c r="G90" s="7">
        <v>1</v>
      </c>
      <c r="H90" s="22" t="s">
        <v>349</v>
      </c>
      <c r="I90" s="13">
        <v>42745.623136574075</v>
      </c>
      <c r="J90" s="7">
        <v>0</v>
      </c>
      <c r="K90" s="105" t="str">
        <f t="shared" si="26"/>
        <v>4013/4014</v>
      </c>
      <c r="L90" s="22" t="str">
        <f>VLOOKUP(A90,'Trips&amp;Operators'!$C$1:$G$99999,5,FALSE)</f>
        <v>COMELLA JUSTIN</v>
      </c>
      <c r="M90" s="6">
        <f t="shared" si="27"/>
        <v>3.1967592592991423E-2</v>
      </c>
      <c r="N90" s="7">
        <f t="shared" si="25"/>
        <v>46.033333333907649</v>
      </c>
      <c r="O90" s="7"/>
      <c r="P90" s="7"/>
      <c r="Q90" s="23"/>
      <c r="R90" s="23"/>
      <c r="S90" s="32">
        <f t="shared" si="28"/>
        <v>1</v>
      </c>
      <c r="T90" s="47" t="str">
        <f t="shared" si="29"/>
        <v>Southbound</v>
      </c>
      <c r="U90" s="167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https://search-rtdc-monitor-bjffxe2xuh6vdkpspy63sjmuny.us-east-1.es.amazonaws.com/_plugin/kibana/#/discover/Steve-Slow-Train-Analysis-(2080s-and-2083s)?_g=(refreshInterval:(display:Off,section:0,value:0),time:(from:'2017-01-10 13:09:22-700',mode:absolute,to:'2017-01-10 15:57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90" s="49" t="str">
        <f t="shared" si="31"/>
        <v>N</v>
      </c>
      <c r="X90" s="173">
        <f t="shared" si="42"/>
        <v>1</v>
      </c>
      <c r="Y90" s="64">
        <f t="shared" si="32"/>
        <v>23.2974</v>
      </c>
      <c r="Z90" s="64">
        <f t="shared" si="33"/>
        <v>1.6299999999999999E-2</v>
      </c>
      <c r="AA90" s="64">
        <f t="shared" si="34"/>
        <v>23.281099999999999</v>
      </c>
      <c r="AB90" s="61" t="e">
        <f>VLOOKUP(A90,Enforcements!$C$7:$K$17,8,0)</f>
        <v>#N/A</v>
      </c>
      <c r="AC90" s="57" t="e">
        <f>VLOOKUP(A90,Enforcements!$C$7:$E$17,3,0)</f>
        <v>#N/A</v>
      </c>
      <c r="AD90" s="58" t="str">
        <f t="shared" si="35"/>
        <v>0178-10</v>
      </c>
      <c r="AE90" s="87" t="str">
        <f t="shared" si="36"/>
        <v>aws s3 cp s3://rtdc.mdm.uploadarchive.raw/RTDC4013/ "%USERPROFILE%\AppData\Local\Temp\OnboardLogs"\RTDC4013\2017-01-10 --exclude "*" --recursive --include "*20170110*" &amp; "%USERPROFILE%\Documents\GitHub\mrs-test-scripts\Headless Mode &amp; Sideloading\WalkAndUnGZ.bat" "%USERPROFILE%\AppData\Local\Temp\OnboardLogs"\RTDC4013\2017-01-10 &amp; aws s3 cp s3://rtdc.mdm.uploadarchive.raw/RTDC4013/ "%USERPROFILE%\AppData\Local\Temp\OnboardLogs"\RTDC4013\2017-01-11 --exclude "*" --recursive --include "*20170111*" &amp; "%USERPROFILE%\Documents\GitHub\mrs-test-scripts\Headless Mode &amp; Sideloading\WalkAndUnGZ.bat" "%USERPROFILE%\AppData\Local\Temp\OnboardLogs"\RTDC4013\2017-01-11</v>
      </c>
      <c r="AF90" s="84" t="str">
        <f t="shared" si="37"/>
        <v>"C:\Program Files (x86)\AstroGrep\AstroGrep.exe" /spath="%USERPROFILE%\AppData\Local\Temp\OnboardLogs" /stypes="app*4013*20170110*" /stext=" 21:.+((SYSTEM_STATE.+slice.+state.+changed )|(ment ac)|(multiple cpu faults)|(system.+state.+changed )|(\[timeout)|(PRM\|1\|D)|(kpr)|(kdp)|(\|lc)|(penalty))" /e /r /s</v>
      </c>
      <c r="AG90" s="1" t="str">
        <f t="shared" si="38"/>
        <v>EC</v>
      </c>
      <c r="AH90" s="88" t="str">
        <f t="shared" si="39"/>
        <v>"%USERPROFILE%\Documents\GitHub\eaglep3\Utilities\RefineRTDCRunTimes.py" --tripid 178-10 --locoid 4013 --swversion DE.1.0.8.0 --startMP 204:232974 --initTime 2017-01-10T14:09:22 --startdatetime 2017-01-10T14:11:17 --delay 1 --endMP 204:163 --enddatetime 2017-01-10T14:57:19 --enforcementcount 0 &gt;&gt;C:\Users\stu\Documents\GitHub\eaglep3-reporting\EC\2017-01-10-refined-times.txt</v>
      </c>
      <c r="AI90" s="115" t="str">
        <f t="shared" si="40"/>
        <v>echo {"issue":{"subject":"","project_id":79,"tracker_id":40,"status_id":1,"priority_id":2,"assigned_to_id":23,"start_date":"2017-01-10","description":"","custom_fields":[{"id":1,"name":"Subdivision","value":"EC"},{"id":4,"name":"Milepost","value":"0.0163"},{"id":17,"name":"Train ID","value":"178-10"},{"id":16,"name":"Locomotive ID","value":"4013"},{"id":130,"name":"Impact","value":""},{"id":150,"name":"Time of Event (Mountain Time)","value":"14:57:19"},{"id":151,"name":"Denver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0"/>
      <c r="AK90" s="50"/>
      <c r="AL90" s="50"/>
      <c r="AM90" s="180" t="str">
        <f t="shared" si="41"/>
        <v>start /low /b %USERPROFILE%\Documents\GitHub\eaglep3\Utilities\DownloadLogsFromS3.py --loco 4013 --day 2017-01-10</v>
      </c>
    </row>
    <row r="91" spans="1:91" x14ac:dyDescent="0.25">
      <c r="A91" s="34" t="s">
        <v>569</v>
      </c>
      <c r="B91" s="7">
        <v>4031</v>
      </c>
      <c r="C91" s="22" t="s">
        <v>202</v>
      </c>
      <c r="D91" s="22" t="s">
        <v>359</v>
      </c>
      <c r="E91" s="13">
        <v>42745.558657407404</v>
      </c>
      <c r="F91" s="13">
        <v>42745.562673611108</v>
      </c>
      <c r="G91" s="7">
        <v>1</v>
      </c>
      <c r="H91" s="22" t="s">
        <v>689</v>
      </c>
      <c r="I91" s="13">
        <v>42745.589641203704</v>
      </c>
      <c r="J91" s="7">
        <v>0</v>
      </c>
      <c r="K91" s="105" t="str">
        <f t="shared" si="26"/>
        <v>4031/4032</v>
      </c>
      <c r="L91" s="22" t="str">
        <f>VLOOKUP(A91,'Trips&amp;Operators'!$C$1:$G$99999,5,FALSE)</f>
        <v>CLARK KATHLEEN</v>
      </c>
      <c r="M91" s="6">
        <f t="shared" si="27"/>
        <v>2.6967592595610768E-2</v>
      </c>
      <c r="N91" s="7">
        <f t="shared" si="25"/>
        <v>38.833333337679505</v>
      </c>
      <c r="O91" s="7"/>
      <c r="P91" s="7"/>
      <c r="Q91" s="23"/>
      <c r="R91" s="23"/>
      <c r="S91" s="32">
        <f t="shared" si="28"/>
        <v>1</v>
      </c>
      <c r="T91" s="47" t="str">
        <f t="shared" si="29"/>
        <v>NorthBound</v>
      </c>
      <c r="U91" s="167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https://search-rtdc-monitor-bjffxe2xuh6vdkpspy63sjmuny.us-east-1.es.amazonaws.com/_plugin/kibana/#/discover/Steve-Slow-Train-Analysis-(2080s-and-2083s)?_g=(refreshInterval:(display:Off,section:0,value:0),time:(from:'2017-01-10 12:24:28-700',mode:absolute,to:'2017-01-10 15:09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91" s="49" t="str">
        <f t="shared" si="31"/>
        <v>N</v>
      </c>
      <c r="X91" s="173">
        <f t="shared" si="42"/>
        <v>1</v>
      </c>
      <c r="Y91" s="64">
        <f t="shared" si="32"/>
        <v>4.7300000000000002E-2</v>
      </c>
      <c r="Z91" s="64">
        <f t="shared" si="33"/>
        <v>23.326799999999999</v>
      </c>
      <c r="AA91" s="64">
        <f t="shared" si="34"/>
        <v>23.279499999999999</v>
      </c>
      <c r="AB91" s="61" t="e">
        <f>VLOOKUP(A91,Enforcements!$C$7:$K$17,8,0)</f>
        <v>#N/A</v>
      </c>
      <c r="AC91" s="57" t="e">
        <f>VLOOKUP(A91,Enforcements!$C$7:$E$17,3,0)</f>
        <v>#N/A</v>
      </c>
      <c r="AD91" s="58" t="str">
        <f t="shared" si="35"/>
        <v>0179-10</v>
      </c>
      <c r="AE91" s="87" t="str">
        <f t="shared" si="36"/>
        <v>aws s3 cp s3://rtdc.mdm.uploadarchive.raw/RTDC4031/ "%USERPROFILE%\AppData\Local\Temp\OnboardLogs"\RTDC4031\2017-01-10 --exclude "*" --recursive --include "*20170110*" &amp; "%USERPROFILE%\Documents\GitHub\mrs-test-scripts\Headless Mode &amp; Sideloading\WalkAndUnGZ.bat" "%USERPROFILE%\AppData\Local\Temp\OnboardLogs"\RTDC4031\2017-01-10 &amp; aws s3 cp s3://rtdc.mdm.uploadarchive.raw/RTDC4031/ "%USERPROFILE%\AppData\Local\Temp\OnboardLogs"\RTDC4031\2017-01-11 --exclude "*" --recursive --include "*20170111*" &amp; "%USERPROFILE%\Documents\GitHub\mrs-test-scripts\Headless Mode &amp; Sideloading\WalkAndUnGZ.bat" "%USERPROFILE%\AppData\Local\Temp\OnboardLogs"\RTDC4031\2017-01-11</v>
      </c>
      <c r="AF91" s="84" t="str">
        <f t="shared" si="37"/>
        <v>"C:\Program Files (x86)\AstroGrep\AstroGrep.exe" /spath="%USERPROFILE%\AppData\Local\Temp\OnboardLogs" /stypes="app*4031*20170110*" /stext=" 21:.+((SYSTEM_STATE.+slice.+state.+changed )|(ment ac)|(multiple cpu faults)|(system.+state.+changed )|(\[timeout)|(PRM\|1\|D)|(kpr)|(kdp)|(\|lc)|(penalty))" /e /r /s</v>
      </c>
      <c r="AG91" s="1" t="str">
        <f t="shared" si="38"/>
        <v>EC</v>
      </c>
      <c r="AH91" s="88" t="str">
        <f t="shared" si="39"/>
        <v>"%USERPROFILE%\Documents\GitHub\eaglep3\Utilities\RefineRTDCRunTimes.py" --tripid 179-10 --locoid 4031 --swversion DE.1.0.8.0 --startMP 204:473 --initTime 2017-01-10T13:24:28 --startdatetime 2017-01-10T13:30:15 --delay 1 --endMP 204:233268 --enddatetime 2017-01-10T14:09:05 --enforcementcount 0 &gt;&gt;C:\Users\stu\Documents\GitHub\eaglep3-reporting\EC\2017-01-10-refined-times.txt</v>
      </c>
      <c r="AI91" s="115" t="str">
        <f t="shared" si="40"/>
        <v>echo {"issue":{"subject":"","project_id":79,"tracker_id":40,"status_id":1,"priority_id":2,"assigned_to_id":23,"start_date":"2017-01-10","description":"","custom_fields":[{"id":1,"name":"Subdivision","value":"EC"},{"id":4,"name":"Milepost","value":"23.3268"},{"id":17,"name":"Train ID","value":"179-10"},{"id":16,"name":"Locomotive ID","value":"4031"},{"id":130,"name":"Impact","value":""},{"id":150,"name":"Time of Event (Mountain Time)","value":"14:09:05"},{"id":151,"name":"Denver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0"/>
      <c r="AK91" s="50"/>
      <c r="AL91" s="50"/>
      <c r="AM91" s="180" t="str">
        <f t="shared" si="41"/>
        <v>start /low /b %USERPROFILE%\Documents\GitHub\eaglep3\Utilities\DownloadLogsFromS3.py --loco 4031 --day 2017-01-10</v>
      </c>
    </row>
    <row r="92" spans="1:91" x14ac:dyDescent="0.25">
      <c r="A92" s="34" t="s">
        <v>578</v>
      </c>
      <c r="B92" s="7">
        <v>4032</v>
      </c>
      <c r="C92" s="22" t="s">
        <v>202</v>
      </c>
      <c r="D92" s="22" t="s">
        <v>396</v>
      </c>
      <c r="E92" s="13">
        <v>42745.596412037034</v>
      </c>
      <c r="F92" s="13">
        <v>42745.6015625</v>
      </c>
      <c r="G92" s="7">
        <v>1</v>
      </c>
      <c r="H92" s="22" t="s">
        <v>403</v>
      </c>
      <c r="I92" s="13">
        <v>42745.632361111115</v>
      </c>
      <c r="J92" s="7">
        <v>0</v>
      </c>
      <c r="K92" s="105" t="str">
        <f t="shared" si="26"/>
        <v>4031/4032</v>
      </c>
      <c r="L92" s="22" t="str">
        <f>VLOOKUP(A92,'Trips&amp;Operators'!$C$1:$G$99999,5,FALSE)</f>
        <v>CLARK KATHLEEN</v>
      </c>
      <c r="M92" s="6">
        <f t="shared" si="27"/>
        <v>3.0798611114732921E-2</v>
      </c>
      <c r="N92" s="7">
        <f t="shared" si="25"/>
        <v>44.350000005215406</v>
      </c>
      <c r="O92" s="7"/>
      <c r="P92" s="7"/>
      <c r="Q92" s="23"/>
      <c r="R92" s="23"/>
      <c r="S92" s="32">
        <f t="shared" si="28"/>
        <v>1</v>
      </c>
      <c r="T92" s="47" t="str">
        <f t="shared" si="29"/>
        <v>Southbound</v>
      </c>
      <c r="U92" s="167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https://search-rtdc-monitor-bjffxe2xuh6vdkpspy63sjmuny.us-east-1.es.amazonaws.com/_plugin/kibana/#/discover/Steve-Slow-Train-Analysis-(2080s-and-2083s)?_g=(refreshInterval:(display:Off,section:0,value:0),time:(from:'2017-01-10 13:18:50-700',mode:absolute,to:'2017-01-10 16:10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92" s="49" t="str">
        <f t="shared" si="31"/>
        <v>N</v>
      </c>
      <c r="X92" s="173">
        <f t="shared" si="42"/>
        <v>1</v>
      </c>
      <c r="Y92" s="64">
        <f t="shared" si="32"/>
        <v>23.297499999999999</v>
      </c>
      <c r="Z92" s="64">
        <f t="shared" si="33"/>
        <v>1.67E-2</v>
      </c>
      <c r="AA92" s="64">
        <f t="shared" si="34"/>
        <v>23.280799999999999</v>
      </c>
      <c r="AB92" s="61" t="e">
        <f>VLOOKUP(A92,Enforcements!$C$7:$K$17,8,0)</f>
        <v>#N/A</v>
      </c>
      <c r="AC92" s="57" t="e">
        <f>VLOOKUP(A92,Enforcements!$C$7:$E$17,3,0)</f>
        <v>#N/A</v>
      </c>
      <c r="AD92" s="58" t="str">
        <f t="shared" si="35"/>
        <v>0180-10</v>
      </c>
      <c r="AE92" s="87" t="str">
        <f t="shared" si="36"/>
        <v>aws s3 cp s3://rtdc.mdm.uploadarchive.raw/RTDC4032/ "%USERPROFILE%\AppData\Local\Temp\OnboardLogs"\RTDC4032\2017-01-10 --exclude "*" --recursive --include "*20170110*" &amp; "%USERPROFILE%\Documents\GitHub\mrs-test-scripts\Headless Mode &amp; Sideloading\WalkAndUnGZ.bat" "%USERPROFILE%\AppData\Local\Temp\OnboardLogs"\RTDC4032\2017-01-10 &amp; aws s3 cp s3://rtdc.mdm.uploadarchive.raw/RTDC4032/ "%USERPROFILE%\AppData\Local\Temp\OnboardLogs"\RTDC4032\2017-01-11 --exclude "*" --recursive --include "*20170111*" &amp; "%USERPROFILE%\Documents\GitHub\mrs-test-scripts\Headless Mode &amp; Sideloading\WalkAndUnGZ.bat" "%USERPROFILE%\AppData\Local\Temp\OnboardLogs"\RTDC4032\2017-01-11</v>
      </c>
      <c r="AF92" s="84" t="str">
        <f t="shared" si="37"/>
        <v>"C:\Program Files (x86)\AstroGrep\AstroGrep.exe" /spath="%USERPROFILE%\AppData\Local\Temp\OnboardLogs" /stypes="app*4032*20170110*" /stext=" 22:.+((SYSTEM_STATE.+slice.+state.+changed )|(ment ac)|(multiple cpu faults)|(system.+state.+changed )|(\[timeout)|(PRM\|1\|D)|(kpr)|(kdp)|(\|lc)|(penalty))" /e /r /s</v>
      </c>
      <c r="AG92" s="1" t="str">
        <f t="shared" si="38"/>
        <v>EC</v>
      </c>
      <c r="AH92" s="88" t="str">
        <f t="shared" si="39"/>
        <v>"%USERPROFILE%\Documents\GitHub\eaglep3\Utilities\RefineRTDCRunTimes.py" --tripid 180-10 --locoid 4032 --swversion DE.1.0.8.0 --startMP 204:232975 --initTime 2017-01-10T14:18:50 --startdatetime 2017-01-10T14:26:15 --delay 1 --endMP 204:167 --enddatetime 2017-01-10T15:10:36 --enforcementcount 0 &gt;&gt;C:\Users\stu\Documents\GitHub\eaglep3-reporting\EC\2017-01-10-refined-times.txt</v>
      </c>
      <c r="AI92" s="115" t="str">
        <f t="shared" si="40"/>
        <v>echo {"issue":{"subject":"","project_id":79,"tracker_id":40,"status_id":1,"priority_id":2,"assigned_to_id":23,"start_date":"2017-01-10","description":"","custom_fields":[{"id":1,"name":"Subdivision","value":"EC"},{"id":4,"name":"Milepost","value":"0.0167"},{"id":17,"name":"Train ID","value":"180-10"},{"id":16,"name":"Locomotive ID","value":"4032"},{"id":130,"name":"Impact","value":""},{"id":150,"name":"Time of Event (Mountain Time)","value":"15:10:36"},{"id":151,"name":"Denver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0"/>
      <c r="AK92" s="50"/>
      <c r="AL92" s="50"/>
      <c r="AM92" s="180" t="str">
        <f t="shared" si="41"/>
        <v>start /low /b %USERPROFILE%\Documents\GitHub\eaglep3\Utilities\DownloadLogsFromS3.py --loco 4032 --day 2017-01-10</v>
      </c>
    </row>
    <row r="93" spans="1:91" s="21" customFormat="1" x14ac:dyDescent="0.25">
      <c r="A93" s="34" t="s">
        <v>572</v>
      </c>
      <c r="B93" s="7">
        <v>4016</v>
      </c>
      <c r="C93" s="22" t="s">
        <v>202</v>
      </c>
      <c r="D93" s="22" t="s">
        <v>239</v>
      </c>
      <c r="E93" s="13">
        <v>42745.572604166664</v>
      </c>
      <c r="F93" s="13">
        <v>42745.574618055558</v>
      </c>
      <c r="G93" s="7">
        <v>1</v>
      </c>
      <c r="H93" s="22" t="s">
        <v>316</v>
      </c>
      <c r="I93" s="13">
        <v>42745.600671296299</v>
      </c>
      <c r="J93" s="7">
        <v>0</v>
      </c>
      <c r="K93" s="105" t="str">
        <f t="shared" si="26"/>
        <v>4015/4016</v>
      </c>
      <c r="L93" s="22" t="str">
        <f>VLOOKUP(A93,'Trips&amp;Operators'!$C$1:$G$99999,5,FALSE)</f>
        <v>MAHAN DUANE</v>
      </c>
      <c r="M93" s="6">
        <f t="shared" si="27"/>
        <v>2.6053240741021E-2</v>
      </c>
      <c r="N93" s="7">
        <f t="shared" si="25"/>
        <v>37.51666666707024</v>
      </c>
      <c r="O93" s="7"/>
      <c r="P93" s="7"/>
      <c r="Q93" s="23"/>
      <c r="R93" s="23"/>
      <c r="S93" s="32">
        <f t="shared" si="28"/>
        <v>1</v>
      </c>
      <c r="T93" s="47" t="str">
        <f t="shared" si="29"/>
        <v>NorthBound</v>
      </c>
      <c r="U93" s="167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https://search-rtdc-monitor-bjffxe2xuh6vdkpspy63sjmuny.us-east-1.es.amazonaws.com/_plugin/kibana/#/discover/Steve-Slow-Train-Analysis-(2080s-and-2083s)?_g=(refreshInterval:(display:Off,section:0,value:0),time:(from:'2017-01-10 12:44:33-700',mode:absolute,to:'2017-01-10 15:24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93" s="49" t="str">
        <f t="shared" si="31"/>
        <v>N</v>
      </c>
      <c r="X93" s="173">
        <f t="shared" si="42"/>
        <v>1</v>
      </c>
      <c r="Y93" s="64">
        <f t="shared" si="32"/>
        <v>4.53E-2</v>
      </c>
      <c r="Z93" s="64">
        <f t="shared" si="33"/>
        <v>23.3293</v>
      </c>
      <c r="AA93" s="64">
        <f t="shared" si="34"/>
        <v>23.283999999999999</v>
      </c>
      <c r="AB93" s="61" t="e">
        <f>VLOOKUP(A93,Enforcements!$C$7:$K$17,8,0)</f>
        <v>#N/A</v>
      </c>
      <c r="AC93" s="57" t="e">
        <f>VLOOKUP(A93,Enforcements!$C$7:$E$17,3,0)</f>
        <v>#N/A</v>
      </c>
      <c r="AD93" s="58" t="str">
        <f t="shared" si="35"/>
        <v>0181-10</v>
      </c>
      <c r="AE93" s="87" t="str">
        <f t="shared" si="36"/>
        <v>aws s3 cp s3://rtdc.mdm.uploadarchive.raw/RTDC4016/ "%USERPROFILE%\AppData\Local\Temp\OnboardLogs"\RTDC4016\2017-01-10 --exclude "*" --recursive --include "*20170110*" &amp; "%USERPROFILE%\Documents\GitHub\mrs-test-scripts\Headless Mode &amp; Sideloading\WalkAndUnGZ.bat" "%USERPROFILE%\AppData\Local\Temp\OnboardLogs"\RTDC4016\2017-01-10 &amp; aws s3 cp s3://rtdc.mdm.uploadarchive.raw/RTDC4016/ "%USERPROFILE%\AppData\Local\Temp\OnboardLogs"\RTDC4016\2017-01-11 --exclude "*" --recursive --include "*20170111*" &amp; "%USERPROFILE%\Documents\GitHub\mrs-test-scripts\Headless Mode &amp; Sideloading\WalkAndUnGZ.bat" "%USERPROFILE%\AppData\Local\Temp\OnboardLogs"\RTDC4016\2017-01-11</v>
      </c>
      <c r="AF93" s="84" t="str">
        <f t="shared" si="37"/>
        <v>"C:\Program Files (x86)\AstroGrep\AstroGrep.exe" /spath="%USERPROFILE%\AppData\Local\Temp\OnboardLogs" /stypes="app*4016*20170110*" /stext=" 21:.+((SYSTEM_STATE.+slice.+state.+changed )|(ment ac)|(multiple cpu faults)|(system.+state.+changed )|(\[timeout)|(PRM\|1\|D)|(kpr)|(kdp)|(\|lc)|(penalty))" /e /r /s</v>
      </c>
      <c r="AG93" s="1" t="str">
        <f t="shared" si="38"/>
        <v>EC</v>
      </c>
      <c r="AH93" s="88" t="str">
        <f t="shared" si="39"/>
        <v>"%USERPROFILE%\Documents\GitHub\eaglep3\Utilities\RefineRTDCRunTimes.py" --tripid 181-10 --locoid 4016 --swversion DE.1.0.8.0 --startMP 204:453 --initTime 2017-01-10T13:44:33 --startdatetime 2017-01-10T13:47:27 --delay 1 --endMP 204:233293 --enddatetime 2017-01-10T14:24:58 --enforcementcount 0 &gt;&gt;C:\Users\stu\Documents\GitHub\eaglep3-reporting\EC\2017-01-10-refined-times.txt</v>
      </c>
      <c r="AI93" s="115" t="str">
        <f t="shared" si="40"/>
        <v>echo {"issue":{"subject":"","project_id":79,"tracker_id":40,"status_id":1,"priority_id":2,"assigned_to_id":23,"start_date":"2017-01-10","description":"","custom_fields":[{"id":1,"name":"Subdivision","value":"EC"},{"id":4,"name":"Milepost","value":"23.3293"},{"id":17,"name":"Train ID","value":"181-10"},{"id":16,"name":"Locomotive ID","value":"4016"},{"id":130,"name":"Impact","value":""},{"id":150,"name":"Time of Event (Mountain Time)","value":"14:24:58"},{"id":151,"name":"Denver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0"/>
      <c r="AK93" s="50"/>
      <c r="AL93" s="50"/>
      <c r="AM93" s="180" t="str">
        <f t="shared" si="41"/>
        <v>start /low /b %USERPROFILE%\Documents\GitHub\eaglep3\Utilities\DownloadLogsFromS3.py --loco 4016 --day 2017-01-10</v>
      </c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4" t="s">
        <v>580</v>
      </c>
      <c r="B94" s="7">
        <v>4015</v>
      </c>
      <c r="C94" s="22" t="s">
        <v>202</v>
      </c>
      <c r="D94" s="22" t="s">
        <v>244</v>
      </c>
      <c r="E94" s="13">
        <v>42745.607256944444</v>
      </c>
      <c r="F94" s="13">
        <v>42745.612326388888</v>
      </c>
      <c r="G94" s="7">
        <v>1</v>
      </c>
      <c r="H94" s="22" t="s">
        <v>191</v>
      </c>
      <c r="I94" s="13">
        <v>42745.644131944442</v>
      </c>
      <c r="J94" s="7">
        <v>0</v>
      </c>
      <c r="K94" s="105" t="str">
        <f t="shared" si="26"/>
        <v>4015/4016</v>
      </c>
      <c r="L94" s="22" t="str">
        <f>VLOOKUP(A94,'Trips&amp;Operators'!$C$1:$G$99999,5,FALSE)</f>
        <v>MAHAN DUANE</v>
      </c>
      <c r="M94" s="6">
        <f t="shared" si="27"/>
        <v>3.1805555554456078E-2</v>
      </c>
      <c r="N94" s="7">
        <f t="shared" si="25"/>
        <v>45.799999998416752</v>
      </c>
      <c r="O94" s="7"/>
      <c r="P94" s="7"/>
      <c r="Q94" s="23"/>
      <c r="R94" s="23"/>
      <c r="S94" s="32">
        <f t="shared" si="28"/>
        <v>1</v>
      </c>
      <c r="T94" s="47" t="str">
        <f t="shared" si="29"/>
        <v>Southbound</v>
      </c>
      <c r="U94" s="167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https://search-rtdc-monitor-bjffxe2xuh6vdkpspy63sjmuny.us-east-1.es.amazonaws.com/_plugin/kibana/#/discover/Steve-Slow-Train-Analysis-(2080s-and-2083s)?_g=(refreshInterval:(display:Off,section:0,value:0),time:(from:'2017-01-10 13:34:27-700',mode:absolute,to:'2017-01-10 16:27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94" s="49" t="str">
        <f t="shared" si="31"/>
        <v>N</v>
      </c>
      <c r="X94" s="173">
        <f t="shared" si="42"/>
        <v>1</v>
      </c>
      <c r="Y94" s="64">
        <f t="shared" si="32"/>
        <v>23.297699999999999</v>
      </c>
      <c r="Z94" s="64">
        <f t="shared" si="33"/>
        <v>1.49E-2</v>
      </c>
      <c r="AA94" s="64">
        <f t="shared" si="34"/>
        <v>23.282799999999998</v>
      </c>
      <c r="AB94" s="61" t="e">
        <f>VLOOKUP(A94,Enforcements!$C$7:$K$17,8,0)</f>
        <v>#N/A</v>
      </c>
      <c r="AC94" s="57" t="e">
        <f>VLOOKUP(A94,Enforcements!$C$7:$E$17,3,0)</f>
        <v>#N/A</v>
      </c>
      <c r="AD94" s="58" t="str">
        <f t="shared" si="35"/>
        <v>0182-10</v>
      </c>
      <c r="AE94" s="87" t="str">
        <f t="shared" si="36"/>
        <v>aws s3 cp s3://rtdc.mdm.uploadarchive.raw/RTDC4015/ "%USERPROFILE%\AppData\Local\Temp\OnboardLogs"\RTDC4015\2017-01-10 --exclude "*" --recursive --include "*20170110*" &amp; "%USERPROFILE%\Documents\GitHub\mrs-test-scripts\Headless Mode &amp; Sideloading\WalkAndUnGZ.bat" "%USERPROFILE%\AppData\Local\Temp\OnboardLogs"\RTDC4015\2017-01-10 &amp; aws s3 cp s3://rtdc.mdm.uploadarchive.raw/RTDC4015/ "%USERPROFILE%\AppData\Local\Temp\OnboardLogs"\RTDC4015\2017-01-11 --exclude "*" --recursive --include "*20170111*" &amp; "%USERPROFILE%\Documents\GitHub\mrs-test-scripts\Headless Mode &amp; Sideloading\WalkAndUnGZ.bat" "%USERPROFILE%\AppData\Local\Temp\OnboardLogs"\RTDC4015\2017-01-11</v>
      </c>
      <c r="AF94" s="84" t="str">
        <f t="shared" si="37"/>
        <v>"C:\Program Files (x86)\AstroGrep\AstroGrep.exe" /spath="%USERPROFILE%\AppData\Local\Temp\OnboardLogs" /stypes="app*4015*20170110*" /stext=" 22:.+((SYSTEM_STATE.+slice.+state.+changed )|(ment ac)|(multiple cpu faults)|(system.+state.+changed )|(\[timeout)|(PRM\|1\|D)|(kpr)|(kdp)|(\|lc)|(penalty))" /e /r /s</v>
      </c>
      <c r="AG94" s="1" t="str">
        <f t="shared" si="38"/>
        <v>EC</v>
      </c>
      <c r="AH94" s="88" t="str">
        <f t="shared" si="39"/>
        <v>"%USERPROFILE%\Documents\GitHub\eaglep3\Utilities\RefineRTDCRunTimes.py" --tripid 182-10 --locoid 4015 --swversion DE.1.0.8.0 --startMP 204:232977 --initTime 2017-01-10T14:34:27 --startdatetime 2017-01-10T14:41:45 --delay 1 --endMP 204:149 --enddatetime 2017-01-10T15:27:33 --enforcementcount 0 &gt;&gt;C:\Users\stu\Documents\GitHub\eaglep3-reporting\EC\2017-01-10-refined-times.txt</v>
      </c>
      <c r="AI94" s="115" t="str">
        <f t="shared" si="40"/>
        <v>echo {"issue":{"subject":"","project_id":79,"tracker_id":40,"status_id":1,"priority_id":2,"assigned_to_id":23,"start_date":"2017-01-10","description":"","custom_fields":[{"id":1,"name":"Subdivision","value":"EC"},{"id":4,"name":"Milepost","value":"0.0149"},{"id":17,"name":"Train ID","value":"182-10"},{"id":16,"name":"Locomotive ID","value":"4015"},{"id":130,"name":"Impact","value":""},{"id":150,"name":"Time of Event (Mountain Time)","value":"15:27:33"},{"id":151,"name":"Denver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0"/>
      <c r="AK94" s="50"/>
      <c r="AL94" s="50"/>
      <c r="AM94" s="180" t="str">
        <f t="shared" si="41"/>
        <v>start /low /b %USERPROFILE%\Documents\GitHub\eaglep3\Utilities\DownloadLogsFromS3.py --loco 4015 --day 2017-01-10</v>
      </c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4" t="s">
        <v>574</v>
      </c>
      <c r="B95" s="7">
        <v>4007</v>
      </c>
      <c r="C95" s="22" t="s">
        <v>202</v>
      </c>
      <c r="D95" s="22" t="s">
        <v>246</v>
      </c>
      <c r="E95" s="13">
        <v>42745.58048611111</v>
      </c>
      <c r="F95" s="13">
        <v>42745.583749999998</v>
      </c>
      <c r="G95" s="7">
        <v>1</v>
      </c>
      <c r="H95" s="22" t="s">
        <v>317</v>
      </c>
      <c r="I95" s="13">
        <v>42745.610231481478</v>
      </c>
      <c r="J95" s="7">
        <v>0</v>
      </c>
      <c r="K95" s="105" t="str">
        <f t="shared" si="26"/>
        <v>4007/4008</v>
      </c>
      <c r="L95" s="22" t="str">
        <f>VLOOKUP(A95,'Trips&amp;Operators'!$C$1:$G$99999,5,FALSE)</f>
        <v>ADANE ELSHADAY</v>
      </c>
      <c r="M95" s="6">
        <f t="shared" si="27"/>
        <v>2.6481481480004732E-2</v>
      </c>
      <c r="N95" s="7">
        <f t="shared" si="25"/>
        <v>38.133333331206813</v>
      </c>
      <c r="O95" s="7"/>
      <c r="P95" s="7"/>
      <c r="Q95" s="23"/>
      <c r="R95" s="23"/>
      <c r="S95" s="32">
        <f t="shared" si="28"/>
        <v>1</v>
      </c>
      <c r="T95" s="47" t="str">
        <f t="shared" si="29"/>
        <v>NorthBound</v>
      </c>
      <c r="U95" s="167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https://search-rtdc-monitor-bjffxe2xuh6vdkpspy63sjmuny.us-east-1.es.amazonaws.com/_plugin/kibana/#/discover/Steve-Slow-Train-Analysis-(2080s-and-2083s)?_g=(refreshInterval:(display:Off,section:0,value:0),time:(from:'2017-01-10 12:55:54-700',mode:absolute,to:'2017-01-10 15:38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95" s="49" t="str">
        <f t="shared" si="31"/>
        <v>N</v>
      </c>
      <c r="X95" s="173">
        <f t="shared" si="42"/>
        <v>1</v>
      </c>
      <c r="Y95" s="64">
        <f t="shared" si="32"/>
        <v>4.6199999999999998E-2</v>
      </c>
      <c r="Z95" s="64">
        <f t="shared" si="33"/>
        <v>23.3309</v>
      </c>
      <c r="AA95" s="64">
        <f t="shared" si="34"/>
        <v>23.284700000000001</v>
      </c>
      <c r="AB95" s="61" t="e">
        <f>VLOOKUP(A95,Enforcements!$C$7:$K$17,8,0)</f>
        <v>#N/A</v>
      </c>
      <c r="AC95" s="57" t="e">
        <f>VLOOKUP(A95,Enforcements!$C$7:$E$17,3,0)</f>
        <v>#N/A</v>
      </c>
      <c r="AD95" s="58" t="str">
        <f t="shared" si="35"/>
        <v>0183-10</v>
      </c>
      <c r="AE95" s="87" t="str">
        <f t="shared" si="36"/>
        <v>aws s3 cp s3://rtdc.mdm.uploadarchive.raw/RTDC4007/ "%USERPROFILE%\AppData\Local\Temp\OnboardLogs"\RTDC4007\2017-01-10 --exclude "*" --recursive --include "*20170110*" &amp; "%USERPROFILE%\Documents\GitHub\mrs-test-scripts\Headless Mode &amp; Sideloading\WalkAndUnGZ.bat" "%USERPROFILE%\AppData\Local\Temp\OnboardLogs"\RTDC4007\2017-01-10 &amp; aws s3 cp s3://rtdc.mdm.uploadarchive.raw/RTDC4007/ "%USERPROFILE%\AppData\Local\Temp\OnboardLogs"\RTDC4007\2017-01-11 --exclude "*" --recursive --include "*20170111*" &amp; "%USERPROFILE%\Documents\GitHub\mrs-test-scripts\Headless Mode &amp; Sideloading\WalkAndUnGZ.bat" "%USERPROFILE%\AppData\Local\Temp\OnboardLogs"\RTDC4007\2017-01-11</v>
      </c>
      <c r="AF95" s="84" t="str">
        <f t="shared" si="37"/>
        <v>"C:\Program Files (x86)\AstroGrep\AstroGrep.exe" /spath="%USERPROFILE%\AppData\Local\Temp\OnboardLogs" /stypes="app*4007*20170110*" /stext=" 21:.+((SYSTEM_STATE.+slice.+state.+changed )|(ment ac)|(multiple cpu faults)|(system.+state.+changed )|(\[timeout)|(PRM\|1\|D)|(kpr)|(kdp)|(\|lc)|(penalty))" /e /r /s</v>
      </c>
      <c r="AG95" s="1" t="str">
        <f t="shared" si="38"/>
        <v>EC</v>
      </c>
      <c r="AH95" s="88" t="str">
        <f t="shared" si="39"/>
        <v>"%USERPROFILE%\Documents\GitHub\eaglep3\Utilities\RefineRTDCRunTimes.py" --tripid 183-10 --locoid 4007 --swversion DE.1.0.8.0 --startMP 204:462 --initTime 2017-01-10T13:55:54 --startdatetime 2017-01-10T14:00:36 --delay 1 --endMP 204:233309 --enddatetime 2017-01-10T14:38:44 --enforcementcount 0 &gt;&gt;C:\Users\stu\Documents\GitHub\eaglep3-reporting\EC\2017-01-10-refined-times.txt</v>
      </c>
      <c r="AI95" s="115" t="str">
        <f t="shared" si="40"/>
        <v>echo {"issue":{"subject":"","project_id":79,"tracker_id":40,"status_id":1,"priority_id":2,"assigned_to_id":23,"start_date":"2017-01-10","description":"","custom_fields":[{"id":1,"name":"Subdivision","value":"EC"},{"id":4,"name":"Milepost","value":"23.3309"},{"id":17,"name":"Train ID","value":"183-10"},{"id":16,"name":"Locomotive ID","value":"4007"},{"id":130,"name":"Impact","value":""},{"id":150,"name":"Time of Event (Mountain Time)","value":"14:38:44"},{"id":151,"name":"Denver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0"/>
      <c r="AK95" s="50"/>
      <c r="AL95" s="50"/>
      <c r="AM95" s="180" t="str">
        <f t="shared" si="41"/>
        <v>start /low /b %USERPROFILE%\Documents\GitHub\eaglep3\Utilities\DownloadLogsFromS3.py --loco 4007 --day 2017-01-10</v>
      </c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4" t="s">
        <v>439</v>
      </c>
      <c r="B96" s="7">
        <v>4008</v>
      </c>
      <c r="C96" s="22" t="s">
        <v>202</v>
      </c>
      <c r="D96" s="22" t="s">
        <v>347</v>
      </c>
      <c r="E96" s="13">
        <v>42745.611631944441</v>
      </c>
      <c r="F96" s="13">
        <v>42745.613518518519</v>
      </c>
      <c r="G96" s="7">
        <v>2</v>
      </c>
      <c r="H96" s="22" t="s">
        <v>690</v>
      </c>
      <c r="I96" s="13">
        <v>42745.645972222221</v>
      </c>
      <c r="J96" s="7">
        <v>1</v>
      </c>
      <c r="K96" s="105" t="str">
        <f t="shared" si="26"/>
        <v>4007/4008</v>
      </c>
      <c r="L96" s="22" t="str">
        <f>VLOOKUP(A96,'Trips&amp;Operators'!$C$1:$G$99999,5,FALSE)</f>
        <v>ADANE ELSHADAY</v>
      </c>
      <c r="M96" s="6">
        <f t="shared" si="27"/>
        <v>3.2453703701321501E-2</v>
      </c>
      <c r="N96" s="7"/>
      <c r="O96" s="7"/>
      <c r="P96" s="7">
        <f>24*60*SUM($M96:$M97)</f>
        <v>56.28333333064802</v>
      </c>
      <c r="Q96" s="23"/>
      <c r="R96" s="23" t="s">
        <v>925</v>
      </c>
      <c r="S96" s="32">
        <f>SUM(U96:U97)/IF(AG96="EC",12,1)</f>
        <v>1</v>
      </c>
      <c r="T96" s="47" t="str">
        <f t="shared" si="29"/>
        <v>Southbound</v>
      </c>
      <c r="U96" s="167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9</v>
      </c>
      <c r="V96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https://search-rtdc-monitor-bjffxe2xuh6vdkpspy63sjmuny.us-east-1.es.amazonaws.com/_plugin/kibana/#/discover/Steve-Slow-Train-Analysis-(2080s-and-2083s)?_g=(refreshInterval:(display:Off,section:0,value:0),time:(from:'2017-01-10 13:40:45-700',mode:absolute,to:'2017-01-10 16:30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96" s="49" t="str">
        <f t="shared" si="31"/>
        <v>Y</v>
      </c>
      <c r="X96" s="173">
        <f t="shared" si="42"/>
        <v>1</v>
      </c>
      <c r="Y96" s="64">
        <f t="shared" si="32"/>
        <v>23.297799999999999</v>
      </c>
      <c r="Z96" s="64">
        <f t="shared" si="33"/>
        <v>3.8826000000000001</v>
      </c>
      <c r="AA96" s="64">
        <f t="shared" si="34"/>
        <v>19.415199999999999</v>
      </c>
      <c r="AB96" s="61" t="e">
        <f>VLOOKUP(A96,Enforcements!$C$7:$K$17,8,0)</f>
        <v>#N/A</v>
      </c>
      <c r="AC96" s="57" t="e">
        <f>VLOOKUP(A96,Enforcements!$C$7:$E$17,3,0)</f>
        <v>#N/A</v>
      </c>
      <c r="AD96" s="58" t="str">
        <f t="shared" si="35"/>
        <v>0184-10</v>
      </c>
      <c r="AE96" s="87" t="str">
        <f t="shared" si="36"/>
        <v>aws s3 cp s3://rtdc.mdm.uploadarchive.raw/RTDC4008/ "%USERPROFILE%\AppData\Local\Temp\OnboardLogs"\RTDC4008\2017-01-10 --exclude "*" --recursive --include "*20170110*" &amp; "%USERPROFILE%\Documents\GitHub\mrs-test-scripts\Headless Mode &amp; Sideloading\WalkAndUnGZ.bat" "%USERPROFILE%\AppData\Local\Temp\OnboardLogs"\RTDC4008\2017-01-10 &amp; aws s3 cp s3://rtdc.mdm.uploadarchive.raw/RTDC4008/ "%USERPROFILE%\AppData\Local\Temp\OnboardLogs"\RTDC4008\2017-01-11 --exclude "*" --recursive --include "*20170111*" &amp; "%USERPROFILE%\Documents\GitHub\mrs-test-scripts\Headless Mode &amp; Sideloading\WalkAndUnGZ.bat" "%USERPROFILE%\AppData\Local\Temp\OnboardLogs"\RTDC4008\2017-01-11</v>
      </c>
      <c r="AF96" s="84" t="str">
        <f t="shared" si="37"/>
        <v>"C:\Program Files (x86)\AstroGrep\AstroGrep.exe" /spath="%USERPROFILE%\AppData\Local\Temp\OnboardLogs" /stypes="app*4008*20170110*" /stext=" 22:.+((SYSTEM_STATE.+slice.+state.+changed )|(ment ac)|(multiple cpu faults)|(system.+state.+changed )|(\[timeout)|(PRM\|1\|D)|(kpr)|(kdp)|(\|lc)|(penalty))" /e /r /s</v>
      </c>
      <c r="AG96" s="1" t="str">
        <f t="shared" si="38"/>
        <v>EC</v>
      </c>
      <c r="AH96" s="88" t="str">
        <f t="shared" si="39"/>
        <v>"%USERPROFILE%\Documents\GitHub\eaglep3\Utilities\RefineRTDCRunTimes.py" --tripid 184-10 --locoid 4008 --swversion DE.1.0.8.0 --startMP 204:232978 --initTime 2017-01-10T14:40:45 --startdatetime 2017-01-10T14:43:28 --delay 2 --endMP 204:38826 --enddatetime 2017-01-10T15:30:12 --enforcementcount 1 &gt;&gt;C:\Users\stu\Documents\GitHub\eaglep3-reporting\EC\2017-01-10-refined-times.txt</v>
      </c>
      <c r="AI96" s="115" t="str">
        <f t="shared" si="40"/>
        <v>echo {"issue":{"subject":"EC0386RH offline due to maintenance to mitigate crossing gate / OCS contact @ Dahlia","project_id":79,"tracker_id":40,"status_id":1,"priority_id":2,"assigned_to_id":23,"start_date":"2017-01-10","description":"At 15:25:54, EC0386RH 44-2T 2S downgraded from 270 to STOP &amp; PROCEED and stayed that way for quite some time. Do logs tell of any issues at this time?","custom_fields":[{"id":1,"name":"Subdivision","value":"EC"},{"id":4,"name":"Milepost","value":"3.8826"},{"id":17,"name":"Train ID","value":"184-10"},{"id":16,"name":"Locomotive ID","value":"4008"},{"id":130,"name":"Impact","value":"Unexpected Cut-Out or Disengaged"},{"id":150,"name":"Time of Event (Mountain Time)","value":"15:30:12"},{"id":151,"name":"Denver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96" s="50" t="s">
        <v>830</v>
      </c>
      <c r="AK96" s="50" t="s">
        <v>131</v>
      </c>
      <c r="AL96" s="50" t="s">
        <v>130</v>
      </c>
      <c r="AM96" s="180" t="str">
        <f t="shared" si="41"/>
        <v>start /low /b %USERPROFILE%\Documents\GitHub\eaglep3\Utilities\DownloadLogsFromS3.py --loco 4008 --day 2017-01-10</v>
      </c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4" t="s">
        <v>439</v>
      </c>
      <c r="B97" s="7">
        <v>4008</v>
      </c>
      <c r="C97" s="22" t="s">
        <v>202</v>
      </c>
      <c r="D97" s="22" t="s">
        <v>691</v>
      </c>
      <c r="E97" s="13">
        <v>42745.646643518521</v>
      </c>
      <c r="F97" s="13">
        <v>42745.647418981483</v>
      </c>
      <c r="G97" s="7">
        <v>1</v>
      </c>
      <c r="H97" s="22" t="s">
        <v>692</v>
      </c>
      <c r="I97" s="13">
        <v>42745.654050925928</v>
      </c>
      <c r="J97" s="7">
        <v>1</v>
      </c>
      <c r="K97" s="105" t="str">
        <f t="shared" si="26"/>
        <v>4007/4008</v>
      </c>
      <c r="L97" s="22" t="str">
        <f>VLOOKUP(A97,'Trips&amp;Operators'!$C$1:$G$99999,5,FALSE)</f>
        <v>ADANE ELSHADAY</v>
      </c>
      <c r="M97" s="6">
        <f t="shared" si="27"/>
        <v>6.6319444449618459E-3</v>
      </c>
      <c r="N97" s="7"/>
      <c r="O97" s="7"/>
      <c r="P97" s="7"/>
      <c r="Q97" s="23"/>
      <c r="R97" s="23"/>
      <c r="S97" s="32"/>
      <c r="T97" s="47" t="str">
        <f t="shared" si="29"/>
        <v>Southbound</v>
      </c>
      <c r="U97" s="167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3</v>
      </c>
      <c r="V97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https://search-rtdc-monitor-bjffxe2xuh6vdkpspy63sjmuny.us-east-1.es.amazonaws.com/_plugin/kibana/#/discover/Steve-Slow-Train-Analysis-(2080s-and-2083s)?_g=(refreshInterval:(display:Off,section:0,value:0),time:(from:'2017-01-10 14:31:10-700',mode:absolute,to:'2017-01-10 16:41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97" s="49" t="str">
        <f t="shared" si="31"/>
        <v>Y</v>
      </c>
      <c r="X97" s="173">
        <f t="shared" si="42"/>
        <v>0</v>
      </c>
      <c r="Y97" s="64">
        <f t="shared" si="32"/>
        <v>3.6781999999999999</v>
      </c>
      <c r="Z97" s="64">
        <f t="shared" si="33"/>
        <v>3.2000000000000001E-2</v>
      </c>
      <c r="AA97" s="64">
        <f t="shared" si="34"/>
        <v>3.6461999999999999</v>
      </c>
      <c r="AB97" s="61" t="e">
        <f>VLOOKUP(A97,Enforcements!$C$7:$K$17,8,0)</f>
        <v>#N/A</v>
      </c>
      <c r="AC97" s="57" t="e">
        <f>VLOOKUP(A97,Enforcements!$C$7:$E$17,3,0)</f>
        <v>#N/A</v>
      </c>
      <c r="AD97" s="58" t="str">
        <f t="shared" si="35"/>
        <v>0184-10</v>
      </c>
      <c r="AE97" s="87" t="str">
        <f t="shared" si="36"/>
        <v>aws s3 cp s3://rtdc.mdm.uploadarchive.raw/RTDC4008/ "%USERPROFILE%\AppData\Local\Temp\OnboardLogs"\RTDC4008\2017-01-10 --exclude "*" --recursive --include "*20170110*" &amp; "%USERPROFILE%\Documents\GitHub\mrs-test-scripts\Headless Mode &amp; Sideloading\WalkAndUnGZ.bat" "%USERPROFILE%\AppData\Local\Temp\OnboardLogs"\RTDC4008\2017-01-10 &amp; aws s3 cp s3://rtdc.mdm.uploadarchive.raw/RTDC4008/ "%USERPROFILE%\AppData\Local\Temp\OnboardLogs"\RTDC4008\2017-01-11 --exclude "*" --recursive --include "*20170111*" &amp; "%USERPROFILE%\Documents\GitHub\mrs-test-scripts\Headless Mode &amp; Sideloading\WalkAndUnGZ.bat" "%USERPROFILE%\AppData\Local\Temp\OnboardLogs"\RTDC4008\2017-01-11</v>
      </c>
      <c r="AF97" s="84" t="str">
        <f t="shared" si="37"/>
        <v>"C:\Program Files (x86)\AstroGrep\AstroGrep.exe" /spath="%USERPROFILE%\AppData\Local\Temp\OnboardLogs" /stypes="app*4008*20170110*" /stext=" 22:.+((SYSTEM_STATE.+slice.+state.+changed )|(ment ac)|(multiple cpu faults)|(system.+state.+changed )|(\[timeout)|(PRM\|1\|D)|(kpr)|(kdp)|(\|lc)|(penalty))" /e /r /s</v>
      </c>
      <c r="AG97" s="1" t="str">
        <f t="shared" si="38"/>
        <v>EC</v>
      </c>
      <c r="AH97" s="88" t="str">
        <f t="shared" si="39"/>
        <v>"%USERPROFILE%\Documents\GitHub\eaglep3\Utilities\RefineRTDCRunTimes.py" --tripid 184-10 --locoid 4008 --swversion DE.1.0.8.0 --startMP 204:36782 --initTime 2017-01-10T15:31:10 --startdatetime 2017-01-10T15:32:17 --delay 1 --endMP 204:320 --enddatetime 2017-01-10T15:41:50 --enforcementcount 1 &gt;&gt;C:\Users\stu\Documents\GitHub\eaglep3-reporting\EC\2017-01-10-refined-times.txt</v>
      </c>
      <c r="AI97" s="115" t="str">
        <f t="shared" si="40"/>
        <v>echo {"issue":{"subject":"","project_id":79,"tracker_id":40,"status_id":1,"priority_id":2,"assigned_to_id":23,"start_date":"2017-01-10","description":"","custom_fields":[{"id":1,"name":"Subdivision","value":"EC"},{"id":4,"name":"Milepost","value":"0.032"},{"id":17,"name":"Train ID","value":"184-10"},{"id":16,"name":"Locomotive ID","value":"4008"},{"id":130,"name":"Impact","value":""},{"id":150,"name":"Time of Event (Mountain Time)","value":"15:41:50"},{"id":151,"name":"Denver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0"/>
      <c r="AK97" s="50"/>
      <c r="AL97" s="50"/>
      <c r="AM97" s="180" t="str">
        <f t="shared" si="41"/>
        <v>start /low /b %USERPROFILE%\Documents\GitHub\eaglep3\Utilities\DownloadLogsFromS3.py --loco 4008 --day 2017-01-10</v>
      </c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4" t="s">
        <v>576</v>
      </c>
      <c r="B98" s="7">
        <v>4018</v>
      </c>
      <c r="C98" s="22" t="s">
        <v>202</v>
      </c>
      <c r="D98" s="22" t="s">
        <v>401</v>
      </c>
      <c r="E98" s="13">
        <v>42745.590532407405</v>
      </c>
      <c r="F98" s="13">
        <v>42745.593900462962</v>
      </c>
      <c r="G98" s="7">
        <v>1</v>
      </c>
      <c r="H98" s="22" t="s">
        <v>679</v>
      </c>
      <c r="I98" s="13">
        <v>42745.619872685187</v>
      </c>
      <c r="J98" s="7">
        <v>0</v>
      </c>
      <c r="K98" s="105" t="str">
        <f t="shared" si="26"/>
        <v>4017/4018</v>
      </c>
      <c r="L98" s="22" t="str">
        <f>VLOOKUP(A98,'Trips&amp;Operators'!$C$1:$G$99999,5,FALSE)</f>
        <v>BRANNON JEFFREY</v>
      </c>
      <c r="M98" s="6">
        <f t="shared" si="27"/>
        <v>2.5972222225391306E-2</v>
      </c>
      <c r="N98" s="7">
        <f>24*60*SUM($M98:$M98)</f>
        <v>37.400000004563481</v>
      </c>
      <c r="O98" s="7"/>
      <c r="P98" s="7"/>
      <c r="Q98" s="23"/>
      <c r="R98" s="23"/>
      <c r="S98" s="32">
        <f>SUM(U98:U98)/IF(AG98="EC",12,1)</f>
        <v>1</v>
      </c>
      <c r="T98" s="47" t="str">
        <f t="shared" si="29"/>
        <v>NorthBound</v>
      </c>
      <c r="U98" s="167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https://search-rtdc-monitor-bjffxe2xuh6vdkpspy63sjmuny.us-east-1.es.amazonaws.com/_plugin/kibana/#/discover/Steve-Slow-Train-Analysis-(2080s-and-2083s)?_g=(refreshInterval:(display:Off,section:0,value:0),time:(from:'2017-01-10 13:10:22-700',mode:absolute,to:'2017-01-10 15:52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98" s="49" t="str">
        <f t="shared" si="31"/>
        <v>N</v>
      </c>
      <c r="X98" s="173">
        <f t="shared" si="42"/>
        <v>1</v>
      </c>
      <c r="Y98" s="64">
        <f t="shared" si="32"/>
        <v>4.58E-2</v>
      </c>
      <c r="Z98" s="64">
        <f t="shared" si="33"/>
        <v>23.331</v>
      </c>
      <c r="AA98" s="64">
        <f t="shared" si="34"/>
        <v>23.2852</v>
      </c>
      <c r="AB98" s="61" t="e">
        <f>VLOOKUP(A98,Enforcements!$C$7:$K$17,8,0)</f>
        <v>#N/A</v>
      </c>
      <c r="AC98" s="57" t="e">
        <f>VLOOKUP(A98,Enforcements!$C$7:$E$17,3,0)</f>
        <v>#N/A</v>
      </c>
      <c r="AD98" s="58" t="str">
        <f t="shared" si="35"/>
        <v>0185-10</v>
      </c>
      <c r="AE98" s="87" t="str">
        <f t="shared" si="36"/>
        <v>aws s3 cp s3://rtdc.mdm.uploadarchive.raw/RTDC4018/ "%USERPROFILE%\AppData\Local\Temp\OnboardLogs"\RTDC4018\2017-01-10 --exclude "*" --recursive --include "*20170110*" &amp; "%USERPROFILE%\Documents\GitHub\mrs-test-scripts\Headless Mode &amp; Sideloading\WalkAndUnGZ.bat" "%USERPROFILE%\AppData\Local\Temp\OnboardLogs"\RTDC4018\2017-01-10 &amp; aws s3 cp s3://rtdc.mdm.uploadarchive.raw/RTDC4018/ "%USERPROFILE%\AppData\Local\Temp\OnboardLogs"\RTDC4018\2017-01-11 --exclude "*" --recursive --include "*20170111*" &amp; "%USERPROFILE%\Documents\GitHub\mrs-test-scripts\Headless Mode &amp; Sideloading\WalkAndUnGZ.bat" "%USERPROFILE%\AppData\Local\Temp\OnboardLogs"\RTDC4018\2017-01-11</v>
      </c>
      <c r="AF98" s="84" t="str">
        <f t="shared" si="37"/>
        <v>"C:\Program Files (x86)\AstroGrep\AstroGrep.exe" /spath="%USERPROFILE%\AppData\Local\Temp\OnboardLogs" /stypes="app*4018*20170110*" /stext=" 21:.+((SYSTEM_STATE.+slice.+state.+changed )|(ment ac)|(multiple cpu faults)|(system.+state.+changed )|(\[timeout)|(PRM\|1\|D)|(kpr)|(kdp)|(\|lc)|(penalty))" /e /r /s</v>
      </c>
      <c r="AG98" s="1" t="str">
        <f t="shared" si="38"/>
        <v>EC</v>
      </c>
      <c r="AH98" s="88" t="str">
        <f t="shared" si="39"/>
        <v>"%USERPROFILE%\Documents\GitHub\eaglep3\Utilities\RefineRTDCRunTimes.py" --tripid 185-10 --locoid 4018 --swversion DE.1.0.8.0 --startMP 204:458 --initTime 2017-01-10T14:10:22 --startdatetime 2017-01-10T14:15:13 --delay 1 --endMP 204:233310 --enddatetime 2017-01-10T14:52:37 --enforcementcount 0 &gt;&gt;C:\Users\stu\Documents\GitHub\eaglep3-reporting\EC\2017-01-10-refined-times.txt</v>
      </c>
      <c r="AI98" s="115" t="str">
        <f t="shared" si="40"/>
        <v>echo {"issue":{"subject":"","project_id":79,"tracker_id":40,"status_id":1,"priority_id":2,"assigned_to_id":23,"start_date":"2017-01-10","description":"","custom_fields":[{"id":1,"name":"Subdivision","value":"EC"},{"id":4,"name":"Milepost","value":"23.331"},{"id":17,"name":"Train ID","value":"185-10"},{"id":16,"name":"Locomotive ID","value":"4018"},{"id":130,"name":"Impact","value":""},{"id":150,"name":"Time of Event (Mountain Time)","value":"14:52:37"},{"id":151,"name":"Denver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0"/>
      <c r="AK98" s="50"/>
      <c r="AL98" s="50"/>
      <c r="AM98" s="180" t="str">
        <f t="shared" si="41"/>
        <v>start /low /b %USERPROFILE%\Documents\GitHub\eaglep3\Utilities\DownloadLogsFromS3.py --loco 4018 --day 2017-01-10</v>
      </c>
    </row>
    <row r="99" spans="1:91" s="21" customFormat="1" x14ac:dyDescent="0.25">
      <c r="A99" s="34" t="s">
        <v>584</v>
      </c>
      <c r="B99" s="7">
        <v>4017</v>
      </c>
      <c r="C99" s="22" t="s">
        <v>202</v>
      </c>
      <c r="D99" s="22" t="s">
        <v>693</v>
      </c>
      <c r="E99" s="13">
        <v>42745.660138888888</v>
      </c>
      <c r="F99" s="13">
        <v>42745.660879629628</v>
      </c>
      <c r="G99" s="7">
        <v>1</v>
      </c>
      <c r="H99" s="22" t="s">
        <v>694</v>
      </c>
      <c r="I99" s="13">
        <v>42745.665092592593</v>
      </c>
      <c r="J99" s="7">
        <v>0</v>
      </c>
      <c r="K99" s="105" t="str">
        <f t="shared" si="26"/>
        <v>4017/4018</v>
      </c>
      <c r="L99" s="22" t="str">
        <f>VLOOKUP(A99,'Trips&amp;Operators'!$C$1:$G$99999,5,FALSE)</f>
        <v>BRANNON JEFFREY</v>
      </c>
      <c r="M99" s="6">
        <f t="shared" si="27"/>
        <v>4.2129629655391909E-3</v>
      </c>
      <c r="N99" s="7"/>
      <c r="O99" s="7"/>
      <c r="P99" s="7">
        <f>24*60*SUM($M99:$M100)</f>
        <v>47.166666670236737</v>
      </c>
      <c r="Q99" s="23"/>
      <c r="R99" s="23" t="s">
        <v>925</v>
      </c>
      <c r="S99" s="32">
        <f>SUM(U99:U100)/IF(AG99="EC",12,1)</f>
        <v>0.75</v>
      </c>
      <c r="T99" s="47" t="str">
        <f t="shared" si="29"/>
        <v>Southbound</v>
      </c>
      <c r="U99" s="167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0</v>
      </c>
      <c r="V99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https://search-rtdc-monitor-bjffxe2xuh6vdkpspy63sjmuny.us-east-1.es.amazonaws.com/_plugin/kibana/#/discover/Steve-Slow-Train-Analysis-(2080s-and-2083s)?_g=(refreshInterval:(display:Off,section:0,value:0),time:(from:'2017-01-10 14:50:36-700',mode:absolute,to:'2017-01-10 16:57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99" s="49" t="str">
        <f t="shared" si="31"/>
        <v>Y</v>
      </c>
      <c r="X99" s="173">
        <f t="shared" si="42"/>
        <v>1</v>
      </c>
      <c r="Y99" s="64">
        <f t="shared" si="32"/>
        <v>1.8395999999999999</v>
      </c>
      <c r="Z99" s="64">
        <f t="shared" si="33"/>
        <v>1.9800000000000002E-2</v>
      </c>
      <c r="AA99" s="64">
        <f t="shared" si="34"/>
        <v>1.8197999999999999</v>
      </c>
      <c r="AB99" s="61" t="e">
        <f>VLOOKUP(A99,Enforcements!$C$7:$K$17,8,0)</f>
        <v>#N/A</v>
      </c>
      <c r="AC99" s="57" t="e">
        <f>VLOOKUP(A99,Enforcements!$C$7:$E$17,3,0)</f>
        <v>#N/A</v>
      </c>
      <c r="AD99" s="58" t="str">
        <f t="shared" si="35"/>
        <v>0186-10</v>
      </c>
      <c r="AE99" s="87" t="str">
        <f t="shared" si="36"/>
        <v>aws s3 cp s3://rtdc.mdm.uploadarchive.raw/RTDC4017/ "%USERPROFILE%\AppData\Local\Temp\OnboardLogs"\RTDC4017\2017-01-10 --exclude "*" --recursive --include "*20170110*" &amp; "%USERPROFILE%\Documents\GitHub\mrs-test-scripts\Headless Mode &amp; Sideloading\WalkAndUnGZ.bat" "%USERPROFILE%\AppData\Local\Temp\OnboardLogs"\RTDC4017\2017-01-10 &amp; aws s3 cp s3://rtdc.mdm.uploadarchive.raw/RTDC4017/ "%USERPROFILE%\AppData\Local\Temp\OnboardLogs"\RTDC4017\2017-01-11 --exclude "*" --recursive --include "*20170111*" &amp; "%USERPROFILE%\Documents\GitHub\mrs-test-scripts\Headless Mode &amp; Sideloading\WalkAndUnGZ.bat" "%USERPROFILE%\AppData\Local\Temp\OnboardLogs"\RTDC4017\2017-01-11</v>
      </c>
      <c r="AF99" s="84" t="str">
        <f t="shared" si="37"/>
        <v>"C:\Program Files (x86)\AstroGrep\AstroGrep.exe" /spath="%USERPROFILE%\AppData\Local\Temp\OnboardLogs" /stypes="app*4017*20170110*" /stext=" 22:.+((SYSTEM_STATE.+slice.+state.+changed )|(ment ac)|(multiple cpu faults)|(system.+state.+changed )|(\[timeout)|(PRM\|1\|D)|(kpr)|(kdp)|(\|lc)|(penalty))" /e /r /s</v>
      </c>
      <c r="AG99" s="1" t="str">
        <f t="shared" si="38"/>
        <v>EC</v>
      </c>
      <c r="AH99" s="88" t="str">
        <f t="shared" si="39"/>
        <v>"%USERPROFILE%\Documents\GitHub\eaglep3\Utilities\RefineRTDCRunTimes.py" --tripid 186-10 --locoid 4017 --swversion DE.1.0.8.0 --startMP 204:18396 --initTime 2017-01-10T15:50:36 --startdatetime 2017-01-10T15:51:40 --delay 1 --endMP 204:198 --enddatetime 2017-01-10T15:57:44 --enforcementcount 0 &gt;&gt;C:\Users\stu\Documents\GitHub\eaglep3-reporting\EC\2017-01-10-refined-times.txt</v>
      </c>
      <c r="AI99" s="115" t="str">
        <f t="shared" si="40"/>
        <v>echo {"issue":{"subject":"EC0386RH offline due to maintenance to mitigate crossing gate / OCS contact @ Dahlia","project_id":79,"tracker_id":40,"status_id":1,"priority_id":2,"assigned_to_id":23,"start_date":"2017-01-10","description":"","custom_fields":[{"id":1,"name":"Subdivision","value":"EC"},{"id":4,"name":"Milepost","value":"0.0198"},{"id":17,"name":"Train ID","value":"186-10"},{"id":16,"name":"Locomotive ID","value":"4017"},{"id":130,"name":"Impact","value":""},{"id":150,"name":"Time of Event (Mountain Time)","value":"15:57:44"},{"id":151,"name":"Denver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0"/>
      <c r="AK99" s="50"/>
      <c r="AL99" s="50"/>
      <c r="AM99" s="180" t="str">
        <f t="shared" si="41"/>
        <v>start /low /b %USERPROFILE%\Documents\GitHub\eaglep3\Utilities\DownloadLogsFromS3.py --loco 4017 --day 2017-01-10</v>
      </c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4" t="s">
        <v>584</v>
      </c>
      <c r="B100" s="7">
        <v>4017</v>
      </c>
      <c r="C100" s="22" t="s">
        <v>202</v>
      </c>
      <c r="D100" s="22" t="s">
        <v>355</v>
      </c>
      <c r="E100" s="13">
        <v>42745.626562500001</v>
      </c>
      <c r="F100" s="13">
        <v>42745.627708333333</v>
      </c>
      <c r="G100" s="7">
        <v>1</v>
      </c>
      <c r="H100" s="22" t="s">
        <v>695</v>
      </c>
      <c r="I100" s="13">
        <v>42745.65625</v>
      </c>
      <c r="J100" s="7">
        <v>0</v>
      </c>
      <c r="K100" s="105" t="str">
        <f t="shared" si="26"/>
        <v>4017/4018</v>
      </c>
      <c r="L100" s="22" t="str">
        <f>VLOOKUP(A100,'Trips&amp;Operators'!$C$1:$G$99999,5,FALSE)</f>
        <v>BRANNON JEFFREY</v>
      </c>
      <c r="M100" s="6">
        <f t="shared" si="27"/>
        <v>2.8541666666569654E-2</v>
      </c>
      <c r="N100" s="7"/>
      <c r="O100" s="7"/>
      <c r="P100" s="7"/>
      <c r="Q100" s="23"/>
      <c r="R100" s="23"/>
      <c r="S100" s="32"/>
      <c r="T100" s="47" t="str">
        <f t="shared" si="29"/>
        <v>Southbound</v>
      </c>
      <c r="U100" s="167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9</v>
      </c>
      <c r="V100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https://search-rtdc-monitor-bjffxe2xuh6vdkpspy63sjmuny.us-east-1.es.amazonaws.com/_plugin/kibana/#/discover/Steve-Slow-Train-Analysis-(2080s-and-2083s)?_g=(refreshInterval:(display:Off,section:0,value:0),time:(from:'2017-01-10 14:02:15-700',mode:absolute,to:'2017-01-10 16:45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00" s="49" t="str">
        <f t="shared" si="31"/>
        <v>Y</v>
      </c>
      <c r="X100" s="173">
        <f t="shared" si="42"/>
        <v>0</v>
      </c>
      <c r="Y100" s="64">
        <f t="shared" si="32"/>
        <v>23.299600000000002</v>
      </c>
      <c r="Z100" s="64">
        <f t="shared" si="33"/>
        <v>3.9089999999999998</v>
      </c>
      <c r="AA100" s="64">
        <f t="shared" si="34"/>
        <v>19.390600000000003</v>
      </c>
      <c r="AB100" s="61" t="e">
        <f>VLOOKUP(A100,Enforcements!$C$7:$K$17,8,0)</f>
        <v>#N/A</v>
      </c>
      <c r="AC100" s="57" t="e">
        <f>VLOOKUP(A100,Enforcements!$C$7:$E$17,3,0)</f>
        <v>#N/A</v>
      </c>
      <c r="AD100" s="58" t="str">
        <f t="shared" si="35"/>
        <v>0186-10</v>
      </c>
      <c r="AE100" s="87" t="str">
        <f t="shared" si="36"/>
        <v>aws s3 cp s3://rtdc.mdm.uploadarchive.raw/RTDC4017/ "%USERPROFILE%\AppData\Local\Temp\OnboardLogs"\RTDC4017\2017-01-10 --exclude "*" --recursive --include "*20170110*" &amp; "%USERPROFILE%\Documents\GitHub\mrs-test-scripts\Headless Mode &amp; Sideloading\WalkAndUnGZ.bat" "%USERPROFILE%\AppData\Local\Temp\OnboardLogs"\RTDC4017\2017-01-10 &amp; aws s3 cp s3://rtdc.mdm.uploadarchive.raw/RTDC4017/ "%USERPROFILE%\AppData\Local\Temp\OnboardLogs"\RTDC4017\2017-01-11 --exclude "*" --recursive --include "*20170111*" &amp; "%USERPROFILE%\Documents\GitHub\mrs-test-scripts\Headless Mode &amp; Sideloading\WalkAndUnGZ.bat" "%USERPROFILE%\AppData\Local\Temp\OnboardLogs"\RTDC4017\2017-01-11</v>
      </c>
      <c r="AF100" s="84" t="str">
        <f t="shared" si="37"/>
        <v>"C:\Program Files (x86)\AstroGrep\AstroGrep.exe" /spath="%USERPROFILE%\AppData\Local\Temp\OnboardLogs" /stypes="app*4017*20170110*" /stext=" 22:.+((SYSTEM_STATE.+slice.+state.+changed )|(ment ac)|(multiple cpu faults)|(system.+state.+changed )|(\[timeout)|(PRM\|1\|D)|(kpr)|(kdp)|(\|lc)|(penalty))" /e /r /s</v>
      </c>
      <c r="AG100" s="1" t="str">
        <f t="shared" si="38"/>
        <v>EC</v>
      </c>
      <c r="AH100" s="88" t="str">
        <f t="shared" si="39"/>
        <v>"%USERPROFILE%\Documents\GitHub\eaglep3\Utilities\RefineRTDCRunTimes.py" --tripid 186-10 --locoid 4017 --swversion DE.1.0.8.0 --startMP 204:232996 --initTime 2017-01-10T15:02:15 --startdatetime 2017-01-10T15:03:54 --delay 1 --endMP 204:39090 --enddatetime 2017-01-10T15:45:00 --enforcementcount 0 &gt;&gt;C:\Users\stu\Documents\GitHub\eaglep3-reporting\EC\2017-01-10-refined-times.txt</v>
      </c>
      <c r="AI100" s="115" t="str">
        <f t="shared" si="40"/>
        <v>echo {"issue":{"subject":"","project_id":79,"tracker_id":40,"status_id":1,"priority_id":2,"assigned_to_id":23,"start_date":"2017-01-10","description":"","custom_fields":[{"id":1,"name":"Subdivision","value":"EC"},{"id":4,"name":"Milepost","value":"3.909"},{"id":17,"name":"Train ID","value":"186-10"},{"id":16,"name":"Locomotive ID","value":"4017"},{"id":130,"name":"Impact","value":""},{"id":150,"name":"Time of Event (Mountain Time)","value":"15:45:00"},{"id":151,"name":"Denver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0"/>
      <c r="AK100" s="50"/>
      <c r="AL100" s="50"/>
      <c r="AM100" s="180" t="str">
        <f t="shared" si="41"/>
        <v>start /low /b %USERPROFILE%\Documents\GitHub\eaglep3\Utilities\DownloadLogsFromS3.py --loco 4017 --day 2017-01-10</v>
      </c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4" t="s">
        <v>579</v>
      </c>
      <c r="B101" s="7">
        <v>4025</v>
      </c>
      <c r="C101" s="22" t="s">
        <v>202</v>
      </c>
      <c r="D101" s="22" t="s">
        <v>401</v>
      </c>
      <c r="E101" s="13">
        <v>42745.602337962962</v>
      </c>
      <c r="F101" s="13">
        <v>42745.604432870372</v>
      </c>
      <c r="G101" s="7">
        <v>1</v>
      </c>
      <c r="H101" s="22" t="s">
        <v>295</v>
      </c>
      <c r="I101" s="13">
        <v>42745.632673611108</v>
      </c>
      <c r="J101" s="7">
        <v>0</v>
      </c>
      <c r="K101" s="105" t="str">
        <f t="shared" si="26"/>
        <v>4025/4026</v>
      </c>
      <c r="L101" s="22" t="str">
        <f>VLOOKUP(A101,'Trips&amp;Operators'!$C$1:$G$99999,5,FALSE)</f>
        <v>DAVIS MICHAEL</v>
      </c>
      <c r="M101" s="6">
        <f t="shared" si="27"/>
        <v>2.824074073578231E-2</v>
      </c>
      <c r="N101" s="7">
        <f>24*60*SUM($M101:$M101)</f>
        <v>40.666666659526527</v>
      </c>
      <c r="O101" s="7"/>
      <c r="P101" s="7"/>
      <c r="Q101" s="23"/>
      <c r="R101" s="23"/>
      <c r="S101" s="32">
        <f>SUM(U101:U101)/IF(AG101="EC",12,1)</f>
        <v>1</v>
      </c>
      <c r="T101" s="47" t="str">
        <f t="shared" si="29"/>
        <v>NorthBound</v>
      </c>
      <c r="U101" s="167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https://search-rtdc-monitor-bjffxe2xuh6vdkpspy63sjmuny.us-east-1.es.amazonaws.com/_plugin/kibana/#/discover/Steve-Slow-Train-Analysis-(2080s-and-2083s)?_g=(refreshInterval:(display:Off,section:0,value:0),time:(from:'2017-01-10 13:27:22-700',mode:absolute,to:'2017-01-10 16:11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01" s="49" t="str">
        <f t="shared" si="31"/>
        <v>N</v>
      </c>
      <c r="X101" s="173">
        <f t="shared" si="42"/>
        <v>1</v>
      </c>
      <c r="Y101" s="64">
        <f t="shared" si="32"/>
        <v>4.58E-2</v>
      </c>
      <c r="Z101" s="64">
        <f t="shared" si="33"/>
        <v>23.329499999999999</v>
      </c>
      <c r="AA101" s="64">
        <f t="shared" si="34"/>
        <v>23.2837</v>
      </c>
      <c r="AB101" s="61" t="e">
        <f>VLOOKUP(A101,Enforcements!$C$7:$K$17,8,0)</f>
        <v>#N/A</v>
      </c>
      <c r="AC101" s="57" t="e">
        <f>VLOOKUP(A101,Enforcements!$C$7:$E$17,3,0)</f>
        <v>#N/A</v>
      </c>
      <c r="AD101" s="58" t="str">
        <f t="shared" si="35"/>
        <v>0187-10</v>
      </c>
      <c r="AE101" s="87" t="str">
        <f t="shared" si="36"/>
        <v>aws s3 cp s3://rtdc.mdm.uploadarchive.raw/RTDC4025/ "%USERPROFILE%\AppData\Local\Temp\OnboardLogs"\RTDC4025\2017-01-10 --exclude "*" --recursive --include "*20170110*" &amp; "%USERPROFILE%\Documents\GitHub\mrs-test-scripts\Headless Mode &amp; Sideloading\WalkAndUnGZ.bat" "%USERPROFILE%\AppData\Local\Temp\OnboardLogs"\RTDC4025\2017-01-10 &amp; aws s3 cp s3://rtdc.mdm.uploadarchive.raw/RTDC4025/ "%USERPROFILE%\AppData\Local\Temp\OnboardLogs"\RTDC4025\2017-01-11 --exclude "*" --recursive --include "*20170111*" &amp; "%USERPROFILE%\Documents\GitHub\mrs-test-scripts\Headless Mode &amp; Sideloading\WalkAndUnGZ.bat" "%USERPROFILE%\AppData\Local\Temp\OnboardLogs"\RTDC4025\2017-01-11</v>
      </c>
      <c r="AF101" s="84" t="str">
        <f t="shared" si="37"/>
        <v>"C:\Program Files (x86)\AstroGrep\AstroGrep.exe" /spath="%USERPROFILE%\AppData\Local\Temp\OnboardLogs" /stypes="app*4025*20170110*" /stext=" 22:.+((SYSTEM_STATE.+slice.+state.+changed )|(ment ac)|(multiple cpu faults)|(system.+state.+changed )|(\[timeout)|(PRM\|1\|D)|(kpr)|(kdp)|(\|lc)|(penalty))" /e /r /s</v>
      </c>
      <c r="AG101" s="1" t="str">
        <f t="shared" si="38"/>
        <v>EC</v>
      </c>
      <c r="AH101" s="88" t="str">
        <f t="shared" si="39"/>
        <v>"%USERPROFILE%\Documents\GitHub\eaglep3\Utilities\RefineRTDCRunTimes.py" --tripid 187-10 --locoid 4025 --swversion DE.1.0.8.0 --startMP 204:458 --initTime 2017-01-10T14:27:22 --startdatetime 2017-01-10T14:30:23 --delay 1 --endMP 204:233295 --enddatetime 2017-01-10T15:11:03 --enforcementcount 0 &gt;&gt;C:\Users\stu\Documents\GitHub\eaglep3-reporting\EC\2017-01-10-refined-times.txt</v>
      </c>
      <c r="AI101" s="115" t="str">
        <f t="shared" si="40"/>
        <v>echo {"issue":{"subject":"","project_id":79,"tracker_id":40,"status_id":1,"priority_id":2,"assigned_to_id":23,"start_date":"2017-01-10","description":"","custom_fields":[{"id":1,"name":"Subdivision","value":"EC"},{"id":4,"name":"Milepost","value":"23.3295"},{"id":17,"name":"Train ID","value":"187-10"},{"id":16,"name":"Locomotive ID","value":"4025"},{"id":130,"name":"Impact","value":""},{"id":150,"name":"Time of Event (Mountain Time)","value":"15:11:03"},{"id":151,"name":"Denver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0"/>
      <c r="AK101" s="50"/>
      <c r="AL101" s="50"/>
      <c r="AM101" s="180" t="str">
        <f t="shared" si="41"/>
        <v>start /low /b %USERPROFILE%\Documents\GitHub\eaglep3\Utilities\DownloadLogsFromS3.py --loco 4025 --day 2017-01-10</v>
      </c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4" t="s">
        <v>444</v>
      </c>
      <c r="B102" s="7">
        <v>4026</v>
      </c>
      <c r="C102" s="22" t="s">
        <v>202</v>
      </c>
      <c r="D102" s="22" t="s">
        <v>696</v>
      </c>
      <c r="E102" s="13">
        <v>42745.683136574073</v>
      </c>
      <c r="F102" s="13">
        <v>42745.683981481481</v>
      </c>
      <c r="G102" s="7">
        <v>1</v>
      </c>
      <c r="H102" s="22" t="s">
        <v>697</v>
      </c>
      <c r="I102" s="13">
        <v>42745.693935185183</v>
      </c>
      <c r="J102" s="7">
        <v>1</v>
      </c>
      <c r="K102" s="105" t="str">
        <f t="shared" si="26"/>
        <v>4025/4026</v>
      </c>
      <c r="L102" s="22" t="str">
        <f>VLOOKUP(A102,'Trips&amp;Operators'!$C$1:$G$99999,5,FALSE)</f>
        <v>DAVIS MICHAEL</v>
      </c>
      <c r="M102" s="6">
        <f t="shared" si="27"/>
        <v>9.9537037021946162E-3</v>
      </c>
      <c r="N102" s="7"/>
      <c r="O102" s="7"/>
      <c r="P102" s="7">
        <f>24*60*SUM($M102:$M103)</f>
        <v>68.816666670609266</v>
      </c>
      <c r="Q102" s="23"/>
      <c r="R102" s="23" t="s">
        <v>925</v>
      </c>
      <c r="S102" s="32">
        <f>SUM(U102:U103)/IF(AG102="EC",12,1)</f>
        <v>0.75</v>
      </c>
      <c r="T102" s="47" t="str">
        <f t="shared" si="29"/>
        <v>Southbound</v>
      </c>
      <c r="U102" s="167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0</v>
      </c>
      <c r="V102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https://search-rtdc-monitor-bjffxe2xuh6vdkpspy63sjmuny.us-east-1.es.amazonaws.com/_plugin/kibana/#/discover/Steve-Slow-Train-Analysis-(2080s-and-2083s)?_g=(refreshInterval:(display:Off,section:0,value:0),time:(from:'2017-01-10 15:23:43-700',mode:absolute,to:'2017-01-10 17:39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02" s="49" t="str">
        <f t="shared" si="31"/>
        <v>Y</v>
      </c>
      <c r="X102" s="173">
        <f t="shared" si="42"/>
        <v>1</v>
      </c>
      <c r="Y102" s="64">
        <f t="shared" si="32"/>
        <v>1.8784000000000001</v>
      </c>
      <c r="Z102" s="64">
        <f t="shared" si="33"/>
        <v>2.12E-2</v>
      </c>
      <c r="AA102" s="64">
        <f t="shared" si="34"/>
        <v>1.8572</v>
      </c>
      <c r="AB102" s="61" t="str">
        <f>VLOOKUP(A102,Enforcements!$C$7:$K$17,8,0)</f>
        <v>Bulletin (2)</v>
      </c>
      <c r="AC102" s="57" t="str">
        <f>VLOOKUP(A102,Enforcements!$C$7:$E$17,3,0)</f>
        <v>GRADE CROSSING</v>
      </c>
      <c r="AD102" s="58" t="str">
        <f t="shared" si="35"/>
        <v>0188-10</v>
      </c>
      <c r="AE102" s="87" t="str">
        <f t="shared" si="36"/>
        <v>aws s3 cp s3://rtdc.mdm.uploadarchive.raw/RTDC4026/ "%USERPROFILE%\AppData\Local\Temp\OnboardLogs"\RTDC4026\2017-01-10 --exclude "*" --recursive --include "*20170110*" &amp; "%USERPROFILE%\Documents\GitHub\mrs-test-scripts\Headless Mode &amp; Sideloading\WalkAndUnGZ.bat" "%USERPROFILE%\AppData\Local\Temp\OnboardLogs"\RTDC4026\2017-01-10 &amp; aws s3 cp s3://rtdc.mdm.uploadarchive.raw/RTDC4026/ "%USERPROFILE%\AppData\Local\Temp\OnboardLogs"\RTDC4026\2017-01-11 --exclude "*" --recursive --include "*20170111*" &amp; "%USERPROFILE%\Documents\GitHub\mrs-test-scripts\Headless Mode &amp; Sideloading\WalkAndUnGZ.bat" "%USERPROFILE%\AppData\Local\Temp\OnboardLogs"\RTDC4026\2017-01-11</v>
      </c>
      <c r="AF102" s="84" t="str">
        <f t="shared" si="37"/>
        <v>"C:\Program Files (x86)\AstroGrep\AstroGrep.exe" /spath="%USERPROFILE%\AppData\Local\Temp\OnboardLogs" /stypes="app*4026*20170110*" /stext=" 23:.+((SYSTEM_STATE.+slice.+state.+changed )|(ment ac)|(multiple cpu faults)|(system.+state.+changed )|(\[timeout)|(PRM\|1\|D)|(kpr)|(kdp)|(\|lc)|(penalty))" /e /r /s</v>
      </c>
      <c r="AG102" s="1" t="str">
        <f t="shared" si="38"/>
        <v>EC</v>
      </c>
      <c r="AH102" s="88" t="str">
        <f t="shared" si="39"/>
        <v>"%USERPROFILE%\Documents\GitHub\eaglep3\Utilities\RefineRTDCRunTimes.py" --tripid 188-10 --locoid 4026 --swversion DE.1.0.8.0 --startMP 204:18784 --initTime 2017-01-10T16:23:43 --startdatetime 2017-01-10T16:24:56 --delay 1 --endMP 204:212 --enddatetime 2017-01-10T16:39:16 --enforcementcount 1 &gt;&gt;C:\Users\stu\Documents\GitHub\eaglep3-reporting\EC\2017-01-10-refined-times.txt</v>
      </c>
      <c r="AI102" s="115" t="str">
        <f t="shared" si="40"/>
        <v>echo {"issue":{"subject":"EC0386RH offline due to maintenance to mitigate crossing gate / OCS contact @ Dahlia","project_id":79,"tracker_id":40,"status_id":1,"priority_id":2,"assigned_to_id":23,"start_date":"2017-01-10","description":"","custom_fields":[{"id":1,"name":"Subdivision","value":"EC"},{"id":4,"name":"Milepost","value":"0.0212"},{"id":17,"name":"Train ID","value":"188-10"},{"id":16,"name":"Locomotive ID","value":"4026"},{"id":130,"name":"Impact","value":""},{"id":150,"name":"Time of Event (Mountain Time)","value":"16:39:16"},{"id":151,"name":"Denver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0"/>
      <c r="AK102" s="50"/>
      <c r="AL102" s="50"/>
      <c r="AM102" s="180" t="str">
        <f t="shared" si="41"/>
        <v>start /low /b %USERPROFILE%\Documents\GitHub\eaglep3\Utilities\DownloadLogsFromS3.py --loco 4026 --day 2017-01-10</v>
      </c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4" t="s">
        <v>444</v>
      </c>
      <c r="B103" s="7">
        <v>4026</v>
      </c>
      <c r="C103" s="22" t="s">
        <v>202</v>
      </c>
      <c r="D103" s="22" t="s">
        <v>408</v>
      </c>
      <c r="E103" s="13">
        <v>42745.638414351852</v>
      </c>
      <c r="F103" s="13">
        <v>42745.639398148145</v>
      </c>
      <c r="G103" s="7">
        <v>1</v>
      </c>
      <c r="H103" s="22" t="s">
        <v>698</v>
      </c>
      <c r="I103" s="13">
        <v>42745.677233796298</v>
      </c>
      <c r="J103" s="7">
        <v>2</v>
      </c>
      <c r="K103" s="105" t="str">
        <f t="shared" si="26"/>
        <v>4025/4026</v>
      </c>
      <c r="L103" s="22" t="str">
        <f>VLOOKUP(A103,'Trips&amp;Operators'!$C$1:$G$99999,5,FALSE)</f>
        <v>DAVIS MICHAEL</v>
      </c>
      <c r="M103" s="6">
        <f t="shared" si="27"/>
        <v>3.7835648152395152E-2</v>
      </c>
      <c r="N103" s="7"/>
      <c r="O103" s="7"/>
      <c r="P103" s="7"/>
      <c r="Q103" s="23"/>
      <c r="R103" s="23"/>
      <c r="S103" s="32"/>
      <c r="T103" s="47" t="str">
        <f t="shared" si="29"/>
        <v>Southbound</v>
      </c>
      <c r="U103" s="167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9</v>
      </c>
      <c r="V103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https://search-rtdc-monitor-bjffxe2xuh6vdkpspy63sjmuny.us-east-1.es.amazonaws.com/_plugin/kibana/#/discover/Steve-Slow-Train-Analysis-(2080s-and-2083s)?_g=(refreshInterval:(display:Off,section:0,value:0),time:(from:'2017-01-10 14:19:19-700',mode:absolute,to:'2017-01-10 17:15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03" s="49" t="str">
        <f t="shared" si="31"/>
        <v>Y</v>
      </c>
      <c r="X103" s="173">
        <f t="shared" si="42"/>
        <v>0</v>
      </c>
      <c r="Y103" s="64">
        <f t="shared" si="32"/>
        <v>23.296299999999999</v>
      </c>
      <c r="Z103" s="64">
        <f t="shared" si="33"/>
        <v>3.8839000000000001</v>
      </c>
      <c r="AA103" s="64">
        <f t="shared" si="34"/>
        <v>19.412399999999998</v>
      </c>
      <c r="AB103" s="61" t="str">
        <f>VLOOKUP(A103,Enforcements!$C$7:$K$17,8,0)</f>
        <v>Bulletin (2)</v>
      </c>
      <c r="AC103" s="57" t="str">
        <f>VLOOKUP(A103,Enforcements!$C$7:$E$17,3,0)</f>
        <v>GRADE CROSSING</v>
      </c>
      <c r="AD103" s="58" t="str">
        <f t="shared" si="35"/>
        <v>0188-10</v>
      </c>
      <c r="AE103" s="87" t="str">
        <f t="shared" si="36"/>
        <v>aws s3 cp s3://rtdc.mdm.uploadarchive.raw/RTDC4026/ "%USERPROFILE%\AppData\Local\Temp\OnboardLogs"\RTDC4026\2017-01-10 --exclude "*" --recursive --include "*20170110*" &amp; "%USERPROFILE%\Documents\GitHub\mrs-test-scripts\Headless Mode &amp; Sideloading\WalkAndUnGZ.bat" "%USERPROFILE%\AppData\Local\Temp\OnboardLogs"\RTDC4026\2017-01-10 &amp; aws s3 cp s3://rtdc.mdm.uploadarchive.raw/RTDC4026/ "%USERPROFILE%\AppData\Local\Temp\OnboardLogs"\RTDC4026\2017-01-11 --exclude "*" --recursive --include "*20170111*" &amp; "%USERPROFILE%\Documents\GitHub\mrs-test-scripts\Headless Mode &amp; Sideloading\WalkAndUnGZ.bat" "%USERPROFILE%\AppData\Local\Temp\OnboardLogs"\RTDC4026\2017-01-11</v>
      </c>
      <c r="AF103" s="84" t="str">
        <f t="shared" si="37"/>
        <v>"C:\Program Files (x86)\AstroGrep\AstroGrep.exe" /spath="%USERPROFILE%\AppData\Local\Temp\OnboardLogs" /stypes="app*4026*20170110*" /stext=" 23:.+((SYSTEM_STATE.+slice.+state.+changed )|(ment ac)|(multiple cpu faults)|(system.+state.+changed )|(\[timeout)|(PRM\|1\|D)|(kpr)|(kdp)|(\|lc)|(penalty))" /e /r /s</v>
      </c>
      <c r="AG103" s="1" t="str">
        <f t="shared" si="38"/>
        <v>EC</v>
      </c>
      <c r="AH103" s="88" t="str">
        <f t="shared" si="39"/>
        <v>"%USERPROFILE%\Documents\GitHub\eaglep3\Utilities\RefineRTDCRunTimes.py" --tripid 188-10 --locoid 4026 --swversion DE.1.0.8.0 --startMP 204:232963 --initTime 2017-01-10T15:19:19 --startdatetime 2017-01-10T15:20:44 --delay 1 --endMP 204:38839 --enddatetime 2017-01-10T16:15:13 --enforcementcount 2 &gt;&gt;C:\Users\stu\Documents\GitHub\eaglep3-reporting\EC\2017-01-10-refined-times.txt</v>
      </c>
      <c r="AI103" s="115" t="str">
        <f t="shared" si="40"/>
        <v>echo {"issue":{"subject":"","project_id":79,"tracker_id":40,"status_id":1,"priority_id":2,"assigned_to_id":23,"start_date":"2017-01-10","description":"","custom_fields":[{"id":1,"name":"Subdivision","value":"EC"},{"id":4,"name":"Milepost","value":"3.8839"},{"id":17,"name":"Train ID","value":"188-10"},{"id":16,"name":"Locomotive ID","value":"4026"},{"id":130,"name":"Impact","value":""},{"id":150,"name":"Time of Event (Mountain Time)","value":"16:15:13"},{"id":151,"name":"Denver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0"/>
      <c r="AK103" s="50"/>
      <c r="AL103" s="50"/>
      <c r="AM103" s="180" t="str">
        <f t="shared" si="41"/>
        <v>start /low /b %USERPROFILE%\Documents\GitHub\eaglep3\Utilities\DownloadLogsFromS3.py --loco 4026 --day 2017-01-10</v>
      </c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4" t="s">
        <v>582</v>
      </c>
      <c r="B104" s="7">
        <v>4020</v>
      </c>
      <c r="C104" s="22" t="s">
        <v>202</v>
      </c>
      <c r="D104" s="22" t="s">
        <v>686</v>
      </c>
      <c r="E104" s="13">
        <v>42745.613287037035</v>
      </c>
      <c r="F104" s="13">
        <v>42745.614988425928</v>
      </c>
      <c r="G104" s="7">
        <v>1</v>
      </c>
      <c r="H104" s="22" t="s">
        <v>295</v>
      </c>
      <c r="I104" s="13">
        <v>42745.641365740739</v>
      </c>
      <c r="J104" s="7">
        <v>0</v>
      </c>
      <c r="K104" s="105" t="str">
        <f t="shared" si="26"/>
        <v>4019/4020</v>
      </c>
      <c r="L104" s="22" t="str">
        <f>VLOOKUP(A104,'Trips&amp;Operators'!$C$1:$G$99999,5,FALSE)</f>
        <v>YANG JAN</v>
      </c>
      <c r="M104" s="6">
        <f t="shared" si="27"/>
        <v>2.6377314810815733E-2</v>
      </c>
      <c r="N104" s="7">
        <f>24*60*SUM($M104:$M104)</f>
        <v>37.983333327574655</v>
      </c>
      <c r="O104" s="7"/>
      <c r="P104" s="7"/>
      <c r="Q104" s="23"/>
      <c r="R104" s="23"/>
      <c r="S104" s="32">
        <f>SUM(U104:U104)/IF(AG104="EC",12,1)</f>
        <v>1</v>
      </c>
      <c r="T104" s="47" t="str">
        <f t="shared" si="29"/>
        <v>NorthBound</v>
      </c>
      <c r="U104" s="167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https://search-rtdc-monitor-bjffxe2xuh6vdkpspy63sjmuny.us-east-1.es.amazonaws.com/_plugin/kibana/#/discover/Steve-Slow-Train-Analysis-(2080s-and-2083s)?_g=(refreshInterval:(display:Off,section:0,value:0),time:(from:'2017-01-10 13:43:08-700',mode:absolute,to:'2017-01-10 16:23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04" s="49" t="str">
        <f t="shared" si="31"/>
        <v>N</v>
      </c>
      <c r="X104" s="173">
        <f t="shared" si="42"/>
        <v>1</v>
      </c>
      <c r="Y104" s="64">
        <f t="shared" si="32"/>
        <v>4.5999999999999999E-2</v>
      </c>
      <c r="Z104" s="64">
        <f t="shared" si="33"/>
        <v>23.329499999999999</v>
      </c>
      <c r="AA104" s="64">
        <f t="shared" si="34"/>
        <v>23.2835</v>
      </c>
      <c r="AB104" s="61" t="e">
        <f>VLOOKUP(A104,Enforcements!$C$7:$K$17,8,0)</f>
        <v>#N/A</v>
      </c>
      <c r="AC104" s="57" t="e">
        <f>VLOOKUP(A104,Enforcements!$C$7:$E$17,3,0)</f>
        <v>#N/A</v>
      </c>
      <c r="AD104" s="58" t="str">
        <f t="shared" si="35"/>
        <v>0189-10</v>
      </c>
      <c r="AE104" s="87" t="str">
        <f t="shared" si="36"/>
        <v>aws s3 cp s3://rtdc.mdm.uploadarchive.raw/RTDC4020/ "%USERPROFILE%\AppData\Local\Temp\OnboardLogs"\RTDC4020\2017-01-10 --exclude "*" --recursive --include "*20170110*" &amp; "%USERPROFILE%\Documents\GitHub\mrs-test-scripts\Headless Mode &amp; Sideloading\WalkAndUnGZ.bat" "%USERPROFILE%\AppData\Local\Temp\OnboardLogs"\RTDC4020\2017-01-10 &amp; aws s3 cp s3://rtdc.mdm.uploadarchive.raw/RTDC4020/ "%USERPROFILE%\AppData\Local\Temp\OnboardLogs"\RTDC4020\2017-01-11 --exclude "*" --recursive --include "*20170111*" &amp; "%USERPROFILE%\Documents\GitHub\mrs-test-scripts\Headless Mode &amp; Sideloading\WalkAndUnGZ.bat" "%USERPROFILE%\AppData\Local\Temp\OnboardLogs"\RTDC4020\2017-01-11</v>
      </c>
      <c r="AF104" s="84" t="str">
        <f t="shared" si="37"/>
        <v>"C:\Program Files (x86)\AstroGrep\AstroGrep.exe" /spath="%USERPROFILE%\AppData\Local\Temp\OnboardLogs" /stypes="app*4020*20170110*" /stext=" 22:.+((SYSTEM_STATE.+slice.+state.+changed )|(ment ac)|(multiple cpu faults)|(system.+state.+changed )|(\[timeout)|(PRM\|1\|D)|(kpr)|(kdp)|(\|lc)|(penalty))" /e /r /s</v>
      </c>
      <c r="AG104" s="1" t="str">
        <f t="shared" si="38"/>
        <v>EC</v>
      </c>
      <c r="AH104" s="88" t="str">
        <f t="shared" si="39"/>
        <v>"%USERPROFILE%\Documents\GitHub\eaglep3\Utilities\RefineRTDCRunTimes.py" --tripid 189-10 --locoid 4020 --swversion DE.1.0.8.0 --startMP 204:460 --initTime 2017-01-10T14:43:08 --startdatetime 2017-01-10T14:45:35 --delay 1 --endMP 204:233295 --enddatetime 2017-01-10T15:23:34 --enforcementcount 0 &gt;&gt;C:\Users\stu\Documents\GitHub\eaglep3-reporting\EC\2017-01-10-refined-times.txt</v>
      </c>
      <c r="AI104" s="115" t="str">
        <f t="shared" si="40"/>
        <v>echo {"issue":{"subject":"","project_id":79,"tracker_id":40,"status_id":1,"priority_id":2,"assigned_to_id":23,"start_date":"2017-01-10","description":"","custom_fields":[{"id":1,"name":"Subdivision","value":"EC"},{"id":4,"name":"Milepost","value":"23.3295"},{"id":17,"name":"Train ID","value":"189-10"},{"id":16,"name":"Locomotive ID","value":"4020"},{"id":130,"name":"Impact","value":""},{"id":150,"name":"Time of Event (Mountain Time)","value":"15:23:34"},{"id":151,"name":"Denver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0"/>
      <c r="AK104" s="50"/>
      <c r="AL104" s="50"/>
      <c r="AM104" s="180" t="str">
        <f t="shared" si="41"/>
        <v>start /low /b %USERPROFILE%\Documents\GitHub\eaglep3\Utilities\DownloadLogsFromS3.py --loco 4020 --day 2017-01-10</v>
      </c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4" t="s">
        <v>445</v>
      </c>
      <c r="B105" s="7">
        <v>4019</v>
      </c>
      <c r="C105" s="22" t="s">
        <v>202</v>
      </c>
      <c r="D105" s="22" t="s">
        <v>244</v>
      </c>
      <c r="E105" s="13">
        <v>42745.64335648148</v>
      </c>
      <c r="F105" s="13">
        <v>42745.653923611113</v>
      </c>
      <c r="G105" s="7">
        <v>1</v>
      </c>
      <c r="H105" s="22" t="s">
        <v>269</v>
      </c>
      <c r="I105" s="13">
        <v>42745.693402777775</v>
      </c>
      <c r="J105" s="7">
        <v>0</v>
      </c>
      <c r="K105" s="105" t="str">
        <f t="shared" si="26"/>
        <v>4019/4020</v>
      </c>
      <c r="L105" s="22" t="str">
        <f>VLOOKUP(A105,'Trips&amp;Operators'!$C$1:$G$99999,5,FALSE)</f>
        <v>YANG JAN</v>
      </c>
      <c r="M105" s="6">
        <f t="shared" si="27"/>
        <v>3.9479166662204079E-2</v>
      </c>
      <c r="N105" s="7">
        <f>24*60*SUM($M105:$M105)</f>
        <v>56.849999993573874</v>
      </c>
      <c r="O105" s="7"/>
      <c r="P105" s="7"/>
      <c r="Q105" s="23"/>
      <c r="R105" s="23"/>
      <c r="S105" s="32">
        <f>SUM(U105:U105)/IF(AG105="EC",12,1)</f>
        <v>1</v>
      </c>
      <c r="T105" s="47" t="str">
        <f t="shared" si="29"/>
        <v>Southbound</v>
      </c>
      <c r="U105" s="167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https://search-rtdc-monitor-bjffxe2xuh6vdkpspy63sjmuny.us-east-1.es.amazonaws.com/_plugin/kibana/#/discover/Steve-Slow-Train-Analysis-(2080s-and-2083s)?_g=(refreshInterval:(display:Off,section:0,value:0),time:(from:'2017-01-10 14:26:26-700',mode:absolute,to:'2017-01-10 17:38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05" s="49" t="str">
        <f t="shared" si="31"/>
        <v>N</v>
      </c>
      <c r="X105" s="173">
        <f t="shared" si="42"/>
        <v>1</v>
      </c>
      <c r="Y105" s="64">
        <f t="shared" si="32"/>
        <v>23.297699999999999</v>
      </c>
      <c r="Z105" s="64">
        <f t="shared" si="33"/>
        <v>1.5800000000000002E-2</v>
      </c>
      <c r="AA105" s="64">
        <f t="shared" si="34"/>
        <v>23.2819</v>
      </c>
      <c r="AB105" s="61" t="str">
        <f>VLOOKUP(A105,Enforcements!$C$7:$K$17,8,0)</f>
        <v>Signal based authority (5)</v>
      </c>
      <c r="AC105" s="57" t="str">
        <f>VLOOKUP(A105,Enforcements!$C$7:$E$17,3,0)</f>
        <v>SIGNAL</v>
      </c>
      <c r="AD105" s="58" t="str">
        <f t="shared" si="35"/>
        <v>0190-10</v>
      </c>
      <c r="AE105" s="87" t="str">
        <f t="shared" si="36"/>
        <v>aws s3 cp s3://rtdc.mdm.uploadarchive.raw/RTDC4019/ "%USERPROFILE%\AppData\Local\Temp\OnboardLogs"\RTDC4019\2017-01-10 --exclude "*" --recursive --include "*20170110*" &amp; "%USERPROFILE%\Documents\GitHub\mrs-test-scripts\Headless Mode &amp; Sideloading\WalkAndUnGZ.bat" "%USERPROFILE%\AppData\Local\Temp\OnboardLogs"\RTDC4019\2017-01-10 &amp; aws s3 cp s3://rtdc.mdm.uploadarchive.raw/RTDC4019/ "%USERPROFILE%\AppData\Local\Temp\OnboardLogs"\RTDC4019\2017-01-11 --exclude "*" --recursive --include "*20170111*" &amp; "%USERPROFILE%\Documents\GitHub\mrs-test-scripts\Headless Mode &amp; Sideloading\WalkAndUnGZ.bat" "%USERPROFILE%\AppData\Local\Temp\OnboardLogs"\RTDC4019\2017-01-11</v>
      </c>
      <c r="AF105" s="84" t="str">
        <f t="shared" si="37"/>
        <v>"C:\Program Files (x86)\AstroGrep\AstroGrep.exe" /spath="%USERPROFILE%\AppData\Local\Temp\OnboardLogs" /stypes="app*4019*20170110*" /stext=" 23:.+((SYSTEM_STATE.+slice.+state.+changed )|(ment ac)|(multiple cpu faults)|(system.+state.+changed )|(\[timeout)|(PRM\|1\|D)|(kpr)|(kdp)|(\|lc)|(penalty))" /e /r /s</v>
      </c>
      <c r="AG105" s="1" t="str">
        <f t="shared" si="38"/>
        <v>EC</v>
      </c>
      <c r="AH105" s="88" t="str">
        <f t="shared" si="39"/>
        <v>"%USERPROFILE%\Documents\GitHub\eaglep3\Utilities\RefineRTDCRunTimes.py" --tripid 190-10 --locoid 4019 --swversion DE.1.0.8.0 --startMP 204:232977 --initTime 2017-01-10T15:26:26 --startdatetime 2017-01-10T15:41:39 --delay 1 --endMP 204:158 --enddatetime 2017-01-10T16:38:30 --enforcementcount 0 &gt;&gt;C:\Users\stu\Documents\GitHub\eaglep3-reporting\EC\2017-01-10-refined-times.txt</v>
      </c>
      <c r="AI105" s="115" t="str">
        <f t="shared" si="40"/>
        <v>echo {"issue":{"subject":"","project_id":79,"tracker_id":40,"status_id":1,"priority_id":2,"assigned_to_id":23,"start_date":"2017-01-10","description":"","custom_fields":[{"id":1,"name":"Subdivision","value":"EC"},{"id":4,"name":"Milepost","value":"0.0158"},{"id":17,"name":"Train ID","value":"190-10"},{"id":16,"name":"Locomotive ID","value":"4019"},{"id":130,"name":"Impact","value":""},{"id":150,"name":"Time of Event (Mountain Time)","value":"16:38:30"},{"id":151,"name":"Denver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0"/>
      <c r="AK105" s="50"/>
      <c r="AL105" s="50"/>
      <c r="AM105" s="180" t="str">
        <f t="shared" si="41"/>
        <v>start /low /b %USERPROFILE%\Documents\GitHub\eaglep3\Utilities\DownloadLogsFromS3.py --loco 4019 --day 2017-01-10</v>
      </c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4" t="s">
        <v>583</v>
      </c>
      <c r="B106" s="7">
        <v>4014</v>
      </c>
      <c r="C106" s="22" t="s">
        <v>202</v>
      </c>
      <c r="D106" s="22" t="s">
        <v>240</v>
      </c>
      <c r="E106" s="13">
        <v>42745.623703703706</v>
      </c>
      <c r="F106" s="13">
        <v>42745.625289351854</v>
      </c>
      <c r="G106" s="7">
        <v>1</v>
      </c>
      <c r="H106" s="22" t="s">
        <v>395</v>
      </c>
      <c r="I106" s="13">
        <v>42745.653229166666</v>
      </c>
      <c r="J106" s="7">
        <v>0</v>
      </c>
      <c r="K106" s="105" t="str">
        <f t="shared" si="26"/>
        <v>4013/4014</v>
      </c>
      <c r="L106" s="22" t="str">
        <f>VLOOKUP(A106,'Trips&amp;Operators'!$C$1:$G$99999,5,FALSE)</f>
        <v>COMELLA JUSTIN</v>
      </c>
      <c r="M106" s="6">
        <f t="shared" si="27"/>
        <v>2.7939814812270924E-2</v>
      </c>
      <c r="N106" s="7">
        <f>24*60*SUM($M106:$M106)</f>
        <v>40.233333329670131</v>
      </c>
      <c r="O106" s="7"/>
      <c r="P106" s="7"/>
      <c r="Q106" s="23"/>
      <c r="R106" s="23"/>
      <c r="S106" s="32">
        <f>SUM(U106:U106)/IF(AG106="EC",12,1)</f>
        <v>1</v>
      </c>
      <c r="T106" s="47" t="str">
        <f t="shared" si="29"/>
        <v>NorthBound</v>
      </c>
      <c r="U106" s="167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https://search-rtdc-monitor-bjffxe2xuh6vdkpspy63sjmuny.us-east-1.es.amazonaws.com/_plugin/kibana/#/discover/Steve-Slow-Train-Analysis-(2080s-and-2083s)?_g=(refreshInterval:(display:Off,section:0,value:0),time:(from:'2017-01-10 13:58:08-700',mode:absolute,to:'2017-01-10 16:40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06" s="49" t="str">
        <f t="shared" si="31"/>
        <v>N</v>
      </c>
      <c r="X106" s="173">
        <f t="shared" si="42"/>
        <v>1</v>
      </c>
      <c r="Y106" s="64">
        <f t="shared" si="32"/>
        <v>4.6399999999999997E-2</v>
      </c>
      <c r="Z106" s="64">
        <f t="shared" si="33"/>
        <v>23.328199999999999</v>
      </c>
      <c r="AA106" s="64">
        <f t="shared" si="34"/>
        <v>23.2818</v>
      </c>
      <c r="AB106" s="61" t="e">
        <f>VLOOKUP(A106,Enforcements!$C$7:$K$17,8,0)</f>
        <v>#N/A</v>
      </c>
      <c r="AC106" s="57" t="e">
        <f>VLOOKUP(A106,Enforcements!$C$7:$E$17,3,0)</f>
        <v>#N/A</v>
      </c>
      <c r="AD106" s="58" t="str">
        <f t="shared" si="35"/>
        <v>0191-10</v>
      </c>
      <c r="AE106" s="87" t="str">
        <f t="shared" si="36"/>
        <v>aws s3 cp s3://rtdc.mdm.uploadarchive.raw/RTDC4014/ "%USERPROFILE%\AppData\Local\Temp\OnboardLogs"\RTDC4014\2017-01-10 --exclude "*" --recursive --include "*20170110*" &amp; "%USERPROFILE%\Documents\GitHub\mrs-test-scripts\Headless Mode &amp; Sideloading\WalkAndUnGZ.bat" "%USERPROFILE%\AppData\Local\Temp\OnboardLogs"\RTDC4014\2017-01-10 &amp; aws s3 cp s3://rtdc.mdm.uploadarchive.raw/RTDC4014/ "%USERPROFILE%\AppData\Local\Temp\OnboardLogs"\RTDC4014\2017-01-11 --exclude "*" --recursive --include "*20170111*" &amp; "%USERPROFILE%\Documents\GitHub\mrs-test-scripts\Headless Mode &amp; Sideloading\WalkAndUnGZ.bat" "%USERPROFILE%\AppData\Local\Temp\OnboardLogs"\RTDC4014\2017-01-11</v>
      </c>
      <c r="AF106" s="84" t="str">
        <f t="shared" si="37"/>
        <v>"C:\Program Files (x86)\AstroGrep\AstroGrep.exe" /spath="%USERPROFILE%\AppData\Local\Temp\OnboardLogs" /stypes="app*4014*20170110*" /stext=" 22:.+((SYSTEM_STATE.+slice.+state.+changed )|(ment ac)|(multiple cpu faults)|(system.+state.+changed )|(\[timeout)|(PRM\|1\|D)|(kpr)|(kdp)|(\|lc)|(penalty))" /e /r /s</v>
      </c>
      <c r="AG106" s="1" t="str">
        <f t="shared" si="38"/>
        <v>EC</v>
      </c>
      <c r="AH106" s="88" t="str">
        <f t="shared" si="39"/>
        <v>"%USERPROFILE%\Documents\GitHub\eaglep3\Utilities\RefineRTDCRunTimes.py" --tripid 191-10 --locoid 4014 --swversion DE.1.0.8.0 --startMP 204:464 --initTime 2017-01-10T14:58:08 --startdatetime 2017-01-10T15:00:25 --delay 1 --endMP 204:233282 --enddatetime 2017-01-10T15:40:39 --enforcementcount 0 &gt;&gt;C:\Users\stu\Documents\GitHub\eaglep3-reporting\EC\2017-01-10-refined-times.txt</v>
      </c>
      <c r="AI106" s="115" t="str">
        <f t="shared" si="40"/>
        <v>echo {"issue":{"subject":"","project_id":79,"tracker_id":40,"status_id":1,"priority_id":2,"assigned_to_id":23,"start_date":"2017-01-10","description":"","custom_fields":[{"id":1,"name":"Subdivision","value":"EC"},{"id":4,"name":"Milepost","value":"23.3282"},{"id":17,"name":"Train ID","value":"191-10"},{"id":16,"name":"Locomotive ID","value":"4014"},{"id":130,"name":"Impact","value":""},{"id":150,"name":"Time of Event (Mountain Time)","value":"15:40:39"},{"id":151,"name":"Denver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0"/>
      <c r="AK106" s="50"/>
      <c r="AL106" s="50"/>
      <c r="AM106" s="180" t="str">
        <f t="shared" si="41"/>
        <v>start /low /b %USERPROFILE%\Documents\GitHub\eaglep3\Utilities\DownloadLogsFromS3.py --loco 4014 --day 2017-01-10</v>
      </c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4" t="s">
        <v>590</v>
      </c>
      <c r="B107" s="7">
        <v>4013</v>
      </c>
      <c r="C107" s="22" t="s">
        <v>202</v>
      </c>
      <c r="D107" s="22" t="s">
        <v>402</v>
      </c>
      <c r="E107" s="13">
        <v>42745.657835648148</v>
      </c>
      <c r="F107" s="13">
        <v>42745.658796296295</v>
      </c>
      <c r="G107" s="7">
        <v>1</v>
      </c>
      <c r="H107" s="22" t="s">
        <v>699</v>
      </c>
      <c r="I107" s="13">
        <v>42745.685752314814</v>
      </c>
      <c r="J107" s="7">
        <v>0</v>
      </c>
      <c r="K107" s="105" t="str">
        <f t="shared" si="26"/>
        <v>4013/4014</v>
      </c>
      <c r="L107" s="22" t="str">
        <f>VLOOKUP(A107,'Trips&amp;Operators'!$C$1:$G$99999,5,FALSE)</f>
        <v>COMELLA JUSTIN</v>
      </c>
      <c r="M107" s="6">
        <f t="shared" si="27"/>
        <v>2.6956018518831115E-2</v>
      </c>
      <c r="N107" s="7"/>
      <c r="O107" s="7"/>
      <c r="P107" s="7">
        <f>24*60*SUM($M107:$M108)</f>
        <v>51.666666663950309</v>
      </c>
      <c r="Q107" s="23"/>
      <c r="R107" s="23" t="s">
        <v>925</v>
      </c>
      <c r="S107" s="32">
        <f>SUM(U107:U108)/IF(AG107="EC",12,1)</f>
        <v>0.91666666666666663</v>
      </c>
      <c r="T107" s="47" t="str">
        <f t="shared" si="29"/>
        <v>Southbound</v>
      </c>
      <c r="U107" s="167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8</v>
      </c>
      <c r="V107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https://search-rtdc-monitor-bjffxe2xuh6vdkpspy63sjmuny.us-east-1.es.amazonaws.com/_plugin/kibana/#/discover/Steve-Slow-Train-Analysis-(2080s-and-2083s)?_g=(refreshInterval:(display:Off,section:0,value:0),time:(from:'2017-01-10 14:47:17-700',mode:absolute,to:'2017-01-10 17:27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07" s="49" t="str">
        <f t="shared" si="31"/>
        <v>Y</v>
      </c>
      <c r="X107" s="173">
        <f t="shared" si="42"/>
        <v>1</v>
      </c>
      <c r="Y107" s="64">
        <f t="shared" si="32"/>
        <v>23.296099999999999</v>
      </c>
      <c r="Z107" s="64">
        <f t="shared" si="33"/>
        <v>4.4020999999999999</v>
      </c>
      <c r="AA107" s="64">
        <f t="shared" si="34"/>
        <v>18.893999999999998</v>
      </c>
      <c r="AB107" s="61" t="e">
        <f>VLOOKUP(A107,Enforcements!$C$7:$K$17,8,0)</f>
        <v>#N/A</v>
      </c>
      <c r="AC107" s="57" t="e">
        <f>VLOOKUP(A107,Enforcements!$C$7:$E$17,3,0)</f>
        <v>#N/A</v>
      </c>
      <c r="AD107" s="58" t="str">
        <f t="shared" si="35"/>
        <v>0192-10</v>
      </c>
      <c r="AE107" s="87" t="str">
        <f t="shared" si="36"/>
        <v>aws s3 cp s3://rtdc.mdm.uploadarchive.raw/RTDC4013/ "%USERPROFILE%\AppData\Local\Temp\OnboardLogs"\RTDC4013\2017-01-10 --exclude "*" --recursive --include "*20170110*" &amp; "%USERPROFILE%\Documents\GitHub\mrs-test-scripts\Headless Mode &amp; Sideloading\WalkAndUnGZ.bat" "%USERPROFILE%\AppData\Local\Temp\OnboardLogs"\RTDC4013\2017-01-10 &amp; aws s3 cp s3://rtdc.mdm.uploadarchive.raw/RTDC4013/ "%USERPROFILE%\AppData\Local\Temp\OnboardLogs"\RTDC4013\2017-01-11 --exclude "*" --recursive --include "*20170111*" &amp; "%USERPROFILE%\Documents\GitHub\mrs-test-scripts\Headless Mode &amp; Sideloading\WalkAndUnGZ.bat" "%USERPROFILE%\AppData\Local\Temp\OnboardLogs"\RTDC4013\2017-01-11</v>
      </c>
      <c r="AF107" s="84" t="str">
        <f t="shared" si="37"/>
        <v>"C:\Program Files (x86)\AstroGrep\AstroGrep.exe" /spath="%USERPROFILE%\AppData\Local\Temp\OnboardLogs" /stypes="app*4013*20170110*" /stext=" 23:.+((SYSTEM_STATE.+slice.+state.+changed )|(ment ac)|(multiple cpu faults)|(system.+state.+changed )|(\[timeout)|(PRM\|1\|D)|(kpr)|(kdp)|(\|lc)|(penalty))" /e /r /s</v>
      </c>
      <c r="AG107" s="1" t="str">
        <f t="shared" si="38"/>
        <v>EC</v>
      </c>
      <c r="AH107" s="88" t="str">
        <f t="shared" si="39"/>
        <v>"%USERPROFILE%\Documents\GitHub\eaglep3\Utilities\RefineRTDCRunTimes.py" --tripid 192-10 --locoid 4013 --swversion DE.1.0.8.0 --startMP 204:232961 --initTime 2017-01-10T15:47:17 --startdatetime 2017-01-10T15:48:40 --delay 1 --endMP 204:44021 --enddatetime 2017-01-10T16:27:29 --enforcementcount 0 &gt;&gt;C:\Users\stu\Documents\GitHub\eaglep3-reporting\EC\2017-01-10-refined-times.txt</v>
      </c>
      <c r="AI107" s="115" t="str">
        <f t="shared" si="40"/>
        <v>echo {"issue":{"subject":"EC0386RH offline due to maintenance to mitigate crossing gate / OCS contact @ Dahlia","project_id":79,"tracker_id":40,"status_id":1,"priority_id":2,"assigned_to_id":23,"start_date":"2017-01-10","description":"","custom_fields":[{"id":1,"name":"Subdivision","value":"EC"},{"id":4,"name":"Milepost","value":"4.4021"},{"id":17,"name":"Train ID","value":"192-10"},{"id":16,"name":"Locomotive ID","value":"4013"},{"id":130,"name":"Impact","value":""},{"id":150,"name":"Time of Event (Mountain Time)","value":"16:27:29"},{"id":151,"name":"Denver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0"/>
      <c r="AK107" s="50"/>
      <c r="AL107" s="50"/>
      <c r="AM107" s="180" t="str">
        <f t="shared" si="41"/>
        <v>start /low /b %USERPROFILE%\Documents\GitHub\eaglep3\Utilities\DownloadLogsFromS3.py --loco 4013 --day 2017-01-10</v>
      </c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4" t="s">
        <v>590</v>
      </c>
      <c r="B108" s="7">
        <v>4013</v>
      </c>
      <c r="C108" s="22" t="s">
        <v>202</v>
      </c>
      <c r="D108" s="22" t="s">
        <v>700</v>
      </c>
      <c r="E108" s="13">
        <v>42745.68822916667</v>
      </c>
      <c r="F108" s="13">
        <v>42745.688877314817</v>
      </c>
      <c r="G108" s="7">
        <v>0</v>
      </c>
      <c r="H108" s="22" t="s">
        <v>701</v>
      </c>
      <c r="I108" s="13">
        <v>42745.697800925926</v>
      </c>
      <c r="J108" s="7">
        <v>0</v>
      </c>
      <c r="K108" s="105" t="str">
        <f t="shared" si="26"/>
        <v>4013/4014</v>
      </c>
      <c r="L108" s="22" t="str">
        <f>VLOOKUP(A108,'Trips&amp;Operators'!$C$1:$G$99999,5,FALSE)</f>
        <v>COMELLA JUSTIN</v>
      </c>
      <c r="M108" s="6">
        <f t="shared" si="27"/>
        <v>8.923611108912155E-3</v>
      </c>
      <c r="N108" s="7"/>
      <c r="O108" s="7"/>
      <c r="P108" s="7"/>
      <c r="Q108" s="23"/>
      <c r="R108" s="23"/>
      <c r="S108" s="32"/>
      <c r="T108" s="47" t="str">
        <f t="shared" si="29"/>
        <v>Southbound</v>
      </c>
      <c r="U108" s="167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3</v>
      </c>
      <c r="V108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https://search-rtdc-monitor-bjffxe2xuh6vdkpspy63sjmuny.us-east-1.es.amazonaws.com/_plugin/kibana/#/discover/Steve-Slow-Train-Analysis-(2080s-and-2083s)?_g=(refreshInterval:(display:Off,section:0,value:0),time:(from:'2017-01-10 15:31:03-700',mode:absolute,to:'2017-01-10 17:44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08" s="49" t="str">
        <f t="shared" si="31"/>
        <v>Y</v>
      </c>
      <c r="X108" s="173">
        <f t="shared" si="42"/>
        <v>0</v>
      </c>
      <c r="Y108" s="64">
        <f t="shared" si="32"/>
        <v>3.6798999999999999</v>
      </c>
      <c r="Z108" s="64">
        <f t="shared" si="33"/>
        <v>0.11650000000000001</v>
      </c>
      <c r="AA108" s="64">
        <f t="shared" si="34"/>
        <v>3.5634000000000001</v>
      </c>
      <c r="AB108" s="61" t="e">
        <f>VLOOKUP(A108,Enforcements!$C$7:$K$17,8,0)</f>
        <v>#N/A</v>
      </c>
      <c r="AC108" s="57" t="e">
        <f>VLOOKUP(A108,Enforcements!$C$7:$E$17,3,0)</f>
        <v>#N/A</v>
      </c>
      <c r="AD108" s="58" t="str">
        <f t="shared" si="35"/>
        <v>0192-10</v>
      </c>
      <c r="AE108" s="87" t="str">
        <f t="shared" si="36"/>
        <v>aws s3 cp s3://rtdc.mdm.uploadarchive.raw/RTDC4013/ "%USERPROFILE%\AppData\Local\Temp\OnboardLogs"\RTDC4013\2017-01-10 --exclude "*" --recursive --include "*20170110*" &amp; "%USERPROFILE%\Documents\GitHub\mrs-test-scripts\Headless Mode &amp; Sideloading\WalkAndUnGZ.bat" "%USERPROFILE%\AppData\Local\Temp\OnboardLogs"\RTDC4013\2017-01-10 &amp; aws s3 cp s3://rtdc.mdm.uploadarchive.raw/RTDC4013/ "%USERPROFILE%\AppData\Local\Temp\OnboardLogs"\RTDC4013\2017-01-11 --exclude "*" --recursive --include "*20170111*" &amp; "%USERPROFILE%\Documents\GitHub\mrs-test-scripts\Headless Mode &amp; Sideloading\WalkAndUnGZ.bat" "%USERPROFILE%\AppData\Local\Temp\OnboardLogs"\RTDC4013\2017-01-11</v>
      </c>
      <c r="AF108" s="84" t="str">
        <f t="shared" si="37"/>
        <v>"C:\Program Files (x86)\AstroGrep\AstroGrep.exe" /spath="%USERPROFILE%\AppData\Local\Temp\OnboardLogs" /stypes="app*4013*20170110*" /stext=" 23:.+((SYSTEM_STATE.+slice.+state.+changed )|(ment ac)|(multiple cpu faults)|(system.+state.+changed )|(\[timeout)|(PRM\|1\|D)|(kpr)|(kdp)|(\|lc)|(penalty))" /e /r /s</v>
      </c>
      <c r="AG108" s="1" t="str">
        <f t="shared" si="38"/>
        <v>EC</v>
      </c>
      <c r="AH108" s="88" t="str">
        <f t="shared" si="39"/>
        <v>"%USERPROFILE%\Documents\GitHub\eaglep3\Utilities\RefineRTDCRunTimes.py" --tripid 192-10 --locoid 4013 --swversion DE.1.0.8.0 --startMP 204:36799 --initTime 2017-01-10T16:31:03 --startdatetime 2017-01-10T16:31:59 --delay 0 --endMP 204:1165 --enddatetime 2017-01-10T16:44:50 --enforcementcount 0 &gt;&gt;C:\Users\stu\Documents\GitHub\eaglep3-reporting\EC\2017-01-10-refined-times.txt</v>
      </c>
      <c r="AI108" s="115" t="str">
        <f t="shared" si="40"/>
        <v>echo {"issue":{"subject":"","project_id":79,"tracker_id":40,"status_id":1,"priority_id":2,"assigned_to_id":23,"start_date":"2017-01-10","description":"","custom_fields":[{"id":1,"name":"Subdivision","value":"EC"},{"id":4,"name":"Milepost","value":"0.1165"},{"id":17,"name":"Train ID","value":"192-10"},{"id":16,"name":"Locomotive ID","value":"4013"},{"id":130,"name":"Impact","value":""},{"id":150,"name":"Time of Event (Mountain Time)","value":"16:44:50"},{"id":151,"name":"Denver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0"/>
      <c r="AK108" s="50"/>
      <c r="AL108" s="50"/>
      <c r="AM108" s="180" t="str">
        <f t="shared" si="41"/>
        <v>start /low /b %USERPROFILE%\Documents\GitHub\eaglep3\Utilities\DownloadLogsFromS3.py --loco 4013 --day 2017-01-10</v>
      </c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4" t="s">
        <v>440</v>
      </c>
      <c r="B109" s="7">
        <v>4031</v>
      </c>
      <c r="C109" s="22" t="s">
        <v>202</v>
      </c>
      <c r="D109" s="22" t="s">
        <v>305</v>
      </c>
      <c r="E109" s="13">
        <v>42745.63318287037</v>
      </c>
      <c r="F109" s="13">
        <v>42745.635694444441</v>
      </c>
      <c r="G109" s="7">
        <v>1</v>
      </c>
      <c r="H109" s="22" t="s">
        <v>688</v>
      </c>
      <c r="I109" s="13">
        <v>42745.670023148145</v>
      </c>
      <c r="J109" s="7">
        <v>0</v>
      </c>
      <c r="K109" s="105" t="str">
        <f t="shared" si="26"/>
        <v>4031/4032</v>
      </c>
      <c r="L109" s="22" t="str">
        <f>VLOOKUP(A109,'Trips&amp;Operators'!$C$1:$G$99999,5,FALSE)</f>
        <v>CLARK KATHLEEN</v>
      </c>
      <c r="M109" s="6">
        <f t="shared" si="27"/>
        <v>3.4328703703067731E-2</v>
      </c>
      <c r="N109" s="7">
        <f>24*60*SUM($M109:$M109)</f>
        <v>49.433333332417533</v>
      </c>
      <c r="O109" s="7"/>
      <c r="P109" s="7"/>
      <c r="Q109" s="23"/>
      <c r="R109" s="23"/>
      <c r="S109" s="32">
        <f>SUM(U109:U109)/IF(AG109="EC",12,1)</f>
        <v>1</v>
      </c>
      <c r="T109" s="47" t="str">
        <f t="shared" si="29"/>
        <v>NorthBound</v>
      </c>
      <c r="U109" s="167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https://search-rtdc-monitor-bjffxe2xuh6vdkpspy63sjmuny.us-east-1.es.amazonaws.com/_plugin/kibana/#/discover/Steve-Slow-Train-Analysis-(2080s-and-2083s)?_g=(refreshInterval:(display:Off,section:0,value:0),time:(from:'2017-01-10 14:11:47-700',mode:absolute,to:'2017-01-10 17:04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09" s="49" t="str">
        <f t="shared" si="31"/>
        <v>N</v>
      </c>
      <c r="X109" s="173">
        <f t="shared" si="42"/>
        <v>1</v>
      </c>
      <c r="Y109" s="64">
        <f t="shared" si="32"/>
        <v>4.6600000000000003E-2</v>
      </c>
      <c r="Z109" s="64">
        <f t="shared" si="33"/>
        <v>23.325700000000001</v>
      </c>
      <c r="AA109" s="64">
        <f t="shared" si="34"/>
        <v>23.2791</v>
      </c>
      <c r="AB109" s="61" t="e">
        <f>VLOOKUP(A109,Enforcements!$C$7:$K$17,8,0)</f>
        <v>#N/A</v>
      </c>
      <c r="AC109" s="57" t="e">
        <f>VLOOKUP(A109,Enforcements!$C$7:$E$17,3,0)</f>
        <v>#N/A</v>
      </c>
      <c r="AD109" s="58" t="str">
        <f t="shared" si="35"/>
        <v>0193-10</v>
      </c>
      <c r="AE109" s="87" t="str">
        <f t="shared" si="36"/>
        <v>aws s3 cp s3://rtdc.mdm.uploadarchive.raw/RTDC4031/ "%USERPROFILE%\AppData\Local\Temp\OnboardLogs"\RTDC4031\2017-01-10 --exclude "*" --recursive --include "*20170110*" &amp; "%USERPROFILE%\Documents\GitHub\mrs-test-scripts\Headless Mode &amp; Sideloading\WalkAndUnGZ.bat" "%USERPROFILE%\AppData\Local\Temp\OnboardLogs"\RTDC4031\2017-01-10 &amp; aws s3 cp s3://rtdc.mdm.uploadarchive.raw/RTDC4031/ "%USERPROFILE%\AppData\Local\Temp\OnboardLogs"\RTDC4031\2017-01-11 --exclude "*" --recursive --include "*20170111*" &amp; "%USERPROFILE%\Documents\GitHub\mrs-test-scripts\Headless Mode &amp; Sideloading\WalkAndUnGZ.bat" "%USERPROFILE%\AppData\Local\Temp\OnboardLogs"\RTDC4031\2017-01-11</v>
      </c>
      <c r="AF109" s="84" t="str">
        <f t="shared" si="37"/>
        <v>"C:\Program Files (x86)\AstroGrep\AstroGrep.exe" /spath="%USERPROFILE%\AppData\Local\Temp\OnboardLogs" /stypes="app*4031*20170110*" /stext=" 23:.+((SYSTEM_STATE.+slice.+state.+changed )|(ment ac)|(multiple cpu faults)|(system.+state.+changed )|(\[timeout)|(PRM\|1\|D)|(kpr)|(kdp)|(\|lc)|(penalty))" /e /r /s</v>
      </c>
      <c r="AG109" s="1" t="str">
        <f t="shared" si="38"/>
        <v>EC</v>
      </c>
      <c r="AH109" s="88" t="str">
        <f t="shared" si="39"/>
        <v>"%USERPROFILE%\Documents\GitHub\eaglep3\Utilities\RefineRTDCRunTimes.py" --tripid 193-10 --locoid 4031 --swversion DE.1.0.8.0 --startMP 204:466 --initTime 2017-01-10T15:11:47 --startdatetime 2017-01-10T15:15:24 --delay 1 --endMP 204:233257 --enddatetime 2017-01-10T16:04:50 --enforcementcount 0 &gt;&gt;C:\Users\stu\Documents\GitHub\eaglep3-reporting\EC\2017-01-10-refined-times.txt</v>
      </c>
      <c r="AI109" s="115" t="str">
        <f t="shared" si="40"/>
        <v>echo {"issue":{"subject":"","project_id":79,"tracker_id":40,"status_id":1,"priority_id":2,"assigned_to_id":23,"start_date":"2017-01-10","description":"","custom_fields":[{"id":1,"name":"Subdivision","value":"EC"},{"id":4,"name":"Milepost","value":"23.3257"},{"id":17,"name":"Train ID","value":"193-10"},{"id":16,"name":"Locomotive ID","value":"4031"},{"id":130,"name":"Impact","value":""},{"id":150,"name":"Time of Event (Mountain Time)","value":"16:04:50"},{"id":151,"name":"Denver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0"/>
      <c r="AK109" s="50"/>
      <c r="AL109" s="50"/>
      <c r="AM109" s="180" t="str">
        <f t="shared" si="41"/>
        <v>start /low /b %USERPROFILE%\Documents\GitHub\eaglep3\Utilities\DownloadLogsFromS3.py --loco 4031 --day 2017-01-10</v>
      </c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x14ac:dyDescent="0.25">
      <c r="A110" s="34" t="s">
        <v>593</v>
      </c>
      <c r="B110" s="7">
        <v>4032</v>
      </c>
      <c r="C110" s="22" t="s">
        <v>202</v>
      </c>
      <c r="D110" s="22" t="s">
        <v>702</v>
      </c>
      <c r="E110" s="13">
        <v>42745.672696759262</v>
      </c>
      <c r="F110" s="13">
        <v>42745.674502314818</v>
      </c>
      <c r="G110" s="7">
        <v>1</v>
      </c>
      <c r="H110" s="22" t="s">
        <v>703</v>
      </c>
      <c r="I110" s="13">
        <v>42745.704467592594</v>
      </c>
      <c r="J110" s="7">
        <v>0</v>
      </c>
      <c r="K110" s="105" t="str">
        <f t="shared" si="26"/>
        <v>4031/4032</v>
      </c>
      <c r="L110" s="22" t="str">
        <f>VLOOKUP(A110,'Trips&amp;Operators'!$C$1:$G$99999,5,FALSE)</f>
        <v>CLARK KATHLEEN</v>
      </c>
      <c r="M110" s="6">
        <f t="shared" si="27"/>
        <v>2.9965277775772847E-2</v>
      </c>
      <c r="N110" s="7">
        <f>24*60*SUM($M110:$M110)</f>
        <v>43.1499999971129</v>
      </c>
      <c r="O110" s="7"/>
      <c r="P110" s="7"/>
      <c r="Q110" s="23"/>
      <c r="R110" s="23"/>
      <c r="S110" s="32">
        <f>SUM(U110:U110)/IF(AG110="EC",12,1)</f>
        <v>1</v>
      </c>
      <c r="T110" s="47" t="str">
        <f t="shared" si="29"/>
        <v>Southbound</v>
      </c>
      <c r="U110" s="167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https://search-rtdc-monitor-bjffxe2xuh6vdkpspy63sjmuny.us-east-1.es.amazonaws.com/_plugin/kibana/#/discover/Steve-Slow-Train-Analysis-(2080s-and-2083s)?_g=(refreshInterval:(display:Off,section:0,value:0),time:(from:'2017-01-10 15:08:41-700',mode:absolute,to:'2017-01-10 17:54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10" s="49" t="str">
        <f t="shared" si="31"/>
        <v>N</v>
      </c>
      <c r="X110" s="173">
        <f t="shared" si="42"/>
        <v>1</v>
      </c>
      <c r="Y110" s="64">
        <f t="shared" si="32"/>
        <v>23.2943</v>
      </c>
      <c r="Z110" s="64">
        <f t="shared" si="33"/>
        <v>1.6899999999999998E-2</v>
      </c>
      <c r="AA110" s="64">
        <f t="shared" si="34"/>
        <v>23.2774</v>
      </c>
      <c r="AB110" s="61" t="e">
        <f>VLOOKUP(A110,Enforcements!$C$7:$K$17,8,0)</f>
        <v>#N/A</v>
      </c>
      <c r="AC110" s="57" t="e">
        <f>VLOOKUP(A110,Enforcements!$C$7:$E$17,3,0)</f>
        <v>#N/A</v>
      </c>
      <c r="AD110" s="58" t="str">
        <f t="shared" si="35"/>
        <v>0194-10</v>
      </c>
      <c r="AE110" s="87" t="str">
        <f t="shared" si="36"/>
        <v>aws s3 cp s3://rtdc.mdm.uploadarchive.raw/RTDC4032/ "%USERPROFILE%\AppData\Local\Temp\OnboardLogs"\RTDC4032\2017-01-10 --exclude "*" --recursive --include "*20170110*" &amp; "%USERPROFILE%\Documents\GitHub\mrs-test-scripts\Headless Mode &amp; Sideloading\WalkAndUnGZ.bat" "%USERPROFILE%\AppData\Local\Temp\OnboardLogs"\RTDC4032\2017-01-10 &amp; aws s3 cp s3://rtdc.mdm.uploadarchive.raw/RTDC4032/ "%USERPROFILE%\AppData\Local\Temp\OnboardLogs"\RTDC4032\2017-01-11 --exclude "*" --recursive --include "*20170111*" &amp; "%USERPROFILE%\Documents\GitHub\mrs-test-scripts\Headless Mode &amp; Sideloading\WalkAndUnGZ.bat" "%USERPROFILE%\AppData\Local\Temp\OnboardLogs"\RTDC4032\2017-01-11</v>
      </c>
      <c r="AF110" s="84" t="str">
        <f t="shared" si="37"/>
        <v>"C:\Program Files (x86)\AstroGrep\AstroGrep.exe" /spath="%USERPROFILE%\AppData\Local\Temp\OnboardLogs" /stypes="app*4032*20170110*" /stext=" 23:.+((SYSTEM_STATE.+slice.+state.+changed )|(ment ac)|(multiple cpu faults)|(system.+state.+changed )|(\[timeout)|(PRM\|1\|D)|(kpr)|(kdp)|(\|lc)|(penalty))" /e /r /s</v>
      </c>
      <c r="AG110" s="1" t="str">
        <f t="shared" si="38"/>
        <v>EC</v>
      </c>
      <c r="AH110" s="88" t="str">
        <f t="shared" si="39"/>
        <v>"%USERPROFILE%\Documents\GitHub\eaglep3\Utilities\RefineRTDCRunTimes.py" --tripid 194-10 --locoid 4032 --swversion DE.1.0.8.0 --startMP 204:232943 --initTime 2017-01-10T16:08:41 --startdatetime 2017-01-10T16:11:17 --delay 1 --endMP 204:169 --enddatetime 2017-01-10T16:54:26 --enforcementcount 0 &gt;&gt;C:\Users\stu\Documents\GitHub\eaglep3-reporting\EC\2017-01-10-refined-times.txt</v>
      </c>
      <c r="AI110" s="115" t="str">
        <f t="shared" si="40"/>
        <v>echo {"issue":{"subject":"","project_id":79,"tracker_id":40,"status_id":1,"priority_id":2,"assigned_to_id":23,"start_date":"2017-01-10","description":"","custom_fields":[{"id":1,"name":"Subdivision","value":"EC"},{"id":4,"name":"Milepost","value":"0.0169"},{"id":17,"name":"Train ID","value":"194-10"},{"id":16,"name":"Locomotive ID","value":"4032"},{"id":130,"name":"Impact","value":""},{"id":150,"name":"Time of Event (Mountain Time)","value":"16:54:26"},{"id":151,"name":"Denver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0"/>
      <c r="AK110" s="50"/>
      <c r="AL110" s="50"/>
      <c r="AM110" s="180" t="str">
        <f t="shared" si="41"/>
        <v>start /low /b %USERPROFILE%\Documents\GitHub\eaglep3\Utilities\DownloadLogsFromS3.py --loco 4032 --day 2017-01-10</v>
      </c>
    </row>
    <row r="111" spans="1:91" s="21" customFormat="1" x14ac:dyDescent="0.25">
      <c r="A111" s="34" t="s">
        <v>442</v>
      </c>
      <c r="B111" s="7">
        <v>4016</v>
      </c>
      <c r="C111" s="22" t="s">
        <v>202</v>
      </c>
      <c r="D111" s="22" t="s">
        <v>223</v>
      </c>
      <c r="E111" s="13">
        <v>42745.646192129629</v>
      </c>
      <c r="F111" s="13">
        <v>42745.647372685184</v>
      </c>
      <c r="G111" s="7">
        <v>1</v>
      </c>
      <c r="H111" s="22" t="s">
        <v>704</v>
      </c>
      <c r="I111" s="13">
        <v>42745.656539351854</v>
      </c>
      <c r="J111" s="7">
        <v>1</v>
      </c>
      <c r="K111" s="105" t="str">
        <f t="shared" si="26"/>
        <v>4015/4016</v>
      </c>
      <c r="L111" s="22" t="str">
        <f>VLOOKUP(A111,'Trips&amp;Operators'!$C$1:$G$99999,5,FALSE)</f>
        <v>MAHAN DUANE</v>
      </c>
      <c r="M111" s="6">
        <f t="shared" si="27"/>
        <v>9.1666666703531519E-3</v>
      </c>
      <c r="N111" s="7"/>
      <c r="O111" s="7"/>
      <c r="P111" s="7">
        <f>24*60*SUM($M111:$M112)</f>
        <v>39.183333346154541</v>
      </c>
      <c r="Q111" s="23"/>
      <c r="R111" s="23" t="s">
        <v>925</v>
      </c>
      <c r="S111" s="32">
        <f>SUM(U111:U112)/IF(AG111="EC",12,1)</f>
        <v>0.5</v>
      </c>
      <c r="T111" s="47" t="str">
        <f t="shared" si="29"/>
        <v>NorthBound</v>
      </c>
      <c r="U111" s="167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3</v>
      </c>
      <c r="V111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https://search-rtdc-monitor-bjffxe2xuh6vdkpspy63sjmuny.us-east-1.es.amazonaws.com/_plugin/kibana/#/discover/Steve-Slow-Train-Analysis-(2080s-and-2083s)?_g=(refreshInterval:(display:Off,section:0,value:0),time:(from:'2017-01-10 14:30:31-700',mode:absolute,to:'2017-01-10 16:45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11" s="49" t="str">
        <f t="shared" si="31"/>
        <v>Y</v>
      </c>
      <c r="X111" s="173">
        <f t="shared" si="42"/>
        <v>1</v>
      </c>
      <c r="Y111" s="64">
        <f t="shared" si="32"/>
        <v>4.5499999999999999E-2</v>
      </c>
      <c r="Z111" s="64">
        <f t="shared" si="33"/>
        <v>3.8551000000000002</v>
      </c>
      <c r="AA111" s="64">
        <f t="shared" si="34"/>
        <v>3.8096000000000001</v>
      </c>
      <c r="AB111" s="61" t="str">
        <f>VLOOKUP(A111,Enforcements!$C$7:$K$17,8,0)</f>
        <v>Signal based authority (5)</v>
      </c>
      <c r="AC111" s="57" t="str">
        <f>VLOOKUP(A111,Enforcements!$C$7:$E$17,3,0)</f>
        <v>SIGNAL</v>
      </c>
      <c r="AD111" s="58" t="str">
        <f t="shared" si="35"/>
        <v>0195-10</v>
      </c>
      <c r="AE111" s="87" t="str">
        <f t="shared" si="36"/>
        <v>aws s3 cp s3://rtdc.mdm.uploadarchive.raw/RTDC4016/ "%USERPROFILE%\AppData\Local\Temp\OnboardLogs"\RTDC4016\2017-01-10 --exclude "*" --recursive --include "*20170110*" &amp; "%USERPROFILE%\Documents\GitHub\mrs-test-scripts\Headless Mode &amp; Sideloading\WalkAndUnGZ.bat" "%USERPROFILE%\AppData\Local\Temp\OnboardLogs"\RTDC4016\2017-01-10 &amp; aws s3 cp s3://rtdc.mdm.uploadarchive.raw/RTDC4016/ "%USERPROFILE%\AppData\Local\Temp\OnboardLogs"\RTDC4016\2017-01-11 --exclude "*" --recursive --include "*20170111*" &amp; "%USERPROFILE%\Documents\GitHub\mrs-test-scripts\Headless Mode &amp; Sideloading\WalkAndUnGZ.bat" "%USERPROFILE%\AppData\Local\Temp\OnboardLogs"\RTDC4016\2017-01-11</v>
      </c>
      <c r="AF111" s="84" t="str">
        <f t="shared" si="37"/>
        <v>"C:\Program Files (x86)\AstroGrep\AstroGrep.exe" /spath="%USERPROFILE%\AppData\Local\Temp\OnboardLogs" /stypes="app*4016*20170110*" /stext=" 22:.+((SYSTEM_STATE.+slice.+state.+changed )|(ment ac)|(multiple cpu faults)|(system.+state.+changed )|(\[timeout)|(PRM\|1\|D)|(kpr)|(kdp)|(\|lc)|(penalty))" /e /r /s</v>
      </c>
      <c r="AG111" s="1" t="str">
        <f t="shared" si="38"/>
        <v>EC</v>
      </c>
      <c r="AH111" s="88" t="str">
        <f t="shared" si="39"/>
        <v>"%USERPROFILE%\Documents\GitHub\eaglep3\Utilities\RefineRTDCRunTimes.py" --tripid 195-10 --locoid 4016 --swversion DE.1.0.8.0 --startMP 204:455 --initTime 2017-01-10T15:30:31 --startdatetime 2017-01-10T15:32:13 --delay 1 --endMP 204:38551 --enddatetime 2017-01-10T15:45:25 --enforcementcount 1 &gt;&gt;C:\Users\stu\Documents\GitHub\eaglep3-reporting\EC\2017-01-10-refined-times.txt</v>
      </c>
      <c r="AI111" s="115" t="str">
        <f t="shared" si="40"/>
        <v>echo {"issue":{"subject":"EC0386RH offline due to maintenance to mitigate crossing gate / OCS contact @ Dahlia","project_id":79,"tracker_id":40,"status_id":1,"priority_id":2,"assigned_to_id":23,"start_date":"2017-01-10","description":"","custom_fields":[{"id":1,"name":"Subdivision","value":"EC"},{"id":4,"name":"Milepost","value":"3.8551"},{"id":17,"name":"Train ID","value":"195-10"},{"id":16,"name":"Locomotive ID","value":"4016"},{"id":130,"name":"Impact","value":""},{"id":150,"name":"Time of Event (Mountain Time)","value":"15:45:25"},{"id":151,"name":"Denver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0"/>
      <c r="AK111" s="50"/>
      <c r="AL111" s="50"/>
      <c r="AM111" s="180" t="str">
        <f t="shared" si="41"/>
        <v>start /low /b %USERPROFILE%\Documents\GitHub\eaglep3\Utilities\DownloadLogsFromS3.py --loco 4016 --day 2017-01-10</v>
      </c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4" t="s">
        <v>442</v>
      </c>
      <c r="B112" s="7">
        <v>4016</v>
      </c>
      <c r="C112" s="22" t="s">
        <v>202</v>
      </c>
      <c r="D112" s="22" t="s">
        <v>705</v>
      </c>
      <c r="E112" s="13">
        <v>42745.661157407405</v>
      </c>
      <c r="F112" s="13">
        <v>42745.661932870367</v>
      </c>
      <c r="G112" s="7">
        <v>1</v>
      </c>
      <c r="H112" s="22" t="s">
        <v>706</v>
      </c>
      <c r="I112" s="13">
        <v>42745.679976851854</v>
      </c>
      <c r="J112" s="7">
        <v>0</v>
      </c>
      <c r="K112" s="105" t="str">
        <f t="shared" si="26"/>
        <v>4015/4016</v>
      </c>
      <c r="L112" s="22" t="str">
        <f>VLOOKUP(A112,'Trips&amp;Operators'!$C$1:$G$99999,5,FALSE)</f>
        <v>MAHAN DUANE</v>
      </c>
      <c r="M112" s="6">
        <f t="shared" si="27"/>
        <v>1.8043981486698613E-2</v>
      </c>
      <c r="N112" s="7"/>
      <c r="O112" s="7"/>
      <c r="P112" s="7"/>
      <c r="Q112" s="23"/>
      <c r="R112" s="23"/>
      <c r="S112" s="32"/>
      <c r="T112" s="47" t="str">
        <f t="shared" si="29"/>
        <v>NorthBound</v>
      </c>
      <c r="U112" s="167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3</v>
      </c>
      <c r="V112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https://search-rtdc-monitor-bjffxe2xuh6vdkpspy63sjmuny.us-east-1.es.amazonaws.com/_plugin/kibana/#/discover/Steve-Slow-Train-Analysis-(2080s-and-2083s)?_g=(refreshInterval:(display:Off,section:0,value:0),time:(from:'2017-01-10 14:52:04-700',mode:absolute,to:'2017-01-10 17:19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12" s="49" t="str">
        <f t="shared" si="31"/>
        <v>Y</v>
      </c>
      <c r="X112" s="173">
        <f t="shared" si="42"/>
        <v>0</v>
      </c>
      <c r="Y112" s="64">
        <f t="shared" si="32"/>
        <v>6.4679000000000002</v>
      </c>
      <c r="Z112" s="64">
        <f t="shared" si="33"/>
        <v>23.3291</v>
      </c>
      <c r="AA112" s="64">
        <f t="shared" si="34"/>
        <v>16.8612</v>
      </c>
      <c r="AB112" s="61" t="str">
        <f>VLOOKUP(A112,Enforcements!$C$7:$K$17,8,0)</f>
        <v>Signal based authority (5)</v>
      </c>
      <c r="AC112" s="57" t="str">
        <f>VLOOKUP(A112,Enforcements!$C$7:$E$17,3,0)</f>
        <v>SIGNAL</v>
      </c>
      <c r="AD112" s="58" t="str">
        <f t="shared" si="35"/>
        <v>0195-10</v>
      </c>
      <c r="AE112" s="87" t="str">
        <f t="shared" si="36"/>
        <v>aws s3 cp s3://rtdc.mdm.uploadarchive.raw/RTDC4016/ "%USERPROFILE%\AppData\Local\Temp\OnboardLogs"\RTDC4016\2017-01-10 --exclude "*" --recursive --include "*20170110*" &amp; "%USERPROFILE%\Documents\GitHub\mrs-test-scripts\Headless Mode &amp; Sideloading\WalkAndUnGZ.bat" "%USERPROFILE%\AppData\Local\Temp\OnboardLogs"\RTDC4016\2017-01-10 &amp; aws s3 cp s3://rtdc.mdm.uploadarchive.raw/RTDC4016/ "%USERPROFILE%\AppData\Local\Temp\OnboardLogs"\RTDC4016\2017-01-11 --exclude "*" --recursive --include "*20170111*" &amp; "%USERPROFILE%\Documents\GitHub\mrs-test-scripts\Headless Mode &amp; Sideloading\WalkAndUnGZ.bat" "%USERPROFILE%\AppData\Local\Temp\OnboardLogs"\RTDC4016\2017-01-11</v>
      </c>
      <c r="AF112" s="84" t="str">
        <f t="shared" si="37"/>
        <v>"C:\Program Files (x86)\AstroGrep\AstroGrep.exe" /spath="%USERPROFILE%\AppData\Local\Temp\OnboardLogs" /stypes="app*4016*20170110*" /stext=" 23:.+((SYSTEM_STATE.+slice.+state.+changed )|(ment ac)|(multiple cpu faults)|(system.+state.+changed )|(\[timeout)|(PRM\|1\|D)|(kpr)|(kdp)|(\|lc)|(penalty))" /e /r /s</v>
      </c>
      <c r="AG112" s="1" t="str">
        <f t="shared" si="38"/>
        <v>EC</v>
      </c>
      <c r="AH112" s="88" t="str">
        <f t="shared" si="39"/>
        <v>"%USERPROFILE%\Documents\GitHub\eaglep3\Utilities\RefineRTDCRunTimes.py" --tripid 195-10 --locoid 4016 --swversion DE.1.0.8.0 --startMP 204:64679 --initTime 2017-01-10T15:52:04 --startdatetime 2017-01-10T15:53:11 --delay 1 --endMP 204:233291 --enddatetime 2017-01-10T16:19:10 --enforcementcount 0 &gt;&gt;C:\Users\stu\Documents\GitHub\eaglep3-reporting\EC\2017-01-10-refined-times.txt</v>
      </c>
      <c r="AI112" s="115" t="str">
        <f t="shared" si="40"/>
        <v>echo {"issue":{"subject":"","project_id":79,"tracker_id":40,"status_id":1,"priority_id":2,"assigned_to_id":23,"start_date":"2017-01-10","description":"","custom_fields":[{"id":1,"name":"Subdivision","value":"EC"},{"id":4,"name":"Milepost","value":"23.3291"},{"id":17,"name":"Train ID","value":"195-10"},{"id":16,"name":"Locomotive ID","value":"4016"},{"id":130,"name":"Impact","value":""},{"id":150,"name":"Time of Event (Mountain Time)","value":"16:19:10"},{"id":151,"name":"Denver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0"/>
      <c r="AK112" s="50"/>
      <c r="AL112" s="50"/>
      <c r="AM112" s="180" t="str">
        <f t="shared" si="41"/>
        <v>start /low /b %USERPROFILE%\Documents\GitHub\eaglep3\Utilities\DownloadLogsFromS3.py --loco 4016 --day 2017-01-10</v>
      </c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4" t="s">
        <v>598</v>
      </c>
      <c r="B113" s="7">
        <v>4015</v>
      </c>
      <c r="C113" s="22" t="s">
        <v>202</v>
      </c>
      <c r="D113" s="22" t="s">
        <v>291</v>
      </c>
      <c r="E113" s="13">
        <v>42745.68204861111</v>
      </c>
      <c r="F113" s="13">
        <v>42745.685057870367</v>
      </c>
      <c r="G113" s="7">
        <v>1</v>
      </c>
      <c r="H113" s="22" t="s">
        <v>191</v>
      </c>
      <c r="I113" s="13">
        <v>42745.714398148149</v>
      </c>
      <c r="J113" s="7">
        <v>0</v>
      </c>
      <c r="K113" s="105" t="str">
        <f t="shared" si="26"/>
        <v>4015/4016</v>
      </c>
      <c r="L113" s="22" t="str">
        <f>VLOOKUP(A113,'Trips&amp;Operators'!$C$1:$G$99999,5,FALSE)</f>
        <v>MAHAN DUANE</v>
      </c>
      <c r="M113" s="6">
        <f t="shared" si="27"/>
        <v>2.9340277782466728E-2</v>
      </c>
      <c r="N113" s="7">
        <f>24*60*SUM($M113:$M113)</f>
        <v>42.250000006752089</v>
      </c>
      <c r="O113" s="7"/>
      <c r="P113" s="7"/>
      <c r="Q113" s="23"/>
      <c r="R113" s="23"/>
      <c r="S113" s="32">
        <f>SUM(U113:U113)/IF(AG113="EC",12,1)</f>
        <v>1</v>
      </c>
      <c r="T113" s="47" t="str">
        <f t="shared" si="29"/>
        <v>Southbound</v>
      </c>
      <c r="U113" s="167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https://search-rtdc-monitor-bjffxe2xuh6vdkpspy63sjmuny.us-east-1.es.amazonaws.com/_plugin/kibana/#/discover/Steve-Slow-Train-Analysis-(2080s-and-2083s)?_g=(refreshInterval:(display:Off,section:0,value:0),time:(from:'2017-01-10 15:22:09-700',mode:absolute,to:'2017-01-10 18:08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13" s="49" t="str">
        <f t="shared" si="31"/>
        <v>N</v>
      </c>
      <c r="X113" s="173">
        <f t="shared" si="42"/>
        <v>1</v>
      </c>
      <c r="Y113" s="64">
        <f t="shared" si="32"/>
        <v>23.298300000000001</v>
      </c>
      <c r="Z113" s="64">
        <f t="shared" si="33"/>
        <v>1.49E-2</v>
      </c>
      <c r="AA113" s="64">
        <f t="shared" si="34"/>
        <v>23.2834</v>
      </c>
      <c r="AB113" s="61" t="e">
        <f>VLOOKUP(A113,Enforcements!$C$7:$K$17,8,0)</f>
        <v>#N/A</v>
      </c>
      <c r="AC113" s="57" t="e">
        <f>VLOOKUP(A113,Enforcements!$C$7:$E$17,3,0)</f>
        <v>#N/A</v>
      </c>
      <c r="AD113" s="58" t="str">
        <f t="shared" si="35"/>
        <v>0196-10</v>
      </c>
      <c r="AE113" s="87" t="str">
        <f t="shared" si="36"/>
        <v>aws s3 cp s3://rtdc.mdm.uploadarchive.raw/RTDC4015/ "%USERPROFILE%\AppData\Local\Temp\OnboardLogs"\RTDC4015\2017-01-10 --exclude "*" --recursive --include "*20170110*" &amp; "%USERPROFILE%\Documents\GitHub\mrs-test-scripts\Headless Mode &amp; Sideloading\WalkAndUnGZ.bat" "%USERPROFILE%\AppData\Local\Temp\OnboardLogs"\RTDC4015\2017-01-10 &amp; aws s3 cp s3://rtdc.mdm.uploadarchive.raw/RTDC4015/ "%USERPROFILE%\AppData\Local\Temp\OnboardLogs"\RTDC4015\2017-01-11 --exclude "*" --recursive --include "*20170111*" &amp; "%USERPROFILE%\Documents\GitHub\mrs-test-scripts\Headless Mode &amp; Sideloading\WalkAndUnGZ.bat" "%USERPROFILE%\AppData\Local\Temp\OnboardLogs"\RTDC4015\2017-01-11</v>
      </c>
      <c r="AF113" s="84" t="str">
        <f t="shared" si="37"/>
        <v>"C:\Program Files (x86)\AstroGrep\AstroGrep.exe" /spath="%USERPROFILE%\AppData\Local\Temp\OnboardLogs" /stypes="app*4015*20170111*" /stext=" 00:.+((SYSTEM_STATE.+slice.+state.+changed )|(ment ac)|(multiple cpu faults)|(system.+state.+changed )|(\[timeout)|(PRM\|1\|D)|(kpr)|(kdp)|(\|lc)|(penalty))" /e /r /s</v>
      </c>
      <c r="AG113" s="1" t="str">
        <f t="shared" si="38"/>
        <v>EC</v>
      </c>
      <c r="AH113" s="88" t="str">
        <f t="shared" si="39"/>
        <v>"%USERPROFILE%\Documents\GitHub\eaglep3\Utilities\RefineRTDCRunTimes.py" --tripid 196-10 --locoid 4015 --swversion DE.1.0.8.0 --startMP 204:232983 --initTime 2017-01-10T16:22:09 --startdatetime 2017-01-10T16:26:29 --delay 1 --endMP 204:149 --enddatetime 2017-01-10T17:08:44 --enforcementcount 0 &gt;&gt;C:\Users\stu\Documents\GitHub\eaglep3-reporting\EC\2017-01-10-refined-times.txt</v>
      </c>
      <c r="AI113" s="115" t="str">
        <f t="shared" si="40"/>
        <v>echo {"issue":{"subject":"","project_id":79,"tracker_id":40,"status_id":1,"priority_id":2,"assigned_to_id":23,"start_date":"2017-01-10","description":"","custom_fields":[{"id":1,"name":"Subdivision","value":"EC"},{"id":4,"name":"Milepost","value":"0.0149"},{"id":17,"name":"Train ID","value":"196-10"},{"id":16,"name":"Locomotive ID","value":"4015"},{"id":130,"name":"Impact","value":""},{"id":150,"name":"Time of Event (Mountain Time)","value":"17:08:44"},{"id":151,"name":"Denver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0"/>
      <c r="AK113" s="50"/>
      <c r="AL113" s="50"/>
      <c r="AM113" s="180" t="str">
        <f t="shared" si="41"/>
        <v>start /low /b %USERPROFILE%\Documents\GitHub\eaglep3\Utilities\DownloadLogsFromS3.py --loco 4015 --day 2017-01-10</v>
      </c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4" t="s">
        <v>443</v>
      </c>
      <c r="B114" s="7">
        <v>4007</v>
      </c>
      <c r="C114" s="22" t="s">
        <v>202</v>
      </c>
      <c r="D114" s="22" t="s">
        <v>707</v>
      </c>
      <c r="E114" s="13">
        <v>42745.65556712963</v>
      </c>
      <c r="F114" s="13">
        <v>42745.656273148146</v>
      </c>
      <c r="G114" s="7">
        <v>1</v>
      </c>
      <c r="H114" s="22" t="s">
        <v>708</v>
      </c>
      <c r="I114" s="13">
        <v>42745.660590277781</v>
      </c>
      <c r="J114" s="7">
        <v>0</v>
      </c>
      <c r="K114" s="105" t="str">
        <f t="shared" si="26"/>
        <v>4007/4008</v>
      </c>
      <c r="L114" s="22" t="str">
        <f>VLOOKUP(A114,'Trips&amp;Operators'!$C$1:$G$99999,5,FALSE)</f>
        <v>ADANE ELSHADAY</v>
      </c>
      <c r="M114" s="6">
        <f t="shared" si="27"/>
        <v>4.3171296347281896E-3</v>
      </c>
      <c r="N114" s="7"/>
      <c r="O114" s="7"/>
      <c r="P114" s="7">
        <f>24*60*SUM($M114:$M115)</f>
        <v>31.383333335397765</v>
      </c>
      <c r="Q114" s="23"/>
      <c r="R114" s="23" t="s">
        <v>925</v>
      </c>
      <c r="S114" s="32">
        <f>SUM(U114:U115)/IF(AG114="EC",12,1)</f>
        <v>0.25</v>
      </c>
      <c r="T114" s="47" t="str">
        <f t="shared" si="29"/>
        <v>NorthBound</v>
      </c>
      <c r="U114" s="167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0</v>
      </c>
      <c r="V114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https://search-rtdc-monitor-bjffxe2xuh6vdkpspy63sjmuny.us-east-1.es.amazonaws.com/_plugin/kibana/#/discover/Steve-Slow-Train-Analysis-(2080s-and-2083s)?_g=(refreshInterval:(display:Off,section:0,value:0),time:(from:'2017-01-10 14:44:01-700',mode:absolute,to:'2017-01-10 16:51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14" s="49" t="str">
        <f t="shared" si="31"/>
        <v>Y</v>
      </c>
      <c r="X114" s="173">
        <f t="shared" si="42"/>
        <v>1</v>
      </c>
      <c r="Y114" s="64">
        <f t="shared" si="32"/>
        <v>6.4199999999999993E-2</v>
      </c>
      <c r="Z114" s="64">
        <f t="shared" si="33"/>
        <v>1.9148000000000001</v>
      </c>
      <c r="AA114" s="64">
        <f t="shared" si="34"/>
        <v>1.8506</v>
      </c>
      <c r="AB114" s="61" t="e">
        <f>VLOOKUP(A114,Enforcements!$C$7:$K$17,8,0)</f>
        <v>#N/A</v>
      </c>
      <c r="AC114" s="57" t="e">
        <f>VLOOKUP(A114,Enforcements!$C$7:$E$17,3,0)</f>
        <v>#N/A</v>
      </c>
      <c r="AD114" s="58" t="str">
        <f t="shared" si="35"/>
        <v>0197-10</v>
      </c>
      <c r="AE114" s="87" t="str">
        <f t="shared" si="36"/>
        <v>aws s3 cp s3://rtdc.mdm.uploadarchive.raw/RTDC4007/ "%USERPROFILE%\AppData\Local\Temp\OnboardLogs"\RTDC4007\2017-01-10 --exclude "*" --recursive --include "*20170110*" &amp; "%USERPROFILE%\Documents\GitHub\mrs-test-scripts\Headless Mode &amp; Sideloading\WalkAndUnGZ.bat" "%USERPROFILE%\AppData\Local\Temp\OnboardLogs"\RTDC4007\2017-01-10 &amp; aws s3 cp s3://rtdc.mdm.uploadarchive.raw/RTDC4007/ "%USERPROFILE%\AppData\Local\Temp\OnboardLogs"\RTDC4007\2017-01-11 --exclude "*" --recursive --include "*20170111*" &amp; "%USERPROFILE%\Documents\GitHub\mrs-test-scripts\Headless Mode &amp; Sideloading\WalkAndUnGZ.bat" "%USERPROFILE%\AppData\Local\Temp\OnboardLogs"\RTDC4007\2017-01-11</v>
      </c>
      <c r="AF114" s="84" t="str">
        <f t="shared" si="37"/>
        <v>"C:\Program Files (x86)\AstroGrep\AstroGrep.exe" /spath="%USERPROFILE%\AppData\Local\Temp\OnboardLogs" /stypes="app*4007*20170110*" /stext=" 22:.+((SYSTEM_STATE.+slice.+state.+changed )|(ment ac)|(multiple cpu faults)|(system.+state.+changed )|(\[timeout)|(PRM\|1\|D)|(kpr)|(kdp)|(\|lc)|(penalty))" /e /r /s</v>
      </c>
      <c r="AG114" s="1" t="str">
        <f t="shared" si="38"/>
        <v>EC</v>
      </c>
      <c r="AH114" s="88" t="str">
        <f t="shared" si="39"/>
        <v>"%USERPROFILE%\Documents\GitHub\eaglep3\Utilities\RefineRTDCRunTimes.py" --tripid 197-10 --locoid 4007 --swversion DE.1.0.8.0 --startMP 204:642 --initTime 2017-01-10T15:44:01 --startdatetime 2017-01-10T15:45:02 --delay 1 --endMP 204:19148 --enddatetime 2017-01-10T15:51:15 --enforcementcount 0 &gt;&gt;C:\Users\stu\Documents\GitHub\eaglep3-reporting\EC\2017-01-10-refined-times.txt</v>
      </c>
      <c r="AI114" s="115" t="str">
        <f t="shared" si="40"/>
        <v>echo {"issue":{"subject":"EC0386RH offline due to maintenance to mitigate crossing gate / OCS contact @ Dahlia","project_id":79,"tracker_id":40,"status_id":1,"priority_id":2,"assigned_to_id":23,"start_date":"2017-01-10","description":"","custom_fields":[{"id":1,"name":"Subdivision","value":"EC"},{"id":4,"name":"Milepost","value":"1.9148"},{"id":17,"name":"Train ID","value":"197-10"},{"id":16,"name":"Locomotive ID","value":"4007"},{"id":130,"name":"Impact","value":""},{"id":150,"name":"Time of Event (Mountain Time)","value":"15:51:15"},{"id":151,"name":"Denver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0"/>
      <c r="AK114" s="50"/>
      <c r="AL114" s="50"/>
      <c r="AM114" s="180" t="str">
        <f t="shared" si="41"/>
        <v>start /low /b %USERPROFILE%\Documents\GitHub\eaglep3\Utilities\DownloadLogsFromS3.py --loco 4007 --day 2017-01-10</v>
      </c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4" t="s">
        <v>443</v>
      </c>
      <c r="B115" s="7">
        <v>4007</v>
      </c>
      <c r="C115" s="22" t="s">
        <v>202</v>
      </c>
      <c r="D115" s="22" t="s">
        <v>709</v>
      </c>
      <c r="E115" s="13">
        <v>42745.671180555553</v>
      </c>
      <c r="F115" s="13">
        <v>42745.671782407408</v>
      </c>
      <c r="G115" s="7">
        <v>0</v>
      </c>
      <c r="H115" s="22" t="s">
        <v>342</v>
      </c>
      <c r="I115" s="13">
        <v>42745.689259259256</v>
      </c>
      <c r="J115" s="7">
        <v>2</v>
      </c>
      <c r="K115" s="105" t="str">
        <f t="shared" si="26"/>
        <v>4007/4008</v>
      </c>
      <c r="L115" s="22" t="str">
        <f>VLOOKUP(A115,'Trips&amp;Operators'!$C$1:$G$99999,5,FALSE)</f>
        <v>ADANE ELSHADAY</v>
      </c>
      <c r="M115" s="6">
        <f t="shared" si="27"/>
        <v>1.7476851848186925E-2</v>
      </c>
      <c r="N115" s="7"/>
      <c r="O115" s="7"/>
      <c r="P115" s="7"/>
      <c r="Q115" s="23"/>
      <c r="R115" s="23"/>
      <c r="S115" s="32"/>
      <c r="T115" s="47" t="str">
        <f t="shared" si="29"/>
        <v>NorthBound</v>
      </c>
      <c r="U115" s="167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3</v>
      </c>
      <c r="V115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https://search-rtdc-monitor-bjffxe2xuh6vdkpspy63sjmuny.us-east-1.es.amazonaws.com/_plugin/kibana/#/discover/Steve-Slow-Train-Analysis-(2080s-and-2083s)?_g=(refreshInterval:(display:Off,section:0,value:0),time:(from:'2017-01-10 15:06:30-700',mode:absolute,to:'2017-01-10 17:32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15" s="49" t="str">
        <f t="shared" si="31"/>
        <v>Y</v>
      </c>
      <c r="X115" s="173">
        <f t="shared" si="42"/>
        <v>0</v>
      </c>
      <c r="Y115" s="64">
        <f t="shared" si="32"/>
        <v>6.4687999999999999</v>
      </c>
      <c r="Z115" s="64">
        <f t="shared" si="33"/>
        <v>23.331900000000001</v>
      </c>
      <c r="AA115" s="64">
        <f t="shared" si="34"/>
        <v>16.863100000000003</v>
      </c>
      <c r="AB115" s="61" t="e">
        <f>VLOOKUP(A115,Enforcements!$C$7:$K$17,8,0)</f>
        <v>#N/A</v>
      </c>
      <c r="AC115" s="57" t="e">
        <f>VLOOKUP(A115,Enforcements!$C$7:$E$17,3,0)</f>
        <v>#N/A</v>
      </c>
      <c r="AD115" s="58" t="str">
        <f t="shared" si="35"/>
        <v>0197-10</v>
      </c>
      <c r="AE115" s="87" t="str">
        <f t="shared" si="36"/>
        <v>aws s3 cp s3://rtdc.mdm.uploadarchive.raw/RTDC4007/ "%USERPROFILE%\AppData\Local\Temp\OnboardLogs"\RTDC4007\2017-01-10 --exclude "*" --recursive --include "*20170110*" &amp; "%USERPROFILE%\Documents\GitHub\mrs-test-scripts\Headless Mode &amp; Sideloading\WalkAndUnGZ.bat" "%USERPROFILE%\AppData\Local\Temp\OnboardLogs"\RTDC4007\2017-01-10 &amp; aws s3 cp s3://rtdc.mdm.uploadarchive.raw/RTDC4007/ "%USERPROFILE%\AppData\Local\Temp\OnboardLogs"\RTDC4007\2017-01-11 --exclude "*" --recursive --include "*20170111*" &amp; "%USERPROFILE%\Documents\GitHub\mrs-test-scripts\Headless Mode &amp; Sideloading\WalkAndUnGZ.bat" "%USERPROFILE%\AppData\Local\Temp\OnboardLogs"\RTDC4007\2017-01-11</v>
      </c>
      <c r="AF115" s="84" t="str">
        <f t="shared" si="37"/>
        <v>"C:\Program Files (x86)\AstroGrep\AstroGrep.exe" /spath="%USERPROFILE%\AppData\Local\Temp\OnboardLogs" /stypes="app*4007*20170110*" /stext=" 23:.+((SYSTEM_STATE.+slice.+state.+changed )|(ment ac)|(multiple cpu faults)|(system.+state.+changed )|(\[timeout)|(PRM\|1\|D)|(kpr)|(kdp)|(\|lc)|(penalty))" /e /r /s</v>
      </c>
      <c r="AG115" s="1" t="str">
        <f t="shared" si="38"/>
        <v>EC</v>
      </c>
      <c r="AH115" s="88" t="str">
        <f t="shared" si="39"/>
        <v>"%USERPROFILE%\Documents\GitHub\eaglep3\Utilities\RefineRTDCRunTimes.py" --tripid 197-10 --locoid 4007 --swversion DE.1.0.8.0 --startMP 204:64688 --initTime 2017-01-10T16:06:30 --startdatetime 2017-01-10T16:07:22 --delay 0 --endMP 204:233319 --enddatetime 2017-01-10T16:32:32 --enforcementcount 2 &gt;&gt;C:\Users\stu\Documents\GitHub\eaglep3-reporting\EC\2017-01-10-refined-times.txt</v>
      </c>
      <c r="AI115" s="115" t="str">
        <f t="shared" si="40"/>
        <v>echo {"issue":{"subject":"","project_id":79,"tracker_id":40,"status_id":1,"priority_id":2,"assigned_to_id":23,"start_date":"2017-01-10","description":"","custom_fields":[{"id":1,"name":"Subdivision","value":"EC"},{"id":4,"name":"Milepost","value":"23.3319"},{"id":17,"name":"Train ID","value":"197-10"},{"id":16,"name":"Locomotive ID","value":"4007"},{"id":130,"name":"Impact","value":""},{"id":150,"name":"Time of Event (Mountain Time)","value":"16:32:32"},{"id":151,"name":"Denver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0"/>
      <c r="AK115" s="50"/>
      <c r="AL115" s="50"/>
      <c r="AM115" s="180" t="str">
        <f t="shared" si="41"/>
        <v>start /low /b %USERPROFILE%\Documents\GitHub\eaglep3\Utilities\DownloadLogsFromS3.py --loco 4007 --day 2017-01-10</v>
      </c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4" t="s">
        <v>600</v>
      </c>
      <c r="B116" s="7">
        <v>4008</v>
      </c>
      <c r="C116" s="22" t="s">
        <v>202</v>
      </c>
      <c r="D116" s="22" t="s">
        <v>710</v>
      </c>
      <c r="E116" s="13">
        <v>42745.695324074077</v>
      </c>
      <c r="F116" s="13">
        <v>42745.696875000001</v>
      </c>
      <c r="G116" s="7">
        <v>1</v>
      </c>
      <c r="H116" s="22" t="s">
        <v>191</v>
      </c>
      <c r="I116" s="13">
        <v>42745.723541666666</v>
      </c>
      <c r="J116" s="7">
        <v>0</v>
      </c>
      <c r="K116" s="105" t="str">
        <f t="shared" si="26"/>
        <v>4007/4008</v>
      </c>
      <c r="L116" s="22" t="str">
        <f>VLOOKUP(A116,'Trips&amp;Operators'!$C$1:$G$99999,5,FALSE)</f>
        <v>ADANE ELSHADAY</v>
      </c>
      <c r="M116" s="6">
        <f t="shared" si="27"/>
        <v>2.6666666664823424E-2</v>
      </c>
      <c r="N116" s="7">
        <f>24*60*SUM($M116:$M116)</f>
        <v>38.399999997345731</v>
      </c>
      <c r="O116" s="7"/>
      <c r="P116" s="7"/>
      <c r="Q116" s="23"/>
      <c r="R116" s="23"/>
      <c r="S116" s="32">
        <f>SUM(U116:U116)/IF(AG116="EC",12,1)</f>
        <v>1</v>
      </c>
      <c r="T116" s="47" t="str">
        <f t="shared" si="29"/>
        <v>Southbound</v>
      </c>
      <c r="U116" s="167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https://search-rtdc-monitor-bjffxe2xuh6vdkpspy63sjmuny.us-east-1.es.amazonaws.com/_plugin/kibana/#/discover/Steve-Slow-Train-Analysis-(2080s-and-2083s)?_g=(refreshInterval:(display:Off,section:0,value:0),time:(from:'2017-01-10 15:41:16-700',mode:absolute,to:'2017-01-10 18:21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16" s="49" t="str">
        <f t="shared" si="31"/>
        <v>N</v>
      </c>
      <c r="X116" s="173">
        <f t="shared" si="42"/>
        <v>1</v>
      </c>
      <c r="Y116" s="64">
        <f t="shared" si="32"/>
        <v>23.301300000000001</v>
      </c>
      <c r="Z116" s="64">
        <f t="shared" si="33"/>
        <v>1.49E-2</v>
      </c>
      <c r="AA116" s="64">
        <f t="shared" si="34"/>
        <v>23.2864</v>
      </c>
      <c r="AB116" s="61" t="e">
        <f>VLOOKUP(A116,Enforcements!$C$7:$K$17,8,0)</f>
        <v>#N/A</v>
      </c>
      <c r="AC116" s="57" t="e">
        <f>VLOOKUP(A116,Enforcements!$C$7:$E$17,3,0)</f>
        <v>#N/A</v>
      </c>
      <c r="AD116" s="58" t="str">
        <f t="shared" si="35"/>
        <v>0198-10</v>
      </c>
      <c r="AE116" s="87" t="str">
        <f t="shared" si="36"/>
        <v>aws s3 cp s3://rtdc.mdm.uploadarchive.raw/RTDC4008/ "%USERPROFILE%\AppData\Local\Temp\OnboardLogs"\RTDC4008\2017-01-10 --exclude "*" --recursive --include "*20170110*" &amp; "%USERPROFILE%\Documents\GitHub\mrs-test-scripts\Headless Mode &amp; Sideloading\WalkAndUnGZ.bat" "%USERPROFILE%\AppData\Local\Temp\OnboardLogs"\RTDC4008\2017-01-10 &amp; aws s3 cp s3://rtdc.mdm.uploadarchive.raw/RTDC4008/ "%USERPROFILE%\AppData\Local\Temp\OnboardLogs"\RTDC4008\2017-01-11 --exclude "*" --recursive --include "*20170111*" &amp; "%USERPROFILE%\Documents\GitHub\mrs-test-scripts\Headless Mode &amp; Sideloading\WalkAndUnGZ.bat" "%USERPROFILE%\AppData\Local\Temp\OnboardLogs"\RTDC4008\2017-01-11</v>
      </c>
      <c r="AF116" s="84" t="str">
        <f t="shared" si="37"/>
        <v>"C:\Program Files (x86)\AstroGrep\AstroGrep.exe" /spath="%USERPROFILE%\AppData\Local\Temp\OnboardLogs" /stypes="app*4008*20170111*" /stext=" 00:.+((SYSTEM_STATE.+slice.+state.+changed )|(ment ac)|(multiple cpu faults)|(system.+state.+changed )|(\[timeout)|(PRM\|1\|D)|(kpr)|(kdp)|(\|lc)|(penalty))" /e /r /s</v>
      </c>
      <c r="AG116" s="1" t="str">
        <f t="shared" si="38"/>
        <v>EC</v>
      </c>
      <c r="AH116" s="88" t="str">
        <f t="shared" si="39"/>
        <v>"%USERPROFILE%\Documents\GitHub\eaglep3\Utilities\RefineRTDCRunTimes.py" --tripid 198-10 --locoid 4008 --swversion DE.1.0.8.0 --startMP 204:233013 --initTime 2017-01-10T16:41:16 --startdatetime 2017-01-10T16:43:30 --delay 1 --endMP 204:149 --enddatetime 2017-01-10T17:21:54 --enforcementcount 0 &gt;&gt;C:\Users\stu\Documents\GitHub\eaglep3-reporting\EC\2017-01-10-refined-times.txt</v>
      </c>
      <c r="AI116" s="115" t="str">
        <f t="shared" si="40"/>
        <v>echo {"issue":{"subject":"","project_id":79,"tracker_id":40,"status_id":1,"priority_id":2,"assigned_to_id":23,"start_date":"2017-01-10","description":"","custom_fields":[{"id":1,"name":"Subdivision","value":"EC"},{"id":4,"name":"Milepost","value":"0.0149"},{"id":17,"name":"Train ID","value":"198-10"},{"id":16,"name":"Locomotive ID","value":"4008"},{"id":130,"name":"Impact","value":""},{"id":150,"name":"Time of Event (Mountain Time)","value":"17:21:54"},{"id":151,"name":"Denver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0"/>
      <c r="AK116" s="50"/>
      <c r="AL116" s="50"/>
      <c r="AM116" s="180" t="str">
        <f t="shared" si="41"/>
        <v>start /low /b %USERPROFILE%\Documents\GitHub\eaglep3\Utilities\DownloadLogsFromS3.py --loco 4008 --day 2017-01-10</v>
      </c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4" t="s">
        <v>591</v>
      </c>
      <c r="B117" s="7">
        <v>4018</v>
      </c>
      <c r="C117" s="22" t="s">
        <v>202</v>
      </c>
      <c r="D117" s="22" t="s">
        <v>711</v>
      </c>
      <c r="E117" s="13">
        <v>42745.666863425926</v>
      </c>
      <c r="F117" s="13">
        <v>42745.668032407404</v>
      </c>
      <c r="G117" s="7">
        <v>1</v>
      </c>
      <c r="H117" s="22" t="s">
        <v>712</v>
      </c>
      <c r="I117" s="13">
        <v>42745.678067129629</v>
      </c>
      <c r="J117" s="7">
        <v>0</v>
      </c>
      <c r="K117" s="105" t="str">
        <f t="shared" si="26"/>
        <v>4017/4018</v>
      </c>
      <c r="L117" s="22" t="str">
        <f>VLOOKUP(A117,'Trips&amp;Operators'!$C$1:$G$99999,5,FALSE)</f>
        <v>HAITHCOX MICHAEL</v>
      </c>
      <c r="M117" s="6">
        <f t="shared" si="27"/>
        <v>1.0034722225100268E-2</v>
      </c>
      <c r="N117" s="7"/>
      <c r="O117" s="7"/>
      <c r="P117" s="7">
        <f>24*60*SUM($M117:$M118)</f>
        <v>39.533333344152197</v>
      </c>
      <c r="Q117" s="23"/>
      <c r="R117" s="23" t="s">
        <v>925</v>
      </c>
      <c r="S117" s="32">
        <f>SUM(U117:U118)/IF(AG117="EC",12,1)</f>
        <v>0.5</v>
      </c>
      <c r="T117" s="47" t="str">
        <f t="shared" si="29"/>
        <v>NorthBound</v>
      </c>
      <c r="U117" s="167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3</v>
      </c>
      <c r="V117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https://search-rtdc-monitor-bjffxe2xuh6vdkpspy63sjmuny.us-east-1.es.amazonaws.com/_plugin/kibana/#/discover/Steve-Slow-Train-Analysis-(2080s-and-2083s)?_g=(refreshInterval:(display:Off,section:0,value:0),time:(from:'2017-01-10 15:00:17-700',mode:absolute,to:'2017-01-10 17:16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17" s="49" t="str">
        <f t="shared" si="31"/>
        <v>Y</v>
      </c>
      <c r="X117" s="173">
        <f t="shared" si="42"/>
        <v>1</v>
      </c>
      <c r="Y117" s="64">
        <f t="shared" si="32"/>
        <v>5.11E-2</v>
      </c>
      <c r="Z117" s="64">
        <f t="shared" si="33"/>
        <v>3.8239999999999998</v>
      </c>
      <c r="AA117" s="64">
        <f t="shared" si="34"/>
        <v>3.7728999999999999</v>
      </c>
      <c r="AB117" s="61" t="e">
        <f>VLOOKUP(A117,Enforcements!$C$7:$K$17,8,0)</f>
        <v>#N/A</v>
      </c>
      <c r="AC117" s="57" t="e">
        <f>VLOOKUP(A117,Enforcements!$C$7:$E$17,3,0)</f>
        <v>#N/A</v>
      </c>
      <c r="AD117" s="58" t="str">
        <f t="shared" si="35"/>
        <v>0199-10</v>
      </c>
      <c r="AE117" s="87" t="str">
        <f t="shared" si="36"/>
        <v>aws s3 cp s3://rtdc.mdm.uploadarchive.raw/RTDC4018/ "%USERPROFILE%\AppData\Local\Temp\OnboardLogs"\RTDC4018\2017-01-10 --exclude "*" --recursive --include "*20170110*" &amp; "%USERPROFILE%\Documents\GitHub\mrs-test-scripts\Headless Mode &amp; Sideloading\WalkAndUnGZ.bat" "%USERPROFILE%\AppData\Local\Temp\OnboardLogs"\RTDC4018\2017-01-10 &amp; aws s3 cp s3://rtdc.mdm.uploadarchive.raw/RTDC4018/ "%USERPROFILE%\AppData\Local\Temp\OnboardLogs"\RTDC4018\2017-01-11 --exclude "*" --recursive --include "*20170111*" &amp; "%USERPROFILE%\Documents\GitHub\mrs-test-scripts\Headless Mode &amp; Sideloading\WalkAndUnGZ.bat" "%USERPROFILE%\AppData\Local\Temp\OnboardLogs"\RTDC4018\2017-01-11</v>
      </c>
      <c r="AF117" s="84" t="str">
        <f t="shared" si="37"/>
        <v>"C:\Program Files (x86)\AstroGrep\AstroGrep.exe" /spath="%USERPROFILE%\AppData\Local\Temp\OnboardLogs" /stypes="app*4018*20170110*" /stext=" 23:.+((SYSTEM_STATE.+slice.+state.+changed )|(ment ac)|(multiple cpu faults)|(system.+state.+changed )|(\[timeout)|(PRM\|1\|D)|(kpr)|(kdp)|(\|lc)|(penalty))" /e /r /s</v>
      </c>
      <c r="AG117" s="1" t="str">
        <f t="shared" si="38"/>
        <v>EC</v>
      </c>
      <c r="AH117" s="88" t="str">
        <f t="shared" si="39"/>
        <v>"%USERPROFILE%\Documents\GitHub\eaglep3\Utilities\RefineRTDCRunTimes.py" --tripid 199-10 --locoid 4018 --swversion DE.1.0.8.0 --startMP 204:511 --initTime 2017-01-10T16:00:17 --startdatetime 2017-01-10T16:01:58 --delay 1 --endMP 204:38240 --enddatetime 2017-01-10T16:16:25 --enforcementcount 0 &gt;&gt;C:\Users\stu\Documents\GitHub\eaglep3-reporting\EC\2017-01-10-refined-times.txt</v>
      </c>
      <c r="AI117" s="115" t="str">
        <f t="shared" si="40"/>
        <v>echo {"issue":{"subject":"EC0386RH offline due to maintenance to mitigate crossing gate / OCS contact @ Dahlia","project_id":79,"tracker_id":40,"status_id":1,"priority_id":2,"assigned_to_id":23,"start_date":"2017-01-10","description":"","custom_fields":[{"id":1,"name":"Subdivision","value":"EC"},{"id":4,"name":"Milepost","value":"3.824"},{"id":17,"name":"Train ID","value":"199-10"},{"id":16,"name":"Locomotive ID","value":"4018"},{"id":130,"name":"Impact","value":""},{"id":150,"name":"Time of Event (Mountain Time)","value":"16:16:25"},{"id":151,"name":"Denver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0"/>
      <c r="AK117" s="50"/>
      <c r="AL117" s="50"/>
      <c r="AM117" s="180" t="str">
        <f t="shared" si="41"/>
        <v>start /low /b %USERPROFILE%\Documents\GitHub\eaglep3\Utilities\DownloadLogsFromS3.py --loco 4018 --day 2017-01-10</v>
      </c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4" t="s">
        <v>591</v>
      </c>
      <c r="B118" s="7">
        <v>4018</v>
      </c>
      <c r="C118" s="22" t="s">
        <v>202</v>
      </c>
      <c r="D118" s="22" t="s">
        <v>713</v>
      </c>
      <c r="E118" s="13">
        <v>42745.683240740742</v>
      </c>
      <c r="F118" s="13">
        <v>42745.684004629627</v>
      </c>
      <c r="G118" s="7">
        <v>1</v>
      </c>
      <c r="H118" s="22" t="s">
        <v>687</v>
      </c>
      <c r="I118" s="13">
        <v>42745.701423611114</v>
      </c>
      <c r="J118" s="7">
        <v>0</v>
      </c>
      <c r="K118" s="105" t="str">
        <f t="shared" si="26"/>
        <v>4017/4018</v>
      </c>
      <c r="L118" s="22" t="str">
        <f>VLOOKUP(A118,'Trips&amp;Operators'!$C$1:$G$99999,5,FALSE)</f>
        <v>HAITHCOX MICHAEL</v>
      </c>
      <c r="M118" s="6">
        <f t="shared" si="27"/>
        <v>1.7418981486116536E-2</v>
      </c>
      <c r="N118" s="7"/>
      <c r="O118" s="7"/>
      <c r="P118" s="7"/>
      <c r="Q118" s="23"/>
      <c r="R118" s="23"/>
      <c r="S118" s="32"/>
      <c r="T118" s="47" t="str">
        <f t="shared" si="29"/>
        <v>NorthBound</v>
      </c>
      <c r="U118" s="167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3</v>
      </c>
      <c r="V118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https://search-rtdc-monitor-bjffxe2xuh6vdkpspy63sjmuny.us-east-1.es.amazonaws.com/_plugin/kibana/#/discover/Steve-Slow-Train-Analysis-(2080s-and-2083s)?_g=(refreshInterval:(display:Off,section:0,value:0),time:(from:'2017-01-10 15:23:52-700',mode:absolute,to:'2017-01-10 17:50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18" s="49" t="str">
        <f t="shared" si="31"/>
        <v>Y</v>
      </c>
      <c r="X118" s="173">
        <f t="shared" si="42"/>
        <v>0</v>
      </c>
      <c r="Y118" s="64">
        <f t="shared" si="32"/>
        <v>6.4722</v>
      </c>
      <c r="Z118" s="64">
        <f t="shared" si="33"/>
        <v>23.330200000000001</v>
      </c>
      <c r="AA118" s="64">
        <f t="shared" si="34"/>
        <v>16.858000000000001</v>
      </c>
      <c r="AB118" s="61" t="e">
        <f>VLOOKUP(A118,Enforcements!$C$7:$K$17,8,0)</f>
        <v>#N/A</v>
      </c>
      <c r="AC118" s="57" t="e">
        <f>VLOOKUP(A118,Enforcements!$C$7:$E$17,3,0)</f>
        <v>#N/A</v>
      </c>
      <c r="AD118" s="58" t="str">
        <f t="shared" si="35"/>
        <v>0199-10</v>
      </c>
      <c r="AE118" s="87" t="str">
        <f t="shared" si="36"/>
        <v>aws s3 cp s3://rtdc.mdm.uploadarchive.raw/RTDC4018/ "%USERPROFILE%\AppData\Local\Temp\OnboardLogs"\RTDC4018\2017-01-10 --exclude "*" --recursive --include "*20170110*" &amp; "%USERPROFILE%\Documents\GitHub\mrs-test-scripts\Headless Mode &amp; Sideloading\WalkAndUnGZ.bat" "%USERPROFILE%\AppData\Local\Temp\OnboardLogs"\RTDC4018\2017-01-10 &amp; aws s3 cp s3://rtdc.mdm.uploadarchive.raw/RTDC4018/ "%USERPROFILE%\AppData\Local\Temp\OnboardLogs"\RTDC4018\2017-01-11 --exclude "*" --recursive --include "*20170111*" &amp; "%USERPROFILE%\Documents\GitHub\mrs-test-scripts\Headless Mode &amp; Sideloading\WalkAndUnGZ.bat" "%USERPROFILE%\AppData\Local\Temp\OnboardLogs"\RTDC4018\2017-01-11</v>
      </c>
      <c r="AF118" s="84" t="str">
        <f t="shared" si="37"/>
        <v>"C:\Program Files (x86)\AstroGrep\AstroGrep.exe" /spath="%USERPROFILE%\AppData\Local\Temp\OnboardLogs" /stypes="app*4018*20170110*" /stext=" 23:.+((SYSTEM_STATE.+slice.+state.+changed )|(ment ac)|(multiple cpu faults)|(system.+state.+changed )|(\[timeout)|(PRM\|1\|D)|(kpr)|(kdp)|(\|lc)|(penalty))" /e /r /s</v>
      </c>
      <c r="AG118" s="1" t="str">
        <f t="shared" si="38"/>
        <v>EC</v>
      </c>
      <c r="AH118" s="88" t="str">
        <f t="shared" si="39"/>
        <v>"%USERPROFILE%\Documents\GitHub\eaglep3\Utilities\RefineRTDCRunTimes.py" --tripid 199-10 --locoid 4018 --swversion DE.1.0.8.0 --startMP 204:64722 --initTime 2017-01-10T16:23:52 --startdatetime 2017-01-10T16:24:58 --delay 1 --endMP 204:233302 --enddatetime 2017-01-10T16:50:03 --enforcementcount 0 &gt;&gt;C:\Users\stu\Documents\GitHub\eaglep3-reporting\EC\2017-01-10-refined-times.txt</v>
      </c>
      <c r="AI118" s="115" t="str">
        <f t="shared" si="40"/>
        <v>echo {"issue":{"subject":"","project_id":79,"tracker_id":40,"status_id":1,"priority_id":2,"assigned_to_id":23,"start_date":"2017-01-10","description":"","custom_fields":[{"id":1,"name":"Subdivision","value":"EC"},{"id":4,"name":"Milepost","value":"23.3302"},{"id":17,"name":"Train ID","value":"199-10"},{"id":16,"name":"Locomotive ID","value":"4018"},{"id":130,"name":"Impact","value":""},{"id":150,"name":"Time of Event (Mountain Time)","value":"16:50:03"},{"id":151,"name":"Denver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0"/>
      <c r="AK118" s="50"/>
      <c r="AL118" s="50"/>
      <c r="AM118" s="180" t="str">
        <f t="shared" si="41"/>
        <v>start /low /b %USERPROFILE%\Documents\GitHub\eaglep3\Utilities\DownloadLogsFromS3.py --loco 4018 --day 2017-01-10</v>
      </c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4" t="s">
        <v>603</v>
      </c>
      <c r="B119" s="7">
        <v>4017</v>
      </c>
      <c r="C119" s="22" t="s">
        <v>202</v>
      </c>
      <c r="D119" s="22" t="s">
        <v>406</v>
      </c>
      <c r="E119" s="13">
        <v>42745.702800925923</v>
      </c>
      <c r="F119" s="13">
        <v>42745.705763888887</v>
      </c>
      <c r="G119" s="7">
        <v>1</v>
      </c>
      <c r="H119" s="22" t="s">
        <v>191</v>
      </c>
      <c r="I119" s="13">
        <v>42745.73814814815</v>
      </c>
      <c r="J119" s="7">
        <v>0</v>
      </c>
      <c r="K119" s="105" t="str">
        <f t="shared" si="26"/>
        <v>4017/4018</v>
      </c>
      <c r="L119" s="22" t="str">
        <f>VLOOKUP(A119,'Trips&amp;Operators'!$C$1:$G$99999,5,FALSE)</f>
        <v>HAITHCOX MICHAEL</v>
      </c>
      <c r="M119" s="6">
        <f t="shared" si="27"/>
        <v>3.238425926247146E-2</v>
      </c>
      <c r="N119" s="7">
        <f>24*60*SUM($M119:$M119)</f>
        <v>46.633333337958902</v>
      </c>
      <c r="O119" s="7"/>
      <c r="P119" s="7"/>
      <c r="Q119" s="23"/>
      <c r="R119" s="23"/>
      <c r="S119" s="32">
        <f>SUM(U119:U119)/IF(AG119="EC",12,1)</f>
        <v>1</v>
      </c>
      <c r="T119" s="47" t="str">
        <f t="shared" si="29"/>
        <v>Southbound</v>
      </c>
      <c r="U119" s="167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https://search-rtdc-monitor-bjffxe2xuh6vdkpspy63sjmuny.us-east-1.es.amazonaws.com/_plugin/kibana/#/discover/Steve-Slow-Train-Analysis-(2080s-and-2083s)?_g=(refreshInterval:(display:Off,section:0,value:0),time:(from:'2017-01-10 15:52:02-700',mode:absolute,to:'2017-01-10 18:42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19" s="49" t="str">
        <f t="shared" si="31"/>
        <v>N</v>
      </c>
      <c r="X119" s="173">
        <f t="shared" si="42"/>
        <v>1</v>
      </c>
      <c r="Y119" s="64">
        <f t="shared" si="32"/>
        <v>23.299800000000001</v>
      </c>
      <c r="Z119" s="64">
        <f t="shared" si="33"/>
        <v>1.49E-2</v>
      </c>
      <c r="AA119" s="64">
        <f t="shared" si="34"/>
        <v>23.2849</v>
      </c>
      <c r="AB119" s="61" t="e">
        <f>VLOOKUP(A119,Enforcements!$C$7:$K$17,8,0)</f>
        <v>#N/A</v>
      </c>
      <c r="AC119" s="57" t="e">
        <f>VLOOKUP(A119,Enforcements!$C$7:$E$17,3,0)</f>
        <v>#N/A</v>
      </c>
      <c r="AD119" s="58" t="str">
        <f t="shared" si="35"/>
        <v>0200-10</v>
      </c>
      <c r="AE119" s="87" t="str">
        <f t="shared" si="36"/>
        <v>aws s3 cp s3://rtdc.mdm.uploadarchive.raw/RTDC4017/ "%USERPROFILE%\AppData\Local\Temp\OnboardLogs"\RTDC4017\2017-01-10 --exclude "*" --recursive --include "*20170110*" &amp; "%USERPROFILE%\Documents\GitHub\mrs-test-scripts\Headless Mode &amp; Sideloading\WalkAndUnGZ.bat" "%USERPROFILE%\AppData\Local\Temp\OnboardLogs"\RTDC4017\2017-01-10 &amp; aws s3 cp s3://rtdc.mdm.uploadarchive.raw/RTDC4017/ "%USERPROFILE%\AppData\Local\Temp\OnboardLogs"\RTDC4017\2017-01-11 --exclude "*" --recursive --include "*20170111*" &amp; "%USERPROFILE%\Documents\GitHub\mrs-test-scripts\Headless Mode &amp; Sideloading\WalkAndUnGZ.bat" "%USERPROFILE%\AppData\Local\Temp\OnboardLogs"\RTDC4017\2017-01-11</v>
      </c>
      <c r="AF119" s="84" t="str">
        <f t="shared" si="37"/>
        <v>"C:\Program Files (x86)\AstroGrep\AstroGrep.exe" /spath="%USERPROFILE%\AppData\Local\Temp\OnboardLogs" /stypes="app*4017*20170111*" /stext=" 00:.+((SYSTEM_STATE.+slice.+state.+changed )|(ment ac)|(multiple cpu faults)|(system.+state.+changed )|(\[timeout)|(PRM\|1\|D)|(kpr)|(kdp)|(\|lc)|(penalty))" /e /r /s</v>
      </c>
      <c r="AG119" s="1" t="str">
        <f t="shared" si="38"/>
        <v>EC</v>
      </c>
      <c r="AH119" s="88" t="str">
        <f t="shared" si="39"/>
        <v>"%USERPROFILE%\Documents\GitHub\eaglep3\Utilities\RefineRTDCRunTimes.py" --tripid 200-10 --locoid 4017 --swversion DE.1.0.8.0 --startMP 204:232998 --initTime 2017-01-10T16:52:02 --startdatetime 2017-01-10T16:56:18 --delay 1 --endMP 204:149 --enddatetime 2017-01-10T17:42:56 --enforcementcount 0 &gt;&gt;C:\Users\stu\Documents\GitHub\eaglep3-reporting\EC\2017-01-10-refined-times.txt</v>
      </c>
      <c r="AI119" s="115" t="str">
        <f t="shared" si="40"/>
        <v>echo {"issue":{"subject":"","project_id":79,"tracker_id":40,"status_id":1,"priority_id":2,"assigned_to_id":23,"start_date":"2017-01-10","description":"","custom_fields":[{"id":1,"name":"Subdivision","value":"EC"},{"id":4,"name":"Milepost","value":"0.0149"},{"id":17,"name":"Train ID","value":"200-10"},{"id":16,"name":"Locomotive ID","value":"4017"},{"id":130,"name":"Impact","value":""},{"id":150,"name":"Time of Event (Mountain Time)","value":"17:42:56"},{"id":151,"name":"Denver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0"/>
      <c r="AK119" s="50"/>
      <c r="AL119" s="50"/>
      <c r="AM119" s="180" t="str">
        <f t="shared" si="41"/>
        <v>start /low /b %USERPROFILE%\Documents\GitHub\eaglep3\Utilities\DownloadLogsFromS3.py --loco 4017 --day 2017-01-10</v>
      </c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4" t="s">
        <v>594</v>
      </c>
      <c r="B120" s="7">
        <v>4042</v>
      </c>
      <c r="C120" s="22" t="s">
        <v>202</v>
      </c>
      <c r="D120" s="22" t="s">
        <v>412</v>
      </c>
      <c r="E120" s="13">
        <v>42745.673958333333</v>
      </c>
      <c r="F120" s="13">
        <v>42745.675254629627</v>
      </c>
      <c r="G120" s="7">
        <v>1</v>
      </c>
      <c r="H120" s="22" t="s">
        <v>714</v>
      </c>
      <c r="I120" s="13">
        <v>42745.687210648146</v>
      </c>
      <c r="J120" s="7">
        <v>0</v>
      </c>
      <c r="K120" s="105" t="str">
        <f t="shared" si="26"/>
        <v>4041/4042</v>
      </c>
      <c r="L120" s="22" t="str">
        <f>VLOOKUP(A120,'Trips&amp;Operators'!$C$1:$G$99999,5,FALSE)</f>
        <v>DE LA ROSA ALEX</v>
      </c>
      <c r="M120" s="6">
        <f t="shared" si="27"/>
        <v>1.1956018519413192E-2</v>
      </c>
      <c r="N120" s="7"/>
      <c r="O120" s="7"/>
      <c r="P120" s="7">
        <f>24*60*SUM($M120:$M121)</f>
        <v>44.250000002793968</v>
      </c>
      <c r="Q120" s="23"/>
      <c r="R120" s="23" t="s">
        <v>925</v>
      </c>
      <c r="S120" s="32">
        <f>SUM(U120:U121)/IF(AG120="EC",12,1)</f>
        <v>0.5</v>
      </c>
      <c r="T120" s="47" t="str">
        <f t="shared" si="29"/>
        <v>NorthBound</v>
      </c>
      <c r="U120" s="167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3</v>
      </c>
      <c r="V120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https://search-rtdc-monitor-bjffxe2xuh6vdkpspy63sjmuny.us-east-1.es.amazonaws.com/_plugin/kibana/#/discover/Steve-Slow-Train-Analysis-(2080s-and-2083s)?_g=(refreshInterval:(display:Off,section:0,value:0),time:(from:'2017-01-10 15:10:30-700',mode:absolute,to:'2017-01-10 17:29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20" s="49" t="str">
        <f t="shared" si="31"/>
        <v>Y</v>
      </c>
      <c r="X120" s="173">
        <f t="shared" si="42"/>
        <v>1</v>
      </c>
      <c r="Y120" s="64">
        <f t="shared" si="32"/>
        <v>0.1479</v>
      </c>
      <c r="Z120" s="64">
        <f t="shared" si="33"/>
        <v>3.8241999999999998</v>
      </c>
      <c r="AA120" s="64">
        <f t="shared" si="34"/>
        <v>3.6762999999999999</v>
      </c>
      <c r="AB120" s="61" t="e">
        <f>VLOOKUP(A120,Enforcements!$C$7:$K$17,8,0)</f>
        <v>#N/A</v>
      </c>
      <c r="AC120" s="57" t="e">
        <f>VLOOKUP(A120,Enforcements!$C$7:$E$17,3,0)</f>
        <v>#N/A</v>
      </c>
      <c r="AD120" s="58" t="str">
        <f t="shared" si="35"/>
        <v>0201-10</v>
      </c>
      <c r="AE120" s="87" t="str">
        <f t="shared" si="36"/>
        <v>aws s3 cp s3://rtdc.mdm.uploadarchive.raw/RTDC4042/ "%USERPROFILE%\AppData\Local\Temp\OnboardLogs"\RTDC4042\2017-01-10 --exclude "*" --recursive --include "*20170110*" &amp; "%USERPROFILE%\Documents\GitHub\mrs-test-scripts\Headless Mode &amp; Sideloading\WalkAndUnGZ.bat" "%USERPROFILE%\AppData\Local\Temp\OnboardLogs"\RTDC4042\2017-01-10 &amp; aws s3 cp s3://rtdc.mdm.uploadarchive.raw/RTDC4042/ "%USERPROFILE%\AppData\Local\Temp\OnboardLogs"\RTDC4042\2017-01-11 --exclude "*" --recursive --include "*20170111*" &amp; "%USERPROFILE%\Documents\GitHub\mrs-test-scripts\Headless Mode &amp; Sideloading\WalkAndUnGZ.bat" "%USERPROFILE%\AppData\Local\Temp\OnboardLogs"\RTDC4042\2017-01-11</v>
      </c>
      <c r="AF120" s="84" t="str">
        <f t="shared" si="37"/>
        <v>"C:\Program Files (x86)\AstroGrep\AstroGrep.exe" /spath="%USERPROFILE%\AppData\Local\Temp\OnboardLogs" /stypes="app*4042*20170110*" /stext=" 23:.+((SYSTEM_STATE.+slice.+state.+changed )|(ment ac)|(multiple cpu faults)|(system.+state.+changed )|(\[timeout)|(PRM\|1\|D)|(kpr)|(kdp)|(\|lc)|(penalty))" /e /r /s</v>
      </c>
      <c r="AG120" s="1" t="str">
        <f t="shared" si="38"/>
        <v>EC</v>
      </c>
      <c r="AH120" s="88" t="str">
        <f t="shared" si="39"/>
        <v>"%USERPROFILE%\Documents\GitHub\eaglep3\Utilities\RefineRTDCRunTimes.py" --tripid 201-10 --locoid 4042 --swversion DE.1.0.8.0 --startMP 204:1479 --initTime 2017-01-10T16:10:30 --startdatetime 2017-01-10T16:12:22 --delay 1 --endMP 204:38242 --enddatetime 2017-01-10T16:29:35 --enforcementcount 0 &gt;&gt;C:\Users\stu\Documents\GitHub\eaglep3-reporting\EC\2017-01-10-refined-times.txt</v>
      </c>
      <c r="AI120" s="115" t="str">
        <f t="shared" si="40"/>
        <v>echo {"issue":{"subject":"EC0386RH offline due to maintenance to mitigate crossing gate / OCS contact @ Dahlia","project_id":79,"tracker_id":40,"status_id":1,"priority_id":2,"assigned_to_id":23,"start_date":"2017-01-10","description":"","custom_fields":[{"id":1,"name":"Subdivision","value":"EC"},{"id":4,"name":"Milepost","value":"3.8242"},{"id":17,"name":"Train ID","value":"201-10"},{"id":16,"name":"Locomotive ID","value":"4042"},{"id":130,"name":"Impact","value":""},{"id":150,"name":"Time of Event (Mountain Time)","value":"16:29:35"},{"id":151,"name":"Denver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0"/>
      <c r="AK120" s="50"/>
      <c r="AL120" s="50"/>
      <c r="AM120" s="180" t="str">
        <f t="shared" si="41"/>
        <v>start /low /b %USERPROFILE%\Documents\GitHub\eaglep3\Utilities\DownloadLogsFromS3.py --loco 4042 --day 2017-01-10</v>
      </c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4" t="s">
        <v>594</v>
      </c>
      <c r="B121" s="7">
        <v>4042</v>
      </c>
      <c r="C121" s="22" t="s">
        <v>202</v>
      </c>
      <c r="D121" s="22" t="s">
        <v>715</v>
      </c>
      <c r="E121" s="13">
        <v>42745.691828703704</v>
      </c>
      <c r="F121" s="13">
        <v>42745.692442129628</v>
      </c>
      <c r="G121" s="7">
        <v>0</v>
      </c>
      <c r="H121" s="22" t="s">
        <v>706</v>
      </c>
      <c r="I121" s="13">
        <v>42745.711215277777</v>
      </c>
      <c r="J121" s="7">
        <v>0</v>
      </c>
      <c r="K121" s="105" t="str">
        <f t="shared" si="26"/>
        <v>4041/4042</v>
      </c>
      <c r="L121" s="22" t="str">
        <f>VLOOKUP(A121,'Trips&amp;Operators'!$C$1:$G$99999,5,FALSE)</f>
        <v>DE LA ROSA ALEX</v>
      </c>
      <c r="M121" s="6">
        <f t="shared" si="27"/>
        <v>1.877314814919373E-2</v>
      </c>
      <c r="N121" s="7"/>
      <c r="O121" s="7"/>
      <c r="P121" s="7"/>
      <c r="Q121" s="23"/>
      <c r="R121" s="23"/>
      <c r="S121" s="32"/>
      <c r="T121" s="47" t="str">
        <f t="shared" si="29"/>
        <v>NorthBound</v>
      </c>
      <c r="U121" s="167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3</v>
      </c>
      <c r="V121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https://search-rtdc-monitor-bjffxe2xuh6vdkpspy63sjmuny.us-east-1.es.amazonaws.com/_plugin/kibana/#/discover/Steve-Slow-Train-Analysis-(2080s-and-2083s)?_g=(refreshInterval:(display:Off,section:0,value:0),time:(from:'2017-01-10 15:36:14-700',mode:absolute,to:'2017-01-10 18:04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21" s="49" t="str">
        <f t="shared" si="31"/>
        <v>Y</v>
      </c>
      <c r="X121" s="173">
        <f t="shared" si="42"/>
        <v>0</v>
      </c>
      <c r="Y121" s="64">
        <f t="shared" si="32"/>
        <v>6.4702000000000002</v>
      </c>
      <c r="Z121" s="64">
        <f t="shared" si="33"/>
        <v>23.3291</v>
      </c>
      <c r="AA121" s="64">
        <f t="shared" si="34"/>
        <v>16.858899999999998</v>
      </c>
      <c r="AB121" s="61" t="e">
        <f>VLOOKUP(A121,Enforcements!$C$7:$K$17,8,0)</f>
        <v>#N/A</v>
      </c>
      <c r="AC121" s="57" t="e">
        <f>VLOOKUP(A121,Enforcements!$C$7:$E$17,3,0)</f>
        <v>#N/A</v>
      </c>
      <c r="AD121" s="58" t="str">
        <f t="shared" si="35"/>
        <v>0201-10</v>
      </c>
      <c r="AE121" s="87" t="str">
        <f t="shared" si="36"/>
        <v>aws s3 cp s3://rtdc.mdm.uploadarchive.raw/RTDC4042/ "%USERPROFILE%\AppData\Local\Temp\OnboardLogs"\RTDC4042\2017-01-10 --exclude "*" --recursive --include "*20170110*" &amp; "%USERPROFILE%\Documents\GitHub\mrs-test-scripts\Headless Mode &amp; Sideloading\WalkAndUnGZ.bat" "%USERPROFILE%\AppData\Local\Temp\OnboardLogs"\RTDC4042\2017-01-10 &amp; aws s3 cp s3://rtdc.mdm.uploadarchive.raw/RTDC4042/ "%USERPROFILE%\AppData\Local\Temp\OnboardLogs"\RTDC4042\2017-01-11 --exclude "*" --recursive --include "*20170111*" &amp; "%USERPROFILE%\Documents\GitHub\mrs-test-scripts\Headless Mode &amp; Sideloading\WalkAndUnGZ.bat" "%USERPROFILE%\AppData\Local\Temp\OnboardLogs"\RTDC4042\2017-01-11</v>
      </c>
      <c r="AF121" s="84" t="str">
        <f t="shared" si="37"/>
        <v>"C:\Program Files (x86)\AstroGrep\AstroGrep.exe" /spath="%USERPROFILE%\AppData\Local\Temp\OnboardLogs" /stypes="app*4042*20170111*" /stext=" 00:.+((SYSTEM_STATE.+slice.+state.+changed )|(ment ac)|(multiple cpu faults)|(system.+state.+changed )|(\[timeout)|(PRM\|1\|D)|(kpr)|(kdp)|(\|lc)|(penalty))" /e /r /s</v>
      </c>
      <c r="AG121" s="1" t="str">
        <f t="shared" si="38"/>
        <v>EC</v>
      </c>
      <c r="AH121" s="88" t="str">
        <f t="shared" si="39"/>
        <v>"%USERPROFILE%\Documents\GitHub\eaglep3\Utilities\RefineRTDCRunTimes.py" --tripid 201-10 --locoid 4042 --swversion DE.1.0.8.0 --startMP 204:64702 --initTime 2017-01-10T16:36:14 --startdatetime 2017-01-10T16:37:07 --delay 0 --endMP 204:233291 --enddatetime 2017-01-10T17:04:09 --enforcementcount 0 &gt;&gt;C:\Users\stu\Documents\GitHub\eaglep3-reporting\EC\2017-01-10-refined-times.txt</v>
      </c>
      <c r="AI121" s="115" t="str">
        <f t="shared" si="40"/>
        <v>echo {"issue":{"subject":"","project_id":79,"tracker_id":40,"status_id":1,"priority_id":2,"assigned_to_id":23,"start_date":"2017-01-10","description":"","custom_fields":[{"id":1,"name":"Subdivision","value":"EC"},{"id":4,"name":"Milepost","value":"23.3291"},{"id":17,"name":"Train ID","value":"201-10"},{"id":16,"name":"Locomotive ID","value":"4042"},{"id":130,"name":"Impact","value":""},{"id":150,"name":"Time of Event (Mountain Time)","value":"17:04:09"},{"id":151,"name":"Denver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0"/>
      <c r="AK121" s="50"/>
      <c r="AL121" s="50"/>
      <c r="AM121" s="180" t="str">
        <f t="shared" si="41"/>
        <v>start /low /b %USERPROFILE%\Documents\GitHub\eaglep3\Utilities\DownloadLogsFromS3.py --loco 4042 --day 2017-01-10</v>
      </c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4" t="s">
        <v>605</v>
      </c>
      <c r="B122" s="7">
        <v>4041</v>
      </c>
      <c r="C122" s="22" t="s">
        <v>202</v>
      </c>
      <c r="D122" s="22" t="s">
        <v>275</v>
      </c>
      <c r="E122" s="13">
        <v>42745.713194444441</v>
      </c>
      <c r="F122" s="13">
        <v>42745.716284722221</v>
      </c>
      <c r="G122" s="7">
        <v>1</v>
      </c>
      <c r="H122" s="22" t="s">
        <v>269</v>
      </c>
      <c r="I122" s="13">
        <v>42745.747881944444</v>
      </c>
      <c r="J122" s="7">
        <v>0</v>
      </c>
      <c r="K122" s="105" t="str">
        <f t="shared" si="26"/>
        <v>4041/4042</v>
      </c>
      <c r="L122" s="22" t="str">
        <f>VLOOKUP(A122,'Trips&amp;Operators'!$C$1:$G$99999,5,FALSE)</f>
        <v>DE LA ROSA ALEX</v>
      </c>
      <c r="M122" s="6">
        <f t="shared" si="27"/>
        <v>3.1597222223354038E-2</v>
      </c>
      <c r="N122" s="7">
        <f t="shared" ref="N122:N153" si="43">24*60*SUM($M122:$M122)</f>
        <v>45.500000001629815</v>
      </c>
      <c r="O122" s="7"/>
      <c r="P122" s="7"/>
      <c r="Q122" s="23"/>
      <c r="R122" s="23"/>
      <c r="S122" s="32">
        <f t="shared" ref="S122:S153" si="44">SUM(U122:U122)/IF(AG122="EC",12,1)</f>
        <v>1</v>
      </c>
      <c r="T122" s="47" t="str">
        <f t="shared" si="29"/>
        <v>Southbound</v>
      </c>
      <c r="U122" s="167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https://search-rtdc-monitor-bjffxe2xuh6vdkpspy63sjmuny.us-east-1.es.amazonaws.com/_plugin/kibana/#/discover/Steve-Slow-Train-Analysis-(2080s-and-2083s)?_g=(refreshInterval:(display:Off,section:0,value:0),time:(from:'2017-01-10 16:07:00-700',mode:absolute,to:'2017-01-10 18:56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22" s="49" t="str">
        <f t="shared" si="31"/>
        <v>N</v>
      </c>
      <c r="X122" s="173">
        <f t="shared" si="42"/>
        <v>1</v>
      </c>
      <c r="Y122" s="64">
        <f t="shared" si="32"/>
        <v>23.2989</v>
      </c>
      <c r="Z122" s="64">
        <f t="shared" si="33"/>
        <v>1.5800000000000002E-2</v>
      </c>
      <c r="AA122" s="64">
        <f t="shared" si="34"/>
        <v>23.283100000000001</v>
      </c>
      <c r="AB122" s="61" t="e">
        <f>VLOOKUP(A122,Enforcements!$C$7:$K$17,8,0)</f>
        <v>#N/A</v>
      </c>
      <c r="AC122" s="57" t="e">
        <f>VLOOKUP(A122,Enforcements!$C$7:$E$17,3,0)</f>
        <v>#N/A</v>
      </c>
      <c r="AD122" s="58" t="str">
        <f t="shared" si="35"/>
        <v>0202-10</v>
      </c>
      <c r="AE122" s="87" t="str">
        <f t="shared" si="36"/>
        <v>aws s3 cp s3://rtdc.mdm.uploadarchive.raw/RTDC4041/ "%USERPROFILE%\AppData\Local\Temp\OnboardLogs"\RTDC4041\2017-01-10 --exclude "*" --recursive --include "*20170110*" &amp; "%USERPROFILE%\Documents\GitHub\mrs-test-scripts\Headless Mode &amp; Sideloading\WalkAndUnGZ.bat" "%USERPROFILE%\AppData\Local\Temp\OnboardLogs"\RTDC4041\2017-01-10 &amp; aws s3 cp s3://rtdc.mdm.uploadarchive.raw/RTDC4041/ "%USERPROFILE%\AppData\Local\Temp\OnboardLogs"\RTDC4041\2017-01-11 --exclude "*" --recursive --include "*20170111*" &amp; "%USERPROFILE%\Documents\GitHub\mrs-test-scripts\Headless Mode &amp; Sideloading\WalkAndUnGZ.bat" "%USERPROFILE%\AppData\Local\Temp\OnboardLogs"\RTDC4041\2017-01-11</v>
      </c>
      <c r="AF122" s="84" t="str">
        <f t="shared" si="37"/>
        <v>"C:\Program Files (x86)\AstroGrep\AstroGrep.exe" /spath="%USERPROFILE%\AppData\Local\Temp\OnboardLogs" /stypes="app*4041*20170111*" /stext=" 00:.+((SYSTEM_STATE.+slice.+state.+changed )|(ment ac)|(multiple cpu faults)|(system.+state.+changed )|(\[timeout)|(PRM\|1\|D)|(kpr)|(kdp)|(\|lc)|(penalty))" /e /r /s</v>
      </c>
      <c r="AG122" s="1" t="str">
        <f t="shared" si="38"/>
        <v>EC</v>
      </c>
      <c r="AH122" s="88" t="str">
        <f t="shared" si="39"/>
        <v>"%USERPROFILE%\Documents\GitHub\eaglep3\Utilities\RefineRTDCRunTimes.py" --tripid 202-10 --locoid 4041 --swversion DE.1.0.8.0 --startMP 204:232989 --initTime 2017-01-10T17:07:00 --startdatetime 2017-01-10T17:11:27 --delay 1 --endMP 204:158 --enddatetime 2017-01-10T17:56:57 --enforcementcount 0 &gt;&gt;C:\Users\stu\Documents\GitHub\eaglep3-reporting\EC\2017-01-10-refined-times.txt</v>
      </c>
      <c r="AI122" s="115" t="str">
        <f t="shared" si="40"/>
        <v>echo {"issue":{"subject":"","project_id":79,"tracker_id":40,"status_id":1,"priority_id":2,"assigned_to_id":23,"start_date":"2017-01-10","description":"","custom_fields":[{"id":1,"name":"Subdivision","value":"EC"},{"id":4,"name":"Milepost","value":"0.0158"},{"id":17,"name":"Train ID","value":"202-10"},{"id":16,"name":"Locomotive ID","value":"4041"},{"id":130,"name":"Impact","value":""},{"id":150,"name":"Time of Event (Mountain Time)","value":"17:56:57"},{"id":151,"name":"Denver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0"/>
      <c r="AK122" s="50"/>
      <c r="AL122" s="50"/>
      <c r="AM122" s="180" t="str">
        <f t="shared" si="41"/>
        <v>start /low /b %USERPROFILE%\Documents\GitHub\eaglep3\Utilities\DownloadLogsFromS3.py --loco 4041 --day 2017-01-10</v>
      </c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4" t="s">
        <v>601</v>
      </c>
      <c r="B123" s="7">
        <v>4020</v>
      </c>
      <c r="C123" s="22" t="s">
        <v>202</v>
      </c>
      <c r="D123" s="22" t="s">
        <v>239</v>
      </c>
      <c r="E123" s="13">
        <v>42745.695092592592</v>
      </c>
      <c r="F123" s="13">
        <v>42745.698599537034</v>
      </c>
      <c r="G123" s="7">
        <v>2</v>
      </c>
      <c r="H123" s="22" t="s">
        <v>389</v>
      </c>
      <c r="I123" s="13">
        <v>42745.726805555554</v>
      </c>
      <c r="J123" s="7">
        <v>0</v>
      </c>
      <c r="K123" s="105" t="str">
        <f t="shared" si="26"/>
        <v>4019/4020</v>
      </c>
      <c r="L123" s="22" t="str">
        <f>VLOOKUP(A123,'Trips&amp;Operators'!$C$1:$G$99999,5,FALSE)</f>
        <v>YANG JAN</v>
      </c>
      <c r="M123" s="6">
        <f t="shared" si="27"/>
        <v>2.8206018519995268E-2</v>
      </c>
      <c r="N123" s="7">
        <f t="shared" si="43"/>
        <v>40.616666668793187</v>
      </c>
      <c r="O123" s="7"/>
      <c r="P123" s="7"/>
      <c r="Q123" s="23"/>
      <c r="R123" s="23"/>
      <c r="S123" s="32">
        <f t="shared" si="44"/>
        <v>1</v>
      </c>
      <c r="T123" s="47" t="str">
        <f t="shared" si="29"/>
        <v>NorthBound</v>
      </c>
      <c r="U123" s="167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https://search-rtdc-monitor-bjffxe2xuh6vdkpspy63sjmuny.us-east-1.es.amazonaws.com/_plugin/kibana/#/discover/Steve-Slow-Train-Analysis-(2080s-and-2083s)?_g=(refreshInterval:(display:Off,section:0,value:0),time:(from:'2017-01-10 15:40:56-700',mode:absolute,to:'2017-01-10 18:26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23" s="49" t="str">
        <f t="shared" si="31"/>
        <v>N</v>
      </c>
      <c r="X123" s="173">
        <f t="shared" si="42"/>
        <v>3</v>
      </c>
      <c r="Y123" s="64">
        <f t="shared" si="32"/>
        <v>4.53E-2</v>
      </c>
      <c r="Z123" s="64">
        <f t="shared" si="33"/>
        <v>23.329699999999999</v>
      </c>
      <c r="AA123" s="64">
        <f t="shared" si="34"/>
        <v>23.284399999999998</v>
      </c>
      <c r="AB123" s="61" t="e">
        <f>VLOOKUP(A123,Enforcements!$C$7:$K$17,8,0)</f>
        <v>#N/A</v>
      </c>
      <c r="AC123" s="57" t="e">
        <f>VLOOKUP(A123,Enforcements!$C$7:$E$17,3,0)</f>
        <v>#N/A</v>
      </c>
      <c r="AD123" s="58" t="str">
        <f t="shared" si="35"/>
        <v>0205-10</v>
      </c>
      <c r="AE123" s="87" t="str">
        <f t="shared" si="36"/>
        <v>aws s3 cp s3://rtdc.mdm.uploadarchive.raw/RTDC4020/ "%USERPROFILE%\AppData\Local\Temp\OnboardLogs"\RTDC4020\2017-01-10 --exclude "*" --recursive --include "*20170110*" &amp; "%USERPROFILE%\Documents\GitHub\mrs-test-scripts\Headless Mode &amp; Sideloading\WalkAndUnGZ.bat" "%USERPROFILE%\AppData\Local\Temp\OnboardLogs"\RTDC4020\2017-01-10 &amp; aws s3 cp s3://rtdc.mdm.uploadarchive.raw/RTDC4020/ "%USERPROFILE%\AppData\Local\Temp\OnboardLogs"\RTDC4020\2017-01-11 --exclude "*" --recursive --include "*20170111*" &amp; "%USERPROFILE%\Documents\GitHub\mrs-test-scripts\Headless Mode &amp; Sideloading\WalkAndUnGZ.bat" "%USERPROFILE%\AppData\Local\Temp\OnboardLogs"\RTDC4020\2017-01-11</v>
      </c>
      <c r="AF123" s="84" t="str">
        <f t="shared" si="37"/>
        <v>"C:\Program Files (x86)\AstroGrep\AstroGrep.exe" /spath="%USERPROFILE%\AppData\Local\Temp\OnboardLogs" /stypes="app*4020*20170111*" /stext=" 00:.+((SYSTEM_STATE.+slice.+state.+changed )|(ment ac)|(multiple cpu faults)|(system.+state.+changed )|(\[timeout)|(PRM\|1\|D)|(kpr)|(kdp)|(\|lc)|(penalty))" /e /r /s</v>
      </c>
      <c r="AG123" s="1" t="str">
        <f t="shared" si="38"/>
        <v>EC</v>
      </c>
      <c r="AH123" s="88" t="str">
        <f t="shared" si="39"/>
        <v>"%USERPROFILE%\Documents\GitHub\eaglep3\Utilities\RefineRTDCRunTimes.py" --tripid 205-10 --locoid 4020 --swversion DE.1.0.8.0 --startMP 204:453 --initTime 2017-01-10T16:40:56 --startdatetime 2017-01-10T16:45:59 --delay 2 --endMP 204:233297 --enddatetime 2017-01-10T17:26:36 --enforcementcount 0 &gt;&gt;C:\Users\stu\Documents\GitHub\eaglep3-reporting\EC\2017-01-10-refined-times.txt</v>
      </c>
      <c r="AI123" s="115" t="str">
        <f t="shared" si="40"/>
        <v>echo {"issue":{"subject":"","project_id":79,"tracker_id":40,"status_id":1,"priority_id":2,"assigned_to_id":23,"start_date":"2017-01-10","description":"","custom_fields":[{"id":1,"name":"Subdivision","value":"EC"},{"id":4,"name":"Milepost","value":"23.3297"},{"id":17,"name":"Train ID","value":"205-10"},{"id":16,"name":"Locomotive ID","value":"4020"},{"id":130,"name":"Impact","value":""},{"id":150,"name":"Time of Event (Mountain Time)","value":"17:26:36"},{"id":151,"name":"Denver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0"/>
      <c r="AK123" s="50"/>
      <c r="AL123" s="50"/>
      <c r="AM123" s="180" t="str">
        <f t="shared" si="41"/>
        <v>start /low /b %USERPROFILE%\Documents\GitHub\eaglep3\Utilities\DownloadLogsFromS3.py --loco 4020 --day 2017-01-10</v>
      </c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4" t="s">
        <v>610</v>
      </c>
      <c r="B124" s="7">
        <v>4019</v>
      </c>
      <c r="C124" s="22" t="s">
        <v>202</v>
      </c>
      <c r="D124" s="22" t="s">
        <v>291</v>
      </c>
      <c r="E124" s="13">
        <v>42745.733101851853</v>
      </c>
      <c r="F124" s="13">
        <v>42745.737291666665</v>
      </c>
      <c r="G124" s="7">
        <v>2</v>
      </c>
      <c r="H124" s="22" t="s">
        <v>270</v>
      </c>
      <c r="I124" s="13">
        <v>42745.769224537034</v>
      </c>
      <c r="J124" s="7">
        <v>0</v>
      </c>
      <c r="K124" s="105" t="str">
        <f t="shared" si="26"/>
        <v>4019/4020</v>
      </c>
      <c r="L124" s="22" t="str">
        <f>VLOOKUP(A124,'Trips&amp;Operators'!$C$1:$G$99999,5,FALSE)</f>
        <v>YANG JAN</v>
      </c>
      <c r="M124" s="6">
        <f t="shared" si="27"/>
        <v>3.1932870369928423E-2</v>
      </c>
      <c r="N124" s="7">
        <f t="shared" si="43"/>
        <v>45.98333333269693</v>
      </c>
      <c r="O124" s="7"/>
      <c r="P124" s="7"/>
      <c r="Q124" s="23"/>
      <c r="R124" s="23"/>
      <c r="S124" s="32">
        <f t="shared" si="44"/>
        <v>1</v>
      </c>
      <c r="T124" s="47" t="str">
        <f t="shared" si="29"/>
        <v>Southbound</v>
      </c>
      <c r="U124" s="167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https://search-rtdc-monitor-bjffxe2xuh6vdkpspy63sjmuny.us-east-1.es.amazonaws.com/_plugin/kibana/#/discover/Steve-Slow-Train-Analysis-(2080s-and-2083s)?_g=(refreshInterval:(display:Off,section:0,value:0),time:(from:'2017-01-10 16:35:40-700',mode:absolute,to:'2017-01-10 19:27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24" s="49" t="str">
        <f t="shared" si="31"/>
        <v>N</v>
      </c>
      <c r="X124" s="173">
        <f t="shared" si="42"/>
        <v>1</v>
      </c>
      <c r="Y124" s="64">
        <f t="shared" si="32"/>
        <v>23.298300000000001</v>
      </c>
      <c r="Z124" s="64">
        <f t="shared" si="33"/>
        <v>1.41E-2</v>
      </c>
      <c r="AA124" s="64">
        <f t="shared" si="34"/>
        <v>23.284200000000002</v>
      </c>
      <c r="AB124" s="61" t="e">
        <f>VLOOKUP(A124,Enforcements!$C$7:$K$17,8,0)</f>
        <v>#N/A</v>
      </c>
      <c r="AC124" s="57" t="e">
        <f>VLOOKUP(A124,Enforcements!$C$7:$E$17,3,0)</f>
        <v>#N/A</v>
      </c>
      <c r="AD124" s="58" t="str">
        <f t="shared" si="35"/>
        <v>0206-10</v>
      </c>
      <c r="AE124" s="87" t="str">
        <f t="shared" si="36"/>
        <v>aws s3 cp s3://rtdc.mdm.uploadarchive.raw/RTDC4019/ "%USERPROFILE%\AppData\Local\Temp\OnboardLogs"\RTDC4019\2017-01-10 --exclude "*" --recursive --include "*20170110*" &amp; "%USERPROFILE%\Documents\GitHub\mrs-test-scripts\Headless Mode &amp; Sideloading\WalkAndUnGZ.bat" "%USERPROFILE%\AppData\Local\Temp\OnboardLogs"\RTDC4019\2017-01-10 &amp; aws s3 cp s3://rtdc.mdm.uploadarchive.raw/RTDC4019/ "%USERPROFILE%\AppData\Local\Temp\OnboardLogs"\RTDC4019\2017-01-11 --exclude "*" --recursive --include "*20170111*" &amp; "%USERPROFILE%\Documents\GitHub\mrs-test-scripts\Headless Mode &amp; Sideloading\WalkAndUnGZ.bat" "%USERPROFILE%\AppData\Local\Temp\OnboardLogs"\RTDC4019\2017-01-11</v>
      </c>
      <c r="AF124" s="84" t="str">
        <f t="shared" si="37"/>
        <v>"C:\Program Files (x86)\AstroGrep\AstroGrep.exe" /spath="%USERPROFILE%\AppData\Local\Temp\OnboardLogs" /stypes="app*4019*20170111*" /stext=" 01:.+((SYSTEM_STATE.+slice.+state.+changed )|(ment ac)|(multiple cpu faults)|(system.+state.+changed )|(\[timeout)|(PRM\|1\|D)|(kpr)|(kdp)|(\|lc)|(penalty))" /e /r /s</v>
      </c>
      <c r="AG124" s="1" t="str">
        <f t="shared" si="38"/>
        <v>EC</v>
      </c>
      <c r="AH124" s="88" t="str">
        <f t="shared" si="39"/>
        <v>"%USERPROFILE%\Documents\GitHub\eaglep3\Utilities\RefineRTDCRunTimes.py" --tripid 206-10 --locoid 4019 --swversion DE.1.0.8.0 --startMP 204:232983 --initTime 2017-01-10T17:35:40 --startdatetime 2017-01-10T17:41:42 --delay 2 --endMP 204:141 --enddatetime 2017-01-10T18:27:41 --enforcementcount 0 &gt;&gt;C:\Users\stu\Documents\GitHub\eaglep3-reporting\EC\2017-01-10-refined-times.txt</v>
      </c>
      <c r="AI124" s="115" t="str">
        <f t="shared" si="40"/>
        <v>echo {"issue":{"subject":"","project_id":79,"tracker_id":40,"status_id":1,"priority_id":2,"assigned_to_id":23,"start_date":"2017-01-10","description":"","custom_fields":[{"id":1,"name":"Subdivision","value":"EC"},{"id":4,"name":"Milepost","value":"0.0141"},{"id":17,"name":"Train ID","value":"206-10"},{"id":16,"name":"Locomotive ID","value":"4019"},{"id":130,"name":"Impact","value":""},{"id":150,"name":"Time of Event (Mountain Time)","value":"18:27:41"},{"id":151,"name":"Denver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0"/>
      <c r="AK124" s="50"/>
      <c r="AL124" s="50"/>
      <c r="AM124" s="180" t="str">
        <f t="shared" si="41"/>
        <v>start /low /b %USERPROFILE%\Documents\GitHub\eaglep3\Utilities\DownloadLogsFromS3.py --loco 4019 --day 2017-01-10</v>
      </c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4" t="s">
        <v>602</v>
      </c>
      <c r="B125" s="7">
        <v>4025</v>
      </c>
      <c r="C125" s="22" t="s">
        <v>202</v>
      </c>
      <c r="D125" s="22" t="s">
        <v>716</v>
      </c>
      <c r="E125" s="13">
        <v>42745.701990740738</v>
      </c>
      <c r="F125" s="13">
        <v>42745.708749999998</v>
      </c>
      <c r="G125" s="7">
        <v>1</v>
      </c>
      <c r="H125" s="22" t="s">
        <v>706</v>
      </c>
      <c r="I125" s="13">
        <v>42745.735937500001</v>
      </c>
      <c r="J125" s="7">
        <v>0</v>
      </c>
      <c r="K125" s="105" t="str">
        <f t="shared" si="26"/>
        <v>4025/4026</v>
      </c>
      <c r="L125" s="22" t="str">
        <f>VLOOKUP(A125,'Trips&amp;Operators'!$C$1:$G$99999,5,FALSE)</f>
        <v>COMELLA JUSTIN</v>
      </c>
      <c r="M125" s="6">
        <f t="shared" si="27"/>
        <v>2.718750000349246E-2</v>
      </c>
      <c r="N125" s="7">
        <f t="shared" si="43"/>
        <v>39.150000005029142</v>
      </c>
      <c r="O125" s="7"/>
      <c r="P125" s="7"/>
      <c r="Q125" s="23"/>
      <c r="R125" s="23"/>
      <c r="S125" s="32">
        <f t="shared" si="44"/>
        <v>1</v>
      </c>
      <c r="T125" s="47" t="str">
        <f t="shared" si="29"/>
        <v>NorthBound</v>
      </c>
      <c r="U125" s="167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https://search-rtdc-monitor-bjffxe2xuh6vdkpspy63sjmuny.us-east-1.es.amazonaws.com/_plugin/kibana/#/discover/Steve-Slow-Train-Analysis-(2080s-and-2083s)?_g=(refreshInterval:(display:Off,section:0,value:0),time:(from:'2017-01-10 15:50:52-700',mode:absolute,to:'2017-01-10 18:39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25" s="49" t="str">
        <f t="shared" si="31"/>
        <v>N</v>
      </c>
      <c r="X125" s="173">
        <f t="shared" si="42"/>
        <v>1</v>
      </c>
      <c r="Y125" s="64">
        <f t="shared" si="32"/>
        <v>5.1299999999999998E-2</v>
      </c>
      <c r="Z125" s="64">
        <f t="shared" si="33"/>
        <v>23.3291</v>
      </c>
      <c r="AA125" s="64">
        <f t="shared" si="34"/>
        <v>23.277799999999999</v>
      </c>
      <c r="AB125" s="61" t="e">
        <f>VLOOKUP(A125,Enforcements!$C$7:$K$17,8,0)</f>
        <v>#N/A</v>
      </c>
      <c r="AC125" s="57" t="e">
        <f>VLOOKUP(A125,Enforcements!$C$7:$E$17,3,0)</f>
        <v>#N/A</v>
      </c>
      <c r="AD125" s="58" t="str">
        <f t="shared" si="35"/>
        <v>0207-10</v>
      </c>
      <c r="AE125" s="87" t="str">
        <f t="shared" si="36"/>
        <v>aws s3 cp s3://rtdc.mdm.uploadarchive.raw/RTDC4025/ "%USERPROFILE%\AppData\Local\Temp\OnboardLogs"\RTDC4025\2017-01-10 --exclude "*" --recursive --include "*20170110*" &amp; "%USERPROFILE%\Documents\GitHub\mrs-test-scripts\Headless Mode &amp; Sideloading\WalkAndUnGZ.bat" "%USERPROFILE%\AppData\Local\Temp\OnboardLogs"\RTDC4025\2017-01-10 &amp; aws s3 cp s3://rtdc.mdm.uploadarchive.raw/RTDC4025/ "%USERPROFILE%\AppData\Local\Temp\OnboardLogs"\RTDC4025\2017-01-11 --exclude "*" --recursive --include "*20170111*" &amp; "%USERPROFILE%\Documents\GitHub\mrs-test-scripts\Headless Mode &amp; Sideloading\WalkAndUnGZ.bat" "%USERPROFILE%\AppData\Local\Temp\OnboardLogs"\RTDC4025\2017-01-11</v>
      </c>
      <c r="AF125" s="84" t="str">
        <f t="shared" si="37"/>
        <v>"C:\Program Files (x86)\AstroGrep\AstroGrep.exe" /spath="%USERPROFILE%\AppData\Local\Temp\OnboardLogs" /stypes="app*4025*20170111*" /stext=" 00:.+((SYSTEM_STATE.+slice.+state.+changed )|(ment ac)|(multiple cpu faults)|(system.+state.+changed )|(\[timeout)|(PRM\|1\|D)|(kpr)|(kdp)|(\|lc)|(penalty))" /e /r /s</v>
      </c>
      <c r="AG125" s="1" t="str">
        <f t="shared" si="38"/>
        <v>EC</v>
      </c>
      <c r="AH125" s="88" t="str">
        <f t="shared" si="39"/>
        <v>"%USERPROFILE%\Documents\GitHub\eaglep3\Utilities\RefineRTDCRunTimes.py" --tripid 207-10 --locoid 4025 --swversion DE.1.0.8.0 --startMP 204:513 --initTime 2017-01-10T16:50:52 --startdatetime 2017-01-10T17:00:36 --delay 1 --endMP 204:233291 --enddatetime 2017-01-10T17:39:45 --enforcementcount 0 &gt;&gt;C:\Users\stu\Documents\GitHub\eaglep3-reporting\EC\2017-01-10-refined-times.txt</v>
      </c>
      <c r="AI125" s="115" t="str">
        <f t="shared" si="40"/>
        <v>echo {"issue":{"subject":"","project_id":79,"tracker_id":40,"status_id":1,"priority_id":2,"assigned_to_id":23,"start_date":"2017-01-10","description":"","custom_fields":[{"id":1,"name":"Subdivision","value":"EC"},{"id":4,"name":"Milepost","value":"23.3291"},{"id":17,"name":"Train ID","value":"207-10"},{"id":16,"name":"Locomotive ID","value":"4025"},{"id":130,"name":"Impact","value":""},{"id":150,"name":"Time of Event (Mountain Time)","value":"17:39:45"},{"id":151,"name":"Denver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0"/>
      <c r="AK125" s="50"/>
      <c r="AL125" s="50"/>
      <c r="AM125" s="180" t="str">
        <f t="shared" si="41"/>
        <v>start /low /b %USERPROFILE%\Documents\GitHub\eaglep3\Utilities\DownloadLogsFromS3.py --loco 4025 --day 2017-01-10</v>
      </c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4" t="s">
        <v>616</v>
      </c>
      <c r="B126" s="7">
        <v>4026</v>
      </c>
      <c r="C126" s="22" t="s">
        <v>202</v>
      </c>
      <c r="D126" s="22" t="s">
        <v>408</v>
      </c>
      <c r="E126" s="13">
        <v>42745.74113425926</v>
      </c>
      <c r="F126" s="13">
        <v>42745.747499999998</v>
      </c>
      <c r="G126" s="7">
        <v>1</v>
      </c>
      <c r="H126" s="22" t="s">
        <v>354</v>
      </c>
      <c r="I126" s="13">
        <v>42745.7815625</v>
      </c>
      <c r="J126" s="7">
        <v>0</v>
      </c>
      <c r="K126" s="105" t="str">
        <f t="shared" si="26"/>
        <v>4025/4026</v>
      </c>
      <c r="L126" s="22" t="str">
        <f>VLOOKUP(A126,'Trips&amp;Operators'!$C$1:$G$99999,5,FALSE)</f>
        <v>COMELLA JUSTIN</v>
      </c>
      <c r="M126" s="6">
        <f t="shared" si="27"/>
        <v>3.4062500002619345E-2</v>
      </c>
      <c r="N126" s="7">
        <f t="shared" si="43"/>
        <v>49.050000003771856</v>
      </c>
      <c r="O126" s="7"/>
      <c r="P126" s="7"/>
      <c r="Q126" s="23"/>
      <c r="R126" s="23"/>
      <c r="S126" s="32">
        <f t="shared" si="44"/>
        <v>1</v>
      </c>
      <c r="T126" s="47" t="str">
        <f t="shared" si="29"/>
        <v>Southbound</v>
      </c>
      <c r="U126" s="167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https://search-rtdc-monitor-bjffxe2xuh6vdkpspy63sjmuny.us-east-1.es.amazonaws.com/_plugin/kibana/#/discover/Steve-Slow-Train-Analysis-(2080s-and-2083s)?_g=(refreshInterval:(display:Off,section:0,value:0),time:(from:'2017-01-10 16:47:14-700',mode:absolute,to:'2017-01-10 19:45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26" s="49" t="str">
        <f t="shared" si="31"/>
        <v>N</v>
      </c>
      <c r="X126" s="173">
        <f t="shared" si="42"/>
        <v>1</v>
      </c>
      <c r="Y126" s="64">
        <f t="shared" si="32"/>
        <v>23.296299999999999</v>
      </c>
      <c r="Z126" s="64">
        <f t="shared" si="33"/>
        <v>1.54E-2</v>
      </c>
      <c r="AA126" s="64">
        <f t="shared" si="34"/>
        <v>23.280899999999999</v>
      </c>
      <c r="AB126" s="61" t="e">
        <f>VLOOKUP(A126,Enforcements!$C$7:$K$17,8,0)</f>
        <v>#N/A</v>
      </c>
      <c r="AC126" s="57" t="e">
        <f>VLOOKUP(A126,Enforcements!$C$7:$E$17,3,0)</f>
        <v>#N/A</v>
      </c>
      <c r="AD126" s="58" t="str">
        <f t="shared" si="35"/>
        <v>0208-10</v>
      </c>
      <c r="AE126" s="87" t="str">
        <f t="shared" si="36"/>
        <v>aws s3 cp s3://rtdc.mdm.uploadarchive.raw/RTDC4026/ "%USERPROFILE%\AppData\Local\Temp\OnboardLogs"\RTDC4026\2017-01-10 --exclude "*" --recursive --include "*20170110*" &amp; "%USERPROFILE%\Documents\GitHub\mrs-test-scripts\Headless Mode &amp; Sideloading\WalkAndUnGZ.bat" "%USERPROFILE%\AppData\Local\Temp\OnboardLogs"\RTDC4026\2017-01-10 &amp; aws s3 cp s3://rtdc.mdm.uploadarchive.raw/RTDC4026/ "%USERPROFILE%\AppData\Local\Temp\OnboardLogs"\RTDC4026\2017-01-11 --exclude "*" --recursive --include "*20170111*" &amp; "%USERPROFILE%\Documents\GitHub\mrs-test-scripts\Headless Mode &amp; Sideloading\WalkAndUnGZ.bat" "%USERPROFILE%\AppData\Local\Temp\OnboardLogs"\RTDC4026\2017-01-11</v>
      </c>
      <c r="AF126" s="84" t="str">
        <f t="shared" si="37"/>
        <v>"C:\Program Files (x86)\AstroGrep\AstroGrep.exe" /spath="%USERPROFILE%\AppData\Local\Temp\OnboardLogs" /stypes="app*4026*20170111*" /stext=" 01:.+((SYSTEM_STATE.+slice.+state.+changed )|(ment ac)|(multiple cpu faults)|(system.+state.+changed )|(\[timeout)|(PRM\|1\|D)|(kpr)|(kdp)|(\|lc)|(penalty))" /e /r /s</v>
      </c>
      <c r="AG126" s="1" t="str">
        <f t="shared" si="38"/>
        <v>EC</v>
      </c>
      <c r="AH126" s="88" t="str">
        <f t="shared" si="39"/>
        <v>"%USERPROFILE%\Documents\GitHub\eaglep3\Utilities\RefineRTDCRunTimes.py" --tripid 208-10 --locoid 4026 --swversion DE.1.0.8.0 --startMP 204:232963 --initTime 2017-01-10T17:47:14 --startdatetime 2017-01-10T17:56:24 --delay 1 --endMP 204:154 --enddatetime 2017-01-10T18:45:27 --enforcementcount 0 &gt;&gt;C:\Users\stu\Documents\GitHub\eaglep3-reporting\EC\2017-01-10-refined-times.txt</v>
      </c>
      <c r="AI126" s="115" t="str">
        <f t="shared" si="40"/>
        <v>echo {"issue":{"subject":"","project_id":79,"tracker_id":40,"status_id":1,"priority_id":2,"assigned_to_id":23,"start_date":"2017-01-10","description":"","custom_fields":[{"id":1,"name":"Subdivision","value":"EC"},{"id":4,"name":"Milepost","value":"0.0154"},{"id":17,"name":"Train ID","value":"208-10"},{"id":16,"name":"Locomotive ID","value":"4026"},{"id":130,"name":"Impact","value":""},{"id":150,"name":"Time of Event (Mountain Time)","value":"18:45:27"},{"id":151,"name":"Denver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0"/>
      <c r="AK126" s="50"/>
      <c r="AL126" s="50"/>
      <c r="AM126" s="180" t="str">
        <f t="shared" si="41"/>
        <v>start /low /b %USERPROFILE%\Documents\GitHub\eaglep3\Utilities\DownloadLogsFromS3.py --loco 4026 --day 2017-01-10</v>
      </c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x14ac:dyDescent="0.25">
      <c r="A127" s="34" t="s">
        <v>606</v>
      </c>
      <c r="B127" s="7">
        <v>4031</v>
      </c>
      <c r="C127" s="22" t="s">
        <v>202</v>
      </c>
      <c r="D127" s="22" t="s">
        <v>391</v>
      </c>
      <c r="E127" s="13">
        <v>42745.715381944443</v>
      </c>
      <c r="F127" s="13">
        <v>42745.719189814816</v>
      </c>
      <c r="G127" s="7">
        <v>1</v>
      </c>
      <c r="H127" s="22" t="s">
        <v>717</v>
      </c>
      <c r="I127" s="13">
        <v>42745.746296296296</v>
      </c>
      <c r="J127" s="7">
        <v>0</v>
      </c>
      <c r="K127" s="105" t="str">
        <f t="shared" si="26"/>
        <v>4031/4032</v>
      </c>
      <c r="L127" s="22" t="str">
        <f>VLOOKUP(A127,'Trips&amp;Operators'!$C$1:$G$99999,5,FALSE)</f>
        <v>CHANDLER KELVIN</v>
      </c>
      <c r="M127" s="6">
        <f t="shared" si="27"/>
        <v>2.7106481480586808E-2</v>
      </c>
      <c r="N127" s="7">
        <f t="shared" si="43"/>
        <v>39.033333332045004</v>
      </c>
      <c r="O127" s="7"/>
      <c r="P127" s="7"/>
      <c r="Q127" s="23"/>
      <c r="R127" s="23"/>
      <c r="S127" s="32">
        <f t="shared" si="44"/>
        <v>1</v>
      </c>
      <c r="T127" s="47" t="str">
        <f t="shared" si="29"/>
        <v>NorthBound</v>
      </c>
      <c r="U127" s="167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https://search-rtdc-monitor-bjffxe2xuh6vdkpspy63sjmuny.us-east-1.es.amazonaws.com/_plugin/kibana/#/discover/Steve-Slow-Train-Analysis-(2080s-and-2083s)?_g=(refreshInterval:(display:Off,section:0,value:0),time:(from:'2017-01-10 16:10:09-700',mode:absolute,to:'2017-01-10 18:54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27" s="49" t="str">
        <f t="shared" si="31"/>
        <v>N</v>
      </c>
      <c r="X127" s="173">
        <f t="shared" si="42"/>
        <v>1</v>
      </c>
      <c r="Y127" s="64">
        <f t="shared" si="32"/>
        <v>4.8000000000000001E-2</v>
      </c>
      <c r="Z127" s="64">
        <f t="shared" si="33"/>
        <v>23.328499999999998</v>
      </c>
      <c r="AA127" s="64">
        <f t="shared" si="34"/>
        <v>23.2805</v>
      </c>
      <c r="AB127" s="61" t="e">
        <f>VLOOKUP(A127,Enforcements!$C$7:$K$17,8,0)</f>
        <v>#N/A</v>
      </c>
      <c r="AC127" s="57" t="e">
        <f>VLOOKUP(A127,Enforcements!$C$7:$E$17,3,0)</f>
        <v>#N/A</v>
      </c>
      <c r="AD127" s="58" t="str">
        <f t="shared" si="35"/>
        <v>0209-10</v>
      </c>
      <c r="AE127" s="87" t="str">
        <f t="shared" si="36"/>
        <v>aws s3 cp s3://rtdc.mdm.uploadarchive.raw/RTDC4031/ "%USERPROFILE%\AppData\Local\Temp\OnboardLogs"\RTDC4031\2017-01-10 --exclude "*" --recursive --include "*20170110*" &amp; "%USERPROFILE%\Documents\GitHub\mrs-test-scripts\Headless Mode &amp; Sideloading\WalkAndUnGZ.bat" "%USERPROFILE%\AppData\Local\Temp\OnboardLogs"\RTDC4031\2017-01-10 &amp; aws s3 cp s3://rtdc.mdm.uploadarchive.raw/RTDC4031/ "%USERPROFILE%\AppData\Local\Temp\OnboardLogs"\RTDC4031\2017-01-11 --exclude "*" --recursive --include "*20170111*" &amp; "%USERPROFILE%\Documents\GitHub\mrs-test-scripts\Headless Mode &amp; Sideloading\WalkAndUnGZ.bat" "%USERPROFILE%\AppData\Local\Temp\OnboardLogs"\RTDC4031\2017-01-11</v>
      </c>
      <c r="AF127" s="84" t="str">
        <f t="shared" si="37"/>
        <v>"C:\Program Files (x86)\AstroGrep\AstroGrep.exe" /spath="%USERPROFILE%\AppData\Local\Temp\OnboardLogs" /stypes="app*4031*20170111*" /stext=" 00:.+((SYSTEM_STATE.+slice.+state.+changed )|(ment ac)|(multiple cpu faults)|(system.+state.+changed )|(\[timeout)|(PRM\|1\|D)|(kpr)|(kdp)|(\|lc)|(penalty))" /e /r /s</v>
      </c>
      <c r="AG127" s="1" t="str">
        <f t="shared" si="38"/>
        <v>EC</v>
      </c>
      <c r="AH127" s="88" t="str">
        <f t="shared" si="39"/>
        <v>"%USERPROFILE%\Documents\GitHub\eaglep3\Utilities\RefineRTDCRunTimes.py" --tripid 209-10 --locoid 4031 --swversion DE.1.0.8.0 --startMP 204:480 --initTime 2017-01-10T17:10:09 --startdatetime 2017-01-10T17:15:38 --delay 1 --endMP 204:233285 --enddatetime 2017-01-10T17:54:40 --enforcementcount 0 &gt;&gt;C:\Users\stu\Documents\GitHub\eaglep3-reporting\EC\2017-01-10-refined-times.txt</v>
      </c>
      <c r="AI127" s="115" t="str">
        <f t="shared" si="40"/>
        <v>echo {"issue":{"subject":"","project_id":79,"tracker_id":40,"status_id":1,"priority_id":2,"assigned_to_id":23,"start_date":"2017-01-10","description":"","custom_fields":[{"id":1,"name":"Subdivision","value":"EC"},{"id":4,"name":"Milepost","value":"23.3285"},{"id":17,"name":"Train ID","value":"209-10"},{"id":16,"name":"Locomotive ID","value":"4031"},{"id":130,"name":"Impact","value":""},{"id":150,"name":"Time of Event (Mountain Time)","value":"17:54:40"},{"id":151,"name":"Denver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0"/>
      <c r="AK127" s="50"/>
      <c r="AL127" s="50"/>
      <c r="AM127" s="180" t="str">
        <f t="shared" si="41"/>
        <v>start /low /b %USERPROFILE%\Documents\GitHub\eaglep3\Utilities\DownloadLogsFromS3.py --loco 4031 --day 2017-01-10</v>
      </c>
    </row>
    <row r="128" spans="1:91" s="21" customFormat="1" x14ac:dyDescent="0.25">
      <c r="A128" s="34" t="s">
        <v>618</v>
      </c>
      <c r="B128" s="7">
        <v>4032</v>
      </c>
      <c r="C128" s="22" t="s">
        <v>202</v>
      </c>
      <c r="D128" s="22" t="s">
        <v>405</v>
      </c>
      <c r="E128" s="13">
        <v>42745.756041666667</v>
      </c>
      <c r="F128" s="13">
        <v>42745.758379629631</v>
      </c>
      <c r="G128" s="7">
        <v>1</v>
      </c>
      <c r="H128" s="22" t="s">
        <v>270</v>
      </c>
      <c r="I128" s="13">
        <v>42745.788807870369</v>
      </c>
      <c r="J128" s="7">
        <v>0</v>
      </c>
      <c r="K128" s="105" t="str">
        <f t="shared" si="26"/>
        <v>4031/4032</v>
      </c>
      <c r="L128" s="22" t="str">
        <f>VLOOKUP(A128,'Trips&amp;Operators'!$C$1:$G$99999,5,FALSE)</f>
        <v>CHANDLER KELVIN</v>
      </c>
      <c r="M128" s="6">
        <f t="shared" si="27"/>
        <v>3.0428240737819578E-2</v>
      </c>
      <c r="N128" s="7">
        <f t="shared" si="43"/>
        <v>43.816666662460193</v>
      </c>
      <c r="O128" s="7"/>
      <c r="P128" s="7"/>
      <c r="Q128" s="23"/>
      <c r="R128" s="23"/>
      <c r="S128" s="32">
        <f t="shared" si="44"/>
        <v>1</v>
      </c>
      <c r="T128" s="47" t="str">
        <f t="shared" si="29"/>
        <v>Southbound</v>
      </c>
      <c r="U128" s="167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https://search-rtdc-monitor-bjffxe2xuh6vdkpspy63sjmuny.us-east-1.es.amazonaws.com/_plugin/kibana/#/discover/Steve-Slow-Train-Analysis-(2080s-and-2083s)?_g=(refreshInterval:(display:Off,section:0,value:0),time:(from:'2017-01-10 17:08:42-700',mode:absolute,to:'2017-01-10 19:55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28" s="49" t="str">
        <f t="shared" si="31"/>
        <v>N</v>
      </c>
      <c r="X128" s="173">
        <f t="shared" si="42"/>
        <v>1</v>
      </c>
      <c r="Y128" s="64">
        <f t="shared" si="32"/>
        <v>23.2972</v>
      </c>
      <c r="Z128" s="64">
        <f t="shared" si="33"/>
        <v>1.41E-2</v>
      </c>
      <c r="AA128" s="64">
        <f t="shared" si="34"/>
        <v>23.283100000000001</v>
      </c>
      <c r="AB128" s="61" t="e">
        <f>VLOOKUP(A128,Enforcements!$C$7:$K$17,8,0)</f>
        <v>#N/A</v>
      </c>
      <c r="AC128" s="57" t="e">
        <f>VLOOKUP(A128,Enforcements!$C$7:$E$17,3,0)</f>
        <v>#N/A</v>
      </c>
      <c r="AD128" s="58" t="str">
        <f t="shared" si="35"/>
        <v>0210-10</v>
      </c>
      <c r="AE128" s="87" t="str">
        <f t="shared" si="36"/>
        <v>aws s3 cp s3://rtdc.mdm.uploadarchive.raw/RTDC4032/ "%USERPROFILE%\AppData\Local\Temp\OnboardLogs"\RTDC4032\2017-01-10 --exclude "*" --recursive --include "*20170110*" &amp; "%USERPROFILE%\Documents\GitHub\mrs-test-scripts\Headless Mode &amp; Sideloading\WalkAndUnGZ.bat" "%USERPROFILE%\AppData\Local\Temp\OnboardLogs"\RTDC4032\2017-01-10 &amp; aws s3 cp s3://rtdc.mdm.uploadarchive.raw/RTDC4032/ "%USERPROFILE%\AppData\Local\Temp\OnboardLogs"\RTDC4032\2017-01-11 --exclude "*" --recursive --include "*20170111*" &amp; "%USERPROFILE%\Documents\GitHub\mrs-test-scripts\Headless Mode &amp; Sideloading\WalkAndUnGZ.bat" "%USERPROFILE%\AppData\Local\Temp\OnboardLogs"\RTDC4032\2017-01-11</v>
      </c>
      <c r="AF128" s="84" t="str">
        <f t="shared" si="37"/>
        <v>"C:\Program Files (x86)\AstroGrep\AstroGrep.exe" /spath="%USERPROFILE%\AppData\Local\Temp\OnboardLogs" /stypes="app*4032*20170111*" /stext=" 01:.+((SYSTEM_STATE.+slice.+state.+changed )|(ment ac)|(multiple cpu faults)|(system.+state.+changed )|(\[timeout)|(PRM\|1\|D)|(kpr)|(kdp)|(\|lc)|(penalty))" /e /r /s</v>
      </c>
      <c r="AG128" s="1" t="str">
        <f t="shared" si="38"/>
        <v>EC</v>
      </c>
      <c r="AH128" s="88" t="str">
        <f t="shared" si="39"/>
        <v>"%USERPROFILE%\Documents\GitHub\eaglep3\Utilities\RefineRTDCRunTimes.py" --tripid 210-10 --locoid 4032 --swversion DE.1.0.8.0 --startMP 204:232972 --initTime 2017-01-10T18:08:42 --startdatetime 2017-01-10T18:12:04 --delay 1 --endMP 204:141 --enddatetime 2017-01-10T18:55:53 --enforcementcount 0 &gt;&gt;C:\Users\stu\Documents\GitHub\eaglep3-reporting\EC\2017-01-10-refined-times.txt</v>
      </c>
      <c r="AI128" s="115" t="str">
        <f t="shared" si="40"/>
        <v>echo {"issue":{"subject":"","project_id":79,"tracker_id":40,"status_id":1,"priority_id":2,"assigned_to_id":23,"start_date":"2017-01-10","description":"","custom_fields":[{"id":1,"name":"Subdivision","value":"EC"},{"id":4,"name":"Milepost","value":"0.0141"},{"id":17,"name":"Train ID","value":"210-10"},{"id":16,"name":"Locomotive ID","value":"4032"},{"id":130,"name":"Impact","value":""},{"id":150,"name":"Time of Event (Mountain Time)","value":"18:55:53"},{"id":151,"name":"Denver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0"/>
      <c r="AK128" s="50"/>
      <c r="AL128" s="50"/>
      <c r="AM128" s="180" t="str">
        <f t="shared" si="41"/>
        <v>start /low /b %USERPROFILE%\Documents\GitHub\eaglep3\Utilities\DownloadLogsFromS3.py --loco 4032 --day 2017-01-10</v>
      </c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x14ac:dyDescent="0.25">
      <c r="A129" s="34" t="s">
        <v>608</v>
      </c>
      <c r="B129" s="7">
        <v>4016</v>
      </c>
      <c r="C129" s="22" t="s">
        <v>202</v>
      </c>
      <c r="D129" s="22" t="s">
        <v>401</v>
      </c>
      <c r="E129" s="13">
        <v>42745.724432870367</v>
      </c>
      <c r="F129" s="13">
        <v>42745.729953703703</v>
      </c>
      <c r="G129" s="7">
        <v>1</v>
      </c>
      <c r="H129" s="22" t="s">
        <v>665</v>
      </c>
      <c r="I129" s="13">
        <v>42745.75818287037</v>
      </c>
      <c r="J129" s="7">
        <v>0</v>
      </c>
      <c r="K129" s="105" t="str">
        <f t="shared" si="26"/>
        <v>4015/4016</v>
      </c>
      <c r="L129" s="22" t="str">
        <f>VLOOKUP(A129,'Trips&amp;Operators'!$C$1:$G$99999,5,FALSE)</f>
        <v>MAHAN DUANE</v>
      </c>
      <c r="M129" s="6">
        <f t="shared" si="27"/>
        <v>2.8229166666278616E-2</v>
      </c>
      <c r="N129" s="7">
        <f t="shared" si="43"/>
        <v>40.649999999441206</v>
      </c>
      <c r="O129" s="7"/>
      <c r="P129" s="7"/>
      <c r="Q129" s="23"/>
      <c r="R129" s="23"/>
      <c r="S129" s="32">
        <f t="shared" si="44"/>
        <v>1</v>
      </c>
      <c r="T129" s="47" t="str">
        <f t="shared" si="29"/>
        <v>NorthBound</v>
      </c>
      <c r="U129" s="167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https://search-rtdc-monitor-bjffxe2xuh6vdkpspy63sjmuny.us-east-1.es.amazonaws.com/_plugin/kibana/#/discover/Steve-Slow-Train-Analysis-(2080s-and-2083s)?_g=(refreshInterval:(display:Off,section:0,value:0),time:(from:'2017-01-10 16:23:11-700',mode:absolute,to:'2017-01-10 19:11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29" s="49" t="str">
        <f t="shared" si="31"/>
        <v>N</v>
      </c>
      <c r="X129" s="173">
        <f t="shared" si="42"/>
        <v>1</v>
      </c>
      <c r="Y129" s="64">
        <f t="shared" si="32"/>
        <v>4.58E-2</v>
      </c>
      <c r="Z129" s="64">
        <f t="shared" si="33"/>
        <v>23.327000000000002</v>
      </c>
      <c r="AA129" s="64">
        <f t="shared" si="34"/>
        <v>23.281200000000002</v>
      </c>
      <c r="AB129" s="61" t="e">
        <f>VLOOKUP(A129,Enforcements!$C$7:$K$17,8,0)</f>
        <v>#N/A</v>
      </c>
      <c r="AC129" s="57" t="e">
        <f>VLOOKUP(A129,Enforcements!$C$7:$E$17,3,0)</f>
        <v>#N/A</v>
      </c>
      <c r="AD129" s="58" t="str">
        <f t="shared" si="35"/>
        <v>0211-10</v>
      </c>
      <c r="AE129" s="87" t="str">
        <f t="shared" si="36"/>
        <v>aws s3 cp s3://rtdc.mdm.uploadarchive.raw/RTDC4016/ "%USERPROFILE%\AppData\Local\Temp\OnboardLogs"\RTDC4016\2017-01-10 --exclude "*" --recursive --include "*20170110*" &amp; "%USERPROFILE%\Documents\GitHub\mrs-test-scripts\Headless Mode &amp; Sideloading\WalkAndUnGZ.bat" "%USERPROFILE%\AppData\Local\Temp\OnboardLogs"\RTDC4016\2017-01-10 &amp; aws s3 cp s3://rtdc.mdm.uploadarchive.raw/RTDC4016/ "%USERPROFILE%\AppData\Local\Temp\OnboardLogs"\RTDC4016\2017-01-11 --exclude "*" --recursive --include "*20170111*" &amp; "%USERPROFILE%\Documents\GitHub\mrs-test-scripts\Headless Mode &amp; Sideloading\WalkAndUnGZ.bat" "%USERPROFILE%\AppData\Local\Temp\OnboardLogs"\RTDC4016\2017-01-11</v>
      </c>
      <c r="AF129" s="84" t="str">
        <f t="shared" si="37"/>
        <v>"C:\Program Files (x86)\AstroGrep\AstroGrep.exe" /spath="%USERPROFILE%\AppData\Local\Temp\OnboardLogs" /stypes="app*4016*20170111*" /stext=" 01:.+((SYSTEM_STATE.+slice.+state.+changed )|(ment ac)|(multiple cpu faults)|(system.+state.+changed )|(\[timeout)|(PRM\|1\|D)|(kpr)|(kdp)|(\|lc)|(penalty))" /e /r /s</v>
      </c>
      <c r="AG129" s="1" t="str">
        <f t="shared" si="38"/>
        <v>EC</v>
      </c>
      <c r="AH129" s="88" t="str">
        <f t="shared" si="39"/>
        <v>"%USERPROFILE%\Documents\GitHub\eaglep3\Utilities\RefineRTDCRunTimes.py" --tripid 211-10 --locoid 4016 --swversion DE.1.0.8.0 --startMP 204:458 --initTime 2017-01-10T17:23:11 --startdatetime 2017-01-10T17:31:08 --delay 1 --endMP 204:233270 --enddatetime 2017-01-10T18:11:47 --enforcementcount 0 &gt;&gt;C:\Users\stu\Documents\GitHub\eaglep3-reporting\EC\2017-01-10-refined-times.txt</v>
      </c>
      <c r="AI129" s="115" t="str">
        <f t="shared" si="40"/>
        <v>echo {"issue":{"subject":"","project_id":79,"tracker_id":40,"status_id":1,"priority_id":2,"assigned_to_id":23,"start_date":"2017-01-10","description":"","custom_fields":[{"id":1,"name":"Subdivision","value":"EC"},{"id":4,"name":"Milepost","value":"23.327"},{"id":17,"name":"Train ID","value":"211-10"},{"id":16,"name":"Locomotive ID","value":"4016"},{"id":130,"name":"Impact","value":""},{"id":150,"name":"Time of Event (Mountain Time)","value":"18:11:47"},{"id":151,"name":"Denver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0"/>
      <c r="AK129" s="50"/>
      <c r="AL129" s="50"/>
      <c r="AM129" s="180" t="str">
        <f t="shared" si="41"/>
        <v>start /low /b %USERPROFILE%\Documents\GitHub\eaglep3\Utilities\DownloadLogsFromS3.py --loco 4016 --day 2017-01-10</v>
      </c>
    </row>
    <row r="130" spans="1:91" s="21" customFormat="1" x14ac:dyDescent="0.25">
      <c r="A130" s="34" t="s">
        <v>621</v>
      </c>
      <c r="B130" s="7">
        <v>4015</v>
      </c>
      <c r="C130" s="22" t="s">
        <v>202</v>
      </c>
      <c r="D130" s="22" t="s">
        <v>718</v>
      </c>
      <c r="E130" s="13">
        <v>42745.767199074071</v>
      </c>
      <c r="F130" s="13">
        <v>42745.769062500003</v>
      </c>
      <c r="G130" s="7">
        <v>1</v>
      </c>
      <c r="H130" s="22" t="s">
        <v>226</v>
      </c>
      <c r="I130" s="13">
        <v>42745.801076388889</v>
      </c>
      <c r="J130" s="7">
        <v>0</v>
      </c>
      <c r="K130" s="105" t="str">
        <f t="shared" si="26"/>
        <v>4015/4016</v>
      </c>
      <c r="L130" s="22" t="str">
        <f>VLOOKUP(A130,'Trips&amp;Operators'!$C$1:$G$99999,5,FALSE)</f>
        <v>MAHAN DUANE</v>
      </c>
      <c r="M130" s="6">
        <f t="shared" si="27"/>
        <v>3.2013888885558117E-2</v>
      </c>
      <c r="N130" s="7">
        <f t="shared" si="43"/>
        <v>46.099999995203689</v>
      </c>
      <c r="O130" s="7"/>
      <c r="P130" s="7"/>
      <c r="Q130" s="23"/>
      <c r="R130" s="23"/>
      <c r="S130" s="32">
        <f t="shared" si="44"/>
        <v>1</v>
      </c>
      <c r="T130" s="47" t="str">
        <f t="shared" si="29"/>
        <v>Southbound</v>
      </c>
      <c r="U130" s="167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https://search-rtdc-monitor-bjffxe2xuh6vdkpspy63sjmuny.us-east-1.es.amazonaws.com/_plugin/kibana/#/discover/Steve-Slow-Train-Analysis-(2080s-and-2083s)?_g=(refreshInterval:(display:Off,section:0,value:0),time:(from:'2017-01-10 17:24:46-700',mode:absolute,to:'2017-01-10 20:13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30" s="49" t="str">
        <f t="shared" si="31"/>
        <v>N</v>
      </c>
      <c r="X130" s="173">
        <f t="shared" si="42"/>
        <v>1</v>
      </c>
      <c r="Y130" s="64">
        <f t="shared" si="32"/>
        <v>23.2944</v>
      </c>
      <c r="Z130" s="64">
        <f t="shared" si="33"/>
        <v>1.4500000000000001E-2</v>
      </c>
      <c r="AA130" s="64">
        <f t="shared" si="34"/>
        <v>23.279899999999998</v>
      </c>
      <c r="AB130" s="61" t="e">
        <f>VLOOKUP(A130,Enforcements!$C$7:$K$17,8,0)</f>
        <v>#N/A</v>
      </c>
      <c r="AC130" s="57" t="e">
        <f>VLOOKUP(A130,Enforcements!$C$7:$E$17,3,0)</f>
        <v>#N/A</v>
      </c>
      <c r="AD130" s="58" t="str">
        <f t="shared" si="35"/>
        <v>0212-10</v>
      </c>
      <c r="AE130" s="87" t="str">
        <f t="shared" si="36"/>
        <v>aws s3 cp s3://rtdc.mdm.uploadarchive.raw/RTDC4015/ "%USERPROFILE%\AppData\Local\Temp\OnboardLogs"\RTDC4015\2017-01-10 --exclude "*" --recursive --include "*20170110*" &amp; "%USERPROFILE%\Documents\GitHub\mrs-test-scripts\Headless Mode &amp; Sideloading\WalkAndUnGZ.bat" "%USERPROFILE%\AppData\Local\Temp\OnboardLogs"\RTDC4015\2017-01-10 &amp; aws s3 cp s3://rtdc.mdm.uploadarchive.raw/RTDC4015/ "%USERPROFILE%\AppData\Local\Temp\OnboardLogs"\RTDC4015\2017-01-11 --exclude "*" --recursive --include "*20170111*" &amp; "%USERPROFILE%\Documents\GitHub\mrs-test-scripts\Headless Mode &amp; Sideloading\WalkAndUnGZ.bat" "%USERPROFILE%\AppData\Local\Temp\OnboardLogs"\RTDC4015\2017-01-11</v>
      </c>
      <c r="AF130" s="84" t="str">
        <f t="shared" si="37"/>
        <v>"C:\Program Files (x86)\AstroGrep\AstroGrep.exe" /spath="%USERPROFILE%\AppData\Local\Temp\OnboardLogs" /stypes="app*4015*20170111*" /stext=" 02:.+((SYSTEM_STATE.+slice.+state.+changed )|(ment ac)|(multiple cpu faults)|(system.+state.+changed )|(\[timeout)|(PRM\|1\|D)|(kpr)|(kdp)|(\|lc)|(penalty))" /e /r /s</v>
      </c>
      <c r="AG130" s="1" t="str">
        <f t="shared" si="38"/>
        <v>EC</v>
      </c>
      <c r="AH130" s="88" t="str">
        <f t="shared" si="39"/>
        <v>"%USERPROFILE%\Documents\GitHub\eaglep3\Utilities\RefineRTDCRunTimes.py" --tripid 212-10 --locoid 4015 --swversion DE.1.0.8.0 --startMP 204:232944 --initTime 2017-01-10T18:24:46 --startdatetime 2017-01-10T18:27:27 --delay 1 --endMP 204:145 --enddatetime 2017-01-10T19:13:33 --enforcementcount 0 &gt;&gt;C:\Users\stu\Documents\GitHub\eaglep3-reporting\EC\2017-01-10-refined-times.txt</v>
      </c>
      <c r="AI130" s="115" t="str">
        <f t="shared" si="40"/>
        <v>echo {"issue":{"subject":"","project_id":79,"tracker_id":40,"status_id":1,"priority_id":2,"assigned_to_id":23,"start_date":"2017-01-10","description":"","custom_fields":[{"id":1,"name":"Subdivision","value":"EC"},{"id":4,"name":"Milepost","value":"0.0145"},{"id":17,"name":"Train ID","value":"212-10"},{"id":16,"name":"Locomotive ID","value":"4015"},{"id":130,"name":"Impact","value":""},{"id":150,"name":"Time of Event (Mountain Time)","value":"19:13:33"},{"id":151,"name":"Denver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0"/>
      <c r="AK130" s="50"/>
      <c r="AL130" s="50"/>
      <c r="AM130" s="180" t="str">
        <f t="shared" si="41"/>
        <v>start /low /b %USERPROFILE%\Documents\GitHub\eaglep3\Utilities\DownloadLogsFromS3.py --loco 4015 --day 2017-01-10</v>
      </c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4" t="s">
        <v>453</v>
      </c>
      <c r="B131" s="7">
        <v>4007</v>
      </c>
      <c r="C131" s="22" t="s">
        <v>202</v>
      </c>
      <c r="D131" s="22" t="s">
        <v>684</v>
      </c>
      <c r="E131" s="13">
        <v>42745.732152777775</v>
      </c>
      <c r="F131" s="13">
        <v>42745.739745370367</v>
      </c>
      <c r="G131" s="7">
        <v>2</v>
      </c>
      <c r="H131" s="22" t="s">
        <v>392</v>
      </c>
      <c r="I131" s="13">
        <v>42745.765081018515</v>
      </c>
      <c r="J131" s="7">
        <v>0</v>
      </c>
      <c r="K131" s="105" t="str">
        <f t="shared" si="26"/>
        <v>4007/4008</v>
      </c>
      <c r="L131" s="22" t="str">
        <f>VLOOKUP(A131,'Trips&amp;Operators'!$C$1:$G$99999,5,FALSE)</f>
        <v>NEWELL JAMES</v>
      </c>
      <c r="M131" s="6">
        <f t="shared" si="27"/>
        <v>2.5335648148029577E-2</v>
      </c>
      <c r="N131" s="7">
        <f t="shared" si="43"/>
        <v>36.483333333162591</v>
      </c>
      <c r="O131" s="7"/>
      <c r="P131" s="7"/>
      <c r="Q131" s="23"/>
      <c r="R131" s="23"/>
      <c r="S131" s="32">
        <f t="shared" si="44"/>
        <v>1</v>
      </c>
      <c r="T131" s="47" t="str">
        <f t="shared" si="29"/>
        <v>NorthBound</v>
      </c>
      <c r="U131" s="167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https://search-rtdc-monitor-bjffxe2xuh6vdkpspy63sjmuny.us-east-1.es.amazonaws.com/_plugin/kibana/#/discover/Steve-Slow-Train-Analysis-(2080s-and-2083s)?_g=(refreshInterval:(display:Off,section:0,value:0),time:(from:'2017-01-10 16:34:18-700',mode:absolute,to:'2017-01-10 19:21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31" s="49" t="str">
        <f t="shared" si="31"/>
        <v>N</v>
      </c>
      <c r="X131" s="173">
        <f t="shared" si="42"/>
        <v>1</v>
      </c>
      <c r="Y131" s="64">
        <f t="shared" si="32"/>
        <v>4.8599999999999997E-2</v>
      </c>
      <c r="Z131" s="64">
        <f t="shared" si="33"/>
        <v>23.331499999999998</v>
      </c>
      <c r="AA131" s="64">
        <f t="shared" si="34"/>
        <v>23.282899999999998</v>
      </c>
      <c r="AB131" s="61" t="e">
        <f>VLOOKUP(A131,Enforcements!$C$7:$K$17,8,0)</f>
        <v>#N/A</v>
      </c>
      <c r="AC131" s="57" t="e">
        <f>VLOOKUP(A131,Enforcements!$C$7:$E$17,3,0)</f>
        <v>#N/A</v>
      </c>
      <c r="AD131" s="58" t="str">
        <f t="shared" si="35"/>
        <v>0213-10</v>
      </c>
      <c r="AE131" s="87" t="str">
        <f t="shared" si="36"/>
        <v>aws s3 cp s3://rtdc.mdm.uploadarchive.raw/RTDC4007/ "%USERPROFILE%\AppData\Local\Temp\OnboardLogs"\RTDC4007\2017-01-10 --exclude "*" --recursive --include "*20170110*" &amp; "%USERPROFILE%\Documents\GitHub\mrs-test-scripts\Headless Mode &amp; Sideloading\WalkAndUnGZ.bat" "%USERPROFILE%\AppData\Local\Temp\OnboardLogs"\RTDC4007\2017-01-10 &amp; aws s3 cp s3://rtdc.mdm.uploadarchive.raw/RTDC4007/ "%USERPROFILE%\AppData\Local\Temp\OnboardLogs"\RTDC4007\2017-01-11 --exclude "*" --recursive --include "*20170111*" &amp; "%USERPROFILE%\Documents\GitHub\mrs-test-scripts\Headless Mode &amp; Sideloading\WalkAndUnGZ.bat" "%USERPROFILE%\AppData\Local\Temp\OnboardLogs"\RTDC4007\2017-01-11</v>
      </c>
      <c r="AF131" s="84" t="str">
        <f t="shared" si="37"/>
        <v>"C:\Program Files (x86)\AstroGrep\AstroGrep.exe" /spath="%USERPROFILE%\AppData\Local\Temp\OnboardLogs" /stypes="app*4007*20170111*" /stext=" 01:.+((SYSTEM_STATE.+slice.+state.+changed )|(ment ac)|(multiple cpu faults)|(system.+state.+changed )|(\[timeout)|(PRM\|1\|D)|(kpr)|(kdp)|(\|lc)|(penalty))" /e /r /s</v>
      </c>
      <c r="AG131" s="1" t="str">
        <f t="shared" si="38"/>
        <v>EC</v>
      </c>
      <c r="AH131" s="88" t="str">
        <f t="shared" si="39"/>
        <v>"%USERPROFILE%\Documents\GitHub\eaglep3\Utilities\RefineRTDCRunTimes.py" --tripid 213-10 --locoid 4007 --swversion DE.1.0.8.0 --startMP 204:486 --initTime 2017-01-10T17:34:18 --startdatetime 2017-01-10T17:45:14 --delay 2 --endMP 204:233315 --enddatetime 2017-01-10T18:21:43 --enforcementcount 0 &gt;&gt;C:\Users\stu\Documents\GitHub\eaglep3-reporting\EC\2017-01-10-refined-times.txt</v>
      </c>
      <c r="AI131" s="115" t="str">
        <f t="shared" si="40"/>
        <v>echo {"issue":{"subject":"","project_id":79,"tracker_id":40,"status_id":1,"priority_id":2,"assigned_to_id":23,"start_date":"2017-01-10","description":"","custom_fields":[{"id":1,"name":"Subdivision","value":"EC"},{"id":4,"name":"Milepost","value":"23.3315"},{"id":17,"name":"Train ID","value":"213-10"},{"id":16,"name":"Locomotive ID","value":"4007"},{"id":130,"name":"Impact","value":""},{"id":150,"name":"Time of Event (Mountain Time)","value":"18:21:43"},{"id":151,"name":"Denver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0"/>
      <c r="AK131" s="50"/>
      <c r="AL131" s="50"/>
      <c r="AM131" s="180" t="str">
        <f t="shared" si="41"/>
        <v>start /low /b %USERPROFILE%\Documents\GitHub\eaglep3\Utilities\DownloadLogsFromS3.py --loco 4007 --day 2017-01-10</v>
      </c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4" t="s">
        <v>623</v>
      </c>
      <c r="B132" s="7">
        <v>4008</v>
      </c>
      <c r="C132" s="22" t="s">
        <v>202</v>
      </c>
      <c r="D132" s="22" t="s">
        <v>291</v>
      </c>
      <c r="E132" s="13">
        <v>42745.769409722219</v>
      </c>
      <c r="F132" s="13">
        <v>42745.779363425929</v>
      </c>
      <c r="G132" s="7">
        <v>1</v>
      </c>
      <c r="H132" s="22" t="s">
        <v>208</v>
      </c>
      <c r="I132" s="13">
        <v>42745.809652777774</v>
      </c>
      <c r="J132" s="7">
        <v>0</v>
      </c>
      <c r="K132" s="105" t="str">
        <f t="shared" si="26"/>
        <v>4007/4008</v>
      </c>
      <c r="L132" s="22" t="str">
        <f>VLOOKUP(A132,'Trips&amp;Operators'!$C$1:$G$99999,5,FALSE)</f>
        <v>NEWELL JAMES</v>
      </c>
      <c r="M132" s="6">
        <f t="shared" si="27"/>
        <v>3.028935184556758E-2</v>
      </c>
      <c r="N132" s="7">
        <f t="shared" si="43"/>
        <v>43.616666657617316</v>
      </c>
      <c r="O132" s="7"/>
      <c r="P132" s="7"/>
      <c r="Q132" s="23"/>
      <c r="R132" s="23"/>
      <c r="S132" s="32">
        <f t="shared" si="44"/>
        <v>1</v>
      </c>
      <c r="T132" s="47" t="str">
        <f t="shared" si="29"/>
        <v>Southbound</v>
      </c>
      <c r="U132" s="167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https://search-rtdc-monitor-bjffxe2xuh6vdkpspy63sjmuny.us-east-1.es.amazonaws.com/_plugin/kibana/#/discover/Steve-Slow-Train-Analysis-(2080s-and-2083s)?_g=(refreshInterval:(display:Off,section:0,value:0),time:(from:'2017-01-10 17:27:57-700',mode:absolute,to:'2017-01-10 20:25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32" s="49" t="str">
        <f t="shared" si="31"/>
        <v>N</v>
      </c>
      <c r="X132" s="173">
        <f t="shared" si="42"/>
        <v>1</v>
      </c>
      <c r="Y132" s="64">
        <f t="shared" si="32"/>
        <v>23.298300000000001</v>
      </c>
      <c r="Z132" s="64">
        <f t="shared" si="33"/>
        <v>1.4999999999999999E-2</v>
      </c>
      <c r="AA132" s="64">
        <f t="shared" si="34"/>
        <v>23.283300000000001</v>
      </c>
      <c r="AB132" s="61" t="e">
        <f>VLOOKUP(A132,Enforcements!$C$7:$K$17,8,0)</f>
        <v>#N/A</v>
      </c>
      <c r="AC132" s="57" t="e">
        <f>VLOOKUP(A132,Enforcements!$C$7:$E$17,3,0)</f>
        <v>#N/A</v>
      </c>
      <c r="AD132" s="58" t="str">
        <f t="shared" si="35"/>
        <v>0214-10</v>
      </c>
      <c r="AE132" s="87" t="str">
        <f t="shared" si="36"/>
        <v>aws s3 cp s3://rtdc.mdm.uploadarchive.raw/RTDC4008/ "%USERPROFILE%\AppData\Local\Temp\OnboardLogs"\RTDC4008\2017-01-10 --exclude "*" --recursive --include "*20170110*" &amp; "%USERPROFILE%\Documents\GitHub\mrs-test-scripts\Headless Mode &amp; Sideloading\WalkAndUnGZ.bat" "%USERPROFILE%\AppData\Local\Temp\OnboardLogs"\RTDC4008\2017-01-10 &amp; aws s3 cp s3://rtdc.mdm.uploadarchive.raw/RTDC4008/ "%USERPROFILE%\AppData\Local\Temp\OnboardLogs"\RTDC4008\2017-01-11 --exclude "*" --recursive --include "*20170111*" &amp; "%USERPROFILE%\Documents\GitHub\mrs-test-scripts\Headless Mode &amp; Sideloading\WalkAndUnGZ.bat" "%USERPROFILE%\AppData\Local\Temp\OnboardLogs"\RTDC4008\2017-01-11</v>
      </c>
      <c r="AF132" s="84" t="str">
        <f t="shared" si="37"/>
        <v>"C:\Program Files (x86)\AstroGrep\AstroGrep.exe" /spath="%USERPROFILE%\AppData\Local\Temp\OnboardLogs" /stypes="app*4008*20170111*" /stext=" 02:.+((SYSTEM_STATE.+slice.+state.+changed )|(ment ac)|(multiple cpu faults)|(system.+state.+changed )|(\[timeout)|(PRM\|1\|D)|(kpr)|(kdp)|(\|lc)|(penalty))" /e /r /s</v>
      </c>
      <c r="AG132" s="1" t="str">
        <f t="shared" si="38"/>
        <v>EC</v>
      </c>
      <c r="AH132" s="88" t="str">
        <f t="shared" si="39"/>
        <v>"%USERPROFILE%\Documents\GitHub\eaglep3\Utilities\RefineRTDCRunTimes.py" --tripid 214-10 --locoid 4008 --swversion DE.1.0.8.0 --startMP 204:232983 --initTime 2017-01-10T18:27:57 --startdatetime 2017-01-10T18:42:17 --delay 1 --endMP 204:150 --enddatetime 2017-01-10T19:25:54 --enforcementcount 0 &gt;&gt;C:\Users\stu\Documents\GitHub\eaglep3-reporting\EC\2017-01-10-refined-times.txt</v>
      </c>
      <c r="AI132" s="115" t="str">
        <f t="shared" si="40"/>
        <v>echo {"issue":{"subject":"","project_id":79,"tracker_id":40,"status_id":1,"priority_id":2,"assigned_to_id":23,"start_date":"2017-01-10","description":"","custom_fields":[{"id":1,"name":"Subdivision","value":"EC"},{"id":4,"name":"Milepost","value":"0.015"},{"id":17,"name":"Train ID","value":"214-10"},{"id":16,"name":"Locomotive ID","value":"4008"},{"id":130,"name":"Impact","value":""},{"id":150,"name":"Time of Event (Mountain Time)","value":"19:25:54"},{"id":151,"name":"Denver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0"/>
      <c r="AK132" s="50"/>
      <c r="AL132" s="50"/>
      <c r="AM132" s="180" t="str">
        <f t="shared" si="41"/>
        <v>start /low /b %USERPROFILE%\Documents\GitHub\eaglep3\Utilities\DownloadLogsFromS3.py --loco 4008 --day 2017-01-10</v>
      </c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4" t="s">
        <v>615</v>
      </c>
      <c r="B133" s="7">
        <v>4018</v>
      </c>
      <c r="C133" s="22" t="s">
        <v>202</v>
      </c>
      <c r="D133" s="22" t="s">
        <v>343</v>
      </c>
      <c r="E133" s="13">
        <v>42745.741666666669</v>
      </c>
      <c r="F133" s="13">
        <v>42745.750335648147</v>
      </c>
      <c r="G133" s="7">
        <v>1</v>
      </c>
      <c r="H133" s="22" t="s">
        <v>295</v>
      </c>
      <c r="I133" s="13">
        <v>42745.779062499998</v>
      </c>
      <c r="J133" s="7">
        <v>0</v>
      </c>
      <c r="K133" s="105" t="str">
        <f t="shared" si="26"/>
        <v>4017/4018</v>
      </c>
      <c r="L133" s="22" t="str">
        <f>VLOOKUP(A133,'Trips&amp;Operators'!$C$1:$G$99999,5,FALSE)</f>
        <v>HAITHCOX MICHAEL</v>
      </c>
      <c r="M133" s="6">
        <f t="shared" si="27"/>
        <v>2.8726851851388346E-2</v>
      </c>
      <c r="N133" s="7">
        <f t="shared" si="43"/>
        <v>41.366666665999219</v>
      </c>
      <c r="O133" s="7"/>
      <c r="P133" s="7"/>
      <c r="Q133" s="23"/>
      <c r="R133" s="23"/>
      <c r="S133" s="32">
        <f t="shared" si="44"/>
        <v>1</v>
      </c>
      <c r="T133" s="47" t="str">
        <f t="shared" si="29"/>
        <v>NorthBound</v>
      </c>
      <c r="U133" s="167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https://search-rtdc-monitor-bjffxe2xuh6vdkpspy63sjmuny.us-east-1.es.amazonaws.com/_plugin/kibana/#/discover/Steve-Slow-Train-Analysis-(2080s-and-2083s)?_g=(refreshInterval:(display:Off,section:0,value:0),time:(from:'2017-01-10 16:48:00-700',mode:absolute,to:'2017-01-10 19:41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33" s="49" t="str">
        <f t="shared" si="31"/>
        <v>N</v>
      </c>
      <c r="X133" s="173">
        <f t="shared" si="42"/>
        <v>1</v>
      </c>
      <c r="Y133" s="64">
        <f t="shared" si="32"/>
        <v>4.7100000000000003E-2</v>
      </c>
      <c r="Z133" s="64">
        <f t="shared" si="33"/>
        <v>23.329499999999999</v>
      </c>
      <c r="AA133" s="64">
        <f t="shared" si="34"/>
        <v>23.282399999999999</v>
      </c>
      <c r="AB133" s="61" t="e">
        <f>VLOOKUP(A133,Enforcements!$C$7:$K$17,8,0)</f>
        <v>#N/A</v>
      </c>
      <c r="AC133" s="57" t="e">
        <f>VLOOKUP(A133,Enforcements!$C$7:$E$17,3,0)</f>
        <v>#N/A</v>
      </c>
      <c r="AD133" s="58" t="str">
        <f t="shared" si="35"/>
        <v>0215-10</v>
      </c>
      <c r="AE133" s="87" t="str">
        <f t="shared" si="36"/>
        <v>aws s3 cp s3://rtdc.mdm.uploadarchive.raw/RTDC4018/ "%USERPROFILE%\AppData\Local\Temp\OnboardLogs"\RTDC4018\2017-01-10 --exclude "*" --recursive --include "*20170110*" &amp; "%USERPROFILE%\Documents\GitHub\mrs-test-scripts\Headless Mode &amp; Sideloading\WalkAndUnGZ.bat" "%USERPROFILE%\AppData\Local\Temp\OnboardLogs"\RTDC4018\2017-01-10 &amp; aws s3 cp s3://rtdc.mdm.uploadarchive.raw/RTDC4018/ "%USERPROFILE%\AppData\Local\Temp\OnboardLogs"\RTDC4018\2017-01-11 --exclude "*" --recursive --include "*20170111*" &amp; "%USERPROFILE%\Documents\GitHub\mrs-test-scripts\Headless Mode &amp; Sideloading\WalkAndUnGZ.bat" "%USERPROFILE%\AppData\Local\Temp\OnboardLogs"\RTDC4018\2017-01-11</v>
      </c>
      <c r="AF133" s="84" t="str">
        <f t="shared" si="37"/>
        <v>"C:\Program Files (x86)\AstroGrep\AstroGrep.exe" /spath="%USERPROFILE%\AppData\Local\Temp\OnboardLogs" /stypes="app*4018*20170111*" /stext=" 01:.+((SYSTEM_STATE.+slice.+state.+changed )|(ment ac)|(multiple cpu faults)|(system.+state.+changed )|(\[timeout)|(PRM\|1\|D)|(kpr)|(kdp)|(\|lc)|(penalty))" /e /r /s</v>
      </c>
      <c r="AG133" s="1" t="str">
        <f t="shared" si="38"/>
        <v>EC</v>
      </c>
      <c r="AH133" s="88" t="str">
        <f t="shared" si="39"/>
        <v>"%USERPROFILE%\Documents\GitHub\eaglep3\Utilities\RefineRTDCRunTimes.py" --tripid 215-10 --locoid 4018 --swversion DE.1.0.8.0 --startMP 204:471 --initTime 2017-01-10T17:48:00 --startdatetime 2017-01-10T18:00:29 --delay 1 --endMP 204:233295 --enddatetime 2017-01-10T18:41:51 --enforcementcount 0 &gt;&gt;C:\Users\stu\Documents\GitHub\eaglep3-reporting\EC\2017-01-10-refined-times.txt</v>
      </c>
      <c r="AI133" s="115" t="str">
        <f t="shared" si="40"/>
        <v>echo {"issue":{"subject":"","project_id":79,"tracker_id":40,"status_id":1,"priority_id":2,"assigned_to_id":23,"start_date":"2017-01-10","description":"","custom_fields":[{"id":1,"name":"Subdivision","value":"EC"},{"id":4,"name":"Milepost","value":"23.3295"},{"id":17,"name":"Train ID","value":"215-10"},{"id":16,"name":"Locomotive ID","value":"4018"},{"id":130,"name":"Impact","value":""},{"id":150,"name":"Time of Event (Mountain Time)","value":"18:41:51"},{"id":151,"name":"Denver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0"/>
      <c r="AK133" s="50"/>
      <c r="AL133" s="50"/>
      <c r="AM133" s="180" t="str">
        <f t="shared" si="41"/>
        <v>start /low /b %USERPROFILE%\Documents\GitHub\eaglep3\Utilities\DownloadLogsFromS3.py --loco 4018 --day 2017-01-10</v>
      </c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4" t="s">
        <v>628</v>
      </c>
      <c r="B134" s="7">
        <v>4017</v>
      </c>
      <c r="C134" s="22" t="s">
        <v>202</v>
      </c>
      <c r="D134" s="22" t="s">
        <v>683</v>
      </c>
      <c r="E134" s="13">
        <v>42745.785590277781</v>
      </c>
      <c r="F134" s="13">
        <v>42745.789143518516</v>
      </c>
      <c r="G134" s="7">
        <v>1</v>
      </c>
      <c r="H134" s="22" t="s">
        <v>270</v>
      </c>
      <c r="I134" s="13">
        <v>42745.821273148147</v>
      </c>
      <c r="J134" s="7">
        <v>0</v>
      </c>
      <c r="K134" s="105" t="str">
        <f t="shared" si="26"/>
        <v>4017/4018</v>
      </c>
      <c r="L134" s="22" t="str">
        <f>VLOOKUP(A134,'Trips&amp;Operators'!$C$1:$G$99999,5,FALSE)</f>
        <v>HAITHCOX MICHAEL</v>
      </c>
      <c r="M134" s="6">
        <f t="shared" si="27"/>
        <v>3.2129629631526768E-2</v>
      </c>
      <c r="N134" s="7">
        <f t="shared" si="43"/>
        <v>46.266666669398546</v>
      </c>
      <c r="O134" s="7"/>
      <c r="P134" s="7"/>
      <c r="Q134" s="23"/>
      <c r="R134" s="23"/>
      <c r="S134" s="32">
        <f t="shared" si="44"/>
        <v>1</v>
      </c>
      <c r="T134" s="47" t="str">
        <f t="shared" si="29"/>
        <v>Southbound</v>
      </c>
      <c r="U134" s="167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https://search-rtdc-monitor-bjffxe2xuh6vdkpspy63sjmuny.us-east-1.es.amazonaws.com/_plugin/kibana/#/discover/Steve-Slow-Train-Analysis-(2080s-and-2083s)?_g=(refreshInterval:(display:Off,section:0,value:0),time:(from:'2017-01-10 17:51:15-700',mode:absolute,to:'2017-01-10 20:42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34" s="49" t="str">
        <f t="shared" si="31"/>
        <v>N</v>
      </c>
      <c r="X134" s="173">
        <f t="shared" si="42"/>
        <v>1</v>
      </c>
      <c r="Y134" s="64">
        <f t="shared" si="32"/>
        <v>23.298200000000001</v>
      </c>
      <c r="Z134" s="64">
        <f t="shared" si="33"/>
        <v>1.41E-2</v>
      </c>
      <c r="AA134" s="64">
        <f t="shared" si="34"/>
        <v>23.284100000000002</v>
      </c>
      <c r="AB134" s="61" t="e">
        <f>VLOOKUP(A134,Enforcements!$C$7:$K$17,8,0)</f>
        <v>#N/A</v>
      </c>
      <c r="AC134" s="57" t="e">
        <f>VLOOKUP(A134,Enforcements!$C$7:$E$17,3,0)</f>
        <v>#N/A</v>
      </c>
      <c r="AD134" s="58" t="str">
        <f t="shared" si="35"/>
        <v>0216-10</v>
      </c>
      <c r="AE134" s="87" t="str">
        <f t="shared" si="36"/>
        <v>aws s3 cp s3://rtdc.mdm.uploadarchive.raw/RTDC4017/ "%USERPROFILE%\AppData\Local\Temp\OnboardLogs"\RTDC4017\2017-01-10 --exclude "*" --recursive --include "*20170110*" &amp; "%USERPROFILE%\Documents\GitHub\mrs-test-scripts\Headless Mode &amp; Sideloading\WalkAndUnGZ.bat" "%USERPROFILE%\AppData\Local\Temp\OnboardLogs"\RTDC4017\2017-01-10 &amp; aws s3 cp s3://rtdc.mdm.uploadarchive.raw/RTDC4017/ "%USERPROFILE%\AppData\Local\Temp\OnboardLogs"\RTDC4017\2017-01-11 --exclude "*" --recursive --include "*20170111*" &amp; "%USERPROFILE%\Documents\GitHub\mrs-test-scripts\Headless Mode &amp; Sideloading\WalkAndUnGZ.bat" "%USERPROFILE%\AppData\Local\Temp\OnboardLogs"\RTDC4017\2017-01-11</v>
      </c>
      <c r="AF134" s="84" t="str">
        <f t="shared" si="37"/>
        <v>"C:\Program Files (x86)\AstroGrep\AstroGrep.exe" /spath="%USERPROFILE%\AppData\Local\Temp\OnboardLogs" /stypes="app*4017*20170111*" /stext=" 02:.+((SYSTEM_STATE.+slice.+state.+changed )|(ment ac)|(multiple cpu faults)|(system.+state.+changed )|(\[timeout)|(PRM\|1\|D)|(kpr)|(kdp)|(\|lc)|(penalty))" /e /r /s</v>
      </c>
      <c r="AG134" s="1" t="str">
        <f t="shared" si="38"/>
        <v>EC</v>
      </c>
      <c r="AH134" s="88" t="str">
        <f t="shared" si="39"/>
        <v>"%USERPROFILE%\Documents\GitHub\eaglep3\Utilities\RefineRTDCRunTimes.py" --tripid 216-10 --locoid 4017 --swversion DE.1.0.8.0 --startMP 204:232982 --initTime 2017-01-10T18:51:15 --startdatetime 2017-01-10T18:56:22 --delay 1 --endMP 204:141 --enddatetime 2017-01-10T19:42:38 --enforcementcount 0 &gt;&gt;C:\Users\stu\Documents\GitHub\eaglep3-reporting\EC\2017-01-10-refined-times.txt</v>
      </c>
      <c r="AI134" s="115" t="str">
        <f t="shared" si="40"/>
        <v>echo {"issue":{"subject":"","project_id":79,"tracker_id":40,"status_id":1,"priority_id":2,"assigned_to_id":23,"start_date":"2017-01-10","description":"","custom_fields":[{"id":1,"name":"Subdivision","value":"EC"},{"id":4,"name":"Milepost","value":"0.0141"},{"id":17,"name":"Train ID","value":"216-10"},{"id":16,"name":"Locomotive ID","value":"4017"},{"id":130,"name":"Impact","value":""},{"id":150,"name":"Time of Event (Mountain Time)","value":"19:42:38"},{"id":151,"name":"Denver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0"/>
      <c r="AK134" s="50"/>
      <c r="AL134" s="50"/>
      <c r="AM134" s="180" t="str">
        <f t="shared" si="41"/>
        <v>start /low /b %USERPROFILE%\Documents\GitHub\eaglep3\Utilities\DownloadLogsFromS3.py --loco 4017 --day 2017-01-10</v>
      </c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4" t="s">
        <v>617</v>
      </c>
      <c r="B135" s="7">
        <v>4042</v>
      </c>
      <c r="C135" s="22" t="s">
        <v>202</v>
      </c>
      <c r="D135" s="22" t="s">
        <v>398</v>
      </c>
      <c r="E135" s="13">
        <v>42745.755590277775</v>
      </c>
      <c r="F135" s="13">
        <v>42745.761608796296</v>
      </c>
      <c r="G135" s="7">
        <v>1</v>
      </c>
      <c r="H135" s="22" t="s">
        <v>250</v>
      </c>
      <c r="I135" s="13">
        <v>42745.789861111109</v>
      </c>
      <c r="J135" s="7">
        <v>0</v>
      </c>
      <c r="K135" s="105" t="str">
        <f t="shared" si="26"/>
        <v>4041/4042</v>
      </c>
      <c r="L135" s="22" t="str">
        <f>VLOOKUP(A135,'Trips&amp;Operators'!$C$1:$G$99999,5,FALSE)</f>
        <v>NELSON ARIANE</v>
      </c>
      <c r="M135" s="6">
        <f t="shared" si="27"/>
        <v>2.8252314812561963E-2</v>
      </c>
      <c r="N135" s="7">
        <f t="shared" si="43"/>
        <v>40.683333330089226</v>
      </c>
      <c r="O135" s="7"/>
      <c r="P135" s="7"/>
      <c r="Q135" s="23"/>
      <c r="R135" s="23"/>
      <c r="S135" s="32">
        <f t="shared" si="44"/>
        <v>1</v>
      </c>
      <c r="T135" s="47" t="str">
        <f t="shared" si="29"/>
        <v>NorthBound</v>
      </c>
      <c r="U135" s="167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https://search-rtdc-monitor-bjffxe2xuh6vdkpspy63sjmuny.us-east-1.es.amazonaws.com/_plugin/kibana/#/discover/Steve-Slow-Train-Analysis-(2080s-and-2083s)?_g=(refreshInterval:(display:Off,section:0,value:0),time:(from:'2017-01-10 17:08:03-700',mode:absolute,to:'2017-01-10 19:57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35" s="49" t="str">
        <f t="shared" si="31"/>
        <v>N</v>
      </c>
      <c r="X135" s="173">
        <f t="shared" si="42"/>
        <v>1</v>
      </c>
      <c r="Y135" s="64">
        <f t="shared" si="32"/>
        <v>4.3099999999999999E-2</v>
      </c>
      <c r="Z135" s="64">
        <f t="shared" si="33"/>
        <v>23.328900000000001</v>
      </c>
      <c r="AA135" s="64">
        <f t="shared" si="34"/>
        <v>23.285800000000002</v>
      </c>
      <c r="AB135" s="61" t="e">
        <f>VLOOKUP(A135,Enforcements!$C$7:$K$17,8,0)</f>
        <v>#N/A</v>
      </c>
      <c r="AC135" s="57" t="e">
        <f>VLOOKUP(A135,Enforcements!$C$7:$E$17,3,0)</f>
        <v>#N/A</v>
      </c>
      <c r="AD135" s="58" t="str">
        <f t="shared" si="35"/>
        <v>0217-10</v>
      </c>
      <c r="AE135" s="87" t="str">
        <f t="shared" si="36"/>
        <v>aws s3 cp s3://rtdc.mdm.uploadarchive.raw/RTDC4042/ "%USERPROFILE%\AppData\Local\Temp\OnboardLogs"\RTDC4042\2017-01-10 --exclude "*" --recursive --include "*20170110*" &amp; "%USERPROFILE%\Documents\GitHub\mrs-test-scripts\Headless Mode &amp; Sideloading\WalkAndUnGZ.bat" "%USERPROFILE%\AppData\Local\Temp\OnboardLogs"\RTDC4042\2017-01-10 &amp; aws s3 cp s3://rtdc.mdm.uploadarchive.raw/RTDC4042/ "%USERPROFILE%\AppData\Local\Temp\OnboardLogs"\RTDC4042\2017-01-11 --exclude "*" --recursive --include "*20170111*" &amp; "%USERPROFILE%\Documents\GitHub\mrs-test-scripts\Headless Mode &amp; Sideloading\WalkAndUnGZ.bat" "%USERPROFILE%\AppData\Local\Temp\OnboardLogs"\RTDC4042\2017-01-11</v>
      </c>
      <c r="AF135" s="84" t="str">
        <f t="shared" si="37"/>
        <v>"C:\Program Files (x86)\AstroGrep\AstroGrep.exe" /spath="%USERPROFILE%\AppData\Local\Temp\OnboardLogs" /stypes="app*4042*20170111*" /stext=" 01:.+((SYSTEM_STATE.+slice.+state.+changed )|(ment ac)|(multiple cpu faults)|(system.+state.+changed )|(\[timeout)|(PRM\|1\|D)|(kpr)|(kdp)|(\|lc)|(penalty))" /e /r /s</v>
      </c>
      <c r="AG135" s="1" t="str">
        <f t="shared" si="38"/>
        <v>EC</v>
      </c>
      <c r="AH135" s="88" t="str">
        <f t="shared" si="39"/>
        <v>"%USERPROFILE%\Documents\GitHub\eaglep3\Utilities\RefineRTDCRunTimes.py" --tripid 217-10 --locoid 4042 --swversion DE.1.0.8.0 --startMP 204:431 --initTime 2017-01-10T18:08:03 --startdatetime 2017-01-10T18:16:43 --delay 1 --endMP 204:233289 --enddatetime 2017-01-10T18:57:24 --enforcementcount 0 &gt;&gt;C:\Users\stu\Documents\GitHub\eaglep3-reporting\EC\2017-01-10-refined-times.txt</v>
      </c>
      <c r="AI135" s="115" t="str">
        <f t="shared" si="40"/>
        <v>echo {"issue":{"subject":"","project_id":79,"tracker_id":40,"status_id":1,"priority_id":2,"assigned_to_id":23,"start_date":"2017-01-10","description":"","custom_fields":[{"id":1,"name":"Subdivision","value":"EC"},{"id":4,"name":"Milepost","value":"23.3289"},{"id":17,"name":"Train ID","value":"217-10"},{"id":16,"name":"Locomotive ID","value":"4042"},{"id":130,"name":"Impact","value":""},{"id":150,"name":"Time of Event (Mountain Time)","value":"18:57:24"},{"id":151,"name":"Denver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0"/>
      <c r="AK135" s="50"/>
      <c r="AL135" s="50"/>
      <c r="AM135" s="180" t="str">
        <f t="shared" si="41"/>
        <v>start /low /b %USERPROFILE%\Documents\GitHub\eaglep3\Utilities\DownloadLogsFromS3.py --loco 4042 --day 2017-01-10</v>
      </c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4" t="s">
        <v>454</v>
      </c>
      <c r="B136" s="7">
        <v>4041</v>
      </c>
      <c r="C136" s="22" t="s">
        <v>202</v>
      </c>
      <c r="D136" s="22" t="s">
        <v>340</v>
      </c>
      <c r="E136" s="13">
        <v>42745.797662037039</v>
      </c>
      <c r="F136" s="13">
        <v>42745.800335648149</v>
      </c>
      <c r="G136" s="7">
        <v>3</v>
      </c>
      <c r="H136" s="22" t="s">
        <v>344</v>
      </c>
      <c r="I136" s="13">
        <v>42745.830960648149</v>
      </c>
      <c r="J136" s="7">
        <v>0</v>
      </c>
      <c r="K136" s="105" t="str">
        <f t="shared" si="26"/>
        <v>4041/4042</v>
      </c>
      <c r="L136" s="22" t="str">
        <f>VLOOKUP(A136,'Trips&amp;Operators'!$C$1:$G$99999,5,FALSE)</f>
        <v>NELSON ARIANE</v>
      </c>
      <c r="M136" s="6">
        <f t="shared" si="27"/>
        <v>3.0624999999417923E-2</v>
      </c>
      <c r="N136" s="7">
        <f t="shared" si="43"/>
        <v>44.09999999916181</v>
      </c>
      <c r="O136" s="7"/>
      <c r="P136" s="7"/>
      <c r="Q136" s="23"/>
      <c r="R136" s="23"/>
      <c r="S136" s="32">
        <f t="shared" si="44"/>
        <v>1</v>
      </c>
      <c r="T136" s="47" t="str">
        <f t="shared" si="29"/>
        <v>Southbound</v>
      </c>
      <c r="U136" s="167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https://search-rtdc-monitor-bjffxe2xuh6vdkpspy63sjmuny.us-east-1.es.amazonaws.com/_plugin/kibana/#/discover/Steve-Slow-Train-Analysis-(2080s-and-2083s)?_g=(refreshInterval:(display:Off,section:0,value:0),time:(from:'2017-01-10 18:08:38-700',mode:absolute,to:'2017-01-10 20:56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36" s="49" t="str">
        <f t="shared" si="31"/>
        <v>N</v>
      </c>
      <c r="X136" s="173">
        <f t="shared" si="42"/>
        <v>1</v>
      </c>
      <c r="Y136" s="64">
        <f t="shared" si="32"/>
        <v>23.298500000000001</v>
      </c>
      <c r="Z136" s="64">
        <f t="shared" si="33"/>
        <v>1.7000000000000001E-2</v>
      </c>
      <c r="AA136" s="64">
        <f t="shared" si="34"/>
        <v>23.281500000000001</v>
      </c>
      <c r="AB136" s="61" t="str">
        <f>VLOOKUP(A136,Enforcements!$C$7:$K$17,8,0)</f>
        <v>Bulletin (2)</v>
      </c>
      <c r="AC136" s="57" t="str">
        <f>VLOOKUP(A136,Enforcements!$C$7:$E$17,3,0)</f>
        <v>GRADE CROSSING</v>
      </c>
      <c r="AD136" s="58" t="str">
        <f t="shared" si="35"/>
        <v>0218-10</v>
      </c>
      <c r="AE136" s="87" t="str">
        <f t="shared" si="36"/>
        <v>aws s3 cp s3://rtdc.mdm.uploadarchive.raw/RTDC4041/ "%USERPROFILE%\AppData\Local\Temp\OnboardLogs"\RTDC4041\2017-01-10 --exclude "*" --recursive --include "*20170110*" &amp; "%USERPROFILE%\Documents\GitHub\mrs-test-scripts\Headless Mode &amp; Sideloading\WalkAndUnGZ.bat" "%USERPROFILE%\AppData\Local\Temp\OnboardLogs"\RTDC4041\2017-01-10 &amp; aws s3 cp s3://rtdc.mdm.uploadarchive.raw/RTDC4041/ "%USERPROFILE%\AppData\Local\Temp\OnboardLogs"\RTDC4041\2017-01-11 --exclude "*" --recursive --include "*20170111*" &amp; "%USERPROFILE%\Documents\GitHub\mrs-test-scripts\Headless Mode &amp; Sideloading\WalkAndUnGZ.bat" "%USERPROFILE%\AppData\Local\Temp\OnboardLogs"\RTDC4041\2017-01-11</v>
      </c>
      <c r="AF136" s="84" t="str">
        <f t="shared" si="37"/>
        <v>"C:\Program Files (x86)\AstroGrep\AstroGrep.exe" /spath="%USERPROFILE%\AppData\Local\Temp\OnboardLogs" /stypes="app*4041*20170111*" /stext=" 02:.+((SYSTEM_STATE.+slice.+state.+changed )|(ment ac)|(multiple cpu faults)|(system.+state.+changed )|(\[timeout)|(PRM\|1\|D)|(kpr)|(kdp)|(\|lc)|(penalty))" /e /r /s</v>
      </c>
      <c r="AG136" s="1" t="str">
        <f t="shared" si="38"/>
        <v>EC</v>
      </c>
      <c r="AH136" s="88" t="str">
        <f t="shared" si="39"/>
        <v>"%USERPROFILE%\Documents\GitHub\eaglep3\Utilities\RefineRTDCRunTimes.py" --tripid 218-10 --locoid 4041 --swversion DE.1.0.8.0 --startMP 204:232985 --initTime 2017-01-10T19:08:38 --startdatetime 2017-01-10T19:12:29 --delay 3 --endMP 204:170 --enddatetime 2017-01-10T19:56:35 --enforcementcount 0 &gt;&gt;C:\Users\stu\Documents\GitHub\eaglep3-reporting\EC\2017-01-10-refined-times.txt</v>
      </c>
      <c r="AI136" s="115" t="str">
        <f t="shared" si="40"/>
        <v>echo {"issue":{"subject":"","project_id":79,"tracker_id":40,"status_id":1,"priority_id":2,"assigned_to_id":23,"start_date":"2017-01-10","description":"","custom_fields":[{"id":1,"name":"Subdivision","value":"EC"},{"id":4,"name":"Milepost","value":"0.017"},{"id":17,"name":"Train ID","value":"218-10"},{"id":16,"name":"Locomotive ID","value":"4041"},{"id":130,"name":"Impact","value":""},{"id":150,"name":"Time of Event (Mountain Time)","value":"19:56:35"},{"id":151,"name":"Denver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0"/>
      <c r="AK136" s="50"/>
      <c r="AL136" s="50"/>
      <c r="AM136" s="180" t="str">
        <f t="shared" si="41"/>
        <v>start /low /b %USERPROFILE%\Documents\GitHub\eaglep3\Utilities\DownloadLogsFromS3.py --loco 4041 --day 2017-01-10</v>
      </c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4" t="s">
        <v>624</v>
      </c>
      <c r="B137" s="7">
        <v>4020</v>
      </c>
      <c r="C137" s="22" t="s">
        <v>202</v>
      </c>
      <c r="D137" s="22" t="s">
        <v>272</v>
      </c>
      <c r="E137" s="13">
        <v>42745.771481481483</v>
      </c>
      <c r="F137" s="13">
        <v>42745.773101851853</v>
      </c>
      <c r="G137" s="7">
        <v>1</v>
      </c>
      <c r="H137" s="22" t="s">
        <v>719</v>
      </c>
      <c r="I137" s="13">
        <v>42745.799131944441</v>
      </c>
      <c r="J137" s="7">
        <v>0</v>
      </c>
      <c r="K137" s="105" t="str">
        <f t="shared" si="26"/>
        <v>4019/4020</v>
      </c>
      <c r="L137" s="22" t="str">
        <f>VLOOKUP(A137,'Trips&amp;Operators'!$C$1:$G$99999,5,FALSE)</f>
        <v>STAMBAUGH JAMES</v>
      </c>
      <c r="M137" s="6">
        <f t="shared" si="27"/>
        <v>2.6030092587461695E-2</v>
      </c>
      <c r="N137" s="7">
        <f t="shared" si="43"/>
        <v>37.483333325944841</v>
      </c>
      <c r="O137" s="7"/>
      <c r="P137" s="7"/>
      <c r="Q137" s="23"/>
      <c r="R137" s="23"/>
      <c r="S137" s="32">
        <f t="shared" si="44"/>
        <v>1</v>
      </c>
      <c r="T137" s="47" t="str">
        <f t="shared" si="29"/>
        <v>NorthBound</v>
      </c>
      <c r="U137" s="167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https://search-rtdc-monitor-bjffxe2xuh6vdkpspy63sjmuny.us-east-1.es.amazonaws.com/_plugin/kibana/#/discover/Steve-Slow-Train-Analysis-(2080s-and-2083s)?_g=(refreshInterval:(display:Off,section:0,value:0),time:(from:'2017-01-10 17:30:56-700',mode:absolute,to:'2017-01-10 20:10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37" s="49" t="str">
        <f t="shared" si="31"/>
        <v>N</v>
      </c>
      <c r="X137" s="173">
        <f t="shared" si="42"/>
        <v>1</v>
      </c>
      <c r="Y137" s="64">
        <f t="shared" si="32"/>
        <v>4.5699999999999998E-2</v>
      </c>
      <c r="Z137" s="64">
        <f t="shared" si="33"/>
        <v>23.3324</v>
      </c>
      <c r="AA137" s="64">
        <f t="shared" si="34"/>
        <v>23.2867</v>
      </c>
      <c r="AB137" s="61" t="e">
        <f>VLOOKUP(A137,Enforcements!$C$7:$K$17,8,0)</f>
        <v>#N/A</v>
      </c>
      <c r="AC137" s="57" t="e">
        <f>VLOOKUP(A137,Enforcements!$C$7:$E$17,3,0)</f>
        <v>#N/A</v>
      </c>
      <c r="AD137" s="58" t="str">
        <f t="shared" si="35"/>
        <v>0219-10</v>
      </c>
      <c r="AE137" s="87" t="str">
        <f t="shared" si="36"/>
        <v>aws s3 cp s3://rtdc.mdm.uploadarchive.raw/RTDC4020/ "%USERPROFILE%\AppData\Local\Temp\OnboardLogs"\RTDC4020\2017-01-10 --exclude "*" --recursive --include "*20170110*" &amp; "%USERPROFILE%\Documents\GitHub\mrs-test-scripts\Headless Mode &amp; Sideloading\WalkAndUnGZ.bat" "%USERPROFILE%\AppData\Local\Temp\OnboardLogs"\RTDC4020\2017-01-10 &amp; aws s3 cp s3://rtdc.mdm.uploadarchive.raw/RTDC4020/ "%USERPROFILE%\AppData\Local\Temp\OnboardLogs"\RTDC4020\2017-01-11 --exclude "*" --recursive --include "*20170111*" &amp; "%USERPROFILE%\Documents\GitHub\mrs-test-scripts\Headless Mode &amp; Sideloading\WalkAndUnGZ.bat" "%USERPROFILE%\AppData\Local\Temp\OnboardLogs"\RTDC4020\2017-01-11</v>
      </c>
      <c r="AF137" s="84" t="str">
        <f t="shared" si="37"/>
        <v>"C:\Program Files (x86)\AstroGrep\AstroGrep.exe" /spath="%USERPROFILE%\AppData\Local\Temp\OnboardLogs" /stypes="app*4020*20170111*" /stext=" 02:.+((SYSTEM_STATE.+slice.+state.+changed )|(ment ac)|(multiple cpu faults)|(system.+state.+changed )|(\[timeout)|(PRM\|1\|D)|(kpr)|(kdp)|(\|lc)|(penalty))" /e /r /s</v>
      </c>
      <c r="AG137" s="1" t="str">
        <f t="shared" si="38"/>
        <v>EC</v>
      </c>
      <c r="AH137" s="88" t="str">
        <f t="shared" si="39"/>
        <v>"%USERPROFILE%\Documents\GitHub\eaglep3\Utilities\RefineRTDCRunTimes.py" --tripid 219-10 --locoid 4020 --swversion DE.1.0.8.0 --startMP 204:457 --initTime 2017-01-10T18:30:56 --startdatetime 2017-01-10T18:33:16 --delay 1 --endMP 204:233324 --enddatetime 2017-01-10T19:10:45 --enforcementcount 0 &gt;&gt;C:\Users\stu\Documents\GitHub\eaglep3-reporting\EC\2017-01-10-refined-times.txt</v>
      </c>
      <c r="AI137" s="115" t="str">
        <f t="shared" si="40"/>
        <v>echo {"issue":{"subject":"","project_id":79,"tracker_id":40,"status_id":1,"priority_id":2,"assigned_to_id":23,"start_date":"2017-01-10","description":"","custom_fields":[{"id":1,"name":"Subdivision","value":"EC"},{"id":4,"name":"Milepost","value":"23.3324"},{"id":17,"name":"Train ID","value":"219-10"},{"id":16,"name":"Locomotive ID","value":"4020"},{"id":130,"name":"Impact","value":""},{"id":150,"name":"Time of Event (Mountain Time)","value":"19:10:45"},{"id":151,"name":"Denver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0"/>
      <c r="AK137" s="50"/>
      <c r="AL137" s="50"/>
      <c r="AM137" s="180" t="str">
        <f t="shared" si="41"/>
        <v>start /low /b %USERPROFILE%\Documents\GitHub\eaglep3\Utilities\DownloadLogsFromS3.py --loco 4020 --day 2017-01-10</v>
      </c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4" t="s">
        <v>633</v>
      </c>
      <c r="B138" s="7">
        <v>4019</v>
      </c>
      <c r="C138" s="22" t="s">
        <v>202</v>
      </c>
      <c r="D138" s="22" t="s">
        <v>320</v>
      </c>
      <c r="E138" s="13">
        <v>42745.804467592592</v>
      </c>
      <c r="F138" s="13">
        <v>42745.810219907406</v>
      </c>
      <c r="G138" s="7">
        <v>1</v>
      </c>
      <c r="H138" s="22" t="s">
        <v>270</v>
      </c>
      <c r="I138" s="13">
        <v>42745.837395833332</v>
      </c>
      <c r="J138" s="7">
        <v>0</v>
      </c>
      <c r="K138" s="105" t="str">
        <f t="shared" si="26"/>
        <v>4019/4020</v>
      </c>
      <c r="L138" s="22" t="str">
        <f>VLOOKUP(A138,'Trips&amp;Operators'!$C$1:$G$99999,5,FALSE)</f>
        <v>STAMBAUGH JAMES</v>
      </c>
      <c r="M138" s="6">
        <f t="shared" si="27"/>
        <v>2.7175925926712807E-2</v>
      </c>
      <c r="N138" s="7">
        <f t="shared" si="43"/>
        <v>39.133333334466442</v>
      </c>
      <c r="O138" s="7"/>
      <c r="P138" s="7"/>
      <c r="Q138" s="23"/>
      <c r="R138" s="23"/>
      <c r="S138" s="32">
        <f t="shared" si="44"/>
        <v>1</v>
      </c>
      <c r="T138" s="47" t="str">
        <f t="shared" si="29"/>
        <v>Southbound</v>
      </c>
      <c r="U138" s="167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https://search-rtdc-monitor-bjffxe2xuh6vdkpspy63sjmuny.us-east-1.es.amazonaws.com/_plugin/kibana/#/discover/Steve-Slow-Train-Analysis-(2080s-and-2083s)?_g=(refreshInterval:(display:Off,section:0,value:0),time:(from:'2017-01-10 18:18:26-700',mode:absolute,to:'2017-01-10 21:05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38" s="49" t="str">
        <f t="shared" si="31"/>
        <v>N</v>
      </c>
      <c r="X138" s="173">
        <f t="shared" si="42"/>
        <v>1</v>
      </c>
      <c r="Y138" s="64">
        <f t="shared" si="32"/>
        <v>23.298400000000001</v>
      </c>
      <c r="Z138" s="64">
        <f t="shared" si="33"/>
        <v>1.41E-2</v>
      </c>
      <c r="AA138" s="64">
        <f t="shared" si="34"/>
        <v>23.284300000000002</v>
      </c>
      <c r="AB138" s="61" t="e">
        <f>VLOOKUP(A138,Enforcements!$C$7:$K$17,8,0)</f>
        <v>#N/A</v>
      </c>
      <c r="AC138" s="57" t="e">
        <f>VLOOKUP(A138,Enforcements!$C$7:$E$17,3,0)</f>
        <v>#N/A</v>
      </c>
      <c r="AD138" s="58" t="str">
        <f t="shared" si="35"/>
        <v>0220-10</v>
      </c>
      <c r="AE138" s="87" t="str">
        <f t="shared" si="36"/>
        <v>aws s3 cp s3://rtdc.mdm.uploadarchive.raw/RTDC4019/ "%USERPROFILE%\AppData\Local\Temp\OnboardLogs"\RTDC4019\2017-01-10 --exclude "*" --recursive --include "*20170110*" &amp; "%USERPROFILE%\Documents\GitHub\mrs-test-scripts\Headless Mode &amp; Sideloading\WalkAndUnGZ.bat" "%USERPROFILE%\AppData\Local\Temp\OnboardLogs"\RTDC4019\2017-01-10 &amp; aws s3 cp s3://rtdc.mdm.uploadarchive.raw/RTDC4019/ "%USERPROFILE%\AppData\Local\Temp\OnboardLogs"\RTDC4019\2017-01-11 --exclude "*" --recursive --include "*20170111*" &amp; "%USERPROFILE%\Documents\GitHub\mrs-test-scripts\Headless Mode &amp; Sideloading\WalkAndUnGZ.bat" "%USERPROFILE%\AppData\Local\Temp\OnboardLogs"\RTDC4019\2017-01-11</v>
      </c>
      <c r="AF138" s="84" t="str">
        <f t="shared" si="37"/>
        <v>"C:\Program Files (x86)\AstroGrep\AstroGrep.exe" /spath="%USERPROFILE%\AppData\Local\Temp\OnboardLogs" /stypes="app*4019*20170111*" /stext=" 03:.+((SYSTEM_STATE.+slice.+state.+changed )|(ment ac)|(multiple cpu faults)|(system.+state.+changed )|(\[timeout)|(PRM\|1\|D)|(kpr)|(kdp)|(\|lc)|(penalty))" /e /r /s</v>
      </c>
      <c r="AG138" s="1" t="str">
        <f t="shared" si="38"/>
        <v>EC</v>
      </c>
      <c r="AH138" s="88" t="str">
        <f t="shared" si="39"/>
        <v>"%USERPROFILE%\Documents\GitHub\eaglep3\Utilities\RefineRTDCRunTimes.py" --tripid 220-10 --locoid 4019 --swversion DE.1.0.8.0 --startMP 204:232984 --initTime 2017-01-10T19:18:26 --startdatetime 2017-01-10T19:26:43 --delay 1 --endMP 204:141 --enddatetime 2017-01-10T20:05:51 --enforcementcount 0 &gt;&gt;C:\Users\stu\Documents\GitHub\eaglep3-reporting\EC\2017-01-10-refined-times.txt</v>
      </c>
      <c r="AI138" s="115" t="str">
        <f t="shared" si="40"/>
        <v>echo {"issue":{"subject":"","project_id":79,"tracker_id":40,"status_id":1,"priority_id":2,"assigned_to_id":23,"start_date":"2017-01-10","description":"","custom_fields":[{"id":1,"name":"Subdivision","value":"EC"},{"id":4,"name":"Milepost","value":"0.0141"},{"id":17,"name":"Train ID","value":"220-10"},{"id":16,"name":"Locomotive ID","value":"4019"},{"id":130,"name":"Impact","value":""},{"id":150,"name":"Time of Event (Mountain Time)","value":"20:05:51"},{"id":151,"name":"Denver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0"/>
      <c r="AK138" s="50"/>
      <c r="AL138" s="50"/>
      <c r="AM138" s="180" t="str">
        <f t="shared" si="41"/>
        <v>start /low /b %USERPROFILE%\Documents\GitHub\eaglep3\Utilities\DownloadLogsFromS3.py --loco 4019 --day 2017-01-10</v>
      </c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4" t="s">
        <v>629</v>
      </c>
      <c r="B139" s="7">
        <v>4031</v>
      </c>
      <c r="C139" s="22" t="s">
        <v>202</v>
      </c>
      <c r="D139" s="22" t="s">
        <v>254</v>
      </c>
      <c r="E139" s="13">
        <v>42745.79074074074</v>
      </c>
      <c r="F139" s="13">
        <v>42745.791979166665</v>
      </c>
      <c r="G139" s="7">
        <v>1</v>
      </c>
      <c r="H139" s="22" t="s">
        <v>292</v>
      </c>
      <c r="I139" s="13">
        <v>42745.817708333336</v>
      </c>
      <c r="J139" s="7">
        <v>0</v>
      </c>
      <c r="K139" s="105" t="str">
        <f t="shared" si="26"/>
        <v>4031/4032</v>
      </c>
      <c r="L139" s="22" t="str">
        <f>VLOOKUP(A139,'Trips&amp;Operators'!$C$1:$G$99999,5,FALSE)</f>
        <v>CHANDLER KELVIN</v>
      </c>
      <c r="M139" s="6">
        <f t="shared" si="27"/>
        <v>2.5729166671226267E-2</v>
      </c>
      <c r="N139" s="7">
        <f t="shared" si="43"/>
        <v>37.050000006565824</v>
      </c>
      <c r="O139" s="7"/>
      <c r="P139" s="7"/>
      <c r="Q139" s="23"/>
      <c r="R139" s="23"/>
      <c r="S139" s="32">
        <f t="shared" si="44"/>
        <v>1</v>
      </c>
      <c r="T139" s="47" t="str">
        <f t="shared" si="29"/>
        <v>NorthBound</v>
      </c>
      <c r="U139" s="167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https://search-rtdc-monitor-bjffxe2xuh6vdkpspy63sjmuny.us-east-1.es.amazonaws.com/_plugin/kibana/#/discover/Steve-Slow-Train-Analysis-(2080s-and-2083s)?_g=(refreshInterval:(display:Off,section:0,value:0),time:(from:'2017-01-10 17:58:40-700',mode:absolute,to:'2017-01-10 20:37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39" s="49" t="str">
        <f t="shared" si="31"/>
        <v>N</v>
      </c>
      <c r="X139" s="173">
        <f t="shared" si="42"/>
        <v>1</v>
      </c>
      <c r="Y139" s="64">
        <f t="shared" si="32"/>
        <v>4.4900000000000002E-2</v>
      </c>
      <c r="Z139" s="64">
        <f t="shared" si="33"/>
        <v>23.329799999999999</v>
      </c>
      <c r="AA139" s="64">
        <f t="shared" si="34"/>
        <v>23.2849</v>
      </c>
      <c r="AB139" s="61" t="e">
        <f>VLOOKUP(A139,Enforcements!$C$7:$K$17,8,0)</f>
        <v>#N/A</v>
      </c>
      <c r="AC139" s="57" t="e">
        <f>VLOOKUP(A139,Enforcements!$C$7:$E$17,3,0)</f>
        <v>#N/A</v>
      </c>
      <c r="AD139" s="58" t="str">
        <f t="shared" si="35"/>
        <v>0221-10</v>
      </c>
      <c r="AE139" s="87" t="str">
        <f t="shared" si="36"/>
        <v>aws s3 cp s3://rtdc.mdm.uploadarchive.raw/RTDC4031/ "%USERPROFILE%\AppData\Local\Temp\OnboardLogs"\RTDC4031\2017-01-10 --exclude "*" --recursive --include "*20170110*" &amp; "%USERPROFILE%\Documents\GitHub\mrs-test-scripts\Headless Mode &amp; Sideloading\WalkAndUnGZ.bat" "%USERPROFILE%\AppData\Local\Temp\OnboardLogs"\RTDC4031\2017-01-10 &amp; aws s3 cp s3://rtdc.mdm.uploadarchive.raw/RTDC4031/ "%USERPROFILE%\AppData\Local\Temp\OnboardLogs"\RTDC4031\2017-01-11 --exclude "*" --recursive --include "*20170111*" &amp; "%USERPROFILE%\Documents\GitHub\mrs-test-scripts\Headless Mode &amp; Sideloading\WalkAndUnGZ.bat" "%USERPROFILE%\AppData\Local\Temp\OnboardLogs"\RTDC4031\2017-01-11</v>
      </c>
      <c r="AF139" s="84" t="str">
        <f t="shared" si="37"/>
        <v>"C:\Program Files (x86)\AstroGrep\AstroGrep.exe" /spath="%USERPROFILE%\AppData\Local\Temp\OnboardLogs" /stypes="app*4031*20170111*" /stext=" 02:.+((SYSTEM_STATE.+slice.+state.+changed )|(ment ac)|(multiple cpu faults)|(system.+state.+changed )|(\[timeout)|(PRM\|1\|D)|(kpr)|(kdp)|(\|lc)|(penalty))" /e /r /s</v>
      </c>
      <c r="AG139" s="1" t="str">
        <f t="shared" si="38"/>
        <v>EC</v>
      </c>
      <c r="AH139" s="88" t="str">
        <f t="shared" si="39"/>
        <v>"%USERPROFILE%\Documents\GitHub\eaglep3\Utilities\RefineRTDCRunTimes.py" --tripid 221-10 --locoid 4031 --swversion DE.1.0.8.0 --startMP 204:449 --initTime 2017-01-10T18:58:40 --startdatetime 2017-01-10T19:00:27 --delay 1 --endMP 204:233298 --enddatetime 2017-01-10T19:37:30 --enforcementcount 0 &gt;&gt;C:\Users\stu\Documents\GitHub\eaglep3-reporting\EC\2017-01-10-refined-times.txt</v>
      </c>
      <c r="AI139" s="115" t="str">
        <f t="shared" si="40"/>
        <v>echo {"issue":{"subject":"","project_id":79,"tracker_id":40,"status_id":1,"priority_id":2,"assigned_to_id":23,"start_date":"2017-01-10","description":"","custom_fields":[{"id":1,"name":"Subdivision","value":"EC"},{"id":4,"name":"Milepost","value":"23.3298"},{"id":17,"name":"Train ID","value":"221-10"},{"id":16,"name":"Locomotive ID","value":"4031"},{"id":130,"name":"Impact","value":""},{"id":150,"name":"Time of Event (Mountain Time)","value":"19:37:30"},{"id":151,"name":"Denver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0"/>
      <c r="AK139" s="50"/>
      <c r="AL139" s="50"/>
      <c r="AM139" s="180" t="str">
        <f t="shared" si="41"/>
        <v>start /low /b %USERPROFILE%\Documents\GitHub\eaglep3\Utilities\DownloadLogsFromS3.py --loco 4031 --day 2017-01-10</v>
      </c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4" t="s">
        <v>637</v>
      </c>
      <c r="B140" s="7">
        <v>4032</v>
      </c>
      <c r="C140" s="22" t="s">
        <v>202</v>
      </c>
      <c r="D140" s="22" t="s">
        <v>321</v>
      </c>
      <c r="E140" s="13">
        <v>42745.8280787037</v>
      </c>
      <c r="F140" s="13">
        <v>42745.831284722219</v>
      </c>
      <c r="G140" s="7">
        <v>0</v>
      </c>
      <c r="H140" s="22" t="s">
        <v>273</v>
      </c>
      <c r="I140" s="13">
        <v>42745.861678240741</v>
      </c>
      <c r="J140" s="7">
        <v>0</v>
      </c>
      <c r="K140" s="105" t="str">
        <f t="shared" si="26"/>
        <v>4031/4032</v>
      </c>
      <c r="L140" s="22" t="str">
        <f>VLOOKUP(A140,'Trips&amp;Operators'!$C$1:$G$99999,5,FALSE)</f>
        <v>CHANDLER KELVIN</v>
      </c>
      <c r="M140" s="6">
        <f t="shared" si="27"/>
        <v>3.0393518522032537E-2</v>
      </c>
      <c r="N140" s="7">
        <f t="shared" si="43"/>
        <v>43.766666671726853</v>
      </c>
      <c r="O140" s="7"/>
      <c r="P140" s="7"/>
      <c r="Q140" s="23"/>
      <c r="R140" s="23"/>
      <c r="S140" s="32">
        <f t="shared" si="44"/>
        <v>1</v>
      </c>
      <c r="T140" s="47" t="str">
        <f t="shared" si="29"/>
        <v>Southbound</v>
      </c>
      <c r="U140" s="167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https://search-rtdc-monitor-bjffxe2xuh6vdkpspy63sjmuny.us-east-1.es.amazonaws.com/_plugin/kibana/#/discover/Steve-Slow-Train-Analysis-(2080s-and-2083s)?_g=(refreshInterval:(display:Off,section:0,value:0),time:(from:'2017-01-10 18:52:26-700',mode:absolute,to:'2017-01-10 21:40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40" s="49" t="str">
        <f t="shared" si="31"/>
        <v>N</v>
      </c>
      <c r="X140" s="173">
        <f t="shared" si="42"/>
        <v>1</v>
      </c>
      <c r="Y140" s="64">
        <f t="shared" si="32"/>
        <v>23.2974</v>
      </c>
      <c r="Z140" s="64">
        <f t="shared" si="33"/>
        <v>1.5599999999999999E-2</v>
      </c>
      <c r="AA140" s="64">
        <f t="shared" si="34"/>
        <v>23.2818</v>
      </c>
      <c r="AB140" s="61" t="e">
        <f>VLOOKUP(A140,Enforcements!$C$7:$K$17,8,0)</f>
        <v>#N/A</v>
      </c>
      <c r="AC140" s="57" t="e">
        <f>VLOOKUP(A140,Enforcements!$C$7:$E$17,3,0)</f>
        <v>#N/A</v>
      </c>
      <c r="AD140" s="58" t="str">
        <f t="shared" si="35"/>
        <v>0222-10</v>
      </c>
      <c r="AE140" s="87" t="str">
        <f t="shared" si="36"/>
        <v>aws s3 cp s3://rtdc.mdm.uploadarchive.raw/RTDC4032/ "%USERPROFILE%\AppData\Local\Temp\OnboardLogs"\RTDC4032\2017-01-10 --exclude "*" --recursive --include "*20170110*" &amp; "%USERPROFILE%\Documents\GitHub\mrs-test-scripts\Headless Mode &amp; Sideloading\WalkAndUnGZ.bat" "%USERPROFILE%\AppData\Local\Temp\OnboardLogs"\RTDC4032\2017-01-10 &amp; aws s3 cp s3://rtdc.mdm.uploadarchive.raw/RTDC4032/ "%USERPROFILE%\AppData\Local\Temp\OnboardLogs"\RTDC4032\2017-01-11 --exclude "*" --recursive --include "*20170111*" &amp; "%USERPROFILE%\Documents\GitHub\mrs-test-scripts\Headless Mode &amp; Sideloading\WalkAndUnGZ.bat" "%USERPROFILE%\AppData\Local\Temp\OnboardLogs"\RTDC4032\2017-01-11</v>
      </c>
      <c r="AF140" s="84" t="str">
        <f t="shared" si="37"/>
        <v>"C:\Program Files (x86)\AstroGrep\AstroGrep.exe" /spath="%USERPROFILE%\AppData\Local\Temp\OnboardLogs" /stypes="app*4032*20170111*" /stext=" 03:.+((SYSTEM_STATE.+slice.+state.+changed )|(ment ac)|(multiple cpu faults)|(system.+state.+changed )|(\[timeout)|(PRM\|1\|D)|(kpr)|(kdp)|(\|lc)|(penalty))" /e /r /s</v>
      </c>
      <c r="AG140" s="1" t="str">
        <f t="shared" si="38"/>
        <v>EC</v>
      </c>
      <c r="AH140" s="88" t="str">
        <f t="shared" si="39"/>
        <v>"%USERPROFILE%\Documents\GitHub\eaglep3\Utilities\RefineRTDCRunTimes.py" --tripid 222-10 --locoid 4032 --swversion DE.1.0.8.0 --startMP 204:232974 --initTime 2017-01-10T19:52:26 --startdatetime 2017-01-10T19:57:03 --delay 0 --endMP 204:156 --enddatetime 2017-01-10T20:40:49 --enforcementcount 0 &gt;&gt;C:\Users\stu\Documents\GitHub\eaglep3-reporting\EC\2017-01-10-refined-times.txt</v>
      </c>
      <c r="AI140" s="115" t="str">
        <f t="shared" si="40"/>
        <v>echo {"issue":{"subject":"","project_id":79,"tracker_id":40,"status_id":1,"priority_id":2,"assigned_to_id":23,"start_date":"2017-01-10","description":"","custom_fields":[{"id":1,"name":"Subdivision","value":"EC"},{"id":4,"name":"Milepost","value":"0.0156"},{"id":17,"name":"Train ID","value":"222-10"},{"id":16,"name":"Locomotive ID","value":"4032"},{"id":130,"name":"Impact","value":""},{"id":150,"name":"Time of Event (Mountain Time)","value":"20:40:49"},{"id":151,"name":"Denver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0"/>
      <c r="AK140" s="50"/>
      <c r="AL140" s="50"/>
      <c r="AM140" s="180" t="str">
        <f t="shared" si="41"/>
        <v>start /low /b %USERPROFILE%\Documents\GitHub\eaglep3\Utilities\DownloadLogsFromS3.py --loco 4032 --day 2017-01-10</v>
      </c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4" t="s">
        <v>634</v>
      </c>
      <c r="B141" s="7">
        <v>4007</v>
      </c>
      <c r="C141" s="22" t="s">
        <v>202</v>
      </c>
      <c r="D141" s="22" t="s">
        <v>293</v>
      </c>
      <c r="E141" s="13">
        <v>42745.810983796298</v>
      </c>
      <c r="F141" s="13">
        <v>42745.812835648147</v>
      </c>
      <c r="G141" s="7">
        <v>1</v>
      </c>
      <c r="H141" s="22" t="s">
        <v>679</v>
      </c>
      <c r="I141" s="13">
        <v>42745.837835648148</v>
      </c>
      <c r="J141" s="7">
        <v>0</v>
      </c>
      <c r="K141" s="105" t="str">
        <f t="shared" ref="K141:K204" si="45">IF(ISEVEN(B141),(B141-1)&amp;"/"&amp;B141,B141&amp;"/"&amp;(B141+1))</f>
        <v>4007/4008</v>
      </c>
      <c r="L141" s="22" t="str">
        <f>VLOOKUP(A141,'Trips&amp;Operators'!$C$1:$G$99999,5,FALSE)</f>
        <v>NEWELL JAMES</v>
      </c>
      <c r="M141" s="6">
        <f t="shared" ref="M141:M204" si="46">I141-F141</f>
        <v>2.5000000001455192E-2</v>
      </c>
      <c r="N141" s="7">
        <f t="shared" si="43"/>
        <v>36.000000002095476</v>
      </c>
      <c r="O141" s="7"/>
      <c r="P141" s="7"/>
      <c r="Q141" s="23"/>
      <c r="R141" s="23"/>
      <c r="S141" s="32">
        <f t="shared" si="44"/>
        <v>1</v>
      </c>
      <c r="T141" s="47" t="str">
        <f t="shared" ref="T141:T204" si="47">IF(ISEVEN(LEFT(AD141,4)),"Southbound","NorthBound")</f>
        <v>NorthBound</v>
      </c>
      <c r="U141" s="167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4" t="str">
        <f t="shared" ref="V141:V204" si="48"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https://search-rtdc-monitor-bjffxe2xuh6vdkpspy63sjmuny.us-east-1.es.amazonaws.com/_plugin/kibana/#/discover/Steve-Slow-Train-Analysis-(2080s-and-2083s)?_g=(refreshInterval:(display:Off,section:0,value:0),time:(from:'2017-01-10 18:27:49-700',mode:absolute,to:'2017-01-10 21:06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41" s="49" t="str">
        <f t="shared" ref="W141:W204" si="49">IF(AA141&lt;IF(AG141="EC",23,5.65),"Y","N")</f>
        <v>N</v>
      </c>
      <c r="X141" s="173">
        <f t="shared" si="42"/>
        <v>1</v>
      </c>
      <c r="Y141" s="64">
        <f t="shared" ref="Y141:Y204" si="50">RIGHT(D141,LEN(D141)-4)/10000</f>
        <v>4.4600000000000001E-2</v>
      </c>
      <c r="Z141" s="64">
        <f t="shared" ref="Z141:Z204" si="51">RIGHT(H141,LEN(H141)-4)/10000</f>
        <v>23.331</v>
      </c>
      <c r="AA141" s="64">
        <f t="shared" ref="AA141:AA204" si="52">ABS(Z141-Y141)</f>
        <v>23.2864</v>
      </c>
      <c r="AB141" s="61" t="e">
        <f>VLOOKUP(A141,Enforcements!$C$7:$K$17,8,0)</f>
        <v>#N/A</v>
      </c>
      <c r="AC141" s="57" t="e">
        <f>VLOOKUP(A141,Enforcements!$C$7:$E$17,3,0)</f>
        <v>#N/A</v>
      </c>
      <c r="AD141" s="58" t="str">
        <f t="shared" ref="AD141:AD204" si="53">IF(LEN(A141)=6,"0"&amp;A141,A141)</f>
        <v>0223-10</v>
      </c>
      <c r="AE141" s="87" t="str">
        <f t="shared" ref="AE141:AE204" si="54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s3://rtdc.mdm.uploadarchive.raw/RTDC4007/ "%USERPROFILE%\AppData\Local\Temp\OnboardLogs"\RTDC4007\2017-01-10 --exclude "*" --recursive --include "*20170110*" &amp; "%USERPROFILE%\Documents\GitHub\mrs-test-scripts\Headless Mode &amp; Sideloading\WalkAndUnGZ.bat" "%USERPROFILE%\AppData\Local\Temp\OnboardLogs"\RTDC4007\2017-01-10 &amp; aws s3 cp s3://rtdc.mdm.uploadarchive.raw/RTDC4007/ "%USERPROFILE%\AppData\Local\Temp\OnboardLogs"\RTDC4007\2017-01-11 --exclude "*" --recursive --include "*20170111*" &amp; "%USERPROFILE%\Documents\GitHub\mrs-test-scripts\Headless Mode &amp; Sideloading\WalkAndUnGZ.bat" "%USERPROFILE%\AppData\Local\Temp\OnboardLogs"\RTDC4007\2017-01-11</v>
      </c>
      <c r="AF141" s="84" t="str">
        <f t="shared" ref="AF141:AF204" si="55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/stypes="app*4007*20170111*" /stext=" 03:.+((SYSTEM_STATE.+slice.+state.+changed )|(ment ac)|(multiple cpu faults)|(system.+state.+changed )|(\[timeout)|(PRM\|1\|D)|(kpr)|(kdp)|(\|lc)|(penalty))" /e /r /s</v>
      </c>
      <c r="AG141" s="1" t="str">
        <f t="shared" ref="AG141:AG204" si="56">IFERROR(IF(VALUE(LEFT(AD141,2))&lt;=2,"EC",IF(OR(VALUE(LEFT(AD141,2))=8,VALUE(LEFT(AD141,2))=18),"NW","Other")),"Other")</f>
        <v>EC</v>
      </c>
      <c r="AH141" s="88" t="str">
        <f t="shared" ref="AH141:AH204" si="57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223-10 --locoid 4007 --swversion DE.1.0.8.0 --startMP 204:446 --initTime 2017-01-10T19:27:49 --startdatetime 2017-01-10T19:30:29 --delay 1 --endMP 204:233310 --enddatetime 2017-01-10T20:06:29 --enforcementcount 0 &gt;&gt;C:\Users\stu\Documents\GitHub\eaglep3-reporting\EC\2017-01-10-refined-times.txt</v>
      </c>
      <c r="AI141" s="115" t="str">
        <f t="shared" ref="AI141:AI204" si="58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{"issue":{"subject":"","project_id":79,"tracker_id":40,"status_id":1,"priority_id":2,"assigned_to_id":23,"start_date":"2017-01-10","description":"","custom_fields":[{"id":1,"name":"Subdivision","value":"EC"},{"id":4,"name":"Milepost","value":"23.331"},{"id":17,"name":"Train ID","value":"223-10"},{"id":16,"name":"Locomotive ID","value":"4007"},{"id":130,"name":"Impact","value":""},{"id":150,"name":"Time of Event (Mountain Time)","value":"20:06:29"},{"id":151,"name":"Denver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0"/>
      <c r="AK141" s="50"/>
      <c r="AL141" s="50"/>
      <c r="AM141" s="180" t="str">
        <f t="shared" ref="AM141:AM204" si="59">"start /low /b "&amp;dls3logs&amp;" --loco "&amp;B141&amp;" --day "&amp;TEXT(F141,"YYYY-MM-DD")</f>
        <v>start /low /b %USERPROFILE%\Documents\GitHub\eaglep3\Utilities\DownloadLogsFromS3.py --loco 4007 --day 2017-01-10</v>
      </c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4" t="s">
        <v>640</v>
      </c>
      <c r="B142" s="7">
        <v>4008</v>
      </c>
      <c r="C142" s="22" t="s">
        <v>202</v>
      </c>
      <c r="D142" s="22" t="s">
        <v>283</v>
      </c>
      <c r="E142" s="13">
        <v>42745.840312499997</v>
      </c>
      <c r="F142" s="13">
        <v>42745.852233796293</v>
      </c>
      <c r="G142" s="7">
        <v>1</v>
      </c>
      <c r="H142" s="22" t="s">
        <v>268</v>
      </c>
      <c r="I142" s="13">
        <v>42745.880810185183</v>
      </c>
      <c r="J142" s="7">
        <v>0</v>
      </c>
      <c r="K142" s="105" t="str">
        <f t="shared" si="45"/>
        <v>4007/4008</v>
      </c>
      <c r="L142" s="22" t="str">
        <f>VLOOKUP(A142,'Trips&amp;Operators'!$C$1:$G$99999,5,FALSE)</f>
        <v>NEWELL JAMES</v>
      </c>
      <c r="M142" s="6">
        <f t="shared" si="46"/>
        <v>2.8576388889632653E-2</v>
      </c>
      <c r="N142" s="7">
        <f t="shared" si="43"/>
        <v>41.150000001071021</v>
      </c>
      <c r="O142" s="7"/>
      <c r="P142" s="7"/>
      <c r="Q142" s="23"/>
      <c r="R142" s="23"/>
      <c r="S142" s="32">
        <f t="shared" si="44"/>
        <v>1</v>
      </c>
      <c r="T142" s="47" t="str">
        <f t="shared" si="47"/>
        <v>Southbound</v>
      </c>
      <c r="U142" s="167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https://search-rtdc-monitor-bjffxe2xuh6vdkpspy63sjmuny.us-east-1.es.amazonaws.com/_plugin/kibana/#/discover/Steve-Slow-Train-Analysis-(2080s-and-2083s)?_g=(refreshInterval:(display:Off,section:0,value:0),time:(from:'2017-01-10 19:10:03-700',mode:absolute,to:'2017-01-10 22:08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42" s="49" t="str">
        <f t="shared" si="49"/>
        <v>N</v>
      </c>
      <c r="X142" s="173">
        <f t="shared" si="42"/>
        <v>1</v>
      </c>
      <c r="Y142" s="64">
        <f t="shared" si="50"/>
        <v>23.3</v>
      </c>
      <c r="Z142" s="64">
        <f t="shared" si="51"/>
        <v>1.52E-2</v>
      </c>
      <c r="AA142" s="64">
        <f t="shared" si="52"/>
        <v>23.284800000000001</v>
      </c>
      <c r="AB142" s="61" t="e">
        <f>VLOOKUP(A142,Enforcements!$C$7:$K$17,8,0)</f>
        <v>#N/A</v>
      </c>
      <c r="AC142" s="57" t="e">
        <f>VLOOKUP(A142,Enforcements!$C$7:$E$17,3,0)</f>
        <v>#N/A</v>
      </c>
      <c r="AD142" s="58" t="str">
        <f t="shared" si="53"/>
        <v>0224-10</v>
      </c>
      <c r="AE142" s="87" t="str">
        <f t="shared" si="54"/>
        <v>aws s3 cp s3://rtdc.mdm.uploadarchive.raw/RTDC4008/ "%USERPROFILE%\AppData\Local\Temp\OnboardLogs"\RTDC4008\2017-01-10 --exclude "*" --recursive --include "*20170110*" &amp; "%USERPROFILE%\Documents\GitHub\mrs-test-scripts\Headless Mode &amp; Sideloading\WalkAndUnGZ.bat" "%USERPROFILE%\AppData\Local\Temp\OnboardLogs"\RTDC4008\2017-01-10 &amp; aws s3 cp s3://rtdc.mdm.uploadarchive.raw/RTDC4008/ "%USERPROFILE%\AppData\Local\Temp\OnboardLogs"\RTDC4008\2017-01-11 --exclude "*" --recursive --include "*20170111*" &amp; "%USERPROFILE%\Documents\GitHub\mrs-test-scripts\Headless Mode &amp; Sideloading\WalkAndUnGZ.bat" "%USERPROFILE%\AppData\Local\Temp\OnboardLogs"\RTDC4008\2017-01-11</v>
      </c>
      <c r="AF142" s="84" t="str">
        <f t="shared" si="55"/>
        <v>"C:\Program Files (x86)\AstroGrep\AstroGrep.exe" /spath="%USERPROFILE%\AppData\Local\Temp\OnboardLogs" /stypes="app*4008*20170111*" /stext=" 04:.+((SYSTEM_STATE.+slice.+state.+changed )|(ment ac)|(multiple cpu faults)|(system.+state.+changed )|(\[timeout)|(PRM\|1\|D)|(kpr)|(kdp)|(\|lc)|(penalty))" /e /r /s</v>
      </c>
      <c r="AG142" s="1" t="str">
        <f t="shared" si="56"/>
        <v>EC</v>
      </c>
      <c r="AH142" s="88" t="str">
        <f t="shared" si="57"/>
        <v>"%USERPROFILE%\Documents\GitHub\eaglep3\Utilities\RefineRTDCRunTimes.py" --tripid 224-10 --locoid 4008 --swversion DE.1.0.8.0 --startMP 204:233000 --initTime 2017-01-10T20:10:03 --startdatetime 2017-01-10T20:27:13 --delay 1 --endMP 204:152 --enddatetime 2017-01-10T21:08:22 --enforcementcount 0 &gt;&gt;C:\Users\stu\Documents\GitHub\eaglep3-reporting\EC\2017-01-10-refined-times.txt</v>
      </c>
      <c r="AI142" s="115" t="str">
        <f t="shared" si="58"/>
        <v>echo {"issue":{"subject":"","project_id":79,"tracker_id":40,"status_id":1,"priority_id":2,"assigned_to_id":23,"start_date":"2017-01-10","description":"","custom_fields":[{"id":1,"name":"Subdivision","value":"EC"},{"id":4,"name":"Milepost","value":"0.0152"},{"id":17,"name":"Train ID","value":"224-10"},{"id":16,"name":"Locomotive ID","value":"4008"},{"id":130,"name":"Impact","value":""},{"id":150,"name":"Time of Event (Mountain Time)","value":"21:08:22"},{"id":151,"name":"Denver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0"/>
      <c r="AK142" s="50"/>
      <c r="AL142" s="50"/>
      <c r="AM142" s="180" t="str">
        <f t="shared" si="59"/>
        <v>start /low /b %USERPROFILE%\Documents\GitHub\eaglep3\Utilities\DownloadLogsFromS3.py --loco 4008 --day 2017-01-10</v>
      </c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4" t="s">
        <v>638</v>
      </c>
      <c r="B143" s="7">
        <v>4042</v>
      </c>
      <c r="C143" s="22" t="s">
        <v>202</v>
      </c>
      <c r="D143" s="22" t="s">
        <v>282</v>
      </c>
      <c r="E143" s="13">
        <v>42745.832013888888</v>
      </c>
      <c r="F143" s="13">
        <v>42745.833668981482</v>
      </c>
      <c r="G143" s="7">
        <v>2</v>
      </c>
      <c r="H143" s="22" t="s">
        <v>316</v>
      </c>
      <c r="I143" s="13">
        <v>42745.861608796295</v>
      </c>
      <c r="J143" s="7">
        <v>0</v>
      </c>
      <c r="K143" s="105" t="str">
        <f t="shared" si="45"/>
        <v>4041/4042</v>
      </c>
      <c r="L143" s="22" t="str">
        <f>VLOOKUP(A143,'Trips&amp;Operators'!$C$1:$G$99999,5,FALSE)</f>
        <v>NELSON ARIANE</v>
      </c>
      <c r="M143" s="6">
        <f t="shared" si="46"/>
        <v>2.7939814812270924E-2</v>
      </c>
      <c r="N143" s="7">
        <f t="shared" si="43"/>
        <v>40.233333329670131</v>
      </c>
      <c r="O143" s="7"/>
      <c r="P143" s="7"/>
      <c r="Q143" s="23"/>
      <c r="R143" s="23"/>
      <c r="S143" s="32">
        <f t="shared" si="44"/>
        <v>1</v>
      </c>
      <c r="T143" s="47" t="str">
        <f t="shared" si="47"/>
        <v>NorthBound</v>
      </c>
      <c r="U143" s="167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https://search-rtdc-monitor-bjffxe2xuh6vdkpspy63sjmuny.us-east-1.es.amazonaws.com/_plugin/kibana/#/discover/Steve-Slow-Train-Analysis-(2080s-and-2083s)?_g=(refreshInterval:(display:Off,section:0,value:0),time:(from:'2017-01-10 18:58:06-700',mode:absolute,to:'2017-01-10 21:40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43" s="49" t="str">
        <f t="shared" si="49"/>
        <v>N</v>
      </c>
      <c r="X143" s="173">
        <f t="shared" si="42"/>
        <v>1</v>
      </c>
      <c r="Y143" s="64">
        <f t="shared" si="50"/>
        <v>4.6699999999999998E-2</v>
      </c>
      <c r="Z143" s="64">
        <f t="shared" si="51"/>
        <v>23.3293</v>
      </c>
      <c r="AA143" s="64">
        <f t="shared" si="52"/>
        <v>23.282599999999999</v>
      </c>
      <c r="AB143" s="61" t="e">
        <f>VLOOKUP(A143,Enforcements!$C$7:$K$17,8,0)</f>
        <v>#N/A</v>
      </c>
      <c r="AC143" s="57" t="e">
        <f>VLOOKUP(A143,Enforcements!$C$7:$E$17,3,0)</f>
        <v>#N/A</v>
      </c>
      <c r="AD143" s="58" t="str">
        <f t="shared" si="53"/>
        <v>0225-10</v>
      </c>
      <c r="AE143" s="87" t="str">
        <f t="shared" si="54"/>
        <v>aws s3 cp s3://rtdc.mdm.uploadarchive.raw/RTDC4042/ "%USERPROFILE%\AppData\Local\Temp\OnboardLogs"\RTDC4042\2017-01-10 --exclude "*" --recursive --include "*20170110*" &amp; "%USERPROFILE%\Documents\GitHub\mrs-test-scripts\Headless Mode &amp; Sideloading\WalkAndUnGZ.bat" "%USERPROFILE%\AppData\Local\Temp\OnboardLogs"\RTDC4042\2017-01-10 &amp; aws s3 cp s3://rtdc.mdm.uploadarchive.raw/RTDC4042/ "%USERPROFILE%\AppData\Local\Temp\OnboardLogs"\RTDC4042\2017-01-11 --exclude "*" --recursive --include "*20170111*" &amp; "%USERPROFILE%\Documents\GitHub\mrs-test-scripts\Headless Mode &amp; Sideloading\WalkAndUnGZ.bat" "%USERPROFILE%\AppData\Local\Temp\OnboardLogs"\RTDC4042\2017-01-11</v>
      </c>
      <c r="AF143" s="84" t="str">
        <f t="shared" si="55"/>
        <v>"C:\Program Files (x86)\AstroGrep\AstroGrep.exe" /spath="%USERPROFILE%\AppData\Local\Temp\OnboardLogs" /stypes="app*4042*20170111*" /stext=" 03:.+((SYSTEM_STATE.+slice.+state.+changed )|(ment ac)|(multiple cpu faults)|(system.+state.+changed )|(\[timeout)|(PRM\|1\|D)|(kpr)|(kdp)|(\|lc)|(penalty))" /e /r /s</v>
      </c>
      <c r="AG143" s="1" t="str">
        <f t="shared" si="56"/>
        <v>EC</v>
      </c>
      <c r="AH143" s="88" t="str">
        <f t="shared" si="57"/>
        <v>"%USERPROFILE%\Documents\GitHub\eaglep3\Utilities\RefineRTDCRunTimes.py" --tripid 225-10 --locoid 4042 --swversion DE.1.0.8.0 --startMP 204:467 --initTime 2017-01-10T19:58:06 --startdatetime 2017-01-10T20:00:29 --delay 2 --endMP 204:233293 --enddatetime 2017-01-10T20:40:43 --enforcementcount 0 &gt;&gt;C:\Users\stu\Documents\GitHub\eaglep3-reporting\EC\2017-01-10-refined-times.txt</v>
      </c>
      <c r="AI143" s="115" t="str">
        <f t="shared" si="58"/>
        <v>echo {"issue":{"subject":"","project_id":79,"tracker_id":40,"status_id":1,"priority_id":2,"assigned_to_id":23,"start_date":"2017-01-10","description":"","custom_fields":[{"id":1,"name":"Subdivision","value":"EC"},{"id":4,"name":"Milepost","value":"23.3293"},{"id":17,"name":"Train ID","value":"225-10"},{"id":16,"name":"Locomotive ID","value":"4042"},{"id":130,"name":"Impact","value":""},{"id":150,"name":"Time of Event (Mountain Time)","value":"20:40:43"},{"id":151,"name":"Denver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0"/>
      <c r="AK143" s="50"/>
      <c r="AL143" s="50"/>
      <c r="AM143" s="180" t="str">
        <f t="shared" si="59"/>
        <v>start /low /b %USERPROFILE%\Documents\GitHub\eaglep3\Utilities\DownloadLogsFromS3.py --loco 4042 --day 2017-01-10</v>
      </c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4" t="s">
        <v>643</v>
      </c>
      <c r="B144" s="7">
        <v>4041</v>
      </c>
      <c r="C144" s="22" t="s">
        <v>202</v>
      </c>
      <c r="D144" s="22" t="s">
        <v>680</v>
      </c>
      <c r="E144" s="13">
        <v>42745.870844907404</v>
      </c>
      <c r="F144" s="13">
        <v>42745.872731481482</v>
      </c>
      <c r="G144" s="7">
        <v>1</v>
      </c>
      <c r="H144" s="22" t="s">
        <v>191</v>
      </c>
      <c r="I144" s="13">
        <v>42745.903784722221</v>
      </c>
      <c r="J144" s="7">
        <v>0</v>
      </c>
      <c r="K144" s="105" t="str">
        <f t="shared" si="45"/>
        <v>4041/4042</v>
      </c>
      <c r="L144" s="22" t="str">
        <f>VLOOKUP(A144,'Trips&amp;Operators'!$C$1:$G$99999,5,FALSE)</f>
        <v>NELSON ARIANE</v>
      </c>
      <c r="M144" s="6">
        <f t="shared" si="46"/>
        <v>3.1053240738401655E-2</v>
      </c>
      <c r="N144" s="7">
        <f t="shared" si="43"/>
        <v>44.716666663298383</v>
      </c>
      <c r="O144" s="7"/>
      <c r="P144" s="7"/>
      <c r="Q144" s="23"/>
      <c r="R144" s="23"/>
      <c r="S144" s="32">
        <f t="shared" si="44"/>
        <v>1</v>
      </c>
      <c r="T144" s="47" t="str">
        <f t="shared" si="47"/>
        <v>Southbound</v>
      </c>
      <c r="U144" s="167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https://search-rtdc-monitor-bjffxe2xuh6vdkpspy63sjmuny.us-east-1.es.amazonaws.com/_plugin/kibana/#/discover/Steve-Slow-Train-Analysis-(2080s-and-2083s)?_g=(refreshInterval:(display:Off,section:0,value:0),time:(from:'2017-01-10 19:54:01-700',mode:absolute,to:'2017-01-10 22:41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44" s="49" t="str">
        <f t="shared" si="49"/>
        <v>N</v>
      </c>
      <c r="X144" s="173">
        <f t="shared" si="42"/>
        <v>1</v>
      </c>
      <c r="Y144" s="64">
        <f t="shared" si="50"/>
        <v>23.298100000000002</v>
      </c>
      <c r="Z144" s="64">
        <f t="shared" si="51"/>
        <v>1.49E-2</v>
      </c>
      <c r="AA144" s="64">
        <f t="shared" si="52"/>
        <v>23.283200000000001</v>
      </c>
      <c r="AB144" s="61" t="e">
        <f>VLOOKUP(A144,Enforcements!$C$7:$K$17,8,0)</f>
        <v>#N/A</v>
      </c>
      <c r="AC144" s="57" t="e">
        <f>VLOOKUP(A144,Enforcements!$C$7:$E$17,3,0)</f>
        <v>#N/A</v>
      </c>
      <c r="AD144" s="58" t="str">
        <f t="shared" si="53"/>
        <v>0226-10</v>
      </c>
      <c r="AE144" s="87" t="str">
        <f t="shared" si="54"/>
        <v>aws s3 cp s3://rtdc.mdm.uploadarchive.raw/RTDC4041/ "%USERPROFILE%\AppData\Local\Temp\OnboardLogs"\RTDC4041\2017-01-10 --exclude "*" --recursive --include "*20170110*" &amp; "%USERPROFILE%\Documents\GitHub\mrs-test-scripts\Headless Mode &amp; Sideloading\WalkAndUnGZ.bat" "%USERPROFILE%\AppData\Local\Temp\OnboardLogs"\RTDC4041\2017-01-10 &amp; aws s3 cp s3://rtdc.mdm.uploadarchive.raw/RTDC4041/ "%USERPROFILE%\AppData\Local\Temp\OnboardLogs"\RTDC4041\2017-01-11 --exclude "*" --recursive --include "*20170111*" &amp; "%USERPROFILE%\Documents\GitHub\mrs-test-scripts\Headless Mode &amp; Sideloading\WalkAndUnGZ.bat" "%USERPROFILE%\AppData\Local\Temp\OnboardLogs"\RTDC4041\2017-01-11</v>
      </c>
      <c r="AF144" s="84" t="str">
        <f t="shared" si="55"/>
        <v>"C:\Program Files (x86)\AstroGrep\AstroGrep.exe" /spath="%USERPROFILE%\AppData\Local\Temp\OnboardLogs" /stypes="app*4041*20170111*" /stext=" 04:.+((SYSTEM_STATE.+slice.+state.+changed )|(ment ac)|(multiple cpu faults)|(system.+state.+changed )|(\[timeout)|(PRM\|1\|D)|(kpr)|(kdp)|(\|lc)|(penalty))" /e /r /s</v>
      </c>
      <c r="AG144" s="1" t="str">
        <f t="shared" si="56"/>
        <v>EC</v>
      </c>
      <c r="AH144" s="88" t="str">
        <f t="shared" si="57"/>
        <v>"%USERPROFILE%\Documents\GitHub\eaglep3\Utilities\RefineRTDCRunTimes.py" --tripid 226-10 --locoid 4041 --swversion DE.1.0.8.0 --startMP 204:232981 --initTime 2017-01-10T20:54:01 --startdatetime 2017-01-10T20:56:44 --delay 1 --endMP 204:149 --enddatetime 2017-01-10T21:41:27 --enforcementcount 0 &gt;&gt;C:\Users\stu\Documents\GitHub\eaglep3-reporting\EC\2017-01-10-refined-times.txt</v>
      </c>
      <c r="AI144" s="115" t="str">
        <f t="shared" si="58"/>
        <v>echo {"issue":{"subject":"","project_id":79,"tracker_id":40,"status_id":1,"priority_id":2,"assigned_to_id":23,"start_date":"2017-01-10","description":"","custom_fields":[{"id":1,"name":"Subdivision","value":"EC"},{"id":4,"name":"Milepost","value":"0.0149"},{"id":17,"name":"Train ID","value":"226-10"},{"id":16,"name":"Locomotive ID","value":"4041"},{"id":130,"name":"Impact","value":""},{"id":150,"name":"Time of Event (Mountain Time)","value":"21:41:27"},{"id":151,"name":"Denver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0"/>
      <c r="AK144" s="50"/>
      <c r="AL144" s="50"/>
      <c r="AM144" s="180" t="str">
        <f t="shared" si="59"/>
        <v>start /low /b %USERPROFILE%\Documents\GitHub\eaglep3\Utilities\DownloadLogsFromS3.py --loco 4041 --day 2017-01-10</v>
      </c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4" t="s">
        <v>639</v>
      </c>
      <c r="B145" s="7">
        <v>4020</v>
      </c>
      <c r="C145" s="22" t="s">
        <v>202</v>
      </c>
      <c r="D145" s="22" t="s">
        <v>239</v>
      </c>
      <c r="E145" s="13">
        <v>42745.839212962965</v>
      </c>
      <c r="F145" s="13">
        <v>42745.854756944442</v>
      </c>
      <c r="G145" s="7">
        <v>1</v>
      </c>
      <c r="H145" s="22" t="s">
        <v>720</v>
      </c>
      <c r="I145" s="13">
        <v>42745.880173611113</v>
      </c>
      <c r="J145" s="7">
        <v>0</v>
      </c>
      <c r="K145" s="105" t="str">
        <f t="shared" si="45"/>
        <v>4019/4020</v>
      </c>
      <c r="L145" s="22" t="str">
        <f>VLOOKUP(A145,'Trips&amp;Operators'!$C$1:$G$99999,5,FALSE)</f>
        <v>STAMBAUGH JAMES</v>
      </c>
      <c r="M145" s="6">
        <f t="shared" si="46"/>
        <v>2.5416666670935228E-2</v>
      </c>
      <c r="N145" s="7">
        <f t="shared" si="43"/>
        <v>36.600000006146729</v>
      </c>
      <c r="O145" s="7"/>
      <c r="P145" s="7"/>
      <c r="Q145" s="23"/>
      <c r="R145" s="23"/>
      <c r="S145" s="32">
        <f t="shared" si="44"/>
        <v>1</v>
      </c>
      <c r="T145" s="47" t="str">
        <f t="shared" si="47"/>
        <v>NorthBound</v>
      </c>
      <c r="U145" s="167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https://search-rtdc-monitor-bjffxe2xuh6vdkpspy63sjmuny.us-east-1.es.amazonaws.com/_plugin/kibana/#/discover/Steve-Slow-Train-Analysis-(2080s-and-2083s)?_g=(refreshInterval:(display:Off,section:0,value:0),time:(from:'2017-01-10 19:08:28-700',mode:absolute,to:'2017-01-10 22:07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45" s="49" t="str">
        <f t="shared" si="49"/>
        <v>N</v>
      </c>
      <c r="X145" s="173">
        <f t="shared" si="42"/>
        <v>1</v>
      </c>
      <c r="Y145" s="64">
        <f t="shared" si="50"/>
        <v>4.53E-2</v>
      </c>
      <c r="Z145" s="64">
        <f t="shared" si="51"/>
        <v>23.333600000000001</v>
      </c>
      <c r="AA145" s="64">
        <f t="shared" si="52"/>
        <v>23.2883</v>
      </c>
      <c r="AB145" s="61" t="e">
        <f>VLOOKUP(A145,Enforcements!$C$7:$K$17,8,0)</f>
        <v>#N/A</v>
      </c>
      <c r="AC145" s="57" t="e">
        <f>VLOOKUP(A145,Enforcements!$C$7:$E$17,3,0)</f>
        <v>#N/A</v>
      </c>
      <c r="AD145" s="58" t="str">
        <f t="shared" si="53"/>
        <v>0227-10</v>
      </c>
      <c r="AE145" s="87" t="str">
        <f t="shared" si="54"/>
        <v>aws s3 cp s3://rtdc.mdm.uploadarchive.raw/RTDC4020/ "%USERPROFILE%\AppData\Local\Temp\OnboardLogs"\RTDC4020\2017-01-10 --exclude "*" --recursive --include "*20170110*" &amp; "%USERPROFILE%\Documents\GitHub\mrs-test-scripts\Headless Mode &amp; Sideloading\WalkAndUnGZ.bat" "%USERPROFILE%\AppData\Local\Temp\OnboardLogs"\RTDC4020\2017-01-10 &amp; aws s3 cp s3://rtdc.mdm.uploadarchive.raw/RTDC4020/ "%USERPROFILE%\AppData\Local\Temp\OnboardLogs"\RTDC4020\2017-01-11 --exclude "*" --recursive --include "*20170111*" &amp; "%USERPROFILE%\Documents\GitHub\mrs-test-scripts\Headless Mode &amp; Sideloading\WalkAndUnGZ.bat" "%USERPROFILE%\AppData\Local\Temp\OnboardLogs"\RTDC4020\2017-01-11</v>
      </c>
      <c r="AF145" s="84" t="str">
        <f t="shared" si="55"/>
        <v>"C:\Program Files (x86)\AstroGrep\AstroGrep.exe" /spath="%USERPROFILE%\AppData\Local\Temp\OnboardLogs" /stypes="app*4020*20170111*" /stext=" 04:.+((SYSTEM_STATE.+slice.+state.+changed )|(ment ac)|(multiple cpu faults)|(system.+state.+changed )|(\[timeout)|(PRM\|1\|D)|(kpr)|(kdp)|(\|lc)|(penalty))" /e /r /s</v>
      </c>
      <c r="AG145" s="1" t="str">
        <f t="shared" si="56"/>
        <v>EC</v>
      </c>
      <c r="AH145" s="88" t="str">
        <f t="shared" si="57"/>
        <v>"%USERPROFILE%\Documents\GitHub\eaglep3\Utilities\RefineRTDCRunTimes.py" --tripid 227-10 --locoid 4020 --swversion DE.1.0.8.0 --startMP 204:453 --initTime 2017-01-10T20:08:28 --startdatetime 2017-01-10T20:30:51 --delay 1 --endMP 204:233336 --enddatetime 2017-01-10T21:07:27 --enforcementcount 0 &gt;&gt;C:\Users\stu\Documents\GitHub\eaglep3-reporting\EC\2017-01-10-refined-times.txt</v>
      </c>
      <c r="AI145" s="115" t="str">
        <f t="shared" si="58"/>
        <v>echo {"issue":{"subject":"","project_id":79,"tracker_id":40,"status_id":1,"priority_id":2,"assigned_to_id":23,"start_date":"2017-01-10","description":"","custom_fields":[{"id":1,"name":"Subdivision","value":"EC"},{"id":4,"name":"Milepost","value":"23.3336"},{"id":17,"name":"Train ID","value":"227-10"},{"id":16,"name":"Locomotive ID","value":"4020"},{"id":130,"name":"Impact","value":""},{"id":150,"name":"Time of Event (Mountain Time)","value":"21:07:27"},{"id":151,"name":"Denver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0"/>
      <c r="AK145" s="50"/>
      <c r="AL145" s="50"/>
      <c r="AM145" s="180" t="str">
        <f t="shared" si="59"/>
        <v>start /low /b %USERPROFILE%\Documents\GitHub\eaglep3\Utilities\DownloadLogsFromS3.py --loco 4020 --day 2017-01-10</v>
      </c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4" t="s">
        <v>645</v>
      </c>
      <c r="B146" s="7">
        <v>4019</v>
      </c>
      <c r="C146" s="22" t="s">
        <v>202</v>
      </c>
      <c r="D146" s="22" t="s">
        <v>721</v>
      </c>
      <c r="E146" s="13">
        <v>42745.882754629631</v>
      </c>
      <c r="F146" s="13">
        <v>42745.893379629626</v>
      </c>
      <c r="G146" s="7">
        <v>1</v>
      </c>
      <c r="H146" s="22" t="s">
        <v>304</v>
      </c>
      <c r="I146" s="13">
        <v>42745.922476851854</v>
      </c>
      <c r="J146" s="7">
        <v>0</v>
      </c>
      <c r="K146" s="105" t="str">
        <f t="shared" si="45"/>
        <v>4019/4020</v>
      </c>
      <c r="L146" s="22" t="str">
        <f>VLOOKUP(A146,'Trips&amp;Operators'!$C$1:$G$99999,5,FALSE)</f>
        <v>STAMBAUGH JAMES</v>
      </c>
      <c r="M146" s="6">
        <f t="shared" si="46"/>
        <v>2.9097222228301689E-2</v>
      </c>
      <c r="N146" s="7">
        <f t="shared" si="43"/>
        <v>41.900000008754432</v>
      </c>
      <c r="O146" s="7"/>
      <c r="P146" s="7"/>
      <c r="Q146" s="23"/>
      <c r="R146" s="23"/>
      <c r="S146" s="32">
        <f t="shared" si="44"/>
        <v>1</v>
      </c>
      <c r="T146" s="47" t="str">
        <f t="shared" si="47"/>
        <v>Southbound</v>
      </c>
      <c r="U146" s="167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https://search-rtdc-monitor-bjffxe2xuh6vdkpspy63sjmuny.us-east-1.es.amazonaws.com/_plugin/kibana/#/discover/Steve-Slow-Train-Analysis-(2080s-and-2083s)?_g=(refreshInterval:(display:Off,section:0,value:0),time:(from:'2017-01-10 20:11:10-700',mode:absolute,to:'2017-01-10 23:08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46" s="49" t="str">
        <f t="shared" si="49"/>
        <v>N</v>
      </c>
      <c r="X146" s="173">
        <f t="shared" si="42"/>
        <v>1</v>
      </c>
      <c r="Y146" s="64">
        <f t="shared" si="50"/>
        <v>23.304200000000002</v>
      </c>
      <c r="Z146" s="64">
        <f t="shared" si="51"/>
        <v>1.6500000000000001E-2</v>
      </c>
      <c r="AA146" s="64">
        <f t="shared" si="52"/>
        <v>23.287700000000001</v>
      </c>
      <c r="AB146" s="61" t="e">
        <f>VLOOKUP(A146,Enforcements!$C$7:$K$17,8,0)</f>
        <v>#N/A</v>
      </c>
      <c r="AC146" s="57" t="e">
        <f>VLOOKUP(A146,Enforcements!$C$7:$E$17,3,0)</f>
        <v>#N/A</v>
      </c>
      <c r="AD146" s="58" t="str">
        <f t="shared" si="53"/>
        <v>0228-10</v>
      </c>
      <c r="AE146" s="87" t="str">
        <f t="shared" si="54"/>
        <v>aws s3 cp s3://rtdc.mdm.uploadarchive.raw/RTDC4019/ "%USERPROFILE%\AppData\Local\Temp\OnboardLogs"\RTDC4019\2017-01-10 --exclude "*" --recursive --include "*20170110*" &amp; "%USERPROFILE%\Documents\GitHub\mrs-test-scripts\Headless Mode &amp; Sideloading\WalkAndUnGZ.bat" "%USERPROFILE%\AppData\Local\Temp\OnboardLogs"\RTDC4019\2017-01-10 &amp; aws s3 cp s3://rtdc.mdm.uploadarchive.raw/RTDC4019/ "%USERPROFILE%\AppData\Local\Temp\OnboardLogs"\RTDC4019\2017-01-11 --exclude "*" --recursive --include "*20170111*" &amp; "%USERPROFILE%\Documents\GitHub\mrs-test-scripts\Headless Mode &amp; Sideloading\WalkAndUnGZ.bat" "%USERPROFILE%\AppData\Local\Temp\OnboardLogs"\RTDC4019\2017-01-11</v>
      </c>
      <c r="AF146" s="84" t="str">
        <f t="shared" si="55"/>
        <v>"C:\Program Files (x86)\AstroGrep\AstroGrep.exe" /spath="%USERPROFILE%\AppData\Local\Temp\OnboardLogs" /stypes="app*4019*20170111*" /stext=" 05:.+((SYSTEM_STATE.+slice.+state.+changed )|(ment ac)|(multiple cpu faults)|(system.+state.+changed )|(\[timeout)|(PRM\|1\|D)|(kpr)|(kdp)|(\|lc)|(penalty))" /e /r /s</v>
      </c>
      <c r="AG146" s="1" t="str">
        <f t="shared" si="56"/>
        <v>EC</v>
      </c>
      <c r="AH146" s="88" t="str">
        <f t="shared" si="57"/>
        <v>"%USERPROFILE%\Documents\GitHub\eaglep3\Utilities\RefineRTDCRunTimes.py" --tripid 228-10 --locoid 4019 --swversion DE.1.0.8.0 --startMP 204:233042 --initTime 2017-01-10T21:11:10 --startdatetime 2017-01-10T21:26:28 --delay 1 --endMP 204:165 --enddatetime 2017-01-10T22:08:22 --enforcementcount 0 &gt;&gt;C:\Users\stu\Documents\GitHub\eaglep3-reporting\EC\2017-01-10-refined-times.txt</v>
      </c>
      <c r="AI146" s="115" t="str">
        <f t="shared" si="58"/>
        <v>echo {"issue":{"subject":"","project_id":79,"tracker_id":40,"status_id":1,"priority_id":2,"assigned_to_id":23,"start_date":"2017-01-10","description":"","custom_fields":[{"id":1,"name":"Subdivision","value":"EC"},{"id":4,"name":"Milepost","value":"0.0165"},{"id":17,"name":"Train ID","value":"228-10"},{"id":16,"name":"Locomotive ID","value":"4019"},{"id":130,"name":"Impact","value":""},{"id":150,"name":"Time of Event (Mountain Time)","value":"22:08:22"},{"id":151,"name":"Denver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0"/>
      <c r="AK146" s="50"/>
      <c r="AL146" s="50"/>
      <c r="AM146" s="180" t="str">
        <f t="shared" si="59"/>
        <v>start /low /b %USERPROFILE%\Documents\GitHub\eaglep3\Utilities\DownloadLogsFromS3.py --loco 4019 --day 2017-01-10</v>
      </c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4" t="s">
        <v>644</v>
      </c>
      <c r="B147" s="7">
        <v>4031</v>
      </c>
      <c r="C147" s="22" t="s">
        <v>202</v>
      </c>
      <c r="D147" s="22" t="s">
        <v>722</v>
      </c>
      <c r="E147" s="13">
        <v>42745.873576388891</v>
      </c>
      <c r="F147" s="13">
        <v>42745.876400462963</v>
      </c>
      <c r="G147" s="7">
        <v>1</v>
      </c>
      <c r="H147" s="22" t="s">
        <v>717</v>
      </c>
      <c r="I147" s="13">
        <v>42745.902708333335</v>
      </c>
      <c r="J147" s="7">
        <v>0</v>
      </c>
      <c r="K147" s="105" t="str">
        <f t="shared" si="45"/>
        <v>4031/4032</v>
      </c>
      <c r="L147" s="22" t="str">
        <f>VLOOKUP(A147,'Trips&amp;Operators'!$C$1:$G$99999,5,FALSE)</f>
        <v>CHANDLER KELVIN</v>
      </c>
      <c r="M147" s="6">
        <f t="shared" si="46"/>
        <v>2.6307870371965691E-2</v>
      </c>
      <c r="N147" s="7">
        <f t="shared" si="43"/>
        <v>37.883333335630596</v>
      </c>
      <c r="O147" s="7"/>
      <c r="P147" s="7"/>
      <c r="Q147" s="23"/>
      <c r="R147" s="23"/>
      <c r="S147" s="32">
        <f t="shared" si="44"/>
        <v>1</v>
      </c>
      <c r="T147" s="47" t="str">
        <f t="shared" si="47"/>
        <v>NorthBound</v>
      </c>
      <c r="U147" s="167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https://search-rtdc-monitor-bjffxe2xuh6vdkpspy63sjmuny.us-east-1.es.amazonaws.com/_plugin/kibana/#/discover/Steve-Slow-Train-Analysis-(2080s-and-2083s)?_g=(refreshInterval:(display:Off,section:0,value:0),time:(from:'2017-01-10 19:57:57-700',mode:absolute,to:'2017-01-10 22:39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47" s="49" t="str">
        <f t="shared" si="49"/>
        <v>N</v>
      </c>
      <c r="X147" s="173">
        <f t="shared" si="42"/>
        <v>1</v>
      </c>
      <c r="Y147" s="64">
        <f t="shared" si="50"/>
        <v>4.8899999999999999E-2</v>
      </c>
      <c r="Z147" s="64">
        <f t="shared" si="51"/>
        <v>23.328499999999998</v>
      </c>
      <c r="AA147" s="64">
        <f t="shared" si="52"/>
        <v>23.279599999999999</v>
      </c>
      <c r="AB147" s="61" t="e">
        <f>VLOOKUP(A147,Enforcements!$C$7:$K$17,8,0)</f>
        <v>#N/A</v>
      </c>
      <c r="AC147" s="57" t="e">
        <f>VLOOKUP(A147,Enforcements!$C$7:$E$17,3,0)</f>
        <v>#N/A</v>
      </c>
      <c r="AD147" s="58" t="str">
        <f t="shared" si="53"/>
        <v>0229-10</v>
      </c>
      <c r="AE147" s="87" t="str">
        <f t="shared" si="54"/>
        <v>aws s3 cp s3://rtdc.mdm.uploadarchive.raw/RTDC4031/ "%USERPROFILE%\AppData\Local\Temp\OnboardLogs"\RTDC4031\2017-01-10 --exclude "*" --recursive --include "*20170110*" &amp; "%USERPROFILE%\Documents\GitHub\mrs-test-scripts\Headless Mode &amp; Sideloading\WalkAndUnGZ.bat" "%USERPROFILE%\AppData\Local\Temp\OnboardLogs"\RTDC4031\2017-01-10 &amp; aws s3 cp s3://rtdc.mdm.uploadarchive.raw/RTDC4031/ "%USERPROFILE%\AppData\Local\Temp\OnboardLogs"\RTDC4031\2017-01-11 --exclude "*" --recursive --include "*20170111*" &amp; "%USERPROFILE%\Documents\GitHub\mrs-test-scripts\Headless Mode &amp; Sideloading\WalkAndUnGZ.bat" "%USERPROFILE%\AppData\Local\Temp\OnboardLogs"\RTDC4031\2017-01-11</v>
      </c>
      <c r="AF147" s="84" t="str">
        <f t="shared" si="55"/>
        <v>"C:\Program Files (x86)\AstroGrep\AstroGrep.exe" /spath="%USERPROFILE%\AppData\Local\Temp\OnboardLogs" /stypes="app*4031*20170111*" /stext=" 04:.+((SYSTEM_STATE.+slice.+state.+changed )|(ment ac)|(multiple cpu faults)|(system.+state.+changed )|(\[timeout)|(PRM\|1\|D)|(kpr)|(kdp)|(\|lc)|(penalty))" /e /r /s</v>
      </c>
      <c r="AG147" s="1" t="str">
        <f t="shared" si="56"/>
        <v>EC</v>
      </c>
      <c r="AH147" s="88" t="str">
        <f t="shared" si="57"/>
        <v>"%USERPROFILE%\Documents\GitHub\eaglep3\Utilities\RefineRTDCRunTimes.py" --tripid 229-10 --locoid 4031 --swversion DE.1.0.8.0 --startMP 204:489 --initTime 2017-01-10T20:57:57 --startdatetime 2017-01-10T21:02:01 --delay 1 --endMP 204:233285 --enddatetime 2017-01-10T21:39:54 --enforcementcount 0 &gt;&gt;C:\Users\stu\Documents\GitHub\eaglep3-reporting\EC\2017-01-10-refined-times.txt</v>
      </c>
      <c r="AI147" s="115" t="str">
        <f t="shared" si="58"/>
        <v>echo {"issue":{"subject":"","project_id":79,"tracker_id":40,"status_id":1,"priority_id":2,"assigned_to_id":23,"start_date":"2017-01-10","description":"","custom_fields":[{"id":1,"name":"Subdivision","value":"EC"},{"id":4,"name":"Milepost","value":"23.3285"},{"id":17,"name":"Train ID","value":"229-10"},{"id":16,"name":"Locomotive ID","value":"4031"},{"id":130,"name":"Impact","value":""},{"id":150,"name":"Time of Event (Mountain Time)","value":"21:39:54"},{"id":151,"name":"Denver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0"/>
      <c r="AK147" s="50"/>
      <c r="AL147" s="50"/>
      <c r="AM147" s="180" t="str">
        <f t="shared" si="59"/>
        <v>start /low /b %USERPROFILE%\Documents\GitHub\eaglep3\Utilities\DownloadLogsFromS3.py --loco 4031 --day 2017-01-10</v>
      </c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x14ac:dyDescent="0.25">
      <c r="A148" s="34" t="s">
        <v>647</v>
      </c>
      <c r="B148" s="7">
        <v>4032</v>
      </c>
      <c r="C148" s="22" t="s">
        <v>202</v>
      </c>
      <c r="D148" s="22" t="s">
        <v>346</v>
      </c>
      <c r="E148" s="13">
        <v>42745.912546296298</v>
      </c>
      <c r="F148" s="13">
        <v>42745.914710648147</v>
      </c>
      <c r="G148" s="7">
        <v>0</v>
      </c>
      <c r="H148" s="22" t="s">
        <v>268</v>
      </c>
      <c r="I148" s="13">
        <v>42745.944525462961</v>
      </c>
      <c r="J148" s="7">
        <v>0</v>
      </c>
      <c r="K148" s="105" t="str">
        <f t="shared" si="45"/>
        <v>4031/4032</v>
      </c>
      <c r="L148" s="22" t="str">
        <f>VLOOKUP(A148,'Trips&amp;Operators'!$C$1:$G$99999,5,FALSE)</f>
        <v>CHANDLER KELVIN</v>
      </c>
      <c r="M148" s="6">
        <f t="shared" si="46"/>
        <v>2.9814814814017154E-2</v>
      </c>
      <c r="N148" s="7">
        <f t="shared" si="43"/>
        <v>42.933333332184702</v>
      </c>
      <c r="O148" s="7"/>
      <c r="P148" s="7"/>
      <c r="Q148" s="23"/>
      <c r="R148" s="23"/>
      <c r="S148" s="32">
        <f t="shared" si="44"/>
        <v>1</v>
      </c>
      <c r="T148" s="47" t="str">
        <f t="shared" si="47"/>
        <v>Southbound</v>
      </c>
      <c r="U148" s="167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https://search-rtdc-monitor-bjffxe2xuh6vdkpspy63sjmuny.us-east-1.es.amazonaws.com/_plugin/kibana/#/discover/Steve-Slow-Train-Analysis-(2080s-and-2083s)?_g=(refreshInterval:(display:Off,section:0,value:0),time:(from:'2017-01-10 20:54:04-700',mode:absolute,to:'2017-01-10 23:40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48" s="49" t="str">
        <f t="shared" si="49"/>
        <v>N</v>
      </c>
      <c r="X148" s="173">
        <f t="shared" si="42"/>
        <v>1</v>
      </c>
      <c r="Y148" s="64">
        <f t="shared" si="50"/>
        <v>23.296399999999998</v>
      </c>
      <c r="Z148" s="64">
        <f t="shared" si="51"/>
        <v>1.52E-2</v>
      </c>
      <c r="AA148" s="64">
        <f t="shared" si="52"/>
        <v>23.281199999999998</v>
      </c>
      <c r="AB148" s="61" t="e">
        <f>VLOOKUP(A148,Enforcements!$C$7:$K$17,8,0)</f>
        <v>#N/A</v>
      </c>
      <c r="AC148" s="57" t="e">
        <f>VLOOKUP(A148,Enforcements!$C$7:$E$17,3,0)</f>
        <v>#N/A</v>
      </c>
      <c r="AD148" s="58" t="str">
        <f t="shared" si="53"/>
        <v>0230-10</v>
      </c>
      <c r="AE148" s="87" t="str">
        <f t="shared" si="54"/>
        <v>aws s3 cp s3://rtdc.mdm.uploadarchive.raw/RTDC4032/ "%USERPROFILE%\AppData\Local\Temp\OnboardLogs"\RTDC4032\2017-01-10 --exclude "*" --recursive --include "*20170110*" &amp; "%USERPROFILE%\Documents\GitHub\mrs-test-scripts\Headless Mode &amp; Sideloading\WalkAndUnGZ.bat" "%USERPROFILE%\AppData\Local\Temp\OnboardLogs"\RTDC4032\2017-01-10 &amp; aws s3 cp s3://rtdc.mdm.uploadarchive.raw/RTDC4032/ "%USERPROFILE%\AppData\Local\Temp\OnboardLogs"\RTDC4032\2017-01-11 --exclude "*" --recursive --include "*20170111*" &amp; "%USERPROFILE%\Documents\GitHub\mrs-test-scripts\Headless Mode &amp; Sideloading\WalkAndUnGZ.bat" "%USERPROFILE%\AppData\Local\Temp\OnboardLogs"\RTDC4032\2017-01-11</v>
      </c>
      <c r="AF148" s="84" t="str">
        <f t="shared" si="55"/>
        <v>"C:\Program Files (x86)\AstroGrep\AstroGrep.exe" /spath="%USERPROFILE%\AppData\Local\Temp\OnboardLogs" /stypes="app*4032*20170111*" /stext=" 05:.+((SYSTEM_STATE.+slice.+state.+changed )|(ment ac)|(multiple cpu faults)|(system.+state.+changed )|(\[timeout)|(PRM\|1\|D)|(kpr)|(kdp)|(\|lc)|(penalty))" /e /r /s</v>
      </c>
      <c r="AG148" s="1" t="str">
        <f t="shared" si="56"/>
        <v>EC</v>
      </c>
      <c r="AH148" s="88" t="str">
        <f t="shared" si="57"/>
        <v>"%USERPROFILE%\Documents\GitHub\eaglep3\Utilities\RefineRTDCRunTimes.py" --tripid 230-10 --locoid 4032 --swversion DE.1.0.8.0 --startMP 204:232964 --initTime 2017-01-10T21:54:04 --startdatetime 2017-01-10T21:57:11 --delay 0 --endMP 204:152 --enddatetime 2017-01-10T22:40:07 --enforcementcount 0 &gt;&gt;C:\Users\stu\Documents\GitHub\eaglep3-reporting\EC\2017-01-10-refined-times.txt</v>
      </c>
      <c r="AI148" s="115" t="str">
        <f t="shared" si="58"/>
        <v>echo {"issue":{"subject":"","project_id":79,"tracker_id":40,"status_id":1,"priority_id":2,"assigned_to_id":23,"start_date":"2017-01-10","description":"","custom_fields":[{"id":1,"name":"Subdivision","value":"EC"},{"id":4,"name":"Milepost","value":"0.0152"},{"id":17,"name":"Train ID","value":"230-10"},{"id":16,"name":"Locomotive ID","value":"4032"},{"id":130,"name":"Impact","value":""},{"id":150,"name":"Time of Event (Mountain Time)","value":"22:40:07"},{"id":151,"name":"Denver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0"/>
      <c r="AK148" s="50"/>
      <c r="AL148" s="50"/>
      <c r="AM148" s="180" t="str">
        <f t="shared" si="59"/>
        <v>start /low /b %USERPROFILE%\Documents\GitHub\eaglep3\Utilities\DownloadLogsFromS3.py --loco 4032 --day 2017-01-10</v>
      </c>
    </row>
    <row r="149" spans="1:91" s="21" customFormat="1" x14ac:dyDescent="0.25">
      <c r="A149" s="34" t="s">
        <v>646</v>
      </c>
      <c r="B149" s="7">
        <v>4007</v>
      </c>
      <c r="C149" s="22" t="s">
        <v>202</v>
      </c>
      <c r="D149" s="22" t="s">
        <v>272</v>
      </c>
      <c r="E149" s="13">
        <v>42745.888935185183</v>
      </c>
      <c r="F149" s="13">
        <v>42745.895995370367</v>
      </c>
      <c r="G149" s="7">
        <v>1</v>
      </c>
      <c r="H149" s="22" t="s">
        <v>392</v>
      </c>
      <c r="I149" s="13">
        <v>42745.921249999999</v>
      </c>
      <c r="J149" s="7">
        <v>0</v>
      </c>
      <c r="K149" s="105" t="str">
        <f t="shared" si="45"/>
        <v>4007/4008</v>
      </c>
      <c r="L149" s="22" t="str">
        <f>VLOOKUP(A149,'Trips&amp;Operators'!$C$1:$G$99999,5,FALSE)</f>
        <v>NEWELL JAMES</v>
      </c>
      <c r="M149" s="6">
        <f t="shared" si="46"/>
        <v>2.5254629632399883E-2</v>
      </c>
      <c r="N149" s="7">
        <f t="shared" si="43"/>
        <v>36.366666670655832</v>
      </c>
      <c r="O149" s="7"/>
      <c r="P149" s="7"/>
      <c r="Q149" s="23"/>
      <c r="R149" s="23"/>
      <c r="S149" s="32">
        <f t="shared" si="44"/>
        <v>1</v>
      </c>
      <c r="T149" s="47" t="str">
        <f t="shared" si="47"/>
        <v>NorthBound</v>
      </c>
      <c r="U149" s="167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https://search-rtdc-monitor-bjffxe2xuh6vdkpspy63sjmuny.us-east-1.es.amazonaws.com/_plugin/kibana/#/discover/Steve-Slow-Train-Analysis-(2080s-and-2083s)?_g=(refreshInterval:(display:Off,section:0,value:0),time:(from:'2017-01-10 20:20:04-700',mode:absolute,to:'2017-01-10 23:06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49" s="49" t="str">
        <f t="shared" si="49"/>
        <v>N</v>
      </c>
      <c r="X149" s="173">
        <f t="shared" si="42"/>
        <v>1</v>
      </c>
      <c r="Y149" s="64">
        <f t="shared" si="50"/>
        <v>4.5699999999999998E-2</v>
      </c>
      <c r="Z149" s="64">
        <f t="shared" si="51"/>
        <v>23.331499999999998</v>
      </c>
      <c r="AA149" s="64">
        <f t="shared" si="52"/>
        <v>23.285799999999998</v>
      </c>
      <c r="AB149" s="61" t="e">
        <f>VLOOKUP(A149,Enforcements!$C$7:$K$17,8,0)</f>
        <v>#N/A</v>
      </c>
      <c r="AC149" s="57" t="e">
        <f>VLOOKUP(A149,Enforcements!$C$7:$E$17,3,0)</f>
        <v>#N/A</v>
      </c>
      <c r="AD149" s="58" t="str">
        <f t="shared" si="53"/>
        <v>0231-10</v>
      </c>
      <c r="AE149" s="87" t="str">
        <f t="shared" si="54"/>
        <v>aws s3 cp s3://rtdc.mdm.uploadarchive.raw/RTDC4007/ "%USERPROFILE%\AppData\Local\Temp\OnboardLogs"\RTDC4007\2017-01-10 --exclude "*" --recursive --include "*20170110*" &amp; "%USERPROFILE%\Documents\GitHub\mrs-test-scripts\Headless Mode &amp; Sideloading\WalkAndUnGZ.bat" "%USERPROFILE%\AppData\Local\Temp\OnboardLogs"\RTDC4007\2017-01-10 &amp; aws s3 cp s3://rtdc.mdm.uploadarchive.raw/RTDC4007/ "%USERPROFILE%\AppData\Local\Temp\OnboardLogs"\RTDC4007\2017-01-11 --exclude "*" --recursive --include "*20170111*" &amp; "%USERPROFILE%\Documents\GitHub\mrs-test-scripts\Headless Mode &amp; Sideloading\WalkAndUnGZ.bat" "%USERPROFILE%\AppData\Local\Temp\OnboardLogs"\RTDC4007\2017-01-11</v>
      </c>
      <c r="AF149" s="84" t="str">
        <f t="shared" si="55"/>
        <v>"C:\Program Files (x86)\AstroGrep\AstroGrep.exe" /spath="%USERPROFILE%\AppData\Local\Temp\OnboardLogs" /stypes="app*4007*20170111*" /stext=" 05:.+((SYSTEM_STATE.+slice.+state.+changed )|(ment ac)|(multiple cpu faults)|(system.+state.+changed )|(\[timeout)|(PRM\|1\|D)|(kpr)|(kdp)|(\|lc)|(penalty))" /e /r /s</v>
      </c>
      <c r="AG149" s="1" t="str">
        <f t="shared" si="56"/>
        <v>EC</v>
      </c>
      <c r="AH149" s="88" t="str">
        <f t="shared" si="57"/>
        <v>"%USERPROFILE%\Documents\GitHub\eaglep3\Utilities\RefineRTDCRunTimes.py" --tripid 231-10 --locoid 4007 --swversion DE.1.0.8.0 --startMP 204:457 --initTime 2017-01-10T21:20:04 --startdatetime 2017-01-10T21:30:14 --delay 1 --endMP 204:233315 --enddatetime 2017-01-10T22:06:36 --enforcementcount 0 &gt;&gt;C:\Users\stu\Documents\GitHub\eaglep3-reporting\EC\2017-01-10-refined-times.txt</v>
      </c>
      <c r="AI149" s="115" t="str">
        <f t="shared" si="58"/>
        <v>echo {"issue":{"subject":"","project_id":79,"tracker_id":40,"status_id":1,"priority_id":2,"assigned_to_id":23,"start_date":"2017-01-10","description":"","custom_fields":[{"id":1,"name":"Subdivision","value":"EC"},{"id":4,"name":"Milepost","value":"23.3315"},{"id":17,"name":"Train ID","value":"231-10"},{"id":16,"name":"Locomotive ID","value":"4007"},{"id":130,"name":"Impact","value":""},{"id":150,"name":"Time of Event (Mountain Time)","value":"22:06:36"},{"id":151,"name":"Denver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0"/>
      <c r="AK149" s="50"/>
      <c r="AL149" s="50"/>
      <c r="AM149" s="180" t="str">
        <f t="shared" si="59"/>
        <v>start /low /b %USERPROFILE%\Documents\GitHub\eaglep3\Utilities\DownloadLogsFromS3.py --loco 4007 --day 2017-01-10</v>
      </c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x14ac:dyDescent="0.25">
      <c r="A150" s="34" t="s">
        <v>651</v>
      </c>
      <c r="B150" s="7">
        <v>4008</v>
      </c>
      <c r="C150" s="22" t="s">
        <v>202</v>
      </c>
      <c r="D150" s="22" t="s">
        <v>407</v>
      </c>
      <c r="E150" s="13">
        <v>42745.927407407406</v>
      </c>
      <c r="F150" s="13">
        <v>42745.934895833336</v>
      </c>
      <c r="G150" s="7">
        <v>0</v>
      </c>
      <c r="H150" s="22" t="s">
        <v>403</v>
      </c>
      <c r="I150" s="13">
        <v>42745.964236111111</v>
      </c>
      <c r="J150" s="7">
        <v>0</v>
      </c>
      <c r="K150" s="105" t="str">
        <f t="shared" si="45"/>
        <v>4007/4008</v>
      </c>
      <c r="L150" s="22" t="str">
        <f>VLOOKUP(A150,'Trips&amp;Operators'!$C$1:$G$99999,5,FALSE)</f>
        <v>NEWELL JAMES</v>
      </c>
      <c r="M150" s="6">
        <f t="shared" si="46"/>
        <v>2.9340277775190771E-2</v>
      </c>
      <c r="N150" s="7">
        <f t="shared" si="43"/>
        <v>42.24999999627471</v>
      </c>
      <c r="O150" s="7"/>
      <c r="P150" s="7"/>
      <c r="Q150" s="23"/>
      <c r="R150" s="23"/>
      <c r="S150" s="32">
        <f t="shared" si="44"/>
        <v>1</v>
      </c>
      <c r="T150" s="47" t="str">
        <f t="shared" si="47"/>
        <v>Southbound</v>
      </c>
      <c r="U150" s="167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https://search-rtdc-monitor-bjffxe2xuh6vdkpspy63sjmuny.us-east-1.es.amazonaws.com/_plugin/kibana/#/discover/Steve-Slow-Train-Analysis-(2080s-and-2083s)?_g=(refreshInterval:(display:Off,section:0,value:0),time:(from:'2017-01-10 21:15:28-700',mode:absolute,to:'2017-01-11 00:08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50" s="49" t="str">
        <f t="shared" si="49"/>
        <v>N</v>
      </c>
      <c r="X150" s="173">
        <f t="shared" si="42"/>
        <v>1</v>
      </c>
      <c r="Y150" s="64">
        <f t="shared" si="50"/>
        <v>23.299099999999999</v>
      </c>
      <c r="Z150" s="64">
        <f t="shared" si="51"/>
        <v>1.67E-2</v>
      </c>
      <c r="AA150" s="64">
        <f t="shared" si="52"/>
        <v>23.282399999999999</v>
      </c>
      <c r="AB150" s="61" t="e">
        <f>VLOOKUP(A150,Enforcements!$C$7:$K$17,8,0)</f>
        <v>#N/A</v>
      </c>
      <c r="AC150" s="57" t="e">
        <f>VLOOKUP(A150,Enforcements!$C$7:$E$17,3,0)</f>
        <v>#N/A</v>
      </c>
      <c r="AD150" s="58" t="str">
        <f t="shared" si="53"/>
        <v>0232-10</v>
      </c>
      <c r="AE150" s="87" t="str">
        <f t="shared" si="54"/>
        <v>aws s3 cp s3://rtdc.mdm.uploadarchive.raw/RTDC4008/ "%USERPROFILE%\AppData\Local\Temp\OnboardLogs"\RTDC4008\2017-01-10 --exclude "*" --recursive --include "*20170110*" &amp; "%USERPROFILE%\Documents\GitHub\mrs-test-scripts\Headless Mode &amp; Sideloading\WalkAndUnGZ.bat" "%USERPROFILE%\AppData\Local\Temp\OnboardLogs"\RTDC4008\2017-01-10 &amp; aws s3 cp s3://rtdc.mdm.uploadarchive.raw/RTDC4008/ "%USERPROFILE%\AppData\Local\Temp\OnboardLogs"\RTDC4008\2017-01-11 --exclude "*" --recursive --include "*20170111*" &amp; "%USERPROFILE%\Documents\GitHub\mrs-test-scripts\Headless Mode &amp; Sideloading\WalkAndUnGZ.bat" "%USERPROFILE%\AppData\Local\Temp\OnboardLogs"\RTDC4008\2017-01-11</v>
      </c>
      <c r="AF150" s="84" t="str">
        <f t="shared" si="55"/>
        <v>"C:\Program Files (x86)\AstroGrep\AstroGrep.exe" /spath="%USERPROFILE%\AppData\Local\Temp\OnboardLogs" /stypes="app*4008*20170111*" /stext=" 06:.+((SYSTEM_STATE.+slice.+state.+changed )|(ment ac)|(multiple cpu faults)|(system.+state.+changed )|(\[timeout)|(PRM\|1\|D)|(kpr)|(kdp)|(\|lc)|(penalty))" /e /r /s</v>
      </c>
      <c r="AG150" s="1" t="str">
        <f t="shared" si="56"/>
        <v>EC</v>
      </c>
      <c r="AH150" s="88" t="str">
        <f t="shared" si="57"/>
        <v>"%USERPROFILE%\Documents\GitHub\eaglep3\Utilities\RefineRTDCRunTimes.py" --tripid 232-10 --locoid 4008 --swversion DE.1.0.8.0 --startMP 204:232991 --initTime 2017-01-10T22:15:28 --startdatetime 2017-01-10T22:26:15 --delay 0 --endMP 204:167 --enddatetime 2017-01-10T23:08:30 --enforcementcount 0 &gt;&gt;C:\Users\stu\Documents\GitHub\eaglep3-reporting\EC\2017-01-10-refined-times.txt</v>
      </c>
      <c r="AI150" s="115" t="str">
        <f t="shared" si="58"/>
        <v>echo {"issue":{"subject":"","project_id":79,"tracker_id":40,"status_id":1,"priority_id":2,"assigned_to_id":23,"start_date":"2017-01-10","description":"","custom_fields":[{"id":1,"name":"Subdivision","value":"EC"},{"id":4,"name":"Milepost","value":"0.0167"},{"id":17,"name":"Train ID","value":"232-10"},{"id":16,"name":"Locomotive ID","value":"4008"},{"id":130,"name":"Impact","value":""},{"id":150,"name":"Time of Event (Mountain Time)","value":"23:08:30"},{"id":151,"name":"Denver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0"/>
      <c r="AK150" s="50"/>
      <c r="AL150" s="50"/>
      <c r="AM150" s="180" t="str">
        <f t="shared" si="59"/>
        <v>start /low /b %USERPROFILE%\Documents\GitHub\eaglep3\Utilities\DownloadLogsFromS3.py --loco 4008 --day 2017-01-10</v>
      </c>
    </row>
    <row r="151" spans="1:91" s="21" customFormat="1" x14ac:dyDescent="0.25">
      <c r="A151" s="34" t="s">
        <v>648</v>
      </c>
      <c r="B151" s="7">
        <v>4042</v>
      </c>
      <c r="C151" s="22" t="s">
        <v>202</v>
      </c>
      <c r="D151" s="22" t="s">
        <v>239</v>
      </c>
      <c r="E151" s="13">
        <v>42745.912685185183</v>
      </c>
      <c r="F151" s="13">
        <v>42745.917002314818</v>
      </c>
      <c r="G151" s="7">
        <v>1</v>
      </c>
      <c r="H151" s="22" t="s">
        <v>292</v>
      </c>
      <c r="I151" s="13">
        <v>42745.945150462961</v>
      </c>
      <c r="J151" s="7">
        <v>0</v>
      </c>
      <c r="K151" s="105" t="str">
        <f t="shared" si="45"/>
        <v>4041/4042</v>
      </c>
      <c r="L151" s="22" t="str">
        <f>VLOOKUP(A151,'Trips&amp;Operators'!$C$1:$G$99999,5,FALSE)</f>
        <v>NELSON ARIANE</v>
      </c>
      <c r="M151" s="6">
        <f t="shared" si="46"/>
        <v>2.8148148143372964E-2</v>
      </c>
      <c r="N151" s="7">
        <f t="shared" si="43"/>
        <v>40.533333326457068</v>
      </c>
      <c r="O151" s="7"/>
      <c r="P151" s="7"/>
      <c r="Q151" s="23"/>
      <c r="R151" s="23"/>
      <c r="S151" s="32">
        <f t="shared" si="44"/>
        <v>1</v>
      </c>
      <c r="T151" s="47" t="str">
        <f t="shared" si="47"/>
        <v>NorthBound</v>
      </c>
      <c r="U151" s="167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https://search-rtdc-monitor-bjffxe2xuh6vdkpspy63sjmuny.us-east-1.es.amazonaws.com/_plugin/kibana/#/discover/Steve-Slow-Train-Analysis-(2080s-and-2083s)?_g=(refreshInterval:(display:Off,section:0,value:0),time:(from:'2017-01-10 20:54:16-700',mode:absolute,to:'2017-01-10 23:41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51" s="49" t="str">
        <f t="shared" si="49"/>
        <v>N</v>
      </c>
      <c r="X151" s="173">
        <f t="shared" si="42"/>
        <v>1</v>
      </c>
      <c r="Y151" s="64">
        <f t="shared" si="50"/>
        <v>4.53E-2</v>
      </c>
      <c r="Z151" s="64">
        <f t="shared" si="51"/>
        <v>23.329799999999999</v>
      </c>
      <c r="AA151" s="64">
        <f t="shared" si="52"/>
        <v>23.284499999999998</v>
      </c>
      <c r="AB151" s="61" t="e">
        <f>VLOOKUP(A151,Enforcements!$C$7:$K$17,8,0)</f>
        <v>#N/A</v>
      </c>
      <c r="AC151" s="57" t="e">
        <f>VLOOKUP(A151,Enforcements!$C$7:$E$17,3,0)</f>
        <v>#N/A</v>
      </c>
      <c r="AD151" s="58" t="str">
        <f t="shared" si="53"/>
        <v>0233-10</v>
      </c>
      <c r="AE151" s="87" t="str">
        <f t="shared" si="54"/>
        <v>aws s3 cp s3://rtdc.mdm.uploadarchive.raw/RTDC4042/ "%USERPROFILE%\AppData\Local\Temp\OnboardLogs"\RTDC4042\2017-01-10 --exclude "*" --recursive --include "*20170110*" &amp; "%USERPROFILE%\Documents\GitHub\mrs-test-scripts\Headless Mode &amp; Sideloading\WalkAndUnGZ.bat" "%USERPROFILE%\AppData\Local\Temp\OnboardLogs"\RTDC4042\2017-01-10 &amp; aws s3 cp s3://rtdc.mdm.uploadarchive.raw/RTDC4042/ "%USERPROFILE%\AppData\Local\Temp\OnboardLogs"\RTDC4042\2017-01-11 --exclude "*" --recursive --include "*20170111*" &amp; "%USERPROFILE%\Documents\GitHub\mrs-test-scripts\Headless Mode &amp; Sideloading\WalkAndUnGZ.bat" "%USERPROFILE%\AppData\Local\Temp\OnboardLogs"\RTDC4042\2017-01-11</v>
      </c>
      <c r="AF151" s="84" t="str">
        <f t="shared" si="55"/>
        <v>"C:\Program Files (x86)\AstroGrep\AstroGrep.exe" /spath="%USERPROFILE%\AppData\Local\Temp\OnboardLogs" /stypes="app*4042*20170111*" /stext=" 05:.+((SYSTEM_STATE.+slice.+state.+changed )|(ment ac)|(multiple cpu faults)|(system.+state.+changed )|(\[timeout)|(PRM\|1\|D)|(kpr)|(kdp)|(\|lc)|(penalty))" /e /r /s</v>
      </c>
      <c r="AG151" s="1" t="str">
        <f t="shared" si="56"/>
        <v>EC</v>
      </c>
      <c r="AH151" s="88" t="str">
        <f t="shared" si="57"/>
        <v>"%USERPROFILE%\Documents\GitHub\eaglep3\Utilities\RefineRTDCRunTimes.py" --tripid 233-10 --locoid 4042 --swversion DE.1.0.8.0 --startMP 204:453 --initTime 2017-01-10T21:54:16 --startdatetime 2017-01-10T22:00:29 --delay 1 --endMP 204:233298 --enddatetime 2017-01-10T22:41:01 --enforcementcount 0 &gt;&gt;C:\Users\stu\Documents\GitHub\eaglep3-reporting\EC\2017-01-10-refined-times.txt</v>
      </c>
      <c r="AI151" s="115" t="str">
        <f t="shared" si="58"/>
        <v>echo {"issue":{"subject":"","project_id":79,"tracker_id":40,"status_id":1,"priority_id":2,"assigned_to_id":23,"start_date":"2017-01-10","description":"","custom_fields":[{"id":1,"name":"Subdivision","value":"EC"},{"id":4,"name":"Milepost","value":"23.3298"},{"id":17,"name":"Train ID","value":"233-10"},{"id":16,"name":"Locomotive ID","value":"4042"},{"id":130,"name":"Impact","value":""},{"id":150,"name":"Time of Event (Mountain Time)","value":"22:41:01"},{"id":151,"name":"Denver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0"/>
      <c r="AK151" s="50"/>
      <c r="AL151" s="50"/>
      <c r="AM151" s="180" t="str">
        <f t="shared" si="59"/>
        <v>start /low /b %USERPROFILE%\Documents\GitHub\eaglep3\Utilities\DownloadLogsFromS3.py --loco 4042 --day 2017-01-10</v>
      </c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4" t="s">
        <v>457</v>
      </c>
      <c r="B152" s="7">
        <v>4041</v>
      </c>
      <c r="C152" s="22" t="s">
        <v>202</v>
      </c>
      <c r="D152" s="22" t="s">
        <v>291</v>
      </c>
      <c r="E152" s="13">
        <v>42745.952604166669</v>
      </c>
      <c r="F152" s="13">
        <v>42745.95590277778</v>
      </c>
      <c r="G152" s="7">
        <v>1</v>
      </c>
      <c r="H152" s="22" t="s">
        <v>245</v>
      </c>
      <c r="I152" s="13">
        <v>42745.985717592594</v>
      </c>
      <c r="J152" s="7">
        <v>0</v>
      </c>
      <c r="K152" s="105" t="str">
        <f t="shared" si="45"/>
        <v>4041/4042</v>
      </c>
      <c r="L152" s="22" t="str">
        <f>VLOOKUP(A152,'Trips&amp;Operators'!$C$1:$G$99999,5,FALSE)</f>
        <v>NELSON ARIANE</v>
      </c>
      <c r="M152" s="6">
        <f t="shared" si="46"/>
        <v>2.9814814814017154E-2</v>
      </c>
      <c r="N152" s="7">
        <f t="shared" si="43"/>
        <v>42.933333332184702</v>
      </c>
      <c r="O152" s="7"/>
      <c r="P152" s="7"/>
      <c r="Q152" s="23"/>
      <c r="R152" s="23"/>
      <c r="S152" s="32">
        <f t="shared" si="44"/>
        <v>1</v>
      </c>
      <c r="T152" s="47" t="str">
        <f t="shared" si="47"/>
        <v>Southbound</v>
      </c>
      <c r="U152" s="167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https://search-rtdc-monitor-bjffxe2xuh6vdkpspy63sjmuny.us-east-1.es.amazonaws.com/_plugin/kibana/#/discover/Steve-Slow-Train-Analysis-(2080s-and-2083s)?_g=(refreshInterval:(display:Off,section:0,value:0),time:(from:'2017-01-10 21:51:45-700',mode:absolute,to:'2017-01-11 00:39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52" s="49" t="str">
        <f t="shared" si="49"/>
        <v>N</v>
      </c>
      <c r="X152" s="173">
        <f t="shared" ref="X152:X215" si="60">VALUE(LEFT(AD152,4))-VALUE(LEFT(AD151,4))</f>
        <v>1</v>
      </c>
      <c r="Y152" s="64">
        <f t="shared" si="50"/>
        <v>23.298300000000001</v>
      </c>
      <c r="Z152" s="64">
        <f t="shared" si="51"/>
        <v>1.6E-2</v>
      </c>
      <c r="AA152" s="64">
        <f t="shared" si="52"/>
        <v>23.282300000000003</v>
      </c>
      <c r="AB152" s="61" t="str">
        <f>VLOOKUP(A152,Enforcements!$C$7:$K$17,8,0)</f>
        <v>Bulletin (2)</v>
      </c>
      <c r="AC152" s="57" t="str">
        <f>VLOOKUP(A152,Enforcements!$C$7:$E$17,3,0)</f>
        <v>GRADE CROSSING</v>
      </c>
      <c r="AD152" s="58" t="str">
        <f t="shared" si="53"/>
        <v>0234-10</v>
      </c>
      <c r="AE152" s="87" t="str">
        <f t="shared" si="54"/>
        <v>aws s3 cp s3://rtdc.mdm.uploadarchive.raw/RTDC4041/ "%USERPROFILE%\AppData\Local\Temp\OnboardLogs"\RTDC4041\2017-01-10 --exclude "*" --recursive --include "*20170110*" &amp; "%USERPROFILE%\Documents\GitHub\mrs-test-scripts\Headless Mode &amp; Sideloading\WalkAndUnGZ.bat" "%USERPROFILE%\AppData\Local\Temp\OnboardLogs"\RTDC4041\2017-01-10 &amp; aws s3 cp s3://rtdc.mdm.uploadarchive.raw/RTDC4041/ "%USERPROFILE%\AppData\Local\Temp\OnboardLogs"\RTDC4041\2017-01-11 --exclude "*" --recursive --include "*20170111*" &amp; "%USERPROFILE%\Documents\GitHub\mrs-test-scripts\Headless Mode &amp; Sideloading\WalkAndUnGZ.bat" "%USERPROFILE%\AppData\Local\Temp\OnboardLogs"\RTDC4041\2017-01-11</v>
      </c>
      <c r="AF152" s="84" t="str">
        <f t="shared" si="55"/>
        <v>"C:\Program Files (x86)\AstroGrep\AstroGrep.exe" /spath="%USERPROFILE%\AppData\Local\Temp\OnboardLogs" /stypes="app*4041*20170111*" /stext=" 06:.+((SYSTEM_STATE.+slice.+state.+changed )|(ment ac)|(multiple cpu faults)|(system.+state.+changed )|(\[timeout)|(PRM\|1\|D)|(kpr)|(kdp)|(\|lc)|(penalty))" /e /r /s</v>
      </c>
      <c r="AG152" s="1" t="str">
        <f t="shared" si="56"/>
        <v>EC</v>
      </c>
      <c r="AH152" s="88" t="str">
        <f t="shared" si="57"/>
        <v>"%USERPROFILE%\Documents\GitHub\eaglep3\Utilities\RefineRTDCRunTimes.py" --tripid 234-10 --locoid 4041 --swversion DE.1.0.8.0 --startMP 204:232983 --initTime 2017-01-10T22:51:45 --startdatetime 2017-01-10T22:56:30 --delay 1 --endMP 204:160 --enddatetime 2017-01-10T23:39:26 --enforcementcount 0 &gt;&gt;C:\Users\stu\Documents\GitHub\eaglep3-reporting\EC\2017-01-10-refined-times.txt</v>
      </c>
      <c r="AI152" s="115" t="str">
        <f t="shared" si="58"/>
        <v>echo {"issue":{"subject":"","project_id":79,"tracker_id":40,"status_id":1,"priority_id":2,"assigned_to_id":23,"start_date":"2017-01-10","description":"","custom_fields":[{"id":1,"name":"Subdivision","value":"EC"},{"id":4,"name":"Milepost","value":"0.016"},{"id":17,"name":"Train ID","value":"234-10"},{"id":16,"name":"Locomotive ID","value":"4041"},{"id":130,"name":"Impact","value":""},{"id":150,"name":"Time of Event (Mountain Time)","value":"23:39:26"},{"id":151,"name":"Denver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0"/>
      <c r="AK152" s="50"/>
      <c r="AL152" s="50"/>
      <c r="AM152" s="180" t="str">
        <f t="shared" si="59"/>
        <v>start /low /b %USERPROFILE%\Documents\GitHub\eaglep3\Utilities\DownloadLogsFromS3.py --loco 4041 --day 2017-01-10</v>
      </c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4" t="s">
        <v>650</v>
      </c>
      <c r="B153" s="7">
        <v>4020</v>
      </c>
      <c r="C153" s="22" t="s">
        <v>202</v>
      </c>
      <c r="D153" s="22" t="s">
        <v>240</v>
      </c>
      <c r="E153" s="13">
        <v>42745.926932870374</v>
      </c>
      <c r="F153" s="13">
        <v>42745.937916666669</v>
      </c>
      <c r="G153" s="7">
        <v>1</v>
      </c>
      <c r="H153" s="22" t="s">
        <v>390</v>
      </c>
      <c r="I153" s="13">
        <v>42745.963194444441</v>
      </c>
      <c r="J153" s="7">
        <v>0</v>
      </c>
      <c r="K153" s="105" t="str">
        <f t="shared" si="45"/>
        <v>4019/4020</v>
      </c>
      <c r="L153" s="22" t="str">
        <f>VLOOKUP(A153,'Trips&amp;Operators'!$C$1:$G$99999,5,FALSE)</f>
        <v>STAMBAUGH JAMES</v>
      </c>
      <c r="M153" s="6">
        <f t="shared" si="46"/>
        <v>2.5277777771407273E-2</v>
      </c>
      <c r="N153" s="7">
        <f t="shared" si="43"/>
        <v>36.399999990826473</v>
      </c>
      <c r="O153" s="7"/>
      <c r="P153" s="7"/>
      <c r="Q153" s="23"/>
      <c r="R153" s="23"/>
      <c r="S153" s="32">
        <f t="shared" si="44"/>
        <v>1</v>
      </c>
      <c r="T153" s="47" t="str">
        <f t="shared" si="47"/>
        <v>NorthBound</v>
      </c>
      <c r="U153" s="167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https://search-rtdc-monitor-bjffxe2xuh6vdkpspy63sjmuny.us-east-1.es.amazonaws.com/_plugin/kibana/#/discover/Steve-Slow-Train-Analysis-(2080s-and-2083s)?_g=(refreshInterval:(display:Off,section:0,value:0),time:(from:'2017-01-10 21:14:47-700',mode:absolute,to:'2017-01-11 00:07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53" s="49" t="str">
        <f t="shared" si="49"/>
        <v>N</v>
      </c>
      <c r="X153" s="173">
        <f t="shared" si="60"/>
        <v>1</v>
      </c>
      <c r="Y153" s="64">
        <f t="shared" si="50"/>
        <v>4.6399999999999997E-2</v>
      </c>
      <c r="Z153" s="64">
        <f t="shared" si="51"/>
        <v>23.33</v>
      </c>
      <c r="AA153" s="64">
        <f t="shared" si="52"/>
        <v>23.2836</v>
      </c>
      <c r="AB153" s="61" t="e">
        <f>VLOOKUP(A153,Enforcements!$C$7:$K$17,8,0)</f>
        <v>#N/A</v>
      </c>
      <c r="AC153" s="57" t="e">
        <f>VLOOKUP(A153,Enforcements!$C$7:$E$17,3,0)</f>
        <v>#N/A</v>
      </c>
      <c r="AD153" s="58" t="str">
        <f t="shared" si="53"/>
        <v>0235-10</v>
      </c>
      <c r="AE153" s="87" t="str">
        <f t="shared" si="54"/>
        <v>aws s3 cp s3://rtdc.mdm.uploadarchive.raw/RTDC4020/ "%USERPROFILE%\AppData\Local\Temp\OnboardLogs"\RTDC4020\2017-01-10 --exclude "*" --recursive --include "*20170110*" &amp; "%USERPROFILE%\Documents\GitHub\mrs-test-scripts\Headless Mode &amp; Sideloading\WalkAndUnGZ.bat" "%USERPROFILE%\AppData\Local\Temp\OnboardLogs"\RTDC4020\2017-01-10 &amp; aws s3 cp s3://rtdc.mdm.uploadarchive.raw/RTDC4020/ "%USERPROFILE%\AppData\Local\Temp\OnboardLogs"\RTDC4020\2017-01-11 --exclude "*" --recursive --include "*20170111*" &amp; "%USERPROFILE%\Documents\GitHub\mrs-test-scripts\Headless Mode &amp; Sideloading\WalkAndUnGZ.bat" "%USERPROFILE%\AppData\Local\Temp\OnboardLogs"\RTDC4020\2017-01-11</v>
      </c>
      <c r="AF153" s="84" t="str">
        <f t="shared" si="55"/>
        <v>"C:\Program Files (x86)\AstroGrep\AstroGrep.exe" /spath="%USERPROFILE%\AppData\Local\Temp\OnboardLogs" /stypes="app*4020*20170111*" /stext=" 06:.+((SYSTEM_STATE.+slice.+state.+changed )|(ment ac)|(multiple cpu faults)|(system.+state.+changed )|(\[timeout)|(PRM\|1\|D)|(kpr)|(kdp)|(\|lc)|(penalty))" /e /r /s</v>
      </c>
      <c r="AG153" s="1" t="str">
        <f t="shared" si="56"/>
        <v>EC</v>
      </c>
      <c r="AH153" s="88" t="str">
        <f t="shared" si="57"/>
        <v>"%USERPROFILE%\Documents\GitHub\eaglep3\Utilities\RefineRTDCRunTimes.py" --tripid 235-10 --locoid 4020 --swversion DE.1.0.8.0 --startMP 204:464 --initTime 2017-01-10T22:14:47 --startdatetime 2017-01-10T22:30:36 --delay 1 --endMP 204:233300 --enddatetime 2017-01-10T23:07:00 --enforcementcount 0 &gt;&gt;C:\Users\stu\Documents\GitHub\eaglep3-reporting\EC\2017-01-10-refined-times.txt</v>
      </c>
      <c r="AI153" s="115" t="str">
        <f t="shared" si="58"/>
        <v>echo {"issue":{"subject":"","project_id":79,"tracker_id":40,"status_id":1,"priority_id":2,"assigned_to_id":23,"start_date":"2017-01-10","description":"","custom_fields":[{"id":1,"name":"Subdivision","value":"EC"},{"id":4,"name":"Milepost","value":"23.33"},{"id":17,"name":"Train ID","value":"235-10"},{"id":16,"name":"Locomotive ID","value":"4020"},{"id":130,"name":"Impact","value":""},{"id":150,"name":"Time of Event (Mountain Time)","value":"23:07:00"},{"id":151,"name":"Denver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0"/>
      <c r="AK153" s="50"/>
      <c r="AL153" s="50"/>
      <c r="AM153" s="180" t="str">
        <f t="shared" si="59"/>
        <v>start /low /b %USERPROFILE%\Documents\GitHub\eaglep3\Utilities\DownloadLogsFromS3.py --loco 4020 --day 2017-01-10</v>
      </c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4" t="s">
        <v>655</v>
      </c>
      <c r="B154" s="7">
        <v>4019</v>
      </c>
      <c r="C154" s="22" t="s">
        <v>202</v>
      </c>
      <c r="D154" s="22" t="s">
        <v>340</v>
      </c>
      <c r="E154" s="13">
        <v>42745.973692129628</v>
      </c>
      <c r="F154" s="13">
        <v>42745.976701388892</v>
      </c>
      <c r="G154" s="7">
        <v>1</v>
      </c>
      <c r="H154" s="22" t="s">
        <v>268</v>
      </c>
      <c r="I154" s="13">
        <v>42746.004548611112</v>
      </c>
      <c r="J154" s="7">
        <v>0</v>
      </c>
      <c r="K154" s="105" t="str">
        <f t="shared" si="45"/>
        <v>4019/4020</v>
      </c>
      <c r="L154" s="22" t="str">
        <f>VLOOKUP(A154,'Trips&amp;Operators'!$C$1:$G$99999,5,FALSE)</f>
        <v>STAMBAUGH JAMES</v>
      </c>
      <c r="M154" s="6">
        <f t="shared" si="46"/>
        <v>2.7847222219861578E-2</v>
      </c>
      <c r="N154" s="7">
        <f t="shared" ref="N154:N185" si="61">24*60*SUM($M154:$M154)</f>
        <v>40.099999996600673</v>
      </c>
      <c r="O154" s="7"/>
      <c r="P154" s="7"/>
      <c r="Q154" s="23"/>
      <c r="R154" s="23"/>
      <c r="S154" s="32">
        <f t="shared" ref="S154:S185" si="62">SUM(U154:U154)/IF(AG154="EC",12,1)</f>
        <v>1</v>
      </c>
      <c r="T154" s="47" t="str">
        <f t="shared" si="47"/>
        <v>Southbound</v>
      </c>
      <c r="U154" s="167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https://search-rtdc-monitor-bjffxe2xuh6vdkpspy63sjmuny.us-east-1.es.amazonaws.com/_plugin/kibana/#/discover/Steve-Slow-Train-Analysis-(2080s-and-2083s)?_g=(refreshInterval:(display:Off,section:0,value:0),time:(from:'2017-01-10 22:22:07-700',mode:absolute,to:'2017-01-11 01:06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54" s="49" t="str">
        <f t="shared" si="49"/>
        <v>N</v>
      </c>
      <c r="X154" s="173">
        <f t="shared" si="60"/>
        <v>1</v>
      </c>
      <c r="Y154" s="64">
        <f t="shared" si="50"/>
        <v>23.298500000000001</v>
      </c>
      <c r="Z154" s="64">
        <f t="shared" si="51"/>
        <v>1.52E-2</v>
      </c>
      <c r="AA154" s="64">
        <f t="shared" si="52"/>
        <v>23.283300000000001</v>
      </c>
      <c r="AB154" s="61" t="e">
        <f>VLOOKUP(A154,Enforcements!$C$7:$K$17,8,0)</f>
        <v>#N/A</v>
      </c>
      <c r="AC154" s="57" t="e">
        <f>VLOOKUP(A154,Enforcements!$C$7:$E$17,3,0)</f>
        <v>#N/A</v>
      </c>
      <c r="AD154" s="58" t="str">
        <f t="shared" si="53"/>
        <v>0236-10</v>
      </c>
      <c r="AE154" s="87" t="str">
        <f t="shared" si="54"/>
        <v>aws s3 cp s3://rtdc.mdm.uploadarchive.raw/RTDC4019/ "%USERPROFILE%\AppData\Local\Temp\OnboardLogs"\RTDC4019\2017-01-10 --exclude "*" --recursive --include "*20170110*" &amp; "%USERPROFILE%\Documents\GitHub\mrs-test-scripts\Headless Mode &amp; Sideloading\WalkAndUnGZ.bat" "%USERPROFILE%\AppData\Local\Temp\OnboardLogs"\RTDC4019\2017-01-10 &amp; aws s3 cp s3://rtdc.mdm.uploadarchive.raw/RTDC4019/ "%USERPROFILE%\AppData\Local\Temp\OnboardLogs"\RTDC4019\2017-01-11 --exclude "*" --recursive --include "*20170111*" &amp; "%USERPROFILE%\Documents\GitHub\mrs-test-scripts\Headless Mode &amp; Sideloading\WalkAndUnGZ.bat" "%USERPROFILE%\AppData\Local\Temp\OnboardLogs"\RTDC4019\2017-01-11</v>
      </c>
      <c r="AF154" s="84" t="str">
        <f t="shared" si="55"/>
        <v>"C:\Program Files (x86)\AstroGrep\AstroGrep.exe" /spath="%USERPROFILE%\AppData\Local\Temp\OnboardLogs" /stypes="app*4019*20170111*" /stext=" 07:.+((SYSTEM_STATE.+slice.+state.+changed )|(ment ac)|(multiple cpu faults)|(system.+state.+changed )|(\[timeout)|(PRM\|1\|D)|(kpr)|(kdp)|(\|lc)|(penalty))" /e /r /s</v>
      </c>
      <c r="AG154" s="1" t="str">
        <f t="shared" si="56"/>
        <v>EC</v>
      </c>
      <c r="AH154" s="88" t="str">
        <f t="shared" si="57"/>
        <v>"%USERPROFILE%\Documents\GitHub\eaglep3\Utilities\RefineRTDCRunTimes.py" --tripid 236-10 --locoid 4019 --swversion DE.1.0.8.0 --startMP 204:232985 --initTime 2017-01-10T23:22:07 --startdatetime 2017-01-10T23:26:27 --delay 1 --endMP 204:152 --enddatetime 2017-01-11T00:06:33 --enforcementcount 0 &gt;&gt;C:\Users\stu\Documents\GitHub\eaglep3-reporting\EC\2017-01-10-refined-times.txt</v>
      </c>
      <c r="AI154" s="115" t="str">
        <f t="shared" si="58"/>
        <v>echo {"issue":{"subject":"","project_id":79,"tracker_id":40,"status_id":1,"priority_id":2,"assigned_to_id":23,"start_date":"2017-01-11","description":"","custom_fields":[{"id":1,"name":"Subdivision","value":"EC"},{"id":4,"name":"Milepost","value":"0.0152"},{"id":17,"name":"Train ID","value":"236-10"},{"id":16,"name":"Locomotive ID","value":"4019"},{"id":130,"name":"Impact","value":""},{"id":150,"name":"Time of Event (Mountain Time)","value":"00:06:33"},{"id":151,"name":"Denver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0"/>
      <c r="AK154" s="50"/>
      <c r="AL154" s="50"/>
      <c r="AM154" s="180" t="str">
        <f t="shared" si="59"/>
        <v>start /low /b %USERPROFILE%\Documents\GitHub\eaglep3\Utilities\DownloadLogsFromS3.py --loco 4019 --day 2017-01-10</v>
      </c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4" t="s">
        <v>653</v>
      </c>
      <c r="B155" s="7">
        <v>4031</v>
      </c>
      <c r="C155" s="22" t="s">
        <v>202</v>
      </c>
      <c r="D155" s="22" t="s">
        <v>290</v>
      </c>
      <c r="E155" s="13">
        <v>42745.954363425924</v>
      </c>
      <c r="F155" s="13">
        <v>42745.958668981482</v>
      </c>
      <c r="G155" s="7">
        <v>1</v>
      </c>
      <c r="H155" s="22" t="s">
        <v>706</v>
      </c>
      <c r="I155" s="13">
        <v>42745.985347222224</v>
      </c>
      <c r="J155" s="7">
        <v>0</v>
      </c>
      <c r="K155" s="105" t="str">
        <f t="shared" si="45"/>
        <v>4031/4032</v>
      </c>
      <c r="L155" s="22" t="str">
        <f>VLOOKUP(A155,'Trips&amp;Operators'!$C$1:$G$99999,5,FALSE)</f>
        <v>CHANDLER KELVIN</v>
      </c>
      <c r="M155" s="6">
        <f t="shared" si="46"/>
        <v>2.6678240741603076E-2</v>
      </c>
      <c r="N155" s="7">
        <f t="shared" si="61"/>
        <v>38.41666666790843</v>
      </c>
      <c r="O155" s="7"/>
      <c r="P155" s="7"/>
      <c r="Q155" s="23"/>
      <c r="R155" s="23"/>
      <c r="S155" s="32">
        <f t="shared" si="62"/>
        <v>1</v>
      </c>
      <c r="T155" s="47" t="str">
        <f t="shared" si="47"/>
        <v>NorthBound</v>
      </c>
      <c r="U155" s="167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https://search-rtdc-monitor-bjffxe2xuh6vdkpspy63sjmuny.us-east-1.es.amazonaws.com/_plugin/kibana/#/discover/Steve-Slow-Train-Analysis-(2080s-and-2083s)?_g=(refreshInterval:(display:Off,section:0,value:0),time:(from:'2017-01-10 21:54:17-700',mode:absolute,to:'2017-01-11 00:38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55" s="49" t="str">
        <f t="shared" si="49"/>
        <v>N</v>
      </c>
      <c r="X155" s="173">
        <f t="shared" si="60"/>
        <v>1</v>
      </c>
      <c r="Y155" s="64">
        <f t="shared" si="50"/>
        <v>4.7500000000000001E-2</v>
      </c>
      <c r="Z155" s="64">
        <f t="shared" si="51"/>
        <v>23.3291</v>
      </c>
      <c r="AA155" s="64">
        <f t="shared" si="52"/>
        <v>23.281600000000001</v>
      </c>
      <c r="AB155" s="61" t="e">
        <f>VLOOKUP(A155,Enforcements!$C$7:$K$17,8,0)</f>
        <v>#N/A</v>
      </c>
      <c r="AC155" s="57" t="e">
        <f>VLOOKUP(A155,Enforcements!$C$7:$E$17,3,0)</f>
        <v>#N/A</v>
      </c>
      <c r="AD155" s="58" t="str">
        <f t="shared" si="53"/>
        <v>0237-10</v>
      </c>
      <c r="AE155" s="87" t="str">
        <f t="shared" si="54"/>
        <v>aws s3 cp s3://rtdc.mdm.uploadarchive.raw/RTDC4031/ "%USERPROFILE%\AppData\Local\Temp\OnboardLogs"\RTDC4031\2017-01-10 --exclude "*" --recursive --include "*20170110*" &amp; "%USERPROFILE%\Documents\GitHub\mrs-test-scripts\Headless Mode &amp; Sideloading\WalkAndUnGZ.bat" "%USERPROFILE%\AppData\Local\Temp\OnboardLogs"\RTDC4031\2017-01-10 &amp; aws s3 cp s3://rtdc.mdm.uploadarchive.raw/RTDC4031/ "%USERPROFILE%\AppData\Local\Temp\OnboardLogs"\RTDC4031\2017-01-11 --exclude "*" --recursive --include "*20170111*" &amp; "%USERPROFILE%\Documents\GitHub\mrs-test-scripts\Headless Mode &amp; Sideloading\WalkAndUnGZ.bat" "%USERPROFILE%\AppData\Local\Temp\OnboardLogs"\RTDC4031\2017-01-11</v>
      </c>
      <c r="AF155" s="84" t="str">
        <f t="shared" si="55"/>
        <v>"C:\Program Files (x86)\AstroGrep\AstroGrep.exe" /spath="%USERPROFILE%\AppData\Local\Temp\OnboardLogs" /stypes="app*4031*20170111*" /stext=" 06:.+((SYSTEM_STATE.+slice.+state.+changed )|(ment ac)|(multiple cpu faults)|(system.+state.+changed )|(\[timeout)|(PRM\|1\|D)|(kpr)|(kdp)|(\|lc)|(penalty))" /e /r /s</v>
      </c>
      <c r="AG155" s="1" t="str">
        <f t="shared" si="56"/>
        <v>EC</v>
      </c>
      <c r="AH155" s="88" t="str">
        <f t="shared" si="57"/>
        <v>"%USERPROFILE%\Documents\GitHub\eaglep3\Utilities\RefineRTDCRunTimes.py" --tripid 237-10 --locoid 4031 --swversion DE.1.0.8.0 --startMP 204:475 --initTime 2017-01-10T22:54:17 --startdatetime 2017-01-10T23:00:29 --delay 1 --endMP 204:233291 --enddatetime 2017-01-10T23:38:54 --enforcementcount 0 &gt;&gt;C:\Users\stu\Documents\GitHub\eaglep3-reporting\EC\2017-01-10-refined-times.txt</v>
      </c>
      <c r="AI155" s="115" t="str">
        <f t="shared" si="58"/>
        <v>echo {"issue":{"subject":"","project_id":79,"tracker_id":40,"status_id":1,"priority_id":2,"assigned_to_id":23,"start_date":"2017-01-10","description":"","custom_fields":[{"id":1,"name":"Subdivision","value":"EC"},{"id":4,"name":"Milepost","value":"23.3291"},{"id":17,"name":"Train ID","value":"237-10"},{"id":16,"name":"Locomotive ID","value":"4031"},{"id":130,"name":"Impact","value":""},{"id":150,"name":"Time of Event (Mountain Time)","value":"23:38:54"},{"id":151,"name":"Denver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0"/>
      <c r="AK155" s="50"/>
      <c r="AL155" s="50"/>
      <c r="AM155" s="180" t="str">
        <f t="shared" si="59"/>
        <v>start /low /b %USERPROFILE%\Documents\GitHub\eaglep3\Utilities\DownloadLogsFromS3.py --loco 4031 --day 2017-01-10</v>
      </c>
    </row>
    <row r="156" spans="1:91" s="21" customFormat="1" x14ac:dyDescent="0.25">
      <c r="A156" s="34" t="s">
        <v>656</v>
      </c>
      <c r="B156" s="7">
        <v>4032</v>
      </c>
      <c r="C156" s="22" t="s">
        <v>202</v>
      </c>
      <c r="D156" s="22" t="s">
        <v>676</v>
      </c>
      <c r="E156" s="13">
        <v>42745.995532407411</v>
      </c>
      <c r="F156" s="13">
        <v>42745.997939814813</v>
      </c>
      <c r="G156" s="7">
        <v>1</v>
      </c>
      <c r="H156" s="22" t="s">
        <v>345</v>
      </c>
      <c r="I156" s="13">
        <v>42746.027407407404</v>
      </c>
      <c r="J156" s="7">
        <v>0</v>
      </c>
      <c r="K156" s="105" t="str">
        <f t="shared" si="45"/>
        <v>4031/4032</v>
      </c>
      <c r="L156" s="22" t="str">
        <f>VLOOKUP(A156,'Trips&amp;Operators'!$C$1:$G$99999,5,FALSE)</f>
        <v>CHANDLER KELVIN</v>
      </c>
      <c r="M156" s="6">
        <f t="shared" si="46"/>
        <v>2.9467592590663116E-2</v>
      </c>
      <c r="N156" s="7">
        <f t="shared" si="61"/>
        <v>42.433333330554888</v>
      </c>
      <c r="O156" s="7"/>
      <c r="P156" s="7"/>
      <c r="Q156" s="23"/>
      <c r="R156" s="23"/>
      <c r="S156" s="32">
        <f t="shared" si="62"/>
        <v>1</v>
      </c>
      <c r="T156" s="47" t="str">
        <f t="shared" si="47"/>
        <v>Southbound</v>
      </c>
      <c r="U156" s="167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https://search-rtdc-monitor-bjffxe2xuh6vdkpspy63sjmuny.us-east-1.es.amazonaws.com/_plugin/kibana/#/discover/Steve-Slow-Train-Analysis-(2080s-and-2083s)?_g=(refreshInterval:(display:Off,section:0,value:0),time:(from:'2017-01-10 22:53:34-700',mode:absolute,to:'2017-01-11 01:39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56" s="49" t="str">
        <f t="shared" si="49"/>
        <v>N</v>
      </c>
      <c r="X156" s="173">
        <f t="shared" si="60"/>
        <v>1</v>
      </c>
      <c r="Y156" s="64">
        <f t="shared" si="50"/>
        <v>23.297899999999998</v>
      </c>
      <c r="Z156" s="64">
        <f t="shared" si="51"/>
        <v>1.61E-2</v>
      </c>
      <c r="AA156" s="64">
        <f t="shared" si="52"/>
        <v>23.281799999999997</v>
      </c>
      <c r="AB156" s="61" t="e">
        <f>VLOOKUP(A156,Enforcements!$C$7:$K$17,8,0)</f>
        <v>#N/A</v>
      </c>
      <c r="AC156" s="57" t="e">
        <f>VLOOKUP(A156,Enforcements!$C$7:$E$17,3,0)</f>
        <v>#N/A</v>
      </c>
      <c r="AD156" s="58" t="str">
        <f t="shared" si="53"/>
        <v>0238-10</v>
      </c>
      <c r="AE156" s="87" t="str">
        <f t="shared" si="54"/>
        <v>aws s3 cp s3://rtdc.mdm.uploadarchive.raw/RTDC4032/ "%USERPROFILE%\AppData\Local\Temp\OnboardLogs"\RTDC4032\2017-01-10 --exclude "*" --recursive --include "*20170110*" &amp; "%USERPROFILE%\Documents\GitHub\mrs-test-scripts\Headless Mode &amp; Sideloading\WalkAndUnGZ.bat" "%USERPROFILE%\AppData\Local\Temp\OnboardLogs"\RTDC4032\2017-01-10 &amp; aws s3 cp s3://rtdc.mdm.uploadarchive.raw/RTDC4032/ "%USERPROFILE%\AppData\Local\Temp\OnboardLogs"\RTDC4032\2017-01-11 --exclude "*" --recursive --include "*20170111*" &amp; "%USERPROFILE%\Documents\GitHub\mrs-test-scripts\Headless Mode &amp; Sideloading\WalkAndUnGZ.bat" "%USERPROFILE%\AppData\Local\Temp\OnboardLogs"\RTDC4032\2017-01-11</v>
      </c>
      <c r="AF156" s="84" t="str">
        <f t="shared" si="55"/>
        <v>"C:\Program Files (x86)\AstroGrep\AstroGrep.exe" /spath="%USERPROFILE%\AppData\Local\Temp\OnboardLogs" /stypes="app*4032*20170111*" /stext=" 07:.+((SYSTEM_STATE.+slice.+state.+changed )|(ment ac)|(multiple cpu faults)|(system.+state.+changed )|(\[timeout)|(PRM\|1\|D)|(kpr)|(kdp)|(\|lc)|(penalty))" /e /r /s</v>
      </c>
      <c r="AG156" s="1" t="str">
        <f t="shared" si="56"/>
        <v>EC</v>
      </c>
      <c r="AH156" s="88" t="str">
        <f t="shared" si="57"/>
        <v>"%USERPROFILE%\Documents\GitHub\eaglep3\Utilities\RefineRTDCRunTimes.py" --tripid 238-10 --locoid 4032 --swversion DE.1.0.8.0 --startMP 204:232979 --initTime 2017-01-10T23:53:34 --startdatetime 2017-01-10T23:57:02 --delay 1 --endMP 204:161 --enddatetime 2017-01-11T00:39:28 --enforcementcount 0 &gt;&gt;C:\Users\stu\Documents\GitHub\eaglep3-reporting\EC\2017-01-10-refined-times.txt</v>
      </c>
      <c r="AI156" s="115" t="str">
        <f t="shared" si="58"/>
        <v>echo {"issue":{"subject":"","project_id":79,"tracker_id":40,"status_id":1,"priority_id":2,"assigned_to_id":23,"start_date":"2017-01-11","description":"","custom_fields":[{"id":1,"name":"Subdivision","value":"EC"},{"id":4,"name":"Milepost","value":"0.0161"},{"id":17,"name":"Train ID","value":"238-10"},{"id":16,"name":"Locomotive ID","value":"4032"},{"id":130,"name":"Impact","value":""},{"id":150,"name":"Time of Event (Mountain Time)","value":"00:39:28"},{"id":151,"name":"Denver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0"/>
      <c r="AK156" s="50"/>
      <c r="AL156" s="50"/>
      <c r="AM156" s="180" t="str">
        <f t="shared" si="59"/>
        <v>start /low /b %USERPROFILE%\Documents\GitHub\eaglep3\Utilities\DownloadLogsFromS3.py --loco 4032 --day 2017-01-10</v>
      </c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4" t="s">
        <v>654</v>
      </c>
      <c r="B157" s="7">
        <v>4007</v>
      </c>
      <c r="C157" s="22" t="s">
        <v>202</v>
      </c>
      <c r="D157" s="22" t="s">
        <v>282</v>
      </c>
      <c r="E157" s="13">
        <v>42745.97351851852</v>
      </c>
      <c r="F157" s="13">
        <v>42745.979328703703</v>
      </c>
      <c r="G157" s="7">
        <v>1</v>
      </c>
      <c r="H157" s="22" t="s">
        <v>339</v>
      </c>
      <c r="I157" s="13">
        <v>42746.004282407404</v>
      </c>
      <c r="J157" s="7">
        <v>0</v>
      </c>
      <c r="K157" s="105" t="str">
        <f t="shared" si="45"/>
        <v>4007/4008</v>
      </c>
      <c r="L157" s="22" t="str">
        <f>VLOOKUP(A157,'Trips&amp;Operators'!$C$1:$G$99999,5,FALSE)</f>
        <v>NEWELL JAMES</v>
      </c>
      <c r="M157" s="6">
        <f t="shared" si="46"/>
        <v>2.495370370161254E-2</v>
      </c>
      <c r="N157" s="7">
        <f t="shared" si="61"/>
        <v>35.933333330322057</v>
      </c>
      <c r="O157" s="7"/>
      <c r="P157" s="7"/>
      <c r="Q157" s="23"/>
      <c r="R157" s="23"/>
      <c r="S157" s="32">
        <f t="shared" si="62"/>
        <v>1</v>
      </c>
      <c r="T157" s="47" t="str">
        <f t="shared" si="47"/>
        <v>NorthBound</v>
      </c>
      <c r="U157" s="167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https://search-rtdc-monitor-bjffxe2xuh6vdkpspy63sjmuny.us-east-1.es.amazonaws.com/_plugin/kibana/#/discover/Steve-Slow-Train-Analysis-(2080s-and-2083s)?_g=(refreshInterval:(display:Off,section:0,value:0),time:(from:'2017-01-10 22:21:52-700',mode:absolute,to:'2017-01-11 01:06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57" s="49" t="str">
        <f t="shared" si="49"/>
        <v>N</v>
      </c>
      <c r="X157" s="173">
        <f t="shared" si="60"/>
        <v>1</v>
      </c>
      <c r="Y157" s="64">
        <f t="shared" si="50"/>
        <v>4.6699999999999998E-2</v>
      </c>
      <c r="Z157" s="64">
        <f t="shared" si="51"/>
        <v>23.330400000000001</v>
      </c>
      <c r="AA157" s="64">
        <f t="shared" si="52"/>
        <v>23.2837</v>
      </c>
      <c r="AB157" s="61" t="e">
        <f>VLOOKUP(A157,Enforcements!$C$7:$K$17,8,0)</f>
        <v>#N/A</v>
      </c>
      <c r="AC157" s="57" t="e">
        <f>VLOOKUP(A157,Enforcements!$C$7:$E$17,3,0)</f>
        <v>#N/A</v>
      </c>
      <c r="AD157" s="58" t="str">
        <f t="shared" si="53"/>
        <v>0239-10</v>
      </c>
      <c r="AE157" s="87" t="str">
        <f t="shared" si="54"/>
        <v>aws s3 cp s3://rtdc.mdm.uploadarchive.raw/RTDC4007/ "%USERPROFILE%\AppData\Local\Temp\OnboardLogs"\RTDC4007\2017-01-10 --exclude "*" --recursive --include "*20170110*" &amp; "%USERPROFILE%\Documents\GitHub\mrs-test-scripts\Headless Mode &amp; Sideloading\WalkAndUnGZ.bat" "%USERPROFILE%\AppData\Local\Temp\OnboardLogs"\RTDC4007\2017-01-10 &amp; aws s3 cp s3://rtdc.mdm.uploadarchive.raw/RTDC4007/ "%USERPROFILE%\AppData\Local\Temp\OnboardLogs"\RTDC4007\2017-01-11 --exclude "*" --recursive --include "*20170111*" &amp; "%USERPROFILE%\Documents\GitHub\mrs-test-scripts\Headless Mode &amp; Sideloading\WalkAndUnGZ.bat" "%USERPROFILE%\AppData\Local\Temp\OnboardLogs"\RTDC4007\2017-01-11</v>
      </c>
      <c r="AF157" s="84" t="str">
        <f t="shared" si="55"/>
        <v>"C:\Program Files (x86)\AstroGrep\AstroGrep.exe" /spath="%USERPROFILE%\AppData\Local\Temp\OnboardLogs" /stypes="app*4007*20170111*" /stext=" 07:.+((SYSTEM_STATE.+slice.+state.+changed )|(ment ac)|(multiple cpu faults)|(system.+state.+changed )|(\[timeout)|(PRM\|1\|D)|(kpr)|(kdp)|(\|lc)|(penalty))" /e /r /s</v>
      </c>
      <c r="AG157" s="1" t="str">
        <f t="shared" si="56"/>
        <v>EC</v>
      </c>
      <c r="AH157" s="88" t="str">
        <f t="shared" si="57"/>
        <v>"%USERPROFILE%\Documents\GitHub\eaglep3\Utilities\RefineRTDCRunTimes.py" --tripid 239-10 --locoid 4007 --swversion DE.1.0.8.0 --startMP 204:467 --initTime 2017-01-10T23:21:52 --startdatetime 2017-01-10T23:30:14 --delay 1 --endMP 204:233304 --enddatetime 2017-01-11T00:06:10 --enforcementcount 0 &gt;&gt;C:\Users\stu\Documents\GitHub\eaglep3-reporting\EC\2017-01-10-refined-times.txt</v>
      </c>
      <c r="AI157" s="115" t="str">
        <f t="shared" si="58"/>
        <v>echo {"issue":{"subject":"","project_id":79,"tracker_id":40,"status_id":1,"priority_id":2,"assigned_to_id":23,"start_date":"2017-01-11","description":"","custom_fields":[{"id":1,"name":"Subdivision","value":"EC"},{"id":4,"name":"Milepost","value":"23.3304"},{"id":17,"name":"Train ID","value":"239-10"},{"id":16,"name":"Locomotive ID","value":"4007"},{"id":130,"name":"Impact","value":""},{"id":150,"name":"Time of Event (Mountain Time)","value":"00:06:10"},{"id":151,"name":"Denver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0"/>
      <c r="AK157" s="50"/>
      <c r="AL157" s="50"/>
      <c r="AM157" s="180" t="str">
        <f t="shared" si="59"/>
        <v>start /low /b %USERPROFILE%\Documents\GitHub\eaglep3\Utilities\DownloadLogsFromS3.py --loco 4007 --day 2017-01-10</v>
      </c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4" t="s">
        <v>658</v>
      </c>
      <c r="B158" s="7">
        <v>4008</v>
      </c>
      <c r="C158" s="22" t="s">
        <v>202</v>
      </c>
      <c r="D158" s="22" t="s">
        <v>291</v>
      </c>
      <c r="E158" s="13">
        <v>42746.015798611108</v>
      </c>
      <c r="F158" s="13">
        <v>42746.018217592595</v>
      </c>
      <c r="G158" s="7">
        <v>1</v>
      </c>
      <c r="H158" s="22" t="s">
        <v>208</v>
      </c>
      <c r="I158" s="13">
        <v>42746.045960648145</v>
      </c>
      <c r="J158" s="7">
        <v>0</v>
      </c>
      <c r="K158" s="105" t="str">
        <f t="shared" si="45"/>
        <v>4007/4008</v>
      </c>
      <c r="L158" s="22" t="str">
        <f>VLOOKUP(A158,'Trips&amp;Operators'!$C$1:$G$99999,5,FALSE)</f>
        <v>NEWELL JAMES</v>
      </c>
      <c r="M158" s="6">
        <f t="shared" si="46"/>
        <v>2.774305555067258E-2</v>
      </c>
      <c r="N158" s="7">
        <f t="shared" si="61"/>
        <v>39.949999992968515</v>
      </c>
      <c r="O158" s="7"/>
      <c r="P158" s="7"/>
      <c r="Q158" s="23"/>
      <c r="R158" s="23"/>
      <c r="S158" s="32">
        <f t="shared" si="62"/>
        <v>1</v>
      </c>
      <c r="T158" s="47" t="str">
        <f t="shared" si="47"/>
        <v>Southbound</v>
      </c>
      <c r="U158" s="167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https://search-rtdc-monitor-bjffxe2xuh6vdkpspy63sjmuny.us-east-1.es.amazonaws.com/_plugin/kibana/#/discover/Steve-Slow-Train-Analysis-(2080s-and-2083s)?_g=(refreshInterval:(display:Off,section:0,value:0),time:(from:'2017-01-10 23:22:45-700',mode:absolute,to:'2017-01-11 02:06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58" s="49" t="str">
        <f t="shared" si="49"/>
        <v>N</v>
      </c>
      <c r="X158" s="173">
        <f t="shared" si="60"/>
        <v>1</v>
      </c>
      <c r="Y158" s="64">
        <f t="shared" si="50"/>
        <v>23.298300000000001</v>
      </c>
      <c r="Z158" s="64">
        <f t="shared" si="51"/>
        <v>1.4999999999999999E-2</v>
      </c>
      <c r="AA158" s="64">
        <f t="shared" si="52"/>
        <v>23.283300000000001</v>
      </c>
      <c r="AB158" s="61" t="e">
        <f>VLOOKUP(A158,Enforcements!$C$7:$K$17,8,0)</f>
        <v>#N/A</v>
      </c>
      <c r="AC158" s="57" t="e">
        <f>VLOOKUP(A158,Enforcements!$C$7:$E$17,3,0)</f>
        <v>#N/A</v>
      </c>
      <c r="AD158" s="58" t="str">
        <f t="shared" si="53"/>
        <v>0240-10</v>
      </c>
      <c r="AE158" s="87" t="str">
        <f t="shared" si="54"/>
        <v>aws s3 cp s3://rtdc.mdm.uploadarchive.raw/RTDC4008/ "%USERPROFILE%\AppData\Local\Temp\OnboardLogs"\RTDC4008\2017-01-11 --exclude "*" --recursive --include "*20170111*" &amp; "%USERPROFILE%\Documents\GitHub\mrs-test-scripts\Headless Mode &amp; Sideloading\WalkAndUnGZ.bat" "%USERPROFILE%\AppData\Local\Temp\OnboardLogs"\RTDC4008\2017-01-11 &amp; aws s3 cp s3://rtdc.mdm.uploadarchive.raw/RTDC4008/ "%USERPROFILE%\AppData\Local\Temp\OnboardLogs"\RTDC4008\2017-01-12 --exclude "*" --recursive --include "*20170112*" &amp; "%USERPROFILE%\Documents\GitHub\mrs-test-scripts\Headless Mode &amp; Sideloading\WalkAndUnGZ.bat" "%USERPROFILE%\AppData\Local\Temp\OnboardLogs"\RTDC4008\2017-01-12</v>
      </c>
      <c r="AF158" s="84" t="str">
        <f t="shared" si="55"/>
        <v>"C:\Program Files (x86)\AstroGrep\AstroGrep.exe" /spath="%USERPROFILE%\AppData\Local\Temp\OnboardLogs" /stypes="app*4008*20170111*" /stext=" 08:.+((SYSTEM_STATE.+slice.+state.+changed )|(ment ac)|(multiple cpu faults)|(system.+state.+changed )|(\[timeout)|(PRM\|1\|D)|(kpr)|(kdp)|(\|lc)|(penalty))" /e /r /s</v>
      </c>
      <c r="AG158" s="1" t="str">
        <f t="shared" si="56"/>
        <v>EC</v>
      </c>
      <c r="AH158" s="88" t="str">
        <f t="shared" si="57"/>
        <v>"%USERPROFILE%\Documents\GitHub\eaglep3\Utilities\RefineRTDCRunTimes.py" --tripid 240-10 --locoid 4008 --swversion DE.1.0.8.0 --startMP 204:232983 --initTime 2017-01-11T00:22:45 --startdatetime 2017-01-11T00:26:14 --delay 1 --endMP 204:150 --enddatetime 2017-01-11T01:06:11 --enforcementcount 0 &gt;&gt;C:\Users\stu\Documents\GitHub\eaglep3-reporting\EC\2017-01-10-refined-times.txt</v>
      </c>
      <c r="AI158" s="115" t="str">
        <f t="shared" si="58"/>
        <v>echo {"issue":{"subject":"","project_id":79,"tracker_id":40,"status_id":1,"priority_id":2,"assigned_to_id":23,"start_date":"2017-01-11","description":"","custom_fields":[{"id":1,"name":"Subdivision","value":"EC"},{"id":4,"name":"Milepost","value":"0.015"},{"id":17,"name":"Train ID","value":"240-10"},{"id":16,"name":"Locomotive ID","value":"4008"},{"id":130,"name":"Impact","value":""},{"id":150,"name":"Time of Event (Mountain Time)","value":"01:06:11"},{"id":151,"name":"Denver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0"/>
      <c r="AK158" s="50"/>
      <c r="AL158" s="50"/>
      <c r="AM158" s="180" t="str">
        <f t="shared" si="59"/>
        <v>start /low /b %USERPROFILE%\Documents\GitHub\eaglep3\Utilities\DownloadLogsFromS3.py --loco 4008 --day 2017-01-11</v>
      </c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4" t="s">
        <v>657</v>
      </c>
      <c r="B159" s="7">
        <v>4042</v>
      </c>
      <c r="C159" s="22" t="s">
        <v>202</v>
      </c>
      <c r="D159" s="22" t="s">
        <v>357</v>
      </c>
      <c r="E159" s="13">
        <v>42745.996342592596</v>
      </c>
      <c r="F159" s="13">
        <v>42746.000162037039</v>
      </c>
      <c r="G159" s="7">
        <v>2</v>
      </c>
      <c r="H159" s="22" t="s">
        <v>341</v>
      </c>
      <c r="I159" s="13">
        <v>42746.027418981481</v>
      </c>
      <c r="J159" s="7">
        <v>0</v>
      </c>
      <c r="K159" s="105" t="str">
        <f t="shared" si="45"/>
        <v>4041/4042</v>
      </c>
      <c r="L159" s="22" t="str">
        <f>VLOOKUP(A159,'Trips&amp;Operators'!$C$1:$G$99999,5,FALSE)</f>
        <v>NELSON ARIANE</v>
      </c>
      <c r="M159" s="6">
        <f t="shared" si="46"/>
        <v>2.7256944442342501E-2</v>
      </c>
      <c r="N159" s="7">
        <f t="shared" si="61"/>
        <v>39.249999996973202</v>
      </c>
      <c r="O159" s="7"/>
      <c r="P159" s="7"/>
      <c r="Q159" s="23"/>
      <c r="R159" s="23"/>
      <c r="S159" s="32">
        <f t="shared" si="62"/>
        <v>1</v>
      </c>
      <c r="T159" s="47" t="str">
        <f t="shared" si="47"/>
        <v>NorthBound</v>
      </c>
      <c r="U159" s="167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https://search-rtdc-monitor-bjffxe2xuh6vdkpspy63sjmuny.us-east-1.es.amazonaws.com/_plugin/kibana/#/discover/Steve-Slow-Train-Analysis-(2080s-and-2083s)?_g=(refreshInterval:(display:Off,section:0,value:0),time:(from:'2017-01-10 22:54:44-700',mode:absolute,to:'2017-01-11 01:39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59" s="49" t="str">
        <f t="shared" si="49"/>
        <v>N</v>
      </c>
      <c r="X159" s="173">
        <f t="shared" si="60"/>
        <v>1</v>
      </c>
      <c r="Y159" s="64">
        <f t="shared" si="50"/>
        <v>4.7699999999999999E-2</v>
      </c>
      <c r="Z159" s="64">
        <f t="shared" si="51"/>
        <v>23.3308</v>
      </c>
      <c r="AA159" s="64">
        <f t="shared" si="52"/>
        <v>23.283100000000001</v>
      </c>
      <c r="AB159" s="61" t="e">
        <f>VLOOKUP(A159,Enforcements!$C$7:$K$17,8,0)</f>
        <v>#N/A</v>
      </c>
      <c r="AC159" s="57" t="e">
        <f>VLOOKUP(A159,Enforcements!$C$7:$E$17,3,0)</f>
        <v>#N/A</v>
      </c>
      <c r="AD159" s="58" t="str">
        <f t="shared" si="53"/>
        <v>0241-10</v>
      </c>
      <c r="AE159" s="87" t="str">
        <f t="shared" si="54"/>
        <v>aws s3 cp s3://rtdc.mdm.uploadarchive.raw/RTDC4042/ "%USERPROFILE%\AppData\Local\Temp\OnboardLogs"\RTDC4042\2017-01-11 --exclude "*" --recursive --include "*20170111*" &amp; "%USERPROFILE%\Documents\GitHub\mrs-test-scripts\Headless Mode &amp; Sideloading\WalkAndUnGZ.bat" "%USERPROFILE%\AppData\Local\Temp\OnboardLogs"\RTDC4042\2017-01-11 &amp; aws s3 cp s3://rtdc.mdm.uploadarchive.raw/RTDC4042/ "%USERPROFILE%\AppData\Local\Temp\OnboardLogs"\RTDC4042\2017-01-12 --exclude "*" --recursive --include "*20170112*" &amp; "%USERPROFILE%\Documents\GitHub\mrs-test-scripts\Headless Mode &amp; Sideloading\WalkAndUnGZ.bat" "%USERPROFILE%\AppData\Local\Temp\OnboardLogs"\RTDC4042\2017-01-12</v>
      </c>
      <c r="AF159" s="84" t="str">
        <f t="shared" si="55"/>
        <v>"C:\Program Files (x86)\AstroGrep\AstroGrep.exe" /spath="%USERPROFILE%\AppData\Local\Temp\OnboardLogs" /stypes="app*4042*20170111*" /stext=" 07:.+((SYSTEM_STATE.+slice.+state.+changed )|(ment ac)|(multiple cpu faults)|(system.+state.+changed )|(\[timeout)|(PRM\|1\|D)|(kpr)|(kdp)|(\|lc)|(penalty))" /e /r /s</v>
      </c>
      <c r="AG159" s="1" t="str">
        <f t="shared" si="56"/>
        <v>EC</v>
      </c>
      <c r="AH159" s="88" t="str">
        <f t="shared" si="57"/>
        <v>"%USERPROFILE%\Documents\GitHub\eaglep3\Utilities\RefineRTDCRunTimes.py" --tripid 241-10 --locoid 4042 --swversion DE.1.0.8.0 --startMP 204:477 --initTime 2017-01-10T23:54:44 --startdatetime 2017-01-11T00:00:14 --delay 2 --endMP 204:233308 --enddatetime 2017-01-11T00:39:29 --enforcementcount 0 &gt;&gt;C:\Users\stu\Documents\GitHub\eaglep3-reporting\EC\2017-01-10-refined-times.txt</v>
      </c>
      <c r="AI159" s="115" t="str">
        <f t="shared" si="58"/>
        <v>echo {"issue":{"subject":"","project_id":79,"tracker_id":40,"status_id":1,"priority_id":2,"assigned_to_id":23,"start_date":"2017-01-11","description":"","custom_fields":[{"id":1,"name":"Subdivision","value":"EC"},{"id":4,"name":"Milepost","value":"23.3308"},{"id":17,"name":"Train ID","value":"241-10"},{"id":16,"name":"Locomotive ID","value":"4042"},{"id":130,"name":"Impact","value":""},{"id":150,"name":"Time of Event (Mountain Time)","value":"00:39:29"},{"id":151,"name":"Denver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0"/>
      <c r="AK159" s="50"/>
      <c r="AL159" s="50"/>
      <c r="AM159" s="180" t="str">
        <f t="shared" si="59"/>
        <v>start /low /b %USERPROFILE%\Documents\GitHub\eaglep3\Utilities\DownloadLogsFromS3.py --loco 4042 --day 2017-01-11</v>
      </c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4" t="s">
        <v>217</v>
      </c>
      <c r="B160" s="7">
        <v>4041</v>
      </c>
      <c r="C160" s="22" t="s">
        <v>202</v>
      </c>
      <c r="D160" s="22" t="s">
        <v>340</v>
      </c>
      <c r="E160" s="13">
        <v>42746.035162037035</v>
      </c>
      <c r="F160" s="13">
        <v>42746.0390625</v>
      </c>
      <c r="G160" s="7">
        <v>1</v>
      </c>
      <c r="H160" s="22" t="s">
        <v>399</v>
      </c>
      <c r="I160" s="13">
        <v>42746.069513888891</v>
      </c>
      <c r="J160" s="7">
        <v>0</v>
      </c>
      <c r="K160" s="105" t="str">
        <f t="shared" si="45"/>
        <v>4041/4042</v>
      </c>
      <c r="L160" s="22" t="str">
        <f>VLOOKUP(A160,'Trips&amp;Operators'!$C$1:$G$99999,5,FALSE)</f>
        <v>NELSON ARIANE</v>
      </c>
      <c r="M160" s="6">
        <f t="shared" si="46"/>
        <v>3.0451388891378883E-2</v>
      </c>
      <c r="N160" s="7">
        <f t="shared" si="61"/>
        <v>43.850000003585592</v>
      </c>
      <c r="O160" s="7"/>
      <c r="P160" s="7"/>
      <c r="Q160" s="23"/>
      <c r="R160" s="23"/>
      <c r="S160" s="32">
        <f t="shared" si="62"/>
        <v>1</v>
      </c>
      <c r="T160" s="47" t="str">
        <f t="shared" si="47"/>
        <v>Southbound</v>
      </c>
      <c r="U160" s="167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https://search-rtdc-monitor-bjffxe2xuh6vdkpspy63sjmuny.us-east-1.es.amazonaws.com/_plugin/kibana/#/discover/Steve-Slow-Train-Analysis-(2080s-and-2083s)?_g=(refreshInterval:(display:Off,section:0,value:0),time:(from:'2017-01-10 23:50:38-700',mode:absolute,to:'2017-01-11 02:40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60" s="49" t="str">
        <f t="shared" si="49"/>
        <v>N</v>
      </c>
      <c r="X160" s="173">
        <f t="shared" si="60"/>
        <v>1</v>
      </c>
      <c r="Y160" s="64">
        <f t="shared" si="50"/>
        <v>23.298500000000001</v>
      </c>
      <c r="Z160" s="64">
        <f t="shared" si="51"/>
        <v>1.2500000000000001E-2</v>
      </c>
      <c r="AA160" s="64">
        <f t="shared" si="52"/>
        <v>23.286000000000001</v>
      </c>
      <c r="AB160" s="61" t="e">
        <f>VLOOKUP(A160,Enforcements!$C$7:$K$17,8,0)</f>
        <v>#N/A</v>
      </c>
      <c r="AC160" s="57" t="e">
        <f>VLOOKUP(A160,Enforcements!$C$7:$E$17,3,0)</f>
        <v>#N/A</v>
      </c>
      <c r="AD160" s="58" t="str">
        <f t="shared" si="53"/>
        <v>0242-10</v>
      </c>
      <c r="AE160" s="87" t="str">
        <f t="shared" si="54"/>
        <v>aws s3 cp s3://rtdc.mdm.uploadarchive.raw/RTDC4041/ "%USERPROFILE%\AppData\Local\Temp\OnboardLogs"\RTDC4041\2017-01-11 --exclude "*" --recursive --include "*20170111*" &amp; "%USERPROFILE%\Documents\GitHub\mrs-test-scripts\Headless Mode &amp; Sideloading\WalkAndUnGZ.bat" "%USERPROFILE%\AppData\Local\Temp\OnboardLogs"\RTDC4041\2017-01-11 &amp; aws s3 cp s3://rtdc.mdm.uploadarchive.raw/RTDC4041/ "%USERPROFILE%\AppData\Local\Temp\OnboardLogs"\RTDC4041\2017-01-12 --exclude "*" --recursive --include "*20170112*" &amp; "%USERPROFILE%\Documents\GitHub\mrs-test-scripts\Headless Mode &amp; Sideloading\WalkAndUnGZ.bat" "%USERPROFILE%\AppData\Local\Temp\OnboardLogs"\RTDC4041\2017-01-12</v>
      </c>
      <c r="AF160" s="84" t="str">
        <f t="shared" si="55"/>
        <v>"C:\Program Files (x86)\AstroGrep\AstroGrep.exe" /spath="%USERPROFILE%\AppData\Local\Temp\OnboardLogs" /stypes="app*4041*20170111*" /stext=" 08:.+((SYSTEM_STATE.+slice.+state.+changed )|(ment ac)|(multiple cpu faults)|(system.+state.+changed )|(\[timeout)|(PRM\|1\|D)|(kpr)|(kdp)|(\|lc)|(penalty))" /e /r /s</v>
      </c>
      <c r="AG160" s="1" t="str">
        <f t="shared" si="56"/>
        <v>EC</v>
      </c>
      <c r="AH160" s="88" t="str">
        <f t="shared" si="57"/>
        <v>"%USERPROFILE%\Documents\GitHub\eaglep3\Utilities\RefineRTDCRunTimes.py" --tripid 242-10 --locoid 4041 --swversion DE.1.0.8.0 --startMP 204:232985 --initTime 2017-01-11T00:50:38 --startdatetime 2017-01-11T00:56:15 --delay 1 --endMP 204:125 --enddatetime 2017-01-11T01:40:06 --enforcementcount 0 &gt;&gt;C:\Users\stu\Documents\GitHub\eaglep3-reporting\EC\2017-01-10-refined-times.txt</v>
      </c>
      <c r="AI160" s="115" t="str">
        <f t="shared" si="58"/>
        <v>echo {"issue":{"subject":"","project_id":79,"tracker_id":40,"status_id":1,"priority_id":2,"assigned_to_id":23,"start_date":"2017-01-11","description":"","custom_fields":[{"id":1,"name":"Subdivision","value":"EC"},{"id":4,"name":"Milepost","value":"0.0125"},{"id":17,"name":"Train ID","value":"242-10"},{"id":16,"name":"Locomotive ID","value":"4041"},{"id":130,"name":"Impact","value":""},{"id":150,"name":"Time of Event (Mountain Time)","value":"01:40:06"},{"id":151,"name":"Denver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0"/>
      <c r="AK160" s="50"/>
      <c r="AL160" s="50"/>
      <c r="AM160" s="180" t="str">
        <f t="shared" si="59"/>
        <v>start /low /b %USERPROFILE%\Documents\GitHub\eaglep3\Utilities\DownloadLogsFromS3.py --loco 4041 --day 2017-01-11</v>
      </c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4" t="s">
        <v>215</v>
      </c>
      <c r="B161" s="7">
        <v>4020</v>
      </c>
      <c r="C161" s="22" t="s">
        <v>202</v>
      </c>
      <c r="D161" s="22" t="s">
        <v>686</v>
      </c>
      <c r="E161" s="13">
        <v>42746.006967592592</v>
      </c>
      <c r="F161" s="13">
        <v>42746.021203703705</v>
      </c>
      <c r="G161" s="7">
        <v>3</v>
      </c>
      <c r="H161" s="22" t="s">
        <v>393</v>
      </c>
      <c r="I161" s="13">
        <v>42746.046944444446</v>
      </c>
      <c r="J161" s="7">
        <v>0</v>
      </c>
      <c r="K161" s="105" t="str">
        <f t="shared" si="45"/>
        <v>4019/4020</v>
      </c>
      <c r="L161" s="22" t="str">
        <f>VLOOKUP(A161,'Trips&amp;Operators'!$C$1:$G$99999,5,FALSE)</f>
        <v>STAMBAUGH JAMES</v>
      </c>
      <c r="M161" s="6">
        <f t="shared" si="46"/>
        <v>2.5740740740729962E-2</v>
      </c>
      <c r="N161" s="7">
        <f t="shared" si="61"/>
        <v>37.066666666651145</v>
      </c>
      <c r="O161" s="7"/>
      <c r="P161" s="7"/>
      <c r="Q161" s="23"/>
      <c r="R161" s="23"/>
      <c r="S161" s="32">
        <f t="shared" si="62"/>
        <v>1</v>
      </c>
      <c r="T161" s="47" t="str">
        <f t="shared" si="47"/>
        <v>NorthBound</v>
      </c>
      <c r="U161" s="167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https://search-rtdc-monitor-bjffxe2xuh6vdkpspy63sjmuny.us-east-1.es.amazonaws.com/_plugin/kibana/#/discover/Steve-Slow-Train-Analysis-(2080s-and-2083s)?_g=(refreshInterval:(display:Off,section:0,value:0),time:(from:'2017-01-10 23:10:02-700',mode:absolute,to:'2017-01-11 02:07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61" s="49" t="str">
        <f t="shared" si="49"/>
        <v>N</v>
      </c>
      <c r="X161" s="173">
        <f t="shared" si="60"/>
        <v>1</v>
      </c>
      <c r="Y161" s="64">
        <f t="shared" si="50"/>
        <v>4.5999999999999999E-2</v>
      </c>
      <c r="Z161" s="64">
        <f t="shared" si="51"/>
        <v>23.331199999999999</v>
      </c>
      <c r="AA161" s="64">
        <f t="shared" si="52"/>
        <v>23.2852</v>
      </c>
      <c r="AB161" s="61" t="e">
        <f>VLOOKUP(A161,Enforcements!$C$7:$K$17,8,0)</f>
        <v>#N/A</v>
      </c>
      <c r="AC161" s="57" t="e">
        <f>VLOOKUP(A161,Enforcements!$C$7:$E$17,3,0)</f>
        <v>#N/A</v>
      </c>
      <c r="AD161" s="58" t="str">
        <f t="shared" si="53"/>
        <v>0243-10</v>
      </c>
      <c r="AE161" s="87" t="str">
        <f t="shared" si="54"/>
        <v>aws s3 cp s3://rtdc.mdm.uploadarchive.raw/RTDC4020/ "%USERPROFILE%\AppData\Local\Temp\OnboardLogs"\RTDC4020\2017-01-11 --exclude "*" --recursive --include "*20170111*" &amp; "%USERPROFILE%\Documents\GitHub\mrs-test-scripts\Headless Mode &amp; Sideloading\WalkAndUnGZ.bat" "%USERPROFILE%\AppData\Local\Temp\OnboardLogs"\RTDC4020\2017-01-11 &amp; aws s3 cp s3://rtdc.mdm.uploadarchive.raw/RTDC4020/ "%USERPROFILE%\AppData\Local\Temp\OnboardLogs"\RTDC4020\2017-01-12 --exclude "*" --recursive --include "*20170112*" &amp; "%USERPROFILE%\Documents\GitHub\mrs-test-scripts\Headless Mode &amp; Sideloading\WalkAndUnGZ.bat" "%USERPROFILE%\AppData\Local\Temp\OnboardLogs"\RTDC4020\2017-01-12</v>
      </c>
      <c r="AF161" s="84" t="str">
        <f t="shared" si="55"/>
        <v>"C:\Program Files (x86)\AstroGrep\AstroGrep.exe" /spath="%USERPROFILE%\AppData\Local\Temp\OnboardLogs" /stypes="app*4020*20170111*" /stext=" 08:.+((SYSTEM_STATE.+slice.+state.+changed )|(ment ac)|(multiple cpu faults)|(system.+state.+changed )|(\[timeout)|(PRM\|1\|D)|(kpr)|(kdp)|(\|lc)|(penalty))" /e /r /s</v>
      </c>
      <c r="AG161" s="1" t="str">
        <f t="shared" si="56"/>
        <v>EC</v>
      </c>
      <c r="AH161" s="88" t="str">
        <f t="shared" si="57"/>
        <v>"%USERPROFILE%\Documents\GitHub\eaglep3\Utilities\RefineRTDCRunTimes.py" --tripid 243-10 --locoid 4020 --swversion DE.1.0.8.0 --startMP 204:460 --initTime 2017-01-11T00:10:02 --startdatetime 2017-01-11T00:30:32 --delay 3 --endMP 204:233312 --enddatetime 2017-01-11T01:07:36 --enforcementcount 0 &gt;&gt;C:\Users\stu\Documents\GitHub\eaglep3-reporting\EC\2017-01-10-refined-times.txt</v>
      </c>
      <c r="AI161" s="115" t="str">
        <f t="shared" si="58"/>
        <v>echo {"issue":{"subject":"","project_id":79,"tracker_id":40,"status_id":1,"priority_id":2,"assigned_to_id":23,"start_date":"2017-01-11","description":"","custom_fields":[{"id":1,"name":"Subdivision","value":"EC"},{"id":4,"name":"Milepost","value":"23.3312"},{"id":17,"name":"Train ID","value":"243-10"},{"id":16,"name":"Locomotive ID","value":"4020"},{"id":130,"name":"Impact","value":""},{"id":150,"name":"Time of Event (Mountain Time)","value":"01:07:36"},{"id":151,"name":"Denver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0"/>
      <c r="AK161" s="50"/>
      <c r="AL161" s="50"/>
      <c r="AM161" s="180" t="str">
        <f t="shared" si="59"/>
        <v>start /low /b %USERPROFILE%\Documents\GitHub\eaglep3\Utilities\DownloadLogsFromS3.py --loco 4020 --day 2017-01-11</v>
      </c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4" t="s">
        <v>219</v>
      </c>
      <c r="B162" s="7">
        <v>4019</v>
      </c>
      <c r="C162" s="22" t="s">
        <v>202</v>
      </c>
      <c r="D162" s="22" t="s">
        <v>307</v>
      </c>
      <c r="E162" s="13">
        <v>42746.056273148148</v>
      </c>
      <c r="F162" s="13">
        <v>42746.059976851851</v>
      </c>
      <c r="G162" s="7">
        <v>1</v>
      </c>
      <c r="H162" s="22" t="s">
        <v>723</v>
      </c>
      <c r="I162" s="13">
        <v>42746.08792824074</v>
      </c>
      <c r="J162" s="7">
        <v>0</v>
      </c>
      <c r="K162" s="105" t="str">
        <f t="shared" si="45"/>
        <v>4019/4020</v>
      </c>
      <c r="L162" s="22" t="str">
        <f>VLOOKUP(A162,'Trips&amp;Operators'!$C$1:$G$99999,5,FALSE)</f>
        <v>STAMBAUGH JAMES</v>
      </c>
      <c r="M162" s="6">
        <f t="shared" si="46"/>
        <v>2.7951388889050577E-2</v>
      </c>
      <c r="N162" s="7">
        <f t="shared" si="61"/>
        <v>40.250000000232831</v>
      </c>
      <c r="O162" s="7"/>
      <c r="P162" s="7"/>
      <c r="Q162" s="23"/>
      <c r="R162" s="23"/>
      <c r="S162" s="32">
        <f t="shared" si="62"/>
        <v>1</v>
      </c>
      <c r="T162" s="47" t="str">
        <f t="shared" si="47"/>
        <v>Southbound</v>
      </c>
      <c r="U162" s="167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https://search-rtdc-monitor-bjffxe2xuh6vdkpspy63sjmuny.us-east-1.es.amazonaws.com/_plugin/kibana/#/discover/Steve-Slow-Train-Analysis-(2080s-and-2083s)?_g=(refreshInterval:(display:Off,section:0,value:0),time:(from:'2017-01-11 00:21:02-700',mode:absolute,to:'2017-01-11 03:06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62" s="49" t="str">
        <f t="shared" si="49"/>
        <v>N</v>
      </c>
      <c r="X162" s="173">
        <f t="shared" si="60"/>
        <v>1</v>
      </c>
      <c r="Y162" s="64">
        <f t="shared" si="50"/>
        <v>23.2987</v>
      </c>
      <c r="Z162" s="64">
        <f t="shared" si="51"/>
        <v>2.1399999999999999E-2</v>
      </c>
      <c r="AA162" s="64">
        <f t="shared" si="52"/>
        <v>23.2773</v>
      </c>
      <c r="AB162" s="61" t="e">
        <f>VLOOKUP(A162,Enforcements!$C$7:$K$17,8,0)</f>
        <v>#N/A</v>
      </c>
      <c r="AC162" s="57" t="e">
        <f>VLOOKUP(A162,Enforcements!$C$7:$E$17,3,0)</f>
        <v>#N/A</v>
      </c>
      <c r="AD162" s="58" t="str">
        <f t="shared" si="53"/>
        <v>0244-10</v>
      </c>
      <c r="AE162" s="87" t="str">
        <f t="shared" si="54"/>
        <v>aws s3 cp s3://rtdc.mdm.uploadarchive.raw/RTDC4019/ "%USERPROFILE%\AppData\Local\Temp\OnboardLogs"\RTDC4019\2017-01-11 --exclude "*" --recursive --include "*20170111*" &amp; "%USERPROFILE%\Documents\GitHub\mrs-test-scripts\Headless Mode &amp; Sideloading\WalkAndUnGZ.bat" "%USERPROFILE%\AppData\Local\Temp\OnboardLogs"\RTDC4019\2017-01-11 &amp; aws s3 cp s3://rtdc.mdm.uploadarchive.raw/RTDC4019/ "%USERPROFILE%\AppData\Local\Temp\OnboardLogs"\RTDC4019\2017-01-12 --exclude "*" --recursive --include "*20170112*" &amp; "%USERPROFILE%\Documents\GitHub\mrs-test-scripts\Headless Mode &amp; Sideloading\WalkAndUnGZ.bat" "%USERPROFILE%\AppData\Local\Temp\OnboardLogs"\RTDC4019\2017-01-12</v>
      </c>
      <c r="AF162" s="84" t="str">
        <f t="shared" si="55"/>
        <v>"C:\Program Files (x86)\AstroGrep\AstroGrep.exe" /spath="%USERPROFILE%\AppData\Local\Temp\OnboardLogs" /stypes="app*4019*20170111*" /stext=" 09:.+((SYSTEM_STATE.+slice.+state.+changed )|(ment ac)|(multiple cpu faults)|(system.+state.+changed )|(\[timeout)|(PRM\|1\|D)|(kpr)|(kdp)|(\|lc)|(penalty))" /e /r /s</v>
      </c>
      <c r="AG162" s="1" t="str">
        <f t="shared" si="56"/>
        <v>EC</v>
      </c>
      <c r="AH162" s="88" t="str">
        <f t="shared" si="57"/>
        <v>"%USERPROFILE%\Documents\GitHub\eaglep3\Utilities\RefineRTDCRunTimes.py" --tripid 244-10 --locoid 4019 --swversion DE.1.0.8.0 --startMP 204:232987 --initTime 2017-01-11T01:21:02 --startdatetime 2017-01-11T01:26:22 --delay 1 --endMP 204:214 --enddatetime 2017-01-11T02:06:37 --enforcementcount 0 &gt;&gt;C:\Users\stu\Documents\GitHub\eaglep3-reporting\EC\2017-01-10-refined-times.txt</v>
      </c>
      <c r="AI162" s="115" t="str">
        <f t="shared" si="58"/>
        <v>echo {"issue":{"subject":"","project_id":79,"tracker_id":40,"status_id":1,"priority_id":2,"assigned_to_id":23,"start_date":"2017-01-11","description":"","custom_fields":[{"id":1,"name":"Subdivision","value":"EC"},{"id":4,"name":"Milepost","value":"0.0214"},{"id":17,"name":"Train ID","value":"244-10"},{"id":16,"name":"Locomotive ID","value":"4019"},{"id":130,"name":"Impact","value":""},{"id":150,"name":"Time of Event (Mountain Time)","value":"02:06:37"},{"id":151,"name":"Denver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0"/>
      <c r="AK162" s="50"/>
      <c r="AL162" s="50"/>
      <c r="AM162" s="180" t="str">
        <f t="shared" si="59"/>
        <v>start /low /b %USERPROFILE%\Documents\GitHub\eaglep3\Utilities\DownloadLogsFromS3.py --loco 4019 --day 2017-01-11</v>
      </c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4" t="s">
        <v>477</v>
      </c>
      <c r="B163" s="7">
        <v>4001</v>
      </c>
      <c r="C163" s="22" t="s">
        <v>202</v>
      </c>
      <c r="D163" s="22" t="s">
        <v>296</v>
      </c>
      <c r="E163" s="13">
        <v>42745.214282407411</v>
      </c>
      <c r="F163" s="13">
        <v>42745.216192129628</v>
      </c>
      <c r="G163" s="7">
        <v>1</v>
      </c>
      <c r="H163" s="22" t="s">
        <v>747</v>
      </c>
      <c r="I163" s="13">
        <v>42745.225208333337</v>
      </c>
      <c r="J163" s="7">
        <v>0</v>
      </c>
      <c r="K163" s="105" t="str">
        <f t="shared" si="45"/>
        <v>4001/4002</v>
      </c>
      <c r="L163" s="22" t="str">
        <f>VLOOKUP(A163,'Trips&amp;Operators'!$C$1:$G$99999,5,FALSE)</f>
        <v>YORK EDGAR</v>
      </c>
      <c r="M163" s="6">
        <f t="shared" si="46"/>
        <v>9.0162037085974589E-3</v>
      </c>
      <c r="N163" s="7">
        <f t="shared" si="61"/>
        <v>12.983333340380341</v>
      </c>
      <c r="O163" s="7"/>
      <c r="P163" s="7"/>
      <c r="Q163" s="23"/>
      <c r="R163" s="23"/>
      <c r="S163" s="32">
        <f t="shared" si="62"/>
        <v>1</v>
      </c>
      <c r="T163" s="47" t="str">
        <f t="shared" si="47"/>
        <v>Southbound</v>
      </c>
      <c r="U163" s="167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https://search-rtdc-monitor-bjffxe2xuh6vdkpspy63sjmuny.us-east-1.es.amazonaws.com/_plugin/kibana/#/discover/Steve-Slow-Train-Analysis-(2080s-and-2083s)?_g=(refreshInterval:(display:Off,section:0,value:0),time:(from:'2017-01-10 04:08:34-700',mode:absolute,to:'2017-01-10 06:24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63" s="49" t="str">
        <f t="shared" si="49"/>
        <v>N</v>
      </c>
      <c r="X163" s="173">
        <f t="shared" si="60"/>
        <v>556</v>
      </c>
      <c r="Y163" s="64">
        <f t="shared" si="50"/>
        <v>5.8613</v>
      </c>
      <c r="Z163" s="64">
        <f t="shared" si="51"/>
        <v>7.4099999999999999E-2</v>
      </c>
      <c r="AA163" s="64">
        <f t="shared" si="52"/>
        <v>5.7872000000000003</v>
      </c>
      <c r="AB163" s="61" t="e">
        <f>VLOOKUP(A163,Enforcements!$C$7:$K$17,8,0)</f>
        <v>#N/A</v>
      </c>
      <c r="AC163" s="57" t="e">
        <f>VLOOKUP(A163,Enforcements!$C$7:$E$17,3,0)</f>
        <v>#N/A</v>
      </c>
      <c r="AD163" s="58" t="str">
        <f t="shared" si="53"/>
        <v>0800-10</v>
      </c>
      <c r="AE163" s="87" t="str">
        <f t="shared" si="54"/>
        <v>aws s3 cp s3://rtdc.mdm.uploadarchive.raw/RTDC4001/ "%USERPROFILE%\AppData\Local\Temp\OnboardLogs"\RTDC4001\2017-01-10 --exclude "*" --recursive --include "*20170110*" &amp; "%USERPROFILE%\Documents\GitHub\mrs-test-scripts\Headless Mode &amp; Sideloading\WalkAndUnGZ.bat" "%USERPROFILE%\AppData\Local\Temp\OnboardLogs"\RTDC4001\2017-01-10 &amp; aws s3 cp s3://rtdc.mdm.uploadarchive.raw/RTDC4001/ "%USERPROFILE%\AppData\Local\Temp\OnboardLogs"\RTDC4001\2017-01-11 --exclude "*" --recursive --include "*20170111*" &amp; "%USERPROFILE%\Documents\GitHub\mrs-test-scripts\Headless Mode &amp; Sideloading\WalkAndUnGZ.bat" "%USERPROFILE%\AppData\Local\Temp\OnboardLogs"\RTDC4001\2017-01-11</v>
      </c>
      <c r="AF163" s="84" t="str">
        <f t="shared" si="55"/>
        <v>"C:\Program Files (x86)\AstroGrep\AstroGrep.exe" /spath="%USERPROFILE%\AppData\Local\Temp\OnboardLogs" /stypes="app*4001*20170110*" /stext=" 12:.+((SYSTEM_STATE.+slice.+state.+changed )|(ment ac)|(multiple cpu faults)|(system.+state.+changed )|(\[timeout)|(PRM\|1\|D)|(kpr)|(kdp)|(\|lc)|(penalty))" /e /r /s</v>
      </c>
      <c r="AG163" s="1" t="str">
        <f t="shared" si="56"/>
        <v>NW</v>
      </c>
      <c r="AH163" s="88" t="str">
        <f t="shared" si="57"/>
        <v>"%USERPROFILE%\Documents\GitHub\eaglep3\Utilities\RefineRTDCRunTimes.py" --tripid 800-10 --locoid 4001 --swversion DE.1.0.8.0 --startMP 300:58613 --initTime 2017-01-10T05:08:34 --startdatetime 2017-01-10T05:11:19 --delay 1 --endMP 204:741 --enddatetime 2017-01-10T05:24:18 --enforcementcount 0 &gt;&gt;C:\Users\stu\Documents\GitHub\eaglep3-reporting\EC\2017-01-10-refined-times.txt</v>
      </c>
      <c r="AI163" s="115" t="str">
        <f t="shared" si="58"/>
        <v>echo {"issue":{"subject":"","project_id":79,"tracker_id":40,"status_id":1,"priority_id":2,"assigned_to_id":23,"start_date":"2017-01-10","description":"","custom_fields":[{"id":1,"name":"Subdivision","value":"NW"},{"id":4,"name":"Milepost","value":"0.0741"},{"id":17,"name":"Train ID","value":"800-10"},{"id":16,"name":"Locomotive ID","value":"4001"},{"id":130,"name":"Impact","value":""},{"id":150,"name":"Time of Event (Mountain Time)","value":"05:24:18"},{"id":151,"name":"Denver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0"/>
      <c r="AK163" s="50"/>
      <c r="AL163" s="50"/>
      <c r="AM163" s="180" t="str">
        <f t="shared" si="59"/>
        <v>start /low /b %USERPROFILE%\Documents\GitHub\eaglep3\Utilities\DownloadLogsFromS3.py --loco 4001 --day 2017-01-10</v>
      </c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4" t="s">
        <v>428</v>
      </c>
      <c r="B164" s="7">
        <v>4002</v>
      </c>
      <c r="C164" s="22" t="s">
        <v>202</v>
      </c>
      <c r="D164" s="22" t="s">
        <v>748</v>
      </c>
      <c r="E164" s="13">
        <v>42745.226446759261</v>
      </c>
      <c r="F164" s="13">
        <v>42745.243981481479</v>
      </c>
      <c r="G164" s="7">
        <v>0</v>
      </c>
      <c r="H164" s="22" t="s">
        <v>415</v>
      </c>
      <c r="I164" s="13">
        <v>42745.253101851849</v>
      </c>
      <c r="J164" s="7">
        <v>0</v>
      </c>
      <c r="K164" s="105" t="str">
        <f t="shared" si="45"/>
        <v>4001/4002</v>
      </c>
      <c r="L164" s="22" t="str">
        <f>VLOOKUP(A164,'Trips&amp;Operators'!$C$1:$G$99999,5,FALSE)</f>
        <v>YORK EDGAR</v>
      </c>
      <c r="M164" s="6">
        <f t="shared" si="46"/>
        <v>9.1203703705104999E-3</v>
      </c>
      <c r="N164" s="7">
        <f t="shared" si="61"/>
        <v>13.13333333353512</v>
      </c>
      <c r="O164" s="7"/>
      <c r="P164" s="7"/>
      <c r="Q164" s="23"/>
      <c r="R164" s="23"/>
      <c r="S164" s="32">
        <f t="shared" si="62"/>
        <v>1</v>
      </c>
      <c r="T164" s="47" t="str">
        <f t="shared" si="47"/>
        <v>NorthBound</v>
      </c>
      <c r="U164" s="167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https://search-rtdc-monitor-bjffxe2xuh6vdkpspy63sjmuny.us-east-1.es.amazonaws.com/_plugin/kibana/#/discover/Steve-Slow-Train-Analysis-(2080s-and-2083s)?_g=(refreshInterval:(display:Off,section:0,value:0),time:(from:'2017-01-10 04:26:05-700',mode:absolute,to:'2017-01-10 07:04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64" s="49" t="str">
        <f t="shared" si="49"/>
        <v>N</v>
      </c>
      <c r="X164" s="173">
        <f t="shared" si="60"/>
        <v>1</v>
      </c>
      <c r="Y164" s="64">
        <f t="shared" si="50"/>
        <v>0.1023</v>
      </c>
      <c r="Z164" s="64">
        <f t="shared" si="51"/>
        <v>5.8924000000000003</v>
      </c>
      <c r="AA164" s="64">
        <f t="shared" si="52"/>
        <v>5.7901000000000007</v>
      </c>
      <c r="AB164" s="61" t="e">
        <f>VLOOKUP(A164,Enforcements!$C$7:$K$17,8,0)</f>
        <v>#N/A</v>
      </c>
      <c r="AC164" s="57" t="e">
        <f>VLOOKUP(A164,Enforcements!$C$7:$E$17,3,0)</f>
        <v>#N/A</v>
      </c>
      <c r="AD164" s="58" t="str">
        <f t="shared" si="53"/>
        <v>0801-10</v>
      </c>
      <c r="AE164" s="87" t="str">
        <f t="shared" si="54"/>
        <v>aws s3 cp s3://rtdc.mdm.uploadarchive.raw/RTDC4002/ "%USERPROFILE%\AppData\Local\Temp\OnboardLogs"\RTDC4002\2017-01-10 --exclude "*" --recursive --include "*20170110*" &amp; "%USERPROFILE%\Documents\GitHub\mrs-test-scripts\Headless Mode &amp; Sideloading\WalkAndUnGZ.bat" "%USERPROFILE%\AppData\Local\Temp\OnboardLogs"\RTDC4002\2017-01-10 &amp; aws s3 cp s3://rtdc.mdm.uploadarchive.raw/RTDC4002/ "%USERPROFILE%\AppData\Local\Temp\OnboardLogs"\RTDC4002\2017-01-11 --exclude "*" --recursive --include "*20170111*" &amp; "%USERPROFILE%\Documents\GitHub\mrs-test-scripts\Headless Mode &amp; Sideloading\WalkAndUnGZ.bat" "%USERPROFILE%\AppData\Local\Temp\OnboardLogs"\RTDC4002\2017-01-11</v>
      </c>
      <c r="AF164" s="84" t="str">
        <f t="shared" si="55"/>
        <v>"C:\Program Files (x86)\AstroGrep\AstroGrep.exe" /spath="%USERPROFILE%\AppData\Local\Temp\OnboardLogs" /stypes="app*4002*20170110*" /stext=" 13:.+((SYSTEM_STATE.+slice.+state.+changed )|(ment ac)|(multiple cpu faults)|(system.+state.+changed )|(\[timeout)|(PRM\|1\|D)|(kpr)|(kdp)|(\|lc)|(penalty))" /e /r /s</v>
      </c>
      <c r="AG164" s="1" t="str">
        <f t="shared" si="56"/>
        <v>NW</v>
      </c>
      <c r="AH164" s="88" t="str">
        <f t="shared" si="57"/>
        <v>"%USERPROFILE%\Documents\GitHub\eaglep3\Utilities\RefineRTDCRunTimes.py" --tripid 801-10 --locoid 4002 --swversion DE.1.0.8.0 --startMP 204:1023 --initTime 2017-01-10T05:26:05 --startdatetime 2017-01-10T05:51:20 --delay 0 --endMP 300:58924 --enddatetime 2017-01-10T06:04:28 --enforcementcount 0 &gt;&gt;C:\Users\stu\Documents\GitHub\eaglep3-reporting\EC\2017-01-10-refined-times.txt</v>
      </c>
      <c r="AI164" s="115" t="str">
        <f t="shared" si="58"/>
        <v>echo {"issue":{"subject":"","project_id":79,"tracker_id":40,"status_id":1,"priority_id":2,"assigned_to_id":23,"start_date":"2017-01-10","description":"","custom_fields":[{"id":1,"name":"Subdivision","value":"NW"},{"id":4,"name":"Milepost","value":"5.8924"},{"id":17,"name":"Train ID","value":"801-10"},{"id":16,"name":"Locomotive ID","value":"4002"},{"id":130,"name":"Impact","value":""},{"id":150,"name":"Time of Event (Mountain Time)","value":"06:04:28"},{"id":151,"name":"Denver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0"/>
      <c r="AK164" s="50"/>
      <c r="AL164" s="50"/>
      <c r="AM164" s="180" t="str">
        <f t="shared" si="59"/>
        <v>start /low /b %USERPROFILE%\Documents\GitHub\eaglep3\Utilities\DownloadLogsFromS3.py --loco 4002 --day 2017-01-10</v>
      </c>
    </row>
    <row r="165" spans="1:91" x14ac:dyDescent="0.25">
      <c r="A165" s="34" t="s">
        <v>488</v>
      </c>
      <c r="B165" s="7">
        <v>4001</v>
      </c>
      <c r="C165" s="22" t="s">
        <v>202</v>
      </c>
      <c r="D165" s="22" t="s">
        <v>353</v>
      </c>
      <c r="E165" s="13">
        <v>42745.254224537035</v>
      </c>
      <c r="F165" s="13">
        <v>42745.255960648145</v>
      </c>
      <c r="G165" s="7">
        <v>1</v>
      </c>
      <c r="H165" s="22" t="s">
        <v>749</v>
      </c>
      <c r="I165" s="13">
        <v>42745.267314814817</v>
      </c>
      <c r="J165" s="7">
        <v>0</v>
      </c>
      <c r="K165" s="105" t="str">
        <f t="shared" si="45"/>
        <v>4001/4002</v>
      </c>
      <c r="L165" s="22" t="str">
        <f>VLOOKUP(A165,'Trips&amp;Operators'!$C$1:$G$99999,5,FALSE)</f>
        <v>YORK EDGAR</v>
      </c>
      <c r="M165" s="6">
        <f t="shared" si="46"/>
        <v>1.135416667239042E-2</v>
      </c>
      <c r="N165" s="7">
        <f t="shared" si="61"/>
        <v>16.350000008242205</v>
      </c>
      <c r="O165" s="7"/>
      <c r="P165" s="7"/>
      <c r="Q165" s="23"/>
      <c r="R165" s="23"/>
      <c r="S165" s="32">
        <f t="shared" si="62"/>
        <v>1</v>
      </c>
      <c r="T165" s="47" t="str">
        <f t="shared" si="47"/>
        <v>Southbound</v>
      </c>
      <c r="U165" s="167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https://search-rtdc-monitor-bjffxe2xuh6vdkpspy63sjmuny.us-east-1.es.amazonaws.com/_plugin/kibana/#/discover/Steve-Slow-Train-Analysis-(2080s-and-2083s)?_g=(refreshInterval:(display:Off,section:0,value:0),time:(from:'2017-01-10 05:06:05-700',mode:absolute,to:'2017-01-10 07:24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65" s="49" t="str">
        <f t="shared" si="49"/>
        <v>N</v>
      </c>
      <c r="X165" s="173">
        <f t="shared" si="60"/>
        <v>1</v>
      </c>
      <c r="Y165" s="64">
        <f t="shared" si="50"/>
        <v>5.8611000000000004</v>
      </c>
      <c r="Z165" s="64">
        <f t="shared" si="51"/>
        <v>7.4700000000000003E-2</v>
      </c>
      <c r="AA165" s="64">
        <f t="shared" si="52"/>
        <v>5.7864000000000004</v>
      </c>
      <c r="AB165" s="61" t="e">
        <f>VLOOKUP(A165,Enforcements!$C$7:$K$17,8,0)</f>
        <v>#N/A</v>
      </c>
      <c r="AC165" s="57" t="e">
        <f>VLOOKUP(A165,Enforcements!$C$7:$E$17,3,0)</f>
        <v>#N/A</v>
      </c>
      <c r="AD165" s="58" t="str">
        <f t="shared" si="53"/>
        <v>0802-10</v>
      </c>
      <c r="AE165" s="87" t="str">
        <f t="shared" si="54"/>
        <v>aws s3 cp s3://rtdc.mdm.uploadarchive.raw/RTDC4001/ "%USERPROFILE%\AppData\Local\Temp\OnboardLogs"\RTDC4001\2017-01-10 --exclude "*" --recursive --include "*20170110*" &amp; "%USERPROFILE%\Documents\GitHub\mrs-test-scripts\Headless Mode &amp; Sideloading\WalkAndUnGZ.bat" "%USERPROFILE%\AppData\Local\Temp\OnboardLogs"\RTDC4001\2017-01-10 &amp; aws s3 cp s3://rtdc.mdm.uploadarchive.raw/RTDC4001/ "%USERPROFILE%\AppData\Local\Temp\OnboardLogs"\RTDC4001\2017-01-11 --exclude "*" --recursive --include "*20170111*" &amp; "%USERPROFILE%\Documents\GitHub\mrs-test-scripts\Headless Mode &amp; Sideloading\WalkAndUnGZ.bat" "%USERPROFILE%\AppData\Local\Temp\OnboardLogs"\RTDC4001\2017-01-11</v>
      </c>
      <c r="AF165" s="84" t="str">
        <f t="shared" si="55"/>
        <v>"C:\Program Files (x86)\AstroGrep\AstroGrep.exe" /spath="%USERPROFILE%\AppData\Local\Temp\OnboardLogs" /stypes="app*4001*20170110*" /stext=" 13:.+((SYSTEM_STATE.+slice.+state.+changed )|(ment ac)|(multiple cpu faults)|(system.+state.+changed )|(\[timeout)|(PRM\|1\|D)|(kpr)|(kdp)|(\|lc)|(penalty))" /e /r /s</v>
      </c>
      <c r="AG165" s="1" t="str">
        <f t="shared" si="56"/>
        <v>NW</v>
      </c>
      <c r="AH165" s="88" t="str">
        <f t="shared" si="57"/>
        <v>"%USERPROFILE%\Documents\GitHub\eaglep3\Utilities\RefineRTDCRunTimes.py" --tripid 802-10 --locoid 4001 --swversion DE.1.0.8.0 --startMP 300:58611 --initTime 2017-01-10T06:06:05 --startdatetime 2017-01-10T06:08:35 --delay 1 --endMP 204:747 --enddatetime 2017-01-10T06:24:56 --enforcementcount 0 &gt;&gt;C:\Users\stu\Documents\GitHub\eaglep3-reporting\EC\2017-01-10-refined-times.txt</v>
      </c>
      <c r="AI165" s="115" t="str">
        <f t="shared" si="58"/>
        <v>echo {"issue":{"subject":"","project_id":79,"tracker_id":40,"status_id":1,"priority_id":2,"assigned_to_id":23,"start_date":"2017-01-10","description":"","custom_fields":[{"id":1,"name":"Subdivision","value":"NW"},{"id":4,"name":"Milepost","value":"0.0747"},{"id":17,"name":"Train ID","value":"802-10"},{"id":16,"name":"Locomotive ID","value":"4001"},{"id":130,"name":"Impact","value":""},{"id":150,"name":"Time of Event (Mountain Time)","value":"06:24:56"},{"id":151,"name":"Denver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0"/>
      <c r="AK165" s="50"/>
      <c r="AL165" s="50"/>
      <c r="AM165" s="180" t="str">
        <f t="shared" si="59"/>
        <v>start /low /b %USERPROFILE%\Documents\GitHub\eaglep3\Utilities\DownloadLogsFromS3.py --loco 4001 --day 2017-01-10</v>
      </c>
    </row>
    <row r="166" spans="1:91" x14ac:dyDescent="0.25">
      <c r="A166" s="34" t="s">
        <v>490</v>
      </c>
      <c r="B166" s="7">
        <v>4029</v>
      </c>
      <c r="C166" s="22" t="s">
        <v>202</v>
      </c>
      <c r="D166" s="22" t="s">
        <v>748</v>
      </c>
      <c r="E166" s="13">
        <v>42745.260983796295</v>
      </c>
      <c r="F166" s="13">
        <v>42745.264768518522</v>
      </c>
      <c r="G166" s="7">
        <v>1</v>
      </c>
      <c r="H166" s="22" t="s">
        <v>750</v>
      </c>
      <c r="I166" s="13">
        <v>42745.274907407409</v>
      </c>
      <c r="J166" s="7">
        <v>0</v>
      </c>
      <c r="K166" s="105" t="str">
        <f t="shared" si="45"/>
        <v>4029/4030</v>
      </c>
      <c r="L166" s="22" t="str">
        <f>VLOOKUP(A166,'Trips&amp;Operators'!$C$1:$G$99999,5,FALSE)</f>
        <v>BROWN JACOB</v>
      </c>
      <c r="M166" s="6">
        <f t="shared" si="46"/>
        <v>1.0138888887013309E-2</v>
      </c>
      <c r="N166" s="7">
        <f t="shared" si="61"/>
        <v>14.599999997299165</v>
      </c>
      <c r="O166" s="7"/>
      <c r="P166" s="7"/>
      <c r="Q166" s="23"/>
      <c r="R166" s="23"/>
      <c r="S166" s="32">
        <f t="shared" si="62"/>
        <v>1</v>
      </c>
      <c r="T166" s="47" t="str">
        <f t="shared" si="47"/>
        <v>NorthBound</v>
      </c>
      <c r="U166" s="167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https://search-rtdc-monitor-bjffxe2xuh6vdkpspy63sjmuny.us-east-1.es.amazonaws.com/_plugin/kibana/#/discover/Steve-Slow-Train-Analysis-(2080s-and-2083s)?_g=(refreshInterval:(display:Off,section:0,value:0),time:(from:'2017-01-10 05:15:49-700',mode:absolute,to:'2017-01-10 07:35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66" s="49" t="str">
        <f t="shared" si="49"/>
        <v>N</v>
      </c>
      <c r="X166" s="173">
        <f t="shared" si="60"/>
        <v>1</v>
      </c>
      <c r="Y166" s="64">
        <f t="shared" si="50"/>
        <v>0.1023</v>
      </c>
      <c r="Z166" s="64">
        <f t="shared" si="51"/>
        <v>5.8964999999999996</v>
      </c>
      <c r="AA166" s="64">
        <f t="shared" si="52"/>
        <v>5.7942</v>
      </c>
      <c r="AB166" s="61" t="e">
        <f>VLOOKUP(A166,Enforcements!$C$7:$K$17,8,0)</f>
        <v>#N/A</v>
      </c>
      <c r="AC166" s="57" t="e">
        <f>VLOOKUP(A166,Enforcements!$C$7:$E$17,3,0)</f>
        <v>#N/A</v>
      </c>
      <c r="AD166" s="58" t="str">
        <f t="shared" si="53"/>
        <v>0803-10</v>
      </c>
      <c r="AE166" s="87" t="str">
        <f t="shared" si="54"/>
        <v>aws s3 cp s3://rtdc.mdm.uploadarchive.raw/RTDC4029/ "%USERPROFILE%\AppData\Local\Temp\OnboardLogs"\RTDC4029\2017-01-10 --exclude "*" --recursive --include "*20170110*" &amp; "%USERPROFILE%\Documents\GitHub\mrs-test-scripts\Headless Mode &amp; Sideloading\WalkAndUnGZ.bat" "%USERPROFILE%\AppData\Local\Temp\OnboardLogs"\RTDC4029\2017-01-10 &amp; aws s3 cp s3://rtdc.mdm.uploadarchive.raw/RTDC4029/ "%USERPROFILE%\AppData\Local\Temp\OnboardLogs"\RTDC4029\2017-01-11 --exclude "*" --recursive --include "*20170111*" &amp; "%USERPROFILE%\Documents\GitHub\mrs-test-scripts\Headless Mode &amp; Sideloading\WalkAndUnGZ.bat" "%USERPROFILE%\AppData\Local\Temp\OnboardLogs"\RTDC4029\2017-01-11</v>
      </c>
      <c r="AF166" s="84" t="str">
        <f t="shared" si="55"/>
        <v>"C:\Program Files (x86)\AstroGrep\AstroGrep.exe" /spath="%USERPROFILE%\AppData\Local\Temp\OnboardLogs" /stypes="app*4029*20170110*" /stext=" 13:.+((SYSTEM_STATE.+slice.+state.+changed )|(ment ac)|(multiple cpu faults)|(system.+state.+changed )|(\[timeout)|(PRM\|1\|D)|(kpr)|(kdp)|(\|lc)|(penalty))" /e /r /s</v>
      </c>
      <c r="AG166" s="1" t="str">
        <f t="shared" si="56"/>
        <v>NW</v>
      </c>
      <c r="AH166" s="88" t="str">
        <f t="shared" si="57"/>
        <v>"%USERPROFILE%\Documents\GitHub\eaglep3\Utilities\RefineRTDCRunTimes.py" --tripid 803-10 --locoid 4029 --swversion DE.1.0.8.0 --startMP 204:1023 --initTime 2017-01-10T06:15:49 --startdatetime 2017-01-10T06:21:16 --delay 1 --endMP 300:58965 --enddatetime 2017-01-10T06:35:52 --enforcementcount 0 &gt;&gt;C:\Users\stu\Documents\GitHub\eaglep3-reporting\EC\2017-01-10-refined-times.txt</v>
      </c>
      <c r="AI166" s="115" t="str">
        <f t="shared" si="58"/>
        <v>echo {"issue":{"subject":"","project_id":79,"tracker_id":40,"status_id":1,"priority_id":2,"assigned_to_id":23,"start_date":"2017-01-10","description":"","custom_fields":[{"id":1,"name":"Subdivision","value":"NW"},{"id":4,"name":"Milepost","value":"5.8965"},{"id":17,"name":"Train ID","value":"803-10"},{"id":16,"name":"Locomotive ID","value":"4029"},{"id":130,"name":"Impact","value":""},{"id":150,"name":"Time of Event (Mountain Time)","value":"06:35:52"},{"id":151,"name":"Denver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0"/>
      <c r="AK166" s="50"/>
      <c r="AL166" s="50"/>
      <c r="AM166" s="180" t="str">
        <f t="shared" si="59"/>
        <v>start /low /b %USERPROFILE%\Documents\GitHub\eaglep3\Utilities\DownloadLogsFromS3.py --loco 4029 --day 2017-01-10</v>
      </c>
    </row>
    <row r="167" spans="1:91" x14ac:dyDescent="0.25">
      <c r="A167" s="34" t="s">
        <v>495</v>
      </c>
      <c r="B167" s="7">
        <v>4030</v>
      </c>
      <c r="C167" s="22" t="s">
        <v>202</v>
      </c>
      <c r="D167" s="22" t="s">
        <v>751</v>
      </c>
      <c r="E167" s="13">
        <v>42745.275682870371</v>
      </c>
      <c r="F167" s="13">
        <v>42745.277002314811</v>
      </c>
      <c r="G167" s="7">
        <v>1</v>
      </c>
      <c r="H167" s="22" t="s">
        <v>752</v>
      </c>
      <c r="I167" s="13">
        <v>42745.289039351854</v>
      </c>
      <c r="J167" s="7">
        <v>0</v>
      </c>
      <c r="K167" s="105" t="str">
        <f t="shared" si="45"/>
        <v>4029/4030</v>
      </c>
      <c r="L167" s="22" t="str">
        <f>VLOOKUP(A167,'Trips&amp;Operators'!$C$1:$G$99999,5,FALSE)</f>
        <v>BROWN JACOB</v>
      </c>
      <c r="M167" s="6">
        <f t="shared" si="46"/>
        <v>1.2037037042318843E-2</v>
      </c>
      <c r="N167" s="7">
        <f t="shared" si="61"/>
        <v>17.333333340939134</v>
      </c>
      <c r="O167" s="7"/>
      <c r="P167" s="7"/>
      <c r="Q167" s="23"/>
      <c r="R167" s="23"/>
      <c r="S167" s="32">
        <f t="shared" si="62"/>
        <v>1</v>
      </c>
      <c r="T167" s="47" t="str">
        <f t="shared" si="47"/>
        <v>Southbound</v>
      </c>
      <c r="U167" s="167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https://search-rtdc-monitor-bjffxe2xuh6vdkpspy63sjmuny.us-east-1.es.amazonaws.com/_plugin/kibana/#/discover/Steve-Slow-Train-Analysis-(2080s-and-2083s)?_g=(refreshInterval:(display:Off,section:0,value:0),time:(from:'2017-01-10 05:36:59-700',mode:absolute,to:'2017-01-10 07:56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67" s="49" t="str">
        <f t="shared" si="49"/>
        <v>N</v>
      </c>
      <c r="X167" s="173">
        <f t="shared" si="60"/>
        <v>1</v>
      </c>
      <c r="Y167" s="64">
        <f t="shared" si="50"/>
        <v>5.8654999999999999</v>
      </c>
      <c r="Z167" s="64">
        <f t="shared" si="51"/>
        <v>6.9800000000000001E-2</v>
      </c>
      <c r="AA167" s="64">
        <f t="shared" si="52"/>
        <v>5.7957000000000001</v>
      </c>
      <c r="AB167" s="61" t="e">
        <f>VLOOKUP(A167,Enforcements!$C$7:$K$17,8,0)</f>
        <v>#N/A</v>
      </c>
      <c r="AC167" s="57" t="e">
        <f>VLOOKUP(A167,Enforcements!$C$7:$E$17,3,0)</f>
        <v>#N/A</v>
      </c>
      <c r="AD167" s="58" t="str">
        <f t="shared" si="53"/>
        <v>0804-10</v>
      </c>
      <c r="AE167" s="87" t="str">
        <f t="shared" si="54"/>
        <v>aws s3 cp s3://rtdc.mdm.uploadarchive.raw/RTDC4030/ "%USERPROFILE%\AppData\Local\Temp\OnboardLogs"\RTDC4030\2017-01-10 --exclude "*" --recursive --include "*20170110*" &amp; "%USERPROFILE%\Documents\GitHub\mrs-test-scripts\Headless Mode &amp; Sideloading\WalkAndUnGZ.bat" "%USERPROFILE%\AppData\Local\Temp\OnboardLogs"\RTDC4030\2017-01-10 &amp; aws s3 cp s3://rtdc.mdm.uploadarchive.raw/RTDC4030/ "%USERPROFILE%\AppData\Local\Temp\OnboardLogs"\RTDC4030\2017-01-11 --exclude "*" --recursive --include "*20170111*" &amp; "%USERPROFILE%\Documents\GitHub\mrs-test-scripts\Headless Mode &amp; Sideloading\WalkAndUnGZ.bat" "%USERPROFILE%\AppData\Local\Temp\OnboardLogs"\RTDC4030\2017-01-11</v>
      </c>
      <c r="AF167" s="84" t="str">
        <f t="shared" si="55"/>
        <v>"C:\Program Files (x86)\AstroGrep\AstroGrep.exe" /spath="%USERPROFILE%\AppData\Local\Temp\OnboardLogs" /stypes="app*4030*20170110*" /stext=" 13:.+((SYSTEM_STATE.+slice.+state.+changed )|(ment ac)|(multiple cpu faults)|(system.+state.+changed )|(\[timeout)|(PRM\|1\|D)|(kpr)|(kdp)|(\|lc)|(penalty))" /e /r /s</v>
      </c>
      <c r="AG167" s="1" t="str">
        <f t="shared" si="56"/>
        <v>NW</v>
      </c>
      <c r="AH167" s="88" t="str">
        <f t="shared" si="57"/>
        <v>"%USERPROFILE%\Documents\GitHub\eaglep3\Utilities\RefineRTDCRunTimes.py" --tripid 804-10 --locoid 4030 --swversion DE.1.0.8.0 --startMP 300:58655 --initTime 2017-01-10T06:36:59 --startdatetime 2017-01-10T06:38:53 --delay 1 --endMP 204:698 --enddatetime 2017-01-10T06:56:13 --enforcementcount 0 &gt;&gt;C:\Users\stu\Documents\GitHub\eaglep3-reporting\EC\2017-01-10-refined-times.txt</v>
      </c>
      <c r="AI167" s="115" t="str">
        <f t="shared" si="58"/>
        <v>echo {"issue":{"subject":"","project_id":79,"tracker_id":40,"status_id":1,"priority_id":2,"assigned_to_id":23,"start_date":"2017-01-10","description":"","custom_fields":[{"id":1,"name":"Subdivision","value":"NW"},{"id":4,"name":"Milepost","value":"0.0698"},{"id":17,"name":"Train ID","value":"804-10"},{"id":16,"name":"Locomotive ID","value":"4030"},{"id":130,"name":"Impact","value":""},{"id":150,"name":"Time of Event (Mountain Time)","value":"06:56:13"},{"id":151,"name":"Denver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0"/>
      <c r="AK167" s="50"/>
      <c r="AL167" s="50"/>
      <c r="AM167" s="180" t="str">
        <f t="shared" si="59"/>
        <v>start /low /b %USERPROFILE%\Documents\GitHub\eaglep3\Utilities\DownloadLogsFromS3.py --loco 4030 --day 2017-01-10</v>
      </c>
    </row>
    <row r="168" spans="1:91" s="21" customFormat="1" x14ac:dyDescent="0.25">
      <c r="A168" s="34" t="s">
        <v>493</v>
      </c>
      <c r="B168" s="7">
        <v>4002</v>
      </c>
      <c r="C168" s="22" t="s">
        <v>202</v>
      </c>
      <c r="D168" s="22" t="s">
        <v>753</v>
      </c>
      <c r="E168" s="13">
        <v>42745.26866898148</v>
      </c>
      <c r="F168" s="13">
        <v>42745.285671296297</v>
      </c>
      <c r="G168" s="7">
        <v>0</v>
      </c>
      <c r="H168" s="22" t="s">
        <v>274</v>
      </c>
      <c r="I168" s="13">
        <v>42745.294710648152</v>
      </c>
      <c r="J168" s="7">
        <v>0</v>
      </c>
      <c r="K168" s="105" t="str">
        <f t="shared" si="45"/>
        <v>4001/4002</v>
      </c>
      <c r="L168" s="22" t="str">
        <f>VLOOKUP(A168,'Trips&amp;Operators'!$C$1:$G$99999,5,FALSE)</f>
        <v>YORK EDGAR</v>
      </c>
      <c r="M168" s="6">
        <f t="shared" si="46"/>
        <v>9.0393518548808061E-3</v>
      </c>
      <c r="N168" s="7">
        <f t="shared" si="61"/>
        <v>13.016666671028361</v>
      </c>
      <c r="O168" s="7"/>
      <c r="P168" s="7"/>
      <c r="Q168" s="23"/>
      <c r="R168" s="23"/>
      <c r="S168" s="32">
        <f t="shared" si="62"/>
        <v>1</v>
      </c>
      <c r="T168" s="47" t="str">
        <f t="shared" si="47"/>
        <v>NorthBound</v>
      </c>
      <c r="U168" s="167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https://search-rtdc-monitor-bjffxe2xuh6vdkpspy63sjmuny.us-east-1.es.amazonaws.com/_plugin/kibana/#/discover/Steve-Slow-Train-Analysis-(2080s-and-2083s)?_g=(refreshInterval:(display:Off,section:0,value:0),time:(from:'2017-01-10 05:26:53-700',mode:absolute,to:'2017-01-10 08:04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68" s="49" t="str">
        <f t="shared" si="49"/>
        <v>N</v>
      </c>
      <c r="X168" s="173">
        <f t="shared" si="60"/>
        <v>1</v>
      </c>
      <c r="Y168" s="64">
        <f t="shared" si="50"/>
        <v>0.10340000000000001</v>
      </c>
      <c r="Z168" s="64">
        <f t="shared" si="51"/>
        <v>5.8930999999999996</v>
      </c>
      <c r="AA168" s="64">
        <f t="shared" si="52"/>
        <v>5.7896999999999998</v>
      </c>
      <c r="AB168" s="61" t="e">
        <f>VLOOKUP(A168,Enforcements!$C$7:$K$17,8,0)</f>
        <v>#N/A</v>
      </c>
      <c r="AC168" s="57" t="e">
        <f>VLOOKUP(A168,Enforcements!$C$7:$E$17,3,0)</f>
        <v>#N/A</v>
      </c>
      <c r="AD168" s="58" t="str">
        <f t="shared" si="53"/>
        <v>0805-10</v>
      </c>
      <c r="AE168" s="87" t="str">
        <f t="shared" si="54"/>
        <v>aws s3 cp s3://rtdc.mdm.uploadarchive.raw/RTDC4002/ "%USERPROFILE%\AppData\Local\Temp\OnboardLogs"\RTDC4002\2017-01-10 --exclude "*" --recursive --include "*20170110*" &amp; "%USERPROFILE%\Documents\GitHub\mrs-test-scripts\Headless Mode &amp; Sideloading\WalkAndUnGZ.bat" "%USERPROFILE%\AppData\Local\Temp\OnboardLogs"\RTDC4002\2017-01-10 &amp; aws s3 cp s3://rtdc.mdm.uploadarchive.raw/RTDC4002/ "%USERPROFILE%\AppData\Local\Temp\OnboardLogs"\RTDC4002\2017-01-11 --exclude "*" --recursive --include "*20170111*" &amp; "%USERPROFILE%\Documents\GitHub\mrs-test-scripts\Headless Mode &amp; Sideloading\WalkAndUnGZ.bat" "%USERPROFILE%\AppData\Local\Temp\OnboardLogs"\RTDC4002\2017-01-11</v>
      </c>
      <c r="AF168" s="84" t="str">
        <f t="shared" si="55"/>
        <v>"C:\Program Files (x86)\AstroGrep\AstroGrep.exe" /spath="%USERPROFILE%\AppData\Local\Temp\OnboardLogs" /stypes="app*4002*20170110*" /stext=" 14:.+((SYSTEM_STATE.+slice.+state.+changed )|(ment ac)|(multiple cpu faults)|(system.+state.+changed )|(\[timeout)|(PRM\|1\|D)|(kpr)|(kdp)|(\|lc)|(penalty))" /e /r /s</v>
      </c>
      <c r="AG168" s="1" t="str">
        <f t="shared" si="56"/>
        <v>NW</v>
      </c>
      <c r="AH168" s="88" t="str">
        <f t="shared" si="57"/>
        <v>"%USERPROFILE%\Documents\GitHub\eaglep3\Utilities\RefineRTDCRunTimes.py" --tripid 805-10 --locoid 4002 --swversion DE.1.0.8.0 --startMP 204:1034 --initTime 2017-01-10T06:26:53 --startdatetime 2017-01-10T06:51:22 --delay 0 --endMP 300:58931 --enddatetime 2017-01-10T07:04:23 --enforcementcount 0 &gt;&gt;C:\Users\stu\Documents\GitHub\eaglep3-reporting\EC\2017-01-10-refined-times.txt</v>
      </c>
      <c r="AI168" s="115" t="str">
        <f t="shared" si="58"/>
        <v>echo {"issue":{"subject":"","project_id":79,"tracker_id":40,"status_id":1,"priority_id":2,"assigned_to_id":23,"start_date":"2017-01-10","description":"","custom_fields":[{"id":1,"name":"Subdivision","value":"NW"},{"id":4,"name":"Milepost","value":"5.8931"},{"id":17,"name":"Train ID","value":"805-10"},{"id":16,"name":"Locomotive ID","value":"4002"},{"id":130,"name":"Impact","value":""},{"id":150,"name":"Time of Event (Mountain Time)","value":"07:04:23"},{"id":151,"name":"Denver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0"/>
      <c r="AK168" s="50"/>
      <c r="AL168" s="50"/>
      <c r="AM168" s="180" t="str">
        <f t="shared" si="59"/>
        <v>start /low /b %USERPROFILE%\Documents\GitHub\eaglep3\Utilities\DownloadLogsFromS3.py --loco 4002 --day 2017-01-10</v>
      </c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4" t="s">
        <v>500</v>
      </c>
      <c r="B169" s="7">
        <v>4001</v>
      </c>
      <c r="C169" s="22" t="s">
        <v>202</v>
      </c>
      <c r="D169" s="22" t="s">
        <v>754</v>
      </c>
      <c r="E169" s="13">
        <v>42745.29587962963</v>
      </c>
      <c r="F169" s="13">
        <v>42745.298750000002</v>
      </c>
      <c r="G169" s="7">
        <v>1</v>
      </c>
      <c r="H169" s="22" t="s">
        <v>755</v>
      </c>
      <c r="I169" s="13">
        <v>42745.309317129628</v>
      </c>
      <c r="J169" s="7">
        <v>0</v>
      </c>
      <c r="K169" s="105" t="str">
        <f t="shared" si="45"/>
        <v>4001/4002</v>
      </c>
      <c r="L169" s="22" t="str">
        <f>VLOOKUP(A169,'Trips&amp;Operators'!$C$1:$G$99999,5,FALSE)</f>
        <v>YORK EDGAR</v>
      </c>
      <c r="M169" s="6">
        <f t="shared" si="46"/>
        <v>1.056712962599704E-2</v>
      </c>
      <c r="N169" s="7">
        <f t="shared" si="61"/>
        <v>15.216666661435738</v>
      </c>
      <c r="O169" s="7"/>
      <c r="P169" s="7"/>
      <c r="Q169" s="23"/>
      <c r="R169" s="23"/>
      <c r="S169" s="32">
        <f t="shared" si="62"/>
        <v>1</v>
      </c>
      <c r="T169" s="47" t="str">
        <f t="shared" si="47"/>
        <v>Southbound</v>
      </c>
      <c r="U169" s="167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https://search-rtdc-monitor-bjffxe2xuh6vdkpspy63sjmuny.us-east-1.es.amazonaws.com/_plugin/kibana/#/discover/Steve-Slow-Train-Analysis-(2080s-and-2083s)?_g=(refreshInterval:(display:Off,section:0,value:0),time:(from:'2017-01-10 06:06:04-700',mode:absolute,to:'2017-01-10 08:25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69" s="49" t="str">
        <f t="shared" si="49"/>
        <v>N</v>
      </c>
      <c r="X169" s="173">
        <f t="shared" si="60"/>
        <v>1</v>
      </c>
      <c r="Y169" s="64">
        <f t="shared" si="50"/>
        <v>5.8619000000000003</v>
      </c>
      <c r="Z169" s="64">
        <f t="shared" si="51"/>
        <v>7.4300000000000005E-2</v>
      </c>
      <c r="AA169" s="64">
        <f t="shared" si="52"/>
        <v>5.7876000000000003</v>
      </c>
      <c r="AB169" s="61" t="e">
        <f>VLOOKUP(A169,Enforcements!$C$7:$K$17,8,0)</f>
        <v>#N/A</v>
      </c>
      <c r="AC169" s="57" t="e">
        <f>VLOOKUP(A169,Enforcements!$C$7:$E$17,3,0)</f>
        <v>#N/A</v>
      </c>
      <c r="AD169" s="58" t="str">
        <f t="shared" si="53"/>
        <v>0806-10</v>
      </c>
      <c r="AE169" s="87" t="str">
        <f t="shared" si="54"/>
        <v>aws s3 cp s3://rtdc.mdm.uploadarchive.raw/RTDC4001/ "%USERPROFILE%\AppData\Local\Temp\OnboardLogs"\RTDC4001\2017-01-10 --exclude "*" --recursive --include "*20170110*" &amp; "%USERPROFILE%\Documents\GitHub\mrs-test-scripts\Headless Mode &amp; Sideloading\WalkAndUnGZ.bat" "%USERPROFILE%\AppData\Local\Temp\OnboardLogs"\RTDC4001\2017-01-10 &amp; aws s3 cp s3://rtdc.mdm.uploadarchive.raw/RTDC4001/ "%USERPROFILE%\AppData\Local\Temp\OnboardLogs"\RTDC4001\2017-01-11 --exclude "*" --recursive --include "*20170111*" &amp; "%USERPROFILE%\Documents\GitHub\mrs-test-scripts\Headless Mode &amp; Sideloading\WalkAndUnGZ.bat" "%USERPROFILE%\AppData\Local\Temp\OnboardLogs"\RTDC4001\2017-01-11</v>
      </c>
      <c r="AF169" s="84" t="str">
        <f t="shared" si="55"/>
        <v>"C:\Program Files (x86)\AstroGrep\AstroGrep.exe" /spath="%USERPROFILE%\AppData\Local\Temp\OnboardLogs" /stypes="app*4001*20170110*" /stext=" 14:.+((SYSTEM_STATE.+slice.+state.+changed )|(ment ac)|(multiple cpu faults)|(system.+state.+changed )|(\[timeout)|(PRM\|1\|D)|(kpr)|(kdp)|(\|lc)|(penalty))" /e /r /s</v>
      </c>
      <c r="AG169" s="1" t="str">
        <f t="shared" si="56"/>
        <v>NW</v>
      </c>
      <c r="AH169" s="88" t="str">
        <f t="shared" si="57"/>
        <v>"%USERPROFILE%\Documents\GitHub\eaglep3\Utilities\RefineRTDCRunTimes.py" --tripid 806-10 --locoid 4001 --swversion DE.1.0.8.0 --startMP 300:58619 --initTime 2017-01-10T07:06:04 --startdatetime 2017-01-10T07:10:12 --delay 1 --endMP 204:743 --enddatetime 2017-01-10T07:25:25 --enforcementcount 0 &gt;&gt;C:\Users\stu\Documents\GitHub\eaglep3-reporting\EC\2017-01-10-refined-times.txt</v>
      </c>
      <c r="AI169" s="115" t="str">
        <f t="shared" si="58"/>
        <v>echo {"issue":{"subject":"","project_id":79,"tracker_id":40,"status_id":1,"priority_id":2,"assigned_to_id":23,"start_date":"2017-01-10","description":"","custom_fields":[{"id":1,"name":"Subdivision","value":"NW"},{"id":4,"name":"Milepost","value":"0.0743"},{"id":17,"name":"Train ID","value":"806-10"},{"id":16,"name":"Locomotive ID","value":"4001"},{"id":130,"name":"Impact","value":""},{"id":150,"name":"Time of Event (Mountain Time)","value":"07:25:25"},{"id":151,"name":"Denver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0"/>
      <c r="AK169" s="50"/>
      <c r="AL169" s="50"/>
      <c r="AM169" s="180" t="str">
        <f t="shared" si="59"/>
        <v>start /low /b %USERPROFILE%\Documents\GitHub\eaglep3\Utilities\DownloadLogsFromS3.py --loco 4001 --day 2017-01-10</v>
      </c>
    </row>
    <row r="170" spans="1:91" x14ac:dyDescent="0.25">
      <c r="A170" s="34" t="s">
        <v>501</v>
      </c>
      <c r="B170" s="7">
        <v>4029</v>
      </c>
      <c r="C170" s="22" t="s">
        <v>202</v>
      </c>
      <c r="D170" s="22" t="s">
        <v>756</v>
      </c>
      <c r="E170" s="13">
        <v>42745.30127314815</v>
      </c>
      <c r="F170" s="13">
        <v>42745.306423611109</v>
      </c>
      <c r="G170" s="7">
        <v>1</v>
      </c>
      <c r="H170" s="22" t="s">
        <v>750</v>
      </c>
      <c r="I170" s="13">
        <v>42745.316423611112</v>
      </c>
      <c r="J170" s="7">
        <v>0</v>
      </c>
      <c r="K170" s="105" t="str">
        <f t="shared" si="45"/>
        <v>4029/4030</v>
      </c>
      <c r="L170" s="22" t="str">
        <f>VLOOKUP(A170,'Trips&amp;Operators'!$C$1:$G$99999,5,FALSE)</f>
        <v>BROWN JACOB</v>
      </c>
      <c r="M170" s="6">
        <f t="shared" si="46"/>
        <v>1.0000000002037268E-2</v>
      </c>
      <c r="N170" s="7">
        <f t="shared" si="61"/>
        <v>14.400000002933666</v>
      </c>
      <c r="O170" s="7"/>
      <c r="P170" s="7"/>
      <c r="Q170" s="23"/>
      <c r="R170" s="23"/>
      <c r="S170" s="32">
        <f t="shared" si="62"/>
        <v>1</v>
      </c>
      <c r="T170" s="47" t="str">
        <f t="shared" si="47"/>
        <v>NorthBound</v>
      </c>
      <c r="U170" s="167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https://search-rtdc-monitor-bjffxe2xuh6vdkpspy63sjmuny.us-east-1.es.amazonaws.com/_plugin/kibana/#/discover/Steve-Slow-Train-Analysis-(2080s-and-2083s)?_g=(refreshInterval:(display:Off,section:0,value:0),time:(from:'2017-01-10 06:13:50-700',mode:absolute,to:'2017-01-10 08:35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70" s="49" t="str">
        <f t="shared" si="49"/>
        <v>N</v>
      </c>
      <c r="X170" s="173">
        <f t="shared" si="60"/>
        <v>1</v>
      </c>
      <c r="Y170" s="64">
        <f t="shared" si="50"/>
        <v>0.1016</v>
      </c>
      <c r="Z170" s="64">
        <f t="shared" si="51"/>
        <v>5.8964999999999996</v>
      </c>
      <c r="AA170" s="64">
        <f t="shared" si="52"/>
        <v>5.7948999999999993</v>
      </c>
      <c r="AB170" s="61" t="e">
        <f>VLOOKUP(A170,Enforcements!$C$7:$K$17,8,0)</f>
        <v>#N/A</v>
      </c>
      <c r="AC170" s="57" t="e">
        <f>VLOOKUP(A170,Enforcements!$C$7:$E$17,3,0)</f>
        <v>#N/A</v>
      </c>
      <c r="AD170" s="58" t="str">
        <f t="shared" si="53"/>
        <v>0807-10</v>
      </c>
      <c r="AE170" s="87" t="str">
        <f t="shared" si="54"/>
        <v>aws s3 cp s3://rtdc.mdm.uploadarchive.raw/RTDC4029/ "%USERPROFILE%\AppData\Local\Temp\OnboardLogs"\RTDC4029\2017-01-10 --exclude "*" --recursive --include "*20170110*" &amp; "%USERPROFILE%\Documents\GitHub\mrs-test-scripts\Headless Mode &amp; Sideloading\WalkAndUnGZ.bat" "%USERPROFILE%\AppData\Local\Temp\OnboardLogs"\RTDC4029\2017-01-10 &amp; aws s3 cp s3://rtdc.mdm.uploadarchive.raw/RTDC4029/ "%USERPROFILE%\AppData\Local\Temp\OnboardLogs"\RTDC4029\2017-01-11 --exclude "*" --recursive --include "*20170111*" &amp; "%USERPROFILE%\Documents\GitHub\mrs-test-scripts\Headless Mode &amp; Sideloading\WalkAndUnGZ.bat" "%USERPROFILE%\AppData\Local\Temp\OnboardLogs"\RTDC4029\2017-01-11</v>
      </c>
      <c r="AF170" s="84" t="str">
        <f t="shared" si="55"/>
        <v>"C:\Program Files (x86)\AstroGrep\AstroGrep.exe" /spath="%USERPROFILE%\AppData\Local\Temp\OnboardLogs" /stypes="app*4029*20170110*" /stext=" 14:.+((SYSTEM_STATE.+slice.+state.+changed )|(ment ac)|(multiple cpu faults)|(system.+state.+changed )|(\[timeout)|(PRM\|1\|D)|(kpr)|(kdp)|(\|lc)|(penalty))" /e /r /s</v>
      </c>
      <c r="AG170" s="1" t="str">
        <f t="shared" si="56"/>
        <v>NW</v>
      </c>
      <c r="AH170" s="88" t="str">
        <f t="shared" si="57"/>
        <v>"%USERPROFILE%\Documents\GitHub\eaglep3\Utilities\RefineRTDCRunTimes.py" --tripid 807-10 --locoid 4029 --swversion DE.1.0.8.0 --startMP 204:1016 --initTime 2017-01-10T07:13:50 --startdatetime 2017-01-10T07:21:15 --delay 1 --endMP 300:58965 --enddatetime 2017-01-10T07:35:39 --enforcementcount 0 &gt;&gt;C:\Users\stu\Documents\GitHub\eaglep3-reporting\EC\2017-01-10-refined-times.txt</v>
      </c>
      <c r="AI170" s="115" t="str">
        <f t="shared" si="58"/>
        <v>echo {"issue":{"subject":"","project_id":79,"tracker_id":40,"status_id":1,"priority_id":2,"assigned_to_id":23,"start_date":"2017-01-10","description":"","custom_fields":[{"id":1,"name":"Subdivision","value":"NW"},{"id":4,"name":"Milepost","value":"5.8965"},{"id":17,"name":"Train ID","value":"807-10"},{"id":16,"name":"Locomotive ID","value":"4029"},{"id":130,"name":"Impact","value":""},{"id":150,"name":"Time of Event (Mountain Time)","value":"07:35:39"},{"id":151,"name":"Denver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0"/>
      <c r="AK170" s="50"/>
      <c r="AL170" s="50"/>
      <c r="AM170" s="180" t="str">
        <f t="shared" si="59"/>
        <v>start /low /b %USERPROFILE%\Documents\GitHub\eaglep3\Utilities\DownloadLogsFromS3.py --loco 4029 --day 2017-01-10</v>
      </c>
    </row>
    <row r="171" spans="1:91" x14ac:dyDescent="0.25">
      <c r="A171" s="34" t="s">
        <v>506</v>
      </c>
      <c r="B171" s="7">
        <v>4030</v>
      </c>
      <c r="C171" s="22" t="s">
        <v>202</v>
      </c>
      <c r="D171" s="22" t="s">
        <v>751</v>
      </c>
      <c r="E171" s="13">
        <v>42745.317465277774</v>
      </c>
      <c r="F171" s="13">
        <v>42745.318726851852</v>
      </c>
      <c r="G171" s="7">
        <v>1</v>
      </c>
      <c r="H171" s="22" t="s">
        <v>757</v>
      </c>
      <c r="I171" s="13">
        <v>42745.330682870372</v>
      </c>
      <c r="J171" s="7">
        <v>0</v>
      </c>
      <c r="K171" s="105" t="str">
        <f t="shared" si="45"/>
        <v>4029/4030</v>
      </c>
      <c r="L171" s="22" t="str">
        <f>VLOOKUP(A171,'Trips&amp;Operators'!$C$1:$G$99999,5,FALSE)</f>
        <v>BROWN JACOB</v>
      </c>
      <c r="M171" s="6">
        <f t="shared" si="46"/>
        <v>1.1956018519413192E-2</v>
      </c>
      <c r="N171" s="7">
        <f t="shared" si="61"/>
        <v>17.216666667954996</v>
      </c>
      <c r="O171" s="7"/>
      <c r="P171" s="7"/>
      <c r="Q171" s="23"/>
      <c r="R171" s="23"/>
      <c r="S171" s="32">
        <f t="shared" si="62"/>
        <v>1</v>
      </c>
      <c r="T171" s="47" t="str">
        <f t="shared" si="47"/>
        <v>Southbound</v>
      </c>
      <c r="U171" s="167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https://search-rtdc-monitor-bjffxe2xuh6vdkpspy63sjmuny.us-east-1.es.amazonaws.com/_plugin/kibana/#/discover/Steve-Slow-Train-Analysis-(2080s-and-2083s)?_g=(refreshInterval:(display:Off,section:0,value:0),time:(from:'2017-01-10 06:37:09-700',mode:absolute,to:'2017-01-10 08:56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71" s="49" t="str">
        <f t="shared" si="49"/>
        <v>N</v>
      </c>
      <c r="X171" s="173">
        <f t="shared" si="60"/>
        <v>1</v>
      </c>
      <c r="Y171" s="64">
        <f t="shared" si="50"/>
        <v>5.8654999999999999</v>
      </c>
      <c r="Z171" s="64">
        <f t="shared" si="51"/>
        <v>7.0599999999999996E-2</v>
      </c>
      <c r="AA171" s="64">
        <f t="shared" si="52"/>
        <v>5.7949000000000002</v>
      </c>
      <c r="AB171" s="61" t="e">
        <f>VLOOKUP(A171,Enforcements!$C$7:$K$17,8,0)</f>
        <v>#N/A</v>
      </c>
      <c r="AC171" s="57" t="e">
        <f>VLOOKUP(A171,Enforcements!$C$7:$E$17,3,0)</f>
        <v>#N/A</v>
      </c>
      <c r="AD171" s="58" t="str">
        <f t="shared" si="53"/>
        <v>0808-10</v>
      </c>
      <c r="AE171" s="87" t="str">
        <f t="shared" si="54"/>
        <v>aws s3 cp s3://rtdc.mdm.uploadarchive.raw/RTDC4030/ "%USERPROFILE%\AppData\Local\Temp\OnboardLogs"\RTDC4030\2017-01-10 --exclude "*" --recursive --include "*20170110*" &amp; "%USERPROFILE%\Documents\GitHub\mrs-test-scripts\Headless Mode &amp; Sideloading\WalkAndUnGZ.bat" "%USERPROFILE%\AppData\Local\Temp\OnboardLogs"\RTDC4030\2017-01-10 &amp; aws s3 cp s3://rtdc.mdm.uploadarchive.raw/RTDC4030/ "%USERPROFILE%\AppData\Local\Temp\OnboardLogs"\RTDC4030\2017-01-11 --exclude "*" --recursive --include "*20170111*" &amp; "%USERPROFILE%\Documents\GitHub\mrs-test-scripts\Headless Mode &amp; Sideloading\WalkAndUnGZ.bat" "%USERPROFILE%\AppData\Local\Temp\OnboardLogs"\RTDC4030\2017-01-11</v>
      </c>
      <c r="AF171" s="84" t="str">
        <f t="shared" si="55"/>
        <v>"C:\Program Files (x86)\AstroGrep\AstroGrep.exe" /spath="%USERPROFILE%\AppData\Local\Temp\OnboardLogs" /stypes="app*4030*20170110*" /stext=" 14:.+((SYSTEM_STATE.+slice.+state.+changed )|(ment ac)|(multiple cpu faults)|(system.+state.+changed )|(\[timeout)|(PRM\|1\|D)|(kpr)|(kdp)|(\|lc)|(penalty))" /e /r /s</v>
      </c>
      <c r="AG171" s="1" t="str">
        <f t="shared" si="56"/>
        <v>NW</v>
      </c>
      <c r="AH171" s="88" t="str">
        <f t="shared" si="57"/>
        <v>"%USERPROFILE%\Documents\GitHub\eaglep3\Utilities\RefineRTDCRunTimes.py" --tripid 808-10 --locoid 4030 --swversion DE.1.0.8.0 --startMP 300:58655 --initTime 2017-01-10T07:37:09 --startdatetime 2017-01-10T07:38:58 --delay 1 --endMP 204:706 --enddatetime 2017-01-10T07:56:11 --enforcementcount 0 &gt;&gt;C:\Users\stu\Documents\GitHub\eaglep3-reporting\EC\2017-01-10-refined-times.txt</v>
      </c>
      <c r="AI171" s="115" t="str">
        <f t="shared" si="58"/>
        <v>echo {"issue":{"subject":"","project_id":79,"tracker_id":40,"status_id":1,"priority_id":2,"assigned_to_id":23,"start_date":"2017-01-10","description":"","custom_fields":[{"id":1,"name":"Subdivision","value":"NW"},{"id":4,"name":"Milepost","value":"0.0706"},{"id":17,"name":"Train ID","value":"808-10"},{"id":16,"name":"Locomotive ID","value":"4030"},{"id":130,"name":"Impact","value":""},{"id":150,"name":"Time of Event (Mountain Time)","value":"07:56:11"},{"id":151,"name":"Denver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0"/>
      <c r="AK171" s="50"/>
      <c r="AL171" s="50"/>
      <c r="AM171" s="180" t="str">
        <f t="shared" si="59"/>
        <v>start /low /b %USERPROFILE%\Documents\GitHub\eaglep3\Utilities\DownloadLogsFromS3.py --loco 4030 --day 2017-01-10</v>
      </c>
    </row>
    <row r="172" spans="1:91" x14ac:dyDescent="0.25">
      <c r="A172" s="34" t="s">
        <v>504</v>
      </c>
      <c r="B172" s="7">
        <v>4002</v>
      </c>
      <c r="C172" s="22" t="s">
        <v>202</v>
      </c>
      <c r="D172" s="22" t="s">
        <v>756</v>
      </c>
      <c r="E172" s="13">
        <v>42745.312743055554</v>
      </c>
      <c r="F172" s="13">
        <v>42745.327430555553</v>
      </c>
      <c r="G172" s="7">
        <v>0</v>
      </c>
      <c r="H172" s="22" t="s">
        <v>274</v>
      </c>
      <c r="I172" s="13">
        <v>42745.336574074077</v>
      </c>
      <c r="J172" s="7">
        <v>0</v>
      </c>
      <c r="K172" s="105" t="str">
        <f t="shared" si="45"/>
        <v>4001/4002</v>
      </c>
      <c r="L172" s="22" t="str">
        <f>VLOOKUP(A172,'Trips&amp;Operators'!$C$1:$G$99999,5,FALSE)</f>
        <v>YORK EDGAR</v>
      </c>
      <c r="M172" s="6">
        <f t="shared" si="46"/>
        <v>9.1435185240698047E-3</v>
      </c>
      <c r="N172" s="7">
        <f t="shared" si="61"/>
        <v>13.166666674660519</v>
      </c>
      <c r="O172" s="7"/>
      <c r="P172" s="7"/>
      <c r="Q172" s="23"/>
      <c r="R172" s="23"/>
      <c r="S172" s="32">
        <f t="shared" si="62"/>
        <v>1</v>
      </c>
      <c r="T172" s="47" t="str">
        <f t="shared" si="47"/>
        <v>NorthBound</v>
      </c>
      <c r="U172" s="167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https://search-rtdc-monitor-bjffxe2xuh6vdkpspy63sjmuny.us-east-1.es.amazonaws.com/_plugin/kibana/#/discover/Steve-Slow-Train-Analysis-(2080s-and-2083s)?_g=(refreshInterval:(display:Off,section:0,value:0),time:(from:'2017-01-10 06:30:21-700',mode:absolute,to:'2017-01-10 09:04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72" s="49" t="str">
        <f t="shared" si="49"/>
        <v>N</v>
      </c>
      <c r="X172" s="173">
        <f t="shared" si="60"/>
        <v>1</v>
      </c>
      <c r="Y172" s="64">
        <f t="shared" si="50"/>
        <v>0.1016</v>
      </c>
      <c r="Z172" s="64">
        <f t="shared" si="51"/>
        <v>5.8930999999999996</v>
      </c>
      <c r="AA172" s="64">
        <f t="shared" si="52"/>
        <v>5.7914999999999992</v>
      </c>
      <c r="AB172" s="61" t="e">
        <f>VLOOKUP(A172,Enforcements!$C$7:$K$17,8,0)</f>
        <v>#N/A</v>
      </c>
      <c r="AC172" s="57" t="e">
        <f>VLOOKUP(A172,Enforcements!$C$7:$E$17,3,0)</f>
        <v>#N/A</v>
      </c>
      <c r="AD172" s="58" t="str">
        <f t="shared" si="53"/>
        <v>0809-10</v>
      </c>
      <c r="AE172" s="87" t="str">
        <f t="shared" si="54"/>
        <v>aws s3 cp s3://rtdc.mdm.uploadarchive.raw/RTDC4002/ "%USERPROFILE%\AppData\Local\Temp\OnboardLogs"\RTDC4002\2017-01-10 --exclude "*" --recursive --include "*20170110*" &amp; "%USERPROFILE%\Documents\GitHub\mrs-test-scripts\Headless Mode &amp; Sideloading\WalkAndUnGZ.bat" "%USERPROFILE%\AppData\Local\Temp\OnboardLogs"\RTDC4002\2017-01-10 &amp; aws s3 cp s3://rtdc.mdm.uploadarchive.raw/RTDC4002/ "%USERPROFILE%\AppData\Local\Temp\OnboardLogs"\RTDC4002\2017-01-11 --exclude "*" --recursive --include "*20170111*" &amp; "%USERPROFILE%\Documents\GitHub\mrs-test-scripts\Headless Mode &amp; Sideloading\WalkAndUnGZ.bat" "%USERPROFILE%\AppData\Local\Temp\OnboardLogs"\RTDC4002\2017-01-11</v>
      </c>
      <c r="AF172" s="84" t="str">
        <f t="shared" si="55"/>
        <v>"C:\Program Files (x86)\AstroGrep\AstroGrep.exe" /spath="%USERPROFILE%\AppData\Local\Temp\OnboardLogs" /stypes="app*4002*20170110*" /stext=" 15:.+((SYSTEM_STATE.+slice.+state.+changed )|(ment ac)|(multiple cpu faults)|(system.+state.+changed )|(\[timeout)|(PRM\|1\|D)|(kpr)|(kdp)|(\|lc)|(penalty))" /e /r /s</v>
      </c>
      <c r="AG172" s="1" t="str">
        <f t="shared" si="56"/>
        <v>NW</v>
      </c>
      <c r="AH172" s="88" t="str">
        <f t="shared" si="57"/>
        <v>"%USERPROFILE%\Documents\GitHub\eaglep3\Utilities\RefineRTDCRunTimes.py" --tripid 809-10 --locoid 4002 --swversion DE.1.0.8.0 --startMP 204:1016 --initTime 2017-01-10T07:30:21 --startdatetime 2017-01-10T07:51:30 --delay 0 --endMP 300:58931 --enddatetime 2017-01-10T08:04:40 --enforcementcount 0 &gt;&gt;C:\Users\stu\Documents\GitHub\eaglep3-reporting\EC\2017-01-10-refined-times.txt</v>
      </c>
      <c r="AI172" s="115" t="str">
        <f t="shared" si="58"/>
        <v>echo {"issue":{"subject":"","project_id":79,"tracker_id":40,"status_id":1,"priority_id":2,"assigned_to_id":23,"start_date":"2017-01-10","description":"","custom_fields":[{"id":1,"name":"Subdivision","value":"NW"},{"id":4,"name":"Milepost","value":"5.8931"},{"id":17,"name":"Train ID","value":"809-10"},{"id":16,"name":"Locomotive ID","value":"4002"},{"id":130,"name":"Impact","value":""},{"id":150,"name":"Time of Event (Mountain Time)","value":"08:04:40"},{"id":151,"name":"Denver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0"/>
      <c r="AK172" s="50"/>
      <c r="AL172" s="50"/>
      <c r="AM172" s="180" t="str">
        <f t="shared" si="59"/>
        <v>start /low /b %USERPROFILE%\Documents\GitHub\eaglep3\Utilities\DownloadLogsFromS3.py --loco 4002 --day 2017-01-10</v>
      </c>
    </row>
    <row r="173" spans="1:91" x14ac:dyDescent="0.25">
      <c r="A173" s="34" t="s">
        <v>510</v>
      </c>
      <c r="B173" s="7">
        <v>4001</v>
      </c>
      <c r="C173" s="22" t="s">
        <v>202</v>
      </c>
      <c r="D173" s="22" t="s">
        <v>325</v>
      </c>
      <c r="E173" s="13">
        <v>42745.337905092594</v>
      </c>
      <c r="F173" s="13">
        <v>42745.340081018519</v>
      </c>
      <c r="G173" s="7">
        <v>1</v>
      </c>
      <c r="H173" s="22" t="s">
        <v>749</v>
      </c>
      <c r="I173" s="13">
        <v>42745.350405092591</v>
      </c>
      <c r="J173" s="7">
        <v>0</v>
      </c>
      <c r="K173" s="105" t="str">
        <f t="shared" si="45"/>
        <v>4001/4002</v>
      </c>
      <c r="L173" s="22" t="str">
        <f>VLOOKUP(A173,'Trips&amp;Operators'!$C$1:$G$99999,5,FALSE)</f>
        <v>YORK EDGAR</v>
      </c>
      <c r="M173" s="6">
        <f t="shared" si="46"/>
        <v>1.0324074071832001E-2</v>
      </c>
      <c r="N173" s="7">
        <f t="shared" si="61"/>
        <v>14.866666663438082</v>
      </c>
      <c r="O173" s="7"/>
      <c r="P173" s="7"/>
      <c r="Q173" s="23"/>
      <c r="R173" s="23"/>
      <c r="S173" s="32">
        <f t="shared" si="62"/>
        <v>1</v>
      </c>
      <c r="T173" s="47" t="str">
        <f t="shared" si="47"/>
        <v>Southbound</v>
      </c>
      <c r="U173" s="167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https://search-rtdc-monitor-bjffxe2xuh6vdkpspy63sjmuny.us-east-1.es.amazonaws.com/_plugin/kibana/#/discover/Steve-Slow-Train-Analysis-(2080s-and-2083s)?_g=(refreshInterval:(display:Off,section:0,value:0),time:(from:'2017-01-10 07:06:35-700',mode:absolute,to:'2017-01-10 09:24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73" s="49" t="str">
        <f t="shared" si="49"/>
        <v>N</v>
      </c>
      <c r="X173" s="173">
        <f t="shared" si="60"/>
        <v>1</v>
      </c>
      <c r="Y173" s="64">
        <f t="shared" si="50"/>
        <v>5.8623000000000003</v>
      </c>
      <c r="Z173" s="64">
        <f t="shared" si="51"/>
        <v>7.4700000000000003E-2</v>
      </c>
      <c r="AA173" s="64">
        <f t="shared" si="52"/>
        <v>5.7876000000000003</v>
      </c>
      <c r="AB173" s="61" t="e">
        <f>VLOOKUP(A173,Enforcements!$C$7:$K$17,8,0)</f>
        <v>#N/A</v>
      </c>
      <c r="AC173" s="57" t="e">
        <f>VLOOKUP(A173,Enforcements!$C$7:$E$17,3,0)</f>
        <v>#N/A</v>
      </c>
      <c r="AD173" s="58" t="str">
        <f t="shared" si="53"/>
        <v>0810-10</v>
      </c>
      <c r="AE173" s="87" t="str">
        <f t="shared" si="54"/>
        <v>aws s3 cp s3://rtdc.mdm.uploadarchive.raw/RTDC4001/ "%USERPROFILE%\AppData\Local\Temp\OnboardLogs"\RTDC4001\2017-01-10 --exclude "*" --recursive --include "*20170110*" &amp; "%USERPROFILE%\Documents\GitHub\mrs-test-scripts\Headless Mode &amp; Sideloading\WalkAndUnGZ.bat" "%USERPROFILE%\AppData\Local\Temp\OnboardLogs"\RTDC4001\2017-01-10 &amp; aws s3 cp s3://rtdc.mdm.uploadarchive.raw/RTDC4001/ "%USERPROFILE%\AppData\Local\Temp\OnboardLogs"\RTDC4001\2017-01-11 --exclude "*" --recursive --include "*20170111*" &amp; "%USERPROFILE%\Documents\GitHub\mrs-test-scripts\Headless Mode &amp; Sideloading\WalkAndUnGZ.bat" "%USERPROFILE%\AppData\Local\Temp\OnboardLogs"\RTDC4001\2017-01-11</v>
      </c>
      <c r="AF173" s="84" t="str">
        <f t="shared" si="55"/>
        <v>"C:\Program Files (x86)\AstroGrep\AstroGrep.exe" /spath="%USERPROFILE%\AppData\Local\Temp\OnboardLogs" /stypes="app*4001*20170110*" /stext=" 15:.+((SYSTEM_STATE.+slice.+state.+changed )|(ment ac)|(multiple cpu faults)|(system.+state.+changed )|(\[timeout)|(PRM\|1\|D)|(kpr)|(kdp)|(\|lc)|(penalty))" /e /r /s</v>
      </c>
      <c r="AG173" s="1" t="str">
        <f t="shared" si="56"/>
        <v>NW</v>
      </c>
      <c r="AH173" s="88" t="str">
        <f t="shared" si="57"/>
        <v>"%USERPROFILE%\Documents\GitHub\eaglep3\Utilities\RefineRTDCRunTimes.py" --tripid 810-10 --locoid 4001 --swversion DE.1.0.8.0 --startMP 300:58623 --initTime 2017-01-10T08:06:35 --startdatetime 2017-01-10T08:09:43 --delay 1 --endMP 204:747 --enddatetime 2017-01-10T08:24:35 --enforcementcount 0 &gt;&gt;C:\Users\stu\Documents\GitHub\eaglep3-reporting\EC\2017-01-10-refined-times.txt</v>
      </c>
      <c r="AI173" s="115" t="str">
        <f t="shared" si="58"/>
        <v>echo {"issue":{"subject":"","project_id":79,"tracker_id":40,"status_id":1,"priority_id":2,"assigned_to_id":23,"start_date":"2017-01-10","description":"","custom_fields":[{"id":1,"name":"Subdivision","value":"NW"},{"id":4,"name":"Milepost","value":"0.0747"},{"id":17,"name":"Train ID","value":"810-10"},{"id":16,"name":"Locomotive ID","value":"4001"},{"id":130,"name":"Impact","value":""},{"id":150,"name":"Time of Event (Mountain Time)","value":"08:24:35"},{"id":151,"name":"Denver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0"/>
      <c r="AK173" s="50"/>
      <c r="AL173" s="50"/>
      <c r="AM173" s="180" t="str">
        <f t="shared" si="59"/>
        <v>start /low /b %USERPROFILE%\Documents\GitHub\eaglep3\Utilities\DownloadLogsFromS3.py --loco 4001 --day 2017-01-10</v>
      </c>
    </row>
    <row r="174" spans="1:91" s="21" customFormat="1" x14ac:dyDescent="0.25">
      <c r="A174" s="34" t="s">
        <v>512</v>
      </c>
      <c r="B174" s="7">
        <v>4029</v>
      </c>
      <c r="C174" s="22" t="s">
        <v>202</v>
      </c>
      <c r="D174" s="22" t="s">
        <v>758</v>
      </c>
      <c r="E174" s="13">
        <v>42745.340520833335</v>
      </c>
      <c r="F174" s="13">
        <v>42745.348067129627</v>
      </c>
      <c r="G174" s="7">
        <v>1</v>
      </c>
      <c r="H174" s="22" t="s">
        <v>759</v>
      </c>
      <c r="I174" s="13">
        <v>42745.357835648145</v>
      </c>
      <c r="J174" s="7">
        <v>0</v>
      </c>
      <c r="K174" s="105" t="str">
        <f t="shared" si="45"/>
        <v>4029/4030</v>
      </c>
      <c r="L174" s="22" t="str">
        <f>VLOOKUP(A174,'Trips&amp;Operators'!$C$1:$G$99999,5,FALSE)</f>
        <v>BROWN JACOB</v>
      </c>
      <c r="M174" s="6">
        <f t="shared" si="46"/>
        <v>9.7685185173759237E-3</v>
      </c>
      <c r="N174" s="7">
        <f t="shared" si="61"/>
        <v>14.06666666502133</v>
      </c>
      <c r="O174" s="7"/>
      <c r="P174" s="7"/>
      <c r="Q174" s="23"/>
      <c r="R174" s="23"/>
      <c r="S174" s="32">
        <f t="shared" si="62"/>
        <v>1</v>
      </c>
      <c r="T174" s="47" t="str">
        <f t="shared" si="47"/>
        <v>NorthBound</v>
      </c>
      <c r="U174" s="167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https://search-rtdc-monitor-bjffxe2xuh6vdkpspy63sjmuny.us-east-1.es.amazonaws.com/_plugin/kibana/#/discover/Steve-Slow-Train-Analysis-(2080s-and-2083s)?_g=(refreshInterval:(display:Off,section:0,value:0),time:(from:'2017-01-10 07:10:21-700',mode:absolute,to:'2017-01-10 09:35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74" s="49" t="str">
        <f t="shared" si="49"/>
        <v>N</v>
      </c>
      <c r="X174" s="173">
        <f t="shared" si="60"/>
        <v>1</v>
      </c>
      <c r="Y174" s="64">
        <f t="shared" si="50"/>
        <v>0.1009</v>
      </c>
      <c r="Z174" s="64">
        <f t="shared" si="51"/>
        <v>5.8963000000000001</v>
      </c>
      <c r="AA174" s="64">
        <f t="shared" si="52"/>
        <v>5.7953999999999999</v>
      </c>
      <c r="AB174" s="61" t="e">
        <f>VLOOKUP(A174,Enforcements!$C$7:$K$17,8,0)</f>
        <v>#N/A</v>
      </c>
      <c r="AC174" s="57" t="e">
        <f>VLOOKUP(A174,Enforcements!$C$7:$E$17,3,0)</f>
        <v>#N/A</v>
      </c>
      <c r="AD174" s="58" t="str">
        <f t="shared" si="53"/>
        <v>0811-10</v>
      </c>
      <c r="AE174" s="87" t="str">
        <f t="shared" si="54"/>
        <v>aws s3 cp s3://rtdc.mdm.uploadarchive.raw/RTDC4029/ "%USERPROFILE%\AppData\Local\Temp\OnboardLogs"\RTDC4029\2017-01-10 --exclude "*" --recursive --include "*20170110*" &amp; "%USERPROFILE%\Documents\GitHub\mrs-test-scripts\Headless Mode &amp; Sideloading\WalkAndUnGZ.bat" "%USERPROFILE%\AppData\Local\Temp\OnboardLogs"\RTDC4029\2017-01-10 &amp; aws s3 cp s3://rtdc.mdm.uploadarchive.raw/RTDC4029/ "%USERPROFILE%\AppData\Local\Temp\OnboardLogs"\RTDC4029\2017-01-11 --exclude "*" --recursive --include "*20170111*" &amp; "%USERPROFILE%\Documents\GitHub\mrs-test-scripts\Headless Mode &amp; Sideloading\WalkAndUnGZ.bat" "%USERPROFILE%\AppData\Local\Temp\OnboardLogs"\RTDC4029\2017-01-11</v>
      </c>
      <c r="AF174" s="84" t="str">
        <f t="shared" si="55"/>
        <v>"C:\Program Files (x86)\AstroGrep\AstroGrep.exe" /spath="%USERPROFILE%\AppData\Local\Temp\OnboardLogs" /stypes="app*4029*20170110*" /stext=" 15:.+((SYSTEM_STATE.+slice.+state.+changed )|(ment ac)|(multiple cpu faults)|(system.+state.+changed )|(\[timeout)|(PRM\|1\|D)|(kpr)|(kdp)|(\|lc)|(penalty))" /e /r /s</v>
      </c>
      <c r="AG174" s="1" t="str">
        <f t="shared" si="56"/>
        <v>NW</v>
      </c>
      <c r="AH174" s="88" t="str">
        <f t="shared" si="57"/>
        <v>"%USERPROFILE%\Documents\GitHub\eaglep3\Utilities\RefineRTDCRunTimes.py" --tripid 811-10 --locoid 4029 --swversion DE.1.0.8.0 --startMP 204:1009 --initTime 2017-01-10T08:10:21 --startdatetime 2017-01-10T08:21:13 --delay 1 --endMP 300:58963 --enddatetime 2017-01-10T08:35:17 --enforcementcount 0 &gt;&gt;C:\Users\stu\Documents\GitHub\eaglep3-reporting\EC\2017-01-10-refined-times.txt</v>
      </c>
      <c r="AI174" s="115" t="str">
        <f t="shared" si="58"/>
        <v>echo {"issue":{"subject":"","project_id":79,"tracker_id":40,"status_id":1,"priority_id":2,"assigned_to_id":23,"start_date":"2017-01-10","description":"","custom_fields":[{"id":1,"name":"Subdivision","value":"NW"},{"id":4,"name":"Milepost","value":"5.8963"},{"id":17,"name":"Train ID","value":"811-10"},{"id":16,"name":"Locomotive ID","value":"4029"},{"id":130,"name":"Impact","value":""},{"id":150,"name":"Time of Event (Mountain Time)","value":"08:35:17"},{"id":151,"name":"Denver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0"/>
      <c r="AK174" s="50"/>
      <c r="AL174" s="50"/>
      <c r="AM174" s="180" t="str">
        <f t="shared" si="59"/>
        <v>start /low /b %USERPROFILE%\Documents\GitHub\eaglep3\Utilities\DownloadLogsFromS3.py --loco 4029 --day 2017-01-10</v>
      </c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4" t="s">
        <v>516</v>
      </c>
      <c r="B175" s="7">
        <v>4030</v>
      </c>
      <c r="C175" s="22" t="s">
        <v>202</v>
      </c>
      <c r="D175" s="22" t="s">
        <v>760</v>
      </c>
      <c r="E175" s="13">
        <v>42745.358831018515</v>
      </c>
      <c r="F175" s="13">
        <v>42745.360127314816</v>
      </c>
      <c r="G175" s="7">
        <v>1</v>
      </c>
      <c r="H175" s="22" t="s">
        <v>761</v>
      </c>
      <c r="I175" s="13">
        <v>42745.372013888889</v>
      </c>
      <c r="J175" s="7">
        <v>0</v>
      </c>
      <c r="K175" s="105" t="str">
        <f t="shared" si="45"/>
        <v>4029/4030</v>
      </c>
      <c r="L175" s="22" t="str">
        <f>VLOOKUP(A175,'Trips&amp;Operators'!$C$1:$G$99999,5,FALSE)</f>
        <v>BROWN JACOB</v>
      </c>
      <c r="M175" s="6">
        <f t="shared" si="46"/>
        <v>1.1886574073287193E-2</v>
      </c>
      <c r="N175" s="7">
        <f t="shared" si="61"/>
        <v>17.116666665533558</v>
      </c>
      <c r="O175" s="7"/>
      <c r="P175" s="7"/>
      <c r="Q175" s="23"/>
      <c r="R175" s="23"/>
      <c r="S175" s="32">
        <f t="shared" si="62"/>
        <v>1</v>
      </c>
      <c r="T175" s="47" t="str">
        <f t="shared" si="47"/>
        <v>Southbound</v>
      </c>
      <c r="U175" s="167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https://search-rtdc-monitor-bjffxe2xuh6vdkpspy63sjmuny.us-east-1.es.amazonaws.com/_plugin/kibana/#/discover/Steve-Slow-Train-Analysis-(2080s-and-2083s)?_g=(refreshInterval:(display:Off,section:0,value:0),time:(from:'2017-01-10 07:36:43-700',mode:absolute,to:'2017-01-10 09:55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75" s="49" t="str">
        <f t="shared" si="49"/>
        <v>N</v>
      </c>
      <c r="X175" s="173">
        <f t="shared" si="60"/>
        <v>1</v>
      </c>
      <c r="Y175" s="64">
        <f t="shared" si="50"/>
        <v>5.8640999999999996</v>
      </c>
      <c r="Z175" s="64">
        <f t="shared" si="51"/>
        <v>7.3800000000000004E-2</v>
      </c>
      <c r="AA175" s="64">
        <f t="shared" si="52"/>
        <v>5.7902999999999993</v>
      </c>
      <c r="AB175" s="61" t="e">
        <f>VLOOKUP(A175,Enforcements!$C$7:$K$17,8,0)</f>
        <v>#N/A</v>
      </c>
      <c r="AC175" s="57" t="e">
        <f>VLOOKUP(A175,Enforcements!$C$7:$E$17,3,0)</f>
        <v>#N/A</v>
      </c>
      <c r="AD175" s="58" t="str">
        <f t="shared" si="53"/>
        <v>0812-10</v>
      </c>
      <c r="AE175" s="87" t="str">
        <f t="shared" si="54"/>
        <v>aws s3 cp s3://rtdc.mdm.uploadarchive.raw/RTDC4030/ "%USERPROFILE%\AppData\Local\Temp\OnboardLogs"\RTDC4030\2017-01-10 --exclude "*" --recursive --include "*20170110*" &amp; "%USERPROFILE%\Documents\GitHub\mrs-test-scripts\Headless Mode &amp; Sideloading\WalkAndUnGZ.bat" "%USERPROFILE%\AppData\Local\Temp\OnboardLogs"\RTDC4030\2017-01-10 &amp; aws s3 cp s3://rtdc.mdm.uploadarchive.raw/RTDC4030/ "%USERPROFILE%\AppData\Local\Temp\OnboardLogs"\RTDC4030\2017-01-11 --exclude "*" --recursive --include "*20170111*" &amp; "%USERPROFILE%\Documents\GitHub\mrs-test-scripts\Headless Mode &amp; Sideloading\WalkAndUnGZ.bat" "%USERPROFILE%\AppData\Local\Temp\OnboardLogs"\RTDC4030\2017-01-11</v>
      </c>
      <c r="AF175" s="84" t="str">
        <f t="shared" si="55"/>
        <v>"C:\Program Files (x86)\AstroGrep\AstroGrep.exe" /spath="%USERPROFILE%\AppData\Local\Temp\OnboardLogs" /stypes="app*4030*20170110*" /stext=" 15:.+((SYSTEM_STATE.+slice.+state.+changed )|(ment ac)|(multiple cpu faults)|(system.+state.+changed )|(\[timeout)|(PRM\|1\|D)|(kpr)|(kdp)|(\|lc)|(penalty))" /e /r /s</v>
      </c>
      <c r="AG175" s="1" t="str">
        <f t="shared" si="56"/>
        <v>NW</v>
      </c>
      <c r="AH175" s="88" t="str">
        <f t="shared" si="57"/>
        <v>"%USERPROFILE%\Documents\GitHub\eaglep3\Utilities\RefineRTDCRunTimes.py" --tripid 812-10 --locoid 4030 --swversion DE.1.0.8.0 --startMP 300:58641 --initTime 2017-01-10T08:36:43 --startdatetime 2017-01-10T08:38:35 --delay 1 --endMP 204:738 --enddatetime 2017-01-10T08:55:42 --enforcementcount 0 &gt;&gt;C:\Users\stu\Documents\GitHub\eaglep3-reporting\EC\2017-01-10-refined-times.txt</v>
      </c>
      <c r="AI175" s="115" t="str">
        <f t="shared" si="58"/>
        <v>echo {"issue":{"subject":"","project_id":79,"tracker_id":40,"status_id":1,"priority_id":2,"assigned_to_id":23,"start_date":"2017-01-10","description":"","custom_fields":[{"id":1,"name":"Subdivision","value":"NW"},{"id":4,"name":"Milepost","value":"0.0738"},{"id":17,"name":"Train ID","value":"812-10"},{"id":16,"name":"Locomotive ID","value":"4030"},{"id":130,"name":"Impact","value":""},{"id":150,"name":"Time of Event (Mountain Time)","value":"08:55:42"},{"id":151,"name":"Denver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0"/>
      <c r="AK175" s="50"/>
      <c r="AL175" s="50"/>
      <c r="AM175" s="180" t="str">
        <f t="shared" si="59"/>
        <v>start /low /b %USERPROFILE%\Documents\GitHub\eaglep3\Utilities\DownloadLogsFromS3.py --loco 4030 --day 2017-01-10</v>
      </c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4" t="s">
        <v>433</v>
      </c>
      <c r="B176" s="7">
        <v>4029</v>
      </c>
      <c r="C176" s="22" t="s">
        <v>202</v>
      </c>
      <c r="D176" s="22" t="s">
        <v>762</v>
      </c>
      <c r="E176" s="13">
        <v>42745.38621527778</v>
      </c>
      <c r="F176" s="13">
        <v>42745.389756944445</v>
      </c>
      <c r="G176" s="7">
        <v>1</v>
      </c>
      <c r="H176" s="22" t="s">
        <v>763</v>
      </c>
      <c r="I176" s="13">
        <v>42745.399050925924</v>
      </c>
      <c r="J176" s="7">
        <v>0</v>
      </c>
      <c r="K176" s="105" t="str">
        <f t="shared" si="45"/>
        <v>4029/4030</v>
      </c>
      <c r="L176" s="22" t="str">
        <f>VLOOKUP(A176,'Trips&amp;Operators'!$C$1:$G$99999,5,FALSE)</f>
        <v>BROWN JACOB</v>
      </c>
      <c r="M176" s="6">
        <f t="shared" si="46"/>
        <v>9.29398147854954E-3</v>
      </c>
      <c r="N176" s="7">
        <f t="shared" si="61"/>
        <v>13.383333329111338</v>
      </c>
      <c r="O176" s="7"/>
      <c r="P176" s="7"/>
      <c r="Q176" s="23"/>
      <c r="R176" s="23"/>
      <c r="S176" s="32">
        <f t="shared" si="62"/>
        <v>1</v>
      </c>
      <c r="T176" s="47" t="str">
        <f t="shared" si="47"/>
        <v>NorthBound</v>
      </c>
      <c r="U176" s="167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https://search-rtdc-monitor-bjffxe2xuh6vdkpspy63sjmuny.us-east-1.es.amazonaws.com/_plugin/kibana/#/discover/Steve-Slow-Train-Analysis-(2080s-and-2083s)?_g=(refreshInterval:(display:Off,section:0,value:0),time:(from:'2017-01-10 08:16:09-700',mode:absolute,to:'2017-01-10 10:34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76" s="49" t="str">
        <f t="shared" si="49"/>
        <v>N</v>
      </c>
      <c r="X176" s="173">
        <f t="shared" si="60"/>
        <v>1</v>
      </c>
      <c r="Y176" s="64">
        <f t="shared" si="50"/>
        <v>0.1021</v>
      </c>
      <c r="Z176" s="64">
        <f t="shared" si="51"/>
        <v>5.8948</v>
      </c>
      <c r="AA176" s="64">
        <f t="shared" si="52"/>
        <v>5.7927</v>
      </c>
      <c r="AB176" s="61" t="e">
        <f>VLOOKUP(A176,Enforcements!$C$7:$K$17,8,0)</f>
        <v>#N/A</v>
      </c>
      <c r="AC176" s="57" t="e">
        <f>VLOOKUP(A176,Enforcements!$C$7:$E$17,3,0)</f>
        <v>#N/A</v>
      </c>
      <c r="AD176" s="58" t="str">
        <f t="shared" si="53"/>
        <v>0813-10</v>
      </c>
      <c r="AE176" s="87" t="str">
        <f t="shared" si="54"/>
        <v>aws s3 cp s3://rtdc.mdm.uploadarchive.raw/RTDC4029/ "%USERPROFILE%\AppData\Local\Temp\OnboardLogs"\RTDC4029\2017-01-10 --exclude "*" --recursive --include "*20170110*" &amp; "%USERPROFILE%\Documents\GitHub\mrs-test-scripts\Headless Mode &amp; Sideloading\WalkAndUnGZ.bat" "%USERPROFILE%\AppData\Local\Temp\OnboardLogs"\RTDC4029\2017-01-10 &amp; aws s3 cp s3://rtdc.mdm.uploadarchive.raw/RTDC4029/ "%USERPROFILE%\AppData\Local\Temp\OnboardLogs"\RTDC4029\2017-01-11 --exclude "*" --recursive --include "*20170111*" &amp; "%USERPROFILE%\Documents\GitHub\mrs-test-scripts\Headless Mode &amp; Sideloading\WalkAndUnGZ.bat" "%USERPROFILE%\AppData\Local\Temp\OnboardLogs"\RTDC4029\2017-01-11</v>
      </c>
      <c r="AF176" s="84" t="str">
        <f t="shared" si="55"/>
        <v>"C:\Program Files (x86)\AstroGrep\AstroGrep.exe" /spath="%USERPROFILE%\AppData\Local\Temp\OnboardLogs" /stypes="app*4029*20170110*" /stext=" 16:.+((SYSTEM_STATE.+slice.+state.+changed )|(ment ac)|(multiple cpu faults)|(system.+state.+changed )|(\[timeout)|(PRM\|1\|D)|(kpr)|(kdp)|(\|lc)|(penalty))" /e /r /s</v>
      </c>
      <c r="AG176" s="1" t="str">
        <f t="shared" si="56"/>
        <v>NW</v>
      </c>
      <c r="AH176" s="88" t="str">
        <f t="shared" si="57"/>
        <v>"%USERPROFILE%\Documents\GitHub\eaglep3\Utilities\RefineRTDCRunTimes.py" --tripid 813-10 --locoid 4029 --swversion DE.1.0.8.0 --startMP 204:1021 --initTime 2017-01-10T09:16:09 --startdatetime 2017-01-10T09:21:15 --delay 1 --endMP 300:58948 --enddatetime 2017-01-10T09:34:38 --enforcementcount 0 &gt;&gt;C:\Users\stu\Documents\GitHub\eaglep3-reporting\EC\2017-01-10-refined-times.txt</v>
      </c>
      <c r="AI176" s="115" t="str">
        <f t="shared" si="58"/>
        <v>echo {"issue":{"subject":"","project_id":79,"tracker_id":40,"status_id":1,"priority_id":2,"assigned_to_id":23,"start_date":"2017-01-10","description":"","custom_fields":[{"id":1,"name":"Subdivision","value":"NW"},{"id":4,"name":"Milepost","value":"5.8948"},{"id":17,"name":"Train ID","value":"813-10"},{"id":16,"name":"Locomotive ID","value":"4029"},{"id":130,"name":"Impact","value":""},{"id":150,"name":"Time of Event (Mountain Time)","value":"09:34:38"},{"id":151,"name":"Denver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0"/>
      <c r="AK176" s="50"/>
      <c r="AL176" s="50"/>
      <c r="AM176" s="180" t="str">
        <f t="shared" si="59"/>
        <v>start /low /b %USERPROFILE%\Documents\GitHub\eaglep3\Utilities\DownloadLogsFromS3.py --loco 4029 --day 2017-01-10</v>
      </c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1" customFormat="1" x14ac:dyDescent="0.25">
      <c r="A177" s="34" t="s">
        <v>526</v>
      </c>
      <c r="B177" s="7">
        <v>4030</v>
      </c>
      <c r="C177" s="22" t="s">
        <v>202</v>
      </c>
      <c r="D177" s="22" t="s">
        <v>764</v>
      </c>
      <c r="E177" s="13">
        <v>42745.399953703702</v>
      </c>
      <c r="F177" s="13">
        <v>42745.401412037034</v>
      </c>
      <c r="G177" s="7">
        <v>1</v>
      </c>
      <c r="H177" s="22" t="s">
        <v>757</v>
      </c>
      <c r="I177" s="13">
        <v>42745.414039351854</v>
      </c>
      <c r="J177" s="7">
        <v>0</v>
      </c>
      <c r="K177" s="105" t="str">
        <f t="shared" si="45"/>
        <v>4029/4030</v>
      </c>
      <c r="L177" s="22" t="str">
        <f>VLOOKUP(A177,'Trips&amp;Operators'!$C$1:$G$99999,5,FALSE)</f>
        <v>BROWN JACOB</v>
      </c>
      <c r="M177" s="6">
        <f t="shared" si="46"/>
        <v>1.262731481983792E-2</v>
      </c>
      <c r="N177" s="7">
        <f t="shared" si="61"/>
        <v>18.183333340566605</v>
      </c>
      <c r="O177" s="7"/>
      <c r="P177" s="7"/>
      <c r="Q177" s="23"/>
      <c r="R177" s="23"/>
      <c r="S177" s="32">
        <f t="shared" si="62"/>
        <v>1</v>
      </c>
      <c r="T177" s="47" t="str">
        <f t="shared" si="47"/>
        <v>Southbound</v>
      </c>
      <c r="U177" s="167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https://search-rtdc-monitor-bjffxe2xuh6vdkpspy63sjmuny.us-east-1.es.amazonaws.com/_plugin/kibana/#/discover/Steve-Slow-Train-Analysis-(2080s-and-2083s)?_g=(refreshInterval:(display:Off,section:0,value:0),time:(from:'2017-01-10 08:35:56-700',mode:absolute,to:'2017-01-10 10:56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77" s="49" t="str">
        <f t="shared" si="49"/>
        <v>N</v>
      </c>
      <c r="X177" s="173">
        <f t="shared" si="60"/>
        <v>1</v>
      </c>
      <c r="Y177" s="64">
        <f t="shared" si="50"/>
        <v>5.8625999999999996</v>
      </c>
      <c r="Z177" s="64">
        <f t="shared" si="51"/>
        <v>7.0599999999999996E-2</v>
      </c>
      <c r="AA177" s="64">
        <f t="shared" si="52"/>
        <v>5.7919999999999998</v>
      </c>
      <c r="AB177" s="61" t="e">
        <f>VLOOKUP(A177,Enforcements!$C$7:$K$17,8,0)</f>
        <v>#N/A</v>
      </c>
      <c r="AC177" s="57" t="e">
        <f>VLOOKUP(A177,Enforcements!$C$7:$E$17,3,0)</f>
        <v>#N/A</v>
      </c>
      <c r="AD177" s="58" t="str">
        <f t="shared" si="53"/>
        <v>0814-10</v>
      </c>
      <c r="AE177" s="87" t="str">
        <f t="shared" si="54"/>
        <v>aws s3 cp s3://rtdc.mdm.uploadarchive.raw/RTDC4030/ "%USERPROFILE%\AppData\Local\Temp\OnboardLogs"\RTDC4030\2017-01-10 --exclude "*" --recursive --include "*20170110*" &amp; "%USERPROFILE%\Documents\GitHub\mrs-test-scripts\Headless Mode &amp; Sideloading\WalkAndUnGZ.bat" "%USERPROFILE%\AppData\Local\Temp\OnboardLogs"\RTDC4030\2017-01-10 &amp; aws s3 cp s3://rtdc.mdm.uploadarchive.raw/RTDC4030/ "%USERPROFILE%\AppData\Local\Temp\OnboardLogs"\RTDC4030\2017-01-11 --exclude "*" --recursive --include "*20170111*" &amp; "%USERPROFILE%\Documents\GitHub\mrs-test-scripts\Headless Mode &amp; Sideloading\WalkAndUnGZ.bat" "%USERPROFILE%\AppData\Local\Temp\OnboardLogs"\RTDC4030\2017-01-11</v>
      </c>
      <c r="AF177" s="84" t="str">
        <f t="shared" si="55"/>
        <v>"C:\Program Files (x86)\AstroGrep\AstroGrep.exe" /spath="%USERPROFILE%\AppData\Local\Temp\OnboardLogs" /stypes="app*4030*20170110*" /stext=" 16:.+((SYSTEM_STATE.+slice.+state.+changed )|(ment ac)|(multiple cpu faults)|(system.+state.+changed )|(\[timeout)|(PRM\|1\|D)|(kpr)|(kdp)|(\|lc)|(penalty))" /e /r /s</v>
      </c>
      <c r="AG177" s="1" t="str">
        <f t="shared" si="56"/>
        <v>NW</v>
      </c>
      <c r="AH177" s="88" t="str">
        <f t="shared" si="57"/>
        <v>"%USERPROFILE%\Documents\GitHub\eaglep3\Utilities\RefineRTDCRunTimes.py" --tripid 814-10 --locoid 4030 --swversion DE.1.0.8.0 --startMP 300:58626 --initTime 2017-01-10T09:35:56 --startdatetime 2017-01-10T09:38:02 --delay 1 --endMP 204:706 --enddatetime 2017-01-10T09:56:13 --enforcementcount 0 &gt;&gt;C:\Users\stu\Documents\GitHub\eaglep3-reporting\EC\2017-01-10-refined-times.txt</v>
      </c>
      <c r="AI177" s="115" t="str">
        <f t="shared" si="58"/>
        <v>echo {"issue":{"subject":"","project_id":79,"tracker_id":40,"status_id":1,"priority_id":2,"assigned_to_id":23,"start_date":"2017-01-10","description":"","custom_fields":[{"id":1,"name":"Subdivision","value":"NW"},{"id":4,"name":"Milepost","value":"0.0706"},{"id":17,"name":"Train ID","value":"814-10"},{"id":16,"name":"Locomotive ID","value":"4030"},{"id":130,"name":"Impact","value":""},{"id":150,"name":"Time of Event (Mountain Time)","value":"09:56:13"},{"id":151,"name":"Denver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0"/>
      <c r="AK177" s="50"/>
      <c r="AL177" s="50"/>
      <c r="AM177" s="180" t="str">
        <f t="shared" si="59"/>
        <v>start /low /b %USERPROFILE%\Documents\GitHub\eaglep3\Utilities\DownloadLogsFromS3.py --loco 4030 --day 2017-01-10</v>
      </c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4" t="s">
        <v>532</v>
      </c>
      <c r="B178" s="7">
        <v>4029</v>
      </c>
      <c r="C178" s="22" t="s">
        <v>202</v>
      </c>
      <c r="D178" s="22" t="s">
        <v>765</v>
      </c>
      <c r="E178" s="13">
        <v>42745.426435185182</v>
      </c>
      <c r="F178" s="13">
        <v>42745.431435185186</v>
      </c>
      <c r="G178" s="7">
        <v>1</v>
      </c>
      <c r="H178" s="22" t="s">
        <v>766</v>
      </c>
      <c r="I178" s="13">
        <v>42745.441030092596</v>
      </c>
      <c r="J178" s="7">
        <v>0</v>
      </c>
      <c r="K178" s="105" t="str">
        <f t="shared" si="45"/>
        <v>4029/4030</v>
      </c>
      <c r="L178" s="22" t="str">
        <f>VLOOKUP(A178,'Trips&amp;Operators'!$C$1:$G$99999,5,FALSE)</f>
        <v>BROWN JACOB</v>
      </c>
      <c r="M178" s="6">
        <f t="shared" si="46"/>
        <v>9.5949074093368836E-3</v>
      </c>
      <c r="N178" s="7">
        <f t="shared" si="61"/>
        <v>13.816666669445112</v>
      </c>
      <c r="O178" s="7"/>
      <c r="P178" s="7"/>
      <c r="Q178" s="23"/>
      <c r="R178" s="23"/>
      <c r="S178" s="32">
        <f t="shared" si="62"/>
        <v>1</v>
      </c>
      <c r="T178" s="47" t="str">
        <f t="shared" si="47"/>
        <v>NorthBound</v>
      </c>
      <c r="U178" s="167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https://search-rtdc-monitor-bjffxe2xuh6vdkpspy63sjmuny.us-east-1.es.amazonaws.com/_plugin/kibana/#/discover/Steve-Slow-Train-Analysis-(2080s-and-2083s)?_g=(refreshInterval:(display:Off,section:0,value:0),time:(from:'2017-01-10 09:14:04-700',mode:absolute,to:'2017-01-10 11:35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78" s="49" t="str">
        <f t="shared" si="49"/>
        <v>N</v>
      </c>
      <c r="X178" s="173">
        <f t="shared" si="60"/>
        <v>1</v>
      </c>
      <c r="Y178" s="64">
        <f t="shared" si="50"/>
        <v>0.1004</v>
      </c>
      <c r="Z178" s="64">
        <f t="shared" si="51"/>
        <v>5.8971</v>
      </c>
      <c r="AA178" s="64">
        <f t="shared" si="52"/>
        <v>5.7967000000000004</v>
      </c>
      <c r="AB178" s="61" t="e">
        <f>VLOOKUP(A178,Enforcements!$C$7:$K$17,8,0)</f>
        <v>#N/A</v>
      </c>
      <c r="AC178" s="57" t="e">
        <f>VLOOKUP(A178,Enforcements!$C$7:$E$17,3,0)</f>
        <v>#N/A</v>
      </c>
      <c r="AD178" s="58" t="str">
        <f t="shared" si="53"/>
        <v>0815-10</v>
      </c>
      <c r="AE178" s="87" t="str">
        <f t="shared" si="54"/>
        <v>aws s3 cp s3://rtdc.mdm.uploadarchive.raw/RTDC4029/ "%USERPROFILE%\AppData\Local\Temp\OnboardLogs"\RTDC4029\2017-01-10 --exclude "*" --recursive --include "*20170110*" &amp; "%USERPROFILE%\Documents\GitHub\mrs-test-scripts\Headless Mode &amp; Sideloading\WalkAndUnGZ.bat" "%USERPROFILE%\AppData\Local\Temp\OnboardLogs"\RTDC4029\2017-01-10 &amp; aws s3 cp s3://rtdc.mdm.uploadarchive.raw/RTDC4029/ "%USERPROFILE%\AppData\Local\Temp\OnboardLogs"\RTDC4029\2017-01-11 --exclude "*" --recursive --include "*20170111*" &amp; "%USERPROFILE%\Documents\GitHub\mrs-test-scripts\Headless Mode &amp; Sideloading\WalkAndUnGZ.bat" "%USERPROFILE%\AppData\Local\Temp\OnboardLogs"\RTDC4029\2017-01-11</v>
      </c>
      <c r="AF178" s="84" t="str">
        <f t="shared" si="55"/>
        <v>"C:\Program Files (x86)\AstroGrep\AstroGrep.exe" /spath="%USERPROFILE%\AppData\Local\Temp\OnboardLogs" /stypes="app*4029*20170110*" /stext=" 17:.+((SYSTEM_STATE.+slice.+state.+changed )|(ment ac)|(multiple cpu faults)|(system.+state.+changed )|(\[timeout)|(PRM\|1\|D)|(kpr)|(kdp)|(\|lc)|(penalty))" /e /r /s</v>
      </c>
      <c r="AG178" s="1" t="str">
        <f t="shared" si="56"/>
        <v>NW</v>
      </c>
      <c r="AH178" s="88" t="str">
        <f t="shared" si="57"/>
        <v>"%USERPROFILE%\Documents\GitHub\eaglep3\Utilities\RefineRTDCRunTimes.py" --tripid 815-10 --locoid 4029 --swversion DE.1.0.8.0 --startMP 204:1004 --initTime 2017-01-10T10:14:04 --startdatetime 2017-01-10T10:21:16 --delay 1 --endMP 300:58971 --enddatetime 2017-01-10T10:35:05 --enforcementcount 0 &gt;&gt;C:\Users\stu\Documents\GitHub\eaglep3-reporting\EC\2017-01-10-refined-times.txt</v>
      </c>
      <c r="AI178" s="115" t="str">
        <f t="shared" si="58"/>
        <v>echo {"issue":{"subject":"","project_id":79,"tracker_id":40,"status_id":1,"priority_id":2,"assigned_to_id":23,"start_date":"2017-01-10","description":"","custom_fields":[{"id":1,"name":"Subdivision","value":"NW"},{"id":4,"name":"Milepost","value":"5.8971"},{"id":17,"name":"Train ID","value":"815-10"},{"id":16,"name":"Locomotive ID","value":"4029"},{"id":130,"name":"Impact","value":""},{"id":150,"name":"Time of Event (Mountain Time)","value":"10:35:05"},{"id":151,"name":"Denver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0"/>
      <c r="AK178" s="50"/>
      <c r="AL178" s="50"/>
      <c r="AM178" s="180" t="str">
        <f t="shared" si="59"/>
        <v>start /low /b %USERPROFILE%\Documents\GitHub\eaglep3\Utilities\DownloadLogsFromS3.py --loco 4029 --day 2017-01-10</v>
      </c>
    </row>
    <row r="179" spans="1:91" x14ac:dyDescent="0.25">
      <c r="A179" s="34" t="s">
        <v>535</v>
      </c>
      <c r="B179" s="7">
        <v>4030</v>
      </c>
      <c r="C179" s="22" t="s">
        <v>202</v>
      </c>
      <c r="D179" s="22" t="s">
        <v>751</v>
      </c>
      <c r="E179" s="13">
        <v>42745.441921296297</v>
      </c>
      <c r="F179" s="13">
        <v>42745.44321759259</v>
      </c>
      <c r="G179" s="7">
        <v>1</v>
      </c>
      <c r="H179" s="22" t="s">
        <v>767</v>
      </c>
      <c r="I179" s="13">
        <v>42745.45521990741</v>
      </c>
      <c r="J179" s="7">
        <v>0</v>
      </c>
      <c r="K179" s="105" t="str">
        <f t="shared" si="45"/>
        <v>4029/4030</v>
      </c>
      <c r="L179" s="22" t="str">
        <f>VLOOKUP(A179,'Trips&amp;Operators'!$C$1:$G$99999,5,FALSE)</f>
        <v>BROWN JACOB</v>
      </c>
      <c r="M179" s="6">
        <f t="shared" si="46"/>
        <v>1.2002314819255844E-2</v>
      </c>
      <c r="N179" s="7">
        <f t="shared" si="61"/>
        <v>17.283333339728415</v>
      </c>
      <c r="O179" s="7"/>
      <c r="P179" s="7"/>
      <c r="Q179" s="23"/>
      <c r="R179" s="23"/>
      <c r="S179" s="32">
        <f t="shared" si="62"/>
        <v>1</v>
      </c>
      <c r="T179" s="47" t="str">
        <f t="shared" si="47"/>
        <v>Southbound</v>
      </c>
      <c r="U179" s="167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https://search-rtdc-monitor-bjffxe2xuh6vdkpspy63sjmuny.us-east-1.es.amazonaws.com/_plugin/kibana/#/discover/Steve-Slow-Train-Analysis-(2080s-and-2083s)?_g=(refreshInterval:(display:Off,section:0,value:0),time:(from:'2017-01-10 09:36:22-700',mode:absolute,to:'2017-01-10 11:55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79" s="49" t="str">
        <f t="shared" si="49"/>
        <v>N</v>
      </c>
      <c r="X179" s="173">
        <f t="shared" si="60"/>
        <v>1</v>
      </c>
      <c r="Y179" s="64">
        <f t="shared" si="50"/>
        <v>5.8654999999999999</v>
      </c>
      <c r="Z179" s="64">
        <f t="shared" si="51"/>
        <v>7.2400000000000006E-2</v>
      </c>
      <c r="AA179" s="64">
        <f t="shared" si="52"/>
        <v>5.7930999999999999</v>
      </c>
      <c r="AB179" s="61" t="e">
        <f>VLOOKUP(A179,Enforcements!$C$7:$K$17,8,0)</f>
        <v>#N/A</v>
      </c>
      <c r="AC179" s="57" t="e">
        <f>VLOOKUP(A179,Enforcements!$C$7:$E$17,3,0)</f>
        <v>#N/A</v>
      </c>
      <c r="AD179" s="58" t="str">
        <f t="shared" si="53"/>
        <v>0816-10</v>
      </c>
      <c r="AE179" s="87" t="str">
        <f t="shared" si="54"/>
        <v>aws s3 cp s3://rtdc.mdm.uploadarchive.raw/RTDC4030/ "%USERPROFILE%\AppData\Local\Temp\OnboardLogs"\RTDC4030\2017-01-10 --exclude "*" --recursive --include "*20170110*" &amp; "%USERPROFILE%\Documents\GitHub\mrs-test-scripts\Headless Mode &amp; Sideloading\WalkAndUnGZ.bat" "%USERPROFILE%\AppData\Local\Temp\OnboardLogs"\RTDC4030\2017-01-10 &amp; aws s3 cp s3://rtdc.mdm.uploadarchive.raw/RTDC4030/ "%USERPROFILE%\AppData\Local\Temp\OnboardLogs"\RTDC4030\2017-01-11 --exclude "*" --recursive --include "*20170111*" &amp; "%USERPROFILE%\Documents\GitHub\mrs-test-scripts\Headless Mode &amp; Sideloading\WalkAndUnGZ.bat" "%USERPROFILE%\AppData\Local\Temp\OnboardLogs"\RTDC4030\2017-01-11</v>
      </c>
      <c r="AF179" s="84" t="str">
        <f t="shared" si="55"/>
        <v>"C:\Program Files (x86)\AstroGrep\AstroGrep.exe" /spath="%USERPROFILE%\AppData\Local\Temp\OnboardLogs" /stypes="app*4030*20170110*" /stext=" 17:.+((SYSTEM_STATE.+slice.+state.+changed )|(ment ac)|(multiple cpu faults)|(system.+state.+changed )|(\[timeout)|(PRM\|1\|D)|(kpr)|(kdp)|(\|lc)|(penalty))" /e /r /s</v>
      </c>
      <c r="AG179" s="1" t="str">
        <f t="shared" si="56"/>
        <v>NW</v>
      </c>
      <c r="AH179" s="88" t="str">
        <f t="shared" si="57"/>
        <v>"%USERPROFILE%\Documents\GitHub\eaglep3\Utilities\RefineRTDCRunTimes.py" --tripid 816-10 --locoid 4030 --swversion DE.1.0.8.0 --startMP 300:58655 --initTime 2017-01-10T10:36:22 --startdatetime 2017-01-10T10:38:14 --delay 1 --endMP 204:724 --enddatetime 2017-01-10T10:55:31 --enforcementcount 0 &gt;&gt;C:\Users\stu\Documents\GitHub\eaglep3-reporting\EC\2017-01-10-refined-times.txt</v>
      </c>
      <c r="AI179" s="115" t="str">
        <f t="shared" si="58"/>
        <v>echo {"issue":{"subject":"","project_id":79,"tracker_id":40,"status_id":1,"priority_id":2,"assigned_to_id":23,"start_date":"2017-01-10","description":"","custom_fields":[{"id":1,"name":"Subdivision","value":"NW"},{"id":4,"name":"Milepost","value":"0.0724"},{"id":17,"name":"Train ID","value":"816-10"},{"id":16,"name":"Locomotive ID","value":"4030"},{"id":130,"name":"Impact","value":""},{"id":150,"name":"Time of Event (Mountain Time)","value":"10:55:31"},{"id":151,"name":"Denver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0"/>
      <c r="AK179" s="50"/>
      <c r="AL179" s="50"/>
      <c r="AM179" s="180" t="str">
        <f t="shared" si="59"/>
        <v>start /low /b %USERPROFILE%\Documents\GitHub\eaglep3\Utilities\DownloadLogsFromS3.py --loco 4030 --day 2017-01-10</v>
      </c>
    </row>
    <row r="180" spans="1:91" x14ac:dyDescent="0.25">
      <c r="A180" s="34" t="s">
        <v>543</v>
      </c>
      <c r="B180" s="7">
        <v>4029</v>
      </c>
      <c r="C180" s="22" t="s">
        <v>202</v>
      </c>
      <c r="D180" s="22" t="s">
        <v>768</v>
      </c>
      <c r="E180" s="13">
        <v>42745.470509259256</v>
      </c>
      <c r="F180" s="13">
        <v>42745.473090277781</v>
      </c>
      <c r="G180" s="7">
        <v>1</v>
      </c>
      <c r="H180" s="22" t="s">
        <v>423</v>
      </c>
      <c r="I180" s="13">
        <v>42745.482812499999</v>
      </c>
      <c r="J180" s="7">
        <v>0</v>
      </c>
      <c r="K180" s="105" t="str">
        <f t="shared" si="45"/>
        <v>4029/4030</v>
      </c>
      <c r="L180" s="22" t="str">
        <f>VLOOKUP(A180,'Trips&amp;Operators'!$C$1:$G$99999,5,FALSE)</f>
        <v>BROWN JACOB</v>
      </c>
      <c r="M180" s="6">
        <f t="shared" si="46"/>
        <v>9.7222222175332718E-3</v>
      </c>
      <c r="N180" s="7">
        <f t="shared" si="61"/>
        <v>13.999999993247911</v>
      </c>
      <c r="O180" s="7"/>
      <c r="P180" s="7"/>
      <c r="Q180" s="23"/>
      <c r="R180" s="23"/>
      <c r="S180" s="32">
        <f t="shared" si="62"/>
        <v>1</v>
      </c>
      <c r="T180" s="47" t="str">
        <f t="shared" si="47"/>
        <v>NorthBound</v>
      </c>
      <c r="U180" s="167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https://search-rtdc-monitor-bjffxe2xuh6vdkpspy63sjmuny.us-east-1.es.amazonaws.com/_plugin/kibana/#/discover/Steve-Slow-Train-Analysis-(2080s-and-2083s)?_g=(refreshInterval:(display:Off,section:0,value:0),time:(from:'2017-01-10 10:17:32-700',mode:absolute,to:'2017-01-10 12:35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80" s="49" t="str">
        <f t="shared" si="49"/>
        <v>N</v>
      </c>
      <c r="X180" s="173">
        <f t="shared" si="60"/>
        <v>1</v>
      </c>
      <c r="Y180" s="64">
        <f t="shared" si="50"/>
        <v>0.1018</v>
      </c>
      <c r="Z180" s="64">
        <f t="shared" si="51"/>
        <v>5.8956</v>
      </c>
      <c r="AA180" s="64">
        <f t="shared" si="52"/>
        <v>5.7938000000000001</v>
      </c>
      <c r="AB180" s="61" t="e">
        <f>VLOOKUP(A180,Enforcements!$C$7:$K$17,8,0)</f>
        <v>#N/A</v>
      </c>
      <c r="AC180" s="57" t="e">
        <f>VLOOKUP(A180,Enforcements!$C$7:$E$17,3,0)</f>
        <v>#N/A</v>
      </c>
      <c r="AD180" s="58" t="str">
        <f t="shared" si="53"/>
        <v>0817-10</v>
      </c>
      <c r="AE180" s="87" t="str">
        <f t="shared" si="54"/>
        <v>aws s3 cp s3://rtdc.mdm.uploadarchive.raw/RTDC4029/ "%USERPROFILE%\AppData\Local\Temp\OnboardLogs"\RTDC4029\2017-01-10 --exclude "*" --recursive --include "*20170110*" &amp; "%USERPROFILE%\Documents\GitHub\mrs-test-scripts\Headless Mode &amp; Sideloading\WalkAndUnGZ.bat" "%USERPROFILE%\AppData\Local\Temp\OnboardLogs"\RTDC4029\2017-01-10 &amp; aws s3 cp s3://rtdc.mdm.uploadarchive.raw/RTDC4029/ "%USERPROFILE%\AppData\Local\Temp\OnboardLogs"\RTDC4029\2017-01-11 --exclude "*" --recursive --include "*20170111*" &amp; "%USERPROFILE%\Documents\GitHub\mrs-test-scripts\Headless Mode &amp; Sideloading\WalkAndUnGZ.bat" "%USERPROFILE%\AppData\Local\Temp\OnboardLogs"\RTDC4029\2017-01-11</v>
      </c>
      <c r="AF180" s="84" t="str">
        <f t="shared" si="55"/>
        <v>"C:\Program Files (x86)\AstroGrep\AstroGrep.exe" /spath="%USERPROFILE%\AppData\Local\Temp\OnboardLogs" /stypes="app*4029*20170110*" /stext=" 18:.+((SYSTEM_STATE.+slice.+state.+changed )|(ment ac)|(multiple cpu faults)|(system.+state.+changed )|(\[timeout)|(PRM\|1\|D)|(kpr)|(kdp)|(\|lc)|(penalty))" /e /r /s</v>
      </c>
      <c r="AG180" s="1" t="str">
        <f t="shared" si="56"/>
        <v>NW</v>
      </c>
      <c r="AH180" s="88" t="str">
        <f t="shared" si="57"/>
        <v>"%USERPROFILE%\Documents\GitHub\eaglep3\Utilities\RefineRTDCRunTimes.py" --tripid 817-10 --locoid 4029 --swversion DE.1.0.8.0 --startMP 204:1018 --initTime 2017-01-10T11:17:32 --startdatetime 2017-01-10T11:21:15 --delay 1 --endMP 300:58956 --enddatetime 2017-01-10T11:35:15 --enforcementcount 0 &gt;&gt;C:\Users\stu\Documents\GitHub\eaglep3-reporting\EC\2017-01-10-refined-times.txt</v>
      </c>
      <c r="AI180" s="115" t="str">
        <f t="shared" si="58"/>
        <v>echo {"issue":{"subject":"","project_id":79,"tracker_id":40,"status_id":1,"priority_id":2,"assigned_to_id":23,"start_date":"2017-01-10","description":"","custom_fields":[{"id":1,"name":"Subdivision","value":"NW"},{"id":4,"name":"Milepost","value":"5.8956"},{"id":17,"name":"Train ID","value":"817-10"},{"id":16,"name":"Locomotive ID","value":"4029"},{"id":130,"name":"Impact","value":""},{"id":150,"name":"Time of Event (Mountain Time)","value":"11:35:15"},{"id":151,"name":"Denver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0"/>
      <c r="AK180" s="50"/>
      <c r="AL180" s="50"/>
      <c r="AM180" s="180" t="str">
        <f t="shared" si="59"/>
        <v>start /low /b %USERPROFILE%\Documents\GitHub\eaglep3\Utilities\DownloadLogsFromS3.py --loco 4029 --day 2017-01-10</v>
      </c>
    </row>
    <row r="181" spans="1:91" x14ac:dyDescent="0.25">
      <c r="A181" s="34" t="s">
        <v>546</v>
      </c>
      <c r="B181" s="7">
        <v>4030</v>
      </c>
      <c r="C181" s="22" t="s">
        <v>202</v>
      </c>
      <c r="D181" s="22" t="s">
        <v>416</v>
      </c>
      <c r="E181" s="13">
        <v>42745.483819444446</v>
      </c>
      <c r="F181" s="13">
        <v>42745.484965277778</v>
      </c>
      <c r="G181" s="7">
        <v>1</v>
      </c>
      <c r="H181" s="22" t="s">
        <v>769</v>
      </c>
      <c r="I181" s="13">
        <v>42745.49732638889</v>
      </c>
      <c r="J181" s="7">
        <v>0</v>
      </c>
      <c r="K181" s="105" t="str">
        <f t="shared" si="45"/>
        <v>4029/4030</v>
      </c>
      <c r="L181" s="22" t="str">
        <f>VLOOKUP(A181,'Trips&amp;Operators'!$C$1:$G$99999,5,FALSE)</f>
        <v>BROWN JACOB</v>
      </c>
      <c r="M181" s="6">
        <f t="shared" si="46"/>
        <v>1.2361111112113576E-2</v>
      </c>
      <c r="N181" s="7">
        <f t="shared" si="61"/>
        <v>17.80000000144355</v>
      </c>
      <c r="O181" s="7"/>
      <c r="P181" s="7"/>
      <c r="Q181" s="23"/>
      <c r="R181" s="23"/>
      <c r="S181" s="32">
        <f t="shared" si="62"/>
        <v>1</v>
      </c>
      <c r="T181" s="47" t="str">
        <f t="shared" si="47"/>
        <v>Southbound</v>
      </c>
      <c r="U181" s="167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https://search-rtdc-monitor-bjffxe2xuh6vdkpspy63sjmuny.us-east-1.es.amazonaws.com/_plugin/kibana/#/discover/Steve-Slow-Train-Analysis-(2080s-and-2083s)?_g=(refreshInterval:(display:Off,section:0,value:0),time:(from:'2017-01-10 10:36:42-700',mode:absolute,to:'2017-01-10 12:56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81" s="49" t="str">
        <f t="shared" si="49"/>
        <v>N</v>
      </c>
      <c r="X181" s="173">
        <f t="shared" si="60"/>
        <v>1</v>
      </c>
      <c r="Y181" s="64">
        <f t="shared" si="50"/>
        <v>5.8643000000000001</v>
      </c>
      <c r="Z181" s="64">
        <f t="shared" si="51"/>
        <v>7.3400000000000007E-2</v>
      </c>
      <c r="AA181" s="64">
        <f t="shared" si="52"/>
        <v>5.7908999999999997</v>
      </c>
      <c r="AB181" s="61" t="e">
        <f>VLOOKUP(A181,Enforcements!$C$7:$K$17,8,0)</f>
        <v>#N/A</v>
      </c>
      <c r="AC181" s="57" t="e">
        <f>VLOOKUP(A181,Enforcements!$C$7:$E$17,3,0)</f>
        <v>#N/A</v>
      </c>
      <c r="AD181" s="58" t="str">
        <f t="shared" si="53"/>
        <v>0818-10</v>
      </c>
      <c r="AE181" s="87" t="str">
        <f t="shared" si="54"/>
        <v>aws s3 cp s3://rtdc.mdm.uploadarchive.raw/RTDC4030/ "%USERPROFILE%\AppData\Local\Temp\OnboardLogs"\RTDC4030\2017-01-10 --exclude "*" --recursive --include "*20170110*" &amp; "%USERPROFILE%\Documents\GitHub\mrs-test-scripts\Headless Mode &amp; Sideloading\WalkAndUnGZ.bat" "%USERPROFILE%\AppData\Local\Temp\OnboardLogs"\RTDC4030\2017-01-10 &amp; aws s3 cp s3://rtdc.mdm.uploadarchive.raw/RTDC4030/ "%USERPROFILE%\AppData\Local\Temp\OnboardLogs"\RTDC4030\2017-01-11 --exclude "*" --recursive --include "*20170111*" &amp; "%USERPROFILE%\Documents\GitHub\mrs-test-scripts\Headless Mode &amp; Sideloading\WalkAndUnGZ.bat" "%USERPROFILE%\AppData\Local\Temp\OnboardLogs"\RTDC4030\2017-01-11</v>
      </c>
      <c r="AF181" s="84" t="str">
        <f t="shared" si="55"/>
        <v>"C:\Program Files (x86)\AstroGrep\AstroGrep.exe" /spath="%USERPROFILE%\AppData\Local\Temp\OnboardLogs" /stypes="app*4030*20170110*" /stext=" 18:.+((SYSTEM_STATE.+slice.+state.+changed )|(ment ac)|(multiple cpu faults)|(system.+state.+changed )|(\[timeout)|(PRM\|1\|D)|(kpr)|(kdp)|(\|lc)|(penalty))" /e /r /s</v>
      </c>
      <c r="AG181" s="1" t="str">
        <f t="shared" si="56"/>
        <v>NW</v>
      </c>
      <c r="AH181" s="88" t="str">
        <f t="shared" si="57"/>
        <v>"%USERPROFILE%\Documents\GitHub\eaglep3\Utilities\RefineRTDCRunTimes.py" --tripid 818-10 --locoid 4030 --swversion DE.1.0.8.0 --startMP 300:58643 --initTime 2017-01-10T11:36:42 --startdatetime 2017-01-10T11:38:21 --delay 1 --endMP 204:734 --enddatetime 2017-01-10T11:56:09 --enforcementcount 0 &gt;&gt;C:\Users\stu\Documents\GitHub\eaglep3-reporting\EC\2017-01-10-refined-times.txt</v>
      </c>
      <c r="AI181" s="115" t="str">
        <f t="shared" si="58"/>
        <v>echo {"issue":{"subject":"","project_id":79,"tracker_id":40,"status_id":1,"priority_id":2,"assigned_to_id":23,"start_date":"2017-01-10","description":"","custom_fields":[{"id":1,"name":"Subdivision","value":"NW"},{"id":4,"name":"Milepost","value":"0.0734"},{"id":17,"name":"Train ID","value":"818-10"},{"id":16,"name":"Locomotive ID","value":"4030"},{"id":130,"name":"Impact","value":""},{"id":150,"name":"Time of Event (Mountain Time)","value":"11:56:09"},{"id":151,"name":"Denver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0"/>
      <c r="AK181" s="50"/>
      <c r="AL181" s="50"/>
      <c r="AM181" s="180" t="str">
        <f t="shared" si="59"/>
        <v>start /low /b %USERPROFILE%\Documents\GitHub\eaglep3\Utilities\DownloadLogsFromS3.py --loco 4030 --day 2017-01-10</v>
      </c>
    </row>
    <row r="182" spans="1:91" x14ac:dyDescent="0.25">
      <c r="A182" s="34" t="s">
        <v>556</v>
      </c>
      <c r="B182" s="7">
        <v>4029</v>
      </c>
      <c r="C182" s="22" t="s">
        <v>202</v>
      </c>
      <c r="D182" s="22" t="s">
        <v>768</v>
      </c>
      <c r="E182" s="13">
        <v>42745.512928240743</v>
      </c>
      <c r="F182" s="13">
        <v>42745.514768518522</v>
      </c>
      <c r="G182" s="7">
        <v>1</v>
      </c>
      <c r="H182" s="22" t="s">
        <v>770</v>
      </c>
      <c r="I182" s="13">
        <v>42745.525127314817</v>
      </c>
      <c r="J182" s="7">
        <v>0</v>
      </c>
      <c r="K182" s="105" t="str">
        <f t="shared" si="45"/>
        <v>4029/4030</v>
      </c>
      <c r="L182" s="22" t="str">
        <f>VLOOKUP(A182,'Trips&amp;Operators'!$C$1:$G$99999,5,FALSE)</f>
        <v>BROWN JACOB</v>
      </c>
      <c r="M182" s="6">
        <f t="shared" si="46"/>
        <v>1.0358796294895001E-2</v>
      </c>
      <c r="N182" s="7">
        <f t="shared" si="61"/>
        <v>14.916666664648801</v>
      </c>
      <c r="O182" s="7"/>
      <c r="P182" s="7"/>
      <c r="Q182" s="23"/>
      <c r="R182" s="23"/>
      <c r="S182" s="32">
        <f t="shared" si="62"/>
        <v>1</v>
      </c>
      <c r="T182" s="47" t="str">
        <f t="shared" si="47"/>
        <v>NorthBound</v>
      </c>
      <c r="U182" s="167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https://search-rtdc-monitor-bjffxe2xuh6vdkpspy63sjmuny.us-east-1.es.amazonaws.com/_plugin/kibana/#/discover/Steve-Slow-Train-Analysis-(2080s-and-2083s)?_g=(refreshInterval:(display:Off,section:0,value:0),time:(from:'2017-01-10 11:18:37-700',mode:absolute,to:'2017-01-10 13:36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82" s="49" t="str">
        <f t="shared" si="49"/>
        <v>N</v>
      </c>
      <c r="X182" s="173">
        <f t="shared" si="60"/>
        <v>1</v>
      </c>
      <c r="Y182" s="64">
        <f t="shared" si="50"/>
        <v>0.1018</v>
      </c>
      <c r="Z182" s="64">
        <f t="shared" si="51"/>
        <v>5.8967000000000001</v>
      </c>
      <c r="AA182" s="64">
        <f t="shared" si="52"/>
        <v>5.7949000000000002</v>
      </c>
      <c r="AB182" s="61" t="e">
        <f>VLOOKUP(A182,Enforcements!$C$7:$K$17,8,0)</f>
        <v>#N/A</v>
      </c>
      <c r="AC182" s="57" t="e">
        <f>VLOOKUP(A182,Enforcements!$C$7:$E$17,3,0)</f>
        <v>#N/A</v>
      </c>
      <c r="AD182" s="58" t="str">
        <f t="shared" si="53"/>
        <v>0819-10</v>
      </c>
      <c r="AE182" s="87" t="str">
        <f t="shared" si="54"/>
        <v>aws s3 cp s3://rtdc.mdm.uploadarchive.raw/RTDC4029/ "%USERPROFILE%\AppData\Local\Temp\OnboardLogs"\RTDC4029\2017-01-10 --exclude "*" --recursive --include "*20170110*" &amp; "%USERPROFILE%\Documents\GitHub\mrs-test-scripts\Headless Mode &amp; Sideloading\WalkAndUnGZ.bat" "%USERPROFILE%\AppData\Local\Temp\OnboardLogs"\RTDC4029\2017-01-10 &amp; aws s3 cp s3://rtdc.mdm.uploadarchive.raw/RTDC4029/ "%USERPROFILE%\AppData\Local\Temp\OnboardLogs"\RTDC4029\2017-01-11 --exclude "*" --recursive --include "*20170111*" &amp; "%USERPROFILE%\Documents\GitHub\mrs-test-scripts\Headless Mode &amp; Sideloading\WalkAndUnGZ.bat" "%USERPROFILE%\AppData\Local\Temp\OnboardLogs"\RTDC4029\2017-01-11</v>
      </c>
      <c r="AF182" s="84" t="str">
        <f t="shared" si="55"/>
        <v>"C:\Program Files (x86)\AstroGrep\AstroGrep.exe" /spath="%USERPROFILE%\AppData\Local\Temp\OnboardLogs" /stypes="app*4029*20170110*" /stext=" 19:.+((SYSTEM_STATE.+slice.+state.+changed )|(ment ac)|(multiple cpu faults)|(system.+state.+changed )|(\[timeout)|(PRM\|1\|D)|(kpr)|(kdp)|(\|lc)|(penalty))" /e /r /s</v>
      </c>
      <c r="AG182" s="1" t="str">
        <f t="shared" si="56"/>
        <v>NW</v>
      </c>
      <c r="AH182" s="88" t="str">
        <f t="shared" si="57"/>
        <v>"%USERPROFILE%\Documents\GitHub\eaglep3\Utilities\RefineRTDCRunTimes.py" --tripid 819-10 --locoid 4029 --swversion DE.1.0.8.0 --startMP 204:1018 --initTime 2017-01-10T12:18:37 --startdatetime 2017-01-10T12:21:16 --delay 1 --endMP 300:58967 --enddatetime 2017-01-10T12:36:11 --enforcementcount 0 &gt;&gt;C:\Users\stu\Documents\GitHub\eaglep3-reporting\EC\2017-01-10-refined-times.txt</v>
      </c>
      <c r="AI182" s="115" t="str">
        <f t="shared" si="58"/>
        <v>echo {"issue":{"subject":"","project_id":79,"tracker_id":40,"status_id":1,"priority_id":2,"assigned_to_id":23,"start_date":"2017-01-10","description":"","custom_fields":[{"id":1,"name":"Subdivision","value":"NW"},{"id":4,"name":"Milepost","value":"5.8967"},{"id":17,"name":"Train ID","value":"819-10"},{"id":16,"name":"Locomotive ID","value":"4029"},{"id":130,"name":"Impact","value":""},{"id":150,"name":"Time of Event (Mountain Time)","value":"12:36:11"},{"id":151,"name":"Denver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0"/>
      <c r="AK182" s="50"/>
      <c r="AL182" s="50"/>
      <c r="AM182" s="180" t="str">
        <f t="shared" si="59"/>
        <v>start /low /b %USERPROFILE%\Documents\GitHub\eaglep3\Utilities\DownloadLogsFromS3.py --loco 4029 --day 2017-01-10</v>
      </c>
    </row>
    <row r="183" spans="1:91" x14ac:dyDescent="0.25">
      <c r="A183" s="34" t="s">
        <v>561</v>
      </c>
      <c r="B183" s="7">
        <v>4030</v>
      </c>
      <c r="C183" s="22" t="s">
        <v>202</v>
      </c>
      <c r="D183" s="22" t="s">
        <v>771</v>
      </c>
      <c r="E183" s="13">
        <v>42745.525937500002</v>
      </c>
      <c r="F183" s="13">
        <v>42745.527349537035</v>
      </c>
      <c r="G183" s="7">
        <v>1</v>
      </c>
      <c r="H183" s="22" t="s">
        <v>772</v>
      </c>
      <c r="I183" s="13">
        <v>42745.538564814815</v>
      </c>
      <c r="J183" s="7">
        <v>0</v>
      </c>
      <c r="K183" s="105" t="str">
        <f t="shared" si="45"/>
        <v>4029/4030</v>
      </c>
      <c r="L183" s="22" t="str">
        <f>VLOOKUP(A183,'Trips&amp;Operators'!$C$1:$G$99999,5,FALSE)</f>
        <v>BROWN JACOB</v>
      </c>
      <c r="M183" s="6">
        <f t="shared" si="46"/>
        <v>1.1215277780138422E-2</v>
      </c>
      <c r="N183" s="7">
        <f t="shared" si="61"/>
        <v>16.150000003399327</v>
      </c>
      <c r="O183" s="7"/>
      <c r="P183" s="7"/>
      <c r="Q183" s="23"/>
      <c r="R183" s="23"/>
      <c r="S183" s="32">
        <f t="shared" si="62"/>
        <v>1</v>
      </c>
      <c r="T183" s="47" t="str">
        <f t="shared" si="47"/>
        <v>Southbound</v>
      </c>
      <c r="U183" s="167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https://search-rtdc-monitor-bjffxe2xuh6vdkpspy63sjmuny.us-east-1.es.amazonaws.com/_plugin/kibana/#/discover/Steve-Slow-Train-Analysis-(2080s-and-2083s)?_g=(refreshInterval:(display:Off,section:0,value:0),time:(from:'2017-01-10 11:37:21-700',mode:absolute,to:'2017-01-10 13:55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83" s="49" t="str">
        <f t="shared" si="49"/>
        <v>N</v>
      </c>
      <c r="X183" s="173">
        <f t="shared" si="60"/>
        <v>1</v>
      </c>
      <c r="Y183" s="64">
        <f t="shared" si="50"/>
        <v>5.8651</v>
      </c>
      <c r="Z183" s="64">
        <f t="shared" si="51"/>
        <v>7.3099999999999998E-2</v>
      </c>
      <c r="AA183" s="64">
        <f t="shared" si="52"/>
        <v>5.7919999999999998</v>
      </c>
      <c r="AB183" s="61" t="e">
        <f>VLOOKUP(A183,Enforcements!$C$7:$K$17,8,0)</f>
        <v>#N/A</v>
      </c>
      <c r="AC183" s="57" t="e">
        <f>VLOOKUP(A183,Enforcements!$C$7:$E$17,3,0)</f>
        <v>#N/A</v>
      </c>
      <c r="AD183" s="58" t="str">
        <f t="shared" si="53"/>
        <v>0820-10</v>
      </c>
      <c r="AE183" s="87" t="str">
        <f t="shared" si="54"/>
        <v>aws s3 cp s3://rtdc.mdm.uploadarchive.raw/RTDC4030/ "%USERPROFILE%\AppData\Local\Temp\OnboardLogs"\RTDC4030\2017-01-10 --exclude "*" --recursive --include "*20170110*" &amp; "%USERPROFILE%\Documents\GitHub\mrs-test-scripts\Headless Mode &amp; Sideloading\WalkAndUnGZ.bat" "%USERPROFILE%\AppData\Local\Temp\OnboardLogs"\RTDC4030\2017-01-10 &amp; aws s3 cp s3://rtdc.mdm.uploadarchive.raw/RTDC4030/ "%USERPROFILE%\AppData\Local\Temp\OnboardLogs"\RTDC4030\2017-01-11 --exclude "*" --recursive --include "*20170111*" &amp; "%USERPROFILE%\Documents\GitHub\mrs-test-scripts\Headless Mode &amp; Sideloading\WalkAndUnGZ.bat" "%USERPROFILE%\AppData\Local\Temp\OnboardLogs"\RTDC4030\2017-01-11</v>
      </c>
      <c r="AF183" s="84" t="str">
        <f t="shared" si="55"/>
        <v>"C:\Program Files (x86)\AstroGrep\AstroGrep.exe" /spath="%USERPROFILE%\AppData\Local\Temp\OnboardLogs" /stypes="app*4030*20170110*" /stext=" 19:.+((SYSTEM_STATE.+slice.+state.+changed )|(ment ac)|(multiple cpu faults)|(system.+state.+changed )|(\[timeout)|(PRM\|1\|D)|(kpr)|(kdp)|(\|lc)|(penalty))" /e /r /s</v>
      </c>
      <c r="AG183" s="1" t="str">
        <f t="shared" si="56"/>
        <v>NW</v>
      </c>
      <c r="AH183" s="88" t="str">
        <f t="shared" si="57"/>
        <v>"%USERPROFILE%\Documents\GitHub\eaglep3\Utilities\RefineRTDCRunTimes.py" --tripid 820-10 --locoid 4030 --swversion DE.1.0.8.0 --startMP 300:58651 --initTime 2017-01-10T12:37:21 --startdatetime 2017-01-10T12:39:23 --delay 1 --endMP 204:731 --enddatetime 2017-01-10T12:55:32 --enforcementcount 0 &gt;&gt;C:\Users\stu\Documents\GitHub\eaglep3-reporting\EC\2017-01-10-refined-times.txt</v>
      </c>
      <c r="AI183" s="115" t="str">
        <f t="shared" si="58"/>
        <v>echo {"issue":{"subject":"","project_id":79,"tracker_id":40,"status_id":1,"priority_id":2,"assigned_to_id":23,"start_date":"2017-01-10","description":"","custom_fields":[{"id":1,"name":"Subdivision","value":"NW"},{"id":4,"name":"Milepost","value":"0.0731"},{"id":17,"name":"Train ID","value":"820-10"},{"id":16,"name":"Locomotive ID","value":"4030"},{"id":130,"name":"Impact","value":""},{"id":150,"name":"Time of Event (Mountain Time)","value":"12:55:32"},{"id":151,"name":"Denver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0"/>
      <c r="AK183" s="50"/>
      <c r="AL183" s="50"/>
      <c r="AM183" s="180" t="str">
        <f t="shared" si="59"/>
        <v>start /low /b %USERPROFILE%\Documents\GitHub\eaglep3\Utilities\DownloadLogsFromS3.py --loco 4030 --day 2017-01-10</v>
      </c>
    </row>
    <row r="184" spans="1:91" x14ac:dyDescent="0.25">
      <c r="A184" s="34" t="s">
        <v>565</v>
      </c>
      <c r="B184" s="7">
        <v>4029</v>
      </c>
      <c r="C184" s="22" t="s">
        <v>202</v>
      </c>
      <c r="D184" s="22" t="s">
        <v>756</v>
      </c>
      <c r="E184" s="13">
        <v>42745.546354166669</v>
      </c>
      <c r="F184" s="13">
        <v>42745.55574074074</v>
      </c>
      <c r="G184" s="7">
        <v>1</v>
      </c>
      <c r="H184" s="22" t="s">
        <v>324</v>
      </c>
      <c r="I184" s="13">
        <v>42745.565254629626</v>
      </c>
      <c r="J184" s="7">
        <v>0</v>
      </c>
      <c r="K184" s="105" t="str">
        <f t="shared" si="45"/>
        <v>4029/4030</v>
      </c>
      <c r="L184" s="22" t="str">
        <f>VLOOKUP(A184,'Trips&amp;Operators'!$C$1:$G$99999,5,FALSE)</f>
        <v>LEVIN SCOTT</v>
      </c>
      <c r="M184" s="6">
        <f t="shared" si="46"/>
        <v>9.5138888864312321E-3</v>
      </c>
      <c r="N184" s="7">
        <f t="shared" si="61"/>
        <v>13.699999996460974</v>
      </c>
      <c r="O184" s="7"/>
      <c r="P184" s="7"/>
      <c r="Q184" s="23"/>
      <c r="R184" s="23"/>
      <c r="S184" s="32">
        <f t="shared" si="62"/>
        <v>1</v>
      </c>
      <c r="T184" s="47" t="str">
        <f t="shared" si="47"/>
        <v>NorthBound</v>
      </c>
      <c r="U184" s="167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https://search-rtdc-monitor-bjffxe2xuh6vdkpspy63sjmuny.us-east-1.es.amazonaws.com/_plugin/kibana/#/discover/Steve-Slow-Train-Analysis-(2080s-and-2083s)?_g=(refreshInterval:(display:Off,section:0,value:0),time:(from:'2017-01-10 12:06:45-700',mode:absolute,to:'2017-01-10 14:33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84" s="49" t="str">
        <f t="shared" si="49"/>
        <v>N</v>
      </c>
      <c r="X184" s="173">
        <f t="shared" si="60"/>
        <v>1</v>
      </c>
      <c r="Y184" s="64">
        <f t="shared" si="50"/>
        <v>0.1016</v>
      </c>
      <c r="Z184" s="64">
        <f t="shared" si="51"/>
        <v>5.8935000000000004</v>
      </c>
      <c r="AA184" s="64">
        <f t="shared" si="52"/>
        <v>5.7919</v>
      </c>
      <c r="AB184" s="61" t="e">
        <f>VLOOKUP(A184,Enforcements!$C$7:$K$17,8,0)</f>
        <v>#N/A</v>
      </c>
      <c r="AC184" s="57" t="e">
        <f>VLOOKUP(A184,Enforcements!$C$7:$E$17,3,0)</f>
        <v>#N/A</v>
      </c>
      <c r="AD184" s="58" t="str">
        <f t="shared" si="53"/>
        <v>0821-10</v>
      </c>
      <c r="AE184" s="87" t="str">
        <f t="shared" si="54"/>
        <v>aws s3 cp s3://rtdc.mdm.uploadarchive.raw/RTDC4029/ "%USERPROFILE%\AppData\Local\Temp\OnboardLogs"\RTDC4029\2017-01-10 --exclude "*" --recursive --include "*20170110*" &amp; "%USERPROFILE%\Documents\GitHub\mrs-test-scripts\Headless Mode &amp; Sideloading\WalkAndUnGZ.bat" "%USERPROFILE%\AppData\Local\Temp\OnboardLogs"\RTDC4029\2017-01-10 &amp; aws s3 cp s3://rtdc.mdm.uploadarchive.raw/RTDC4029/ "%USERPROFILE%\AppData\Local\Temp\OnboardLogs"\RTDC4029\2017-01-11 --exclude "*" --recursive --include "*20170111*" &amp; "%USERPROFILE%\Documents\GitHub\mrs-test-scripts\Headless Mode &amp; Sideloading\WalkAndUnGZ.bat" "%USERPROFILE%\AppData\Local\Temp\OnboardLogs"\RTDC4029\2017-01-11</v>
      </c>
      <c r="AF184" s="84" t="str">
        <f t="shared" si="55"/>
        <v>"C:\Program Files (x86)\AstroGrep\AstroGrep.exe" /spath="%USERPROFILE%\AppData\Local\Temp\OnboardLogs" /stypes="app*4029*20170110*" /stext=" 20:.+((SYSTEM_STATE.+slice.+state.+changed )|(ment ac)|(multiple cpu faults)|(system.+state.+changed )|(\[timeout)|(PRM\|1\|D)|(kpr)|(kdp)|(\|lc)|(penalty))" /e /r /s</v>
      </c>
      <c r="AG184" s="1" t="str">
        <f t="shared" si="56"/>
        <v>NW</v>
      </c>
      <c r="AH184" s="88" t="str">
        <f t="shared" si="57"/>
        <v>"%USERPROFILE%\Documents\GitHub\eaglep3\Utilities\RefineRTDCRunTimes.py" --tripid 821-10 --locoid 4029 --swversion DE.1.0.8.0 --startMP 204:1016 --initTime 2017-01-10T13:06:45 --startdatetime 2017-01-10T13:20:16 --delay 1 --endMP 300:58935 --enddatetime 2017-01-10T13:33:58 --enforcementcount 0 &gt;&gt;C:\Users\stu\Documents\GitHub\eaglep3-reporting\EC\2017-01-10-refined-times.txt</v>
      </c>
      <c r="AI184" s="115" t="str">
        <f t="shared" si="58"/>
        <v>echo {"issue":{"subject":"","project_id":79,"tracker_id":40,"status_id":1,"priority_id":2,"assigned_to_id":23,"start_date":"2017-01-10","description":"","custom_fields":[{"id":1,"name":"Subdivision","value":"NW"},{"id":4,"name":"Milepost","value":"5.8935"},{"id":17,"name":"Train ID","value":"821-10"},{"id":16,"name":"Locomotive ID","value":"4029"},{"id":130,"name":"Impact","value":""},{"id":150,"name":"Time of Event (Mountain Time)","value":"13:33:58"},{"id":151,"name":"Denver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0"/>
      <c r="AK184" s="50"/>
      <c r="AL184" s="50"/>
      <c r="AM184" s="180" t="str">
        <f t="shared" si="59"/>
        <v>start /low /b %USERPROFILE%\Documents\GitHub\eaglep3\Utilities\DownloadLogsFromS3.py --loco 4029 --day 2017-01-10</v>
      </c>
    </row>
    <row r="185" spans="1:91" s="21" customFormat="1" x14ac:dyDescent="0.25">
      <c r="A185" s="34" t="s">
        <v>570</v>
      </c>
      <c r="B185" s="7">
        <v>4030</v>
      </c>
      <c r="C185" s="22" t="s">
        <v>202</v>
      </c>
      <c r="D185" s="22" t="s">
        <v>325</v>
      </c>
      <c r="E185" s="13">
        <v>42745.566759259258</v>
      </c>
      <c r="F185" s="13">
        <v>42745.56821759259</v>
      </c>
      <c r="G185" s="7">
        <v>1</v>
      </c>
      <c r="H185" s="22" t="s">
        <v>773</v>
      </c>
      <c r="I185" s="13">
        <v>42745.580034722225</v>
      </c>
      <c r="J185" s="7">
        <v>0</v>
      </c>
      <c r="K185" s="105" t="str">
        <f t="shared" si="45"/>
        <v>4029/4030</v>
      </c>
      <c r="L185" s="22" t="str">
        <f>VLOOKUP(A185,'Trips&amp;Operators'!$C$1:$G$99999,5,FALSE)</f>
        <v>LEVIN SCOTT</v>
      </c>
      <c r="M185" s="6">
        <f t="shared" si="46"/>
        <v>1.1817129634437151E-2</v>
      </c>
      <c r="N185" s="7">
        <f t="shared" si="61"/>
        <v>17.016666673589498</v>
      </c>
      <c r="O185" s="7"/>
      <c r="P185" s="7"/>
      <c r="Q185" s="23"/>
      <c r="R185" s="23"/>
      <c r="S185" s="32">
        <f t="shared" si="62"/>
        <v>1</v>
      </c>
      <c r="T185" s="47" t="str">
        <f t="shared" si="47"/>
        <v>Southbound</v>
      </c>
      <c r="U185" s="167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https://search-rtdc-monitor-bjffxe2xuh6vdkpspy63sjmuny.us-east-1.es.amazonaws.com/_plugin/kibana/#/discover/Steve-Slow-Train-Analysis-(2080s-and-2083s)?_g=(refreshInterval:(display:Off,section:0,value:0),time:(from:'2017-01-10 12:36:08-700',mode:absolute,to:'2017-01-10 14:55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85" s="49" t="str">
        <f t="shared" si="49"/>
        <v>N</v>
      </c>
      <c r="X185" s="173">
        <f t="shared" si="60"/>
        <v>1</v>
      </c>
      <c r="Y185" s="64">
        <f t="shared" si="50"/>
        <v>5.8623000000000003</v>
      </c>
      <c r="Z185" s="64">
        <f t="shared" si="51"/>
        <v>6.54E-2</v>
      </c>
      <c r="AA185" s="64">
        <f t="shared" si="52"/>
        <v>5.7968999999999999</v>
      </c>
      <c r="AB185" s="61" t="e">
        <f>VLOOKUP(A185,Enforcements!$C$7:$K$17,8,0)</f>
        <v>#N/A</v>
      </c>
      <c r="AC185" s="57" t="e">
        <f>VLOOKUP(A185,Enforcements!$C$7:$E$17,3,0)</f>
        <v>#N/A</v>
      </c>
      <c r="AD185" s="58" t="str">
        <f t="shared" si="53"/>
        <v>0822-10</v>
      </c>
      <c r="AE185" s="87" t="str">
        <f t="shared" si="54"/>
        <v>aws s3 cp s3://rtdc.mdm.uploadarchive.raw/RTDC4030/ "%USERPROFILE%\AppData\Local\Temp\OnboardLogs"\RTDC4030\2017-01-10 --exclude "*" --recursive --include "*20170110*" &amp; "%USERPROFILE%\Documents\GitHub\mrs-test-scripts\Headless Mode &amp; Sideloading\WalkAndUnGZ.bat" "%USERPROFILE%\AppData\Local\Temp\OnboardLogs"\RTDC4030\2017-01-10 &amp; aws s3 cp s3://rtdc.mdm.uploadarchive.raw/RTDC4030/ "%USERPROFILE%\AppData\Local\Temp\OnboardLogs"\RTDC4030\2017-01-11 --exclude "*" --recursive --include "*20170111*" &amp; "%USERPROFILE%\Documents\GitHub\mrs-test-scripts\Headless Mode &amp; Sideloading\WalkAndUnGZ.bat" "%USERPROFILE%\AppData\Local\Temp\OnboardLogs"\RTDC4030\2017-01-11</v>
      </c>
      <c r="AF185" s="84" t="str">
        <f t="shared" si="55"/>
        <v>"C:\Program Files (x86)\AstroGrep\AstroGrep.exe" /spath="%USERPROFILE%\AppData\Local\Temp\OnboardLogs" /stypes="app*4030*20170110*" /stext=" 20:.+((SYSTEM_STATE.+slice.+state.+changed )|(ment ac)|(multiple cpu faults)|(system.+state.+changed )|(\[timeout)|(PRM\|1\|D)|(kpr)|(kdp)|(\|lc)|(penalty))" /e /r /s</v>
      </c>
      <c r="AG185" s="1" t="str">
        <f t="shared" si="56"/>
        <v>NW</v>
      </c>
      <c r="AH185" s="88" t="str">
        <f t="shared" si="57"/>
        <v>"%USERPROFILE%\Documents\GitHub\eaglep3\Utilities\RefineRTDCRunTimes.py" --tripid 822-10 --locoid 4030 --swversion DE.1.0.8.0 --startMP 300:58623 --initTime 2017-01-10T13:36:08 --startdatetime 2017-01-10T13:38:14 --delay 1 --endMP 204:654 --enddatetime 2017-01-10T13:55:15 --enforcementcount 0 &gt;&gt;C:\Users\stu\Documents\GitHub\eaglep3-reporting\EC\2017-01-10-refined-times.txt</v>
      </c>
      <c r="AI185" s="115" t="str">
        <f t="shared" si="58"/>
        <v>echo {"issue":{"subject":"","project_id":79,"tracker_id":40,"status_id":1,"priority_id":2,"assigned_to_id":23,"start_date":"2017-01-10","description":"","custom_fields":[{"id":1,"name":"Subdivision","value":"NW"},{"id":4,"name":"Milepost","value":"0.0654"},{"id":17,"name":"Train ID","value":"822-10"},{"id":16,"name":"Locomotive ID","value":"4030"},{"id":130,"name":"Impact","value":""},{"id":150,"name":"Time of Event (Mountain Time)","value":"13:55:15"},{"id":151,"name":"Denver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0"/>
      <c r="AK185" s="50"/>
      <c r="AL185" s="50"/>
      <c r="AM185" s="180" t="str">
        <f t="shared" si="59"/>
        <v>start /low /b %USERPROFILE%\Documents\GitHub\eaglep3\Utilities\DownloadLogsFromS3.py --loco 4030 --day 2017-01-10</v>
      </c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4" t="s">
        <v>577</v>
      </c>
      <c r="B186" s="7">
        <v>4029</v>
      </c>
      <c r="C186" s="22" t="s">
        <v>202</v>
      </c>
      <c r="D186" s="22" t="s">
        <v>774</v>
      </c>
      <c r="E186" s="13">
        <v>42745.594247685185</v>
      </c>
      <c r="F186" s="13">
        <v>42745.598090277781</v>
      </c>
      <c r="G186" s="7">
        <v>2</v>
      </c>
      <c r="H186" s="22" t="s">
        <v>274</v>
      </c>
      <c r="I186" s="13">
        <v>42745.607997685183</v>
      </c>
      <c r="J186" s="7">
        <v>0</v>
      </c>
      <c r="K186" s="105" t="str">
        <f t="shared" si="45"/>
        <v>4029/4030</v>
      </c>
      <c r="L186" s="22" t="str">
        <f>VLOOKUP(A186,'Trips&amp;Operators'!$C$1:$G$99999,5,FALSE)</f>
        <v>LEVIN SCOTT</v>
      </c>
      <c r="M186" s="6">
        <f t="shared" si="46"/>
        <v>9.9074074023519643E-3</v>
      </c>
      <c r="N186" s="7">
        <f t="shared" ref="N186:N217" si="63">24*60*SUM($M186:$M186)</f>
        <v>14.266666659386829</v>
      </c>
      <c r="O186" s="7"/>
      <c r="P186" s="7"/>
      <c r="Q186" s="23"/>
      <c r="R186" s="23"/>
      <c r="S186" s="32">
        <f t="shared" ref="S186:S217" si="64">SUM(U186:U186)/IF(AG186="EC",12,1)</f>
        <v>1</v>
      </c>
      <c r="T186" s="47" t="str">
        <f t="shared" si="47"/>
        <v>NorthBound</v>
      </c>
      <c r="U186" s="167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https://search-rtdc-monitor-bjffxe2xuh6vdkpspy63sjmuny.us-east-1.es.amazonaws.com/_plugin/kibana/#/discover/Steve-Slow-Train-Analysis-(2080s-and-2083s)?_g=(refreshInterval:(display:Off,section:0,value:0),time:(from:'2017-01-10 13:15:43-700',mode:absolute,to:'2017-01-10 15:35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86" s="49" t="str">
        <f t="shared" si="49"/>
        <v>N</v>
      </c>
      <c r="X186" s="173">
        <f t="shared" si="60"/>
        <v>1</v>
      </c>
      <c r="Y186" s="64">
        <f t="shared" si="50"/>
        <v>9.5500000000000002E-2</v>
      </c>
      <c r="Z186" s="64">
        <f t="shared" si="51"/>
        <v>5.8930999999999996</v>
      </c>
      <c r="AA186" s="64">
        <f t="shared" si="52"/>
        <v>5.7975999999999992</v>
      </c>
      <c r="AB186" s="61" t="e">
        <f>VLOOKUP(A186,Enforcements!$C$7:$K$17,8,0)</f>
        <v>#N/A</v>
      </c>
      <c r="AC186" s="57" t="e">
        <f>VLOOKUP(A186,Enforcements!$C$7:$E$17,3,0)</f>
        <v>#N/A</v>
      </c>
      <c r="AD186" s="58" t="str">
        <f t="shared" si="53"/>
        <v>0823-10</v>
      </c>
      <c r="AE186" s="87" t="str">
        <f t="shared" si="54"/>
        <v>aws s3 cp s3://rtdc.mdm.uploadarchive.raw/RTDC4029/ "%USERPROFILE%\AppData\Local\Temp\OnboardLogs"\RTDC4029\2017-01-10 --exclude "*" --recursive --include "*20170110*" &amp; "%USERPROFILE%\Documents\GitHub\mrs-test-scripts\Headless Mode &amp; Sideloading\WalkAndUnGZ.bat" "%USERPROFILE%\AppData\Local\Temp\OnboardLogs"\RTDC4029\2017-01-10 &amp; aws s3 cp s3://rtdc.mdm.uploadarchive.raw/RTDC4029/ "%USERPROFILE%\AppData\Local\Temp\OnboardLogs"\RTDC4029\2017-01-11 --exclude "*" --recursive --include "*20170111*" &amp; "%USERPROFILE%\Documents\GitHub\mrs-test-scripts\Headless Mode &amp; Sideloading\WalkAndUnGZ.bat" "%USERPROFILE%\AppData\Local\Temp\OnboardLogs"\RTDC4029\2017-01-11</v>
      </c>
      <c r="AF186" s="84" t="str">
        <f t="shared" si="55"/>
        <v>"C:\Program Files (x86)\AstroGrep\AstroGrep.exe" /spath="%USERPROFILE%\AppData\Local\Temp\OnboardLogs" /stypes="app*4029*20170110*" /stext=" 21:.+((SYSTEM_STATE.+slice.+state.+changed )|(ment ac)|(multiple cpu faults)|(system.+state.+changed )|(\[timeout)|(PRM\|1\|D)|(kpr)|(kdp)|(\|lc)|(penalty))" /e /r /s</v>
      </c>
      <c r="AG186" s="1" t="str">
        <f t="shared" si="56"/>
        <v>NW</v>
      </c>
      <c r="AH186" s="88" t="str">
        <f t="shared" si="57"/>
        <v>"%USERPROFILE%\Documents\GitHub\eaglep3\Utilities\RefineRTDCRunTimes.py" --tripid 823-10 --locoid 4029 --swversion DE.1.0.8.0 --startMP 204:955 --initTime 2017-01-10T14:15:43 --startdatetime 2017-01-10T14:21:15 --delay 2 --endMP 300:58931 --enddatetime 2017-01-10T14:35:31 --enforcementcount 0 &gt;&gt;C:\Users\stu\Documents\GitHub\eaglep3-reporting\EC\2017-01-10-refined-times.txt</v>
      </c>
      <c r="AI186" s="115" t="str">
        <f t="shared" si="58"/>
        <v>echo {"issue":{"subject":"","project_id":79,"tracker_id":40,"status_id":1,"priority_id":2,"assigned_to_id":23,"start_date":"2017-01-10","description":"","custom_fields":[{"id":1,"name":"Subdivision","value":"NW"},{"id":4,"name":"Milepost","value":"5.8931"},{"id":17,"name":"Train ID","value":"823-10"},{"id":16,"name":"Locomotive ID","value":"4029"},{"id":130,"name":"Impact","value":""},{"id":150,"name":"Time of Event (Mountain Time)","value":"14:35:31"},{"id":151,"name":"Denver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0"/>
      <c r="AK186" s="50"/>
      <c r="AL186" s="50"/>
      <c r="AM186" s="180" t="str">
        <f t="shared" si="59"/>
        <v>start /low /b %USERPROFILE%\Documents\GitHub\eaglep3\Utilities\DownloadLogsFromS3.py --loco 4029 --day 2017-01-10</v>
      </c>
    </row>
    <row r="187" spans="1:91" s="21" customFormat="1" x14ac:dyDescent="0.25">
      <c r="A187" s="34" t="s">
        <v>581</v>
      </c>
      <c r="B187" s="7">
        <v>4030</v>
      </c>
      <c r="C187" s="22" t="s">
        <v>202</v>
      </c>
      <c r="D187" s="22" t="s">
        <v>351</v>
      </c>
      <c r="E187" s="13">
        <v>42745.609178240738</v>
      </c>
      <c r="F187" s="13">
        <v>42745.610520833332</v>
      </c>
      <c r="G187" s="7">
        <v>1</v>
      </c>
      <c r="H187" s="22" t="s">
        <v>413</v>
      </c>
      <c r="I187" s="13">
        <v>42745.621944444443</v>
      </c>
      <c r="J187" s="7">
        <v>0</v>
      </c>
      <c r="K187" s="105" t="str">
        <f t="shared" si="45"/>
        <v>4029/4030</v>
      </c>
      <c r="L187" s="22" t="str">
        <f>VLOOKUP(A187,'Trips&amp;Operators'!$C$1:$G$99999,5,FALSE)</f>
        <v>LEVIN SCOTT</v>
      </c>
      <c r="M187" s="6">
        <f t="shared" si="46"/>
        <v>1.1423611111240461E-2</v>
      </c>
      <c r="N187" s="7">
        <f t="shared" si="63"/>
        <v>16.450000000186265</v>
      </c>
      <c r="O187" s="7"/>
      <c r="P187" s="7"/>
      <c r="Q187" s="23"/>
      <c r="R187" s="23"/>
      <c r="S187" s="32">
        <f t="shared" si="64"/>
        <v>1</v>
      </c>
      <c r="T187" s="47" t="str">
        <f t="shared" si="47"/>
        <v>Southbound</v>
      </c>
      <c r="U187" s="167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https://search-rtdc-monitor-bjffxe2xuh6vdkpspy63sjmuny.us-east-1.es.amazonaws.com/_plugin/kibana/#/discover/Steve-Slow-Train-Analysis-(2080s-and-2083s)?_g=(refreshInterval:(display:Off,section:0,value:0),time:(from:'2017-01-10 13:37:13-700',mode:absolute,to:'2017-01-10 15:55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87" s="49" t="str">
        <f t="shared" si="49"/>
        <v>N</v>
      </c>
      <c r="X187" s="173">
        <f t="shared" si="60"/>
        <v>1</v>
      </c>
      <c r="Y187" s="64">
        <f t="shared" si="50"/>
        <v>5.8620999999999999</v>
      </c>
      <c r="Z187" s="64">
        <f t="shared" si="51"/>
        <v>6.7000000000000004E-2</v>
      </c>
      <c r="AA187" s="64">
        <f t="shared" si="52"/>
        <v>5.7950999999999997</v>
      </c>
      <c r="AB187" s="61" t="e">
        <f>VLOOKUP(A187,Enforcements!$C$7:$K$17,8,0)</f>
        <v>#N/A</v>
      </c>
      <c r="AC187" s="57" t="e">
        <f>VLOOKUP(A187,Enforcements!$C$7:$E$17,3,0)</f>
        <v>#N/A</v>
      </c>
      <c r="AD187" s="58" t="str">
        <f t="shared" si="53"/>
        <v>0824-10</v>
      </c>
      <c r="AE187" s="87" t="str">
        <f t="shared" si="54"/>
        <v>aws s3 cp s3://rtdc.mdm.uploadarchive.raw/RTDC4030/ "%USERPROFILE%\AppData\Local\Temp\OnboardLogs"\RTDC4030\2017-01-10 --exclude "*" --recursive --include "*20170110*" &amp; "%USERPROFILE%\Documents\GitHub\mrs-test-scripts\Headless Mode &amp; Sideloading\WalkAndUnGZ.bat" "%USERPROFILE%\AppData\Local\Temp\OnboardLogs"\RTDC4030\2017-01-10 &amp; aws s3 cp s3://rtdc.mdm.uploadarchive.raw/RTDC4030/ "%USERPROFILE%\AppData\Local\Temp\OnboardLogs"\RTDC4030\2017-01-11 --exclude "*" --recursive --include "*20170111*" &amp; "%USERPROFILE%\Documents\GitHub\mrs-test-scripts\Headless Mode &amp; Sideloading\WalkAndUnGZ.bat" "%USERPROFILE%\AppData\Local\Temp\OnboardLogs"\RTDC4030\2017-01-11</v>
      </c>
      <c r="AF187" s="84" t="str">
        <f t="shared" si="55"/>
        <v>"C:\Program Files (x86)\AstroGrep\AstroGrep.exe" /spath="%USERPROFILE%\AppData\Local\Temp\OnboardLogs" /stypes="app*4030*20170110*" /stext=" 21:.+((SYSTEM_STATE.+slice.+state.+changed )|(ment ac)|(multiple cpu faults)|(system.+state.+changed )|(\[timeout)|(PRM\|1\|D)|(kpr)|(kdp)|(\|lc)|(penalty))" /e /r /s</v>
      </c>
      <c r="AG187" s="1" t="str">
        <f t="shared" si="56"/>
        <v>NW</v>
      </c>
      <c r="AH187" s="88" t="str">
        <f t="shared" si="57"/>
        <v>"%USERPROFILE%\Documents\GitHub\eaglep3\Utilities\RefineRTDCRunTimes.py" --tripid 824-10 --locoid 4030 --swversion DE.1.0.8.0 --startMP 300:58621 --initTime 2017-01-10T14:37:13 --startdatetime 2017-01-10T14:39:09 --delay 1 --endMP 204:670 --enddatetime 2017-01-10T14:55:36 --enforcementcount 0 &gt;&gt;C:\Users\stu\Documents\GitHub\eaglep3-reporting\EC\2017-01-10-refined-times.txt</v>
      </c>
      <c r="AI187" s="115" t="str">
        <f t="shared" si="58"/>
        <v>echo {"issue":{"subject":"","project_id":79,"tracker_id":40,"status_id":1,"priority_id":2,"assigned_to_id":23,"start_date":"2017-01-10","description":"","custom_fields":[{"id":1,"name":"Subdivision","value":"NW"},{"id":4,"name":"Milepost","value":"0.067"},{"id":17,"name":"Train ID","value":"824-10"},{"id":16,"name":"Locomotive ID","value":"4030"},{"id":130,"name":"Impact","value":""},{"id":150,"name":"Time of Event (Mountain Time)","value":"14:55:36"},{"id":151,"name":"Denver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0"/>
      <c r="AK187" s="50"/>
      <c r="AL187" s="50"/>
      <c r="AM187" s="180" t="str">
        <f t="shared" si="59"/>
        <v>start /low /b %USERPROFILE%\Documents\GitHub\eaglep3\Utilities\DownloadLogsFromS3.py --loco 4030 --day 2017-01-10</v>
      </c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x14ac:dyDescent="0.25">
      <c r="A188" s="34" t="s">
        <v>585</v>
      </c>
      <c r="B188" s="7">
        <v>4029</v>
      </c>
      <c r="C188" s="22" t="s">
        <v>202</v>
      </c>
      <c r="D188" s="22" t="s">
        <v>775</v>
      </c>
      <c r="E188" s="13">
        <v>42745.636203703703</v>
      </c>
      <c r="F188" s="13">
        <v>42745.639768518522</v>
      </c>
      <c r="G188" s="7">
        <v>1</v>
      </c>
      <c r="H188" s="22" t="s">
        <v>414</v>
      </c>
      <c r="I188" s="13">
        <v>42745.649895833332</v>
      </c>
      <c r="J188" s="7">
        <v>0</v>
      </c>
      <c r="K188" s="105" t="str">
        <f t="shared" si="45"/>
        <v>4029/4030</v>
      </c>
      <c r="L188" s="22" t="str">
        <f>VLOOKUP(A188,'Trips&amp;Operators'!$C$1:$G$99999,5,FALSE)</f>
        <v>LEVIN SCOTT</v>
      </c>
      <c r="M188" s="6">
        <f t="shared" si="46"/>
        <v>1.0127314810233656E-2</v>
      </c>
      <c r="N188" s="7">
        <f t="shared" si="63"/>
        <v>14.583333326736465</v>
      </c>
      <c r="O188" s="7"/>
      <c r="P188" s="7"/>
      <c r="Q188" s="23"/>
      <c r="R188" s="23"/>
      <c r="S188" s="32">
        <f t="shared" si="64"/>
        <v>1</v>
      </c>
      <c r="T188" s="47" t="str">
        <f t="shared" si="47"/>
        <v>NorthBound</v>
      </c>
      <c r="U188" s="167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https://search-rtdc-monitor-bjffxe2xuh6vdkpspy63sjmuny.us-east-1.es.amazonaws.com/_plugin/kibana/#/discover/Steve-Slow-Train-Analysis-(2080s-and-2083s)?_g=(refreshInterval:(display:Off,section:0,value:0),time:(from:'2017-01-10 14:16:08-700',mode:absolute,to:'2017-01-10 16:35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88" s="49" t="str">
        <f t="shared" si="49"/>
        <v>N</v>
      </c>
      <c r="X188" s="173">
        <f t="shared" si="60"/>
        <v>1</v>
      </c>
      <c r="Y188" s="64">
        <f t="shared" si="50"/>
        <v>9.6199999999999994E-2</v>
      </c>
      <c r="Z188" s="64">
        <f t="shared" si="51"/>
        <v>5.8928000000000003</v>
      </c>
      <c r="AA188" s="64">
        <f t="shared" si="52"/>
        <v>5.7966000000000006</v>
      </c>
      <c r="AB188" s="61" t="e">
        <f>VLOOKUP(A188,Enforcements!$C$7:$K$17,8,0)</f>
        <v>#N/A</v>
      </c>
      <c r="AC188" s="57" t="e">
        <f>VLOOKUP(A188,Enforcements!$C$7:$E$17,3,0)</f>
        <v>#N/A</v>
      </c>
      <c r="AD188" s="58" t="str">
        <f t="shared" si="53"/>
        <v>0825-10</v>
      </c>
      <c r="AE188" s="87" t="str">
        <f t="shared" si="54"/>
        <v>aws s3 cp s3://rtdc.mdm.uploadarchive.raw/RTDC4029/ "%USERPROFILE%\AppData\Local\Temp\OnboardLogs"\RTDC4029\2017-01-10 --exclude "*" --recursive --include "*20170110*" &amp; "%USERPROFILE%\Documents\GitHub\mrs-test-scripts\Headless Mode &amp; Sideloading\WalkAndUnGZ.bat" "%USERPROFILE%\AppData\Local\Temp\OnboardLogs"\RTDC4029\2017-01-10 &amp; aws s3 cp s3://rtdc.mdm.uploadarchive.raw/RTDC4029/ "%USERPROFILE%\AppData\Local\Temp\OnboardLogs"\RTDC4029\2017-01-11 --exclude "*" --recursive --include "*20170111*" &amp; "%USERPROFILE%\Documents\GitHub\mrs-test-scripts\Headless Mode &amp; Sideloading\WalkAndUnGZ.bat" "%USERPROFILE%\AppData\Local\Temp\OnboardLogs"\RTDC4029\2017-01-11</v>
      </c>
      <c r="AF188" s="84" t="str">
        <f t="shared" si="55"/>
        <v>"C:\Program Files (x86)\AstroGrep\AstroGrep.exe" /spath="%USERPROFILE%\AppData\Local\Temp\OnboardLogs" /stypes="app*4029*20170110*" /stext=" 22:.+((SYSTEM_STATE.+slice.+state.+changed )|(ment ac)|(multiple cpu faults)|(system.+state.+changed )|(\[timeout)|(PRM\|1\|D)|(kpr)|(kdp)|(\|lc)|(penalty))" /e /r /s</v>
      </c>
      <c r="AG188" s="1" t="str">
        <f t="shared" si="56"/>
        <v>NW</v>
      </c>
      <c r="AH188" s="88" t="str">
        <f t="shared" si="57"/>
        <v>"%USERPROFILE%\Documents\GitHub\eaglep3\Utilities\RefineRTDCRunTimes.py" --tripid 825-10 --locoid 4029 --swversion DE.1.0.8.0 --startMP 204:962 --initTime 2017-01-10T15:16:08 --startdatetime 2017-01-10T15:21:16 --delay 1 --endMP 300:58928 --enddatetime 2017-01-10T15:35:51 --enforcementcount 0 &gt;&gt;C:\Users\stu\Documents\GitHub\eaglep3-reporting\EC\2017-01-10-refined-times.txt</v>
      </c>
      <c r="AI188" s="115" t="str">
        <f t="shared" si="58"/>
        <v>echo {"issue":{"subject":"","project_id":79,"tracker_id":40,"status_id":1,"priority_id":2,"assigned_to_id":23,"start_date":"2017-01-10","description":"","custom_fields":[{"id":1,"name":"Subdivision","value":"NW"},{"id":4,"name":"Milepost","value":"5.8928"},{"id":17,"name":"Train ID","value":"825-10"},{"id":16,"name":"Locomotive ID","value":"4029"},{"id":130,"name":"Impact","value":""},{"id":150,"name":"Time of Event (Mountain Time)","value":"15:35:51"},{"id":151,"name":"Denver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0"/>
      <c r="AK188" s="50"/>
      <c r="AL188" s="50"/>
      <c r="AM188" s="180" t="str">
        <f t="shared" si="59"/>
        <v>start /low /b %USERPROFILE%\Documents\GitHub\eaglep3\Utilities\DownloadLogsFromS3.py --loco 4029 --day 2017-01-10</v>
      </c>
    </row>
    <row r="189" spans="1:91" x14ac:dyDescent="0.25">
      <c r="A189" s="34" t="s">
        <v>588</v>
      </c>
      <c r="B189" s="7">
        <v>4030</v>
      </c>
      <c r="C189" s="22" t="s">
        <v>202</v>
      </c>
      <c r="D189" s="22" t="s">
        <v>418</v>
      </c>
      <c r="E189" s="13">
        <v>42745.651018518518</v>
      </c>
      <c r="F189" s="13">
        <v>42745.652106481481</v>
      </c>
      <c r="G189" s="7">
        <v>0</v>
      </c>
      <c r="H189" s="22" t="s">
        <v>776</v>
      </c>
      <c r="I189" s="13">
        <v>42745.663645833331</v>
      </c>
      <c r="J189" s="7">
        <v>0</v>
      </c>
      <c r="K189" s="105" t="str">
        <f t="shared" si="45"/>
        <v>4029/4030</v>
      </c>
      <c r="L189" s="22" t="str">
        <f>VLOOKUP(A189,'Trips&amp;Operators'!$C$1:$G$99999,5,FALSE)</f>
        <v>LEVIN SCOTT</v>
      </c>
      <c r="M189" s="6">
        <f t="shared" si="46"/>
        <v>1.1539351849933155E-2</v>
      </c>
      <c r="N189" s="7">
        <f t="shared" si="63"/>
        <v>16.616666663903743</v>
      </c>
      <c r="O189" s="7"/>
      <c r="P189" s="7"/>
      <c r="Q189" s="23"/>
      <c r="R189" s="23"/>
      <c r="S189" s="32">
        <f t="shared" si="64"/>
        <v>1</v>
      </c>
      <c r="T189" s="47" t="str">
        <f t="shared" si="47"/>
        <v>Southbound</v>
      </c>
      <c r="U189" s="167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https://search-rtdc-monitor-bjffxe2xuh6vdkpspy63sjmuny.us-east-1.es.amazonaws.com/_plugin/kibana/#/discover/Steve-Slow-Train-Analysis-(2080s-and-2083s)?_g=(refreshInterval:(display:Off,section:0,value:0),time:(from:'2017-01-10 14:37:28-700',mode:absolute,to:'2017-01-10 16:55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89" s="49" t="str">
        <f t="shared" si="49"/>
        <v>N</v>
      </c>
      <c r="X189" s="173">
        <f t="shared" si="60"/>
        <v>1</v>
      </c>
      <c r="Y189" s="64">
        <f t="shared" si="50"/>
        <v>5.8615000000000004</v>
      </c>
      <c r="Z189" s="64">
        <f t="shared" si="51"/>
        <v>6.59E-2</v>
      </c>
      <c r="AA189" s="64">
        <f t="shared" si="52"/>
        <v>5.7956000000000003</v>
      </c>
      <c r="AB189" s="61" t="e">
        <f>VLOOKUP(A189,Enforcements!$C$7:$K$17,8,0)</f>
        <v>#N/A</v>
      </c>
      <c r="AC189" s="57" t="e">
        <f>VLOOKUP(A189,Enforcements!$C$7:$E$17,3,0)</f>
        <v>#N/A</v>
      </c>
      <c r="AD189" s="58" t="str">
        <f t="shared" si="53"/>
        <v>0826-10</v>
      </c>
      <c r="AE189" s="87" t="str">
        <f t="shared" si="54"/>
        <v>aws s3 cp s3://rtdc.mdm.uploadarchive.raw/RTDC4030/ "%USERPROFILE%\AppData\Local\Temp\OnboardLogs"\RTDC4030\2017-01-10 --exclude "*" --recursive --include "*20170110*" &amp; "%USERPROFILE%\Documents\GitHub\mrs-test-scripts\Headless Mode &amp; Sideloading\WalkAndUnGZ.bat" "%USERPROFILE%\AppData\Local\Temp\OnboardLogs"\RTDC4030\2017-01-10 &amp; aws s3 cp s3://rtdc.mdm.uploadarchive.raw/RTDC4030/ "%USERPROFILE%\AppData\Local\Temp\OnboardLogs"\RTDC4030\2017-01-11 --exclude "*" --recursive --include "*20170111*" &amp; "%USERPROFILE%\Documents\GitHub\mrs-test-scripts\Headless Mode &amp; Sideloading\WalkAndUnGZ.bat" "%USERPROFILE%\AppData\Local\Temp\OnboardLogs"\RTDC4030\2017-01-11</v>
      </c>
      <c r="AF189" s="84" t="str">
        <f t="shared" si="55"/>
        <v>"C:\Program Files (x86)\AstroGrep\AstroGrep.exe" /spath="%USERPROFILE%\AppData\Local\Temp\OnboardLogs" /stypes="app*4030*20170110*" /stext=" 22:.+((SYSTEM_STATE.+slice.+state.+changed )|(ment ac)|(multiple cpu faults)|(system.+state.+changed )|(\[timeout)|(PRM\|1\|D)|(kpr)|(kdp)|(\|lc)|(penalty))" /e /r /s</v>
      </c>
      <c r="AG189" s="1" t="str">
        <f t="shared" si="56"/>
        <v>NW</v>
      </c>
      <c r="AH189" s="88" t="str">
        <f t="shared" si="57"/>
        <v>"%USERPROFILE%\Documents\GitHub\eaglep3\Utilities\RefineRTDCRunTimes.py" --tripid 826-10 --locoid 4030 --swversion DE.1.0.8.0 --startMP 300:58615 --initTime 2017-01-10T15:37:28 --startdatetime 2017-01-10T15:39:02 --delay 0 --endMP 204:659 --enddatetime 2017-01-10T15:55:39 --enforcementcount 0 &gt;&gt;C:\Users\stu\Documents\GitHub\eaglep3-reporting\EC\2017-01-10-refined-times.txt</v>
      </c>
      <c r="AI189" s="115" t="str">
        <f t="shared" si="58"/>
        <v>echo {"issue":{"subject":"","project_id":79,"tracker_id":40,"status_id":1,"priority_id":2,"assigned_to_id":23,"start_date":"2017-01-10","description":"","custom_fields":[{"id":1,"name":"Subdivision","value":"NW"},{"id":4,"name":"Milepost","value":"0.0659"},{"id":17,"name":"Train ID","value":"826-10"},{"id":16,"name":"Locomotive ID","value":"4030"},{"id":130,"name":"Impact","value":""},{"id":150,"name":"Time of Event (Mountain Time)","value":"15:55:39"},{"id":151,"name":"Denver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0"/>
      <c r="AK189" s="50"/>
      <c r="AL189" s="50"/>
      <c r="AM189" s="180" t="str">
        <f t="shared" si="59"/>
        <v>start /low /b %USERPROFILE%\Documents\GitHub\eaglep3\Utilities\DownloadLogsFromS3.py --loco 4030 --day 2017-01-10</v>
      </c>
    </row>
    <row r="190" spans="1:91" x14ac:dyDescent="0.25">
      <c r="A190" s="34" t="s">
        <v>589</v>
      </c>
      <c r="B190" s="7">
        <v>4002</v>
      </c>
      <c r="C190" s="22" t="s">
        <v>202</v>
      </c>
      <c r="D190" s="22" t="s">
        <v>777</v>
      </c>
      <c r="E190" s="13">
        <v>42745.657060185185</v>
      </c>
      <c r="F190" s="13">
        <v>42745.660567129627</v>
      </c>
      <c r="G190" s="7">
        <v>1</v>
      </c>
      <c r="H190" s="22" t="s">
        <v>778</v>
      </c>
      <c r="I190" s="13">
        <v>42745.670902777776</v>
      </c>
      <c r="J190" s="7">
        <v>0</v>
      </c>
      <c r="K190" s="105" t="str">
        <f t="shared" si="45"/>
        <v>4001/4002</v>
      </c>
      <c r="L190" s="22" t="str">
        <f>VLOOKUP(A190,'Trips&amp;Operators'!$C$1:$G$99999,5,FALSE)</f>
        <v>HILLS DUSTIN</v>
      </c>
      <c r="M190" s="6">
        <f t="shared" si="46"/>
        <v>1.0335648148611654E-2</v>
      </c>
      <c r="N190" s="7">
        <f t="shared" si="63"/>
        <v>14.883333334000781</v>
      </c>
      <c r="O190" s="7"/>
      <c r="P190" s="7"/>
      <c r="Q190" s="23"/>
      <c r="R190" s="23"/>
      <c r="S190" s="32">
        <f t="shared" si="64"/>
        <v>1</v>
      </c>
      <c r="T190" s="47" t="str">
        <f t="shared" si="47"/>
        <v>NorthBound</v>
      </c>
      <c r="U190" s="167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https://search-rtdc-monitor-bjffxe2xuh6vdkpspy63sjmuny.us-east-1.es.amazonaws.com/_plugin/kibana/#/discover/Steve-Slow-Train-Analysis-(2080s-and-2083s)?_g=(refreshInterval:(display:Off,section:0,value:0),time:(from:'2017-01-10 14:46:10-700',mode:absolute,to:'2017-01-10 17:06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90" s="49" t="str">
        <f t="shared" si="49"/>
        <v>N</v>
      </c>
      <c r="X190" s="173">
        <f t="shared" si="60"/>
        <v>1</v>
      </c>
      <c r="Y190" s="64">
        <f t="shared" si="50"/>
        <v>9.2899999999999996E-2</v>
      </c>
      <c r="Z190" s="64">
        <f t="shared" si="51"/>
        <v>5.8992000000000004</v>
      </c>
      <c r="AA190" s="64">
        <f t="shared" si="52"/>
        <v>5.8063000000000002</v>
      </c>
      <c r="AB190" s="61" t="e">
        <f>VLOOKUP(A190,Enforcements!$C$7:$K$17,8,0)</f>
        <v>#N/A</v>
      </c>
      <c r="AC190" s="57" t="e">
        <f>VLOOKUP(A190,Enforcements!$C$7:$E$17,3,0)</f>
        <v>#N/A</v>
      </c>
      <c r="AD190" s="58" t="str">
        <f t="shared" si="53"/>
        <v>0827-10</v>
      </c>
      <c r="AE190" s="87" t="str">
        <f t="shared" si="54"/>
        <v>aws s3 cp s3://rtdc.mdm.uploadarchive.raw/RTDC4002/ "%USERPROFILE%\AppData\Local\Temp\OnboardLogs"\RTDC4002\2017-01-10 --exclude "*" --recursive --include "*20170110*" &amp; "%USERPROFILE%\Documents\GitHub\mrs-test-scripts\Headless Mode &amp; Sideloading\WalkAndUnGZ.bat" "%USERPROFILE%\AppData\Local\Temp\OnboardLogs"\RTDC4002\2017-01-10 &amp; aws s3 cp s3://rtdc.mdm.uploadarchive.raw/RTDC4002/ "%USERPROFILE%\AppData\Local\Temp\OnboardLogs"\RTDC4002\2017-01-11 --exclude "*" --recursive --include "*20170111*" &amp; "%USERPROFILE%\Documents\GitHub\mrs-test-scripts\Headless Mode &amp; Sideloading\WalkAndUnGZ.bat" "%USERPROFILE%\AppData\Local\Temp\OnboardLogs"\RTDC4002\2017-01-11</v>
      </c>
      <c r="AF190" s="84" t="str">
        <f t="shared" si="55"/>
        <v>"C:\Program Files (x86)\AstroGrep\AstroGrep.exe" /spath="%USERPROFILE%\AppData\Local\Temp\OnboardLogs" /stypes="app*4002*20170110*" /stext=" 23:.+((SYSTEM_STATE.+slice.+state.+changed )|(ment ac)|(multiple cpu faults)|(system.+state.+changed )|(\[timeout)|(PRM\|1\|D)|(kpr)|(kdp)|(\|lc)|(penalty))" /e /r /s</v>
      </c>
      <c r="AG190" s="1" t="str">
        <f t="shared" si="56"/>
        <v>NW</v>
      </c>
      <c r="AH190" s="88" t="str">
        <f t="shared" si="57"/>
        <v>"%USERPROFILE%\Documents\GitHub\eaglep3\Utilities\RefineRTDCRunTimes.py" --tripid 827-10 --locoid 4002 --swversion DE.1.0.8.0 --startMP 204:929 --initTime 2017-01-10T15:46:10 --startdatetime 2017-01-10T15:51:13 --delay 1 --endMP 300:58992 --enddatetime 2017-01-10T16:06:06 --enforcementcount 0 &gt;&gt;C:\Users\stu\Documents\GitHub\eaglep3-reporting\EC\2017-01-10-refined-times.txt</v>
      </c>
      <c r="AI190" s="115" t="str">
        <f t="shared" si="58"/>
        <v>echo {"issue":{"subject":"","project_id":79,"tracker_id":40,"status_id":1,"priority_id":2,"assigned_to_id":23,"start_date":"2017-01-10","description":"","custom_fields":[{"id":1,"name":"Subdivision","value":"NW"},{"id":4,"name":"Milepost","value":"5.8992"},{"id":17,"name":"Train ID","value":"827-10"},{"id":16,"name":"Locomotive ID","value":"4002"},{"id":130,"name":"Impact","value":""},{"id":150,"name":"Time of Event (Mountain Time)","value":"16:06:06"},{"id":151,"name":"Denver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0"/>
      <c r="AK190" s="50"/>
      <c r="AL190" s="50"/>
      <c r="AM190" s="180" t="str">
        <f t="shared" si="59"/>
        <v>start /low /b %USERPROFILE%\Documents\GitHub\eaglep3\Utilities\DownloadLogsFromS3.py --loco 4002 --day 2017-01-10</v>
      </c>
    </row>
    <row r="191" spans="1:91" s="21" customFormat="1" x14ac:dyDescent="0.25">
      <c r="A191" s="34" t="s">
        <v>446</v>
      </c>
      <c r="B191" s="7">
        <v>4001</v>
      </c>
      <c r="C191" s="22" t="s">
        <v>202</v>
      </c>
      <c r="D191" s="22" t="s">
        <v>779</v>
      </c>
      <c r="E191" s="13">
        <v>42745.671990740739</v>
      </c>
      <c r="F191" s="13">
        <v>42745.674131944441</v>
      </c>
      <c r="G191" s="7">
        <v>1</v>
      </c>
      <c r="H191" s="22" t="s">
        <v>780</v>
      </c>
      <c r="I191" s="13">
        <v>42745.68414351852</v>
      </c>
      <c r="J191" s="7">
        <v>0</v>
      </c>
      <c r="K191" s="105" t="str">
        <f t="shared" si="45"/>
        <v>4001/4002</v>
      </c>
      <c r="L191" s="22" t="str">
        <f>VLOOKUP(A191,'Trips&amp;Operators'!$C$1:$G$99999,5,FALSE)</f>
        <v>HILLS DUSTIN</v>
      </c>
      <c r="M191" s="6">
        <f t="shared" si="46"/>
        <v>1.0011574078816921E-2</v>
      </c>
      <c r="N191" s="7">
        <f t="shared" si="63"/>
        <v>14.416666673496366</v>
      </c>
      <c r="O191" s="7"/>
      <c r="P191" s="7"/>
      <c r="Q191" s="23"/>
      <c r="R191" s="23"/>
      <c r="S191" s="32">
        <f t="shared" si="64"/>
        <v>1</v>
      </c>
      <c r="T191" s="47" t="str">
        <f t="shared" si="47"/>
        <v>Southbound</v>
      </c>
      <c r="U191" s="167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https://search-rtdc-monitor-bjffxe2xuh6vdkpspy63sjmuny.us-east-1.es.amazonaws.com/_plugin/kibana/#/discover/Steve-Slow-Train-Analysis-(2080s-and-2083s)?_g=(refreshInterval:(display:Off,section:0,value:0),time:(from:'2017-01-10 15:07:40-700',mode:absolute,to:'2017-01-10 17:25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91" s="49" t="str">
        <f t="shared" si="49"/>
        <v>N</v>
      </c>
      <c r="X191" s="173">
        <f t="shared" si="60"/>
        <v>1</v>
      </c>
      <c r="Y191" s="64">
        <f t="shared" si="50"/>
        <v>5.8682999999999996</v>
      </c>
      <c r="Z191" s="64">
        <f t="shared" si="51"/>
        <v>7.8700000000000006E-2</v>
      </c>
      <c r="AA191" s="64">
        <f t="shared" si="52"/>
        <v>5.7895999999999992</v>
      </c>
      <c r="AB191" s="61" t="e">
        <f>VLOOKUP(A191,Enforcements!$C$7:$K$17,8,0)</f>
        <v>#N/A</v>
      </c>
      <c r="AC191" s="57" t="e">
        <f>VLOOKUP(A191,Enforcements!$C$7:$E$17,3,0)</f>
        <v>#N/A</v>
      </c>
      <c r="AD191" s="58" t="str">
        <f t="shared" si="53"/>
        <v>0828-10</v>
      </c>
      <c r="AE191" s="87" t="str">
        <f t="shared" si="54"/>
        <v>aws s3 cp s3://rtdc.mdm.uploadarchive.raw/RTDC4001/ "%USERPROFILE%\AppData\Local\Temp\OnboardLogs"\RTDC4001\2017-01-10 --exclude "*" --recursive --include "*20170110*" &amp; "%USERPROFILE%\Documents\GitHub\mrs-test-scripts\Headless Mode &amp; Sideloading\WalkAndUnGZ.bat" "%USERPROFILE%\AppData\Local\Temp\OnboardLogs"\RTDC4001\2017-01-10 &amp; aws s3 cp s3://rtdc.mdm.uploadarchive.raw/RTDC4001/ "%USERPROFILE%\AppData\Local\Temp\OnboardLogs"\RTDC4001\2017-01-11 --exclude "*" --recursive --include "*20170111*" &amp; "%USERPROFILE%\Documents\GitHub\mrs-test-scripts\Headless Mode &amp; Sideloading\WalkAndUnGZ.bat" "%USERPROFILE%\AppData\Local\Temp\OnboardLogs"\RTDC4001\2017-01-11</v>
      </c>
      <c r="AF191" s="84" t="str">
        <f t="shared" si="55"/>
        <v>"C:\Program Files (x86)\AstroGrep\AstroGrep.exe" /spath="%USERPROFILE%\AppData\Local\Temp\OnboardLogs" /stypes="app*4001*20170110*" /stext=" 23:.+((SYSTEM_STATE.+slice.+state.+changed )|(ment ac)|(multiple cpu faults)|(system.+state.+changed )|(\[timeout)|(PRM\|1\|D)|(kpr)|(kdp)|(\|lc)|(penalty))" /e /r /s</v>
      </c>
      <c r="AG191" s="1" t="str">
        <f t="shared" si="56"/>
        <v>NW</v>
      </c>
      <c r="AH191" s="88" t="str">
        <f t="shared" si="57"/>
        <v>"%USERPROFILE%\Documents\GitHub\eaglep3\Utilities\RefineRTDCRunTimes.py" --tripid 828-10 --locoid 4001 --swversion DE.1.0.8.0 --startMP 300:58683 --initTime 2017-01-10T16:07:40 --startdatetime 2017-01-10T16:10:45 --delay 1 --endMP 204:787 --enddatetime 2017-01-10T16:25:10 --enforcementcount 0 &gt;&gt;C:\Users\stu\Documents\GitHub\eaglep3-reporting\EC\2017-01-10-refined-times.txt</v>
      </c>
      <c r="AI191" s="115" t="str">
        <f t="shared" si="58"/>
        <v>echo {"issue":{"subject":"","project_id":79,"tracker_id":40,"status_id":1,"priority_id":2,"assigned_to_id":23,"start_date":"2017-01-10","description":"","custom_fields":[{"id":1,"name":"Subdivision","value":"NW"},{"id":4,"name":"Milepost","value":"0.0787"},{"id":17,"name":"Train ID","value":"828-10"},{"id":16,"name":"Locomotive ID","value":"4001"},{"id":130,"name":"Impact","value":""},{"id":150,"name":"Time of Event (Mountain Time)","value":"16:25:10"},{"id":151,"name":"Denver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0"/>
      <c r="AK191" s="50"/>
      <c r="AL191" s="50"/>
      <c r="AM191" s="180" t="str">
        <f t="shared" si="59"/>
        <v>start /low /b %USERPROFILE%\Documents\GitHub\eaglep3\Utilities\DownloadLogsFromS3.py --loco 4001 --day 2017-01-10</v>
      </c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x14ac:dyDescent="0.25">
      <c r="A192" s="34" t="s">
        <v>597</v>
      </c>
      <c r="B192" s="7">
        <v>4029</v>
      </c>
      <c r="C192" s="22" t="s">
        <v>202</v>
      </c>
      <c r="D192" s="22" t="s">
        <v>775</v>
      </c>
      <c r="E192" s="13">
        <v>42745.676759259259</v>
      </c>
      <c r="F192" s="13">
        <v>42745.681585648148</v>
      </c>
      <c r="G192" s="7">
        <v>1</v>
      </c>
      <c r="H192" s="22" t="s">
        <v>781</v>
      </c>
      <c r="I192" s="13">
        <v>42745.691747685189</v>
      </c>
      <c r="J192" s="7">
        <v>0</v>
      </c>
      <c r="K192" s="105" t="str">
        <f t="shared" si="45"/>
        <v>4029/4030</v>
      </c>
      <c r="L192" s="22" t="str">
        <f>VLOOKUP(A192,'Trips&amp;Operators'!$C$1:$G$99999,5,FALSE)</f>
        <v>LEVIN SCOTT</v>
      </c>
      <c r="M192" s="6">
        <f t="shared" si="46"/>
        <v>1.0162037040572613E-2</v>
      </c>
      <c r="N192" s="7">
        <f t="shared" si="63"/>
        <v>14.633333338424563</v>
      </c>
      <c r="O192" s="7"/>
      <c r="P192" s="7"/>
      <c r="Q192" s="23"/>
      <c r="R192" s="23"/>
      <c r="S192" s="32">
        <f t="shared" si="64"/>
        <v>1</v>
      </c>
      <c r="T192" s="47" t="str">
        <f t="shared" si="47"/>
        <v>NorthBound</v>
      </c>
      <c r="U192" s="167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https://search-rtdc-monitor-bjffxe2xuh6vdkpspy63sjmuny.us-east-1.es.amazonaws.com/_plugin/kibana/#/discover/Steve-Slow-Train-Analysis-(2080s-and-2083s)?_g=(refreshInterval:(display:Off,section:0,value:0),time:(from:'2017-01-10 15:14:32-700',mode:absolute,to:'2017-01-10 17:36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92" s="49" t="str">
        <f t="shared" si="49"/>
        <v>N</v>
      </c>
      <c r="X192" s="173">
        <f t="shared" si="60"/>
        <v>1</v>
      </c>
      <c r="Y192" s="64">
        <f t="shared" si="50"/>
        <v>9.6199999999999994E-2</v>
      </c>
      <c r="Z192" s="64">
        <f t="shared" si="51"/>
        <v>5.8933</v>
      </c>
      <c r="AA192" s="64">
        <f t="shared" si="52"/>
        <v>5.7971000000000004</v>
      </c>
      <c r="AB192" s="61" t="e">
        <f>VLOOKUP(A192,Enforcements!$C$7:$K$17,8,0)</f>
        <v>#N/A</v>
      </c>
      <c r="AC192" s="57" t="e">
        <f>VLOOKUP(A192,Enforcements!$C$7:$E$17,3,0)</f>
        <v>#N/A</v>
      </c>
      <c r="AD192" s="58" t="str">
        <f t="shared" si="53"/>
        <v>0829-10</v>
      </c>
      <c r="AE192" s="87" t="str">
        <f t="shared" si="54"/>
        <v>aws s3 cp s3://rtdc.mdm.uploadarchive.raw/RTDC4029/ "%USERPROFILE%\AppData\Local\Temp\OnboardLogs"\RTDC4029\2017-01-10 --exclude "*" --recursive --include "*20170110*" &amp; "%USERPROFILE%\Documents\GitHub\mrs-test-scripts\Headless Mode &amp; Sideloading\WalkAndUnGZ.bat" "%USERPROFILE%\AppData\Local\Temp\OnboardLogs"\RTDC4029\2017-01-10 &amp; aws s3 cp s3://rtdc.mdm.uploadarchive.raw/RTDC4029/ "%USERPROFILE%\AppData\Local\Temp\OnboardLogs"\RTDC4029\2017-01-11 --exclude "*" --recursive --include "*20170111*" &amp; "%USERPROFILE%\Documents\GitHub\mrs-test-scripts\Headless Mode &amp; Sideloading\WalkAndUnGZ.bat" "%USERPROFILE%\AppData\Local\Temp\OnboardLogs"\RTDC4029\2017-01-11</v>
      </c>
      <c r="AF192" s="84" t="str">
        <f t="shared" si="55"/>
        <v>"C:\Program Files (x86)\AstroGrep\AstroGrep.exe" /spath="%USERPROFILE%\AppData\Local\Temp\OnboardLogs" /stypes="app*4029*20170110*" /stext=" 23:.+((SYSTEM_STATE.+slice.+state.+changed )|(ment ac)|(multiple cpu faults)|(system.+state.+changed )|(\[timeout)|(PRM\|1\|D)|(kpr)|(kdp)|(\|lc)|(penalty))" /e /r /s</v>
      </c>
      <c r="AG192" s="1" t="str">
        <f t="shared" si="56"/>
        <v>NW</v>
      </c>
      <c r="AH192" s="88" t="str">
        <f t="shared" si="57"/>
        <v>"%USERPROFILE%\Documents\GitHub\eaglep3\Utilities\RefineRTDCRunTimes.py" --tripid 829-10 --locoid 4029 --swversion DE.1.0.8.0 --startMP 204:962 --initTime 2017-01-10T16:14:32 --startdatetime 2017-01-10T16:21:29 --delay 1 --endMP 300:58933 --enddatetime 2017-01-10T16:36:07 --enforcementcount 0 &gt;&gt;C:\Users\stu\Documents\GitHub\eaglep3-reporting\EC\2017-01-10-refined-times.txt</v>
      </c>
      <c r="AI192" s="115" t="str">
        <f t="shared" si="58"/>
        <v>echo {"issue":{"subject":"","project_id":79,"tracker_id":40,"status_id":1,"priority_id":2,"assigned_to_id":23,"start_date":"2017-01-10","description":"","custom_fields":[{"id":1,"name":"Subdivision","value":"NW"},{"id":4,"name":"Milepost","value":"5.8933"},{"id":17,"name":"Train ID","value":"829-10"},{"id":16,"name":"Locomotive ID","value":"4029"},{"id":130,"name":"Impact","value":""},{"id":150,"name":"Time of Event (Mountain Time)","value":"16:36:07"},{"id":151,"name":"Denver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0"/>
      <c r="AK192" s="50"/>
      <c r="AL192" s="50"/>
      <c r="AM192" s="180" t="str">
        <f t="shared" si="59"/>
        <v>start /low /b %USERPROFILE%\Documents\GitHub\eaglep3\Utilities\DownloadLogsFromS3.py --loco 4029 --day 2017-01-10</v>
      </c>
    </row>
    <row r="193" spans="1:91" x14ac:dyDescent="0.25">
      <c r="A193" s="34" t="s">
        <v>599</v>
      </c>
      <c r="B193" s="7">
        <v>4030</v>
      </c>
      <c r="C193" s="22" t="s">
        <v>202</v>
      </c>
      <c r="D193" s="22" t="s">
        <v>754</v>
      </c>
      <c r="E193" s="13">
        <v>42745.692858796298</v>
      </c>
      <c r="F193" s="13">
        <v>42745.694039351853</v>
      </c>
      <c r="G193" s="7">
        <v>0</v>
      </c>
      <c r="H193" s="22" t="s">
        <v>773</v>
      </c>
      <c r="I193" s="13">
        <v>42745.705416666664</v>
      </c>
      <c r="J193" s="7">
        <v>0</v>
      </c>
      <c r="K193" s="105" t="str">
        <f t="shared" si="45"/>
        <v>4029/4030</v>
      </c>
      <c r="L193" s="22" t="str">
        <f>VLOOKUP(A193,'Trips&amp;Operators'!$C$1:$G$99999,5,FALSE)</f>
        <v>LEVIN SCOTT</v>
      </c>
      <c r="M193" s="6">
        <f t="shared" si="46"/>
        <v>1.137731481139781E-2</v>
      </c>
      <c r="N193" s="7">
        <f t="shared" si="63"/>
        <v>16.383333328412846</v>
      </c>
      <c r="O193" s="7"/>
      <c r="P193" s="7"/>
      <c r="Q193" s="23"/>
      <c r="R193" s="23"/>
      <c r="S193" s="32">
        <f t="shared" si="64"/>
        <v>1</v>
      </c>
      <c r="T193" s="47" t="str">
        <f t="shared" si="47"/>
        <v>Southbound</v>
      </c>
      <c r="U193" s="167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https://search-rtdc-monitor-bjffxe2xuh6vdkpspy63sjmuny.us-east-1.es.amazonaws.com/_plugin/kibana/#/discover/Steve-Slow-Train-Analysis-(2080s-and-2083s)?_g=(refreshInterval:(display:Off,section:0,value:0),time:(from:'2017-01-10 15:37:43-700',mode:absolute,to:'2017-01-10 17:55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93" s="49" t="str">
        <f t="shared" si="49"/>
        <v>N</v>
      </c>
      <c r="X193" s="173">
        <f t="shared" si="60"/>
        <v>1</v>
      </c>
      <c r="Y193" s="64">
        <f t="shared" si="50"/>
        <v>5.8619000000000003</v>
      </c>
      <c r="Z193" s="64">
        <f t="shared" si="51"/>
        <v>6.54E-2</v>
      </c>
      <c r="AA193" s="64">
        <f t="shared" si="52"/>
        <v>5.7965</v>
      </c>
      <c r="AB193" s="61" t="e">
        <f>VLOOKUP(A193,Enforcements!$C$7:$K$17,8,0)</f>
        <v>#N/A</v>
      </c>
      <c r="AC193" s="57" t="e">
        <f>VLOOKUP(A193,Enforcements!$C$7:$E$17,3,0)</f>
        <v>#N/A</v>
      </c>
      <c r="AD193" s="58" t="str">
        <f t="shared" si="53"/>
        <v>0830-10</v>
      </c>
      <c r="AE193" s="87" t="str">
        <f t="shared" si="54"/>
        <v>aws s3 cp s3://rtdc.mdm.uploadarchive.raw/RTDC4030/ "%USERPROFILE%\AppData\Local\Temp\OnboardLogs"\RTDC4030\2017-01-10 --exclude "*" --recursive --include "*20170110*" &amp; "%USERPROFILE%\Documents\GitHub\mrs-test-scripts\Headless Mode &amp; Sideloading\WalkAndUnGZ.bat" "%USERPROFILE%\AppData\Local\Temp\OnboardLogs"\RTDC4030\2017-01-10 &amp; aws s3 cp s3://rtdc.mdm.uploadarchive.raw/RTDC4030/ "%USERPROFILE%\AppData\Local\Temp\OnboardLogs"\RTDC4030\2017-01-11 --exclude "*" --recursive --include "*20170111*" &amp; "%USERPROFILE%\Documents\GitHub\mrs-test-scripts\Headless Mode &amp; Sideloading\WalkAndUnGZ.bat" "%USERPROFILE%\AppData\Local\Temp\OnboardLogs"\RTDC4030\2017-01-11</v>
      </c>
      <c r="AF193" s="84" t="str">
        <f t="shared" si="55"/>
        <v>"C:\Program Files (x86)\AstroGrep\AstroGrep.exe" /spath="%USERPROFILE%\AppData\Local\Temp\OnboardLogs" /stypes="app*4030*20170110*" /stext=" 23:.+((SYSTEM_STATE.+slice.+state.+changed )|(ment ac)|(multiple cpu faults)|(system.+state.+changed )|(\[timeout)|(PRM\|1\|D)|(kpr)|(kdp)|(\|lc)|(penalty))" /e /r /s</v>
      </c>
      <c r="AG193" s="1" t="str">
        <f t="shared" si="56"/>
        <v>NW</v>
      </c>
      <c r="AH193" s="88" t="str">
        <f t="shared" si="57"/>
        <v>"%USERPROFILE%\Documents\GitHub\eaglep3\Utilities\RefineRTDCRunTimes.py" --tripid 830-10 --locoid 4030 --swversion DE.1.0.8.0 --startMP 300:58619 --initTime 2017-01-10T16:37:43 --startdatetime 2017-01-10T16:39:25 --delay 0 --endMP 204:654 --enddatetime 2017-01-10T16:55:48 --enforcementcount 0 &gt;&gt;C:\Users\stu\Documents\GitHub\eaglep3-reporting\EC\2017-01-10-refined-times.txt</v>
      </c>
      <c r="AI193" s="115" t="str">
        <f t="shared" si="58"/>
        <v>echo {"issue":{"subject":"","project_id":79,"tracker_id":40,"status_id":1,"priority_id":2,"assigned_to_id":23,"start_date":"2017-01-10","description":"","custom_fields":[{"id":1,"name":"Subdivision","value":"NW"},{"id":4,"name":"Milepost","value":"0.0654"},{"id":17,"name":"Train ID","value":"830-10"},{"id":16,"name":"Locomotive ID","value":"4030"},{"id":130,"name":"Impact","value":""},{"id":150,"name":"Time of Event (Mountain Time)","value":"16:55:48"},{"id":151,"name":"Denver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0"/>
      <c r="AK193" s="50"/>
      <c r="AL193" s="50"/>
      <c r="AM193" s="180" t="str">
        <f t="shared" si="59"/>
        <v>start /low /b %USERPROFILE%\Documents\GitHub\eaglep3\Utilities\DownloadLogsFromS3.py --loco 4030 --day 2017-01-10</v>
      </c>
    </row>
    <row r="194" spans="1:91" x14ac:dyDescent="0.25">
      <c r="A194" s="34" t="s">
        <v>447</v>
      </c>
      <c r="B194" s="7">
        <v>4002</v>
      </c>
      <c r="C194" s="22" t="s">
        <v>202</v>
      </c>
      <c r="D194" s="22" t="s">
        <v>782</v>
      </c>
      <c r="E194" s="13">
        <v>42745.687696759262</v>
      </c>
      <c r="F194" s="13">
        <v>42745.702743055554</v>
      </c>
      <c r="G194" s="7">
        <v>1</v>
      </c>
      <c r="H194" s="22" t="s">
        <v>783</v>
      </c>
      <c r="I194" s="13">
        <v>42745.712546296294</v>
      </c>
      <c r="J194" s="7">
        <v>0</v>
      </c>
      <c r="K194" s="105" t="str">
        <f t="shared" si="45"/>
        <v>4001/4002</v>
      </c>
      <c r="L194" s="22" t="str">
        <f>VLOOKUP(A194,'Trips&amp;Operators'!$C$1:$G$99999,5,FALSE)</f>
        <v>HILLS DUSTIN</v>
      </c>
      <c r="M194" s="6">
        <f t="shared" si="46"/>
        <v>9.8032407404389232E-3</v>
      </c>
      <c r="N194" s="7">
        <f t="shared" si="63"/>
        <v>14.116666666232049</v>
      </c>
      <c r="O194" s="7"/>
      <c r="P194" s="7"/>
      <c r="Q194" s="23"/>
      <c r="R194" s="23"/>
      <c r="S194" s="32">
        <f t="shared" si="64"/>
        <v>1</v>
      </c>
      <c r="T194" s="47" t="str">
        <f t="shared" si="47"/>
        <v>NorthBound</v>
      </c>
      <c r="U194" s="167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https://search-rtdc-monitor-bjffxe2xuh6vdkpspy63sjmuny.us-east-1.es.amazonaws.com/_plugin/kibana/#/discover/Steve-Slow-Train-Analysis-(2080s-and-2083s)?_g=(refreshInterval:(display:Off,section:0,value:0),time:(from:'2017-01-10 15:30:17-700',mode:absolute,to:'2017-01-10 18:06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94" s="49" t="str">
        <f t="shared" si="49"/>
        <v>N</v>
      </c>
      <c r="X194" s="173">
        <f t="shared" si="60"/>
        <v>1</v>
      </c>
      <c r="Y194" s="64">
        <f t="shared" si="50"/>
        <v>0.106</v>
      </c>
      <c r="Z194" s="64">
        <f t="shared" si="51"/>
        <v>5.8940999999999999</v>
      </c>
      <c r="AA194" s="64">
        <f t="shared" si="52"/>
        <v>5.7881</v>
      </c>
      <c r="AB194" s="61" t="e">
        <f>VLOOKUP(A194,Enforcements!$C$7:$K$17,8,0)</f>
        <v>#N/A</v>
      </c>
      <c r="AC194" s="57" t="e">
        <f>VLOOKUP(A194,Enforcements!$C$7:$E$17,3,0)</f>
        <v>#N/A</v>
      </c>
      <c r="AD194" s="58" t="str">
        <f t="shared" si="53"/>
        <v>0831-10</v>
      </c>
      <c r="AE194" s="87" t="str">
        <f t="shared" si="54"/>
        <v>aws s3 cp s3://rtdc.mdm.uploadarchive.raw/RTDC4002/ "%USERPROFILE%\AppData\Local\Temp\OnboardLogs"\RTDC4002\2017-01-10 --exclude "*" --recursive --include "*20170110*" &amp; "%USERPROFILE%\Documents\GitHub\mrs-test-scripts\Headless Mode &amp; Sideloading\WalkAndUnGZ.bat" "%USERPROFILE%\AppData\Local\Temp\OnboardLogs"\RTDC4002\2017-01-10 &amp; aws s3 cp s3://rtdc.mdm.uploadarchive.raw/RTDC4002/ "%USERPROFILE%\AppData\Local\Temp\OnboardLogs"\RTDC4002\2017-01-11 --exclude "*" --recursive --include "*20170111*" &amp; "%USERPROFILE%\Documents\GitHub\mrs-test-scripts\Headless Mode &amp; Sideloading\WalkAndUnGZ.bat" "%USERPROFILE%\AppData\Local\Temp\OnboardLogs"\RTDC4002\2017-01-11</v>
      </c>
      <c r="AF194" s="84" t="str">
        <f t="shared" si="55"/>
        <v>"C:\Program Files (x86)\AstroGrep\AstroGrep.exe" /spath="%USERPROFILE%\AppData\Local\Temp\OnboardLogs" /stypes="app*4002*20170111*" /stext=" 00:.+((SYSTEM_STATE.+slice.+state.+changed )|(ment ac)|(multiple cpu faults)|(system.+state.+changed )|(\[timeout)|(PRM\|1\|D)|(kpr)|(kdp)|(\|lc)|(penalty))" /e /r /s</v>
      </c>
      <c r="AG194" s="1" t="str">
        <f t="shared" si="56"/>
        <v>NW</v>
      </c>
      <c r="AH194" s="88" t="str">
        <f t="shared" si="57"/>
        <v>"%USERPROFILE%\Documents\GitHub\eaglep3\Utilities\RefineRTDCRunTimes.py" --tripid 831-10 --locoid 4002 --swversion DE.1.0.8.0 --startMP 204:1060 --initTime 2017-01-10T16:30:17 --startdatetime 2017-01-10T16:51:57 --delay 1 --endMP 300:58941 --enddatetime 2017-01-10T17:06:04 --enforcementcount 0 &gt;&gt;C:\Users\stu\Documents\GitHub\eaglep3-reporting\EC\2017-01-10-refined-times.txt</v>
      </c>
      <c r="AI194" s="115" t="str">
        <f t="shared" si="58"/>
        <v>echo {"issue":{"subject":"","project_id":79,"tracker_id":40,"status_id":1,"priority_id":2,"assigned_to_id":23,"start_date":"2017-01-10","description":"","custom_fields":[{"id":1,"name":"Subdivision","value":"NW"},{"id":4,"name":"Milepost","value":"5.8941"},{"id":17,"name":"Train ID","value":"831-10"},{"id":16,"name":"Locomotive ID","value":"4002"},{"id":130,"name":"Impact","value":""},{"id":150,"name":"Time of Event (Mountain Time)","value":"17:06:04"},{"id":151,"name":"Denver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0"/>
      <c r="AK194" s="50"/>
      <c r="AL194" s="50"/>
      <c r="AM194" s="180" t="str">
        <f t="shared" si="59"/>
        <v>start /low /b %USERPROFILE%\Documents\GitHub\eaglep3\Utilities\DownloadLogsFromS3.py --loco 4002 --day 2017-01-10</v>
      </c>
    </row>
    <row r="195" spans="1:91" x14ac:dyDescent="0.25">
      <c r="A195" s="34" t="s">
        <v>448</v>
      </c>
      <c r="B195" s="7">
        <v>4001</v>
      </c>
      <c r="C195" s="22" t="s">
        <v>202</v>
      </c>
      <c r="D195" s="22" t="s">
        <v>764</v>
      </c>
      <c r="E195" s="13">
        <v>42745.714178240742</v>
      </c>
      <c r="F195" s="13">
        <v>42745.715740740743</v>
      </c>
      <c r="G195" s="7">
        <v>1</v>
      </c>
      <c r="H195" s="22" t="s">
        <v>784</v>
      </c>
      <c r="I195" s="13">
        <v>42745.726770833331</v>
      </c>
      <c r="J195" s="7">
        <v>0</v>
      </c>
      <c r="K195" s="105" t="str">
        <f t="shared" si="45"/>
        <v>4001/4002</v>
      </c>
      <c r="L195" s="22" t="str">
        <f>VLOOKUP(A195,'Trips&amp;Operators'!$C$1:$G$99999,5,FALSE)</f>
        <v>HILLS DUSTIN</v>
      </c>
      <c r="M195" s="6">
        <f t="shared" si="46"/>
        <v>1.1030092588043772E-2</v>
      </c>
      <c r="N195" s="7">
        <f t="shared" si="63"/>
        <v>15.883333326783031</v>
      </c>
      <c r="O195" s="7"/>
      <c r="P195" s="7"/>
      <c r="Q195" s="23"/>
      <c r="R195" s="23"/>
      <c r="S195" s="32">
        <f t="shared" si="64"/>
        <v>1</v>
      </c>
      <c r="T195" s="47" t="str">
        <f t="shared" si="47"/>
        <v>Southbound</v>
      </c>
      <c r="U195" s="167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https://search-rtdc-monitor-bjffxe2xuh6vdkpspy63sjmuny.us-east-1.es.amazonaws.com/_plugin/kibana/#/discover/Steve-Slow-Train-Analysis-(2080s-and-2083s)?_g=(refreshInterval:(display:Off,section:0,value:0),time:(from:'2017-01-10 16:08:25-700',mode:absolute,to:'2017-01-10 18:26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95" s="49" t="str">
        <f t="shared" si="49"/>
        <v>N</v>
      </c>
      <c r="X195" s="173">
        <f t="shared" si="60"/>
        <v>1</v>
      </c>
      <c r="Y195" s="64">
        <f t="shared" si="50"/>
        <v>5.8625999999999996</v>
      </c>
      <c r="Z195" s="64">
        <f t="shared" si="51"/>
        <v>6.6100000000000006E-2</v>
      </c>
      <c r="AA195" s="64">
        <f t="shared" si="52"/>
        <v>5.7965</v>
      </c>
      <c r="AB195" s="61" t="e">
        <f>VLOOKUP(A195,Enforcements!$C$7:$K$17,8,0)</f>
        <v>#N/A</v>
      </c>
      <c r="AC195" s="57" t="e">
        <f>VLOOKUP(A195,Enforcements!$C$7:$E$17,3,0)</f>
        <v>#N/A</v>
      </c>
      <c r="AD195" s="58" t="str">
        <f t="shared" si="53"/>
        <v>0832-10</v>
      </c>
      <c r="AE195" s="87" t="str">
        <f t="shared" si="54"/>
        <v>aws s3 cp s3://rtdc.mdm.uploadarchive.raw/RTDC4001/ "%USERPROFILE%\AppData\Local\Temp\OnboardLogs"\RTDC4001\2017-01-10 --exclude "*" --recursive --include "*20170110*" &amp; "%USERPROFILE%\Documents\GitHub\mrs-test-scripts\Headless Mode &amp; Sideloading\WalkAndUnGZ.bat" "%USERPROFILE%\AppData\Local\Temp\OnboardLogs"\RTDC4001\2017-01-10 &amp; aws s3 cp s3://rtdc.mdm.uploadarchive.raw/RTDC4001/ "%USERPROFILE%\AppData\Local\Temp\OnboardLogs"\RTDC4001\2017-01-11 --exclude "*" --recursive --include "*20170111*" &amp; "%USERPROFILE%\Documents\GitHub\mrs-test-scripts\Headless Mode &amp; Sideloading\WalkAndUnGZ.bat" "%USERPROFILE%\AppData\Local\Temp\OnboardLogs"\RTDC4001\2017-01-11</v>
      </c>
      <c r="AF195" s="84" t="str">
        <f t="shared" si="55"/>
        <v>"C:\Program Files (x86)\AstroGrep\AstroGrep.exe" /spath="%USERPROFILE%\AppData\Local\Temp\OnboardLogs" /stypes="app*4001*20170111*" /stext=" 00:.+((SYSTEM_STATE.+slice.+state.+changed )|(ment ac)|(multiple cpu faults)|(system.+state.+changed )|(\[timeout)|(PRM\|1\|D)|(kpr)|(kdp)|(\|lc)|(penalty))" /e /r /s</v>
      </c>
      <c r="AG195" s="1" t="str">
        <f t="shared" si="56"/>
        <v>NW</v>
      </c>
      <c r="AH195" s="88" t="str">
        <f t="shared" si="57"/>
        <v>"%USERPROFILE%\Documents\GitHub\eaglep3\Utilities\RefineRTDCRunTimes.py" --tripid 832-10 --locoid 4001 --swversion DE.1.0.8.0 --startMP 300:58626 --initTime 2017-01-10T17:08:25 --startdatetime 2017-01-10T17:10:40 --delay 1 --endMP 204:661 --enddatetime 2017-01-10T17:26:33 --enforcementcount 0 &gt;&gt;C:\Users\stu\Documents\GitHub\eaglep3-reporting\EC\2017-01-10-refined-times.txt</v>
      </c>
      <c r="AI195" s="115" t="str">
        <f t="shared" si="58"/>
        <v>echo {"issue":{"subject":"","project_id":79,"tracker_id":40,"status_id":1,"priority_id":2,"assigned_to_id":23,"start_date":"2017-01-10","description":"","custom_fields":[{"id":1,"name":"Subdivision","value":"NW"},{"id":4,"name":"Milepost","value":"0.0661"},{"id":17,"name":"Train ID","value":"832-10"},{"id":16,"name":"Locomotive ID","value":"4001"},{"id":130,"name":"Impact","value":""},{"id":150,"name":"Time of Event (Mountain Time)","value":"17:26:33"},{"id":151,"name":"Denver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0"/>
      <c r="AK195" s="50"/>
      <c r="AL195" s="50"/>
      <c r="AM195" s="180" t="str">
        <f t="shared" si="59"/>
        <v>start /low /b %USERPROFILE%\Documents\GitHub\eaglep3\Utilities\DownloadLogsFromS3.py --loco 4001 --day 2017-01-10</v>
      </c>
    </row>
    <row r="196" spans="1:91" s="21" customFormat="1" x14ac:dyDescent="0.25">
      <c r="A196" s="34" t="s">
        <v>607</v>
      </c>
      <c r="B196" s="7">
        <v>4029</v>
      </c>
      <c r="C196" s="22" t="s">
        <v>202</v>
      </c>
      <c r="D196" s="22" t="s">
        <v>785</v>
      </c>
      <c r="E196" s="13">
        <v>42745.71912037037</v>
      </c>
      <c r="F196" s="13">
        <v>42745.723194444443</v>
      </c>
      <c r="G196" s="7">
        <v>1</v>
      </c>
      <c r="H196" s="22" t="s">
        <v>781</v>
      </c>
      <c r="I196" s="13">
        <v>42745.73333333333</v>
      </c>
      <c r="J196" s="7">
        <v>0</v>
      </c>
      <c r="K196" s="105" t="str">
        <f t="shared" si="45"/>
        <v>4029/4030</v>
      </c>
      <c r="L196" s="22" t="str">
        <f>VLOOKUP(A196,'Trips&amp;Operators'!$C$1:$G$99999,5,FALSE)</f>
        <v>LEVIN SCOTT</v>
      </c>
      <c r="M196" s="6">
        <f t="shared" si="46"/>
        <v>1.0138888887013309E-2</v>
      </c>
      <c r="N196" s="7">
        <f t="shared" si="63"/>
        <v>14.599999997299165</v>
      </c>
      <c r="O196" s="7"/>
      <c r="P196" s="7"/>
      <c r="Q196" s="23"/>
      <c r="R196" s="23"/>
      <c r="S196" s="32">
        <f t="shared" si="64"/>
        <v>1</v>
      </c>
      <c r="T196" s="47" t="str">
        <f t="shared" si="47"/>
        <v>NorthBound</v>
      </c>
      <c r="U196" s="167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https://search-rtdc-monitor-bjffxe2xuh6vdkpspy63sjmuny.us-east-1.es.amazonaws.com/_plugin/kibana/#/discover/Steve-Slow-Train-Analysis-(2080s-and-2083s)?_g=(refreshInterval:(display:Off,section:0,value:0),time:(from:'2017-01-10 16:15:32-700',mode:absolute,to:'2017-01-10 18:36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96" s="49" t="str">
        <f t="shared" si="49"/>
        <v>N</v>
      </c>
      <c r="X196" s="173">
        <f t="shared" si="60"/>
        <v>1</v>
      </c>
      <c r="Y196" s="64">
        <f t="shared" si="50"/>
        <v>9.2999999999999999E-2</v>
      </c>
      <c r="Z196" s="64">
        <f t="shared" si="51"/>
        <v>5.8933</v>
      </c>
      <c r="AA196" s="64">
        <f t="shared" si="52"/>
        <v>5.8003</v>
      </c>
      <c r="AB196" s="61" t="e">
        <f>VLOOKUP(A196,Enforcements!$C$7:$K$17,8,0)</f>
        <v>#N/A</v>
      </c>
      <c r="AC196" s="57" t="e">
        <f>VLOOKUP(A196,Enforcements!$C$7:$E$17,3,0)</f>
        <v>#N/A</v>
      </c>
      <c r="AD196" s="58" t="str">
        <f t="shared" si="53"/>
        <v>0833-10</v>
      </c>
      <c r="AE196" s="87" t="str">
        <f t="shared" si="54"/>
        <v>aws s3 cp s3://rtdc.mdm.uploadarchive.raw/RTDC4029/ "%USERPROFILE%\AppData\Local\Temp\OnboardLogs"\RTDC4029\2017-01-10 --exclude "*" --recursive --include "*20170110*" &amp; "%USERPROFILE%\Documents\GitHub\mrs-test-scripts\Headless Mode &amp; Sideloading\WalkAndUnGZ.bat" "%USERPROFILE%\AppData\Local\Temp\OnboardLogs"\RTDC4029\2017-01-10 &amp; aws s3 cp s3://rtdc.mdm.uploadarchive.raw/RTDC4029/ "%USERPROFILE%\AppData\Local\Temp\OnboardLogs"\RTDC4029\2017-01-11 --exclude "*" --recursive --include "*20170111*" &amp; "%USERPROFILE%\Documents\GitHub\mrs-test-scripts\Headless Mode &amp; Sideloading\WalkAndUnGZ.bat" "%USERPROFILE%\AppData\Local\Temp\OnboardLogs"\RTDC4029\2017-01-11</v>
      </c>
      <c r="AF196" s="84" t="str">
        <f t="shared" si="55"/>
        <v>"C:\Program Files (x86)\AstroGrep\AstroGrep.exe" /spath="%USERPROFILE%\AppData\Local\Temp\OnboardLogs" /stypes="app*4029*20170111*" /stext=" 00:.+((SYSTEM_STATE.+slice.+state.+changed )|(ment ac)|(multiple cpu faults)|(system.+state.+changed )|(\[timeout)|(PRM\|1\|D)|(kpr)|(kdp)|(\|lc)|(penalty))" /e /r /s</v>
      </c>
      <c r="AG196" s="1" t="str">
        <f t="shared" si="56"/>
        <v>NW</v>
      </c>
      <c r="AH196" s="88" t="str">
        <f t="shared" si="57"/>
        <v>"%USERPROFILE%\Documents\GitHub\eaglep3\Utilities\RefineRTDCRunTimes.py" --tripid 833-10 --locoid 4029 --swversion DE.1.0.8.0 --startMP 204:930 --initTime 2017-01-10T17:15:32 --startdatetime 2017-01-10T17:21:24 --delay 1 --endMP 300:58933 --enddatetime 2017-01-10T17:36:00 --enforcementcount 0 &gt;&gt;C:\Users\stu\Documents\GitHub\eaglep3-reporting\EC\2017-01-10-refined-times.txt</v>
      </c>
      <c r="AI196" s="115" t="str">
        <f t="shared" si="58"/>
        <v>echo {"issue":{"subject":"","project_id":79,"tracker_id":40,"status_id":1,"priority_id":2,"assigned_to_id":23,"start_date":"2017-01-10","description":"","custom_fields":[{"id":1,"name":"Subdivision","value":"NW"},{"id":4,"name":"Milepost","value":"5.8933"},{"id":17,"name":"Train ID","value":"833-10"},{"id":16,"name":"Locomotive ID","value":"4029"},{"id":130,"name":"Impact","value":""},{"id":150,"name":"Time of Event (Mountain Time)","value":"17:36:00"},{"id":151,"name":"Denver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0"/>
      <c r="AK196" s="50"/>
      <c r="AL196" s="50"/>
      <c r="AM196" s="180" t="str">
        <f t="shared" si="59"/>
        <v>start /low /b %USERPROFILE%\Documents\GitHub\eaglep3\Utilities\DownloadLogsFromS3.py --loco 4029 --day 2017-01-10</v>
      </c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4" t="s">
        <v>613</v>
      </c>
      <c r="B197" s="7">
        <v>4030</v>
      </c>
      <c r="C197" s="22" t="s">
        <v>202</v>
      </c>
      <c r="D197" s="22" t="s">
        <v>786</v>
      </c>
      <c r="E197" s="13">
        <v>42745.734537037039</v>
      </c>
      <c r="F197" s="13">
        <v>42745.736076388886</v>
      </c>
      <c r="G197" s="7">
        <v>1</v>
      </c>
      <c r="H197" s="22" t="s">
        <v>424</v>
      </c>
      <c r="I197" s="13">
        <v>42745.747002314813</v>
      </c>
      <c r="J197" s="7">
        <v>0</v>
      </c>
      <c r="K197" s="105" t="str">
        <f t="shared" si="45"/>
        <v>4029/4030</v>
      </c>
      <c r="L197" s="22" t="str">
        <f>VLOOKUP(A197,'Trips&amp;Operators'!$C$1:$G$99999,5,FALSE)</f>
        <v>LEVIN SCOTT</v>
      </c>
      <c r="M197" s="6">
        <f t="shared" si="46"/>
        <v>1.0925925926130731E-2</v>
      </c>
      <c r="N197" s="7">
        <f t="shared" si="63"/>
        <v>15.733333333628252</v>
      </c>
      <c r="O197" s="7"/>
      <c r="P197" s="7"/>
      <c r="Q197" s="23"/>
      <c r="R197" s="23"/>
      <c r="S197" s="32">
        <f t="shared" si="64"/>
        <v>1</v>
      </c>
      <c r="T197" s="47" t="str">
        <f t="shared" si="47"/>
        <v>Southbound</v>
      </c>
      <c r="U197" s="167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https://search-rtdc-monitor-bjffxe2xuh6vdkpspy63sjmuny.us-east-1.es.amazonaws.com/_plugin/kibana/#/discover/Steve-Slow-Train-Analysis-(2080s-and-2083s)?_g=(refreshInterval:(display:Off,section:0,value:0),time:(from:'2017-01-10 16:37:44-700',mode:absolute,to:'2017-01-10 18:55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97" s="49" t="str">
        <f t="shared" si="49"/>
        <v>N</v>
      </c>
      <c r="X197" s="173">
        <f t="shared" si="60"/>
        <v>1</v>
      </c>
      <c r="Y197" s="64">
        <f t="shared" si="50"/>
        <v>5.8608000000000002</v>
      </c>
      <c r="Z197" s="64">
        <f t="shared" si="51"/>
        <v>6.7100000000000007E-2</v>
      </c>
      <c r="AA197" s="64">
        <f t="shared" si="52"/>
        <v>5.7937000000000003</v>
      </c>
      <c r="AB197" s="61" t="e">
        <f>VLOOKUP(A197,Enforcements!$C$7:$K$17,8,0)</f>
        <v>#N/A</v>
      </c>
      <c r="AC197" s="57" t="e">
        <f>VLOOKUP(A197,Enforcements!$C$7:$E$17,3,0)</f>
        <v>#N/A</v>
      </c>
      <c r="AD197" s="58" t="str">
        <f t="shared" si="53"/>
        <v>0834-10</v>
      </c>
      <c r="AE197" s="87" t="str">
        <f t="shared" si="54"/>
        <v>aws s3 cp s3://rtdc.mdm.uploadarchive.raw/RTDC4030/ "%USERPROFILE%\AppData\Local\Temp\OnboardLogs"\RTDC4030\2017-01-10 --exclude "*" --recursive --include "*20170110*" &amp; "%USERPROFILE%\Documents\GitHub\mrs-test-scripts\Headless Mode &amp; Sideloading\WalkAndUnGZ.bat" "%USERPROFILE%\AppData\Local\Temp\OnboardLogs"\RTDC4030\2017-01-10 &amp; aws s3 cp s3://rtdc.mdm.uploadarchive.raw/RTDC4030/ "%USERPROFILE%\AppData\Local\Temp\OnboardLogs"\RTDC4030\2017-01-11 --exclude "*" --recursive --include "*20170111*" &amp; "%USERPROFILE%\Documents\GitHub\mrs-test-scripts\Headless Mode &amp; Sideloading\WalkAndUnGZ.bat" "%USERPROFILE%\AppData\Local\Temp\OnboardLogs"\RTDC4030\2017-01-11</v>
      </c>
      <c r="AF197" s="84" t="str">
        <f t="shared" si="55"/>
        <v>"C:\Program Files (x86)\AstroGrep\AstroGrep.exe" /spath="%USERPROFILE%\AppData\Local\Temp\OnboardLogs" /stypes="app*4030*20170111*" /stext=" 00:.+((SYSTEM_STATE.+slice.+state.+changed )|(ment ac)|(multiple cpu faults)|(system.+state.+changed )|(\[timeout)|(PRM\|1\|D)|(kpr)|(kdp)|(\|lc)|(penalty))" /e /r /s</v>
      </c>
      <c r="AG197" s="1" t="str">
        <f t="shared" si="56"/>
        <v>NW</v>
      </c>
      <c r="AH197" s="88" t="str">
        <f t="shared" si="57"/>
        <v>"%USERPROFILE%\Documents\GitHub\eaglep3\Utilities\RefineRTDCRunTimes.py" --tripid 834-10 --locoid 4030 --swversion DE.1.0.8.0 --startMP 300:58608 --initTime 2017-01-10T17:37:44 --startdatetime 2017-01-10T17:39:57 --delay 1 --endMP 204:671 --enddatetime 2017-01-10T17:55:41 --enforcementcount 0 &gt;&gt;C:\Users\stu\Documents\GitHub\eaglep3-reporting\EC\2017-01-10-refined-times.txt</v>
      </c>
      <c r="AI197" s="115" t="str">
        <f t="shared" si="58"/>
        <v>echo {"issue":{"subject":"","project_id":79,"tracker_id":40,"status_id":1,"priority_id":2,"assigned_to_id":23,"start_date":"2017-01-10","description":"","custom_fields":[{"id":1,"name":"Subdivision","value":"NW"},{"id":4,"name":"Milepost","value":"0.0671"},{"id":17,"name":"Train ID","value":"834-10"},{"id":16,"name":"Locomotive ID","value":"4030"},{"id":130,"name":"Impact","value":""},{"id":150,"name":"Time of Event (Mountain Time)","value":"17:55:41"},{"id":151,"name":"Denver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0"/>
      <c r="AK197" s="50"/>
      <c r="AL197" s="50"/>
      <c r="AM197" s="180" t="str">
        <f t="shared" si="59"/>
        <v>start /low /b %USERPROFILE%\Documents\GitHub\eaglep3\Utilities\DownloadLogsFromS3.py --loco 4030 --day 2017-01-10</v>
      </c>
    </row>
    <row r="198" spans="1:91" s="21" customFormat="1" x14ac:dyDescent="0.25">
      <c r="A198" s="34" t="s">
        <v>609</v>
      </c>
      <c r="B198" s="7">
        <v>4002</v>
      </c>
      <c r="C198" s="22" t="s">
        <v>202</v>
      </c>
      <c r="D198" s="22" t="s">
        <v>420</v>
      </c>
      <c r="E198" s="13">
        <v>42745.72824074074</v>
      </c>
      <c r="F198" s="13">
        <v>42745.744201388887</v>
      </c>
      <c r="G198" s="7">
        <v>2</v>
      </c>
      <c r="H198" s="22" t="s">
        <v>787</v>
      </c>
      <c r="I198" s="13">
        <v>42745.756111111114</v>
      </c>
      <c r="J198" s="7">
        <v>0</v>
      </c>
      <c r="K198" s="105" t="str">
        <f t="shared" si="45"/>
        <v>4001/4002</v>
      </c>
      <c r="L198" s="22" t="str">
        <f>VLOOKUP(A198,'Trips&amp;Operators'!$C$1:$G$99999,5,FALSE)</f>
        <v>HILLS DUSTIN</v>
      </c>
      <c r="M198" s="6">
        <f t="shared" si="46"/>
        <v>1.1909722226846498E-2</v>
      </c>
      <c r="N198" s="7">
        <f t="shared" si="63"/>
        <v>17.150000006658956</v>
      </c>
      <c r="O198" s="7"/>
      <c r="P198" s="7"/>
      <c r="Q198" s="23"/>
      <c r="R198" s="23"/>
      <c r="S198" s="32">
        <f t="shared" si="64"/>
        <v>1</v>
      </c>
      <c r="T198" s="47" t="str">
        <f t="shared" si="47"/>
        <v>NorthBound</v>
      </c>
      <c r="U198" s="167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https://search-rtdc-monitor-bjffxe2xuh6vdkpspy63sjmuny.us-east-1.es.amazonaws.com/_plugin/kibana/#/discover/Steve-Slow-Train-Analysis-(2080s-and-2083s)?_g=(refreshInterval:(display:Off,section:0,value:0),time:(from:'2017-01-10 16:28:40-700',mode:absolute,to:'2017-01-10 19:08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98" s="49" t="str">
        <f t="shared" si="49"/>
        <v>N</v>
      </c>
      <c r="X198" s="173">
        <f t="shared" si="60"/>
        <v>1</v>
      </c>
      <c r="Y198" s="64">
        <f t="shared" si="50"/>
        <v>9.5100000000000004E-2</v>
      </c>
      <c r="Z198" s="64">
        <f t="shared" si="51"/>
        <v>5.899</v>
      </c>
      <c r="AA198" s="64">
        <f t="shared" si="52"/>
        <v>5.8038999999999996</v>
      </c>
      <c r="AB198" s="61" t="e">
        <f>VLOOKUP(A198,Enforcements!$C$7:$K$17,8,0)</f>
        <v>#N/A</v>
      </c>
      <c r="AC198" s="57" t="e">
        <f>VLOOKUP(A198,Enforcements!$C$7:$E$17,3,0)</f>
        <v>#N/A</v>
      </c>
      <c r="AD198" s="58" t="str">
        <f t="shared" si="53"/>
        <v>0835-10</v>
      </c>
      <c r="AE198" s="87" t="str">
        <f t="shared" si="54"/>
        <v>aws s3 cp s3://rtdc.mdm.uploadarchive.raw/RTDC4002/ "%USERPROFILE%\AppData\Local\Temp\OnboardLogs"\RTDC4002\2017-01-10 --exclude "*" --recursive --include "*20170110*" &amp; "%USERPROFILE%\Documents\GitHub\mrs-test-scripts\Headless Mode &amp; Sideloading\WalkAndUnGZ.bat" "%USERPROFILE%\AppData\Local\Temp\OnboardLogs"\RTDC4002\2017-01-10 &amp; aws s3 cp s3://rtdc.mdm.uploadarchive.raw/RTDC4002/ "%USERPROFILE%\AppData\Local\Temp\OnboardLogs"\RTDC4002\2017-01-11 --exclude "*" --recursive --include "*20170111*" &amp; "%USERPROFILE%\Documents\GitHub\mrs-test-scripts\Headless Mode &amp; Sideloading\WalkAndUnGZ.bat" "%USERPROFILE%\AppData\Local\Temp\OnboardLogs"\RTDC4002\2017-01-11</v>
      </c>
      <c r="AF198" s="84" t="str">
        <f t="shared" si="55"/>
        <v>"C:\Program Files (x86)\AstroGrep\AstroGrep.exe" /spath="%USERPROFILE%\AppData\Local\Temp\OnboardLogs" /stypes="app*4002*20170111*" /stext=" 01:.+((SYSTEM_STATE.+slice.+state.+changed )|(ment ac)|(multiple cpu faults)|(system.+state.+changed )|(\[timeout)|(PRM\|1\|D)|(kpr)|(kdp)|(\|lc)|(penalty))" /e /r /s</v>
      </c>
      <c r="AG198" s="1" t="str">
        <f t="shared" si="56"/>
        <v>NW</v>
      </c>
      <c r="AH198" s="88" t="str">
        <f t="shared" si="57"/>
        <v>"%USERPROFILE%\Documents\GitHub\eaglep3\Utilities\RefineRTDCRunTimes.py" --tripid 835-10 --locoid 4002 --swversion DE.1.0.8.0 --startMP 204:951 --initTime 2017-01-10T17:28:40 --startdatetime 2017-01-10T17:51:39 --delay 2 --endMP 300:58990 --enddatetime 2017-01-10T18:08:48 --enforcementcount 0 &gt;&gt;C:\Users\stu\Documents\GitHub\eaglep3-reporting\EC\2017-01-10-refined-times.txt</v>
      </c>
      <c r="AI198" s="115" t="str">
        <f t="shared" si="58"/>
        <v>echo {"issue":{"subject":"","project_id":79,"tracker_id":40,"status_id":1,"priority_id":2,"assigned_to_id":23,"start_date":"2017-01-10","description":"","custom_fields":[{"id":1,"name":"Subdivision","value":"NW"},{"id":4,"name":"Milepost","value":"5.899"},{"id":17,"name":"Train ID","value":"835-10"},{"id":16,"name":"Locomotive ID","value":"4002"},{"id":130,"name":"Impact","value":""},{"id":150,"name":"Time of Event (Mountain Time)","value":"18:08:48"},{"id":151,"name":"Denver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0"/>
      <c r="AK198" s="50"/>
      <c r="AL198" s="50"/>
      <c r="AM198" s="180" t="str">
        <f t="shared" si="59"/>
        <v>start /low /b %USERPROFILE%\Documents\GitHub\eaglep3\Utilities\DownloadLogsFromS3.py --loco 4002 --day 2017-01-10</v>
      </c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x14ac:dyDescent="0.25">
      <c r="A199" s="34" t="s">
        <v>452</v>
      </c>
      <c r="B199" s="7">
        <v>4001</v>
      </c>
      <c r="C199" s="22" t="s">
        <v>202</v>
      </c>
      <c r="D199" s="22" t="s">
        <v>788</v>
      </c>
      <c r="E199" s="13">
        <v>42745.757048611114</v>
      </c>
      <c r="F199" s="13">
        <v>42745.758437500001</v>
      </c>
      <c r="G199" s="7">
        <v>1</v>
      </c>
      <c r="H199" s="22" t="s">
        <v>789</v>
      </c>
      <c r="I199" s="13">
        <v>42745.769988425927</v>
      </c>
      <c r="J199" s="7">
        <v>0</v>
      </c>
      <c r="K199" s="105" t="str">
        <f t="shared" si="45"/>
        <v>4001/4002</v>
      </c>
      <c r="L199" s="22" t="str">
        <f>VLOOKUP(A199,'Trips&amp;Operators'!$C$1:$G$99999,5,FALSE)</f>
        <v>HILLS DUSTIN</v>
      </c>
      <c r="M199" s="6">
        <f t="shared" si="46"/>
        <v>1.1550925926712807E-2</v>
      </c>
      <c r="N199" s="7">
        <f t="shared" si="63"/>
        <v>16.633333334466442</v>
      </c>
      <c r="O199" s="7"/>
      <c r="P199" s="7"/>
      <c r="Q199" s="23"/>
      <c r="R199" s="23"/>
      <c r="S199" s="32">
        <f t="shared" si="64"/>
        <v>1</v>
      </c>
      <c r="T199" s="47" t="str">
        <f t="shared" si="47"/>
        <v>Southbound</v>
      </c>
      <c r="U199" s="167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https://search-rtdc-monitor-bjffxe2xuh6vdkpspy63sjmuny.us-east-1.es.amazonaws.com/_plugin/kibana/#/discover/Steve-Slow-Train-Analysis-(2080s-and-2083s)?_g=(refreshInterval:(display:Off,section:0,value:0),time:(from:'2017-01-10 17:10:09-700',mode:absolute,to:'2017-01-10 19:28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99" s="49" t="str">
        <f t="shared" si="49"/>
        <v>N</v>
      </c>
      <c r="X199" s="173">
        <f t="shared" si="60"/>
        <v>1</v>
      </c>
      <c r="Y199" s="64">
        <f t="shared" si="50"/>
        <v>5.8667999999999996</v>
      </c>
      <c r="Z199" s="64">
        <f t="shared" si="51"/>
        <v>6.8000000000000005E-2</v>
      </c>
      <c r="AA199" s="64">
        <f t="shared" si="52"/>
        <v>5.7988</v>
      </c>
      <c r="AB199" s="61" t="e">
        <f>VLOOKUP(A199,Enforcements!$C$7:$K$17,8,0)</f>
        <v>#N/A</v>
      </c>
      <c r="AC199" s="57" t="e">
        <f>VLOOKUP(A199,Enforcements!$C$7:$E$17,3,0)</f>
        <v>#N/A</v>
      </c>
      <c r="AD199" s="58" t="str">
        <f t="shared" si="53"/>
        <v>0836-10</v>
      </c>
      <c r="AE199" s="87" t="str">
        <f t="shared" si="54"/>
        <v>aws s3 cp s3://rtdc.mdm.uploadarchive.raw/RTDC4001/ "%USERPROFILE%\AppData\Local\Temp\OnboardLogs"\RTDC4001\2017-01-10 --exclude "*" --recursive --include "*20170110*" &amp; "%USERPROFILE%\Documents\GitHub\mrs-test-scripts\Headless Mode &amp; Sideloading\WalkAndUnGZ.bat" "%USERPROFILE%\AppData\Local\Temp\OnboardLogs"\RTDC4001\2017-01-10 &amp; aws s3 cp s3://rtdc.mdm.uploadarchive.raw/RTDC4001/ "%USERPROFILE%\AppData\Local\Temp\OnboardLogs"\RTDC4001\2017-01-11 --exclude "*" --recursive --include "*20170111*" &amp; "%USERPROFILE%\Documents\GitHub\mrs-test-scripts\Headless Mode &amp; Sideloading\WalkAndUnGZ.bat" "%USERPROFILE%\AppData\Local\Temp\OnboardLogs"\RTDC4001\2017-01-11</v>
      </c>
      <c r="AF199" s="84" t="str">
        <f t="shared" si="55"/>
        <v>"C:\Program Files (x86)\AstroGrep\AstroGrep.exe" /spath="%USERPROFILE%\AppData\Local\Temp\OnboardLogs" /stypes="app*4001*20170111*" /stext=" 01:.+((SYSTEM_STATE.+slice.+state.+changed )|(ment ac)|(multiple cpu faults)|(system.+state.+changed )|(\[timeout)|(PRM\|1\|D)|(kpr)|(kdp)|(\|lc)|(penalty))" /e /r /s</v>
      </c>
      <c r="AG199" s="1" t="str">
        <f t="shared" si="56"/>
        <v>NW</v>
      </c>
      <c r="AH199" s="88" t="str">
        <f t="shared" si="57"/>
        <v>"%USERPROFILE%\Documents\GitHub\eaglep3\Utilities\RefineRTDCRunTimes.py" --tripid 836-10 --locoid 4001 --swversion DE.1.0.8.0 --startMP 300:58668 --initTime 2017-01-10T18:10:09 --startdatetime 2017-01-10T18:12:09 --delay 1 --endMP 204:680 --enddatetime 2017-01-10T18:28:47 --enforcementcount 0 &gt;&gt;C:\Users\stu\Documents\GitHub\eaglep3-reporting\EC\2017-01-10-refined-times.txt</v>
      </c>
      <c r="AI199" s="115" t="str">
        <f t="shared" si="58"/>
        <v>echo {"issue":{"subject":"","project_id":79,"tracker_id":40,"status_id":1,"priority_id":2,"assigned_to_id":23,"start_date":"2017-01-10","description":"","custom_fields":[{"id":1,"name":"Subdivision","value":"NW"},{"id":4,"name":"Milepost","value":"0.068"},{"id":17,"name":"Train ID","value":"836-10"},{"id":16,"name":"Locomotive ID","value":"4001"},{"id":130,"name":"Impact","value":""},{"id":150,"name":"Time of Event (Mountain Time)","value":"18:28:47"},{"id":151,"name":"Denver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0"/>
      <c r="AK199" s="50"/>
      <c r="AL199" s="50"/>
      <c r="AM199" s="180" t="str">
        <f t="shared" si="59"/>
        <v>start /low /b %USERPROFILE%\Documents\GitHub\eaglep3\Utilities\DownloadLogsFromS3.py --loco 4001 --day 2017-01-10</v>
      </c>
    </row>
    <row r="200" spans="1:91" x14ac:dyDescent="0.25">
      <c r="A200" s="34" t="s">
        <v>620</v>
      </c>
      <c r="B200" s="7">
        <v>4029</v>
      </c>
      <c r="C200" s="22" t="s">
        <v>202</v>
      </c>
      <c r="D200" s="22" t="s">
        <v>419</v>
      </c>
      <c r="E200" s="13">
        <v>42745.761006944442</v>
      </c>
      <c r="F200" s="13">
        <v>42745.764768518522</v>
      </c>
      <c r="G200" s="7">
        <v>1</v>
      </c>
      <c r="H200" s="22" t="s">
        <v>781</v>
      </c>
      <c r="I200" s="13">
        <v>42745.774895833332</v>
      </c>
      <c r="J200" s="7">
        <v>0</v>
      </c>
      <c r="K200" s="105" t="str">
        <f t="shared" si="45"/>
        <v>4029/4030</v>
      </c>
      <c r="L200" s="22" t="str">
        <f>VLOOKUP(A200,'Trips&amp;Operators'!$C$1:$G$99999,5,FALSE)</f>
        <v>LEVIN SCOTT</v>
      </c>
      <c r="M200" s="6">
        <f t="shared" si="46"/>
        <v>1.0127314810233656E-2</v>
      </c>
      <c r="N200" s="7">
        <f t="shared" si="63"/>
        <v>14.583333326736465</v>
      </c>
      <c r="O200" s="7"/>
      <c r="P200" s="7"/>
      <c r="Q200" s="23"/>
      <c r="R200" s="23"/>
      <c r="S200" s="32">
        <f t="shared" si="64"/>
        <v>1</v>
      </c>
      <c r="T200" s="47" t="str">
        <f t="shared" si="47"/>
        <v>NorthBound</v>
      </c>
      <c r="U200" s="167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https://search-rtdc-monitor-bjffxe2xuh6vdkpspy63sjmuny.us-east-1.es.amazonaws.com/_plugin/kibana/#/discover/Steve-Slow-Train-Analysis-(2080s-and-2083s)?_g=(refreshInterval:(display:Off,section:0,value:0),time:(from:'2017-01-10 17:15:51-700',mode:absolute,to:'2017-01-10 19:35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00" s="49" t="str">
        <f t="shared" si="49"/>
        <v>N</v>
      </c>
      <c r="X200" s="173">
        <f t="shared" si="60"/>
        <v>1</v>
      </c>
      <c r="Y200" s="64">
        <f t="shared" si="50"/>
        <v>9.4600000000000004E-2</v>
      </c>
      <c r="Z200" s="64">
        <f t="shared" si="51"/>
        <v>5.8933</v>
      </c>
      <c r="AA200" s="64">
        <f t="shared" si="52"/>
        <v>5.7987000000000002</v>
      </c>
      <c r="AB200" s="61" t="e">
        <f>VLOOKUP(A200,Enforcements!$C$7:$K$17,8,0)</f>
        <v>#N/A</v>
      </c>
      <c r="AC200" s="57" t="e">
        <f>VLOOKUP(A200,Enforcements!$C$7:$E$17,3,0)</f>
        <v>#N/A</v>
      </c>
      <c r="AD200" s="58" t="str">
        <f t="shared" si="53"/>
        <v>0837-10</v>
      </c>
      <c r="AE200" s="87" t="str">
        <f t="shared" si="54"/>
        <v>aws s3 cp s3://rtdc.mdm.uploadarchive.raw/RTDC4029/ "%USERPROFILE%\AppData\Local\Temp\OnboardLogs"\RTDC4029\2017-01-10 --exclude "*" --recursive --include "*20170110*" &amp; "%USERPROFILE%\Documents\GitHub\mrs-test-scripts\Headless Mode &amp; Sideloading\WalkAndUnGZ.bat" "%USERPROFILE%\AppData\Local\Temp\OnboardLogs"\RTDC4029\2017-01-10 &amp; aws s3 cp s3://rtdc.mdm.uploadarchive.raw/RTDC4029/ "%USERPROFILE%\AppData\Local\Temp\OnboardLogs"\RTDC4029\2017-01-11 --exclude "*" --recursive --include "*20170111*" &amp; "%USERPROFILE%\Documents\GitHub\mrs-test-scripts\Headless Mode &amp; Sideloading\WalkAndUnGZ.bat" "%USERPROFILE%\AppData\Local\Temp\OnboardLogs"\RTDC4029\2017-01-11</v>
      </c>
      <c r="AF200" s="84" t="str">
        <f t="shared" si="55"/>
        <v>"C:\Program Files (x86)\AstroGrep\AstroGrep.exe" /spath="%USERPROFILE%\AppData\Local\Temp\OnboardLogs" /stypes="app*4029*20170111*" /stext=" 01:.+((SYSTEM_STATE.+slice.+state.+changed )|(ment ac)|(multiple cpu faults)|(system.+state.+changed )|(\[timeout)|(PRM\|1\|D)|(kpr)|(kdp)|(\|lc)|(penalty))" /e /r /s</v>
      </c>
      <c r="AG200" s="1" t="str">
        <f t="shared" si="56"/>
        <v>NW</v>
      </c>
      <c r="AH200" s="88" t="str">
        <f t="shared" si="57"/>
        <v>"%USERPROFILE%\Documents\GitHub\eaglep3\Utilities\RefineRTDCRunTimes.py" --tripid 837-10 --locoid 4029 --swversion DE.1.0.8.0 --startMP 204:946 --initTime 2017-01-10T18:15:51 --startdatetime 2017-01-10T18:21:16 --delay 1 --endMP 300:58933 --enddatetime 2017-01-10T18:35:51 --enforcementcount 0 &gt;&gt;C:\Users\stu\Documents\GitHub\eaglep3-reporting\EC\2017-01-10-refined-times.txt</v>
      </c>
      <c r="AI200" s="115" t="str">
        <f t="shared" si="58"/>
        <v>echo {"issue":{"subject":"","project_id":79,"tracker_id":40,"status_id":1,"priority_id":2,"assigned_to_id":23,"start_date":"2017-01-10","description":"","custom_fields":[{"id":1,"name":"Subdivision","value":"NW"},{"id":4,"name":"Milepost","value":"5.8933"},{"id":17,"name":"Train ID","value":"837-10"},{"id":16,"name":"Locomotive ID","value":"4029"},{"id":130,"name":"Impact","value":""},{"id":150,"name":"Time of Event (Mountain Time)","value":"18:35:51"},{"id":151,"name":"Denver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0"/>
      <c r="AK200" s="50"/>
      <c r="AL200" s="50"/>
      <c r="AM200" s="180" t="str">
        <f t="shared" si="59"/>
        <v>start /low /b %USERPROFILE%\Documents\GitHub\eaglep3\Utilities\DownloadLogsFromS3.py --loco 4029 --day 2017-01-10</v>
      </c>
    </row>
    <row r="201" spans="1:91" x14ac:dyDescent="0.25">
      <c r="A201" s="34" t="s">
        <v>626</v>
      </c>
      <c r="B201" s="7">
        <v>4030</v>
      </c>
      <c r="C201" s="22" t="s">
        <v>202</v>
      </c>
      <c r="D201" s="22" t="s">
        <v>418</v>
      </c>
      <c r="E201" s="13">
        <v>42745.776400462964</v>
      </c>
      <c r="F201" s="13">
        <v>42745.777627314812</v>
      </c>
      <c r="G201" s="7">
        <v>1</v>
      </c>
      <c r="H201" s="22" t="s">
        <v>421</v>
      </c>
      <c r="I201" s="13">
        <v>42745.788784722223</v>
      </c>
      <c r="J201" s="7">
        <v>0</v>
      </c>
      <c r="K201" s="105" t="str">
        <f t="shared" si="45"/>
        <v>4029/4030</v>
      </c>
      <c r="L201" s="22" t="str">
        <f>VLOOKUP(A201,'Trips&amp;Operators'!$C$1:$G$99999,5,FALSE)</f>
        <v>LEVIN SCOTT</v>
      </c>
      <c r="M201" s="6">
        <f t="shared" si="46"/>
        <v>1.1157407410792075E-2</v>
      </c>
      <c r="N201" s="7">
        <f t="shared" si="63"/>
        <v>16.066666671540588</v>
      </c>
      <c r="O201" s="7"/>
      <c r="P201" s="7"/>
      <c r="Q201" s="23"/>
      <c r="R201" s="23"/>
      <c r="S201" s="32">
        <f t="shared" si="64"/>
        <v>1</v>
      </c>
      <c r="T201" s="47" t="str">
        <f t="shared" si="47"/>
        <v>Southbound</v>
      </c>
      <c r="U201" s="167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https://search-rtdc-monitor-bjffxe2xuh6vdkpspy63sjmuny.us-east-1.es.amazonaws.com/_plugin/kibana/#/discover/Steve-Slow-Train-Analysis-(2080s-and-2083s)?_g=(refreshInterval:(display:Off,section:0,value:0),time:(from:'2017-01-10 17:38:01-700',mode:absolute,to:'2017-01-10 19:55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01" s="49" t="str">
        <f t="shared" si="49"/>
        <v>N</v>
      </c>
      <c r="X201" s="173">
        <f t="shared" si="60"/>
        <v>1</v>
      </c>
      <c r="Y201" s="64">
        <f t="shared" si="50"/>
        <v>5.8615000000000004</v>
      </c>
      <c r="Z201" s="64">
        <f t="shared" si="51"/>
        <v>6.6600000000000006E-2</v>
      </c>
      <c r="AA201" s="64">
        <f t="shared" si="52"/>
        <v>5.7949000000000002</v>
      </c>
      <c r="AB201" s="61" t="e">
        <f>VLOOKUP(A201,Enforcements!$C$7:$K$17,8,0)</f>
        <v>#N/A</v>
      </c>
      <c r="AC201" s="57" t="e">
        <f>VLOOKUP(A201,Enforcements!$C$7:$E$17,3,0)</f>
        <v>#N/A</v>
      </c>
      <c r="AD201" s="58" t="str">
        <f t="shared" si="53"/>
        <v>0838-10</v>
      </c>
      <c r="AE201" s="87" t="str">
        <f t="shared" si="54"/>
        <v>aws s3 cp s3://rtdc.mdm.uploadarchive.raw/RTDC4030/ "%USERPROFILE%\AppData\Local\Temp\OnboardLogs"\RTDC4030\2017-01-10 --exclude "*" --recursive --include "*20170110*" &amp; "%USERPROFILE%\Documents\GitHub\mrs-test-scripts\Headless Mode &amp; Sideloading\WalkAndUnGZ.bat" "%USERPROFILE%\AppData\Local\Temp\OnboardLogs"\RTDC4030\2017-01-10 &amp; aws s3 cp s3://rtdc.mdm.uploadarchive.raw/RTDC4030/ "%USERPROFILE%\AppData\Local\Temp\OnboardLogs"\RTDC4030\2017-01-11 --exclude "*" --recursive --include "*20170111*" &amp; "%USERPROFILE%\Documents\GitHub\mrs-test-scripts\Headless Mode &amp; Sideloading\WalkAndUnGZ.bat" "%USERPROFILE%\AppData\Local\Temp\OnboardLogs"\RTDC4030\2017-01-11</v>
      </c>
      <c r="AF201" s="84" t="str">
        <f t="shared" si="55"/>
        <v>"C:\Program Files (x86)\AstroGrep\AstroGrep.exe" /spath="%USERPROFILE%\AppData\Local\Temp\OnboardLogs" /stypes="app*4030*20170111*" /stext=" 01:.+((SYSTEM_STATE.+slice.+state.+changed )|(ment ac)|(multiple cpu faults)|(system.+state.+changed )|(\[timeout)|(PRM\|1\|D)|(kpr)|(kdp)|(\|lc)|(penalty))" /e /r /s</v>
      </c>
      <c r="AG201" s="1" t="str">
        <f t="shared" si="56"/>
        <v>NW</v>
      </c>
      <c r="AH201" s="88" t="str">
        <f t="shared" si="57"/>
        <v>"%USERPROFILE%\Documents\GitHub\eaglep3\Utilities\RefineRTDCRunTimes.py" --tripid 838-10 --locoid 4030 --swversion DE.1.0.8.0 --startMP 300:58615 --initTime 2017-01-10T18:38:01 --startdatetime 2017-01-10T18:39:47 --delay 1 --endMP 204:666 --enddatetime 2017-01-10T18:55:51 --enforcementcount 0 &gt;&gt;C:\Users\stu\Documents\GitHub\eaglep3-reporting\EC\2017-01-10-refined-times.txt</v>
      </c>
      <c r="AI201" s="115" t="str">
        <f t="shared" si="58"/>
        <v>echo {"issue":{"subject":"","project_id":79,"tracker_id":40,"status_id":1,"priority_id":2,"assigned_to_id":23,"start_date":"2017-01-10","description":"","custom_fields":[{"id":1,"name":"Subdivision","value":"NW"},{"id":4,"name":"Milepost","value":"0.0666"},{"id":17,"name":"Train ID","value":"838-10"},{"id":16,"name":"Locomotive ID","value":"4030"},{"id":130,"name":"Impact","value":""},{"id":150,"name":"Time of Event (Mountain Time)","value":"18:55:51"},{"id":151,"name":"Denver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0"/>
      <c r="AK201" s="50"/>
      <c r="AL201" s="50"/>
      <c r="AM201" s="180" t="str">
        <f t="shared" si="59"/>
        <v>start /low /b %USERPROFILE%\Documents\GitHub\eaglep3\Utilities\DownloadLogsFromS3.py --loco 4030 --day 2017-01-10</v>
      </c>
    </row>
    <row r="202" spans="1:91" x14ac:dyDescent="0.25">
      <c r="A202" s="34" t="s">
        <v>625</v>
      </c>
      <c r="B202" s="7">
        <v>4002</v>
      </c>
      <c r="C202" s="22" t="s">
        <v>202</v>
      </c>
      <c r="D202" s="22" t="s">
        <v>775</v>
      </c>
      <c r="E202" s="13">
        <v>42745.771724537037</v>
      </c>
      <c r="F202" s="13">
        <v>42745.786006944443</v>
      </c>
      <c r="G202" s="7">
        <v>1</v>
      </c>
      <c r="H202" s="22" t="s">
        <v>790</v>
      </c>
      <c r="I202" s="13">
        <v>42745.796342592592</v>
      </c>
      <c r="J202" s="7">
        <v>0</v>
      </c>
      <c r="K202" s="105" t="str">
        <f t="shared" si="45"/>
        <v>4001/4002</v>
      </c>
      <c r="L202" s="22" t="str">
        <f>VLOOKUP(A202,'Trips&amp;Operators'!$C$1:$G$99999,5,FALSE)</f>
        <v>HILLS DUSTIN</v>
      </c>
      <c r="M202" s="6">
        <f t="shared" si="46"/>
        <v>1.0335648148611654E-2</v>
      </c>
      <c r="N202" s="7">
        <f t="shared" si="63"/>
        <v>14.883333334000781</v>
      </c>
      <c r="O202" s="7"/>
      <c r="P202" s="7"/>
      <c r="Q202" s="23"/>
      <c r="R202" s="23"/>
      <c r="S202" s="32">
        <f t="shared" si="64"/>
        <v>1</v>
      </c>
      <c r="T202" s="47" t="str">
        <f t="shared" si="47"/>
        <v>NorthBound</v>
      </c>
      <c r="U202" s="167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https://search-rtdc-monitor-bjffxe2xuh6vdkpspy63sjmuny.us-east-1.es.amazonaws.com/_plugin/kibana/#/discover/Steve-Slow-Train-Analysis-(2080s-and-2083s)?_g=(refreshInterval:(display:Off,section:0,value:0),time:(from:'2017-01-10 17:31:17-700',mode:absolute,to:'2017-01-10 20:06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02" s="49" t="str">
        <f t="shared" si="49"/>
        <v>N</v>
      </c>
      <c r="X202" s="173">
        <f t="shared" si="60"/>
        <v>1</v>
      </c>
      <c r="Y202" s="64">
        <f t="shared" si="50"/>
        <v>9.6199999999999994E-2</v>
      </c>
      <c r="Z202" s="64">
        <f t="shared" si="51"/>
        <v>5.9002999999999997</v>
      </c>
      <c r="AA202" s="64">
        <f t="shared" si="52"/>
        <v>5.8041</v>
      </c>
      <c r="AB202" s="61" t="e">
        <f>VLOOKUP(A202,Enforcements!$C$7:$K$17,8,0)</f>
        <v>#N/A</v>
      </c>
      <c r="AC202" s="57" t="e">
        <f>VLOOKUP(A202,Enforcements!$C$7:$E$17,3,0)</f>
        <v>#N/A</v>
      </c>
      <c r="AD202" s="58" t="str">
        <f t="shared" si="53"/>
        <v>0839-10</v>
      </c>
      <c r="AE202" s="87" t="str">
        <f t="shared" si="54"/>
        <v>aws s3 cp s3://rtdc.mdm.uploadarchive.raw/RTDC4002/ "%USERPROFILE%\AppData\Local\Temp\OnboardLogs"\RTDC4002\2017-01-10 --exclude "*" --recursive --include "*20170110*" &amp; "%USERPROFILE%\Documents\GitHub\mrs-test-scripts\Headless Mode &amp; Sideloading\WalkAndUnGZ.bat" "%USERPROFILE%\AppData\Local\Temp\OnboardLogs"\RTDC4002\2017-01-10 &amp; aws s3 cp s3://rtdc.mdm.uploadarchive.raw/RTDC4002/ "%USERPROFILE%\AppData\Local\Temp\OnboardLogs"\RTDC4002\2017-01-11 --exclude "*" --recursive --include "*20170111*" &amp; "%USERPROFILE%\Documents\GitHub\mrs-test-scripts\Headless Mode &amp; Sideloading\WalkAndUnGZ.bat" "%USERPROFILE%\AppData\Local\Temp\OnboardLogs"\RTDC4002\2017-01-11</v>
      </c>
      <c r="AF202" s="84" t="str">
        <f t="shared" si="55"/>
        <v>"C:\Program Files (x86)\AstroGrep\AstroGrep.exe" /spath="%USERPROFILE%\AppData\Local\Temp\OnboardLogs" /stypes="app*4002*20170111*" /stext=" 02:.+((SYSTEM_STATE.+slice.+state.+changed )|(ment ac)|(multiple cpu faults)|(system.+state.+changed )|(\[timeout)|(PRM\|1\|D)|(kpr)|(kdp)|(\|lc)|(penalty))" /e /r /s</v>
      </c>
      <c r="AG202" s="1" t="str">
        <f t="shared" si="56"/>
        <v>NW</v>
      </c>
      <c r="AH202" s="88" t="str">
        <f t="shared" si="57"/>
        <v>"%USERPROFILE%\Documents\GitHub\eaglep3\Utilities\RefineRTDCRunTimes.py" --tripid 839-10 --locoid 4002 --swversion DE.1.0.8.0 --startMP 204:962 --initTime 2017-01-10T18:31:17 --startdatetime 2017-01-10T18:51:51 --delay 1 --endMP 300:59003 --enddatetime 2017-01-10T19:06:44 --enforcementcount 0 &gt;&gt;C:\Users\stu\Documents\GitHub\eaglep3-reporting\EC\2017-01-10-refined-times.txt</v>
      </c>
      <c r="AI202" s="115" t="str">
        <f t="shared" si="58"/>
        <v>echo {"issue":{"subject":"","project_id":79,"tracker_id":40,"status_id":1,"priority_id":2,"assigned_to_id":23,"start_date":"2017-01-10","description":"","custom_fields":[{"id":1,"name":"Subdivision","value":"NW"},{"id":4,"name":"Milepost","value":"5.9003"},{"id":17,"name":"Train ID","value":"839-10"},{"id":16,"name":"Locomotive ID","value":"4002"},{"id":130,"name":"Impact","value":""},{"id":150,"name":"Time of Event (Mountain Time)","value":"19:06:44"},{"id":151,"name":"Denver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0"/>
      <c r="AK202" s="50"/>
      <c r="AL202" s="50"/>
      <c r="AM202" s="180" t="str">
        <f t="shared" si="59"/>
        <v>start /low /b %USERPROFILE%\Documents\GitHub\eaglep3\Utilities\DownloadLogsFromS3.py --loco 4002 --day 2017-01-10</v>
      </c>
    </row>
    <row r="203" spans="1:91" x14ac:dyDescent="0.25">
      <c r="A203" s="34" t="s">
        <v>635</v>
      </c>
      <c r="B203" s="7">
        <v>4030</v>
      </c>
      <c r="C203" s="22" t="s">
        <v>202</v>
      </c>
      <c r="D203" s="22" t="s">
        <v>764</v>
      </c>
      <c r="E203" s="13">
        <v>42745.817557870374</v>
      </c>
      <c r="F203" s="13">
        <v>42745.818865740737</v>
      </c>
      <c r="G203" s="7">
        <v>1</v>
      </c>
      <c r="H203" s="22" t="s">
        <v>791</v>
      </c>
      <c r="I203" s="13">
        <v>42745.83222222222</v>
      </c>
      <c r="J203" s="7">
        <v>0</v>
      </c>
      <c r="K203" s="105" t="str">
        <f t="shared" si="45"/>
        <v>4029/4030</v>
      </c>
      <c r="L203" s="22" t="str">
        <f>VLOOKUP(A203,'Trips&amp;Operators'!$C$1:$G$99999,5,FALSE)</f>
        <v>LEVIN SCOTT</v>
      </c>
      <c r="M203" s="6">
        <f t="shared" si="46"/>
        <v>1.3356481482333038E-2</v>
      </c>
      <c r="N203" s="7">
        <f t="shared" si="63"/>
        <v>19.233333334559575</v>
      </c>
      <c r="O203" s="7"/>
      <c r="P203" s="7"/>
      <c r="Q203" s="23"/>
      <c r="R203" s="23"/>
      <c r="S203" s="32">
        <f t="shared" si="64"/>
        <v>1</v>
      </c>
      <c r="T203" s="47" t="str">
        <f t="shared" si="47"/>
        <v>Southbound</v>
      </c>
      <c r="U203" s="167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https://search-rtdc-monitor-bjffxe2xuh6vdkpspy63sjmuny.us-east-1.es.amazonaws.com/_plugin/kibana/#/discover/Steve-Slow-Train-Analysis-(2080s-and-2083s)?_g=(refreshInterval:(display:Off,section:0,value:0),time:(from:'2017-01-10 18:37:17-700',mode:absolute,to:'2017-01-10 20:58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03" s="49" t="str">
        <f t="shared" si="49"/>
        <v>N</v>
      </c>
      <c r="X203" s="173">
        <f t="shared" si="60"/>
        <v>1</v>
      </c>
      <c r="Y203" s="64">
        <f t="shared" si="50"/>
        <v>5.8625999999999996</v>
      </c>
      <c r="Z203" s="64">
        <f t="shared" si="51"/>
        <v>6.8400000000000002E-2</v>
      </c>
      <c r="AA203" s="64">
        <f t="shared" si="52"/>
        <v>5.7942</v>
      </c>
      <c r="AB203" s="61" t="e">
        <f>VLOOKUP(A203,Enforcements!$C$7:$K$17,8,0)</f>
        <v>#N/A</v>
      </c>
      <c r="AC203" s="57" t="e">
        <f>VLOOKUP(A203,Enforcements!$C$7:$E$17,3,0)</f>
        <v>#N/A</v>
      </c>
      <c r="AD203" s="58" t="str">
        <f t="shared" si="53"/>
        <v>0840-10</v>
      </c>
      <c r="AE203" s="87" t="str">
        <f t="shared" si="54"/>
        <v>aws s3 cp s3://rtdc.mdm.uploadarchive.raw/RTDC4030/ "%USERPROFILE%\AppData\Local\Temp\OnboardLogs"\RTDC4030\2017-01-10 --exclude "*" --recursive --include "*20170110*" &amp; "%USERPROFILE%\Documents\GitHub\mrs-test-scripts\Headless Mode &amp; Sideloading\WalkAndUnGZ.bat" "%USERPROFILE%\AppData\Local\Temp\OnboardLogs"\RTDC4030\2017-01-10 &amp; aws s3 cp s3://rtdc.mdm.uploadarchive.raw/RTDC4030/ "%USERPROFILE%\AppData\Local\Temp\OnboardLogs"\RTDC4030\2017-01-11 --exclude "*" --recursive --include "*20170111*" &amp; "%USERPROFILE%\Documents\GitHub\mrs-test-scripts\Headless Mode &amp; Sideloading\WalkAndUnGZ.bat" "%USERPROFILE%\AppData\Local\Temp\OnboardLogs"\RTDC4030\2017-01-11</v>
      </c>
      <c r="AF203" s="84" t="str">
        <f t="shared" si="55"/>
        <v>"C:\Program Files (x86)\AstroGrep\AstroGrep.exe" /spath="%USERPROFILE%\AppData\Local\Temp\OnboardLogs" /stypes="app*4030*20170111*" /stext=" 02:.+((SYSTEM_STATE.+slice.+state.+changed )|(ment ac)|(multiple cpu faults)|(system.+state.+changed )|(\[timeout)|(PRM\|1\|D)|(kpr)|(kdp)|(\|lc)|(penalty))" /e /r /s</v>
      </c>
      <c r="AG203" s="1" t="str">
        <f t="shared" si="56"/>
        <v>NW</v>
      </c>
      <c r="AH203" s="88" t="str">
        <f t="shared" si="57"/>
        <v>"%USERPROFILE%\Documents\GitHub\eaglep3\Utilities\RefineRTDCRunTimes.py" --tripid 840-10 --locoid 4030 --swversion DE.1.0.8.0 --startMP 300:58626 --initTime 2017-01-10T19:37:17 --startdatetime 2017-01-10T19:39:10 --delay 1 --endMP 204:684 --enddatetime 2017-01-10T19:58:24 --enforcementcount 0 &gt;&gt;C:\Users\stu\Documents\GitHub\eaglep3-reporting\EC\2017-01-10-refined-times.txt</v>
      </c>
      <c r="AI203" s="115" t="str">
        <f t="shared" si="58"/>
        <v>echo {"issue":{"subject":"","project_id":79,"tracker_id":40,"status_id":1,"priority_id":2,"assigned_to_id":23,"start_date":"2017-01-10","description":"","custom_fields":[{"id":1,"name":"Subdivision","value":"NW"},{"id":4,"name":"Milepost","value":"0.0684"},{"id":17,"name":"Train ID","value":"840-10"},{"id":16,"name":"Locomotive ID","value":"4030"},{"id":130,"name":"Impact","value":""},{"id":150,"name":"Time of Event (Mountain Time)","value":"19:58:24"},{"id":151,"name":"Denver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0"/>
      <c r="AK203" s="50"/>
      <c r="AL203" s="50"/>
      <c r="AM203" s="180" t="str">
        <f t="shared" si="59"/>
        <v>start /low /b %USERPROFILE%\Documents\GitHub\eaglep3\Utilities\DownloadLogsFromS3.py --loco 4030 --day 2017-01-10</v>
      </c>
    </row>
    <row r="204" spans="1:91" x14ac:dyDescent="0.25">
      <c r="A204" s="34" t="s">
        <v>631</v>
      </c>
      <c r="B204" s="7">
        <v>4029</v>
      </c>
      <c r="C204" s="22" t="s">
        <v>202</v>
      </c>
      <c r="D204" s="22" t="s">
        <v>792</v>
      </c>
      <c r="E204" s="13">
        <v>42745.802523148152</v>
      </c>
      <c r="F204" s="13">
        <v>42745.80641203704</v>
      </c>
      <c r="G204" s="7">
        <v>1</v>
      </c>
      <c r="H204" s="22" t="s">
        <v>422</v>
      </c>
      <c r="I204" s="13">
        <v>42745.816655092596</v>
      </c>
      <c r="J204" s="7">
        <v>0</v>
      </c>
      <c r="K204" s="105" t="str">
        <f t="shared" si="45"/>
        <v>4029/4030</v>
      </c>
      <c r="L204" s="22" t="str">
        <f>VLOOKUP(A204,'Trips&amp;Operators'!$C$1:$G$99999,5,FALSE)</f>
        <v>LEVIN SCOTT</v>
      </c>
      <c r="M204" s="6">
        <f t="shared" si="46"/>
        <v>1.0243055556202307E-2</v>
      </c>
      <c r="N204" s="7">
        <f t="shared" si="63"/>
        <v>14.750000000931323</v>
      </c>
      <c r="O204" s="7"/>
      <c r="P204" s="7"/>
      <c r="Q204" s="23"/>
      <c r="R204" s="23"/>
      <c r="S204" s="32">
        <f t="shared" si="64"/>
        <v>1</v>
      </c>
      <c r="T204" s="47" t="str">
        <f t="shared" si="47"/>
        <v>NorthBound</v>
      </c>
      <c r="U204" s="167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https://search-rtdc-monitor-bjffxe2xuh6vdkpspy63sjmuny.us-east-1.es.amazonaws.com/_plugin/kibana/#/discover/Steve-Slow-Train-Analysis-(2080s-and-2083s)?_g=(refreshInterval:(display:Off,section:0,value:0),time:(from:'2017-01-10 18:15:38-700',mode:absolute,to:'2017-01-10 20:35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04" s="49" t="str">
        <f t="shared" si="49"/>
        <v>N</v>
      </c>
      <c r="X204" s="173">
        <f t="shared" si="60"/>
        <v>1</v>
      </c>
      <c r="Y204" s="64">
        <f t="shared" si="50"/>
        <v>9.3700000000000006E-2</v>
      </c>
      <c r="Z204" s="64">
        <f t="shared" si="51"/>
        <v>5.8939000000000004</v>
      </c>
      <c r="AA204" s="64">
        <f t="shared" si="52"/>
        <v>5.8002000000000002</v>
      </c>
      <c r="AB204" s="61" t="e">
        <f>VLOOKUP(A204,Enforcements!$C$7:$K$17,8,0)</f>
        <v>#N/A</v>
      </c>
      <c r="AC204" s="57" t="e">
        <f>VLOOKUP(A204,Enforcements!$C$7:$E$17,3,0)</f>
        <v>#N/A</v>
      </c>
      <c r="AD204" s="58" t="str">
        <f t="shared" si="53"/>
        <v>0841-10</v>
      </c>
      <c r="AE204" s="87" t="str">
        <f t="shared" si="54"/>
        <v>aws s3 cp s3://rtdc.mdm.uploadarchive.raw/RTDC4029/ "%USERPROFILE%\AppData\Local\Temp\OnboardLogs"\RTDC4029\2017-01-10 --exclude "*" --recursive --include "*20170110*" &amp; "%USERPROFILE%\Documents\GitHub\mrs-test-scripts\Headless Mode &amp; Sideloading\WalkAndUnGZ.bat" "%USERPROFILE%\AppData\Local\Temp\OnboardLogs"\RTDC4029\2017-01-10 &amp; aws s3 cp s3://rtdc.mdm.uploadarchive.raw/RTDC4029/ "%USERPROFILE%\AppData\Local\Temp\OnboardLogs"\RTDC4029\2017-01-11 --exclude "*" --recursive --include "*20170111*" &amp; "%USERPROFILE%\Documents\GitHub\mrs-test-scripts\Headless Mode &amp; Sideloading\WalkAndUnGZ.bat" "%USERPROFILE%\AppData\Local\Temp\OnboardLogs"\RTDC4029\2017-01-11</v>
      </c>
      <c r="AF204" s="84" t="str">
        <f t="shared" si="55"/>
        <v>"C:\Program Files (x86)\AstroGrep\AstroGrep.exe" /spath="%USERPROFILE%\AppData\Local\Temp\OnboardLogs" /stypes="app*4029*20170111*" /stext=" 02:.+((SYSTEM_STATE.+slice.+state.+changed )|(ment ac)|(multiple cpu faults)|(system.+state.+changed )|(\[timeout)|(PRM\|1\|D)|(kpr)|(kdp)|(\|lc)|(penalty))" /e /r /s</v>
      </c>
      <c r="AG204" s="1" t="str">
        <f t="shared" si="56"/>
        <v>NW</v>
      </c>
      <c r="AH204" s="88" t="str">
        <f t="shared" si="57"/>
        <v>"%USERPROFILE%\Documents\GitHub\eaglep3\Utilities\RefineRTDCRunTimes.py" --tripid 841-10 --locoid 4029 --swversion DE.1.0.8.0 --startMP 204:937 --initTime 2017-01-10T19:15:38 --startdatetime 2017-01-10T19:21:14 --delay 1 --endMP 300:58939 --enddatetime 2017-01-10T19:35:59 --enforcementcount 0 &gt;&gt;C:\Users\stu\Documents\GitHub\eaglep3-reporting\EC\2017-01-10-refined-times.txt</v>
      </c>
      <c r="AI204" s="115" t="str">
        <f t="shared" si="58"/>
        <v>echo {"issue":{"subject":"","project_id":79,"tracker_id":40,"status_id":1,"priority_id":2,"assigned_to_id":23,"start_date":"2017-01-10","description":"","custom_fields":[{"id":1,"name":"Subdivision","value":"NW"},{"id":4,"name":"Milepost","value":"5.8939"},{"id":17,"name":"Train ID","value":"841-10"},{"id":16,"name":"Locomotive ID","value":"4029"},{"id":130,"name":"Impact","value":""},{"id":150,"name":"Time of Event (Mountain Time)","value":"19:35:59"},{"id":151,"name":"Denver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0"/>
      <c r="AK204" s="50"/>
      <c r="AL204" s="50"/>
      <c r="AM204" s="180" t="str">
        <f t="shared" si="59"/>
        <v>start /low /b %USERPROFILE%\Documents\GitHub\eaglep3\Utilities\DownloadLogsFromS3.py --loco 4029 --day 2017-01-10</v>
      </c>
    </row>
    <row r="205" spans="1:91" x14ac:dyDescent="0.25">
      <c r="A205" s="34" t="s">
        <v>642</v>
      </c>
      <c r="B205" s="7">
        <v>4030</v>
      </c>
      <c r="C205" s="22" t="s">
        <v>202</v>
      </c>
      <c r="D205" s="22" t="s">
        <v>351</v>
      </c>
      <c r="E205" s="13">
        <v>42745.859178240738</v>
      </c>
      <c r="F205" s="13">
        <v>42745.860567129632</v>
      </c>
      <c r="G205" s="7">
        <v>1</v>
      </c>
      <c r="H205" s="22" t="s">
        <v>793</v>
      </c>
      <c r="I205" s="13">
        <v>42745.871759259258</v>
      </c>
      <c r="J205" s="7">
        <v>0</v>
      </c>
      <c r="K205" s="105" t="str">
        <f t="shared" ref="K205:K241" si="65">IF(ISEVEN(B205),(B205-1)&amp;"/"&amp;B205,B205&amp;"/"&amp;(B205+1))</f>
        <v>4029/4030</v>
      </c>
      <c r="L205" s="22" t="str">
        <f>VLOOKUP(A205,'Trips&amp;Operators'!$C$1:$G$99999,5,FALSE)</f>
        <v>LEVIN SCOTT</v>
      </c>
      <c r="M205" s="6">
        <f t="shared" ref="M205:M241" si="66">I205-F205</f>
        <v>1.1192129626579117E-2</v>
      </c>
      <c r="N205" s="7">
        <f t="shared" si="63"/>
        <v>16.116666662273929</v>
      </c>
      <c r="O205" s="7"/>
      <c r="P205" s="7"/>
      <c r="Q205" s="23"/>
      <c r="R205" s="23"/>
      <c r="S205" s="32">
        <f t="shared" si="64"/>
        <v>1</v>
      </c>
      <c r="T205" s="47" t="str">
        <f t="shared" ref="T205:T241" si="67">IF(ISEVEN(LEFT(AD205,4)),"Southbound","NorthBound")</f>
        <v>Southbound</v>
      </c>
      <c r="U205" s="167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4" t="str">
        <f t="shared" ref="V205:V241" si="68">"https://search-rtdc-monitor-bjffxe2xuh6vdkpspy63sjmuny.us-east-1.es.amazonaws.com/_plugin/kibana/#/discover/Steve-Slow-Train-Analysis-(2080s-and-2083s)?_g=(refreshInterval:(display:Off,section:0,value:0),time:(from:'"&amp;TEXT(E205-1/24,"yyyy-MM-DD hh:mm:ss")&amp;utc_offset&amp;"00',mode:absolute,to:'"&amp;TEXT(I205+1/24,"yyyy-MM-DD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https://search-rtdc-monitor-bjffxe2xuh6vdkpspy63sjmuny.us-east-1.es.amazonaws.com/_plugin/kibana/#/discover/Steve-Slow-Train-Analysis-(2080s-and-2083s)?_g=(refreshInterval:(display:Off,section:0,value:0),time:(from:'2017-01-10 19:37:13-700',mode:absolute,to:'2017-01-10 21:55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05" s="49" t="str">
        <f t="shared" ref="W205:W241" si="69">IF(AA205&lt;IF(AG205="EC",23,5.65),"Y","N")</f>
        <v>N</v>
      </c>
      <c r="X205" s="173">
        <f t="shared" si="60"/>
        <v>1</v>
      </c>
      <c r="Y205" s="64">
        <f t="shared" ref="Y205:Y241" si="70">RIGHT(D205,LEN(D205)-4)/10000</f>
        <v>5.8620999999999999</v>
      </c>
      <c r="Z205" s="64">
        <f t="shared" ref="Z205:Z241" si="71">RIGHT(H205,LEN(H205)-4)/10000</f>
        <v>6.4500000000000002E-2</v>
      </c>
      <c r="AA205" s="64">
        <f t="shared" ref="AA205:AA268" si="72">ABS(Z205-Y205)</f>
        <v>5.7976000000000001</v>
      </c>
      <c r="AB205" s="61" t="e">
        <f>VLOOKUP(A205,Enforcements!$C$7:$K$17,8,0)</f>
        <v>#N/A</v>
      </c>
      <c r="AC205" s="57" t="e">
        <f>VLOOKUP(A205,Enforcements!$C$7:$E$17,3,0)</f>
        <v>#N/A</v>
      </c>
      <c r="AD205" s="58" t="str">
        <f t="shared" ref="AD205:AD241" si="73">IF(LEN(A205)=6,"0"&amp;A205,A205)</f>
        <v>0842-10</v>
      </c>
      <c r="AE205" s="87" t="str">
        <f t="shared" ref="AE205:AE241" si="74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s3://rtdc.mdm.uploadarchive.raw/RTDC4030/ "%USERPROFILE%\AppData\Local\Temp\OnboardLogs"\RTDC4030\2017-01-10 --exclude "*" --recursive --include "*20170110*" &amp; "%USERPROFILE%\Documents\GitHub\mrs-test-scripts\Headless Mode &amp; Sideloading\WalkAndUnGZ.bat" "%USERPROFILE%\AppData\Local\Temp\OnboardLogs"\RTDC4030\2017-01-10 &amp; aws s3 cp s3://rtdc.mdm.uploadarchive.raw/RTDC4030/ "%USERPROFILE%\AppData\Local\Temp\OnboardLogs"\RTDC4030\2017-01-11 --exclude "*" --recursive --include "*20170111*" &amp; "%USERPROFILE%\Documents\GitHub\mrs-test-scripts\Headless Mode &amp; Sideloading\WalkAndUnGZ.bat" "%USERPROFILE%\AppData\Local\Temp\OnboardLogs"\RTDC4030\2017-01-11</v>
      </c>
      <c r="AF205" s="84" t="str">
        <f t="shared" ref="AF205:AF241" si="75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/stypes="app*4030*20170111*" /stext=" 03:.+((SYSTEM_STATE.+slice.+state.+changed )|(ment ac)|(multiple cpu faults)|(system.+state.+changed )|(\[timeout)|(PRM\|1\|D)|(kpr)|(kdp)|(\|lc)|(penalty))" /e /r /s</v>
      </c>
      <c r="AG205" s="1" t="str">
        <f t="shared" ref="AG205:AG241" si="76">IFERROR(IF(VALUE(LEFT(AD205,2))&lt;=2,"EC",IF(OR(VALUE(LEFT(AD205,2))=8,VALUE(LEFT(AD205,2))=18),"NW","Other")),"Other")</f>
        <v>NW</v>
      </c>
      <c r="AH205" s="88" t="str">
        <f t="shared" ref="AH205:AH241" si="77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842-10 --locoid 4030 --swversion DE.1.0.8.0 --startMP 300:58621 --initTime 2017-01-10T20:37:13 --startdatetime 2017-01-10T20:39:13 --delay 1 --endMP 204:645 --enddatetime 2017-01-10T20:55:20 --enforcementcount 0 &gt;&gt;C:\Users\stu\Documents\GitHub\eaglep3-reporting\EC\2017-01-10-refined-times.txt</v>
      </c>
      <c r="AI205" s="115" t="str">
        <f t="shared" ref="AI205:AI241" si="78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{"issue":{"subject":"","project_id":79,"tracker_id":40,"status_id":1,"priority_id":2,"assigned_to_id":23,"start_date":"2017-01-10","description":"","custom_fields":[{"id":1,"name":"Subdivision","value":"NW"},{"id":4,"name":"Milepost","value":"0.0645"},{"id":17,"name":"Train ID","value":"842-10"},{"id":16,"name":"Locomotive ID","value":"4030"},{"id":130,"name":"Impact","value":""},{"id":150,"name":"Time of Event (Mountain Time)","value":"20:55:20"},{"id":151,"name":"Denver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0"/>
      <c r="AK205" s="50"/>
      <c r="AL205" s="50"/>
      <c r="AM205" s="180" t="str">
        <f t="shared" ref="AM205:AM241" si="79">"start /low /b "&amp;dls3logs&amp;" --loco "&amp;B205&amp;" --day "&amp;TEXT(F205,"YYYY-MM-DD")</f>
        <v>start /low /b %USERPROFILE%\Documents\GitHub\eaglep3\Utilities\DownloadLogsFromS3.py --loco 4030 --day 2017-01-10</v>
      </c>
    </row>
    <row r="206" spans="1:91" x14ac:dyDescent="0.25">
      <c r="A206" s="34" t="s">
        <v>641</v>
      </c>
      <c r="B206" s="7">
        <v>4029</v>
      </c>
      <c r="C206" s="22" t="s">
        <v>202</v>
      </c>
      <c r="D206" s="22" t="s">
        <v>794</v>
      </c>
      <c r="E206" s="13">
        <v>42745.843148148146</v>
      </c>
      <c r="F206" s="13">
        <v>42745.848078703704</v>
      </c>
      <c r="G206" s="7">
        <v>0</v>
      </c>
      <c r="H206" s="22" t="s">
        <v>414</v>
      </c>
      <c r="I206" s="13">
        <v>42745.858206018522</v>
      </c>
      <c r="J206" s="7">
        <v>0</v>
      </c>
      <c r="K206" s="105" t="str">
        <f t="shared" si="65"/>
        <v>4029/4030</v>
      </c>
      <c r="L206" s="22" t="str">
        <f>VLOOKUP(A206,'Trips&amp;Operators'!$C$1:$G$99999,5,FALSE)</f>
        <v>LEVIN SCOTT</v>
      </c>
      <c r="M206" s="6">
        <f t="shared" si="66"/>
        <v>1.0127314817509614E-2</v>
      </c>
      <c r="N206" s="7">
        <f t="shared" si="63"/>
        <v>14.583333337213844</v>
      </c>
      <c r="O206" s="7"/>
      <c r="P206" s="7"/>
      <c r="Q206" s="23"/>
      <c r="R206" s="23"/>
      <c r="S206" s="32">
        <f t="shared" si="64"/>
        <v>1</v>
      </c>
      <c r="T206" s="47" t="str">
        <f t="shared" si="67"/>
        <v>NorthBound</v>
      </c>
      <c r="U206" s="167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4" t="str">
        <f t="shared" si="68"/>
        <v>https://search-rtdc-monitor-bjffxe2xuh6vdkpspy63sjmuny.us-east-1.es.amazonaws.com/_plugin/kibana/#/discover/Steve-Slow-Train-Analysis-(2080s-and-2083s)?_g=(refreshInterval:(display:Off,section:0,value:0),time:(from:'2017-01-10 19:14:08-700',mode:absolute,to:'2017-01-10 21:35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06" s="49" t="str">
        <f t="shared" si="69"/>
        <v>N</v>
      </c>
      <c r="X206" s="173">
        <f t="shared" si="60"/>
        <v>1</v>
      </c>
      <c r="Y206" s="64">
        <f t="shared" si="70"/>
        <v>9.5699999999999993E-2</v>
      </c>
      <c r="Z206" s="64">
        <f t="shared" si="71"/>
        <v>5.8928000000000003</v>
      </c>
      <c r="AA206" s="64">
        <f t="shared" si="72"/>
        <v>5.7971000000000004</v>
      </c>
      <c r="AB206" s="61" t="e">
        <f>VLOOKUP(A206,Enforcements!$C$7:$K$17,8,0)</f>
        <v>#N/A</v>
      </c>
      <c r="AC206" s="57" t="e">
        <f>VLOOKUP(A206,Enforcements!$C$7:$E$17,3,0)</f>
        <v>#N/A</v>
      </c>
      <c r="AD206" s="58" t="str">
        <f t="shared" si="73"/>
        <v>0843-10</v>
      </c>
      <c r="AE206" s="87" t="str">
        <f t="shared" si="74"/>
        <v>aws s3 cp s3://rtdc.mdm.uploadarchive.raw/RTDC4029/ "%USERPROFILE%\AppData\Local\Temp\OnboardLogs"\RTDC4029\2017-01-10 --exclude "*" --recursive --include "*20170110*" &amp; "%USERPROFILE%\Documents\GitHub\mrs-test-scripts\Headless Mode &amp; Sideloading\WalkAndUnGZ.bat" "%USERPROFILE%\AppData\Local\Temp\OnboardLogs"\RTDC4029\2017-01-10 &amp; aws s3 cp s3://rtdc.mdm.uploadarchive.raw/RTDC4029/ "%USERPROFILE%\AppData\Local\Temp\OnboardLogs"\RTDC4029\2017-01-11 --exclude "*" --recursive --include "*20170111*" &amp; "%USERPROFILE%\Documents\GitHub\mrs-test-scripts\Headless Mode &amp; Sideloading\WalkAndUnGZ.bat" "%USERPROFILE%\AppData\Local\Temp\OnboardLogs"\RTDC4029\2017-01-11</v>
      </c>
      <c r="AF206" s="84" t="str">
        <f t="shared" si="75"/>
        <v>"C:\Program Files (x86)\AstroGrep\AstroGrep.exe" /spath="%USERPROFILE%\AppData\Local\Temp\OnboardLogs" /stypes="app*4029*20170111*" /stext=" 03:.+((SYSTEM_STATE.+slice.+state.+changed )|(ment ac)|(multiple cpu faults)|(system.+state.+changed )|(\[timeout)|(PRM\|1\|D)|(kpr)|(kdp)|(\|lc)|(penalty))" /e /r /s</v>
      </c>
      <c r="AG206" s="1" t="str">
        <f t="shared" si="76"/>
        <v>NW</v>
      </c>
      <c r="AH206" s="88" t="str">
        <f t="shared" si="77"/>
        <v>"%USERPROFILE%\Documents\GitHub\eaglep3\Utilities\RefineRTDCRunTimes.py" --tripid 843-10 --locoid 4029 --swversion DE.1.0.8.0 --startMP 204:957 --initTime 2017-01-10T20:14:08 --startdatetime 2017-01-10T20:21:14 --delay 0 --endMP 300:58928 --enddatetime 2017-01-10T20:35:49 --enforcementcount 0 &gt;&gt;C:\Users\stu\Documents\GitHub\eaglep3-reporting\EC\2017-01-10-refined-times.txt</v>
      </c>
      <c r="AI206" s="115" t="str">
        <f t="shared" si="78"/>
        <v>echo {"issue":{"subject":"","project_id":79,"tracker_id":40,"status_id":1,"priority_id":2,"assigned_to_id":23,"start_date":"2017-01-10","description":"","custom_fields":[{"id":1,"name":"Subdivision","value":"NW"},{"id":4,"name":"Milepost","value":"5.8928"},{"id":17,"name":"Train ID","value":"843-10"},{"id":16,"name":"Locomotive ID","value":"4029"},{"id":130,"name":"Impact","value":""},{"id":150,"name":"Time of Event (Mountain Time)","value":"20:35:49"},{"id":151,"name":"Denver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0"/>
      <c r="AK206" s="50"/>
      <c r="AL206" s="50"/>
      <c r="AM206" s="180" t="str">
        <f t="shared" si="79"/>
        <v>start /low /b %USERPROFILE%\Documents\GitHub\eaglep3\Utilities\DownloadLogsFromS3.py --loco 4029 --day 2017-01-10</v>
      </c>
    </row>
    <row r="207" spans="1:91" x14ac:dyDescent="0.25">
      <c r="A207" s="34" t="s">
        <v>456</v>
      </c>
      <c r="B207" s="7">
        <v>4030</v>
      </c>
      <c r="C207" s="22" t="s">
        <v>202</v>
      </c>
      <c r="D207" s="22" t="s">
        <v>795</v>
      </c>
      <c r="E207" s="13">
        <v>42745.901423611111</v>
      </c>
      <c r="F207" s="13">
        <v>42745.903263888889</v>
      </c>
      <c r="G207" s="7">
        <v>1</v>
      </c>
      <c r="H207" s="22" t="s">
        <v>796</v>
      </c>
      <c r="I207" s="13">
        <v>42745.913090277776</v>
      </c>
      <c r="J207" s="7">
        <v>0</v>
      </c>
      <c r="K207" s="105" t="str">
        <f t="shared" si="65"/>
        <v>4029/4030</v>
      </c>
      <c r="L207" s="22" t="str">
        <f>VLOOKUP(A207,'Trips&amp;Operators'!$C$1:$G$99999,5,FALSE)</f>
        <v>HILLS DUSTIN</v>
      </c>
      <c r="M207" s="6">
        <f t="shared" si="66"/>
        <v>9.8263888867222704E-3</v>
      </c>
      <c r="N207" s="7">
        <f t="shared" si="63"/>
        <v>14.149999996880069</v>
      </c>
      <c r="O207" s="7"/>
      <c r="P207" s="7"/>
      <c r="Q207" s="23"/>
      <c r="R207" s="23"/>
      <c r="S207" s="32">
        <f t="shared" si="64"/>
        <v>1</v>
      </c>
      <c r="T207" s="47" t="str">
        <f t="shared" si="67"/>
        <v>Southbound</v>
      </c>
      <c r="U207" s="167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4" t="str">
        <f t="shared" si="68"/>
        <v>https://search-rtdc-monitor-bjffxe2xuh6vdkpspy63sjmuny.us-east-1.es.amazonaws.com/_plugin/kibana/#/discover/Steve-Slow-Train-Analysis-(2080s-and-2083s)?_g=(refreshInterval:(display:Off,section:0,value:0),time:(from:'2017-01-10 20:38:03-700',mode:absolute,to:'2017-01-10 22:54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07" s="49" t="str">
        <f t="shared" si="69"/>
        <v>N</v>
      </c>
      <c r="X207" s="173">
        <f t="shared" si="60"/>
        <v>1</v>
      </c>
      <c r="Y207" s="64">
        <f t="shared" si="70"/>
        <v>5.8663999999999996</v>
      </c>
      <c r="Z207" s="64">
        <f t="shared" si="71"/>
        <v>6.7799999999999999E-2</v>
      </c>
      <c r="AA207" s="64">
        <f t="shared" si="72"/>
        <v>5.7985999999999995</v>
      </c>
      <c r="AB207" s="61" t="e">
        <f>VLOOKUP(A207,Enforcements!$C$7:$K$17,8,0)</f>
        <v>#N/A</v>
      </c>
      <c r="AC207" s="57" t="e">
        <f>VLOOKUP(A207,Enforcements!$C$7:$E$17,3,0)</f>
        <v>#N/A</v>
      </c>
      <c r="AD207" s="58" t="str">
        <f t="shared" si="73"/>
        <v>0844-10</v>
      </c>
      <c r="AE207" s="87" t="str">
        <f t="shared" si="74"/>
        <v>aws s3 cp s3://rtdc.mdm.uploadarchive.raw/RTDC4030/ "%USERPROFILE%\AppData\Local\Temp\OnboardLogs"\RTDC4030\2017-01-10 --exclude "*" --recursive --include "*20170110*" &amp; "%USERPROFILE%\Documents\GitHub\mrs-test-scripts\Headless Mode &amp; Sideloading\WalkAndUnGZ.bat" "%USERPROFILE%\AppData\Local\Temp\OnboardLogs"\RTDC4030\2017-01-10 &amp; aws s3 cp s3://rtdc.mdm.uploadarchive.raw/RTDC4030/ "%USERPROFILE%\AppData\Local\Temp\OnboardLogs"\RTDC4030\2017-01-11 --exclude "*" --recursive --include "*20170111*" &amp; "%USERPROFILE%\Documents\GitHub\mrs-test-scripts\Headless Mode &amp; Sideloading\WalkAndUnGZ.bat" "%USERPROFILE%\AppData\Local\Temp\OnboardLogs"\RTDC4030\2017-01-11</v>
      </c>
      <c r="AF207" s="84" t="str">
        <f t="shared" si="75"/>
        <v>"C:\Program Files (x86)\AstroGrep\AstroGrep.exe" /spath="%USERPROFILE%\AppData\Local\Temp\OnboardLogs" /stypes="app*4030*20170111*" /stext=" 04:.+((SYSTEM_STATE.+slice.+state.+changed )|(ment ac)|(multiple cpu faults)|(system.+state.+changed )|(\[timeout)|(PRM\|1\|D)|(kpr)|(kdp)|(\|lc)|(penalty))" /e /r /s</v>
      </c>
      <c r="AG207" s="1" t="str">
        <f t="shared" si="76"/>
        <v>NW</v>
      </c>
      <c r="AH207" s="88" t="str">
        <f t="shared" si="77"/>
        <v>"%USERPROFILE%\Documents\GitHub\eaglep3\Utilities\RefineRTDCRunTimes.py" --tripid 844-10 --locoid 4030 --swversion DE.1.0.8.0 --startMP 300:58664 --initTime 2017-01-10T21:38:03 --startdatetime 2017-01-10T21:40:42 --delay 1 --endMP 204:678 --enddatetime 2017-01-10T21:54:51 --enforcementcount 0 &gt;&gt;C:\Users\stu\Documents\GitHub\eaglep3-reporting\EC\2017-01-10-refined-times.txt</v>
      </c>
      <c r="AI207" s="115" t="str">
        <f t="shared" si="78"/>
        <v>echo {"issue":{"subject":"","project_id":79,"tracker_id":40,"status_id":1,"priority_id":2,"assigned_to_id":23,"start_date":"2017-01-10","description":"","custom_fields":[{"id":1,"name":"Subdivision","value":"NW"},{"id":4,"name":"Milepost","value":"0.0678"},{"id":17,"name":"Train ID","value":"844-10"},{"id":16,"name":"Locomotive ID","value":"4030"},{"id":130,"name":"Impact","value":""},{"id":150,"name":"Time of Event (Mountain Time)","value":"21:54:51"},{"id":151,"name":"Denver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0"/>
      <c r="AK207" s="50"/>
      <c r="AL207" s="50"/>
      <c r="AM207" s="180" t="str">
        <f t="shared" si="79"/>
        <v>start /low /b %USERPROFILE%\Documents\GitHub\eaglep3\Utilities\DownloadLogsFromS3.py --loco 4030 --day 2017-01-10</v>
      </c>
    </row>
    <row r="208" spans="1:91" x14ac:dyDescent="0.25">
      <c r="A208" s="34" t="s">
        <v>455</v>
      </c>
      <c r="B208" s="7">
        <v>4029</v>
      </c>
      <c r="C208" s="22" t="s">
        <v>202</v>
      </c>
      <c r="D208" s="22" t="s">
        <v>777</v>
      </c>
      <c r="E208" s="13">
        <v>42745.87605324074</v>
      </c>
      <c r="F208" s="13">
        <v>42745.889722222222</v>
      </c>
      <c r="G208" s="7">
        <v>1</v>
      </c>
      <c r="H208" s="22" t="s">
        <v>797</v>
      </c>
      <c r="I208" s="13">
        <v>42745.899918981479</v>
      </c>
      <c r="J208" s="7">
        <v>0</v>
      </c>
      <c r="K208" s="105" t="str">
        <f t="shared" si="65"/>
        <v>4029/4030</v>
      </c>
      <c r="L208" s="22" t="str">
        <f>VLOOKUP(A208,'Trips&amp;Operators'!$C$1:$G$99999,5,FALSE)</f>
        <v>HILLS DUSTIN</v>
      </c>
      <c r="M208" s="6">
        <f t="shared" si="66"/>
        <v>1.0196759256359655E-2</v>
      </c>
      <c r="N208" s="7">
        <f t="shared" si="63"/>
        <v>14.683333329157904</v>
      </c>
      <c r="O208" s="7"/>
      <c r="P208" s="7"/>
      <c r="Q208" s="23"/>
      <c r="R208" s="23"/>
      <c r="S208" s="32">
        <f t="shared" si="64"/>
        <v>1</v>
      </c>
      <c r="T208" s="47" t="str">
        <f t="shared" si="67"/>
        <v>NorthBound</v>
      </c>
      <c r="U208" s="167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4" t="str">
        <f t="shared" si="68"/>
        <v>https://search-rtdc-monitor-bjffxe2xuh6vdkpspy63sjmuny.us-east-1.es.amazonaws.com/_plugin/kibana/#/discover/Steve-Slow-Train-Analysis-(2080s-and-2083s)?_g=(refreshInterval:(display:Off,section:0,value:0),time:(from:'2017-01-10 20:01:31-700',mode:absolute,to:'2017-01-10 22:35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08" s="49" t="str">
        <f t="shared" si="69"/>
        <v>N</v>
      </c>
      <c r="X208" s="173">
        <f t="shared" si="60"/>
        <v>1</v>
      </c>
      <c r="Y208" s="64">
        <f t="shared" si="70"/>
        <v>9.2899999999999996E-2</v>
      </c>
      <c r="Z208" s="64">
        <f t="shared" si="71"/>
        <v>5.8987999999999996</v>
      </c>
      <c r="AA208" s="64">
        <f t="shared" si="72"/>
        <v>5.8058999999999994</v>
      </c>
      <c r="AB208" s="61" t="e">
        <f>VLOOKUP(A208,Enforcements!$C$7:$K$17,8,0)</f>
        <v>#N/A</v>
      </c>
      <c r="AC208" s="57" t="e">
        <f>VLOOKUP(A208,Enforcements!$C$7:$E$17,3,0)</f>
        <v>#N/A</v>
      </c>
      <c r="AD208" s="58" t="str">
        <f t="shared" si="73"/>
        <v>0845-10</v>
      </c>
      <c r="AE208" s="87" t="str">
        <f t="shared" si="74"/>
        <v>aws s3 cp s3://rtdc.mdm.uploadarchive.raw/RTDC4029/ "%USERPROFILE%\AppData\Local\Temp\OnboardLogs"\RTDC4029\2017-01-10 --exclude "*" --recursive --include "*20170110*" &amp; "%USERPROFILE%\Documents\GitHub\mrs-test-scripts\Headless Mode &amp; Sideloading\WalkAndUnGZ.bat" "%USERPROFILE%\AppData\Local\Temp\OnboardLogs"\RTDC4029\2017-01-10 &amp; aws s3 cp s3://rtdc.mdm.uploadarchive.raw/RTDC4029/ "%USERPROFILE%\AppData\Local\Temp\OnboardLogs"\RTDC4029\2017-01-11 --exclude "*" --recursive --include "*20170111*" &amp; "%USERPROFILE%\Documents\GitHub\mrs-test-scripts\Headless Mode &amp; Sideloading\WalkAndUnGZ.bat" "%USERPROFILE%\AppData\Local\Temp\OnboardLogs"\RTDC4029\2017-01-11</v>
      </c>
      <c r="AF208" s="84" t="str">
        <f t="shared" si="75"/>
        <v>"C:\Program Files (x86)\AstroGrep\AstroGrep.exe" /spath="%USERPROFILE%\AppData\Local\Temp\OnboardLogs" /stypes="app*4029*20170111*" /stext=" 04:.+((SYSTEM_STATE.+slice.+state.+changed )|(ment ac)|(multiple cpu faults)|(system.+state.+changed )|(\[timeout)|(PRM\|1\|D)|(kpr)|(kdp)|(\|lc)|(penalty))" /e /r /s</v>
      </c>
      <c r="AG208" s="1" t="str">
        <f t="shared" si="76"/>
        <v>NW</v>
      </c>
      <c r="AH208" s="88" t="str">
        <f t="shared" si="77"/>
        <v>"%USERPROFILE%\Documents\GitHub\eaglep3\Utilities\RefineRTDCRunTimes.py" --tripid 845-10 --locoid 4029 --swversion DE.1.0.8.0 --startMP 204:929 --initTime 2017-01-10T21:01:31 --startdatetime 2017-01-10T21:21:12 --delay 1 --endMP 300:58988 --enddatetime 2017-01-10T21:35:53 --enforcementcount 0 &gt;&gt;C:\Users\stu\Documents\GitHub\eaglep3-reporting\EC\2017-01-10-refined-times.txt</v>
      </c>
      <c r="AI208" s="115" t="str">
        <f t="shared" si="78"/>
        <v>echo {"issue":{"subject":"","project_id":79,"tracker_id":40,"status_id":1,"priority_id":2,"assigned_to_id":23,"start_date":"2017-01-10","description":"","custom_fields":[{"id":1,"name":"Subdivision","value":"NW"},{"id":4,"name":"Milepost","value":"5.8988"},{"id":17,"name":"Train ID","value":"845-10"},{"id":16,"name":"Locomotive ID","value":"4029"},{"id":130,"name":"Impact","value":""},{"id":150,"name":"Time of Event (Mountain Time)","value":"21:35:53"},{"id":151,"name":"Denver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0"/>
      <c r="AK208" s="50"/>
      <c r="AL208" s="50"/>
      <c r="AM208" s="180" t="str">
        <f t="shared" si="79"/>
        <v>start /low /b %USERPROFILE%\Documents\GitHub\eaglep3\Utilities\DownloadLogsFromS3.py --loco 4029 --day 2017-01-10</v>
      </c>
    </row>
    <row r="209" spans="1:39" x14ac:dyDescent="0.25">
      <c r="A209" s="34" t="s">
        <v>649</v>
      </c>
      <c r="B209" s="7">
        <v>4029</v>
      </c>
      <c r="C209" s="22" t="s">
        <v>202</v>
      </c>
      <c r="D209" s="22" t="s">
        <v>798</v>
      </c>
      <c r="E209" s="13">
        <v>42745.91609953704</v>
      </c>
      <c r="F209" s="13">
        <v>42745.931585648148</v>
      </c>
      <c r="G209" s="7">
        <v>1</v>
      </c>
      <c r="H209" s="22" t="s">
        <v>790</v>
      </c>
      <c r="I209" s="13">
        <v>42745.941944444443</v>
      </c>
      <c r="J209" s="7">
        <v>0</v>
      </c>
      <c r="K209" s="105" t="str">
        <f t="shared" si="65"/>
        <v>4029/4030</v>
      </c>
      <c r="L209" s="22" t="str">
        <f>VLOOKUP(A209,'Trips&amp;Operators'!$C$1:$G$99999,5,FALSE)</f>
        <v>HILLS DUSTIN</v>
      </c>
      <c r="M209" s="6">
        <f t="shared" si="66"/>
        <v>1.0358796294895001E-2</v>
      </c>
      <c r="N209" s="7">
        <f t="shared" si="63"/>
        <v>14.916666664648801</v>
      </c>
      <c r="O209" s="7"/>
      <c r="P209" s="7"/>
      <c r="Q209" s="23"/>
      <c r="R209" s="23"/>
      <c r="S209" s="32">
        <f t="shared" si="64"/>
        <v>1</v>
      </c>
      <c r="T209" s="47" t="str">
        <f t="shared" si="67"/>
        <v>NorthBound</v>
      </c>
      <c r="U209" s="167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4" t="str">
        <f t="shared" si="68"/>
        <v>https://search-rtdc-monitor-bjffxe2xuh6vdkpspy63sjmuny.us-east-1.es.amazonaws.com/_plugin/kibana/#/discover/Steve-Slow-Train-Analysis-(2080s-and-2083s)?_g=(refreshInterval:(display:Off,section:0,value:0),time:(from:'2017-01-10 20:59:11-700',mode:absolute,to:'2017-01-10 23:36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09" s="49" t="str">
        <f t="shared" si="69"/>
        <v>N</v>
      </c>
      <c r="X209" s="173">
        <f t="shared" si="60"/>
        <v>2</v>
      </c>
      <c r="Y209" s="64">
        <f t="shared" si="70"/>
        <v>9.6699999999999994E-2</v>
      </c>
      <c r="Z209" s="64">
        <f t="shared" si="71"/>
        <v>5.9002999999999997</v>
      </c>
      <c r="AA209" s="64">
        <f t="shared" si="72"/>
        <v>5.8035999999999994</v>
      </c>
      <c r="AB209" s="61" t="e">
        <f>VLOOKUP(A209,Enforcements!$C$7:$K$17,8,0)</f>
        <v>#N/A</v>
      </c>
      <c r="AC209" s="57" t="e">
        <f>VLOOKUP(A209,Enforcements!$C$7:$E$17,3,0)</f>
        <v>#N/A</v>
      </c>
      <c r="AD209" s="58" t="str">
        <f t="shared" si="73"/>
        <v>0847-10</v>
      </c>
      <c r="AE209" s="87" t="str">
        <f t="shared" si="74"/>
        <v>aws s3 cp s3://rtdc.mdm.uploadarchive.raw/RTDC4029/ "%USERPROFILE%\AppData\Local\Temp\OnboardLogs"\RTDC4029\2017-01-10 --exclude "*" --recursive --include "*20170110*" &amp; "%USERPROFILE%\Documents\GitHub\mrs-test-scripts\Headless Mode &amp; Sideloading\WalkAndUnGZ.bat" "%USERPROFILE%\AppData\Local\Temp\OnboardLogs"\RTDC4029\2017-01-10 &amp; aws s3 cp s3://rtdc.mdm.uploadarchive.raw/RTDC4029/ "%USERPROFILE%\AppData\Local\Temp\OnboardLogs"\RTDC4029\2017-01-11 --exclude "*" --recursive --include "*20170111*" &amp; "%USERPROFILE%\Documents\GitHub\mrs-test-scripts\Headless Mode &amp; Sideloading\WalkAndUnGZ.bat" "%USERPROFILE%\AppData\Local\Temp\OnboardLogs"\RTDC4029\2017-01-11</v>
      </c>
      <c r="AF209" s="84" t="str">
        <f t="shared" si="75"/>
        <v>"C:\Program Files (x86)\AstroGrep\AstroGrep.exe" /spath="%USERPROFILE%\AppData\Local\Temp\OnboardLogs" /stypes="app*4029*20170111*" /stext=" 05:.+((SYSTEM_STATE.+slice.+state.+changed )|(ment ac)|(multiple cpu faults)|(system.+state.+changed )|(\[timeout)|(PRM\|1\|D)|(kpr)|(kdp)|(\|lc)|(penalty))" /e /r /s</v>
      </c>
      <c r="AG209" s="1" t="str">
        <f t="shared" si="76"/>
        <v>NW</v>
      </c>
      <c r="AH209" s="88" t="str">
        <f t="shared" si="77"/>
        <v>"%USERPROFILE%\Documents\GitHub\eaglep3\Utilities\RefineRTDCRunTimes.py" --tripid 847-10 --locoid 4029 --swversion DE.1.0.8.0 --startMP 204:967 --initTime 2017-01-10T21:59:11 --startdatetime 2017-01-10T22:21:29 --delay 1 --endMP 300:59003 --enddatetime 2017-01-10T22:36:24 --enforcementcount 0 &gt;&gt;C:\Users\stu\Documents\GitHub\eaglep3-reporting\EC\2017-01-10-refined-times.txt</v>
      </c>
      <c r="AI209" s="115" t="str">
        <f t="shared" si="78"/>
        <v>echo {"issue":{"subject":"","project_id":79,"tracker_id":40,"status_id":1,"priority_id":2,"assigned_to_id":23,"start_date":"2017-01-10","description":"","custom_fields":[{"id":1,"name":"Subdivision","value":"NW"},{"id":4,"name":"Milepost","value":"5.9003"},{"id":17,"name":"Train ID","value":"847-10"},{"id":16,"name":"Locomotive ID","value":"4029"},{"id":130,"name":"Impact","value":""},{"id":150,"name":"Time of Event (Mountain Time)","value":"22:36:24"},{"id":151,"name":"Denver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0"/>
      <c r="AK209" s="50"/>
      <c r="AL209" s="50"/>
      <c r="AM209" s="180" t="str">
        <f t="shared" si="79"/>
        <v>start /low /b %USERPROFILE%\Documents\GitHub\eaglep3\Utilities\DownloadLogsFromS3.py --loco 4029 --day 2017-01-10</v>
      </c>
    </row>
    <row r="210" spans="1:39" x14ac:dyDescent="0.25">
      <c r="A210" s="34" t="s">
        <v>458</v>
      </c>
      <c r="B210" s="7">
        <v>4008</v>
      </c>
      <c r="C210" s="22" t="s">
        <v>202</v>
      </c>
      <c r="D210" s="22" t="s">
        <v>724</v>
      </c>
      <c r="E210" s="13">
        <v>42745.119155092594</v>
      </c>
      <c r="F210" s="13">
        <v>42745.120486111111</v>
      </c>
      <c r="G210" s="7">
        <v>1</v>
      </c>
      <c r="H210" s="22" t="s">
        <v>270</v>
      </c>
      <c r="I210" s="13">
        <v>42745.127013888887</v>
      </c>
      <c r="J210" s="7">
        <v>0</v>
      </c>
      <c r="K210" s="105" t="str">
        <f t="shared" si="65"/>
        <v>4007/4008</v>
      </c>
      <c r="L210" s="22" t="str">
        <f>VLOOKUP(A210,'Trips&amp;Operators'!$C$1:$G$99999,5,FALSE)</f>
        <v>CUSHING HARRY</v>
      </c>
      <c r="M210" s="6">
        <f t="shared" si="66"/>
        <v>6.5277777757728472E-3</v>
      </c>
      <c r="N210" s="7">
        <f t="shared" si="63"/>
        <v>9.3999999971129</v>
      </c>
      <c r="O210" s="7"/>
      <c r="P210" s="7"/>
      <c r="Q210" s="23"/>
      <c r="R210" s="23"/>
      <c r="S210" s="32">
        <f t="shared" si="64"/>
        <v>1</v>
      </c>
      <c r="T210" s="47" t="str">
        <f t="shared" si="67"/>
        <v>Southbound</v>
      </c>
      <c r="U210" s="167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4" t="str">
        <f t="shared" si="68"/>
        <v>https://search-rtdc-monitor-bjffxe2xuh6vdkpspy63sjmuny.us-east-1.es.amazonaws.com/_plugin/kibana/#/discover/Steve-Slow-Train-Analysis-(2080s-and-2083s)?_g=(refreshInterval:(display:Off,section:0,value:0),time:(from:'2017-01-10 01:51:35-700',mode:absolute,to:'2017-01-10 04:02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10" s="49" t="str">
        <f t="shared" si="69"/>
        <v>Y</v>
      </c>
      <c r="X210" s="173">
        <f t="shared" si="60"/>
        <v>-545</v>
      </c>
      <c r="Y210" s="64">
        <f t="shared" si="70"/>
        <v>2.2017000000000002</v>
      </c>
      <c r="Z210" s="64">
        <f t="shared" si="71"/>
        <v>1.41E-2</v>
      </c>
      <c r="AA210" s="64">
        <f t="shared" si="72"/>
        <v>2.1876000000000002</v>
      </c>
      <c r="AB210" s="61" t="e">
        <f>VLOOKUP(A210,Enforcements!$C$7:$K$17,8,0)</f>
        <v>#N/A</v>
      </c>
      <c r="AC210" s="57" t="e">
        <f>VLOOKUP(A210,Enforcements!$C$7:$E$17,3,0)</f>
        <v>#N/A</v>
      </c>
      <c r="AD210" s="58" t="str">
        <f t="shared" si="73"/>
        <v>0302-10</v>
      </c>
      <c r="AE210" s="87" t="str">
        <f t="shared" si="74"/>
        <v>aws s3 cp s3://rtdc.mdm.uploadarchive.raw/RTDC4008/ "%USERPROFILE%\AppData\Local\Temp\OnboardLogs"\RTDC4008\2017-01-10 --exclude "*" --recursive --include "*20170110*" &amp; "%USERPROFILE%\Documents\GitHub\mrs-test-scripts\Headless Mode &amp; Sideloading\WalkAndUnGZ.bat" "%USERPROFILE%\AppData\Local\Temp\OnboardLogs"\RTDC4008\2017-01-10 &amp; aws s3 cp s3://rtdc.mdm.uploadarchive.raw/RTDC4008/ "%USERPROFILE%\AppData\Local\Temp\OnboardLogs"\RTDC4008\2017-01-11 --exclude "*" --recursive --include "*20170111*" &amp; "%USERPROFILE%\Documents\GitHub\mrs-test-scripts\Headless Mode &amp; Sideloading\WalkAndUnGZ.bat" "%USERPROFILE%\AppData\Local\Temp\OnboardLogs"\RTDC4008\2017-01-11</v>
      </c>
      <c r="AF210" s="84" t="str">
        <f t="shared" si="75"/>
        <v>"C:\Program Files (x86)\AstroGrep\AstroGrep.exe" /spath="%USERPROFILE%\AppData\Local\Temp\OnboardLogs" /stypes="app*4008*20170110*" /stext=" 10:.+((SYSTEM_STATE.+slice.+state.+changed )|(ment ac)|(multiple cpu faults)|(system.+state.+changed )|(\[timeout)|(PRM\|1\|D)|(kpr)|(kdp)|(\|lc)|(penalty))" /e /r /s</v>
      </c>
      <c r="AG210" s="1" t="str">
        <f t="shared" si="76"/>
        <v>Other</v>
      </c>
      <c r="AH210" s="88" t="str">
        <f t="shared" si="77"/>
        <v>"%USERPROFILE%\Documents\GitHub\eaglep3\Utilities\RefineRTDCRunTimes.py" --tripid 302-10 --locoid 4008 --swversion DE.1.0.8.0 --startMP 300:22017 --initTime 2017-01-10T02:51:35 --startdatetime 2017-01-10T02:53:30 --delay 1 --endMP 204:141 --enddatetime 2017-01-10T03:02:54 --enforcementcount 0 &gt;&gt;C:\Users\stu\Documents\GitHub\eaglep3-reporting\EC\2017-01-10-refined-times.txt</v>
      </c>
      <c r="AI210" s="115" t="str">
        <f t="shared" si="78"/>
        <v>echo {"issue":{"subject":"","project_id":79,"tracker_id":40,"status_id":1,"priority_id":2,"assigned_to_id":23,"start_date":"2017-01-10","description":"","custom_fields":[{"id":1,"name":"Subdivision","value":"Other"},{"id":4,"name":"Milepost","value":"0.0141"},{"id":17,"name":"Train ID","value":"302-10"},{"id":16,"name":"Locomotive ID","value":"4008"},{"id":130,"name":"Impact","value":""},{"id":150,"name":"Time of Event (Mountain Time)","value":"03:02:54"},{"id":151,"name":"Denver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0"/>
      <c r="AK210" s="50"/>
      <c r="AL210" s="50"/>
      <c r="AM210" s="180" t="str">
        <f t="shared" si="79"/>
        <v>start /low /b %USERPROFILE%\Documents\GitHub\eaglep3\Utilities\DownloadLogsFromS3.py --loco 4008 --day 2017-01-10</v>
      </c>
    </row>
    <row r="211" spans="1:39" x14ac:dyDescent="0.25">
      <c r="A211" s="34" t="s">
        <v>659</v>
      </c>
      <c r="B211" s="7">
        <v>4039</v>
      </c>
      <c r="C211" s="22" t="s">
        <v>202</v>
      </c>
      <c r="D211" s="22" t="s">
        <v>725</v>
      </c>
      <c r="E211" s="13">
        <v>42746.113333333335</v>
      </c>
      <c r="F211" s="13">
        <v>42746.114340277774</v>
      </c>
      <c r="G211" s="7">
        <v>1</v>
      </c>
      <c r="H211" s="22" t="s">
        <v>354</v>
      </c>
      <c r="I211" s="13">
        <v>42746.121458333335</v>
      </c>
      <c r="J211" s="7">
        <v>0</v>
      </c>
      <c r="K211" s="105" t="str">
        <f t="shared" si="65"/>
        <v>4039/4040</v>
      </c>
      <c r="L211" s="22" t="str">
        <f>VLOOKUP(A211,'Trips&amp;Operators'!$C$1:$G$99999,5,FALSE)</f>
        <v>ISHMAEL JOSEPH</v>
      </c>
      <c r="M211" s="6">
        <f t="shared" si="66"/>
        <v>7.1180555605678819E-3</v>
      </c>
      <c r="N211" s="7">
        <f t="shared" si="63"/>
        <v>10.25000000721775</v>
      </c>
      <c r="O211" s="7"/>
      <c r="P211" s="7"/>
      <c r="Q211" s="23"/>
      <c r="R211" s="23"/>
      <c r="S211" s="32">
        <f t="shared" si="64"/>
        <v>1</v>
      </c>
      <c r="T211" s="47" t="str">
        <f t="shared" si="67"/>
        <v>Southbound</v>
      </c>
      <c r="U211" s="167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4" t="str">
        <f t="shared" si="68"/>
        <v>https://search-rtdc-monitor-bjffxe2xuh6vdkpspy63sjmuny.us-east-1.es.amazonaws.com/_plugin/kibana/#/discover/Steve-Slow-Train-Analysis-(2080s-and-2083s)?_g=(refreshInterval:(display:Off,section:0,value:0),time:(from:'2017-01-11 01:43:12-700',mode:absolute,to:'2017-01-11 03:54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11" s="49" t="str">
        <f t="shared" si="69"/>
        <v>Y</v>
      </c>
      <c r="X211" s="173">
        <f t="shared" si="60"/>
        <v>0</v>
      </c>
      <c r="Y211" s="64">
        <f t="shared" si="70"/>
        <v>2.3035000000000001</v>
      </c>
      <c r="Z211" s="64">
        <f t="shared" si="71"/>
        <v>1.54E-2</v>
      </c>
      <c r="AA211" s="64">
        <f t="shared" si="72"/>
        <v>2.2881</v>
      </c>
      <c r="AB211" s="61" t="e">
        <f>VLOOKUP(A211,Enforcements!$C$7:$K$17,8,0)</f>
        <v>#N/A</v>
      </c>
      <c r="AC211" s="57" t="e">
        <f>VLOOKUP(A211,Enforcements!$C$7:$E$17,3,0)</f>
        <v>#N/A</v>
      </c>
      <c r="AD211" s="58" t="str">
        <f t="shared" si="73"/>
        <v>0302-11</v>
      </c>
      <c r="AE211" s="87" t="str">
        <f t="shared" si="74"/>
        <v>aws s3 cp s3://rtdc.mdm.uploadarchive.raw/RTDC4039/ "%USERPROFILE%\AppData\Local\Temp\OnboardLogs"\RTDC4039\2017-01-11 --exclude "*" --recursive --include "*20170111*" &amp; "%USERPROFILE%\Documents\GitHub\mrs-test-scripts\Headless Mode &amp; Sideloading\WalkAndUnGZ.bat" "%USERPROFILE%\AppData\Local\Temp\OnboardLogs"\RTDC4039\2017-01-11 &amp; aws s3 cp s3://rtdc.mdm.uploadarchive.raw/RTDC4039/ "%USERPROFILE%\AppData\Local\Temp\OnboardLogs"\RTDC4039\2017-01-12 --exclude "*" --recursive --include "*20170112*" &amp; "%USERPROFILE%\Documents\GitHub\mrs-test-scripts\Headless Mode &amp; Sideloading\WalkAndUnGZ.bat" "%USERPROFILE%\AppData\Local\Temp\OnboardLogs"\RTDC4039\2017-01-12</v>
      </c>
      <c r="AF211" s="84" t="str">
        <f t="shared" si="75"/>
        <v>"C:\Program Files (x86)\AstroGrep\AstroGrep.exe" /spath="%USERPROFILE%\AppData\Local\Temp\OnboardLogs" /stypes="app*4039*20170111*" /stext=" 09:.+((SYSTEM_STATE.+slice.+state.+changed )|(ment ac)|(multiple cpu faults)|(system.+state.+changed )|(\[timeout)|(PRM\|1\|D)|(kpr)|(kdp)|(\|lc)|(penalty))" /e /r /s</v>
      </c>
      <c r="AG211" s="1" t="str">
        <f t="shared" si="76"/>
        <v>Other</v>
      </c>
      <c r="AH211" s="88" t="str">
        <f t="shared" si="77"/>
        <v>"%USERPROFILE%\Documents\GitHub\eaglep3\Utilities\RefineRTDCRunTimes.py" --tripid 302-11 --locoid 4039 --swversion DE.1.0.8.0 --startMP 300:23035 --initTime 2017-01-11T02:43:12 --startdatetime 2017-01-11T02:44:39 --delay 1 --endMP 204:154 --enddatetime 2017-01-11T02:54:54 --enforcementcount 0 &gt;&gt;C:\Users\stu\Documents\GitHub\eaglep3-reporting\EC\2017-01-10-refined-times.txt</v>
      </c>
      <c r="AI211" s="115" t="str">
        <f t="shared" si="78"/>
        <v>echo {"issue":{"subject":"","project_id":79,"tracker_id":40,"status_id":1,"priority_id":2,"assigned_to_id":23,"start_date":"2017-01-11","description":"","custom_fields":[{"id":1,"name":"Subdivision","value":"Other"},{"id":4,"name":"Milepost","value":"0.0154"},{"id":17,"name":"Train ID","value":"302-11"},{"id":16,"name":"Locomotive ID","value":"4039"},{"id":130,"name":"Impact","value":""},{"id":150,"name":"Time of Event (Mountain Time)","value":"02:54:54"},{"id":151,"name":"Denver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0"/>
      <c r="AK211" s="50"/>
      <c r="AL211" s="50"/>
      <c r="AM211" s="180" t="str">
        <f t="shared" si="79"/>
        <v>start /low /b %USERPROFILE%\Documents\GitHub\eaglep3\Utilities\DownloadLogsFromS3.py --loco 4039 --day 2017-01-11</v>
      </c>
    </row>
    <row r="212" spans="1:39" x14ac:dyDescent="0.25">
      <c r="A212" s="34" t="s">
        <v>627</v>
      </c>
      <c r="B212" s="7">
        <v>4025</v>
      </c>
      <c r="C212" s="22" t="s">
        <v>202</v>
      </c>
      <c r="D212" s="22" t="s">
        <v>223</v>
      </c>
      <c r="E212" s="13">
        <v>42745.783587962964</v>
      </c>
      <c r="F212" s="13">
        <v>42745.789444444446</v>
      </c>
      <c r="G212" s="7">
        <v>2</v>
      </c>
      <c r="H212" s="22" t="s">
        <v>726</v>
      </c>
      <c r="I212" s="13">
        <v>42745.796157407407</v>
      </c>
      <c r="J212" s="7">
        <v>0</v>
      </c>
      <c r="K212" s="105" t="str">
        <f t="shared" si="65"/>
        <v>4025/4026</v>
      </c>
      <c r="L212" s="22" t="str">
        <f>VLOOKUP(A212,'Trips&amp;Operators'!$C$1:$G$99999,5,FALSE)</f>
        <v>COMELLA JUSTIN</v>
      </c>
      <c r="M212" s="6">
        <f t="shared" si="66"/>
        <v>6.7129629605915397E-3</v>
      </c>
      <c r="N212" s="7">
        <f t="shared" si="63"/>
        <v>9.6666666632518172</v>
      </c>
      <c r="O212" s="7"/>
      <c r="P212" s="7"/>
      <c r="Q212" s="23"/>
      <c r="R212" s="23"/>
      <c r="S212" s="32">
        <f t="shared" si="64"/>
        <v>1</v>
      </c>
      <c r="T212" s="47" t="str">
        <f t="shared" si="67"/>
        <v>NorthBound</v>
      </c>
      <c r="U212" s="167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4" t="str">
        <f t="shared" si="68"/>
        <v>https://search-rtdc-monitor-bjffxe2xuh6vdkpspy63sjmuny.us-east-1.es.amazonaws.com/_plugin/kibana/#/discover/Steve-Slow-Train-Analysis-(2080s-and-2083s)?_g=(refreshInterval:(display:Off,section:0,value:0),time:(from:'2017-01-10 17:48:22-700',mode:absolute,to:'2017-01-10 20:06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12" s="49" t="str">
        <f t="shared" si="69"/>
        <v>Y</v>
      </c>
      <c r="X212" s="173">
        <f t="shared" si="60"/>
        <v>1</v>
      </c>
      <c r="Y212" s="64">
        <f t="shared" si="70"/>
        <v>4.5499999999999999E-2</v>
      </c>
      <c r="Z212" s="64">
        <f t="shared" si="71"/>
        <v>2.2852000000000001</v>
      </c>
      <c r="AA212" s="64">
        <f t="shared" si="72"/>
        <v>2.2397</v>
      </c>
      <c r="AB212" s="61" t="e">
        <f>VLOOKUP(A212,Enforcements!$C$7:$K$17,8,0)</f>
        <v>#N/A</v>
      </c>
      <c r="AC212" s="57" t="e">
        <f>VLOOKUP(A212,Enforcements!$C$7:$E$17,3,0)</f>
        <v>#N/A</v>
      </c>
      <c r="AD212" s="58" t="str">
        <f t="shared" si="73"/>
        <v>0303-10</v>
      </c>
      <c r="AE212" s="87" t="str">
        <f t="shared" si="74"/>
        <v>aws s3 cp s3://rtdc.mdm.uploadarchive.raw/RTDC4025/ "%USERPROFILE%\AppData\Local\Temp\OnboardLogs"\RTDC4025\2017-01-10 --exclude "*" --recursive --include "*20170110*" &amp; "%USERPROFILE%\Documents\GitHub\mrs-test-scripts\Headless Mode &amp; Sideloading\WalkAndUnGZ.bat" "%USERPROFILE%\AppData\Local\Temp\OnboardLogs"\RTDC4025\2017-01-10 &amp; aws s3 cp s3://rtdc.mdm.uploadarchive.raw/RTDC4025/ "%USERPROFILE%\AppData\Local\Temp\OnboardLogs"\RTDC4025\2017-01-11 --exclude "*" --recursive --include "*20170111*" &amp; "%USERPROFILE%\Documents\GitHub\mrs-test-scripts\Headless Mode &amp; Sideloading\WalkAndUnGZ.bat" "%USERPROFILE%\AppData\Local\Temp\OnboardLogs"\RTDC4025\2017-01-11</v>
      </c>
      <c r="AF212" s="84" t="str">
        <f t="shared" si="75"/>
        <v>"C:\Program Files (x86)\AstroGrep\AstroGrep.exe" /spath="%USERPROFILE%\AppData\Local\Temp\OnboardLogs" /stypes="app*4025*20170111*" /stext=" 02:.+((SYSTEM_STATE.+slice.+state.+changed )|(ment ac)|(multiple cpu faults)|(system.+state.+changed )|(\[timeout)|(PRM\|1\|D)|(kpr)|(kdp)|(\|lc)|(penalty))" /e /r /s</v>
      </c>
      <c r="AG212" s="1" t="str">
        <f t="shared" si="76"/>
        <v>Other</v>
      </c>
      <c r="AH212" s="88" t="str">
        <f t="shared" si="77"/>
        <v>"%USERPROFILE%\Documents\GitHub\eaglep3\Utilities\RefineRTDCRunTimes.py" --tripid 303-10 --locoid 4025 --swversion DE.1.0.8.0 --startMP 204:455 --initTime 2017-01-10T18:48:22 --startdatetime 2017-01-10T18:56:48 --delay 2 --endMP 300:22852 --enddatetime 2017-01-10T19:06:28 --enforcementcount 0 &gt;&gt;C:\Users\stu\Documents\GitHub\eaglep3-reporting\EC\2017-01-10-refined-times.txt</v>
      </c>
      <c r="AI212" s="115" t="str">
        <f t="shared" si="78"/>
        <v>echo {"issue":{"subject":"","project_id":79,"tracker_id":40,"status_id":1,"priority_id":2,"assigned_to_id":23,"start_date":"2017-01-10","description":"","custom_fields":[{"id":1,"name":"Subdivision","value":"Other"},{"id":4,"name":"Milepost","value":"2.2852"},{"id":17,"name":"Train ID","value":"303-10"},{"id":16,"name":"Locomotive ID","value":"4025"},{"id":130,"name":"Impact","value":""},{"id":150,"name":"Time of Event (Mountain Time)","value":"19:06:28"},{"id":151,"name":"Denver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0"/>
      <c r="AK212" s="50"/>
      <c r="AL212" s="50"/>
      <c r="AM212" s="180" t="str">
        <f t="shared" si="79"/>
        <v>start /low /b %USERPROFILE%\Documents\GitHub\eaglep3\Utilities\DownloadLogsFromS3.py --loco 4025 --day 2017-01-10</v>
      </c>
    </row>
    <row r="213" spans="1:39" x14ac:dyDescent="0.25">
      <c r="A213" s="34" t="s">
        <v>462</v>
      </c>
      <c r="B213" s="7">
        <v>4026</v>
      </c>
      <c r="C213" s="22" t="s">
        <v>202</v>
      </c>
      <c r="D213" s="22" t="s">
        <v>727</v>
      </c>
      <c r="E213" s="13">
        <v>42745.13863425926</v>
      </c>
      <c r="F213" s="13">
        <v>42745.142013888886</v>
      </c>
      <c r="G213" s="7">
        <v>4</v>
      </c>
      <c r="H213" s="22" t="s">
        <v>270</v>
      </c>
      <c r="I213" s="13">
        <v>42745.147291666668</v>
      </c>
      <c r="J213" s="7">
        <v>0</v>
      </c>
      <c r="K213" s="105" t="str">
        <f t="shared" si="65"/>
        <v>4025/4026</v>
      </c>
      <c r="L213" s="22" t="str">
        <f>VLOOKUP(A213,'Trips&amp;Operators'!$C$1:$G$99999,5,FALSE)</f>
        <v>MAELZER KURT</v>
      </c>
      <c r="M213" s="6">
        <f t="shared" si="66"/>
        <v>5.2777777818846516E-3</v>
      </c>
      <c r="N213" s="7">
        <f t="shared" si="63"/>
        <v>7.6000000059138983</v>
      </c>
      <c r="O213" s="7"/>
      <c r="P213" s="7"/>
      <c r="Q213" s="23"/>
      <c r="R213" s="23"/>
      <c r="S213" s="32">
        <f t="shared" si="64"/>
        <v>1</v>
      </c>
      <c r="T213" s="47" t="str">
        <f t="shared" si="67"/>
        <v>Southbound</v>
      </c>
      <c r="U213" s="167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4" t="str">
        <f t="shared" si="68"/>
        <v>https://search-rtdc-monitor-bjffxe2xuh6vdkpspy63sjmuny.us-east-1.es.amazonaws.com/_plugin/kibana/#/discover/Steve-Slow-Train-Analysis-(2080s-and-2083s)?_g=(refreshInterval:(display:Off,section:0,value:0),time:(from:'2017-01-10 02:19:38-700',mode:absolute,to:'2017-01-10 04:32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13" s="49" t="str">
        <f t="shared" si="69"/>
        <v>Y</v>
      </c>
      <c r="X213" s="173">
        <f t="shared" si="60"/>
        <v>1</v>
      </c>
      <c r="Y213" s="64">
        <f t="shared" si="70"/>
        <v>1.9522999999999999</v>
      </c>
      <c r="Z213" s="64">
        <f t="shared" si="71"/>
        <v>1.41E-2</v>
      </c>
      <c r="AA213" s="64">
        <f t="shared" si="72"/>
        <v>1.9381999999999999</v>
      </c>
      <c r="AB213" s="61" t="e">
        <f>VLOOKUP(A213,Enforcements!$C$7:$K$17,8,0)</f>
        <v>#N/A</v>
      </c>
      <c r="AC213" s="57" t="e">
        <f>VLOOKUP(A213,Enforcements!$C$7:$E$17,3,0)</f>
        <v>#N/A</v>
      </c>
      <c r="AD213" s="58" t="str">
        <f t="shared" si="73"/>
        <v>0304-10</v>
      </c>
      <c r="AE213" s="87" t="str">
        <f t="shared" si="74"/>
        <v>aws s3 cp s3://rtdc.mdm.uploadarchive.raw/RTDC4026/ "%USERPROFILE%\AppData\Local\Temp\OnboardLogs"\RTDC4026\2017-01-10 --exclude "*" --recursive --include "*20170110*" &amp; "%USERPROFILE%\Documents\GitHub\mrs-test-scripts\Headless Mode &amp; Sideloading\WalkAndUnGZ.bat" "%USERPROFILE%\AppData\Local\Temp\OnboardLogs"\RTDC4026\2017-01-10 &amp; aws s3 cp s3://rtdc.mdm.uploadarchive.raw/RTDC4026/ "%USERPROFILE%\AppData\Local\Temp\OnboardLogs"\RTDC4026\2017-01-11 --exclude "*" --recursive --include "*20170111*" &amp; "%USERPROFILE%\Documents\GitHub\mrs-test-scripts\Headless Mode &amp; Sideloading\WalkAndUnGZ.bat" "%USERPROFILE%\AppData\Local\Temp\OnboardLogs"\RTDC4026\2017-01-11</v>
      </c>
      <c r="AF213" s="84" t="str">
        <f t="shared" si="75"/>
        <v>"C:\Program Files (x86)\AstroGrep\AstroGrep.exe" /spath="%USERPROFILE%\AppData\Local\Temp\OnboardLogs" /stypes="app*4026*20170110*" /stext=" 10:.+((SYSTEM_STATE.+slice.+state.+changed )|(ment ac)|(multiple cpu faults)|(system.+state.+changed )|(\[timeout)|(PRM\|1\|D)|(kpr)|(kdp)|(\|lc)|(penalty))" /e /r /s</v>
      </c>
      <c r="AG213" s="1" t="str">
        <f t="shared" si="76"/>
        <v>Other</v>
      </c>
      <c r="AH213" s="88" t="str">
        <f t="shared" si="77"/>
        <v>"%USERPROFILE%\Documents\GitHub\eaglep3\Utilities\RefineRTDCRunTimes.py" --tripid 304-10 --locoid 4026 --swversion DE.1.0.8.0 --startMP 300:19523 --initTime 2017-01-10T03:19:38 --startdatetime 2017-01-10T03:24:30 --delay 4 --endMP 204:141 --enddatetime 2017-01-10T03:32:06 --enforcementcount 0 &gt;&gt;C:\Users\stu\Documents\GitHub\eaglep3-reporting\EC\2017-01-10-refined-times.txt</v>
      </c>
      <c r="AI213" s="115" t="str">
        <f t="shared" si="78"/>
        <v>echo {"issue":{"subject":"","project_id":79,"tracker_id":40,"status_id":1,"priority_id":2,"assigned_to_id":23,"start_date":"2017-01-10","description":"","custom_fields":[{"id":1,"name":"Subdivision","value":"Other"},{"id":4,"name":"Milepost","value":"0.0141"},{"id":17,"name":"Train ID","value":"304-10"},{"id":16,"name":"Locomotive ID","value":"4026"},{"id":130,"name":"Impact","value":""},{"id":150,"name":"Time of Event (Mountain Time)","value":"03:32:06"},{"id":151,"name":"Denver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0"/>
      <c r="AK213" s="50"/>
      <c r="AL213" s="50"/>
      <c r="AM213" s="180" t="str">
        <f t="shared" si="79"/>
        <v>start /low /b %USERPROFILE%\Documents\GitHub\eaglep3\Utilities\DownloadLogsFromS3.py --loco 4026 --day 2017-01-10</v>
      </c>
    </row>
    <row r="214" spans="1:39" x14ac:dyDescent="0.25">
      <c r="A214" s="34" t="s">
        <v>632</v>
      </c>
      <c r="B214" s="7">
        <v>4016</v>
      </c>
      <c r="C214" s="22" t="s">
        <v>202</v>
      </c>
      <c r="D214" s="22" t="s">
        <v>293</v>
      </c>
      <c r="E214" s="13">
        <v>42745.803842592592</v>
      </c>
      <c r="F214" s="13">
        <v>42745.805717592593</v>
      </c>
      <c r="G214" s="7">
        <v>1</v>
      </c>
      <c r="H214" s="22" t="s">
        <v>728</v>
      </c>
      <c r="I214" s="13">
        <v>42745.812141203707</v>
      </c>
      <c r="J214" s="7">
        <v>0</v>
      </c>
      <c r="K214" s="105" t="str">
        <f t="shared" si="65"/>
        <v>4015/4016</v>
      </c>
      <c r="L214" s="22" t="str">
        <f>VLOOKUP(A214,'Trips&amp;Operators'!$C$1:$G$99999,5,FALSE)</f>
        <v>MAHAN DUANE</v>
      </c>
      <c r="M214" s="6">
        <f t="shared" si="66"/>
        <v>6.4236111138598062E-3</v>
      </c>
      <c r="N214" s="7">
        <f t="shared" si="63"/>
        <v>9.2500000039581209</v>
      </c>
      <c r="O214" s="7"/>
      <c r="P214" s="7"/>
      <c r="Q214" s="23"/>
      <c r="R214" s="23"/>
      <c r="S214" s="32">
        <f t="shared" si="64"/>
        <v>1</v>
      </c>
      <c r="T214" s="47" t="str">
        <f t="shared" si="67"/>
        <v>NorthBound</v>
      </c>
      <c r="U214" s="167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4" t="str">
        <f t="shared" si="68"/>
        <v>https://search-rtdc-monitor-bjffxe2xuh6vdkpspy63sjmuny.us-east-1.es.amazonaws.com/_plugin/kibana/#/discover/Steve-Slow-Train-Analysis-(2080s-and-2083s)?_g=(refreshInterval:(display:Off,section:0,value:0),time:(from:'2017-01-10 18:17:32-700',mode:absolute,to:'2017-01-10 20:29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14" s="49" t="str">
        <f t="shared" si="69"/>
        <v>Y</v>
      </c>
      <c r="X214" s="173">
        <f t="shared" si="60"/>
        <v>1</v>
      </c>
      <c r="Y214" s="64">
        <f t="shared" si="70"/>
        <v>4.4600000000000001E-2</v>
      </c>
      <c r="Z214" s="64">
        <f t="shared" si="71"/>
        <v>2.2867000000000002</v>
      </c>
      <c r="AA214" s="64">
        <f t="shared" si="72"/>
        <v>2.2421000000000002</v>
      </c>
      <c r="AB214" s="61" t="e">
        <f>VLOOKUP(A214,Enforcements!$C$7:$K$17,8,0)</f>
        <v>#N/A</v>
      </c>
      <c r="AC214" s="57" t="e">
        <f>VLOOKUP(A214,Enforcements!$C$7:$E$17,3,0)</f>
        <v>#N/A</v>
      </c>
      <c r="AD214" s="58" t="str">
        <f t="shared" si="73"/>
        <v>0305-10</v>
      </c>
      <c r="AE214" s="87" t="str">
        <f t="shared" si="74"/>
        <v>aws s3 cp s3://rtdc.mdm.uploadarchive.raw/RTDC4016/ "%USERPROFILE%\AppData\Local\Temp\OnboardLogs"\RTDC4016\2017-01-10 --exclude "*" --recursive --include "*20170110*" &amp; "%USERPROFILE%\Documents\GitHub\mrs-test-scripts\Headless Mode &amp; Sideloading\WalkAndUnGZ.bat" "%USERPROFILE%\AppData\Local\Temp\OnboardLogs"\RTDC4016\2017-01-10 &amp; aws s3 cp s3://rtdc.mdm.uploadarchive.raw/RTDC4016/ "%USERPROFILE%\AppData\Local\Temp\OnboardLogs"\RTDC4016\2017-01-11 --exclude "*" --recursive --include "*20170111*" &amp; "%USERPROFILE%\Documents\GitHub\mrs-test-scripts\Headless Mode &amp; Sideloading\WalkAndUnGZ.bat" "%USERPROFILE%\AppData\Local\Temp\OnboardLogs"\RTDC4016\2017-01-11</v>
      </c>
      <c r="AF214" s="84" t="str">
        <f t="shared" si="75"/>
        <v>"C:\Program Files (x86)\AstroGrep\AstroGrep.exe" /spath="%USERPROFILE%\AppData\Local\Temp\OnboardLogs" /stypes="app*4016*20170111*" /stext=" 02:.+((SYSTEM_STATE.+slice.+state.+changed )|(ment ac)|(multiple cpu faults)|(system.+state.+changed )|(\[timeout)|(PRM\|1\|D)|(kpr)|(kdp)|(\|lc)|(penalty))" /e /r /s</v>
      </c>
      <c r="AG214" s="1" t="str">
        <f t="shared" si="76"/>
        <v>Other</v>
      </c>
      <c r="AH214" s="88" t="str">
        <f t="shared" si="77"/>
        <v>"%USERPROFILE%\Documents\GitHub\eaglep3\Utilities\RefineRTDCRunTimes.py" --tripid 305-10 --locoid 4016 --swversion DE.1.0.8.0 --startMP 204:446 --initTime 2017-01-10T19:17:32 --startdatetime 2017-01-10T19:20:14 --delay 1 --endMP 300:22867 --enddatetime 2017-01-10T19:29:29 --enforcementcount 0 &gt;&gt;C:\Users\stu\Documents\GitHub\eaglep3-reporting\EC\2017-01-10-refined-times.txt</v>
      </c>
      <c r="AI214" s="115" t="str">
        <f t="shared" si="78"/>
        <v>echo {"issue":{"subject":"","project_id":79,"tracker_id":40,"status_id":1,"priority_id":2,"assigned_to_id":23,"start_date":"2017-01-10","description":"","custom_fields":[{"id":1,"name":"Subdivision","value":"Other"},{"id":4,"name":"Milepost","value":"2.2867"},{"id":17,"name":"Train ID","value":"305-10"},{"id":16,"name":"Locomotive ID","value":"4016"},{"id":130,"name":"Impact","value":""},{"id":150,"name":"Time of Event (Mountain Time)","value":"19:29:29"},{"id":151,"name":"Denver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0"/>
      <c r="AK214" s="50"/>
      <c r="AL214" s="50"/>
      <c r="AM214" s="180" t="str">
        <f t="shared" si="79"/>
        <v>start /low /b %USERPROFILE%\Documents\GitHub\eaglep3\Utilities\DownloadLogsFromS3.py --loco 4016 --day 2017-01-10</v>
      </c>
    </row>
    <row r="215" spans="1:39" x14ac:dyDescent="0.25">
      <c r="A215" s="34" t="s">
        <v>636</v>
      </c>
      <c r="B215" s="7">
        <v>4018</v>
      </c>
      <c r="C215" s="22" t="s">
        <v>202</v>
      </c>
      <c r="D215" s="22" t="s">
        <v>272</v>
      </c>
      <c r="E215" s="13">
        <v>42745.822523148148</v>
      </c>
      <c r="F215" s="13">
        <v>25568.708333333332</v>
      </c>
      <c r="G215" s="7">
        <v>1</v>
      </c>
      <c r="H215" s="22" t="s">
        <v>323</v>
      </c>
      <c r="I215" s="13">
        <v>25568.708333333332</v>
      </c>
      <c r="J215" s="7">
        <v>0</v>
      </c>
      <c r="K215" s="105" t="str">
        <f t="shared" si="65"/>
        <v>4017/4018</v>
      </c>
      <c r="L215" s="22" t="str">
        <f>VLOOKUP(A215,'Trips&amp;Operators'!$C$1:$G$99999,5,FALSE)</f>
        <v>HAITHCOX MICHAEL</v>
      </c>
      <c r="M215" s="6">
        <f t="shared" si="66"/>
        <v>0</v>
      </c>
      <c r="N215" s="7">
        <f t="shared" si="63"/>
        <v>0</v>
      </c>
      <c r="O215" s="7"/>
      <c r="P215" s="7"/>
      <c r="Q215" s="23"/>
      <c r="R215" s="23"/>
      <c r="S215" s="32">
        <f t="shared" si="64"/>
        <v>1</v>
      </c>
      <c r="T215" s="47" t="str">
        <f t="shared" si="67"/>
        <v>NorthBound</v>
      </c>
      <c r="U215" s="167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4" t="str">
        <f t="shared" si="68"/>
        <v>https://search-rtdc-monitor-bjffxe2xuh6vdkpspy63sjmuny.us-east-1.es.amazonaws.com/_plugin/kibana/#/discover/Steve-Slow-Train-Analysis-(2080s-and-2083s)?_g=(refreshInterval:(display:Off,section:0,value:0),time:(from:'2017-01-10 18:44:26-700',mode:absolute,to:'1969-12-31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15" s="49" t="str">
        <f t="shared" si="69"/>
        <v>Y</v>
      </c>
      <c r="X215" s="173">
        <f t="shared" si="60"/>
        <v>2</v>
      </c>
      <c r="Y215" s="64">
        <f t="shared" si="70"/>
        <v>4.5699999999999998E-2</v>
      </c>
      <c r="Z215" s="64">
        <f t="shared" si="71"/>
        <v>2.3346</v>
      </c>
      <c r="AA215" s="64">
        <f t="shared" si="72"/>
        <v>2.2888999999999999</v>
      </c>
      <c r="AB215" s="61" t="e">
        <f>VLOOKUP(A215,Enforcements!$C$7:$K$17,8,0)</f>
        <v>#N/A</v>
      </c>
      <c r="AC215" s="57" t="e">
        <f>VLOOKUP(A215,Enforcements!$C$7:$E$17,3,0)</f>
        <v>#N/A</v>
      </c>
      <c r="AD215" s="58" t="str">
        <f t="shared" si="73"/>
        <v>0307-10</v>
      </c>
      <c r="AE215" s="87" t="str">
        <f t="shared" si="74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15" s="84" t="str">
        <f t="shared" si="75"/>
        <v>"C:\Program Files (x86)\AstroGrep\AstroGrep.exe" /spath="%USERPROFILE%\AppData\Local\Temp\OnboardLogs" /stypes="app*4018*19700101*" /stext=" 00:.+((SYSTEM_STATE.+slice.+state.+changed )|(ment ac)|(multiple cpu faults)|(system.+state.+changed )|(\[timeout)|(PRM\|1\|D)|(kpr)|(kdp)|(\|lc)|(penalty))" /e /r /s</v>
      </c>
      <c r="AG215" s="1" t="str">
        <f t="shared" si="76"/>
        <v>Other</v>
      </c>
      <c r="AH215" s="88" t="str">
        <f t="shared" si="77"/>
        <v>"%USERPROFILE%\Documents\GitHub\eaglep3\Utilities\RefineRTDCRunTimes.py" --tripid 307-10 --locoid 4018 --swversion DE.1.0.8.0 --startMP 204:457 --initTime 2017-01-10T19:44:26 --startdatetime 1969-12-31T17:00:00 --delay 1 --endMP 300:23346 --enddatetime 1969-12-31T17:00:00 --enforcementcount 0 &gt;&gt;C:\Users\stu\Documents\GitHub\eaglep3-reporting\EC\2017-01-10-refined-times.txt</v>
      </c>
      <c r="AI215" s="115" t="str">
        <f t="shared" si="78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ID","value":"307-10"},{"id":16,"name":"Locomotive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0"/>
      <c r="AK215" s="50"/>
      <c r="AL215" s="50"/>
      <c r="AM215" s="180" t="str">
        <f t="shared" si="79"/>
        <v>start /low /b %USERPROFILE%\Documents\GitHub\eaglep3\Utilities\DownloadLogsFromS3.py --loco 4018 --day 1969-12-31</v>
      </c>
    </row>
    <row r="216" spans="1:39" x14ac:dyDescent="0.25">
      <c r="A216" s="34" t="s">
        <v>465</v>
      </c>
      <c r="B216" s="7">
        <v>4013</v>
      </c>
      <c r="C216" s="22" t="s">
        <v>202</v>
      </c>
      <c r="D216" s="22" t="s">
        <v>729</v>
      </c>
      <c r="E216" s="13">
        <v>42745.170231481483</v>
      </c>
      <c r="F216" s="13">
        <v>42745.172326388885</v>
      </c>
      <c r="G216" s="7">
        <v>1</v>
      </c>
      <c r="H216" s="22" t="s">
        <v>345</v>
      </c>
      <c r="I216" s="13">
        <v>42745.180312500001</v>
      </c>
      <c r="J216" s="7">
        <v>0</v>
      </c>
      <c r="K216" s="105" t="str">
        <f t="shared" si="65"/>
        <v>4013/4014</v>
      </c>
      <c r="L216" s="22" t="str">
        <f>VLOOKUP(A216,'Trips&amp;Operators'!$C$1:$G$99999,5,FALSE)</f>
        <v>BONDS REYNALDO</v>
      </c>
      <c r="M216" s="6">
        <f t="shared" si="66"/>
        <v>7.9861111153149977E-3</v>
      </c>
      <c r="N216" s="7">
        <f t="shared" si="63"/>
        <v>11.500000006053597</v>
      </c>
      <c r="O216" s="7"/>
      <c r="P216" s="7"/>
      <c r="Q216" s="23"/>
      <c r="R216" s="23"/>
      <c r="S216" s="32">
        <f t="shared" si="64"/>
        <v>1</v>
      </c>
      <c r="T216" s="47" t="str">
        <f t="shared" si="67"/>
        <v>Southbound</v>
      </c>
      <c r="U216" s="167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4" t="str">
        <f t="shared" si="68"/>
        <v>https://search-rtdc-monitor-bjffxe2xuh6vdkpspy63sjmuny.us-east-1.es.amazonaws.com/_plugin/kibana/#/discover/Steve-Slow-Train-Analysis-(2080s-and-2083s)?_g=(refreshInterval:(display:Off,section:0,value:0),time:(from:'2017-01-10 03:05:08-700',mode:absolute,to:'2017-01-10 05:19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16" s="49" t="str">
        <f t="shared" si="69"/>
        <v>Y</v>
      </c>
      <c r="X216" s="173">
        <f t="shared" ref="X216:X241" si="80">VALUE(LEFT(AD216,4))-VALUE(LEFT(AD215,4))</f>
        <v>1</v>
      </c>
      <c r="Y216" s="64">
        <f t="shared" si="70"/>
        <v>2.2143999999999999</v>
      </c>
      <c r="Z216" s="64">
        <f t="shared" si="71"/>
        <v>1.61E-2</v>
      </c>
      <c r="AA216" s="64">
        <f t="shared" si="72"/>
        <v>2.1983000000000001</v>
      </c>
      <c r="AB216" s="61" t="e">
        <f>VLOOKUP(A216,Enforcements!$C$7:$K$17,8,0)</f>
        <v>#N/A</v>
      </c>
      <c r="AC216" s="57" t="e">
        <f>VLOOKUP(A216,Enforcements!$C$7:$E$17,3,0)</f>
        <v>#N/A</v>
      </c>
      <c r="AD216" s="58" t="str">
        <f t="shared" si="73"/>
        <v>0308-10</v>
      </c>
      <c r="AE216" s="87" t="str">
        <f t="shared" si="74"/>
        <v>aws s3 cp s3://rtdc.mdm.uploadarchive.raw/RTDC4013/ "%USERPROFILE%\AppData\Local\Temp\OnboardLogs"\RTDC4013\2017-01-10 --exclude "*" --recursive --include "*20170110*" &amp; "%USERPROFILE%\Documents\GitHub\mrs-test-scripts\Headless Mode &amp; Sideloading\WalkAndUnGZ.bat" "%USERPROFILE%\AppData\Local\Temp\OnboardLogs"\RTDC4013\2017-01-10 &amp; aws s3 cp s3://rtdc.mdm.uploadarchive.raw/RTDC4013/ "%USERPROFILE%\AppData\Local\Temp\OnboardLogs"\RTDC4013\2017-01-11 --exclude "*" --recursive --include "*20170111*" &amp; "%USERPROFILE%\Documents\GitHub\mrs-test-scripts\Headless Mode &amp; Sideloading\WalkAndUnGZ.bat" "%USERPROFILE%\AppData\Local\Temp\OnboardLogs"\RTDC4013\2017-01-11</v>
      </c>
      <c r="AF216" s="84" t="str">
        <f t="shared" si="75"/>
        <v>"C:\Program Files (x86)\AstroGrep\AstroGrep.exe" /spath="%USERPROFILE%\AppData\Local\Temp\OnboardLogs" /stypes="app*4013*20170110*" /stext=" 11:.+((SYSTEM_STATE.+slice.+state.+changed )|(ment ac)|(multiple cpu faults)|(system.+state.+changed )|(\[timeout)|(PRM\|1\|D)|(kpr)|(kdp)|(\|lc)|(penalty))" /e /r /s</v>
      </c>
      <c r="AG216" s="1" t="str">
        <f t="shared" si="76"/>
        <v>Other</v>
      </c>
      <c r="AH216" s="88" t="str">
        <f t="shared" si="77"/>
        <v>"%USERPROFILE%\Documents\GitHub\eaglep3\Utilities\RefineRTDCRunTimes.py" --tripid 308-10 --locoid 4013 --swversion DE.1.0.8.0 --startMP 300:22144 --initTime 2017-01-10T04:05:08 --startdatetime 2017-01-10T04:08:09 --delay 1 --endMP 204:161 --enddatetime 2017-01-10T04:19:39 --enforcementcount 0 &gt;&gt;C:\Users\stu\Documents\GitHub\eaglep3-reporting\EC\2017-01-10-refined-times.txt</v>
      </c>
      <c r="AI216" s="115" t="str">
        <f t="shared" si="78"/>
        <v>echo {"issue":{"subject":"","project_id":79,"tracker_id":40,"status_id":1,"priority_id":2,"assigned_to_id":23,"start_date":"2017-01-10","description":"","custom_fields":[{"id":1,"name":"Subdivision","value":"Other"},{"id":4,"name":"Milepost","value":"0.0161"},{"id":17,"name":"Train ID","value":"308-10"},{"id":16,"name":"Locomotive ID","value":"4013"},{"id":130,"name":"Impact","value":""},{"id":150,"name":"Time of Event (Mountain Time)","value":"04:19:39"},{"id":151,"name":"Denver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0"/>
      <c r="AK216" s="50"/>
      <c r="AL216" s="50"/>
      <c r="AM216" s="180" t="str">
        <f t="shared" si="79"/>
        <v>start /low /b %USERPROFILE%\Documents\GitHub\eaglep3\Utilities\DownloadLogsFromS3.py --loco 4013 --day 2017-01-10</v>
      </c>
    </row>
    <row r="217" spans="1:39" x14ac:dyDescent="0.25">
      <c r="A217" s="34" t="s">
        <v>216</v>
      </c>
      <c r="B217" s="7">
        <v>4031</v>
      </c>
      <c r="C217" s="22" t="s">
        <v>202</v>
      </c>
      <c r="D217" s="22" t="s">
        <v>192</v>
      </c>
      <c r="E217" s="13">
        <v>42746.029629629629</v>
      </c>
      <c r="F217" s="13">
        <v>42746.031747685185</v>
      </c>
      <c r="G217" s="7">
        <v>1</v>
      </c>
      <c r="H217" s="22" t="s">
        <v>360</v>
      </c>
      <c r="I217" s="13">
        <v>42746.038263888891</v>
      </c>
      <c r="J217" s="7">
        <v>0</v>
      </c>
      <c r="K217" s="105" t="str">
        <f t="shared" si="65"/>
        <v>4031/4032</v>
      </c>
      <c r="L217" s="22" t="str">
        <f>VLOOKUP(A217,'Trips&amp;Operators'!$C$1:$G$99999,5,FALSE)</f>
        <v>CHANDLER KELVIN</v>
      </c>
      <c r="M217" s="6">
        <f t="shared" si="66"/>
        <v>6.5162037062691525E-3</v>
      </c>
      <c r="N217" s="7">
        <f t="shared" si="63"/>
        <v>9.3833333370275795</v>
      </c>
      <c r="O217" s="7"/>
      <c r="P217" s="7"/>
      <c r="Q217" s="23"/>
      <c r="R217" s="23"/>
      <c r="S217" s="32">
        <f t="shared" si="64"/>
        <v>1</v>
      </c>
      <c r="T217" s="47" t="str">
        <f t="shared" si="67"/>
        <v>NorthBound</v>
      </c>
      <c r="U217" s="167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94" t="str">
        <f t="shared" si="68"/>
        <v>https://search-rtdc-monitor-bjffxe2xuh6vdkpspy63sjmuny.us-east-1.es.amazonaws.com/_plugin/kibana/#/discover/Steve-Slow-Train-Analysis-(2080s-and-2083s)?_g=(refreshInterval:(display:Off,section:0,value:0),time:(from:'2017-01-10 23:42:40-700',mode:absolute,to:'2017-01-11 01:55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17" s="49" t="str">
        <f t="shared" si="69"/>
        <v>Y</v>
      </c>
      <c r="X217" s="173">
        <f t="shared" si="80"/>
        <v>1</v>
      </c>
      <c r="Y217" s="64">
        <f t="shared" si="70"/>
        <v>4.4699999999999997E-2</v>
      </c>
      <c r="Z217" s="64">
        <f t="shared" si="71"/>
        <v>2.3300999999999998</v>
      </c>
      <c r="AA217" s="64">
        <f t="shared" si="72"/>
        <v>2.2853999999999997</v>
      </c>
      <c r="AB217" s="61" t="e">
        <f>VLOOKUP(A217,Enforcements!$C$7:$K$17,8,0)</f>
        <v>#N/A</v>
      </c>
      <c r="AC217" s="57" t="e">
        <f>VLOOKUP(A217,Enforcements!$C$7:$E$17,3,0)</f>
        <v>#N/A</v>
      </c>
      <c r="AD217" s="58" t="str">
        <f t="shared" si="73"/>
        <v>0309-10</v>
      </c>
      <c r="AE217" s="87" t="str">
        <f t="shared" si="74"/>
        <v>aws s3 cp s3://rtdc.mdm.uploadarchive.raw/RTDC4031/ "%USERPROFILE%\AppData\Local\Temp\OnboardLogs"\RTDC4031\2017-01-11 --exclude "*" --recursive --include "*20170111*" &amp; "%USERPROFILE%\Documents\GitHub\mrs-test-scripts\Headless Mode &amp; Sideloading\WalkAndUnGZ.bat" "%USERPROFILE%\AppData\Local\Temp\OnboardLogs"\RTDC4031\2017-01-11 &amp; aws s3 cp s3://rtdc.mdm.uploadarchive.raw/RTDC4031/ "%USERPROFILE%\AppData\Local\Temp\OnboardLogs"\RTDC4031\2017-01-12 --exclude "*" --recursive --include "*20170112*" &amp; "%USERPROFILE%\Documents\GitHub\mrs-test-scripts\Headless Mode &amp; Sideloading\WalkAndUnGZ.bat" "%USERPROFILE%\AppData\Local\Temp\OnboardLogs"\RTDC4031\2017-01-12</v>
      </c>
      <c r="AF217" s="84" t="str">
        <f t="shared" si="75"/>
        <v>"C:\Program Files (x86)\AstroGrep\AstroGrep.exe" /spath="%USERPROFILE%\AppData\Local\Temp\OnboardLogs" /stypes="app*4031*20170111*" /stext=" 07:.+((SYSTEM_STATE.+slice.+state.+changed )|(ment ac)|(multiple cpu faults)|(system.+state.+changed )|(\[timeout)|(PRM\|1\|D)|(kpr)|(kdp)|(\|lc)|(penalty))" /e /r /s</v>
      </c>
      <c r="AG217" s="1" t="str">
        <f t="shared" si="76"/>
        <v>Other</v>
      </c>
      <c r="AH217" s="88" t="str">
        <f t="shared" si="77"/>
        <v>"%USERPROFILE%\Documents\GitHub\eaglep3\Utilities\RefineRTDCRunTimes.py" --tripid 309-10 --locoid 4031 --swversion DE.1.0.8.0 --startMP 204:447 --initTime 2017-01-11T00:42:40 --startdatetime 2017-01-11T00:45:43 --delay 1 --endMP 300:23301 --enddatetime 2017-01-11T00:55:06 --enforcementcount 0 &gt;&gt;C:\Users\stu\Documents\GitHub\eaglep3-reporting\EC\2017-01-10-refined-times.txt</v>
      </c>
      <c r="AI217" s="115" t="str">
        <f t="shared" si="78"/>
        <v>echo {"issue":{"subject":"","project_id":79,"tracker_id":40,"status_id":1,"priority_id":2,"assigned_to_id":23,"start_date":"2017-01-11","description":"","custom_fields":[{"id":1,"name":"Subdivision","value":"Other"},{"id":4,"name":"Milepost","value":"2.3301"},{"id":17,"name":"Train ID","value":"309-10"},{"id":16,"name":"Locomotive ID","value":"4031"},{"id":130,"name":"Impact","value":""},{"id":150,"name":"Time of Event (Mountain Time)","value":"00:55:06"},{"id":151,"name":"Denver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0"/>
      <c r="AK217" s="50"/>
      <c r="AL217" s="50"/>
      <c r="AM217" s="180" t="str">
        <f t="shared" si="79"/>
        <v>start /low /b %USERPROFILE%\Documents\GitHub\eaglep3\Utilities\DownloadLogsFromS3.py --loco 4031 --day 2017-01-11</v>
      </c>
    </row>
    <row r="218" spans="1:39" x14ac:dyDescent="0.25">
      <c r="A218" s="34" t="s">
        <v>216</v>
      </c>
      <c r="B218" s="7">
        <v>4031</v>
      </c>
      <c r="C218" s="22" t="s">
        <v>202</v>
      </c>
      <c r="D218" s="22" t="s">
        <v>360</v>
      </c>
      <c r="E218" s="13">
        <v>42746.029629629629</v>
      </c>
      <c r="F218" s="13">
        <v>42746.031747685185</v>
      </c>
      <c r="G218" s="7">
        <v>13</v>
      </c>
      <c r="H218" s="22" t="s">
        <v>360</v>
      </c>
      <c r="I218" s="13">
        <v>42746.038263888891</v>
      </c>
      <c r="J218" s="7">
        <v>0</v>
      </c>
      <c r="K218" s="105" t="str">
        <f t="shared" si="65"/>
        <v>4031/4032</v>
      </c>
      <c r="L218" s="22" t="str">
        <f>VLOOKUP(A218,'Trips&amp;Operators'!$C$1:$G$99999,5,FALSE)</f>
        <v>CHANDLER KELVIN</v>
      </c>
      <c r="M218" s="6">
        <f t="shared" si="66"/>
        <v>6.5162037062691525E-3</v>
      </c>
      <c r="N218" s="7">
        <f t="shared" ref="N218:N241" si="81">24*60*SUM($M218:$M218)</f>
        <v>9.3833333370275795</v>
      </c>
      <c r="O218" s="7"/>
      <c r="P218" s="7"/>
      <c r="Q218" s="23"/>
      <c r="R218" s="23"/>
      <c r="S218" s="32">
        <f t="shared" ref="S218:S241" si="82">SUM(U218:U218)/IF(AG218="EC",12,1)</f>
        <v>0</v>
      </c>
      <c r="T218" s="47" t="str">
        <f t="shared" si="67"/>
        <v>NorthBound</v>
      </c>
      <c r="U218" s="167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4" t="str">
        <f t="shared" si="68"/>
        <v>https://search-rtdc-monitor-bjffxe2xuh6vdkpspy63sjmuny.us-east-1.es.amazonaws.com/_plugin/kibana/#/discover/Steve-Slow-Train-Analysis-(2080s-and-2083s)?_g=(refreshInterval:(display:Off,section:0,value:0),time:(from:'2017-01-10 23:42:40-700',mode:absolute,to:'2017-01-11 01:55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18" s="49" t="str">
        <f t="shared" si="69"/>
        <v>Y</v>
      </c>
      <c r="X218" s="173">
        <f t="shared" si="80"/>
        <v>0</v>
      </c>
      <c r="Y218" s="64">
        <f t="shared" si="70"/>
        <v>2.3300999999999998</v>
      </c>
      <c r="Z218" s="64">
        <f t="shared" si="71"/>
        <v>2.3300999999999998</v>
      </c>
      <c r="AA218" s="64">
        <f t="shared" si="72"/>
        <v>0</v>
      </c>
      <c r="AB218" s="61" t="e">
        <f>VLOOKUP(A218,Enforcements!$C$7:$K$17,8,0)</f>
        <v>#N/A</v>
      </c>
      <c r="AC218" s="57" t="e">
        <f>VLOOKUP(A218,Enforcements!$C$7:$E$17,3,0)</f>
        <v>#N/A</v>
      </c>
      <c r="AD218" s="58" t="str">
        <f t="shared" si="73"/>
        <v>0309-10</v>
      </c>
      <c r="AE218" s="87" t="str">
        <f t="shared" si="74"/>
        <v>aws s3 cp s3://rtdc.mdm.uploadarchive.raw/RTDC4031/ "%USERPROFILE%\AppData\Local\Temp\OnboardLogs"\RTDC4031\2017-01-11 --exclude "*" --recursive --include "*20170111*" &amp; "%USERPROFILE%\Documents\GitHub\mrs-test-scripts\Headless Mode &amp; Sideloading\WalkAndUnGZ.bat" "%USERPROFILE%\AppData\Local\Temp\OnboardLogs"\RTDC4031\2017-01-11 &amp; aws s3 cp s3://rtdc.mdm.uploadarchive.raw/RTDC4031/ "%USERPROFILE%\AppData\Local\Temp\OnboardLogs"\RTDC4031\2017-01-12 --exclude "*" --recursive --include "*20170112*" &amp; "%USERPROFILE%\Documents\GitHub\mrs-test-scripts\Headless Mode &amp; Sideloading\WalkAndUnGZ.bat" "%USERPROFILE%\AppData\Local\Temp\OnboardLogs"\RTDC4031\2017-01-12</v>
      </c>
      <c r="AF218" s="84" t="str">
        <f t="shared" si="75"/>
        <v>"C:\Program Files (x86)\AstroGrep\AstroGrep.exe" /spath="%USERPROFILE%\AppData\Local\Temp\OnboardLogs" /stypes="app*4031*20170111*" /stext=" 07:.+((SYSTEM_STATE.+slice.+state.+changed )|(ment ac)|(multiple cpu faults)|(system.+state.+changed )|(\[timeout)|(PRM\|1\|D)|(kpr)|(kdp)|(\|lc)|(penalty))" /e /r /s</v>
      </c>
      <c r="AG218" s="1" t="str">
        <f t="shared" si="76"/>
        <v>Other</v>
      </c>
      <c r="AH218" s="88" t="str">
        <f t="shared" si="77"/>
        <v>"%USERPROFILE%\Documents\GitHub\eaglep3\Utilities\RefineRTDCRunTimes.py" --tripid 309-10 --locoid 4031 --swversion DE.1.0.8.0 --startMP 300:23301 --initTime 2017-01-11T00:42:40 --startdatetime 2017-01-11T00:45:43 --delay 13 --endMP 300:23301 --enddatetime 2017-01-11T00:55:06 --enforcementcount 0 &gt;&gt;C:\Users\stu\Documents\GitHub\eaglep3-reporting\EC\2017-01-10-refined-times.txt</v>
      </c>
      <c r="AI218" s="115" t="str">
        <f t="shared" si="78"/>
        <v>echo {"issue":{"subject":"","project_id":79,"tracker_id":40,"status_id":1,"priority_id":2,"assigned_to_id":23,"start_date":"2017-01-11","description":"","custom_fields":[{"id":1,"name":"Subdivision","value":"Other"},{"id":4,"name":"Milepost","value":"2.3301"},{"id":17,"name":"Train ID","value":"309-10"},{"id":16,"name":"Locomotive ID","value":"4031"},{"id":130,"name":"Impact","value":""},{"id":150,"name":"Time of Event (Mountain Time)","value":"00:55:06"},{"id":151,"name":"Denver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0"/>
      <c r="AK218" s="50"/>
      <c r="AL218" s="50"/>
      <c r="AM218" s="180" t="str">
        <f t="shared" si="79"/>
        <v>start /low /b %USERPROFILE%\Documents\GitHub\eaglep3\Utilities\DownloadLogsFromS3.py --loco 4031 --day 2017-01-11</v>
      </c>
    </row>
    <row r="219" spans="1:39" x14ac:dyDescent="0.25">
      <c r="A219" s="34" t="s">
        <v>468</v>
      </c>
      <c r="B219" s="7">
        <v>4032</v>
      </c>
      <c r="C219" s="22" t="s">
        <v>202</v>
      </c>
      <c r="D219" s="22" t="s">
        <v>730</v>
      </c>
      <c r="E219" s="13">
        <v>42745.182199074072</v>
      </c>
      <c r="F219" s="13">
        <v>42745.183668981481</v>
      </c>
      <c r="G219" s="7">
        <v>1</v>
      </c>
      <c r="H219" s="22" t="s">
        <v>268</v>
      </c>
      <c r="I219" s="13">
        <v>42745.190983796296</v>
      </c>
      <c r="J219" s="7">
        <v>0</v>
      </c>
      <c r="K219" s="105" t="str">
        <f t="shared" si="65"/>
        <v>4031/4032</v>
      </c>
      <c r="L219" s="22" t="str">
        <f>VLOOKUP(A219,'Trips&amp;Operators'!$C$1:$G$99999,5,FALSE)</f>
        <v>DAVIS WENDY</v>
      </c>
      <c r="M219" s="6">
        <f t="shared" si="66"/>
        <v>7.3148148148902692E-3</v>
      </c>
      <c r="N219" s="7">
        <f t="shared" si="81"/>
        <v>10.533333333441988</v>
      </c>
      <c r="O219" s="7"/>
      <c r="P219" s="7"/>
      <c r="Q219" s="23"/>
      <c r="R219" s="23"/>
      <c r="S219" s="32">
        <f t="shared" si="82"/>
        <v>1</v>
      </c>
      <c r="T219" s="47" t="str">
        <f t="shared" si="67"/>
        <v>Southbound</v>
      </c>
      <c r="U219" s="167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94" t="str">
        <f t="shared" si="68"/>
        <v>https://search-rtdc-monitor-bjffxe2xuh6vdkpspy63sjmuny.us-east-1.es.amazonaws.com/_plugin/kibana/#/discover/Steve-Slow-Train-Analysis-(2080s-and-2083s)?_g=(refreshInterval:(display:Off,section:0,value:0),time:(from:'2017-01-10 03:22:22-700',mode:absolute,to:'2017-01-10 05:35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19" s="49" t="str">
        <f t="shared" si="69"/>
        <v>Y</v>
      </c>
      <c r="X219" s="173">
        <f t="shared" si="80"/>
        <v>1</v>
      </c>
      <c r="Y219" s="64">
        <f t="shared" si="70"/>
        <v>2.3353000000000002</v>
      </c>
      <c r="Z219" s="64">
        <f t="shared" si="71"/>
        <v>1.52E-2</v>
      </c>
      <c r="AA219" s="64">
        <f t="shared" si="72"/>
        <v>2.3201000000000001</v>
      </c>
      <c r="AB219" s="61" t="e">
        <f>VLOOKUP(A219,Enforcements!$C$7:$K$17,8,0)</f>
        <v>#N/A</v>
      </c>
      <c r="AC219" s="57" t="e">
        <f>VLOOKUP(A219,Enforcements!$C$7:$E$17,3,0)</f>
        <v>#N/A</v>
      </c>
      <c r="AD219" s="58" t="str">
        <f t="shared" si="73"/>
        <v>0310-10</v>
      </c>
      <c r="AE219" s="87" t="str">
        <f t="shared" si="74"/>
        <v>aws s3 cp s3://rtdc.mdm.uploadarchive.raw/RTDC4032/ "%USERPROFILE%\AppData\Local\Temp\OnboardLogs"\RTDC4032\2017-01-10 --exclude "*" --recursive --include "*20170110*" &amp; "%USERPROFILE%\Documents\GitHub\mrs-test-scripts\Headless Mode &amp; Sideloading\WalkAndUnGZ.bat" "%USERPROFILE%\AppData\Local\Temp\OnboardLogs"\RTDC4032\2017-01-10 &amp; aws s3 cp s3://rtdc.mdm.uploadarchive.raw/RTDC4032/ "%USERPROFILE%\AppData\Local\Temp\OnboardLogs"\RTDC4032\2017-01-11 --exclude "*" --recursive --include "*20170111*" &amp; "%USERPROFILE%\Documents\GitHub\mrs-test-scripts\Headless Mode &amp; Sideloading\WalkAndUnGZ.bat" "%USERPROFILE%\AppData\Local\Temp\OnboardLogs"\RTDC4032\2017-01-11</v>
      </c>
      <c r="AF219" s="84" t="str">
        <f t="shared" si="75"/>
        <v>"C:\Program Files (x86)\AstroGrep\AstroGrep.exe" /spath="%USERPROFILE%\AppData\Local\Temp\OnboardLogs" /stypes="app*4032*20170110*" /stext=" 11:.+((SYSTEM_STATE.+slice.+state.+changed )|(ment ac)|(multiple cpu faults)|(system.+state.+changed )|(\[timeout)|(PRM\|1\|D)|(kpr)|(kdp)|(\|lc)|(penalty))" /e /r /s</v>
      </c>
      <c r="AG219" s="1" t="str">
        <f t="shared" si="76"/>
        <v>Other</v>
      </c>
      <c r="AH219" s="88" t="str">
        <f t="shared" si="77"/>
        <v>"%USERPROFILE%\Documents\GitHub\eaglep3\Utilities\RefineRTDCRunTimes.py" --tripid 310-10 --locoid 4032 --swversion DE.1.0.8.0 --startMP 300:23353 --initTime 2017-01-10T04:22:22 --startdatetime 2017-01-10T04:24:29 --delay 1 --endMP 204:152 --enddatetime 2017-01-10T04:35:01 --enforcementcount 0 &gt;&gt;C:\Users\stu\Documents\GitHub\eaglep3-reporting\EC\2017-01-10-refined-times.txt</v>
      </c>
      <c r="AI219" s="115" t="str">
        <f t="shared" si="78"/>
        <v>echo {"issue":{"subject":"","project_id":79,"tracker_id":40,"status_id":1,"priority_id":2,"assigned_to_id":23,"start_date":"2017-01-10","description":"","custom_fields":[{"id":1,"name":"Subdivision","value":"Other"},{"id":4,"name":"Milepost","value":"0.0152"},{"id":17,"name":"Train ID","value":"310-10"},{"id":16,"name":"Locomotive ID","value":"4032"},{"id":130,"name":"Impact","value":""},{"id":150,"name":"Time of Event (Mountain Time)","value":"04:35:01"},{"id":151,"name":"Denver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0"/>
      <c r="AK219" s="50"/>
      <c r="AL219" s="50"/>
      <c r="AM219" s="180" t="str">
        <f t="shared" si="79"/>
        <v>start /low /b %USERPROFILE%\Documents\GitHub\eaglep3\Utilities\DownloadLogsFromS3.py --loco 4032 --day 2017-01-10</v>
      </c>
    </row>
    <row r="220" spans="1:39" x14ac:dyDescent="0.25">
      <c r="A220" s="34" t="s">
        <v>218</v>
      </c>
      <c r="B220" s="7">
        <v>4007</v>
      </c>
      <c r="C220" s="22" t="s">
        <v>202</v>
      </c>
      <c r="D220" s="22" t="s">
        <v>359</v>
      </c>
      <c r="E220" s="13">
        <v>42746.047789351855</v>
      </c>
      <c r="F220" s="13">
        <v>25568.708333333332</v>
      </c>
      <c r="G220" s="7">
        <v>1</v>
      </c>
      <c r="H220" s="22" t="s">
        <v>731</v>
      </c>
      <c r="I220" s="13">
        <v>25568.708333333332</v>
      </c>
      <c r="J220" s="7">
        <v>0</v>
      </c>
      <c r="K220" s="105" t="str">
        <f t="shared" si="65"/>
        <v>4007/4008</v>
      </c>
      <c r="L220" s="22" t="str">
        <f>VLOOKUP(A220,'Trips&amp;Operators'!$C$1:$G$99999,5,FALSE)</f>
        <v>NEWELL JAMES</v>
      </c>
      <c r="M220" s="6">
        <f t="shared" si="66"/>
        <v>0</v>
      </c>
      <c r="N220" s="7">
        <f t="shared" si="81"/>
        <v>0</v>
      </c>
      <c r="O220" s="7"/>
      <c r="P220" s="7"/>
      <c r="Q220" s="23"/>
      <c r="R220" s="23"/>
      <c r="S220" s="32">
        <f t="shared" si="82"/>
        <v>1</v>
      </c>
      <c r="T220" s="47" t="str">
        <f t="shared" si="67"/>
        <v>NorthBound</v>
      </c>
      <c r="U220" s="167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94" t="str">
        <f t="shared" si="68"/>
        <v>https://search-rtdc-monitor-bjffxe2xuh6vdkpspy63sjmuny.us-east-1.es.amazonaws.com/_plugin/kibana/#/discover/Steve-Slow-Train-Analysis-(2080s-and-2083s)?_g=(refreshInterval:(display:Off,section:0,value:0),time:(from:'2017-01-11 00:08:49-700',mode:absolute,to:'1969-12-31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20" s="49" t="str">
        <f t="shared" si="69"/>
        <v>Y</v>
      </c>
      <c r="X220" s="173">
        <f t="shared" si="80"/>
        <v>1</v>
      </c>
      <c r="Y220" s="64">
        <f t="shared" si="70"/>
        <v>4.7300000000000002E-2</v>
      </c>
      <c r="Z220" s="64">
        <f t="shared" si="71"/>
        <v>2.3311999999999999</v>
      </c>
      <c r="AA220" s="64">
        <f t="shared" si="72"/>
        <v>2.2839</v>
      </c>
      <c r="AB220" s="61" t="e">
        <f>VLOOKUP(A220,Enforcements!$C$7:$K$17,8,0)</f>
        <v>#N/A</v>
      </c>
      <c r="AC220" s="57" t="e">
        <f>VLOOKUP(A220,Enforcements!$C$7:$E$17,3,0)</f>
        <v>#N/A</v>
      </c>
      <c r="AD220" s="58" t="str">
        <f t="shared" si="73"/>
        <v>0311-10</v>
      </c>
      <c r="AE220" s="87" t="str">
        <f t="shared" si="74"/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AF220" s="84" t="str">
        <f t="shared" si="75"/>
        <v>"C:\Program Files (x86)\AstroGrep\AstroGrep.exe" /spath="%USERPROFILE%\AppData\Local\Temp\OnboardLogs" /stypes="app*4007*19700101*" /stext=" 00:.+((SYSTEM_STATE.+slice.+state.+changed )|(ment ac)|(multiple cpu faults)|(system.+state.+changed )|(\[timeout)|(PRM\|1\|D)|(kpr)|(kdp)|(\|lc)|(penalty))" /e /r /s</v>
      </c>
      <c r="AG220" s="1" t="str">
        <f t="shared" si="76"/>
        <v>Other</v>
      </c>
      <c r="AH220" s="88" t="str">
        <f t="shared" si="77"/>
        <v>"%USERPROFILE%\Documents\GitHub\eaglep3\Utilities\RefineRTDCRunTimes.py" --tripid 311-10 --locoid 4007 --swversion DE.1.0.8.0 --startMP 204:473 --initTime 2017-01-11T01:08:49 --startdatetime 1969-12-31T17:00:00 --delay 1 --endMP 300:23312 --enddatetime 1969-12-31T17:00:00 --enforcementcount 0 &gt;&gt;C:\Users\stu\Documents\GitHub\eaglep3-reporting\EC\2017-01-10-refined-times.txt</v>
      </c>
      <c r="AI220" s="115" t="str">
        <f t="shared" si="78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ID","value":"311-10"},{"id":16,"name":"Locomotive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0"/>
      <c r="AK220" s="50"/>
      <c r="AL220" s="50"/>
      <c r="AM220" s="180" t="str">
        <f t="shared" si="79"/>
        <v>start /low /b %USERPROFILE%\Documents\GitHub\eaglep3\Utilities\DownloadLogsFromS3.py --loco 4007 --day 1969-12-31</v>
      </c>
    </row>
    <row r="221" spans="1:39" x14ac:dyDescent="0.25">
      <c r="A221" s="34" t="s">
        <v>386</v>
      </c>
      <c r="B221" s="7">
        <v>4003</v>
      </c>
      <c r="C221" s="22" t="s">
        <v>202</v>
      </c>
      <c r="D221" s="22" t="s">
        <v>246</v>
      </c>
      <c r="E221" s="13">
        <v>42745.074930555558</v>
      </c>
      <c r="F221" s="13">
        <v>42745.076435185183</v>
      </c>
      <c r="G221" s="7">
        <v>1</v>
      </c>
      <c r="H221" s="22" t="s">
        <v>323</v>
      </c>
      <c r="I221" s="13">
        <v>42745.083101851851</v>
      </c>
      <c r="J221" s="7">
        <v>0</v>
      </c>
      <c r="K221" s="105" t="str">
        <f t="shared" si="65"/>
        <v>4003/4004</v>
      </c>
      <c r="L221" s="22" t="str">
        <f>VLOOKUP(A221,'Trips&amp;Operators'!$C$1:$G$99999,5,FALSE)</f>
        <v>BADERTSCHER DIANE</v>
      </c>
      <c r="M221" s="6">
        <f t="shared" si="66"/>
        <v>6.6666666680248454E-3</v>
      </c>
      <c r="N221" s="7">
        <f t="shared" si="81"/>
        <v>9.6000000019557774</v>
      </c>
      <c r="O221" s="7"/>
      <c r="P221" s="7"/>
      <c r="Q221" s="23"/>
      <c r="R221" s="23"/>
      <c r="S221" s="32">
        <f t="shared" si="82"/>
        <v>1</v>
      </c>
      <c r="T221" s="47" t="str">
        <f t="shared" si="67"/>
        <v>NorthBound</v>
      </c>
      <c r="U221" s="167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94" t="str">
        <f t="shared" si="68"/>
        <v>https://search-rtdc-monitor-bjffxe2xuh6vdkpspy63sjmuny.us-east-1.es.amazonaws.com/_plugin/kibana/#/discover/Steve-Slow-Train-Analysis-(2080s-and-2083s)?_g=(refreshInterval:(display:Off,section:0,value:0),time:(from:'2017-01-10 00:47:54-700',mode:absolute,to:'2017-01-10 02:59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21" s="49" t="str">
        <f t="shared" si="69"/>
        <v>Y</v>
      </c>
      <c r="X221" s="173">
        <f t="shared" si="80"/>
        <v>2</v>
      </c>
      <c r="Y221" s="64">
        <f t="shared" si="70"/>
        <v>4.6199999999999998E-2</v>
      </c>
      <c r="Z221" s="64">
        <f t="shared" si="71"/>
        <v>2.3346</v>
      </c>
      <c r="AA221" s="64">
        <f t="shared" si="72"/>
        <v>2.2884000000000002</v>
      </c>
      <c r="AB221" s="61" t="e">
        <f>VLOOKUP(A221,Enforcements!$C$7:$K$17,8,0)</f>
        <v>#N/A</v>
      </c>
      <c r="AC221" s="57" t="e">
        <f>VLOOKUP(A221,Enforcements!$C$7:$E$17,3,0)</f>
        <v>#N/A</v>
      </c>
      <c r="AD221" s="58" t="str">
        <f t="shared" si="73"/>
        <v>0313-09</v>
      </c>
      <c r="AE221" s="87" t="str">
        <f t="shared" si="74"/>
        <v>aws s3 cp s3://rtdc.mdm.uploadarchive.raw/RTDC4003/ "%USERPROFILE%\AppData\Local\Temp\OnboardLogs"\RTDC4003\2017-01-10 --exclude "*" --recursive --include "*20170110*" &amp; "%USERPROFILE%\Documents\GitHub\mrs-test-scripts\Headless Mode &amp; Sideloading\WalkAndUnGZ.bat" "%USERPROFILE%\AppData\Local\Temp\OnboardLogs"\RTDC4003\2017-01-10 &amp; aws s3 cp s3://rtdc.mdm.uploadarchive.raw/RTDC4003/ "%USERPROFILE%\AppData\Local\Temp\OnboardLogs"\RTDC4003\2017-01-11 --exclude "*" --recursive --include "*20170111*" &amp; "%USERPROFILE%\Documents\GitHub\mrs-test-scripts\Headless Mode &amp; Sideloading\WalkAndUnGZ.bat" "%USERPROFILE%\AppData\Local\Temp\OnboardLogs"\RTDC4003\2017-01-11</v>
      </c>
      <c r="AF221" s="84" t="str">
        <f t="shared" si="75"/>
        <v>"C:\Program Files (x86)\AstroGrep\AstroGrep.exe" /spath="%USERPROFILE%\AppData\Local\Temp\OnboardLogs" /stypes="app*4003*20170110*" /stext=" 08:.+((SYSTEM_STATE.+slice.+state.+changed )|(ment ac)|(multiple cpu faults)|(system.+state.+changed )|(\[timeout)|(PRM\|1\|D)|(kpr)|(kdp)|(\|lc)|(penalty))" /e /r /s</v>
      </c>
      <c r="AG221" s="1" t="str">
        <f t="shared" si="76"/>
        <v>Other</v>
      </c>
      <c r="AH221" s="88" t="str">
        <f t="shared" si="77"/>
        <v>"%USERPROFILE%\Documents\GitHub\eaglep3\Utilities\RefineRTDCRunTimes.py" --tripid 313-09 --locoid 4003 --swversion DE.1.0.8.0 --startMP 204:462 --initTime 2017-01-10T01:47:54 --startdatetime 2017-01-10T01:50:04 --delay 1 --endMP 300:23346 --enddatetime 2017-01-10T01:59:40 --enforcementcount 0 &gt;&gt;C:\Users\stu\Documents\GitHub\eaglep3-reporting\EC\2017-01-10-refined-times.txt</v>
      </c>
      <c r="AI221" s="115" t="str">
        <f t="shared" si="78"/>
        <v>echo {"issue":{"subject":"","project_id":79,"tracker_id":40,"status_id":1,"priority_id":2,"assigned_to_id":23,"start_date":"2017-01-10","description":"","custom_fields":[{"id":1,"name":"Subdivision","value":"Other"},{"id":4,"name":"Milepost","value":"2.3346"},{"id":17,"name":"Train ID","value":"313-09"},{"id":16,"name":"Locomotive ID","value":"4003"},{"id":130,"name":"Impact","value":""},{"id":150,"name":"Time of Event (Mountain Time)","value":"01:59:40"},{"id":151,"name":"Denver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0"/>
      <c r="AK221" s="50"/>
      <c r="AL221" s="50"/>
      <c r="AM221" s="180" t="str">
        <f t="shared" si="79"/>
        <v>start /low /b %USERPROFILE%\Documents\GitHub\eaglep3\Utilities\DownloadLogsFromS3.py --loco 4003 --day 2017-01-10</v>
      </c>
    </row>
    <row r="222" spans="1:39" x14ac:dyDescent="0.25">
      <c r="A222" s="34" t="s">
        <v>220</v>
      </c>
      <c r="B222" s="7">
        <v>4042</v>
      </c>
      <c r="C222" s="22" t="s">
        <v>202</v>
      </c>
      <c r="D222" s="22" t="s">
        <v>277</v>
      </c>
      <c r="E222" s="13">
        <v>42746.071030092593</v>
      </c>
      <c r="F222" s="13">
        <v>25568.708333333332</v>
      </c>
      <c r="G222" s="7">
        <v>1</v>
      </c>
      <c r="H222" s="22" t="s">
        <v>323</v>
      </c>
      <c r="I222" s="13">
        <v>25568.708333333332</v>
      </c>
      <c r="J222" s="7">
        <v>0</v>
      </c>
      <c r="K222" s="105" t="str">
        <f t="shared" si="65"/>
        <v>4041/4042</v>
      </c>
      <c r="L222" s="22" t="str">
        <f>VLOOKUP(A222,'Trips&amp;Operators'!$C$1:$G$99999,5,FALSE)</f>
        <v>NELSON ARIANE</v>
      </c>
      <c r="M222" s="6">
        <f t="shared" si="66"/>
        <v>0</v>
      </c>
      <c r="N222" s="7">
        <f t="shared" si="81"/>
        <v>0</v>
      </c>
      <c r="O222" s="7"/>
      <c r="P222" s="7"/>
      <c r="Q222" s="23"/>
      <c r="R222" s="23"/>
      <c r="S222" s="32">
        <f t="shared" si="82"/>
        <v>1</v>
      </c>
      <c r="T222" s="47" t="str">
        <f t="shared" si="67"/>
        <v>NorthBound</v>
      </c>
      <c r="U222" s="167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94" t="str">
        <f t="shared" si="68"/>
        <v>https://search-rtdc-monitor-bjffxe2xuh6vdkpspy63sjmuny.us-east-1.es.amazonaws.com/_plugin/kibana/#/discover/Steve-Slow-Train-Analysis-(2080s-and-2083s)?_g=(refreshInterval:(display:Off,section:0,value:0),time:(from:'2017-01-11 00:42:17-700',mode:absolute,to:'1969-12-31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22" s="49" t="str">
        <f t="shared" si="69"/>
        <v>Y</v>
      </c>
      <c r="X222" s="173">
        <f t="shared" si="80"/>
        <v>0</v>
      </c>
      <c r="Y222" s="64">
        <f t="shared" si="70"/>
        <v>4.3700000000000003E-2</v>
      </c>
      <c r="Z222" s="64">
        <f t="shared" si="71"/>
        <v>2.3346</v>
      </c>
      <c r="AA222" s="64">
        <f t="shared" si="72"/>
        <v>2.2909000000000002</v>
      </c>
      <c r="AB222" s="61" t="e">
        <f>VLOOKUP(A222,Enforcements!$C$7:$K$17,8,0)</f>
        <v>#N/A</v>
      </c>
      <c r="AC222" s="57" t="e">
        <f>VLOOKUP(A222,Enforcements!$C$7:$E$17,3,0)</f>
        <v>#N/A</v>
      </c>
      <c r="AD222" s="58" t="str">
        <f t="shared" si="73"/>
        <v>0313-10</v>
      </c>
      <c r="AE222" s="87" t="str">
        <f t="shared" si="74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22" s="84" t="str">
        <f t="shared" si="75"/>
        <v>"C:\Program Files (x86)\AstroGrep\AstroGrep.exe" /spath="%USERPROFILE%\AppData\Local\Temp\OnboardLogs" /stypes="app*4042*19700101*" /stext=" 00:.+((SYSTEM_STATE.+slice.+state.+changed )|(ment ac)|(multiple cpu faults)|(system.+state.+changed )|(\[timeout)|(PRM\|1\|D)|(kpr)|(kdp)|(\|lc)|(penalty))" /e /r /s</v>
      </c>
      <c r="AG222" s="1" t="str">
        <f t="shared" si="76"/>
        <v>Other</v>
      </c>
      <c r="AH222" s="88" t="str">
        <f t="shared" si="77"/>
        <v>"%USERPROFILE%\Documents\GitHub\eaglep3\Utilities\RefineRTDCRunTimes.py" --tripid 313-10 --locoid 4042 --swversion DE.1.0.8.0 --startMP 204:437 --initTime 2017-01-11T01:42:17 --startdatetime 1969-12-31T17:00:00 --delay 1 --endMP 300:23346 --enddatetime 1969-12-31T17:00:00 --enforcementcount 0 &gt;&gt;C:\Users\stu\Documents\GitHub\eaglep3-reporting\EC\2017-01-10-refined-times.txt</v>
      </c>
      <c r="AI222" s="115" t="str">
        <f t="shared" si="78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ID","value":"313-10"},{"id":16,"name":"Locomotive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0"/>
      <c r="AK222" s="50"/>
      <c r="AL222" s="50"/>
      <c r="AM222" s="180" t="str">
        <f t="shared" si="79"/>
        <v>start /low /b %USERPROFILE%\Documents\GitHub\eaglep3\Utilities\DownloadLogsFromS3.py --loco 4042 --day 1969-12-31</v>
      </c>
    </row>
    <row r="223" spans="1:39" x14ac:dyDescent="0.25">
      <c r="A223" s="34" t="s">
        <v>387</v>
      </c>
      <c r="B223" s="7">
        <v>4044</v>
      </c>
      <c r="C223" s="22" t="s">
        <v>202</v>
      </c>
      <c r="D223" s="22" t="s">
        <v>305</v>
      </c>
      <c r="E223" s="13">
        <v>42745.090011574073</v>
      </c>
      <c r="F223" s="13">
        <v>25568.708333333332</v>
      </c>
      <c r="G223" s="7">
        <v>1</v>
      </c>
      <c r="H223" s="22" t="s">
        <v>401</v>
      </c>
      <c r="I223" s="13">
        <v>25568.708333333332</v>
      </c>
      <c r="J223" s="7">
        <v>0</v>
      </c>
      <c r="K223" s="105" t="str">
        <f t="shared" si="65"/>
        <v>4043/4044</v>
      </c>
      <c r="L223" s="22" t="str">
        <f>VLOOKUP(A223,'Trips&amp;Operators'!$C$1:$G$99999,5,FALSE)</f>
        <v>STORY SAMANTHA</v>
      </c>
      <c r="M223" s="6">
        <f t="shared" si="66"/>
        <v>0</v>
      </c>
      <c r="N223" s="7">
        <f t="shared" si="81"/>
        <v>0</v>
      </c>
      <c r="O223" s="7"/>
      <c r="P223" s="7"/>
      <c r="Q223" s="23"/>
      <c r="R223" s="23"/>
      <c r="S223" s="32">
        <f t="shared" si="82"/>
        <v>0</v>
      </c>
      <c r="T223" s="47" t="str">
        <f t="shared" si="67"/>
        <v>NorthBound</v>
      </c>
      <c r="U223" s="167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4" t="str">
        <f t="shared" si="68"/>
        <v>https://search-rtdc-monitor-bjffxe2xuh6vdkpspy63sjmuny.us-east-1.es.amazonaws.com/_plugin/kibana/#/discover/Steve-Slow-Train-Analysis-(2080s-and-2083s)?_g=(refreshInterval:(display:Off,section:0,value:0),time:(from:'2017-01-10 01:09:37-700',mode:absolute,to:'1969-12-31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23" s="49" t="str">
        <f t="shared" si="69"/>
        <v>Y</v>
      </c>
      <c r="X223" s="173">
        <f t="shared" si="80"/>
        <v>2</v>
      </c>
      <c r="Y223" s="64">
        <f t="shared" si="70"/>
        <v>4.6600000000000003E-2</v>
      </c>
      <c r="Z223" s="64">
        <f t="shared" si="71"/>
        <v>4.58E-2</v>
      </c>
      <c r="AA223" s="64">
        <f t="shared" si="72"/>
        <v>8.000000000000021E-4</v>
      </c>
      <c r="AB223" s="61" t="e">
        <f>VLOOKUP(A223,Enforcements!$C$7:$K$17,8,0)</f>
        <v>#N/A</v>
      </c>
      <c r="AC223" s="57" t="e">
        <f>VLOOKUP(A223,Enforcements!$C$7:$E$17,3,0)</f>
        <v>#N/A</v>
      </c>
      <c r="AD223" s="58" t="str">
        <f t="shared" si="73"/>
        <v>0315-09</v>
      </c>
      <c r="AE223" s="87" t="str">
        <f t="shared" si="74"/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23" s="84" t="str">
        <f t="shared" si="75"/>
        <v>"C:\Program Files (x86)\AstroGrep\AstroGrep.exe" /spath="%USERPROFILE%\AppData\Local\Temp\OnboardLogs" /stypes="app*4044*19700101*" /stext=" 00:.+((SYSTEM_STATE.+slice.+state.+changed )|(ment ac)|(multiple cpu faults)|(system.+state.+changed )|(\[timeout)|(PRM\|1\|D)|(kpr)|(kdp)|(\|lc)|(penalty))" /e /r /s</v>
      </c>
      <c r="AG223" s="1" t="str">
        <f t="shared" si="76"/>
        <v>Other</v>
      </c>
      <c r="AH223" s="88" t="str">
        <f t="shared" si="77"/>
        <v>"%USERPROFILE%\Documents\GitHub\eaglep3\Utilities\RefineRTDCRunTimes.py" --tripid 315-09 --locoid 4044 --swversion DE.1.0.8.0 --startMP 204:466 --initTime 2017-01-10T02:09:37 --startdatetime 1969-12-31T17:00:00 --delay 1 --endMP 204:458 --enddatetime 1969-12-31T17:00:00 --enforcementcount 0 &gt;&gt;C:\Users\stu\Documents\GitHub\eaglep3-reporting\EC\2017-01-10-refined-times.txt</v>
      </c>
      <c r="AI223" s="115" t="str">
        <f t="shared" si="78"/>
        <v>echo {"issue":{"subject":"","project_id":79,"tracker_id":40,"status_id":1,"priority_id":2,"assigned_to_id":23,"start_date":"1969-12-31","description":"","custom_fields":[{"id":1,"name":"Subdivision","value":"Other"},{"id":4,"name":"Milepost","value":"0.0458"},{"id":17,"name":"Train ID","value":"315-09"},{"id":16,"name":"Locomotive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0"/>
      <c r="AK223" s="50"/>
      <c r="AL223" s="50"/>
      <c r="AM223" s="180" t="str">
        <f t="shared" si="79"/>
        <v>start /low /b %USERPROFILE%\Documents\GitHub\eaglep3\Utilities\DownloadLogsFromS3.py --loco 4044 --day 1969-12-31</v>
      </c>
    </row>
    <row r="224" spans="1:39" x14ac:dyDescent="0.25">
      <c r="A224" s="34" t="s">
        <v>471</v>
      </c>
      <c r="B224" s="7">
        <v>4002</v>
      </c>
      <c r="C224" s="22" t="s">
        <v>202</v>
      </c>
      <c r="D224" s="22" t="s">
        <v>799</v>
      </c>
      <c r="E224" s="13">
        <v>42745.205023148148</v>
      </c>
      <c r="F224" s="13">
        <v>42745.205937500003</v>
      </c>
      <c r="G224" s="7">
        <v>0</v>
      </c>
      <c r="H224" s="22" t="s">
        <v>274</v>
      </c>
      <c r="I224" s="13">
        <v>42745.211469907408</v>
      </c>
      <c r="J224" s="7">
        <v>0</v>
      </c>
      <c r="K224" s="105" t="str">
        <f t="shared" si="65"/>
        <v>4001/4002</v>
      </c>
      <c r="L224" s="22" t="str">
        <f>VLOOKUP(A224,'Trips&amp;Operators'!$C$1:$G$99999,5,FALSE)</f>
        <v>YORK EDGAR</v>
      </c>
      <c r="M224" s="6">
        <f t="shared" si="66"/>
        <v>5.5324074055533856E-3</v>
      </c>
      <c r="N224" s="7">
        <f t="shared" si="81"/>
        <v>7.9666666639968753</v>
      </c>
      <c r="O224" s="7"/>
      <c r="P224" s="7"/>
      <c r="Q224" s="23"/>
      <c r="R224" s="23"/>
      <c r="S224" s="32">
        <f t="shared" si="82"/>
        <v>0</v>
      </c>
      <c r="T224" s="47" t="str">
        <f t="shared" si="67"/>
        <v>NorthBound</v>
      </c>
      <c r="U224" s="167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4" t="str">
        <f t="shared" si="68"/>
        <v>https://search-rtdc-monitor-bjffxe2xuh6vdkpspy63sjmuny.us-east-1.es.amazonaws.com/_plugin/kibana/#/discover/Steve-Slow-Train-Analysis-(2080s-and-2083s)?_g=(refreshInterval:(display:Off,section:0,value:0),time:(from:'2017-01-10 03:55:14-700',mode:absolute,to:'2017-01-10 06:04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24" s="49" t="str">
        <f t="shared" si="69"/>
        <v>Y</v>
      </c>
      <c r="X224" s="173">
        <f t="shared" si="80"/>
        <v>586</v>
      </c>
      <c r="Y224" s="64">
        <f t="shared" si="70"/>
        <v>3.0114000000000001</v>
      </c>
      <c r="Z224" s="64">
        <f t="shared" si="71"/>
        <v>5.8930999999999996</v>
      </c>
      <c r="AA224" s="64">
        <f t="shared" si="72"/>
        <v>2.8816999999999995</v>
      </c>
      <c r="AB224" s="61" t="e">
        <f>VLOOKUP(A224,Enforcements!$C$7:$K$17,8,0)</f>
        <v>#N/A</v>
      </c>
      <c r="AC224" s="57" t="e">
        <f>VLOOKUP(A224,Enforcements!$C$7:$E$17,3,0)</f>
        <v>#N/A</v>
      </c>
      <c r="AD224" s="58" t="str">
        <f t="shared" si="73"/>
        <v>0901-10</v>
      </c>
      <c r="AE224" s="87" t="str">
        <f t="shared" si="74"/>
        <v>aws s3 cp s3://rtdc.mdm.uploadarchive.raw/RTDC4002/ "%USERPROFILE%\AppData\Local\Temp\OnboardLogs"\RTDC4002\2017-01-10 --exclude "*" --recursive --include "*20170110*" &amp; "%USERPROFILE%\Documents\GitHub\mrs-test-scripts\Headless Mode &amp; Sideloading\WalkAndUnGZ.bat" "%USERPROFILE%\AppData\Local\Temp\OnboardLogs"\RTDC4002\2017-01-10 &amp; aws s3 cp s3://rtdc.mdm.uploadarchive.raw/RTDC4002/ "%USERPROFILE%\AppData\Local\Temp\OnboardLogs"\RTDC4002\2017-01-11 --exclude "*" --recursive --include "*20170111*" &amp; "%USERPROFILE%\Documents\GitHub\mrs-test-scripts\Headless Mode &amp; Sideloading\WalkAndUnGZ.bat" "%USERPROFILE%\AppData\Local\Temp\OnboardLogs"\RTDC4002\2017-01-11</v>
      </c>
      <c r="AF224" s="84" t="str">
        <f t="shared" si="75"/>
        <v>"C:\Program Files (x86)\AstroGrep\AstroGrep.exe" /spath="%USERPROFILE%\AppData\Local\Temp\OnboardLogs" /stypes="app*4002*20170110*" /stext=" 12:.+((SYSTEM_STATE.+slice.+state.+changed )|(ment ac)|(multiple cpu faults)|(system.+state.+changed )|(\[timeout)|(PRM\|1\|D)|(kpr)|(kdp)|(\|lc)|(penalty))" /e /r /s</v>
      </c>
      <c r="AG224" s="1" t="str">
        <f t="shared" si="76"/>
        <v>Other</v>
      </c>
      <c r="AH224" s="88" t="str">
        <f t="shared" si="77"/>
        <v>"%USERPROFILE%\Documents\GitHub\eaglep3\Utilities\RefineRTDCRunTimes.py" --tripid 901-10 --locoid 4002 --swversion DE.1.0.8.0 --startMP 300:30114 --initTime 2017-01-10T04:55:14 --startdatetime 2017-01-10T04:56:33 --delay 0 --endMP 300:58931 --enddatetime 2017-01-10T05:04:31 --enforcementcount 0 &gt;&gt;C:\Users\stu\Documents\GitHub\eaglep3-reporting\EC\2017-01-10-refined-times.txt</v>
      </c>
      <c r="AI224" s="115" t="str">
        <f t="shared" si="78"/>
        <v>echo {"issue":{"subject":"","project_id":79,"tracker_id":40,"status_id":1,"priority_id":2,"assigned_to_id":23,"start_date":"2017-01-10","description":"","custom_fields":[{"id":1,"name":"Subdivision","value":"Other"},{"id":4,"name":"Milepost","value":"5.8931"},{"id":17,"name":"Train ID","value":"901-10"},{"id":16,"name":"Locomotive ID","value":"4002"},{"id":130,"name":"Impact","value":""},{"id":150,"name":"Time of Event (Mountain Time)","value":"05:04:31"},{"id":151,"name":"Denver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0"/>
      <c r="AK224" s="50"/>
      <c r="AL224" s="50"/>
      <c r="AM224" s="180" t="str">
        <f t="shared" si="79"/>
        <v>start /low /b %USERPROFILE%\Documents\GitHub\eaglep3\Utilities\DownloadLogsFromS3.py --loco 4002 --day 2017-01-10</v>
      </c>
    </row>
    <row r="225" spans="1:39" x14ac:dyDescent="0.25">
      <c r="A225" s="34" t="s">
        <v>482</v>
      </c>
      <c r="B225" s="7">
        <v>4030</v>
      </c>
      <c r="C225" s="22" t="s">
        <v>202</v>
      </c>
      <c r="D225" s="22" t="s">
        <v>800</v>
      </c>
      <c r="E225" s="13">
        <v>42745.240312499998</v>
      </c>
      <c r="F225" s="13">
        <v>42745.241400462961</v>
      </c>
      <c r="G225" s="7">
        <v>1</v>
      </c>
      <c r="H225" s="22" t="s">
        <v>801</v>
      </c>
      <c r="I225" s="13">
        <v>42745.247881944444</v>
      </c>
      <c r="J225" s="7">
        <v>0</v>
      </c>
      <c r="K225" s="105" t="str">
        <f t="shared" si="65"/>
        <v>4029/4030</v>
      </c>
      <c r="L225" s="22" t="str">
        <f>VLOOKUP(A225,'Trips&amp;Operators'!$C$1:$G$99999,5,FALSE)</f>
        <v>BROWN JACOB</v>
      </c>
      <c r="M225" s="6">
        <f t="shared" si="66"/>
        <v>6.4814814832061529E-3</v>
      </c>
      <c r="N225" s="7">
        <f t="shared" si="81"/>
        <v>9.3333333358168602</v>
      </c>
      <c r="O225" s="7"/>
      <c r="P225" s="7"/>
      <c r="Q225" s="23"/>
      <c r="R225" s="23"/>
      <c r="S225" s="32">
        <f t="shared" si="82"/>
        <v>1</v>
      </c>
      <c r="T225" s="47" t="str">
        <f t="shared" si="67"/>
        <v>Southbound</v>
      </c>
      <c r="U225" s="167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94" t="str">
        <f t="shared" si="68"/>
        <v>https://search-rtdc-monitor-bjffxe2xuh6vdkpspy63sjmuny.us-east-1.es.amazonaws.com/_plugin/kibana/#/discover/Steve-Slow-Train-Analysis-(2080s-and-2083s)?_g=(refreshInterval:(display:Off,section:0,value:0),time:(from:'2017-01-10 04:46:03-700',mode:absolute,to:'2017-01-10 06:56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25" s="49" t="str">
        <f t="shared" si="69"/>
        <v>Y</v>
      </c>
      <c r="X225" s="173">
        <f t="shared" si="80"/>
        <v>1</v>
      </c>
      <c r="Y225" s="64">
        <f t="shared" si="70"/>
        <v>2.3186</v>
      </c>
      <c r="Z225" s="64">
        <f t="shared" si="71"/>
        <v>7.2900000000000006E-2</v>
      </c>
      <c r="AA225" s="64">
        <f t="shared" si="72"/>
        <v>2.2456999999999998</v>
      </c>
      <c r="AB225" s="61" t="e">
        <f>VLOOKUP(A225,Enforcements!$C$7:$K$17,8,0)</f>
        <v>#N/A</v>
      </c>
      <c r="AC225" s="57" t="e">
        <f>VLOOKUP(A225,Enforcements!$C$7:$E$17,3,0)</f>
        <v>#N/A</v>
      </c>
      <c r="AD225" s="58" t="str">
        <f t="shared" si="73"/>
        <v>0902-10</v>
      </c>
      <c r="AE225" s="87" t="str">
        <f t="shared" si="74"/>
        <v>aws s3 cp s3://rtdc.mdm.uploadarchive.raw/RTDC4030/ "%USERPROFILE%\AppData\Local\Temp\OnboardLogs"\RTDC4030\2017-01-10 --exclude "*" --recursive --include "*20170110*" &amp; "%USERPROFILE%\Documents\GitHub\mrs-test-scripts\Headless Mode &amp; Sideloading\WalkAndUnGZ.bat" "%USERPROFILE%\AppData\Local\Temp\OnboardLogs"\RTDC4030\2017-01-10 &amp; aws s3 cp s3://rtdc.mdm.uploadarchive.raw/RTDC4030/ "%USERPROFILE%\AppData\Local\Temp\OnboardLogs"\RTDC4030\2017-01-11 --exclude "*" --recursive --include "*20170111*" &amp; "%USERPROFILE%\Documents\GitHub\mrs-test-scripts\Headless Mode &amp; Sideloading\WalkAndUnGZ.bat" "%USERPROFILE%\AppData\Local\Temp\OnboardLogs"\RTDC4030\2017-01-11</v>
      </c>
      <c r="AF225" s="84" t="str">
        <f t="shared" si="75"/>
        <v>"C:\Program Files (x86)\AstroGrep\AstroGrep.exe" /spath="%USERPROFILE%\AppData\Local\Temp\OnboardLogs" /stypes="app*4030*20170110*" /stext=" 12:.+((SYSTEM_STATE.+slice.+state.+changed )|(ment ac)|(multiple cpu faults)|(system.+state.+changed )|(\[timeout)|(PRM\|1\|D)|(kpr)|(kdp)|(\|lc)|(penalty))" /e /r /s</v>
      </c>
      <c r="AG225" s="1" t="str">
        <f t="shared" si="76"/>
        <v>Other</v>
      </c>
      <c r="AH225" s="88" t="str">
        <f t="shared" si="77"/>
        <v>"%USERPROFILE%\Documents\GitHub\eaglep3\Utilities\RefineRTDCRunTimes.py" --tripid 902-10 --locoid 4030 --swversion DE.1.0.8.0 --startMP 300:23186 --initTime 2017-01-10T05:46:03 --startdatetime 2017-01-10T05:47:37 --delay 1 --endMP 204:729 --enddatetime 2017-01-10T05:56:57 --enforcementcount 0 &gt;&gt;C:\Users\stu\Documents\GitHub\eaglep3-reporting\EC\2017-01-10-refined-times.txt</v>
      </c>
      <c r="AI225" s="115" t="str">
        <f t="shared" si="78"/>
        <v>echo {"issue":{"subject":"","project_id":79,"tracker_id":40,"status_id":1,"priority_id":2,"assigned_to_id":23,"start_date":"2017-01-10","description":"","custom_fields":[{"id":1,"name":"Subdivision","value":"Other"},{"id":4,"name":"Milepost","value":"0.0729"},{"id":17,"name":"Train ID","value":"902-10"},{"id":16,"name":"Locomotive ID","value":"4030"},{"id":130,"name":"Impact","value":""},{"id":150,"name":"Time of Event (Mountain Time)","value":"05:56:57"},{"id":151,"name":"Denver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0"/>
      <c r="AK225" s="50"/>
      <c r="AL225" s="50"/>
      <c r="AM225" s="180" t="str">
        <f t="shared" si="79"/>
        <v>start /low /b %USERPROFILE%\Documents\GitHub\eaglep3\Utilities\DownloadLogsFromS3.py --loco 4030 --day 2017-01-10</v>
      </c>
    </row>
    <row r="226" spans="1:39" x14ac:dyDescent="0.25">
      <c r="A226" s="34" t="s">
        <v>515</v>
      </c>
      <c r="B226" s="7">
        <v>4002</v>
      </c>
      <c r="C226" s="22" t="s">
        <v>202</v>
      </c>
      <c r="D226" s="22" t="s">
        <v>802</v>
      </c>
      <c r="E226" s="13">
        <v>42745.351643518516</v>
      </c>
      <c r="F226" s="13">
        <v>42745.352766203701</v>
      </c>
      <c r="G226" s="7">
        <v>0</v>
      </c>
      <c r="H226" s="22" t="s">
        <v>803</v>
      </c>
      <c r="I226" s="13">
        <v>42745.357974537037</v>
      </c>
      <c r="J226" s="7">
        <v>0</v>
      </c>
      <c r="K226" s="105" t="str">
        <f t="shared" si="65"/>
        <v>4001/4002</v>
      </c>
      <c r="L226" s="22" t="str">
        <f>VLOOKUP(A226,'Trips&amp;Operators'!$C$1:$G$99999,5,FALSE)</f>
        <v>YORK EDGAR</v>
      </c>
      <c r="M226" s="6">
        <f t="shared" si="66"/>
        <v>5.2083333357586525E-3</v>
      </c>
      <c r="N226" s="7">
        <f t="shared" si="81"/>
        <v>7.5000000034924597</v>
      </c>
      <c r="O226" s="7"/>
      <c r="P226" s="7"/>
      <c r="Q226" s="23"/>
      <c r="R226" s="23"/>
      <c r="S226" s="32">
        <f t="shared" si="82"/>
        <v>1</v>
      </c>
      <c r="T226" s="47" t="str">
        <f t="shared" si="67"/>
        <v>NorthBound</v>
      </c>
      <c r="U226" s="167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94" t="str">
        <f t="shared" si="68"/>
        <v>https://search-rtdc-monitor-bjffxe2xuh6vdkpspy63sjmuny.us-east-1.es.amazonaws.com/_plugin/kibana/#/discover/Steve-Slow-Train-Analysis-(2080s-and-2083s)?_g=(refreshInterval:(display:Off,section:0,value:0),time:(from:'2017-01-10 07:26:22-700',mode:absolute,to:'2017-01-10 09:35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26" s="49" t="str">
        <f t="shared" si="69"/>
        <v>Y</v>
      </c>
      <c r="X226" s="173">
        <f t="shared" si="80"/>
        <v>1</v>
      </c>
      <c r="Y226" s="64">
        <f t="shared" si="70"/>
        <v>0.1042</v>
      </c>
      <c r="Z226" s="64">
        <f t="shared" si="71"/>
        <v>2.4226999999999999</v>
      </c>
      <c r="AA226" s="64">
        <f t="shared" si="72"/>
        <v>2.3184999999999998</v>
      </c>
      <c r="AB226" s="61" t="e">
        <f>VLOOKUP(A226,Enforcements!$C$7:$K$17,8,0)</f>
        <v>#N/A</v>
      </c>
      <c r="AC226" s="57" t="e">
        <f>VLOOKUP(A226,Enforcements!$C$7:$E$17,3,0)</f>
        <v>#N/A</v>
      </c>
      <c r="AD226" s="58" t="str">
        <f t="shared" si="73"/>
        <v>0903-10</v>
      </c>
      <c r="AE226" s="87" t="str">
        <f t="shared" si="74"/>
        <v>aws s3 cp s3://rtdc.mdm.uploadarchive.raw/RTDC4002/ "%USERPROFILE%\AppData\Local\Temp\OnboardLogs"\RTDC4002\2017-01-10 --exclude "*" --recursive --include "*20170110*" &amp; "%USERPROFILE%\Documents\GitHub\mrs-test-scripts\Headless Mode &amp; Sideloading\WalkAndUnGZ.bat" "%USERPROFILE%\AppData\Local\Temp\OnboardLogs"\RTDC4002\2017-01-10 &amp; aws s3 cp s3://rtdc.mdm.uploadarchive.raw/RTDC4002/ "%USERPROFILE%\AppData\Local\Temp\OnboardLogs"\RTDC4002\2017-01-11 --exclude "*" --recursive --include "*20170111*" &amp; "%USERPROFILE%\Documents\GitHub\mrs-test-scripts\Headless Mode &amp; Sideloading\WalkAndUnGZ.bat" "%USERPROFILE%\AppData\Local\Temp\OnboardLogs"\RTDC4002\2017-01-11</v>
      </c>
      <c r="AF226" s="84" t="str">
        <f t="shared" si="75"/>
        <v>"C:\Program Files (x86)\AstroGrep\AstroGrep.exe" /spath="%USERPROFILE%\AppData\Local\Temp\OnboardLogs" /stypes="app*4002*20170110*" /stext=" 15:.+((SYSTEM_STATE.+slice.+state.+changed )|(ment ac)|(multiple cpu faults)|(system.+state.+changed )|(\[timeout)|(PRM\|1\|D)|(kpr)|(kdp)|(\|lc)|(penalty))" /e /r /s</v>
      </c>
      <c r="AG226" s="1" t="str">
        <f t="shared" si="76"/>
        <v>Other</v>
      </c>
      <c r="AH226" s="88" t="str">
        <f t="shared" si="77"/>
        <v>"%USERPROFILE%\Documents\GitHub\eaglep3\Utilities\RefineRTDCRunTimes.py" --tripid 903-10 --locoid 4002 --swversion DE.1.0.8.0 --startMP 204:1042 --initTime 2017-01-10T08:26:22 --startdatetime 2017-01-10T08:27:59 --delay 0 --endMP 300:24227 --enddatetime 2017-01-10T08:35:29 --enforcementcount 0 &gt;&gt;C:\Users\stu\Documents\GitHub\eaglep3-reporting\EC\2017-01-10-refined-times.txt</v>
      </c>
      <c r="AI226" s="115" t="str">
        <f t="shared" si="78"/>
        <v>echo {"issue":{"subject":"","project_id":79,"tracker_id":40,"status_id":1,"priority_id":2,"assigned_to_id":23,"start_date":"2017-01-10","description":"","custom_fields":[{"id":1,"name":"Subdivision","value":"Other"},{"id":4,"name":"Milepost","value":"2.4227"},{"id":17,"name":"Train ID","value":"903-10"},{"id":16,"name":"Locomotive ID","value":"4002"},{"id":130,"name":"Impact","value":""},{"id":150,"name":"Time of Event (Mountain Time)","value":"08:35:29"},{"id":151,"name":"Denver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0"/>
      <c r="AK226" s="50"/>
      <c r="AL226" s="50"/>
      <c r="AM226" s="180" t="str">
        <f t="shared" si="79"/>
        <v>start /low /b %USERPROFILE%\Documents\GitHub\eaglep3\Utilities\DownloadLogsFromS3.py --loco 4002 --day 2017-01-10</v>
      </c>
    </row>
    <row r="227" spans="1:39" x14ac:dyDescent="0.25">
      <c r="A227" s="34" t="s">
        <v>441</v>
      </c>
      <c r="B227" s="7">
        <v>4001</v>
      </c>
      <c r="C227" s="22" t="s">
        <v>202</v>
      </c>
      <c r="D227" s="22" t="s">
        <v>804</v>
      </c>
      <c r="E227" s="13">
        <v>42745.642361111109</v>
      </c>
      <c r="F227" s="13">
        <v>42745.643553240741</v>
      </c>
      <c r="G227" s="7">
        <v>1</v>
      </c>
      <c r="H227" s="22" t="s">
        <v>805</v>
      </c>
      <c r="I227" s="13">
        <v>42745.649641203701</v>
      </c>
      <c r="J227" s="7">
        <v>0</v>
      </c>
      <c r="K227" s="105" t="str">
        <f t="shared" si="65"/>
        <v>4001/4002</v>
      </c>
      <c r="L227" s="22" t="str">
        <f>VLOOKUP(A227,'Trips&amp;Operators'!$C$1:$G$99999,5,FALSE)</f>
        <v>HILLS DUSTIN</v>
      </c>
      <c r="M227" s="6">
        <f t="shared" si="66"/>
        <v>6.0879629600094631E-3</v>
      </c>
      <c r="N227" s="7">
        <f t="shared" si="81"/>
        <v>8.7666666624136269</v>
      </c>
      <c r="O227" s="7"/>
      <c r="P227" s="7"/>
      <c r="Q227" s="23"/>
      <c r="R227" s="23"/>
      <c r="S227" s="32">
        <f t="shared" si="82"/>
        <v>1</v>
      </c>
      <c r="T227" s="47" t="str">
        <f t="shared" si="67"/>
        <v>Southbound</v>
      </c>
      <c r="U227" s="167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94" t="str">
        <f t="shared" si="68"/>
        <v>https://search-rtdc-monitor-bjffxe2xuh6vdkpspy63sjmuny.us-east-1.es.amazonaws.com/_plugin/kibana/#/discover/Steve-Slow-Train-Analysis-(2080s-and-2083s)?_g=(refreshInterval:(display:Off,section:0,value:0),time:(from:'2017-01-10 14:25:00-700',mode:absolute,to:'2017-01-10 16:35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27" s="49" t="str">
        <f t="shared" si="69"/>
        <v>Y</v>
      </c>
      <c r="X227" s="173">
        <f t="shared" si="80"/>
        <v>1</v>
      </c>
      <c r="Y227" s="64">
        <f t="shared" si="70"/>
        <v>2.3207</v>
      </c>
      <c r="Z227" s="64">
        <f t="shared" si="71"/>
        <v>6.3799999999999996E-2</v>
      </c>
      <c r="AA227" s="64">
        <f t="shared" si="72"/>
        <v>2.2568999999999999</v>
      </c>
      <c r="AB227" s="61" t="e">
        <f>VLOOKUP(A227,Enforcements!$C$7:$K$17,8,0)</f>
        <v>#N/A</v>
      </c>
      <c r="AC227" s="57" t="e">
        <f>VLOOKUP(A227,Enforcements!$C$7:$E$17,3,0)</f>
        <v>#N/A</v>
      </c>
      <c r="AD227" s="58" t="str">
        <f t="shared" si="73"/>
        <v>0904-10</v>
      </c>
      <c r="AE227" s="87" t="str">
        <f t="shared" si="74"/>
        <v>aws s3 cp s3://rtdc.mdm.uploadarchive.raw/RTDC4001/ "%USERPROFILE%\AppData\Local\Temp\OnboardLogs"\RTDC4001\2017-01-10 --exclude "*" --recursive --include "*20170110*" &amp; "%USERPROFILE%\Documents\GitHub\mrs-test-scripts\Headless Mode &amp; Sideloading\WalkAndUnGZ.bat" "%USERPROFILE%\AppData\Local\Temp\OnboardLogs"\RTDC4001\2017-01-10 &amp; aws s3 cp s3://rtdc.mdm.uploadarchive.raw/RTDC4001/ "%USERPROFILE%\AppData\Local\Temp\OnboardLogs"\RTDC4001\2017-01-11 --exclude "*" --recursive --include "*20170111*" &amp; "%USERPROFILE%\Documents\GitHub\mrs-test-scripts\Headless Mode &amp; Sideloading\WalkAndUnGZ.bat" "%USERPROFILE%\AppData\Local\Temp\OnboardLogs"\RTDC4001\2017-01-11</v>
      </c>
      <c r="AF227" s="84" t="str">
        <f t="shared" si="75"/>
        <v>"C:\Program Files (x86)\AstroGrep\AstroGrep.exe" /spath="%USERPROFILE%\AppData\Local\Temp\OnboardLogs" /stypes="app*4001*20170110*" /stext=" 22:.+((SYSTEM_STATE.+slice.+state.+changed )|(ment ac)|(multiple cpu faults)|(system.+state.+changed )|(\[timeout)|(PRM\|1\|D)|(kpr)|(kdp)|(\|lc)|(penalty))" /e /r /s</v>
      </c>
      <c r="AG227" s="1" t="str">
        <f t="shared" si="76"/>
        <v>Other</v>
      </c>
      <c r="AH227" s="88" t="str">
        <f t="shared" si="77"/>
        <v>"%USERPROFILE%\Documents\GitHub\eaglep3\Utilities\RefineRTDCRunTimes.py" --tripid 904-10 --locoid 4001 --swversion DE.1.0.8.0 --startMP 300:23207 --initTime 2017-01-10T15:25:00 --startdatetime 2017-01-10T15:26:43 --delay 1 --endMP 204:638 --enddatetime 2017-01-10T15:35:29 --enforcementcount 0 &gt;&gt;C:\Users\stu\Documents\GitHub\eaglep3-reporting\EC\2017-01-10-refined-times.txt</v>
      </c>
      <c r="AI227" s="115" t="str">
        <f t="shared" si="78"/>
        <v>echo {"issue":{"subject":"","project_id":79,"tracker_id":40,"status_id":1,"priority_id":2,"assigned_to_id":23,"start_date":"2017-01-10","description":"","custom_fields":[{"id":1,"name":"Subdivision","value":"Other"},{"id":4,"name":"Milepost","value":"0.0638"},{"id":17,"name":"Train ID","value":"904-10"},{"id":16,"name":"Locomotive ID","value":"4001"},{"id":130,"name":"Impact","value":""},{"id":150,"name":"Time of Event (Mountain Time)","value":"15:35:29"},{"id":151,"name":"Denver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0"/>
      <c r="AK227" s="50"/>
      <c r="AL227" s="50"/>
      <c r="AM227" s="180" t="str">
        <f t="shared" si="79"/>
        <v>start /low /b %USERPROFILE%\Documents\GitHub\eaglep3\Utilities\DownloadLogsFromS3.py --loco 4001 --day 2017-01-10</v>
      </c>
    </row>
    <row r="228" spans="1:39" x14ac:dyDescent="0.25">
      <c r="A228" s="34" t="s">
        <v>630</v>
      </c>
      <c r="B228" s="7">
        <v>4001</v>
      </c>
      <c r="C228" s="22" t="s">
        <v>202</v>
      </c>
      <c r="D228" s="22" t="s">
        <v>806</v>
      </c>
      <c r="E228" s="13">
        <v>42745.801539351851</v>
      </c>
      <c r="F228" s="13">
        <v>25568.708333333332</v>
      </c>
      <c r="G228" s="7">
        <v>1</v>
      </c>
      <c r="H228" s="22" t="s">
        <v>807</v>
      </c>
      <c r="I228" s="13">
        <v>25568.708333333332</v>
      </c>
      <c r="J228" s="7">
        <v>0</v>
      </c>
      <c r="K228" s="105" t="str">
        <f t="shared" si="65"/>
        <v>4001/4002</v>
      </c>
      <c r="L228" s="22" t="str">
        <f>VLOOKUP(A228,'Trips&amp;Operators'!$C$1:$G$99999,5,FALSE)</f>
        <v>HILLS DUSTIN</v>
      </c>
      <c r="M228" s="6">
        <f t="shared" si="66"/>
        <v>0</v>
      </c>
      <c r="N228" s="7">
        <f t="shared" si="81"/>
        <v>0</v>
      </c>
      <c r="O228" s="7"/>
      <c r="P228" s="7"/>
      <c r="Q228" s="23"/>
      <c r="R228" s="23"/>
      <c r="S228" s="32">
        <f t="shared" si="82"/>
        <v>0</v>
      </c>
      <c r="T228" s="47" t="str">
        <f t="shared" si="67"/>
        <v>Southbound</v>
      </c>
      <c r="U228" s="167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4" t="str">
        <f t="shared" si="68"/>
        <v>https://search-rtdc-monitor-bjffxe2xuh6vdkpspy63sjmuny.us-east-1.es.amazonaws.com/_plugin/kibana/#/discover/Steve-Slow-Train-Analysis-(2080s-and-2083s)?_g=(refreshInterval:(display:Off,section:0,value:0),time:(from:'2017-01-10 18:14:13-700',mode:absolute,to:'1969-12-31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28" s="49" t="str">
        <f t="shared" si="69"/>
        <v>Y</v>
      </c>
      <c r="X228" s="173">
        <f t="shared" si="80"/>
        <v>2</v>
      </c>
      <c r="Y228" s="64">
        <f t="shared" si="70"/>
        <v>5.8692000000000002</v>
      </c>
      <c r="Z228" s="64">
        <f t="shared" si="71"/>
        <v>2.8791000000000002</v>
      </c>
      <c r="AA228" s="64">
        <f t="shared" si="72"/>
        <v>2.9901</v>
      </c>
      <c r="AB228" s="61" t="e">
        <f>VLOOKUP(A228,Enforcements!$C$7:$K$17,8,0)</f>
        <v>#N/A</v>
      </c>
      <c r="AC228" s="57" t="e">
        <f>VLOOKUP(A228,Enforcements!$C$7:$E$17,3,0)</f>
        <v>#N/A</v>
      </c>
      <c r="AD228" s="58" t="str">
        <f t="shared" si="73"/>
        <v>0906-10</v>
      </c>
      <c r="AE228" s="87" t="str">
        <f t="shared" si="74"/>
        <v>aws s3 cp s3://rtdc.mdm.uploadarchive.raw/RTDC4001/ "%USERPROFILE%\AppData\Local\Temp\OnboardLogs"\RTDC4001\1969-12-31 --exclude "*" --recursive --include "*19691231*" &amp; "%USERPROFILE%\Documents\GitHub\mrs-test-scripts\Headless Mode &amp; Sideloading\WalkAndUnGZ.bat" "%USERPROFILE%\AppData\Local\Temp\OnboardLogs"\RTDC4001\1969-12-31 &amp; aws s3 cp s3://rtdc.mdm.uploadarchive.raw/RTDC4001/ "%USERPROFILE%\AppData\Local\Temp\OnboardLogs"\RTDC4001\1970-01-01 --exclude "*" --recursive --include "*19700101*" &amp; "%USERPROFILE%\Documents\GitHub\mrs-test-scripts\Headless Mode &amp; Sideloading\WalkAndUnGZ.bat" "%USERPROFILE%\AppData\Local\Temp\OnboardLogs"\RTDC4001\1970-01-01</v>
      </c>
      <c r="AF228" s="84" t="str">
        <f t="shared" si="75"/>
        <v>"C:\Program Files (x86)\AstroGrep\AstroGrep.exe" /spath="%USERPROFILE%\AppData\Local\Temp\OnboardLogs" /stypes="app*4001*19700101*" /stext=" 00:.+((SYSTEM_STATE.+slice.+state.+changed )|(ment ac)|(multiple cpu faults)|(system.+state.+changed )|(\[timeout)|(PRM\|1\|D)|(kpr)|(kdp)|(\|lc)|(penalty))" /e /r /s</v>
      </c>
      <c r="AG228" s="1" t="str">
        <f t="shared" si="76"/>
        <v>Other</v>
      </c>
      <c r="AH228" s="88" t="str">
        <f t="shared" si="77"/>
        <v>"%USERPROFILE%\Documents\GitHub\eaglep3\Utilities\RefineRTDCRunTimes.py" --tripid 906-10 --locoid 4001 --swversion DE.1.0.8.0 --startMP 300:58692 --initTime 2017-01-10T19:14:13 --startdatetime 1969-12-31T17:00:00 --delay 1 --endMP 300:28791 --enddatetime 1969-12-31T17:00:00 --enforcementcount 0 &gt;&gt;C:\Users\stu\Documents\GitHub\eaglep3-reporting\EC\2017-01-10-refined-times.txt</v>
      </c>
      <c r="AI228" s="115" t="str">
        <f t="shared" si="78"/>
        <v>echo {"issue":{"subject":"","project_id":79,"tracker_id":40,"status_id":1,"priority_id":2,"assigned_to_id":23,"start_date":"1969-12-31","description":"","custom_fields":[{"id":1,"name":"Subdivision","value":"Other"},{"id":4,"name":"Milepost","value":"2.8791"},{"id":17,"name":"Train ID","value":"906-10"},{"id":16,"name":"Locomotive ID","value":"4001"},{"id":130,"name":"Impact","value":""},{"id":150,"name":"Time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0"/>
      <c r="AK228" s="50"/>
      <c r="AL228" s="50"/>
      <c r="AM228" s="180" t="str">
        <f t="shared" si="79"/>
        <v>start /low /b %USERPROFILE%\Documents\GitHub\eaglep3\Utilities\DownloadLogsFromS3.py --loco 4001 --day 1969-12-31</v>
      </c>
    </row>
    <row r="229" spans="1:39" x14ac:dyDescent="0.25">
      <c r="A229" s="34" t="s">
        <v>630</v>
      </c>
      <c r="B229" s="7">
        <v>4001</v>
      </c>
      <c r="C229" s="22" t="s">
        <v>202</v>
      </c>
      <c r="D229" s="22" t="s">
        <v>808</v>
      </c>
      <c r="E229" s="13">
        <v>42745.798738425925</v>
      </c>
      <c r="F229" s="13">
        <v>25568.708333333332</v>
      </c>
      <c r="G229" s="7">
        <v>1</v>
      </c>
      <c r="H229" s="22" t="s">
        <v>807</v>
      </c>
      <c r="I229" s="13">
        <v>25568.708333333332</v>
      </c>
      <c r="J229" s="7">
        <v>0</v>
      </c>
      <c r="K229" s="105" t="str">
        <f t="shared" si="65"/>
        <v>4001/4002</v>
      </c>
      <c r="L229" s="22" t="str">
        <f>VLOOKUP(A229,'Trips&amp;Operators'!$C$1:$G$99999,5,FALSE)</f>
        <v>HILLS DUSTIN</v>
      </c>
      <c r="M229" s="6">
        <f t="shared" si="66"/>
        <v>0</v>
      </c>
      <c r="N229" s="7">
        <f t="shared" si="81"/>
        <v>0</v>
      </c>
      <c r="O229" s="7"/>
      <c r="P229" s="7"/>
      <c r="Q229" s="23"/>
      <c r="R229" s="23"/>
      <c r="S229" s="32">
        <f t="shared" si="82"/>
        <v>0</v>
      </c>
      <c r="T229" s="47" t="str">
        <f t="shared" si="67"/>
        <v>Southbound</v>
      </c>
      <c r="U229" s="167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4" t="str">
        <f t="shared" si="68"/>
        <v>https://search-rtdc-monitor-bjffxe2xuh6vdkpspy63sjmuny.us-east-1.es.amazonaws.com/_plugin/kibana/#/discover/Steve-Slow-Train-Analysis-(2080s-and-2083s)?_g=(refreshInterval:(display:Off,section:0,value:0),time:(from:'2017-01-10 18:10:11-700',mode:absolute,to:'1969-12-31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29" s="49" t="str">
        <f t="shared" si="69"/>
        <v>Y</v>
      </c>
      <c r="X229" s="173">
        <f t="shared" si="80"/>
        <v>0</v>
      </c>
      <c r="Y229" s="64">
        <f t="shared" si="70"/>
        <v>5.8696000000000002</v>
      </c>
      <c r="Z229" s="64">
        <f t="shared" si="71"/>
        <v>2.8791000000000002</v>
      </c>
      <c r="AA229" s="64">
        <f t="shared" si="72"/>
        <v>2.9904999999999999</v>
      </c>
      <c r="AB229" s="61" t="e">
        <f>VLOOKUP(A229,Enforcements!$C$7:$K$17,8,0)</f>
        <v>#N/A</v>
      </c>
      <c r="AC229" s="57" t="e">
        <f>VLOOKUP(A229,Enforcements!$C$7:$E$17,3,0)</f>
        <v>#N/A</v>
      </c>
      <c r="AD229" s="58" t="str">
        <f t="shared" si="73"/>
        <v>0906-10</v>
      </c>
      <c r="AE229" s="87" t="str">
        <f t="shared" si="74"/>
        <v>aws s3 cp s3://rtdc.mdm.uploadarchive.raw/RTDC4001/ "%USERPROFILE%\AppData\Local\Temp\OnboardLogs"\RTDC4001\1969-12-31 --exclude "*" --recursive --include "*19691231*" &amp; "%USERPROFILE%\Documents\GitHub\mrs-test-scripts\Headless Mode &amp; Sideloading\WalkAndUnGZ.bat" "%USERPROFILE%\AppData\Local\Temp\OnboardLogs"\RTDC4001\1969-12-31 &amp; aws s3 cp s3://rtdc.mdm.uploadarchive.raw/RTDC4001/ "%USERPROFILE%\AppData\Local\Temp\OnboardLogs"\RTDC4001\1970-01-01 --exclude "*" --recursive --include "*19700101*" &amp; "%USERPROFILE%\Documents\GitHub\mrs-test-scripts\Headless Mode &amp; Sideloading\WalkAndUnGZ.bat" "%USERPROFILE%\AppData\Local\Temp\OnboardLogs"\RTDC4001\1970-01-01</v>
      </c>
      <c r="AF229" s="84" t="str">
        <f t="shared" si="75"/>
        <v>"C:\Program Files (x86)\AstroGrep\AstroGrep.exe" /spath="%USERPROFILE%\AppData\Local\Temp\OnboardLogs" /stypes="app*4001*19700101*" /stext=" 00:.+((SYSTEM_STATE.+slice.+state.+changed )|(ment ac)|(multiple cpu faults)|(system.+state.+changed )|(\[timeout)|(PRM\|1\|D)|(kpr)|(kdp)|(\|lc)|(penalty))" /e /r /s</v>
      </c>
      <c r="AG229" s="1" t="str">
        <f t="shared" si="76"/>
        <v>Other</v>
      </c>
      <c r="AH229" s="88" t="str">
        <f t="shared" si="77"/>
        <v>"%USERPROFILE%\Documents\GitHub\eaglep3\Utilities\RefineRTDCRunTimes.py" --tripid 906-10 --locoid 4001 --swversion DE.1.0.8.0 --startMP 300:58696 --initTime 2017-01-10T19:10:11 --startdatetime 1969-12-31T17:00:00 --delay 1 --endMP 300:28791 --enddatetime 1969-12-31T17:00:00 --enforcementcount 0 &gt;&gt;C:\Users\stu\Documents\GitHub\eaglep3-reporting\EC\2017-01-10-refined-times.txt</v>
      </c>
      <c r="AI229" s="115" t="str">
        <f t="shared" si="78"/>
        <v>echo {"issue":{"subject":"","project_id":79,"tracker_id":40,"status_id":1,"priority_id":2,"assigned_to_id":23,"start_date":"1969-12-31","description":"","custom_fields":[{"id":1,"name":"Subdivision","value":"Other"},{"id":4,"name":"Milepost","value":"2.8791"},{"id":17,"name":"Train ID","value":"906-10"},{"id":16,"name":"Locomotive ID","value":"4001"},{"id":130,"name":"Impact","value":""},{"id":150,"name":"Time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0"/>
      <c r="AK229" s="50"/>
      <c r="AL229" s="50"/>
      <c r="AM229" s="180" t="str">
        <f t="shared" si="79"/>
        <v>start /low /b %USERPROFILE%\Documents\GitHub\eaglep3\Utilities\DownloadLogsFromS3.py --loco 4001 --day 1969-12-31</v>
      </c>
    </row>
    <row r="230" spans="1:39" x14ac:dyDescent="0.25">
      <c r="A230" s="34" t="s">
        <v>652</v>
      </c>
      <c r="B230" s="7">
        <v>4030</v>
      </c>
      <c r="C230" s="22" t="s">
        <v>202</v>
      </c>
      <c r="D230" s="22" t="s">
        <v>806</v>
      </c>
      <c r="E230" s="13">
        <v>42745.942858796298</v>
      </c>
      <c r="F230" s="13">
        <v>25568.708333333332</v>
      </c>
      <c r="G230" s="7">
        <v>1</v>
      </c>
      <c r="H230" s="22" t="s">
        <v>809</v>
      </c>
      <c r="I230" s="13">
        <v>25568.708333333332</v>
      </c>
      <c r="J230" s="7">
        <v>0</v>
      </c>
      <c r="K230" s="105" t="str">
        <f t="shared" si="65"/>
        <v>4029/4030</v>
      </c>
      <c r="L230" s="22" t="str">
        <f>VLOOKUP(A230,'Trips&amp;Operators'!$C$1:$G$99999,5,FALSE)</f>
        <v>HILLS DUSTIN</v>
      </c>
      <c r="M230" s="6">
        <f t="shared" si="66"/>
        <v>0</v>
      </c>
      <c r="N230" s="7">
        <f t="shared" si="81"/>
        <v>0</v>
      </c>
      <c r="O230" s="7"/>
      <c r="P230" s="7"/>
      <c r="Q230" s="23"/>
      <c r="R230" s="23"/>
      <c r="S230" s="32">
        <f t="shared" si="82"/>
        <v>0</v>
      </c>
      <c r="T230" s="47" t="str">
        <f t="shared" si="67"/>
        <v>Southbound</v>
      </c>
      <c r="U230" s="167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4" t="str">
        <f t="shared" si="68"/>
        <v>https://search-rtdc-monitor-bjffxe2xuh6vdkpspy63sjmuny.us-east-1.es.amazonaws.com/_plugin/kibana/#/discover/Steve-Slow-Train-Analysis-(2080s-and-2083s)?_g=(refreshInterval:(display:Off,section:0,value:0),time:(from:'2017-01-10 21:37:43-700',mode:absolute,to:'1969-12-31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30" s="49" t="str">
        <f t="shared" si="69"/>
        <v>Y</v>
      </c>
      <c r="X230" s="173">
        <f t="shared" si="80"/>
        <v>2</v>
      </c>
      <c r="Y230" s="64">
        <f t="shared" si="70"/>
        <v>5.8692000000000002</v>
      </c>
      <c r="Z230" s="64">
        <f t="shared" si="71"/>
        <v>2.1537999999999999</v>
      </c>
      <c r="AA230" s="64">
        <f t="shared" si="72"/>
        <v>3.7154000000000003</v>
      </c>
      <c r="AB230" s="61" t="e">
        <f>VLOOKUP(A230,Enforcements!$C$7:$K$17,8,0)</f>
        <v>#N/A</v>
      </c>
      <c r="AC230" s="57" t="e">
        <f>VLOOKUP(A230,Enforcements!$C$7:$E$17,3,0)</f>
        <v>#N/A</v>
      </c>
      <c r="AD230" s="58" t="str">
        <f t="shared" si="73"/>
        <v>0908-10</v>
      </c>
      <c r="AE230" s="87" t="str">
        <f t="shared" si="74"/>
        <v>aws s3 cp s3://rtdc.mdm.uploadarchive.raw/RTDC4030/ "%USERPROFILE%\AppData\Local\Temp\OnboardLogs"\RTDC4030\1969-12-31 --exclude "*" --recursive --include "*19691231*" &amp; "%USERPROFILE%\Documents\GitHub\mrs-test-scripts\Headless Mode &amp; Sideloading\WalkAndUnGZ.bat" "%USERPROFILE%\AppData\Local\Temp\OnboardLogs"\RTDC4030\1969-12-31 &amp; aws s3 cp s3://rtdc.mdm.uploadarchive.raw/RTDC4030/ "%USERPROFILE%\AppData\Local\Temp\OnboardLogs"\RTDC4030\1970-01-01 --exclude "*" --recursive --include "*19700101*" &amp; "%USERPROFILE%\Documents\GitHub\mrs-test-scripts\Headless Mode &amp; Sideloading\WalkAndUnGZ.bat" "%USERPROFILE%\AppData\Local\Temp\OnboardLogs"\RTDC4030\1970-01-01</v>
      </c>
      <c r="AF230" s="84" t="str">
        <f t="shared" si="75"/>
        <v>"C:\Program Files (x86)\AstroGrep\AstroGrep.exe" /spath="%USERPROFILE%\AppData\Local\Temp\OnboardLogs" /stypes="app*4030*19700101*" /stext=" 00:.+((SYSTEM_STATE.+slice.+state.+changed )|(ment ac)|(multiple cpu faults)|(system.+state.+changed )|(\[timeout)|(PRM\|1\|D)|(kpr)|(kdp)|(\|lc)|(penalty))" /e /r /s</v>
      </c>
      <c r="AG230" s="1" t="str">
        <f t="shared" si="76"/>
        <v>Other</v>
      </c>
      <c r="AH230" s="88" t="str">
        <f t="shared" si="77"/>
        <v>"%USERPROFILE%\Documents\GitHub\eaglep3\Utilities\RefineRTDCRunTimes.py" --tripid 908-10 --locoid 4030 --swversion DE.1.0.8.0 --startMP 300:58692 --initTime 2017-01-10T22:37:43 --startdatetime 1969-12-31T17:00:00 --delay 1 --endMP 300:21538 --enddatetime 1969-12-31T17:00:00 --enforcementcount 0 &gt;&gt;C:\Users\stu\Documents\GitHub\eaglep3-reporting\EC\2017-01-10-refined-times.txt</v>
      </c>
      <c r="AI230" s="115" t="str">
        <f t="shared" si="78"/>
        <v>echo {"issue":{"subject":"","project_id":79,"tracker_id":40,"status_id":1,"priority_id":2,"assigned_to_id":23,"start_date":"1969-12-31","description":"","custom_fields":[{"id":1,"name":"Subdivision","value":"Other"},{"id":4,"name":"Milepost","value":"2.1538"},{"id":17,"name":"Train ID","value":"908-10"},{"id":16,"name":"Locomotive ID","value":"4030"},{"id":130,"name":"Impact","value":""},{"id":150,"name":"Time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0"/>
      <c r="AK230" s="50"/>
      <c r="AL230" s="50"/>
      <c r="AM230" s="180" t="str">
        <f t="shared" si="79"/>
        <v>start /low /b %USERPROFILE%\Documents\GitHub\eaglep3\Utilities\DownloadLogsFromS3.py --loco 4030 --day 1969-12-31</v>
      </c>
    </row>
    <row r="231" spans="1:39" x14ac:dyDescent="0.25">
      <c r="A231" s="34" t="s">
        <v>434</v>
      </c>
      <c r="B231" s="7">
        <v>4039</v>
      </c>
      <c r="C231" s="22" t="s">
        <v>202</v>
      </c>
      <c r="D231" s="22" t="s">
        <v>732</v>
      </c>
      <c r="E231" s="13">
        <v>42745.452164351853</v>
      </c>
      <c r="F231" s="13">
        <v>42745.453506944446</v>
      </c>
      <c r="G231" s="7">
        <v>1</v>
      </c>
      <c r="H231" s="22" t="s">
        <v>733</v>
      </c>
      <c r="I231" s="13">
        <v>42745.459907407407</v>
      </c>
      <c r="J231" s="7">
        <v>0</v>
      </c>
      <c r="K231" s="105" t="str">
        <f t="shared" si="65"/>
        <v>4039/4040</v>
      </c>
      <c r="L231" s="22" t="str">
        <f>VLOOKUP(A231,'Trips&amp;Operators'!$C$1:$G$99999,5,FALSE)</f>
        <v>COMELLA JUSTIN</v>
      </c>
      <c r="M231" s="6">
        <f t="shared" si="66"/>
        <v>6.4004629603005014E-3</v>
      </c>
      <c r="N231" s="7">
        <f t="shared" si="81"/>
        <v>9.2166666628327221</v>
      </c>
      <c r="O231" s="7"/>
      <c r="P231" s="7"/>
      <c r="Q231" s="23"/>
      <c r="R231" s="23"/>
      <c r="S231" s="32">
        <f t="shared" si="82"/>
        <v>0</v>
      </c>
      <c r="T231" s="47" t="e">
        <f t="shared" si="67"/>
        <v>#VALUE!</v>
      </c>
      <c r="U231" s="167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94" t="str">
        <f t="shared" si="68"/>
        <v>https://search-rtdc-monitor-bjffxe2xuh6vdkpspy63sjmuny.us-east-1.es.amazonaws.com/_plugin/kibana/#/discover/Steve-Slow-Train-Analysis-(2080s-and-2083s)?_g=(refreshInterval:(display:Off,section:0,value:0),time:(from:'2017-01-10 09:51:07-700',mode:absolute,to:'2017-01-10 12:02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31" s="49" t="str">
        <f t="shared" si="69"/>
        <v>Y</v>
      </c>
      <c r="X231" s="173" t="e">
        <f t="shared" si="80"/>
        <v>#VALUE!</v>
      </c>
      <c r="Y231" s="64">
        <f t="shared" si="70"/>
        <v>2.3266</v>
      </c>
      <c r="Z231" s="64">
        <f t="shared" si="71"/>
        <v>8.7099999999999997E-2</v>
      </c>
      <c r="AA231" s="64">
        <f t="shared" si="72"/>
        <v>2.2395</v>
      </c>
      <c r="AB231" s="61" t="e">
        <f>VLOOKUP(A231,Enforcements!$C$7:$K$17,8,0)</f>
        <v>#N/A</v>
      </c>
      <c r="AC231" s="57" t="e">
        <f>VLOOKUP(A231,Enforcements!$C$7:$E$17,3,0)</f>
        <v>#N/A</v>
      </c>
      <c r="AD231" s="58" t="str">
        <f t="shared" si="73"/>
        <v>50-10</v>
      </c>
      <c r="AE231" s="87" t="str">
        <f t="shared" si="74"/>
        <v>aws s3 cp s3://rtdc.mdm.uploadarchive.raw/RTDC4039/ "%USERPROFILE%\AppData\Local\Temp\OnboardLogs"\RTDC4039\2017-01-10 --exclude "*" --recursive --include "*20170110*" &amp; "%USERPROFILE%\Documents\GitHub\mrs-test-scripts\Headless Mode &amp; Sideloading\WalkAndUnGZ.bat" "%USERPROFILE%\AppData\Local\Temp\OnboardLogs"\RTDC4039\2017-01-10 &amp; aws s3 cp s3://rtdc.mdm.uploadarchive.raw/RTDC4039/ "%USERPROFILE%\AppData\Local\Temp\OnboardLogs"\RTDC4039\2017-01-11 --exclude "*" --recursive --include "*20170111*" &amp; "%USERPROFILE%\Documents\GitHub\mrs-test-scripts\Headless Mode &amp; Sideloading\WalkAndUnGZ.bat" "%USERPROFILE%\AppData\Local\Temp\OnboardLogs"\RTDC4039\2017-01-11</v>
      </c>
      <c r="AF231" s="84" t="str">
        <f t="shared" si="75"/>
        <v>"C:\Program Files (x86)\AstroGrep\AstroGrep.exe" /spath="%USERPROFILE%\AppData\Local\Temp\OnboardLogs" /stypes="app*4039*20170110*" /stext=" 18:.+((SYSTEM_STATE.+slice.+state.+changed )|(ment ac)|(multiple cpu faults)|(system.+state.+changed )|(\[timeout)|(PRM\|1\|D)|(kpr)|(kdp)|(\|lc)|(penalty))" /e /r /s</v>
      </c>
      <c r="AG231" s="1" t="str">
        <f t="shared" si="76"/>
        <v>Other</v>
      </c>
      <c r="AH231" s="88" t="str">
        <f t="shared" si="77"/>
        <v>"%USERPROFILE%\Documents\GitHub\eaglep3\Utilities\RefineRTDCRunTimes.py" --tripid 50-10 --locoid 4039 --swversion DE.1.0.8.0 --startMP 300:23266 --initTime 2017-01-10T10:51:07 --startdatetime 2017-01-10T10:53:03 --delay 1 --endMP 204:871 --enddatetime 2017-01-10T11:02:16 --enforcementcount 0 &gt;&gt;C:\Users\stu\Documents\GitHub\eaglep3-reporting\EC\2017-01-10-refined-times.txt</v>
      </c>
      <c r="AI231" s="115" t="str">
        <f t="shared" si="78"/>
        <v>echo {"issue":{"subject":"","project_id":79,"tracker_id":40,"status_id":1,"priority_id":2,"assigned_to_id":23,"start_date":"2017-01-10","description":"","custom_fields":[{"id":1,"name":"Subdivision","value":"Other"},{"id":4,"name":"Milepost","value":"0.0871"},{"id":17,"name":"Train ID","value":"50-10"},{"id":16,"name":"Locomotive ID","value":"4039"},{"id":130,"name":"Impact","value":""},{"id":150,"name":"Time of Event (Mountain Time)","value":"11:02:16"},{"id":151,"name":"Denver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0"/>
      <c r="AK231" s="50"/>
      <c r="AL231" s="50"/>
      <c r="AM231" s="180" t="str">
        <f t="shared" si="79"/>
        <v>start /low /b %USERPROFILE%\Documents\GitHub\eaglep3\Utilities\DownloadLogsFromS3.py --loco 4039 --day 2017-01-10</v>
      </c>
    </row>
    <row r="232" spans="1:39" x14ac:dyDescent="0.25">
      <c r="A232" s="34" t="s">
        <v>550</v>
      </c>
      <c r="B232" s="7">
        <v>4040</v>
      </c>
      <c r="C232" s="22" t="s">
        <v>202</v>
      </c>
      <c r="D232" s="22" t="s">
        <v>411</v>
      </c>
      <c r="E232" s="13">
        <v>42745.489444444444</v>
      </c>
      <c r="F232" s="13">
        <v>42745.493252314816</v>
      </c>
      <c r="G232" s="7">
        <v>2</v>
      </c>
      <c r="H232" s="22" t="s">
        <v>734</v>
      </c>
      <c r="I232" s="13">
        <v>42745.50141203704</v>
      </c>
      <c r="J232" s="7">
        <v>0</v>
      </c>
      <c r="K232" s="105" t="str">
        <f t="shared" si="65"/>
        <v>4039/4040</v>
      </c>
      <c r="L232" s="22" t="str">
        <f>VLOOKUP(A232,'Trips&amp;Operators'!$C$1:$G$99999,5,FALSE)</f>
        <v>DAVIS WENDY</v>
      </c>
      <c r="M232" s="6">
        <f t="shared" si="66"/>
        <v>8.1597222233540379E-3</v>
      </c>
      <c r="N232" s="7">
        <f t="shared" si="81"/>
        <v>11.750000001629815</v>
      </c>
      <c r="O232" s="7"/>
      <c r="P232" s="7"/>
      <c r="Q232" s="23"/>
      <c r="R232" s="23"/>
      <c r="S232" s="32">
        <f t="shared" si="82"/>
        <v>0</v>
      </c>
      <c r="T232" s="47" t="e">
        <f t="shared" si="67"/>
        <v>#VALUE!</v>
      </c>
      <c r="U232" s="167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94" t="str">
        <f t="shared" si="68"/>
        <v>https://search-rtdc-monitor-bjffxe2xuh6vdkpspy63sjmuny.us-east-1.es.amazonaws.com/_plugin/kibana/#/discover/Steve-Slow-Train-Analysis-(2080s-and-2083s)?_g=(refreshInterval:(display:Off,section:0,value:0),time:(from:'2017-01-10 10:44:48-700',mode:absolute,to:'2017-01-10 13:02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32" s="49" t="str">
        <f t="shared" si="69"/>
        <v>Y</v>
      </c>
      <c r="X232" s="173" t="e">
        <f t="shared" si="80"/>
        <v>#VALUE!</v>
      </c>
      <c r="Y232" s="64">
        <f t="shared" si="70"/>
        <v>0.1179</v>
      </c>
      <c r="Z232" s="64">
        <f t="shared" si="71"/>
        <v>2.5442</v>
      </c>
      <c r="AA232" s="64">
        <f t="shared" si="72"/>
        <v>2.4262999999999999</v>
      </c>
      <c r="AB232" s="61" t="e">
        <f>VLOOKUP(A232,Enforcements!$C$7:$K$17,8,0)</f>
        <v>#N/A</v>
      </c>
      <c r="AC232" s="57" t="e">
        <f>VLOOKUP(A232,Enforcements!$C$7:$E$17,3,0)</f>
        <v>#N/A</v>
      </c>
      <c r="AD232" s="58" t="str">
        <f t="shared" si="73"/>
        <v>51-10</v>
      </c>
      <c r="AE232" s="87" t="str">
        <f t="shared" si="74"/>
        <v>aws s3 cp s3://rtdc.mdm.uploadarchive.raw/RTDC4040/ "%USERPROFILE%\AppData\Local\Temp\OnboardLogs"\RTDC4040\2017-01-10 --exclude "*" --recursive --include "*20170110*" &amp; "%USERPROFILE%\Documents\GitHub\mrs-test-scripts\Headless Mode &amp; Sideloading\WalkAndUnGZ.bat" "%USERPROFILE%\AppData\Local\Temp\OnboardLogs"\RTDC4040\2017-01-10 &amp; aws s3 cp s3://rtdc.mdm.uploadarchive.raw/RTDC4040/ "%USERPROFILE%\AppData\Local\Temp\OnboardLogs"\RTDC4040\2017-01-11 --exclude "*" --recursive --include "*20170111*" &amp; "%USERPROFILE%\Documents\GitHub\mrs-test-scripts\Headless Mode &amp; Sideloading\WalkAndUnGZ.bat" "%USERPROFILE%\AppData\Local\Temp\OnboardLogs"\RTDC4040\2017-01-11</v>
      </c>
      <c r="AF232" s="84" t="str">
        <f t="shared" si="75"/>
        <v>"C:\Program Files (x86)\AstroGrep\AstroGrep.exe" /spath="%USERPROFILE%\AppData\Local\Temp\OnboardLogs" /stypes="app*4040*20170110*" /stext=" 19:.+((SYSTEM_STATE.+slice.+state.+changed )|(ment ac)|(multiple cpu faults)|(system.+state.+changed )|(\[timeout)|(PRM\|1\|D)|(kpr)|(kdp)|(\|lc)|(penalty))" /e /r /s</v>
      </c>
      <c r="AG232" s="1" t="str">
        <f t="shared" si="76"/>
        <v>Other</v>
      </c>
      <c r="AH232" s="88" t="str">
        <f t="shared" si="77"/>
        <v>"%USERPROFILE%\Documents\GitHub\eaglep3\Utilities\RefineRTDCRunTimes.py" --tripid 51-10 --locoid 4040 --swversion DE.1.0.8.0 --startMP 204:1179 --initTime 2017-01-10T11:44:48 --startdatetime 2017-01-10T11:50:17 --delay 2 --endMP 300:25442 --enddatetime 2017-01-10T12:02:02 --enforcementcount 0 &gt;&gt;C:\Users\stu\Documents\GitHub\eaglep3-reporting\EC\2017-01-10-refined-times.txt</v>
      </c>
      <c r="AI232" s="115" t="str">
        <f t="shared" si="78"/>
        <v>echo {"issue":{"subject":"","project_id":79,"tracker_id":40,"status_id":1,"priority_id":2,"assigned_to_id":23,"start_date":"2017-01-10","description":"","custom_fields":[{"id":1,"name":"Subdivision","value":"Other"},{"id":4,"name":"Milepost","value":"2.5442"},{"id":17,"name":"Train ID","value":"51-10"},{"id":16,"name":"Locomotive ID","value":"4040"},{"id":130,"name":"Impact","value":""},{"id":150,"name":"Time of Event (Mountain Time)","value":"12:02:02"},{"id":151,"name":"Denver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50"/>
      <c r="AK232" s="50"/>
      <c r="AL232" s="50"/>
      <c r="AM232" s="180" t="str">
        <f t="shared" si="79"/>
        <v>start /low /b %USERPROFILE%\Documents\GitHub\eaglep3\Utilities\DownloadLogsFromS3.py --loco 4040 --day 2017-01-10</v>
      </c>
    </row>
    <row r="233" spans="1:39" x14ac:dyDescent="0.25">
      <c r="A233" s="34" t="s">
        <v>550</v>
      </c>
      <c r="B233" s="7">
        <v>4040</v>
      </c>
      <c r="C233" s="22" t="s">
        <v>202</v>
      </c>
      <c r="D233" s="22" t="s">
        <v>735</v>
      </c>
      <c r="E233" s="13">
        <v>42745.489444444444</v>
      </c>
      <c r="F233" s="13">
        <v>42745.493252314816</v>
      </c>
      <c r="G233" s="7">
        <v>16</v>
      </c>
      <c r="H233" s="22" t="s">
        <v>734</v>
      </c>
      <c r="I233" s="13">
        <v>42745.50141203704</v>
      </c>
      <c r="J233" s="7">
        <v>0</v>
      </c>
      <c r="K233" s="105" t="str">
        <f t="shared" si="65"/>
        <v>4039/4040</v>
      </c>
      <c r="L233" s="22" t="str">
        <f>VLOOKUP(A233,'Trips&amp;Operators'!$C$1:$G$99999,5,FALSE)</f>
        <v>DAVIS WENDY</v>
      </c>
      <c r="M233" s="6">
        <f t="shared" si="66"/>
        <v>8.1597222233540379E-3</v>
      </c>
      <c r="N233" s="7">
        <f t="shared" si="81"/>
        <v>11.750000001629815</v>
      </c>
      <c r="O233" s="7"/>
      <c r="P233" s="7"/>
      <c r="Q233" s="23"/>
      <c r="R233" s="23"/>
      <c r="S233" s="32">
        <f t="shared" si="82"/>
        <v>0</v>
      </c>
      <c r="T233" s="47" t="e">
        <f t="shared" si="67"/>
        <v>#VALUE!</v>
      </c>
      <c r="U233" s="167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94" t="str">
        <f t="shared" si="68"/>
        <v>https://search-rtdc-monitor-bjffxe2xuh6vdkpspy63sjmuny.us-east-1.es.amazonaws.com/_plugin/kibana/#/discover/Steve-Slow-Train-Analysis-(2080s-and-2083s)?_g=(refreshInterval:(display:Off,section:0,value:0),time:(from:'2017-01-10 10:44:48-700',mode:absolute,to:'2017-01-10 13:02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33" s="49" t="str">
        <f t="shared" si="69"/>
        <v>Y</v>
      </c>
      <c r="X233" s="173" t="e">
        <f t="shared" si="80"/>
        <v>#VALUE!</v>
      </c>
      <c r="Y233" s="64">
        <f t="shared" si="70"/>
        <v>2.4767000000000001</v>
      </c>
      <c r="Z233" s="64">
        <f t="shared" si="71"/>
        <v>2.5442</v>
      </c>
      <c r="AA233" s="64">
        <f t="shared" si="72"/>
        <v>6.7499999999999893E-2</v>
      </c>
      <c r="AB233" s="61" t="e">
        <f>VLOOKUP(A233,Enforcements!$C$7:$K$17,8,0)</f>
        <v>#N/A</v>
      </c>
      <c r="AC233" s="57" t="e">
        <f>VLOOKUP(A233,Enforcements!$C$7:$E$17,3,0)</f>
        <v>#N/A</v>
      </c>
      <c r="AD233" s="58" t="str">
        <f t="shared" si="73"/>
        <v>51-10</v>
      </c>
      <c r="AE233" s="87" t="str">
        <f t="shared" si="74"/>
        <v>aws s3 cp s3://rtdc.mdm.uploadarchive.raw/RTDC4040/ "%USERPROFILE%\AppData\Local\Temp\OnboardLogs"\RTDC4040\2017-01-10 --exclude "*" --recursive --include "*20170110*" &amp; "%USERPROFILE%\Documents\GitHub\mrs-test-scripts\Headless Mode &amp; Sideloading\WalkAndUnGZ.bat" "%USERPROFILE%\AppData\Local\Temp\OnboardLogs"\RTDC4040\2017-01-10 &amp; aws s3 cp s3://rtdc.mdm.uploadarchive.raw/RTDC4040/ "%USERPROFILE%\AppData\Local\Temp\OnboardLogs"\RTDC4040\2017-01-11 --exclude "*" --recursive --include "*20170111*" &amp; "%USERPROFILE%\Documents\GitHub\mrs-test-scripts\Headless Mode &amp; Sideloading\WalkAndUnGZ.bat" "%USERPROFILE%\AppData\Local\Temp\OnboardLogs"\RTDC4040\2017-01-11</v>
      </c>
      <c r="AF233" s="84" t="str">
        <f t="shared" si="75"/>
        <v>"C:\Program Files (x86)\AstroGrep\AstroGrep.exe" /spath="%USERPROFILE%\AppData\Local\Temp\OnboardLogs" /stypes="app*4040*20170110*" /stext=" 19:.+((SYSTEM_STATE.+slice.+state.+changed )|(ment ac)|(multiple cpu faults)|(system.+state.+changed )|(\[timeout)|(PRM\|1\|D)|(kpr)|(kdp)|(\|lc)|(penalty))" /e /r /s</v>
      </c>
      <c r="AG233" s="1" t="str">
        <f t="shared" si="76"/>
        <v>Other</v>
      </c>
      <c r="AH233" s="88" t="str">
        <f t="shared" si="77"/>
        <v>"%USERPROFILE%\Documents\GitHub\eaglep3\Utilities\RefineRTDCRunTimes.py" --tripid 51-10 --locoid 4040 --swversion DE.1.0.8.0 --startMP 300:24767 --initTime 2017-01-10T11:44:48 --startdatetime 2017-01-10T11:50:17 --delay 16 --endMP 300:25442 --enddatetime 2017-01-10T12:02:02 --enforcementcount 0 &gt;&gt;C:\Users\stu\Documents\GitHub\eaglep3-reporting\EC\2017-01-10-refined-times.txt</v>
      </c>
      <c r="AI233" s="115" t="str">
        <f t="shared" si="78"/>
        <v>echo {"issue":{"subject":"","project_id":79,"tracker_id":40,"status_id":1,"priority_id":2,"assigned_to_id":23,"start_date":"2017-01-10","description":"","custom_fields":[{"id":1,"name":"Subdivision","value":"Other"},{"id":4,"name":"Milepost","value":"2.5442"},{"id":17,"name":"Train ID","value":"51-10"},{"id":16,"name":"Locomotive ID","value":"4040"},{"id":130,"name":"Impact","value":""},{"id":150,"name":"Time of Event (Mountain Time)","value":"12:02:02"},{"id":151,"name":"Denver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50"/>
      <c r="AK233" s="50"/>
      <c r="AL233" s="50"/>
      <c r="AM233" s="180" t="str">
        <f t="shared" si="79"/>
        <v>start /low /b %USERPROFILE%\Documents\GitHub\eaglep3\Utilities\DownloadLogsFromS3.py --loco 4040 --day 2017-01-10</v>
      </c>
    </row>
    <row r="234" spans="1:39" x14ac:dyDescent="0.25">
      <c r="A234" s="34" t="s">
        <v>435</v>
      </c>
      <c r="B234" s="7">
        <v>4004</v>
      </c>
      <c r="C234" s="22" t="s">
        <v>202</v>
      </c>
      <c r="D234" s="22" t="s">
        <v>736</v>
      </c>
      <c r="E234" s="13">
        <v>42745.486516203702</v>
      </c>
      <c r="F234" s="13">
        <v>42745.487824074073</v>
      </c>
      <c r="G234" s="7">
        <v>1</v>
      </c>
      <c r="H234" s="22" t="s">
        <v>737</v>
      </c>
      <c r="I234" s="13">
        <v>42745.49318287037</v>
      </c>
      <c r="J234" s="7">
        <v>0</v>
      </c>
      <c r="K234" s="105" t="str">
        <f t="shared" si="65"/>
        <v>4003/4004</v>
      </c>
      <c r="L234" s="22" t="str">
        <f>VLOOKUP(A234,'Trips&amp;Operators'!$C$1:$G$99999,5,FALSE)</f>
        <v>ADANE ELSHADAY</v>
      </c>
      <c r="M234" s="6">
        <f t="shared" si="66"/>
        <v>5.3587962975143455E-3</v>
      </c>
      <c r="N234" s="7">
        <f t="shared" si="81"/>
        <v>7.7166666684206575</v>
      </c>
      <c r="O234" s="7"/>
      <c r="P234" s="7"/>
      <c r="Q234" s="23"/>
      <c r="R234" s="23"/>
      <c r="S234" s="32">
        <f t="shared" si="82"/>
        <v>0</v>
      </c>
      <c r="T234" s="47" t="e">
        <f t="shared" si="67"/>
        <v>#VALUE!</v>
      </c>
      <c r="U234" s="167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94" t="str">
        <f t="shared" si="68"/>
        <v>https://search-rtdc-monitor-bjffxe2xuh6vdkpspy63sjmuny.us-east-1.es.amazonaws.com/_plugin/kibana/#/discover/Steve-Slow-Train-Analysis-(2080s-and-2083s)?_g=(refreshInterval:(display:Off,section:0,value:0),time:(from:'2017-01-10 10:40:35-700',mode:absolute,to:'2017-01-10 12:50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34" s="49" t="str">
        <f t="shared" si="69"/>
        <v>Y</v>
      </c>
      <c r="X234" s="173" t="e">
        <f t="shared" si="80"/>
        <v>#VALUE!</v>
      </c>
      <c r="Y234" s="64">
        <f t="shared" si="70"/>
        <v>2.1856</v>
      </c>
      <c r="Z234" s="64">
        <f t="shared" si="71"/>
        <v>9.7000000000000003E-3</v>
      </c>
      <c r="AA234" s="64">
        <f t="shared" si="72"/>
        <v>2.1758999999999999</v>
      </c>
      <c r="AB234" s="61" t="e">
        <f>VLOOKUP(A234,Enforcements!$C$7:$K$17,8,0)</f>
        <v>#N/A</v>
      </c>
      <c r="AC234" s="57" t="e">
        <f>VLOOKUP(A234,Enforcements!$C$7:$E$17,3,0)</f>
        <v>#N/A</v>
      </c>
      <c r="AD234" s="58" t="str">
        <f t="shared" si="73"/>
        <v>52-10</v>
      </c>
      <c r="AE234" s="87" t="str">
        <f t="shared" si="74"/>
        <v>aws s3 cp s3://rtdc.mdm.uploadarchive.raw/RTDC4004/ "%USERPROFILE%\AppData\Local\Temp\OnboardLogs"\RTDC4004\2017-01-10 --exclude "*" --recursive --include "*20170110*" &amp; "%USERPROFILE%\Documents\GitHub\mrs-test-scripts\Headless Mode &amp; Sideloading\WalkAndUnGZ.bat" "%USERPROFILE%\AppData\Local\Temp\OnboardLogs"\RTDC4004\2017-01-10 &amp; aws s3 cp s3://rtdc.mdm.uploadarchive.raw/RTDC4004/ "%USERPROFILE%\AppData\Local\Temp\OnboardLogs"\RTDC4004\2017-01-11 --exclude "*" --recursive --include "*20170111*" &amp; "%USERPROFILE%\Documents\GitHub\mrs-test-scripts\Headless Mode &amp; Sideloading\WalkAndUnGZ.bat" "%USERPROFILE%\AppData\Local\Temp\OnboardLogs"\RTDC4004\2017-01-11</v>
      </c>
      <c r="AF234" s="84" t="str">
        <f t="shared" si="75"/>
        <v>"C:\Program Files (x86)\AstroGrep\AstroGrep.exe" /spath="%USERPROFILE%\AppData\Local\Temp\OnboardLogs" /stypes="app*4004*20170110*" /stext=" 18:.+((SYSTEM_STATE.+slice.+state.+changed )|(ment ac)|(multiple cpu faults)|(system.+state.+changed )|(\[timeout)|(PRM\|1\|D)|(kpr)|(kdp)|(\|lc)|(penalty))" /e /r /s</v>
      </c>
      <c r="AG234" s="1" t="str">
        <f t="shared" si="76"/>
        <v>Other</v>
      </c>
      <c r="AH234" s="88" t="str">
        <f t="shared" si="77"/>
        <v>"%USERPROFILE%\Documents\GitHub\eaglep3\Utilities\RefineRTDCRunTimes.py" --tripid 52-10 --locoid 4004 --swversion DE.1.0.8.0 --startMP 300:21856 --initTime 2017-01-10T11:40:35 --startdatetime 2017-01-10T11:42:28 --delay 1 --endMP 204:97 --enddatetime 2017-01-10T11:50:11 --enforcementcount 0 &gt;&gt;C:\Users\stu\Documents\GitHub\eaglep3-reporting\EC\2017-01-10-refined-times.txt</v>
      </c>
      <c r="AI234" s="115" t="str">
        <f t="shared" si="78"/>
        <v>echo {"issue":{"subject":"","project_id":79,"tracker_id":40,"status_id":1,"priority_id":2,"assigned_to_id":23,"start_date":"2017-01-10","description":"","custom_fields":[{"id":1,"name":"Subdivision","value":"Other"},{"id":4,"name":"Milepost","value":"0.0097"},{"id":17,"name":"Train ID","value":"52-10"},{"id":16,"name":"Locomotive ID","value":"4004"},{"id":130,"name":"Impact","value":""},{"id":150,"name":"Time of Event (Mountain Time)","value":"11:50:11"},{"id":151,"name":"Denver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50"/>
      <c r="AK234" s="50"/>
      <c r="AL234" s="50"/>
      <c r="AM234" s="180" t="str">
        <f t="shared" si="79"/>
        <v>start /low /b %USERPROFILE%\Documents\GitHub\eaglep3\Utilities\DownloadLogsFromS3.py --loco 4004 --day 2017-01-10</v>
      </c>
    </row>
    <row r="235" spans="1:39" x14ac:dyDescent="0.25">
      <c r="A235" s="34" t="s">
        <v>553</v>
      </c>
      <c r="B235" s="7">
        <v>4003</v>
      </c>
      <c r="C235" s="22" t="s">
        <v>202</v>
      </c>
      <c r="D235" s="22" t="s">
        <v>738</v>
      </c>
      <c r="E235" s="13">
        <v>42745.505914351852</v>
      </c>
      <c r="F235" s="13">
        <v>42745.507199074076</v>
      </c>
      <c r="G235" s="7">
        <v>1</v>
      </c>
      <c r="H235" s="22" t="s">
        <v>739</v>
      </c>
      <c r="I235" s="13">
        <v>42745.513194444444</v>
      </c>
      <c r="J235" s="7">
        <v>0</v>
      </c>
      <c r="K235" s="105" t="str">
        <f t="shared" si="65"/>
        <v>4003/4004</v>
      </c>
      <c r="L235" s="22" t="str">
        <f>VLOOKUP(A235,'Trips&amp;Operators'!$C$1:$G$99999,5,FALSE)</f>
        <v>LOZA FIDEL</v>
      </c>
      <c r="M235" s="6">
        <f t="shared" si="66"/>
        <v>5.9953703676001169E-3</v>
      </c>
      <c r="N235" s="7">
        <f t="shared" si="81"/>
        <v>8.6333333293441683</v>
      </c>
      <c r="O235" s="7"/>
      <c r="P235" s="7"/>
      <c r="Q235" s="23"/>
      <c r="R235" s="23"/>
      <c r="S235" s="32">
        <f t="shared" si="82"/>
        <v>0</v>
      </c>
      <c r="T235" s="47" t="e">
        <f t="shared" si="67"/>
        <v>#VALUE!</v>
      </c>
      <c r="U235" s="167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94" t="str">
        <f t="shared" si="68"/>
        <v>https://search-rtdc-monitor-bjffxe2xuh6vdkpspy63sjmuny.us-east-1.es.amazonaws.com/_plugin/kibana/#/discover/Steve-Slow-Train-Analysis-(2080s-and-2083s)?_g=(refreshInterval:(display:Off,section:0,value:0),time:(from:'2017-01-10 11:08:31-700',mode:absolute,to:'2017-01-10 13:19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35" s="49" t="str">
        <f t="shared" si="69"/>
        <v>Y</v>
      </c>
      <c r="X235" s="173" t="e">
        <f t="shared" si="80"/>
        <v>#VALUE!</v>
      </c>
      <c r="Y235" s="64">
        <f t="shared" si="70"/>
        <v>3.9399999999999998E-2</v>
      </c>
      <c r="Z235" s="64">
        <f t="shared" si="71"/>
        <v>2.4258000000000002</v>
      </c>
      <c r="AA235" s="64">
        <f t="shared" si="72"/>
        <v>2.3864000000000001</v>
      </c>
      <c r="AB235" s="61" t="e">
        <f>VLOOKUP(A235,Enforcements!$C$7:$K$17,8,0)</f>
        <v>#N/A</v>
      </c>
      <c r="AC235" s="57" t="e">
        <f>VLOOKUP(A235,Enforcements!$C$7:$E$17,3,0)</f>
        <v>#N/A</v>
      </c>
      <c r="AD235" s="58" t="str">
        <f t="shared" si="73"/>
        <v>53-10</v>
      </c>
      <c r="AE235" s="87" t="str">
        <f t="shared" si="74"/>
        <v>aws s3 cp s3://rtdc.mdm.uploadarchive.raw/RTDC4003/ "%USERPROFILE%\AppData\Local\Temp\OnboardLogs"\RTDC4003\2017-01-10 --exclude "*" --recursive --include "*20170110*" &amp; "%USERPROFILE%\Documents\GitHub\mrs-test-scripts\Headless Mode &amp; Sideloading\WalkAndUnGZ.bat" "%USERPROFILE%\AppData\Local\Temp\OnboardLogs"\RTDC4003\2017-01-10 &amp; aws s3 cp s3://rtdc.mdm.uploadarchive.raw/RTDC4003/ "%USERPROFILE%\AppData\Local\Temp\OnboardLogs"\RTDC4003\2017-01-11 --exclude "*" --recursive --include "*20170111*" &amp; "%USERPROFILE%\Documents\GitHub\mrs-test-scripts\Headless Mode &amp; Sideloading\WalkAndUnGZ.bat" "%USERPROFILE%\AppData\Local\Temp\OnboardLogs"\RTDC4003\2017-01-11</v>
      </c>
      <c r="AF235" s="84" t="str">
        <f t="shared" si="75"/>
        <v>"C:\Program Files (x86)\AstroGrep\AstroGrep.exe" /spath="%USERPROFILE%\AppData\Local\Temp\OnboardLogs" /stypes="app*4003*20170110*" /stext=" 19:.+((SYSTEM_STATE.+slice.+state.+changed )|(ment ac)|(multiple cpu faults)|(system.+state.+changed )|(\[timeout)|(PRM\|1\|D)|(kpr)|(kdp)|(\|lc)|(penalty))" /e /r /s</v>
      </c>
      <c r="AG235" s="1" t="str">
        <f t="shared" si="76"/>
        <v>Other</v>
      </c>
      <c r="AH235" s="88" t="str">
        <f t="shared" si="77"/>
        <v>"%USERPROFILE%\Documents\GitHub\eaglep3\Utilities\RefineRTDCRunTimes.py" --tripid 53-10 --locoid 4003 --swversion DE.1.0.8.0 --startMP 204:394 --initTime 2017-01-10T12:08:31 --startdatetime 2017-01-10T12:10:22 --delay 1 --endMP 300:24258 --enddatetime 2017-01-10T12:19:00 --enforcementcount 0 &gt;&gt;C:\Users\stu\Documents\GitHub\eaglep3-reporting\EC\2017-01-10-refined-times.txt</v>
      </c>
      <c r="AI235" s="115" t="str">
        <f t="shared" si="78"/>
        <v>echo {"issue":{"subject":"","project_id":79,"tracker_id":40,"status_id":1,"priority_id":2,"assigned_to_id":23,"start_date":"2017-01-10","description":"","custom_fields":[{"id":1,"name":"Subdivision","value":"Other"},{"id":4,"name":"Milepost","value":"2.4258"},{"id":17,"name":"Train ID","value":"53-10"},{"id":16,"name":"Locomotive ID","value":"4003"},{"id":130,"name":"Impact","value":""},{"id":150,"name":"Time of Event (Mountain Time)","value":"12:19:00"},{"id":151,"name":"Denver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50"/>
      <c r="AK235" s="50"/>
      <c r="AL235" s="50"/>
      <c r="AM235" s="180" t="str">
        <f t="shared" si="79"/>
        <v>start /low /b %USERPROFILE%\Documents\GitHub\eaglep3\Utilities\DownloadLogsFromS3.py --loco 4003 --day 2017-01-10</v>
      </c>
    </row>
    <row r="236" spans="1:39" x14ac:dyDescent="0.25">
      <c r="A236" s="34" t="s">
        <v>604</v>
      </c>
      <c r="B236" s="7">
        <v>4039</v>
      </c>
      <c r="C236" s="22" t="s">
        <v>202</v>
      </c>
      <c r="D236" s="22" t="s">
        <v>740</v>
      </c>
      <c r="E236" s="13">
        <v>42745.712731481479</v>
      </c>
      <c r="F236" s="13">
        <v>42745.714780092596</v>
      </c>
      <c r="G236" s="7">
        <v>2</v>
      </c>
      <c r="H236" s="22" t="s">
        <v>741</v>
      </c>
      <c r="I236" s="13">
        <v>42745.72084490741</v>
      </c>
      <c r="J236" s="7">
        <v>0</v>
      </c>
      <c r="K236" s="105" t="str">
        <f t="shared" si="65"/>
        <v>4039/4040</v>
      </c>
      <c r="L236" s="22" t="str">
        <f>VLOOKUP(A236,'Trips&amp;Operators'!$C$1:$G$99999,5,FALSE)</f>
        <v>NEWELL JAMES</v>
      </c>
      <c r="M236" s="6">
        <f t="shared" si="66"/>
        <v>6.064814813726116E-3</v>
      </c>
      <c r="N236" s="7">
        <f t="shared" si="81"/>
        <v>8.733333331765607</v>
      </c>
      <c r="O236" s="7"/>
      <c r="P236" s="7"/>
      <c r="Q236" s="23"/>
      <c r="R236" s="23"/>
      <c r="S236" s="32">
        <f t="shared" si="82"/>
        <v>0</v>
      </c>
      <c r="T236" s="47" t="e">
        <f t="shared" si="67"/>
        <v>#VALUE!</v>
      </c>
      <c r="U236" s="167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94" t="str">
        <f t="shared" si="68"/>
        <v>https://search-rtdc-monitor-bjffxe2xuh6vdkpspy63sjmuny.us-east-1.es.amazonaws.com/_plugin/kibana/#/discover/Steve-Slow-Train-Analysis-(2080s-and-2083s)?_g=(refreshInterval:(display:Off,section:0,value:0),time:(from:'2017-01-10 16:06:20-700',mode:absolute,to:'2017-01-10 18:18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36" s="49" t="str">
        <f t="shared" si="69"/>
        <v>Y</v>
      </c>
      <c r="X236" s="173" t="e">
        <f t="shared" si="80"/>
        <v>#VALUE!</v>
      </c>
      <c r="Y236" s="64">
        <f t="shared" si="70"/>
        <v>2.3136999999999999</v>
      </c>
      <c r="Z236" s="64">
        <f t="shared" si="71"/>
        <v>1.4800000000000001E-2</v>
      </c>
      <c r="AA236" s="64">
        <f t="shared" si="72"/>
        <v>2.2988999999999997</v>
      </c>
      <c r="AB236" s="61" t="e">
        <f>VLOOKUP(A236,Enforcements!$C$7:$K$17,8,0)</f>
        <v>#N/A</v>
      </c>
      <c r="AC236" s="57" t="e">
        <f>VLOOKUP(A236,Enforcements!$C$7:$E$17,3,0)</f>
        <v>#N/A</v>
      </c>
      <c r="AD236" s="58" t="str">
        <f t="shared" si="73"/>
        <v>70-10</v>
      </c>
      <c r="AE236" s="87" t="str">
        <f t="shared" si="74"/>
        <v>aws s3 cp s3://rtdc.mdm.uploadarchive.raw/RTDC4039/ "%USERPROFILE%\AppData\Local\Temp\OnboardLogs"\RTDC4039\2017-01-10 --exclude "*" --recursive --include "*20170110*" &amp; "%USERPROFILE%\Documents\GitHub\mrs-test-scripts\Headless Mode &amp; Sideloading\WalkAndUnGZ.bat" "%USERPROFILE%\AppData\Local\Temp\OnboardLogs"\RTDC4039\2017-01-10 &amp; aws s3 cp s3://rtdc.mdm.uploadarchive.raw/RTDC4039/ "%USERPROFILE%\AppData\Local\Temp\OnboardLogs"\RTDC4039\2017-01-11 --exclude "*" --recursive --include "*20170111*" &amp; "%USERPROFILE%\Documents\GitHub\mrs-test-scripts\Headless Mode &amp; Sideloading\WalkAndUnGZ.bat" "%USERPROFILE%\AppData\Local\Temp\OnboardLogs"\RTDC4039\2017-01-11</v>
      </c>
      <c r="AF236" s="84" t="str">
        <f t="shared" si="75"/>
        <v>"C:\Program Files (x86)\AstroGrep\AstroGrep.exe" /spath="%USERPROFILE%\AppData\Local\Temp\OnboardLogs" /stypes="app*4039*20170111*" /stext=" 00:.+((SYSTEM_STATE.+slice.+state.+changed )|(ment ac)|(multiple cpu faults)|(system.+state.+changed )|(\[timeout)|(PRM\|1\|D)|(kpr)|(kdp)|(\|lc)|(penalty))" /e /r /s</v>
      </c>
      <c r="AG236" s="1" t="str">
        <f t="shared" si="76"/>
        <v>Other</v>
      </c>
      <c r="AH236" s="88" t="str">
        <f t="shared" si="77"/>
        <v>"%USERPROFILE%\Documents\GitHub\eaglep3\Utilities\RefineRTDCRunTimes.py" --tripid 70-10 --locoid 4039 --swversion DE.1.0.8.0 --startMP 300:23137 --initTime 2017-01-10T17:06:20 --startdatetime 2017-01-10T17:09:17 --delay 2 --endMP 204:148 --enddatetime 2017-01-10T17:18:01 --enforcementcount 0 &gt;&gt;C:\Users\stu\Documents\GitHub\eaglep3-reporting\EC\2017-01-10-refined-times.txt</v>
      </c>
      <c r="AI236" s="115" t="str">
        <f t="shared" si="78"/>
        <v>echo {"issue":{"subject":"","project_id":79,"tracker_id":40,"status_id":1,"priority_id":2,"assigned_to_id":23,"start_date":"2017-01-10","description":"","custom_fields":[{"id":1,"name":"Subdivision","value":"Other"},{"id":4,"name":"Milepost","value":"0.0148"},{"id":17,"name":"Train ID","value":"70-10"},{"id":16,"name":"Locomotive ID","value":"4039"},{"id":130,"name":"Impact","value":""},{"id":150,"name":"Time of Event (Mountain Time)","value":"17:18:01"},{"id":151,"name":"Denver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50"/>
      <c r="AK236" s="50"/>
      <c r="AL236" s="50"/>
      <c r="AM236" s="180" t="str">
        <f t="shared" si="79"/>
        <v>start /low /b %USERPROFILE%\Documents\GitHub\eaglep3\Utilities\DownloadLogsFromS3.py --loco 4039 --day 2017-01-10</v>
      </c>
    </row>
    <row r="237" spans="1:39" x14ac:dyDescent="0.25">
      <c r="A237" s="34" t="s">
        <v>451</v>
      </c>
      <c r="B237" s="7">
        <v>4040</v>
      </c>
      <c r="C237" s="22" t="s">
        <v>202</v>
      </c>
      <c r="D237" s="22" t="s">
        <v>293</v>
      </c>
      <c r="E237" s="13">
        <v>42745.732210648152</v>
      </c>
      <c r="F237" s="13">
        <v>42745.736793981479</v>
      </c>
      <c r="G237" s="7">
        <v>2</v>
      </c>
      <c r="H237" s="22" t="s">
        <v>742</v>
      </c>
      <c r="I237" s="13">
        <v>42745.748576388891</v>
      </c>
      <c r="J237" s="7">
        <v>0</v>
      </c>
      <c r="K237" s="105" t="str">
        <f t="shared" si="65"/>
        <v>4039/4040</v>
      </c>
      <c r="L237" s="22" t="str">
        <f>VLOOKUP(A237,'Trips&amp;Operators'!$C$1:$G$99999,5,FALSE)</f>
        <v>DAVIS MICHAEL</v>
      </c>
      <c r="M237" s="6">
        <f t="shared" si="66"/>
        <v>1.1782407411374152E-2</v>
      </c>
      <c r="N237" s="7">
        <f t="shared" si="81"/>
        <v>16.966666672378778</v>
      </c>
      <c r="O237" s="7"/>
      <c r="P237" s="7"/>
      <c r="Q237" s="23"/>
      <c r="R237" s="23"/>
      <c r="S237" s="32">
        <f t="shared" si="82"/>
        <v>0</v>
      </c>
      <c r="T237" s="47" t="e">
        <f t="shared" si="67"/>
        <v>#VALUE!</v>
      </c>
      <c r="U237" s="167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94" t="str">
        <f t="shared" si="68"/>
        <v>https://search-rtdc-monitor-bjffxe2xuh6vdkpspy63sjmuny.us-east-1.es.amazonaws.com/_plugin/kibana/#/discover/Steve-Slow-Train-Analysis-(2080s-and-2083s)?_g=(refreshInterval:(display:Off,section:0,value:0),time:(from:'2017-01-10 16:34:23-700',mode:absolute,to:'2017-01-10 18:57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37" s="49" t="str">
        <f t="shared" si="69"/>
        <v>Y</v>
      </c>
      <c r="X237" s="173" t="e">
        <f t="shared" si="80"/>
        <v>#VALUE!</v>
      </c>
      <c r="Y237" s="64">
        <f t="shared" si="70"/>
        <v>4.4600000000000001E-2</v>
      </c>
      <c r="Z237" s="64">
        <f t="shared" si="71"/>
        <v>2.5596999999999999</v>
      </c>
      <c r="AA237" s="64">
        <f t="shared" si="72"/>
        <v>2.5150999999999999</v>
      </c>
      <c r="AB237" s="61" t="e">
        <f>VLOOKUP(A237,Enforcements!$C$7:$K$17,8,0)</f>
        <v>#N/A</v>
      </c>
      <c r="AC237" s="57" t="e">
        <f>VLOOKUP(A237,Enforcements!$C$7:$E$17,3,0)</f>
        <v>#N/A</v>
      </c>
      <c r="AD237" s="58" t="str">
        <f t="shared" si="73"/>
        <v>71-10</v>
      </c>
      <c r="AE237" s="87" t="str">
        <f t="shared" si="74"/>
        <v>aws s3 cp s3://rtdc.mdm.uploadarchive.raw/RTDC4040/ "%USERPROFILE%\AppData\Local\Temp\OnboardLogs"\RTDC4040\2017-01-10 --exclude "*" --recursive --include "*20170110*" &amp; "%USERPROFILE%\Documents\GitHub\mrs-test-scripts\Headless Mode &amp; Sideloading\WalkAndUnGZ.bat" "%USERPROFILE%\AppData\Local\Temp\OnboardLogs"\RTDC4040\2017-01-10 &amp; aws s3 cp s3://rtdc.mdm.uploadarchive.raw/RTDC4040/ "%USERPROFILE%\AppData\Local\Temp\OnboardLogs"\RTDC4040\2017-01-11 --exclude "*" --recursive --include "*20170111*" &amp; "%USERPROFILE%\Documents\GitHub\mrs-test-scripts\Headless Mode &amp; Sideloading\WalkAndUnGZ.bat" "%USERPROFILE%\AppData\Local\Temp\OnboardLogs"\RTDC4040\2017-01-11</v>
      </c>
      <c r="AF237" s="84" t="str">
        <f t="shared" si="75"/>
        <v>"C:\Program Files (x86)\AstroGrep\AstroGrep.exe" /spath="%USERPROFILE%\AppData\Local\Temp\OnboardLogs" /stypes="app*4040*20170111*" /stext=" 00:.+((SYSTEM_STATE.+slice.+state.+changed )|(ment ac)|(multiple cpu faults)|(system.+state.+changed )|(\[timeout)|(PRM\|1\|D)|(kpr)|(kdp)|(\|lc)|(penalty))" /e /r /s</v>
      </c>
      <c r="AG237" s="1" t="str">
        <f t="shared" si="76"/>
        <v>Other</v>
      </c>
      <c r="AH237" s="88" t="str">
        <f t="shared" si="77"/>
        <v>"%USERPROFILE%\Documents\GitHub\eaglep3\Utilities\RefineRTDCRunTimes.py" --tripid 71-10 --locoid 4040 --swversion DE.1.0.8.0 --startMP 204:446 --initTime 2017-01-10T17:34:23 --startdatetime 2017-01-10T17:40:59 --delay 2 --endMP 300:25597 --enddatetime 2017-01-10T17:57:57 --enforcementcount 0 &gt;&gt;C:\Users\stu\Documents\GitHub\eaglep3-reporting\EC\2017-01-10-refined-times.txt</v>
      </c>
      <c r="AI237" s="115" t="str">
        <f t="shared" si="78"/>
        <v>echo {"issue":{"subject":"","project_id":79,"tracker_id":40,"status_id":1,"priority_id":2,"assigned_to_id":23,"start_date":"2017-01-10","description":"","custom_fields":[{"id":1,"name":"Subdivision","value":"Other"},{"id":4,"name":"Milepost","value":"2.5597"},{"id":17,"name":"Train ID","value":"71-10"},{"id":16,"name":"Locomotive ID","value":"4040"},{"id":130,"name":"Impact","value":""},{"id":150,"name":"Time of Event (Mountain Time)","value":"17:57:57"},{"id":151,"name":"Denver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50"/>
      <c r="AK237" s="50"/>
      <c r="AL237" s="50"/>
      <c r="AM237" s="180" t="str">
        <f t="shared" si="79"/>
        <v>start /low /b %USERPROFILE%\Documents\GitHub\eaglep3\Utilities\DownloadLogsFromS3.py --loco 4040 --day 2017-01-10</v>
      </c>
    </row>
    <row r="238" spans="1:39" x14ac:dyDescent="0.25">
      <c r="A238" s="34" t="s">
        <v>450</v>
      </c>
      <c r="B238" s="7">
        <v>4004</v>
      </c>
      <c r="C238" s="22" t="s">
        <v>202</v>
      </c>
      <c r="D238" s="22" t="s">
        <v>743</v>
      </c>
      <c r="E238" s="13">
        <v>42745.733738425923</v>
      </c>
      <c r="F238" s="13">
        <v>42745.734907407408</v>
      </c>
      <c r="G238" s="7">
        <v>1</v>
      </c>
      <c r="H238" s="22">
        <v>8.5361111111111114</v>
      </c>
      <c r="I238" s="13">
        <v>42745.742222222223</v>
      </c>
      <c r="J238" s="7">
        <v>0</v>
      </c>
      <c r="K238" s="105" t="str">
        <f t="shared" si="65"/>
        <v>4003/4004</v>
      </c>
      <c r="L238" s="22" t="str">
        <f>VLOOKUP(A238,'Trips&amp;Operators'!$C$1:$G$99999,5,FALSE)</f>
        <v>NELSON ARIANE</v>
      </c>
      <c r="M238" s="6">
        <f t="shared" si="66"/>
        <v>7.3148148148902692E-3</v>
      </c>
      <c r="N238" s="7">
        <f t="shared" si="81"/>
        <v>10.533333333441988</v>
      </c>
      <c r="O238" s="7"/>
      <c r="P238" s="7"/>
      <c r="Q238" s="23"/>
      <c r="R238" s="23"/>
      <c r="S238" s="32">
        <f t="shared" si="82"/>
        <v>0</v>
      </c>
      <c r="T238" s="47" t="e">
        <f t="shared" si="67"/>
        <v>#VALUE!</v>
      </c>
      <c r="U238" s="167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94" t="str">
        <f t="shared" si="68"/>
        <v>https://search-rtdc-monitor-bjffxe2xuh6vdkpspy63sjmuny.us-east-1.es.amazonaws.com/_plugin/kibana/#/discover/Steve-Slow-Train-Analysis-(2080s-and-2083s)?_g=(refreshInterval:(display:Off,section:0,value:0),time:(from:'2017-01-10 16:36:35-700',mode:absolute,to:'2017-01-10 18:48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38" s="49" t="str">
        <f t="shared" si="69"/>
        <v>N</v>
      </c>
      <c r="X238" s="173" t="e">
        <f t="shared" si="80"/>
        <v>#VALUE!</v>
      </c>
      <c r="Y238" s="64">
        <f t="shared" si="70"/>
        <v>2.3355000000000001</v>
      </c>
      <c r="Z238" s="64">
        <f t="shared" si="71"/>
        <v>61111111.111100003</v>
      </c>
      <c r="AA238" s="64">
        <f t="shared" si="72"/>
        <v>61111108.775600001</v>
      </c>
      <c r="AB238" s="61" t="e">
        <f>VLOOKUP(A238,Enforcements!$C$7:$K$17,8,0)</f>
        <v>#N/A</v>
      </c>
      <c r="AC238" s="57" t="e">
        <f>VLOOKUP(A238,Enforcements!$C$7:$E$17,3,0)</f>
        <v>#N/A</v>
      </c>
      <c r="AD238" s="58" t="str">
        <f t="shared" si="73"/>
        <v>72-10</v>
      </c>
      <c r="AE238" s="87" t="str">
        <f t="shared" si="74"/>
        <v>aws s3 cp s3://rtdc.mdm.uploadarchive.raw/RTDC4004/ "%USERPROFILE%\AppData\Local\Temp\OnboardLogs"\RTDC4004\2017-01-10 --exclude "*" --recursive --include "*20170110*" &amp; "%USERPROFILE%\Documents\GitHub\mrs-test-scripts\Headless Mode &amp; Sideloading\WalkAndUnGZ.bat" "%USERPROFILE%\AppData\Local\Temp\OnboardLogs"\RTDC4004\2017-01-10 &amp; aws s3 cp s3://rtdc.mdm.uploadarchive.raw/RTDC4004/ "%USERPROFILE%\AppData\Local\Temp\OnboardLogs"\RTDC4004\2017-01-11 --exclude "*" --recursive --include "*20170111*" &amp; "%USERPROFILE%\Documents\GitHub\mrs-test-scripts\Headless Mode &amp; Sideloading\WalkAndUnGZ.bat" "%USERPROFILE%\AppData\Local\Temp\OnboardLogs"\RTDC4004\2017-01-11</v>
      </c>
      <c r="AF238" s="84" t="str">
        <f t="shared" si="75"/>
        <v>"C:\Program Files (x86)\AstroGrep\AstroGrep.exe" /spath="%USERPROFILE%\AppData\Local\Temp\OnboardLogs" /stypes="app*4004*20170111*" /stext=" 00:.+((SYSTEM_STATE.+slice.+state.+changed )|(ment ac)|(multiple cpu faults)|(system.+state.+changed )|(\[timeout)|(PRM\|1\|D)|(kpr)|(kdp)|(\|lc)|(penalty))" /e /r /s</v>
      </c>
      <c r="AG238" s="1" t="str">
        <f t="shared" si="76"/>
        <v>Other</v>
      </c>
      <c r="AH238" s="88" t="str">
        <f t="shared" si="77"/>
        <v>"%USERPROFILE%\Documents\GitHub\eaglep3\Utilities\RefineRTDCRunTimes.py" --tripid 72-10 --locoid 4004 --swversion DE.1.0.8.0 --startMP 300:23355 --initTime 2017-01-10T17:36:35 --startdatetime 2017-01-10T17:38:16 --delay 1 --endMP 8.53611111111111 --enddatetime 2017-01-10T17:48:48 --enforcementcount 0 &gt;&gt;C:\Users\stu\Documents\GitHub\eaglep3-reporting\EC\2017-01-10-refined-times.txt</v>
      </c>
      <c r="AI238" s="115" t="str">
        <f t="shared" si="78"/>
        <v>echo {"issue":{"subject":"","project_id":79,"tracker_id":40,"status_id":1,"priority_id":2,"assigned_to_id":23,"start_date":"2017-01-10","description":"","custom_fields":[{"id":1,"name":"Subdivision","value":"Other"},{"id":4,"name":"Milepost","value":"61111111.1111"},{"id":17,"name":"Train ID","value":"72-10"},{"id":16,"name":"Locomotive ID","value":"4004"},{"id":130,"name":"Impact","value":""},{"id":150,"name":"Time of Event (Mountain Time)","value":"17:48:48"},{"id":151,"name":"Denver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50"/>
      <c r="AK238" s="50"/>
      <c r="AL238" s="50"/>
      <c r="AM238" s="180" t="str">
        <f t="shared" si="79"/>
        <v>start /low /b %USERPROFILE%\Documents\GitHub\eaglep3\Utilities\DownloadLogsFromS3.py --loco 4004 --day 2017-01-10</v>
      </c>
    </row>
    <row r="239" spans="1:39" x14ac:dyDescent="0.25">
      <c r="A239" s="34" t="s">
        <v>614</v>
      </c>
      <c r="B239" s="7">
        <v>4014</v>
      </c>
      <c r="C239" s="22" t="s">
        <v>202</v>
      </c>
      <c r="D239" s="22" t="s">
        <v>744</v>
      </c>
      <c r="E239" s="13">
        <v>42745.741226851853</v>
      </c>
      <c r="F239" s="13">
        <v>25568.708333333332</v>
      </c>
      <c r="G239" s="7">
        <v>1</v>
      </c>
      <c r="H239" s="22" t="s">
        <v>323</v>
      </c>
      <c r="I239" s="13">
        <v>25568.708333333332</v>
      </c>
      <c r="J239" s="7">
        <v>0</v>
      </c>
      <c r="K239" s="105" t="str">
        <f t="shared" si="65"/>
        <v>4013/4014</v>
      </c>
      <c r="L239" s="22" t="str">
        <f>VLOOKUP(A239,'Trips&amp;Operators'!$C$1:$G$99999,5,FALSE)</f>
        <v>STRICKLAND EVAN</v>
      </c>
      <c r="M239" s="6">
        <f t="shared" si="66"/>
        <v>0</v>
      </c>
      <c r="N239" s="7">
        <f t="shared" si="81"/>
        <v>0</v>
      </c>
      <c r="O239" s="7"/>
      <c r="P239" s="7"/>
      <c r="Q239" s="23"/>
      <c r="R239" s="23"/>
      <c r="S239" s="32">
        <f t="shared" si="82"/>
        <v>0</v>
      </c>
      <c r="T239" s="47" t="e">
        <f t="shared" si="67"/>
        <v>#VALUE!</v>
      </c>
      <c r="U239" s="167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94" t="str">
        <f t="shared" si="68"/>
        <v>https://search-rtdc-monitor-bjffxe2xuh6vdkpspy63sjmuny.us-east-1.es.amazonaws.com/_plugin/kibana/#/discover/Steve-Slow-Train-Analysis-(2080s-and-2083s)?_g=(refreshInterval:(display:Off,section:0,value:0),time:(from:'2017-01-10 16:47:22-700',mode:absolute,to:'1969-12-31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39" s="49" t="str">
        <f t="shared" si="69"/>
        <v>Y</v>
      </c>
      <c r="X239" s="173" t="e">
        <f t="shared" si="80"/>
        <v>#VALUE!</v>
      </c>
      <c r="Y239" s="64">
        <f t="shared" si="70"/>
        <v>0.14960000000000001</v>
      </c>
      <c r="Z239" s="64">
        <f t="shared" si="71"/>
        <v>2.3346</v>
      </c>
      <c r="AA239" s="64">
        <f t="shared" si="72"/>
        <v>2.1850000000000001</v>
      </c>
      <c r="AB239" s="61" t="e">
        <f>VLOOKUP(A239,Enforcements!$C$7:$K$17,8,0)</f>
        <v>#N/A</v>
      </c>
      <c r="AC239" s="57" t="e">
        <f>VLOOKUP(A239,Enforcements!$C$7:$E$17,3,0)</f>
        <v>#N/A</v>
      </c>
      <c r="AD239" s="58" t="str">
        <f t="shared" si="73"/>
        <v>73-10</v>
      </c>
      <c r="AE239" s="87" t="str">
        <f t="shared" si="74"/>
        <v>aws s3 cp s3://rtdc.mdm.uploadarchive.raw/RTDC4014/ "%USERPROFILE%\AppData\Local\Temp\OnboardLogs"\RTDC4014\1969-12-31 --exclude "*" --recursive --include "*19691231*" &amp; "%USERPROFILE%\Documents\GitHub\mrs-test-scripts\Headless Mode &amp; Sideloading\WalkAndUnGZ.bat" "%USERPROFILE%\AppData\Local\Temp\OnboardLogs"\RTDC4014\1969-12-31 &amp; aws s3 cp s3://rtdc.mdm.uploadarchive.raw/RTDC4014/ "%USERPROFILE%\AppData\Local\Temp\OnboardLogs"\RTDC4014\1970-01-01 --exclude "*" --recursive --include "*19700101*" &amp; "%USERPROFILE%\Documents\GitHub\mrs-test-scripts\Headless Mode &amp; Sideloading\WalkAndUnGZ.bat" "%USERPROFILE%\AppData\Local\Temp\OnboardLogs"\RTDC4014\1970-01-01</v>
      </c>
      <c r="AF239" s="84" t="str">
        <f t="shared" si="75"/>
        <v>"C:\Program Files (x86)\AstroGrep\AstroGrep.exe" /spath="%USERPROFILE%\AppData\Local\Temp\OnboardLogs" /stypes="app*4014*19700101*" /stext=" 00:.+((SYSTEM_STATE.+slice.+state.+changed )|(ment ac)|(multiple cpu faults)|(system.+state.+changed )|(\[timeout)|(PRM\|1\|D)|(kpr)|(kdp)|(\|lc)|(penalty))" /e /r /s</v>
      </c>
      <c r="AG239" s="1" t="str">
        <f t="shared" si="76"/>
        <v>Other</v>
      </c>
      <c r="AH239" s="88" t="str">
        <f t="shared" si="77"/>
        <v>"%USERPROFILE%\Documents\GitHub\eaglep3\Utilities\RefineRTDCRunTimes.py" --tripid 73-10 --locoid 4014 --swversion DE.1.0.8.0 --startMP 204:1496 --initTime 2017-01-10T17:47:22 --startdatetime 1969-12-31T17:00:00 --delay 1 --endMP 300:23346 --enddatetime 1969-12-31T17:00:00 --enforcementcount 0 &gt;&gt;C:\Users\stu\Documents\GitHub\eaglep3-reporting\EC\2017-01-10-refined-times.txt</v>
      </c>
      <c r="AI239" s="115" t="str">
        <f t="shared" si="78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ID","value":"73-10"},{"id":16,"name":"Locomotive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50"/>
      <c r="AK239" s="50"/>
      <c r="AL239" s="50"/>
      <c r="AM239" s="180" t="str">
        <f t="shared" si="79"/>
        <v>start /low /b %USERPROFILE%\Documents\GitHub\eaglep3\Utilities\DownloadLogsFromS3.py --loco 4014 --day 1969-12-31</v>
      </c>
    </row>
    <row r="240" spans="1:39" x14ac:dyDescent="0.25">
      <c r="A240" s="34" t="s">
        <v>622</v>
      </c>
      <c r="B240" s="7">
        <v>4012</v>
      </c>
      <c r="C240" s="22" t="s">
        <v>202</v>
      </c>
      <c r="D240" s="22" t="s">
        <v>745</v>
      </c>
      <c r="E240" s="13">
        <v>42745.771817129629</v>
      </c>
      <c r="F240" s="13">
        <v>42745.772847222222</v>
      </c>
      <c r="G240" s="7">
        <v>1</v>
      </c>
      <c r="H240" s="22" t="s">
        <v>417</v>
      </c>
      <c r="I240" s="13">
        <v>42745.783171296294</v>
      </c>
      <c r="J240" s="7">
        <v>0</v>
      </c>
      <c r="K240" s="105" t="str">
        <f t="shared" si="65"/>
        <v>4011/4012</v>
      </c>
      <c r="L240" s="22" t="str">
        <f>VLOOKUP(A240,'Trips&amp;Operators'!$C$1:$G$99999,5,FALSE)</f>
        <v>SAFIEF AEIMEN</v>
      </c>
      <c r="M240" s="6">
        <f t="shared" si="66"/>
        <v>1.0324074071832001E-2</v>
      </c>
      <c r="N240" s="7">
        <f t="shared" si="81"/>
        <v>14.866666663438082</v>
      </c>
      <c r="O240" s="7"/>
      <c r="P240" s="7"/>
      <c r="Q240" s="23"/>
      <c r="R240" s="23"/>
      <c r="S240" s="32">
        <f t="shared" si="82"/>
        <v>0</v>
      </c>
      <c r="T240" s="47" t="e">
        <f t="shared" si="67"/>
        <v>#VALUE!</v>
      </c>
      <c r="U240" s="167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94" t="str">
        <f t="shared" si="68"/>
        <v>https://search-rtdc-monitor-bjffxe2xuh6vdkpspy63sjmuny.us-east-1.es.amazonaws.com/_plugin/kibana/#/discover/Steve-Slow-Train-Analysis-(2080s-and-2083s)?_g=(refreshInterval:(display:Off,section:0,value:0),time:(from:'2017-01-10 17:31:25-700',mode:absolute,to:'2017-01-10 19:47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40" s="49" t="str">
        <f t="shared" si="69"/>
        <v>Y</v>
      </c>
      <c r="X240" s="173" t="e">
        <f t="shared" si="80"/>
        <v>#VALUE!</v>
      </c>
      <c r="Y240" s="64">
        <f t="shared" si="70"/>
        <v>2.1977000000000002</v>
      </c>
      <c r="Z240" s="64">
        <f t="shared" si="71"/>
        <v>9.8100000000000007E-2</v>
      </c>
      <c r="AA240" s="64">
        <f t="shared" si="72"/>
        <v>2.0996000000000001</v>
      </c>
      <c r="AB240" s="61" t="e">
        <f>VLOOKUP(A240,Enforcements!$C$7:$K$17,8,0)</f>
        <v>#N/A</v>
      </c>
      <c r="AC240" s="57" t="e">
        <f>VLOOKUP(A240,Enforcements!$C$7:$E$17,3,0)</f>
        <v>#N/A</v>
      </c>
      <c r="AD240" s="58" t="str">
        <f t="shared" si="73"/>
        <v>74-10</v>
      </c>
      <c r="AE240" s="87" t="str">
        <f t="shared" si="74"/>
        <v>aws s3 cp s3://rtdc.mdm.uploadarchive.raw/RTDC4012/ "%USERPROFILE%\AppData\Local\Temp\OnboardLogs"\RTDC4012\2017-01-10 --exclude "*" --recursive --include "*20170110*" &amp; "%USERPROFILE%\Documents\GitHub\mrs-test-scripts\Headless Mode &amp; Sideloading\WalkAndUnGZ.bat" "%USERPROFILE%\AppData\Local\Temp\OnboardLogs"\RTDC4012\2017-01-10 &amp; aws s3 cp s3://rtdc.mdm.uploadarchive.raw/RTDC4012/ "%USERPROFILE%\AppData\Local\Temp\OnboardLogs"\RTDC4012\2017-01-11 --exclude "*" --recursive --include "*20170111*" &amp; "%USERPROFILE%\Documents\GitHub\mrs-test-scripts\Headless Mode &amp; Sideloading\WalkAndUnGZ.bat" "%USERPROFILE%\AppData\Local\Temp\OnboardLogs"\RTDC4012\2017-01-11</v>
      </c>
      <c r="AF240" s="84" t="str">
        <f t="shared" si="75"/>
        <v>"C:\Program Files (x86)\AstroGrep\AstroGrep.exe" /spath="%USERPROFILE%\AppData\Local\Temp\OnboardLogs" /stypes="app*4012*20170111*" /stext=" 01:.+((SYSTEM_STATE.+slice.+state.+changed )|(ment ac)|(multiple cpu faults)|(system.+state.+changed )|(\[timeout)|(PRM\|1\|D)|(kpr)|(kdp)|(\|lc)|(penalty))" /e /r /s</v>
      </c>
      <c r="AG240" s="1" t="str">
        <f t="shared" si="76"/>
        <v>Other</v>
      </c>
      <c r="AH240" s="88" t="str">
        <f t="shared" si="77"/>
        <v>"%USERPROFILE%\Documents\GitHub\eaglep3\Utilities\RefineRTDCRunTimes.py" --tripid 74-10 --locoid 4012 --swversion DE.1.0.8.0 --startMP 300:21977 --initTime 2017-01-10T18:31:25 --startdatetime 2017-01-10T18:32:54 --delay 1 --endMP 204:981 --enddatetime 2017-01-10T18:47:46 --enforcementcount 0 &gt;&gt;C:\Users\stu\Documents\GitHub\eaglep3-reporting\EC\2017-01-10-refined-times.txt</v>
      </c>
      <c r="AI240" s="115" t="str">
        <f t="shared" si="78"/>
        <v>echo {"issue":{"subject":"","project_id":79,"tracker_id":40,"status_id":1,"priority_id":2,"assigned_to_id":23,"start_date":"2017-01-10","description":"","custom_fields":[{"id":1,"name":"Subdivision","value":"Other"},{"id":4,"name":"Milepost","value":"0.0981"},{"id":17,"name":"Train ID","value":"74-10"},{"id":16,"name":"Locomotive ID","value":"4012"},{"id":130,"name":"Impact","value":""},{"id":150,"name":"Time of Event (Mountain Time)","value":"18:47:46"},{"id":151,"name":"Denver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50"/>
      <c r="AK240" s="50"/>
      <c r="AL240" s="50"/>
      <c r="AM240" s="180" t="str">
        <f t="shared" si="79"/>
        <v>start /low /b %USERPROFILE%\Documents\GitHub\eaglep3\Utilities\DownloadLogsFromS3.py --loco 4012 --day 2017-01-10</v>
      </c>
    </row>
    <row r="241" spans="1:39" x14ac:dyDescent="0.25">
      <c r="A241" s="34" t="s">
        <v>619</v>
      </c>
      <c r="B241" s="7">
        <v>4003</v>
      </c>
      <c r="C241" s="22" t="s">
        <v>202</v>
      </c>
      <c r="D241" s="22" t="s">
        <v>746</v>
      </c>
      <c r="E241" s="13">
        <v>42745.757303240738</v>
      </c>
      <c r="F241" s="13">
        <v>25568.708333333332</v>
      </c>
      <c r="G241" s="7">
        <v>1</v>
      </c>
      <c r="H241" s="22" t="s">
        <v>410</v>
      </c>
      <c r="I241" s="13">
        <v>25568.708333333332</v>
      </c>
      <c r="J241" s="7">
        <v>0</v>
      </c>
      <c r="K241" s="105" t="str">
        <f t="shared" si="65"/>
        <v>4003/4004</v>
      </c>
      <c r="L241" s="22" t="str">
        <f>VLOOKUP(A241,'Trips&amp;Operators'!$C$1:$G$99999,5,FALSE)</f>
        <v>DE LA ROSA ALEX</v>
      </c>
      <c r="M241" s="6">
        <f t="shared" si="66"/>
        <v>0</v>
      </c>
      <c r="N241" s="7">
        <f t="shared" si="81"/>
        <v>0</v>
      </c>
      <c r="O241" s="7"/>
      <c r="P241" s="7"/>
      <c r="Q241" s="23"/>
      <c r="R241" s="23"/>
      <c r="S241" s="32">
        <f t="shared" si="82"/>
        <v>0</v>
      </c>
      <c r="T241" s="47" t="e">
        <f t="shared" si="67"/>
        <v>#VALUE!</v>
      </c>
      <c r="U241" s="167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94" t="str">
        <f t="shared" si="68"/>
        <v>https://search-rtdc-monitor-bjffxe2xuh6vdkpspy63sjmuny.us-east-1.es.amazonaws.com/_plugin/kibana/#/discover/Steve-Slow-Train-Analysis-(2080s-and-2083s)?_g=(refreshInterval:(display:Off,section:0,value:0),time:(from:'2017-01-10 17:10:31-700',mode:absolute,to:'1969-12-31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41" s="49" t="str">
        <f t="shared" si="69"/>
        <v>Y</v>
      </c>
      <c r="X241" s="173" t="e">
        <f t="shared" si="80"/>
        <v>#VALUE!</v>
      </c>
      <c r="Y241" s="64">
        <f t="shared" si="70"/>
        <v>3.4799999999999998E-2</v>
      </c>
      <c r="Z241" s="64">
        <f t="shared" si="71"/>
        <v>2.3294999999999999</v>
      </c>
      <c r="AA241" s="64">
        <f t="shared" si="72"/>
        <v>2.2946999999999997</v>
      </c>
      <c r="AB241" s="61" t="e">
        <f>VLOOKUP(A241,Enforcements!$C$7:$K$17,8,0)</f>
        <v>#N/A</v>
      </c>
      <c r="AC241" s="57" t="e">
        <f>VLOOKUP(A241,Enforcements!$C$7:$E$17,3,0)</f>
        <v>#N/A</v>
      </c>
      <c r="AD241" s="58" t="str">
        <f t="shared" si="73"/>
        <v>75-10</v>
      </c>
      <c r="AE241" s="87" t="str">
        <f t="shared" si="74"/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AF241" s="84" t="str">
        <f t="shared" si="75"/>
        <v>"C:\Program Files (x86)\AstroGrep\AstroGrep.exe" /spath="%USERPROFILE%\AppData\Local\Temp\OnboardLogs" /stypes="app*4003*19700101*" /stext=" 00:.+((SYSTEM_STATE.+slice.+state.+changed )|(ment ac)|(multiple cpu faults)|(system.+state.+changed )|(\[timeout)|(PRM\|1\|D)|(kpr)|(kdp)|(\|lc)|(penalty))" /e /r /s</v>
      </c>
      <c r="AG241" s="1" t="str">
        <f t="shared" si="76"/>
        <v>Other</v>
      </c>
      <c r="AH241" s="88" t="str">
        <f t="shared" si="77"/>
        <v>"%USERPROFILE%\Documents\GitHub\eaglep3\Utilities\RefineRTDCRunTimes.py" --tripid 75-10 --locoid 4003 --swversion DE.1.0.8.0 --startMP 204:348 --initTime 2017-01-10T18:10:31 --startdatetime 1969-12-31T17:00:00 --delay 1 --endMP 300:23295 --enddatetime 1969-12-31T17:00:00 --enforcementcount 0 &gt;&gt;C:\Users\stu\Documents\GitHub\eaglep3-reporting\EC\2017-01-10-refined-times.txt</v>
      </c>
      <c r="AI241" s="115" t="str">
        <f t="shared" si="78"/>
        <v>echo {"issue":{"subject":"","project_id":79,"tracker_id":40,"status_id":1,"priority_id":2,"assigned_to_id":23,"start_date":"1969-12-31","description":"","custom_fields":[{"id":1,"name":"Subdivision","value":"Other"},{"id":4,"name":"Milepost","value":"2.3295"},{"id":17,"name":"Train ID","value":"75-10"},{"id":16,"name":"Locomotive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50"/>
      <c r="AK241" s="50"/>
      <c r="AL241" s="50"/>
      <c r="AM241" s="180" t="str">
        <f t="shared" si="79"/>
        <v>start /low /b %USERPROFILE%\Documents\GitHub\eaglep3\Utilities\DownloadLogsFromS3.py --loco 4003 --day 1969-12-31</v>
      </c>
    </row>
  </sheetData>
  <autoFilter ref="A12:AG221">
    <sortState ref="A13:AG242">
      <sortCondition ref="AG13:AG242"/>
      <sortCondition ref="AD13:AD242"/>
    </sortState>
  </autoFilter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10" priority="352" operator="equal">
      <formula>"Y"</formula>
    </cfRule>
  </conditionalFormatting>
  <conditionalFormatting sqref="X13:X1048576">
    <cfRule type="cellIs" dxfId="9" priority="335" operator="greaterThan">
      <formula>1</formula>
    </cfRule>
  </conditionalFormatting>
  <conditionalFormatting sqref="X12:X1048576">
    <cfRule type="cellIs" dxfId="8" priority="332" operator="equal">
      <formula>0</formula>
    </cfRule>
  </conditionalFormatting>
  <conditionalFormatting sqref="A13:S241">
    <cfRule type="expression" dxfId="7" priority="326" stopIfTrue="1">
      <formula>$P13&gt;0</formula>
    </cfRule>
    <cfRule type="expression" dxfId="6" priority="327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A13:S241</xm:sqref>
        </x14:conditionalFormatting>
        <x14:conditionalFormatting xmlns:xm="http://schemas.microsoft.com/office/excel/2006/main">
          <x14:cfRule type="expression" priority="1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AK13:AK241</xm:sqref>
        </x14:dataValidation>
        <x14:dataValidation type="list" allowBlank="1" showInputMessage="1" showErrorMessage="1">
          <x14:formula1>
            <xm:f>'Redmine List Values'!$C$2:$C$15</xm:f>
          </x14:formula1>
          <xm:sqref>AL13:AL241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F71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2" customWidth="1"/>
    <col min="5" max="5" width="18.5703125" style="132" customWidth="1"/>
    <col min="6" max="6" width="5.7109375" style="132" customWidth="1"/>
    <col min="7" max="7" width="5.85546875" style="132" customWidth="1"/>
    <col min="8" max="8" width="7.85546875" style="132" customWidth="1"/>
    <col min="9" max="9" width="9" style="132" customWidth="1"/>
    <col min="10" max="10" width="11.5703125" style="132" hidden="1" customWidth="1"/>
    <col min="11" max="11" width="9.140625" style="132" customWidth="1"/>
    <col min="12" max="12" width="7.85546875" style="132" customWidth="1"/>
    <col min="13" max="13" width="7.85546875" style="2" customWidth="1"/>
    <col min="14" max="14" width="14.28515625" style="131" customWidth="1"/>
    <col min="15" max="15" width="5.140625" style="165" customWidth="1"/>
    <col min="16" max="16" width="33.42578125" style="132" customWidth="1"/>
    <col min="17" max="17" width="5" hidden="1" customWidth="1"/>
    <col min="18" max="18" width="5.5703125" style="85" customWidth="1"/>
    <col min="19" max="19" width="5.5703125" style="97" customWidth="1"/>
    <col min="20" max="20" width="6" style="82" customWidth="1"/>
    <col min="21" max="21" width="5.140625" customWidth="1"/>
    <col min="22" max="22" width="21.42578125" style="45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4" customWidth="1"/>
    <col min="31" max="31" width="9.140625" style="180"/>
  </cols>
  <sheetData>
    <row r="1" spans="1:31" s="21" customFormat="1" ht="15.75" hidden="1" thickBot="1" x14ac:dyDescent="0.3">
      <c r="A1" s="8"/>
      <c r="D1" s="132"/>
      <c r="E1" s="132"/>
      <c r="F1" s="132"/>
      <c r="G1" s="132"/>
      <c r="H1" s="132"/>
      <c r="I1" s="132"/>
      <c r="J1" s="132"/>
      <c r="K1" s="132"/>
      <c r="L1" s="132"/>
      <c r="M1" s="2"/>
      <c r="N1" s="131"/>
      <c r="O1" s="165"/>
      <c r="P1" s="132"/>
      <c r="R1" s="85"/>
      <c r="S1" s="97"/>
      <c r="T1" s="82"/>
      <c r="V1" s="45"/>
      <c r="AC1" s="134"/>
      <c r="AE1" s="180"/>
    </row>
    <row r="2" spans="1:31" s="21" customFormat="1" x14ac:dyDescent="0.25">
      <c r="A2" s="8"/>
      <c r="D2" s="132"/>
      <c r="E2" s="132"/>
      <c r="F2" s="132"/>
      <c r="G2" s="132"/>
      <c r="H2" s="132"/>
      <c r="I2" s="132"/>
      <c r="J2" s="132"/>
      <c r="K2" s="132"/>
      <c r="L2" s="143" t="s">
        <v>80</v>
      </c>
      <c r="M2" s="127"/>
      <c r="N2" s="144"/>
      <c r="O2" s="176">
        <f>COUNTIF($O$7:$O$330,"=Y")</f>
        <v>11</v>
      </c>
      <c r="P2" s="129"/>
      <c r="R2" s="85"/>
      <c r="S2" s="97"/>
      <c r="T2" s="82"/>
      <c r="V2" s="45"/>
      <c r="AC2" s="135"/>
      <c r="AE2" s="180"/>
    </row>
    <row r="3" spans="1:31" s="21" customFormat="1" ht="15.75" thickBot="1" x14ac:dyDescent="0.3">
      <c r="A3" s="8"/>
      <c r="D3" s="132"/>
      <c r="E3" s="132"/>
      <c r="F3" s="132"/>
      <c r="G3" s="132"/>
      <c r="H3" s="132"/>
      <c r="I3" s="132"/>
      <c r="J3" s="132"/>
      <c r="K3" s="132"/>
      <c r="L3" s="145" t="s">
        <v>81</v>
      </c>
      <c r="M3" s="128"/>
      <c r="N3" s="146"/>
      <c r="O3" s="177">
        <f>COUNTA($O$7:$O$330)-O2</f>
        <v>29</v>
      </c>
      <c r="P3" s="129"/>
      <c r="R3" s="85"/>
      <c r="S3" s="97"/>
      <c r="T3" s="82"/>
      <c r="V3" s="45"/>
      <c r="AC3" s="135"/>
      <c r="AE3" s="180"/>
    </row>
    <row r="4" spans="1:31" s="21" customFormat="1" x14ac:dyDescent="0.25">
      <c r="A4" s="8"/>
      <c r="D4" s="132"/>
      <c r="E4" s="132"/>
      <c r="F4" s="132"/>
      <c r="G4" s="132"/>
      <c r="H4" s="132"/>
      <c r="I4" s="132"/>
      <c r="J4" s="132"/>
      <c r="K4" s="132"/>
      <c r="L4" s="132"/>
      <c r="M4" s="2"/>
      <c r="N4" s="131"/>
      <c r="O4" s="165"/>
      <c r="P4" s="132"/>
      <c r="R4" s="85"/>
      <c r="S4" s="97"/>
      <c r="T4" s="82"/>
      <c r="V4" s="45"/>
      <c r="AC4" s="135"/>
      <c r="AE4" s="180"/>
    </row>
    <row r="5" spans="1:31" s="10" customFormat="1" ht="15" customHeight="1" x14ac:dyDescent="0.25">
      <c r="A5" s="189" t="str">
        <f>"Eagle P3 Braking Events - "&amp;TEXT(Variables!$A$2,"YYYY-mm-dd")</f>
        <v>Eagle P3 Braking Events - 2017-01-10</v>
      </c>
      <c r="B5" s="189"/>
      <c r="C5" s="189"/>
      <c r="D5" s="189"/>
      <c r="E5" s="189"/>
      <c r="F5" s="189"/>
      <c r="G5" s="189"/>
      <c r="H5" s="189"/>
      <c r="I5" s="189"/>
      <c r="J5" s="189"/>
      <c r="K5" s="189"/>
      <c r="L5" s="189"/>
      <c r="M5" s="189"/>
      <c r="N5" s="189"/>
      <c r="O5" s="189"/>
      <c r="P5" s="147"/>
      <c r="R5" s="95"/>
      <c r="S5" s="98"/>
      <c r="T5" s="100"/>
      <c r="V5" s="46"/>
      <c r="AC5" s="136"/>
      <c r="AE5" s="182"/>
    </row>
    <row r="6" spans="1:31" s="126" customFormat="1" ht="69.75" customHeight="1" x14ac:dyDescent="0.2">
      <c r="A6" s="116" t="s">
        <v>38</v>
      </c>
      <c r="B6" s="117" t="s">
        <v>37</v>
      </c>
      <c r="C6" s="117" t="s">
        <v>36</v>
      </c>
      <c r="D6" s="133" t="s">
        <v>35</v>
      </c>
      <c r="E6" s="133" t="s">
        <v>34</v>
      </c>
      <c r="F6" s="133" t="s">
        <v>33</v>
      </c>
      <c r="G6" s="133" t="s">
        <v>32</v>
      </c>
      <c r="H6" s="133" t="s">
        <v>31</v>
      </c>
      <c r="I6" s="133" t="s">
        <v>156</v>
      </c>
      <c r="J6" s="133" t="s">
        <v>30</v>
      </c>
      <c r="K6" s="133" t="s">
        <v>29</v>
      </c>
      <c r="L6" s="133" t="s">
        <v>28</v>
      </c>
      <c r="M6" s="118" t="s">
        <v>157</v>
      </c>
      <c r="N6" s="148" t="s">
        <v>47</v>
      </c>
      <c r="O6" s="178" t="s">
        <v>27</v>
      </c>
      <c r="P6" s="133" t="s">
        <v>24</v>
      </c>
      <c r="Q6" s="119"/>
      <c r="R6" s="120" t="s">
        <v>89</v>
      </c>
      <c r="S6" s="121" t="s">
        <v>55</v>
      </c>
      <c r="T6" s="122" t="s">
        <v>88</v>
      </c>
      <c r="U6" s="117" t="s">
        <v>83</v>
      </c>
      <c r="V6" s="123" t="s">
        <v>84</v>
      </c>
      <c r="W6" s="119" t="s">
        <v>96</v>
      </c>
      <c r="X6" s="119" t="s">
        <v>97</v>
      </c>
      <c r="Y6" s="124" t="s">
        <v>148</v>
      </c>
      <c r="Z6" s="125" t="s">
        <v>149</v>
      </c>
      <c r="AA6" s="125" t="s">
        <v>122</v>
      </c>
      <c r="AB6" s="125" t="s">
        <v>150</v>
      </c>
      <c r="AC6" s="137" t="s">
        <v>176</v>
      </c>
      <c r="AD6" s="126" t="s">
        <v>222</v>
      </c>
      <c r="AE6" s="181" t="s">
        <v>284</v>
      </c>
    </row>
    <row r="7" spans="1:31" s="1" customFormat="1" x14ac:dyDescent="0.25">
      <c r="A7" s="33">
        <v>42745.309884259259</v>
      </c>
      <c r="B7" s="31" t="s">
        <v>429</v>
      </c>
      <c r="C7" s="31" t="s">
        <v>430</v>
      </c>
      <c r="D7" s="31" t="s">
        <v>49</v>
      </c>
      <c r="E7" s="31" t="s">
        <v>233</v>
      </c>
      <c r="F7" s="44">
        <v>0</v>
      </c>
      <c r="G7" s="44">
        <v>403</v>
      </c>
      <c r="H7" s="44">
        <v>42411</v>
      </c>
      <c r="I7" s="44">
        <v>43323</v>
      </c>
      <c r="J7" s="31" t="s">
        <v>234</v>
      </c>
      <c r="K7" s="44">
        <v>42779</v>
      </c>
      <c r="L7" s="150" t="s">
        <v>50</v>
      </c>
      <c r="M7" s="151">
        <f t="shared" ref="M7:M46" si="0">CONVERT((I7-K7)/10000,"mi","ft")*IF(L7="Increasing Mileposts (1)",-1,1)</f>
        <v>-287.23200000000003</v>
      </c>
      <c r="N7" s="152" t="str">
        <f>VLOOKUP(C7,'Trips&amp;Operators'!$C$1:$G$99999,5,FALSE)</f>
        <v>DUNCAN SHEILA</v>
      </c>
      <c r="O7" s="179" t="s">
        <v>194</v>
      </c>
      <c r="P7" s="153" t="s">
        <v>364</v>
      </c>
      <c r="Q7" s="31"/>
      <c r="R7" s="96" t="str">
        <f>VLOOKUP(C7,'Train Runs'!$A$13:$AE$9965,31,0)</f>
        <v>aws s3 cp s3://rtdc.mdm.uploadarchive.raw/RTDC4018/ "%USERPROFILE%\AppData\Local\Temp\OnboardLogs"\RTDC4018\2017-01-10 --exclude "*" --recursive --include "*20170110*" &amp; "%USERPROFILE%\Documents\GitHub\mrs-test-scripts\Headless Mode &amp; Sideloading\WalkAndUnGZ.bat" "%USERPROFILE%\AppData\Local\Temp\OnboardLogs"\RTDC4018\2017-01-10 &amp; aws s3 cp s3://rtdc.mdm.uploadarchive.raw/RTDC4018/ "%USERPROFILE%\AppData\Local\Temp\OnboardLogs"\RTDC4018\2017-01-11 --exclude "*" --recursive --include "*20170111*" &amp; "%USERPROFILE%\Documents\GitHub\mrs-test-scripts\Headless Mode &amp; Sideloading\WalkAndUnGZ.bat" "%USERPROFILE%\AppData\Local\Temp\OnboardLogs"\RTDC4018\2017-01-11</v>
      </c>
      <c r="S7" s="99" t="str">
        <f>VLOOKUP(C7,'Train Runs'!$A$13:$AE$9965,22,0)</f>
        <v>https://search-rtdc-monitor-bjffxe2xuh6vdkpspy63sjmuny.us-east-1.es.amazonaws.com/_plugin/kibana/#/discover/Steve-Slow-Train-Analysis-(2080s-and-2083s)?_g=(refreshInterval:(display:Off,section:0,value:0),time:(from:'2017-01-10 06:07:52-700',mode:absolute,to:'2017-01-10 08:52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7" s="101" t="str">
        <f t="shared" ref="T7:T46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/stypes="*4018*201701101*" /stext=" 14:.+((SYSTEM_STATE.+slice.+state.+changed )|(ment ac)|(multiple cpu faults)|(system.+state.+changed )|(\[timeout)|(PRM\|1\|D)|(kpr)|(kdp)|(\|lc)|(penalty))" /e /r /s</v>
      </c>
      <c r="U7" s="9" t="str">
        <f t="shared" ref="U7:U46" si="2">MID(B7,13,4)</f>
        <v>4018</v>
      </c>
      <c r="V7" s="33">
        <f t="shared" ref="V7:V46" si="3">A7-utc_offset/24</f>
        <v>42745.601550925923</v>
      </c>
      <c r="W7" s="47" t="str">
        <f t="shared" ref="W7:W46" si="4">IF(VALUE(LEFT(IF(LEN(C7)=6,"0"&amp;C7,C7),2))&lt;=2,"EC",IF(OR(VALUE(LEFT(IF(LEN(C7)=6,"0"&amp;C7,C7),2))=8,VALUE(LEFT(IF(LEN(C7)=6,"0"&amp;C7,C7),2))=18),"NW","Other"))</f>
        <v>EC</v>
      </c>
      <c r="X7" s="47" t="str">
        <f t="shared" ref="X7:X46" si="5">IF(AND(E7="TRACK WARRANT AUTHORITY",G7&lt;10),"OMIT","KEEP")</f>
        <v>KEEP</v>
      </c>
      <c r="Y7" s="115" t="str">
        <f t="shared" ref="Y7:Y46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arrival","project_id":79,"tracker_id":40,"status_id":1,"priority_id":2,"assigned_to_id":23,"start_date":"2017-01-10","description":"","custom_fields":[{"id":1,"name":"Subdivision","value":"EC"},{"id":4,"name":"Milepost","value":"4.2779"},{"id":17,"name":"Train ID","value":"129-10"},{"id":16,"name":"Locomotive ID","value":"4018"},{"id":130,"name":"Impact","value":""},{"id":150,"name":"Time of Event (Mountain Time)","value":"07:26:14"},{"id":151,"name":"Denver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0"/>
      <c r="AA7" s="50"/>
      <c r="AB7" s="50"/>
      <c r="AC7" s="134" t="str">
        <f t="shared" ref="AC7:AC46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"%USERPROFILE%\AppData\Local\Temp\OnboardLogs"\RTDC4018\*4018*201701101*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"%USERPROFILE%\AppData\Local\Temp\OnboardLogs"\RTDC4018\*4018*201701101* &gt;&gt; 42745-slicedisagreementcheck.txt</v>
      </c>
      <c r="AE7" s="183" t="str">
        <f t="shared" ref="AE7:AE46" si="8">"start /low /b "&amp;dls3logs&amp;" --loco "&amp;U7&amp;" --day "&amp;TEXT(V7,"YYYY-MM-DD")</f>
        <v>start /low /b %USERPROFILE%\Documents\GitHub\eaglep3\Utilities\DownloadLogsFromS3.py --loco 4018 --day 2017-01-10</v>
      </c>
    </row>
    <row r="8" spans="1:31" s="1" customFormat="1" x14ac:dyDescent="0.25">
      <c r="A8" s="33">
        <v>42745.568009259259</v>
      </c>
      <c r="B8" s="31" t="s">
        <v>437</v>
      </c>
      <c r="C8" s="31" t="s">
        <v>438</v>
      </c>
      <c r="D8" s="31" t="s">
        <v>49</v>
      </c>
      <c r="E8" s="31" t="s">
        <v>233</v>
      </c>
      <c r="F8" s="44">
        <v>0</v>
      </c>
      <c r="G8" s="44">
        <v>275</v>
      </c>
      <c r="H8" s="44">
        <v>44139</v>
      </c>
      <c r="I8" s="44">
        <v>43638</v>
      </c>
      <c r="J8" s="31" t="s">
        <v>234</v>
      </c>
      <c r="K8" s="44">
        <v>42961</v>
      </c>
      <c r="L8" s="150" t="s">
        <v>51</v>
      </c>
      <c r="M8" s="151">
        <f t="shared" si="0"/>
        <v>357.45600000000002</v>
      </c>
      <c r="N8" s="152" t="str">
        <f>VLOOKUP(C8,'Trips&amp;Operators'!$C$1:$G$99999,5,FALSE)</f>
        <v>ADANE ELSHADAY</v>
      </c>
      <c r="O8" s="179" t="s">
        <v>194</v>
      </c>
      <c r="P8" s="153" t="s">
        <v>832</v>
      </c>
      <c r="Q8" s="31"/>
      <c r="R8" s="96" t="str">
        <f>VLOOKUP(C8,'Train Runs'!$A$13:$AE$9965,31,0)</f>
        <v>aws s3 cp s3://rtdc.mdm.uploadarchive.raw/RTDC4008/ "%USERPROFILE%\AppData\Local\Temp\OnboardLogs"\RTDC4008\2017-01-10 --exclude "*" --recursive --include "*20170110*" &amp; "%USERPROFILE%\Documents\GitHub\mrs-test-scripts\Headless Mode &amp; Sideloading\WalkAndUnGZ.bat" "%USERPROFILE%\AppData\Local\Temp\OnboardLogs"\RTDC4008\2017-01-10 &amp; aws s3 cp s3://rtdc.mdm.uploadarchive.raw/RTDC4008/ "%USERPROFILE%\AppData\Local\Temp\OnboardLogs"\RTDC4008\2017-01-11 --exclude "*" --recursive --include "*20170111*" &amp; "%USERPROFILE%\Documents\GitHub\mrs-test-scripts\Headless Mode &amp; Sideloading\WalkAndUnGZ.bat" "%USERPROFILE%\AppData\Local\Temp\OnboardLogs"\RTDC4008\2017-01-11</v>
      </c>
      <c r="S8" s="99" t="str">
        <f>VLOOKUP(C8,'Train Runs'!$A$13:$AE$9965,22,0)</f>
        <v>https://search-rtdc-monitor-bjffxe2xuh6vdkpspy63sjmuny.us-east-1.es.amazonaws.com/_plugin/kibana/#/discover/Steve-Slow-Train-Analysis-(2080s-and-2083s)?_g=(refreshInterval:(display:Off,section:0,value:0),time:(from:'2017-01-10 12:08:10-700',mode:absolute,to:'2017-01-10 14:50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8" s="101" t="str">
        <f t="shared" si="1"/>
        <v>"C:\Program Files (x86)\AstroGrep\AstroGrep.exe" /spath="%USERPROFILE%\AppData\Local\Temp\OnboardLogs" /stypes="*4008*201701102*" /stext=" 20:.+((SYSTEM_STATE.+slice.+state.+changed )|(ment ac)|(multiple cpu faults)|(system.+state.+changed )|(\[timeout)|(PRM\|1\|D)|(kpr)|(kdp)|(\|lc)|(penalty))" /e /r /s</v>
      </c>
      <c r="U8" s="9" t="str">
        <f t="shared" si="2"/>
        <v>4008</v>
      </c>
      <c r="V8" s="33">
        <f t="shared" si="3"/>
        <v>42745.859675925924</v>
      </c>
      <c r="W8" s="47" t="str">
        <f t="shared" si="4"/>
        <v>EC</v>
      </c>
      <c r="X8" s="47" t="str">
        <f t="shared" si="5"/>
        <v>KEEP</v>
      </c>
      <c r="Y8" s="115" t="str">
        <f t="shared" si="6"/>
        <v>echo {"issue":{"subject":"Form C","project_id":79,"tracker_id":40,"status_id":1,"priority_id":2,"assigned_to_id":23,"start_date":"2017-01-10","description":"","custom_fields":[{"id":1,"name":"Subdivision","value":"EC"},{"id":4,"name":"Milepost","value":"4.2961"},{"id":17,"name":"Train ID","value":"170-10"},{"id":16,"name":"Locomotive ID","value":"4008"},{"id":130,"name":"Impact","value":""},{"id":150,"name":"Time of Event (Mountain Time)","value":"13:37:56"},{"id":151,"name":"Denver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0"/>
      <c r="AA8" s="50"/>
      <c r="AB8" s="50"/>
      <c r="AC8" s="134" t="str">
        <f t="shared" si="7"/>
        <v>grep -hSE -A400 "Enforcement Action" "%USERPROFILE%\AppData\Local\Temp\OnboardLogs"\RTDC4008\*4008*201701102*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"%USERPROFILE%\AppData\Local\Temp\OnboardLogs"\RTDC4008\*4008*201701102* &gt;&gt; 42745-slicedisagreementcheck.txt</v>
      </c>
      <c r="AE8" s="183" t="str">
        <f t="shared" si="8"/>
        <v>start /low /b %USERPROFILE%\Documents\GitHub\eaglep3\Utilities\DownloadLogsFromS3.py --loco 4008 --day 2017-01-10</v>
      </c>
    </row>
    <row r="9" spans="1:31" s="1" customFormat="1" x14ac:dyDescent="0.25">
      <c r="A9" s="33">
        <v>42745.674097222225</v>
      </c>
      <c r="B9" s="31" t="s">
        <v>326</v>
      </c>
      <c r="C9" s="31" t="s">
        <v>444</v>
      </c>
      <c r="D9" s="31" t="s">
        <v>49</v>
      </c>
      <c r="E9" s="31" t="s">
        <v>233</v>
      </c>
      <c r="F9" s="44">
        <v>0</v>
      </c>
      <c r="G9" s="44">
        <v>40</v>
      </c>
      <c r="H9" s="44">
        <v>43097</v>
      </c>
      <c r="I9" s="44">
        <v>43041</v>
      </c>
      <c r="J9" s="31" t="s">
        <v>234</v>
      </c>
      <c r="K9" s="44">
        <v>42961</v>
      </c>
      <c r="L9" s="150" t="s">
        <v>51</v>
      </c>
      <c r="M9" s="151">
        <f t="shared" si="0"/>
        <v>42.24</v>
      </c>
      <c r="N9" s="152" t="str">
        <f>VLOOKUP(C9,'Trips&amp;Operators'!$C$1:$G$99999,5,FALSE)</f>
        <v>DAVIS MICHAEL</v>
      </c>
      <c r="O9" s="179" t="s">
        <v>194</v>
      </c>
      <c r="P9" s="153" t="s">
        <v>832</v>
      </c>
      <c r="Q9" s="31"/>
      <c r="R9" s="96" t="str">
        <f>VLOOKUP(C9,'Train Runs'!$A$13:$AE$9965,31,0)</f>
        <v>aws s3 cp s3://rtdc.mdm.uploadarchive.raw/RTDC4026/ "%USERPROFILE%\AppData\Local\Temp\OnboardLogs"\RTDC4026\2017-01-10 --exclude "*" --recursive --include "*20170110*" &amp; "%USERPROFILE%\Documents\GitHub\mrs-test-scripts\Headless Mode &amp; Sideloading\WalkAndUnGZ.bat" "%USERPROFILE%\AppData\Local\Temp\OnboardLogs"\RTDC4026\2017-01-10 &amp; aws s3 cp s3://rtdc.mdm.uploadarchive.raw/RTDC4026/ "%USERPROFILE%\AppData\Local\Temp\OnboardLogs"\RTDC4026\2017-01-11 --exclude "*" --recursive --include "*20170111*" &amp; "%USERPROFILE%\Documents\GitHub\mrs-test-scripts\Headless Mode &amp; Sideloading\WalkAndUnGZ.bat" "%USERPROFILE%\AppData\Local\Temp\OnboardLogs"\RTDC4026\2017-01-11</v>
      </c>
      <c r="S9" s="99" t="str">
        <f>VLOOKUP(C9,'Train Runs'!$A$13:$AE$9965,22,0)</f>
        <v>https://search-rtdc-monitor-bjffxe2xuh6vdkpspy63sjmuny.us-east-1.es.amazonaws.com/_plugin/kibana/#/discover/Steve-Slow-Train-Analysis-(2080s-and-2083s)?_g=(refreshInterval:(display:Off,section:0,value:0),time:(from:'2017-01-10 15:23:43-700',mode:absolute,to:'2017-01-10 17:39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9" s="101" t="str">
        <f t="shared" si="1"/>
        <v>"C:\Program Files (x86)\AstroGrep\AstroGrep.exe" /spath="%USERPROFILE%\AppData\Local\Temp\OnboardLogs" /stypes="*4026*201701102*" /stext=" 23:.+((SYSTEM_STATE.+slice.+state.+changed )|(ment ac)|(multiple cpu faults)|(system.+state.+changed )|(\[timeout)|(PRM\|1\|D)|(kpr)|(kdp)|(\|lc)|(penalty))" /e /r /s</v>
      </c>
      <c r="U9" s="9" t="str">
        <f t="shared" si="2"/>
        <v>4026</v>
      </c>
      <c r="V9" s="33">
        <f t="shared" si="3"/>
        <v>42745.965763888889</v>
      </c>
      <c r="W9" s="47" t="str">
        <f t="shared" si="4"/>
        <v>EC</v>
      </c>
      <c r="X9" s="47" t="str">
        <f t="shared" si="5"/>
        <v>KEEP</v>
      </c>
      <c r="Y9" s="115" t="str">
        <f t="shared" si="6"/>
        <v>echo {"issue":{"subject":"Form C","project_id":79,"tracker_id":40,"status_id":1,"priority_id":2,"assigned_to_id":23,"start_date":"2017-01-10","description":"","custom_fields":[{"id":1,"name":"Subdivision","value":"EC"},{"id":4,"name":"Milepost","value":"4.2961"},{"id":17,"name":"Train ID","value":"188-10"},{"id":16,"name":"Locomotive ID","value":"4026"},{"id":130,"name":"Impact","value":""},{"id":150,"name":"Time of Event (Mountain Time)","value":"16:10:42"},{"id":151,"name":"Denver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0"/>
      <c r="AA9" s="50"/>
      <c r="AB9" s="50"/>
      <c r="AC9" s="134" t="str">
        <f t="shared" si="7"/>
        <v>grep -hSE -A400 "Enforcement Action" "%USERPROFILE%\AppData\Local\Temp\OnboardLogs"\RTDC4026\*4026*201701102*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"%USERPROFILE%\AppData\Local\Temp\OnboardLogs"\RTDC4026\*4026*201701102* &gt;&gt; 42745-slicedisagreementcheck.txt</v>
      </c>
      <c r="AE9" s="183" t="str">
        <f t="shared" si="8"/>
        <v>start /low /b %USERPROFILE%\Documents\GitHub\eaglep3\Utilities\DownloadLogsFromS3.py --loco 4026 --day 2017-01-10</v>
      </c>
    </row>
    <row r="10" spans="1:31" s="1" customFormat="1" x14ac:dyDescent="0.25">
      <c r="A10" s="33">
        <v>42745.819965277777</v>
      </c>
      <c r="B10" s="31" t="s">
        <v>276</v>
      </c>
      <c r="C10" s="31" t="s">
        <v>454</v>
      </c>
      <c r="D10" s="31" t="s">
        <v>49</v>
      </c>
      <c r="E10" s="31" t="s">
        <v>233</v>
      </c>
      <c r="F10" s="44">
        <v>0</v>
      </c>
      <c r="G10" s="44">
        <v>203</v>
      </c>
      <c r="H10" s="44">
        <v>43863</v>
      </c>
      <c r="I10" s="44">
        <v>43679</v>
      </c>
      <c r="J10" s="31" t="s">
        <v>234</v>
      </c>
      <c r="K10" s="44">
        <v>42961</v>
      </c>
      <c r="L10" s="150" t="s">
        <v>51</v>
      </c>
      <c r="M10" s="151">
        <f t="shared" si="0"/>
        <v>379.10399999999998</v>
      </c>
      <c r="N10" s="152" t="str">
        <f>VLOOKUP(C10,'Trips&amp;Operators'!$C$1:$G$99999,5,FALSE)</f>
        <v>NELSON ARIANE</v>
      </c>
      <c r="O10" s="179" t="s">
        <v>299</v>
      </c>
      <c r="P10" s="153" t="s">
        <v>922</v>
      </c>
      <c r="Q10" s="31"/>
      <c r="R10" s="96" t="str">
        <f>VLOOKUP(C10,'Train Runs'!$A$13:$AE$9965,31,0)</f>
        <v>aws s3 cp s3://rtdc.mdm.uploadarchive.raw/RTDC4041/ "%USERPROFILE%\AppData\Local\Temp\OnboardLogs"\RTDC4041\2017-01-10 --exclude "*" --recursive --include "*20170110*" &amp; "%USERPROFILE%\Documents\GitHub\mrs-test-scripts\Headless Mode &amp; Sideloading\WalkAndUnGZ.bat" "%USERPROFILE%\AppData\Local\Temp\OnboardLogs"\RTDC4041\2017-01-10 &amp; aws s3 cp s3://rtdc.mdm.uploadarchive.raw/RTDC4041/ "%USERPROFILE%\AppData\Local\Temp\OnboardLogs"\RTDC4041\2017-01-11 --exclude "*" --recursive --include "*20170111*" &amp; "%USERPROFILE%\Documents\GitHub\mrs-test-scripts\Headless Mode &amp; Sideloading\WalkAndUnGZ.bat" "%USERPROFILE%\AppData\Local\Temp\OnboardLogs"\RTDC4041\2017-01-11</v>
      </c>
      <c r="S10" s="99" t="str">
        <f>VLOOKUP(C10,'Train Runs'!$A$13:$AE$9965,22,0)</f>
        <v>https://search-rtdc-monitor-bjffxe2xuh6vdkpspy63sjmuny.us-east-1.es.amazonaws.com/_plugin/kibana/#/discover/Steve-Slow-Train-Analysis-(2080s-and-2083s)?_g=(refreshInterval:(display:Off,section:0,value:0),time:(from:'2017-01-10 18:08:38-700',mode:absolute,to:'2017-01-10 20:56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10" s="101" t="str">
        <f t="shared" si="1"/>
        <v>"C:\Program Files (x86)\AstroGrep\AstroGrep.exe" /spath="%USERPROFILE%\AppData\Local\Temp\OnboardLogs" /stypes="*4041*201701110*" /stext=" 02:.+((SYSTEM_STATE.+slice.+state.+changed )|(ment ac)|(multiple cpu faults)|(system.+state.+changed )|(\[timeout)|(PRM\|1\|D)|(kpr)|(kdp)|(\|lc)|(penalty))" /e /r /s</v>
      </c>
      <c r="U10" s="9" t="str">
        <f t="shared" si="2"/>
        <v>4041</v>
      </c>
      <c r="V10" s="33">
        <f t="shared" si="3"/>
        <v>42746.111631944441</v>
      </c>
      <c r="W10" s="47" t="str">
        <f t="shared" si="4"/>
        <v>EC</v>
      </c>
      <c r="X10" s="47" t="str">
        <f t="shared" si="5"/>
        <v>KEEP</v>
      </c>
      <c r="Y10" s="115" t="str">
        <f t="shared" si="6"/>
        <v>echo {"issue":{"subject":"Form C, banner without braking","project_id":79,"tracker_id":40,"status_id":1,"priority_id":2,"assigned_to_id":23,"start_date":"2017-01-10","description":"","custom_fields":[{"id":1,"name":"Subdivision","value":"EC"},{"id":4,"name":"Milepost","value":"4.2961"},{"id":17,"name":"Train ID","value":"218-10"},{"id":16,"name":"Locomotive ID","value":"4041"},{"id":130,"name":"Impact","value":""},{"id":150,"name":"Time of Event (Mountain Time)","value":"19:40:45"},{"id":151,"name":"Denver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0"/>
      <c r="AA10" s="50"/>
      <c r="AB10" s="50"/>
      <c r="AC10" s="134" t="str">
        <f t="shared" si="7"/>
        <v>grep -hSE -A400 "Enforcement Action" "%USERPROFILE%\AppData\Local\Temp\OnboardLogs"\RTDC4041\*4041*201701110*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"%USERPROFILE%\AppData\Local\Temp\OnboardLogs"\RTDC4041\*4041*201701110* &gt;&gt; 42745-slicedisagreementcheck.txt</v>
      </c>
      <c r="AE10" s="183" t="str">
        <f t="shared" si="8"/>
        <v>start /low /b %USERPROFILE%\Documents\GitHub\eaglep3\Utilities\DownloadLogsFromS3.py --loco 4041 --day 2017-01-11</v>
      </c>
    </row>
    <row r="11" spans="1:31" s="1" customFormat="1" x14ac:dyDescent="0.25">
      <c r="A11" s="33">
        <v>42745.974479166667</v>
      </c>
      <c r="B11" s="31" t="s">
        <v>276</v>
      </c>
      <c r="C11" s="31" t="s">
        <v>457</v>
      </c>
      <c r="D11" s="31" t="s">
        <v>49</v>
      </c>
      <c r="E11" s="31" t="s">
        <v>233</v>
      </c>
      <c r="F11" s="44">
        <v>0</v>
      </c>
      <c r="G11" s="44">
        <v>380</v>
      </c>
      <c r="H11" s="44">
        <v>46177</v>
      </c>
      <c r="I11" s="44">
        <v>45126</v>
      </c>
      <c r="J11" s="31" t="s">
        <v>234</v>
      </c>
      <c r="K11" s="44">
        <v>42961</v>
      </c>
      <c r="L11" s="150" t="s">
        <v>51</v>
      </c>
      <c r="M11" s="151">
        <f t="shared" si="0"/>
        <v>1143.1199999999999</v>
      </c>
      <c r="N11" s="152" t="str">
        <f>VLOOKUP(C11,'Trips&amp;Operators'!$C$1:$G$99999,5,FALSE)</f>
        <v>NELSON ARIANE</v>
      </c>
      <c r="O11" s="179" t="s">
        <v>194</v>
      </c>
      <c r="P11" s="153" t="s">
        <v>832</v>
      </c>
      <c r="Q11" s="31"/>
      <c r="R11" s="96" t="str">
        <f>VLOOKUP(C11,'Train Runs'!$A$13:$AE$9965,31,0)</f>
        <v>aws s3 cp s3://rtdc.mdm.uploadarchive.raw/RTDC4041/ "%USERPROFILE%\AppData\Local\Temp\OnboardLogs"\RTDC4041\2017-01-10 --exclude "*" --recursive --include "*20170110*" &amp; "%USERPROFILE%\Documents\GitHub\mrs-test-scripts\Headless Mode &amp; Sideloading\WalkAndUnGZ.bat" "%USERPROFILE%\AppData\Local\Temp\OnboardLogs"\RTDC4041\2017-01-10 &amp; aws s3 cp s3://rtdc.mdm.uploadarchive.raw/RTDC4041/ "%USERPROFILE%\AppData\Local\Temp\OnboardLogs"\RTDC4041\2017-01-11 --exclude "*" --recursive --include "*20170111*" &amp; "%USERPROFILE%\Documents\GitHub\mrs-test-scripts\Headless Mode &amp; Sideloading\WalkAndUnGZ.bat" "%USERPROFILE%\AppData\Local\Temp\OnboardLogs"\RTDC4041\2017-01-11</v>
      </c>
      <c r="S11" s="99" t="str">
        <f>VLOOKUP(C11,'Train Runs'!$A$13:$AE$9965,22,0)</f>
        <v>https://search-rtdc-monitor-bjffxe2xuh6vdkpspy63sjmuny.us-east-1.es.amazonaws.com/_plugin/kibana/#/discover/Steve-Slow-Train-Analysis-(2080s-and-2083s)?_g=(refreshInterval:(display:Off,section:0,value:0),time:(from:'2017-01-10 21:51:45-700',mode:absolute,to:'2017-01-11 00:39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11" s="101" t="str">
        <f t="shared" si="1"/>
        <v>"C:\Program Files (x86)\AstroGrep\AstroGrep.exe" /spath="%USERPROFILE%\AppData\Local\Temp\OnboardLogs" /stypes="*4041*201701110*" /stext=" 06:.+((SYSTEM_STATE.+slice.+state.+changed )|(ment ac)|(multiple cpu faults)|(system.+state.+changed )|(\[timeout)|(PRM\|1\|D)|(kpr)|(kdp)|(\|lc)|(penalty))" /e /r /s</v>
      </c>
      <c r="U11" s="9" t="str">
        <f t="shared" si="2"/>
        <v>4041</v>
      </c>
      <c r="V11" s="33">
        <f t="shared" si="3"/>
        <v>42746.266145833331</v>
      </c>
      <c r="W11" s="47" t="str">
        <f t="shared" si="4"/>
        <v>EC</v>
      </c>
      <c r="X11" s="47" t="str">
        <f t="shared" si="5"/>
        <v>KEEP</v>
      </c>
      <c r="Y11" s="115" t="str">
        <f t="shared" si="6"/>
        <v>echo {"issue":{"subject":"Form C","project_id":79,"tracker_id":40,"status_id":1,"priority_id":2,"assigned_to_id":23,"start_date":"2017-01-10","description":"","custom_fields":[{"id":1,"name":"Subdivision","value":"EC"},{"id":4,"name":"Milepost","value":"4.2961"},{"id":17,"name":"Train ID","value":"234-10"},{"id":16,"name":"Locomotive ID","value":"4041"},{"id":130,"name":"Impact","value":""},{"id":150,"name":"Time of Event (Mountain Time)","value":"23:23:15"},{"id":151,"name":"Denver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0"/>
      <c r="AA11" s="50"/>
      <c r="AB11" s="50"/>
      <c r="AC11" s="134" t="str">
        <f t="shared" si="7"/>
        <v>grep -hSE -A400 "Enforcement Action" "%USERPROFILE%\AppData\Local\Temp\OnboardLogs"\RTDC4041\*4041*201701110*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"%USERPROFILE%\AppData\Local\Temp\OnboardLogs"\RTDC4041\*4041*201701110* &gt;&gt; 42745-slicedisagreementcheck.txt</v>
      </c>
      <c r="AE11" s="183" t="str">
        <f t="shared" si="8"/>
        <v>start /low /b %USERPROFILE%\Documents\GitHub\eaglep3\Utilities\DownloadLogsFromS3.py --loco 4041 --day 2017-01-11</v>
      </c>
    </row>
    <row r="12" spans="1:31" s="1" customFormat="1" x14ac:dyDescent="0.25">
      <c r="A12" s="33">
        <v>42745.359016203707</v>
      </c>
      <c r="B12" s="31" t="s">
        <v>431</v>
      </c>
      <c r="C12" s="31" t="s">
        <v>432</v>
      </c>
      <c r="D12" s="31" t="s">
        <v>49</v>
      </c>
      <c r="E12" s="31" t="s">
        <v>233</v>
      </c>
      <c r="F12" s="44">
        <v>270</v>
      </c>
      <c r="G12" s="44">
        <v>347</v>
      </c>
      <c r="H12" s="44">
        <v>59723</v>
      </c>
      <c r="I12" s="44">
        <v>58972</v>
      </c>
      <c r="J12" s="31" t="s">
        <v>234</v>
      </c>
      <c r="K12" s="44">
        <v>58904</v>
      </c>
      <c r="L12" s="150" t="s">
        <v>51</v>
      </c>
      <c r="M12" s="151">
        <f t="shared" si="0"/>
        <v>35.904000000000003</v>
      </c>
      <c r="N12" s="152" t="str">
        <f>VLOOKUP(C12,'Trips&amp;Operators'!$C$1:$G$99999,5,FALSE)</f>
        <v>DUNCAN SHEILA</v>
      </c>
      <c r="O12" s="179" t="s">
        <v>194</v>
      </c>
      <c r="P12" s="153" t="s">
        <v>832</v>
      </c>
      <c r="Q12" s="31"/>
      <c r="R12" s="96" t="str">
        <f>VLOOKUP(C12,'Train Runs'!$A$13:$AE$9965,31,0)</f>
        <v>aws s3 cp s3://rtdc.mdm.uploadarchive.raw/RTDC4017/ "%USERPROFILE%\AppData\Local\Temp\OnboardLogs"\RTDC4017\2017-01-10 --exclude "*" --recursive --include "*20170110*" &amp; "%USERPROFILE%\Documents\GitHub\mrs-test-scripts\Headless Mode &amp; Sideloading\WalkAndUnGZ.bat" "%USERPROFILE%\AppData\Local\Temp\OnboardLogs"\RTDC4017\2017-01-10 &amp; aws s3 cp s3://rtdc.mdm.uploadarchive.raw/RTDC4017/ "%USERPROFILE%\AppData\Local\Temp\OnboardLogs"\RTDC4017\2017-01-11 --exclude "*" --recursive --include "*20170111*" &amp; "%USERPROFILE%\Documents\GitHub\mrs-test-scripts\Headless Mode &amp; Sideloading\WalkAndUnGZ.bat" "%USERPROFILE%\AppData\Local\Temp\OnboardLogs"\RTDC4017\2017-01-11</v>
      </c>
      <c r="S12" s="99" t="str">
        <f>VLOOKUP(C12,'Train Runs'!$A$13:$AE$9965,22,0)</f>
        <v>https://search-rtdc-monitor-bjffxe2xuh6vdkpspy63sjmuny.us-east-1.es.amazonaws.com/_plugin/kibana/#/discover/Steve-Slow-Train-Analysis-(2080s-and-2083s)?_g=(refreshInterval:(display:Off,section:0,value:0),time:(from:'2017-01-10 06:54:52-700',mode:absolute,to:'2017-01-10 09:51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12" s="101" t="str">
        <f t="shared" si="1"/>
        <v>"C:\Program Files (x86)\AstroGrep\AstroGrep.exe" /spath="%USERPROFILE%\AppData\Local\Temp\OnboardLogs" /stypes="*4017*201701101*" /stext=" 15:.+((SYSTEM_STATE.+slice.+state.+changed )|(ment ac)|(multiple cpu faults)|(system.+state.+changed )|(\[timeout)|(PRM\|1\|D)|(kpr)|(kdp)|(\|lc)|(penalty))" /e /r /s</v>
      </c>
      <c r="U12" s="9" t="str">
        <f t="shared" si="2"/>
        <v>4017</v>
      </c>
      <c r="V12" s="33">
        <f t="shared" si="3"/>
        <v>42745.650682870371</v>
      </c>
      <c r="W12" s="47" t="str">
        <f t="shared" si="4"/>
        <v>EC</v>
      </c>
      <c r="X12" s="47" t="str">
        <f t="shared" si="5"/>
        <v>KEEP</v>
      </c>
      <c r="Y12" s="115" t="str">
        <f t="shared" si="6"/>
        <v>echo {"issue":{"subject":"Form C","project_id":79,"tracker_id":40,"status_id":1,"priority_id":2,"assigned_to_id":23,"start_date":"2017-01-10","description":"","custom_fields":[{"id":1,"name":"Subdivision","value":"EC"},{"id":4,"name":"Milepost","value":"5.8904"},{"id":17,"name":"Train ID","value":"130-10"},{"id":16,"name":"Locomotive ID","value":"4017"},{"id":130,"name":"Impact","value":""},{"id":150,"name":"Time of Event (Mountain Time)","value":"08:36:59"},{"id":151,"name":"Denver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0"/>
      <c r="AA12" s="50"/>
      <c r="AB12" s="50"/>
      <c r="AC12" s="134" t="str">
        <f t="shared" si="7"/>
        <v>grep -hSE -A400 "Enforcement Action" "%USERPROFILE%\AppData\Local\Temp\OnboardLogs"\RTDC4017\*4017*201701101*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"%USERPROFILE%\AppData\Local\Temp\OnboardLogs"\RTDC4017\*4017*201701101* &gt;&gt; 42745-slicedisagreementcheck.txt</v>
      </c>
      <c r="AE12" s="183" t="str">
        <f t="shared" si="8"/>
        <v>start /low /b %USERPROFILE%\Documents\GitHub\eaglep3\Utilities\DownloadLogsFromS3.py --loco 4017 --day 2017-01-10</v>
      </c>
    </row>
    <row r="13" spans="1:31" s="1" customFormat="1" x14ac:dyDescent="0.25">
      <c r="A13" s="33">
        <v>42745.513831018521</v>
      </c>
      <c r="B13" s="31" t="s">
        <v>313</v>
      </c>
      <c r="C13" s="31" t="s">
        <v>436</v>
      </c>
      <c r="D13" s="31" t="s">
        <v>98</v>
      </c>
      <c r="E13" s="31" t="s">
        <v>297</v>
      </c>
      <c r="F13" s="44">
        <v>600</v>
      </c>
      <c r="G13" s="44">
        <v>651</v>
      </c>
      <c r="H13" s="44">
        <v>184187</v>
      </c>
      <c r="I13" s="44">
        <v>181028</v>
      </c>
      <c r="J13" s="31" t="s">
        <v>298</v>
      </c>
      <c r="K13" s="44">
        <v>190834</v>
      </c>
      <c r="L13" s="150" t="s">
        <v>51</v>
      </c>
      <c r="M13" s="151">
        <f t="shared" si="0"/>
        <v>-5177.5680000000002</v>
      </c>
      <c r="N13" s="152" t="str">
        <f>VLOOKUP(C13,'Trips&amp;Operators'!$C$1:$G$99999,5,FALSE)</f>
        <v>YANG JAN</v>
      </c>
      <c r="O13" s="179" t="s">
        <v>194</v>
      </c>
      <c r="P13" s="153"/>
      <c r="Q13" s="31"/>
      <c r="R13" s="96" t="str">
        <f>VLOOKUP(C13,'Train Runs'!$A$13:$AE$9965,31,0)</f>
        <v>aws s3 cp s3://rtdc.mdm.uploadarchive.raw/RTDC4019/ "%USERPROFILE%\AppData\Local\Temp\OnboardLogs"\RTDC4019\2017-01-10 --exclude "*" --recursive --include "*20170110*" &amp; "%USERPROFILE%\Documents\GitHub\mrs-test-scripts\Headless Mode &amp; Sideloading\WalkAndUnGZ.bat" "%USERPROFILE%\AppData\Local\Temp\OnboardLogs"\RTDC4019\2017-01-10 &amp; aws s3 cp s3://rtdc.mdm.uploadarchive.raw/RTDC4019/ "%USERPROFILE%\AppData\Local\Temp\OnboardLogs"\RTDC4019\2017-01-11 --exclude "*" --recursive --include "*20170111*" &amp; "%USERPROFILE%\Documents\GitHub\mrs-test-scripts\Headless Mode &amp; Sideloading\WalkAndUnGZ.bat" "%USERPROFILE%\AppData\Local\Temp\OnboardLogs"\RTDC4019\2017-01-11</v>
      </c>
      <c r="S13" s="99" t="str">
        <f>VLOOKUP(C13,'Train Runs'!$A$13:$AE$9965,22,0)</f>
        <v>https://search-rtdc-monitor-bjffxe2xuh6vdkpspy63sjmuny.us-east-1.es.amazonaws.com/_plugin/kibana/#/discover/Steve-Slow-Train-Analysis-(2080s-and-2083s)?_g=(refreshInterval:(display:Off,section:0,value:0),time:(from:'2017-01-10 11:05:58-700',mode:absolute,to:'2017-01-10 13:58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13" s="101" t="str">
        <f t="shared" si="1"/>
        <v>"C:\Program Files (x86)\AstroGrep\AstroGrep.exe" /spath="%USERPROFILE%\AppData\Local\Temp\OnboardLogs" /stypes="*4019*201701101*" /stext=" 19:.+((SYSTEM_STATE.+slice.+state.+changed )|(ment ac)|(multiple cpu faults)|(system.+state.+changed )|(\[timeout)|(PRM\|1\|D)|(kpr)|(kdp)|(\|lc)|(penalty))" /e /r /s</v>
      </c>
      <c r="U13" s="9" t="str">
        <f t="shared" si="2"/>
        <v>4019</v>
      </c>
      <c r="V13" s="33">
        <f t="shared" si="3"/>
        <v>42745.805497685185</v>
      </c>
      <c r="W13" s="47" t="str">
        <f t="shared" si="4"/>
        <v>EC</v>
      </c>
      <c r="X13" s="47" t="str">
        <f t="shared" si="5"/>
        <v>KEEP</v>
      </c>
      <c r="Y13" s="115" t="str">
        <f t="shared" si="6"/>
        <v>echo {"issue":{"subject":"","project_id":79,"tracker_id":40,"status_id":1,"priority_id":2,"assigned_to_id":23,"start_date":"2017-01-10","description":"","custom_fields":[{"id":1,"name":"Subdivision","value":"EC"},{"id":4,"name":"Milepost","value":"19.0834"},{"id":17,"name":"Train ID","value":"162-10"},{"id":16,"name":"Locomotive ID","value":"4019"},{"id":130,"name":"Impact","value":""},{"id":150,"name":"Time of Event (Mountain Time)","value":"12:19:55"},{"id":151,"name":"Denver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0"/>
      <c r="AA13" s="50"/>
      <c r="AB13" s="50"/>
      <c r="AC13" s="134" t="str">
        <f t="shared" si="7"/>
        <v>grep -hSE -A400 "Enforcement Action" "%USERPROFILE%\AppData\Local\Temp\OnboardLogs"\RTDC4019\*4019*201701101*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"%USERPROFILE%\AppData\Local\Temp\OnboardLogs"\RTDC4019\*4019*201701101* &gt;&gt; 42745-slicedisagreementcheck.txt</v>
      </c>
      <c r="AE13" s="183" t="str">
        <f t="shared" si="8"/>
        <v>start /low /b %USERPROFILE%\Documents\GitHub\eaglep3\Utilities\DownloadLogsFromS3.py --loco 4019 --day 2017-01-10</v>
      </c>
    </row>
    <row r="14" spans="1:31" s="1" customFormat="1" x14ac:dyDescent="0.25">
      <c r="A14" s="33">
        <v>42745.237673611111</v>
      </c>
      <c r="B14" s="31" t="s">
        <v>294</v>
      </c>
      <c r="C14" s="31" t="s">
        <v>427</v>
      </c>
      <c r="D14" s="31" t="s">
        <v>98</v>
      </c>
      <c r="E14" s="31" t="s">
        <v>297</v>
      </c>
      <c r="F14" s="44">
        <v>150</v>
      </c>
      <c r="G14" s="44">
        <v>203</v>
      </c>
      <c r="H14" s="44">
        <v>231073</v>
      </c>
      <c r="I14" s="44">
        <v>230755</v>
      </c>
      <c r="J14" s="31" t="s">
        <v>298</v>
      </c>
      <c r="K14" s="44">
        <v>231269</v>
      </c>
      <c r="L14" s="150" t="s">
        <v>51</v>
      </c>
      <c r="M14" s="151">
        <f t="shared" si="0"/>
        <v>-271.392</v>
      </c>
      <c r="N14" s="152" t="str">
        <f>VLOOKUP(C14,'Trips&amp;Operators'!$C$1:$G$99999,5,FALSE)</f>
        <v>DAVIS WENDY</v>
      </c>
      <c r="O14" s="179" t="s">
        <v>194</v>
      </c>
      <c r="P14" s="153"/>
      <c r="Q14" s="31"/>
      <c r="R14" s="96" t="str">
        <f>VLOOKUP(C14,'Train Runs'!$A$13:$AE$9965,31,0)</f>
        <v>aws s3 cp s3://rtdc.mdm.uploadarchive.raw/RTDC4032/ "%USERPROFILE%\AppData\Local\Temp\OnboardLogs"\RTDC4032\2017-01-10 --exclude "*" --recursive --include "*20170110*" &amp; "%USERPROFILE%\Documents\GitHub\mrs-test-scripts\Headless Mode &amp; Sideloading\WalkAndUnGZ.bat" "%USERPROFILE%\AppData\Local\Temp\OnboardLogs"\RTDC4032\2017-01-10 &amp; aws s3 cp s3://rtdc.mdm.uploadarchive.raw/RTDC4032/ "%USERPROFILE%\AppData\Local\Temp\OnboardLogs"\RTDC4032\2017-01-11 --exclude "*" --recursive --include "*20170111*" &amp; "%USERPROFILE%\Documents\GitHub\mrs-test-scripts\Headless Mode &amp; Sideloading\WalkAndUnGZ.bat" "%USERPROFILE%\AppData\Local\Temp\OnboardLogs"\RTDC4032\2017-01-11</v>
      </c>
      <c r="S14" s="99" t="str">
        <f>VLOOKUP(C14,'Train Runs'!$A$13:$AE$9965,22,0)</f>
        <v>https://search-rtdc-monitor-bjffxe2xuh6vdkpspy63sjmuny.us-east-1.es.amazonaws.com/_plugin/kibana/#/discover/Steve-Slow-Train-Analysis-(2080s-and-2083s)?_g=(refreshInterval:(display:Off,section:0,value:0),time:(from:'2017-01-10 04:36:56-700',mode:absolute,to:'2017-01-10 07:22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14" s="101" t="str">
        <f t="shared" si="1"/>
        <v>"C:\Program Files (x86)\AstroGrep\AstroGrep.exe" /spath="%USERPROFILE%\AppData\Local\Temp\OnboardLogs" /stypes="*4032*201701101*" /stext=" 12:.+((SYSTEM_STATE.+slice.+state.+changed )|(ment ac)|(multiple cpu faults)|(system.+state.+changed )|(\[timeout)|(PRM\|1\|D)|(kpr)|(kdp)|(\|lc)|(penalty))" /e /r /s</v>
      </c>
      <c r="U14" s="9" t="str">
        <f t="shared" si="2"/>
        <v>4032</v>
      </c>
      <c r="V14" s="33">
        <f t="shared" si="3"/>
        <v>42745.529340277775</v>
      </c>
      <c r="W14" s="47" t="str">
        <f t="shared" si="4"/>
        <v>EC</v>
      </c>
      <c r="X14" s="47" t="str">
        <f t="shared" si="5"/>
        <v>KEEP</v>
      </c>
      <c r="Y14" s="115" t="str">
        <f t="shared" si="6"/>
        <v>echo {"issue":{"subject":"","project_id":79,"tracker_id":40,"status_id":1,"priority_id":2,"assigned_to_id":23,"start_date":"2017-01-10","description":"","custom_fields":[{"id":1,"name":"Subdivision","value":"EC"},{"id":4,"name":"Milepost","value":"23.1269"},{"id":17,"name":"Train ID","value":"110-10"},{"id":16,"name":"Locomotive ID","value":"4032"},{"id":130,"name":"Impact","value":""},{"id":150,"name":"Time of Event (Mountain Time)","value":"05:42:15"},{"id":151,"name":"Denver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0"/>
      <c r="AA14" s="50"/>
      <c r="AB14" s="50"/>
      <c r="AC14" s="134" t="str">
        <f t="shared" si="7"/>
        <v>grep -hSE -A400 "Enforcement Action" "%USERPROFILE%\AppData\Local\Temp\OnboardLogs"\RTDC4032\*4032*201701101*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"%USERPROFILE%\AppData\Local\Temp\OnboardLogs"\RTDC4032\*4032*201701101* &gt;&gt; 42745-slicedisagreementcheck.txt</v>
      </c>
      <c r="AE14" s="183" t="str">
        <f t="shared" si="8"/>
        <v>start /low /b %USERPROFILE%\Documents\GitHub\eaglep3\Utilities\DownloadLogsFromS3.py --loco 4032 --day 2017-01-10</v>
      </c>
    </row>
    <row r="15" spans="1:31" s="1" customFormat="1" x14ac:dyDescent="0.25">
      <c r="A15" s="33">
        <v>42745.685127314813</v>
      </c>
      <c r="B15" s="31" t="s">
        <v>313</v>
      </c>
      <c r="C15" s="31" t="s">
        <v>445</v>
      </c>
      <c r="D15" s="31" t="s">
        <v>49</v>
      </c>
      <c r="E15" s="31" t="s">
        <v>195</v>
      </c>
      <c r="F15" s="44">
        <v>0</v>
      </c>
      <c r="G15" s="44">
        <v>101</v>
      </c>
      <c r="H15" s="44">
        <v>20964</v>
      </c>
      <c r="I15" s="44">
        <v>20846</v>
      </c>
      <c r="J15" s="31" t="s">
        <v>196</v>
      </c>
      <c r="K15" s="44">
        <v>20632</v>
      </c>
      <c r="L15" s="150" t="s">
        <v>51</v>
      </c>
      <c r="M15" s="151">
        <f t="shared" si="0"/>
        <v>112.992</v>
      </c>
      <c r="N15" s="152" t="str">
        <f>VLOOKUP(C15,'Trips&amp;Operators'!$C$1:$G$99999,5,FALSE)</f>
        <v>YANG JAN</v>
      </c>
      <c r="O15" s="179" t="s">
        <v>299</v>
      </c>
      <c r="P15" s="153" t="s">
        <v>925</v>
      </c>
      <c r="Q15" s="31"/>
      <c r="R15" s="96" t="str">
        <f>VLOOKUP(C15,'Train Runs'!$A$13:$AE$9965,31,0)</f>
        <v>aws s3 cp s3://rtdc.mdm.uploadarchive.raw/RTDC4019/ "%USERPROFILE%\AppData\Local\Temp\OnboardLogs"\RTDC4019\2017-01-10 --exclude "*" --recursive --include "*20170110*" &amp; "%USERPROFILE%\Documents\GitHub\mrs-test-scripts\Headless Mode &amp; Sideloading\WalkAndUnGZ.bat" "%USERPROFILE%\AppData\Local\Temp\OnboardLogs"\RTDC4019\2017-01-10 &amp; aws s3 cp s3://rtdc.mdm.uploadarchive.raw/RTDC4019/ "%USERPROFILE%\AppData\Local\Temp\OnboardLogs"\RTDC4019\2017-01-11 --exclude "*" --recursive --include "*20170111*" &amp; "%USERPROFILE%\Documents\GitHub\mrs-test-scripts\Headless Mode &amp; Sideloading\WalkAndUnGZ.bat" "%USERPROFILE%\AppData\Local\Temp\OnboardLogs"\RTDC4019\2017-01-11</v>
      </c>
      <c r="S15" s="99" t="str">
        <f>VLOOKUP(C15,'Train Runs'!$A$13:$AE$9965,22,0)</f>
        <v>https://search-rtdc-monitor-bjffxe2xuh6vdkpspy63sjmuny.us-east-1.es.amazonaws.com/_plugin/kibana/#/discover/Steve-Slow-Train-Analysis-(2080s-and-2083s)?_g=(refreshInterval:(display:Off,section:0,value:0),time:(from:'2017-01-10 14:26:26-700',mode:absolute,to:'2017-01-10 17:38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15" s="101" t="str">
        <f t="shared" si="1"/>
        <v>"C:\Program Files (x86)\AstroGrep\AstroGrep.exe" /spath="%USERPROFILE%\AppData\Local\Temp\OnboardLogs" /stypes="*4019*201701102*" /stext=" 23:.+((SYSTEM_STATE.+slice.+state.+changed )|(ment ac)|(multiple cpu faults)|(system.+state.+changed )|(\[timeout)|(PRM\|1\|D)|(kpr)|(kdp)|(\|lc)|(penalty))" /e /r /s</v>
      </c>
      <c r="U15" s="9" t="str">
        <f t="shared" si="2"/>
        <v>4019</v>
      </c>
      <c r="V15" s="33">
        <f t="shared" si="3"/>
        <v>42745.976793981477</v>
      </c>
      <c r="W15" s="47" t="str">
        <f t="shared" si="4"/>
        <v>EC</v>
      </c>
      <c r="X15" s="47" t="str">
        <f t="shared" si="5"/>
        <v>KEEP</v>
      </c>
      <c r="Y15" s="115" t="str">
        <f t="shared" si="6"/>
        <v>echo {"issue":{"subject":"EC0386RH offline due to maintenance to mitigate crossing gate / OCS contact @ Dahlia","project_id":79,"tracker_id":40,"status_id":1,"priority_id":2,"assigned_to_id":23,"start_date":"2017-01-10","description":"","custom_fields":[{"id":1,"name":"Subdivision","value":"EC"},{"id":4,"name":"Milepost","value":"2.0632"},{"id":17,"name":"Train ID","value":"190-10"},{"id":16,"name":"Locomotive ID","value":"4019"},{"id":130,"name":"Impact","value":""},{"id":150,"name":"Time of Event (Mountain Time)","value":"16:26:35"},{"id":151,"name":"Denver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0"/>
      <c r="AA15" s="50"/>
      <c r="AB15" s="50"/>
      <c r="AC15" s="134" t="str">
        <f t="shared" si="7"/>
        <v>grep -hSE -A400 "Enforcement Action" "%USERPROFILE%\AppData\Local\Temp\OnboardLogs"\RTDC4019\*4019*201701102*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"%USERPROFILE%\AppData\Local\Temp\OnboardLogs"\RTDC4019\*4019*201701102* &gt;&gt; 42745-slicedisagreementcheck.txt</v>
      </c>
      <c r="AE15" s="183" t="str">
        <f t="shared" si="8"/>
        <v>start /low /b %USERPROFILE%\Documents\GitHub\eaglep3\Utilities\DownloadLogsFromS3.py --loco 4019 --day 2017-01-10</v>
      </c>
    </row>
    <row r="16" spans="1:31" s="1" customFormat="1" x14ac:dyDescent="0.25">
      <c r="A16" s="33">
        <v>42745.68074074074</v>
      </c>
      <c r="B16" s="31" t="s">
        <v>313</v>
      </c>
      <c r="C16" s="31" t="s">
        <v>445</v>
      </c>
      <c r="D16" s="31" t="s">
        <v>49</v>
      </c>
      <c r="E16" s="31" t="s">
        <v>195</v>
      </c>
      <c r="F16" s="44">
        <v>0</v>
      </c>
      <c r="G16" s="44">
        <v>40</v>
      </c>
      <c r="H16" s="44">
        <v>36747</v>
      </c>
      <c r="I16" s="44">
        <v>36698</v>
      </c>
      <c r="J16" s="31" t="s">
        <v>196</v>
      </c>
      <c r="K16" s="44">
        <v>36657</v>
      </c>
      <c r="L16" s="150" t="s">
        <v>51</v>
      </c>
      <c r="M16" s="151">
        <f t="shared" si="0"/>
        <v>21.648000000000003</v>
      </c>
      <c r="N16" s="152" t="str">
        <f>VLOOKUP(C16,'Trips&amp;Operators'!$C$1:$G$99999,5,FALSE)</f>
        <v>YANG JAN</v>
      </c>
      <c r="O16" s="179" t="s">
        <v>299</v>
      </c>
      <c r="P16" s="153" t="s">
        <v>925</v>
      </c>
      <c r="Q16" s="31"/>
      <c r="R16" s="96" t="str">
        <f>VLOOKUP(C16,'Train Runs'!$A$13:$AE$9965,31,0)</f>
        <v>aws s3 cp s3://rtdc.mdm.uploadarchive.raw/RTDC4019/ "%USERPROFILE%\AppData\Local\Temp\OnboardLogs"\RTDC4019\2017-01-10 --exclude "*" --recursive --include "*20170110*" &amp; "%USERPROFILE%\Documents\GitHub\mrs-test-scripts\Headless Mode &amp; Sideloading\WalkAndUnGZ.bat" "%USERPROFILE%\AppData\Local\Temp\OnboardLogs"\RTDC4019\2017-01-10 &amp; aws s3 cp s3://rtdc.mdm.uploadarchive.raw/RTDC4019/ "%USERPROFILE%\AppData\Local\Temp\OnboardLogs"\RTDC4019\2017-01-11 --exclude "*" --recursive --include "*20170111*" &amp; "%USERPROFILE%\Documents\GitHub\mrs-test-scripts\Headless Mode &amp; Sideloading\WalkAndUnGZ.bat" "%USERPROFILE%\AppData\Local\Temp\OnboardLogs"\RTDC4019\2017-01-11</v>
      </c>
      <c r="S16" s="99" t="str">
        <f>VLOOKUP(C16,'Train Runs'!$A$13:$AE$9965,22,0)</f>
        <v>https://search-rtdc-monitor-bjffxe2xuh6vdkpspy63sjmuny.us-east-1.es.amazonaws.com/_plugin/kibana/#/discover/Steve-Slow-Train-Analysis-(2080s-and-2083s)?_g=(refreshInterval:(display:Off,section:0,value:0),time:(from:'2017-01-10 14:26:26-700',mode:absolute,to:'2017-01-10 17:38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16" s="101" t="str">
        <f t="shared" si="1"/>
        <v>"C:\Program Files (x86)\AstroGrep\AstroGrep.exe" /spath="%USERPROFILE%\AppData\Local\Temp\OnboardLogs" /stypes="*4019*201701102*" /stext=" 23:.+((SYSTEM_STATE.+slice.+state.+changed )|(ment ac)|(multiple cpu faults)|(system.+state.+changed )|(\[timeout)|(PRM\|1\|D)|(kpr)|(kdp)|(\|lc)|(penalty))" /e /r /s</v>
      </c>
      <c r="U16" s="9" t="str">
        <f t="shared" si="2"/>
        <v>4019</v>
      </c>
      <c r="V16" s="33">
        <f t="shared" si="3"/>
        <v>42745.972407407404</v>
      </c>
      <c r="W16" s="47" t="str">
        <f t="shared" si="4"/>
        <v>EC</v>
      </c>
      <c r="X16" s="47" t="str">
        <f t="shared" si="5"/>
        <v>KEEP</v>
      </c>
      <c r="Y16" s="115" t="str">
        <f t="shared" si="6"/>
        <v>echo {"issue":{"subject":"EC0386RH offline due to maintenance to mitigate crossing gate / OCS contact @ Dahlia","project_id":79,"tracker_id":40,"status_id":1,"priority_id":2,"assigned_to_id":23,"start_date":"2017-01-10","description":"","custom_fields":[{"id":1,"name":"Subdivision","value":"EC"},{"id":4,"name":"Milepost","value":"3.6657"},{"id":17,"name":"Train ID","value":"190-10"},{"id":16,"name":"Locomotive ID","value":"4019"},{"id":130,"name":"Impact","value":""},{"id":150,"name":"Time of Event (Mountain Time)","value":"16:20:16"},{"id":151,"name":"Denver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0"/>
      <c r="AA16" s="50"/>
      <c r="AB16" s="50"/>
      <c r="AC16" s="134" t="str">
        <f t="shared" si="7"/>
        <v>grep -hSE -A400 "Enforcement Action" "%USERPROFILE%\AppData\Local\Temp\OnboardLogs"\RTDC4019\*4019*201701102*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"%USERPROFILE%\AppData\Local\Temp\OnboardLogs"\RTDC4019\*4019*201701102* &gt;&gt; 42745-slicedisagreementcheck.txt</v>
      </c>
      <c r="AE16" s="183" t="str">
        <f t="shared" si="8"/>
        <v>start /low /b %USERPROFILE%\Documents\GitHub\eaglep3\Utilities\DownloadLogsFromS3.py --loco 4019 --day 2017-01-10</v>
      </c>
    </row>
    <row r="17" spans="1:32" s="1" customFormat="1" x14ac:dyDescent="0.25">
      <c r="A17" s="33">
        <v>42745.656388888892</v>
      </c>
      <c r="B17" s="31" t="s">
        <v>377</v>
      </c>
      <c r="C17" s="31" t="s">
        <v>442</v>
      </c>
      <c r="D17" s="31" t="s">
        <v>49</v>
      </c>
      <c r="E17" s="31" t="s">
        <v>195</v>
      </c>
      <c r="F17" s="44">
        <v>0</v>
      </c>
      <c r="G17" s="44">
        <v>30</v>
      </c>
      <c r="H17" s="44">
        <v>38566</v>
      </c>
      <c r="I17" s="44">
        <v>38585</v>
      </c>
      <c r="J17" s="31" t="s">
        <v>196</v>
      </c>
      <c r="K17" s="44">
        <v>38639</v>
      </c>
      <c r="L17" s="150" t="s">
        <v>50</v>
      </c>
      <c r="M17" s="151">
        <f t="shared" si="0"/>
        <v>28.512</v>
      </c>
      <c r="N17" s="152" t="str">
        <f>VLOOKUP(C17,'Trips&amp;Operators'!$C$1:$G$99999,5,FALSE)</f>
        <v>MAHAN DUANE</v>
      </c>
      <c r="O17" s="179" t="s">
        <v>299</v>
      </c>
      <c r="P17" s="153" t="s">
        <v>925</v>
      </c>
      <c r="Q17" s="31"/>
      <c r="R17" s="96" t="str">
        <f>VLOOKUP(C17,'Train Runs'!$A$13:$AE$9965,31,0)</f>
        <v>aws s3 cp s3://rtdc.mdm.uploadarchive.raw/RTDC4016/ "%USERPROFILE%\AppData\Local\Temp\OnboardLogs"\RTDC4016\2017-01-10 --exclude "*" --recursive --include "*20170110*" &amp; "%USERPROFILE%\Documents\GitHub\mrs-test-scripts\Headless Mode &amp; Sideloading\WalkAndUnGZ.bat" "%USERPROFILE%\AppData\Local\Temp\OnboardLogs"\RTDC4016\2017-01-10 &amp; aws s3 cp s3://rtdc.mdm.uploadarchive.raw/RTDC4016/ "%USERPROFILE%\AppData\Local\Temp\OnboardLogs"\RTDC4016\2017-01-11 --exclude "*" --recursive --include "*20170111*" &amp; "%USERPROFILE%\Documents\GitHub\mrs-test-scripts\Headless Mode &amp; Sideloading\WalkAndUnGZ.bat" "%USERPROFILE%\AppData\Local\Temp\OnboardLogs"\RTDC4016\2017-01-11</v>
      </c>
      <c r="S17" s="99" t="str">
        <f>VLOOKUP(C17,'Train Runs'!$A$13:$AE$9965,22,0)</f>
        <v>https://search-rtdc-monitor-bjffxe2xuh6vdkpspy63sjmuny.us-east-1.es.amazonaws.com/_plugin/kibana/#/discover/Steve-Slow-Train-Analysis-(2080s-and-2083s)?_g=(refreshInterval:(display:Off,section:0,value:0),time:(from:'2017-01-10 14:30:31-700',mode:absolute,to:'2017-01-10 16:45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17" s="101" t="str">
        <f t="shared" si="1"/>
        <v>"C:\Program Files (x86)\AstroGrep\AstroGrep.exe" /spath="%USERPROFILE%\AppData\Local\Temp\OnboardLogs" /stypes="*4016*201701102*" /stext=" 22:.+((SYSTEM_STATE.+slice.+state.+changed )|(ment ac)|(multiple cpu faults)|(system.+state.+changed )|(\[timeout)|(PRM\|1\|D)|(kpr)|(kdp)|(\|lc)|(penalty))" /e /r /s</v>
      </c>
      <c r="U17" s="9" t="str">
        <f t="shared" si="2"/>
        <v>4016</v>
      </c>
      <c r="V17" s="33">
        <f t="shared" si="3"/>
        <v>42745.948055555556</v>
      </c>
      <c r="W17" s="47" t="str">
        <f t="shared" si="4"/>
        <v>EC</v>
      </c>
      <c r="X17" s="47" t="str">
        <f t="shared" si="5"/>
        <v>KEEP</v>
      </c>
      <c r="Y17" s="115" t="str">
        <f t="shared" si="6"/>
        <v>echo {"issue":{"subject":"EC0386RH offline due to maintenance to mitigate crossing gate / OCS contact @ Dahlia","project_id":79,"tracker_id":40,"status_id":1,"priority_id":2,"assigned_to_id":23,"start_date":"2017-01-10","description":"","custom_fields":[{"id":1,"name":"Subdivision","value":"EC"},{"id":4,"name":"Milepost","value":"3.8639"},{"id":17,"name":"Train ID","value":"195-10"},{"id":16,"name":"Locomotive ID","value":"4016"},{"id":130,"name":"Impact","value":""},{"id":150,"name":"Time of Event (Mountain Time)","value":"15:45:12"},{"id":151,"name":"Denver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0"/>
      <c r="AA17" s="50"/>
      <c r="AB17" s="50"/>
      <c r="AC17" s="134" t="str">
        <f t="shared" si="7"/>
        <v>grep -hSE -A400 "Enforcement Action" "%USERPROFILE%\AppData\Local\Temp\OnboardLogs"\RTDC4016\*4016*201701102*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"%USERPROFILE%\AppData\Local\Temp\OnboardLogs"\RTDC4016\*4016*201701102* &gt;&gt; 42745-slicedisagreementcheck.txt</v>
      </c>
      <c r="AE17" s="183" t="str">
        <f t="shared" si="8"/>
        <v>start /low /b %USERPROFILE%\Documents\GitHub\eaglep3\Utilities\DownloadLogsFromS3.py --loco 4016 --day 2017-01-10</v>
      </c>
    </row>
    <row r="18" spans="1:32" x14ac:dyDescent="0.25">
      <c r="A18" s="33">
        <v>42745.676574074074</v>
      </c>
      <c r="B18" s="31" t="s">
        <v>326</v>
      </c>
      <c r="C18" s="31" t="s">
        <v>444</v>
      </c>
      <c r="D18" s="31" t="s">
        <v>49</v>
      </c>
      <c r="E18" s="31" t="s">
        <v>195</v>
      </c>
      <c r="F18" s="44">
        <v>0</v>
      </c>
      <c r="G18" s="44">
        <v>69</v>
      </c>
      <c r="H18" s="44">
        <v>38900</v>
      </c>
      <c r="I18" s="44">
        <v>38806</v>
      </c>
      <c r="J18" s="31" t="s">
        <v>196</v>
      </c>
      <c r="K18" s="44">
        <v>38656</v>
      </c>
      <c r="L18" s="150" t="s">
        <v>51</v>
      </c>
      <c r="M18" s="151">
        <f t="shared" si="0"/>
        <v>79.2</v>
      </c>
      <c r="N18" s="152" t="str">
        <f>VLOOKUP(C18,'Trips&amp;Operators'!$C$1:$G$99999,5,FALSE)</f>
        <v>DAVIS MICHAEL</v>
      </c>
      <c r="O18" s="179" t="s">
        <v>299</v>
      </c>
      <c r="P18" s="153" t="s">
        <v>925</v>
      </c>
      <c r="Q18" s="31"/>
      <c r="R18" s="96" t="str">
        <f>VLOOKUP(C18,'Train Runs'!$A$13:$AE$9965,31,0)</f>
        <v>aws s3 cp s3://rtdc.mdm.uploadarchive.raw/RTDC4026/ "%USERPROFILE%\AppData\Local\Temp\OnboardLogs"\RTDC4026\2017-01-10 --exclude "*" --recursive --include "*20170110*" &amp; "%USERPROFILE%\Documents\GitHub\mrs-test-scripts\Headless Mode &amp; Sideloading\WalkAndUnGZ.bat" "%USERPROFILE%\AppData\Local\Temp\OnboardLogs"\RTDC4026\2017-01-10 &amp; aws s3 cp s3://rtdc.mdm.uploadarchive.raw/RTDC4026/ "%USERPROFILE%\AppData\Local\Temp\OnboardLogs"\RTDC4026\2017-01-11 --exclude "*" --recursive --include "*20170111*" &amp; "%USERPROFILE%\Documents\GitHub\mrs-test-scripts\Headless Mode &amp; Sideloading\WalkAndUnGZ.bat" "%USERPROFILE%\AppData\Local\Temp\OnboardLogs"\RTDC4026\2017-01-11</v>
      </c>
      <c r="S18" s="99" t="str">
        <f>VLOOKUP(C18,'Train Runs'!$A$13:$AE$9965,22,0)</f>
        <v>https://search-rtdc-monitor-bjffxe2xuh6vdkpspy63sjmuny.us-east-1.es.amazonaws.com/_plugin/kibana/#/discover/Steve-Slow-Train-Analysis-(2080s-and-2083s)?_g=(refreshInterval:(display:Off,section:0,value:0),time:(from:'2017-01-10 15:23:43-700',mode:absolute,to:'2017-01-10 17:39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18" s="101" t="str">
        <f t="shared" si="1"/>
        <v>"C:\Program Files (x86)\AstroGrep\AstroGrep.exe" /spath="%USERPROFILE%\AppData\Local\Temp\OnboardLogs" /stypes="*4026*201701102*" /stext=" 23:.+((SYSTEM_STATE.+slice.+state.+changed )|(ment ac)|(multiple cpu faults)|(system.+state.+changed )|(\[timeout)|(PRM\|1\|D)|(kpr)|(kdp)|(\|lc)|(penalty))" /e /r /s</v>
      </c>
      <c r="U18" s="9" t="str">
        <f t="shared" si="2"/>
        <v>4026</v>
      </c>
      <c r="V18" s="33">
        <f t="shared" si="3"/>
        <v>42745.968240740738</v>
      </c>
      <c r="W18" s="47" t="str">
        <f t="shared" si="4"/>
        <v>EC</v>
      </c>
      <c r="X18" s="47" t="str">
        <f t="shared" si="5"/>
        <v>KEEP</v>
      </c>
      <c r="Y18" s="115" t="str">
        <f t="shared" si="6"/>
        <v>echo {"issue":{"subject":"EC0386RH offline due to maintenance to mitigate crossing gate / OCS contact @ Dahlia","project_id":79,"tracker_id":40,"status_id":1,"priority_id":2,"assigned_to_id":23,"start_date":"2017-01-10","description":"","custom_fields":[{"id":1,"name":"Subdivision","value":"EC"},{"id":4,"name":"Milepost","value":"3.8656"},{"id":17,"name":"Train ID","value":"188-10"},{"id":16,"name":"Locomotive ID","value":"4026"},{"id":130,"name":"Impact","value":""},{"id":150,"name":"Time of Event (Mountain Time)","value":"16:14:16"},{"id":151,"name":"Denver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0"/>
      <c r="AA18" s="50"/>
      <c r="AB18" s="50"/>
      <c r="AC18" s="134" t="str">
        <f t="shared" si="7"/>
        <v>grep -hSE -A400 "Enforcement Action" "%USERPROFILE%\AppData\Local\Temp\OnboardLogs"\RTDC4026\*4026*201701102*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"%USERPROFILE%\AppData\Local\Temp\OnboardLogs"\RTDC4026\*4026*201701102* &gt;&gt; 42745-slicedisagreementcheck.txt</v>
      </c>
      <c r="AE18" s="183" t="str">
        <f t="shared" si="8"/>
        <v>start /low /b %USERPROFILE%\Documents\GitHub\eaglep3\Utilities\DownloadLogsFromS3.py --loco 4026 --day 2017-01-10</v>
      </c>
      <c r="AF18" s="1"/>
    </row>
    <row r="19" spans="1:32" x14ac:dyDescent="0.25">
      <c r="A19" s="33">
        <v>42745.678981481484</v>
      </c>
      <c r="B19" s="31" t="s">
        <v>313</v>
      </c>
      <c r="C19" s="31" t="s">
        <v>445</v>
      </c>
      <c r="D19" s="31" t="s">
        <v>49</v>
      </c>
      <c r="E19" s="31" t="s">
        <v>195</v>
      </c>
      <c r="F19" s="44">
        <v>0</v>
      </c>
      <c r="G19" s="44">
        <v>86</v>
      </c>
      <c r="H19" s="44">
        <v>38942</v>
      </c>
      <c r="I19" s="44">
        <v>38837</v>
      </c>
      <c r="J19" s="31" t="s">
        <v>196</v>
      </c>
      <c r="K19" s="44">
        <v>38656</v>
      </c>
      <c r="L19" s="150" t="s">
        <v>51</v>
      </c>
      <c r="M19" s="151">
        <f t="shared" si="0"/>
        <v>95.567999999999998</v>
      </c>
      <c r="N19" s="152" t="str">
        <f>VLOOKUP(C19,'Trips&amp;Operators'!$C$1:$G$99999,5,FALSE)</f>
        <v>YANG JAN</v>
      </c>
      <c r="O19" s="179" t="s">
        <v>299</v>
      </c>
      <c r="P19" s="153" t="s">
        <v>925</v>
      </c>
      <c r="Q19" s="31"/>
      <c r="R19" s="96" t="str">
        <f>VLOOKUP(C19,'Train Runs'!$A$13:$AE$9965,31,0)</f>
        <v>aws s3 cp s3://rtdc.mdm.uploadarchive.raw/RTDC4019/ "%USERPROFILE%\AppData\Local\Temp\OnboardLogs"\RTDC4019\2017-01-10 --exclude "*" --recursive --include "*20170110*" &amp; "%USERPROFILE%\Documents\GitHub\mrs-test-scripts\Headless Mode &amp; Sideloading\WalkAndUnGZ.bat" "%USERPROFILE%\AppData\Local\Temp\OnboardLogs"\RTDC4019\2017-01-10 &amp; aws s3 cp s3://rtdc.mdm.uploadarchive.raw/RTDC4019/ "%USERPROFILE%\AppData\Local\Temp\OnboardLogs"\RTDC4019\2017-01-11 --exclude "*" --recursive --include "*20170111*" &amp; "%USERPROFILE%\Documents\GitHub\mrs-test-scripts\Headless Mode &amp; Sideloading\WalkAndUnGZ.bat" "%USERPROFILE%\AppData\Local\Temp\OnboardLogs"\RTDC4019\2017-01-11</v>
      </c>
      <c r="S19" s="99" t="str">
        <f>VLOOKUP(C19,'Train Runs'!$A$13:$AE$9965,22,0)</f>
        <v>https://search-rtdc-monitor-bjffxe2xuh6vdkpspy63sjmuny.us-east-1.es.amazonaws.com/_plugin/kibana/#/discover/Steve-Slow-Train-Analysis-(2080s-and-2083s)?_g=(refreshInterval:(display:Off,section:0,value:0),time:(from:'2017-01-10 14:26:26-700',mode:absolute,to:'2017-01-10 17:38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19" s="101" t="str">
        <f t="shared" si="1"/>
        <v>"C:\Program Files (x86)\AstroGrep\AstroGrep.exe" /spath="%USERPROFILE%\AppData\Local\Temp\OnboardLogs" /stypes="*4019*201701102*" /stext=" 23:.+((SYSTEM_STATE.+slice.+state.+changed )|(ment ac)|(multiple cpu faults)|(system.+state.+changed )|(\[timeout)|(PRM\|1\|D)|(kpr)|(kdp)|(\|lc)|(penalty))" /e /r /s</v>
      </c>
      <c r="U19" s="9" t="str">
        <f t="shared" si="2"/>
        <v>4019</v>
      </c>
      <c r="V19" s="33">
        <f t="shared" si="3"/>
        <v>42745.970648148148</v>
      </c>
      <c r="W19" s="47" t="str">
        <f t="shared" si="4"/>
        <v>EC</v>
      </c>
      <c r="X19" s="47" t="str">
        <f t="shared" si="5"/>
        <v>KEEP</v>
      </c>
      <c r="Y19" s="115" t="str">
        <f t="shared" si="6"/>
        <v>echo {"issue":{"subject":"EC0386RH offline due to maintenance to mitigate crossing gate / OCS contact @ Dahlia","project_id":79,"tracker_id":40,"status_id":1,"priority_id":2,"assigned_to_id":23,"start_date":"2017-01-10","description":"","custom_fields":[{"id":1,"name":"Subdivision","value":"EC"},{"id":4,"name":"Milepost","value":"3.8656"},{"id":17,"name":"Train ID","value":"190-10"},{"id":16,"name":"Locomotive ID","value":"4019"},{"id":130,"name":"Impact","value":""},{"id":150,"name":"Time of Event (Mountain Time)","value":"16:17:44"},{"id":151,"name":"Denver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0"/>
      <c r="AA19" s="50"/>
      <c r="AB19" s="50"/>
      <c r="AC19" s="134" t="str">
        <f t="shared" si="7"/>
        <v>grep -hSE -A400 "Enforcement Action" "%USERPROFILE%\AppData\Local\Temp\OnboardLogs"\RTDC4019\*4019*201701102*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"%USERPROFILE%\AppData\Local\Temp\OnboardLogs"\RTDC4019\*4019*201701102* &gt;&gt; 42745-slicedisagreementcheck.txt</v>
      </c>
      <c r="AE19" s="183" t="str">
        <f t="shared" si="8"/>
        <v>start /low /b %USERPROFILE%\Documents\GitHub\eaglep3\Utilities\DownloadLogsFromS3.py --loco 4019 --day 2017-01-10</v>
      </c>
      <c r="AF19" s="1"/>
    </row>
    <row r="20" spans="1:32" ht="15" customHeight="1" x14ac:dyDescent="0.25">
      <c r="A20" s="33">
        <v>42745.643136574072</v>
      </c>
      <c r="B20" s="31" t="s">
        <v>437</v>
      </c>
      <c r="C20" s="31" t="s">
        <v>439</v>
      </c>
      <c r="D20" s="31" t="s">
        <v>49</v>
      </c>
      <c r="E20" s="31" t="s">
        <v>195</v>
      </c>
      <c r="F20" s="44">
        <v>0</v>
      </c>
      <c r="G20" s="44">
        <v>217</v>
      </c>
      <c r="H20" s="44">
        <v>44135</v>
      </c>
      <c r="I20" s="44">
        <v>43826</v>
      </c>
      <c r="J20" s="31" t="s">
        <v>196</v>
      </c>
      <c r="K20" s="44">
        <v>43664</v>
      </c>
      <c r="L20" s="150" t="s">
        <v>51</v>
      </c>
      <c r="M20" s="151">
        <f t="shared" si="0"/>
        <v>85.536000000000001</v>
      </c>
      <c r="N20" s="152" t="str">
        <f>VLOOKUP(C20,'Trips&amp;Operators'!$C$1:$G$99999,5,FALSE)</f>
        <v>ADANE ELSHADAY</v>
      </c>
      <c r="O20" s="179" t="s">
        <v>299</v>
      </c>
      <c r="P20" s="153" t="s">
        <v>925</v>
      </c>
      <c r="Q20" s="31"/>
      <c r="R20" s="96" t="str">
        <f>VLOOKUP(C20,'Train Runs'!$A$13:$AE$9965,31,0)</f>
        <v>aws s3 cp s3://rtdc.mdm.uploadarchive.raw/RTDC4008/ "%USERPROFILE%\AppData\Local\Temp\OnboardLogs"\RTDC4008\2017-01-10 --exclude "*" --recursive --include "*20170110*" &amp; "%USERPROFILE%\Documents\GitHub\mrs-test-scripts\Headless Mode &amp; Sideloading\WalkAndUnGZ.bat" "%USERPROFILE%\AppData\Local\Temp\OnboardLogs"\RTDC4008\2017-01-10 &amp; aws s3 cp s3://rtdc.mdm.uploadarchive.raw/RTDC4008/ "%USERPROFILE%\AppData\Local\Temp\OnboardLogs"\RTDC4008\2017-01-11 --exclude "*" --recursive --include "*20170111*" &amp; "%USERPROFILE%\Documents\GitHub\mrs-test-scripts\Headless Mode &amp; Sideloading\WalkAndUnGZ.bat" "%USERPROFILE%\AppData\Local\Temp\OnboardLogs"\RTDC4008\2017-01-11</v>
      </c>
      <c r="S20" s="99" t="str">
        <f>VLOOKUP(C20,'Train Runs'!$A$13:$AE$9965,22,0)</f>
        <v>https://search-rtdc-monitor-bjffxe2xuh6vdkpspy63sjmuny.us-east-1.es.amazonaws.com/_plugin/kibana/#/discover/Steve-Slow-Train-Analysis-(2080s-and-2083s)?_g=(refreshInterval:(display:Off,section:0,value:0),time:(from:'2017-01-10 13:40:45-700',mode:absolute,to:'2017-01-10 16:30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20" s="101" t="str">
        <f t="shared" si="1"/>
        <v>"C:\Program Files (x86)\AstroGrep\AstroGrep.exe" /spath="%USERPROFILE%\AppData\Local\Temp\OnboardLogs" /stypes="*4008*201701102*" /stext=" 22:.+((SYSTEM_STATE.+slice.+state.+changed )|(ment ac)|(multiple cpu faults)|(system.+state.+changed )|(\[timeout)|(PRM\|1\|D)|(kpr)|(kdp)|(\|lc)|(penalty))" /e /r /s</v>
      </c>
      <c r="U20" s="9" t="str">
        <f t="shared" si="2"/>
        <v>4008</v>
      </c>
      <c r="V20" s="33">
        <f t="shared" si="3"/>
        <v>42745.934803240736</v>
      </c>
      <c r="W20" s="47" t="str">
        <f t="shared" si="4"/>
        <v>EC</v>
      </c>
      <c r="X20" s="47" t="str">
        <f t="shared" si="5"/>
        <v>KEEP</v>
      </c>
      <c r="Y20" s="115" t="str">
        <f t="shared" si="6"/>
        <v>echo {"issue":{"subject":"EC0386RH offline due to maintenance to mitigate crossing gate / OCS contact @ Dahlia","project_id":79,"tracker_id":40,"status_id":1,"priority_id":2,"assigned_to_id":23,"start_date":"2017-01-10","description":"","custom_fields":[{"id":1,"name":"Subdivision","value":"EC"},{"id":4,"name":"Milepost","value":"4.3664"},{"id":17,"name":"Train ID","value":"184-10"},{"id":16,"name":"Locomotive ID","value":"4008"},{"id":130,"name":"Impact","value":""},{"id":150,"name":"Time of Event (Mountain Time)","value":"15:26:07"},{"id":151,"name":"Denver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0"/>
      <c r="AA20" s="50"/>
      <c r="AB20" s="50"/>
      <c r="AC20" s="134" t="str">
        <f t="shared" si="7"/>
        <v>grep -hSE -A400 "Enforcement Action" "%USERPROFILE%\AppData\Local\Temp\OnboardLogs"\RTDC4008\*4008*201701102*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"%USERPROFILE%\AppData\Local\Temp\OnboardLogs"\RTDC4008\*4008*201701102* &gt;&gt; 42745-slicedisagreementcheck.txt</v>
      </c>
      <c r="AE20" s="183" t="str">
        <f t="shared" si="8"/>
        <v>start /low /b %USERPROFILE%\Documents\GitHub\eaglep3\Utilities\DownloadLogsFromS3.py --loco 4008 --day 2017-01-10</v>
      </c>
      <c r="AF20" s="1"/>
    </row>
    <row r="21" spans="1:32" x14ac:dyDescent="0.25">
      <c r="A21" s="33">
        <v>42745.646874999999</v>
      </c>
      <c r="B21" s="31" t="s">
        <v>289</v>
      </c>
      <c r="C21" s="31" t="s">
        <v>440</v>
      </c>
      <c r="D21" s="31" t="s">
        <v>49</v>
      </c>
      <c r="E21" s="31" t="s">
        <v>195</v>
      </c>
      <c r="F21" s="44">
        <v>0</v>
      </c>
      <c r="G21" s="44">
        <v>152</v>
      </c>
      <c r="H21" s="44">
        <v>50543</v>
      </c>
      <c r="I21" s="44">
        <v>50828</v>
      </c>
      <c r="J21" s="31" t="s">
        <v>196</v>
      </c>
      <c r="K21" s="44">
        <v>50746</v>
      </c>
      <c r="L21" s="150" t="s">
        <v>50</v>
      </c>
      <c r="M21" s="151">
        <f t="shared" si="0"/>
        <v>-43.296000000000006</v>
      </c>
      <c r="N21" s="152" t="str">
        <f>VLOOKUP(C21,'Trips&amp;Operators'!$C$1:$G$99999,5,FALSE)</f>
        <v>CLARK KATHLEEN</v>
      </c>
      <c r="O21" s="179" t="s">
        <v>299</v>
      </c>
      <c r="P21" s="153" t="s">
        <v>363</v>
      </c>
      <c r="Q21" s="31"/>
      <c r="R21" s="96" t="str">
        <f>VLOOKUP(C21,'Train Runs'!$A$13:$AE$9965,31,0)</f>
        <v>aws s3 cp s3://rtdc.mdm.uploadarchive.raw/RTDC4031/ "%USERPROFILE%\AppData\Local\Temp\OnboardLogs"\RTDC4031\2017-01-10 --exclude "*" --recursive --include "*20170110*" &amp; "%USERPROFILE%\Documents\GitHub\mrs-test-scripts\Headless Mode &amp; Sideloading\WalkAndUnGZ.bat" "%USERPROFILE%\AppData\Local\Temp\OnboardLogs"\RTDC4031\2017-01-10 &amp; aws s3 cp s3://rtdc.mdm.uploadarchive.raw/RTDC4031/ "%USERPROFILE%\AppData\Local\Temp\OnboardLogs"\RTDC4031\2017-01-11 --exclude "*" --recursive --include "*20170111*" &amp; "%USERPROFILE%\Documents\GitHub\mrs-test-scripts\Headless Mode &amp; Sideloading\WalkAndUnGZ.bat" "%USERPROFILE%\AppData\Local\Temp\OnboardLogs"\RTDC4031\2017-01-11</v>
      </c>
      <c r="S21" s="99" t="str">
        <f>VLOOKUP(C21,'Train Runs'!$A$13:$AE$9965,22,0)</f>
        <v>https://search-rtdc-monitor-bjffxe2xuh6vdkpspy63sjmuny.us-east-1.es.amazonaws.com/_plugin/kibana/#/discover/Steve-Slow-Train-Analysis-(2080s-and-2083s)?_g=(refreshInterval:(display:Off,section:0,value:0),time:(from:'2017-01-10 14:11:47-700',mode:absolute,to:'2017-01-10 17:04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21" s="101" t="str">
        <f t="shared" si="1"/>
        <v>"C:\Program Files (x86)\AstroGrep\AstroGrep.exe" /spath="%USERPROFILE%\AppData\Local\Temp\OnboardLogs" /stypes="*4031*201701102*" /stext=" 22:.+((SYSTEM_STATE.+slice.+state.+changed )|(ment ac)|(multiple cpu faults)|(system.+state.+changed )|(\[timeout)|(PRM\|1\|D)|(kpr)|(kdp)|(\|lc)|(penalty))" /e /r /s</v>
      </c>
      <c r="U21" s="9" t="str">
        <f t="shared" si="2"/>
        <v>4031</v>
      </c>
      <c r="V21" s="33">
        <f t="shared" si="3"/>
        <v>42745.938541666663</v>
      </c>
      <c r="W21" s="47" t="str">
        <f t="shared" si="4"/>
        <v>EC</v>
      </c>
      <c r="X21" s="47" t="str">
        <f t="shared" si="5"/>
        <v>KEEP</v>
      </c>
      <c r="Y21" s="115" t="str">
        <f t="shared" si="6"/>
        <v>echo {"issue":{"subject":"Wi-MAX data drop","project_id":79,"tracker_id":40,"status_id":1,"priority_id":2,"assigned_to_id":23,"start_date":"2017-01-10","description":"http://stevetu21.github.io/eaglep3/load_kml.html?kml=http://rtdc.gmaps-snips.s3.amazonaws.com/e7e1d881-8a4b-45e4-8835-b5cff48ae2c1.kml","custom_fields":[{"id":1,"name":"Subdivision","value":"EC"},{"id":4,"name":"Milepost","value":"5.0746"},{"id":17,"name":"Train ID","value":"193-10"},{"id":16,"name":"Locomotive ID","value":"4031"},{"id":130,"name":"Impact","value":"Enforcement"},{"id":150,"name":"Time of Event (Mountain Time)","value":"15:31:30"},{"id":151,"name":"Denver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1" t="s">
        <v>924</v>
      </c>
      <c r="AA21" s="50" t="s">
        <v>125</v>
      </c>
      <c r="AB21" s="50" t="s">
        <v>138</v>
      </c>
      <c r="AC21" s="134" t="str">
        <f t="shared" si="7"/>
        <v>grep -hSE -A400 "Enforcement Action" "%USERPROFILE%\AppData\Local\Temp\OnboardLogs"\RTDC4031\*4031*201701102*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"%USERPROFILE%\AppData\Local\Temp\OnboardLogs"\RTDC4031\*4031*201701102* &gt;&gt; 42745-slicedisagreementcheck.txt</v>
      </c>
      <c r="AE21" s="183" t="str">
        <f t="shared" si="8"/>
        <v>start /low /b %USERPROFILE%\Documents\GitHub\eaglep3\Utilities\DownloadLogsFromS3.py --loco 4031 --day 2017-01-10</v>
      </c>
      <c r="AF21" s="1"/>
    </row>
    <row r="22" spans="1:32" x14ac:dyDescent="0.25">
      <c r="A22" s="33">
        <v>42745.672476851854</v>
      </c>
      <c r="B22" s="31" t="s">
        <v>288</v>
      </c>
      <c r="C22" s="31" t="s">
        <v>443</v>
      </c>
      <c r="D22" s="31" t="s">
        <v>98</v>
      </c>
      <c r="E22" s="31" t="s">
        <v>195</v>
      </c>
      <c r="F22" s="44">
        <v>200</v>
      </c>
      <c r="G22" s="44">
        <v>265</v>
      </c>
      <c r="H22" s="44">
        <v>65983</v>
      </c>
      <c r="I22" s="44">
        <v>66762</v>
      </c>
      <c r="J22" s="31" t="s">
        <v>196</v>
      </c>
      <c r="K22" s="44">
        <v>63995</v>
      </c>
      <c r="L22" s="150" t="s">
        <v>50</v>
      </c>
      <c r="M22" s="151">
        <f t="shared" si="0"/>
        <v>-1460.9760000000001</v>
      </c>
      <c r="N22" s="152" t="str">
        <f>VLOOKUP(C22,'Trips&amp;Operators'!$C$1:$G$99999,5,FALSE)</f>
        <v>ADANE ELSHADAY</v>
      </c>
      <c r="O22" s="179" t="s">
        <v>194</v>
      </c>
      <c r="P22" s="153" t="s">
        <v>923</v>
      </c>
      <c r="Q22" s="31"/>
      <c r="R22" s="96" t="str">
        <f>VLOOKUP(C22,'Train Runs'!$A$13:$AE$9965,31,0)</f>
        <v>aws s3 cp s3://rtdc.mdm.uploadarchive.raw/RTDC4007/ "%USERPROFILE%\AppData\Local\Temp\OnboardLogs"\RTDC4007\2017-01-10 --exclude "*" --recursive --include "*20170110*" &amp; "%USERPROFILE%\Documents\GitHub\mrs-test-scripts\Headless Mode &amp; Sideloading\WalkAndUnGZ.bat" "%USERPROFILE%\AppData\Local\Temp\OnboardLogs"\RTDC4007\2017-01-10 &amp; aws s3 cp s3://rtdc.mdm.uploadarchive.raw/RTDC4007/ "%USERPROFILE%\AppData\Local\Temp\OnboardLogs"\RTDC4007\2017-01-11 --exclude "*" --recursive --include "*20170111*" &amp; "%USERPROFILE%\Documents\GitHub\mrs-test-scripts\Headless Mode &amp; Sideloading\WalkAndUnGZ.bat" "%USERPROFILE%\AppData\Local\Temp\OnboardLogs"\RTDC4007\2017-01-11</v>
      </c>
      <c r="S22" s="99" t="str">
        <f>VLOOKUP(C22,'Train Runs'!$A$13:$AE$9965,22,0)</f>
        <v>https://search-rtdc-monitor-bjffxe2xuh6vdkpspy63sjmuny.us-east-1.es.amazonaws.com/_plugin/kibana/#/discover/Steve-Slow-Train-Analysis-(2080s-and-2083s)?_g=(refreshInterval:(display:Off,section:0,value:0),time:(from:'2017-01-10 14:44:01-700',mode:absolute,to:'2017-01-10 16:51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22" s="101" t="str">
        <f t="shared" si="1"/>
        <v>"C:\Program Files (x86)\AstroGrep\AstroGrep.exe" /spath="%USERPROFILE%\AppData\Local\Temp\OnboardLogs" /stypes="*4007*201701102*" /stext=" 23:.+((SYSTEM_STATE.+slice.+state.+changed )|(ment ac)|(multiple cpu faults)|(system.+state.+changed )|(\[timeout)|(PRM\|1\|D)|(kpr)|(kdp)|(\|lc)|(penalty))" /e /r /s</v>
      </c>
      <c r="U22" s="9" t="str">
        <f t="shared" si="2"/>
        <v>4007</v>
      </c>
      <c r="V22" s="33">
        <f t="shared" si="3"/>
        <v>42745.964143518519</v>
      </c>
      <c r="W22" s="47" t="str">
        <f t="shared" si="4"/>
        <v>EC</v>
      </c>
      <c r="X22" s="47" t="str">
        <f t="shared" si="5"/>
        <v>KEEP</v>
      </c>
      <c r="Y22" s="115" t="str">
        <f t="shared" si="6"/>
        <v>echo {"issue":{"subject":"Overspeed","project_id":79,"tracker_id":40,"status_id":1,"priority_id":2,"assigned_to_id":23,"start_date":"2017-01-10","description":"","custom_fields":[{"id":1,"name":"Subdivision","value":"EC"},{"id":4,"name":"Milepost","value":"6.3995"},{"id":17,"name":"Train ID","value":"197-10"},{"id":16,"name":"Locomotive ID","value":"4007"},{"id":130,"name":"Impact","value":""},{"id":150,"name":"Time of Event (Mountain Time)","value":"16:08:22"},{"id":151,"name":"Denver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0"/>
      <c r="AA22" s="50"/>
      <c r="AB22" s="50"/>
      <c r="AC22" s="134" t="str">
        <f t="shared" si="7"/>
        <v>grep -hSE -A400 "Enforcement Action" "%USERPROFILE%\AppData\Local\Temp\OnboardLogs"\RTDC4007\*4007*201701102*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"%USERPROFILE%\AppData\Local\Temp\OnboardLogs"\RTDC4007\*4007*201701102* &gt;&gt; 42745-slicedisagreementcheck.txt</v>
      </c>
      <c r="AE22" s="183" t="str">
        <f t="shared" si="8"/>
        <v>start /low /b %USERPROFILE%\Documents\GitHub\eaglep3\Utilities\DownloadLogsFromS3.py --loco 4007 --day 2017-01-10</v>
      </c>
      <c r="AF22" s="1"/>
    </row>
    <row r="23" spans="1:32" x14ac:dyDescent="0.25">
      <c r="A23" s="33">
        <v>42745.26599537037</v>
      </c>
      <c r="B23" s="31" t="s">
        <v>294</v>
      </c>
      <c r="C23" s="31" t="s">
        <v>427</v>
      </c>
      <c r="D23" s="31" t="s">
        <v>49</v>
      </c>
      <c r="E23" s="31" t="s">
        <v>197</v>
      </c>
      <c r="F23" s="44">
        <v>0</v>
      </c>
      <c r="G23" s="44">
        <v>37</v>
      </c>
      <c r="H23" s="44">
        <v>154</v>
      </c>
      <c r="I23" s="44">
        <v>130</v>
      </c>
      <c r="J23" s="31" t="s">
        <v>198</v>
      </c>
      <c r="K23" s="44">
        <v>1</v>
      </c>
      <c r="L23" s="150" t="s">
        <v>51</v>
      </c>
      <c r="M23" s="151">
        <f t="shared" si="0"/>
        <v>68.111999999999995</v>
      </c>
      <c r="N23" s="152" t="str">
        <f>VLOOKUP(C23,'Trips&amp;Operators'!$C$1:$G$99999,5,FALSE)</f>
        <v>DAVIS WENDY</v>
      </c>
      <c r="O23" s="179" t="s">
        <v>194</v>
      </c>
      <c r="P23" s="153"/>
      <c r="Q23" s="31"/>
      <c r="R23" s="96" t="str">
        <f>VLOOKUP(C23,'Train Runs'!$A$13:$AE$9965,31,0)</f>
        <v>aws s3 cp s3://rtdc.mdm.uploadarchive.raw/RTDC4032/ "%USERPROFILE%\AppData\Local\Temp\OnboardLogs"\RTDC4032\2017-01-10 --exclude "*" --recursive --include "*20170110*" &amp; "%USERPROFILE%\Documents\GitHub\mrs-test-scripts\Headless Mode &amp; Sideloading\WalkAndUnGZ.bat" "%USERPROFILE%\AppData\Local\Temp\OnboardLogs"\RTDC4032\2017-01-10 &amp; aws s3 cp s3://rtdc.mdm.uploadarchive.raw/RTDC4032/ "%USERPROFILE%\AppData\Local\Temp\OnboardLogs"\RTDC4032\2017-01-11 --exclude "*" --recursive --include "*20170111*" &amp; "%USERPROFILE%\Documents\GitHub\mrs-test-scripts\Headless Mode &amp; Sideloading\WalkAndUnGZ.bat" "%USERPROFILE%\AppData\Local\Temp\OnboardLogs"\RTDC4032\2017-01-11</v>
      </c>
      <c r="S23" s="99" t="str">
        <f>VLOOKUP(C23,'Train Runs'!$A$13:$AE$9965,22,0)</f>
        <v>https://search-rtdc-monitor-bjffxe2xuh6vdkpspy63sjmuny.us-east-1.es.amazonaws.com/_plugin/kibana/#/discover/Steve-Slow-Train-Analysis-(2080s-and-2083s)?_g=(refreshInterval:(display:Off,section:0,value:0),time:(from:'2017-01-10 04:36:56-700',mode:absolute,to:'2017-01-10 07:22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23" s="101" t="str">
        <f t="shared" si="1"/>
        <v>"C:\Program Files (x86)\AstroGrep\AstroGrep.exe" /spath="%USERPROFILE%\AppData\Local\Temp\OnboardLogs" /stypes="*4032*201701101*" /stext=" 13:.+((SYSTEM_STATE.+slice.+state.+changed )|(ment ac)|(multiple cpu faults)|(system.+state.+changed )|(\[timeout)|(PRM\|1\|D)|(kpr)|(kdp)|(\|lc)|(penalty))" /e /r /s</v>
      </c>
      <c r="U23" s="9" t="str">
        <f t="shared" si="2"/>
        <v>4032</v>
      </c>
      <c r="V23" s="33">
        <f t="shared" si="3"/>
        <v>42745.557662037034</v>
      </c>
      <c r="W23" s="47" t="str">
        <f t="shared" si="4"/>
        <v>EC</v>
      </c>
      <c r="X23" s="47" t="str">
        <f t="shared" si="5"/>
        <v>KEEP</v>
      </c>
      <c r="Y23" s="115" t="str">
        <f t="shared" si="6"/>
        <v>echo {"issue":{"subject":"","project_id":79,"tracker_id":40,"status_id":1,"priority_id":2,"assigned_to_id":23,"start_date":"2017-01-10","description":"","custom_fields":[{"id":1,"name":"Subdivision","value":"EC"},{"id":4,"name":"Milepost","value":"0.0001"},{"id":17,"name":"Train ID","value":"110-10"},{"id":16,"name":"Locomotive ID","value":"4032"},{"id":130,"name":"Impact","value":""},{"id":150,"name":"Time of Event (Mountain Time)","value":"06:23:02"},{"id":151,"name":"Denver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0"/>
      <c r="AA23" s="50"/>
      <c r="AB23" s="50"/>
      <c r="AC23" s="134" t="str">
        <f t="shared" si="7"/>
        <v>grep -hSE -A400 "Enforcement Action" "%USERPROFILE%\AppData\Local\Temp\OnboardLogs"\RTDC4032\*4032*201701101*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"%USERPROFILE%\AppData\Local\Temp\OnboardLogs"\RTDC4032\*4032*201701101* &gt;&gt; 42745-slicedisagreementcheck.txt</v>
      </c>
      <c r="AE23" s="183" t="str">
        <f t="shared" si="8"/>
        <v>start /low /b %USERPROFILE%\Documents\GitHub\eaglep3\Utilities\DownloadLogsFromS3.py --loco 4032 --day 2017-01-10</v>
      </c>
      <c r="AF23" s="1"/>
    </row>
    <row r="24" spans="1:32" x14ac:dyDescent="0.25">
      <c r="A24" s="33">
        <v>42745.36922453704</v>
      </c>
      <c r="B24" s="31" t="s">
        <v>431</v>
      </c>
      <c r="C24" s="31" t="s">
        <v>432</v>
      </c>
      <c r="D24" s="31" t="s">
        <v>49</v>
      </c>
      <c r="E24" s="31" t="s">
        <v>197</v>
      </c>
      <c r="F24" s="44">
        <v>0</v>
      </c>
      <c r="G24" s="44">
        <v>60</v>
      </c>
      <c r="H24" s="44">
        <v>183</v>
      </c>
      <c r="I24" s="44">
        <v>138</v>
      </c>
      <c r="J24" s="31" t="s">
        <v>198</v>
      </c>
      <c r="K24" s="44">
        <v>1</v>
      </c>
      <c r="L24" s="150" t="s">
        <v>51</v>
      </c>
      <c r="M24" s="151">
        <f t="shared" si="0"/>
        <v>72.335999999999999</v>
      </c>
      <c r="N24" s="152" t="str">
        <f>VLOOKUP(C24,'Trips&amp;Operators'!$C$1:$G$99999,5,FALSE)</f>
        <v>DUNCAN SHEILA</v>
      </c>
      <c r="O24" s="179" t="s">
        <v>194</v>
      </c>
      <c r="P24" s="153"/>
      <c r="Q24" s="31"/>
      <c r="R24" s="96" t="str">
        <f>VLOOKUP(C24,'Train Runs'!$A$13:$AE$9965,31,0)</f>
        <v>aws s3 cp s3://rtdc.mdm.uploadarchive.raw/RTDC4017/ "%USERPROFILE%\AppData\Local\Temp\OnboardLogs"\RTDC4017\2017-01-10 --exclude "*" --recursive --include "*20170110*" &amp; "%USERPROFILE%\Documents\GitHub\mrs-test-scripts\Headless Mode &amp; Sideloading\WalkAndUnGZ.bat" "%USERPROFILE%\AppData\Local\Temp\OnboardLogs"\RTDC4017\2017-01-10 &amp; aws s3 cp s3://rtdc.mdm.uploadarchive.raw/RTDC4017/ "%USERPROFILE%\AppData\Local\Temp\OnboardLogs"\RTDC4017\2017-01-11 --exclude "*" --recursive --include "*20170111*" &amp; "%USERPROFILE%\Documents\GitHub\mrs-test-scripts\Headless Mode &amp; Sideloading\WalkAndUnGZ.bat" "%USERPROFILE%\AppData\Local\Temp\OnboardLogs"\RTDC4017\2017-01-11</v>
      </c>
      <c r="S24" s="99" t="str">
        <f>VLOOKUP(C24,'Train Runs'!$A$13:$AE$9965,22,0)</f>
        <v>https://search-rtdc-monitor-bjffxe2xuh6vdkpspy63sjmuny.us-east-1.es.amazonaws.com/_plugin/kibana/#/discover/Steve-Slow-Train-Analysis-(2080s-and-2083s)?_g=(refreshInterval:(display:Off,section:0,value:0),time:(from:'2017-01-10 06:54:52-700',mode:absolute,to:'2017-01-10 09:51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24" s="101" t="str">
        <f t="shared" si="1"/>
        <v>"C:\Program Files (x86)\AstroGrep\AstroGrep.exe" /spath="%USERPROFILE%\AppData\Local\Temp\OnboardLogs" /stypes="*4017*201701101*" /stext=" 15:.+((SYSTEM_STATE.+slice.+state.+changed )|(ment ac)|(multiple cpu faults)|(system.+state.+changed )|(\[timeout)|(PRM\|1\|D)|(kpr)|(kdp)|(\|lc)|(penalty))" /e /r /s</v>
      </c>
      <c r="U24" s="9" t="str">
        <f t="shared" si="2"/>
        <v>4017</v>
      </c>
      <c r="V24" s="33">
        <f t="shared" si="3"/>
        <v>42745.660891203705</v>
      </c>
      <c r="W24" s="47" t="str">
        <f t="shared" si="4"/>
        <v>EC</v>
      </c>
      <c r="X24" s="47" t="str">
        <f t="shared" si="5"/>
        <v>KEEP</v>
      </c>
      <c r="Y24" s="115" t="str">
        <f t="shared" si="6"/>
        <v>echo {"issue":{"subject":"","project_id":79,"tracker_id":40,"status_id":1,"priority_id":2,"assigned_to_id":23,"start_date":"2017-01-10","description":"","custom_fields":[{"id":1,"name":"Subdivision","value":"EC"},{"id":4,"name":"Milepost","value":"0.0001"},{"id":17,"name":"Train ID","value":"130-10"},{"id":16,"name":"Locomotive ID","value":"4017"},{"id":130,"name":"Impact","value":""},{"id":150,"name":"Time of Event (Mountain Time)","value":"08:51:41"},{"id":151,"name":"Denver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0"/>
      <c r="AA24" s="50"/>
      <c r="AB24" s="50"/>
      <c r="AC24" s="134" t="str">
        <f t="shared" si="7"/>
        <v>grep -hSE -A400 "Enforcement Action" "%USERPROFILE%\AppData\Local\Temp\OnboardLogs"\RTDC4017\*4017*201701101*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"%USERPROFILE%\AppData\Local\Temp\OnboardLogs"\RTDC4017\*4017*201701101* &gt;&gt; 42745-slicedisagreementcheck.txt</v>
      </c>
      <c r="AE24" s="183" t="str">
        <f t="shared" si="8"/>
        <v>start /low /b %USERPROFILE%\Documents\GitHub\eaglep3\Utilities\DownloadLogsFromS3.py --loco 4017 --day 2017-01-10</v>
      </c>
      <c r="AF24" s="1"/>
    </row>
    <row r="25" spans="1:32" x14ac:dyDescent="0.25">
      <c r="A25" s="33">
        <v>42745.653946759259</v>
      </c>
      <c r="B25" s="31" t="s">
        <v>437</v>
      </c>
      <c r="C25" s="31" t="s">
        <v>439</v>
      </c>
      <c r="D25" s="31" t="s">
        <v>49</v>
      </c>
      <c r="E25" s="31" t="s">
        <v>197</v>
      </c>
      <c r="F25" s="44">
        <v>0</v>
      </c>
      <c r="G25" s="44">
        <v>110</v>
      </c>
      <c r="H25" s="44">
        <v>426</v>
      </c>
      <c r="I25" s="44">
        <v>294</v>
      </c>
      <c r="J25" s="31" t="s">
        <v>198</v>
      </c>
      <c r="K25" s="44">
        <v>1</v>
      </c>
      <c r="L25" s="150" t="s">
        <v>51</v>
      </c>
      <c r="M25" s="151">
        <f t="shared" si="0"/>
        <v>154.70400000000001</v>
      </c>
      <c r="N25" s="152" t="str">
        <f>VLOOKUP(C25,'Trips&amp;Operators'!$C$1:$G$99999,5,FALSE)</f>
        <v>ADANE ELSHADAY</v>
      </c>
      <c r="O25" s="179" t="s">
        <v>299</v>
      </c>
      <c r="P25" s="153" t="s">
        <v>365</v>
      </c>
      <c r="Q25" s="31"/>
      <c r="R25" s="96" t="str">
        <f>VLOOKUP(C25,'Train Runs'!$A$13:$AE$9965,31,0)</f>
        <v>aws s3 cp s3://rtdc.mdm.uploadarchive.raw/RTDC4008/ "%USERPROFILE%\AppData\Local\Temp\OnboardLogs"\RTDC4008\2017-01-10 --exclude "*" --recursive --include "*20170110*" &amp; "%USERPROFILE%\Documents\GitHub\mrs-test-scripts\Headless Mode &amp; Sideloading\WalkAndUnGZ.bat" "%USERPROFILE%\AppData\Local\Temp\OnboardLogs"\RTDC4008\2017-01-10 &amp; aws s3 cp s3://rtdc.mdm.uploadarchive.raw/RTDC4008/ "%USERPROFILE%\AppData\Local\Temp\OnboardLogs"\RTDC4008\2017-01-11 --exclude "*" --recursive --include "*20170111*" &amp; "%USERPROFILE%\Documents\GitHub\mrs-test-scripts\Headless Mode &amp; Sideloading\WalkAndUnGZ.bat" "%USERPROFILE%\AppData\Local\Temp\OnboardLogs"\RTDC4008\2017-01-11</v>
      </c>
      <c r="S25" s="99" t="str">
        <f>VLOOKUP(C25,'Train Runs'!$A$13:$AE$9965,22,0)</f>
        <v>https://search-rtdc-monitor-bjffxe2xuh6vdkpspy63sjmuny.us-east-1.es.amazonaws.com/_plugin/kibana/#/discover/Steve-Slow-Train-Analysis-(2080s-and-2083s)?_g=(refreshInterval:(display:Off,section:0,value:0),time:(from:'2017-01-10 13:40:45-700',mode:absolute,to:'2017-01-10 16:30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25" s="101" t="str">
        <f t="shared" si="1"/>
        <v>"C:\Program Files (x86)\AstroGrep\AstroGrep.exe" /spath="%USERPROFILE%\AppData\Local\Temp\OnboardLogs" /stypes="*4008*201701102*" /stext=" 22:.+((SYSTEM_STATE.+slice.+state.+changed )|(ment ac)|(multiple cpu faults)|(system.+state.+changed )|(\[timeout)|(PRM\|1\|D)|(kpr)|(kdp)|(\|lc)|(penalty))" /e /r /s</v>
      </c>
      <c r="U25" s="9" t="str">
        <f t="shared" si="2"/>
        <v>4008</v>
      </c>
      <c r="V25" s="33">
        <f t="shared" si="3"/>
        <v>42745.945613425924</v>
      </c>
      <c r="W25" s="47" t="str">
        <f t="shared" si="4"/>
        <v>EC</v>
      </c>
      <c r="X25" s="47" t="str">
        <f t="shared" si="5"/>
        <v>KEEP</v>
      </c>
      <c r="Y25" s="115" t="str">
        <f t="shared" si="6"/>
        <v>echo {"issue":{"subject":"Banner without braking","project_id":79,"tracker_id":40,"status_id":1,"priority_id":2,"assigned_to_id":23,"start_date":"2017-01-10","description":"","custom_fields":[{"id":1,"name":"Subdivision","value":"EC"},{"id":4,"name":"Milepost","value":"0.0001"},{"id":17,"name":"Train ID","value":"184-10"},{"id":16,"name":"Locomotive ID","value":"4008"},{"id":130,"name":"Impact","value":""},{"id":150,"name":"Time of Event (Mountain Time)","value":"15:41:41"},{"id":151,"name":"Denver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0"/>
      <c r="AA25" s="50"/>
      <c r="AB25" s="50"/>
      <c r="AC25" s="134" t="str">
        <f t="shared" si="7"/>
        <v>grep -hSE -A400 "Enforcement Action" "%USERPROFILE%\AppData\Local\Temp\OnboardLogs"\RTDC4008\*4008*201701102*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"%USERPROFILE%\AppData\Local\Temp\OnboardLogs"\RTDC4008\*4008*201701102* &gt;&gt; 42745-slicedisagreementcheck.txt</v>
      </c>
      <c r="AE25" s="183" t="str">
        <f t="shared" si="8"/>
        <v>start /low /b %USERPROFILE%\Documents\GitHub\eaglep3\Utilities\DownloadLogsFromS3.py --loco 4008 --day 2017-01-10</v>
      </c>
      <c r="AF25" s="1"/>
    </row>
    <row r="26" spans="1:32" ht="15" customHeight="1" x14ac:dyDescent="0.25">
      <c r="A26" s="33">
        <v>42745.691527777781</v>
      </c>
      <c r="B26" s="31" t="s">
        <v>326</v>
      </c>
      <c r="C26" s="31" t="s">
        <v>444</v>
      </c>
      <c r="D26" s="31" t="s">
        <v>49</v>
      </c>
      <c r="E26" s="31" t="s">
        <v>197</v>
      </c>
      <c r="F26" s="44">
        <v>0</v>
      </c>
      <c r="G26" s="44">
        <v>54</v>
      </c>
      <c r="H26" s="44">
        <v>221</v>
      </c>
      <c r="I26" s="44">
        <v>152</v>
      </c>
      <c r="J26" s="31" t="s">
        <v>198</v>
      </c>
      <c r="K26" s="44">
        <v>1</v>
      </c>
      <c r="L26" s="150" t="s">
        <v>51</v>
      </c>
      <c r="M26" s="151">
        <f t="shared" si="0"/>
        <v>79.727999999999994</v>
      </c>
      <c r="N26" s="152" t="str">
        <f>VLOOKUP(C26,'Trips&amp;Operators'!$C$1:$G$99999,5,FALSE)</f>
        <v>DAVIS MICHAEL</v>
      </c>
      <c r="O26" s="179" t="s">
        <v>194</v>
      </c>
      <c r="P26" s="153"/>
      <c r="Q26" s="31"/>
      <c r="R26" s="96" t="str">
        <f>VLOOKUP(C26,'Train Runs'!$A$13:$AE$9965,31,0)</f>
        <v>aws s3 cp s3://rtdc.mdm.uploadarchive.raw/RTDC4026/ "%USERPROFILE%\AppData\Local\Temp\OnboardLogs"\RTDC4026\2017-01-10 --exclude "*" --recursive --include "*20170110*" &amp; "%USERPROFILE%\Documents\GitHub\mrs-test-scripts\Headless Mode &amp; Sideloading\WalkAndUnGZ.bat" "%USERPROFILE%\AppData\Local\Temp\OnboardLogs"\RTDC4026\2017-01-10 &amp; aws s3 cp s3://rtdc.mdm.uploadarchive.raw/RTDC4026/ "%USERPROFILE%\AppData\Local\Temp\OnboardLogs"\RTDC4026\2017-01-11 --exclude "*" --recursive --include "*20170111*" &amp; "%USERPROFILE%\Documents\GitHub\mrs-test-scripts\Headless Mode &amp; Sideloading\WalkAndUnGZ.bat" "%USERPROFILE%\AppData\Local\Temp\OnboardLogs"\RTDC4026\2017-01-11</v>
      </c>
      <c r="S26" s="99" t="str">
        <f>VLOOKUP(C26,'Train Runs'!$A$13:$AE$9965,22,0)</f>
        <v>https://search-rtdc-monitor-bjffxe2xuh6vdkpspy63sjmuny.us-east-1.es.amazonaws.com/_plugin/kibana/#/discover/Steve-Slow-Train-Analysis-(2080s-and-2083s)?_g=(refreshInterval:(display:Off,section:0,value:0),time:(from:'2017-01-10 15:23:43-700',mode:absolute,to:'2017-01-10 17:39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26" s="101" t="str">
        <f t="shared" si="1"/>
        <v>"C:\Program Files (x86)\AstroGrep\AstroGrep.exe" /spath="%USERPROFILE%\AppData\Local\Temp\OnboardLogs" /stypes="*4026*201701102*" /stext=" 23:.+((SYSTEM_STATE.+slice.+state.+changed )|(ment ac)|(multiple cpu faults)|(system.+state.+changed )|(\[timeout)|(PRM\|1\|D)|(kpr)|(kdp)|(\|lc)|(penalty))" /e /r /s</v>
      </c>
      <c r="U26" s="9" t="str">
        <f t="shared" si="2"/>
        <v>4026</v>
      </c>
      <c r="V26" s="33">
        <f t="shared" si="3"/>
        <v>42745.983194444445</v>
      </c>
      <c r="W26" s="47" t="str">
        <f t="shared" si="4"/>
        <v>EC</v>
      </c>
      <c r="X26" s="47" t="str">
        <f t="shared" si="5"/>
        <v>KEEP</v>
      </c>
      <c r="Y26" s="115" t="str">
        <f t="shared" si="6"/>
        <v>echo {"issue":{"subject":"","project_id":79,"tracker_id":40,"status_id":1,"priority_id":2,"assigned_to_id":23,"start_date":"2017-01-10","description":"","custom_fields":[{"id":1,"name":"Subdivision","value":"EC"},{"id":4,"name":"Milepost","value":"0.0001"},{"id":17,"name":"Train ID","value":"188-10"},{"id":16,"name":"Locomotive ID","value":"4026"},{"id":130,"name":"Impact","value":""},{"id":150,"name":"Time of Event (Mountain Time)","value":"16:35:48"},{"id":151,"name":"Denver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0"/>
      <c r="AA26" s="50"/>
      <c r="AB26" s="50"/>
      <c r="AC26" s="134" t="str">
        <f t="shared" si="7"/>
        <v>grep -hSE -A400 "Enforcement Action" "%USERPROFILE%\AppData\Local\Temp\OnboardLogs"\RTDC4026\*4026*201701102*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"%USERPROFILE%\AppData\Local\Temp\OnboardLogs"\RTDC4026\*4026*201701102* &gt;&gt; 42745-slicedisagreementcheck.txt</v>
      </c>
      <c r="AE26" s="183" t="str">
        <f t="shared" si="8"/>
        <v>start /low /b %USERPROFILE%\Documents\GitHub\eaglep3\Utilities\DownloadLogsFromS3.py --loco 4026 --day 2017-01-10</v>
      </c>
      <c r="AF26" s="1"/>
    </row>
    <row r="27" spans="1:32" ht="15" customHeight="1" x14ac:dyDescent="0.25">
      <c r="A27" s="33">
        <v>42745.68917824074</v>
      </c>
      <c r="B27" s="31" t="s">
        <v>288</v>
      </c>
      <c r="C27" s="31" t="s">
        <v>443</v>
      </c>
      <c r="D27" s="31" t="s">
        <v>49</v>
      </c>
      <c r="E27" s="31" t="s">
        <v>197</v>
      </c>
      <c r="F27" s="44">
        <v>0</v>
      </c>
      <c r="G27" s="44">
        <v>71</v>
      </c>
      <c r="H27" s="44">
        <v>233283</v>
      </c>
      <c r="I27" s="44">
        <v>233353</v>
      </c>
      <c r="J27" s="31" t="s">
        <v>198</v>
      </c>
      <c r="K27" s="44">
        <v>233491</v>
      </c>
      <c r="L27" s="150" t="s">
        <v>50</v>
      </c>
      <c r="M27" s="151">
        <f t="shared" si="0"/>
        <v>72.864000000000004</v>
      </c>
      <c r="N27" s="152" t="str">
        <f>VLOOKUP(C27,'Trips&amp;Operators'!$C$1:$G$99999,5,FALSE)</f>
        <v>ADANE ELSHADAY</v>
      </c>
      <c r="O27" s="179" t="s">
        <v>194</v>
      </c>
      <c r="P27" s="153"/>
      <c r="Q27" s="31"/>
      <c r="R27" s="96" t="str">
        <f>VLOOKUP(C27,'Train Runs'!$A$13:$AE$9965,31,0)</f>
        <v>aws s3 cp s3://rtdc.mdm.uploadarchive.raw/RTDC4007/ "%USERPROFILE%\AppData\Local\Temp\OnboardLogs"\RTDC4007\2017-01-10 --exclude "*" --recursive --include "*20170110*" &amp; "%USERPROFILE%\Documents\GitHub\mrs-test-scripts\Headless Mode &amp; Sideloading\WalkAndUnGZ.bat" "%USERPROFILE%\AppData\Local\Temp\OnboardLogs"\RTDC4007\2017-01-10 &amp; aws s3 cp s3://rtdc.mdm.uploadarchive.raw/RTDC4007/ "%USERPROFILE%\AppData\Local\Temp\OnboardLogs"\RTDC4007\2017-01-11 --exclude "*" --recursive --include "*20170111*" &amp; "%USERPROFILE%\Documents\GitHub\mrs-test-scripts\Headless Mode &amp; Sideloading\WalkAndUnGZ.bat" "%USERPROFILE%\AppData\Local\Temp\OnboardLogs"\RTDC4007\2017-01-11</v>
      </c>
      <c r="S27" s="99" t="str">
        <f>VLOOKUP(C27,'Train Runs'!$A$13:$AE$9965,22,0)</f>
        <v>https://search-rtdc-monitor-bjffxe2xuh6vdkpspy63sjmuny.us-east-1.es.amazonaws.com/_plugin/kibana/#/discover/Steve-Slow-Train-Analysis-(2080s-and-2083s)?_g=(refreshInterval:(display:Off,section:0,value:0),time:(from:'2017-01-10 14:44:01-700',mode:absolute,to:'2017-01-10 16:51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27" s="101" t="str">
        <f t="shared" si="1"/>
        <v>"C:\Program Files (x86)\AstroGrep\AstroGrep.exe" /spath="%USERPROFILE%\AppData\Local\Temp\OnboardLogs" /stypes="*4007*201701102*" /stext=" 23:.+((SYSTEM_STATE.+slice.+state.+changed )|(ment ac)|(multiple cpu faults)|(system.+state.+changed )|(\[timeout)|(PRM\|1\|D)|(kpr)|(kdp)|(\|lc)|(penalty))" /e /r /s</v>
      </c>
      <c r="U27" s="9" t="str">
        <f t="shared" si="2"/>
        <v>4007</v>
      </c>
      <c r="V27" s="33">
        <f t="shared" si="3"/>
        <v>42745.980844907404</v>
      </c>
      <c r="W27" s="47" t="str">
        <f t="shared" si="4"/>
        <v>EC</v>
      </c>
      <c r="X27" s="47" t="str">
        <f t="shared" si="5"/>
        <v>KEEP</v>
      </c>
      <c r="Y27" s="115" t="str">
        <f t="shared" si="6"/>
        <v>echo {"issue":{"subject":"","project_id":79,"tracker_id":40,"status_id":1,"priority_id":2,"assigned_to_id":23,"start_date":"2017-01-10","description":"","custom_fields":[{"id":1,"name":"Subdivision","value":"EC"},{"id":4,"name":"Milepost","value":"23.3491"},{"id":17,"name":"Train ID","value":"197-10"},{"id":16,"name":"Locomotive ID","value":"4007"},{"id":130,"name":"Impact","value":""},{"id":150,"name":"Time of Event (Mountain Time)","value":"16:32:25"},{"id":151,"name":"Denver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0"/>
      <c r="AA27" s="50"/>
      <c r="AB27" s="50"/>
      <c r="AC27" s="134" t="str">
        <f t="shared" si="7"/>
        <v>grep -hSE -A400 "Enforcement Action" "%USERPROFILE%\AppData\Local\Temp\OnboardLogs"\RTDC4007\*4007*201701102*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"%USERPROFILE%\AppData\Local\Temp\OnboardLogs"\RTDC4007\*4007*201701102* &gt;&gt; 42745-slicedisagreementcheck.txt</v>
      </c>
      <c r="AE27" s="183" t="str">
        <f t="shared" si="8"/>
        <v>start /low /b %USERPROFILE%\Documents\GitHub\eaglep3\Utilities\DownloadLogsFromS3.py --loco 4007 --day 2017-01-10</v>
      </c>
      <c r="AF27" s="1"/>
    </row>
    <row r="28" spans="1:32" x14ac:dyDescent="0.25">
      <c r="A28" s="33">
        <v>42745.765081018515</v>
      </c>
      <c r="B28" s="31" t="s">
        <v>288</v>
      </c>
      <c r="C28" s="31" t="s">
        <v>453</v>
      </c>
      <c r="D28" s="31" t="s">
        <v>49</v>
      </c>
      <c r="E28" s="31" t="s">
        <v>197</v>
      </c>
      <c r="F28" s="44">
        <v>0</v>
      </c>
      <c r="G28" s="44">
        <v>144</v>
      </c>
      <c r="H28" s="44">
        <v>232841</v>
      </c>
      <c r="I28" s="44">
        <v>233053</v>
      </c>
      <c r="J28" s="31" t="s">
        <v>198</v>
      </c>
      <c r="K28" s="44">
        <v>233491</v>
      </c>
      <c r="L28" s="150" t="s">
        <v>50</v>
      </c>
      <c r="M28" s="151">
        <f t="shared" si="0"/>
        <v>231.26400000000001</v>
      </c>
      <c r="N28" s="152" t="str">
        <f>VLOOKUP(C28,'Trips&amp;Operators'!$C$1:$G$99999,5,FALSE)</f>
        <v>NEWELL JAMES</v>
      </c>
      <c r="O28" s="179" t="s">
        <v>194</v>
      </c>
      <c r="P28" s="153"/>
      <c r="Q28" s="31"/>
      <c r="R28" s="96" t="str">
        <f>VLOOKUP(C28,'Train Runs'!$A$13:$AE$9965,31,0)</f>
        <v>aws s3 cp s3://rtdc.mdm.uploadarchive.raw/RTDC4007/ "%USERPROFILE%\AppData\Local\Temp\OnboardLogs"\RTDC4007\2017-01-10 --exclude "*" --recursive --include "*20170110*" &amp; "%USERPROFILE%\Documents\GitHub\mrs-test-scripts\Headless Mode &amp; Sideloading\WalkAndUnGZ.bat" "%USERPROFILE%\AppData\Local\Temp\OnboardLogs"\RTDC4007\2017-01-10 &amp; aws s3 cp s3://rtdc.mdm.uploadarchive.raw/RTDC4007/ "%USERPROFILE%\AppData\Local\Temp\OnboardLogs"\RTDC4007\2017-01-11 --exclude "*" --recursive --include "*20170111*" &amp; "%USERPROFILE%\Documents\GitHub\mrs-test-scripts\Headless Mode &amp; Sideloading\WalkAndUnGZ.bat" "%USERPROFILE%\AppData\Local\Temp\OnboardLogs"\RTDC4007\2017-01-11</v>
      </c>
      <c r="S28" s="99" t="str">
        <f>VLOOKUP(C28,'Train Runs'!$A$13:$AE$9965,22,0)</f>
        <v>https://search-rtdc-monitor-bjffxe2xuh6vdkpspy63sjmuny.us-east-1.es.amazonaws.com/_plugin/kibana/#/discover/Steve-Slow-Train-Analysis-(2080s-and-2083s)?_g=(refreshInterval:(display:Off,section:0,value:0),time:(from:'2017-01-10 16:34:18-700',mode:absolute,to:'2017-01-10 19:21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28" s="101" t="str">
        <f t="shared" si="1"/>
        <v>"C:\Program Files (x86)\AstroGrep\AstroGrep.exe" /spath="%USERPROFILE%\AppData\Local\Temp\OnboardLogs" /stypes="*4007*201701110*" /stext=" 01:.+((SYSTEM_STATE.+slice.+state.+changed )|(ment ac)|(multiple cpu faults)|(system.+state.+changed )|(\[timeout)|(PRM\|1\|D)|(kpr)|(kdp)|(\|lc)|(penalty))" /e /r /s</v>
      </c>
      <c r="U28" s="9" t="str">
        <f t="shared" si="2"/>
        <v>4007</v>
      </c>
      <c r="V28" s="33">
        <f t="shared" si="3"/>
        <v>42746.056747685179</v>
      </c>
      <c r="W28" s="47" t="str">
        <f t="shared" si="4"/>
        <v>EC</v>
      </c>
      <c r="X28" s="47" t="str">
        <f t="shared" si="5"/>
        <v>KEEP</v>
      </c>
      <c r="Y28" s="115" t="str">
        <f t="shared" si="6"/>
        <v>echo {"issue":{"subject":"","project_id":79,"tracker_id":40,"status_id":1,"priority_id":2,"assigned_to_id":23,"start_date":"2017-01-10","description":"","custom_fields":[{"id":1,"name":"Subdivision","value":"EC"},{"id":4,"name":"Milepost","value":"23.3491"},{"id":17,"name":"Train ID","value":"213-10"},{"id":16,"name":"Locomotive ID","value":"4007"},{"id":130,"name":"Impact","value":""},{"id":150,"name":"Time of Event (Mountain Time)","value":"18:21:43"},{"id":151,"name":"Denver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0"/>
      <c r="AA28" s="50"/>
      <c r="AB28" s="50"/>
      <c r="AC28" s="134" t="str">
        <f t="shared" si="7"/>
        <v>grep -hSE -A400 "Enforcement Action" "%USERPROFILE%\AppData\Local\Temp\OnboardLogs"\RTDC4007\*4007*201701110*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"%USERPROFILE%\AppData\Local\Temp\OnboardLogs"\RTDC4007\*4007*201701110* &gt;&gt; 42745-slicedisagreementcheck.txt</v>
      </c>
      <c r="AE28" s="183" t="str">
        <f t="shared" si="8"/>
        <v>start /low /b %USERPROFILE%\Documents\GitHub\eaglep3\Utilities\DownloadLogsFromS3.py --loco 4007 --day 2017-01-11</v>
      </c>
      <c r="AF28" s="1"/>
    </row>
    <row r="29" spans="1:32" x14ac:dyDescent="0.25">
      <c r="A29" s="33">
        <v>42745.72252314815</v>
      </c>
      <c r="B29" s="31" t="s">
        <v>306</v>
      </c>
      <c r="C29" s="31" t="s">
        <v>448</v>
      </c>
      <c r="D29" s="31" t="s">
        <v>49</v>
      </c>
      <c r="E29" s="31" t="s">
        <v>233</v>
      </c>
      <c r="F29" s="44">
        <v>90</v>
      </c>
      <c r="G29" s="44">
        <v>216</v>
      </c>
      <c r="H29" s="44">
        <v>11593</v>
      </c>
      <c r="I29" s="44">
        <v>11172</v>
      </c>
      <c r="J29" s="31" t="s">
        <v>234</v>
      </c>
      <c r="K29" s="44">
        <v>10988</v>
      </c>
      <c r="L29" s="150" t="s">
        <v>51</v>
      </c>
      <c r="M29" s="151">
        <f t="shared" si="0"/>
        <v>97.152000000000001</v>
      </c>
      <c r="N29" s="152" t="str">
        <f>VLOOKUP(C29,'Trips&amp;Operators'!$C$1:$G$99999,5,FALSE)</f>
        <v>HILLS DUSTIN</v>
      </c>
      <c r="O29" s="179" t="s">
        <v>194</v>
      </c>
      <c r="P29" s="153" t="s">
        <v>364</v>
      </c>
      <c r="Q29" s="31"/>
      <c r="R29" s="96" t="str">
        <f>VLOOKUP(C29,'Train Runs'!$A$13:$AE$9965,31,0)</f>
        <v>aws s3 cp s3://rtdc.mdm.uploadarchive.raw/RTDC4001/ "%USERPROFILE%\AppData\Local\Temp\OnboardLogs"\RTDC4001\2017-01-10 --exclude "*" --recursive --include "*20170110*" &amp; "%USERPROFILE%\Documents\GitHub\mrs-test-scripts\Headless Mode &amp; Sideloading\WalkAndUnGZ.bat" "%USERPROFILE%\AppData\Local\Temp\OnboardLogs"\RTDC4001\2017-01-10 &amp; aws s3 cp s3://rtdc.mdm.uploadarchive.raw/RTDC4001/ "%USERPROFILE%\AppData\Local\Temp\OnboardLogs"\RTDC4001\2017-01-11 --exclude "*" --recursive --include "*20170111*" &amp; "%USERPROFILE%\Documents\GitHub\mrs-test-scripts\Headless Mode &amp; Sideloading\WalkAndUnGZ.bat" "%USERPROFILE%\AppData\Local\Temp\OnboardLogs"\RTDC4001\2017-01-11</v>
      </c>
      <c r="S29" s="99" t="str">
        <f>VLOOKUP(C29,'Train Runs'!$A$13:$AE$9965,22,0)</f>
        <v>https://search-rtdc-monitor-bjffxe2xuh6vdkpspy63sjmuny.us-east-1.es.amazonaws.com/_plugin/kibana/#/discover/Steve-Slow-Train-Analysis-(2080s-and-2083s)?_g=(refreshInterval:(display:Off,section:0,value:0),time:(from:'2017-01-10 16:08:25-700',mode:absolute,to:'2017-01-10 18:26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29" s="101" t="str">
        <f t="shared" si="1"/>
        <v>"C:\Program Files (x86)\AstroGrep\AstroGrep.exe" /spath="%USERPROFILE%\AppData\Local\Temp\OnboardLogs" /stypes="*4001*201701110*" /stext=" 00:.+((SYSTEM_STATE.+slice.+state.+changed )|(ment ac)|(multiple cpu faults)|(system.+state.+changed )|(\[timeout)|(PRM\|1\|D)|(kpr)|(kdp)|(\|lc)|(penalty))" /e /r /s</v>
      </c>
      <c r="U29" s="9" t="str">
        <f t="shared" si="2"/>
        <v>4001</v>
      </c>
      <c r="V29" s="33">
        <f t="shared" si="3"/>
        <v>42746.014189814814</v>
      </c>
      <c r="W29" s="47" t="str">
        <f t="shared" si="4"/>
        <v>NW</v>
      </c>
      <c r="X29" s="47" t="str">
        <f t="shared" si="5"/>
        <v>KEEP</v>
      </c>
      <c r="Y29" s="115" t="str">
        <f t="shared" si="6"/>
        <v>echo {"issue":{"subject":"Early arrival","project_id":79,"tracker_id":40,"status_id":1,"priority_id":2,"assigned_to_id":23,"start_date":"2017-01-10","description":"","custom_fields":[{"id":1,"name":"Subdivision","value":"NW"},{"id":4,"name":"Milepost","value":"1.0988"},{"id":17,"name":"Train ID","value":"832-10"},{"id":16,"name":"Locomotive ID","value":"4001"},{"id":130,"name":"Impact","value":""},{"id":150,"name":"Time of Event (Mountain Time)","value":"17:20:26"},{"id":151,"name":"Denver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0"/>
      <c r="AA29" s="50"/>
      <c r="AB29" s="50"/>
      <c r="AC29" s="134" t="str">
        <f t="shared" si="7"/>
        <v>grep -hSE -A400 "Enforcement Action" "%USERPROFILE%\AppData\Local\Temp\OnboardLogs"\RTDC4001\*4001*201701110*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"%USERPROFILE%\AppData\Local\Temp\OnboardLogs"\RTDC4001\*4001*201701110* &gt;&gt; 42745-slicedisagreementcheck.txt</v>
      </c>
      <c r="AE29" s="183" t="str">
        <f t="shared" si="8"/>
        <v>start /low /b %USERPROFILE%\Documents\GitHub\eaglep3\Utilities\DownloadLogsFromS3.py --loco 4001 --day 2017-01-11</v>
      </c>
      <c r="AF29" s="1"/>
    </row>
    <row r="30" spans="1:32" x14ac:dyDescent="0.25">
      <c r="A30" s="33">
        <v>42745.761874999997</v>
      </c>
      <c r="B30" s="31" t="s">
        <v>306</v>
      </c>
      <c r="C30" s="31" t="s">
        <v>452</v>
      </c>
      <c r="D30" s="31" t="s">
        <v>98</v>
      </c>
      <c r="E30" s="31" t="s">
        <v>297</v>
      </c>
      <c r="F30" s="44">
        <v>400</v>
      </c>
      <c r="G30" s="44">
        <v>458</v>
      </c>
      <c r="H30" s="44">
        <v>38729</v>
      </c>
      <c r="I30" s="44">
        <v>37441</v>
      </c>
      <c r="J30" s="31" t="s">
        <v>298</v>
      </c>
      <c r="K30" s="44">
        <v>40977</v>
      </c>
      <c r="L30" s="150" t="s">
        <v>51</v>
      </c>
      <c r="M30" s="151">
        <f t="shared" si="0"/>
        <v>-1867.008</v>
      </c>
      <c r="N30" s="152" t="str">
        <f>VLOOKUP(C30,'Trips&amp;Operators'!$C$1:$G$99999,5,FALSE)</f>
        <v>HILLS DUSTIN</v>
      </c>
      <c r="O30" s="179" t="s">
        <v>194</v>
      </c>
      <c r="P30" s="153"/>
      <c r="Q30" s="31"/>
      <c r="R30" s="96" t="str">
        <f>VLOOKUP(C30,'Train Runs'!$A$13:$AE$9965,31,0)</f>
        <v>aws s3 cp s3://rtdc.mdm.uploadarchive.raw/RTDC4001/ "%USERPROFILE%\AppData\Local\Temp\OnboardLogs"\RTDC4001\2017-01-10 --exclude "*" --recursive --include "*20170110*" &amp; "%USERPROFILE%\Documents\GitHub\mrs-test-scripts\Headless Mode &amp; Sideloading\WalkAndUnGZ.bat" "%USERPROFILE%\AppData\Local\Temp\OnboardLogs"\RTDC4001\2017-01-10 &amp; aws s3 cp s3://rtdc.mdm.uploadarchive.raw/RTDC4001/ "%USERPROFILE%\AppData\Local\Temp\OnboardLogs"\RTDC4001\2017-01-11 --exclude "*" --recursive --include "*20170111*" &amp; "%USERPROFILE%\Documents\GitHub\mrs-test-scripts\Headless Mode &amp; Sideloading\WalkAndUnGZ.bat" "%USERPROFILE%\AppData\Local\Temp\OnboardLogs"\RTDC4001\2017-01-11</v>
      </c>
      <c r="S30" s="99" t="str">
        <f>VLOOKUP(C30,'Train Runs'!$A$13:$AE$9965,22,0)</f>
        <v>https://search-rtdc-monitor-bjffxe2xuh6vdkpspy63sjmuny.us-east-1.es.amazonaws.com/_plugin/kibana/#/discover/Steve-Slow-Train-Analysis-(2080s-and-2083s)?_g=(refreshInterval:(display:Off,section:0,value:0),time:(from:'2017-01-10 17:10:09-700',mode:absolute,to:'2017-01-10 19:28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30" s="101" t="str">
        <f t="shared" si="1"/>
        <v>"C:\Program Files (x86)\AstroGrep\AstroGrep.exe" /spath="%USERPROFILE%\AppData\Local\Temp\OnboardLogs" /stypes="*4001*201701110*" /stext=" 01:.+((SYSTEM_STATE.+slice.+state.+changed )|(ment ac)|(multiple cpu faults)|(system.+state.+changed )|(\[timeout)|(PRM\|1\|D)|(kpr)|(kdp)|(\|lc)|(penalty))" /e /r /s</v>
      </c>
      <c r="U30" s="9" t="str">
        <f t="shared" si="2"/>
        <v>4001</v>
      </c>
      <c r="V30" s="33">
        <f t="shared" si="3"/>
        <v>42746.053541666661</v>
      </c>
      <c r="W30" s="47" t="str">
        <f t="shared" si="4"/>
        <v>NW</v>
      </c>
      <c r="X30" s="47" t="str">
        <f t="shared" si="5"/>
        <v>KEEP</v>
      </c>
      <c r="Y30" s="115" t="str">
        <f t="shared" si="6"/>
        <v>echo {"issue":{"subject":"","project_id":79,"tracker_id":40,"status_id":1,"priority_id":2,"assigned_to_id":23,"start_date":"2017-01-10","description":"","custom_fields":[{"id":1,"name":"Subdivision","value":"NW"},{"id":4,"name":"Milepost","value":"4.0977"},{"id":17,"name":"Train ID","value":"836-10"},{"id":16,"name":"Locomotive ID","value":"4001"},{"id":130,"name":"Impact","value":""},{"id":150,"name":"Time of Event (Mountain Time)","value":"18:17:06"},{"id":151,"name":"Denver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0"/>
      <c r="AA30" s="50"/>
      <c r="AB30" s="50"/>
      <c r="AC30" s="134" t="str">
        <f t="shared" si="7"/>
        <v>grep -hSE -A400 "Enforcement Action" "%USERPROFILE%\AppData\Local\Temp\OnboardLogs"\RTDC4001\*4001*201701110*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"%USERPROFILE%\AppData\Local\Temp\OnboardLogs"\RTDC4001\*4001*201701110* &gt;&gt; 42745-slicedisagreementcheck.txt</v>
      </c>
      <c r="AE30" s="183" t="str">
        <f t="shared" si="8"/>
        <v>start /low /b %USERPROFILE%\Documents\GitHub\eaglep3\Utilities\DownloadLogsFromS3.py --loco 4001 --day 2017-01-11</v>
      </c>
      <c r="AF30" s="1"/>
    </row>
    <row r="31" spans="1:32" x14ac:dyDescent="0.25">
      <c r="A31" s="33">
        <v>42745.251458333332</v>
      </c>
      <c r="B31" s="31" t="s">
        <v>209</v>
      </c>
      <c r="C31" s="31" t="s">
        <v>428</v>
      </c>
      <c r="D31" s="31" t="s">
        <v>49</v>
      </c>
      <c r="E31" s="31" t="s">
        <v>297</v>
      </c>
      <c r="F31" s="44">
        <v>150</v>
      </c>
      <c r="G31" s="44">
        <v>321</v>
      </c>
      <c r="H31" s="44">
        <v>55680</v>
      </c>
      <c r="I31" s="44">
        <v>56224</v>
      </c>
      <c r="J31" s="31" t="s">
        <v>298</v>
      </c>
      <c r="K31" s="44">
        <v>57008</v>
      </c>
      <c r="L31" s="150" t="s">
        <v>50</v>
      </c>
      <c r="M31" s="151">
        <f t="shared" si="0"/>
        <v>413.952</v>
      </c>
      <c r="N31" s="152" t="str">
        <f>VLOOKUP(C31,'Trips&amp;Operators'!$C$1:$G$99999,5,FALSE)</f>
        <v>YORK EDGAR</v>
      </c>
      <c r="O31" s="179" t="s">
        <v>194</v>
      </c>
      <c r="P31" s="153"/>
      <c r="Q31" s="31"/>
      <c r="R31" s="96" t="str">
        <f>VLOOKUP(C31,'Train Runs'!$A$13:$AE$9965,31,0)</f>
        <v>aws s3 cp s3://rtdc.mdm.uploadarchive.raw/RTDC4002/ "%USERPROFILE%\AppData\Local\Temp\OnboardLogs"\RTDC4002\2017-01-10 --exclude "*" --recursive --include "*20170110*" &amp; "%USERPROFILE%\Documents\GitHub\mrs-test-scripts\Headless Mode &amp; Sideloading\WalkAndUnGZ.bat" "%USERPROFILE%\AppData\Local\Temp\OnboardLogs"\RTDC4002\2017-01-10 &amp; aws s3 cp s3://rtdc.mdm.uploadarchive.raw/RTDC4002/ "%USERPROFILE%\AppData\Local\Temp\OnboardLogs"\RTDC4002\2017-01-11 --exclude "*" --recursive --include "*20170111*" &amp; "%USERPROFILE%\Documents\GitHub\mrs-test-scripts\Headless Mode &amp; Sideloading\WalkAndUnGZ.bat" "%USERPROFILE%\AppData\Local\Temp\OnboardLogs"\RTDC4002\2017-01-11</v>
      </c>
      <c r="S31" s="99" t="str">
        <f>VLOOKUP(C31,'Train Runs'!$A$13:$AE$9965,22,0)</f>
        <v>https://search-rtdc-monitor-bjffxe2xuh6vdkpspy63sjmuny.us-east-1.es.amazonaws.com/_plugin/kibana/#/discover/Steve-Slow-Train-Analysis-(2080s-and-2083s)?_g=(refreshInterval:(display:Off,section:0,value:0),time:(from:'2017-01-10 04:26:05-700',mode:absolute,to:'2017-01-10 07:04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31" s="101" t="str">
        <f t="shared" si="1"/>
        <v>"C:\Program Files (x86)\AstroGrep\AstroGrep.exe" /spath="%USERPROFILE%\AppData\Local\Temp\OnboardLogs" /stypes="*4002*201701101*" /stext=" 13:.+((SYSTEM_STATE.+slice.+state.+changed )|(ment ac)|(multiple cpu faults)|(system.+state.+changed )|(\[timeout)|(PRM\|1\|D)|(kpr)|(kdp)|(\|lc)|(penalty))" /e /r /s</v>
      </c>
      <c r="U31" s="9" t="str">
        <f t="shared" si="2"/>
        <v>4002</v>
      </c>
      <c r="V31" s="33">
        <f t="shared" si="3"/>
        <v>42745.543124999997</v>
      </c>
      <c r="W31" s="47" t="str">
        <f t="shared" si="4"/>
        <v>NW</v>
      </c>
      <c r="X31" s="47" t="str">
        <f t="shared" si="5"/>
        <v>KEEP</v>
      </c>
      <c r="Y31" s="115" t="str">
        <f t="shared" si="6"/>
        <v>echo {"issue":{"subject":"","project_id":79,"tracker_id":40,"status_id":1,"priority_id":2,"assigned_to_id":23,"start_date":"2017-01-10","description":"","custom_fields":[{"id":1,"name":"Subdivision","value":"NW"},{"id":4,"name":"Milepost","value":"5.7008"},{"id":17,"name":"Train ID","value":"801-10"},{"id":16,"name":"Locomotive ID","value":"4002"},{"id":130,"name":"Impact","value":""},{"id":150,"name":"Time of Event (Mountain Time)","value":"06:02:06"},{"id":151,"name":"Denver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0"/>
      <c r="AA31" s="50"/>
      <c r="AB31" s="50"/>
      <c r="AC31" s="134" t="str">
        <f t="shared" si="7"/>
        <v>grep -hSE -A400 "Enforcement Action" "%USERPROFILE%\AppData\Local\Temp\OnboardLogs"\RTDC4002\*4002*201701101*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"%USERPROFILE%\AppData\Local\Temp\OnboardLogs"\RTDC4002\*4002*201701101* &gt;&gt; 42745-slicedisagreementcheck.txt</v>
      </c>
      <c r="AE31" s="183" t="str">
        <f t="shared" si="8"/>
        <v>start /low /b %USERPROFILE%\Documents\GitHub\eaglep3\Utilities\DownloadLogsFromS3.py --loco 4002 --day 2017-01-10</v>
      </c>
      <c r="AF31" s="1"/>
    </row>
    <row r="32" spans="1:32" x14ac:dyDescent="0.25">
      <c r="A32" s="33">
        <v>42745.723252314812</v>
      </c>
      <c r="B32" s="31" t="s">
        <v>306</v>
      </c>
      <c r="C32" s="31" t="s">
        <v>448</v>
      </c>
      <c r="D32" s="31" t="s">
        <v>98</v>
      </c>
      <c r="E32" s="31" t="s">
        <v>449</v>
      </c>
      <c r="F32" s="44">
        <v>100</v>
      </c>
      <c r="G32" s="44">
        <v>154</v>
      </c>
      <c r="H32" s="44">
        <v>10316</v>
      </c>
      <c r="I32" s="44">
        <v>10001</v>
      </c>
      <c r="J32" s="31" t="s">
        <v>234</v>
      </c>
      <c r="K32" s="44">
        <v>11000</v>
      </c>
      <c r="L32" s="150" t="s">
        <v>51</v>
      </c>
      <c r="M32" s="151">
        <f t="shared" si="0"/>
        <v>-527.47199999999998</v>
      </c>
      <c r="N32" s="152" t="str">
        <f>VLOOKUP(C32,'Trips&amp;Operators'!$C$1:$G$99999,5,FALSE)</f>
        <v>HILLS DUSTIN</v>
      </c>
      <c r="O32" s="179" t="s">
        <v>194</v>
      </c>
      <c r="P32" s="153"/>
      <c r="Q32" s="31"/>
      <c r="R32" s="96" t="str">
        <f>VLOOKUP(C32,'Train Runs'!$A$13:$AE$9965,31,0)</f>
        <v>aws s3 cp s3://rtdc.mdm.uploadarchive.raw/RTDC4001/ "%USERPROFILE%\AppData\Local\Temp\OnboardLogs"\RTDC4001\2017-01-10 --exclude "*" --recursive --include "*20170110*" &amp; "%USERPROFILE%\Documents\GitHub\mrs-test-scripts\Headless Mode &amp; Sideloading\WalkAndUnGZ.bat" "%USERPROFILE%\AppData\Local\Temp\OnboardLogs"\RTDC4001\2017-01-10 &amp; aws s3 cp s3://rtdc.mdm.uploadarchive.raw/RTDC4001/ "%USERPROFILE%\AppData\Local\Temp\OnboardLogs"\RTDC4001\2017-01-11 --exclude "*" --recursive --include "*20170111*" &amp; "%USERPROFILE%\Documents\GitHub\mrs-test-scripts\Headless Mode &amp; Sideloading\WalkAndUnGZ.bat" "%USERPROFILE%\AppData\Local\Temp\OnboardLogs"\RTDC4001\2017-01-11</v>
      </c>
      <c r="S32" s="99" t="str">
        <f>VLOOKUP(C32,'Train Runs'!$A$13:$AE$9965,22,0)</f>
        <v>https://search-rtdc-monitor-bjffxe2xuh6vdkpspy63sjmuny.us-east-1.es.amazonaws.com/_plugin/kibana/#/discover/Steve-Slow-Train-Analysis-(2080s-and-2083s)?_g=(refreshInterval:(display:Off,section:0,value:0),time:(from:'2017-01-10 16:08:25-700',mode:absolute,to:'2017-01-10 18:26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32" s="101" t="str">
        <f t="shared" si="1"/>
        <v>"C:\Program Files (x86)\AstroGrep\AstroGrep.exe" /spath="%USERPROFILE%\AppData\Local\Temp\OnboardLogs" /stypes="*4001*201701110*" /stext=" 00:.+((SYSTEM_STATE.+slice.+state.+changed )|(ment ac)|(multiple cpu faults)|(system.+state.+changed )|(\[timeout)|(PRM\|1\|D)|(kpr)|(kdp)|(\|lc)|(penalty))" /e /r /s</v>
      </c>
      <c r="U32" s="9" t="str">
        <f t="shared" si="2"/>
        <v>4001</v>
      </c>
      <c r="V32" s="33">
        <f t="shared" si="3"/>
        <v>42746.014918981477</v>
      </c>
      <c r="W32" s="47" t="str">
        <f t="shared" si="4"/>
        <v>NW</v>
      </c>
      <c r="X32" s="47" t="str">
        <f t="shared" si="5"/>
        <v>KEEP</v>
      </c>
      <c r="Y32" s="115" t="str">
        <f t="shared" si="6"/>
        <v>echo {"issue":{"subject":"","project_id":79,"tracker_id":40,"status_id":1,"priority_id":2,"assigned_to_id":23,"start_date":"2017-01-10","description":"","custom_fields":[{"id":1,"name":"Subdivision","value":"NW"},{"id":4,"name":"Milepost","value":"1.1"},{"id":17,"name":"Train ID","value":"832-10"},{"id":16,"name":"Locomotive ID","value":"4001"},{"id":130,"name":"Impact","value":""},{"id":150,"name":"Time of Event (Mountain Time)","value":"17:21:29"},{"id":151,"name":"Denver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0"/>
      <c r="AA32" s="50"/>
      <c r="AB32" s="50"/>
      <c r="AC32" s="134" t="str">
        <f t="shared" si="7"/>
        <v>grep -hSE -A400 "Enforcement Action" "%USERPROFILE%\AppData\Local\Temp\OnboardLogs"\RTDC4001\*4001*201701110*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"%USERPROFILE%\AppData\Local\Temp\OnboardLogs"\RTDC4001\*4001*201701110* &gt;&gt; 42745-slicedisagreementcheck.txt</v>
      </c>
      <c r="AE32" s="183" t="str">
        <f t="shared" si="8"/>
        <v>start /low /b %USERPROFILE%\Documents\GitHub\eaglep3\Utilities\DownloadLogsFromS3.py --loco 4001 --day 2017-01-11</v>
      </c>
      <c r="AF32" s="1"/>
    </row>
    <row r="33" spans="1:32" x14ac:dyDescent="0.25">
      <c r="A33" s="33">
        <v>42745.684699074074</v>
      </c>
      <c r="B33" s="31" t="s">
        <v>306</v>
      </c>
      <c r="C33" s="31" t="s">
        <v>446</v>
      </c>
      <c r="D33" s="31" t="s">
        <v>49</v>
      </c>
      <c r="E33" s="31" t="s">
        <v>197</v>
      </c>
      <c r="F33" s="44">
        <v>0</v>
      </c>
      <c r="G33" s="44">
        <v>65</v>
      </c>
      <c r="H33" s="44">
        <v>810</v>
      </c>
      <c r="I33" s="44">
        <v>754</v>
      </c>
      <c r="J33" s="31" t="s">
        <v>198</v>
      </c>
      <c r="K33" s="44">
        <v>575</v>
      </c>
      <c r="L33" s="150" t="s">
        <v>51</v>
      </c>
      <c r="M33" s="151">
        <f t="shared" si="0"/>
        <v>94.512</v>
      </c>
      <c r="N33" s="152" t="str">
        <f>VLOOKUP(C33,'Trips&amp;Operators'!$C$1:$G$99999,5,FALSE)</f>
        <v>HILLS DUSTIN</v>
      </c>
      <c r="O33" s="179" t="s">
        <v>194</v>
      </c>
      <c r="P33" s="153"/>
      <c r="Q33" s="31"/>
      <c r="R33" s="96" t="str">
        <f>VLOOKUP(C33,'Train Runs'!$A$13:$AE$9965,31,0)</f>
        <v>aws s3 cp s3://rtdc.mdm.uploadarchive.raw/RTDC4001/ "%USERPROFILE%\AppData\Local\Temp\OnboardLogs"\RTDC4001\2017-01-10 --exclude "*" --recursive --include "*20170110*" &amp; "%USERPROFILE%\Documents\GitHub\mrs-test-scripts\Headless Mode &amp; Sideloading\WalkAndUnGZ.bat" "%USERPROFILE%\AppData\Local\Temp\OnboardLogs"\RTDC4001\2017-01-10 &amp; aws s3 cp s3://rtdc.mdm.uploadarchive.raw/RTDC4001/ "%USERPROFILE%\AppData\Local\Temp\OnboardLogs"\RTDC4001\2017-01-11 --exclude "*" --recursive --include "*20170111*" &amp; "%USERPROFILE%\Documents\GitHub\mrs-test-scripts\Headless Mode &amp; Sideloading\WalkAndUnGZ.bat" "%USERPROFILE%\AppData\Local\Temp\OnboardLogs"\RTDC4001\2017-01-11</v>
      </c>
      <c r="S33" s="99" t="str">
        <f>VLOOKUP(C33,'Train Runs'!$A$13:$AE$9965,22,0)</f>
        <v>https://search-rtdc-monitor-bjffxe2xuh6vdkpspy63sjmuny.us-east-1.es.amazonaws.com/_plugin/kibana/#/discover/Steve-Slow-Train-Analysis-(2080s-and-2083s)?_g=(refreshInterval:(display:Off,section:0,value:0),time:(from:'2017-01-10 15:07:40-700',mode:absolute,to:'2017-01-10 17:25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33" s="101" t="str">
        <f t="shared" si="1"/>
        <v>"C:\Program Files (x86)\AstroGrep\AstroGrep.exe" /spath="%USERPROFILE%\AppData\Local\Temp\OnboardLogs" /stypes="*4001*201701102*" /stext=" 23:.+((SYSTEM_STATE.+slice.+state.+changed )|(ment ac)|(multiple cpu faults)|(system.+state.+changed )|(\[timeout)|(PRM\|1\|D)|(kpr)|(kdp)|(\|lc)|(penalty))" /e /r /s</v>
      </c>
      <c r="U33" s="9" t="str">
        <f t="shared" si="2"/>
        <v>4001</v>
      </c>
      <c r="V33" s="33">
        <f t="shared" si="3"/>
        <v>42745.976365740738</v>
      </c>
      <c r="W33" s="47" t="str">
        <f t="shared" si="4"/>
        <v>NW</v>
      </c>
      <c r="X33" s="47" t="str">
        <f t="shared" si="5"/>
        <v>KEEP</v>
      </c>
      <c r="Y33" s="115" t="str">
        <f t="shared" si="6"/>
        <v>echo {"issue":{"subject":"","project_id":79,"tracker_id":40,"status_id":1,"priority_id":2,"assigned_to_id":23,"start_date":"2017-01-10","description":"","custom_fields":[{"id":1,"name":"Subdivision","value":"NW"},{"id":4,"name":"Milepost","value":"0.0575"},{"id":17,"name":"Train ID","value":"828-10"},{"id":16,"name":"Locomotive ID","value":"4001"},{"id":130,"name":"Impact","value":""},{"id":150,"name":"Time of Event (Mountain Time)","value":"16:25:58"},{"id":151,"name":"Denver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0"/>
      <c r="AA33" s="50"/>
      <c r="AB33" s="50"/>
      <c r="AC33" s="134" t="str">
        <f t="shared" si="7"/>
        <v>grep -hSE -A400 "Enforcement Action" "%USERPROFILE%\AppData\Local\Temp\OnboardLogs"\RTDC4001\*4001*201701102*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"%USERPROFILE%\AppData\Local\Temp\OnboardLogs"\RTDC4001\*4001*201701102* &gt;&gt; 42745-slicedisagreementcheck.txt</v>
      </c>
      <c r="AE33" s="183" t="str">
        <f t="shared" si="8"/>
        <v>start /low /b %USERPROFILE%\Documents\GitHub\eaglep3\Utilities\DownloadLogsFromS3.py --loco 4001 --day 2017-01-10</v>
      </c>
      <c r="AF33" s="1"/>
    </row>
    <row r="34" spans="1:32" x14ac:dyDescent="0.25">
      <c r="A34" s="33">
        <v>42745.726782407408</v>
      </c>
      <c r="B34" s="31" t="s">
        <v>306</v>
      </c>
      <c r="C34" s="31" t="s">
        <v>448</v>
      </c>
      <c r="D34" s="31" t="s">
        <v>49</v>
      </c>
      <c r="E34" s="31" t="s">
        <v>197</v>
      </c>
      <c r="F34" s="44">
        <v>0</v>
      </c>
      <c r="G34" s="44">
        <v>39</v>
      </c>
      <c r="H34" s="44">
        <v>675</v>
      </c>
      <c r="I34" s="44">
        <v>636</v>
      </c>
      <c r="J34" s="31" t="s">
        <v>198</v>
      </c>
      <c r="K34" s="44">
        <v>575</v>
      </c>
      <c r="L34" s="150" t="s">
        <v>51</v>
      </c>
      <c r="M34" s="151">
        <f t="shared" si="0"/>
        <v>32.207999999999998</v>
      </c>
      <c r="N34" s="152" t="str">
        <f>VLOOKUP(C34,'Trips&amp;Operators'!$C$1:$G$99999,5,FALSE)</f>
        <v>HILLS DUSTIN</v>
      </c>
      <c r="O34" s="179" t="s">
        <v>194</v>
      </c>
      <c r="P34" s="153"/>
      <c r="Q34" s="31"/>
      <c r="R34" s="96" t="str">
        <f>VLOOKUP(C34,'Train Runs'!$A$13:$AE$9965,31,0)</f>
        <v>aws s3 cp s3://rtdc.mdm.uploadarchive.raw/RTDC4001/ "%USERPROFILE%\AppData\Local\Temp\OnboardLogs"\RTDC4001\2017-01-10 --exclude "*" --recursive --include "*20170110*" &amp; "%USERPROFILE%\Documents\GitHub\mrs-test-scripts\Headless Mode &amp; Sideloading\WalkAndUnGZ.bat" "%USERPROFILE%\AppData\Local\Temp\OnboardLogs"\RTDC4001\2017-01-10 &amp; aws s3 cp s3://rtdc.mdm.uploadarchive.raw/RTDC4001/ "%USERPROFILE%\AppData\Local\Temp\OnboardLogs"\RTDC4001\2017-01-11 --exclude "*" --recursive --include "*20170111*" &amp; "%USERPROFILE%\Documents\GitHub\mrs-test-scripts\Headless Mode &amp; Sideloading\WalkAndUnGZ.bat" "%USERPROFILE%\AppData\Local\Temp\OnboardLogs"\RTDC4001\2017-01-11</v>
      </c>
      <c r="S34" s="99" t="str">
        <f>VLOOKUP(C34,'Train Runs'!$A$13:$AE$9965,22,0)</f>
        <v>https://search-rtdc-monitor-bjffxe2xuh6vdkpspy63sjmuny.us-east-1.es.amazonaws.com/_plugin/kibana/#/discover/Steve-Slow-Train-Analysis-(2080s-and-2083s)?_g=(refreshInterval:(display:Off,section:0,value:0),time:(from:'2017-01-10 16:08:25-700',mode:absolute,to:'2017-01-10 18:26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34" s="101" t="str">
        <f t="shared" si="1"/>
        <v>"C:\Program Files (x86)\AstroGrep\AstroGrep.exe" /spath="%USERPROFILE%\AppData\Local\Temp\OnboardLogs" /stypes="*4001*201701110*" /stext=" 00:.+((SYSTEM_STATE.+slice.+state.+changed )|(ment ac)|(multiple cpu faults)|(system.+state.+changed )|(\[timeout)|(PRM\|1\|D)|(kpr)|(kdp)|(\|lc)|(penalty))" /e /r /s</v>
      </c>
      <c r="U34" s="9" t="str">
        <f t="shared" si="2"/>
        <v>4001</v>
      </c>
      <c r="V34" s="33">
        <f t="shared" si="3"/>
        <v>42746.018449074072</v>
      </c>
      <c r="W34" s="47" t="str">
        <f t="shared" si="4"/>
        <v>NW</v>
      </c>
      <c r="X34" s="47" t="str">
        <f t="shared" si="5"/>
        <v>KEEP</v>
      </c>
      <c r="Y34" s="115" t="str">
        <f t="shared" si="6"/>
        <v>echo {"issue":{"subject":"","project_id":79,"tracker_id":40,"status_id":1,"priority_id":2,"assigned_to_id":23,"start_date":"2017-01-10","description":"","custom_fields":[{"id":1,"name":"Subdivision","value":"NW"},{"id":4,"name":"Milepost","value":"0.0575"},{"id":17,"name":"Train ID","value":"832-10"},{"id":16,"name":"Locomotive ID","value":"4001"},{"id":130,"name":"Impact","value":""},{"id":150,"name":"Time of Event (Mountain Time)","value":"17:26:34"},{"id":151,"name":"Denver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0"/>
      <c r="AA34" s="50"/>
      <c r="AB34" s="50"/>
      <c r="AC34" s="134" t="str">
        <f t="shared" si="7"/>
        <v>grep -hSE -A400 "Enforcement Action" "%USERPROFILE%\AppData\Local\Temp\OnboardLogs"\RTDC4001\*4001*201701110*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"%USERPROFILE%\AppData\Local\Temp\OnboardLogs"\RTDC4001\*4001*201701110* &gt;&gt; 42745-slicedisagreementcheck.txt</v>
      </c>
      <c r="AE34" s="183" t="str">
        <f t="shared" si="8"/>
        <v>start /low /b %USERPROFILE%\Documents\GitHub\eaglep3\Utilities\DownloadLogsFromS3.py --loco 4001 --day 2017-01-11</v>
      </c>
      <c r="AF34" s="1"/>
    </row>
    <row r="35" spans="1:32" x14ac:dyDescent="0.25">
      <c r="A35" s="33">
        <v>42745.913090277776</v>
      </c>
      <c r="B35" s="31" t="s">
        <v>278</v>
      </c>
      <c r="C35" s="31" t="s">
        <v>456</v>
      </c>
      <c r="D35" s="31" t="s">
        <v>49</v>
      </c>
      <c r="E35" s="31" t="s">
        <v>197</v>
      </c>
      <c r="F35" s="44">
        <v>0</v>
      </c>
      <c r="G35" s="44">
        <v>138</v>
      </c>
      <c r="H35" s="44">
        <v>1125</v>
      </c>
      <c r="I35" s="44">
        <v>969</v>
      </c>
      <c r="J35" s="31" t="s">
        <v>198</v>
      </c>
      <c r="K35" s="44">
        <v>575</v>
      </c>
      <c r="L35" s="150" t="s">
        <v>51</v>
      </c>
      <c r="M35" s="151">
        <f t="shared" si="0"/>
        <v>208.03200000000001</v>
      </c>
      <c r="N35" s="152" t="str">
        <f>VLOOKUP(C35,'Trips&amp;Operators'!$C$1:$G$99999,5,FALSE)</f>
        <v>HILLS DUSTIN</v>
      </c>
      <c r="O35" s="179" t="s">
        <v>299</v>
      </c>
      <c r="P35" s="153" t="s">
        <v>365</v>
      </c>
      <c r="Q35" s="31"/>
      <c r="R35" s="96" t="str">
        <f>VLOOKUP(C35,'Train Runs'!$A$13:$AE$9965,31,0)</f>
        <v>aws s3 cp s3://rtdc.mdm.uploadarchive.raw/RTDC4030/ "%USERPROFILE%\AppData\Local\Temp\OnboardLogs"\RTDC4030\2017-01-10 --exclude "*" --recursive --include "*20170110*" &amp; "%USERPROFILE%\Documents\GitHub\mrs-test-scripts\Headless Mode &amp; Sideloading\WalkAndUnGZ.bat" "%USERPROFILE%\AppData\Local\Temp\OnboardLogs"\RTDC4030\2017-01-10 &amp; aws s3 cp s3://rtdc.mdm.uploadarchive.raw/RTDC4030/ "%USERPROFILE%\AppData\Local\Temp\OnboardLogs"\RTDC4030\2017-01-11 --exclude "*" --recursive --include "*20170111*" &amp; "%USERPROFILE%\Documents\GitHub\mrs-test-scripts\Headless Mode &amp; Sideloading\WalkAndUnGZ.bat" "%USERPROFILE%\AppData\Local\Temp\OnboardLogs"\RTDC4030\2017-01-11</v>
      </c>
      <c r="S35" s="99" t="str">
        <f>VLOOKUP(C35,'Train Runs'!$A$13:$AE$9965,22,0)</f>
        <v>https://search-rtdc-monitor-bjffxe2xuh6vdkpspy63sjmuny.us-east-1.es.amazonaws.com/_plugin/kibana/#/discover/Steve-Slow-Train-Analysis-(2080s-and-2083s)?_g=(refreshInterval:(display:Off,section:0,value:0),time:(from:'2017-01-10 20:38:03-700',mode:absolute,to:'2017-01-10 22:54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35" s="101" t="str">
        <f t="shared" si="1"/>
        <v>"C:\Program Files (x86)\AstroGrep\AstroGrep.exe" /spath="%USERPROFILE%\AppData\Local\Temp\OnboardLogs" /stypes="*4030*201701110*" /stext=" 04:.+((SYSTEM_STATE.+slice.+state.+changed )|(ment ac)|(multiple cpu faults)|(system.+state.+changed )|(\[timeout)|(PRM\|1\|D)|(kpr)|(kdp)|(\|lc)|(penalty))" /e /r /s</v>
      </c>
      <c r="U35" s="9" t="str">
        <f t="shared" si="2"/>
        <v>4030</v>
      </c>
      <c r="V35" s="33">
        <f t="shared" si="3"/>
        <v>42746.20475694444</v>
      </c>
      <c r="W35" s="47" t="str">
        <f t="shared" si="4"/>
        <v>NW</v>
      </c>
      <c r="X35" s="47" t="str">
        <f t="shared" si="5"/>
        <v>KEEP</v>
      </c>
      <c r="Y35" s="115" t="str">
        <f t="shared" si="6"/>
        <v>echo {"issue":{"subject":"Banner without braking","project_id":79,"tracker_id":40,"status_id":1,"priority_id":2,"assigned_to_id":23,"start_date":"2017-01-10","description":"","custom_fields":[{"id":1,"name":"Subdivision","value":"NW"},{"id":4,"name":"Milepost","value":"0.0575"},{"id":17,"name":"Train ID","value":"844-10"},{"id":16,"name":"Locomotive ID","value":"4030"},{"id":130,"name":"Impact","value":""},{"id":150,"name":"Time of Event (Mountain Time)","value":"21:54:51"},{"id":151,"name":"Denver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0"/>
      <c r="AA35" s="50"/>
      <c r="AB35" s="50"/>
      <c r="AC35" s="134" t="str">
        <f t="shared" si="7"/>
        <v>grep -hSE -A400 "Enforcement Action" "%USERPROFILE%\AppData\Local\Temp\OnboardLogs"\RTDC4030\*4030*201701110*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"%USERPROFILE%\AppData\Local\Temp\OnboardLogs"\RTDC4030\*4030*201701110* &gt;&gt; 42745-slicedisagreementcheck.txt</v>
      </c>
      <c r="AE35" s="183" t="str">
        <f t="shared" si="8"/>
        <v>start /low /b %USERPROFILE%\Documents\GitHub\eaglep3\Utilities\DownloadLogsFromS3.py --loco 4030 --day 2017-01-11</v>
      </c>
      <c r="AF35" s="1"/>
    </row>
    <row r="36" spans="1:32" x14ac:dyDescent="0.25">
      <c r="A36" s="33">
        <v>42745.91375</v>
      </c>
      <c r="B36" s="31" t="s">
        <v>278</v>
      </c>
      <c r="C36" s="31" t="s">
        <v>456</v>
      </c>
      <c r="D36" s="31" t="s">
        <v>49</v>
      </c>
      <c r="E36" s="31" t="s">
        <v>197</v>
      </c>
      <c r="F36" s="44">
        <v>0</v>
      </c>
      <c r="G36" s="44">
        <v>40</v>
      </c>
      <c r="H36" s="44">
        <v>689</v>
      </c>
      <c r="I36" s="44">
        <v>642</v>
      </c>
      <c r="J36" s="31" t="s">
        <v>198</v>
      </c>
      <c r="K36" s="44">
        <v>575</v>
      </c>
      <c r="L36" s="150" t="s">
        <v>51</v>
      </c>
      <c r="M36" s="151">
        <f t="shared" si="0"/>
        <v>35.375999999999998</v>
      </c>
      <c r="N36" s="152" t="str">
        <f>VLOOKUP(C36,'Trips&amp;Operators'!$C$1:$G$99999,5,FALSE)</f>
        <v>HILLS DUSTIN</v>
      </c>
      <c r="O36" s="179" t="s">
        <v>299</v>
      </c>
      <c r="P36" s="153" t="s">
        <v>365</v>
      </c>
      <c r="Q36" s="31"/>
      <c r="R36" s="96" t="str">
        <f>VLOOKUP(C36,'Train Runs'!$A$13:$AE$9965,31,0)</f>
        <v>aws s3 cp s3://rtdc.mdm.uploadarchive.raw/RTDC4030/ "%USERPROFILE%\AppData\Local\Temp\OnboardLogs"\RTDC4030\2017-01-10 --exclude "*" --recursive --include "*20170110*" &amp; "%USERPROFILE%\Documents\GitHub\mrs-test-scripts\Headless Mode &amp; Sideloading\WalkAndUnGZ.bat" "%USERPROFILE%\AppData\Local\Temp\OnboardLogs"\RTDC4030\2017-01-10 &amp; aws s3 cp s3://rtdc.mdm.uploadarchive.raw/RTDC4030/ "%USERPROFILE%\AppData\Local\Temp\OnboardLogs"\RTDC4030\2017-01-11 --exclude "*" --recursive --include "*20170111*" &amp; "%USERPROFILE%\Documents\GitHub\mrs-test-scripts\Headless Mode &amp; Sideloading\WalkAndUnGZ.bat" "%USERPROFILE%\AppData\Local\Temp\OnboardLogs"\RTDC4030\2017-01-11</v>
      </c>
      <c r="S36" s="99" t="str">
        <f>VLOOKUP(C36,'Train Runs'!$A$13:$AE$9965,22,0)</f>
        <v>https://search-rtdc-monitor-bjffxe2xuh6vdkpspy63sjmuny.us-east-1.es.amazonaws.com/_plugin/kibana/#/discover/Steve-Slow-Train-Analysis-(2080s-and-2083s)?_g=(refreshInterval:(display:Off,section:0,value:0),time:(from:'2017-01-10 20:38:03-700',mode:absolute,to:'2017-01-10 22:54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36" s="101" t="str">
        <f t="shared" si="1"/>
        <v>"C:\Program Files (x86)\AstroGrep\AstroGrep.exe" /spath="%USERPROFILE%\AppData\Local\Temp\OnboardLogs" /stypes="*4030*201701110*" /stext=" 04:.+((SYSTEM_STATE.+slice.+state.+changed )|(ment ac)|(multiple cpu faults)|(system.+state.+changed )|(\[timeout)|(PRM\|1\|D)|(kpr)|(kdp)|(\|lc)|(penalty))" /e /r /s</v>
      </c>
      <c r="U36" s="9" t="str">
        <f t="shared" si="2"/>
        <v>4030</v>
      </c>
      <c r="V36" s="33">
        <f t="shared" si="3"/>
        <v>42746.205416666664</v>
      </c>
      <c r="W36" s="47" t="str">
        <f t="shared" si="4"/>
        <v>NW</v>
      </c>
      <c r="X36" s="47" t="str">
        <f t="shared" si="5"/>
        <v>KEEP</v>
      </c>
      <c r="Y36" s="115" t="str">
        <f t="shared" si="6"/>
        <v>echo {"issue":{"subject":"Banner without braking","project_id":79,"tracker_id":40,"status_id":1,"priority_id":2,"assigned_to_id":23,"start_date":"2017-01-10","description":"","custom_fields":[{"id":1,"name":"Subdivision","value":"NW"},{"id":4,"name":"Milepost","value":"0.0575"},{"id":17,"name":"Train ID","value":"844-10"},{"id":16,"name":"Locomotive ID","value":"4030"},{"id":130,"name":"Impact","value":""},{"id":150,"name":"Time of Event (Mountain Time)","value":"21:55:48"},{"id":151,"name":"Denver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0"/>
      <c r="AA36" s="50"/>
      <c r="AB36" s="50"/>
      <c r="AC36" s="134" t="str">
        <f t="shared" si="7"/>
        <v>grep -hSE -A400 "Enforcement Action" "%USERPROFILE%\AppData\Local\Temp\OnboardLogs"\RTDC4030\*4030*201701110*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"%USERPROFILE%\AppData\Local\Temp\OnboardLogs"\RTDC4030\*4030*201701110* &gt;&gt; 42745-slicedisagreementcheck.txt</v>
      </c>
      <c r="AE36" s="183" t="str">
        <f t="shared" si="8"/>
        <v>start /low /b %USERPROFILE%\Documents\GitHub\eaglep3\Utilities\DownloadLogsFromS3.py --loco 4030 --day 2017-01-11</v>
      </c>
      <c r="AF36" s="1"/>
    </row>
    <row r="37" spans="1:32" x14ac:dyDescent="0.25">
      <c r="A37" s="33">
        <v>42745.399050925924</v>
      </c>
      <c r="B37" s="31" t="s">
        <v>279</v>
      </c>
      <c r="C37" s="31" t="s">
        <v>433</v>
      </c>
      <c r="D37" s="31" t="s">
        <v>49</v>
      </c>
      <c r="E37" s="31" t="s">
        <v>197</v>
      </c>
      <c r="F37" s="44">
        <v>0</v>
      </c>
      <c r="G37" s="44">
        <v>53</v>
      </c>
      <c r="H37" s="44">
        <v>58920</v>
      </c>
      <c r="I37" s="44">
        <v>58980</v>
      </c>
      <c r="J37" s="31" t="s">
        <v>198</v>
      </c>
      <c r="K37" s="44">
        <v>59048</v>
      </c>
      <c r="L37" s="150" t="s">
        <v>50</v>
      </c>
      <c r="M37" s="151">
        <f t="shared" si="0"/>
        <v>35.904000000000003</v>
      </c>
      <c r="N37" s="152" t="str">
        <f>VLOOKUP(C37,'Trips&amp;Operators'!$C$1:$G$99999,5,FALSE)</f>
        <v>BROWN JACOB</v>
      </c>
      <c r="O37" s="179" t="s">
        <v>194</v>
      </c>
      <c r="P37" s="153"/>
      <c r="Q37" s="31"/>
      <c r="R37" s="96" t="str">
        <f>VLOOKUP(C37,'Train Runs'!$A$13:$AE$9965,31,0)</f>
        <v>aws s3 cp s3://rtdc.mdm.uploadarchive.raw/RTDC4029/ "%USERPROFILE%\AppData\Local\Temp\OnboardLogs"\RTDC4029\2017-01-10 --exclude "*" --recursive --include "*20170110*" &amp; "%USERPROFILE%\Documents\GitHub\mrs-test-scripts\Headless Mode &amp; Sideloading\WalkAndUnGZ.bat" "%USERPROFILE%\AppData\Local\Temp\OnboardLogs"\RTDC4029\2017-01-10 &amp; aws s3 cp s3://rtdc.mdm.uploadarchive.raw/RTDC4029/ "%USERPROFILE%\AppData\Local\Temp\OnboardLogs"\RTDC4029\2017-01-11 --exclude "*" --recursive --include "*20170111*" &amp; "%USERPROFILE%\Documents\GitHub\mrs-test-scripts\Headless Mode &amp; Sideloading\WalkAndUnGZ.bat" "%USERPROFILE%\AppData\Local\Temp\OnboardLogs"\RTDC4029\2017-01-11</v>
      </c>
      <c r="S37" s="99" t="str">
        <f>VLOOKUP(C37,'Train Runs'!$A$13:$AE$9965,22,0)</f>
        <v>https://search-rtdc-monitor-bjffxe2xuh6vdkpspy63sjmuny.us-east-1.es.amazonaws.com/_plugin/kibana/#/discover/Steve-Slow-Train-Analysis-(2080s-and-2083s)?_g=(refreshInterval:(display:Off,section:0,value:0),time:(from:'2017-01-10 08:16:09-700',mode:absolute,to:'2017-01-10 10:34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37" s="101" t="str">
        <f t="shared" si="1"/>
        <v>"C:\Program Files (x86)\AstroGrep\AstroGrep.exe" /spath="%USERPROFILE%\AppData\Local\Temp\OnboardLogs" /stypes="*4029*201701101*" /stext=" 16:.+((SYSTEM_STATE.+slice.+state.+changed )|(ment ac)|(multiple cpu faults)|(system.+state.+changed )|(\[timeout)|(PRM\|1\|D)|(kpr)|(kdp)|(\|lc)|(penalty))" /e /r /s</v>
      </c>
      <c r="U37" s="9" t="str">
        <f t="shared" si="2"/>
        <v>4029</v>
      </c>
      <c r="V37" s="33">
        <f t="shared" si="3"/>
        <v>42745.690717592588</v>
      </c>
      <c r="W37" s="47" t="str">
        <f t="shared" si="4"/>
        <v>NW</v>
      </c>
      <c r="X37" s="47" t="str">
        <f t="shared" si="5"/>
        <v>KEEP</v>
      </c>
      <c r="Y37" s="115" t="str">
        <f t="shared" si="6"/>
        <v>echo {"issue":{"subject":"","project_id":79,"tracker_id":40,"status_id":1,"priority_id":2,"assigned_to_id":23,"start_date":"2017-01-10","description":"","custom_fields":[{"id":1,"name":"Subdivision","value":"NW"},{"id":4,"name":"Milepost","value":"5.9048"},{"id":17,"name":"Train ID","value":"813-10"},{"id":16,"name":"Locomotive ID","value":"4029"},{"id":130,"name":"Impact","value":""},{"id":150,"name":"Time of Event (Mountain Time)","value":"09:34:38"},{"id":151,"name":"Denver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0"/>
      <c r="AA37" s="50"/>
      <c r="AB37" s="50"/>
      <c r="AC37" s="134" t="str">
        <f t="shared" si="7"/>
        <v>grep -hSE -A400 "Enforcement Action" "%USERPROFILE%\AppData\Local\Temp\OnboardLogs"\RTDC4029\*4029*201701101*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"%USERPROFILE%\AppData\Local\Temp\OnboardLogs"\RTDC4029\*4029*201701101* &gt;&gt; 42745-slicedisagreementcheck.txt</v>
      </c>
      <c r="AE37" s="183" t="str">
        <f t="shared" si="8"/>
        <v>start /low /b %USERPROFILE%\Documents\GitHub\eaglep3\Utilities\DownloadLogsFromS3.py --loco 4029 --day 2017-01-10</v>
      </c>
      <c r="AF37" s="1"/>
    </row>
    <row r="38" spans="1:32" x14ac:dyDescent="0.25">
      <c r="A38" s="33">
        <v>42745.712546296294</v>
      </c>
      <c r="B38" s="31" t="s">
        <v>209</v>
      </c>
      <c r="C38" s="31" t="s">
        <v>447</v>
      </c>
      <c r="D38" s="31" t="s">
        <v>49</v>
      </c>
      <c r="E38" s="31" t="s">
        <v>197</v>
      </c>
      <c r="F38" s="44">
        <v>0</v>
      </c>
      <c r="G38" s="44">
        <v>71</v>
      </c>
      <c r="H38" s="44">
        <v>58805</v>
      </c>
      <c r="I38" s="44">
        <v>58879</v>
      </c>
      <c r="J38" s="31" t="s">
        <v>198</v>
      </c>
      <c r="K38" s="44">
        <v>59048</v>
      </c>
      <c r="L38" s="150" t="s">
        <v>50</v>
      </c>
      <c r="M38" s="151">
        <f t="shared" si="0"/>
        <v>89.231999999999985</v>
      </c>
      <c r="N38" s="152" t="str">
        <f>VLOOKUP(C38,'Trips&amp;Operators'!$C$1:$G$99999,5,FALSE)</f>
        <v>HILLS DUSTIN</v>
      </c>
      <c r="O38" s="179" t="s">
        <v>194</v>
      </c>
      <c r="P38" s="153"/>
      <c r="Q38" s="31"/>
      <c r="R38" s="96" t="str">
        <f>VLOOKUP(C38,'Train Runs'!$A$13:$AE$9965,31,0)</f>
        <v>aws s3 cp s3://rtdc.mdm.uploadarchive.raw/RTDC4002/ "%USERPROFILE%\AppData\Local\Temp\OnboardLogs"\RTDC4002\2017-01-10 --exclude "*" --recursive --include "*20170110*" &amp; "%USERPROFILE%\Documents\GitHub\mrs-test-scripts\Headless Mode &amp; Sideloading\WalkAndUnGZ.bat" "%USERPROFILE%\AppData\Local\Temp\OnboardLogs"\RTDC4002\2017-01-10 &amp; aws s3 cp s3://rtdc.mdm.uploadarchive.raw/RTDC4002/ "%USERPROFILE%\AppData\Local\Temp\OnboardLogs"\RTDC4002\2017-01-11 --exclude "*" --recursive --include "*20170111*" &amp; "%USERPROFILE%\Documents\GitHub\mrs-test-scripts\Headless Mode &amp; Sideloading\WalkAndUnGZ.bat" "%USERPROFILE%\AppData\Local\Temp\OnboardLogs"\RTDC4002\2017-01-11</v>
      </c>
      <c r="S38" s="99" t="str">
        <f>VLOOKUP(C38,'Train Runs'!$A$13:$AE$9965,22,0)</f>
        <v>https://search-rtdc-monitor-bjffxe2xuh6vdkpspy63sjmuny.us-east-1.es.amazonaws.com/_plugin/kibana/#/discover/Steve-Slow-Train-Analysis-(2080s-and-2083s)?_g=(refreshInterval:(display:Off,section:0,value:0),time:(from:'2017-01-10 15:30:17-700',mode:absolute,to:'2017-01-10 18:06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38" s="101" t="str">
        <f t="shared" si="1"/>
        <v>"C:\Program Files (x86)\AstroGrep\AstroGrep.exe" /spath="%USERPROFILE%\AppData\Local\Temp\OnboardLogs" /stypes="*4002*201701110*" /stext=" 00:.+((SYSTEM_STATE.+slice.+state.+changed )|(ment ac)|(multiple cpu faults)|(system.+state.+changed )|(\[timeout)|(PRM\|1\|D)|(kpr)|(kdp)|(\|lc)|(penalty))" /e /r /s</v>
      </c>
      <c r="U38" s="9" t="str">
        <f t="shared" si="2"/>
        <v>4002</v>
      </c>
      <c r="V38" s="33">
        <f t="shared" si="3"/>
        <v>42746.004212962958</v>
      </c>
      <c r="W38" s="47" t="str">
        <f t="shared" si="4"/>
        <v>NW</v>
      </c>
      <c r="X38" s="47" t="str">
        <f t="shared" si="5"/>
        <v>KEEP</v>
      </c>
      <c r="Y38" s="115" t="str">
        <f t="shared" si="6"/>
        <v>echo {"issue":{"subject":"","project_id":79,"tracker_id":40,"status_id":1,"priority_id":2,"assigned_to_id":23,"start_date":"2017-01-10","description":"","custom_fields":[{"id":1,"name":"Subdivision","value":"NW"},{"id":4,"name":"Milepost","value":"5.9048"},{"id":17,"name":"Train ID","value":"831-10"},{"id":16,"name":"Locomotive ID","value":"4002"},{"id":130,"name":"Impact","value":""},{"id":150,"name":"Time of Event (Mountain Time)","value":"17:06:04"},{"id":151,"name":"Denver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0"/>
      <c r="AA38" s="50"/>
      <c r="AB38" s="50"/>
      <c r="AC38" s="134" t="str">
        <f t="shared" si="7"/>
        <v>grep -hSE -A400 "Enforcement Action" "%USERPROFILE%\AppData\Local\Temp\OnboardLogs"\RTDC4002\*4002*201701110*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"%USERPROFILE%\AppData\Local\Temp\OnboardLogs"\RTDC4002\*4002*201701110* &gt;&gt; 42745-slicedisagreementcheck.txt</v>
      </c>
      <c r="AE38" s="183" t="str">
        <f t="shared" si="8"/>
        <v>start /low /b %USERPROFILE%\Documents\GitHub\eaglep3\Utilities\DownloadLogsFromS3.py --loco 4002 --day 2017-01-11</v>
      </c>
      <c r="AF38" s="1"/>
    </row>
    <row r="39" spans="1:32" x14ac:dyDescent="0.25">
      <c r="A39" s="33">
        <v>42745.712939814817</v>
      </c>
      <c r="B39" s="31" t="s">
        <v>209</v>
      </c>
      <c r="C39" s="31" t="s">
        <v>447</v>
      </c>
      <c r="D39" s="31" t="s">
        <v>49</v>
      </c>
      <c r="E39" s="31" t="s">
        <v>197</v>
      </c>
      <c r="F39" s="44">
        <v>0</v>
      </c>
      <c r="G39" s="44">
        <v>45</v>
      </c>
      <c r="H39" s="44">
        <v>58911</v>
      </c>
      <c r="I39" s="44">
        <v>58975</v>
      </c>
      <c r="J39" s="31" t="s">
        <v>198</v>
      </c>
      <c r="K39" s="44">
        <v>59048</v>
      </c>
      <c r="L39" s="150" t="s">
        <v>50</v>
      </c>
      <c r="M39" s="151">
        <f t="shared" si="0"/>
        <v>38.543999999999997</v>
      </c>
      <c r="N39" s="152" t="str">
        <f>VLOOKUP(C39,'Trips&amp;Operators'!$C$1:$G$99999,5,FALSE)</f>
        <v>HILLS DUSTIN</v>
      </c>
      <c r="O39" s="179" t="s">
        <v>194</v>
      </c>
      <c r="P39" s="153"/>
      <c r="Q39" s="31"/>
      <c r="R39" s="96" t="str">
        <f>VLOOKUP(C39,'Train Runs'!$A$13:$AE$9965,31,0)</f>
        <v>aws s3 cp s3://rtdc.mdm.uploadarchive.raw/RTDC4002/ "%USERPROFILE%\AppData\Local\Temp\OnboardLogs"\RTDC4002\2017-01-10 --exclude "*" --recursive --include "*20170110*" &amp; "%USERPROFILE%\Documents\GitHub\mrs-test-scripts\Headless Mode &amp; Sideloading\WalkAndUnGZ.bat" "%USERPROFILE%\AppData\Local\Temp\OnboardLogs"\RTDC4002\2017-01-10 &amp; aws s3 cp s3://rtdc.mdm.uploadarchive.raw/RTDC4002/ "%USERPROFILE%\AppData\Local\Temp\OnboardLogs"\RTDC4002\2017-01-11 --exclude "*" --recursive --include "*20170111*" &amp; "%USERPROFILE%\Documents\GitHub\mrs-test-scripts\Headless Mode &amp; Sideloading\WalkAndUnGZ.bat" "%USERPROFILE%\AppData\Local\Temp\OnboardLogs"\RTDC4002\2017-01-11</v>
      </c>
      <c r="S39" s="99" t="str">
        <f>VLOOKUP(C39,'Train Runs'!$A$13:$AE$9965,22,0)</f>
        <v>https://search-rtdc-monitor-bjffxe2xuh6vdkpspy63sjmuny.us-east-1.es.amazonaws.com/_plugin/kibana/#/discover/Steve-Slow-Train-Analysis-(2080s-and-2083s)?_g=(refreshInterval:(display:Off,section:0,value:0),time:(from:'2017-01-10 15:30:17-700',mode:absolute,to:'2017-01-10 18:06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39" s="101" t="str">
        <f t="shared" si="1"/>
        <v>"C:\Program Files (x86)\AstroGrep\AstroGrep.exe" /spath="%USERPROFILE%\AppData\Local\Temp\OnboardLogs" /stypes="*4002*201701110*" /stext=" 00:.+((SYSTEM_STATE.+slice.+state.+changed )|(ment ac)|(multiple cpu faults)|(system.+state.+changed )|(\[timeout)|(PRM\|1\|D)|(kpr)|(kdp)|(\|lc)|(penalty))" /e /r /s</v>
      </c>
      <c r="U39" s="9" t="str">
        <f t="shared" si="2"/>
        <v>4002</v>
      </c>
      <c r="V39" s="33">
        <f t="shared" si="3"/>
        <v>42746.004606481481</v>
      </c>
      <c r="W39" s="47" t="str">
        <f t="shared" si="4"/>
        <v>NW</v>
      </c>
      <c r="X39" s="47" t="str">
        <f t="shared" si="5"/>
        <v>KEEP</v>
      </c>
      <c r="Y39" s="115" t="str">
        <f t="shared" si="6"/>
        <v>echo {"issue":{"subject":"","project_id":79,"tracker_id":40,"status_id":1,"priority_id":2,"assigned_to_id":23,"start_date":"2017-01-10","description":"","custom_fields":[{"id":1,"name":"Subdivision","value":"NW"},{"id":4,"name":"Milepost","value":"5.9048"},{"id":17,"name":"Train ID","value":"831-10"},{"id":16,"name":"Locomotive ID","value":"4002"},{"id":130,"name":"Impact","value":""},{"id":150,"name":"Time of Event (Mountain Time)","value":"17:06:38"},{"id":151,"name":"Denver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0"/>
      <c r="AA39" s="50"/>
      <c r="AB39" s="50"/>
      <c r="AC39" s="134" t="str">
        <f t="shared" si="7"/>
        <v>grep -hSE -A400 "Enforcement Action" "%USERPROFILE%\AppData\Local\Temp\OnboardLogs"\RTDC4002\*4002*201701110*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"&amp;Variables!$A$2&amp;"-slicedisagreementcheck.txt"</f>
        <v>grep -hSE "Enforcement Action" "%USERPROFILE%\AppData\Local\Temp\OnboardLogs"\RTDC4002\*4002*201701110* &gt;&gt; 42745-slicedisagreementcheck.txt</v>
      </c>
      <c r="AE39" s="183" t="str">
        <f t="shared" si="8"/>
        <v>start /low /b %USERPROFILE%\Documents\GitHub\eaglep3\Utilities\DownloadLogsFromS3.py --loco 4002 --day 2017-01-11</v>
      </c>
      <c r="AF39" s="1"/>
    </row>
    <row r="40" spans="1:32" x14ac:dyDescent="0.25">
      <c r="A40" s="33">
        <v>42745.899918981479</v>
      </c>
      <c r="B40" s="31" t="s">
        <v>279</v>
      </c>
      <c r="C40" s="31" t="s">
        <v>455</v>
      </c>
      <c r="D40" s="31" t="s">
        <v>49</v>
      </c>
      <c r="E40" s="31" t="s">
        <v>197</v>
      </c>
      <c r="F40" s="44">
        <v>0</v>
      </c>
      <c r="G40" s="44">
        <v>27</v>
      </c>
      <c r="H40" s="44">
        <v>58999</v>
      </c>
      <c r="I40" s="44">
        <v>59022</v>
      </c>
      <c r="J40" s="31" t="s">
        <v>198</v>
      </c>
      <c r="K40" s="44">
        <v>59048</v>
      </c>
      <c r="L40" s="150" t="s">
        <v>50</v>
      </c>
      <c r="M40" s="151">
        <f t="shared" si="0"/>
        <v>13.728</v>
      </c>
      <c r="N40" s="152" t="str">
        <f>VLOOKUP(C40,'Trips&amp;Operators'!$C$1:$G$99999,5,FALSE)</f>
        <v>HILLS DUSTIN</v>
      </c>
      <c r="O40" s="179" t="s">
        <v>194</v>
      </c>
      <c r="P40" s="153"/>
      <c r="Q40" s="31"/>
      <c r="R40" s="96" t="str">
        <f>VLOOKUP(C40,'Train Runs'!$A$13:$AE$9965,31,0)</f>
        <v>aws s3 cp s3://rtdc.mdm.uploadarchive.raw/RTDC4029/ "%USERPROFILE%\AppData\Local\Temp\OnboardLogs"\RTDC4029\2017-01-10 --exclude "*" --recursive --include "*20170110*" &amp; "%USERPROFILE%\Documents\GitHub\mrs-test-scripts\Headless Mode &amp; Sideloading\WalkAndUnGZ.bat" "%USERPROFILE%\AppData\Local\Temp\OnboardLogs"\RTDC4029\2017-01-10 &amp; aws s3 cp s3://rtdc.mdm.uploadarchive.raw/RTDC4029/ "%USERPROFILE%\AppData\Local\Temp\OnboardLogs"\RTDC4029\2017-01-11 --exclude "*" --recursive --include "*20170111*" &amp; "%USERPROFILE%\Documents\GitHub\mrs-test-scripts\Headless Mode &amp; Sideloading\WalkAndUnGZ.bat" "%USERPROFILE%\AppData\Local\Temp\OnboardLogs"\RTDC4029\2017-01-11</v>
      </c>
      <c r="S40" s="99" t="str">
        <f>VLOOKUP(C40,'Train Runs'!$A$13:$AE$9965,22,0)</f>
        <v>https://search-rtdc-monitor-bjffxe2xuh6vdkpspy63sjmuny.us-east-1.es.amazonaws.com/_plugin/kibana/#/discover/Steve-Slow-Train-Analysis-(2080s-and-2083s)?_g=(refreshInterval:(display:Off,section:0,value:0),time:(from:'2017-01-10 20:01:31-700',mode:absolute,to:'2017-01-10 22:35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40" s="101" t="str">
        <f t="shared" si="1"/>
        <v>"C:\Program Files (x86)\AstroGrep\AstroGrep.exe" /spath="%USERPROFILE%\AppData\Local\Temp\OnboardLogs" /stypes="*4029*201701110*" /stext=" 04:.+((SYSTEM_STATE.+slice.+state.+changed )|(ment ac)|(multiple cpu faults)|(system.+state.+changed )|(\[timeout)|(PRM\|1\|D)|(kpr)|(kdp)|(\|lc)|(penalty))" /e /r /s</v>
      </c>
      <c r="U40" s="9" t="str">
        <f t="shared" si="2"/>
        <v>4029</v>
      </c>
      <c r="V40" s="33">
        <f t="shared" si="3"/>
        <v>42746.191585648143</v>
      </c>
      <c r="W40" s="47" t="str">
        <f t="shared" si="4"/>
        <v>NW</v>
      </c>
      <c r="X40" s="47" t="str">
        <f t="shared" si="5"/>
        <v>KEEP</v>
      </c>
      <c r="Y40" s="115" t="str">
        <f t="shared" si="6"/>
        <v>echo {"issue":{"subject":"","project_id":79,"tracker_id":40,"status_id":1,"priority_id":2,"assigned_to_id":23,"start_date":"2017-01-10","description":"","custom_fields":[{"id":1,"name":"Subdivision","value":"NW"},{"id":4,"name":"Milepost","value":"5.9048"},{"id":17,"name":"Train ID","value":"845-10"},{"id":16,"name":"Locomotive ID","value":"4029"},{"id":130,"name":"Impact","value":""},{"id":150,"name":"Time of Event (Mountain Time)","value":"21:35:53"},{"id":151,"name":"Denver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0"/>
      <c r="AA40" s="50"/>
      <c r="AB40" s="50"/>
      <c r="AC40" s="134" t="str">
        <f t="shared" si="7"/>
        <v>grep -hSE -A400 "Enforcement Action" "%USERPROFILE%\AppData\Local\Temp\OnboardLogs"\RTDC4029\*4029*201701110*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"&amp;Variables!$A$2&amp;"-slicedisagreementcheck.txt"</f>
        <v>grep -hSE "Enforcement Action" "%USERPROFILE%\AppData\Local\Temp\OnboardLogs"\RTDC4029\*4029*201701110* &gt;&gt; 42745-slicedisagreementcheck.txt</v>
      </c>
      <c r="AE40" s="183" t="str">
        <f t="shared" si="8"/>
        <v>start /low /b %USERPROFILE%\Documents\GitHub\eaglep3\Utilities\DownloadLogsFromS3.py --loco 4029 --day 2017-01-11</v>
      </c>
      <c r="AF40" s="1"/>
    </row>
    <row r="41" spans="1:32" x14ac:dyDescent="0.25">
      <c r="A41" s="33">
        <v>42745.751018518517</v>
      </c>
      <c r="B41" s="31" t="s">
        <v>203</v>
      </c>
      <c r="C41" s="31" t="s">
        <v>451</v>
      </c>
      <c r="D41" s="31" t="s">
        <v>49</v>
      </c>
      <c r="E41" s="31" t="s">
        <v>195</v>
      </c>
      <c r="F41" s="44">
        <v>0</v>
      </c>
      <c r="G41" s="44">
        <v>50</v>
      </c>
      <c r="H41" s="44">
        <v>25527</v>
      </c>
      <c r="I41" s="44">
        <v>25571</v>
      </c>
      <c r="J41" s="31" t="s">
        <v>196</v>
      </c>
      <c r="K41" s="44">
        <v>25696</v>
      </c>
      <c r="L41" s="150" t="s">
        <v>50</v>
      </c>
      <c r="M41" s="151">
        <f t="shared" si="0"/>
        <v>66</v>
      </c>
      <c r="N41" s="152" t="str">
        <f>VLOOKUP(C41,'Trips&amp;Operators'!$C$1:$G$99999,5,FALSE)</f>
        <v>DAVIS MICHAEL</v>
      </c>
      <c r="O41" s="179" t="s">
        <v>194</v>
      </c>
      <c r="P41" s="153"/>
      <c r="Q41" s="31"/>
      <c r="R41" s="96" t="str">
        <f>VLOOKUP(C41,'Train Runs'!$A$13:$AE$9965,31,0)</f>
        <v>aws s3 cp s3://rtdc.mdm.uploadarchive.raw/RTDC4040/ "%USERPROFILE%\AppData\Local\Temp\OnboardLogs"\RTDC4040\2017-01-10 --exclude "*" --recursive --include "*20170110*" &amp; "%USERPROFILE%\Documents\GitHub\mrs-test-scripts\Headless Mode &amp; Sideloading\WalkAndUnGZ.bat" "%USERPROFILE%\AppData\Local\Temp\OnboardLogs"\RTDC4040\2017-01-10 &amp; aws s3 cp s3://rtdc.mdm.uploadarchive.raw/RTDC4040/ "%USERPROFILE%\AppData\Local\Temp\OnboardLogs"\RTDC4040\2017-01-11 --exclude "*" --recursive --include "*20170111*" &amp; "%USERPROFILE%\Documents\GitHub\mrs-test-scripts\Headless Mode &amp; Sideloading\WalkAndUnGZ.bat" "%USERPROFILE%\AppData\Local\Temp\OnboardLogs"\RTDC4040\2017-01-11</v>
      </c>
      <c r="S41" s="99" t="str">
        <f>VLOOKUP(C41,'Train Runs'!$A$13:$AE$9965,22,0)</f>
        <v>https://search-rtdc-monitor-bjffxe2xuh6vdkpspy63sjmuny.us-east-1.es.amazonaws.com/_plugin/kibana/#/discover/Steve-Slow-Train-Analysis-(2080s-and-2083s)?_g=(refreshInterval:(display:Off,section:0,value:0),time:(from:'2017-01-10 16:34:23-700',mode:absolute,to:'2017-01-10 18:57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41" s="101" t="str">
        <f t="shared" si="1"/>
        <v>"C:\Program Files (x86)\AstroGrep\AstroGrep.exe" /spath="%USERPROFILE%\AppData\Local\Temp\OnboardLogs" /stypes="*4040*201701110*" /stext=" 01:.+((SYSTEM_STATE.+slice.+state.+changed )|(ment ac)|(multiple cpu faults)|(system.+state.+changed )|(\[timeout)|(PRM\|1\|D)|(kpr)|(kdp)|(\|lc)|(penalty))" /e /r /s</v>
      </c>
      <c r="U41" s="9" t="str">
        <f t="shared" si="2"/>
        <v>4040</v>
      </c>
      <c r="V41" s="33">
        <f t="shared" si="3"/>
        <v>42746.042685185181</v>
      </c>
      <c r="W41" s="47" t="str">
        <f t="shared" si="4"/>
        <v>Other</v>
      </c>
      <c r="X41" s="47" t="str">
        <f t="shared" si="5"/>
        <v>KEEP</v>
      </c>
      <c r="Y41" s="115" t="str">
        <f t="shared" si="6"/>
        <v>echo {"issue":{"subject":"","project_id":79,"tracker_id":40,"status_id":1,"priority_id":2,"assigned_to_id":23,"start_date":"2017-01-10","description":"","custom_fields":[{"id":1,"name":"Subdivision","value":"Other"},{"id":4,"name":"Milepost","value":"2.5696"},{"id":17,"name":"Train ID","value":"71-10"},{"id":16,"name":"Locomotive ID","value":"4040"},{"id":130,"name":"Impact","value":""},{"id":150,"name":"Time of Event (Mountain Time)","value":"18:01:28"},{"id":151,"name":"Denver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0"/>
      <c r="AA41" s="50"/>
      <c r="AB41" s="50"/>
      <c r="AC41" s="134" t="str">
        <f t="shared" si="7"/>
        <v>grep -hSE -A400 "Enforcement Action" "%USERPROFILE%\AppData\Local\Temp\OnboardLogs"\RTDC4040\*4040*201701110*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"&amp;Variables!$A$2&amp;"-slicedisagreementcheck.txt"</f>
        <v>grep -hSE "Enforcement Action" "%USERPROFILE%\AppData\Local\Temp\OnboardLogs"\RTDC4040\*4040*201701110* &gt;&gt; 42745-slicedisagreementcheck.txt</v>
      </c>
      <c r="AE41" s="183" t="str">
        <f t="shared" si="8"/>
        <v>start /low /b %USERPROFILE%\Documents\GitHub\eaglep3\Utilities\DownloadLogsFromS3.py --loco 4040 --day 2017-01-11</v>
      </c>
      <c r="AF41" s="1"/>
    </row>
    <row r="42" spans="1:32" x14ac:dyDescent="0.25">
      <c r="A42" s="33">
        <v>42745.751655092594</v>
      </c>
      <c r="B42" s="31" t="s">
        <v>203</v>
      </c>
      <c r="C42" s="31" t="s">
        <v>451</v>
      </c>
      <c r="D42" s="31" t="s">
        <v>49</v>
      </c>
      <c r="E42" s="31" t="s">
        <v>195</v>
      </c>
      <c r="F42" s="44">
        <v>0</v>
      </c>
      <c r="G42" s="44">
        <v>26</v>
      </c>
      <c r="H42" s="44">
        <v>25620</v>
      </c>
      <c r="I42" s="44">
        <v>25632</v>
      </c>
      <c r="J42" s="31" t="s">
        <v>196</v>
      </c>
      <c r="K42" s="44">
        <v>25696</v>
      </c>
      <c r="L42" s="150" t="s">
        <v>50</v>
      </c>
      <c r="M42" s="151">
        <f t="shared" si="0"/>
        <v>33.792000000000002</v>
      </c>
      <c r="N42" s="152" t="str">
        <f>VLOOKUP(C42,'Trips&amp;Operators'!$C$1:$G$99999,5,FALSE)</f>
        <v>DAVIS MICHAEL</v>
      </c>
      <c r="O42" s="179" t="s">
        <v>194</v>
      </c>
      <c r="P42" s="153"/>
      <c r="Q42" s="31"/>
      <c r="R42" s="96" t="str">
        <f>VLOOKUP(C42,'Train Runs'!$A$13:$AE$9965,31,0)</f>
        <v>aws s3 cp s3://rtdc.mdm.uploadarchive.raw/RTDC4040/ "%USERPROFILE%\AppData\Local\Temp\OnboardLogs"\RTDC4040\2017-01-10 --exclude "*" --recursive --include "*20170110*" &amp; "%USERPROFILE%\Documents\GitHub\mrs-test-scripts\Headless Mode &amp; Sideloading\WalkAndUnGZ.bat" "%USERPROFILE%\AppData\Local\Temp\OnboardLogs"\RTDC4040\2017-01-10 &amp; aws s3 cp s3://rtdc.mdm.uploadarchive.raw/RTDC4040/ "%USERPROFILE%\AppData\Local\Temp\OnboardLogs"\RTDC4040\2017-01-11 --exclude "*" --recursive --include "*20170111*" &amp; "%USERPROFILE%\Documents\GitHub\mrs-test-scripts\Headless Mode &amp; Sideloading\WalkAndUnGZ.bat" "%USERPROFILE%\AppData\Local\Temp\OnboardLogs"\RTDC4040\2017-01-11</v>
      </c>
      <c r="S42" s="99" t="str">
        <f>VLOOKUP(C42,'Train Runs'!$A$13:$AE$9965,22,0)</f>
        <v>https://search-rtdc-monitor-bjffxe2xuh6vdkpspy63sjmuny.us-east-1.es.amazonaws.com/_plugin/kibana/#/discover/Steve-Slow-Train-Analysis-(2080s-and-2083s)?_g=(refreshInterval:(display:Off,section:0,value:0),time:(from:'2017-01-10 16:34:23-700',mode:absolute,to:'2017-01-10 18:57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42" s="101" t="str">
        <f t="shared" si="1"/>
        <v>"C:\Program Files (x86)\AstroGrep\AstroGrep.exe" /spath="%USERPROFILE%\AppData\Local\Temp\OnboardLogs" /stypes="*4040*201701110*" /stext=" 01:.+((SYSTEM_STATE.+slice.+state.+changed )|(ment ac)|(multiple cpu faults)|(system.+state.+changed )|(\[timeout)|(PRM\|1\|D)|(kpr)|(kdp)|(\|lc)|(penalty))" /e /r /s</v>
      </c>
      <c r="U42" s="9" t="str">
        <f t="shared" si="2"/>
        <v>4040</v>
      </c>
      <c r="V42" s="33">
        <f t="shared" si="3"/>
        <v>42746.043321759258</v>
      </c>
      <c r="W42" s="47" t="str">
        <f t="shared" si="4"/>
        <v>Other</v>
      </c>
      <c r="X42" s="47" t="str">
        <f t="shared" si="5"/>
        <v>KEEP</v>
      </c>
      <c r="Y42" s="115" t="str">
        <f t="shared" si="6"/>
        <v>echo {"issue":{"subject":"","project_id":79,"tracker_id":40,"status_id":1,"priority_id":2,"assigned_to_id":23,"start_date":"2017-01-10","description":"","custom_fields":[{"id":1,"name":"Subdivision","value":"Other"},{"id":4,"name":"Milepost","value":"2.5696"},{"id":17,"name":"Train ID","value":"71-10"},{"id":16,"name":"Locomotive ID","value":"4040"},{"id":130,"name":"Impact","value":""},{"id":150,"name":"Time of Event (Mountain Time)","value":"18:02:23"},{"id":151,"name":"Denver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0"/>
      <c r="AA42" s="50"/>
      <c r="AB42" s="50"/>
      <c r="AC42" s="134" t="str">
        <f t="shared" si="7"/>
        <v>grep -hSE -A400 "Enforcement Action" "%USERPROFILE%\AppData\Local\Temp\OnboardLogs"\RTDC4040\*4040*201701110*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"&amp;Variables!$A$2&amp;"-slicedisagreementcheck.txt"</f>
        <v>grep -hSE "Enforcement Action" "%USERPROFILE%\AppData\Local\Temp\OnboardLogs"\RTDC4040\*4040*201701110* &gt;&gt; 42745-slicedisagreementcheck.txt</v>
      </c>
      <c r="AE42" s="183" t="str">
        <f t="shared" si="8"/>
        <v>start /low /b %USERPROFILE%\Documents\GitHub\eaglep3\Utilities\DownloadLogsFromS3.py --loco 4040 --day 2017-01-11</v>
      </c>
      <c r="AF42" s="1"/>
    </row>
    <row r="43" spans="1:32" x14ac:dyDescent="0.25">
      <c r="A43" s="33">
        <v>42745.49318287037</v>
      </c>
      <c r="B43" s="31" t="s">
        <v>248</v>
      </c>
      <c r="C43" s="31" t="s">
        <v>435</v>
      </c>
      <c r="D43" s="31" t="s">
        <v>49</v>
      </c>
      <c r="E43" s="31" t="s">
        <v>197</v>
      </c>
      <c r="F43" s="44">
        <v>0</v>
      </c>
      <c r="G43" s="44">
        <v>30</v>
      </c>
      <c r="H43" s="44">
        <v>90</v>
      </c>
      <c r="I43" s="44">
        <v>68</v>
      </c>
      <c r="J43" s="31" t="s">
        <v>198</v>
      </c>
      <c r="K43" s="44">
        <v>1</v>
      </c>
      <c r="L43" s="150" t="s">
        <v>51</v>
      </c>
      <c r="M43" s="151">
        <f t="shared" si="0"/>
        <v>35.375999999999998</v>
      </c>
      <c r="N43" s="152" t="str">
        <f>VLOOKUP(C43,'Trips&amp;Operators'!$C$1:$G$99999,5,FALSE)</f>
        <v>ADANE ELSHADAY</v>
      </c>
      <c r="O43" s="179" t="s">
        <v>194</v>
      </c>
      <c r="P43" s="153"/>
      <c r="Q43" s="31"/>
      <c r="R43" s="96" t="str">
        <f>VLOOKUP(C43,'Train Runs'!$A$13:$AE$9965,31,0)</f>
        <v>aws s3 cp s3://rtdc.mdm.uploadarchive.raw/RTDC4004/ "%USERPROFILE%\AppData\Local\Temp\OnboardLogs"\RTDC4004\2017-01-10 --exclude "*" --recursive --include "*20170110*" &amp; "%USERPROFILE%\Documents\GitHub\mrs-test-scripts\Headless Mode &amp; Sideloading\WalkAndUnGZ.bat" "%USERPROFILE%\AppData\Local\Temp\OnboardLogs"\RTDC4004\2017-01-10 &amp; aws s3 cp s3://rtdc.mdm.uploadarchive.raw/RTDC4004/ "%USERPROFILE%\AppData\Local\Temp\OnboardLogs"\RTDC4004\2017-01-11 --exclude "*" --recursive --include "*20170111*" &amp; "%USERPROFILE%\Documents\GitHub\mrs-test-scripts\Headless Mode &amp; Sideloading\WalkAndUnGZ.bat" "%USERPROFILE%\AppData\Local\Temp\OnboardLogs"\RTDC4004\2017-01-11</v>
      </c>
      <c r="S43" s="99" t="str">
        <f>VLOOKUP(C43,'Train Runs'!$A$13:$AE$9965,22,0)</f>
        <v>https://search-rtdc-monitor-bjffxe2xuh6vdkpspy63sjmuny.us-east-1.es.amazonaws.com/_plugin/kibana/#/discover/Steve-Slow-Train-Analysis-(2080s-and-2083s)?_g=(refreshInterval:(display:Off,section:0,value:0),time:(from:'2017-01-10 10:40:35-700',mode:absolute,to:'2017-01-10 12:50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43" s="101" t="str">
        <f t="shared" si="1"/>
        <v>"C:\Program Files (x86)\AstroGrep\AstroGrep.exe" /spath="%USERPROFILE%\AppData\Local\Temp\OnboardLogs" /stypes="*4004*201701101*" /stext=" 18:.+((SYSTEM_STATE.+slice.+state.+changed )|(ment ac)|(multiple cpu faults)|(system.+state.+changed )|(\[timeout)|(PRM\|1\|D)|(kpr)|(kdp)|(\|lc)|(penalty))" /e /r /s</v>
      </c>
      <c r="U43" s="9" t="str">
        <f t="shared" si="2"/>
        <v>4004</v>
      </c>
      <c r="V43" s="33">
        <f t="shared" si="3"/>
        <v>42745.784849537034</v>
      </c>
      <c r="W43" s="47" t="str">
        <f t="shared" si="4"/>
        <v>Other</v>
      </c>
      <c r="X43" s="47" t="str">
        <f t="shared" si="5"/>
        <v>KEEP</v>
      </c>
      <c r="Y43" s="115" t="str">
        <f t="shared" si="6"/>
        <v>echo {"issue":{"subject":"","project_id":79,"tracker_id":40,"status_id":1,"priority_id":2,"assigned_to_id":23,"start_date":"2017-01-10","description":"","custom_fields":[{"id":1,"name":"Subdivision","value":"Other"},{"id":4,"name":"Milepost","value":"0.0001"},{"id":17,"name":"Train ID","value":"52-10"},{"id":16,"name":"Locomotive ID","value":"4004"},{"id":130,"name":"Impact","value":""},{"id":150,"name":"Time of Event (Mountain Time)","value":"11:50:11"},{"id":151,"name":"Denver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0"/>
      <c r="AA43" s="50"/>
      <c r="AB43" s="50"/>
      <c r="AC43" s="134" t="str">
        <f t="shared" si="7"/>
        <v>grep -hSE -A400 "Enforcement Action" "%USERPROFILE%\AppData\Local\Temp\OnboardLogs"\RTDC4004\*4004*201701101*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"&amp;Variables!$A$2&amp;"-slicedisagreementcheck.txt"</f>
        <v>grep -hSE "Enforcement Action" "%USERPROFILE%\AppData\Local\Temp\OnboardLogs"\RTDC4004\*4004*201701101* &gt;&gt; 42745-slicedisagreementcheck.txt</v>
      </c>
      <c r="AE43" s="183" t="str">
        <f t="shared" si="8"/>
        <v>start /low /b %USERPROFILE%\Documents\GitHub\eaglep3\Utilities\DownloadLogsFromS3.py --loco 4004 --day 2017-01-10</v>
      </c>
      <c r="AF43" s="1"/>
    </row>
    <row r="44" spans="1:32" x14ac:dyDescent="0.25">
      <c r="A44" s="33">
        <v>42745.742222222223</v>
      </c>
      <c r="B44" s="31" t="s">
        <v>248</v>
      </c>
      <c r="C44" s="31" t="s">
        <v>450</v>
      </c>
      <c r="D44" s="31" t="s">
        <v>49</v>
      </c>
      <c r="E44" s="31" t="s">
        <v>197</v>
      </c>
      <c r="F44" s="44">
        <v>0</v>
      </c>
      <c r="G44" s="44">
        <v>18</v>
      </c>
      <c r="H44" s="44">
        <v>41</v>
      </c>
      <c r="I44" s="44">
        <v>21</v>
      </c>
      <c r="J44" s="31" t="s">
        <v>198</v>
      </c>
      <c r="K44" s="44">
        <v>1</v>
      </c>
      <c r="L44" s="150" t="s">
        <v>51</v>
      </c>
      <c r="M44" s="151">
        <f t="shared" si="0"/>
        <v>10.56</v>
      </c>
      <c r="N44" s="152" t="str">
        <f>VLOOKUP(C44,'Trips&amp;Operators'!$C$1:$G$99999,5,FALSE)</f>
        <v>NELSON ARIANE</v>
      </c>
      <c r="O44" s="179" t="s">
        <v>194</v>
      </c>
      <c r="P44" s="153"/>
      <c r="Q44" s="31"/>
      <c r="R44" s="96" t="str">
        <f>VLOOKUP(C44,'Train Runs'!$A$13:$AE$9965,31,0)</f>
        <v>aws s3 cp s3://rtdc.mdm.uploadarchive.raw/RTDC4004/ "%USERPROFILE%\AppData\Local\Temp\OnboardLogs"\RTDC4004\2017-01-10 --exclude "*" --recursive --include "*20170110*" &amp; "%USERPROFILE%\Documents\GitHub\mrs-test-scripts\Headless Mode &amp; Sideloading\WalkAndUnGZ.bat" "%USERPROFILE%\AppData\Local\Temp\OnboardLogs"\RTDC4004\2017-01-10 &amp; aws s3 cp s3://rtdc.mdm.uploadarchive.raw/RTDC4004/ "%USERPROFILE%\AppData\Local\Temp\OnboardLogs"\RTDC4004\2017-01-11 --exclude "*" --recursive --include "*20170111*" &amp; "%USERPROFILE%\Documents\GitHub\mrs-test-scripts\Headless Mode &amp; Sideloading\WalkAndUnGZ.bat" "%USERPROFILE%\AppData\Local\Temp\OnboardLogs"\RTDC4004\2017-01-11</v>
      </c>
      <c r="S44" s="99" t="str">
        <f>VLOOKUP(C44,'Train Runs'!$A$13:$AE$9965,22,0)</f>
        <v>https://search-rtdc-monitor-bjffxe2xuh6vdkpspy63sjmuny.us-east-1.es.amazonaws.com/_plugin/kibana/#/discover/Steve-Slow-Train-Analysis-(2080s-and-2083s)?_g=(refreshInterval:(display:Off,section:0,value:0),time:(from:'2017-01-10 16:36:35-700',mode:absolute,to:'2017-01-10 18:48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44" s="101" t="str">
        <f t="shared" si="1"/>
        <v>"C:\Program Files (x86)\AstroGrep\AstroGrep.exe" /spath="%USERPROFILE%\AppData\Local\Temp\OnboardLogs" /stypes="*4004*201701110*" /stext=" 00:.+((SYSTEM_STATE.+slice.+state.+changed )|(ment ac)|(multiple cpu faults)|(system.+state.+changed )|(\[timeout)|(PRM\|1\|D)|(kpr)|(kdp)|(\|lc)|(penalty))" /e /r /s</v>
      </c>
      <c r="U44" s="9" t="str">
        <f t="shared" si="2"/>
        <v>4004</v>
      </c>
      <c r="V44" s="33">
        <f t="shared" si="3"/>
        <v>42746.033888888887</v>
      </c>
      <c r="W44" s="47" t="str">
        <f t="shared" si="4"/>
        <v>Other</v>
      </c>
      <c r="X44" s="47" t="str">
        <f t="shared" si="5"/>
        <v>KEEP</v>
      </c>
      <c r="Y44" s="115" t="str">
        <f t="shared" si="6"/>
        <v>echo {"issue":{"subject":"","project_id":79,"tracker_id":40,"status_id":1,"priority_id":2,"assigned_to_id":23,"start_date":"2017-01-10","description":"","custom_fields":[{"id":1,"name":"Subdivision","value":"Other"},{"id":4,"name":"Milepost","value":"0.0001"},{"id":17,"name":"Train ID","value":"72-10"},{"id":16,"name":"Locomotive ID","value":"4004"},{"id":130,"name":"Impact","value":""},{"id":150,"name":"Time of Event (Mountain Time)","value":"17:48:48"},{"id":151,"name":"Denver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0"/>
      <c r="AA44" s="50"/>
      <c r="AB44" s="50"/>
      <c r="AC44" s="134" t="str">
        <f t="shared" si="7"/>
        <v>grep -hSE -A400 "Enforcement Action" "%USERPROFILE%\AppData\Local\Temp\OnboardLogs"\RTDC4004\*4004*201701110*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"&amp;Variables!$A$2&amp;"-slicedisagreementcheck.txt"</f>
        <v>grep -hSE "Enforcement Action" "%USERPROFILE%\AppData\Local\Temp\OnboardLogs"\RTDC4004\*4004*201701110* &gt;&gt; 42745-slicedisagreementcheck.txt</v>
      </c>
      <c r="AE44" s="183" t="str">
        <f t="shared" si="8"/>
        <v>start /low /b %USERPROFILE%\Documents\GitHub\eaglep3\Utilities\DownloadLogsFromS3.py --loco 4004 --day 2017-01-11</v>
      </c>
      <c r="AF44" s="1"/>
    </row>
    <row r="45" spans="1:32" x14ac:dyDescent="0.25">
      <c r="A45" s="33">
        <v>42745.649629629632</v>
      </c>
      <c r="B45" s="31" t="s">
        <v>306</v>
      </c>
      <c r="C45" s="31" t="s">
        <v>441</v>
      </c>
      <c r="D45" s="31" t="s">
        <v>49</v>
      </c>
      <c r="E45" s="31" t="s">
        <v>197</v>
      </c>
      <c r="F45" s="44">
        <v>0</v>
      </c>
      <c r="G45" s="44">
        <v>26</v>
      </c>
      <c r="H45" s="44">
        <v>621</v>
      </c>
      <c r="I45" s="44">
        <v>608</v>
      </c>
      <c r="J45" s="31" t="s">
        <v>198</v>
      </c>
      <c r="K45" s="44">
        <v>575</v>
      </c>
      <c r="L45" s="150" t="s">
        <v>51</v>
      </c>
      <c r="M45" s="151">
        <f t="shared" si="0"/>
        <v>17.423999999999999</v>
      </c>
      <c r="N45" s="152" t="str">
        <f>VLOOKUP(C45,'Trips&amp;Operators'!$C$1:$G$99999,5,FALSE)</f>
        <v>HILLS DUSTIN</v>
      </c>
      <c r="O45" s="179" t="s">
        <v>194</v>
      </c>
      <c r="P45" s="153"/>
      <c r="Q45" s="31"/>
      <c r="R45" s="96" t="str">
        <f>VLOOKUP(C45,'Train Runs'!$A$13:$AE$9965,31,0)</f>
        <v>aws s3 cp s3://rtdc.mdm.uploadarchive.raw/RTDC4001/ "%USERPROFILE%\AppData\Local\Temp\OnboardLogs"\RTDC4001\2017-01-10 --exclude "*" --recursive --include "*20170110*" &amp; "%USERPROFILE%\Documents\GitHub\mrs-test-scripts\Headless Mode &amp; Sideloading\WalkAndUnGZ.bat" "%USERPROFILE%\AppData\Local\Temp\OnboardLogs"\RTDC4001\2017-01-10 &amp; aws s3 cp s3://rtdc.mdm.uploadarchive.raw/RTDC4001/ "%USERPROFILE%\AppData\Local\Temp\OnboardLogs"\RTDC4001\2017-01-11 --exclude "*" --recursive --include "*20170111*" &amp; "%USERPROFILE%\Documents\GitHub\mrs-test-scripts\Headless Mode &amp; Sideloading\WalkAndUnGZ.bat" "%USERPROFILE%\AppData\Local\Temp\OnboardLogs"\RTDC4001\2017-01-11</v>
      </c>
      <c r="S45" s="99" t="str">
        <f>VLOOKUP(C45,'Train Runs'!$A$13:$AE$9965,22,0)</f>
        <v>https://search-rtdc-monitor-bjffxe2xuh6vdkpspy63sjmuny.us-east-1.es.amazonaws.com/_plugin/kibana/#/discover/Steve-Slow-Train-Analysis-(2080s-and-2083s)?_g=(refreshInterval:(display:Off,section:0,value:0),time:(from:'2017-01-10 14:25:00-700',mode:absolute,to:'2017-01-10 16:35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45" s="101" t="str">
        <f t="shared" si="1"/>
        <v>"C:\Program Files (x86)\AstroGrep\AstroGrep.exe" /spath="%USERPROFILE%\AppData\Local\Temp\OnboardLogs" /stypes="*4001*201701102*" /stext=" 22:.+((SYSTEM_STATE.+slice.+state.+changed )|(ment ac)|(multiple cpu faults)|(system.+state.+changed )|(\[timeout)|(PRM\|1\|D)|(kpr)|(kdp)|(\|lc)|(penalty))" /e /r /s</v>
      </c>
      <c r="U45" s="9" t="str">
        <f t="shared" si="2"/>
        <v>4001</v>
      </c>
      <c r="V45" s="33">
        <f t="shared" si="3"/>
        <v>42745.941296296296</v>
      </c>
      <c r="W45" s="47" t="str">
        <f t="shared" si="4"/>
        <v>Other</v>
      </c>
      <c r="X45" s="47" t="str">
        <f t="shared" si="5"/>
        <v>KEEP</v>
      </c>
      <c r="Y45" s="115" t="str">
        <f t="shared" si="6"/>
        <v>echo {"issue":{"subject":"","project_id":79,"tracker_id":40,"status_id":1,"priority_id":2,"assigned_to_id":23,"start_date":"2017-01-10","description":"","custom_fields":[{"id":1,"name":"Subdivision","value":"Other"},{"id":4,"name":"Milepost","value":"0.0575"},{"id":17,"name":"Train ID","value":"904-10"},{"id":16,"name":"Locomotive ID","value":"4001"},{"id":130,"name":"Impact","value":""},{"id":150,"name":"Time of Event (Mountain Time)","value":"15:35:28"},{"id":151,"name":"Denver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0"/>
      <c r="AA45" s="50"/>
      <c r="AB45" s="50"/>
      <c r="AC45" s="134" t="str">
        <f t="shared" si="7"/>
        <v>grep -hSE -A400 "Enforcement Action" "%USERPROFILE%\AppData\Local\Temp\OnboardLogs"\RTDC4001\*4001*201701102*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"&amp;Variables!$A$2&amp;"-slicedisagreementcheck.txt"</f>
        <v>grep -hSE "Enforcement Action" "%USERPROFILE%\AppData\Local\Temp\OnboardLogs"\RTDC4001\*4001*201701102* &gt;&gt; 42745-slicedisagreementcheck.txt</v>
      </c>
      <c r="AE45" s="183" t="str">
        <f t="shared" si="8"/>
        <v>start /low /b %USERPROFILE%\Documents\GitHub\eaglep3\Utilities\DownloadLogsFromS3.py --loco 4001 --day 2017-01-10</v>
      </c>
      <c r="AF45" s="1"/>
    </row>
    <row r="46" spans="1:32" x14ac:dyDescent="0.25">
      <c r="A46" s="33">
        <v>42745.459907407407</v>
      </c>
      <c r="B46" s="31" t="s">
        <v>204</v>
      </c>
      <c r="C46" s="31" t="s">
        <v>434</v>
      </c>
      <c r="D46" s="31" t="s">
        <v>49</v>
      </c>
      <c r="E46" s="31" t="s">
        <v>197</v>
      </c>
      <c r="F46" s="44">
        <v>0</v>
      </c>
      <c r="G46" s="44">
        <v>14</v>
      </c>
      <c r="H46" s="44">
        <v>852</v>
      </c>
      <c r="I46" s="44">
        <v>843</v>
      </c>
      <c r="J46" s="31" t="s">
        <v>198</v>
      </c>
      <c r="K46" s="44">
        <v>826</v>
      </c>
      <c r="L46" s="150" t="s">
        <v>51</v>
      </c>
      <c r="M46" s="151">
        <f t="shared" si="0"/>
        <v>8.9760000000000009</v>
      </c>
      <c r="N46" s="152" t="str">
        <f>VLOOKUP(C46,'Trips&amp;Operators'!$C$1:$G$99999,5,FALSE)</f>
        <v>COMELLA JUSTIN</v>
      </c>
      <c r="O46" s="179" t="s">
        <v>194</v>
      </c>
      <c r="P46" s="153"/>
      <c r="Q46" s="31"/>
      <c r="R46" s="96" t="str">
        <f>VLOOKUP(C46,'Train Runs'!$A$13:$AE$9965,31,0)</f>
        <v>aws s3 cp s3://rtdc.mdm.uploadarchive.raw/RTDC4039/ "%USERPROFILE%\AppData\Local\Temp\OnboardLogs"\RTDC4039\2017-01-10 --exclude "*" --recursive --include "*20170110*" &amp; "%USERPROFILE%\Documents\GitHub\mrs-test-scripts\Headless Mode &amp; Sideloading\WalkAndUnGZ.bat" "%USERPROFILE%\AppData\Local\Temp\OnboardLogs"\RTDC4039\2017-01-10 &amp; aws s3 cp s3://rtdc.mdm.uploadarchive.raw/RTDC4039/ "%USERPROFILE%\AppData\Local\Temp\OnboardLogs"\RTDC4039\2017-01-11 --exclude "*" --recursive --include "*20170111*" &amp; "%USERPROFILE%\Documents\GitHub\mrs-test-scripts\Headless Mode &amp; Sideloading\WalkAndUnGZ.bat" "%USERPROFILE%\AppData\Local\Temp\OnboardLogs"\RTDC4039\2017-01-11</v>
      </c>
      <c r="S46" s="99" t="str">
        <f>VLOOKUP(C46,'Train Runs'!$A$13:$AE$9965,22,0)</f>
        <v>https://search-rtdc-monitor-bjffxe2xuh6vdkpspy63sjmuny.us-east-1.es.amazonaws.com/_plugin/kibana/#/discover/Steve-Slow-Train-Analysis-(2080s-and-2083s)?_g=(refreshInterval:(display:Off,section:0,value:0),time:(from:'2017-01-10 09:51:07-700',mode:absolute,to:'2017-01-10 12:02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46" s="101" t="str">
        <f t="shared" si="1"/>
        <v>"C:\Program Files (x86)\AstroGrep\AstroGrep.exe" /spath="%USERPROFILE%\AppData\Local\Temp\OnboardLogs" /stypes="*4039*201701101*" /stext=" 18:.+((SYSTEM_STATE.+slice.+state.+changed )|(ment ac)|(multiple cpu faults)|(system.+state.+changed )|(\[timeout)|(PRM\|1\|D)|(kpr)|(kdp)|(\|lc)|(penalty))" /e /r /s</v>
      </c>
      <c r="U46" s="9" t="str">
        <f t="shared" si="2"/>
        <v>4039</v>
      </c>
      <c r="V46" s="33">
        <f t="shared" si="3"/>
        <v>42745.751574074071</v>
      </c>
      <c r="W46" s="47" t="str">
        <f t="shared" si="4"/>
        <v>Other</v>
      </c>
      <c r="X46" s="47" t="str">
        <f t="shared" si="5"/>
        <v>KEEP</v>
      </c>
      <c r="Y46" s="115" t="str">
        <f t="shared" si="6"/>
        <v>echo {"issue":{"subject":"","project_id":79,"tracker_id":40,"status_id":1,"priority_id":2,"assigned_to_id":23,"start_date":"2017-01-10","description":"","custom_fields":[{"id":1,"name":"Subdivision","value":"Other"},{"id":4,"name":"Milepost","value":"0.0826"},{"id":17,"name":"Train ID","value":"50-10"},{"id":16,"name":"Locomotive ID","value":"4039"},{"id":130,"name":"Impact","value":""},{"id":150,"name":"Time of Event (Mountain Time)","value":"11:02:16"},{"id":151,"name":"Denver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0"/>
      <c r="AA46" s="50"/>
      <c r="AB46" s="50"/>
      <c r="AC46" s="134" t="str">
        <f t="shared" si="7"/>
        <v>grep -hSE -A400 "Enforcement Action" "%USERPROFILE%\AppData\Local\Temp\OnboardLogs"\RTDC4039\*4039*201701101*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"&amp;Variables!$A$2&amp;"-slicedisagreementcheck.txt"</f>
        <v>grep -hSE "Enforcement Action" "%USERPROFILE%\AppData\Local\Temp\OnboardLogs"\RTDC4039\*4039*201701101* &gt;&gt; 42745-slicedisagreementcheck.txt</v>
      </c>
      <c r="AE46" s="183" t="str">
        <f t="shared" si="8"/>
        <v>start /low /b %USERPROFILE%\Documents\GitHub\eaglep3\Utilities\DownloadLogsFromS3.py --loco 4039 --day 2017-01-10</v>
      </c>
      <c r="AF46" s="1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AC71"/>
      <c r="AE71"/>
    </row>
  </sheetData>
  <autoFilter ref="A6:AC42">
    <sortState ref="A7:AC46">
      <sortCondition ref="V6:V42"/>
    </sortState>
  </autoFilter>
  <sortState ref="A7:AE46">
    <sortCondition ref="W7:W46"/>
    <sortCondition ref="E7:E46"/>
    <sortCondition ref="K7:K46"/>
    <sortCondition ref="C7:C46"/>
    <sortCondition ref="F7:F46"/>
  </sortState>
  <mergeCells count="1">
    <mergeCell ref="A5:O5"/>
  </mergeCells>
  <conditionalFormatting sqref="O6:P6 R6 O72:O1048576 O7:O46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6">
    <cfRule type="expression" dxfId="1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AA7:AA46</xm:sqref>
        </x14:dataValidation>
        <x14:dataValidation type="list" allowBlank="1" showInputMessage="1" showErrorMessage="1">
          <x14:formula1>
            <xm:f>'Redmine List Values'!$C$2:$C$15</xm:f>
          </x14:formula1>
          <xm:sqref>AB7:AB46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43"/>
  <sheetViews>
    <sheetView workbookViewId="0">
      <selection activeCell="I3" sqref="I3"/>
    </sheetView>
  </sheetViews>
  <sheetFormatPr defaultRowHeight="15" x14ac:dyDescent="0.25"/>
  <cols>
    <col min="1" max="1" width="9.140625" style="165"/>
    <col min="2" max="2" width="9.140625" style="2" customWidth="1"/>
    <col min="3" max="3" width="8" style="104" bestFit="1" customWidth="1"/>
    <col min="4" max="4" width="9.85546875" style="157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90" t="str">
        <f>"Trips that did not appear in PTC Data "&amp;TEXT(Variables!$A$2,"YYYY-mm-dd")</f>
        <v>Trips that did not appear in PTC Data 2017-01-10</v>
      </c>
      <c r="C1" s="190"/>
      <c r="D1" s="190"/>
      <c r="E1" s="190"/>
      <c r="F1" s="190"/>
    </row>
    <row r="2" spans="1:11" s="24" customFormat="1" ht="45" x14ac:dyDescent="0.25">
      <c r="A2" s="174" t="s">
        <v>153</v>
      </c>
      <c r="B2" s="106" t="s">
        <v>58</v>
      </c>
      <c r="C2" s="103" t="s">
        <v>59</v>
      </c>
      <c r="D2" s="158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67">
        <v>203</v>
      </c>
      <c r="B3" s="44" t="str">
        <f>A3&amp;"-"&amp;IF(DAY(Variables!$A$2)&lt;10,0,"")&amp;DAY(Variables!$A$2)</f>
        <v>203-10</v>
      </c>
      <c r="C3" s="154"/>
      <c r="D3" s="159"/>
      <c r="E3" s="31" t="s">
        <v>831</v>
      </c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47" t="str">
        <f t="shared" ref="I3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22203-10%22)),sort:!(Time,asc))</v>
      </c>
      <c r="J3" s="31" t="e">
        <f>VLOOKUP(B3,'Train Runs'!$A$13:$A$99962,1,FALSE)</f>
        <v>#N/A</v>
      </c>
      <c r="K3" s="21"/>
    </row>
    <row r="4" spans="1:11" x14ac:dyDescent="0.25">
      <c r="A4" s="167">
        <v>204</v>
      </c>
      <c r="B4" s="44" t="str">
        <f>A4&amp;"-"&amp;IF(DAY(Variables!$A$2)&lt;10,0,"")&amp;DAY(Variables!$A$2)</f>
        <v>204-10</v>
      </c>
      <c r="C4" s="154"/>
      <c r="D4" s="159"/>
      <c r="E4" s="31" t="s">
        <v>831</v>
      </c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47" t="str">
        <f t="shared" ref="I4:I28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4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22204-10%22)),sort:!(Time,asc))</v>
      </c>
      <c r="J4" s="31" t="e">
        <f>VLOOKUP(B4,'Train Runs'!$A$13:$A$99962,1,FALSE)</f>
        <v>#N/A</v>
      </c>
    </row>
    <row r="5" spans="1:11" x14ac:dyDescent="0.25">
      <c r="A5" s="167"/>
      <c r="B5" s="44" t="str">
        <f>A5&amp;"-"&amp;IF(DAY(Variables!$A$2)&lt;10,0,"")&amp;DAY(Variables!$A$2)</f>
        <v>-10</v>
      </c>
      <c r="C5" s="154"/>
      <c r="D5" s="159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5" s="31" t="e">
        <f>VLOOKUP(B5,'Train Runs'!$A$13:$A$99962,1,FALSE)</f>
        <v>#N/A</v>
      </c>
    </row>
    <row r="6" spans="1:11" x14ac:dyDescent="0.25">
      <c r="A6" s="167"/>
      <c r="B6" s="44" t="str">
        <f>A6&amp;"-"&amp;IF(DAY(Variables!$A$2)&lt;10,0,"")&amp;DAY(Variables!$A$2)</f>
        <v>-10</v>
      </c>
      <c r="C6" s="154"/>
      <c r="D6" s="159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6" s="31" t="e">
        <f>VLOOKUP(B6,'Train Runs'!$A$13:$A$99962,1,FALSE)</f>
        <v>#N/A</v>
      </c>
    </row>
    <row r="7" spans="1:11" x14ac:dyDescent="0.25">
      <c r="A7" s="167"/>
      <c r="B7" s="44" t="str">
        <f>A7&amp;"-"&amp;IF(DAY(Variables!$A$2)&lt;10,0,"")&amp;DAY(Variables!$A$2)</f>
        <v>-10</v>
      </c>
      <c r="C7" s="154"/>
      <c r="D7" s="159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7" s="31" t="e">
        <f>VLOOKUP(B7,'Train Runs'!$A$13:$A$99962,1,FALSE)</f>
        <v>#N/A</v>
      </c>
    </row>
    <row r="8" spans="1:11" x14ac:dyDescent="0.25">
      <c r="A8" s="167"/>
      <c r="B8" s="44" t="str">
        <f>A8&amp;"-"&amp;IF(DAY(Variables!$A$2)&lt;10,0,"")&amp;DAY(Variables!$A$2)</f>
        <v>-10</v>
      </c>
      <c r="C8" s="154"/>
      <c r="D8" s="159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8" s="31" t="e">
        <f>VLOOKUP(B8,'Train Runs'!$A$13:$A$99962,1,FALSE)</f>
        <v>#N/A</v>
      </c>
    </row>
    <row r="9" spans="1:11" x14ac:dyDescent="0.25">
      <c r="A9" s="167"/>
      <c r="B9" s="44" t="str">
        <f>A9&amp;"-"&amp;IF(DAY(Variables!$A$2)&lt;10,0,"")&amp;DAY(Variables!$A$2)</f>
        <v>-10</v>
      </c>
      <c r="C9" s="154"/>
      <c r="D9" s="159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9" s="31" t="e">
        <f>VLOOKUP(B9,'Train Runs'!$A$13:$A$99962,1,FALSE)</f>
        <v>#N/A</v>
      </c>
    </row>
    <row r="10" spans="1:11" x14ac:dyDescent="0.25">
      <c r="A10" s="167"/>
      <c r="B10" s="44" t="str">
        <f>A10&amp;"-"&amp;IF(DAY(Variables!$A$2)&lt;10,0,"")&amp;DAY(Variables!$A$2)</f>
        <v>-10</v>
      </c>
      <c r="C10" s="154"/>
      <c r="D10" s="159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0" s="31" t="e">
        <f>VLOOKUP(B10,'Train Runs'!$A$13:$A$99962,1,FALSE)</f>
        <v>#N/A</v>
      </c>
    </row>
    <row r="11" spans="1:11" x14ac:dyDescent="0.25">
      <c r="A11" s="167"/>
      <c r="B11" s="44" t="str">
        <f>A11&amp;"-"&amp;IF(DAY(Variables!$A$2)&lt;10,0,"")&amp;DAY(Variables!$A$2)</f>
        <v>-10</v>
      </c>
      <c r="C11" s="154"/>
      <c r="D11" s="159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1" s="31" t="e">
        <f>VLOOKUP(B11,'Train Runs'!$A$13:$A$99962,1,FALSE)</f>
        <v>#N/A</v>
      </c>
    </row>
    <row r="12" spans="1:11" x14ac:dyDescent="0.25">
      <c r="A12" s="167"/>
      <c r="B12" s="44" t="str">
        <f>A12&amp;"-"&amp;IF(DAY(Variables!$A$2)&lt;10,0,"")&amp;DAY(Variables!$A$2)</f>
        <v>-10</v>
      </c>
      <c r="C12" s="154"/>
      <c r="D12" s="159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2" s="31" t="e">
        <f>VLOOKUP(B12,'Train Runs'!$A$13:$A$99962,1,FALSE)</f>
        <v>#N/A</v>
      </c>
    </row>
    <row r="13" spans="1:11" x14ac:dyDescent="0.25">
      <c r="A13" s="167"/>
      <c r="B13" s="44" t="str">
        <f>A13&amp;"-"&amp;IF(DAY(Variables!$A$2)&lt;10,0,"")&amp;DAY(Variables!$A$2)</f>
        <v>-10</v>
      </c>
      <c r="C13" s="154"/>
      <c r="D13" s="159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3" s="31" t="e">
        <f>VLOOKUP(B13,'Train Runs'!$A$13:$A$99962,1,FALSE)</f>
        <v>#N/A</v>
      </c>
    </row>
    <row r="14" spans="1:11" x14ac:dyDescent="0.25">
      <c r="A14" s="167"/>
      <c r="B14" s="44" t="str">
        <f>A14&amp;"-"&amp;IF(DAY(Variables!$A$2)&lt;10,0,"")&amp;DAY(Variables!$A$2)</f>
        <v>-10</v>
      </c>
      <c r="C14" s="154"/>
      <c r="D14" s="159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4" s="31" t="e">
        <f>VLOOKUP(B14,'Train Runs'!$A$13:$A$99962,1,FALSE)</f>
        <v>#N/A</v>
      </c>
    </row>
    <row r="15" spans="1:11" x14ac:dyDescent="0.25">
      <c r="A15" s="167"/>
      <c r="B15" s="44" t="str">
        <f>A15&amp;"-"&amp;IF(DAY(Variables!$A$2)&lt;10,0,"")&amp;DAY(Variables!$A$2)</f>
        <v>-10</v>
      </c>
      <c r="C15" s="154"/>
      <c r="D15" s="159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5" s="31" t="e">
        <f>VLOOKUP(B15,'Train Runs'!$A$13:$A$99962,1,FALSE)</f>
        <v>#N/A</v>
      </c>
    </row>
    <row r="16" spans="1:11" x14ac:dyDescent="0.25">
      <c r="A16" s="167"/>
      <c r="B16" s="44" t="str">
        <f>A16&amp;"-"&amp;IF(DAY(Variables!$A$2)&lt;10,0,"")&amp;DAY(Variables!$A$2)</f>
        <v>-10</v>
      </c>
      <c r="C16" s="154"/>
      <c r="D16" s="159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6" s="31" t="e">
        <f>VLOOKUP(B16,'Train Runs'!$A$13:$A$99962,1,FALSE)</f>
        <v>#N/A</v>
      </c>
    </row>
    <row r="17" spans="1:10" x14ac:dyDescent="0.25">
      <c r="A17" s="167"/>
      <c r="B17" s="44" t="str">
        <f>A17&amp;"-"&amp;IF(DAY(Variables!$A$2)&lt;10,0,"")&amp;DAY(Variables!$A$2)</f>
        <v>-10</v>
      </c>
      <c r="C17" s="154"/>
      <c r="D17" s="159"/>
      <c r="E17" s="31"/>
      <c r="F17" s="22" t="e">
        <f>VLOOKUP(B17,'Trips&amp;Operators'!$C$2:$E$10000,3,FALSE)</f>
        <v>#N/A</v>
      </c>
      <c r="G17" s="22" t="e">
        <f>VLOOKUP(B17,'Trips&amp;Operators'!$C$1:$F$10000,4,FALSE)</f>
        <v>#N/A</v>
      </c>
      <c r="H17" s="30" t="e">
        <f>VLOOKUP(B17,'Trips&amp;Operators'!$C$1:$H$10000,5,FALSE)</f>
        <v>#N/A</v>
      </c>
      <c r="I17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7" s="31" t="e">
        <f>VLOOKUP(B17,'Train Runs'!$A$13:$A$99962,1,FALSE)</f>
        <v>#N/A</v>
      </c>
    </row>
    <row r="18" spans="1:10" x14ac:dyDescent="0.25">
      <c r="A18" s="167"/>
      <c r="B18" s="44" t="str">
        <f>A18&amp;"-"&amp;IF(DAY(Variables!$A$2)&lt;10,0,"")&amp;DAY(Variables!$A$2)</f>
        <v>-10</v>
      </c>
      <c r="C18" s="154"/>
      <c r="D18" s="159"/>
      <c r="E18" s="31"/>
      <c r="F18" s="22" t="e">
        <f>VLOOKUP(B18,'Trips&amp;Operators'!$C$2:$E$10000,3,FALSE)</f>
        <v>#N/A</v>
      </c>
      <c r="G18" s="22" t="e">
        <f>VLOOKUP(B18,'Trips&amp;Operators'!$C$1:$F$10000,4,FALSE)</f>
        <v>#N/A</v>
      </c>
      <c r="H18" s="30" t="e">
        <f>VLOOKUP(B18,'Trips&amp;Operators'!$C$1:$H$10000,5,FALSE)</f>
        <v>#N/A</v>
      </c>
      <c r="I18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8" s="31" t="e">
        <f>VLOOKUP(B18,'Train Runs'!$A$13:$A$99962,1,FALSE)</f>
        <v>#N/A</v>
      </c>
    </row>
    <row r="19" spans="1:10" x14ac:dyDescent="0.25">
      <c r="A19" s="167"/>
      <c r="B19" s="44" t="str">
        <f>A19&amp;"-"&amp;IF(DAY(Variables!$A$2)&lt;10,0,"")&amp;DAY(Variables!$A$2)</f>
        <v>-10</v>
      </c>
      <c r="C19" s="154"/>
      <c r="D19" s="159"/>
      <c r="E19" s="31"/>
      <c r="F19" s="22" t="e">
        <f>VLOOKUP(B19,'Trips&amp;Operators'!$C$2:$E$10000,3,FALSE)</f>
        <v>#N/A</v>
      </c>
      <c r="G19" s="22" t="e">
        <f>VLOOKUP(B19,'Trips&amp;Operators'!$C$1:$F$10000,4,FALSE)</f>
        <v>#N/A</v>
      </c>
      <c r="H19" s="30" t="e">
        <f>VLOOKUP(B19,'Trips&amp;Operators'!$C$1:$H$10000,5,FALSE)</f>
        <v>#N/A</v>
      </c>
      <c r="I19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9" s="31" t="e">
        <f>VLOOKUP(B19,'Train Runs'!$A$13:$A$99962,1,FALSE)</f>
        <v>#N/A</v>
      </c>
    </row>
    <row r="20" spans="1:10" x14ac:dyDescent="0.25">
      <c r="A20" s="167"/>
      <c r="B20" s="44" t="str">
        <f>A20&amp;"-"&amp;IF(DAY(Variables!$A$2)&lt;10,0,"")&amp;DAY(Variables!$A$2)</f>
        <v>-10</v>
      </c>
      <c r="C20" s="154"/>
      <c r="D20" s="159"/>
      <c r="E20" s="31"/>
      <c r="F20" s="22" t="e">
        <f>VLOOKUP(B20,'Trips&amp;Operators'!$C$2:$E$10000,3,FALSE)</f>
        <v>#N/A</v>
      </c>
      <c r="G20" s="22" t="e">
        <f>VLOOKUP(B20,'Trips&amp;Operators'!$C$1:$F$10000,4,FALSE)</f>
        <v>#N/A</v>
      </c>
      <c r="H20" s="30" t="e">
        <f>VLOOKUP(B20,'Trips&amp;Operators'!$C$1:$H$10000,5,FALSE)</f>
        <v>#N/A</v>
      </c>
      <c r="I20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20" s="31" t="e">
        <f>VLOOKUP(B20,'Train Runs'!$A$13:$A$99962,1,FALSE)</f>
        <v>#N/A</v>
      </c>
    </row>
    <row r="21" spans="1:10" x14ac:dyDescent="0.25">
      <c r="A21" s="167"/>
      <c r="B21" s="44" t="str">
        <f>A21&amp;"-"&amp;IF(DAY(Variables!$A$2)&lt;10,0,"")&amp;DAY(Variables!$A$2)</f>
        <v>-10</v>
      </c>
      <c r="C21" s="154"/>
      <c r="D21" s="159"/>
      <c r="E21" s="31"/>
      <c r="F21" s="22" t="e">
        <f>VLOOKUP(B21,'Trips&amp;Operators'!$C$2:$E$10000,3,FALSE)</f>
        <v>#N/A</v>
      </c>
      <c r="G21" s="22" t="e">
        <f>VLOOKUP(B21,'Trips&amp;Operators'!$C$1:$F$10000,4,FALSE)</f>
        <v>#N/A</v>
      </c>
      <c r="H21" s="30" t="e">
        <f>VLOOKUP(B21,'Trips&amp;Operators'!$C$1:$H$10000,5,FALSE)</f>
        <v>#N/A</v>
      </c>
      <c r="I21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21" s="31" t="e">
        <f>VLOOKUP(B21,'Train Runs'!$A$13:$A$99962,1,FALSE)</f>
        <v>#N/A</v>
      </c>
    </row>
    <row r="22" spans="1:10" x14ac:dyDescent="0.25">
      <c r="A22" s="167"/>
      <c r="B22" s="44" t="str">
        <f>A22&amp;"-"&amp;IF(DAY(Variables!$A$2)&lt;10,0,"")&amp;DAY(Variables!$A$2)</f>
        <v>-10</v>
      </c>
      <c r="C22" s="154"/>
      <c r="D22" s="159"/>
      <c r="E22" s="31"/>
      <c r="F22" s="22" t="e">
        <f>VLOOKUP(B22,'Trips&amp;Operators'!$C$2:$E$10000,3,FALSE)</f>
        <v>#N/A</v>
      </c>
      <c r="G22" s="22" t="e">
        <f>VLOOKUP(B22,'Trips&amp;Operators'!$C$1:$F$10000,4,FALSE)</f>
        <v>#N/A</v>
      </c>
      <c r="H22" s="30" t="e">
        <f>VLOOKUP(B22,'Trips&amp;Operators'!$C$1:$H$10000,5,FALSE)</f>
        <v>#N/A</v>
      </c>
      <c r="I22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22" s="31" t="e">
        <f>VLOOKUP(B22,'Train Runs'!$A$13:$A$99962,1,FALSE)</f>
        <v>#N/A</v>
      </c>
    </row>
    <row r="23" spans="1:10" x14ac:dyDescent="0.25">
      <c r="A23" s="167"/>
      <c r="B23" s="44" t="str">
        <f>A23&amp;"-"&amp;IF(DAY(Variables!$A$2)&lt;10,0,"")&amp;DAY(Variables!$A$2)</f>
        <v>-10</v>
      </c>
      <c r="C23" s="154"/>
      <c r="D23" s="159"/>
      <c r="E23" s="31"/>
      <c r="F23" s="22" t="e">
        <f>VLOOKUP(B23,'Trips&amp;Operators'!$C$2:$E$10000,3,FALSE)</f>
        <v>#N/A</v>
      </c>
      <c r="G23" s="22" t="e">
        <f>VLOOKUP(B23,'Trips&amp;Operators'!$C$1:$F$10000,4,FALSE)</f>
        <v>#N/A</v>
      </c>
      <c r="H23" s="30" t="e">
        <f>VLOOKUP(B23,'Trips&amp;Operators'!$C$1:$H$10000,5,FALSE)</f>
        <v>#N/A</v>
      </c>
      <c r="I23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23" s="31" t="e">
        <f>VLOOKUP(B23,'Train Runs'!$A$13:$A$99962,1,FALSE)</f>
        <v>#N/A</v>
      </c>
    </row>
    <row r="24" spans="1:10" x14ac:dyDescent="0.25">
      <c r="A24" s="167"/>
      <c r="B24" s="44" t="str">
        <f>A24&amp;"-"&amp;IF(DAY(Variables!$A$2)&lt;10,0,"")&amp;DAY(Variables!$A$2)</f>
        <v>-10</v>
      </c>
      <c r="C24" s="154"/>
      <c r="D24" s="159"/>
      <c r="E24" s="31"/>
      <c r="F24" s="22" t="e">
        <f>VLOOKUP(B24,'Trips&amp;Operators'!$C$2:$E$10000,3,FALSE)</f>
        <v>#N/A</v>
      </c>
      <c r="G24" s="22" t="e">
        <f>VLOOKUP(B24,'Trips&amp;Operators'!$C$1:$F$10000,4,FALSE)</f>
        <v>#N/A</v>
      </c>
      <c r="H24" s="30" t="e">
        <f>VLOOKUP(B24,'Trips&amp;Operators'!$C$1:$H$10000,5,FALSE)</f>
        <v>#N/A</v>
      </c>
      <c r="I24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24" s="31" t="e">
        <f>VLOOKUP(B24,'Train Runs'!$A$13:$A$99962,1,FALSE)</f>
        <v>#N/A</v>
      </c>
    </row>
    <row r="25" spans="1:10" x14ac:dyDescent="0.25">
      <c r="A25" s="167"/>
      <c r="B25" s="44" t="str">
        <f>A25&amp;"-"&amp;IF(DAY(Variables!$A$2)&lt;10,0,"")&amp;DAY(Variables!$A$2)</f>
        <v>-10</v>
      </c>
      <c r="C25" s="154"/>
      <c r="D25" s="159"/>
      <c r="E25" s="31"/>
      <c r="F25" s="22" t="e">
        <f>VLOOKUP(B25,'Trips&amp;Operators'!$C$2:$E$10000,3,FALSE)</f>
        <v>#N/A</v>
      </c>
      <c r="G25" s="22" t="e">
        <f>VLOOKUP(B25,'Trips&amp;Operators'!$C$1:$F$10000,4,FALSE)</f>
        <v>#N/A</v>
      </c>
      <c r="H25" s="30" t="e">
        <f>VLOOKUP(B25,'Trips&amp;Operators'!$C$1:$H$10000,5,FALSE)</f>
        <v>#N/A</v>
      </c>
      <c r="I25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25" s="31" t="e">
        <f>VLOOKUP(B25,'Train Runs'!$A$13:$A$99962,1,FALSE)</f>
        <v>#N/A</v>
      </c>
    </row>
    <row r="26" spans="1:10" x14ac:dyDescent="0.25">
      <c r="A26" s="167"/>
      <c r="B26" s="44" t="str">
        <f>A26&amp;"-"&amp;IF(DAY(Variables!$A$2)&lt;10,0,"")&amp;DAY(Variables!$A$2)</f>
        <v>-10</v>
      </c>
      <c r="C26" s="154"/>
      <c r="D26" s="159"/>
      <c r="E26" s="31"/>
      <c r="F26" s="22" t="e">
        <f>VLOOKUP(B26,'Trips&amp;Operators'!$C$2:$E$10000,3,FALSE)</f>
        <v>#N/A</v>
      </c>
      <c r="G26" s="22" t="e">
        <f>VLOOKUP(B26,'Trips&amp;Operators'!$C$1:$F$10000,4,FALSE)</f>
        <v>#N/A</v>
      </c>
      <c r="H26" s="30" t="e">
        <f>VLOOKUP(B26,'Trips&amp;Operators'!$C$1:$H$10000,5,FALSE)</f>
        <v>#N/A</v>
      </c>
      <c r="I26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26" s="31" t="e">
        <f>VLOOKUP(B26,'Train Runs'!$A$13:$A$99962,1,FALSE)</f>
        <v>#N/A</v>
      </c>
    </row>
    <row r="27" spans="1:10" x14ac:dyDescent="0.25">
      <c r="A27" s="167"/>
      <c r="B27" s="44" t="str">
        <f>A27&amp;"-"&amp;IF(DAY(Variables!$A$2)&lt;10,0,"")&amp;DAY(Variables!$A$2)</f>
        <v>-10</v>
      </c>
      <c r="C27" s="154"/>
      <c r="D27" s="159"/>
      <c r="E27" s="31"/>
      <c r="F27" s="22" t="e">
        <f>VLOOKUP(B27,'Trips&amp;Operators'!$C$2:$E$10000,3,FALSE)</f>
        <v>#N/A</v>
      </c>
      <c r="G27" s="22" t="e">
        <f>VLOOKUP(B27,'Trips&amp;Operators'!$C$1:$F$10000,4,FALSE)</f>
        <v>#N/A</v>
      </c>
      <c r="H27" s="30" t="e">
        <f>VLOOKUP(B27,'Trips&amp;Operators'!$C$1:$H$10000,5,FALSE)</f>
        <v>#N/A</v>
      </c>
      <c r="I27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27" s="31" t="e">
        <f>VLOOKUP(B27,'Train Runs'!$A$13:$A$99962,1,FALSE)</f>
        <v>#N/A</v>
      </c>
    </row>
    <row r="28" spans="1:10" x14ac:dyDescent="0.25">
      <c r="A28" s="167"/>
      <c r="B28" s="44" t="str">
        <f>A28&amp;"-"&amp;IF(DAY(Variables!$A$2)&lt;10,0,"")&amp;DAY(Variables!$A$2)</f>
        <v>-10</v>
      </c>
      <c r="C28" s="154"/>
      <c r="D28" s="159"/>
      <c r="E28" s="31"/>
      <c r="F28" s="22" t="e">
        <f>VLOOKUP(B28,'Trips&amp;Operators'!$C$2:$E$10000,3,FALSE)</f>
        <v>#N/A</v>
      </c>
      <c r="G28" s="22" t="e">
        <f>VLOOKUP(B28,'Trips&amp;Operators'!$C$1:$F$10000,4,FALSE)</f>
        <v>#N/A</v>
      </c>
      <c r="H28" s="30" t="e">
        <f>VLOOKUP(B28,'Trips&amp;Operators'!$C$1:$H$10000,5,FALSE)</f>
        <v>#N/A</v>
      </c>
      <c r="I28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28" s="31" t="e">
        <f>VLOOKUP(B28,'Train Runs'!$A$13:$A$99962,1,FALSE)</f>
        <v>#N/A</v>
      </c>
    </row>
    <row r="29" spans="1:10" x14ac:dyDescent="0.25">
      <c r="A29" s="167"/>
      <c r="B29" s="44" t="str">
        <f>A29&amp;"-"&amp;IF(DAY(Variables!$A$2)&lt;10,0,"")&amp;DAY(Variables!$A$2)</f>
        <v>-10</v>
      </c>
      <c r="C29" s="154"/>
      <c r="D29" s="159"/>
      <c r="E29" s="31"/>
      <c r="F29" s="22" t="e">
        <f>VLOOKUP(B29,'Trips&amp;Operators'!$C$2:$E$10000,3,FALSE)</f>
        <v>#N/A</v>
      </c>
      <c r="G29" s="22" t="e">
        <f>VLOOKUP(B29,'Trips&amp;Operators'!$C$1:$F$10000,4,FALSE)</f>
        <v>#N/A</v>
      </c>
      <c r="H29" s="30" t="e">
        <f>VLOOKUP(B29,'Trips&amp;Operators'!$C$1:$H$10000,5,FALSE)</f>
        <v>#N/A</v>
      </c>
      <c r="I29" s="47" t="str">
        <f t="shared" ref="I29:I92" si="2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29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29" s="31" t="e">
        <f>VLOOKUP(B29,'Train Runs'!$A$13:$A$99962,1,FALSE)</f>
        <v>#N/A</v>
      </c>
    </row>
    <row r="30" spans="1:10" x14ac:dyDescent="0.25">
      <c r="A30" s="167"/>
      <c r="B30" s="44" t="str">
        <f>A30&amp;"-"&amp;IF(DAY(Variables!$A$2)&lt;10,0,"")&amp;DAY(Variables!$A$2)</f>
        <v>-10</v>
      </c>
      <c r="C30" s="154"/>
      <c r="D30" s="159"/>
      <c r="E30" s="31"/>
      <c r="F30" s="22" t="e">
        <f>VLOOKUP(B30,'Trips&amp;Operators'!$C$2:$E$10000,3,FALSE)</f>
        <v>#N/A</v>
      </c>
      <c r="G30" s="22" t="e">
        <f>VLOOKUP(B30,'Trips&amp;Operators'!$C$1:$F$10000,4,FALSE)</f>
        <v>#N/A</v>
      </c>
      <c r="H30" s="30" t="e">
        <f>VLOOKUP(B30,'Trips&amp;Operators'!$C$1:$H$10000,5,FALSE)</f>
        <v>#N/A</v>
      </c>
      <c r="I30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30" s="31" t="e">
        <f>VLOOKUP(B30,'Train Runs'!$A$13:$A$99962,1,FALSE)</f>
        <v>#N/A</v>
      </c>
    </row>
    <row r="31" spans="1:10" x14ac:dyDescent="0.25">
      <c r="A31" s="167"/>
      <c r="B31" s="44" t="str">
        <f>A31&amp;"-"&amp;IF(DAY(Variables!$A$2)&lt;10,0,"")&amp;DAY(Variables!$A$2)</f>
        <v>-10</v>
      </c>
      <c r="C31" s="154"/>
      <c r="D31" s="159"/>
      <c r="E31" s="31"/>
      <c r="F31" s="22" t="e">
        <f>VLOOKUP(B31,'Trips&amp;Operators'!$C$2:$E$10000,3,FALSE)</f>
        <v>#N/A</v>
      </c>
      <c r="G31" s="22" t="e">
        <f>VLOOKUP(B31,'Trips&amp;Operators'!$C$1:$F$10000,4,FALSE)</f>
        <v>#N/A</v>
      </c>
      <c r="H31" s="30" t="e">
        <f>VLOOKUP(B31,'Trips&amp;Operators'!$C$1:$H$10000,5,FALSE)</f>
        <v>#N/A</v>
      </c>
      <c r="I31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31" s="31" t="e">
        <f>VLOOKUP(B31,'Train Runs'!$A$13:$A$99962,1,FALSE)</f>
        <v>#N/A</v>
      </c>
    </row>
    <row r="32" spans="1:10" x14ac:dyDescent="0.25">
      <c r="A32" s="167"/>
      <c r="B32" s="44" t="str">
        <f>A32&amp;"-"&amp;IF(DAY(Variables!$A$2)&lt;10,0,"")&amp;DAY(Variables!$A$2)</f>
        <v>-10</v>
      </c>
      <c r="C32" s="154"/>
      <c r="D32" s="159"/>
      <c r="E32" s="31"/>
      <c r="F32" s="22" t="e">
        <f>VLOOKUP(B32,'Trips&amp;Operators'!$C$2:$E$10000,3,FALSE)</f>
        <v>#N/A</v>
      </c>
      <c r="G32" s="22" t="e">
        <f>VLOOKUP(B32,'Trips&amp;Operators'!$C$1:$F$10000,4,FALSE)</f>
        <v>#N/A</v>
      </c>
      <c r="H32" s="30" t="e">
        <f>VLOOKUP(B32,'Trips&amp;Operators'!$C$1:$H$10000,5,FALSE)</f>
        <v>#N/A</v>
      </c>
      <c r="I32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32" s="31" t="e">
        <f>VLOOKUP(B32,'Train Runs'!$A$13:$A$99962,1,FALSE)</f>
        <v>#N/A</v>
      </c>
    </row>
    <row r="33" spans="1:10" x14ac:dyDescent="0.25">
      <c r="A33" s="167"/>
      <c r="B33" s="44" t="str">
        <f>A33&amp;"-"&amp;IF(DAY(Variables!$A$2)&lt;10,0,"")&amp;DAY(Variables!$A$2)</f>
        <v>-10</v>
      </c>
      <c r="C33" s="154"/>
      <c r="D33" s="159"/>
      <c r="E33" s="31"/>
      <c r="F33" s="22" t="e">
        <f>VLOOKUP(B33,'Trips&amp;Operators'!$C$2:$E$10000,3,FALSE)</f>
        <v>#N/A</v>
      </c>
      <c r="G33" s="22" t="e">
        <f>VLOOKUP(B33,'Trips&amp;Operators'!$C$1:$F$10000,4,FALSE)</f>
        <v>#N/A</v>
      </c>
      <c r="H33" s="30" t="e">
        <f>VLOOKUP(B33,'Trips&amp;Operators'!$C$1:$H$10000,5,FALSE)</f>
        <v>#N/A</v>
      </c>
      <c r="I33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33" s="31" t="e">
        <f>VLOOKUP(B33,'Train Runs'!$A$13:$A$99962,1,FALSE)</f>
        <v>#N/A</v>
      </c>
    </row>
    <row r="34" spans="1:10" x14ac:dyDescent="0.25">
      <c r="A34" s="167"/>
      <c r="B34" s="44" t="str">
        <f>A34&amp;"-"&amp;IF(DAY(Variables!$A$2)&lt;10,0,"")&amp;DAY(Variables!$A$2)</f>
        <v>-10</v>
      </c>
      <c r="C34" s="154"/>
      <c r="D34" s="159"/>
      <c r="E34" s="31"/>
      <c r="F34" s="22" t="e">
        <f>VLOOKUP(B34,'Trips&amp;Operators'!$C$2:$E$10000,3,FALSE)</f>
        <v>#N/A</v>
      </c>
      <c r="G34" s="22" t="e">
        <f>VLOOKUP(B34,'Trips&amp;Operators'!$C$1:$F$10000,4,FALSE)</f>
        <v>#N/A</v>
      </c>
      <c r="H34" s="30" t="e">
        <f>VLOOKUP(B34,'Trips&amp;Operators'!$C$1:$H$10000,5,FALSE)</f>
        <v>#N/A</v>
      </c>
      <c r="I34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34" s="31" t="e">
        <f>VLOOKUP(B34,'Train Runs'!$A$13:$A$99962,1,FALSE)</f>
        <v>#N/A</v>
      </c>
    </row>
    <row r="35" spans="1:10" x14ac:dyDescent="0.25">
      <c r="A35" s="167"/>
      <c r="B35" s="44" t="str">
        <f>A35&amp;"-"&amp;IF(DAY(Variables!$A$2)&lt;10,0,"")&amp;DAY(Variables!$A$2)</f>
        <v>-10</v>
      </c>
      <c r="C35" s="154"/>
      <c r="D35" s="159"/>
      <c r="E35" s="31"/>
      <c r="F35" s="22" t="e">
        <f>VLOOKUP(B35,'Trips&amp;Operators'!$C$2:$E$10000,3,FALSE)</f>
        <v>#N/A</v>
      </c>
      <c r="G35" s="22" t="e">
        <f>VLOOKUP(B35,'Trips&amp;Operators'!$C$1:$F$10000,4,FALSE)</f>
        <v>#N/A</v>
      </c>
      <c r="H35" s="30" t="e">
        <f>VLOOKUP(B35,'Trips&amp;Operators'!$C$1:$H$10000,5,FALSE)</f>
        <v>#N/A</v>
      </c>
      <c r="I35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35" s="31" t="e">
        <f>VLOOKUP(B35,'Train Runs'!$A$13:$A$99962,1,FALSE)</f>
        <v>#N/A</v>
      </c>
    </row>
    <row r="36" spans="1:10" x14ac:dyDescent="0.25">
      <c r="A36" s="167"/>
      <c r="B36" s="44" t="str">
        <f>A36&amp;"-"&amp;IF(DAY(Variables!$A$2)&lt;10,0,"")&amp;DAY(Variables!$A$2)</f>
        <v>-10</v>
      </c>
      <c r="C36" s="154"/>
      <c r="D36" s="159"/>
      <c r="E36" s="31"/>
      <c r="F36" s="22" t="e">
        <f>VLOOKUP(B36,'Trips&amp;Operators'!$C$2:$E$10000,3,FALSE)</f>
        <v>#N/A</v>
      </c>
      <c r="G36" s="22" t="e">
        <f>VLOOKUP(B36,'Trips&amp;Operators'!$C$1:$F$10000,4,FALSE)</f>
        <v>#N/A</v>
      </c>
      <c r="H36" s="30" t="e">
        <f>VLOOKUP(B36,'Trips&amp;Operators'!$C$1:$H$10000,5,FALSE)</f>
        <v>#N/A</v>
      </c>
      <c r="I36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36" s="31" t="e">
        <f>VLOOKUP(B36,'Train Runs'!$A$13:$A$99962,1,FALSE)</f>
        <v>#N/A</v>
      </c>
    </row>
    <row r="37" spans="1:10" x14ac:dyDescent="0.25">
      <c r="A37" s="167"/>
      <c r="B37" s="44" t="str">
        <f>A37&amp;"-"&amp;IF(DAY(Variables!$A$2)&lt;10,0,"")&amp;DAY(Variables!$A$2)</f>
        <v>-10</v>
      </c>
      <c r="C37" s="154"/>
      <c r="D37" s="159"/>
      <c r="E37" s="31"/>
      <c r="F37" s="22" t="e">
        <f>VLOOKUP(B37,'Trips&amp;Operators'!$C$2:$E$10000,3,FALSE)</f>
        <v>#N/A</v>
      </c>
      <c r="G37" s="22" t="e">
        <f>VLOOKUP(B37,'Trips&amp;Operators'!$C$1:$F$10000,4,FALSE)</f>
        <v>#N/A</v>
      </c>
      <c r="H37" s="30" t="e">
        <f>VLOOKUP(B37,'Trips&amp;Operators'!$C$1:$H$10000,5,FALSE)</f>
        <v>#N/A</v>
      </c>
      <c r="I37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37" s="31" t="e">
        <f>VLOOKUP(B37,'Train Runs'!$A$13:$A$99962,1,FALSE)</f>
        <v>#N/A</v>
      </c>
    </row>
    <row r="38" spans="1:10" x14ac:dyDescent="0.25">
      <c r="A38" s="167"/>
      <c r="B38" s="44" t="str">
        <f>A38&amp;"-"&amp;IF(DAY(Variables!$A$2)&lt;10,0,"")&amp;DAY(Variables!$A$2)</f>
        <v>-10</v>
      </c>
      <c r="C38" s="154"/>
      <c r="D38" s="159"/>
      <c r="E38" s="31"/>
      <c r="F38" s="22" t="e">
        <f>VLOOKUP(B38,'Trips&amp;Operators'!$C$2:$E$10000,3,FALSE)</f>
        <v>#N/A</v>
      </c>
      <c r="G38" s="22" t="e">
        <f>VLOOKUP(B38,'Trips&amp;Operators'!$C$1:$F$10000,4,FALSE)</f>
        <v>#N/A</v>
      </c>
      <c r="H38" s="30" t="e">
        <f>VLOOKUP(B38,'Trips&amp;Operators'!$C$1:$H$10000,5,FALSE)</f>
        <v>#N/A</v>
      </c>
      <c r="I38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38" s="31" t="e">
        <f>VLOOKUP(B38,'Train Runs'!$A$13:$A$99962,1,FALSE)</f>
        <v>#N/A</v>
      </c>
    </row>
    <row r="39" spans="1:10" x14ac:dyDescent="0.25">
      <c r="A39" s="167"/>
      <c r="B39" s="44" t="str">
        <f>A39&amp;"-"&amp;IF(DAY(Variables!$A$2)&lt;10,0,"")&amp;DAY(Variables!$A$2)</f>
        <v>-10</v>
      </c>
      <c r="C39" s="154"/>
      <c r="D39" s="159"/>
      <c r="E39" s="31"/>
      <c r="F39" s="22" t="e">
        <f>VLOOKUP(B39,'Trips&amp;Operators'!$C$2:$E$10000,3,FALSE)</f>
        <v>#N/A</v>
      </c>
      <c r="G39" s="22" t="e">
        <f>VLOOKUP(B39,'Trips&amp;Operators'!$C$1:$F$10000,4,FALSE)</f>
        <v>#N/A</v>
      </c>
      <c r="H39" s="30" t="e">
        <f>VLOOKUP(B39,'Trips&amp;Operators'!$C$1:$H$10000,5,FALSE)</f>
        <v>#N/A</v>
      </c>
      <c r="I39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39" s="31" t="e">
        <f>VLOOKUP(B39,'Train Runs'!$A$13:$A$99962,1,FALSE)</f>
        <v>#N/A</v>
      </c>
    </row>
    <row r="40" spans="1:10" x14ac:dyDescent="0.25">
      <c r="A40" s="167"/>
      <c r="B40" s="44" t="str">
        <f>A40&amp;"-"&amp;IF(DAY(Variables!$A$2)&lt;10,0,"")&amp;DAY(Variables!$A$2)</f>
        <v>-10</v>
      </c>
      <c r="C40" s="154"/>
      <c r="D40" s="159"/>
      <c r="E40" s="31"/>
      <c r="F40" s="22" t="e">
        <f>VLOOKUP(B40,'Trips&amp;Operators'!$C$2:$E$10000,3,FALSE)</f>
        <v>#N/A</v>
      </c>
      <c r="G40" s="22" t="e">
        <f>VLOOKUP(B40,'Trips&amp;Operators'!$C$1:$F$10000,4,FALSE)</f>
        <v>#N/A</v>
      </c>
      <c r="H40" s="30" t="e">
        <f>VLOOKUP(B40,'Trips&amp;Operators'!$C$1:$H$10000,5,FALSE)</f>
        <v>#N/A</v>
      </c>
      <c r="I40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40" s="31" t="e">
        <f>VLOOKUP(B40,'Train Runs'!$A$13:$A$99962,1,FALSE)</f>
        <v>#N/A</v>
      </c>
    </row>
    <row r="41" spans="1:10" x14ac:dyDescent="0.25">
      <c r="A41" s="167"/>
      <c r="B41" s="44" t="str">
        <f>A41&amp;"-"&amp;IF(DAY(Variables!$A$2)&lt;10,0,"")&amp;DAY(Variables!$A$2)</f>
        <v>-10</v>
      </c>
      <c r="C41" s="154"/>
      <c r="D41" s="159"/>
      <c r="E41" s="31"/>
      <c r="F41" s="22" t="e">
        <f>VLOOKUP(B41,'Trips&amp;Operators'!$C$2:$E$10000,3,FALSE)</f>
        <v>#N/A</v>
      </c>
      <c r="G41" s="22" t="e">
        <f>VLOOKUP(B41,'Trips&amp;Operators'!$C$1:$F$10000,4,FALSE)</f>
        <v>#N/A</v>
      </c>
      <c r="H41" s="30" t="e">
        <f>VLOOKUP(B41,'Trips&amp;Operators'!$C$1:$H$10000,5,FALSE)</f>
        <v>#N/A</v>
      </c>
      <c r="I41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41" s="31" t="e">
        <f>VLOOKUP(B41,'Train Runs'!$A$13:$A$99962,1,FALSE)</f>
        <v>#N/A</v>
      </c>
    </row>
    <row r="42" spans="1:10" x14ac:dyDescent="0.25">
      <c r="A42" s="167"/>
      <c r="B42" s="44" t="str">
        <f>A42&amp;"-"&amp;IF(DAY(Variables!$A$2)&lt;10,0,"")&amp;DAY(Variables!$A$2)</f>
        <v>-10</v>
      </c>
      <c r="C42" s="154"/>
      <c r="D42" s="159"/>
      <c r="E42" s="31"/>
      <c r="F42" s="22" t="e">
        <f>VLOOKUP(B42,'Trips&amp;Operators'!$C$2:$E$10000,3,FALSE)</f>
        <v>#N/A</v>
      </c>
      <c r="G42" s="22" t="e">
        <f>VLOOKUP(B42,'Trips&amp;Operators'!$C$1:$F$10000,4,FALSE)</f>
        <v>#N/A</v>
      </c>
      <c r="H42" s="30" t="e">
        <f>VLOOKUP(B42,'Trips&amp;Operators'!$C$1:$H$10000,5,FALSE)</f>
        <v>#N/A</v>
      </c>
      <c r="I42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42" s="31" t="e">
        <f>VLOOKUP(B42,'Train Runs'!$A$13:$A$99962,1,FALSE)</f>
        <v>#N/A</v>
      </c>
    </row>
    <row r="43" spans="1:10" x14ac:dyDescent="0.25">
      <c r="A43" s="167"/>
      <c r="B43" s="44" t="str">
        <f>A43&amp;"-"&amp;IF(DAY(Variables!$A$2)&lt;10,0,"")&amp;DAY(Variables!$A$2)</f>
        <v>-10</v>
      </c>
      <c r="C43" s="154"/>
      <c r="D43" s="159"/>
      <c r="E43" s="31"/>
      <c r="F43" s="22" t="e">
        <f>VLOOKUP(B43,'Trips&amp;Operators'!$C$2:$E$10000,3,FALSE)</f>
        <v>#N/A</v>
      </c>
      <c r="G43" s="22" t="e">
        <f>VLOOKUP(B43,'Trips&amp;Operators'!$C$1:$F$10000,4,FALSE)</f>
        <v>#N/A</v>
      </c>
      <c r="H43" s="30" t="e">
        <f>VLOOKUP(B43,'Trips&amp;Operators'!$C$1:$H$10000,5,FALSE)</f>
        <v>#N/A</v>
      </c>
      <c r="I43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43" s="31" t="e">
        <f>VLOOKUP(B43,'Train Runs'!$A$13:$A$99962,1,FALSE)</f>
        <v>#N/A</v>
      </c>
    </row>
    <row r="44" spans="1:10" x14ac:dyDescent="0.25">
      <c r="A44" s="167"/>
      <c r="B44" s="44" t="str">
        <f>A44&amp;"-"&amp;IF(DAY(Variables!$A$2)&lt;10,0,"")&amp;DAY(Variables!$A$2)</f>
        <v>-10</v>
      </c>
      <c r="C44" s="154"/>
      <c r="D44" s="159"/>
      <c r="E44" s="31"/>
      <c r="F44" s="22" t="e">
        <f>VLOOKUP(B44,'Trips&amp;Operators'!$C$2:$E$10000,3,FALSE)</f>
        <v>#N/A</v>
      </c>
      <c r="G44" s="22" t="e">
        <f>VLOOKUP(B44,'Trips&amp;Operators'!$C$1:$F$10000,4,FALSE)</f>
        <v>#N/A</v>
      </c>
      <c r="H44" s="30" t="e">
        <f>VLOOKUP(B44,'Trips&amp;Operators'!$C$1:$H$10000,5,FALSE)</f>
        <v>#N/A</v>
      </c>
      <c r="I44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44" s="31" t="e">
        <f>VLOOKUP(B44,'Train Runs'!$A$13:$A$99962,1,FALSE)</f>
        <v>#N/A</v>
      </c>
    </row>
    <row r="45" spans="1:10" x14ac:dyDescent="0.25">
      <c r="A45" s="167"/>
      <c r="B45" s="44" t="str">
        <f>A45&amp;"-"&amp;IF(DAY(Variables!$A$2)&lt;10,0,"")&amp;DAY(Variables!$A$2)</f>
        <v>-10</v>
      </c>
      <c r="C45" s="154"/>
      <c r="D45" s="159"/>
      <c r="E45" s="31"/>
      <c r="F45" s="22" t="e">
        <f>VLOOKUP(B45,'Trips&amp;Operators'!$C$2:$E$10000,3,FALSE)</f>
        <v>#N/A</v>
      </c>
      <c r="G45" s="22" t="e">
        <f>VLOOKUP(B45,'Trips&amp;Operators'!$C$1:$F$10000,4,FALSE)</f>
        <v>#N/A</v>
      </c>
      <c r="H45" s="30" t="e">
        <f>VLOOKUP(B45,'Trips&amp;Operators'!$C$1:$H$10000,5,FALSE)</f>
        <v>#N/A</v>
      </c>
      <c r="I45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45" s="31" t="e">
        <f>VLOOKUP(B45,'Train Runs'!$A$13:$A$99962,1,FALSE)</f>
        <v>#N/A</v>
      </c>
    </row>
    <row r="46" spans="1:10" x14ac:dyDescent="0.25">
      <c r="A46" s="167"/>
      <c r="B46" s="44" t="str">
        <f>A46&amp;"-"&amp;IF(DAY(Variables!$A$2)&lt;10,0,"")&amp;DAY(Variables!$A$2)</f>
        <v>-10</v>
      </c>
      <c r="C46" s="154"/>
      <c r="D46" s="159"/>
      <c r="E46" s="31"/>
      <c r="F46" s="22" t="e">
        <f>VLOOKUP(B46,'Trips&amp;Operators'!$C$2:$E$10000,3,FALSE)</f>
        <v>#N/A</v>
      </c>
      <c r="G46" s="22" t="e">
        <f>VLOOKUP(B46,'Trips&amp;Operators'!$C$1:$F$10000,4,FALSE)</f>
        <v>#N/A</v>
      </c>
      <c r="H46" s="30" t="e">
        <f>VLOOKUP(B46,'Trips&amp;Operators'!$C$1:$H$10000,5,FALSE)</f>
        <v>#N/A</v>
      </c>
      <c r="I46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46" s="31" t="e">
        <f>VLOOKUP(B46,'Train Runs'!$A$13:$A$99962,1,FALSE)</f>
        <v>#N/A</v>
      </c>
    </row>
    <row r="47" spans="1:10" x14ac:dyDescent="0.25">
      <c r="A47" s="167"/>
      <c r="B47" s="44" t="str">
        <f>A47&amp;"-"&amp;IF(DAY(Variables!$A$2)&lt;10,0,"")&amp;DAY(Variables!$A$2)</f>
        <v>-10</v>
      </c>
      <c r="C47" s="154"/>
      <c r="D47" s="159"/>
      <c r="E47" s="31"/>
      <c r="F47" s="22" t="e">
        <f>VLOOKUP(B47,'Trips&amp;Operators'!$C$2:$E$10000,3,FALSE)</f>
        <v>#N/A</v>
      </c>
      <c r="G47" s="22" t="e">
        <f>VLOOKUP(B47,'Trips&amp;Operators'!$C$1:$F$10000,4,FALSE)</f>
        <v>#N/A</v>
      </c>
      <c r="H47" s="30" t="e">
        <f>VLOOKUP(B47,'Trips&amp;Operators'!$C$1:$H$10000,5,FALSE)</f>
        <v>#N/A</v>
      </c>
      <c r="I47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47" s="31" t="e">
        <f>VLOOKUP(B47,'Train Runs'!$A$13:$A$99962,1,FALSE)</f>
        <v>#N/A</v>
      </c>
    </row>
    <row r="48" spans="1:10" x14ac:dyDescent="0.25">
      <c r="A48" s="167"/>
      <c r="B48" s="44" t="str">
        <f>A48&amp;"-"&amp;IF(DAY(Variables!$A$2)&lt;10,0,"")&amp;DAY(Variables!$A$2)</f>
        <v>-10</v>
      </c>
      <c r="C48" s="154"/>
      <c r="D48" s="159"/>
      <c r="E48" s="31"/>
      <c r="F48" s="22" t="e">
        <f>VLOOKUP(B48,'Trips&amp;Operators'!$C$2:$E$10000,3,FALSE)</f>
        <v>#N/A</v>
      </c>
      <c r="G48" s="22" t="e">
        <f>VLOOKUP(B48,'Trips&amp;Operators'!$C$1:$F$10000,4,FALSE)</f>
        <v>#N/A</v>
      </c>
      <c r="H48" s="30" t="e">
        <f>VLOOKUP(B48,'Trips&amp;Operators'!$C$1:$H$10000,5,FALSE)</f>
        <v>#N/A</v>
      </c>
      <c r="I48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48" s="31" t="e">
        <f>VLOOKUP(B48,'Train Runs'!$A$13:$A$99962,1,FALSE)</f>
        <v>#N/A</v>
      </c>
    </row>
    <row r="49" spans="1:10" x14ac:dyDescent="0.25">
      <c r="A49" s="167"/>
      <c r="B49" s="44" t="str">
        <f>A49&amp;"-"&amp;IF(DAY(Variables!$A$2)&lt;10,0,"")&amp;DAY(Variables!$A$2)</f>
        <v>-10</v>
      </c>
      <c r="C49" s="154"/>
      <c r="D49" s="159"/>
      <c r="E49" s="31"/>
      <c r="F49" s="22" t="e">
        <f>VLOOKUP(B49,'Trips&amp;Operators'!$C$2:$E$10000,3,FALSE)</f>
        <v>#N/A</v>
      </c>
      <c r="G49" s="22" t="e">
        <f>VLOOKUP(B49,'Trips&amp;Operators'!$C$1:$F$10000,4,FALSE)</f>
        <v>#N/A</v>
      </c>
      <c r="H49" s="30" t="e">
        <f>VLOOKUP(B49,'Trips&amp;Operators'!$C$1:$H$10000,5,FALSE)</f>
        <v>#N/A</v>
      </c>
      <c r="I49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49" s="31" t="e">
        <f>VLOOKUP(B49,'Train Runs'!$A$13:$A$99962,1,FALSE)</f>
        <v>#N/A</v>
      </c>
    </row>
    <row r="50" spans="1:10" x14ac:dyDescent="0.25">
      <c r="A50" s="167"/>
      <c r="B50" s="44" t="str">
        <f>A50&amp;"-"&amp;IF(DAY(Variables!$A$2)&lt;10,0,"")&amp;DAY(Variables!$A$2)</f>
        <v>-10</v>
      </c>
      <c r="C50" s="154"/>
      <c r="D50" s="159"/>
      <c r="E50" s="31"/>
      <c r="F50" s="22" t="e">
        <f>VLOOKUP(B50,'Trips&amp;Operators'!$C$2:$E$10000,3,FALSE)</f>
        <v>#N/A</v>
      </c>
      <c r="G50" s="22" t="e">
        <f>VLOOKUP(B50,'Trips&amp;Operators'!$C$1:$F$10000,4,FALSE)</f>
        <v>#N/A</v>
      </c>
      <c r="H50" s="30" t="e">
        <f>VLOOKUP(B50,'Trips&amp;Operators'!$C$1:$H$10000,5,FALSE)</f>
        <v>#N/A</v>
      </c>
      <c r="I50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50" s="31" t="e">
        <f>VLOOKUP(B50,'Train Runs'!$A$13:$A$99962,1,FALSE)</f>
        <v>#N/A</v>
      </c>
    </row>
    <row r="51" spans="1:10" x14ac:dyDescent="0.25">
      <c r="A51" s="167"/>
      <c r="B51" s="44" t="str">
        <f>A51&amp;"-"&amp;IF(DAY(Variables!$A$2)&lt;10,0,"")&amp;DAY(Variables!$A$2)</f>
        <v>-10</v>
      </c>
      <c r="C51" s="154"/>
      <c r="D51" s="159"/>
      <c r="E51" s="31"/>
      <c r="F51" s="22" t="e">
        <f>VLOOKUP(B51,'Trips&amp;Operators'!$C$2:$E$10000,3,FALSE)</f>
        <v>#N/A</v>
      </c>
      <c r="G51" s="22" t="e">
        <f>VLOOKUP(B51,'Trips&amp;Operators'!$C$1:$F$10000,4,FALSE)</f>
        <v>#N/A</v>
      </c>
      <c r="H51" s="30" t="e">
        <f>VLOOKUP(B51,'Trips&amp;Operators'!$C$1:$H$10000,5,FALSE)</f>
        <v>#N/A</v>
      </c>
      <c r="I51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51" s="31" t="e">
        <f>VLOOKUP(B51,'Train Runs'!$A$13:$A$99962,1,FALSE)</f>
        <v>#N/A</v>
      </c>
    </row>
    <row r="52" spans="1:10" x14ac:dyDescent="0.25">
      <c r="A52" s="167"/>
      <c r="B52" s="44" t="str">
        <f>A52&amp;"-"&amp;IF(DAY(Variables!$A$2)&lt;10,0,"")&amp;DAY(Variables!$A$2)</f>
        <v>-10</v>
      </c>
      <c r="C52" s="154"/>
      <c r="D52" s="159"/>
      <c r="E52" s="31"/>
      <c r="F52" s="22" t="e">
        <f>VLOOKUP(B52,'Trips&amp;Operators'!$C$2:$E$10000,3,FALSE)</f>
        <v>#N/A</v>
      </c>
      <c r="G52" s="22" t="e">
        <f>VLOOKUP(B52,'Trips&amp;Operators'!$C$1:$F$10000,4,FALSE)</f>
        <v>#N/A</v>
      </c>
      <c r="H52" s="30" t="e">
        <f>VLOOKUP(B52,'Trips&amp;Operators'!$C$1:$H$10000,5,FALSE)</f>
        <v>#N/A</v>
      </c>
      <c r="I52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52" s="31" t="e">
        <f>VLOOKUP(B52,'Train Runs'!$A$13:$A$99962,1,FALSE)</f>
        <v>#N/A</v>
      </c>
    </row>
    <row r="53" spans="1:10" x14ac:dyDescent="0.25">
      <c r="A53" s="167"/>
      <c r="B53" s="44" t="str">
        <f>A53&amp;"-"&amp;IF(DAY(Variables!$A$2)&lt;10,0,"")&amp;DAY(Variables!$A$2)</f>
        <v>-10</v>
      </c>
      <c r="C53" s="154"/>
      <c r="D53" s="159"/>
      <c r="E53" s="31"/>
      <c r="F53" s="22" t="e">
        <f>VLOOKUP(B53,'Trips&amp;Operators'!$C$2:$E$10000,3,FALSE)</f>
        <v>#N/A</v>
      </c>
      <c r="G53" s="22" t="e">
        <f>VLOOKUP(B53,'Trips&amp;Operators'!$C$1:$F$10000,4,FALSE)</f>
        <v>#N/A</v>
      </c>
      <c r="H53" s="30" t="e">
        <f>VLOOKUP(B53,'Trips&amp;Operators'!$C$1:$H$10000,5,FALSE)</f>
        <v>#N/A</v>
      </c>
      <c r="I53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53" s="31" t="e">
        <f>VLOOKUP(B53,'Train Runs'!$A$13:$A$99962,1,FALSE)</f>
        <v>#N/A</v>
      </c>
    </row>
    <row r="54" spans="1:10" x14ac:dyDescent="0.25">
      <c r="A54" s="167"/>
      <c r="B54" s="44" t="str">
        <f>A54&amp;"-"&amp;IF(DAY(Variables!$A$2)&lt;10,0,"")&amp;DAY(Variables!$A$2)</f>
        <v>-10</v>
      </c>
      <c r="C54" s="154"/>
      <c r="D54" s="159"/>
      <c r="E54" s="31"/>
      <c r="F54" s="22" t="e">
        <f>VLOOKUP(B54,'Trips&amp;Operators'!$C$2:$E$10000,3,FALSE)</f>
        <v>#N/A</v>
      </c>
      <c r="G54" s="22" t="e">
        <f>VLOOKUP(B54,'Trips&amp;Operators'!$C$1:$F$10000,4,FALSE)</f>
        <v>#N/A</v>
      </c>
      <c r="H54" s="30" t="e">
        <f>VLOOKUP(B54,'Trips&amp;Operators'!$C$1:$H$10000,5,FALSE)</f>
        <v>#N/A</v>
      </c>
      <c r="I54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54" s="31" t="e">
        <f>VLOOKUP(B54,'Train Runs'!$A$13:$A$99962,1,FALSE)</f>
        <v>#N/A</v>
      </c>
    </row>
    <row r="55" spans="1:10" x14ac:dyDescent="0.25">
      <c r="A55" s="167"/>
      <c r="B55" s="44" t="str">
        <f>A55&amp;"-"&amp;IF(DAY(Variables!$A$2)&lt;10,0,"")&amp;DAY(Variables!$A$2)</f>
        <v>-10</v>
      </c>
      <c r="C55" s="154"/>
      <c r="D55" s="159"/>
      <c r="E55" s="31"/>
      <c r="F55" s="22" t="e">
        <f>VLOOKUP(B55,'Trips&amp;Operators'!$C$2:$E$10000,3,FALSE)</f>
        <v>#N/A</v>
      </c>
      <c r="G55" s="22" t="e">
        <f>VLOOKUP(B55,'Trips&amp;Operators'!$C$1:$F$10000,4,FALSE)</f>
        <v>#N/A</v>
      </c>
      <c r="H55" s="30" t="e">
        <f>VLOOKUP(B55,'Trips&amp;Operators'!$C$1:$H$10000,5,FALSE)</f>
        <v>#N/A</v>
      </c>
      <c r="I55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55" s="31" t="e">
        <f>VLOOKUP(B55,'Train Runs'!$A$13:$A$99962,1,FALSE)</f>
        <v>#N/A</v>
      </c>
    </row>
    <row r="56" spans="1:10" x14ac:dyDescent="0.25">
      <c r="A56" s="167"/>
      <c r="B56" s="44" t="str">
        <f>A56&amp;"-"&amp;IF(DAY(Variables!$A$2)&lt;10,0,"")&amp;DAY(Variables!$A$2)</f>
        <v>-10</v>
      </c>
      <c r="C56" s="154"/>
      <c r="D56" s="159"/>
      <c r="E56" s="31"/>
      <c r="F56" s="22" t="e">
        <f>VLOOKUP(B56,'Trips&amp;Operators'!$C$2:$E$10000,3,FALSE)</f>
        <v>#N/A</v>
      </c>
      <c r="G56" s="22" t="e">
        <f>VLOOKUP(B56,'Trips&amp;Operators'!$C$1:$F$10000,4,FALSE)</f>
        <v>#N/A</v>
      </c>
      <c r="H56" s="30" t="e">
        <f>VLOOKUP(B56,'Trips&amp;Operators'!$C$1:$H$10000,5,FALSE)</f>
        <v>#N/A</v>
      </c>
      <c r="I56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56" s="31" t="e">
        <f>VLOOKUP(B56,'Train Runs'!$A$13:$A$99962,1,FALSE)</f>
        <v>#N/A</v>
      </c>
    </row>
    <row r="57" spans="1:10" x14ac:dyDescent="0.25">
      <c r="A57" s="167"/>
      <c r="B57" s="44" t="str">
        <f>A57&amp;"-"&amp;IF(DAY(Variables!$A$2)&lt;10,0,"")&amp;DAY(Variables!$A$2)</f>
        <v>-10</v>
      </c>
      <c r="C57" s="154"/>
      <c r="D57" s="159"/>
      <c r="E57" s="31"/>
      <c r="F57" s="22" t="e">
        <f>VLOOKUP(B57,'Trips&amp;Operators'!$C$2:$E$10000,3,FALSE)</f>
        <v>#N/A</v>
      </c>
      <c r="G57" s="22" t="e">
        <f>VLOOKUP(B57,'Trips&amp;Operators'!$C$1:$F$10000,4,FALSE)</f>
        <v>#N/A</v>
      </c>
      <c r="H57" s="30" t="e">
        <f>VLOOKUP(B57,'Trips&amp;Operators'!$C$1:$H$10000,5,FALSE)</f>
        <v>#N/A</v>
      </c>
      <c r="I57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57" s="31" t="e">
        <f>VLOOKUP(B57,'Train Runs'!$A$13:$A$99962,1,FALSE)</f>
        <v>#N/A</v>
      </c>
    </row>
    <row r="58" spans="1:10" x14ac:dyDescent="0.25">
      <c r="A58" s="167"/>
      <c r="B58" s="44" t="str">
        <f>A58&amp;"-"&amp;IF(DAY(Variables!$A$2)&lt;10,0,"")&amp;DAY(Variables!$A$2)</f>
        <v>-10</v>
      </c>
      <c r="C58" s="154"/>
      <c r="D58" s="159"/>
      <c r="E58" s="31"/>
      <c r="F58" s="22" t="e">
        <f>VLOOKUP(B58,'Trips&amp;Operators'!$C$2:$E$10000,3,FALSE)</f>
        <v>#N/A</v>
      </c>
      <c r="G58" s="22" t="e">
        <f>VLOOKUP(B58,'Trips&amp;Operators'!$C$1:$F$10000,4,FALSE)</f>
        <v>#N/A</v>
      </c>
      <c r="H58" s="30" t="e">
        <f>VLOOKUP(B58,'Trips&amp;Operators'!$C$1:$H$10000,5,FALSE)</f>
        <v>#N/A</v>
      </c>
      <c r="I58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58" s="31" t="e">
        <f>VLOOKUP(B58,'Train Runs'!$A$13:$A$99962,1,FALSE)</f>
        <v>#N/A</v>
      </c>
    </row>
    <row r="59" spans="1:10" x14ac:dyDescent="0.25">
      <c r="A59" s="167"/>
      <c r="B59" s="44" t="str">
        <f>A59&amp;"-"&amp;IF(DAY(Variables!$A$2)&lt;10,0,"")&amp;DAY(Variables!$A$2)</f>
        <v>-10</v>
      </c>
      <c r="C59" s="154"/>
      <c r="D59" s="159"/>
      <c r="E59" s="31"/>
      <c r="F59" s="22" t="e">
        <f>VLOOKUP(B59,'Trips&amp;Operators'!$C$2:$E$10000,3,FALSE)</f>
        <v>#N/A</v>
      </c>
      <c r="G59" s="22" t="e">
        <f>VLOOKUP(B59,'Trips&amp;Operators'!$C$1:$F$10000,4,FALSE)</f>
        <v>#N/A</v>
      </c>
      <c r="H59" s="30" t="e">
        <f>VLOOKUP(B59,'Trips&amp;Operators'!$C$1:$H$10000,5,FALSE)</f>
        <v>#N/A</v>
      </c>
      <c r="I59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59" s="31" t="e">
        <f>VLOOKUP(B59,'Train Runs'!$A$13:$A$99962,1,FALSE)</f>
        <v>#N/A</v>
      </c>
    </row>
    <row r="60" spans="1:10" x14ac:dyDescent="0.25">
      <c r="A60" s="167"/>
      <c r="B60" s="44" t="str">
        <f>A60&amp;"-"&amp;IF(DAY(Variables!$A$2)&lt;10,0,"")&amp;DAY(Variables!$A$2)</f>
        <v>-10</v>
      </c>
      <c r="C60" s="154"/>
      <c r="D60" s="159"/>
      <c r="E60" s="31"/>
      <c r="F60" s="22" t="e">
        <f>VLOOKUP(B60,'Trips&amp;Operators'!$C$2:$E$10000,3,FALSE)</f>
        <v>#N/A</v>
      </c>
      <c r="G60" s="22" t="e">
        <f>VLOOKUP(B60,'Trips&amp;Operators'!$C$1:$F$10000,4,FALSE)</f>
        <v>#N/A</v>
      </c>
      <c r="H60" s="30" t="e">
        <f>VLOOKUP(B60,'Trips&amp;Operators'!$C$1:$H$10000,5,FALSE)</f>
        <v>#N/A</v>
      </c>
      <c r="I60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60" s="31" t="e">
        <f>VLOOKUP(B60,'Train Runs'!$A$13:$A$99962,1,FALSE)</f>
        <v>#N/A</v>
      </c>
    </row>
    <row r="61" spans="1:10" x14ac:dyDescent="0.25">
      <c r="A61" s="167"/>
      <c r="B61" s="44" t="str">
        <f>A61&amp;"-"&amp;IF(DAY(Variables!$A$2)&lt;10,0,"")&amp;DAY(Variables!$A$2)</f>
        <v>-10</v>
      </c>
      <c r="C61" s="154"/>
      <c r="D61" s="159"/>
      <c r="E61" s="31"/>
      <c r="F61" s="22" t="e">
        <f>VLOOKUP(B61,'Trips&amp;Operators'!$C$2:$E$10000,3,FALSE)</f>
        <v>#N/A</v>
      </c>
      <c r="G61" s="22" t="e">
        <f>VLOOKUP(B61,'Trips&amp;Operators'!$C$1:$F$10000,4,FALSE)</f>
        <v>#N/A</v>
      </c>
      <c r="H61" s="30" t="e">
        <f>VLOOKUP(B61,'Trips&amp;Operators'!$C$1:$H$10000,5,FALSE)</f>
        <v>#N/A</v>
      </c>
      <c r="I61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61" s="31" t="e">
        <f>VLOOKUP(B61,'Train Runs'!$A$13:$A$99962,1,FALSE)</f>
        <v>#N/A</v>
      </c>
    </row>
    <row r="62" spans="1:10" x14ac:dyDescent="0.25">
      <c r="A62" s="167"/>
      <c r="B62" s="44" t="str">
        <f>A62&amp;"-"&amp;IF(DAY(Variables!$A$2)&lt;10,0,"")&amp;DAY(Variables!$A$2)</f>
        <v>-10</v>
      </c>
      <c r="C62" s="154"/>
      <c r="D62" s="159"/>
      <c r="E62" s="31"/>
      <c r="F62" s="22" t="e">
        <f>VLOOKUP(B62,'Trips&amp;Operators'!$C$2:$E$10000,3,FALSE)</f>
        <v>#N/A</v>
      </c>
      <c r="G62" s="22" t="e">
        <f>VLOOKUP(B62,'Trips&amp;Operators'!$C$1:$F$10000,4,FALSE)</f>
        <v>#N/A</v>
      </c>
      <c r="H62" s="30" t="e">
        <f>VLOOKUP(B62,'Trips&amp;Operators'!$C$1:$H$10000,5,FALSE)</f>
        <v>#N/A</v>
      </c>
      <c r="I62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62" s="31" t="e">
        <f>VLOOKUP(B62,'Train Runs'!$A$13:$A$99962,1,FALSE)</f>
        <v>#N/A</v>
      </c>
    </row>
    <row r="63" spans="1:10" x14ac:dyDescent="0.25">
      <c r="A63" s="167"/>
      <c r="B63" s="44" t="str">
        <f>A63&amp;"-"&amp;IF(DAY(Variables!$A$2)&lt;10,0,"")&amp;DAY(Variables!$A$2)</f>
        <v>-10</v>
      </c>
      <c r="C63" s="154"/>
      <c r="D63" s="159"/>
      <c r="E63" s="31"/>
      <c r="F63" s="22" t="e">
        <f>VLOOKUP(B63,'Trips&amp;Operators'!$C$2:$E$10000,3,FALSE)</f>
        <v>#N/A</v>
      </c>
      <c r="G63" s="22" t="e">
        <f>VLOOKUP(B63,'Trips&amp;Operators'!$C$1:$F$10000,4,FALSE)</f>
        <v>#N/A</v>
      </c>
      <c r="H63" s="30" t="e">
        <f>VLOOKUP(B63,'Trips&amp;Operators'!$C$1:$H$10000,5,FALSE)</f>
        <v>#N/A</v>
      </c>
      <c r="I63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63" s="31" t="e">
        <f>VLOOKUP(B63,'Train Runs'!$A$13:$A$99962,1,FALSE)</f>
        <v>#N/A</v>
      </c>
    </row>
    <row r="64" spans="1:10" x14ac:dyDescent="0.25">
      <c r="A64" s="167"/>
      <c r="B64" s="44" t="str">
        <f>A64&amp;"-"&amp;IF(DAY(Variables!$A$2)&lt;10,0,"")&amp;DAY(Variables!$A$2)</f>
        <v>-10</v>
      </c>
      <c r="C64" s="154"/>
      <c r="D64" s="159"/>
      <c r="E64" s="31"/>
      <c r="F64" s="22" t="e">
        <f>VLOOKUP(B64,'Trips&amp;Operators'!$C$2:$E$10000,3,FALSE)</f>
        <v>#N/A</v>
      </c>
      <c r="G64" s="22" t="e">
        <f>VLOOKUP(B64,'Trips&amp;Operators'!$C$1:$F$10000,4,FALSE)</f>
        <v>#N/A</v>
      </c>
      <c r="H64" s="30" t="e">
        <f>VLOOKUP(B64,'Trips&amp;Operators'!$C$1:$H$10000,5,FALSE)</f>
        <v>#N/A</v>
      </c>
      <c r="I64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64" s="31" t="e">
        <f>VLOOKUP(B64,'Train Runs'!$A$13:$A$99962,1,FALSE)</f>
        <v>#N/A</v>
      </c>
    </row>
    <row r="65" spans="1:10" x14ac:dyDescent="0.25">
      <c r="A65" s="167"/>
      <c r="B65" s="44" t="str">
        <f>A65&amp;"-"&amp;IF(DAY(Variables!$A$2)&lt;10,0,"")&amp;DAY(Variables!$A$2)</f>
        <v>-10</v>
      </c>
      <c r="C65" s="154"/>
      <c r="D65" s="159"/>
      <c r="E65" s="31"/>
      <c r="F65" s="22" t="e">
        <f>VLOOKUP(B65,'Trips&amp;Operators'!$C$2:$E$10000,3,FALSE)</f>
        <v>#N/A</v>
      </c>
      <c r="G65" s="22" t="e">
        <f>VLOOKUP(B65,'Trips&amp;Operators'!$C$1:$F$10000,4,FALSE)</f>
        <v>#N/A</v>
      </c>
      <c r="H65" s="30" t="e">
        <f>VLOOKUP(B65,'Trips&amp;Operators'!$C$1:$H$10000,5,FALSE)</f>
        <v>#N/A</v>
      </c>
      <c r="I65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65" s="31" t="e">
        <f>VLOOKUP(B65,'Train Runs'!$A$13:$A$99962,1,FALSE)</f>
        <v>#N/A</v>
      </c>
    </row>
    <row r="66" spans="1:10" x14ac:dyDescent="0.25">
      <c r="A66" s="167"/>
      <c r="B66" s="44" t="str">
        <f>A66&amp;"-"&amp;IF(DAY(Variables!$A$2)&lt;10,0,"")&amp;DAY(Variables!$A$2)</f>
        <v>-10</v>
      </c>
      <c r="C66" s="154"/>
      <c r="D66" s="159"/>
      <c r="E66" s="31"/>
      <c r="F66" s="22" t="e">
        <f>VLOOKUP(B66,'Trips&amp;Operators'!$C$2:$E$10000,3,FALSE)</f>
        <v>#N/A</v>
      </c>
      <c r="G66" s="22" t="e">
        <f>VLOOKUP(B66,'Trips&amp;Operators'!$C$1:$F$10000,4,FALSE)</f>
        <v>#N/A</v>
      </c>
      <c r="H66" s="30" t="e">
        <f>VLOOKUP(B66,'Trips&amp;Operators'!$C$1:$H$10000,5,FALSE)</f>
        <v>#N/A</v>
      </c>
      <c r="I66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66" s="31" t="e">
        <f>VLOOKUP(B66,'Train Runs'!$A$13:$A$99962,1,FALSE)</f>
        <v>#N/A</v>
      </c>
    </row>
    <row r="67" spans="1:10" x14ac:dyDescent="0.25">
      <c r="A67" s="167"/>
      <c r="B67" s="44" t="str">
        <f>A67&amp;"-"&amp;IF(DAY(Variables!$A$2)&lt;10,0,"")&amp;DAY(Variables!$A$2)</f>
        <v>-10</v>
      </c>
      <c r="C67" s="154"/>
      <c r="D67" s="159"/>
      <c r="E67" s="31"/>
      <c r="F67" s="22" t="e">
        <f>VLOOKUP(B67,'Trips&amp;Operators'!$C$2:$E$10000,3,FALSE)</f>
        <v>#N/A</v>
      </c>
      <c r="G67" s="22" t="e">
        <f>VLOOKUP(B67,'Trips&amp;Operators'!$C$1:$F$10000,4,FALSE)</f>
        <v>#N/A</v>
      </c>
      <c r="H67" s="30" t="e">
        <f>VLOOKUP(B67,'Trips&amp;Operators'!$C$1:$H$10000,5,FALSE)</f>
        <v>#N/A</v>
      </c>
      <c r="I67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67" s="31" t="e">
        <f>VLOOKUP(B67,'Train Runs'!$A$13:$A$99962,1,FALSE)</f>
        <v>#N/A</v>
      </c>
    </row>
    <row r="68" spans="1:10" x14ac:dyDescent="0.25">
      <c r="A68" s="167"/>
      <c r="B68" s="44" t="str">
        <f>A68&amp;"-"&amp;IF(DAY(Variables!$A$2)&lt;10,0,"")&amp;DAY(Variables!$A$2)</f>
        <v>-10</v>
      </c>
      <c r="C68" s="154"/>
      <c r="D68" s="159"/>
      <c r="E68" s="31"/>
      <c r="F68" s="22" t="e">
        <f>VLOOKUP(B68,'Trips&amp;Operators'!$C$2:$E$10000,3,FALSE)</f>
        <v>#N/A</v>
      </c>
      <c r="G68" s="22" t="e">
        <f>VLOOKUP(B68,'Trips&amp;Operators'!$C$1:$F$10000,4,FALSE)</f>
        <v>#N/A</v>
      </c>
      <c r="H68" s="30" t="e">
        <f>VLOOKUP(B68,'Trips&amp;Operators'!$C$1:$H$10000,5,FALSE)</f>
        <v>#N/A</v>
      </c>
      <c r="I68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68" s="31" t="e">
        <f>VLOOKUP(B68,'Train Runs'!$A$13:$A$99962,1,FALSE)</f>
        <v>#N/A</v>
      </c>
    </row>
    <row r="69" spans="1:10" x14ac:dyDescent="0.25">
      <c r="A69" s="167"/>
      <c r="B69" s="44" t="str">
        <f>A69&amp;"-"&amp;IF(DAY(Variables!$A$2)&lt;10,0,"")&amp;DAY(Variables!$A$2)</f>
        <v>-10</v>
      </c>
      <c r="C69" s="154"/>
      <c r="D69" s="159"/>
      <c r="E69" s="31"/>
      <c r="F69" s="22" t="e">
        <f>VLOOKUP(B69,'Trips&amp;Operators'!$C$2:$E$10000,3,FALSE)</f>
        <v>#N/A</v>
      </c>
      <c r="G69" s="22" t="e">
        <f>VLOOKUP(B69,'Trips&amp;Operators'!$C$1:$F$10000,4,FALSE)</f>
        <v>#N/A</v>
      </c>
      <c r="H69" s="30" t="e">
        <f>VLOOKUP(B69,'Trips&amp;Operators'!$C$1:$H$10000,5,FALSE)</f>
        <v>#N/A</v>
      </c>
      <c r="I69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69" s="31" t="e">
        <f>VLOOKUP(B69,'Train Runs'!$A$13:$A$99962,1,FALSE)</f>
        <v>#N/A</v>
      </c>
    </row>
    <row r="70" spans="1:10" x14ac:dyDescent="0.25">
      <c r="A70" s="167"/>
      <c r="B70" s="44" t="str">
        <f>A70&amp;"-"&amp;IF(DAY(Variables!$A$2)&lt;10,0,"")&amp;DAY(Variables!$A$2)</f>
        <v>-10</v>
      </c>
      <c r="C70" s="154"/>
      <c r="D70" s="159"/>
      <c r="E70" s="31"/>
      <c r="F70" s="22" t="e">
        <f>VLOOKUP(B70,'Trips&amp;Operators'!$C$2:$E$10000,3,FALSE)</f>
        <v>#N/A</v>
      </c>
      <c r="G70" s="22" t="e">
        <f>VLOOKUP(B70,'Trips&amp;Operators'!$C$1:$F$10000,4,FALSE)</f>
        <v>#N/A</v>
      </c>
      <c r="H70" s="30" t="e">
        <f>VLOOKUP(B70,'Trips&amp;Operators'!$C$1:$H$10000,5,FALSE)</f>
        <v>#N/A</v>
      </c>
      <c r="I70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70" s="31" t="e">
        <f>VLOOKUP(B70,'Train Runs'!$A$13:$A$99962,1,FALSE)</f>
        <v>#N/A</v>
      </c>
    </row>
    <row r="71" spans="1:10" x14ac:dyDescent="0.25">
      <c r="A71" s="167"/>
      <c r="B71" s="44" t="str">
        <f>A71&amp;"-"&amp;IF(DAY(Variables!$A$2)&lt;10,0,"")&amp;DAY(Variables!$A$2)</f>
        <v>-10</v>
      </c>
      <c r="C71" s="154"/>
      <c r="D71" s="159"/>
      <c r="E71" s="31"/>
      <c r="F71" s="22" t="e">
        <f>VLOOKUP(B71,'Trips&amp;Operators'!$C$2:$E$10000,3,FALSE)</f>
        <v>#N/A</v>
      </c>
      <c r="G71" s="22" t="e">
        <f>VLOOKUP(B71,'Trips&amp;Operators'!$C$1:$F$10000,4,FALSE)</f>
        <v>#N/A</v>
      </c>
      <c r="H71" s="30" t="e">
        <f>VLOOKUP(B71,'Trips&amp;Operators'!$C$1:$H$10000,5,FALSE)</f>
        <v>#N/A</v>
      </c>
      <c r="I71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71" s="31" t="e">
        <f>VLOOKUP(B71,'Train Runs'!$A$13:$A$99962,1,FALSE)</f>
        <v>#N/A</v>
      </c>
    </row>
    <row r="72" spans="1:10" x14ac:dyDescent="0.25">
      <c r="A72" s="167"/>
      <c r="B72" s="44" t="str">
        <f>A72&amp;"-"&amp;IF(DAY(Variables!$A$2)&lt;10,0,"")&amp;DAY(Variables!$A$2)</f>
        <v>-10</v>
      </c>
      <c r="C72" s="154"/>
      <c r="D72" s="159"/>
      <c r="E72" s="31"/>
      <c r="F72" s="22" t="e">
        <f>VLOOKUP(B72,'Trips&amp;Operators'!$C$2:$E$10000,3,FALSE)</f>
        <v>#N/A</v>
      </c>
      <c r="G72" s="22" t="e">
        <f>VLOOKUP(B72,'Trips&amp;Operators'!$C$1:$F$10000,4,FALSE)</f>
        <v>#N/A</v>
      </c>
      <c r="H72" s="30" t="e">
        <f>VLOOKUP(B72,'Trips&amp;Operators'!$C$1:$H$10000,5,FALSE)</f>
        <v>#N/A</v>
      </c>
      <c r="I72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72" s="31" t="e">
        <f>VLOOKUP(B72,'Train Runs'!$A$13:$A$99962,1,FALSE)</f>
        <v>#N/A</v>
      </c>
    </row>
    <row r="73" spans="1:10" x14ac:dyDescent="0.25">
      <c r="A73" s="167"/>
      <c r="B73" s="44" t="str">
        <f>A73&amp;"-"&amp;IF(DAY(Variables!$A$2)&lt;10,0,"")&amp;DAY(Variables!$A$2)</f>
        <v>-10</v>
      </c>
      <c r="C73" s="154"/>
      <c r="D73" s="159"/>
      <c r="E73" s="31"/>
      <c r="F73" s="22" t="e">
        <f>VLOOKUP(B73,'Trips&amp;Operators'!$C$2:$E$10000,3,FALSE)</f>
        <v>#N/A</v>
      </c>
      <c r="G73" s="22" t="e">
        <f>VLOOKUP(B73,'Trips&amp;Operators'!$C$1:$F$10000,4,FALSE)</f>
        <v>#N/A</v>
      </c>
      <c r="H73" s="30" t="e">
        <f>VLOOKUP(B73,'Trips&amp;Operators'!$C$1:$H$10000,5,FALSE)</f>
        <v>#N/A</v>
      </c>
      <c r="I73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73" s="31" t="e">
        <f>VLOOKUP(B73,'Train Runs'!$A$13:$A$99962,1,FALSE)</f>
        <v>#N/A</v>
      </c>
    </row>
    <row r="74" spans="1:10" x14ac:dyDescent="0.25">
      <c r="A74" s="167"/>
      <c r="B74" s="44" t="str">
        <f>A74&amp;"-"&amp;IF(DAY(Variables!$A$2)&lt;10,0,"")&amp;DAY(Variables!$A$2)</f>
        <v>-10</v>
      </c>
      <c r="C74" s="154"/>
      <c r="D74" s="159"/>
      <c r="E74" s="31"/>
      <c r="F74" s="22" t="e">
        <f>VLOOKUP(B74,'Trips&amp;Operators'!$C$2:$E$10000,3,FALSE)</f>
        <v>#N/A</v>
      </c>
      <c r="G74" s="22" t="e">
        <f>VLOOKUP(B74,'Trips&amp;Operators'!$C$1:$F$10000,4,FALSE)</f>
        <v>#N/A</v>
      </c>
      <c r="H74" s="30" t="e">
        <f>VLOOKUP(B74,'Trips&amp;Operators'!$C$1:$H$10000,5,FALSE)</f>
        <v>#N/A</v>
      </c>
      <c r="I74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74" s="31" t="e">
        <f>VLOOKUP(B74,'Train Runs'!$A$13:$A$99962,1,FALSE)</f>
        <v>#N/A</v>
      </c>
    </row>
    <row r="75" spans="1:10" x14ac:dyDescent="0.25">
      <c r="A75" s="167"/>
      <c r="B75" s="44" t="str">
        <f>A75&amp;"-"&amp;IF(DAY(Variables!$A$2)&lt;10,0,"")&amp;DAY(Variables!$A$2)</f>
        <v>-10</v>
      </c>
      <c r="C75" s="154"/>
      <c r="D75" s="159"/>
      <c r="E75" s="31"/>
      <c r="F75" s="22" t="e">
        <f>VLOOKUP(B75,'Trips&amp;Operators'!$C$2:$E$10000,3,FALSE)</f>
        <v>#N/A</v>
      </c>
      <c r="G75" s="22" t="e">
        <f>VLOOKUP(B75,'Trips&amp;Operators'!$C$1:$F$10000,4,FALSE)</f>
        <v>#N/A</v>
      </c>
      <c r="H75" s="30" t="e">
        <f>VLOOKUP(B75,'Trips&amp;Operators'!$C$1:$H$10000,5,FALSE)</f>
        <v>#N/A</v>
      </c>
      <c r="I75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75" s="31" t="e">
        <f>VLOOKUP(B75,'Train Runs'!$A$13:$A$99962,1,FALSE)</f>
        <v>#N/A</v>
      </c>
    </row>
    <row r="76" spans="1:10" x14ac:dyDescent="0.25">
      <c r="A76" s="167"/>
      <c r="B76" s="44" t="str">
        <f>A76&amp;"-"&amp;IF(DAY(Variables!$A$2)&lt;10,0,"")&amp;DAY(Variables!$A$2)</f>
        <v>-10</v>
      </c>
      <c r="C76" s="154"/>
      <c r="D76" s="159"/>
      <c r="E76" s="31"/>
      <c r="F76" s="22" t="e">
        <f>VLOOKUP(B76,'Trips&amp;Operators'!$C$2:$E$10000,3,FALSE)</f>
        <v>#N/A</v>
      </c>
      <c r="G76" s="22" t="e">
        <f>VLOOKUP(B76,'Trips&amp;Operators'!$C$1:$F$10000,4,FALSE)</f>
        <v>#N/A</v>
      </c>
      <c r="H76" s="30" t="e">
        <f>VLOOKUP(B76,'Trips&amp;Operators'!$C$1:$H$10000,5,FALSE)</f>
        <v>#N/A</v>
      </c>
      <c r="I76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76" s="31" t="e">
        <f>VLOOKUP(B76,'Train Runs'!$A$13:$A$99962,1,FALSE)</f>
        <v>#N/A</v>
      </c>
    </row>
    <row r="77" spans="1:10" x14ac:dyDescent="0.25">
      <c r="A77" s="167"/>
      <c r="B77" s="44" t="str">
        <f>A77&amp;"-"&amp;IF(DAY(Variables!$A$2)&lt;10,0,"")&amp;DAY(Variables!$A$2)</f>
        <v>-10</v>
      </c>
      <c r="C77" s="154"/>
      <c r="D77" s="159"/>
      <c r="E77" s="31"/>
      <c r="F77" s="22" t="e">
        <f>VLOOKUP(B77,'Trips&amp;Operators'!$C$2:$E$10000,3,FALSE)</f>
        <v>#N/A</v>
      </c>
      <c r="G77" s="22" t="e">
        <f>VLOOKUP(B77,'Trips&amp;Operators'!$C$1:$F$10000,4,FALSE)</f>
        <v>#N/A</v>
      </c>
      <c r="H77" s="30" t="e">
        <f>VLOOKUP(B77,'Trips&amp;Operators'!$C$1:$H$10000,5,FALSE)</f>
        <v>#N/A</v>
      </c>
      <c r="I77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77" s="31" t="e">
        <f>VLOOKUP(B77,'Train Runs'!$A$13:$A$99962,1,FALSE)</f>
        <v>#N/A</v>
      </c>
    </row>
    <row r="78" spans="1:10" x14ac:dyDescent="0.25">
      <c r="A78" s="167"/>
      <c r="B78" s="44" t="str">
        <f>A78&amp;"-"&amp;IF(DAY(Variables!$A$2)&lt;10,0,"")&amp;DAY(Variables!$A$2)</f>
        <v>-10</v>
      </c>
      <c r="C78" s="154"/>
      <c r="D78" s="159"/>
      <c r="E78" s="31"/>
      <c r="F78" s="22" t="e">
        <f>VLOOKUP(B78,'Trips&amp;Operators'!$C$2:$E$10000,3,FALSE)</f>
        <v>#N/A</v>
      </c>
      <c r="G78" s="22" t="e">
        <f>VLOOKUP(B78,'Trips&amp;Operators'!$C$1:$F$10000,4,FALSE)</f>
        <v>#N/A</v>
      </c>
      <c r="H78" s="30" t="e">
        <f>VLOOKUP(B78,'Trips&amp;Operators'!$C$1:$H$10000,5,FALSE)</f>
        <v>#N/A</v>
      </c>
      <c r="I78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78" s="31" t="e">
        <f>VLOOKUP(B78,'Train Runs'!$A$13:$A$99962,1,FALSE)</f>
        <v>#N/A</v>
      </c>
    </row>
    <row r="79" spans="1:10" x14ac:dyDescent="0.25">
      <c r="A79" s="167"/>
      <c r="B79" s="44" t="str">
        <f>A79&amp;"-"&amp;IF(DAY(Variables!$A$2)&lt;10,0,"")&amp;DAY(Variables!$A$2)</f>
        <v>-10</v>
      </c>
      <c r="C79" s="154"/>
      <c r="D79" s="159"/>
      <c r="E79" s="31"/>
      <c r="F79" s="22" t="e">
        <f>VLOOKUP(B79,'Trips&amp;Operators'!$C$2:$E$10000,3,FALSE)</f>
        <v>#N/A</v>
      </c>
      <c r="G79" s="22" t="e">
        <f>VLOOKUP(B79,'Trips&amp;Operators'!$C$1:$F$10000,4,FALSE)</f>
        <v>#N/A</v>
      </c>
      <c r="H79" s="30" t="e">
        <f>VLOOKUP(B79,'Trips&amp;Operators'!$C$1:$H$10000,5,FALSE)</f>
        <v>#N/A</v>
      </c>
      <c r="I79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79" s="31" t="e">
        <f>VLOOKUP(B79,'Train Runs'!$A$13:$A$99962,1,FALSE)</f>
        <v>#N/A</v>
      </c>
    </row>
    <row r="80" spans="1:10" x14ac:dyDescent="0.25">
      <c r="A80" s="167"/>
      <c r="B80" s="44" t="str">
        <f>A80&amp;"-"&amp;IF(DAY(Variables!$A$2)&lt;10,0,"")&amp;DAY(Variables!$A$2)</f>
        <v>-10</v>
      </c>
      <c r="C80" s="154"/>
      <c r="D80" s="159"/>
      <c r="E80" s="31"/>
      <c r="F80" s="22" t="e">
        <f>VLOOKUP(B80,'Trips&amp;Operators'!$C$2:$E$10000,3,FALSE)</f>
        <v>#N/A</v>
      </c>
      <c r="G80" s="22" t="e">
        <f>VLOOKUP(B80,'Trips&amp;Operators'!$C$1:$F$10000,4,FALSE)</f>
        <v>#N/A</v>
      </c>
      <c r="H80" s="30" t="e">
        <f>VLOOKUP(B80,'Trips&amp;Operators'!$C$1:$H$10000,5,FALSE)</f>
        <v>#N/A</v>
      </c>
      <c r="I80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80" s="31" t="e">
        <f>VLOOKUP(B80,'Train Runs'!$A$13:$A$99962,1,FALSE)</f>
        <v>#N/A</v>
      </c>
    </row>
    <row r="81" spans="1:10" x14ac:dyDescent="0.25">
      <c r="A81" s="167"/>
      <c r="B81" s="44" t="str">
        <f>A81&amp;"-"&amp;IF(DAY(Variables!$A$2)&lt;10,0,"")&amp;DAY(Variables!$A$2)</f>
        <v>-10</v>
      </c>
      <c r="C81" s="154"/>
      <c r="D81" s="159"/>
      <c r="E81" s="31"/>
      <c r="F81" s="22" t="e">
        <f>VLOOKUP(B81,'Trips&amp;Operators'!$C$2:$E$10000,3,FALSE)</f>
        <v>#N/A</v>
      </c>
      <c r="G81" s="22" t="e">
        <f>VLOOKUP(B81,'Trips&amp;Operators'!$C$1:$F$10000,4,FALSE)</f>
        <v>#N/A</v>
      </c>
      <c r="H81" s="30" t="e">
        <f>VLOOKUP(B81,'Trips&amp;Operators'!$C$1:$H$10000,5,FALSE)</f>
        <v>#N/A</v>
      </c>
      <c r="I81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81" s="31" t="e">
        <f>VLOOKUP(B81,'Train Runs'!$A$13:$A$99962,1,FALSE)</f>
        <v>#N/A</v>
      </c>
    </row>
    <row r="82" spans="1:10" x14ac:dyDescent="0.25">
      <c r="A82" s="167"/>
      <c r="B82" s="44" t="str">
        <f>A82&amp;"-"&amp;IF(DAY(Variables!$A$2)&lt;10,0,"")&amp;DAY(Variables!$A$2)</f>
        <v>-10</v>
      </c>
      <c r="C82" s="154"/>
      <c r="D82" s="159"/>
      <c r="E82" s="31"/>
      <c r="F82" s="22" t="e">
        <f>VLOOKUP(B82,'Trips&amp;Operators'!$C$2:$E$10000,3,FALSE)</f>
        <v>#N/A</v>
      </c>
      <c r="G82" s="22" t="e">
        <f>VLOOKUP(B82,'Trips&amp;Operators'!$C$1:$F$10000,4,FALSE)</f>
        <v>#N/A</v>
      </c>
      <c r="H82" s="30" t="e">
        <f>VLOOKUP(B82,'Trips&amp;Operators'!$C$1:$H$10000,5,FALSE)</f>
        <v>#N/A</v>
      </c>
      <c r="I82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82" s="31" t="e">
        <f>VLOOKUP(B82,'Train Runs'!$A$13:$A$99962,1,FALSE)</f>
        <v>#N/A</v>
      </c>
    </row>
    <row r="83" spans="1:10" x14ac:dyDescent="0.25">
      <c r="A83" s="167"/>
      <c r="B83" s="44" t="str">
        <f>A83&amp;"-"&amp;IF(DAY(Variables!$A$2)&lt;10,0,"")&amp;DAY(Variables!$A$2)</f>
        <v>-10</v>
      </c>
      <c r="C83" s="154"/>
      <c r="D83" s="159"/>
      <c r="E83" s="31"/>
      <c r="F83" s="22" t="e">
        <f>VLOOKUP(B83,'Trips&amp;Operators'!$C$2:$E$10000,3,FALSE)</f>
        <v>#N/A</v>
      </c>
      <c r="G83" s="22" t="e">
        <f>VLOOKUP(B83,'Trips&amp;Operators'!$C$1:$F$10000,4,FALSE)</f>
        <v>#N/A</v>
      </c>
      <c r="H83" s="30" t="e">
        <f>VLOOKUP(B83,'Trips&amp;Operators'!$C$1:$H$10000,5,FALSE)</f>
        <v>#N/A</v>
      </c>
      <c r="I83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83" s="31" t="e">
        <f>VLOOKUP(B83,'Train Runs'!$A$13:$A$99962,1,FALSE)</f>
        <v>#N/A</v>
      </c>
    </row>
    <row r="84" spans="1:10" x14ac:dyDescent="0.25">
      <c r="A84" s="167"/>
      <c r="B84" s="44" t="str">
        <f>A84&amp;"-"&amp;IF(DAY(Variables!$A$2)&lt;10,0,"")&amp;DAY(Variables!$A$2)</f>
        <v>-10</v>
      </c>
      <c r="C84" s="154"/>
      <c r="D84" s="159"/>
      <c r="E84" s="31"/>
      <c r="F84" s="22" t="e">
        <f>VLOOKUP(B84,'Trips&amp;Operators'!$C$2:$E$10000,3,FALSE)</f>
        <v>#N/A</v>
      </c>
      <c r="G84" s="22" t="e">
        <f>VLOOKUP(B84,'Trips&amp;Operators'!$C$1:$F$10000,4,FALSE)</f>
        <v>#N/A</v>
      </c>
      <c r="H84" s="30" t="e">
        <f>VLOOKUP(B84,'Trips&amp;Operators'!$C$1:$H$10000,5,FALSE)</f>
        <v>#N/A</v>
      </c>
      <c r="I84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84" s="31" t="e">
        <f>VLOOKUP(B84,'Train Runs'!$A$13:$A$99962,1,FALSE)</f>
        <v>#N/A</v>
      </c>
    </row>
    <row r="85" spans="1:10" x14ac:dyDescent="0.25">
      <c r="A85" s="167"/>
      <c r="B85" s="44" t="str">
        <f>A85&amp;"-"&amp;IF(DAY(Variables!$A$2)&lt;10,0,"")&amp;DAY(Variables!$A$2)</f>
        <v>-10</v>
      </c>
      <c r="C85" s="154"/>
      <c r="D85" s="159"/>
      <c r="E85" s="31"/>
      <c r="F85" s="22" t="e">
        <f>VLOOKUP(B85,'Trips&amp;Operators'!$C$2:$E$10000,3,FALSE)</f>
        <v>#N/A</v>
      </c>
      <c r="G85" s="22" t="e">
        <f>VLOOKUP(B85,'Trips&amp;Operators'!$C$1:$F$10000,4,FALSE)</f>
        <v>#N/A</v>
      </c>
      <c r="H85" s="30" t="e">
        <f>VLOOKUP(B85,'Trips&amp;Operators'!$C$1:$H$10000,5,FALSE)</f>
        <v>#N/A</v>
      </c>
      <c r="I85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85" s="31" t="e">
        <f>VLOOKUP(B85,'Train Runs'!$A$13:$A$99962,1,FALSE)</f>
        <v>#N/A</v>
      </c>
    </row>
    <row r="86" spans="1:10" x14ac:dyDescent="0.25">
      <c r="A86" s="167"/>
      <c r="B86" s="44" t="str">
        <f>A86&amp;"-"&amp;IF(DAY(Variables!$A$2)&lt;10,0,"")&amp;DAY(Variables!$A$2)</f>
        <v>-10</v>
      </c>
      <c r="C86" s="154"/>
      <c r="D86" s="159"/>
      <c r="E86" s="31"/>
      <c r="F86" s="22" t="e">
        <f>VLOOKUP(B86,'Trips&amp;Operators'!$C$2:$E$10000,3,FALSE)</f>
        <v>#N/A</v>
      </c>
      <c r="G86" s="22" t="e">
        <f>VLOOKUP(B86,'Trips&amp;Operators'!$C$1:$F$10000,4,FALSE)</f>
        <v>#N/A</v>
      </c>
      <c r="H86" s="30" t="e">
        <f>VLOOKUP(B86,'Trips&amp;Operators'!$C$1:$H$10000,5,FALSE)</f>
        <v>#N/A</v>
      </c>
      <c r="I86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86" s="31" t="e">
        <f>VLOOKUP(B86,'Train Runs'!$A$13:$A$99962,1,FALSE)</f>
        <v>#N/A</v>
      </c>
    </row>
    <row r="87" spans="1:10" x14ac:dyDescent="0.25">
      <c r="A87" s="167"/>
      <c r="B87" s="44" t="str">
        <f>A87&amp;"-"&amp;IF(DAY(Variables!$A$2)&lt;10,0,"")&amp;DAY(Variables!$A$2)</f>
        <v>-10</v>
      </c>
      <c r="C87" s="154"/>
      <c r="D87" s="159"/>
      <c r="E87" s="31"/>
      <c r="F87" s="22" t="e">
        <f>VLOOKUP(B87,'Trips&amp;Operators'!$C$2:$E$10000,3,FALSE)</f>
        <v>#N/A</v>
      </c>
      <c r="G87" s="22" t="e">
        <f>VLOOKUP(B87,'Trips&amp;Operators'!$C$1:$F$10000,4,FALSE)</f>
        <v>#N/A</v>
      </c>
      <c r="H87" s="30" t="e">
        <f>VLOOKUP(B87,'Trips&amp;Operators'!$C$1:$H$10000,5,FALSE)</f>
        <v>#N/A</v>
      </c>
      <c r="I87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87" s="31" t="e">
        <f>VLOOKUP(B87,'Train Runs'!$A$13:$A$99962,1,FALSE)</f>
        <v>#N/A</v>
      </c>
    </row>
    <row r="88" spans="1:10" x14ac:dyDescent="0.25">
      <c r="A88" s="167"/>
      <c r="B88" s="44" t="str">
        <f>A88&amp;"-"&amp;IF(DAY(Variables!$A$2)&lt;10,0,"")&amp;DAY(Variables!$A$2)</f>
        <v>-10</v>
      </c>
      <c r="C88" s="154"/>
      <c r="D88" s="159"/>
      <c r="E88" s="31"/>
      <c r="F88" s="22" t="e">
        <f>VLOOKUP(B88,'Trips&amp;Operators'!$C$2:$E$10000,3,FALSE)</f>
        <v>#N/A</v>
      </c>
      <c r="G88" s="22" t="e">
        <f>VLOOKUP(B88,'Trips&amp;Operators'!$C$1:$F$10000,4,FALSE)</f>
        <v>#N/A</v>
      </c>
      <c r="H88" s="30" t="e">
        <f>VLOOKUP(B88,'Trips&amp;Operators'!$C$1:$H$10000,5,FALSE)</f>
        <v>#N/A</v>
      </c>
      <c r="I88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88" s="31" t="e">
        <f>VLOOKUP(B88,'Train Runs'!$A$13:$A$99962,1,FALSE)</f>
        <v>#N/A</v>
      </c>
    </row>
    <row r="89" spans="1:10" x14ac:dyDescent="0.25">
      <c r="A89" s="167"/>
      <c r="B89" s="44" t="str">
        <f>A89&amp;"-"&amp;IF(DAY(Variables!$A$2)&lt;10,0,"")&amp;DAY(Variables!$A$2)</f>
        <v>-10</v>
      </c>
      <c r="C89" s="154"/>
      <c r="D89" s="159"/>
      <c r="E89" s="31"/>
      <c r="F89" s="22" t="e">
        <f>VLOOKUP(B89,'Trips&amp;Operators'!$C$2:$E$10000,3,FALSE)</f>
        <v>#N/A</v>
      </c>
      <c r="G89" s="22" t="e">
        <f>VLOOKUP(B89,'Trips&amp;Operators'!$C$1:$F$10000,4,FALSE)</f>
        <v>#N/A</v>
      </c>
      <c r="H89" s="30" t="e">
        <f>VLOOKUP(B89,'Trips&amp;Operators'!$C$1:$H$10000,5,FALSE)</f>
        <v>#N/A</v>
      </c>
      <c r="I89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89" s="31" t="e">
        <f>VLOOKUP(B89,'Train Runs'!$A$13:$A$99962,1,FALSE)</f>
        <v>#N/A</v>
      </c>
    </row>
    <row r="90" spans="1:10" x14ac:dyDescent="0.25">
      <c r="A90" s="167"/>
      <c r="B90" s="44" t="str">
        <f>A90&amp;"-"&amp;IF(DAY(Variables!$A$2)&lt;10,0,"")&amp;DAY(Variables!$A$2)</f>
        <v>-10</v>
      </c>
      <c r="C90" s="154"/>
      <c r="D90" s="159"/>
      <c r="E90" s="31"/>
      <c r="F90" s="22" t="e">
        <f>VLOOKUP(B90,'Trips&amp;Operators'!$C$2:$E$10000,3,FALSE)</f>
        <v>#N/A</v>
      </c>
      <c r="G90" s="22" t="e">
        <f>VLOOKUP(B90,'Trips&amp;Operators'!$C$1:$F$10000,4,FALSE)</f>
        <v>#N/A</v>
      </c>
      <c r="H90" s="30" t="e">
        <f>VLOOKUP(B90,'Trips&amp;Operators'!$C$1:$H$10000,5,FALSE)</f>
        <v>#N/A</v>
      </c>
      <c r="I90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90" s="31" t="e">
        <f>VLOOKUP(B90,'Train Runs'!$A$13:$A$99962,1,FALSE)</f>
        <v>#N/A</v>
      </c>
    </row>
    <row r="91" spans="1:10" x14ac:dyDescent="0.25">
      <c r="A91" s="167"/>
      <c r="B91" s="44" t="str">
        <f>A91&amp;"-"&amp;IF(DAY(Variables!$A$2)&lt;10,0,"")&amp;DAY(Variables!$A$2)</f>
        <v>-10</v>
      </c>
      <c r="C91" s="154"/>
      <c r="D91" s="159"/>
      <c r="E91" s="31"/>
      <c r="F91" s="22" t="e">
        <f>VLOOKUP(B91,'Trips&amp;Operators'!$C$2:$E$10000,3,FALSE)</f>
        <v>#N/A</v>
      </c>
      <c r="G91" s="22" t="e">
        <f>VLOOKUP(B91,'Trips&amp;Operators'!$C$1:$F$10000,4,FALSE)</f>
        <v>#N/A</v>
      </c>
      <c r="H91" s="30" t="e">
        <f>VLOOKUP(B91,'Trips&amp;Operators'!$C$1:$H$10000,5,FALSE)</f>
        <v>#N/A</v>
      </c>
      <c r="I91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91" s="31" t="e">
        <f>VLOOKUP(B91,'Train Runs'!$A$13:$A$99962,1,FALSE)</f>
        <v>#N/A</v>
      </c>
    </row>
    <row r="92" spans="1:10" x14ac:dyDescent="0.25">
      <c r="A92" s="167"/>
      <c r="B92" s="44" t="str">
        <f>A92&amp;"-"&amp;IF(DAY(Variables!$A$2)&lt;10,0,"")&amp;DAY(Variables!$A$2)</f>
        <v>-10</v>
      </c>
      <c r="C92" s="154"/>
      <c r="D92" s="159"/>
      <c r="E92" s="31"/>
      <c r="F92" s="22" t="e">
        <f>VLOOKUP(B92,'Trips&amp;Operators'!$C$2:$E$10000,3,FALSE)</f>
        <v>#N/A</v>
      </c>
      <c r="G92" s="22" t="e">
        <f>VLOOKUP(B92,'Trips&amp;Operators'!$C$1:$F$10000,4,FALSE)</f>
        <v>#N/A</v>
      </c>
      <c r="H92" s="30" t="e">
        <f>VLOOKUP(B92,'Trips&amp;Operators'!$C$1:$H$10000,5,FALSE)</f>
        <v>#N/A</v>
      </c>
      <c r="I92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92" s="31" t="e">
        <f>VLOOKUP(B92,'Train Runs'!$A$13:$A$99962,1,FALSE)</f>
        <v>#N/A</v>
      </c>
    </row>
    <row r="93" spans="1:10" x14ac:dyDescent="0.25">
      <c r="A93" s="167"/>
      <c r="B93" s="44" t="str">
        <f>A93&amp;"-"&amp;IF(DAY(Variables!$A$2)&lt;10,0,"")&amp;DAY(Variables!$A$2)</f>
        <v>-10</v>
      </c>
      <c r="C93" s="154"/>
      <c r="D93" s="159"/>
      <c r="E93" s="31"/>
      <c r="F93" s="22" t="e">
        <f>VLOOKUP(B93,'Trips&amp;Operators'!$C$2:$E$10000,3,FALSE)</f>
        <v>#N/A</v>
      </c>
      <c r="G93" s="22" t="e">
        <f>VLOOKUP(B93,'Trips&amp;Operators'!$C$1:$F$10000,4,FALSE)</f>
        <v>#N/A</v>
      </c>
      <c r="H93" s="30" t="e">
        <f>VLOOKUP(B93,'Trips&amp;Operators'!$C$1:$H$10000,5,FALSE)</f>
        <v>#N/A</v>
      </c>
      <c r="I93" s="47" t="str">
        <f t="shared" ref="I93:I143" si="3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93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93" s="31" t="e">
        <f>VLOOKUP(B93,'Train Runs'!$A$13:$A$99962,1,FALSE)</f>
        <v>#N/A</v>
      </c>
    </row>
    <row r="94" spans="1:10" x14ac:dyDescent="0.25">
      <c r="A94" s="167"/>
      <c r="B94" s="44" t="str">
        <f>A94&amp;"-"&amp;IF(DAY(Variables!$A$2)&lt;10,0,"")&amp;DAY(Variables!$A$2)</f>
        <v>-10</v>
      </c>
      <c r="C94" s="154"/>
      <c r="D94" s="159"/>
      <c r="E94" s="31"/>
      <c r="F94" s="22" t="e">
        <f>VLOOKUP(B94,'Trips&amp;Operators'!$C$2:$E$10000,3,FALSE)</f>
        <v>#N/A</v>
      </c>
      <c r="G94" s="22" t="e">
        <f>VLOOKUP(B94,'Trips&amp;Operators'!$C$1:$F$10000,4,FALSE)</f>
        <v>#N/A</v>
      </c>
      <c r="H94" s="30" t="e">
        <f>VLOOKUP(B94,'Trips&amp;Operators'!$C$1:$H$10000,5,FALSE)</f>
        <v>#N/A</v>
      </c>
      <c r="I94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94" s="31" t="e">
        <f>VLOOKUP(B94,'Train Runs'!$A$13:$A$99962,1,FALSE)</f>
        <v>#N/A</v>
      </c>
    </row>
    <row r="95" spans="1:10" x14ac:dyDescent="0.25">
      <c r="A95" s="167"/>
      <c r="B95" s="44" t="str">
        <f>A95&amp;"-"&amp;IF(DAY(Variables!$A$2)&lt;10,0,"")&amp;DAY(Variables!$A$2)</f>
        <v>-10</v>
      </c>
      <c r="C95" s="154"/>
      <c r="D95" s="159"/>
      <c r="E95" s="31"/>
      <c r="F95" s="22" t="e">
        <f>VLOOKUP(B95,'Trips&amp;Operators'!$C$2:$E$10000,3,FALSE)</f>
        <v>#N/A</v>
      </c>
      <c r="G95" s="22" t="e">
        <f>VLOOKUP(B95,'Trips&amp;Operators'!$C$1:$F$10000,4,FALSE)</f>
        <v>#N/A</v>
      </c>
      <c r="H95" s="30" t="e">
        <f>VLOOKUP(B95,'Trips&amp;Operators'!$C$1:$H$10000,5,FALSE)</f>
        <v>#N/A</v>
      </c>
      <c r="I95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95" s="31" t="e">
        <f>VLOOKUP(B95,'Train Runs'!$A$13:$A$99962,1,FALSE)</f>
        <v>#N/A</v>
      </c>
    </row>
    <row r="96" spans="1:10" x14ac:dyDescent="0.25">
      <c r="A96" s="167"/>
      <c r="B96" s="44" t="str">
        <f>A96&amp;"-"&amp;IF(DAY(Variables!$A$2)&lt;10,0,"")&amp;DAY(Variables!$A$2)</f>
        <v>-10</v>
      </c>
      <c r="C96" s="154"/>
      <c r="D96" s="159"/>
      <c r="E96" s="31"/>
      <c r="F96" s="22" t="e">
        <f>VLOOKUP(B96,'Trips&amp;Operators'!$C$2:$E$10000,3,FALSE)</f>
        <v>#N/A</v>
      </c>
      <c r="G96" s="22" t="e">
        <f>VLOOKUP(B96,'Trips&amp;Operators'!$C$1:$F$10000,4,FALSE)</f>
        <v>#N/A</v>
      </c>
      <c r="H96" s="30" t="e">
        <f>VLOOKUP(B96,'Trips&amp;Operators'!$C$1:$H$10000,5,FALSE)</f>
        <v>#N/A</v>
      </c>
      <c r="I96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96" s="31" t="e">
        <f>VLOOKUP(B96,'Train Runs'!$A$13:$A$99962,1,FALSE)</f>
        <v>#N/A</v>
      </c>
    </row>
    <row r="97" spans="1:10" x14ac:dyDescent="0.25">
      <c r="A97" s="167"/>
      <c r="B97" s="44" t="str">
        <f>A97&amp;"-"&amp;IF(DAY(Variables!$A$2)&lt;10,0,"")&amp;DAY(Variables!$A$2)</f>
        <v>-10</v>
      </c>
      <c r="C97" s="154"/>
      <c r="D97" s="159"/>
      <c r="E97" s="31"/>
      <c r="F97" s="22" t="e">
        <f>VLOOKUP(B97,'Trips&amp;Operators'!$C$2:$E$10000,3,FALSE)</f>
        <v>#N/A</v>
      </c>
      <c r="G97" s="22" t="e">
        <f>VLOOKUP(B97,'Trips&amp;Operators'!$C$1:$F$10000,4,FALSE)</f>
        <v>#N/A</v>
      </c>
      <c r="H97" s="30" t="e">
        <f>VLOOKUP(B97,'Trips&amp;Operators'!$C$1:$H$10000,5,FALSE)</f>
        <v>#N/A</v>
      </c>
      <c r="I97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97" s="31" t="e">
        <f>VLOOKUP(B97,'Train Runs'!$A$13:$A$99962,1,FALSE)</f>
        <v>#N/A</v>
      </c>
    </row>
    <row r="98" spans="1:10" x14ac:dyDescent="0.25">
      <c r="A98" s="167"/>
      <c r="B98" s="44" t="str">
        <f>A98&amp;"-"&amp;IF(DAY(Variables!$A$2)&lt;10,0,"")&amp;DAY(Variables!$A$2)</f>
        <v>-10</v>
      </c>
      <c r="C98" s="154"/>
      <c r="D98" s="159"/>
      <c r="E98" s="31"/>
      <c r="F98" s="22" t="e">
        <f>VLOOKUP(B98,'Trips&amp;Operators'!$C$2:$E$10000,3,FALSE)</f>
        <v>#N/A</v>
      </c>
      <c r="G98" s="22" t="e">
        <f>VLOOKUP(B98,'Trips&amp;Operators'!$C$1:$F$10000,4,FALSE)</f>
        <v>#N/A</v>
      </c>
      <c r="H98" s="30" t="e">
        <f>VLOOKUP(B98,'Trips&amp;Operators'!$C$1:$H$10000,5,FALSE)</f>
        <v>#N/A</v>
      </c>
      <c r="I98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98" s="31" t="e">
        <f>VLOOKUP(B98,'Train Runs'!$A$13:$A$99962,1,FALSE)</f>
        <v>#N/A</v>
      </c>
    </row>
    <row r="99" spans="1:10" x14ac:dyDescent="0.25">
      <c r="A99" s="167"/>
      <c r="B99" s="44" t="str">
        <f>A99&amp;"-"&amp;IF(DAY(Variables!$A$2)&lt;10,0,"")&amp;DAY(Variables!$A$2)</f>
        <v>-10</v>
      </c>
      <c r="C99" s="154"/>
      <c r="D99" s="159"/>
      <c r="E99" s="31"/>
      <c r="F99" s="22" t="e">
        <f>VLOOKUP(B99,'Trips&amp;Operators'!$C$2:$E$10000,3,FALSE)</f>
        <v>#N/A</v>
      </c>
      <c r="G99" s="22" t="e">
        <f>VLOOKUP(B99,'Trips&amp;Operators'!$C$1:$F$10000,4,FALSE)</f>
        <v>#N/A</v>
      </c>
      <c r="H99" s="30" t="e">
        <f>VLOOKUP(B99,'Trips&amp;Operators'!$C$1:$H$10000,5,FALSE)</f>
        <v>#N/A</v>
      </c>
      <c r="I99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99" s="31" t="e">
        <f>VLOOKUP(B99,'Train Runs'!$A$13:$A$99962,1,FALSE)</f>
        <v>#N/A</v>
      </c>
    </row>
    <row r="100" spans="1:10" x14ac:dyDescent="0.25">
      <c r="A100" s="167"/>
      <c r="B100" s="44" t="str">
        <f>A100&amp;"-"&amp;IF(DAY(Variables!$A$2)&lt;10,0,"")&amp;DAY(Variables!$A$2)</f>
        <v>-10</v>
      </c>
      <c r="C100" s="154"/>
      <c r="D100" s="159"/>
      <c r="E100" s="31"/>
      <c r="F100" s="22" t="e">
        <f>VLOOKUP(B100,'Trips&amp;Operators'!$C$2:$E$10000,3,FALSE)</f>
        <v>#N/A</v>
      </c>
      <c r="G100" s="22" t="e">
        <f>VLOOKUP(B100,'Trips&amp;Operators'!$C$1:$F$10000,4,FALSE)</f>
        <v>#N/A</v>
      </c>
      <c r="H100" s="30" t="e">
        <f>VLOOKUP(B100,'Trips&amp;Operators'!$C$1:$H$10000,5,FALSE)</f>
        <v>#N/A</v>
      </c>
      <c r="I100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00" s="31" t="e">
        <f>VLOOKUP(B100,'Train Runs'!$A$13:$A$99962,1,FALSE)</f>
        <v>#N/A</v>
      </c>
    </row>
    <row r="101" spans="1:10" x14ac:dyDescent="0.25">
      <c r="A101" s="167"/>
      <c r="B101" s="44" t="str">
        <f>A101&amp;"-"&amp;IF(DAY(Variables!$A$2)&lt;10,0,"")&amp;DAY(Variables!$A$2)</f>
        <v>-10</v>
      </c>
      <c r="C101" s="154"/>
      <c r="D101" s="159"/>
      <c r="E101" s="31"/>
      <c r="F101" s="22" t="e">
        <f>VLOOKUP(B101,'Trips&amp;Operators'!$C$2:$E$10000,3,FALSE)</f>
        <v>#N/A</v>
      </c>
      <c r="G101" s="22" t="e">
        <f>VLOOKUP(B101,'Trips&amp;Operators'!$C$1:$F$10000,4,FALSE)</f>
        <v>#N/A</v>
      </c>
      <c r="H101" s="30" t="e">
        <f>VLOOKUP(B101,'Trips&amp;Operators'!$C$1:$H$10000,5,FALSE)</f>
        <v>#N/A</v>
      </c>
      <c r="I101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01" s="31" t="e">
        <f>VLOOKUP(B101,'Train Runs'!$A$13:$A$99962,1,FALSE)</f>
        <v>#N/A</v>
      </c>
    </row>
    <row r="102" spans="1:10" x14ac:dyDescent="0.25">
      <c r="A102" s="167"/>
      <c r="B102" s="44" t="str">
        <f>A102&amp;"-"&amp;IF(DAY(Variables!$A$2)&lt;10,0,"")&amp;DAY(Variables!$A$2)</f>
        <v>-10</v>
      </c>
      <c r="C102" s="154"/>
      <c r="D102" s="159"/>
      <c r="E102" s="31"/>
      <c r="F102" s="22" t="e">
        <f>VLOOKUP(B102,'Trips&amp;Operators'!$C$2:$E$10000,3,FALSE)</f>
        <v>#N/A</v>
      </c>
      <c r="G102" s="22" t="e">
        <f>VLOOKUP(B102,'Trips&amp;Operators'!$C$1:$F$10000,4,FALSE)</f>
        <v>#N/A</v>
      </c>
      <c r="H102" s="30" t="e">
        <f>VLOOKUP(B102,'Trips&amp;Operators'!$C$1:$H$10000,5,FALSE)</f>
        <v>#N/A</v>
      </c>
      <c r="I102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02" s="31" t="e">
        <f>VLOOKUP(B102,'Train Runs'!$A$13:$A$99962,1,FALSE)</f>
        <v>#N/A</v>
      </c>
    </row>
    <row r="103" spans="1:10" x14ac:dyDescent="0.25">
      <c r="A103" s="167"/>
      <c r="B103" s="44" t="str">
        <f>A103&amp;"-"&amp;IF(DAY(Variables!$A$2)&lt;10,0,"")&amp;DAY(Variables!$A$2)</f>
        <v>-10</v>
      </c>
      <c r="C103" s="154"/>
      <c r="D103" s="159"/>
      <c r="E103" s="31"/>
      <c r="F103" s="22" t="e">
        <f>VLOOKUP(B103,'Trips&amp;Operators'!$C$2:$E$10000,3,FALSE)</f>
        <v>#N/A</v>
      </c>
      <c r="G103" s="22" t="e">
        <f>VLOOKUP(B103,'Trips&amp;Operators'!$C$1:$F$10000,4,FALSE)</f>
        <v>#N/A</v>
      </c>
      <c r="H103" s="30" t="e">
        <f>VLOOKUP(B103,'Trips&amp;Operators'!$C$1:$H$10000,5,FALSE)</f>
        <v>#N/A</v>
      </c>
      <c r="I103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03" s="31" t="e">
        <f>VLOOKUP(B103,'Train Runs'!$A$13:$A$99962,1,FALSE)</f>
        <v>#N/A</v>
      </c>
    </row>
    <row r="104" spans="1:10" x14ac:dyDescent="0.25">
      <c r="A104" s="167"/>
      <c r="B104" s="44" t="str">
        <f>A104&amp;"-"&amp;IF(DAY(Variables!$A$2)&lt;10,0,"")&amp;DAY(Variables!$A$2)</f>
        <v>-10</v>
      </c>
      <c r="C104" s="154"/>
      <c r="D104" s="159"/>
      <c r="E104" s="31"/>
      <c r="F104" s="22" t="e">
        <f>VLOOKUP(B104,'Trips&amp;Operators'!$C$2:$E$10000,3,FALSE)</f>
        <v>#N/A</v>
      </c>
      <c r="G104" s="22" t="e">
        <f>VLOOKUP(B104,'Trips&amp;Operators'!$C$1:$F$10000,4,FALSE)</f>
        <v>#N/A</v>
      </c>
      <c r="H104" s="30" t="e">
        <f>VLOOKUP(B104,'Trips&amp;Operators'!$C$1:$H$10000,5,FALSE)</f>
        <v>#N/A</v>
      </c>
      <c r="I104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04" s="31" t="e">
        <f>VLOOKUP(B104,'Train Runs'!$A$13:$A$99962,1,FALSE)</f>
        <v>#N/A</v>
      </c>
    </row>
    <row r="105" spans="1:10" x14ac:dyDescent="0.25">
      <c r="A105" s="167"/>
      <c r="B105" s="44" t="str">
        <f>A105&amp;"-"&amp;IF(DAY(Variables!$A$2)&lt;10,0,"")&amp;DAY(Variables!$A$2)</f>
        <v>-10</v>
      </c>
      <c r="C105" s="154"/>
      <c r="D105" s="159"/>
      <c r="E105" s="31"/>
      <c r="F105" s="22" t="e">
        <f>VLOOKUP(B105,'Trips&amp;Operators'!$C$2:$E$10000,3,FALSE)</f>
        <v>#N/A</v>
      </c>
      <c r="G105" s="22" t="e">
        <f>VLOOKUP(B105,'Trips&amp;Operators'!$C$1:$F$10000,4,FALSE)</f>
        <v>#N/A</v>
      </c>
      <c r="H105" s="30" t="e">
        <f>VLOOKUP(B105,'Trips&amp;Operators'!$C$1:$H$10000,5,FALSE)</f>
        <v>#N/A</v>
      </c>
      <c r="I105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05" s="31" t="e">
        <f>VLOOKUP(B105,'Train Runs'!$A$13:$A$99962,1,FALSE)</f>
        <v>#N/A</v>
      </c>
    </row>
    <row r="106" spans="1:10" x14ac:dyDescent="0.25">
      <c r="A106" s="167"/>
      <c r="B106" s="44" t="str">
        <f>A106&amp;"-"&amp;IF(DAY(Variables!$A$2)&lt;10,0,"")&amp;DAY(Variables!$A$2)</f>
        <v>-10</v>
      </c>
      <c r="C106" s="154"/>
      <c r="D106" s="159"/>
      <c r="E106" s="31"/>
      <c r="F106" s="22" t="e">
        <f>VLOOKUP(B106,'Trips&amp;Operators'!$C$2:$E$10000,3,FALSE)</f>
        <v>#N/A</v>
      </c>
      <c r="G106" s="22" t="e">
        <f>VLOOKUP(B106,'Trips&amp;Operators'!$C$1:$F$10000,4,FALSE)</f>
        <v>#N/A</v>
      </c>
      <c r="H106" s="30" t="e">
        <f>VLOOKUP(B106,'Trips&amp;Operators'!$C$1:$H$10000,5,FALSE)</f>
        <v>#N/A</v>
      </c>
      <c r="I106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06" s="31" t="e">
        <f>VLOOKUP(B106,'Train Runs'!$A$13:$A$99962,1,FALSE)</f>
        <v>#N/A</v>
      </c>
    </row>
    <row r="107" spans="1:10" x14ac:dyDescent="0.25">
      <c r="A107" s="167"/>
      <c r="B107" s="44" t="str">
        <f>A107&amp;"-"&amp;IF(DAY(Variables!$A$2)&lt;10,0,"")&amp;DAY(Variables!$A$2)</f>
        <v>-10</v>
      </c>
      <c r="C107" s="154"/>
      <c r="D107" s="159"/>
      <c r="E107" s="31"/>
      <c r="F107" s="22" t="e">
        <f>VLOOKUP(B107,'Trips&amp;Operators'!$C$2:$E$10000,3,FALSE)</f>
        <v>#N/A</v>
      </c>
      <c r="G107" s="22" t="e">
        <f>VLOOKUP(B107,'Trips&amp;Operators'!$C$1:$F$10000,4,FALSE)</f>
        <v>#N/A</v>
      </c>
      <c r="H107" s="30" t="e">
        <f>VLOOKUP(B107,'Trips&amp;Operators'!$C$1:$H$10000,5,FALSE)</f>
        <v>#N/A</v>
      </c>
      <c r="I107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07" s="31" t="e">
        <f>VLOOKUP(B107,'Train Runs'!$A$13:$A$99962,1,FALSE)</f>
        <v>#N/A</v>
      </c>
    </row>
    <row r="108" spans="1:10" x14ac:dyDescent="0.25">
      <c r="A108" s="167"/>
      <c r="B108" s="44" t="str">
        <f>A108&amp;"-"&amp;IF(DAY(Variables!$A$2)&lt;10,0,"")&amp;DAY(Variables!$A$2)</f>
        <v>-10</v>
      </c>
      <c r="C108" s="154"/>
      <c r="D108" s="159"/>
      <c r="E108" s="31"/>
      <c r="F108" s="22" t="e">
        <f>VLOOKUP(B108,'Trips&amp;Operators'!$C$2:$E$10000,3,FALSE)</f>
        <v>#N/A</v>
      </c>
      <c r="G108" s="22" t="e">
        <f>VLOOKUP(B108,'Trips&amp;Operators'!$C$1:$F$10000,4,FALSE)</f>
        <v>#N/A</v>
      </c>
      <c r="H108" s="30" t="e">
        <f>VLOOKUP(B108,'Trips&amp;Operators'!$C$1:$H$10000,5,FALSE)</f>
        <v>#N/A</v>
      </c>
      <c r="I108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08" s="31" t="e">
        <f>VLOOKUP(B108,'Train Runs'!$A$13:$A$99962,1,FALSE)</f>
        <v>#N/A</v>
      </c>
    </row>
    <row r="109" spans="1:10" x14ac:dyDescent="0.25">
      <c r="A109" s="167"/>
      <c r="B109" s="44" t="str">
        <f>A109&amp;"-"&amp;IF(DAY(Variables!$A$2)&lt;10,0,"")&amp;DAY(Variables!$A$2)</f>
        <v>-10</v>
      </c>
      <c r="C109" s="154"/>
      <c r="D109" s="159"/>
      <c r="E109" s="31"/>
      <c r="F109" s="22" t="e">
        <f>VLOOKUP(B109,'Trips&amp;Operators'!$C$2:$E$10000,3,FALSE)</f>
        <v>#N/A</v>
      </c>
      <c r="G109" s="22" t="e">
        <f>VLOOKUP(B109,'Trips&amp;Operators'!$C$1:$F$10000,4,FALSE)</f>
        <v>#N/A</v>
      </c>
      <c r="H109" s="30" t="e">
        <f>VLOOKUP(B109,'Trips&amp;Operators'!$C$1:$H$10000,5,FALSE)</f>
        <v>#N/A</v>
      </c>
      <c r="I109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09" s="31" t="e">
        <f>VLOOKUP(B109,'Train Runs'!$A$13:$A$99962,1,FALSE)</f>
        <v>#N/A</v>
      </c>
    </row>
    <row r="110" spans="1:10" x14ac:dyDescent="0.25">
      <c r="A110" s="167"/>
      <c r="B110" s="44" t="str">
        <f>A110&amp;"-"&amp;IF(DAY(Variables!$A$2)&lt;10,0,"")&amp;DAY(Variables!$A$2)</f>
        <v>-10</v>
      </c>
      <c r="C110" s="154"/>
      <c r="D110" s="159"/>
      <c r="E110" s="31"/>
      <c r="F110" s="22" t="e">
        <f>VLOOKUP(B110,'Trips&amp;Operators'!$C$2:$E$10000,3,FALSE)</f>
        <v>#N/A</v>
      </c>
      <c r="G110" s="22" t="e">
        <f>VLOOKUP(B110,'Trips&amp;Operators'!$C$1:$F$10000,4,FALSE)</f>
        <v>#N/A</v>
      </c>
      <c r="H110" s="30" t="e">
        <f>VLOOKUP(B110,'Trips&amp;Operators'!$C$1:$H$10000,5,FALSE)</f>
        <v>#N/A</v>
      </c>
      <c r="I110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10" s="31" t="e">
        <f>VLOOKUP(B110,'Train Runs'!$A$13:$A$99962,1,FALSE)</f>
        <v>#N/A</v>
      </c>
    </row>
    <row r="111" spans="1:10" x14ac:dyDescent="0.25">
      <c r="A111" s="167"/>
      <c r="B111" s="44" t="str">
        <f>A111&amp;"-"&amp;IF(DAY(Variables!$A$2)&lt;10,0,"")&amp;DAY(Variables!$A$2)</f>
        <v>-10</v>
      </c>
      <c r="C111" s="154"/>
      <c r="D111" s="159"/>
      <c r="E111" s="31"/>
      <c r="F111" s="22" t="e">
        <f>VLOOKUP(B111,'Trips&amp;Operators'!$C$2:$E$10000,3,FALSE)</f>
        <v>#N/A</v>
      </c>
      <c r="G111" s="22" t="e">
        <f>VLOOKUP(B111,'Trips&amp;Operators'!$C$1:$F$10000,4,FALSE)</f>
        <v>#N/A</v>
      </c>
      <c r="H111" s="30" t="e">
        <f>VLOOKUP(B111,'Trips&amp;Operators'!$C$1:$H$10000,5,FALSE)</f>
        <v>#N/A</v>
      </c>
      <c r="I111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11" s="31" t="e">
        <f>VLOOKUP(B111,'Train Runs'!$A$13:$A$99962,1,FALSE)</f>
        <v>#N/A</v>
      </c>
    </row>
    <row r="112" spans="1:10" x14ac:dyDescent="0.25">
      <c r="A112" s="167"/>
      <c r="B112" s="44" t="str">
        <f>A112&amp;"-"&amp;IF(DAY(Variables!$A$2)&lt;10,0,"")&amp;DAY(Variables!$A$2)</f>
        <v>-10</v>
      </c>
      <c r="C112" s="154"/>
      <c r="D112" s="159"/>
      <c r="E112" s="31"/>
      <c r="F112" s="22" t="e">
        <f>VLOOKUP(B112,'Trips&amp;Operators'!$C$2:$E$10000,3,FALSE)</f>
        <v>#N/A</v>
      </c>
      <c r="G112" s="22" t="e">
        <f>VLOOKUP(B112,'Trips&amp;Operators'!$C$1:$F$10000,4,FALSE)</f>
        <v>#N/A</v>
      </c>
      <c r="H112" s="30" t="e">
        <f>VLOOKUP(B112,'Trips&amp;Operators'!$C$1:$H$10000,5,FALSE)</f>
        <v>#N/A</v>
      </c>
      <c r="I112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12" s="31" t="e">
        <f>VLOOKUP(B112,'Train Runs'!$A$13:$A$99962,1,FALSE)</f>
        <v>#N/A</v>
      </c>
    </row>
    <row r="113" spans="1:10" x14ac:dyDescent="0.25">
      <c r="A113" s="167"/>
      <c r="B113" s="44" t="str">
        <f>A113&amp;"-"&amp;IF(DAY(Variables!$A$2)&lt;10,0,"")&amp;DAY(Variables!$A$2)</f>
        <v>-10</v>
      </c>
      <c r="C113" s="154"/>
      <c r="D113" s="159"/>
      <c r="E113" s="31"/>
      <c r="F113" s="22" t="e">
        <f>VLOOKUP(B113,'Trips&amp;Operators'!$C$2:$E$10000,3,FALSE)</f>
        <v>#N/A</v>
      </c>
      <c r="G113" s="22" t="e">
        <f>VLOOKUP(B113,'Trips&amp;Operators'!$C$1:$F$10000,4,FALSE)</f>
        <v>#N/A</v>
      </c>
      <c r="H113" s="30" t="e">
        <f>VLOOKUP(B113,'Trips&amp;Operators'!$C$1:$H$10000,5,FALSE)</f>
        <v>#N/A</v>
      </c>
      <c r="I113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13" s="31" t="e">
        <f>VLOOKUP(B113,'Train Runs'!$A$13:$A$99962,1,FALSE)</f>
        <v>#N/A</v>
      </c>
    </row>
    <row r="114" spans="1:10" x14ac:dyDescent="0.25">
      <c r="A114" s="167"/>
      <c r="B114" s="44" t="str">
        <f>A114&amp;"-"&amp;IF(DAY(Variables!$A$2)&lt;10,0,"")&amp;DAY(Variables!$A$2)</f>
        <v>-10</v>
      </c>
      <c r="C114" s="154"/>
      <c r="D114" s="159"/>
      <c r="E114" s="31"/>
      <c r="F114" s="22" t="e">
        <f>VLOOKUP(B114,'Trips&amp;Operators'!$C$2:$E$10000,3,FALSE)</f>
        <v>#N/A</v>
      </c>
      <c r="G114" s="22" t="e">
        <f>VLOOKUP(B114,'Trips&amp;Operators'!$C$1:$F$10000,4,FALSE)</f>
        <v>#N/A</v>
      </c>
      <c r="H114" s="30" t="e">
        <f>VLOOKUP(B114,'Trips&amp;Operators'!$C$1:$H$10000,5,FALSE)</f>
        <v>#N/A</v>
      </c>
      <c r="I114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14" s="31" t="e">
        <f>VLOOKUP(B114,'Train Runs'!$A$13:$A$99962,1,FALSE)</f>
        <v>#N/A</v>
      </c>
    </row>
    <row r="115" spans="1:10" x14ac:dyDescent="0.25">
      <c r="A115" s="167"/>
      <c r="B115" s="44" t="str">
        <f>A115&amp;"-"&amp;IF(DAY(Variables!$A$2)&lt;10,0,"")&amp;DAY(Variables!$A$2)</f>
        <v>-10</v>
      </c>
      <c r="C115" s="154"/>
      <c r="D115" s="159"/>
      <c r="E115" s="31"/>
      <c r="F115" s="22" t="e">
        <f>VLOOKUP(B115,'Trips&amp;Operators'!$C$2:$E$10000,3,FALSE)</f>
        <v>#N/A</v>
      </c>
      <c r="G115" s="22" t="e">
        <f>VLOOKUP(B115,'Trips&amp;Operators'!$C$1:$F$10000,4,FALSE)</f>
        <v>#N/A</v>
      </c>
      <c r="H115" s="30" t="e">
        <f>VLOOKUP(B115,'Trips&amp;Operators'!$C$1:$H$10000,5,FALSE)</f>
        <v>#N/A</v>
      </c>
      <c r="I115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15" s="31" t="e">
        <f>VLOOKUP(B115,'Train Runs'!$A$13:$A$99962,1,FALSE)</f>
        <v>#N/A</v>
      </c>
    </row>
    <row r="116" spans="1:10" x14ac:dyDescent="0.25">
      <c r="A116" s="167"/>
      <c r="B116" s="44" t="str">
        <f>A116&amp;"-"&amp;IF(DAY(Variables!$A$2)&lt;10,0,"")&amp;DAY(Variables!$A$2)</f>
        <v>-10</v>
      </c>
      <c r="C116" s="154"/>
      <c r="D116" s="159"/>
      <c r="E116" s="31"/>
      <c r="F116" s="22" t="e">
        <f>VLOOKUP(B116,'Trips&amp;Operators'!$C$2:$E$10000,3,FALSE)</f>
        <v>#N/A</v>
      </c>
      <c r="G116" s="22" t="e">
        <f>VLOOKUP(B116,'Trips&amp;Operators'!$C$1:$F$10000,4,FALSE)</f>
        <v>#N/A</v>
      </c>
      <c r="H116" s="30" t="e">
        <f>VLOOKUP(B116,'Trips&amp;Operators'!$C$1:$H$10000,5,FALSE)</f>
        <v>#N/A</v>
      </c>
      <c r="I116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16" s="31" t="e">
        <f>VLOOKUP(B116,'Train Runs'!$A$13:$A$99962,1,FALSE)</f>
        <v>#N/A</v>
      </c>
    </row>
    <row r="117" spans="1:10" x14ac:dyDescent="0.25">
      <c r="A117" s="167"/>
      <c r="B117" s="44" t="str">
        <f>A117&amp;"-"&amp;IF(DAY(Variables!$A$2)&lt;10,0,"")&amp;DAY(Variables!$A$2)</f>
        <v>-10</v>
      </c>
      <c r="C117" s="154"/>
      <c r="D117" s="159"/>
      <c r="E117" s="31"/>
      <c r="F117" s="22" t="e">
        <f>VLOOKUP(B117,'Trips&amp;Operators'!$C$2:$E$10000,3,FALSE)</f>
        <v>#N/A</v>
      </c>
      <c r="G117" s="22" t="e">
        <f>VLOOKUP(B117,'Trips&amp;Operators'!$C$1:$F$10000,4,FALSE)</f>
        <v>#N/A</v>
      </c>
      <c r="H117" s="30" t="e">
        <f>VLOOKUP(B117,'Trips&amp;Operators'!$C$1:$H$10000,5,FALSE)</f>
        <v>#N/A</v>
      </c>
      <c r="I117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17" s="31" t="e">
        <f>VLOOKUP(B117,'Train Runs'!$A$13:$A$99962,1,FALSE)</f>
        <v>#N/A</v>
      </c>
    </row>
    <row r="118" spans="1:10" x14ac:dyDescent="0.25">
      <c r="A118" s="167"/>
      <c r="B118" s="44" t="str">
        <f>A118&amp;"-"&amp;IF(DAY(Variables!$A$2)&lt;10,0,"")&amp;DAY(Variables!$A$2)</f>
        <v>-10</v>
      </c>
      <c r="C118" s="154"/>
      <c r="D118" s="159"/>
      <c r="E118" s="31"/>
      <c r="F118" s="22" t="e">
        <f>VLOOKUP(B118,'Trips&amp;Operators'!$C$2:$E$10000,3,FALSE)</f>
        <v>#N/A</v>
      </c>
      <c r="G118" s="22" t="e">
        <f>VLOOKUP(B118,'Trips&amp;Operators'!$C$1:$F$10000,4,FALSE)</f>
        <v>#N/A</v>
      </c>
      <c r="H118" s="30" t="e">
        <f>VLOOKUP(B118,'Trips&amp;Operators'!$C$1:$H$10000,5,FALSE)</f>
        <v>#N/A</v>
      </c>
      <c r="I118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18" s="31" t="e">
        <f>VLOOKUP(B118,'Train Runs'!$A$13:$A$99962,1,FALSE)</f>
        <v>#N/A</v>
      </c>
    </row>
    <row r="119" spans="1:10" x14ac:dyDescent="0.25">
      <c r="A119" s="167"/>
      <c r="B119" s="44" t="str">
        <f>A119&amp;"-"&amp;IF(DAY(Variables!$A$2)&lt;10,0,"")&amp;DAY(Variables!$A$2)</f>
        <v>-10</v>
      </c>
      <c r="C119" s="154"/>
      <c r="D119" s="159"/>
      <c r="E119" s="31"/>
      <c r="F119" s="22" t="e">
        <f>VLOOKUP(B119,'Trips&amp;Operators'!$C$2:$E$10000,3,FALSE)</f>
        <v>#N/A</v>
      </c>
      <c r="G119" s="22" t="e">
        <f>VLOOKUP(B119,'Trips&amp;Operators'!$C$1:$F$10000,4,FALSE)</f>
        <v>#N/A</v>
      </c>
      <c r="H119" s="30" t="e">
        <f>VLOOKUP(B119,'Trips&amp;Operators'!$C$1:$H$10000,5,FALSE)</f>
        <v>#N/A</v>
      </c>
      <c r="I119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19" s="31" t="e">
        <f>VLOOKUP(B119,'Train Runs'!$A$13:$A$99962,1,FALSE)</f>
        <v>#N/A</v>
      </c>
    </row>
    <row r="120" spans="1:10" x14ac:dyDescent="0.25">
      <c r="A120" s="167"/>
      <c r="B120" s="44" t="str">
        <f>A120&amp;"-"&amp;IF(DAY(Variables!$A$2)&lt;10,0,"")&amp;DAY(Variables!$A$2)</f>
        <v>-10</v>
      </c>
      <c r="C120" s="154"/>
      <c r="D120" s="159"/>
      <c r="E120" s="31"/>
      <c r="F120" s="22" t="e">
        <f>VLOOKUP(B120,'Trips&amp;Operators'!$C$2:$E$10000,3,FALSE)</f>
        <v>#N/A</v>
      </c>
      <c r="G120" s="22" t="e">
        <f>VLOOKUP(B120,'Trips&amp;Operators'!$C$1:$F$10000,4,FALSE)</f>
        <v>#N/A</v>
      </c>
      <c r="H120" s="30" t="e">
        <f>VLOOKUP(B120,'Trips&amp;Operators'!$C$1:$H$10000,5,FALSE)</f>
        <v>#N/A</v>
      </c>
      <c r="I120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20" s="31" t="e">
        <f>VLOOKUP(B120,'Train Runs'!$A$13:$A$99962,1,FALSE)</f>
        <v>#N/A</v>
      </c>
    </row>
    <row r="121" spans="1:10" x14ac:dyDescent="0.25">
      <c r="A121" s="167"/>
      <c r="B121" s="44" t="str">
        <f>A121&amp;"-"&amp;IF(DAY(Variables!$A$2)&lt;10,0,"")&amp;DAY(Variables!$A$2)</f>
        <v>-10</v>
      </c>
      <c r="C121" s="154"/>
      <c r="D121" s="159"/>
      <c r="E121" s="31"/>
      <c r="F121" s="22" t="e">
        <f>VLOOKUP(B121,'Trips&amp;Operators'!$C$2:$E$10000,3,FALSE)</f>
        <v>#N/A</v>
      </c>
      <c r="G121" s="22" t="e">
        <f>VLOOKUP(B121,'Trips&amp;Operators'!$C$1:$F$10000,4,FALSE)</f>
        <v>#N/A</v>
      </c>
      <c r="H121" s="30" t="e">
        <f>VLOOKUP(B121,'Trips&amp;Operators'!$C$1:$H$10000,5,FALSE)</f>
        <v>#N/A</v>
      </c>
      <c r="I121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21" s="31" t="e">
        <f>VLOOKUP(B121,'Train Runs'!$A$13:$A$99962,1,FALSE)</f>
        <v>#N/A</v>
      </c>
    </row>
    <row r="122" spans="1:10" x14ac:dyDescent="0.25">
      <c r="A122" s="167"/>
      <c r="B122" s="44" t="str">
        <f>A122&amp;"-"&amp;IF(DAY(Variables!$A$2)&lt;10,0,"")&amp;DAY(Variables!$A$2)</f>
        <v>-10</v>
      </c>
      <c r="C122" s="154"/>
      <c r="D122" s="159"/>
      <c r="E122" s="31"/>
      <c r="F122" s="22" t="e">
        <f>VLOOKUP(B122,'Trips&amp;Operators'!$C$2:$E$10000,3,FALSE)</f>
        <v>#N/A</v>
      </c>
      <c r="G122" s="22" t="e">
        <f>VLOOKUP(B122,'Trips&amp;Operators'!$C$1:$F$10000,4,FALSE)</f>
        <v>#N/A</v>
      </c>
      <c r="H122" s="30" t="e">
        <f>VLOOKUP(B122,'Trips&amp;Operators'!$C$1:$H$10000,5,FALSE)</f>
        <v>#N/A</v>
      </c>
      <c r="I122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22" s="31" t="e">
        <f>VLOOKUP(B122,'Train Runs'!$A$13:$A$99962,1,FALSE)</f>
        <v>#N/A</v>
      </c>
    </row>
    <row r="123" spans="1:10" x14ac:dyDescent="0.25">
      <c r="A123" s="167"/>
      <c r="B123" s="44" t="str">
        <f>A123&amp;"-"&amp;IF(DAY(Variables!$A$2)&lt;10,0,"")&amp;DAY(Variables!$A$2)</f>
        <v>-10</v>
      </c>
      <c r="C123" s="154"/>
      <c r="D123" s="159"/>
      <c r="E123" s="31"/>
      <c r="F123" s="22" t="e">
        <f>VLOOKUP(B123,'Trips&amp;Operators'!$C$2:$E$10000,3,FALSE)</f>
        <v>#N/A</v>
      </c>
      <c r="G123" s="22" t="e">
        <f>VLOOKUP(B123,'Trips&amp;Operators'!$C$1:$F$10000,4,FALSE)</f>
        <v>#N/A</v>
      </c>
      <c r="H123" s="30" t="e">
        <f>VLOOKUP(B123,'Trips&amp;Operators'!$C$1:$H$10000,5,FALSE)</f>
        <v>#N/A</v>
      </c>
      <c r="I123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23" s="31" t="e">
        <f>VLOOKUP(B123,'Train Runs'!$A$13:$A$99962,1,FALSE)</f>
        <v>#N/A</v>
      </c>
    </row>
    <row r="124" spans="1:10" x14ac:dyDescent="0.25">
      <c r="A124" s="167"/>
      <c r="B124" s="44" t="str">
        <f>A124&amp;"-"&amp;IF(DAY(Variables!$A$2)&lt;10,0,"")&amp;DAY(Variables!$A$2)</f>
        <v>-10</v>
      </c>
      <c r="C124" s="154"/>
      <c r="D124" s="159"/>
      <c r="E124" s="31"/>
      <c r="F124" s="22" t="e">
        <f>VLOOKUP(B124,'Trips&amp;Operators'!$C$2:$E$10000,3,FALSE)</f>
        <v>#N/A</v>
      </c>
      <c r="G124" s="22" t="e">
        <f>VLOOKUP(B124,'Trips&amp;Operators'!$C$1:$F$10000,4,FALSE)</f>
        <v>#N/A</v>
      </c>
      <c r="H124" s="30" t="e">
        <f>VLOOKUP(B124,'Trips&amp;Operators'!$C$1:$H$10000,5,FALSE)</f>
        <v>#N/A</v>
      </c>
      <c r="I124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24" s="31" t="e">
        <f>VLOOKUP(B124,'Train Runs'!$A$13:$A$99962,1,FALSE)</f>
        <v>#N/A</v>
      </c>
    </row>
    <row r="125" spans="1:10" x14ac:dyDescent="0.25">
      <c r="A125" s="167"/>
      <c r="B125" s="44" t="str">
        <f>A125&amp;"-"&amp;IF(DAY(Variables!$A$2)&lt;10,0,"")&amp;DAY(Variables!$A$2)</f>
        <v>-10</v>
      </c>
      <c r="C125" s="154"/>
      <c r="D125" s="159"/>
      <c r="E125" s="31"/>
      <c r="F125" s="22" t="e">
        <f>VLOOKUP(B125,'Trips&amp;Operators'!$C$2:$E$10000,3,FALSE)</f>
        <v>#N/A</v>
      </c>
      <c r="G125" s="22" t="e">
        <f>VLOOKUP(B125,'Trips&amp;Operators'!$C$1:$F$10000,4,FALSE)</f>
        <v>#N/A</v>
      </c>
      <c r="H125" s="30" t="e">
        <f>VLOOKUP(B125,'Trips&amp;Operators'!$C$1:$H$10000,5,FALSE)</f>
        <v>#N/A</v>
      </c>
      <c r="I125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25" s="31" t="e">
        <f>VLOOKUP(B125,'Train Runs'!$A$13:$A$99962,1,FALSE)</f>
        <v>#N/A</v>
      </c>
    </row>
    <row r="126" spans="1:10" x14ac:dyDescent="0.25">
      <c r="A126" s="167"/>
      <c r="B126" s="44" t="str">
        <f>A126&amp;"-"&amp;IF(DAY(Variables!$A$2)&lt;10,0,"")&amp;DAY(Variables!$A$2)</f>
        <v>-10</v>
      </c>
      <c r="C126" s="154"/>
      <c r="D126" s="159"/>
      <c r="E126" s="31"/>
      <c r="F126" s="22" t="e">
        <f>VLOOKUP(B126,'Trips&amp;Operators'!$C$2:$E$10000,3,FALSE)</f>
        <v>#N/A</v>
      </c>
      <c r="G126" s="22" t="e">
        <f>VLOOKUP(B126,'Trips&amp;Operators'!$C$1:$F$10000,4,FALSE)</f>
        <v>#N/A</v>
      </c>
      <c r="H126" s="30" t="e">
        <f>VLOOKUP(B126,'Trips&amp;Operators'!$C$1:$H$10000,5,FALSE)</f>
        <v>#N/A</v>
      </c>
      <c r="I126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26" s="31" t="e">
        <f>VLOOKUP(B126,'Train Runs'!$A$13:$A$99962,1,FALSE)</f>
        <v>#N/A</v>
      </c>
    </row>
    <row r="127" spans="1:10" x14ac:dyDescent="0.25">
      <c r="A127" s="167"/>
      <c r="B127" s="44" t="str">
        <f>A127&amp;"-"&amp;IF(DAY(Variables!$A$2)&lt;10,0,"")&amp;DAY(Variables!$A$2)</f>
        <v>-10</v>
      </c>
      <c r="C127" s="154"/>
      <c r="D127" s="159"/>
      <c r="E127" s="31"/>
      <c r="F127" s="22" t="e">
        <f>VLOOKUP(B127,'Trips&amp;Operators'!$C$2:$E$10000,3,FALSE)</f>
        <v>#N/A</v>
      </c>
      <c r="G127" s="22" t="e">
        <f>VLOOKUP(B127,'Trips&amp;Operators'!$C$1:$F$10000,4,FALSE)</f>
        <v>#N/A</v>
      </c>
      <c r="H127" s="30" t="e">
        <f>VLOOKUP(B127,'Trips&amp;Operators'!$C$1:$H$10000,5,FALSE)</f>
        <v>#N/A</v>
      </c>
      <c r="I127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27" s="31" t="e">
        <f>VLOOKUP(B127,'Train Runs'!$A$13:$A$99962,1,FALSE)</f>
        <v>#N/A</v>
      </c>
    </row>
    <row r="128" spans="1:10" x14ac:dyDescent="0.25">
      <c r="A128" s="167"/>
      <c r="B128" s="44" t="str">
        <f>A128&amp;"-"&amp;IF(DAY(Variables!$A$2)&lt;10,0,"")&amp;DAY(Variables!$A$2)</f>
        <v>-10</v>
      </c>
      <c r="C128" s="154"/>
      <c r="D128" s="159"/>
      <c r="E128" s="31"/>
      <c r="F128" s="22" t="e">
        <f>VLOOKUP(B128,'Trips&amp;Operators'!$C$2:$E$10000,3,FALSE)</f>
        <v>#N/A</v>
      </c>
      <c r="G128" s="22" t="e">
        <f>VLOOKUP(B128,'Trips&amp;Operators'!$C$1:$F$10000,4,FALSE)</f>
        <v>#N/A</v>
      </c>
      <c r="H128" s="30" t="e">
        <f>VLOOKUP(B128,'Trips&amp;Operators'!$C$1:$H$10000,5,FALSE)</f>
        <v>#N/A</v>
      </c>
      <c r="I128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28" s="31" t="e">
        <f>VLOOKUP(B128,'Train Runs'!$A$13:$A$99962,1,FALSE)</f>
        <v>#N/A</v>
      </c>
    </row>
    <row r="129" spans="1:10" x14ac:dyDescent="0.25">
      <c r="A129" s="167"/>
      <c r="B129" s="44" t="str">
        <f>A129&amp;"-"&amp;IF(DAY(Variables!$A$2)&lt;10,0,"")&amp;DAY(Variables!$A$2)</f>
        <v>-10</v>
      </c>
      <c r="C129" s="154"/>
      <c r="D129" s="159"/>
      <c r="E129" s="31"/>
      <c r="F129" s="22" t="e">
        <f>VLOOKUP(B129,'Trips&amp;Operators'!$C$2:$E$10000,3,FALSE)</f>
        <v>#N/A</v>
      </c>
      <c r="G129" s="22" t="e">
        <f>VLOOKUP(B129,'Trips&amp;Operators'!$C$1:$F$10000,4,FALSE)</f>
        <v>#N/A</v>
      </c>
      <c r="H129" s="30" t="e">
        <f>VLOOKUP(B129,'Trips&amp;Operators'!$C$1:$H$10000,5,FALSE)</f>
        <v>#N/A</v>
      </c>
      <c r="I129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29" s="31" t="e">
        <f>VLOOKUP(B129,'Train Runs'!$A$13:$A$99962,1,FALSE)</f>
        <v>#N/A</v>
      </c>
    </row>
    <row r="130" spans="1:10" x14ac:dyDescent="0.25">
      <c r="A130" s="167"/>
      <c r="B130" s="44" t="str">
        <f>A130&amp;"-"&amp;IF(DAY(Variables!$A$2)&lt;10,0,"")&amp;DAY(Variables!$A$2)</f>
        <v>-10</v>
      </c>
      <c r="C130" s="154"/>
      <c r="D130" s="159"/>
      <c r="E130" s="31"/>
      <c r="F130" s="22" t="e">
        <f>VLOOKUP(B130,'Trips&amp;Operators'!$C$2:$E$10000,3,FALSE)</f>
        <v>#N/A</v>
      </c>
      <c r="G130" s="22" t="e">
        <f>VLOOKUP(B130,'Trips&amp;Operators'!$C$1:$F$10000,4,FALSE)</f>
        <v>#N/A</v>
      </c>
      <c r="H130" s="30" t="e">
        <f>VLOOKUP(B130,'Trips&amp;Operators'!$C$1:$H$10000,5,FALSE)</f>
        <v>#N/A</v>
      </c>
      <c r="I130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30" s="31" t="e">
        <f>VLOOKUP(B130,'Train Runs'!$A$13:$A$99962,1,FALSE)</f>
        <v>#N/A</v>
      </c>
    </row>
    <row r="131" spans="1:10" x14ac:dyDescent="0.25">
      <c r="A131" s="167"/>
      <c r="B131" s="44" t="str">
        <f>A131&amp;"-"&amp;IF(DAY(Variables!$A$2)&lt;10,0,"")&amp;DAY(Variables!$A$2)</f>
        <v>-10</v>
      </c>
      <c r="C131" s="154"/>
      <c r="D131" s="159"/>
      <c r="E131" s="31"/>
      <c r="F131" s="22" t="e">
        <f>VLOOKUP(B131,'Trips&amp;Operators'!$C$2:$E$10000,3,FALSE)</f>
        <v>#N/A</v>
      </c>
      <c r="G131" s="22" t="e">
        <f>VLOOKUP(B131,'Trips&amp;Operators'!$C$1:$F$10000,4,FALSE)</f>
        <v>#N/A</v>
      </c>
      <c r="H131" s="30" t="e">
        <f>VLOOKUP(B131,'Trips&amp;Operators'!$C$1:$H$10000,5,FALSE)</f>
        <v>#N/A</v>
      </c>
      <c r="I131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31" s="31" t="e">
        <f>VLOOKUP(B131,'Train Runs'!$A$13:$A$99962,1,FALSE)</f>
        <v>#N/A</v>
      </c>
    </row>
    <row r="132" spans="1:10" x14ac:dyDescent="0.25">
      <c r="A132" s="167"/>
      <c r="B132" s="44" t="str">
        <f>A132&amp;"-"&amp;IF(DAY(Variables!$A$2)&lt;10,0,"")&amp;DAY(Variables!$A$2)</f>
        <v>-10</v>
      </c>
      <c r="C132" s="154"/>
      <c r="D132" s="159"/>
      <c r="E132" s="31"/>
      <c r="F132" s="22" t="e">
        <f>VLOOKUP(B132,'Trips&amp;Operators'!$C$2:$E$10000,3,FALSE)</f>
        <v>#N/A</v>
      </c>
      <c r="G132" s="22" t="e">
        <f>VLOOKUP(B132,'Trips&amp;Operators'!$C$1:$F$10000,4,FALSE)</f>
        <v>#N/A</v>
      </c>
      <c r="H132" s="30" t="e">
        <f>VLOOKUP(B132,'Trips&amp;Operators'!$C$1:$H$10000,5,FALSE)</f>
        <v>#N/A</v>
      </c>
      <c r="I132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32" s="31" t="e">
        <f>VLOOKUP(B132,'Train Runs'!$A$13:$A$99962,1,FALSE)</f>
        <v>#N/A</v>
      </c>
    </row>
    <row r="133" spans="1:10" x14ac:dyDescent="0.25">
      <c r="A133" s="167"/>
      <c r="B133" s="44" t="str">
        <f>A133&amp;"-"&amp;IF(DAY(Variables!$A$2)&lt;10,0,"")&amp;DAY(Variables!$A$2)</f>
        <v>-10</v>
      </c>
      <c r="C133" s="154"/>
      <c r="D133" s="159"/>
      <c r="E133" s="31"/>
      <c r="F133" s="22" t="e">
        <f>VLOOKUP(B133,'Trips&amp;Operators'!$C$2:$E$10000,3,FALSE)</f>
        <v>#N/A</v>
      </c>
      <c r="G133" s="22" t="e">
        <f>VLOOKUP(B133,'Trips&amp;Operators'!$C$1:$F$10000,4,FALSE)</f>
        <v>#N/A</v>
      </c>
      <c r="H133" s="30" t="e">
        <f>VLOOKUP(B133,'Trips&amp;Operators'!$C$1:$H$10000,5,FALSE)</f>
        <v>#N/A</v>
      </c>
      <c r="I133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33" s="31" t="e">
        <f>VLOOKUP(B133,'Train Runs'!$A$13:$A$99962,1,FALSE)</f>
        <v>#N/A</v>
      </c>
    </row>
    <row r="134" spans="1:10" x14ac:dyDescent="0.25">
      <c r="A134" s="167"/>
      <c r="B134" s="44" t="str">
        <f>A134&amp;"-"&amp;IF(DAY(Variables!$A$2)&lt;10,0,"")&amp;DAY(Variables!$A$2)</f>
        <v>-10</v>
      </c>
      <c r="C134" s="154"/>
      <c r="D134" s="159"/>
      <c r="E134" s="31"/>
      <c r="F134" s="22" t="e">
        <f>VLOOKUP(B134,'Trips&amp;Operators'!$C$2:$E$10000,3,FALSE)</f>
        <v>#N/A</v>
      </c>
      <c r="G134" s="22" t="e">
        <f>VLOOKUP(B134,'Trips&amp;Operators'!$C$1:$F$10000,4,FALSE)</f>
        <v>#N/A</v>
      </c>
      <c r="H134" s="30" t="e">
        <f>VLOOKUP(B134,'Trips&amp;Operators'!$C$1:$H$10000,5,FALSE)</f>
        <v>#N/A</v>
      </c>
      <c r="I134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34" s="31" t="e">
        <f>VLOOKUP(B134,'Train Runs'!$A$13:$A$99962,1,FALSE)</f>
        <v>#N/A</v>
      </c>
    </row>
    <row r="135" spans="1:10" x14ac:dyDescent="0.25">
      <c r="A135" s="167"/>
      <c r="B135" s="44" t="str">
        <f>A135&amp;"-"&amp;IF(DAY(Variables!$A$2)&lt;10,0,"")&amp;DAY(Variables!$A$2)</f>
        <v>-10</v>
      </c>
      <c r="C135" s="154"/>
      <c r="D135" s="159"/>
      <c r="E135" s="31"/>
      <c r="F135" s="22" t="e">
        <f>VLOOKUP(B135,'Trips&amp;Operators'!$C$2:$E$10000,3,FALSE)</f>
        <v>#N/A</v>
      </c>
      <c r="G135" s="22" t="e">
        <f>VLOOKUP(B135,'Trips&amp;Operators'!$C$1:$F$10000,4,FALSE)</f>
        <v>#N/A</v>
      </c>
      <c r="H135" s="30" t="e">
        <f>VLOOKUP(B135,'Trips&amp;Operators'!$C$1:$H$10000,5,FALSE)</f>
        <v>#N/A</v>
      </c>
      <c r="I135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35" s="31" t="e">
        <f>VLOOKUP(B135,'Train Runs'!$A$13:$A$99962,1,FALSE)</f>
        <v>#N/A</v>
      </c>
    </row>
    <row r="136" spans="1:10" x14ac:dyDescent="0.25">
      <c r="A136" s="167"/>
      <c r="B136" s="44" t="str">
        <f>A136&amp;"-"&amp;IF(DAY(Variables!$A$2)&lt;10,0,"")&amp;DAY(Variables!$A$2)</f>
        <v>-10</v>
      </c>
      <c r="C136" s="154"/>
      <c r="D136" s="159"/>
      <c r="E136" s="31"/>
      <c r="F136" s="22" t="e">
        <f>VLOOKUP(B136,'Trips&amp;Operators'!$C$2:$E$10000,3,FALSE)</f>
        <v>#N/A</v>
      </c>
      <c r="G136" s="22" t="e">
        <f>VLOOKUP(B136,'Trips&amp;Operators'!$C$1:$F$10000,4,FALSE)</f>
        <v>#N/A</v>
      </c>
      <c r="H136" s="30" t="e">
        <f>VLOOKUP(B136,'Trips&amp;Operators'!$C$1:$H$10000,5,FALSE)</f>
        <v>#N/A</v>
      </c>
      <c r="I136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36" s="31" t="e">
        <f>VLOOKUP(B136,'Train Runs'!$A$13:$A$99962,1,FALSE)</f>
        <v>#N/A</v>
      </c>
    </row>
    <row r="137" spans="1:10" x14ac:dyDescent="0.25">
      <c r="A137" s="167"/>
      <c r="B137" s="44" t="str">
        <f>A137&amp;"-"&amp;IF(DAY(Variables!$A$2)&lt;10,0,"")&amp;DAY(Variables!$A$2)</f>
        <v>-10</v>
      </c>
      <c r="C137" s="154"/>
      <c r="D137" s="159"/>
      <c r="E137" s="31"/>
      <c r="F137" s="22" t="e">
        <f>VLOOKUP(B137,'Trips&amp;Operators'!$C$2:$E$10000,3,FALSE)</f>
        <v>#N/A</v>
      </c>
      <c r="G137" s="22" t="e">
        <f>VLOOKUP(B137,'Trips&amp;Operators'!$C$1:$F$10000,4,FALSE)</f>
        <v>#N/A</v>
      </c>
      <c r="H137" s="30" t="e">
        <f>VLOOKUP(B137,'Trips&amp;Operators'!$C$1:$H$10000,5,FALSE)</f>
        <v>#N/A</v>
      </c>
      <c r="I137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37" s="31" t="e">
        <f>VLOOKUP(B137,'Train Runs'!$A$13:$A$99962,1,FALSE)</f>
        <v>#N/A</v>
      </c>
    </row>
    <row r="138" spans="1:10" x14ac:dyDescent="0.25">
      <c r="A138" s="167"/>
      <c r="B138" s="44" t="str">
        <f>A138&amp;"-"&amp;IF(DAY(Variables!$A$2)&lt;10,0,"")&amp;DAY(Variables!$A$2)</f>
        <v>-10</v>
      </c>
      <c r="C138" s="154"/>
      <c r="D138" s="159"/>
      <c r="E138" s="31"/>
      <c r="F138" s="22" t="e">
        <f>VLOOKUP(B138,'Trips&amp;Operators'!$C$2:$E$10000,3,FALSE)</f>
        <v>#N/A</v>
      </c>
      <c r="G138" s="22" t="e">
        <f>VLOOKUP(B138,'Trips&amp;Operators'!$C$1:$F$10000,4,FALSE)</f>
        <v>#N/A</v>
      </c>
      <c r="H138" s="30" t="e">
        <f>VLOOKUP(B138,'Trips&amp;Operators'!$C$1:$H$10000,5,FALSE)</f>
        <v>#N/A</v>
      </c>
      <c r="I138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38" s="31" t="e">
        <f>VLOOKUP(B138,'Train Runs'!$A$13:$A$99962,1,FALSE)</f>
        <v>#N/A</v>
      </c>
    </row>
    <row r="139" spans="1:10" x14ac:dyDescent="0.25">
      <c r="A139" s="167"/>
      <c r="B139" s="44" t="str">
        <f>A139&amp;"-"&amp;IF(DAY(Variables!$A$2)&lt;10,0,"")&amp;DAY(Variables!$A$2)</f>
        <v>-10</v>
      </c>
      <c r="C139" s="154"/>
      <c r="D139" s="159"/>
      <c r="E139" s="31"/>
      <c r="F139" s="22" t="e">
        <f>VLOOKUP(B139,'Trips&amp;Operators'!$C$2:$E$10000,3,FALSE)</f>
        <v>#N/A</v>
      </c>
      <c r="G139" s="22" t="e">
        <f>VLOOKUP(B139,'Trips&amp;Operators'!$C$1:$F$10000,4,FALSE)</f>
        <v>#N/A</v>
      </c>
      <c r="H139" s="30" t="e">
        <f>VLOOKUP(B139,'Trips&amp;Operators'!$C$1:$H$10000,5,FALSE)</f>
        <v>#N/A</v>
      </c>
      <c r="I139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39" s="31" t="e">
        <f>VLOOKUP(B139,'Train Runs'!$A$13:$A$99962,1,FALSE)</f>
        <v>#N/A</v>
      </c>
    </row>
    <row r="140" spans="1:10" x14ac:dyDescent="0.25">
      <c r="A140" s="167"/>
      <c r="B140" s="44" t="str">
        <f>A140&amp;"-"&amp;IF(DAY(Variables!$A$2)&lt;10,0,"")&amp;DAY(Variables!$A$2)</f>
        <v>-10</v>
      </c>
      <c r="C140" s="154"/>
      <c r="D140" s="159"/>
      <c r="E140" s="31"/>
      <c r="F140" s="22" t="e">
        <f>VLOOKUP(B140,'Trips&amp;Operators'!$C$2:$E$10000,3,FALSE)</f>
        <v>#N/A</v>
      </c>
      <c r="G140" s="22" t="e">
        <f>VLOOKUP(B140,'Trips&amp;Operators'!$C$1:$F$10000,4,FALSE)</f>
        <v>#N/A</v>
      </c>
      <c r="H140" s="30" t="e">
        <f>VLOOKUP(B140,'Trips&amp;Operators'!$C$1:$H$10000,5,FALSE)</f>
        <v>#N/A</v>
      </c>
      <c r="I140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40" s="31" t="e">
        <f>VLOOKUP(B140,'Train Runs'!$A$13:$A$99962,1,FALSE)</f>
        <v>#N/A</v>
      </c>
    </row>
    <row r="141" spans="1:10" x14ac:dyDescent="0.25">
      <c r="A141" s="167"/>
      <c r="B141" s="44" t="str">
        <f>A141&amp;"-"&amp;IF(DAY(Variables!$A$2)&lt;10,0,"")&amp;DAY(Variables!$A$2)</f>
        <v>-10</v>
      </c>
      <c r="C141" s="154"/>
      <c r="D141" s="159"/>
      <c r="E141" s="31"/>
      <c r="F141" s="22" t="e">
        <f>VLOOKUP(B141,'Trips&amp;Operators'!$C$2:$E$10000,3,FALSE)</f>
        <v>#N/A</v>
      </c>
      <c r="G141" s="22" t="e">
        <f>VLOOKUP(B141,'Trips&amp;Operators'!$C$1:$F$10000,4,FALSE)</f>
        <v>#N/A</v>
      </c>
      <c r="H141" s="30" t="e">
        <f>VLOOKUP(B141,'Trips&amp;Operators'!$C$1:$H$10000,5,FALSE)</f>
        <v>#N/A</v>
      </c>
      <c r="I141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41" s="31" t="e">
        <f>VLOOKUP(B141,'Train Runs'!$A$13:$A$99962,1,FALSE)</f>
        <v>#N/A</v>
      </c>
    </row>
    <row r="142" spans="1:10" x14ac:dyDescent="0.25">
      <c r="A142" s="167"/>
      <c r="B142" s="44" t="str">
        <f>A142&amp;"-"&amp;IF(DAY(Variables!$A$2)&lt;10,0,"")&amp;DAY(Variables!$A$2)</f>
        <v>-10</v>
      </c>
      <c r="C142" s="154"/>
      <c r="D142" s="159"/>
      <c r="E142" s="31"/>
      <c r="F142" s="22" t="e">
        <f>VLOOKUP(B142,'Trips&amp;Operators'!$C$2:$E$10000,3,FALSE)</f>
        <v>#N/A</v>
      </c>
      <c r="G142" s="22" t="e">
        <f>VLOOKUP(B142,'Trips&amp;Operators'!$C$1:$F$10000,4,FALSE)</f>
        <v>#N/A</v>
      </c>
      <c r="H142" s="30" t="e">
        <f>VLOOKUP(B142,'Trips&amp;Operators'!$C$1:$H$10000,5,FALSE)</f>
        <v>#N/A</v>
      </c>
      <c r="I142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42" s="31" t="e">
        <f>VLOOKUP(B142,'Train Runs'!$A$13:$A$99962,1,FALSE)</f>
        <v>#N/A</v>
      </c>
    </row>
    <row r="143" spans="1:10" x14ac:dyDescent="0.25">
      <c r="A143" s="167"/>
      <c r="B143" s="44" t="str">
        <f>A143&amp;"-"&amp;IF(DAY(Variables!$A$2)&lt;10,0,"")&amp;DAY(Variables!$A$2)</f>
        <v>-10</v>
      </c>
      <c r="C143" s="154"/>
      <c r="D143" s="159"/>
      <c r="E143" s="31"/>
      <c r="F143" s="22" t="e">
        <f>VLOOKUP(B143,'Trips&amp;Operators'!$C$2:$E$10000,3,FALSE)</f>
        <v>#N/A</v>
      </c>
      <c r="G143" s="22" t="e">
        <f>VLOOKUP(B143,'Trips&amp;Operators'!$C$1:$F$10000,4,FALSE)</f>
        <v>#N/A</v>
      </c>
      <c r="H143" s="30" t="e">
        <f>VLOOKUP(B143,'Trips&amp;Operators'!$C$1:$H$10000,5,FALSE)</f>
        <v>#N/A</v>
      </c>
      <c r="I143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43" s="31" t="e">
        <f>VLOOKUP(B143,'Train Runs'!$A$13:$A$99962,1,FALSE)</f>
        <v>#N/A</v>
      </c>
    </row>
  </sheetData>
  <autoFilter ref="A2:J143"/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topLeftCell="A77" workbookViewId="0">
      <selection sqref="A1:F24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0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0" t="s">
        <v>179</v>
      </c>
      <c r="E1" s="21" t="s">
        <v>180</v>
      </c>
      <c r="F1" s="21" t="s">
        <v>237</v>
      </c>
      <c r="G1" s="8" t="s">
        <v>236</v>
      </c>
    </row>
    <row r="2" spans="1:7" x14ac:dyDescent="0.25">
      <c r="A2" s="8">
        <v>42745.048182870371</v>
      </c>
      <c r="B2" s="21" t="s">
        <v>201</v>
      </c>
      <c r="C2" s="21" t="s">
        <v>384</v>
      </c>
      <c r="D2" s="160">
        <v>2230000</v>
      </c>
      <c r="E2" s="21" t="s">
        <v>252</v>
      </c>
      <c r="F2" s="21" t="s">
        <v>243</v>
      </c>
      <c r="G2" s="8" t="str">
        <f>E2&amp;" "&amp;F2</f>
        <v>SMITH MICHAEL</v>
      </c>
    </row>
    <row r="3" spans="1:7" x14ac:dyDescent="0.25">
      <c r="A3" s="8">
        <v>42745.05296296296</v>
      </c>
      <c r="B3" s="21" t="s">
        <v>257</v>
      </c>
      <c r="C3" s="21" t="s">
        <v>385</v>
      </c>
      <c r="D3" s="160">
        <v>1740000</v>
      </c>
      <c r="E3" s="21" t="s">
        <v>382</v>
      </c>
      <c r="F3" s="21" t="s">
        <v>383</v>
      </c>
      <c r="G3" s="8" t="str">
        <f t="shared" ref="G3:G66" si="0">E3&amp;" "&amp;F3</f>
        <v>STORY SAMANTHA</v>
      </c>
    </row>
    <row r="4" spans="1:7" x14ac:dyDescent="0.25">
      <c r="A4" s="8">
        <v>42745.070613425924</v>
      </c>
      <c r="B4" s="21" t="s">
        <v>249</v>
      </c>
      <c r="C4" s="21" t="s">
        <v>386</v>
      </c>
      <c r="D4" s="160">
        <v>2550000</v>
      </c>
      <c r="E4" s="21" t="s">
        <v>210</v>
      </c>
      <c r="F4" s="21" t="s">
        <v>315</v>
      </c>
      <c r="G4" s="8" t="str">
        <f t="shared" si="0"/>
        <v>BADERTSCHER DIANE</v>
      </c>
    </row>
    <row r="5" spans="1:7" x14ac:dyDescent="0.25">
      <c r="A5" s="8">
        <v>42745.071817129632</v>
      </c>
      <c r="B5" s="21" t="s">
        <v>249</v>
      </c>
      <c r="C5" s="21" t="s">
        <v>386</v>
      </c>
      <c r="D5" s="160">
        <v>2550000</v>
      </c>
      <c r="E5" s="21" t="s">
        <v>210</v>
      </c>
      <c r="F5" s="21" t="s">
        <v>315</v>
      </c>
      <c r="G5" s="8" t="str">
        <f t="shared" si="0"/>
        <v>BADERTSCHER DIANE</v>
      </c>
    </row>
    <row r="6" spans="1:7" x14ac:dyDescent="0.25">
      <c r="A6" s="8">
        <v>42745.07372685185</v>
      </c>
      <c r="B6" s="21" t="s">
        <v>249</v>
      </c>
      <c r="C6" s="21" t="s">
        <v>386</v>
      </c>
      <c r="D6" s="160">
        <v>2550000</v>
      </c>
      <c r="E6" s="21" t="s">
        <v>210</v>
      </c>
      <c r="F6" s="21" t="s">
        <v>315</v>
      </c>
      <c r="G6" s="8" t="str">
        <f t="shared" si="0"/>
        <v>BADERTSCHER DIANE</v>
      </c>
    </row>
    <row r="7" spans="1:7" x14ac:dyDescent="0.25">
      <c r="A7" s="8">
        <v>42745.075243055559</v>
      </c>
      <c r="B7" s="21" t="s">
        <v>249</v>
      </c>
      <c r="C7" s="21" t="s">
        <v>386</v>
      </c>
      <c r="D7" s="160">
        <v>2550000</v>
      </c>
      <c r="E7" s="21" t="s">
        <v>210</v>
      </c>
      <c r="F7" s="21" t="s">
        <v>315</v>
      </c>
      <c r="G7" s="8" t="str">
        <f t="shared" si="0"/>
        <v>BADERTSCHER DIANE</v>
      </c>
    </row>
    <row r="8" spans="1:7" x14ac:dyDescent="0.25">
      <c r="A8" s="8">
        <v>42745.089085648149</v>
      </c>
      <c r="B8" s="21" t="s">
        <v>256</v>
      </c>
      <c r="C8" s="21" t="s">
        <v>387</v>
      </c>
      <c r="D8" s="160">
        <v>1740000</v>
      </c>
      <c r="E8" s="21" t="s">
        <v>382</v>
      </c>
      <c r="F8" s="21" t="s">
        <v>383</v>
      </c>
      <c r="G8" s="8" t="str">
        <f t="shared" si="0"/>
        <v>STORY SAMANTHA</v>
      </c>
    </row>
    <row r="9" spans="1:7" ht="15.75" thickBot="1" x14ac:dyDescent="0.3">
      <c r="A9" s="25">
        <v>42745.089837962965</v>
      </c>
      <c r="B9" s="21" t="s">
        <v>256</v>
      </c>
      <c r="C9" s="21" t="s">
        <v>387</v>
      </c>
      <c r="D9" s="160">
        <v>1740000</v>
      </c>
      <c r="E9" s="21" t="s">
        <v>382</v>
      </c>
      <c r="F9" s="21" t="s">
        <v>383</v>
      </c>
      <c r="G9" s="8" t="str">
        <f t="shared" si="0"/>
        <v>STORY SAMANTHA</v>
      </c>
    </row>
    <row r="10" spans="1:7" x14ac:dyDescent="0.25">
      <c r="A10" s="8">
        <v>42745.090416666666</v>
      </c>
      <c r="B10" s="21" t="s">
        <v>256</v>
      </c>
      <c r="C10" s="21" t="s">
        <v>387</v>
      </c>
      <c r="D10" s="160">
        <v>1740000</v>
      </c>
      <c r="E10" s="21" t="s">
        <v>382</v>
      </c>
      <c r="F10" s="21" t="s">
        <v>383</v>
      </c>
      <c r="G10" s="8" t="str">
        <f t="shared" si="0"/>
        <v>STORY SAMANTHA</v>
      </c>
    </row>
    <row r="11" spans="1:7" x14ac:dyDescent="0.25">
      <c r="A11" s="8">
        <v>42745.119699074072</v>
      </c>
      <c r="B11" s="21" t="s">
        <v>437</v>
      </c>
      <c r="C11" s="21" t="s">
        <v>458</v>
      </c>
      <c r="D11" s="160">
        <v>1200000</v>
      </c>
      <c r="E11" s="21" t="s">
        <v>459</v>
      </c>
      <c r="F11" s="21" t="s">
        <v>460</v>
      </c>
      <c r="G11" s="8" t="str">
        <f t="shared" si="0"/>
        <v>CUSHING HARRY</v>
      </c>
    </row>
    <row r="12" spans="1:7" x14ac:dyDescent="0.25">
      <c r="A12" s="8">
        <v>42745.130231481482</v>
      </c>
      <c r="B12" s="21" t="s">
        <v>377</v>
      </c>
      <c r="C12" s="21" t="s">
        <v>461</v>
      </c>
      <c r="D12" s="160">
        <v>1200000</v>
      </c>
      <c r="E12" s="21" t="s">
        <v>459</v>
      </c>
      <c r="F12" s="21" t="s">
        <v>460</v>
      </c>
      <c r="G12" s="8" t="str">
        <f t="shared" si="0"/>
        <v>CUSHING HARRY</v>
      </c>
    </row>
    <row r="13" spans="1:7" x14ac:dyDescent="0.25">
      <c r="A13" s="8">
        <v>42745.139155092591</v>
      </c>
      <c r="B13" s="21" t="s">
        <v>326</v>
      </c>
      <c r="C13" s="21" t="s">
        <v>462</v>
      </c>
      <c r="D13" s="160">
        <v>2010000</v>
      </c>
      <c r="E13" s="21" t="s">
        <v>327</v>
      </c>
      <c r="F13" s="21" t="s">
        <v>328</v>
      </c>
      <c r="G13" s="8" t="str">
        <f t="shared" si="0"/>
        <v>MAELZER KURT</v>
      </c>
    </row>
    <row r="14" spans="1:7" x14ac:dyDescent="0.25">
      <c r="A14" s="8">
        <v>42745.149942129632</v>
      </c>
      <c r="B14" s="21" t="s">
        <v>429</v>
      </c>
      <c r="C14" s="21" t="s">
        <v>463</v>
      </c>
      <c r="D14" s="160">
        <v>2010000</v>
      </c>
      <c r="E14" s="21" t="s">
        <v>327</v>
      </c>
      <c r="F14" s="21" t="s">
        <v>328</v>
      </c>
      <c r="G14" s="8" t="str">
        <f t="shared" si="0"/>
        <v>MAELZER KURT</v>
      </c>
    </row>
    <row r="15" spans="1:7" x14ac:dyDescent="0.25">
      <c r="A15" s="8">
        <v>42745.169444444444</v>
      </c>
      <c r="B15" s="21" t="s">
        <v>437</v>
      </c>
      <c r="C15" s="21" t="s">
        <v>464</v>
      </c>
      <c r="D15" s="160">
        <v>1200000</v>
      </c>
      <c r="E15" s="21" t="s">
        <v>459</v>
      </c>
      <c r="F15" s="21" t="s">
        <v>460</v>
      </c>
      <c r="G15" s="8" t="str">
        <f t="shared" si="0"/>
        <v>CUSHING HARRY</v>
      </c>
    </row>
    <row r="16" spans="1:7" x14ac:dyDescent="0.25">
      <c r="A16" s="8">
        <v>42745.170682870368</v>
      </c>
      <c r="B16" s="21" t="s">
        <v>247</v>
      </c>
      <c r="C16" s="21" t="s">
        <v>465</v>
      </c>
      <c r="D16" s="160">
        <v>940000</v>
      </c>
      <c r="E16" s="21" t="s">
        <v>369</v>
      </c>
      <c r="F16" s="21" t="s">
        <v>370</v>
      </c>
      <c r="G16" s="8" t="str">
        <f t="shared" si="0"/>
        <v>BONDS REYNALDO</v>
      </c>
    </row>
    <row r="17" spans="1:7" x14ac:dyDescent="0.25">
      <c r="A17" s="8">
        <v>42745.173564814817</v>
      </c>
      <c r="B17" s="21" t="s">
        <v>314</v>
      </c>
      <c r="C17" s="21" t="s">
        <v>466</v>
      </c>
      <c r="D17" s="160">
        <v>1110000</v>
      </c>
      <c r="E17" s="21" t="s">
        <v>367</v>
      </c>
      <c r="F17" s="21" t="s">
        <v>368</v>
      </c>
      <c r="G17" s="8" t="str">
        <f t="shared" si="0"/>
        <v>STARKS ANGELINA</v>
      </c>
    </row>
    <row r="18" spans="1:7" x14ac:dyDescent="0.25">
      <c r="A18" s="8">
        <v>42745.182500000003</v>
      </c>
      <c r="B18" s="21" t="s">
        <v>221</v>
      </c>
      <c r="C18" s="21" t="s">
        <v>467</v>
      </c>
      <c r="D18" s="160">
        <v>940000</v>
      </c>
      <c r="E18" s="21" t="s">
        <v>369</v>
      </c>
      <c r="F18" s="21" t="s">
        <v>370</v>
      </c>
      <c r="G18" s="8" t="str">
        <f t="shared" si="0"/>
        <v>BONDS REYNALDO</v>
      </c>
    </row>
    <row r="19" spans="1:7" x14ac:dyDescent="0.25">
      <c r="A19" s="8">
        <v>42745.18277777778</v>
      </c>
      <c r="B19" s="21" t="s">
        <v>294</v>
      </c>
      <c r="C19" s="21" t="s">
        <v>468</v>
      </c>
      <c r="D19" s="160">
        <v>1990000</v>
      </c>
      <c r="E19" s="21" t="s">
        <v>329</v>
      </c>
      <c r="F19" s="21" t="s">
        <v>330</v>
      </c>
      <c r="G19" s="8" t="str">
        <f t="shared" si="0"/>
        <v>DAVIS WENDY</v>
      </c>
    </row>
    <row r="20" spans="1:7" x14ac:dyDescent="0.25">
      <c r="A20" s="8">
        <v>42745.183923611112</v>
      </c>
      <c r="B20" s="21" t="s">
        <v>221</v>
      </c>
      <c r="C20" s="21" t="s">
        <v>467</v>
      </c>
      <c r="D20" s="160">
        <v>940000</v>
      </c>
      <c r="E20" s="21" t="s">
        <v>369</v>
      </c>
      <c r="F20" s="21" t="s">
        <v>370</v>
      </c>
      <c r="G20" s="8" t="str">
        <f t="shared" si="0"/>
        <v>BONDS REYNALDO</v>
      </c>
    </row>
    <row r="21" spans="1:7" x14ac:dyDescent="0.25">
      <c r="A21" s="8">
        <v>42745.18854166667</v>
      </c>
      <c r="B21" s="21" t="s">
        <v>326</v>
      </c>
      <c r="C21" s="21" t="s">
        <v>469</v>
      </c>
      <c r="D21" s="160">
        <v>2010000</v>
      </c>
      <c r="E21" s="21" t="s">
        <v>327</v>
      </c>
      <c r="F21" s="21" t="s">
        <v>328</v>
      </c>
      <c r="G21" s="8" t="str">
        <f t="shared" si="0"/>
        <v>MAELZER KURT</v>
      </c>
    </row>
    <row r="22" spans="1:7" x14ac:dyDescent="0.25">
      <c r="A22" s="27">
        <v>42745.193437499998</v>
      </c>
      <c r="B22" s="21" t="s">
        <v>289</v>
      </c>
      <c r="C22" s="21" t="s">
        <v>470</v>
      </c>
      <c r="D22" s="160">
        <v>1990000</v>
      </c>
      <c r="E22" s="21" t="s">
        <v>329</v>
      </c>
      <c r="F22" s="21" t="s">
        <v>330</v>
      </c>
      <c r="G22" s="8" t="str">
        <f t="shared" si="0"/>
        <v>DAVIS WENDY</v>
      </c>
    </row>
    <row r="23" spans="1:7" x14ac:dyDescent="0.25">
      <c r="A23" s="8">
        <v>42745.20412037037</v>
      </c>
      <c r="B23" s="21" t="s">
        <v>209</v>
      </c>
      <c r="C23" s="21" t="s">
        <v>471</v>
      </c>
      <c r="D23" s="160">
        <v>1830000</v>
      </c>
      <c r="E23" s="21" t="s">
        <v>280</v>
      </c>
      <c r="F23" s="21" t="s">
        <v>281</v>
      </c>
      <c r="G23" s="8" t="str">
        <f t="shared" si="0"/>
        <v>YORK EDGAR</v>
      </c>
    </row>
    <row r="24" spans="1:7" x14ac:dyDescent="0.25">
      <c r="A24" s="8">
        <v>42745.205347222225</v>
      </c>
      <c r="B24" s="21" t="s">
        <v>209</v>
      </c>
      <c r="C24" s="21" t="s">
        <v>471</v>
      </c>
      <c r="D24" s="160">
        <v>1830000</v>
      </c>
      <c r="E24" s="21" t="s">
        <v>280</v>
      </c>
      <c r="F24" s="21" t="s">
        <v>281</v>
      </c>
      <c r="G24" s="8" t="str">
        <f t="shared" si="0"/>
        <v>YORK EDGAR</v>
      </c>
    </row>
    <row r="25" spans="1:7" x14ac:dyDescent="0.25">
      <c r="A25" s="8">
        <v>42745.207650462966</v>
      </c>
      <c r="B25" s="21" t="s">
        <v>377</v>
      </c>
      <c r="C25" s="21" t="s">
        <v>472</v>
      </c>
      <c r="D25" s="160">
        <v>890000</v>
      </c>
      <c r="E25" s="21" t="s">
        <v>473</v>
      </c>
      <c r="F25" s="21" t="s">
        <v>474</v>
      </c>
      <c r="G25" s="8" t="str">
        <f t="shared" si="0"/>
        <v>LOZA FIDEL</v>
      </c>
    </row>
    <row r="26" spans="1:7" x14ac:dyDescent="0.25">
      <c r="A26" s="8">
        <v>42745.211967592593</v>
      </c>
      <c r="B26" s="21" t="s">
        <v>288</v>
      </c>
      <c r="C26" s="21" t="s">
        <v>475</v>
      </c>
      <c r="D26" s="160">
        <v>1200000</v>
      </c>
      <c r="E26" s="21" t="s">
        <v>459</v>
      </c>
      <c r="F26" s="21" t="s">
        <v>460</v>
      </c>
      <c r="G26" s="8" t="str">
        <f t="shared" si="0"/>
        <v>CUSHING HARRY</v>
      </c>
    </row>
    <row r="27" spans="1:7" x14ac:dyDescent="0.25">
      <c r="A27" s="8">
        <v>42745.21365740741</v>
      </c>
      <c r="B27" s="21" t="s">
        <v>276</v>
      </c>
      <c r="C27" s="21" t="s">
        <v>476</v>
      </c>
      <c r="D27" s="160">
        <v>1110000</v>
      </c>
      <c r="E27" s="21" t="s">
        <v>367</v>
      </c>
      <c r="F27" s="21" t="s">
        <v>368</v>
      </c>
      <c r="G27" s="8" t="str">
        <f t="shared" si="0"/>
        <v>STARKS ANGELINA</v>
      </c>
    </row>
    <row r="28" spans="1:7" x14ac:dyDescent="0.25">
      <c r="A28" s="8">
        <v>42745.21502314815</v>
      </c>
      <c r="B28" s="21" t="s">
        <v>306</v>
      </c>
      <c r="C28" s="21" t="s">
        <v>477</v>
      </c>
      <c r="D28" s="160">
        <v>1830000</v>
      </c>
      <c r="E28" s="21" t="s">
        <v>280</v>
      </c>
      <c r="F28" s="21" t="s">
        <v>281</v>
      </c>
      <c r="G28" s="8" t="str">
        <f t="shared" si="0"/>
        <v>YORK EDGAR</v>
      </c>
    </row>
    <row r="29" spans="1:7" x14ac:dyDescent="0.25">
      <c r="A29" s="8">
        <v>42745.22284722222</v>
      </c>
      <c r="B29" s="21" t="s">
        <v>247</v>
      </c>
      <c r="C29" s="21" t="s">
        <v>478</v>
      </c>
      <c r="D29" s="160">
        <v>940000</v>
      </c>
      <c r="E29" s="21" t="s">
        <v>369</v>
      </c>
      <c r="F29" s="21" t="s">
        <v>370</v>
      </c>
      <c r="G29" s="8" t="str">
        <f t="shared" si="0"/>
        <v>BONDS REYNALDO</v>
      </c>
    </row>
    <row r="30" spans="1:7" x14ac:dyDescent="0.25">
      <c r="A30" s="8">
        <v>42745.225752314815</v>
      </c>
      <c r="B30" s="21" t="s">
        <v>479</v>
      </c>
      <c r="C30" s="21" t="s">
        <v>480</v>
      </c>
      <c r="D30" s="160">
        <v>2010000</v>
      </c>
      <c r="E30" s="21" t="s">
        <v>327</v>
      </c>
      <c r="F30" s="21" t="s">
        <v>328</v>
      </c>
      <c r="G30" s="8" t="str">
        <f t="shared" si="0"/>
        <v>MAELZER KURT</v>
      </c>
    </row>
    <row r="31" spans="1:7" x14ac:dyDescent="0.25">
      <c r="A31" s="8">
        <v>42745.225995370369</v>
      </c>
      <c r="B31" s="21" t="s">
        <v>429</v>
      </c>
      <c r="C31" s="21" t="s">
        <v>481</v>
      </c>
      <c r="D31" s="160">
        <v>2680000</v>
      </c>
      <c r="E31" s="21" t="s">
        <v>300</v>
      </c>
      <c r="F31" s="21" t="s">
        <v>301</v>
      </c>
      <c r="G31" s="8" t="str">
        <f t="shared" si="0"/>
        <v>DUNCAN SHEILA</v>
      </c>
    </row>
    <row r="32" spans="1:7" x14ac:dyDescent="0.25">
      <c r="A32" s="8">
        <v>42745.226712962962</v>
      </c>
      <c r="B32" s="21" t="s">
        <v>209</v>
      </c>
      <c r="C32" s="21" t="s">
        <v>428</v>
      </c>
      <c r="D32" s="160">
        <v>1830000</v>
      </c>
      <c r="E32" s="21" t="s">
        <v>280</v>
      </c>
      <c r="F32" s="21" t="s">
        <v>281</v>
      </c>
      <c r="G32" s="8" t="str">
        <f t="shared" si="0"/>
        <v>YORK EDGAR</v>
      </c>
    </row>
    <row r="33" spans="1:7" x14ac:dyDescent="0.25">
      <c r="A33" s="8">
        <v>42745.234340277777</v>
      </c>
      <c r="B33" s="21" t="s">
        <v>294</v>
      </c>
      <c r="C33" s="21" t="s">
        <v>427</v>
      </c>
      <c r="D33" s="160">
        <v>1990000</v>
      </c>
      <c r="E33" s="21" t="s">
        <v>329</v>
      </c>
      <c r="F33" s="21" t="s">
        <v>330</v>
      </c>
      <c r="G33" s="8" t="str">
        <f t="shared" si="0"/>
        <v>DAVIS WENDY</v>
      </c>
    </row>
    <row r="34" spans="1:7" x14ac:dyDescent="0.25">
      <c r="A34" s="8">
        <v>42745.240844907406</v>
      </c>
      <c r="B34" s="21" t="s">
        <v>278</v>
      </c>
      <c r="C34" s="21" t="s">
        <v>482</v>
      </c>
      <c r="D34" s="160">
        <v>2270000</v>
      </c>
      <c r="E34" s="21" t="s">
        <v>483</v>
      </c>
      <c r="F34" s="21" t="s">
        <v>484</v>
      </c>
      <c r="G34" s="8" t="str">
        <f t="shared" si="0"/>
        <v>BROWN JACOB</v>
      </c>
    </row>
    <row r="35" spans="1:7" x14ac:dyDescent="0.25">
      <c r="A35" s="8">
        <v>42745.246249999997</v>
      </c>
      <c r="B35" s="21" t="s">
        <v>366</v>
      </c>
      <c r="C35" s="21" t="s">
        <v>485</v>
      </c>
      <c r="D35" s="160">
        <v>890000</v>
      </c>
      <c r="E35" s="21" t="s">
        <v>473</v>
      </c>
      <c r="F35" s="21" t="s">
        <v>474</v>
      </c>
      <c r="G35" s="8" t="str">
        <f t="shared" si="0"/>
        <v>LOZA FIDEL</v>
      </c>
    </row>
    <row r="36" spans="1:7" x14ac:dyDescent="0.25">
      <c r="A36" s="8">
        <v>42745.248530092591</v>
      </c>
      <c r="B36" s="21" t="s">
        <v>314</v>
      </c>
      <c r="C36" s="21" t="s">
        <v>486</v>
      </c>
      <c r="D36" s="160">
        <v>1110000</v>
      </c>
      <c r="E36" s="21" t="s">
        <v>367</v>
      </c>
      <c r="F36" s="21" t="s">
        <v>368</v>
      </c>
      <c r="G36" s="8" t="str">
        <f t="shared" si="0"/>
        <v>STARKS ANGELINA</v>
      </c>
    </row>
    <row r="37" spans="1:7" x14ac:dyDescent="0.25">
      <c r="A37" s="8">
        <v>42745.252488425926</v>
      </c>
      <c r="B37" s="21" t="s">
        <v>437</v>
      </c>
      <c r="C37" s="21" t="s">
        <v>487</v>
      </c>
      <c r="D37" s="160">
        <v>1200000</v>
      </c>
      <c r="E37" s="21" t="s">
        <v>459</v>
      </c>
      <c r="F37" s="21" t="s">
        <v>460</v>
      </c>
      <c r="G37" s="8" t="str">
        <f t="shared" si="0"/>
        <v>CUSHING HARRY</v>
      </c>
    </row>
    <row r="38" spans="1:7" x14ac:dyDescent="0.25">
      <c r="A38" s="8">
        <v>42745.254583333335</v>
      </c>
      <c r="B38" s="21" t="s">
        <v>306</v>
      </c>
      <c r="C38" s="21" t="s">
        <v>488</v>
      </c>
      <c r="D38" s="160">
        <v>1830000</v>
      </c>
      <c r="E38" s="21" t="s">
        <v>280</v>
      </c>
      <c r="F38" s="21" t="s">
        <v>281</v>
      </c>
      <c r="G38" s="8" t="str">
        <f t="shared" si="0"/>
        <v>YORK EDGAR</v>
      </c>
    </row>
    <row r="39" spans="1:7" x14ac:dyDescent="0.25">
      <c r="A39" s="8">
        <v>42745.256215277775</v>
      </c>
      <c r="B39" s="21" t="s">
        <v>221</v>
      </c>
      <c r="C39" s="21" t="s">
        <v>489</v>
      </c>
      <c r="D39" s="160">
        <v>940000</v>
      </c>
      <c r="E39" s="21" t="s">
        <v>369</v>
      </c>
      <c r="F39" s="21" t="s">
        <v>370</v>
      </c>
      <c r="G39" s="8" t="str">
        <f t="shared" si="0"/>
        <v>BONDS REYNALDO</v>
      </c>
    </row>
    <row r="40" spans="1:7" x14ac:dyDescent="0.25">
      <c r="A40" s="8">
        <v>42745.261666666665</v>
      </c>
      <c r="B40" s="26" t="s">
        <v>279</v>
      </c>
      <c r="C40" s="21" t="s">
        <v>490</v>
      </c>
      <c r="D40" s="160">
        <v>2270000</v>
      </c>
      <c r="E40" s="21" t="s">
        <v>483</v>
      </c>
      <c r="F40" s="21" t="s">
        <v>484</v>
      </c>
      <c r="G40" s="8" t="str">
        <f t="shared" si="0"/>
        <v>BROWN JACOB</v>
      </c>
    </row>
    <row r="41" spans="1:7" x14ac:dyDescent="0.25">
      <c r="A41" s="8">
        <v>42745.266527777778</v>
      </c>
      <c r="B41" s="21" t="s">
        <v>431</v>
      </c>
      <c r="C41" s="21" t="s">
        <v>491</v>
      </c>
      <c r="D41" s="160">
        <v>2680000</v>
      </c>
      <c r="E41" s="21" t="s">
        <v>300</v>
      </c>
      <c r="F41" s="21" t="s">
        <v>301</v>
      </c>
      <c r="G41" s="8" t="str">
        <f t="shared" si="0"/>
        <v>DUNCAN SHEILA</v>
      </c>
    </row>
    <row r="42" spans="1:7" x14ac:dyDescent="0.25">
      <c r="A42" s="8">
        <v>42745.267824074072</v>
      </c>
      <c r="B42" s="21" t="s">
        <v>289</v>
      </c>
      <c r="C42" s="21" t="s">
        <v>492</v>
      </c>
      <c r="D42" s="160">
        <v>1990000</v>
      </c>
      <c r="E42" s="21" t="s">
        <v>329</v>
      </c>
      <c r="F42" s="21" t="s">
        <v>330</v>
      </c>
      <c r="G42" s="8" t="str">
        <f t="shared" si="0"/>
        <v>DAVIS WENDY</v>
      </c>
    </row>
    <row r="43" spans="1:7" x14ac:dyDescent="0.25">
      <c r="A43" s="8">
        <v>42745.268946759257</v>
      </c>
      <c r="B43" s="21" t="s">
        <v>209</v>
      </c>
      <c r="C43" s="21" t="s">
        <v>493</v>
      </c>
      <c r="D43" s="160">
        <v>1830000</v>
      </c>
      <c r="E43" s="21" t="s">
        <v>280</v>
      </c>
      <c r="F43" s="21" t="s">
        <v>281</v>
      </c>
      <c r="G43" s="8" t="str">
        <f t="shared" si="0"/>
        <v>YORK EDGAR</v>
      </c>
    </row>
    <row r="44" spans="1:7" x14ac:dyDescent="0.25">
      <c r="A44" s="8">
        <v>42745.274305555555</v>
      </c>
      <c r="B44" s="21" t="s">
        <v>326</v>
      </c>
      <c r="C44" s="21" t="s">
        <v>494</v>
      </c>
      <c r="D44" s="160">
        <v>2010000</v>
      </c>
      <c r="E44" s="21" t="s">
        <v>327</v>
      </c>
      <c r="F44" s="21" t="s">
        <v>328</v>
      </c>
      <c r="G44" s="8" t="str">
        <f t="shared" si="0"/>
        <v>MAELZER KURT</v>
      </c>
    </row>
    <row r="45" spans="1:7" x14ac:dyDescent="0.25">
      <c r="A45" s="8">
        <v>42745.276018518518</v>
      </c>
      <c r="B45" s="21" t="s">
        <v>278</v>
      </c>
      <c r="C45" s="21" t="s">
        <v>495</v>
      </c>
      <c r="D45" s="160">
        <v>2270000</v>
      </c>
      <c r="E45" s="21" t="s">
        <v>483</v>
      </c>
      <c r="F45" s="21" t="s">
        <v>484</v>
      </c>
      <c r="G45" s="8" t="str">
        <f t="shared" si="0"/>
        <v>BROWN JACOB</v>
      </c>
    </row>
    <row r="46" spans="1:7" x14ac:dyDescent="0.25">
      <c r="A46" s="8">
        <v>42745.277824074074</v>
      </c>
      <c r="B46" s="21" t="s">
        <v>377</v>
      </c>
      <c r="C46" s="21" t="s">
        <v>496</v>
      </c>
      <c r="D46" s="160">
        <v>890000</v>
      </c>
      <c r="E46" s="21" t="s">
        <v>473</v>
      </c>
      <c r="F46" s="21" t="s">
        <v>474</v>
      </c>
      <c r="G46" s="8" t="str">
        <f t="shared" si="0"/>
        <v>LOZA FIDEL</v>
      </c>
    </row>
    <row r="47" spans="1:7" x14ac:dyDescent="0.25">
      <c r="A47" s="8">
        <v>42745.286550925928</v>
      </c>
      <c r="B47" s="21" t="s">
        <v>313</v>
      </c>
      <c r="C47" s="21" t="s">
        <v>497</v>
      </c>
      <c r="D47" s="160">
        <v>1110000</v>
      </c>
      <c r="E47" s="21" t="s">
        <v>367</v>
      </c>
      <c r="F47" s="21" t="s">
        <v>368</v>
      </c>
      <c r="G47" s="8" t="str">
        <f t="shared" si="0"/>
        <v>STARKS ANGELINA</v>
      </c>
    </row>
    <row r="48" spans="1:7" x14ac:dyDescent="0.25">
      <c r="A48" s="8">
        <v>42745.290011574078</v>
      </c>
      <c r="B48" s="21" t="s">
        <v>288</v>
      </c>
      <c r="C48" s="21" t="s">
        <v>498</v>
      </c>
      <c r="D48" s="160">
        <v>1200000</v>
      </c>
      <c r="E48" s="21" t="s">
        <v>459</v>
      </c>
      <c r="F48" s="21" t="s">
        <v>460</v>
      </c>
      <c r="G48" s="8" t="str">
        <f t="shared" si="0"/>
        <v>CUSHING HARRY</v>
      </c>
    </row>
    <row r="49" spans="1:7" x14ac:dyDescent="0.25">
      <c r="A49" s="8">
        <v>42745.293449074074</v>
      </c>
      <c r="B49" s="21" t="s">
        <v>247</v>
      </c>
      <c r="C49" s="21" t="s">
        <v>499</v>
      </c>
      <c r="D49" s="160">
        <v>940000</v>
      </c>
      <c r="E49" s="21" t="s">
        <v>369</v>
      </c>
      <c r="F49" s="21" t="s">
        <v>370</v>
      </c>
      <c r="G49" s="8" t="str">
        <f t="shared" si="0"/>
        <v>BONDS REYNALDO</v>
      </c>
    </row>
    <row r="50" spans="1:7" x14ac:dyDescent="0.25">
      <c r="A50" s="8">
        <v>42745.296249999999</v>
      </c>
      <c r="B50" s="21" t="s">
        <v>306</v>
      </c>
      <c r="C50" s="21" t="s">
        <v>500</v>
      </c>
      <c r="D50" s="160">
        <v>1830000</v>
      </c>
      <c r="E50" s="21" t="s">
        <v>280</v>
      </c>
      <c r="F50" s="21" t="s">
        <v>281</v>
      </c>
      <c r="G50" s="8" t="str">
        <f t="shared" si="0"/>
        <v>YORK EDGAR</v>
      </c>
    </row>
    <row r="51" spans="1:7" x14ac:dyDescent="0.25">
      <c r="A51" s="8">
        <v>42745.297511574077</v>
      </c>
      <c r="B51" s="21" t="s">
        <v>429</v>
      </c>
      <c r="C51" s="21" t="s">
        <v>430</v>
      </c>
      <c r="D51" s="160">
        <v>2680000</v>
      </c>
      <c r="E51" s="21" t="s">
        <v>300</v>
      </c>
      <c r="F51" s="21" t="s">
        <v>301</v>
      </c>
      <c r="G51" s="8" t="str">
        <f t="shared" si="0"/>
        <v>DUNCAN SHEILA</v>
      </c>
    </row>
    <row r="52" spans="1:7" x14ac:dyDescent="0.25">
      <c r="A52" s="8">
        <v>42745.301574074074</v>
      </c>
      <c r="B52" s="21" t="s">
        <v>279</v>
      </c>
      <c r="C52" s="21" t="s">
        <v>501</v>
      </c>
      <c r="D52" s="160">
        <v>2270000</v>
      </c>
      <c r="E52" s="21" t="s">
        <v>483</v>
      </c>
      <c r="F52" s="21" t="s">
        <v>484</v>
      </c>
      <c r="G52" s="8" t="str">
        <f t="shared" si="0"/>
        <v>BROWN JACOB</v>
      </c>
    </row>
    <row r="53" spans="1:7" x14ac:dyDescent="0.25">
      <c r="A53" s="8">
        <v>42745.306111111109</v>
      </c>
      <c r="B53" s="21" t="s">
        <v>294</v>
      </c>
      <c r="C53" s="21" t="s">
        <v>502</v>
      </c>
      <c r="D53" s="160">
        <v>1990000</v>
      </c>
      <c r="E53" s="21" t="s">
        <v>329</v>
      </c>
      <c r="F53" s="21" t="s">
        <v>330</v>
      </c>
      <c r="G53" s="8" t="str">
        <f t="shared" si="0"/>
        <v>DAVIS WENDY</v>
      </c>
    </row>
    <row r="54" spans="1:7" x14ac:dyDescent="0.25">
      <c r="A54" s="8">
        <v>42745.308391203704</v>
      </c>
      <c r="B54" s="21" t="s">
        <v>479</v>
      </c>
      <c r="C54" s="21" t="s">
        <v>503</v>
      </c>
      <c r="D54" s="160">
        <v>2010000</v>
      </c>
      <c r="E54" s="21" t="s">
        <v>327</v>
      </c>
      <c r="F54" s="21" t="s">
        <v>328</v>
      </c>
      <c r="G54" s="8" t="str">
        <f t="shared" si="0"/>
        <v>MAELZER KURT</v>
      </c>
    </row>
    <row r="55" spans="1:7" x14ac:dyDescent="0.25">
      <c r="A55" s="8">
        <v>42745.313043981485</v>
      </c>
      <c r="B55" s="21" t="s">
        <v>209</v>
      </c>
      <c r="C55" s="21" t="s">
        <v>504</v>
      </c>
      <c r="D55" s="160">
        <v>1830000</v>
      </c>
      <c r="E55" s="21" t="s">
        <v>280</v>
      </c>
      <c r="F55" s="21" t="s">
        <v>281</v>
      </c>
      <c r="G55" s="8" t="str">
        <f t="shared" si="0"/>
        <v>YORK EDGAR</v>
      </c>
    </row>
    <row r="56" spans="1:7" x14ac:dyDescent="0.25">
      <c r="A56" s="8">
        <v>42745.315949074073</v>
      </c>
      <c r="B56" s="21" t="s">
        <v>366</v>
      </c>
      <c r="C56" s="21" t="s">
        <v>505</v>
      </c>
      <c r="D56" s="160">
        <v>890000</v>
      </c>
      <c r="E56" s="21" t="s">
        <v>473</v>
      </c>
      <c r="F56" s="21" t="s">
        <v>474</v>
      </c>
      <c r="G56" s="8" t="str">
        <f t="shared" si="0"/>
        <v>LOZA FIDEL</v>
      </c>
    </row>
    <row r="57" spans="1:7" x14ac:dyDescent="0.25">
      <c r="A57" s="8">
        <v>42745.317800925928</v>
      </c>
      <c r="B57" s="21" t="s">
        <v>278</v>
      </c>
      <c r="C57" s="21" t="s">
        <v>506</v>
      </c>
      <c r="D57" s="160">
        <v>2270000</v>
      </c>
      <c r="E57" s="21" t="s">
        <v>483</v>
      </c>
      <c r="F57" s="21" t="s">
        <v>484</v>
      </c>
      <c r="G57" s="8" t="str">
        <f t="shared" si="0"/>
        <v>BROWN JACOB</v>
      </c>
    </row>
    <row r="58" spans="1:7" x14ac:dyDescent="0.25">
      <c r="A58" s="8">
        <v>42745.318912037037</v>
      </c>
      <c r="B58" s="21" t="s">
        <v>314</v>
      </c>
      <c r="C58" s="21" t="s">
        <v>507</v>
      </c>
      <c r="D58" s="160">
        <v>1110000</v>
      </c>
      <c r="E58" s="21" t="s">
        <v>367</v>
      </c>
      <c r="F58" s="21" t="s">
        <v>368</v>
      </c>
      <c r="G58" s="8" t="str">
        <f t="shared" si="0"/>
        <v>STARKS ANGELINA</v>
      </c>
    </row>
    <row r="59" spans="1:7" x14ac:dyDescent="0.25">
      <c r="A59" s="8">
        <v>42745.32571759259</v>
      </c>
      <c r="B59" s="21" t="s">
        <v>437</v>
      </c>
      <c r="C59" s="21" t="s">
        <v>508</v>
      </c>
      <c r="D59" s="160">
        <v>1200000</v>
      </c>
      <c r="E59" s="21" t="s">
        <v>459</v>
      </c>
      <c r="F59" s="21" t="s">
        <v>460</v>
      </c>
      <c r="G59" s="8" t="str">
        <f t="shared" si="0"/>
        <v>CUSHING HARRY</v>
      </c>
    </row>
    <row r="60" spans="1:7" x14ac:dyDescent="0.25">
      <c r="A60" s="8">
        <v>42745.328958333332</v>
      </c>
      <c r="B60" s="21" t="s">
        <v>221</v>
      </c>
      <c r="C60" s="21" t="s">
        <v>509</v>
      </c>
      <c r="D60" s="160">
        <v>940000</v>
      </c>
      <c r="E60" s="21" t="s">
        <v>369</v>
      </c>
      <c r="F60" s="21" t="s">
        <v>370</v>
      </c>
      <c r="G60" s="8" t="str">
        <f t="shared" si="0"/>
        <v>BONDS REYNALDO</v>
      </c>
    </row>
    <row r="61" spans="1:7" x14ac:dyDescent="0.25">
      <c r="A61" s="8">
        <v>42745.330347222225</v>
      </c>
      <c r="B61" s="21" t="s">
        <v>431</v>
      </c>
      <c r="C61" s="21" t="s">
        <v>432</v>
      </c>
      <c r="D61" s="160">
        <v>2680000</v>
      </c>
      <c r="E61" s="21" t="s">
        <v>300</v>
      </c>
      <c r="F61" s="21" t="s">
        <v>301</v>
      </c>
      <c r="G61" s="8" t="str">
        <f t="shared" si="0"/>
        <v>DUNCAN SHEILA</v>
      </c>
    </row>
    <row r="62" spans="1:7" x14ac:dyDescent="0.25">
      <c r="A62" s="8">
        <v>42745.338391203702</v>
      </c>
      <c r="B62" s="21" t="s">
        <v>306</v>
      </c>
      <c r="C62" s="21" t="s">
        <v>510</v>
      </c>
      <c r="D62" s="160">
        <v>1830000</v>
      </c>
      <c r="E62" s="21" t="s">
        <v>280</v>
      </c>
      <c r="F62" s="21" t="s">
        <v>281</v>
      </c>
      <c r="G62" s="8" t="str">
        <f t="shared" si="0"/>
        <v>YORK EDGAR</v>
      </c>
    </row>
    <row r="63" spans="1:7" x14ac:dyDescent="0.25">
      <c r="A63" s="8">
        <v>42745.339178240742</v>
      </c>
      <c r="B63" s="21" t="s">
        <v>289</v>
      </c>
      <c r="C63" s="21" t="s">
        <v>511</v>
      </c>
      <c r="D63" s="160">
        <v>1990000</v>
      </c>
      <c r="E63" s="21" t="s">
        <v>329</v>
      </c>
      <c r="F63" s="21" t="s">
        <v>330</v>
      </c>
      <c r="G63" s="8" t="str">
        <f t="shared" si="0"/>
        <v>DAVIS WENDY</v>
      </c>
    </row>
    <row r="64" spans="1:7" x14ac:dyDescent="0.25">
      <c r="A64" s="27">
        <v>42745.340833333335</v>
      </c>
      <c r="B64" s="21" t="s">
        <v>279</v>
      </c>
      <c r="C64" s="21" t="s">
        <v>512</v>
      </c>
      <c r="D64" s="160">
        <v>2270000</v>
      </c>
      <c r="E64" s="21" t="s">
        <v>483</v>
      </c>
      <c r="F64" s="21" t="s">
        <v>484</v>
      </c>
      <c r="G64" s="8" t="str">
        <f t="shared" si="0"/>
        <v>BROWN JACOB</v>
      </c>
    </row>
    <row r="65" spans="1:7" x14ac:dyDescent="0.25">
      <c r="A65" s="8">
        <v>42745.342800925922</v>
      </c>
      <c r="B65" s="21" t="s">
        <v>326</v>
      </c>
      <c r="C65" s="21" t="s">
        <v>513</v>
      </c>
      <c r="D65" s="160">
        <v>2010000</v>
      </c>
      <c r="E65" s="21" t="s">
        <v>327</v>
      </c>
      <c r="F65" s="21" t="s">
        <v>328</v>
      </c>
      <c r="G65" s="8" t="str">
        <f t="shared" si="0"/>
        <v>MAELZER KURT</v>
      </c>
    </row>
    <row r="66" spans="1:7" x14ac:dyDescent="0.25">
      <c r="A66" s="8">
        <v>42745.349780092591</v>
      </c>
      <c r="B66" s="21" t="s">
        <v>377</v>
      </c>
      <c r="C66" s="21" t="s">
        <v>514</v>
      </c>
      <c r="D66" s="160">
        <v>890000</v>
      </c>
      <c r="E66" s="21" t="s">
        <v>473</v>
      </c>
      <c r="F66" s="21" t="s">
        <v>474</v>
      </c>
      <c r="G66" s="8" t="str">
        <f t="shared" si="0"/>
        <v>LOZA FIDEL</v>
      </c>
    </row>
    <row r="67" spans="1:7" x14ac:dyDescent="0.25">
      <c r="A67" s="8">
        <v>42745.351909722223</v>
      </c>
      <c r="B67" s="21" t="s">
        <v>209</v>
      </c>
      <c r="C67" s="21" t="s">
        <v>515</v>
      </c>
      <c r="D67" s="160">
        <v>1830000</v>
      </c>
      <c r="E67" s="21" t="s">
        <v>280</v>
      </c>
      <c r="F67" s="21" t="s">
        <v>281</v>
      </c>
      <c r="G67" s="8" t="str">
        <f t="shared" ref="G67:G130" si="1">E67&amp;" "&amp;F67</f>
        <v>YORK EDGAR</v>
      </c>
    </row>
    <row r="68" spans="1:7" x14ac:dyDescent="0.25">
      <c r="A68" s="8">
        <v>42745.359166666669</v>
      </c>
      <c r="B68" s="21" t="s">
        <v>278</v>
      </c>
      <c r="C68" s="21" t="s">
        <v>516</v>
      </c>
      <c r="D68" s="160">
        <v>2270000</v>
      </c>
      <c r="E68" s="21" t="s">
        <v>483</v>
      </c>
      <c r="F68" s="21" t="s">
        <v>484</v>
      </c>
      <c r="G68" s="8" t="str">
        <f t="shared" si="1"/>
        <v>BROWN JACOB</v>
      </c>
    </row>
    <row r="69" spans="1:7" x14ac:dyDescent="0.25">
      <c r="A69" s="8">
        <v>42745.360474537039</v>
      </c>
      <c r="B69" s="21" t="s">
        <v>313</v>
      </c>
      <c r="C69" s="21" t="s">
        <v>517</v>
      </c>
      <c r="D69" s="160">
        <v>1110000</v>
      </c>
      <c r="E69" s="21" t="s">
        <v>367</v>
      </c>
      <c r="F69" s="21" t="s">
        <v>368</v>
      </c>
      <c r="G69" s="8" t="str">
        <f t="shared" si="1"/>
        <v>STARKS ANGELINA</v>
      </c>
    </row>
    <row r="70" spans="1:7" x14ac:dyDescent="0.25">
      <c r="A70" s="8">
        <v>42745.363020833334</v>
      </c>
      <c r="B70" s="21" t="s">
        <v>288</v>
      </c>
      <c r="C70" s="21" t="s">
        <v>518</v>
      </c>
      <c r="D70" s="160">
        <v>1200000</v>
      </c>
      <c r="E70" s="21" t="s">
        <v>459</v>
      </c>
      <c r="F70" s="21" t="s">
        <v>460</v>
      </c>
      <c r="G70" s="8" t="str">
        <f t="shared" si="1"/>
        <v>CUSHING HARRY</v>
      </c>
    </row>
    <row r="71" spans="1:7" x14ac:dyDescent="0.25">
      <c r="A71" s="8">
        <v>42745.366840277777</v>
      </c>
      <c r="B71" s="21" t="s">
        <v>247</v>
      </c>
      <c r="C71" s="21" t="s">
        <v>519</v>
      </c>
      <c r="D71" s="160">
        <v>940000</v>
      </c>
      <c r="E71" s="21" t="s">
        <v>369</v>
      </c>
      <c r="F71" s="21" t="s">
        <v>370</v>
      </c>
      <c r="G71" s="8" t="str">
        <f t="shared" si="1"/>
        <v>BONDS REYNALDO</v>
      </c>
    </row>
    <row r="72" spans="1:7" x14ac:dyDescent="0.25">
      <c r="A72" s="8">
        <v>42745.371666666666</v>
      </c>
      <c r="B72" s="21" t="s">
        <v>429</v>
      </c>
      <c r="C72" s="21" t="s">
        <v>520</v>
      </c>
      <c r="D72" s="160">
        <v>2680000</v>
      </c>
      <c r="E72" s="21" t="s">
        <v>300</v>
      </c>
      <c r="F72" s="21" t="s">
        <v>301</v>
      </c>
      <c r="G72" s="8" t="str">
        <f t="shared" si="1"/>
        <v>DUNCAN SHEILA</v>
      </c>
    </row>
    <row r="73" spans="1:7" x14ac:dyDescent="0.25">
      <c r="A73" s="8">
        <v>42745.379074074073</v>
      </c>
      <c r="B73" s="21" t="s">
        <v>294</v>
      </c>
      <c r="C73" s="21" t="s">
        <v>521</v>
      </c>
      <c r="D73" s="160">
        <v>1990000</v>
      </c>
      <c r="E73" s="21" t="s">
        <v>329</v>
      </c>
      <c r="F73" s="21" t="s">
        <v>330</v>
      </c>
      <c r="G73" s="8" t="str">
        <f t="shared" si="1"/>
        <v>DAVIS WENDY</v>
      </c>
    </row>
    <row r="74" spans="1:7" x14ac:dyDescent="0.25">
      <c r="A74" s="8">
        <v>42745.380624999998</v>
      </c>
      <c r="B74" s="21" t="s">
        <v>479</v>
      </c>
      <c r="C74" s="21" t="s">
        <v>522</v>
      </c>
      <c r="D74" s="160">
        <v>2010000</v>
      </c>
      <c r="E74" s="21" t="s">
        <v>327</v>
      </c>
      <c r="F74" s="21" t="s">
        <v>328</v>
      </c>
      <c r="G74" s="8" t="str">
        <f t="shared" si="1"/>
        <v>MAELZER KURT</v>
      </c>
    </row>
    <row r="75" spans="1:7" x14ac:dyDescent="0.25">
      <c r="A75" s="8">
        <v>42745.386747685188</v>
      </c>
      <c r="B75" s="21" t="s">
        <v>279</v>
      </c>
      <c r="C75" s="21" t="s">
        <v>433</v>
      </c>
      <c r="D75" s="160">
        <v>2270000</v>
      </c>
      <c r="E75" s="21" t="s">
        <v>483</v>
      </c>
      <c r="F75" s="21" t="s">
        <v>484</v>
      </c>
      <c r="G75" s="8" t="str">
        <f t="shared" si="1"/>
        <v>BROWN JACOB</v>
      </c>
    </row>
    <row r="76" spans="1:7" x14ac:dyDescent="0.25">
      <c r="A76" s="8">
        <v>42745.390231481484</v>
      </c>
      <c r="B76" s="21" t="s">
        <v>314</v>
      </c>
      <c r="C76" s="21" t="s">
        <v>523</v>
      </c>
      <c r="D76" s="160">
        <v>1110000</v>
      </c>
      <c r="E76" s="21" t="s">
        <v>367</v>
      </c>
      <c r="F76" s="21" t="s">
        <v>368</v>
      </c>
      <c r="G76" s="8" t="str">
        <f t="shared" si="1"/>
        <v>STARKS ANGELINA</v>
      </c>
    </row>
    <row r="77" spans="1:7" x14ac:dyDescent="0.25">
      <c r="A77" s="8">
        <v>42745.390451388892</v>
      </c>
      <c r="B77" s="21" t="s">
        <v>366</v>
      </c>
      <c r="C77" s="21" t="s">
        <v>524</v>
      </c>
      <c r="D77" s="160">
        <v>890000</v>
      </c>
      <c r="E77" s="21" t="s">
        <v>473</v>
      </c>
      <c r="F77" s="21" t="s">
        <v>474</v>
      </c>
      <c r="G77" s="8" t="str">
        <f t="shared" si="1"/>
        <v>LOZA FIDEL</v>
      </c>
    </row>
    <row r="78" spans="1:7" x14ac:dyDescent="0.25">
      <c r="A78" s="8">
        <v>42745.399722222224</v>
      </c>
      <c r="B78" s="21" t="s">
        <v>437</v>
      </c>
      <c r="C78" s="21" t="s">
        <v>525</v>
      </c>
      <c r="D78" s="160">
        <v>1200000</v>
      </c>
      <c r="E78" s="21" t="s">
        <v>459</v>
      </c>
      <c r="F78" s="21" t="s">
        <v>460</v>
      </c>
      <c r="G78" s="8" t="str">
        <f t="shared" si="1"/>
        <v>CUSHING HARRY</v>
      </c>
    </row>
    <row r="79" spans="1:7" x14ac:dyDescent="0.25">
      <c r="A79" s="8">
        <v>42745.400520833333</v>
      </c>
      <c r="B79" s="21" t="s">
        <v>278</v>
      </c>
      <c r="C79" s="21" t="s">
        <v>526</v>
      </c>
      <c r="D79" s="160">
        <v>2270000</v>
      </c>
      <c r="E79" s="21" t="s">
        <v>483</v>
      </c>
      <c r="F79" s="21" t="s">
        <v>484</v>
      </c>
      <c r="G79" s="8" t="str">
        <f t="shared" si="1"/>
        <v>BROWN JACOB</v>
      </c>
    </row>
    <row r="80" spans="1:7" x14ac:dyDescent="0.25">
      <c r="A80" s="8">
        <v>42745.401828703703</v>
      </c>
      <c r="B80" s="21" t="s">
        <v>221</v>
      </c>
      <c r="C80" s="21" t="s">
        <v>527</v>
      </c>
      <c r="D80" s="160">
        <v>940000</v>
      </c>
      <c r="E80" s="21" t="s">
        <v>369</v>
      </c>
      <c r="F80" s="21" t="s">
        <v>370</v>
      </c>
      <c r="G80" s="8" t="str">
        <f t="shared" si="1"/>
        <v>BONDS REYNALDO</v>
      </c>
    </row>
    <row r="81" spans="1:7" x14ac:dyDescent="0.25">
      <c r="A81" s="8">
        <v>42745.410138888888</v>
      </c>
      <c r="B81" s="21" t="s">
        <v>431</v>
      </c>
      <c r="C81" s="21" t="s">
        <v>528</v>
      </c>
      <c r="D81" s="160">
        <v>2680000</v>
      </c>
      <c r="E81" s="21" t="s">
        <v>300</v>
      </c>
      <c r="F81" s="21" t="s">
        <v>301</v>
      </c>
      <c r="G81" s="8" t="str">
        <f t="shared" si="1"/>
        <v>DUNCAN SHEILA</v>
      </c>
    </row>
    <row r="82" spans="1:7" x14ac:dyDescent="0.25">
      <c r="A82" s="8">
        <v>42745.413726851853</v>
      </c>
      <c r="B82" s="21" t="s">
        <v>289</v>
      </c>
      <c r="C82" s="21" t="s">
        <v>529</v>
      </c>
      <c r="D82" s="160">
        <v>1990000</v>
      </c>
      <c r="E82" s="21" t="s">
        <v>329</v>
      </c>
      <c r="F82" s="21" t="s">
        <v>330</v>
      </c>
      <c r="G82" s="8" t="str">
        <f t="shared" si="1"/>
        <v>DAVIS WENDY</v>
      </c>
    </row>
    <row r="83" spans="1:7" x14ac:dyDescent="0.25">
      <c r="A83" s="8">
        <v>42745.415902777779</v>
      </c>
      <c r="B83" s="21" t="s">
        <v>326</v>
      </c>
      <c r="C83" s="21" t="s">
        <v>530</v>
      </c>
      <c r="D83" s="160">
        <v>2010000</v>
      </c>
      <c r="E83" s="21" t="s">
        <v>327</v>
      </c>
      <c r="F83" s="21" t="s">
        <v>328</v>
      </c>
      <c r="G83" s="8" t="str">
        <f t="shared" si="1"/>
        <v>MAELZER KURT</v>
      </c>
    </row>
    <row r="84" spans="1:7" x14ac:dyDescent="0.25">
      <c r="A84" s="8">
        <v>42745.425439814811</v>
      </c>
      <c r="B84" s="21" t="s">
        <v>377</v>
      </c>
      <c r="C84" s="21" t="s">
        <v>531</v>
      </c>
      <c r="D84" s="160">
        <v>890000</v>
      </c>
      <c r="E84" s="21" t="s">
        <v>473</v>
      </c>
      <c r="F84" s="21" t="s">
        <v>474</v>
      </c>
      <c r="G84" s="8" t="str">
        <f t="shared" si="1"/>
        <v>LOZA FIDEL</v>
      </c>
    </row>
    <row r="85" spans="1:7" x14ac:dyDescent="0.25">
      <c r="A85" s="8">
        <v>42745.426828703705</v>
      </c>
      <c r="B85" s="21" t="s">
        <v>279</v>
      </c>
      <c r="C85" s="21" t="s">
        <v>532</v>
      </c>
      <c r="D85" s="160">
        <v>2270000</v>
      </c>
      <c r="E85" s="21" t="s">
        <v>483</v>
      </c>
      <c r="F85" s="21" t="s">
        <v>484</v>
      </c>
      <c r="G85" s="8" t="str">
        <f t="shared" si="1"/>
        <v>BROWN JACOB</v>
      </c>
    </row>
    <row r="86" spans="1:7" x14ac:dyDescent="0.25">
      <c r="A86" s="8">
        <v>42745.432314814818</v>
      </c>
      <c r="B86" s="21" t="s">
        <v>313</v>
      </c>
      <c r="C86" s="21" t="s">
        <v>533</v>
      </c>
      <c r="D86" s="160">
        <v>1110000</v>
      </c>
      <c r="E86" s="21" t="s">
        <v>367</v>
      </c>
      <c r="F86" s="21" t="s">
        <v>368</v>
      </c>
      <c r="G86" s="8" t="str">
        <f t="shared" si="1"/>
        <v>STARKS ANGELINA</v>
      </c>
    </row>
    <row r="87" spans="1:7" x14ac:dyDescent="0.25">
      <c r="A87" s="8">
        <v>42745.434247685182</v>
      </c>
      <c r="B87" s="21" t="s">
        <v>288</v>
      </c>
      <c r="C87" s="21" t="s">
        <v>534</v>
      </c>
      <c r="D87" s="160">
        <v>1830000</v>
      </c>
      <c r="E87" s="21" t="s">
        <v>280</v>
      </c>
      <c r="F87" s="21" t="s">
        <v>281</v>
      </c>
      <c r="G87" s="8" t="str">
        <f t="shared" si="1"/>
        <v>YORK EDGAR</v>
      </c>
    </row>
    <row r="88" spans="1:7" x14ac:dyDescent="0.25">
      <c r="A88" s="8">
        <v>42745.442384259259</v>
      </c>
      <c r="B88" s="21" t="s">
        <v>278</v>
      </c>
      <c r="C88" s="21" t="s">
        <v>535</v>
      </c>
      <c r="D88" s="160">
        <v>2270000</v>
      </c>
      <c r="E88" s="21" t="s">
        <v>483</v>
      </c>
      <c r="F88" s="21" t="s">
        <v>484</v>
      </c>
      <c r="G88" s="8" t="str">
        <f t="shared" si="1"/>
        <v>BROWN JACOB</v>
      </c>
    </row>
    <row r="89" spans="1:7" x14ac:dyDescent="0.25">
      <c r="A89" s="8">
        <v>42745.443402777775</v>
      </c>
      <c r="B89" s="21" t="s">
        <v>247</v>
      </c>
      <c r="C89" s="21" t="s">
        <v>536</v>
      </c>
      <c r="D89" s="160">
        <v>940000</v>
      </c>
      <c r="E89" s="21" t="s">
        <v>369</v>
      </c>
      <c r="F89" s="21" t="s">
        <v>370</v>
      </c>
      <c r="G89" s="8" t="str">
        <f t="shared" si="1"/>
        <v>BONDS REYNALDO</v>
      </c>
    </row>
    <row r="90" spans="1:7" x14ac:dyDescent="0.25">
      <c r="A90" s="8">
        <v>42745.446458333332</v>
      </c>
      <c r="B90" s="21" t="s">
        <v>429</v>
      </c>
      <c r="C90" s="21" t="s">
        <v>537</v>
      </c>
      <c r="D90" s="160">
        <v>2680000</v>
      </c>
      <c r="E90" s="21" t="s">
        <v>300</v>
      </c>
      <c r="F90" s="21" t="s">
        <v>301</v>
      </c>
      <c r="G90" s="8" t="str">
        <f t="shared" si="1"/>
        <v>DUNCAN SHEILA</v>
      </c>
    </row>
    <row r="91" spans="1:7" x14ac:dyDescent="0.25">
      <c r="A91" s="8">
        <v>42745.452638888892</v>
      </c>
      <c r="B91" s="21" t="s">
        <v>204</v>
      </c>
      <c r="C91" s="21" t="s">
        <v>434</v>
      </c>
      <c r="D91" s="160">
        <v>2670000</v>
      </c>
      <c r="E91" s="21" t="s">
        <v>378</v>
      </c>
      <c r="F91" s="21" t="s">
        <v>379</v>
      </c>
      <c r="G91" s="8" t="str">
        <f t="shared" si="1"/>
        <v>COMELLA JUSTIN</v>
      </c>
    </row>
    <row r="92" spans="1:7" x14ac:dyDescent="0.25">
      <c r="A92" s="8">
        <v>42745.453113425923</v>
      </c>
      <c r="B92" s="21" t="s">
        <v>294</v>
      </c>
      <c r="C92" s="21" t="s">
        <v>538</v>
      </c>
      <c r="D92" s="160">
        <v>1990000</v>
      </c>
      <c r="E92" s="21" t="s">
        <v>329</v>
      </c>
      <c r="F92" s="21" t="s">
        <v>330</v>
      </c>
      <c r="G92" s="8" t="str">
        <f t="shared" si="1"/>
        <v>DAVIS WENDY</v>
      </c>
    </row>
    <row r="93" spans="1:7" x14ac:dyDescent="0.25">
      <c r="A93" s="8">
        <v>42745.456006944441</v>
      </c>
      <c r="B93" s="21" t="s">
        <v>479</v>
      </c>
      <c r="C93" s="21" t="s">
        <v>539</v>
      </c>
      <c r="D93" s="160">
        <v>920000</v>
      </c>
      <c r="E93" s="21" t="s">
        <v>329</v>
      </c>
      <c r="F93" s="21" t="s">
        <v>243</v>
      </c>
      <c r="G93" s="8" t="str">
        <f t="shared" si="1"/>
        <v>DAVIS MICHAEL</v>
      </c>
    </row>
    <row r="94" spans="1:7" x14ac:dyDescent="0.25">
      <c r="A94" s="8">
        <v>42745.460682870369</v>
      </c>
      <c r="B94" s="21" t="s">
        <v>366</v>
      </c>
      <c r="C94" s="21" t="s">
        <v>540</v>
      </c>
      <c r="D94" s="160">
        <v>890000</v>
      </c>
      <c r="E94" s="21" t="s">
        <v>473</v>
      </c>
      <c r="F94" s="21" t="s">
        <v>474</v>
      </c>
      <c r="G94" s="8" t="str">
        <f t="shared" si="1"/>
        <v>LOZA FIDEL</v>
      </c>
    </row>
    <row r="95" spans="1:7" x14ac:dyDescent="0.25">
      <c r="A95" s="8">
        <v>42745.464108796295</v>
      </c>
      <c r="B95" s="21" t="s">
        <v>437</v>
      </c>
      <c r="C95" s="21" t="s">
        <v>541</v>
      </c>
      <c r="D95" s="160">
        <v>1830000</v>
      </c>
      <c r="E95" s="21" t="s">
        <v>280</v>
      </c>
      <c r="F95" s="21" t="s">
        <v>281</v>
      </c>
      <c r="G95" s="8" t="str">
        <f t="shared" si="1"/>
        <v>YORK EDGAR</v>
      </c>
    </row>
    <row r="96" spans="1:7" x14ac:dyDescent="0.25">
      <c r="A96" s="8">
        <v>42745.46601851852</v>
      </c>
      <c r="B96" s="21" t="s">
        <v>314</v>
      </c>
      <c r="C96" s="21" t="s">
        <v>542</v>
      </c>
      <c r="D96" s="160">
        <v>2730000</v>
      </c>
      <c r="E96" s="21" t="s">
        <v>371</v>
      </c>
      <c r="F96" s="21" t="s">
        <v>372</v>
      </c>
      <c r="G96" s="8" t="str">
        <f t="shared" si="1"/>
        <v>YANG JAN</v>
      </c>
    </row>
    <row r="97" spans="1:7" x14ac:dyDescent="0.25">
      <c r="A97" s="8">
        <v>42745.471064814818</v>
      </c>
      <c r="B97" s="21" t="s">
        <v>279</v>
      </c>
      <c r="C97" s="21" t="s">
        <v>543</v>
      </c>
      <c r="D97" s="160">
        <v>2270000</v>
      </c>
      <c r="E97" s="21" t="s">
        <v>483</v>
      </c>
      <c r="F97" s="21" t="s">
        <v>484</v>
      </c>
      <c r="G97" s="8" t="str">
        <f t="shared" si="1"/>
        <v>BROWN JACOB</v>
      </c>
    </row>
    <row r="98" spans="1:7" x14ac:dyDescent="0.25">
      <c r="A98" s="8">
        <v>42745.476134259261</v>
      </c>
      <c r="B98" s="21" t="s">
        <v>221</v>
      </c>
      <c r="C98" s="21" t="s">
        <v>544</v>
      </c>
      <c r="D98" s="160">
        <v>2670000</v>
      </c>
      <c r="E98" s="21" t="s">
        <v>378</v>
      </c>
      <c r="F98" s="21" t="s">
        <v>379</v>
      </c>
      <c r="G98" s="8" t="str">
        <f t="shared" si="1"/>
        <v>COMELLA JUSTIN</v>
      </c>
    </row>
    <row r="99" spans="1:7" x14ac:dyDescent="0.25">
      <c r="A99" s="8">
        <v>42745.478032407409</v>
      </c>
      <c r="B99" s="21" t="s">
        <v>431</v>
      </c>
      <c r="C99" s="21" t="s">
        <v>545</v>
      </c>
      <c r="D99" s="160">
        <v>2680000</v>
      </c>
      <c r="E99" s="21" t="s">
        <v>300</v>
      </c>
      <c r="F99" s="21" t="s">
        <v>301</v>
      </c>
      <c r="G99" s="8" t="str">
        <f t="shared" si="1"/>
        <v>DUNCAN SHEILA</v>
      </c>
    </row>
    <row r="100" spans="1:7" x14ac:dyDescent="0.25">
      <c r="A100" s="8">
        <v>42745.484131944446</v>
      </c>
      <c r="B100" s="21" t="s">
        <v>278</v>
      </c>
      <c r="C100" s="21" t="s">
        <v>546</v>
      </c>
      <c r="D100" s="160">
        <v>2270000</v>
      </c>
      <c r="E100" s="21" t="s">
        <v>483</v>
      </c>
      <c r="F100" s="21" t="s">
        <v>484</v>
      </c>
      <c r="G100" s="8" t="str">
        <f t="shared" si="1"/>
        <v>BROWN JACOB</v>
      </c>
    </row>
    <row r="101" spans="1:7" x14ac:dyDescent="0.25">
      <c r="A101" s="8">
        <v>42745.486539351848</v>
      </c>
      <c r="B101" s="21" t="s">
        <v>289</v>
      </c>
      <c r="C101" s="21" t="s">
        <v>547</v>
      </c>
      <c r="D101" s="160">
        <v>1760000</v>
      </c>
      <c r="E101" s="21" t="s">
        <v>548</v>
      </c>
      <c r="F101" s="21" t="s">
        <v>549</v>
      </c>
      <c r="G101" s="8" t="str">
        <f t="shared" si="1"/>
        <v>STRICKLAND EVAN</v>
      </c>
    </row>
    <row r="102" spans="1:7" x14ac:dyDescent="0.25">
      <c r="A102" s="8">
        <v>42745.487060185187</v>
      </c>
      <c r="B102" s="21" t="s">
        <v>248</v>
      </c>
      <c r="C102" s="21" t="s">
        <v>435</v>
      </c>
      <c r="D102" s="160">
        <v>1820000</v>
      </c>
      <c r="E102" s="21" t="s">
        <v>375</v>
      </c>
      <c r="F102" s="21" t="s">
        <v>376</v>
      </c>
      <c r="G102" s="8" t="str">
        <f t="shared" si="1"/>
        <v>ADANE ELSHADAY</v>
      </c>
    </row>
    <row r="103" spans="1:7" x14ac:dyDescent="0.25">
      <c r="A103" s="8">
        <v>42745.490590277775</v>
      </c>
      <c r="B103" s="21" t="s">
        <v>203</v>
      </c>
      <c r="C103" s="21" t="s">
        <v>550</v>
      </c>
      <c r="D103" s="160">
        <v>1990000</v>
      </c>
      <c r="E103" s="21" t="s">
        <v>329</v>
      </c>
      <c r="F103" s="21" t="s">
        <v>330</v>
      </c>
      <c r="G103" s="8" t="str">
        <f t="shared" si="1"/>
        <v>DAVIS WENDY</v>
      </c>
    </row>
    <row r="104" spans="1:7" x14ac:dyDescent="0.25">
      <c r="A104" s="8">
        <v>42745.495312500003</v>
      </c>
      <c r="B104" s="21" t="s">
        <v>326</v>
      </c>
      <c r="C104" s="21" t="s">
        <v>551</v>
      </c>
      <c r="D104" s="160">
        <v>920000</v>
      </c>
      <c r="E104" s="21" t="s">
        <v>329</v>
      </c>
      <c r="F104" s="21" t="s">
        <v>243</v>
      </c>
      <c r="G104" s="8" t="str">
        <f t="shared" si="1"/>
        <v>DAVIS MICHAEL</v>
      </c>
    </row>
    <row r="105" spans="1:7" x14ac:dyDescent="0.25">
      <c r="A105" s="8">
        <v>42745.503078703703</v>
      </c>
      <c r="B105" s="21" t="s">
        <v>377</v>
      </c>
      <c r="C105" s="21" t="s">
        <v>552</v>
      </c>
      <c r="D105" s="160">
        <v>2280000</v>
      </c>
      <c r="E105" s="21" t="s">
        <v>380</v>
      </c>
      <c r="F105" s="21" t="s">
        <v>381</v>
      </c>
      <c r="G105" s="8" t="str">
        <f t="shared" si="1"/>
        <v>MAHAN DUANE</v>
      </c>
    </row>
    <row r="106" spans="1:7" x14ac:dyDescent="0.25">
      <c r="A106" s="8">
        <v>42745.505057870374</v>
      </c>
      <c r="B106" s="21" t="s">
        <v>313</v>
      </c>
      <c r="C106" s="21" t="s">
        <v>436</v>
      </c>
      <c r="D106" s="160">
        <v>2730000</v>
      </c>
      <c r="E106" s="21" t="s">
        <v>371</v>
      </c>
      <c r="F106" s="21" t="s">
        <v>372</v>
      </c>
      <c r="G106" s="8" t="str">
        <f t="shared" si="1"/>
        <v>YANG JAN</v>
      </c>
    </row>
    <row r="107" spans="1:7" x14ac:dyDescent="0.25">
      <c r="A107" s="8">
        <v>42745.506562499999</v>
      </c>
      <c r="B107" s="21" t="s">
        <v>249</v>
      </c>
      <c r="C107" s="21" t="s">
        <v>553</v>
      </c>
      <c r="D107" s="160">
        <v>890000</v>
      </c>
      <c r="E107" s="21" t="s">
        <v>473</v>
      </c>
      <c r="F107" s="21" t="s">
        <v>474</v>
      </c>
      <c r="G107" s="8" t="str">
        <f t="shared" si="1"/>
        <v>LOZA FIDEL</v>
      </c>
    </row>
    <row r="108" spans="1:7" x14ac:dyDescent="0.25">
      <c r="A108" s="8">
        <v>42745.508344907408</v>
      </c>
      <c r="B108" s="21" t="s">
        <v>288</v>
      </c>
      <c r="C108" s="21" t="s">
        <v>554</v>
      </c>
      <c r="D108" s="160">
        <v>1820000</v>
      </c>
      <c r="E108" s="21" t="s">
        <v>375</v>
      </c>
      <c r="F108" s="21" t="s">
        <v>376</v>
      </c>
      <c r="G108" s="8" t="str">
        <f t="shared" si="1"/>
        <v>ADANE ELSHADAY</v>
      </c>
    </row>
    <row r="109" spans="1:7" x14ac:dyDescent="0.25">
      <c r="A109" s="8">
        <v>42745.510798611111</v>
      </c>
      <c r="B109" s="21" t="s">
        <v>247</v>
      </c>
      <c r="C109" s="21" t="s">
        <v>555</v>
      </c>
      <c r="D109" s="160">
        <v>2670000</v>
      </c>
      <c r="E109" s="21" t="s">
        <v>378</v>
      </c>
      <c r="F109" s="21" t="s">
        <v>379</v>
      </c>
      <c r="G109" s="8" t="str">
        <f t="shared" si="1"/>
        <v>COMELLA JUSTIN</v>
      </c>
    </row>
    <row r="110" spans="1:7" x14ac:dyDescent="0.25">
      <c r="A110" s="8">
        <v>42745.513333333336</v>
      </c>
      <c r="B110" s="21" t="s">
        <v>279</v>
      </c>
      <c r="C110" s="21" t="s">
        <v>556</v>
      </c>
      <c r="D110" s="160">
        <v>2270000</v>
      </c>
      <c r="E110" s="21" t="s">
        <v>483</v>
      </c>
      <c r="F110" s="21" t="s">
        <v>484</v>
      </c>
      <c r="G110" s="8" t="str">
        <f t="shared" si="1"/>
        <v>BROWN JACOB</v>
      </c>
    </row>
    <row r="111" spans="1:7" x14ac:dyDescent="0.25">
      <c r="A111" s="8">
        <v>42745.52</v>
      </c>
      <c r="B111" s="21" t="s">
        <v>294</v>
      </c>
      <c r="C111" s="21" t="s">
        <v>557</v>
      </c>
      <c r="D111" s="160">
        <v>1760000</v>
      </c>
      <c r="E111" s="21" t="s">
        <v>548</v>
      </c>
      <c r="F111" s="21" t="s">
        <v>549</v>
      </c>
      <c r="G111" s="8" t="str">
        <f t="shared" si="1"/>
        <v>STRICKLAND EVAN</v>
      </c>
    </row>
    <row r="112" spans="1:7" x14ac:dyDescent="0.25">
      <c r="A112" s="8">
        <v>42745.520451388889</v>
      </c>
      <c r="B112" s="21" t="s">
        <v>429</v>
      </c>
      <c r="C112" s="21" t="s">
        <v>558</v>
      </c>
      <c r="D112" s="160">
        <v>1190000</v>
      </c>
      <c r="E112" s="21" t="s">
        <v>559</v>
      </c>
      <c r="F112" s="21" t="s">
        <v>560</v>
      </c>
      <c r="G112" s="8" t="str">
        <f t="shared" si="1"/>
        <v>BRANNON JEFFREY</v>
      </c>
    </row>
    <row r="113" spans="1:7" x14ac:dyDescent="0.25">
      <c r="A113" s="8">
        <v>42745.526307870372</v>
      </c>
      <c r="B113" s="21" t="s">
        <v>278</v>
      </c>
      <c r="C113" s="21" t="s">
        <v>561</v>
      </c>
      <c r="D113" s="160">
        <v>2270000</v>
      </c>
      <c r="E113" s="21" t="s">
        <v>483</v>
      </c>
      <c r="F113" s="21" t="s">
        <v>484</v>
      </c>
      <c r="G113" s="8" t="str">
        <f t="shared" si="1"/>
        <v>BROWN JACOB</v>
      </c>
    </row>
    <row r="114" spans="1:7" x14ac:dyDescent="0.25">
      <c r="A114" s="8">
        <v>42745.534502314818</v>
      </c>
      <c r="B114" s="21" t="s">
        <v>479</v>
      </c>
      <c r="C114" s="21" t="s">
        <v>562</v>
      </c>
      <c r="D114" s="160">
        <v>920000</v>
      </c>
      <c r="E114" s="21" t="s">
        <v>329</v>
      </c>
      <c r="F114" s="21" t="s">
        <v>243</v>
      </c>
      <c r="G114" s="8" t="str">
        <f t="shared" si="1"/>
        <v>DAVIS MICHAEL</v>
      </c>
    </row>
    <row r="115" spans="1:7" x14ac:dyDescent="0.25">
      <c r="A115" s="8">
        <v>42745.53806712963</v>
      </c>
      <c r="B115" s="21" t="s">
        <v>366</v>
      </c>
      <c r="C115" s="21" t="s">
        <v>563</v>
      </c>
      <c r="D115" s="160">
        <v>2280000</v>
      </c>
      <c r="E115" s="21" t="s">
        <v>380</v>
      </c>
      <c r="F115" s="21" t="s">
        <v>381</v>
      </c>
      <c r="G115" s="8" t="str">
        <f t="shared" si="1"/>
        <v>MAHAN DUANE</v>
      </c>
    </row>
    <row r="116" spans="1:7" x14ac:dyDescent="0.25">
      <c r="A116" s="8">
        <v>42745.542696759258</v>
      </c>
      <c r="B116" s="21" t="s">
        <v>314</v>
      </c>
      <c r="C116" s="21" t="s">
        <v>564</v>
      </c>
      <c r="D116" s="160">
        <v>2730000</v>
      </c>
      <c r="E116" s="21" t="s">
        <v>371</v>
      </c>
      <c r="F116" s="21" t="s">
        <v>372</v>
      </c>
      <c r="G116" s="8" t="str">
        <f t="shared" si="1"/>
        <v>YANG JAN</v>
      </c>
    </row>
    <row r="117" spans="1:7" x14ac:dyDescent="0.25">
      <c r="A117" s="8">
        <v>42745.547094907408</v>
      </c>
      <c r="B117" s="21" t="s">
        <v>279</v>
      </c>
      <c r="C117" s="21" t="s">
        <v>565</v>
      </c>
      <c r="D117" s="160">
        <v>1300000</v>
      </c>
      <c r="E117" s="21" t="s">
        <v>113</v>
      </c>
      <c r="F117" s="21" t="s">
        <v>566</v>
      </c>
      <c r="G117" s="8" t="str">
        <f t="shared" si="1"/>
        <v>LEVIN SCOTT</v>
      </c>
    </row>
    <row r="118" spans="1:7" x14ac:dyDescent="0.25">
      <c r="A118" s="8">
        <v>42745.548148148147</v>
      </c>
      <c r="B118" s="21" t="s">
        <v>437</v>
      </c>
      <c r="C118" s="21" t="s">
        <v>438</v>
      </c>
      <c r="D118" s="160">
        <v>1820000</v>
      </c>
      <c r="E118" s="21" t="s">
        <v>375</v>
      </c>
      <c r="F118" s="21" t="s">
        <v>376</v>
      </c>
      <c r="G118" s="8" t="str">
        <f t="shared" si="1"/>
        <v>ADANE ELSHADAY</v>
      </c>
    </row>
    <row r="119" spans="1:7" x14ac:dyDescent="0.25">
      <c r="A119" s="8">
        <v>42745.552708333336</v>
      </c>
      <c r="B119" s="21" t="s">
        <v>221</v>
      </c>
      <c r="C119" s="21" t="s">
        <v>567</v>
      </c>
      <c r="D119" s="160">
        <v>2670000</v>
      </c>
      <c r="E119" s="21" t="s">
        <v>378</v>
      </c>
      <c r="F119" s="21" t="s">
        <v>379</v>
      </c>
      <c r="G119" s="8" t="str">
        <f t="shared" si="1"/>
        <v>COMELLA JUSTIN</v>
      </c>
    </row>
    <row r="120" spans="1:7" x14ac:dyDescent="0.25">
      <c r="A120" s="8">
        <v>42745.558391203704</v>
      </c>
      <c r="B120" s="21" t="s">
        <v>431</v>
      </c>
      <c r="C120" s="21" t="s">
        <v>568</v>
      </c>
      <c r="D120" s="160">
        <v>1190000</v>
      </c>
      <c r="E120" s="21" t="s">
        <v>559</v>
      </c>
      <c r="F120" s="21" t="s">
        <v>560</v>
      </c>
      <c r="G120" s="8" t="str">
        <f t="shared" si="1"/>
        <v>BRANNON JEFFREY</v>
      </c>
    </row>
    <row r="121" spans="1:7" x14ac:dyDescent="0.25">
      <c r="A121" s="8">
        <v>42745.559305555558</v>
      </c>
      <c r="B121" s="21" t="s">
        <v>289</v>
      </c>
      <c r="C121" s="21" t="s">
        <v>569</v>
      </c>
      <c r="D121" s="160">
        <v>930000</v>
      </c>
      <c r="E121" s="21" t="s">
        <v>373</v>
      </c>
      <c r="F121" s="21" t="s">
        <v>374</v>
      </c>
      <c r="G121" s="8" t="str">
        <f t="shared" si="1"/>
        <v>CLARK KATHLEEN</v>
      </c>
    </row>
    <row r="122" spans="1:7" x14ac:dyDescent="0.25">
      <c r="A122" s="8">
        <v>42745.567303240743</v>
      </c>
      <c r="B122" s="26" t="s">
        <v>278</v>
      </c>
      <c r="C122" s="21" t="s">
        <v>570</v>
      </c>
      <c r="D122" s="160">
        <v>1300000</v>
      </c>
      <c r="E122" s="21" t="s">
        <v>113</v>
      </c>
      <c r="F122" s="21" t="s">
        <v>566</v>
      </c>
      <c r="G122" s="8" t="str">
        <f t="shared" si="1"/>
        <v>LEVIN SCOTT</v>
      </c>
    </row>
    <row r="123" spans="1:7" x14ac:dyDescent="0.25">
      <c r="A123" s="8">
        <v>42745.570254629631</v>
      </c>
      <c r="B123" s="21" t="s">
        <v>326</v>
      </c>
      <c r="C123" s="21" t="s">
        <v>571</v>
      </c>
      <c r="D123" s="160">
        <v>920000</v>
      </c>
      <c r="E123" s="21" t="s">
        <v>329</v>
      </c>
      <c r="F123" s="21" t="s">
        <v>243</v>
      </c>
      <c r="G123" s="8" t="str">
        <f t="shared" si="1"/>
        <v>DAVIS MICHAEL</v>
      </c>
    </row>
    <row r="124" spans="1:7" x14ac:dyDescent="0.25">
      <c r="A124" s="8">
        <v>42745.573344907411</v>
      </c>
      <c r="B124" s="21" t="s">
        <v>377</v>
      </c>
      <c r="C124" s="21" t="s">
        <v>572</v>
      </c>
      <c r="D124" s="160">
        <v>2280000</v>
      </c>
      <c r="E124" s="21" t="s">
        <v>380</v>
      </c>
      <c r="F124" s="21" t="s">
        <v>381</v>
      </c>
      <c r="G124" s="8" t="str">
        <f t="shared" si="1"/>
        <v>MAHAN DUANE</v>
      </c>
    </row>
    <row r="125" spans="1:7" x14ac:dyDescent="0.25">
      <c r="A125" s="8">
        <v>42745.577048611114</v>
      </c>
      <c r="B125" s="21" t="s">
        <v>313</v>
      </c>
      <c r="C125" s="21" t="s">
        <v>573</v>
      </c>
      <c r="D125" s="160">
        <v>2730000</v>
      </c>
      <c r="E125" s="21" t="s">
        <v>371</v>
      </c>
      <c r="F125" s="21" t="s">
        <v>372</v>
      </c>
      <c r="G125" s="8" t="str">
        <f t="shared" si="1"/>
        <v>YANG JAN</v>
      </c>
    </row>
    <row r="126" spans="1:7" x14ac:dyDescent="0.25">
      <c r="A126" s="8">
        <v>42745.580983796295</v>
      </c>
      <c r="B126" s="21" t="s">
        <v>288</v>
      </c>
      <c r="C126" s="21" t="s">
        <v>574</v>
      </c>
      <c r="D126" s="160">
        <v>1820000</v>
      </c>
      <c r="E126" s="21" t="s">
        <v>375</v>
      </c>
      <c r="F126" s="21" t="s">
        <v>376</v>
      </c>
      <c r="G126" s="8" t="str">
        <f t="shared" si="1"/>
        <v>ADANE ELSHADAY</v>
      </c>
    </row>
    <row r="127" spans="1:7" x14ac:dyDescent="0.25">
      <c r="A127" s="8">
        <v>42745.590324074074</v>
      </c>
      <c r="B127" s="21" t="s">
        <v>247</v>
      </c>
      <c r="C127" s="21" t="s">
        <v>575</v>
      </c>
      <c r="D127" s="160">
        <v>2670000</v>
      </c>
      <c r="E127" s="21" t="s">
        <v>378</v>
      </c>
      <c r="F127" s="21" t="s">
        <v>379</v>
      </c>
      <c r="G127" s="8" t="str">
        <f t="shared" si="1"/>
        <v>COMELLA JUSTIN</v>
      </c>
    </row>
    <row r="128" spans="1:7" x14ac:dyDescent="0.25">
      <c r="A128" s="8">
        <v>42745.590937499997</v>
      </c>
      <c r="B128" s="21" t="s">
        <v>429</v>
      </c>
      <c r="C128" s="21" t="s">
        <v>576</v>
      </c>
      <c r="D128" s="160">
        <v>1190000</v>
      </c>
      <c r="E128" s="21" t="s">
        <v>559</v>
      </c>
      <c r="F128" s="21" t="s">
        <v>560</v>
      </c>
      <c r="G128" s="8" t="str">
        <f t="shared" si="1"/>
        <v>BRANNON JEFFREY</v>
      </c>
    </row>
    <row r="129" spans="1:7" x14ac:dyDescent="0.25">
      <c r="A129" s="8">
        <v>42745.59479166667</v>
      </c>
      <c r="B129" s="21" t="s">
        <v>279</v>
      </c>
      <c r="C129" s="21" t="s">
        <v>577</v>
      </c>
      <c r="D129" s="160">
        <v>1300000</v>
      </c>
      <c r="E129" s="21" t="s">
        <v>113</v>
      </c>
      <c r="F129" s="21" t="s">
        <v>566</v>
      </c>
      <c r="G129" s="8" t="str">
        <f t="shared" si="1"/>
        <v>LEVIN SCOTT</v>
      </c>
    </row>
    <row r="130" spans="1:7" x14ac:dyDescent="0.25">
      <c r="A130" s="8">
        <v>42745.596898148149</v>
      </c>
      <c r="B130" s="21" t="s">
        <v>294</v>
      </c>
      <c r="C130" s="21" t="s">
        <v>578</v>
      </c>
      <c r="D130" s="160">
        <v>930000</v>
      </c>
      <c r="E130" s="21" t="s">
        <v>373</v>
      </c>
      <c r="F130" s="21" t="s">
        <v>374</v>
      </c>
      <c r="G130" s="8" t="str">
        <f t="shared" si="1"/>
        <v>CLARK KATHLEEN</v>
      </c>
    </row>
    <row r="131" spans="1:7" x14ac:dyDescent="0.25">
      <c r="A131" s="8">
        <v>42745.602800925924</v>
      </c>
      <c r="B131" s="21" t="s">
        <v>479</v>
      </c>
      <c r="C131" s="21" t="s">
        <v>579</v>
      </c>
      <c r="D131" s="160">
        <v>920000</v>
      </c>
      <c r="E131" s="21" t="s">
        <v>329</v>
      </c>
      <c r="F131" s="21" t="s">
        <v>243</v>
      </c>
      <c r="G131" s="8" t="str">
        <f t="shared" ref="G131:G194" si="2">E131&amp;" "&amp;F131</f>
        <v>DAVIS MICHAEL</v>
      </c>
    </row>
    <row r="132" spans="1:7" x14ac:dyDescent="0.25">
      <c r="A132" s="8">
        <v>42745.607708333337</v>
      </c>
      <c r="B132" s="21" t="s">
        <v>366</v>
      </c>
      <c r="C132" s="21" t="s">
        <v>580</v>
      </c>
      <c r="D132" s="160">
        <v>2280000</v>
      </c>
      <c r="E132" s="21" t="s">
        <v>380</v>
      </c>
      <c r="F132" s="21" t="s">
        <v>381</v>
      </c>
      <c r="G132" s="8" t="str">
        <f t="shared" si="2"/>
        <v>MAHAN DUANE</v>
      </c>
    </row>
    <row r="133" spans="1:7" x14ac:dyDescent="0.25">
      <c r="A133" s="8">
        <v>42745.6096412037</v>
      </c>
      <c r="B133" s="21" t="s">
        <v>278</v>
      </c>
      <c r="C133" s="21" t="s">
        <v>581</v>
      </c>
      <c r="D133" s="160">
        <v>1300000</v>
      </c>
      <c r="E133" s="21" t="s">
        <v>113</v>
      </c>
      <c r="F133" s="21" t="s">
        <v>566</v>
      </c>
      <c r="G133" s="8" t="str">
        <f t="shared" si="2"/>
        <v>LEVIN SCOTT</v>
      </c>
    </row>
    <row r="134" spans="1:7" x14ac:dyDescent="0.25">
      <c r="A134" s="8">
        <v>42745.612835648149</v>
      </c>
      <c r="B134" s="21" t="s">
        <v>437</v>
      </c>
      <c r="C134" s="21" t="s">
        <v>439</v>
      </c>
      <c r="D134" s="160">
        <v>1820000</v>
      </c>
      <c r="E134" s="21" t="s">
        <v>375</v>
      </c>
      <c r="F134" s="21" t="s">
        <v>376</v>
      </c>
      <c r="G134" s="8" t="str">
        <f t="shared" si="2"/>
        <v>ADANE ELSHADAY</v>
      </c>
    </row>
    <row r="135" spans="1:7" x14ac:dyDescent="0.25">
      <c r="A135" s="8">
        <v>42745.613912037035</v>
      </c>
      <c r="B135" s="21" t="s">
        <v>314</v>
      </c>
      <c r="C135" s="21" t="s">
        <v>582</v>
      </c>
      <c r="D135" s="160">
        <v>2730000</v>
      </c>
      <c r="E135" s="21" t="s">
        <v>371</v>
      </c>
      <c r="F135" s="21" t="s">
        <v>372</v>
      </c>
      <c r="G135" s="8" t="str">
        <f t="shared" si="2"/>
        <v>YANG JAN</v>
      </c>
    </row>
    <row r="136" spans="1:7" x14ac:dyDescent="0.25">
      <c r="A136" s="8">
        <v>42745.624062499999</v>
      </c>
      <c r="B136" s="21" t="s">
        <v>221</v>
      </c>
      <c r="C136" s="21" t="s">
        <v>583</v>
      </c>
      <c r="D136" s="160">
        <v>2670000</v>
      </c>
      <c r="E136" s="21" t="s">
        <v>378</v>
      </c>
      <c r="F136" s="21" t="s">
        <v>379</v>
      </c>
      <c r="G136" s="8" t="str">
        <f t="shared" si="2"/>
        <v>COMELLA JUSTIN</v>
      </c>
    </row>
    <row r="137" spans="1:7" x14ac:dyDescent="0.25">
      <c r="A137" s="8">
        <v>42745.627372685187</v>
      </c>
      <c r="B137" s="21" t="s">
        <v>431</v>
      </c>
      <c r="C137" s="21" t="s">
        <v>584</v>
      </c>
      <c r="D137" s="160">
        <v>1190000</v>
      </c>
      <c r="E137" s="21" t="s">
        <v>559</v>
      </c>
      <c r="F137" s="21" t="s">
        <v>560</v>
      </c>
      <c r="G137" s="8" t="str">
        <f t="shared" si="2"/>
        <v>BRANNON JEFFREY</v>
      </c>
    </row>
    <row r="138" spans="1:7" x14ac:dyDescent="0.25">
      <c r="A138" s="8">
        <v>42745.63354166667</v>
      </c>
      <c r="B138" s="21" t="s">
        <v>289</v>
      </c>
      <c r="C138" s="21" t="s">
        <v>440</v>
      </c>
      <c r="D138" s="160">
        <v>930000</v>
      </c>
      <c r="E138" s="21" t="s">
        <v>373</v>
      </c>
      <c r="F138" s="21" t="s">
        <v>374</v>
      </c>
      <c r="G138" s="8" t="str">
        <f t="shared" si="2"/>
        <v>CLARK KATHLEEN</v>
      </c>
    </row>
    <row r="139" spans="1:7" x14ac:dyDescent="0.25">
      <c r="A139" s="8">
        <v>42745.636770833335</v>
      </c>
      <c r="B139" s="21" t="s">
        <v>279</v>
      </c>
      <c r="C139" s="21" t="s">
        <v>585</v>
      </c>
      <c r="D139" s="160">
        <v>1300000</v>
      </c>
      <c r="E139" s="21" t="s">
        <v>113</v>
      </c>
      <c r="F139" s="21" t="s">
        <v>566</v>
      </c>
      <c r="G139" s="8" t="str">
        <f t="shared" si="2"/>
        <v>LEVIN SCOTT</v>
      </c>
    </row>
    <row r="140" spans="1:7" x14ac:dyDescent="0.25">
      <c r="A140" s="8">
        <v>42745.638865740744</v>
      </c>
      <c r="B140" s="21" t="s">
        <v>326</v>
      </c>
      <c r="C140" s="21" t="s">
        <v>444</v>
      </c>
      <c r="D140" s="160">
        <v>920000</v>
      </c>
      <c r="E140" s="21" t="s">
        <v>329</v>
      </c>
      <c r="F140" s="21" t="s">
        <v>243</v>
      </c>
      <c r="G140" s="8" t="str">
        <f t="shared" si="2"/>
        <v>DAVIS MICHAEL</v>
      </c>
    </row>
    <row r="141" spans="1:7" x14ac:dyDescent="0.25">
      <c r="A141" s="8">
        <v>42745.640520833331</v>
      </c>
      <c r="B141" s="21" t="s">
        <v>306</v>
      </c>
      <c r="C141" s="21" t="s">
        <v>441</v>
      </c>
      <c r="D141" s="160">
        <v>2220000</v>
      </c>
      <c r="E141" s="21" t="s">
        <v>586</v>
      </c>
      <c r="F141" s="21" t="s">
        <v>587</v>
      </c>
      <c r="G141" s="8" t="str">
        <f t="shared" si="2"/>
        <v>HILLS DUSTIN</v>
      </c>
    </row>
    <row r="142" spans="1:7" x14ac:dyDescent="0.25">
      <c r="A142" s="8">
        <v>42745.641655092593</v>
      </c>
      <c r="B142" s="21" t="s">
        <v>306</v>
      </c>
      <c r="C142" s="21" t="s">
        <v>441</v>
      </c>
      <c r="D142" s="160">
        <v>2220000</v>
      </c>
      <c r="E142" s="21" t="s">
        <v>586</v>
      </c>
      <c r="F142" s="21" t="s">
        <v>587</v>
      </c>
      <c r="G142" s="8" t="str">
        <f t="shared" si="2"/>
        <v>HILLS DUSTIN</v>
      </c>
    </row>
    <row r="143" spans="1:7" x14ac:dyDescent="0.25">
      <c r="A143" s="8">
        <v>42745.642696759256</v>
      </c>
      <c r="B143" s="21" t="s">
        <v>306</v>
      </c>
      <c r="C143" s="21" t="s">
        <v>441</v>
      </c>
      <c r="D143" s="160">
        <v>2220000</v>
      </c>
      <c r="E143" s="21" t="s">
        <v>586</v>
      </c>
      <c r="F143" s="21" t="s">
        <v>587</v>
      </c>
      <c r="G143" s="8" t="str">
        <f t="shared" si="2"/>
        <v>HILLS DUSTIN</v>
      </c>
    </row>
    <row r="144" spans="1:7" x14ac:dyDescent="0.25">
      <c r="A144" s="8">
        <v>42745.644120370373</v>
      </c>
      <c r="B144" s="21" t="s">
        <v>313</v>
      </c>
      <c r="C144" s="21" t="s">
        <v>445</v>
      </c>
      <c r="D144" s="160">
        <v>2730000</v>
      </c>
      <c r="E144" s="21" t="s">
        <v>371</v>
      </c>
      <c r="F144" s="21" t="s">
        <v>372</v>
      </c>
      <c r="G144" s="8" t="str">
        <f t="shared" si="2"/>
        <v>YANG JAN</v>
      </c>
    </row>
    <row r="145" spans="1:7" x14ac:dyDescent="0.25">
      <c r="A145" s="8">
        <v>42745.646585648145</v>
      </c>
      <c r="B145" s="21" t="s">
        <v>377</v>
      </c>
      <c r="C145" s="21" t="s">
        <v>442</v>
      </c>
      <c r="D145" s="160">
        <v>2280000</v>
      </c>
      <c r="E145" s="21" t="s">
        <v>380</v>
      </c>
      <c r="F145" s="21" t="s">
        <v>381</v>
      </c>
      <c r="G145" s="8" t="str">
        <f t="shared" si="2"/>
        <v>MAHAN DUANE</v>
      </c>
    </row>
    <row r="146" spans="1:7" x14ac:dyDescent="0.25">
      <c r="A146" s="8">
        <v>42745.646817129629</v>
      </c>
      <c r="B146" s="21" t="s">
        <v>437</v>
      </c>
      <c r="C146" s="21" t="s">
        <v>439</v>
      </c>
      <c r="D146" s="160">
        <v>1820000</v>
      </c>
      <c r="E146" s="21" t="s">
        <v>375</v>
      </c>
      <c r="F146" s="21" t="s">
        <v>376</v>
      </c>
      <c r="G146" s="8" t="str">
        <f t="shared" si="2"/>
        <v>ADANE ELSHADAY</v>
      </c>
    </row>
    <row r="147" spans="1:7" x14ac:dyDescent="0.25">
      <c r="A147" s="8">
        <v>42745.651307870372</v>
      </c>
      <c r="B147" s="21" t="s">
        <v>278</v>
      </c>
      <c r="C147" s="21" t="s">
        <v>588</v>
      </c>
      <c r="D147" s="160">
        <v>1300000</v>
      </c>
      <c r="E147" s="21" t="s">
        <v>113</v>
      </c>
      <c r="F147" s="21" t="s">
        <v>566</v>
      </c>
      <c r="G147" s="8" t="str">
        <f t="shared" si="2"/>
        <v>LEVIN SCOTT</v>
      </c>
    </row>
    <row r="148" spans="1:7" x14ac:dyDescent="0.25">
      <c r="A148" s="8">
        <v>42745.655925925923</v>
      </c>
      <c r="B148" s="21" t="s">
        <v>288</v>
      </c>
      <c r="C148" s="21" t="s">
        <v>443</v>
      </c>
      <c r="D148" s="160">
        <v>1820000</v>
      </c>
      <c r="E148" s="21" t="s">
        <v>375</v>
      </c>
      <c r="F148" s="21" t="s">
        <v>376</v>
      </c>
      <c r="G148" s="8" t="str">
        <f t="shared" si="2"/>
        <v>ADANE ELSHADAY</v>
      </c>
    </row>
    <row r="149" spans="1:7" x14ac:dyDescent="0.25">
      <c r="A149" s="8">
        <v>42745.656412037039</v>
      </c>
      <c r="B149" s="21" t="s">
        <v>209</v>
      </c>
      <c r="C149" s="21" t="s">
        <v>589</v>
      </c>
      <c r="D149" s="160">
        <v>2220000</v>
      </c>
      <c r="E149" s="21" t="s">
        <v>586</v>
      </c>
      <c r="F149" s="21" t="s">
        <v>587</v>
      </c>
      <c r="G149" s="8" t="str">
        <f t="shared" si="2"/>
        <v>HILLS DUSTIN</v>
      </c>
    </row>
    <row r="150" spans="1:7" x14ac:dyDescent="0.25">
      <c r="A150" s="8">
        <v>42745.657395833332</v>
      </c>
      <c r="B150" s="21" t="s">
        <v>209</v>
      </c>
      <c r="C150" s="21" t="s">
        <v>589</v>
      </c>
      <c r="D150" s="160">
        <v>2220000</v>
      </c>
      <c r="E150" s="21" t="s">
        <v>586</v>
      </c>
      <c r="F150" s="21" t="s">
        <v>587</v>
      </c>
      <c r="G150" s="8" t="str">
        <f t="shared" si="2"/>
        <v>HILLS DUSTIN</v>
      </c>
    </row>
    <row r="151" spans="1:7" x14ac:dyDescent="0.25">
      <c r="A151" s="8">
        <v>42745.658217592594</v>
      </c>
      <c r="B151" s="21" t="s">
        <v>247</v>
      </c>
      <c r="C151" s="21" t="s">
        <v>590</v>
      </c>
      <c r="D151" s="160">
        <v>2670000</v>
      </c>
      <c r="E151" s="21" t="s">
        <v>378</v>
      </c>
      <c r="F151" s="21" t="s">
        <v>379</v>
      </c>
      <c r="G151" s="8" t="str">
        <f t="shared" si="2"/>
        <v>COMELLA JUSTIN</v>
      </c>
    </row>
    <row r="152" spans="1:7" x14ac:dyDescent="0.25">
      <c r="A152" s="8">
        <v>42745.660312499997</v>
      </c>
      <c r="B152" s="21" t="s">
        <v>431</v>
      </c>
      <c r="C152" s="21" t="s">
        <v>584</v>
      </c>
      <c r="D152" s="160">
        <v>1190000</v>
      </c>
      <c r="E152" s="21" t="s">
        <v>559</v>
      </c>
      <c r="F152" s="21" t="s">
        <v>560</v>
      </c>
      <c r="G152" s="8" t="str">
        <f t="shared" si="2"/>
        <v>BRANNON JEFFREY</v>
      </c>
    </row>
    <row r="153" spans="1:7" x14ac:dyDescent="0.25">
      <c r="A153" s="8">
        <v>42745.66133101852</v>
      </c>
      <c r="B153" s="21" t="s">
        <v>377</v>
      </c>
      <c r="C153" s="21" t="s">
        <v>442</v>
      </c>
      <c r="D153" s="160">
        <v>2280000</v>
      </c>
      <c r="E153" s="21" t="s">
        <v>380</v>
      </c>
      <c r="F153" s="21" t="s">
        <v>381</v>
      </c>
      <c r="G153" s="8" t="str">
        <f t="shared" si="2"/>
        <v>MAHAN DUANE</v>
      </c>
    </row>
    <row r="154" spans="1:7" x14ac:dyDescent="0.25">
      <c r="A154" s="8">
        <v>42745.667349537034</v>
      </c>
      <c r="B154" s="21" t="s">
        <v>429</v>
      </c>
      <c r="C154" s="21" t="s">
        <v>591</v>
      </c>
      <c r="D154" s="160">
        <v>2090000</v>
      </c>
      <c r="E154" s="21" t="s">
        <v>592</v>
      </c>
      <c r="F154" s="21" t="s">
        <v>243</v>
      </c>
      <c r="G154" s="8" t="str">
        <f t="shared" si="2"/>
        <v>HAITHCOX MICHAEL</v>
      </c>
    </row>
    <row r="155" spans="1:7" x14ac:dyDescent="0.25">
      <c r="A155" s="8">
        <v>42745.671377314815</v>
      </c>
      <c r="B155" s="21" t="s">
        <v>288</v>
      </c>
      <c r="C155" s="21" t="s">
        <v>443</v>
      </c>
      <c r="D155" s="160">
        <v>1820000</v>
      </c>
      <c r="E155" s="21" t="s">
        <v>375</v>
      </c>
      <c r="F155" s="21" t="s">
        <v>376</v>
      </c>
      <c r="G155" s="8" t="str">
        <f t="shared" si="2"/>
        <v>ADANE ELSHADAY</v>
      </c>
    </row>
    <row r="156" spans="1:7" x14ac:dyDescent="0.25">
      <c r="A156" s="8">
        <v>42745.672337962962</v>
      </c>
      <c r="B156" s="21" t="s">
        <v>306</v>
      </c>
      <c r="C156" s="21" t="s">
        <v>446</v>
      </c>
      <c r="D156" s="160">
        <v>2220000</v>
      </c>
      <c r="E156" s="21" t="s">
        <v>586</v>
      </c>
      <c r="F156" s="21" t="s">
        <v>587</v>
      </c>
      <c r="G156" s="8" t="str">
        <f t="shared" si="2"/>
        <v>HILLS DUSTIN</v>
      </c>
    </row>
    <row r="157" spans="1:7" x14ac:dyDescent="0.25">
      <c r="A157" s="8">
        <v>42745.673101851855</v>
      </c>
      <c r="B157" s="21" t="s">
        <v>294</v>
      </c>
      <c r="C157" s="21" t="s">
        <v>593</v>
      </c>
      <c r="D157" s="160">
        <v>930000</v>
      </c>
      <c r="E157" s="21" t="s">
        <v>373</v>
      </c>
      <c r="F157" s="21" t="s">
        <v>374</v>
      </c>
      <c r="G157" s="8" t="str">
        <f t="shared" si="2"/>
        <v>CLARK KATHLEEN</v>
      </c>
    </row>
    <row r="158" spans="1:7" x14ac:dyDescent="0.25">
      <c r="A158" s="8">
        <v>42745.67459490741</v>
      </c>
      <c r="B158" s="21" t="s">
        <v>224</v>
      </c>
      <c r="C158" s="21" t="s">
        <v>594</v>
      </c>
      <c r="D158" s="160">
        <v>1780000</v>
      </c>
      <c r="E158" s="21" t="s">
        <v>595</v>
      </c>
      <c r="F158" s="21" t="s">
        <v>596</v>
      </c>
      <c r="G158" s="8" t="str">
        <f t="shared" si="2"/>
        <v>DE LA ROSA ALEX</v>
      </c>
    </row>
    <row r="159" spans="1:7" x14ac:dyDescent="0.25">
      <c r="A159" s="8">
        <v>42745.677210648151</v>
      </c>
      <c r="B159" s="21" t="s">
        <v>279</v>
      </c>
      <c r="C159" s="21" t="s">
        <v>597</v>
      </c>
      <c r="D159" s="160">
        <v>1300000</v>
      </c>
      <c r="E159" s="21" t="s">
        <v>113</v>
      </c>
      <c r="F159" s="21" t="s">
        <v>566</v>
      </c>
      <c r="G159" s="8" t="str">
        <f t="shared" si="2"/>
        <v>LEVIN SCOTT</v>
      </c>
    </row>
    <row r="160" spans="1:7" x14ac:dyDescent="0.25">
      <c r="A160" s="8">
        <v>42745.682604166665</v>
      </c>
      <c r="B160" s="21" t="s">
        <v>366</v>
      </c>
      <c r="C160" s="21" t="s">
        <v>598</v>
      </c>
      <c r="D160" s="160">
        <v>2280000</v>
      </c>
      <c r="E160" s="21" t="s">
        <v>380</v>
      </c>
      <c r="F160" s="21" t="s">
        <v>381</v>
      </c>
      <c r="G160" s="8" t="str">
        <f t="shared" si="2"/>
        <v>MAHAN DUANE</v>
      </c>
    </row>
    <row r="161" spans="1:7" x14ac:dyDescent="0.25">
      <c r="A161" s="8">
        <v>42745.683495370373</v>
      </c>
      <c r="B161" s="21" t="s">
        <v>326</v>
      </c>
      <c r="C161" s="21" t="s">
        <v>444</v>
      </c>
      <c r="D161" s="160">
        <v>920000</v>
      </c>
      <c r="E161" s="21" t="s">
        <v>329</v>
      </c>
      <c r="F161" s="21" t="s">
        <v>243</v>
      </c>
      <c r="G161" s="8" t="str">
        <f t="shared" si="2"/>
        <v>DAVIS MICHAEL</v>
      </c>
    </row>
    <row r="162" spans="1:7" x14ac:dyDescent="0.25">
      <c r="A162" s="8">
        <v>42745.683518518519</v>
      </c>
      <c r="B162" s="21" t="s">
        <v>429</v>
      </c>
      <c r="C162" s="21" t="s">
        <v>591</v>
      </c>
      <c r="D162" s="160">
        <v>2090000</v>
      </c>
      <c r="E162" s="21" t="s">
        <v>592</v>
      </c>
      <c r="F162" s="21" t="s">
        <v>243</v>
      </c>
      <c r="G162" s="8" t="str">
        <f t="shared" si="2"/>
        <v>HAITHCOX MICHAEL</v>
      </c>
    </row>
    <row r="163" spans="1:7" x14ac:dyDescent="0.25">
      <c r="A163" s="8">
        <v>42745.687071759261</v>
      </c>
      <c r="B163" s="21" t="s">
        <v>209</v>
      </c>
      <c r="C163" s="21" t="s">
        <v>447</v>
      </c>
      <c r="D163" s="160">
        <v>2220000</v>
      </c>
      <c r="E163" s="21" t="s">
        <v>586</v>
      </c>
      <c r="F163" s="21" t="s">
        <v>587</v>
      </c>
      <c r="G163" s="8" t="str">
        <f t="shared" si="2"/>
        <v>HILLS DUSTIN</v>
      </c>
    </row>
    <row r="164" spans="1:7" x14ac:dyDescent="0.25">
      <c r="A164" s="8">
        <v>42745.688344907408</v>
      </c>
      <c r="B164" s="21" t="s">
        <v>209</v>
      </c>
      <c r="C164" s="21" t="s">
        <v>447</v>
      </c>
      <c r="D164" s="160">
        <v>2220000</v>
      </c>
      <c r="E164" s="21" t="s">
        <v>586</v>
      </c>
      <c r="F164" s="21" t="s">
        <v>587</v>
      </c>
      <c r="G164" s="8" t="str">
        <f t="shared" si="2"/>
        <v>HILLS DUSTIN</v>
      </c>
    </row>
    <row r="165" spans="1:7" x14ac:dyDescent="0.25">
      <c r="A165" s="8">
        <v>42745.68855324074</v>
      </c>
      <c r="B165" s="21" t="s">
        <v>247</v>
      </c>
      <c r="C165" s="21" t="s">
        <v>590</v>
      </c>
      <c r="D165" s="160">
        <v>2670000</v>
      </c>
      <c r="E165" s="21" t="s">
        <v>378</v>
      </c>
      <c r="F165" s="21" t="s">
        <v>379</v>
      </c>
      <c r="G165" s="8" t="str">
        <f t="shared" si="2"/>
        <v>COMELLA JUSTIN</v>
      </c>
    </row>
    <row r="166" spans="1:7" x14ac:dyDescent="0.25">
      <c r="A166" s="8">
        <v>42745.692013888889</v>
      </c>
      <c r="B166" s="21" t="s">
        <v>224</v>
      </c>
      <c r="C166" s="21" t="s">
        <v>594</v>
      </c>
      <c r="D166" s="160">
        <v>1780000</v>
      </c>
      <c r="E166" s="21" t="s">
        <v>595</v>
      </c>
      <c r="F166" s="21" t="s">
        <v>596</v>
      </c>
      <c r="G166" s="8" t="str">
        <f t="shared" si="2"/>
        <v>DE LA ROSA ALEX</v>
      </c>
    </row>
    <row r="167" spans="1:7" x14ac:dyDescent="0.25">
      <c r="A167" s="8">
        <v>42745.693194444444</v>
      </c>
      <c r="B167" s="21" t="s">
        <v>278</v>
      </c>
      <c r="C167" s="21" t="s">
        <v>599</v>
      </c>
      <c r="D167" s="160">
        <v>1300000</v>
      </c>
      <c r="E167" s="21" t="s">
        <v>113</v>
      </c>
      <c r="F167" s="21" t="s">
        <v>566</v>
      </c>
      <c r="G167" s="8" t="str">
        <f t="shared" si="2"/>
        <v>LEVIN SCOTT</v>
      </c>
    </row>
    <row r="168" spans="1:7" x14ac:dyDescent="0.25">
      <c r="A168" s="8">
        <v>42745.695694444446</v>
      </c>
      <c r="B168" s="21" t="s">
        <v>437</v>
      </c>
      <c r="C168" s="21" t="s">
        <v>600</v>
      </c>
      <c r="D168" s="160">
        <v>1820000</v>
      </c>
      <c r="E168" s="21" t="s">
        <v>375</v>
      </c>
      <c r="F168" s="21" t="s">
        <v>376</v>
      </c>
      <c r="G168" s="8" t="str">
        <f t="shared" si="2"/>
        <v>ADANE ELSHADAY</v>
      </c>
    </row>
    <row r="169" spans="1:7" x14ac:dyDescent="0.25">
      <c r="A169" s="8">
        <v>42745.695844907408</v>
      </c>
      <c r="B169" s="21" t="s">
        <v>314</v>
      </c>
      <c r="C169" s="21" t="s">
        <v>601</v>
      </c>
      <c r="D169" s="160">
        <v>2730000</v>
      </c>
      <c r="E169" s="21" t="s">
        <v>371</v>
      </c>
      <c r="F169" s="21" t="s">
        <v>372</v>
      </c>
      <c r="G169" s="8" t="str">
        <f t="shared" si="2"/>
        <v>YANG JAN</v>
      </c>
    </row>
    <row r="170" spans="1:7" x14ac:dyDescent="0.25">
      <c r="A170" s="8">
        <v>42745.700972222221</v>
      </c>
      <c r="B170" s="21" t="s">
        <v>479</v>
      </c>
      <c r="C170" s="21" t="s">
        <v>602</v>
      </c>
      <c r="D170" s="160">
        <v>2670000</v>
      </c>
      <c r="E170" s="21" t="s">
        <v>378</v>
      </c>
      <c r="F170" s="21" t="s">
        <v>379</v>
      </c>
      <c r="G170" s="8" t="str">
        <f t="shared" si="2"/>
        <v>COMELLA JUSTIN</v>
      </c>
    </row>
    <row r="171" spans="1:7" x14ac:dyDescent="0.25">
      <c r="A171" s="8">
        <v>42745.702638888892</v>
      </c>
      <c r="B171" s="21" t="s">
        <v>479</v>
      </c>
      <c r="C171" s="21" t="s">
        <v>602</v>
      </c>
      <c r="D171" s="160">
        <v>2670000</v>
      </c>
      <c r="E171" s="21" t="s">
        <v>378</v>
      </c>
      <c r="F171" s="21" t="s">
        <v>379</v>
      </c>
      <c r="G171" s="8" t="str">
        <f t="shared" si="2"/>
        <v>COMELLA JUSTIN</v>
      </c>
    </row>
    <row r="172" spans="1:7" x14ac:dyDescent="0.25">
      <c r="A172" s="8">
        <v>42745.703252314815</v>
      </c>
      <c r="B172" s="21" t="s">
        <v>431</v>
      </c>
      <c r="C172" s="21" t="s">
        <v>603</v>
      </c>
      <c r="D172" s="160">
        <v>2090000</v>
      </c>
      <c r="E172" s="21" t="s">
        <v>592</v>
      </c>
      <c r="F172" s="21" t="s">
        <v>243</v>
      </c>
      <c r="G172" s="8" t="str">
        <f t="shared" si="2"/>
        <v>HAITHCOX MICHAEL</v>
      </c>
    </row>
    <row r="173" spans="1:7" x14ac:dyDescent="0.25">
      <c r="A173" s="8">
        <v>42745.713217592594</v>
      </c>
      <c r="B173" s="21" t="s">
        <v>204</v>
      </c>
      <c r="C173" s="21" t="s">
        <v>604</v>
      </c>
      <c r="D173" s="160">
        <v>1810000</v>
      </c>
      <c r="E173" s="21" t="s">
        <v>253</v>
      </c>
      <c r="F173" s="21" t="s">
        <v>235</v>
      </c>
      <c r="G173" s="8" t="str">
        <f t="shared" si="2"/>
        <v>NEWELL JAMES</v>
      </c>
    </row>
    <row r="174" spans="1:7" x14ac:dyDescent="0.25">
      <c r="A174" s="8">
        <v>42745.713692129626</v>
      </c>
      <c r="B174" s="21" t="s">
        <v>276</v>
      </c>
      <c r="C174" s="21" t="s">
        <v>605</v>
      </c>
      <c r="D174" s="160">
        <v>1780000</v>
      </c>
      <c r="E174" s="21" t="s">
        <v>595</v>
      </c>
      <c r="F174" s="21" t="s">
        <v>596</v>
      </c>
      <c r="G174" s="8" t="str">
        <f t="shared" si="2"/>
        <v>DE LA ROSA ALEX</v>
      </c>
    </row>
    <row r="175" spans="1:7" x14ac:dyDescent="0.25">
      <c r="A175" s="8">
        <v>42745.714571759258</v>
      </c>
      <c r="B175" s="21" t="s">
        <v>306</v>
      </c>
      <c r="C175" s="21" t="s">
        <v>448</v>
      </c>
      <c r="D175" s="160">
        <v>2220000</v>
      </c>
      <c r="E175" s="21" t="s">
        <v>586</v>
      </c>
      <c r="F175" s="21" t="s">
        <v>587</v>
      </c>
      <c r="G175" s="8" t="str">
        <f t="shared" si="2"/>
        <v>HILLS DUSTIN</v>
      </c>
    </row>
    <row r="176" spans="1:7" x14ac:dyDescent="0.25">
      <c r="A176" s="8">
        <v>42745.715891203705</v>
      </c>
      <c r="B176" s="21" t="s">
        <v>289</v>
      </c>
      <c r="C176" s="21" t="s">
        <v>606</v>
      </c>
      <c r="D176" s="160">
        <v>1800000</v>
      </c>
      <c r="E176" s="21" t="s">
        <v>227</v>
      </c>
      <c r="F176" s="21" t="s">
        <v>238</v>
      </c>
      <c r="G176" s="8" t="str">
        <f t="shared" si="2"/>
        <v>CHANDLER KELVIN</v>
      </c>
    </row>
    <row r="177" spans="1:7" x14ac:dyDescent="0.25">
      <c r="A177" s="8">
        <v>42745.719548611109</v>
      </c>
      <c r="B177" s="21" t="s">
        <v>279</v>
      </c>
      <c r="C177" s="21" t="s">
        <v>607</v>
      </c>
      <c r="D177" s="160">
        <v>1300000</v>
      </c>
      <c r="E177" s="21" t="s">
        <v>113</v>
      </c>
      <c r="F177" s="21" t="s">
        <v>566</v>
      </c>
      <c r="G177" s="8" t="str">
        <f t="shared" si="2"/>
        <v>LEVIN SCOTT</v>
      </c>
    </row>
    <row r="178" spans="1:7" x14ac:dyDescent="0.25">
      <c r="A178" s="8">
        <v>42745.724953703706</v>
      </c>
      <c r="B178" s="21" t="s">
        <v>377</v>
      </c>
      <c r="C178" s="21" t="s">
        <v>608</v>
      </c>
      <c r="D178" s="160">
        <v>2280000</v>
      </c>
      <c r="E178" s="21" t="s">
        <v>380</v>
      </c>
      <c r="F178" s="21" t="s">
        <v>381</v>
      </c>
      <c r="G178" s="8" t="str">
        <f t="shared" si="2"/>
        <v>MAHAN DUANE</v>
      </c>
    </row>
    <row r="179" spans="1:7" x14ac:dyDescent="0.25">
      <c r="A179" s="8">
        <v>42745.728807870371</v>
      </c>
      <c r="B179" s="21" t="s">
        <v>209</v>
      </c>
      <c r="C179" s="21" t="s">
        <v>609</v>
      </c>
      <c r="D179" s="160">
        <v>2220000</v>
      </c>
      <c r="E179" s="21" t="s">
        <v>586</v>
      </c>
      <c r="F179" s="21" t="s">
        <v>587</v>
      </c>
      <c r="G179" s="8" t="str">
        <f t="shared" si="2"/>
        <v>HILLS DUSTIN</v>
      </c>
    </row>
    <row r="180" spans="1:7" x14ac:dyDescent="0.25">
      <c r="A180" s="8">
        <v>42745.732858796298</v>
      </c>
      <c r="B180" s="21" t="s">
        <v>203</v>
      </c>
      <c r="C180" s="21" t="s">
        <v>451</v>
      </c>
      <c r="D180" s="160">
        <v>920000</v>
      </c>
      <c r="E180" s="21" t="s">
        <v>329</v>
      </c>
      <c r="F180" s="21" t="s">
        <v>243</v>
      </c>
      <c r="G180" s="8" t="str">
        <f t="shared" si="2"/>
        <v>DAVIS MICHAEL</v>
      </c>
    </row>
    <row r="181" spans="1:7" x14ac:dyDescent="0.25">
      <c r="A181" s="8">
        <v>42745.732939814814</v>
      </c>
      <c r="B181" s="21" t="s">
        <v>288</v>
      </c>
      <c r="C181" s="21" t="s">
        <v>453</v>
      </c>
      <c r="D181" s="160">
        <v>1810000</v>
      </c>
      <c r="E181" s="21" t="s">
        <v>253</v>
      </c>
      <c r="F181" s="21" t="s">
        <v>235</v>
      </c>
      <c r="G181" s="8" t="str">
        <f t="shared" si="2"/>
        <v>NEWELL JAMES</v>
      </c>
    </row>
    <row r="182" spans="1:7" x14ac:dyDescent="0.25">
      <c r="A182" s="8">
        <v>42745.733703703707</v>
      </c>
      <c r="B182" s="21" t="s">
        <v>313</v>
      </c>
      <c r="C182" s="21" t="s">
        <v>610</v>
      </c>
      <c r="D182" s="160">
        <v>2730000</v>
      </c>
      <c r="E182" s="21" t="s">
        <v>371</v>
      </c>
      <c r="F182" s="21" t="s">
        <v>372</v>
      </c>
      <c r="G182" s="8" t="str">
        <f t="shared" si="2"/>
        <v>YANG JAN</v>
      </c>
    </row>
    <row r="183" spans="1:7" x14ac:dyDescent="0.25">
      <c r="A183" s="8">
        <v>42745.734236111108</v>
      </c>
      <c r="B183" s="21" t="s">
        <v>248</v>
      </c>
      <c r="C183" s="21" t="s">
        <v>450</v>
      </c>
      <c r="D183" s="160">
        <v>2450000</v>
      </c>
      <c r="E183" s="21" t="s">
        <v>611</v>
      </c>
      <c r="F183" s="21" t="s">
        <v>612</v>
      </c>
      <c r="G183" s="8" t="str">
        <f t="shared" si="2"/>
        <v>NELSON ARIANE</v>
      </c>
    </row>
    <row r="184" spans="1:7" x14ac:dyDescent="0.25">
      <c r="A184" s="8">
        <v>42745.735162037039</v>
      </c>
      <c r="B184" s="21" t="s">
        <v>278</v>
      </c>
      <c r="C184" s="21" t="s">
        <v>613</v>
      </c>
      <c r="D184" s="160">
        <v>1300000</v>
      </c>
      <c r="E184" s="21" t="s">
        <v>113</v>
      </c>
      <c r="F184" s="21" t="s">
        <v>566</v>
      </c>
      <c r="G184" s="8" t="str">
        <f t="shared" si="2"/>
        <v>LEVIN SCOTT</v>
      </c>
    </row>
    <row r="185" spans="1:7" x14ac:dyDescent="0.25">
      <c r="A185" s="8">
        <v>42745.741886574076</v>
      </c>
      <c r="B185" s="21" t="s">
        <v>221</v>
      </c>
      <c r="C185" s="21" t="s">
        <v>614</v>
      </c>
      <c r="D185" s="160">
        <v>1760000</v>
      </c>
      <c r="E185" s="21" t="s">
        <v>548</v>
      </c>
      <c r="F185" s="21" t="s">
        <v>549</v>
      </c>
      <c r="G185" s="8" t="str">
        <f t="shared" si="2"/>
        <v>STRICKLAND EVAN</v>
      </c>
    </row>
    <row r="186" spans="1:7" x14ac:dyDescent="0.25">
      <c r="A186" s="8">
        <v>42745.741979166669</v>
      </c>
      <c r="B186" s="21" t="s">
        <v>429</v>
      </c>
      <c r="C186" s="21" t="s">
        <v>615</v>
      </c>
      <c r="D186" s="160">
        <v>2090000</v>
      </c>
      <c r="E186" s="21" t="s">
        <v>592</v>
      </c>
      <c r="F186" s="21" t="s">
        <v>243</v>
      </c>
      <c r="G186" s="8" t="str">
        <f t="shared" si="2"/>
        <v>HAITHCOX MICHAEL</v>
      </c>
    </row>
    <row r="187" spans="1:7" x14ac:dyDescent="0.25">
      <c r="A187" s="8">
        <v>42745.741979166669</v>
      </c>
      <c r="B187" s="21" t="s">
        <v>326</v>
      </c>
      <c r="C187" s="21" t="s">
        <v>616</v>
      </c>
      <c r="D187" s="160">
        <v>2670000</v>
      </c>
      <c r="E187" s="21" t="s">
        <v>378</v>
      </c>
      <c r="F187" s="21" t="s">
        <v>379</v>
      </c>
      <c r="G187" s="8" t="str">
        <f t="shared" si="2"/>
        <v>COMELLA JUSTIN</v>
      </c>
    </row>
    <row r="188" spans="1:7" x14ac:dyDescent="0.25">
      <c r="A188" s="8">
        <v>42745.756168981483</v>
      </c>
      <c r="B188" s="21" t="s">
        <v>224</v>
      </c>
      <c r="C188" s="21" t="s">
        <v>617</v>
      </c>
      <c r="D188" s="160">
        <v>2450000</v>
      </c>
      <c r="E188" s="21" t="s">
        <v>611</v>
      </c>
      <c r="F188" s="21" t="s">
        <v>612</v>
      </c>
      <c r="G188" s="8" t="str">
        <f t="shared" si="2"/>
        <v>NELSON ARIANE</v>
      </c>
    </row>
    <row r="189" spans="1:7" x14ac:dyDescent="0.25">
      <c r="A189" s="8">
        <v>42745.756493055553</v>
      </c>
      <c r="B189" s="21" t="s">
        <v>294</v>
      </c>
      <c r="C189" s="21" t="s">
        <v>618</v>
      </c>
      <c r="D189" s="160">
        <v>1800000</v>
      </c>
      <c r="E189" s="21" t="s">
        <v>227</v>
      </c>
      <c r="F189" s="21" t="s">
        <v>238</v>
      </c>
      <c r="G189" s="8" t="str">
        <f t="shared" si="2"/>
        <v>CHANDLER KELVIN</v>
      </c>
    </row>
    <row r="190" spans="1:7" x14ac:dyDescent="0.25">
      <c r="A190" s="8">
        <v>42745.757465277777</v>
      </c>
      <c r="B190" s="21" t="s">
        <v>306</v>
      </c>
      <c r="C190" s="21" t="s">
        <v>452</v>
      </c>
      <c r="D190" s="160">
        <v>2220000</v>
      </c>
      <c r="E190" s="21" t="s">
        <v>586</v>
      </c>
      <c r="F190" s="21" t="s">
        <v>587</v>
      </c>
      <c r="G190" s="8" t="str">
        <f t="shared" si="2"/>
        <v>HILLS DUSTIN</v>
      </c>
    </row>
    <row r="191" spans="1:7" x14ac:dyDescent="0.25">
      <c r="A191" s="8">
        <v>42745.7578125</v>
      </c>
      <c r="B191" s="21" t="s">
        <v>249</v>
      </c>
      <c r="C191" s="21" t="s">
        <v>619</v>
      </c>
      <c r="D191" s="160">
        <v>1780000</v>
      </c>
      <c r="E191" s="21" t="s">
        <v>595</v>
      </c>
      <c r="F191" s="21" t="s">
        <v>596</v>
      </c>
      <c r="G191" s="8" t="str">
        <f t="shared" si="2"/>
        <v>DE LA ROSA ALEX</v>
      </c>
    </row>
    <row r="192" spans="1:7" x14ac:dyDescent="0.25">
      <c r="A192" s="8">
        <v>42745.761365740742</v>
      </c>
      <c r="B192" s="21" t="s">
        <v>279</v>
      </c>
      <c r="C192" s="21" t="s">
        <v>620</v>
      </c>
      <c r="D192" s="160">
        <v>1300000</v>
      </c>
      <c r="E192" s="21" t="s">
        <v>113</v>
      </c>
      <c r="F192" s="21" t="s">
        <v>566</v>
      </c>
      <c r="G192" s="8" t="str">
        <f t="shared" si="2"/>
        <v>LEVIN SCOTT</v>
      </c>
    </row>
    <row r="193" spans="1:7" x14ac:dyDescent="0.25">
      <c r="A193" s="8">
        <v>42745.767638888887</v>
      </c>
      <c r="B193" s="21" t="s">
        <v>366</v>
      </c>
      <c r="C193" s="21" t="s">
        <v>621</v>
      </c>
      <c r="D193" s="160">
        <v>2280000</v>
      </c>
      <c r="E193" s="21" t="s">
        <v>380</v>
      </c>
      <c r="F193" s="21" t="s">
        <v>381</v>
      </c>
      <c r="G193" s="8" t="str">
        <f t="shared" si="2"/>
        <v>MAHAN DUANE</v>
      </c>
    </row>
    <row r="194" spans="1:7" x14ac:dyDescent="0.25">
      <c r="A194" s="8">
        <v>42745.769490740742</v>
      </c>
      <c r="B194" s="21" t="s">
        <v>207</v>
      </c>
      <c r="C194" s="21" t="s">
        <v>622</v>
      </c>
      <c r="D194" s="160">
        <v>2630000</v>
      </c>
      <c r="E194" s="21" t="s">
        <v>331</v>
      </c>
      <c r="F194" s="21" t="s">
        <v>332</v>
      </c>
      <c r="G194" s="8" t="str">
        <f t="shared" si="2"/>
        <v>SAFIEF AEIMEN</v>
      </c>
    </row>
    <row r="195" spans="1:7" x14ac:dyDescent="0.25">
      <c r="A195" s="8">
        <v>42745.770138888889</v>
      </c>
      <c r="B195" s="21" t="s">
        <v>437</v>
      </c>
      <c r="C195" s="21" t="s">
        <v>623</v>
      </c>
      <c r="D195" s="160">
        <v>1810000</v>
      </c>
      <c r="E195" s="21" t="s">
        <v>253</v>
      </c>
      <c r="F195" s="21" t="s">
        <v>235</v>
      </c>
      <c r="G195" s="8" t="str">
        <f t="shared" ref="G195:G258" si="3">E195&amp;" "&amp;F195</f>
        <v>NEWELL JAMES</v>
      </c>
    </row>
    <row r="196" spans="1:7" x14ac:dyDescent="0.25">
      <c r="A196" s="8">
        <v>42745.770590277774</v>
      </c>
      <c r="B196" s="21" t="s">
        <v>207</v>
      </c>
      <c r="C196" s="21" t="s">
        <v>622</v>
      </c>
      <c r="D196" s="160">
        <v>2630000</v>
      </c>
      <c r="E196" s="21" t="s">
        <v>331</v>
      </c>
      <c r="F196" s="21" t="s">
        <v>332</v>
      </c>
      <c r="G196" s="8" t="str">
        <f t="shared" si="3"/>
        <v>SAFIEF AEIMEN</v>
      </c>
    </row>
    <row r="197" spans="1:7" x14ac:dyDescent="0.25">
      <c r="A197" s="8">
        <v>42745.772013888891</v>
      </c>
      <c r="B197" s="21" t="s">
        <v>314</v>
      </c>
      <c r="C197" s="21" t="s">
        <v>624</v>
      </c>
      <c r="D197" s="160">
        <v>2000000</v>
      </c>
      <c r="E197" s="21" t="s">
        <v>206</v>
      </c>
      <c r="F197" s="21" t="s">
        <v>235</v>
      </c>
      <c r="G197" s="8" t="str">
        <f t="shared" si="3"/>
        <v>STAMBAUGH JAMES</v>
      </c>
    </row>
    <row r="198" spans="1:7" x14ac:dyDescent="0.25">
      <c r="A198" s="8">
        <v>42745.772187499999</v>
      </c>
      <c r="B198" s="21" t="s">
        <v>207</v>
      </c>
      <c r="C198" s="21" t="s">
        <v>622</v>
      </c>
      <c r="D198" s="160">
        <v>2630000</v>
      </c>
      <c r="E198" s="21" t="s">
        <v>331</v>
      </c>
      <c r="F198" s="21" t="s">
        <v>332</v>
      </c>
      <c r="G198" s="8" t="str">
        <f t="shared" si="3"/>
        <v>SAFIEF AEIMEN</v>
      </c>
    </row>
    <row r="199" spans="1:7" x14ac:dyDescent="0.25">
      <c r="A199" s="8">
        <v>42745.772314814814</v>
      </c>
      <c r="B199" s="21" t="s">
        <v>209</v>
      </c>
      <c r="C199" s="21" t="s">
        <v>625</v>
      </c>
      <c r="D199" s="160">
        <v>2220000</v>
      </c>
      <c r="E199" s="21" t="s">
        <v>586</v>
      </c>
      <c r="F199" s="21" t="s">
        <v>587</v>
      </c>
      <c r="G199" s="8" t="str">
        <f t="shared" si="3"/>
        <v>HILLS DUSTIN</v>
      </c>
    </row>
    <row r="200" spans="1:7" x14ac:dyDescent="0.25">
      <c r="A200" s="8">
        <v>42745.776712962965</v>
      </c>
      <c r="B200" s="21" t="s">
        <v>278</v>
      </c>
      <c r="C200" s="21" t="s">
        <v>626</v>
      </c>
      <c r="D200" s="160">
        <v>1300000</v>
      </c>
      <c r="E200" s="21" t="s">
        <v>113</v>
      </c>
      <c r="F200" s="21" t="s">
        <v>566</v>
      </c>
      <c r="G200" s="8" t="str">
        <f t="shared" si="3"/>
        <v>LEVIN SCOTT</v>
      </c>
    </row>
    <row r="201" spans="1:7" x14ac:dyDescent="0.25">
      <c r="A201" s="8">
        <v>42745.784085648149</v>
      </c>
      <c r="B201" s="21" t="s">
        <v>479</v>
      </c>
      <c r="C201" s="21" t="s">
        <v>627</v>
      </c>
      <c r="D201" s="160">
        <v>2670000</v>
      </c>
      <c r="E201" s="21" t="s">
        <v>378</v>
      </c>
      <c r="F201" s="21" t="s">
        <v>379</v>
      </c>
      <c r="G201" s="8" t="str">
        <f t="shared" si="3"/>
        <v>COMELLA JUSTIN</v>
      </c>
    </row>
    <row r="202" spans="1:7" x14ac:dyDescent="0.25">
      <c r="A202" s="27">
        <v>42745.785983796297</v>
      </c>
      <c r="B202" s="21" t="s">
        <v>431</v>
      </c>
      <c r="C202" s="21" t="s">
        <v>628</v>
      </c>
      <c r="D202" s="160">
        <v>2090000</v>
      </c>
      <c r="E202" s="21" t="s">
        <v>592</v>
      </c>
      <c r="F202" s="21" t="s">
        <v>243</v>
      </c>
      <c r="G202" s="8" t="str">
        <f t="shared" si="3"/>
        <v>HAITHCOX MICHAEL</v>
      </c>
    </row>
    <row r="203" spans="1:7" x14ac:dyDescent="0.25">
      <c r="A203" s="8">
        <v>42745.791180555556</v>
      </c>
      <c r="B203" s="21" t="s">
        <v>289</v>
      </c>
      <c r="C203" s="21" t="s">
        <v>629</v>
      </c>
      <c r="D203" s="160">
        <v>1800000</v>
      </c>
      <c r="E203" s="21" t="s">
        <v>227</v>
      </c>
      <c r="F203" s="21" t="s">
        <v>238</v>
      </c>
      <c r="G203" s="8" t="str">
        <f t="shared" si="3"/>
        <v>CHANDLER KELVIN</v>
      </c>
    </row>
    <row r="204" spans="1:7" x14ac:dyDescent="0.25">
      <c r="A204" s="8">
        <v>42745.79824074074</v>
      </c>
      <c r="B204" s="21" t="s">
        <v>276</v>
      </c>
      <c r="C204" s="21" t="s">
        <v>454</v>
      </c>
      <c r="D204" s="160">
        <v>2450000</v>
      </c>
      <c r="E204" s="21" t="s">
        <v>611</v>
      </c>
      <c r="F204" s="21" t="s">
        <v>612</v>
      </c>
      <c r="G204" s="8" t="str">
        <f t="shared" si="3"/>
        <v>NELSON ARIANE</v>
      </c>
    </row>
    <row r="205" spans="1:7" x14ac:dyDescent="0.25">
      <c r="A205" s="8">
        <v>42745.799351851849</v>
      </c>
      <c r="B205" s="21" t="s">
        <v>306</v>
      </c>
      <c r="C205" s="21" t="s">
        <v>630</v>
      </c>
      <c r="D205" s="160">
        <v>2220000</v>
      </c>
      <c r="E205" s="21" t="s">
        <v>586</v>
      </c>
      <c r="F205" s="21" t="s">
        <v>587</v>
      </c>
      <c r="G205" s="8" t="str">
        <f t="shared" si="3"/>
        <v>HILLS DUSTIN</v>
      </c>
    </row>
    <row r="206" spans="1:7" x14ac:dyDescent="0.25">
      <c r="A206" s="8">
        <v>42745.802118055559</v>
      </c>
      <c r="B206" s="21" t="s">
        <v>306</v>
      </c>
      <c r="C206" s="21" t="s">
        <v>630</v>
      </c>
      <c r="D206" s="160">
        <v>2220000</v>
      </c>
      <c r="E206" s="21" t="s">
        <v>586</v>
      </c>
      <c r="F206" s="21" t="s">
        <v>587</v>
      </c>
      <c r="G206" s="8" t="str">
        <f t="shared" si="3"/>
        <v>HILLS DUSTIN</v>
      </c>
    </row>
    <row r="207" spans="1:7" x14ac:dyDescent="0.25">
      <c r="A207" s="8">
        <v>42745.802916666667</v>
      </c>
      <c r="B207" s="21" t="s">
        <v>279</v>
      </c>
      <c r="C207" s="21" t="s">
        <v>631</v>
      </c>
      <c r="D207" s="160">
        <v>1300000</v>
      </c>
      <c r="E207" s="21" t="s">
        <v>113</v>
      </c>
      <c r="F207" s="21" t="s">
        <v>566</v>
      </c>
      <c r="G207" s="8" t="str">
        <f t="shared" si="3"/>
        <v>LEVIN SCOTT</v>
      </c>
    </row>
    <row r="208" spans="1:7" x14ac:dyDescent="0.25">
      <c r="A208" s="8">
        <v>42745.804583333331</v>
      </c>
      <c r="B208" s="21" t="s">
        <v>377</v>
      </c>
      <c r="C208" s="21" t="s">
        <v>632</v>
      </c>
      <c r="D208" s="160">
        <v>2280000</v>
      </c>
      <c r="E208" s="21" t="s">
        <v>380</v>
      </c>
      <c r="F208" s="21" t="s">
        <v>381</v>
      </c>
      <c r="G208" s="8" t="str">
        <f t="shared" si="3"/>
        <v>MAHAN DUANE</v>
      </c>
    </row>
    <row r="209" spans="1:7" x14ac:dyDescent="0.25">
      <c r="A209" s="8">
        <v>42745.8049537037</v>
      </c>
      <c r="B209" s="21" t="s">
        <v>313</v>
      </c>
      <c r="C209" s="21" t="s">
        <v>633</v>
      </c>
      <c r="D209" s="160">
        <v>2000000</v>
      </c>
      <c r="E209" s="21" t="s">
        <v>206</v>
      </c>
      <c r="F209" s="21" t="s">
        <v>235</v>
      </c>
      <c r="G209" s="8" t="str">
        <f t="shared" si="3"/>
        <v>STAMBAUGH JAMES</v>
      </c>
    </row>
    <row r="210" spans="1:7" x14ac:dyDescent="0.25">
      <c r="A210" s="8">
        <v>42745.811284722222</v>
      </c>
      <c r="B210" s="21" t="s">
        <v>288</v>
      </c>
      <c r="C210" s="21" t="s">
        <v>634</v>
      </c>
      <c r="D210" s="160">
        <v>1810000</v>
      </c>
      <c r="E210" s="21" t="s">
        <v>253</v>
      </c>
      <c r="F210" s="21" t="s">
        <v>235</v>
      </c>
      <c r="G210" s="8" t="str">
        <f t="shared" si="3"/>
        <v>NEWELL JAMES</v>
      </c>
    </row>
    <row r="211" spans="1:7" x14ac:dyDescent="0.25">
      <c r="A211" s="8">
        <v>42745.817858796298</v>
      </c>
      <c r="B211" s="21" t="s">
        <v>278</v>
      </c>
      <c r="C211" s="21" t="s">
        <v>635</v>
      </c>
      <c r="D211" s="160">
        <v>1300000</v>
      </c>
      <c r="E211" s="21" t="s">
        <v>113</v>
      </c>
      <c r="F211" s="21" t="s">
        <v>566</v>
      </c>
      <c r="G211" s="8" t="str">
        <f t="shared" si="3"/>
        <v>LEVIN SCOTT</v>
      </c>
    </row>
    <row r="212" spans="1:7" x14ac:dyDescent="0.25">
      <c r="A212" s="8">
        <v>42745.822847222225</v>
      </c>
      <c r="B212" s="21" t="s">
        <v>429</v>
      </c>
      <c r="C212" s="21" t="s">
        <v>636</v>
      </c>
      <c r="D212" s="160">
        <v>2090000</v>
      </c>
      <c r="E212" s="21" t="s">
        <v>592</v>
      </c>
      <c r="F212" s="21" t="s">
        <v>243</v>
      </c>
      <c r="G212" s="8" t="str">
        <f t="shared" si="3"/>
        <v>HAITHCOX MICHAEL</v>
      </c>
    </row>
    <row r="213" spans="1:7" x14ac:dyDescent="0.25">
      <c r="A213" s="8">
        <v>42745.828356481485</v>
      </c>
      <c r="B213" s="21" t="s">
        <v>294</v>
      </c>
      <c r="C213" s="21" t="s">
        <v>637</v>
      </c>
      <c r="D213" s="160">
        <v>1800000</v>
      </c>
      <c r="E213" s="21" t="s">
        <v>227</v>
      </c>
      <c r="F213" s="21" t="s">
        <v>238</v>
      </c>
      <c r="G213" s="8" t="str">
        <f t="shared" si="3"/>
        <v>CHANDLER KELVIN</v>
      </c>
    </row>
    <row r="214" spans="1:7" x14ac:dyDescent="0.25">
      <c r="A214" s="8">
        <v>42745.832418981481</v>
      </c>
      <c r="B214" s="21" t="s">
        <v>224</v>
      </c>
      <c r="C214" s="21" t="s">
        <v>638</v>
      </c>
      <c r="D214" s="160">
        <v>2450000</v>
      </c>
      <c r="E214" s="21" t="s">
        <v>611</v>
      </c>
      <c r="F214" s="21" t="s">
        <v>612</v>
      </c>
      <c r="G214" s="8" t="str">
        <f t="shared" si="3"/>
        <v>NELSON ARIANE</v>
      </c>
    </row>
    <row r="215" spans="1:7" x14ac:dyDescent="0.25">
      <c r="A215" s="8">
        <v>42745.839560185188</v>
      </c>
      <c r="B215" s="21" t="s">
        <v>314</v>
      </c>
      <c r="C215" s="21" t="s">
        <v>639</v>
      </c>
      <c r="D215" s="160">
        <v>2000000</v>
      </c>
      <c r="E215" s="21" t="s">
        <v>206</v>
      </c>
      <c r="F215" s="21" t="s">
        <v>235</v>
      </c>
      <c r="G215" s="8" t="str">
        <f t="shared" si="3"/>
        <v>STAMBAUGH JAMES</v>
      </c>
    </row>
    <row r="216" spans="1:7" x14ac:dyDescent="0.25">
      <c r="A216" s="8">
        <v>42745.840648148151</v>
      </c>
      <c r="B216" s="21" t="s">
        <v>437</v>
      </c>
      <c r="C216" s="21" t="s">
        <v>640</v>
      </c>
      <c r="D216" s="160">
        <v>1810000</v>
      </c>
      <c r="E216" s="21" t="s">
        <v>253</v>
      </c>
      <c r="F216" s="21" t="s">
        <v>235</v>
      </c>
      <c r="G216" s="8" t="str">
        <f t="shared" si="3"/>
        <v>NEWELL JAMES</v>
      </c>
    </row>
    <row r="217" spans="1:7" x14ac:dyDescent="0.25">
      <c r="A217" s="8">
        <v>42745.843472222223</v>
      </c>
      <c r="B217" s="21" t="s">
        <v>279</v>
      </c>
      <c r="C217" s="21" t="s">
        <v>641</v>
      </c>
      <c r="D217" s="160">
        <v>1300000</v>
      </c>
      <c r="E217" s="21" t="s">
        <v>113</v>
      </c>
      <c r="F217" s="21" t="s">
        <v>566</v>
      </c>
      <c r="G217" s="8" t="str">
        <f t="shared" si="3"/>
        <v>LEVIN SCOTT</v>
      </c>
    </row>
    <row r="218" spans="1:7" x14ac:dyDescent="0.25">
      <c r="A218" s="8">
        <v>42745.859606481485</v>
      </c>
      <c r="B218" s="21" t="s">
        <v>278</v>
      </c>
      <c r="C218" s="21" t="s">
        <v>642</v>
      </c>
      <c r="D218" s="160">
        <v>1300000</v>
      </c>
      <c r="E218" s="21" t="s">
        <v>113</v>
      </c>
      <c r="F218" s="21" t="s">
        <v>566</v>
      </c>
      <c r="G218" s="8" t="str">
        <f t="shared" si="3"/>
        <v>LEVIN SCOTT</v>
      </c>
    </row>
    <row r="219" spans="1:7" x14ac:dyDescent="0.25">
      <c r="A219" s="8">
        <v>42745.871145833335</v>
      </c>
      <c r="B219" s="21" t="s">
        <v>276</v>
      </c>
      <c r="C219" s="21" t="s">
        <v>643</v>
      </c>
      <c r="D219" s="160">
        <v>2450000</v>
      </c>
      <c r="E219" s="21" t="s">
        <v>611</v>
      </c>
      <c r="F219" s="21" t="s">
        <v>612</v>
      </c>
      <c r="G219" s="8" t="str">
        <f t="shared" si="3"/>
        <v>NELSON ARIANE</v>
      </c>
    </row>
    <row r="220" spans="1:7" x14ac:dyDescent="0.25">
      <c r="A220" s="8">
        <v>42745.874097222222</v>
      </c>
      <c r="B220" s="21" t="s">
        <v>289</v>
      </c>
      <c r="C220" s="21" t="s">
        <v>644</v>
      </c>
      <c r="D220" s="160">
        <v>1800000</v>
      </c>
      <c r="E220" s="21" t="s">
        <v>227</v>
      </c>
      <c r="F220" s="21" t="s">
        <v>238</v>
      </c>
      <c r="G220" s="8" t="str">
        <f t="shared" si="3"/>
        <v>CHANDLER KELVIN</v>
      </c>
    </row>
    <row r="221" spans="1:7" x14ac:dyDescent="0.25">
      <c r="A221" s="8">
        <v>42745.876886574071</v>
      </c>
      <c r="B221" s="21" t="s">
        <v>279</v>
      </c>
      <c r="C221" s="21" t="s">
        <v>455</v>
      </c>
      <c r="D221" s="160">
        <v>2220000</v>
      </c>
      <c r="E221" s="21" t="s">
        <v>586</v>
      </c>
      <c r="F221" s="21" t="s">
        <v>587</v>
      </c>
      <c r="G221" s="8" t="str">
        <f t="shared" si="3"/>
        <v>HILLS DUSTIN</v>
      </c>
    </row>
    <row r="222" spans="1:7" x14ac:dyDescent="0.25">
      <c r="A222" s="8">
        <v>42745.883148148147</v>
      </c>
      <c r="B222" s="21" t="s">
        <v>313</v>
      </c>
      <c r="C222" s="21" t="s">
        <v>645</v>
      </c>
      <c r="D222" s="160">
        <v>2000000</v>
      </c>
      <c r="E222" s="21" t="s">
        <v>206</v>
      </c>
      <c r="F222" s="21" t="s">
        <v>235</v>
      </c>
      <c r="G222" s="8" t="str">
        <f t="shared" si="3"/>
        <v>STAMBAUGH JAMES</v>
      </c>
    </row>
    <row r="223" spans="1:7" x14ac:dyDescent="0.25">
      <c r="A223" s="8">
        <v>42745.889236111114</v>
      </c>
      <c r="B223" s="21" t="s">
        <v>288</v>
      </c>
      <c r="C223" s="21" t="s">
        <v>646</v>
      </c>
      <c r="D223" s="160">
        <v>1810000</v>
      </c>
      <c r="E223" s="21" t="s">
        <v>253</v>
      </c>
      <c r="F223" s="21" t="s">
        <v>235</v>
      </c>
      <c r="G223" s="8" t="str">
        <f t="shared" si="3"/>
        <v>NEWELL JAMES</v>
      </c>
    </row>
    <row r="224" spans="1:7" x14ac:dyDescent="0.25">
      <c r="A224" s="8">
        <v>42745.90185185185</v>
      </c>
      <c r="B224" t="s">
        <v>278</v>
      </c>
      <c r="C224" t="s">
        <v>456</v>
      </c>
      <c r="D224" s="160">
        <v>2220000</v>
      </c>
      <c r="E224" t="s">
        <v>586</v>
      </c>
      <c r="F224" s="21" t="s">
        <v>587</v>
      </c>
      <c r="G224" s="8" t="str">
        <f t="shared" si="3"/>
        <v>HILLS DUSTIN</v>
      </c>
    </row>
    <row r="225" spans="1:7" x14ac:dyDescent="0.25">
      <c r="A225" s="8">
        <v>42745.912824074076</v>
      </c>
      <c r="B225" t="s">
        <v>294</v>
      </c>
      <c r="C225" t="s">
        <v>647</v>
      </c>
      <c r="D225" s="160">
        <v>1800000</v>
      </c>
      <c r="E225" t="s">
        <v>227</v>
      </c>
      <c r="F225" s="21" t="s">
        <v>238</v>
      </c>
      <c r="G225" s="8" t="str">
        <f t="shared" si="3"/>
        <v>CHANDLER KELVIN</v>
      </c>
    </row>
    <row r="226" spans="1:7" x14ac:dyDescent="0.25">
      <c r="A226" s="8">
        <v>42745.913206018522</v>
      </c>
      <c r="B226" t="s">
        <v>224</v>
      </c>
      <c r="C226" t="s">
        <v>648</v>
      </c>
      <c r="D226" s="160">
        <v>2450000</v>
      </c>
      <c r="E226" t="s">
        <v>611</v>
      </c>
      <c r="F226" s="21" t="s">
        <v>612</v>
      </c>
      <c r="G226" s="8" t="str">
        <f t="shared" si="3"/>
        <v>NELSON ARIANE</v>
      </c>
    </row>
    <row r="227" spans="1:7" x14ac:dyDescent="0.25">
      <c r="A227" s="8">
        <v>42745.916689814818</v>
      </c>
      <c r="B227" t="s">
        <v>279</v>
      </c>
      <c r="C227" t="s">
        <v>649</v>
      </c>
      <c r="D227" s="160">
        <v>2220000</v>
      </c>
      <c r="E227" t="s">
        <v>586</v>
      </c>
      <c r="F227" s="21" t="s">
        <v>587</v>
      </c>
      <c r="G227" s="8" t="str">
        <f t="shared" si="3"/>
        <v>HILLS DUSTIN</v>
      </c>
    </row>
    <row r="228" spans="1:7" x14ac:dyDescent="0.25">
      <c r="A228" s="8">
        <v>42745.92732638889</v>
      </c>
      <c r="B228" t="s">
        <v>314</v>
      </c>
      <c r="C228" t="s">
        <v>650</v>
      </c>
      <c r="D228" s="160">
        <v>2000000</v>
      </c>
      <c r="E228" t="s">
        <v>206</v>
      </c>
      <c r="F228" s="21" t="s">
        <v>235</v>
      </c>
      <c r="G228" s="8" t="str">
        <f t="shared" si="3"/>
        <v>STAMBAUGH JAMES</v>
      </c>
    </row>
    <row r="229" spans="1:7" x14ac:dyDescent="0.25">
      <c r="A229" s="8">
        <v>42745.92769675926</v>
      </c>
      <c r="B229" t="s">
        <v>437</v>
      </c>
      <c r="C229" t="s">
        <v>651</v>
      </c>
      <c r="D229" s="160">
        <v>1810000</v>
      </c>
      <c r="E229" t="s">
        <v>253</v>
      </c>
      <c r="F229" s="21" t="s">
        <v>235</v>
      </c>
      <c r="G229" s="8" t="str">
        <f t="shared" si="3"/>
        <v>NEWELL JAMES</v>
      </c>
    </row>
    <row r="230" spans="1:7" x14ac:dyDescent="0.25">
      <c r="A230" s="8">
        <v>42745.943229166667</v>
      </c>
      <c r="B230" t="s">
        <v>278</v>
      </c>
      <c r="C230" t="s">
        <v>652</v>
      </c>
      <c r="D230" s="160">
        <v>2220000</v>
      </c>
      <c r="E230" t="s">
        <v>586</v>
      </c>
      <c r="F230" s="21" t="s">
        <v>587</v>
      </c>
      <c r="G230" s="8" t="str">
        <f t="shared" si="3"/>
        <v>HILLS DUSTIN</v>
      </c>
    </row>
    <row r="231" spans="1:7" x14ac:dyDescent="0.25">
      <c r="A231" s="8">
        <v>42745.951608796298</v>
      </c>
      <c r="B231" t="s">
        <v>279</v>
      </c>
      <c r="C231" t="s">
        <v>652</v>
      </c>
      <c r="D231" s="160">
        <v>2220000</v>
      </c>
      <c r="E231" t="s">
        <v>586</v>
      </c>
      <c r="F231" s="21" t="s">
        <v>587</v>
      </c>
      <c r="G231" s="8" t="str">
        <f t="shared" si="3"/>
        <v>HILLS DUSTIN</v>
      </c>
    </row>
    <row r="232" spans="1:7" x14ac:dyDescent="0.25">
      <c r="A232" s="8">
        <v>42745.952939814815</v>
      </c>
      <c r="B232" t="s">
        <v>276</v>
      </c>
      <c r="C232" t="s">
        <v>457</v>
      </c>
      <c r="D232" s="160">
        <v>2450000</v>
      </c>
      <c r="E232" t="s">
        <v>611</v>
      </c>
      <c r="F232" s="21" t="s">
        <v>612</v>
      </c>
      <c r="G232" s="8" t="str">
        <f t="shared" si="3"/>
        <v>NELSON ARIANE</v>
      </c>
    </row>
    <row r="233" spans="1:7" x14ac:dyDescent="0.25">
      <c r="A233" s="8">
        <v>42745.95484953704</v>
      </c>
      <c r="B233" t="s">
        <v>289</v>
      </c>
      <c r="C233" t="s">
        <v>653</v>
      </c>
      <c r="D233" s="160">
        <v>1800000</v>
      </c>
      <c r="E233" t="s">
        <v>227</v>
      </c>
      <c r="F233" s="21" t="s">
        <v>238</v>
      </c>
      <c r="G233" s="8" t="str">
        <f t="shared" si="3"/>
        <v>CHANDLER KELVIN</v>
      </c>
    </row>
    <row r="234" spans="1:7" x14ac:dyDescent="0.25">
      <c r="A234" s="8">
        <v>42745.973865740743</v>
      </c>
      <c r="B234" t="s">
        <v>288</v>
      </c>
      <c r="C234" t="s">
        <v>654</v>
      </c>
      <c r="D234" s="160">
        <v>1810000</v>
      </c>
      <c r="E234" t="s">
        <v>253</v>
      </c>
      <c r="F234" s="21" t="s">
        <v>235</v>
      </c>
      <c r="G234" s="8" t="str">
        <f t="shared" si="3"/>
        <v>NEWELL JAMES</v>
      </c>
    </row>
    <row r="235" spans="1:7" x14ac:dyDescent="0.25">
      <c r="A235" s="8">
        <v>42745.974050925928</v>
      </c>
      <c r="B235" t="s">
        <v>313</v>
      </c>
      <c r="C235" t="s">
        <v>655</v>
      </c>
      <c r="D235" s="160">
        <v>2000000</v>
      </c>
      <c r="E235" t="s">
        <v>206</v>
      </c>
      <c r="F235" s="21" t="s">
        <v>235</v>
      </c>
      <c r="G235" s="8" t="str">
        <f t="shared" si="3"/>
        <v>STAMBAUGH JAMES</v>
      </c>
    </row>
    <row r="236" spans="1:7" x14ac:dyDescent="0.25">
      <c r="A236" s="8">
        <v>42745.995868055557</v>
      </c>
      <c r="B236" t="s">
        <v>294</v>
      </c>
      <c r="C236" t="s">
        <v>656</v>
      </c>
      <c r="D236" s="160">
        <v>1800000</v>
      </c>
      <c r="E236" t="s">
        <v>227</v>
      </c>
      <c r="F236" s="21" t="s">
        <v>238</v>
      </c>
      <c r="G236" s="8" t="str">
        <f t="shared" si="3"/>
        <v>CHANDLER KELVIN</v>
      </c>
    </row>
    <row r="237" spans="1:7" x14ac:dyDescent="0.25">
      <c r="A237" s="8">
        <v>42745.996678240743</v>
      </c>
      <c r="B237" t="s">
        <v>224</v>
      </c>
      <c r="C237" t="s">
        <v>657</v>
      </c>
      <c r="D237" s="160">
        <v>2450000</v>
      </c>
      <c r="E237" t="s">
        <v>611</v>
      </c>
      <c r="F237" s="21" t="s">
        <v>612</v>
      </c>
      <c r="G237" s="8" t="str">
        <f t="shared" si="3"/>
        <v>NELSON ARIANE</v>
      </c>
    </row>
    <row r="238" spans="1:7" x14ac:dyDescent="0.25">
      <c r="A238" s="8">
        <v>42746.007488425923</v>
      </c>
      <c r="B238" t="s">
        <v>314</v>
      </c>
      <c r="C238" t="s">
        <v>215</v>
      </c>
      <c r="D238" s="160">
        <v>2000000</v>
      </c>
      <c r="E238" t="s">
        <v>206</v>
      </c>
      <c r="F238" s="21" t="s">
        <v>235</v>
      </c>
      <c r="G238" s="8" t="str">
        <f t="shared" si="3"/>
        <v>STAMBAUGH JAMES</v>
      </c>
    </row>
    <row r="239" spans="1:7" x14ac:dyDescent="0.25">
      <c r="A239" s="8">
        <v>42746.016585648147</v>
      </c>
      <c r="B239" t="s">
        <v>437</v>
      </c>
      <c r="C239" t="s">
        <v>658</v>
      </c>
      <c r="D239" s="160">
        <v>1810000</v>
      </c>
      <c r="E239" t="s">
        <v>253</v>
      </c>
      <c r="F239" s="21" t="s">
        <v>235</v>
      </c>
      <c r="G239" s="8" t="str">
        <f t="shared" si="3"/>
        <v>NEWELL JAMES</v>
      </c>
    </row>
    <row r="240" spans="1:7" x14ac:dyDescent="0.25">
      <c r="A240" s="8">
        <v>42746.029918981483</v>
      </c>
      <c r="B240" t="s">
        <v>289</v>
      </c>
      <c r="C240" t="s">
        <v>216</v>
      </c>
      <c r="D240" s="160">
        <v>1800000</v>
      </c>
      <c r="E240" t="s">
        <v>227</v>
      </c>
      <c r="F240" s="21" t="s">
        <v>238</v>
      </c>
      <c r="G240" s="8" t="str">
        <f t="shared" si="3"/>
        <v>CHANDLER KELVIN</v>
      </c>
    </row>
    <row r="241" spans="1:7" x14ac:dyDescent="0.25">
      <c r="A241" s="8">
        <v>42746.035555555558</v>
      </c>
      <c r="B241" t="s">
        <v>276</v>
      </c>
      <c r="C241" t="s">
        <v>217</v>
      </c>
      <c r="D241" s="160">
        <v>2450000</v>
      </c>
      <c r="E241" t="s">
        <v>611</v>
      </c>
      <c r="F241" s="21" t="s">
        <v>612</v>
      </c>
      <c r="G241" s="8" t="str">
        <f t="shared" si="3"/>
        <v>NELSON ARIANE</v>
      </c>
    </row>
    <row r="242" spans="1:7" x14ac:dyDescent="0.25">
      <c r="A242" s="8">
        <v>42746.048101851855</v>
      </c>
      <c r="B242" t="s">
        <v>288</v>
      </c>
      <c r="C242" t="s">
        <v>218</v>
      </c>
      <c r="D242" s="160">
        <v>1810000</v>
      </c>
      <c r="E242" t="s">
        <v>253</v>
      </c>
      <c r="F242" s="21" t="s">
        <v>235</v>
      </c>
      <c r="G242" s="8" t="str">
        <f t="shared" si="3"/>
        <v>NEWELL JAMES</v>
      </c>
    </row>
    <row r="243" spans="1:7" x14ac:dyDescent="0.25">
      <c r="A243" s="8">
        <v>42746.056701388887</v>
      </c>
      <c r="B243" t="s">
        <v>313</v>
      </c>
      <c r="C243" t="s">
        <v>219</v>
      </c>
      <c r="D243" s="160">
        <v>2000000</v>
      </c>
      <c r="E243" t="s">
        <v>206</v>
      </c>
      <c r="F243" s="21" t="s">
        <v>235</v>
      </c>
      <c r="G243" s="8" t="str">
        <f t="shared" si="3"/>
        <v>STAMBAUGH JAMES</v>
      </c>
    </row>
    <row r="244" spans="1:7" x14ac:dyDescent="0.25">
      <c r="A244" s="8">
        <v>42746.071342592593</v>
      </c>
      <c r="B244" t="s">
        <v>224</v>
      </c>
      <c r="C244" t="s">
        <v>220</v>
      </c>
      <c r="D244" s="160">
        <v>2450000</v>
      </c>
      <c r="E244" t="s">
        <v>611</v>
      </c>
      <c r="F244" s="21" t="s">
        <v>612</v>
      </c>
      <c r="G244" s="8" t="str">
        <f t="shared" si="3"/>
        <v>NELSON ARIANE</v>
      </c>
    </row>
    <row r="245" spans="1:7" x14ac:dyDescent="0.25">
      <c r="A245" s="8">
        <v>42746.113715277781</v>
      </c>
      <c r="B245" t="s">
        <v>204</v>
      </c>
      <c r="C245" t="s">
        <v>659</v>
      </c>
      <c r="D245" s="160">
        <v>2100000</v>
      </c>
      <c r="E245" t="s">
        <v>660</v>
      </c>
      <c r="F245" s="21" t="s">
        <v>661</v>
      </c>
      <c r="G245" s="8" t="str">
        <f t="shared" si="3"/>
        <v>ISHMAEL JOSEPH</v>
      </c>
    </row>
    <row r="246" spans="1:7" x14ac:dyDescent="0.25">
      <c r="A246" s="8">
        <v>42745.07372685185</v>
      </c>
      <c r="B246" t="s">
        <v>249</v>
      </c>
      <c r="C246" t="s">
        <v>386</v>
      </c>
      <c r="D246" s="160">
        <v>2550000</v>
      </c>
      <c r="E246" t="s">
        <v>210</v>
      </c>
      <c r="F246" s="21" t="s">
        <v>315</v>
      </c>
      <c r="G246" s="8" t="str">
        <f t="shared" si="3"/>
        <v>BADERTSCHER DIANE</v>
      </c>
    </row>
    <row r="247" spans="1:7" x14ac:dyDescent="0.25">
      <c r="A247" s="8">
        <v>42745.075243055559</v>
      </c>
      <c r="B247" t="s">
        <v>249</v>
      </c>
      <c r="C247" t="s">
        <v>386</v>
      </c>
      <c r="D247" s="160">
        <v>2550000</v>
      </c>
      <c r="E247" t="s">
        <v>210</v>
      </c>
      <c r="F247" s="21" t="s">
        <v>315</v>
      </c>
      <c r="G247" s="8" t="str">
        <f t="shared" si="3"/>
        <v>BADERTSCHER DIANE</v>
      </c>
    </row>
    <row r="248" spans="1:7" x14ac:dyDescent="0.25">
      <c r="A248" s="8">
        <v>42745.089085648149</v>
      </c>
      <c r="B248" t="s">
        <v>256</v>
      </c>
      <c r="C248" t="s">
        <v>387</v>
      </c>
      <c r="D248" s="160">
        <v>1740000</v>
      </c>
      <c r="E248" t="s">
        <v>382</v>
      </c>
      <c r="F248" s="21" t="s">
        <v>383</v>
      </c>
      <c r="G248" s="8" t="str">
        <f t="shared" si="3"/>
        <v>STORY SAMANTHA</v>
      </c>
    </row>
    <row r="249" spans="1:7" x14ac:dyDescent="0.25">
      <c r="A249" s="8">
        <v>42745.089837962965</v>
      </c>
      <c r="B249" t="s">
        <v>256</v>
      </c>
      <c r="C249" t="s">
        <v>387</v>
      </c>
      <c r="D249" s="160">
        <v>1740000</v>
      </c>
      <c r="E249" t="s">
        <v>382</v>
      </c>
      <c r="F249" s="21" t="s">
        <v>383</v>
      </c>
      <c r="G249" s="8" t="str">
        <f t="shared" si="3"/>
        <v>STORY SAMANTHA</v>
      </c>
    </row>
    <row r="250" spans="1:7" x14ac:dyDescent="0.25">
      <c r="A250" s="8">
        <v>42745.090416666666</v>
      </c>
      <c r="B250" t="s">
        <v>256</v>
      </c>
      <c r="C250" t="s">
        <v>387</v>
      </c>
      <c r="D250" s="160">
        <v>1740000</v>
      </c>
      <c r="E250" t="s">
        <v>382</v>
      </c>
      <c r="F250" s="21" t="s">
        <v>383</v>
      </c>
      <c r="G250" s="8" t="str">
        <f t="shared" si="3"/>
        <v>STORY SAMANTHA</v>
      </c>
    </row>
    <row r="251" spans="1:7" x14ac:dyDescent="0.25">
      <c r="A251" s="8">
        <v>42723.006990740738</v>
      </c>
      <c r="B251" t="s">
        <v>256</v>
      </c>
      <c r="C251" t="s">
        <v>260</v>
      </c>
      <c r="D251" s="160">
        <v>2000000</v>
      </c>
      <c r="E251" t="s">
        <v>206</v>
      </c>
      <c r="F251" s="21" t="s">
        <v>235</v>
      </c>
      <c r="G251" s="8" t="str">
        <f t="shared" si="3"/>
        <v>STAMBAUGH JAMES</v>
      </c>
    </row>
    <row r="252" spans="1:7" x14ac:dyDescent="0.25">
      <c r="A252" s="8">
        <v>42723.029004629629</v>
      </c>
      <c r="B252" t="s">
        <v>203</v>
      </c>
      <c r="C252" t="s">
        <v>261</v>
      </c>
      <c r="D252" s="160">
        <v>1800000</v>
      </c>
      <c r="E252" t="s">
        <v>227</v>
      </c>
      <c r="F252" s="21" t="s">
        <v>238</v>
      </c>
      <c r="G252" s="8" t="str">
        <f t="shared" si="3"/>
        <v>CHANDLER KELVIN</v>
      </c>
    </row>
    <row r="253" spans="1:7" x14ac:dyDescent="0.25">
      <c r="A253" s="8">
        <v>42723.029872685183</v>
      </c>
      <c r="B253" t="s">
        <v>247</v>
      </c>
      <c r="C253" t="s">
        <v>262</v>
      </c>
      <c r="D253" s="160">
        <v>2230000</v>
      </c>
      <c r="E253" t="s">
        <v>252</v>
      </c>
      <c r="F253" s="21" t="s">
        <v>243</v>
      </c>
      <c r="G253" s="8" t="str">
        <f t="shared" si="3"/>
        <v>SMITH MICHAEL</v>
      </c>
    </row>
    <row r="254" spans="1:7" x14ac:dyDescent="0.25">
      <c r="A254" s="8">
        <v>42723.047997685186</v>
      </c>
      <c r="B254" t="s">
        <v>249</v>
      </c>
      <c r="C254" t="s">
        <v>263</v>
      </c>
      <c r="D254" s="160">
        <v>1810000</v>
      </c>
      <c r="E254" t="s">
        <v>253</v>
      </c>
      <c r="F254" s="21" t="s">
        <v>235</v>
      </c>
      <c r="G254" s="8" t="str">
        <f t="shared" si="3"/>
        <v>NEWELL JAMES</v>
      </c>
    </row>
    <row r="255" spans="1:7" x14ac:dyDescent="0.25">
      <c r="A255" s="8">
        <v>42723.057719907411</v>
      </c>
      <c r="B255" t="s">
        <v>257</v>
      </c>
      <c r="C255" t="s">
        <v>264</v>
      </c>
      <c r="D255" s="160">
        <v>2000000</v>
      </c>
      <c r="E255" t="s">
        <v>206</v>
      </c>
      <c r="F255" s="21" t="s">
        <v>235</v>
      </c>
      <c r="G255" s="8" t="str">
        <f t="shared" si="3"/>
        <v>STAMBAUGH JAMES</v>
      </c>
    </row>
    <row r="256" spans="1:7" x14ac:dyDescent="0.25">
      <c r="A256" s="8">
        <v>42723.07167824074</v>
      </c>
      <c r="B256" t="s">
        <v>221</v>
      </c>
      <c r="C256" t="s">
        <v>265</v>
      </c>
      <c r="D256" s="160">
        <v>2230000</v>
      </c>
      <c r="E256" t="s">
        <v>252</v>
      </c>
      <c r="F256" s="21" t="s">
        <v>243</v>
      </c>
      <c r="G256" s="8" t="str">
        <f t="shared" si="3"/>
        <v>SMITH MICHAEL</v>
      </c>
    </row>
    <row r="257" spans="1:7" x14ac:dyDescent="0.25">
      <c r="A257" s="8">
        <v>42723.08871527778</v>
      </c>
      <c r="B257" t="s">
        <v>256</v>
      </c>
      <c r="C257" t="s">
        <v>266</v>
      </c>
      <c r="D257" s="160">
        <v>2000000</v>
      </c>
      <c r="E257" t="s">
        <v>206</v>
      </c>
      <c r="F257" s="21" t="s">
        <v>235</v>
      </c>
      <c r="G257" s="8" t="str">
        <f t="shared" si="3"/>
        <v>STAMBAUGH JAMES</v>
      </c>
    </row>
    <row r="258" spans="1:7" x14ac:dyDescent="0.25">
      <c r="A258" s="8">
        <v>42723.111840277779</v>
      </c>
      <c r="B258" t="s">
        <v>207</v>
      </c>
      <c r="C258" t="s">
        <v>267</v>
      </c>
      <c r="D258" s="160">
        <v>2110000</v>
      </c>
      <c r="E258" t="s">
        <v>258</v>
      </c>
      <c r="F258" s="21" t="s">
        <v>259</v>
      </c>
      <c r="G258" s="8" t="str">
        <f t="shared" si="3"/>
        <v>OUN ZACK</v>
      </c>
    </row>
    <row r="259" spans="1:7" x14ac:dyDescent="0.25">
      <c r="A259" s="8">
        <v>42723.11440972222</v>
      </c>
      <c r="B259" t="s">
        <v>207</v>
      </c>
      <c r="C259" t="s">
        <v>267</v>
      </c>
      <c r="D259" s="160">
        <v>2110000</v>
      </c>
      <c r="E259" t="s">
        <v>258</v>
      </c>
      <c r="F259" s="21" t="s">
        <v>259</v>
      </c>
      <c r="G259" s="8" t="str">
        <f t="shared" ref="G259:G322" si="4">E259&amp;" "&amp;F259</f>
        <v>OUN ZACK</v>
      </c>
    </row>
    <row r="260" spans="1:7" x14ac:dyDescent="0.25">
      <c r="A260" s="8">
        <v>42700.08734953704</v>
      </c>
      <c r="B260" t="s">
        <v>224</v>
      </c>
      <c r="C260" t="s">
        <v>230</v>
      </c>
      <c r="D260" s="160">
        <v>2000000</v>
      </c>
      <c r="E260" t="s">
        <v>206</v>
      </c>
      <c r="F260" s="21" t="str">
        <f t="shared" ref="F260:F265" si="5">B260</f>
        <v>rtdc.l.rtdc.4042:itc</v>
      </c>
      <c r="G260" s="8" t="str">
        <f t="shared" si="4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229</v>
      </c>
      <c r="D261" s="160">
        <v>2530000</v>
      </c>
      <c r="E261" t="s">
        <v>228</v>
      </c>
      <c r="F261" s="21" t="str">
        <f t="shared" si="5"/>
        <v>rtdc.l.rtdc.4051:itc</v>
      </c>
      <c r="G261" s="8" t="str">
        <f t="shared" si="4"/>
        <v>LALONDE rtdc.l.rtdc.4051:itc</v>
      </c>
    </row>
    <row r="262" spans="1:7" x14ac:dyDescent="0.25">
      <c r="A262" s="8">
        <v>42700.111076388886</v>
      </c>
      <c r="B262" t="s">
        <v>203</v>
      </c>
      <c r="C262" t="s">
        <v>231</v>
      </c>
      <c r="D262" s="160">
        <v>2600000</v>
      </c>
      <c r="E262" t="s">
        <v>225</v>
      </c>
      <c r="F262" s="21" t="str">
        <f t="shared" si="5"/>
        <v>rtdc.l.rtdc.4040:itc</v>
      </c>
      <c r="G262" s="8" t="str">
        <f t="shared" si="4"/>
        <v>DAVIDSON rtdc.l.rtdc.4040:itc</v>
      </c>
    </row>
    <row r="263" spans="1:7" x14ac:dyDescent="0.25">
      <c r="A263" s="8">
        <v>42685.016226851854</v>
      </c>
      <c r="B263" t="s">
        <v>201</v>
      </c>
      <c r="C263" t="s">
        <v>215</v>
      </c>
      <c r="D263" s="160">
        <v>2000000</v>
      </c>
      <c r="E263" t="s">
        <v>206</v>
      </c>
      <c r="F263" s="21" t="str">
        <f t="shared" si="5"/>
        <v>rtdc.l.rtdc.4011:itc</v>
      </c>
      <c r="G263" s="8" t="str">
        <f t="shared" si="4"/>
        <v>STAMBAUGH rtdc.l.rtdc.4011:itc</v>
      </c>
    </row>
    <row r="264" spans="1:7" x14ac:dyDescent="0.25">
      <c r="A264" s="8">
        <v>42685.029282407406</v>
      </c>
      <c r="B264" t="s">
        <v>211</v>
      </c>
      <c r="C264" t="s">
        <v>216</v>
      </c>
      <c r="D264" s="160">
        <v>2550000</v>
      </c>
      <c r="E264" t="s">
        <v>210</v>
      </c>
      <c r="F264" s="21" t="str">
        <f t="shared" si="5"/>
        <v>rtdc.l.rtdc.4022:itc</v>
      </c>
      <c r="G264" s="8" t="str">
        <f t="shared" si="4"/>
        <v>BADERTSCHER rtdc.l.rtdc.4022:itc</v>
      </c>
    </row>
    <row r="265" spans="1:7" x14ac:dyDescent="0.25">
      <c r="A265" s="8">
        <v>42685.039282407408</v>
      </c>
      <c r="B265" t="s">
        <v>214</v>
      </c>
      <c r="C265" t="s">
        <v>217</v>
      </c>
      <c r="D265" s="160">
        <v>1300000</v>
      </c>
      <c r="E265" t="s">
        <v>113</v>
      </c>
      <c r="F265" s="21" t="str">
        <f t="shared" si="5"/>
        <v>rtdc.l.rtdc.4037:itc</v>
      </c>
      <c r="G265" s="8" t="str">
        <f t="shared" si="4"/>
        <v>LEVIN rtdc.l.rtdc.4037:itc</v>
      </c>
    </row>
    <row r="266" spans="1:7" x14ac:dyDescent="0.25">
      <c r="A266" s="8">
        <v>42685.049375000002</v>
      </c>
      <c r="B266" t="s">
        <v>209</v>
      </c>
      <c r="C266" t="s">
        <v>218</v>
      </c>
      <c r="D266" s="160">
        <v>2420000</v>
      </c>
      <c r="E266" t="s">
        <v>212</v>
      </c>
      <c r="F266" s="21" t="str">
        <f t="shared" ref="F266:F281" si="6">B266</f>
        <v>rtdc.l.rtdc.4002:itc</v>
      </c>
      <c r="G266" s="8" t="str">
        <f t="shared" si="4"/>
        <v>HOLCOMB rtdc.l.rtdc.4002:itc</v>
      </c>
    </row>
    <row r="267" spans="1:7" x14ac:dyDescent="0.25">
      <c r="A267" s="8">
        <v>42685.056481481479</v>
      </c>
      <c r="B267" t="s">
        <v>207</v>
      </c>
      <c r="C267" t="s">
        <v>219</v>
      </c>
      <c r="D267" s="160">
        <v>2000000</v>
      </c>
      <c r="E267" t="s">
        <v>206</v>
      </c>
      <c r="F267" s="21" t="str">
        <f t="shared" si="6"/>
        <v>rtdc.l.rtdc.4012:itc</v>
      </c>
      <c r="G267" s="8" t="str">
        <f t="shared" si="4"/>
        <v>STAMBAUGH rtdc.l.rtdc.4012:itc</v>
      </c>
    </row>
    <row r="268" spans="1:7" x14ac:dyDescent="0.25">
      <c r="A268" s="8">
        <v>42685.071712962963</v>
      </c>
      <c r="B268" t="s">
        <v>213</v>
      </c>
      <c r="C268" t="s">
        <v>220</v>
      </c>
      <c r="D268" s="160">
        <v>1300000</v>
      </c>
      <c r="E268" t="s">
        <v>113</v>
      </c>
      <c r="F268" s="21" t="str">
        <f t="shared" si="6"/>
        <v>rtdc.l.rtdc.4038:itc</v>
      </c>
      <c r="G268" s="8" t="str">
        <f t="shared" si="4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184</v>
      </c>
      <c r="D269" s="160">
        <v>630000</v>
      </c>
      <c r="E269" t="b">
        <v>1</v>
      </c>
      <c r="F269" s="21" t="str">
        <f t="shared" si="6"/>
        <v>rtdc.l.rtdc.4051:itc</v>
      </c>
      <c r="G269" s="8" t="str">
        <f t="shared" si="4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185</v>
      </c>
      <c r="D270" s="160">
        <v>1480000</v>
      </c>
      <c r="E270" t="s">
        <v>181</v>
      </c>
      <c r="F270" s="21" t="str">
        <f t="shared" si="6"/>
        <v>rtdc.l.rtdc.4009:itc</v>
      </c>
      <c r="G270" s="8" t="str">
        <f t="shared" si="4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184</v>
      </c>
      <c r="D271" s="160">
        <v>630000</v>
      </c>
      <c r="E271" t="b">
        <v>1</v>
      </c>
      <c r="F271" s="21" t="str">
        <f t="shared" si="6"/>
        <v>rtdc.l.rtdc.4052:itc</v>
      </c>
      <c r="G271" s="8" t="str">
        <f t="shared" si="4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184</v>
      </c>
      <c r="D272" s="160">
        <v>630000</v>
      </c>
      <c r="E272" t="b">
        <v>1</v>
      </c>
      <c r="F272" s="21" t="str">
        <f t="shared" si="6"/>
        <v>rtdc.l.rtdc.4052:itc</v>
      </c>
      <c r="G272" s="8" t="str">
        <f t="shared" si="4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184</v>
      </c>
      <c r="D273" s="160">
        <v>630000</v>
      </c>
      <c r="E273" t="b">
        <v>1</v>
      </c>
      <c r="F273" s="21" t="str">
        <f t="shared" si="6"/>
        <v>rtdc.l.rtdc.4052:itc</v>
      </c>
      <c r="G273" s="8" t="str">
        <f t="shared" si="4"/>
        <v>TRUE rtdc.l.rtdc.4052:itc</v>
      </c>
    </row>
    <row r="274" spans="1:7" x14ac:dyDescent="0.25">
      <c r="F274" s="21">
        <f t="shared" si="6"/>
        <v>0</v>
      </c>
      <c r="G274" s="8" t="str">
        <f t="shared" si="4"/>
        <v xml:space="preserve"> 0</v>
      </c>
    </row>
    <row r="275" spans="1:7" x14ac:dyDescent="0.25">
      <c r="F275" s="21">
        <f t="shared" si="6"/>
        <v>0</v>
      </c>
      <c r="G275" s="8" t="str">
        <f t="shared" si="4"/>
        <v xml:space="preserve"> 0</v>
      </c>
    </row>
    <row r="276" spans="1:7" x14ac:dyDescent="0.25">
      <c r="F276" s="21">
        <f t="shared" si="6"/>
        <v>0</v>
      </c>
      <c r="G276" s="8" t="str">
        <f t="shared" si="4"/>
        <v xml:space="preserve"> 0</v>
      </c>
    </row>
    <row r="277" spans="1:7" x14ac:dyDescent="0.25">
      <c r="F277" s="21">
        <f t="shared" si="6"/>
        <v>0</v>
      </c>
      <c r="G277" s="8" t="str">
        <f t="shared" si="4"/>
        <v xml:space="preserve"> 0</v>
      </c>
    </row>
    <row r="278" spans="1:7" x14ac:dyDescent="0.25">
      <c r="F278" s="21">
        <f t="shared" si="6"/>
        <v>0</v>
      </c>
      <c r="G278" s="8" t="str">
        <f t="shared" si="4"/>
        <v xml:space="preserve"> 0</v>
      </c>
    </row>
    <row r="279" spans="1:7" x14ac:dyDescent="0.25">
      <c r="F279" s="21">
        <f t="shared" si="6"/>
        <v>0</v>
      </c>
      <c r="G279" s="8" t="str">
        <f t="shared" si="4"/>
        <v xml:space="preserve"> 0</v>
      </c>
    </row>
    <row r="280" spans="1:7" x14ac:dyDescent="0.25">
      <c r="F280" s="21">
        <f t="shared" si="6"/>
        <v>0</v>
      </c>
      <c r="G280" s="8" t="str">
        <f t="shared" si="4"/>
        <v xml:space="preserve"> 0</v>
      </c>
    </row>
    <row r="281" spans="1:7" x14ac:dyDescent="0.25">
      <c r="F281" s="21">
        <f t="shared" si="6"/>
        <v>0</v>
      </c>
      <c r="G281" s="8" t="str">
        <f t="shared" si="4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4"/>
        <v xml:space="preserve"> 0</v>
      </c>
    </row>
    <row r="283" spans="1:7" x14ac:dyDescent="0.25">
      <c r="F283" s="21">
        <f t="shared" si="7"/>
        <v>0</v>
      </c>
      <c r="G283" s="8" t="str">
        <f t="shared" si="4"/>
        <v xml:space="preserve"> 0</v>
      </c>
    </row>
    <row r="284" spans="1:7" x14ac:dyDescent="0.25">
      <c r="F284" s="21">
        <f t="shared" si="7"/>
        <v>0</v>
      </c>
      <c r="G284" s="8" t="str">
        <f t="shared" si="4"/>
        <v xml:space="preserve"> 0</v>
      </c>
    </row>
    <row r="285" spans="1:7" x14ac:dyDescent="0.25">
      <c r="F285" s="21">
        <f t="shared" si="7"/>
        <v>0</v>
      </c>
      <c r="G285" s="8" t="str">
        <f t="shared" si="4"/>
        <v xml:space="preserve"> 0</v>
      </c>
    </row>
    <row r="286" spans="1:7" x14ac:dyDescent="0.25">
      <c r="F286" s="21">
        <f t="shared" si="7"/>
        <v>0</v>
      </c>
      <c r="G286" s="8" t="str">
        <f t="shared" si="4"/>
        <v xml:space="preserve"> 0</v>
      </c>
    </row>
    <row r="287" spans="1:7" x14ac:dyDescent="0.25">
      <c r="F287" s="21">
        <f t="shared" si="7"/>
        <v>0</v>
      </c>
      <c r="G287" s="8" t="str">
        <f t="shared" si="4"/>
        <v xml:space="preserve"> 0</v>
      </c>
    </row>
    <row r="288" spans="1:7" x14ac:dyDescent="0.25">
      <c r="F288" s="21">
        <f t="shared" si="7"/>
        <v>0</v>
      </c>
      <c r="G288" s="8" t="str">
        <f t="shared" si="4"/>
        <v xml:space="preserve"> 0</v>
      </c>
    </row>
    <row r="289" spans="6:7" x14ac:dyDescent="0.25">
      <c r="F289" s="21">
        <f t="shared" si="7"/>
        <v>0</v>
      </c>
      <c r="G289" s="8" t="str">
        <f t="shared" si="4"/>
        <v xml:space="preserve"> 0</v>
      </c>
    </row>
    <row r="290" spans="6:7" x14ac:dyDescent="0.25">
      <c r="F290" s="21">
        <f t="shared" si="7"/>
        <v>0</v>
      </c>
      <c r="G290" s="8" t="str">
        <f t="shared" si="4"/>
        <v xml:space="preserve"> 0</v>
      </c>
    </row>
    <row r="291" spans="6:7" x14ac:dyDescent="0.25">
      <c r="F291" s="21">
        <f t="shared" si="7"/>
        <v>0</v>
      </c>
      <c r="G291" s="8" t="str">
        <f t="shared" si="4"/>
        <v xml:space="preserve"> 0</v>
      </c>
    </row>
    <row r="292" spans="6:7" x14ac:dyDescent="0.25">
      <c r="F292" s="21">
        <f t="shared" si="7"/>
        <v>0</v>
      </c>
      <c r="G292" s="8" t="str">
        <f t="shared" si="4"/>
        <v xml:space="preserve"> 0</v>
      </c>
    </row>
    <row r="293" spans="6:7" x14ac:dyDescent="0.25">
      <c r="F293" s="21">
        <f t="shared" si="7"/>
        <v>0</v>
      </c>
      <c r="G293" s="8" t="str">
        <f t="shared" si="4"/>
        <v xml:space="preserve"> 0</v>
      </c>
    </row>
    <row r="294" spans="6:7" x14ac:dyDescent="0.25">
      <c r="F294" s="21">
        <f t="shared" si="7"/>
        <v>0</v>
      </c>
      <c r="G294" s="8" t="str">
        <f t="shared" si="4"/>
        <v xml:space="preserve"> 0</v>
      </c>
    </row>
    <row r="295" spans="6:7" x14ac:dyDescent="0.25">
      <c r="F295" s="21">
        <f t="shared" si="7"/>
        <v>0</v>
      </c>
      <c r="G295" s="8" t="str">
        <f t="shared" si="4"/>
        <v xml:space="preserve"> 0</v>
      </c>
    </row>
    <row r="296" spans="6:7" x14ac:dyDescent="0.25">
      <c r="F296" s="21">
        <f t="shared" si="7"/>
        <v>0</v>
      </c>
      <c r="G296" s="8" t="str">
        <f t="shared" si="4"/>
        <v xml:space="preserve"> 0</v>
      </c>
    </row>
    <row r="297" spans="6:7" x14ac:dyDescent="0.25">
      <c r="F297" s="21">
        <f t="shared" si="7"/>
        <v>0</v>
      </c>
      <c r="G297" s="8" t="str">
        <f t="shared" si="4"/>
        <v xml:space="preserve"> 0</v>
      </c>
    </row>
    <row r="298" spans="6:7" x14ac:dyDescent="0.25">
      <c r="F298" s="21">
        <f t="shared" si="7"/>
        <v>0</v>
      </c>
      <c r="G298" s="8" t="str">
        <f t="shared" si="4"/>
        <v xml:space="preserve"> 0</v>
      </c>
    </row>
    <row r="299" spans="6:7" x14ac:dyDescent="0.25">
      <c r="F299" s="21">
        <f t="shared" si="7"/>
        <v>0</v>
      </c>
      <c r="G299" s="8" t="str">
        <f t="shared" si="4"/>
        <v xml:space="preserve"> 0</v>
      </c>
    </row>
    <row r="300" spans="6:7" x14ac:dyDescent="0.25">
      <c r="F300" s="21">
        <f t="shared" si="7"/>
        <v>0</v>
      </c>
      <c r="G300" s="8" t="str">
        <f t="shared" si="4"/>
        <v xml:space="preserve"> 0</v>
      </c>
    </row>
    <row r="301" spans="6:7" x14ac:dyDescent="0.25">
      <c r="F301" s="21">
        <f t="shared" si="7"/>
        <v>0</v>
      </c>
      <c r="G301" s="8" t="str">
        <f t="shared" si="4"/>
        <v xml:space="preserve"> 0</v>
      </c>
    </row>
    <row r="302" spans="6:7" x14ac:dyDescent="0.25">
      <c r="F302" s="21">
        <f t="shared" si="7"/>
        <v>0</v>
      </c>
      <c r="G302" s="8" t="str">
        <f t="shared" si="4"/>
        <v xml:space="preserve"> 0</v>
      </c>
    </row>
    <row r="303" spans="6:7" x14ac:dyDescent="0.25">
      <c r="F303" s="21">
        <f t="shared" si="7"/>
        <v>0</v>
      </c>
      <c r="G303" s="8" t="str">
        <f t="shared" si="4"/>
        <v xml:space="preserve"> 0</v>
      </c>
    </row>
    <row r="304" spans="6:7" x14ac:dyDescent="0.25">
      <c r="F304" s="21">
        <f t="shared" si="7"/>
        <v>0</v>
      </c>
      <c r="G304" s="8" t="str">
        <f t="shared" si="4"/>
        <v xml:space="preserve"> 0</v>
      </c>
    </row>
    <row r="305" spans="6:7" x14ac:dyDescent="0.25">
      <c r="F305" s="21">
        <f t="shared" si="7"/>
        <v>0</v>
      </c>
      <c r="G305" s="8" t="str">
        <f t="shared" si="4"/>
        <v xml:space="preserve"> 0</v>
      </c>
    </row>
    <row r="306" spans="6:7" x14ac:dyDescent="0.25">
      <c r="F306" s="21">
        <f t="shared" si="7"/>
        <v>0</v>
      </c>
      <c r="G306" s="8" t="str">
        <f t="shared" si="4"/>
        <v xml:space="preserve"> 0</v>
      </c>
    </row>
    <row r="307" spans="6:7" x14ac:dyDescent="0.25">
      <c r="F307" s="21">
        <f t="shared" si="7"/>
        <v>0</v>
      </c>
      <c r="G307" s="8" t="str">
        <f t="shared" si="4"/>
        <v xml:space="preserve"> 0</v>
      </c>
    </row>
    <row r="308" spans="6:7" x14ac:dyDescent="0.25">
      <c r="F308" s="21">
        <f t="shared" si="7"/>
        <v>0</v>
      </c>
      <c r="G308" s="8" t="str">
        <f t="shared" si="4"/>
        <v xml:space="preserve"> 0</v>
      </c>
    </row>
    <row r="309" spans="6:7" x14ac:dyDescent="0.25">
      <c r="F309" s="21">
        <f t="shared" si="7"/>
        <v>0</v>
      </c>
      <c r="G309" s="8" t="str">
        <f t="shared" si="4"/>
        <v xml:space="preserve"> 0</v>
      </c>
    </row>
    <row r="310" spans="6:7" x14ac:dyDescent="0.25">
      <c r="F310" s="21">
        <f t="shared" si="7"/>
        <v>0</v>
      </c>
      <c r="G310" s="8" t="str">
        <f t="shared" si="4"/>
        <v xml:space="preserve"> 0</v>
      </c>
    </row>
    <row r="311" spans="6:7" x14ac:dyDescent="0.25">
      <c r="F311" s="21">
        <f t="shared" si="7"/>
        <v>0</v>
      </c>
      <c r="G311" s="8" t="str">
        <f t="shared" si="4"/>
        <v xml:space="preserve"> 0</v>
      </c>
    </row>
    <row r="312" spans="6:7" x14ac:dyDescent="0.25">
      <c r="F312" s="21">
        <f t="shared" si="7"/>
        <v>0</v>
      </c>
      <c r="G312" s="8" t="str">
        <f t="shared" si="4"/>
        <v xml:space="preserve"> 0</v>
      </c>
    </row>
    <row r="313" spans="6:7" x14ac:dyDescent="0.25">
      <c r="F313" s="21">
        <f t="shared" si="7"/>
        <v>0</v>
      </c>
      <c r="G313" s="8" t="str">
        <f t="shared" si="4"/>
        <v xml:space="preserve"> 0</v>
      </c>
    </row>
    <row r="314" spans="6:7" x14ac:dyDescent="0.25">
      <c r="F314" s="21">
        <f t="shared" si="7"/>
        <v>0</v>
      </c>
      <c r="G314" s="8" t="str">
        <f t="shared" si="4"/>
        <v xml:space="preserve"> 0</v>
      </c>
    </row>
    <row r="315" spans="6:7" x14ac:dyDescent="0.25">
      <c r="F315" s="21">
        <f t="shared" si="7"/>
        <v>0</v>
      </c>
      <c r="G315" s="8" t="str">
        <f t="shared" si="4"/>
        <v xml:space="preserve"> 0</v>
      </c>
    </row>
    <row r="316" spans="6:7" x14ac:dyDescent="0.25">
      <c r="F316" s="21">
        <f t="shared" si="7"/>
        <v>0</v>
      </c>
      <c r="G316" s="8" t="str">
        <f t="shared" si="4"/>
        <v xml:space="preserve"> 0</v>
      </c>
    </row>
    <row r="317" spans="6:7" x14ac:dyDescent="0.25">
      <c r="F317" s="21">
        <f t="shared" si="7"/>
        <v>0</v>
      </c>
      <c r="G317" s="8" t="str">
        <f t="shared" si="4"/>
        <v xml:space="preserve"> 0</v>
      </c>
    </row>
    <row r="318" spans="6:7" x14ac:dyDescent="0.25">
      <c r="F318" s="21">
        <f t="shared" si="7"/>
        <v>0</v>
      </c>
      <c r="G318" s="8" t="str">
        <f t="shared" si="4"/>
        <v xml:space="preserve"> 0</v>
      </c>
    </row>
    <row r="319" spans="6:7" x14ac:dyDescent="0.25">
      <c r="F319" s="21">
        <f t="shared" si="7"/>
        <v>0</v>
      </c>
      <c r="G319" s="8" t="str">
        <f t="shared" si="4"/>
        <v xml:space="preserve"> 0</v>
      </c>
    </row>
    <row r="320" spans="6:7" x14ac:dyDescent="0.25">
      <c r="F320" s="21">
        <f t="shared" si="7"/>
        <v>0</v>
      </c>
      <c r="G320" s="8" t="str">
        <f t="shared" si="4"/>
        <v xml:space="preserve"> 0</v>
      </c>
    </row>
    <row r="321" spans="6:7" x14ac:dyDescent="0.25">
      <c r="F321" s="21">
        <f t="shared" si="7"/>
        <v>0</v>
      </c>
      <c r="G321" s="8" t="str">
        <f t="shared" si="4"/>
        <v xml:space="preserve"> 0</v>
      </c>
    </row>
    <row r="322" spans="6:7" x14ac:dyDescent="0.25">
      <c r="F322" s="21">
        <f t="shared" si="7"/>
        <v>0</v>
      </c>
      <c r="G322" s="8" t="str">
        <f t="shared" si="4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/>
  </sheetViews>
  <sheetFormatPr defaultRowHeight="15" x14ac:dyDescent="0.25"/>
  <cols>
    <col min="1" max="1" width="22.5703125" style="170" customWidth="1"/>
    <col min="2" max="2" width="8.42578125" style="170" bestFit="1" customWidth="1"/>
    <col min="3" max="3" width="12.5703125" style="170" bestFit="1" customWidth="1"/>
    <col min="4" max="4" width="18.5703125" style="149" bestFit="1" customWidth="1"/>
    <col min="5" max="5" width="9.85546875" style="170" bestFit="1" customWidth="1"/>
    <col min="6" max="6" width="9" style="170" bestFit="1" customWidth="1"/>
    <col min="7" max="7" width="8.85546875" style="170" bestFit="1" customWidth="1"/>
    <col min="8" max="8" width="14" style="170" bestFit="1" customWidth="1"/>
    <col min="9" max="9" width="21.140625" style="170" bestFit="1" customWidth="1"/>
    <col min="10" max="10" width="8.7109375" style="170" bestFit="1" customWidth="1"/>
    <col min="11" max="11" width="11.28515625" style="170" bestFit="1" customWidth="1"/>
    <col min="12" max="12" width="11" style="170" bestFit="1" customWidth="1"/>
    <col min="13" max="13" width="11.28515625" style="170" bestFit="1" customWidth="1"/>
    <col min="14" max="14" width="13.7109375" style="170" bestFit="1" customWidth="1"/>
    <col min="15" max="15" width="14.85546875" style="170" bestFit="1" customWidth="1"/>
    <col min="16" max="16" width="16.7109375" style="170" bestFit="1" customWidth="1"/>
    <col min="17" max="17" width="9.42578125" style="129" bestFit="1" customWidth="1"/>
    <col min="18" max="16384" width="9.140625" style="129"/>
  </cols>
  <sheetData>
    <row r="1" spans="1:18" s="130" customFormat="1" x14ac:dyDescent="0.25">
      <c r="A1" s="175" t="s">
        <v>165</v>
      </c>
      <c r="B1" s="175" t="s">
        <v>168</v>
      </c>
      <c r="C1" s="175" t="s">
        <v>161</v>
      </c>
      <c r="D1" s="155" t="s">
        <v>173</v>
      </c>
      <c r="E1" s="175" t="s">
        <v>162</v>
      </c>
      <c r="F1" s="175" t="s">
        <v>160</v>
      </c>
      <c r="G1" s="175" t="s">
        <v>158</v>
      </c>
      <c r="H1" s="175" t="s">
        <v>171</v>
      </c>
      <c r="I1" s="175" t="s">
        <v>172</v>
      </c>
      <c r="J1" s="175" t="s">
        <v>302</v>
      </c>
      <c r="K1" s="175" t="s">
        <v>166</v>
      </c>
      <c r="L1" s="175" t="s">
        <v>164</v>
      </c>
      <c r="M1" s="175" t="s">
        <v>159</v>
      </c>
      <c r="N1" s="175" t="s">
        <v>169</v>
      </c>
      <c r="O1" s="175" t="s">
        <v>163</v>
      </c>
      <c r="P1" s="175" t="s">
        <v>170</v>
      </c>
      <c r="Q1" s="175" t="s">
        <v>167</v>
      </c>
      <c r="R1"/>
    </row>
    <row r="2" spans="1:18" x14ac:dyDescent="0.25">
      <c r="A2" s="165">
        <v>39.46</v>
      </c>
      <c r="B2" s="165">
        <v>0.41</v>
      </c>
      <c r="C2" s="165">
        <v>25.37</v>
      </c>
      <c r="D2" s="8">
        <v>42745</v>
      </c>
      <c r="E2" s="165">
        <v>0.49</v>
      </c>
      <c r="F2" s="165" t="s">
        <v>232</v>
      </c>
      <c r="G2" s="165">
        <v>305.75</v>
      </c>
      <c r="H2" s="165">
        <v>1.1999999999999999E-3</v>
      </c>
      <c r="I2" s="165">
        <v>0.02</v>
      </c>
      <c r="J2" s="165" t="s">
        <v>335</v>
      </c>
      <c r="K2" s="165">
        <v>1001.53</v>
      </c>
      <c r="L2" s="165" t="s">
        <v>333</v>
      </c>
      <c r="M2" s="165">
        <v>43.49</v>
      </c>
      <c r="N2" s="165">
        <v>1484031600</v>
      </c>
      <c r="O2" s="165">
        <v>4.51</v>
      </c>
      <c r="P2" s="165">
        <v>286</v>
      </c>
      <c r="Q2" s="165">
        <v>6.78</v>
      </c>
      <c r="R2"/>
    </row>
    <row r="3" spans="1:18" x14ac:dyDescent="0.25">
      <c r="A3" s="165">
        <v>36.83</v>
      </c>
      <c r="B3" s="165">
        <v>0.39</v>
      </c>
      <c r="C3" s="165">
        <v>22.9</v>
      </c>
      <c r="D3" s="8">
        <v>42745.041666666664</v>
      </c>
      <c r="E3" s="165">
        <v>0.48</v>
      </c>
      <c r="F3" s="165" t="s">
        <v>232</v>
      </c>
      <c r="G3" s="165">
        <v>310.73</v>
      </c>
      <c r="H3" s="165">
        <v>1.4E-3</v>
      </c>
      <c r="I3" s="165">
        <v>0.03</v>
      </c>
      <c r="J3" s="165" t="s">
        <v>335</v>
      </c>
      <c r="K3" s="165">
        <v>1003.1</v>
      </c>
      <c r="L3" s="165" t="s">
        <v>333</v>
      </c>
      <c r="M3" s="165">
        <v>40.840000000000003</v>
      </c>
      <c r="N3" s="165">
        <v>1484035200</v>
      </c>
      <c r="O3" s="165">
        <v>4.32</v>
      </c>
      <c r="P3" s="165">
        <v>286</v>
      </c>
      <c r="Q3" s="165">
        <v>5.89</v>
      </c>
      <c r="R3"/>
    </row>
    <row r="4" spans="1:18" x14ac:dyDescent="0.25">
      <c r="A4" s="165">
        <v>35.04</v>
      </c>
      <c r="B4" s="165">
        <v>0.43</v>
      </c>
      <c r="C4" s="165">
        <v>20.51</v>
      </c>
      <c r="D4" s="8">
        <v>42745.083333333336</v>
      </c>
      <c r="E4" s="165">
        <v>0.46</v>
      </c>
      <c r="F4" s="165" t="s">
        <v>232</v>
      </c>
      <c r="G4" s="165">
        <v>315.7</v>
      </c>
      <c r="H4" s="165">
        <v>1.5E-3</v>
      </c>
      <c r="I4" s="165">
        <v>0.03</v>
      </c>
      <c r="J4" s="165" t="s">
        <v>335</v>
      </c>
      <c r="K4" s="165">
        <v>1004.67</v>
      </c>
      <c r="L4" s="165" t="s">
        <v>333</v>
      </c>
      <c r="M4" s="165">
        <v>39.450000000000003</v>
      </c>
      <c r="N4" s="165">
        <v>1484038800</v>
      </c>
      <c r="O4" s="165">
        <v>4.03</v>
      </c>
      <c r="P4" s="165">
        <v>291</v>
      </c>
      <c r="Q4" s="165">
        <v>6.08</v>
      </c>
      <c r="R4"/>
    </row>
    <row r="5" spans="1:18" x14ac:dyDescent="0.25">
      <c r="A5" s="165">
        <v>36.75</v>
      </c>
      <c r="B5" s="165">
        <v>0.43</v>
      </c>
      <c r="C5" s="165">
        <v>21.42</v>
      </c>
      <c r="D5" s="8">
        <v>42745.125</v>
      </c>
      <c r="E5" s="165">
        <v>0.48</v>
      </c>
      <c r="F5" s="165" t="s">
        <v>232</v>
      </c>
      <c r="G5" s="165">
        <v>318.24</v>
      </c>
      <c r="H5" s="165">
        <v>1.4E-3</v>
      </c>
      <c r="I5" s="165">
        <v>0.03</v>
      </c>
      <c r="J5" s="165" t="s">
        <v>335</v>
      </c>
      <c r="K5" s="165">
        <v>1006.76</v>
      </c>
      <c r="L5" s="165" t="s">
        <v>333</v>
      </c>
      <c r="M5" s="165">
        <v>39.479999999999997</v>
      </c>
      <c r="N5" s="165">
        <v>1484042400</v>
      </c>
      <c r="O5" s="165">
        <v>3.85</v>
      </c>
      <c r="P5" s="165">
        <v>310</v>
      </c>
      <c r="Q5" s="165">
        <v>3.96</v>
      </c>
      <c r="R5"/>
    </row>
    <row r="6" spans="1:18" x14ac:dyDescent="0.25">
      <c r="A6" s="165">
        <v>38.08</v>
      </c>
      <c r="B6" s="165">
        <v>0.32</v>
      </c>
      <c r="C6" s="165">
        <v>20.2</v>
      </c>
      <c r="D6" s="8">
        <v>42745.166666666664</v>
      </c>
      <c r="E6" s="165">
        <v>0.48</v>
      </c>
      <c r="F6" s="165" t="s">
        <v>232</v>
      </c>
      <c r="G6" s="165">
        <v>319.41000000000003</v>
      </c>
      <c r="H6" s="165">
        <v>1.1999999999999999E-3</v>
      </c>
      <c r="I6" s="165">
        <v>0.02</v>
      </c>
      <c r="J6" s="165" t="s">
        <v>335</v>
      </c>
      <c r="K6" s="165">
        <v>1009.02</v>
      </c>
      <c r="L6" s="165" t="s">
        <v>333</v>
      </c>
      <c r="M6" s="165">
        <v>38.08</v>
      </c>
      <c r="N6" s="165">
        <v>1484046000</v>
      </c>
      <c r="O6" s="165">
        <v>4.04</v>
      </c>
      <c r="P6" s="165">
        <v>281</v>
      </c>
      <c r="Q6" s="165">
        <v>2.4</v>
      </c>
      <c r="R6"/>
    </row>
    <row r="7" spans="1:18" x14ac:dyDescent="0.25">
      <c r="A7" s="165">
        <v>34.96</v>
      </c>
      <c r="B7" s="165">
        <v>0.28000000000000003</v>
      </c>
      <c r="C7" s="165">
        <v>19.7</v>
      </c>
      <c r="D7" s="8">
        <v>42745.208333333336</v>
      </c>
      <c r="E7" s="165">
        <v>0.48</v>
      </c>
      <c r="F7" s="165" t="s">
        <v>232</v>
      </c>
      <c r="G7" s="165">
        <v>318.22000000000003</v>
      </c>
      <c r="H7" s="165">
        <v>8.9999999999999998E-4</v>
      </c>
      <c r="I7" s="165">
        <v>0.01</v>
      </c>
      <c r="J7" s="165" t="s">
        <v>335</v>
      </c>
      <c r="K7" s="165">
        <v>1010.37</v>
      </c>
      <c r="L7" s="165" t="s">
        <v>333</v>
      </c>
      <c r="M7" s="165">
        <v>37.619999999999997</v>
      </c>
      <c r="N7" s="165">
        <v>1484049600</v>
      </c>
      <c r="O7" s="165">
        <v>5.25</v>
      </c>
      <c r="P7" s="165">
        <v>297</v>
      </c>
      <c r="Q7" s="165">
        <v>3.62</v>
      </c>
      <c r="R7"/>
    </row>
    <row r="8" spans="1:18" x14ac:dyDescent="0.25">
      <c r="A8" s="165">
        <v>36.47</v>
      </c>
      <c r="B8" s="165">
        <v>0.28000000000000003</v>
      </c>
      <c r="C8" s="165">
        <v>21.15</v>
      </c>
      <c r="D8" s="8">
        <v>42745.25</v>
      </c>
      <c r="E8" s="165">
        <v>0.53</v>
      </c>
      <c r="F8" s="165" t="s">
        <v>232</v>
      </c>
      <c r="G8" s="165">
        <v>313.52</v>
      </c>
      <c r="H8" s="165">
        <v>0</v>
      </c>
      <c r="I8" s="165">
        <v>0</v>
      </c>
      <c r="J8" s="165"/>
      <c r="K8" s="165">
        <v>1011.12</v>
      </c>
      <c r="L8" s="165" t="s">
        <v>333</v>
      </c>
      <c r="M8" s="165">
        <v>36.47</v>
      </c>
      <c r="N8" s="165">
        <v>1484053200</v>
      </c>
      <c r="O8" s="165">
        <v>6.33</v>
      </c>
      <c r="P8" s="165">
        <v>277</v>
      </c>
      <c r="Q8" s="165">
        <v>2.1</v>
      </c>
      <c r="R8"/>
    </row>
    <row r="9" spans="1:18" x14ac:dyDescent="0.25">
      <c r="A9" s="165">
        <v>35.130000000000003</v>
      </c>
      <c r="B9" s="165">
        <v>0.3</v>
      </c>
      <c r="C9" s="165">
        <v>18.809999999999999</v>
      </c>
      <c r="D9" s="8">
        <v>42745.291666666664</v>
      </c>
      <c r="E9" s="165">
        <v>0.51</v>
      </c>
      <c r="F9" s="165" t="s">
        <v>232</v>
      </c>
      <c r="G9" s="165">
        <v>306.47000000000003</v>
      </c>
      <c r="H9" s="165">
        <v>0</v>
      </c>
      <c r="I9" s="165">
        <v>0</v>
      </c>
      <c r="J9" s="165"/>
      <c r="K9" s="165">
        <v>1011.55</v>
      </c>
      <c r="L9" s="165" t="s">
        <v>333</v>
      </c>
      <c r="M9" s="165">
        <v>35.130000000000003</v>
      </c>
      <c r="N9" s="165">
        <v>1484056800</v>
      </c>
      <c r="O9" s="165">
        <v>5.17</v>
      </c>
      <c r="P9" s="165">
        <v>250</v>
      </c>
      <c r="Q9" s="165">
        <v>2.6</v>
      </c>
      <c r="R9"/>
    </row>
    <row r="10" spans="1:18" x14ac:dyDescent="0.25">
      <c r="A10" s="165">
        <v>32.79</v>
      </c>
      <c r="B10" s="165">
        <v>0.28000000000000003</v>
      </c>
      <c r="C10" s="165">
        <v>20.420000000000002</v>
      </c>
      <c r="D10" s="8">
        <v>42745.333333333336</v>
      </c>
      <c r="E10" s="165">
        <v>0.53</v>
      </c>
      <c r="F10" s="165" t="s">
        <v>334</v>
      </c>
      <c r="G10" s="165">
        <v>299.52</v>
      </c>
      <c r="H10" s="165">
        <v>0</v>
      </c>
      <c r="I10" s="165">
        <v>0</v>
      </c>
      <c r="J10" s="165"/>
      <c r="K10" s="165">
        <v>1011.45</v>
      </c>
      <c r="L10" s="165" t="s">
        <v>333</v>
      </c>
      <c r="M10" s="165">
        <v>35.74</v>
      </c>
      <c r="N10" s="165">
        <v>1484060400</v>
      </c>
      <c r="O10" s="165">
        <v>4.7699999999999996</v>
      </c>
      <c r="P10" s="165">
        <v>222</v>
      </c>
      <c r="Q10" s="165">
        <v>3.63</v>
      </c>
      <c r="R10"/>
    </row>
    <row r="11" spans="1:18" x14ac:dyDescent="0.25">
      <c r="A11" s="165">
        <v>36.26</v>
      </c>
      <c r="B11" s="165">
        <v>0.33</v>
      </c>
      <c r="C11" s="165">
        <v>22.03</v>
      </c>
      <c r="D11" s="8">
        <v>42745.375</v>
      </c>
      <c r="E11" s="165">
        <v>0.5</v>
      </c>
      <c r="F11" s="165" t="s">
        <v>334</v>
      </c>
      <c r="G11" s="165">
        <v>293.52</v>
      </c>
      <c r="H11" s="165">
        <v>0</v>
      </c>
      <c r="I11" s="165">
        <v>0</v>
      </c>
      <c r="J11" s="165"/>
      <c r="K11" s="165">
        <v>1010.57</v>
      </c>
      <c r="L11" s="165" t="s">
        <v>333</v>
      </c>
      <c r="M11" s="165">
        <v>39.090000000000003</v>
      </c>
      <c r="N11" s="165">
        <v>1484064000</v>
      </c>
      <c r="O11" s="165">
        <v>4.71</v>
      </c>
      <c r="P11" s="165">
        <v>214</v>
      </c>
      <c r="Q11" s="165">
        <v>4.0199999999999996</v>
      </c>
      <c r="R11"/>
    </row>
    <row r="12" spans="1:18" x14ac:dyDescent="0.25">
      <c r="A12" s="165">
        <v>40.61</v>
      </c>
      <c r="B12" s="165">
        <v>0.45</v>
      </c>
      <c r="C12" s="165">
        <v>22.75</v>
      </c>
      <c r="D12" s="8">
        <v>42745.416666666664</v>
      </c>
      <c r="E12" s="165">
        <v>0.43</v>
      </c>
      <c r="F12" s="165" t="s">
        <v>334</v>
      </c>
      <c r="G12" s="165">
        <v>287.63</v>
      </c>
      <c r="H12" s="165">
        <v>0</v>
      </c>
      <c r="I12" s="165">
        <v>0</v>
      </c>
      <c r="J12" s="165"/>
      <c r="K12" s="165">
        <v>1008.88</v>
      </c>
      <c r="L12" s="165" t="s">
        <v>333</v>
      </c>
      <c r="M12" s="165">
        <v>43.98</v>
      </c>
      <c r="N12" s="165">
        <v>1484067600</v>
      </c>
      <c r="O12" s="165">
        <v>4.6500000000000004</v>
      </c>
      <c r="P12" s="165">
        <v>205</v>
      </c>
      <c r="Q12" s="165">
        <v>5.82</v>
      </c>
      <c r="R12"/>
    </row>
    <row r="13" spans="1:18" x14ac:dyDescent="0.25">
      <c r="A13" s="165">
        <v>44.92</v>
      </c>
      <c r="B13" s="165">
        <v>0.51</v>
      </c>
      <c r="C13" s="165">
        <v>21.37</v>
      </c>
      <c r="D13" s="8">
        <v>42745.458333333336</v>
      </c>
      <c r="E13" s="165">
        <v>0.34</v>
      </c>
      <c r="F13" s="165" t="s">
        <v>334</v>
      </c>
      <c r="G13" s="165">
        <v>281.79000000000002</v>
      </c>
      <c r="H13" s="165">
        <v>0</v>
      </c>
      <c r="I13" s="165">
        <v>0</v>
      </c>
      <c r="J13" s="165"/>
      <c r="K13" s="165">
        <v>1007.34</v>
      </c>
      <c r="L13" s="165" t="s">
        <v>333</v>
      </c>
      <c r="M13" s="165">
        <v>48.2</v>
      </c>
      <c r="N13" s="165">
        <v>1484071200</v>
      </c>
      <c r="O13" s="165">
        <v>4.63</v>
      </c>
      <c r="P13" s="165">
        <v>211</v>
      </c>
      <c r="Q13" s="165">
        <v>7.2</v>
      </c>
      <c r="R13"/>
    </row>
    <row r="14" spans="1:18" x14ac:dyDescent="0.25">
      <c r="A14" s="165">
        <v>46.27</v>
      </c>
      <c r="B14" s="165">
        <v>0.48</v>
      </c>
      <c r="C14" s="165">
        <v>21.11</v>
      </c>
      <c r="D14" s="8">
        <v>42745.5</v>
      </c>
      <c r="E14" s="165">
        <v>0.33</v>
      </c>
      <c r="F14" s="165" t="s">
        <v>334</v>
      </c>
      <c r="G14" s="165">
        <v>276.10000000000002</v>
      </c>
      <c r="H14" s="165">
        <v>0</v>
      </c>
      <c r="I14" s="165">
        <v>0</v>
      </c>
      <c r="J14" s="165"/>
      <c r="K14" s="165">
        <v>1006.36</v>
      </c>
      <c r="L14" s="165" t="s">
        <v>333</v>
      </c>
      <c r="M14" s="165">
        <v>49.16</v>
      </c>
      <c r="N14" s="165">
        <v>1484074800</v>
      </c>
      <c r="O14" s="165">
        <v>4.66</v>
      </c>
      <c r="P14" s="165">
        <v>227</v>
      </c>
      <c r="Q14" s="165">
        <v>6.81</v>
      </c>
      <c r="R14"/>
    </row>
    <row r="15" spans="1:18" x14ac:dyDescent="0.25">
      <c r="A15" s="165">
        <v>45.21</v>
      </c>
      <c r="B15" s="165">
        <v>0.45</v>
      </c>
      <c r="C15" s="165">
        <v>21.59</v>
      </c>
      <c r="D15" s="8">
        <v>42745.541666666664</v>
      </c>
      <c r="E15" s="165">
        <v>0.34</v>
      </c>
      <c r="F15" s="165" t="s">
        <v>334</v>
      </c>
      <c r="G15" s="165">
        <v>270.45999999999998</v>
      </c>
      <c r="H15" s="165">
        <v>0</v>
      </c>
      <c r="I15" s="165">
        <v>0</v>
      </c>
      <c r="J15" s="165"/>
      <c r="K15" s="165">
        <v>1005.7</v>
      </c>
      <c r="L15" s="165" t="s">
        <v>333</v>
      </c>
      <c r="M15" s="165">
        <v>49.03</v>
      </c>
      <c r="N15" s="165">
        <v>1484078400</v>
      </c>
      <c r="O15" s="165">
        <v>4.71</v>
      </c>
      <c r="P15" s="165">
        <v>245</v>
      </c>
      <c r="Q15" s="165">
        <v>8.9499999999999993</v>
      </c>
      <c r="R15"/>
    </row>
    <row r="16" spans="1:18" x14ac:dyDescent="0.25">
      <c r="A16" s="165">
        <v>50.05</v>
      </c>
      <c r="B16" s="165">
        <v>0.45</v>
      </c>
      <c r="C16" s="165">
        <v>22.32</v>
      </c>
      <c r="D16" s="8">
        <v>42745.583333333336</v>
      </c>
      <c r="E16" s="165">
        <v>0.33</v>
      </c>
      <c r="F16" s="165" t="s">
        <v>334</v>
      </c>
      <c r="G16" s="165">
        <v>264.5</v>
      </c>
      <c r="H16" s="165">
        <v>0</v>
      </c>
      <c r="I16" s="165">
        <v>0</v>
      </c>
      <c r="J16" s="165"/>
      <c r="K16" s="165">
        <v>1005.33</v>
      </c>
      <c r="L16" s="165" t="s">
        <v>333</v>
      </c>
      <c r="M16" s="165">
        <v>50.05</v>
      </c>
      <c r="N16" s="165">
        <v>1484082000</v>
      </c>
      <c r="O16" s="165">
        <v>4.8099999999999996</v>
      </c>
      <c r="P16" s="165">
        <v>252</v>
      </c>
      <c r="Q16" s="165">
        <v>10.19</v>
      </c>
      <c r="R16"/>
    </row>
    <row r="17" spans="1:18" x14ac:dyDescent="0.25">
      <c r="A17" s="165">
        <v>45.36</v>
      </c>
      <c r="B17" s="165">
        <v>0.46</v>
      </c>
      <c r="C17" s="165">
        <v>20.65</v>
      </c>
      <c r="D17" s="8">
        <v>42745.625</v>
      </c>
      <c r="E17" s="165">
        <v>0.32</v>
      </c>
      <c r="F17" s="165" t="s">
        <v>334</v>
      </c>
      <c r="G17" s="165">
        <v>257.13</v>
      </c>
      <c r="H17" s="165">
        <v>0</v>
      </c>
      <c r="I17" s="165">
        <v>0</v>
      </c>
      <c r="J17" s="165"/>
      <c r="K17" s="165">
        <v>1005.35</v>
      </c>
      <c r="L17" s="165" t="s">
        <v>333</v>
      </c>
      <c r="M17" s="165">
        <v>49.39</v>
      </c>
      <c r="N17" s="165">
        <v>1484085600</v>
      </c>
      <c r="O17" s="165">
        <v>4.93</v>
      </c>
      <c r="P17" s="165">
        <v>253</v>
      </c>
      <c r="Q17" s="165">
        <v>9.76</v>
      </c>
      <c r="R17"/>
    </row>
    <row r="18" spans="1:18" x14ac:dyDescent="0.25">
      <c r="A18" s="165">
        <v>42.54</v>
      </c>
      <c r="B18" s="165">
        <v>0.47</v>
      </c>
      <c r="C18" s="165">
        <v>17.93</v>
      </c>
      <c r="D18" s="8">
        <v>42745.666666666664</v>
      </c>
      <c r="E18" s="165">
        <v>0.31</v>
      </c>
      <c r="F18" s="165" t="s">
        <v>334</v>
      </c>
      <c r="G18" s="165">
        <v>249.44</v>
      </c>
      <c r="H18" s="165">
        <v>0</v>
      </c>
      <c r="I18" s="165">
        <v>0</v>
      </c>
      <c r="J18" s="165"/>
      <c r="K18" s="165">
        <v>1005.68</v>
      </c>
      <c r="L18" s="165" t="s">
        <v>333</v>
      </c>
      <c r="M18" s="165">
        <v>47.01</v>
      </c>
      <c r="N18" s="165">
        <v>1484089200</v>
      </c>
      <c r="O18" s="165">
        <v>7.6</v>
      </c>
      <c r="P18" s="165">
        <v>255</v>
      </c>
      <c r="Q18" s="165">
        <v>9.43</v>
      </c>
      <c r="R18"/>
    </row>
    <row r="19" spans="1:18" x14ac:dyDescent="0.25">
      <c r="A19" s="165">
        <v>40.49</v>
      </c>
      <c r="B19" s="165">
        <v>0.38</v>
      </c>
      <c r="C19" s="165">
        <v>17.559999999999999</v>
      </c>
      <c r="D19" s="8">
        <v>42745.708333333336</v>
      </c>
      <c r="E19" s="165">
        <v>0.33</v>
      </c>
      <c r="F19" s="165" t="s">
        <v>232</v>
      </c>
      <c r="G19" s="165">
        <v>244.3</v>
      </c>
      <c r="H19" s="165">
        <v>0</v>
      </c>
      <c r="I19" s="165">
        <v>0</v>
      </c>
      <c r="J19" s="165"/>
      <c r="K19" s="165">
        <v>1005.93</v>
      </c>
      <c r="L19" s="165" t="s">
        <v>333</v>
      </c>
      <c r="M19" s="165">
        <v>45.08</v>
      </c>
      <c r="N19" s="165">
        <v>1484092800</v>
      </c>
      <c r="O19" s="165">
        <v>8.01</v>
      </c>
      <c r="P19" s="165">
        <v>258</v>
      </c>
      <c r="Q19" s="165">
        <v>8.6300000000000008</v>
      </c>
      <c r="R19"/>
    </row>
    <row r="20" spans="1:18" x14ac:dyDescent="0.25">
      <c r="A20" s="165">
        <v>42.85</v>
      </c>
      <c r="B20" s="165">
        <v>0.28000000000000003</v>
      </c>
      <c r="C20" s="165">
        <v>17.940000000000001</v>
      </c>
      <c r="D20" s="8">
        <v>42745.75</v>
      </c>
      <c r="E20" s="165">
        <v>0.33</v>
      </c>
      <c r="F20" s="165" t="s">
        <v>232</v>
      </c>
      <c r="G20" s="165">
        <v>243.54</v>
      </c>
      <c r="H20" s="165">
        <v>0</v>
      </c>
      <c r="I20" s="165">
        <v>0</v>
      </c>
      <c r="J20" s="165"/>
      <c r="K20" s="165">
        <v>1005.41</v>
      </c>
      <c r="L20" s="165" t="s">
        <v>333</v>
      </c>
      <c r="M20" s="165">
        <v>45.66</v>
      </c>
      <c r="N20" s="165">
        <v>1484096400</v>
      </c>
      <c r="O20" s="165">
        <v>7.01</v>
      </c>
      <c r="P20" s="165">
        <v>241</v>
      </c>
      <c r="Q20" s="165">
        <v>5.42</v>
      </c>
      <c r="R20"/>
    </row>
    <row r="21" spans="1:18" x14ac:dyDescent="0.25">
      <c r="A21" s="165">
        <v>40.81</v>
      </c>
      <c r="B21" s="165">
        <v>0.24</v>
      </c>
      <c r="C21" s="165">
        <v>18.68</v>
      </c>
      <c r="D21" s="8">
        <v>42745.791666666664</v>
      </c>
      <c r="E21" s="165">
        <v>0.35</v>
      </c>
      <c r="F21" s="165" t="s">
        <v>662</v>
      </c>
      <c r="G21" s="165">
        <v>245.33</v>
      </c>
      <c r="H21" s="165">
        <v>0</v>
      </c>
      <c r="I21" s="165">
        <v>0</v>
      </c>
      <c r="J21" s="165"/>
      <c r="K21" s="165">
        <v>1005.22</v>
      </c>
      <c r="L21" s="165" t="s">
        <v>663</v>
      </c>
      <c r="M21" s="165">
        <v>44.72</v>
      </c>
      <c r="N21" s="165">
        <v>1484100000</v>
      </c>
      <c r="O21" s="165">
        <v>6.98</v>
      </c>
      <c r="P21" s="165">
        <v>242</v>
      </c>
      <c r="Q21" s="165">
        <v>7.02</v>
      </c>
      <c r="R21"/>
    </row>
    <row r="22" spans="1:18" x14ac:dyDescent="0.25">
      <c r="A22" s="165">
        <v>42.29</v>
      </c>
      <c r="B22" s="165">
        <v>0.22</v>
      </c>
      <c r="C22" s="165">
        <v>18.84</v>
      </c>
      <c r="D22" s="8">
        <v>42745.833333333336</v>
      </c>
      <c r="E22" s="165">
        <v>0.35</v>
      </c>
      <c r="F22" s="165" t="s">
        <v>662</v>
      </c>
      <c r="G22" s="165">
        <v>247.11</v>
      </c>
      <c r="H22" s="165">
        <v>0</v>
      </c>
      <c r="I22" s="165">
        <v>0</v>
      </c>
      <c r="J22" s="165"/>
      <c r="K22" s="165">
        <v>1004.94</v>
      </c>
      <c r="L22" s="165" t="s">
        <v>663</v>
      </c>
      <c r="M22" s="165">
        <v>44.44</v>
      </c>
      <c r="N22" s="165">
        <v>1484103600</v>
      </c>
      <c r="O22" s="165">
        <v>6.02</v>
      </c>
      <c r="P22" s="165">
        <v>224</v>
      </c>
      <c r="Q22" s="165">
        <v>4.1900000000000004</v>
      </c>
      <c r="R22"/>
    </row>
    <row r="23" spans="1:18" x14ac:dyDescent="0.25">
      <c r="A23" s="165">
        <v>41.27</v>
      </c>
      <c r="B23" s="165">
        <v>0.28000000000000003</v>
      </c>
      <c r="C23" s="165">
        <v>18.43</v>
      </c>
      <c r="D23" s="8">
        <v>42745.875</v>
      </c>
      <c r="E23" s="165">
        <v>0.35</v>
      </c>
      <c r="F23" s="165" t="s">
        <v>232</v>
      </c>
      <c r="G23" s="165">
        <v>247.96</v>
      </c>
      <c r="H23" s="165">
        <v>0</v>
      </c>
      <c r="I23" s="165">
        <v>0</v>
      </c>
      <c r="J23" s="165"/>
      <c r="K23" s="165">
        <v>1004.09</v>
      </c>
      <c r="L23" s="165" t="s">
        <v>333</v>
      </c>
      <c r="M23" s="165">
        <v>44.1</v>
      </c>
      <c r="N23" s="165">
        <v>1484107200</v>
      </c>
      <c r="O23" s="165">
        <v>5.31</v>
      </c>
      <c r="P23" s="165">
        <v>216</v>
      </c>
      <c r="Q23" s="165">
        <v>5.03</v>
      </c>
      <c r="R23"/>
    </row>
    <row r="24" spans="1:18" x14ac:dyDescent="0.25">
      <c r="A24" s="165">
        <v>41.5</v>
      </c>
      <c r="B24" s="165">
        <v>0.31</v>
      </c>
      <c r="C24" s="165">
        <v>19.440000000000001</v>
      </c>
      <c r="D24" s="8">
        <v>42745.916666666664</v>
      </c>
      <c r="E24" s="165">
        <v>0.36</v>
      </c>
      <c r="F24" s="165" t="s">
        <v>232</v>
      </c>
      <c r="G24" s="165">
        <v>248.8</v>
      </c>
      <c r="H24" s="165">
        <v>0</v>
      </c>
      <c r="I24" s="165">
        <v>0</v>
      </c>
      <c r="J24" s="165"/>
      <c r="K24" s="165">
        <v>1002.91</v>
      </c>
      <c r="L24" s="165" t="s">
        <v>333</v>
      </c>
      <c r="M24" s="165">
        <v>44.65</v>
      </c>
      <c r="N24" s="165">
        <v>1484110800</v>
      </c>
      <c r="O24" s="165">
        <v>5.47</v>
      </c>
      <c r="P24" s="165">
        <v>233</v>
      </c>
      <c r="Q24" s="165">
        <v>5.67</v>
      </c>
      <c r="R24"/>
    </row>
    <row r="25" spans="1:18" x14ac:dyDescent="0.25">
      <c r="A25" s="165">
        <v>42.21</v>
      </c>
      <c r="B25" s="165">
        <v>0.33</v>
      </c>
      <c r="C25" s="165">
        <v>20.32</v>
      </c>
      <c r="D25" s="8">
        <v>42745.958333333336</v>
      </c>
      <c r="E25" s="165">
        <v>0.38</v>
      </c>
      <c r="F25" s="165" t="s">
        <v>232</v>
      </c>
      <c r="G25" s="165">
        <v>249.91</v>
      </c>
      <c r="H25" s="165">
        <v>0</v>
      </c>
      <c r="I25" s="165">
        <v>0</v>
      </c>
      <c r="J25" s="165"/>
      <c r="K25" s="165">
        <v>1001.76</v>
      </c>
      <c r="L25" s="165" t="s">
        <v>333</v>
      </c>
      <c r="M25" s="165">
        <v>44.6</v>
      </c>
      <c r="N25" s="165">
        <v>1484114400</v>
      </c>
      <c r="O25" s="165">
        <v>5.76</v>
      </c>
      <c r="P25" s="165">
        <v>200</v>
      </c>
      <c r="Q25" s="165">
        <v>4.54</v>
      </c>
      <c r="R25"/>
    </row>
    <row r="26" spans="1:18" x14ac:dyDescent="0.25">
      <c r="A26" s="165">
        <v>41.44</v>
      </c>
      <c r="B26" s="165">
        <v>0.39</v>
      </c>
      <c r="C26" s="165">
        <v>20.5</v>
      </c>
      <c r="D26" s="8">
        <v>42746</v>
      </c>
      <c r="E26" s="165">
        <v>0.37</v>
      </c>
      <c r="F26" s="165" t="s">
        <v>232</v>
      </c>
      <c r="G26" s="165">
        <v>251.64</v>
      </c>
      <c r="H26" s="165">
        <v>0</v>
      </c>
      <c r="I26" s="165">
        <v>0</v>
      </c>
      <c r="J26" s="165"/>
      <c r="K26" s="165">
        <v>1001.69</v>
      </c>
      <c r="L26" s="165" t="s">
        <v>333</v>
      </c>
      <c r="M26" s="165">
        <v>44.92</v>
      </c>
      <c r="N26" s="165">
        <v>1484118000</v>
      </c>
      <c r="O26" s="165">
        <v>6</v>
      </c>
      <c r="P26" s="165">
        <v>215</v>
      </c>
      <c r="Q26" s="165">
        <v>6.3</v>
      </c>
      <c r="R26"/>
    </row>
    <row r="27" spans="1:18" x14ac:dyDescent="0.25">
      <c r="A27" s="165">
        <v>40.409999999999997</v>
      </c>
      <c r="B27" s="165">
        <v>0.55000000000000004</v>
      </c>
      <c r="C27" s="165">
        <v>19.739999999999998</v>
      </c>
      <c r="D27" s="8">
        <v>42746.041666666664</v>
      </c>
      <c r="E27" s="165">
        <v>0.37</v>
      </c>
      <c r="F27" s="165" t="s">
        <v>232</v>
      </c>
      <c r="G27" s="165">
        <v>253.37</v>
      </c>
      <c r="H27" s="165">
        <v>0</v>
      </c>
      <c r="I27" s="165">
        <v>0</v>
      </c>
      <c r="J27" s="165"/>
      <c r="K27" s="165">
        <v>1001.36</v>
      </c>
      <c r="L27" s="165" t="s">
        <v>333</v>
      </c>
      <c r="M27" s="165">
        <v>44.06</v>
      </c>
      <c r="N27" s="165">
        <v>1484121600</v>
      </c>
      <c r="O27" s="165">
        <v>6.02</v>
      </c>
      <c r="P27" s="165">
        <v>224</v>
      </c>
      <c r="Q27" s="165">
        <v>6.31</v>
      </c>
      <c r="R27"/>
    </row>
    <row r="28" spans="1:18" x14ac:dyDescent="0.25">
      <c r="A28" s="165">
        <v>41.51</v>
      </c>
      <c r="B28" s="165">
        <v>0.56999999999999995</v>
      </c>
      <c r="C28" s="165">
        <v>20.11</v>
      </c>
      <c r="D28" s="8">
        <v>42746.083333333336</v>
      </c>
      <c r="E28" s="165">
        <v>0.38</v>
      </c>
      <c r="F28" s="165" t="s">
        <v>232</v>
      </c>
      <c r="G28" s="165">
        <v>255.1</v>
      </c>
      <c r="H28" s="165">
        <v>0</v>
      </c>
      <c r="I28" s="165">
        <v>0</v>
      </c>
      <c r="J28" s="165"/>
      <c r="K28" s="165">
        <v>1001.01</v>
      </c>
      <c r="L28" s="165" t="s">
        <v>333</v>
      </c>
      <c r="M28" s="165">
        <v>44.19</v>
      </c>
      <c r="N28" s="165">
        <v>1484125200</v>
      </c>
      <c r="O28" s="165">
        <v>3.97</v>
      </c>
      <c r="P28" s="165">
        <v>232</v>
      </c>
      <c r="Q28" s="165">
        <v>4.83</v>
      </c>
      <c r="R28"/>
    </row>
    <row r="29" spans="1:18" x14ac:dyDescent="0.25">
      <c r="A29" s="165">
        <v>35.33</v>
      </c>
      <c r="B29" s="165">
        <v>0.55000000000000004</v>
      </c>
      <c r="C29" s="165">
        <v>18.600000000000001</v>
      </c>
      <c r="D29" s="8">
        <v>42746.125</v>
      </c>
      <c r="E29" s="165">
        <v>0.43</v>
      </c>
      <c r="F29" s="165" t="s">
        <v>232</v>
      </c>
      <c r="G29" s="165">
        <v>257.25</v>
      </c>
      <c r="H29" s="165">
        <v>0</v>
      </c>
      <c r="I29" s="165">
        <v>0</v>
      </c>
      <c r="J29" s="165"/>
      <c r="K29" s="165">
        <v>1000.85</v>
      </c>
      <c r="L29" s="165" t="s">
        <v>333</v>
      </c>
      <c r="M29" s="165">
        <v>39.409999999999997</v>
      </c>
      <c r="N29" s="165">
        <v>1484128800</v>
      </c>
      <c r="O29" s="165">
        <v>6.45</v>
      </c>
      <c r="P29" s="165">
        <v>236</v>
      </c>
      <c r="Q29" s="165">
        <v>5.61</v>
      </c>
      <c r="R29"/>
    </row>
    <row r="30" spans="1:18" x14ac:dyDescent="0.25">
      <c r="A30" s="165"/>
      <c r="B30" s="165"/>
      <c r="C30" s="165"/>
      <c r="D30" s="8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</row>
    <row r="31" spans="1:18" x14ac:dyDescent="0.25">
      <c r="A31" s="170" t="s">
        <v>199</v>
      </c>
    </row>
    <row r="33" spans="1:1" x14ac:dyDescent="0.25">
      <c r="A33" s="170" t="s">
        <v>186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38"/>
  <sheetViews>
    <sheetView workbookViewId="0">
      <selection activeCell="C21" sqref="C21"/>
    </sheetView>
  </sheetViews>
  <sheetFormatPr defaultRowHeight="15" x14ac:dyDescent="0.25"/>
  <cols>
    <col min="1" max="1" width="32.140625" customWidth="1"/>
    <col min="3" max="3" width="24" customWidth="1"/>
    <col min="4" max="4" width="19.140625" style="66" customWidth="1"/>
    <col min="10" max="10" width="24.28515625" style="165" bestFit="1" customWidth="1"/>
    <col min="11" max="11" width="15.28515625" style="165" hidden="1" customWidth="1"/>
    <col min="12" max="12" width="13.5703125" style="165" hidden="1" customWidth="1"/>
    <col min="13" max="13" width="9" style="165" bestFit="1" customWidth="1"/>
    <col min="14" max="17" width="9.140625" style="165"/>
  </cols>
  <sheetData>
    <row r="1" spans="1:16" ht="45.75" x14ac:dyDescent="0.3">
      <c r="A1" s="11" t="s">
        <v>25</v>
      </c>
      <c r="C1" s="138" t="s">
        <v>99</v>
      </c>
      <c r="D1" s="139" t="s">
        <v>100</v>
      </c>
      <c r="J1" s="184" t="s">
        <v>101</v>
      </c>
      <c r="K1" s="184" t="s">
        <v>66</v>
      </c>
      <c r="L1" s="184" t="s">
        <v>67</v>
      </c>
      <c r="O1" s="185" t="s">
        <v>102</v>
      </c>
    </row>
    <row r="2" spans="1:16" ht="15.75" thickBot="1" x14ac:dyDescent="0.3">
      <c r="A2" s="12">
        <v>42745</v>
      </c>
      <c r="B2" s="4"/>
      <c r="C2" s="140">
        <v>50</v>
      </c>
      <c r="D2" s="141">
        <v>25</v>
      </c>
      <c r="F2" t="s">
        <v>114</v>
      </c>
      <c r="J2" s="184"/>
      <c r="K2" s="184" t="s">
        <v>66</v>
      </c>
      <c r="L2" s="184" t="s">
        <v>67</v>
      </c>
    </row>
    <row r="3" spans="1:16" x14ac:dyDescent="0.25">
      <c r="C3" s="66"/>
      <c r="F3" t="s">
        <v>52</v>
      </c>
      <c r="J3" s="186" t="s">
        <v>68</v>
      </c>
      <c r="K3" s="187">
        <v>2.7052</v>
      </c>
      <c r="L3" s="187">
        <v>2.7349999999999999</v>
      </c>
      <c r="M3" s="165">
        <f t="shared" ref="M3:M14" si="0">AVERAGE(K3:L3)</f>
        <v>2.7201</v>
      </c>
      <c r="O3" s="165" t="s">
        <v>103</v>
      </c>
      <c r="P3" s="165">
        <f>AVERAGE(1.0714,1.1016)</f>
        <v>1.0865</v>
      </c>
    </row>
    <row r="4" spans="1:16" ht="45" x14ac:dyDescent="0.25">
      <c r="C4" s="138" t="s">
        <v>99</v>
      </c>
      <c r="D4" s="139" t="s">
        <v>100</v>
      </c>
      <c r="F4" t="s">
        <v>53</v>
      </c>
      <c r="J4" s="186" t="s">
        <v>69</v>
      </c>
      <c r="K4" s="187">
        <v>3.0830000000000002</v>
      </c>
      <c r="L4" s="187">
        <v>3.097</v>
      </c>
      <c r="M4" s="165">
        <f t="shared" si="0"/>
        <v>3.09</v>
      </c>
    </row>
    <row r="5" spans="1:16" x14ac:dyDescent="0.25">
      <c r="C5" s="66">
        <v>30</v>
      </c>
      <c r="D5" s="66">
        <v>9</v>
      </c>
      <c r="J5" s="186" t="s">
        <v>70</v>
      </c>
      <c r="K5" s="187">
        <v>3.3136000000000001</v>
      </c>
      <c r="L5" s="187">
        <v>3.3256999999999999</v>
      </c>
      <c r="M5" s="165">
        <f t="shared" si="0"/>
        <v>3.3196500000000002</v>
      </c>
    </row>
    <row r="6" spans="1:16" x14ac:dyDescent="0.25">
      <c r="C6" s="66"/>
      <c r="F6" t="s">
        <v>115</v>
      </c>
      <c r="J6" s="186" t="s">
        <v>71</v>
      </c>
      <c r="K6" s="187">
        <v>4.2778999999999998</v>
      </c>
      <c r="L6" s="187">
        <v>4.2961</v>
      </c>
      <c r="M6" s="165">
        <f t="shared" si="0"/>
        <v>4.2869999999999999</v>
      </c>
    </row>
    <row r="7" spans="1:16" x14ac:dyDescent="0.25">
      <c r="C7" s="66"/>
      <c r="F7" t="s">
        <v>116</v>
      </c>
      <c r="J7" s="186" t="s">
        <v>72</v>
      </c>
      <c r="K7" s="187">
        <v>4.7865000000000002</v>
      </c>
      <c r="L7" s="187">
        <v>4.8048000000000002</v>
      </c>
      <c r="M7" s="165">
        <f t="shared" si="0"/>
        <v>4.7956500000000002</v>
      </c>
    </row>
    <row r="8" spans="1:16" x14ac:dyDescent="0.25">
      <c r="C8" s="66"/>
      <c r="F8" t="s">
        <v>117</v>
      </c>
      <c r="J8" s="186" t="s">
        <v>73</v>
      </c>
      <c r="K8" s="187">
        <v>5.3155000000000001</v>
      </c>
      <c r="L8" s="187">
        <v>5.3277000000000001</v>
      </c>
      <c r="M8" s="165">
        <f t="shared" si="0"/>
        <v>5.3216000000000001</v>
      </c>
    </row>
    <row r="9" spans="1:16" x14ac:dyDescent="0.25">
      <c r="C9" s="66"/>
      <c r="J9" s="186" t="s">
        <v>74</v>
      </c>
      <c r="K9" s="187">
        <v>5.8117000000000001</v>
      </c>
      <c r="L9" s="187">
        <v>5.8300999999999998</v>
      </c>
      <c r="M9" s="165">
        <f t="shared" si="0"/>
        <v>5.8209</v>
      </c>
    </row>
    <row r="10" spans="1:16" x14ac:dyDescent="0.25">
      <c r="C10" s="66"/>
      <c r="J10" s="186" t="s">
        <v>75</v>
      </c>
      <c r="K10" s="187">
        <v>5.8783000000000003</v>
      </c>
      <c r="L10" s="187">
        <v>5.8903999999999996</v>
      </c>
      <c r="M10" s="165">
        <f t="shared" si="0"/>
        <v>5.8843499999999995</v>
      </c>
    </row>
    <row r="11" spans="1:16" x14ac:dyDescent="0.25">
      <c r="C11" s="66"/>
      <c r="J11" s="186" t="s">
        <v>76</v>
      </c>
      <c r="K11" s="187">
        <v>6.3068</v>
      </c>
      <c r="L11" s="187">
        <v>6.3308999999999997</v>
      </c>
      <c r="M11" s="165">
        <f t="shared" si="0"/>
        <v>6.3188499999999994</v>
      </c>
    </row>
    <row r="12" spans="1:16" x14ac:dyDescent="0.25">
      <c r="C12" s="66"/>
      <c r="J12" s="186" t="s">
        <v>77</v>
      </c>
      <c r="K12" s="187">
        <v>7.8349000000000002</v>
      </c>
      <c r="L12" s="187">
        <v>7.8468999999999998</v>
      </c>
      <c r="M12" s="165">
        <f t="shared" si="0"/>
        <v>7.8408999999999995</v>
      </c>
    </row>
    <row r="13" spans="1:16" x14ac:dyDescent="0.25">
      <c r="C13" s="66"/>
      <c r="J13" s="186" t="s">
        <v>78</v>
      </c>
      <c r="K13" s="187">
        <v>10.373799999999999</v>
      </c>
      <c r="L13" s="187">
        <v>10.38</v>
      </c>
      <c r="M13" s="165">
        <f t="shared" si="0"/>
        <v>10.376899999999999</v>
      </c>
    </row>
    <row r="14" spans="1:16" x14ac:dyDescent="0.25">
      <c r="C14" s="66"/>
      <c r="J14" s="186" t="s">
        <v>79</v>
      </c>
      <c r="K14" s="187">
        <v>10.8954</v>
      </c>
      <c r="L14" s="187">
        <v>10.913500000000001</v>
      </c>
      <c r="M14" s="165">
        <f t="shared" si="0"/>
        <v>10.904450000000001</v>
      </c>
    </row>
    <row r="15" spans="1:16" x14ac:dyDescent="0.25">
      <c r="C15" s="66"/>
      <c r="J15" s="186"/>
      <c r="K15" s="187"/>
      <c r="L15" s="187"/>
    </row>
    <row r="16" spans="1:16" x14ac:dyDescent="0.25">
      <c r="C16" s="66"/>
      <c r="J16" s="186"/>
      <c r="K16" s="187"/>
      <c r="L16" s="187"/>
    </row>
    <row r="17" spans="3:13" x14ac:dyDescent="0.25">
      <c r="C17" s="156" t="s">
        <v>200</v>
      </c>
      <c r="J17" s="186"/>
      <c r="K17" s="187"/>
      <c r="L17" s="187"/>
    </row>
    <row r="18" spans="3:13" x14ac:dyDescent="0.25">
      <c r="C18" t="s">
        <v>810</v>
      </c>
      <c r="J18" s="186" t="s">
        <v>85</v>
      </c>
      <c r="K18" s="187"/>
      <c r="L18" s="187"/>
      <c r="M18" s="165" t="str">
        <f>"""C:\Program Files (x86)\AstroGrep\AstroGrep.exe"""</f>
        <v>"C:\Program Files (x86)\AstroGrep\AstroGrep.exe"</v>
      </c>
    </row>
    <row r="19" spans="3:13" x14ac:dyDescent="0.25">
      <c r="C19" t="s">
        <v>811</v>
      </c>
      <c r="J19" s="186" t="s">
        <v>86</v>
      </c>
      <c r="K19" s="187"/>
      <c r="L19" s="187"/>
      <c r="M19" s="165" t="s">
        <v>112</v>
      </c>
    </row>
    <row r="20" spans="3:13" x14ac:dyDescent="0.25">
      <c r="C20" t="s">
        <v>812</v>
      </c>
      <c r="J20" s="165" t="s">
        <v>87</v>
      </c>
      <c r="M20" s="165" t="s">
        <v>287</v>
      </c>
    </row>
    <row r="21" spans="3:13" x14ac:dyDescent="0.25">
      <c r="C21" t="s">
        <v>813</v>
      </c>
      <c r="J21" s="165" t="s">
        <v>90</v>
      </c>
      <c r="K21" s="165" t="s">
        <v>91</v>
      </c>
      <c r="M21" s="165" t="s">
        <v>182</v>
      </c>
    </row>
    <row r="22" spans="3:13" x14ac:dyDescent="0.25">
      <c r="C22" t="s">
        <v>426</v>
      </c>
      <c r="J22" s="165" t="s">
        <v>92</v>
      </c>
      <c r="K22" s="165" t="s">
        <v>93</v>
      </c>
      <c r="M22" s="165" t="s">
        <v>111</v>
      </c>
    </row>
    <row r="23" spans="3:13" x14ac:dyDescent="0.25">
      <c r="C23" t="s">
        <v>814</v>
      </c>
      <c r="J23" s="188" t="s">
        <v>95</v>
      </c>
      <c r="M23" s="165">
        <v>-7</v>
      </c>
    </row>
    <row r="24" spans="3:13" x14ac:dyDescent="0.25">
      <c r="C24" t="s">
        <v>815</v>
      </c>
      <c r="J24" s="165" t="s">
        <v>108</v>
      </c>
      <c r="M24" s="165" t="s">
        <v>110</v>
      </c>
    </row>
    <row r="25" spans="3:13" x14ac:dyDescent="0.25">
      <c r="C25" t="s">
        <v>816</v>
      </c>
      <c r="J25" s="165" t="s">
        <v>151</v>
      </c>
      <c r="M25" s="165" t="b">
        <v>1</v>
      </c>
    </row>
    <row r="26" spans="3:13" x14ac:dyDescent="0.25">
      <c r="C26" t="s">
        <v>817</v>
      </c>
      <c r="J26" s="165" t="s">
        <v>152</v>
      </c>
      <c r="M26" s="165" t="str">
        <f>"C:\Users\stu\Documents\GitHub\eaglep3-reporting\EC\"&amp;TEXT(A2,"yyyy-mm-dd")&amp;"-refined-times.txt"</f>
        <v>C:\Users\stu\Documents\GitHub\eaglep3-reporting\EC\2017-01-10-refined-times.txt</v>
      </c>
    </row>
    <row r="27" spans="3:13" x14ac:dyDescent="0.25">
      <c r="C27" t="s">
        <v>818</v>
      </c>
      <c r="J27" s="165" t="s">
        <v>187</v>
      </c>
      <c r="M27" s="165" t="str">
        <f>"C:\Users\stu\Documents\GitHub\eaglep3-reporting\EC\"&amp;TEXT(A2,"YYYY-MM-DD")&amp;"-Enforcements.txt"</f>
        <v>C:\Users\stu\Documents\GitHub\eaglep3-reporting\EC\2017-01-10-Enforcements.txt</v>
      </c>
    </row>
    <row r="28" spans="3:13" x14ac:dyDescent="0.25">
      <c r="C28" t="s">
        <v>425</v>
      </c>
      <c r="J28" s="165" t="s">
        <v>188</v>
      </c>
      <c r="M28" s="165" t="str">
        <f>"C:\Users\stu\Documents\GitHub\eaglep3-reporting\EC\"&amp;TEXT(A2,"YYYY-MM-DD")&amp;"-Runs-refined.txt"</f>
        <v>C:\Users\stu\Documents\GitHub\eaglep3-reporting\EC\2017-01-10-Runs-refined.txt</v>
      </c>
    </row>
    <row r="29" spans="3:13" x14ac:dyDescent="0.25">
      <c r="C29" t="s">
        <v>819</v>
      </c>
      <c r="J29" s="165" t="s">
        <v>189</v>
      </c>
      <c r="M29" s="165" t="str">
        <f>"C:\Users\stu\Documents\GitHub\eaglep3-reporting\EC\"&amp;TEXT(A2,"YYYY-MM-DD")&amp;"-Trips.txt"</f>
        <v>C:\Users\stu\Documents\GitHub\eaglep3-reporting\EC\2017-01-10-Trips.txt</v>
      </c>
    </row>
    <row r="30" spans="3:13" x14ac:dyDescent="0.25">
      <c r="C30" t="s">
        <v>820</v>
      </c>
      <c r="J30" s="165" t="s">
        <v>190</v>
      </c>
      <c r="M30" s="165" t="str">
        <f>"C:\Users\stu\Documents\GitHub\eaglep3-reporting\EC\"&amp;TEXT(A2,"YYYY-MM-DD")&amp;"-Weather.txt"</f>
        <v>C:\Users\stu\Documents\GitHub\eaglep3-reporting\EC\2017-01-10-Weather.txt</v>
      </c>
    </row>
    <row r="31" spans="3:13" x14ac:dyDescent="0.25">
      <c r="C31" t="s">
        <v>821</v>
      </c>
      <c r="J31" s="165" t="s">
        <v>285</v>
      </c>
      <c r="M31" s="165" t="s">
        <v>286</v>
      </c>
    </row>
    <row r="32" spans="3:13" x14ac:dyDescent="0.25">
      <c r="C32" t="s">
        <v>822</v>
      </c>
    </row>
    <row r="33" spans="3:3" x14ac:dyDescent="0.25">
      <c r="C33" t="s">
        <v>823</v>
      </c>
    </row>
    <row r="34" spans="3:3" x14ac:dyDescent="0.25">
      <c r="C34" t="s">
        <v>824</v>
      </c>
    </row>
    <row r="35" spans="3:3" x14ac:dyDescent="0.25">
      <c r="C35" t="s">
        <v>825</v>
      </c>
    </row>
    <row r="36" spans="3:3" x14ac:dyDescent="0.25">
      <c r="C36" t="s">
        <v>826</v>
      </c>
    </row>
    <row r="37" spans="3:3" x14ac:dyDescent="0.25">
      <c r="C37" t="s">
        <v>827</v>
      </c>
    </row>
    <row r="38" spans="3:3" x14ac:dyDescent="0.25">
      <c r="C38" t="s">
        <v>828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9" bestFit="1" customWidth="1"/>
    <col min="2" max="7" width="9.140625" style="109"/>
    <col min="8" max="8" width="17.7109375" style="109" bestFit="1" customWidth="1"/>
    <col min="9" max="9" width="9.140625" style="111"/>
    <col min="10" max="16384" width="9.140625" style="109"/>
  </cols>
  <sheetData>
    <row r="1" spans="1:11" x14ac:dyDescent="0.25">
      <c r="A1" s="108" t="s">
        <v>122</v>
      </c>
      <c r="B1" s="108" t="s">
        <v>123</v>
      </c>
      <c r="C1" s="109" t="s">
        <v>124</v>
      </c>
      <c r="H1" t="s">
        <v>118</v>
      </c>
      <c r="I1" s="110" t="s">
        <v>120</v>
      </c>
      <c r="J1"/>
    </row>
    <row r="2" spans="1:11" x14ac:dyDescent="0.25">
      <c r="A2" s="109" t="s">
        <v>125</v>
      </c>
      <c r="B2" s="109" t="s">
        <v>126</v>
      </c>
      <c r="C2" s="109" t="s">
        <v>127</v>
      </c>
      <c r="H2" t="s">
        <v>119</v>
      </c>
      <c r="I2" s="102" t="s">
        <v>121</v>
      </c>
      <c r="J2"/>
    </row>
    <row r="3" spans="1:11" x14ac:dyDescent="0.25">
      <c r="A3" s="109" t="s">
        <v>128</v>
      </c>
      <c r="B3" s="109" t="s">
        <v>129</v>
      </c>
      <c r="C3" s="109" t="s">
        <v>130</v>
      </c>
      <c r="H3" t="s">
        <v>144</v>
      </c>
      <c r="I3" s="102">
        <v>1</v>
      </c>
      <c r="J3"/>
      <c r="K3" s="65"/>
    </row>
    <row r="4" spans="1:11" x14ac:dyDescent="0.25">
      <c r="A4" s="109" t="s">
        <v>131</v>
      </c>
      <c r="C4" s="109" t="s">
        <v>132</v>
      </c>
      <c r="H4" t="s">
        <v>145</v>
      </c>
      <c r="I4" s="102">
        <v>2</v>
      </c>
      <c r="J4"/>
      <c r="K4" s="65"/>
    </row>
    <row r="5" spans="1:11" x14ac:dyDescent="0.25">
      <c r="A5" s="109" t="s">
        <v>133</v>
      </c>
      <c r="C5" s="109" t="s">
        <v>134</v>
      </c>
      <c r="H5" t="s">
        <v>146</v>
      </c>
      <c r="I5" s="102">
        <v>23</v>
      </c>
      <c r="J5"/>
      <c r="K5" s="65"/>
    </row>
    <row r="6" spans="1:11" x14ac:dyDescent="0.25">
      <c r="A6" s="109" t="s">
        <v>135</v>
      </c>
      <c r="C6" s="109" t="s">
        <v>136</v>
      </c>
      <c r="H6" s="112" t="s">
        <v>147</v>
      </c>
      <c r="I6" s="113" t="s">
        <v>126</v>
      </c>
    </row>
    <row r="7" spans="1:11" x14ac:dyDescent="0.25">
      <c r="A7" s="109" t="s">
        <v>137</v>
      </c>
      <c r="C7" s="109" t="s">
        <v>138</v>
      </c>
    </row>
    <row r="8" spans="1:11" x14ac:dyDescent="0.25">
      <c r="C8" s="109" t="s">
        <v>139</v>
      </c>
    </row>
    <row r="9" spans="1:11" x14ac:dyDescent="0.25">
      <c r="C9" s="112" t="s">
        <v>174</v>
      </c>
    </row>
    <row r="10" spans="1:11" x14ac:dyDescent="0.25">
      <c r="C10" s="109" t="s">
        <v>140</v>
      </c>
    </row>
    <row r="11" spans="1:11" x14ac:dyDescent="0.25">
      <c r="C11" s="109" t="s">
        <v>141</v>
      </c>
    </row>
    <row r="12" spans="1:11" x14ac:dyDescent="0.25">
      <c r="C12" s="109" t="s">
        <v>142</v>
      </c>
    </row>
    <row r="13" spans="1:11" x14ac:dyDescent="0.25">
      <c r="C13" s="109" t="s">
        <v>143</v>
      </c>
    </row>
    <row r="14" spans="1:11" x14ac:dyDescent="0.25">
      <c r="C14" s="112" t="s">
        <v>175</v>
      </c>
    </row>
    <row r="15" spans="1:11" x14ac:dyDescent="0.25">
      <c r="C15" s="112" t="s">
        <v>205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topLeftCell="A28" workbookViewId="0">
      <selection activeCell="C49" sqref="C49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833</v>
      </c>
      <c r="B1" t="str">
        <f t="shared" ref="B1:B30" si="0">MID(A1,6,23)</f>
        <v>2017/01/10 12:42:02.892</v>
      </c>
      <c r="C1" t="e">
        <f>ABS(B1-#REF!)</f>
        <v>#REF!</v>
      </c>
    </row>
    <row r="2" spans="1:3" x14ac:dyDescent="0.25">
      <c r="A2" t="s">
        <v>834</v>
      </c>
      <c r="B2" s="21" t="str">
        <f t="shared" si="0"/>
        <v>2017/01/10 12:42:03.025</v>
      </c>
      <c r="C2">
        <f>ABS(B2-B1)</f>
        <v>1.5393525245599449E-6</v>
      </c>
    </row>
    <row r="3" spans="1:3" x14ac:dyDescent="0.25">
      <c r="A3" t="s">
        <v>835</v>
      </c>
      <c r="B3" s="21" t="str">
        <f t="shared" si="0"/>
        <v>2017/01/10 12:42:03.746</v>
      </c>
      <c r="C3" s="21">
        <f t="shared" ref="C3:C30" si="1">ABS(B3-B2)</f>
        <v>8.3449049270711839E-6</v>
      </c>
    </row>
    <row r="4" spans="1:3" x14ac:dyDescent="0.25">
      <c r="A4" t="s">
        <v>836</v>
      </c>
      <c r="B4" s="21" t="str">
        <f t="shared" si="0"/>
        <v>2017/01/10 13:01:51.871</v>
      </c>
      <c r="C4" s="21">
        <f t="shared" si="1"/>
        <v>1.375144676421769E-2</v>
      </c>
    </row>
    <row r="5" spans="1:3" x14ac:dyDescent="0.25">
      <c r="A5" t="s">
        <v>837</v>
      </c>
      <c r="B5" s="21" t="str">
        <f t="shared" si="0"/>
        <v>2017/01/10 13:01:52.025</v>
      </c>
      <c r="C5" s="21">
        <f t="shared" si="1"/>
        <v>1.7824058886617422E-6</v>
      </c>
    </row>
    <row r="6" spans="1:3" x14ac:dyDescent="0.25">
      <c r="A6" t="s">
        <v>838</v>
      </c>
      <c r="B6" s="21" t="str">
        <f t="shared" si="0"/>
        <v>2017/01/10 13:22:57.748</v>
      </c>
      <c r="C6" s="21">
        <f t="shared" si="1"/>
        <v>1.4649571756308433E-2</v>
      </c>
    </row>
    <row r="7" spans="1:3" x14ac:dyDescent="0.25">
      <c r="A7" t="s">
        <v>839</v>
      </c>
      <c r="B7" s="21" t="str">
        <f t="shared" si="0"/>
        <v>2017/01/10 13:22:57.881</v>
      </c>
      <c r="C7" s="21">
        <f t="shared" si="1"/>
        <v>1.5393525245599449E-6</v>
      </c>
    </row>
    <row r="8" spans="1:3" x14ac:dyDescent="0.25">
      <c r="A8" t="s">
        <v>840</v>
      </c>
      <c r="B8" s="21" t="str">
        <f t="shared" si="0"/>
        <v>2017/01/10 13:22:58.000</v>
      </c>
      <c r="C8" s="21">
        <f t="shared" si="1"/>
        <v>1.37731694849208E-6</v>
      </c>
    </row>
    <row r="9" spans="1:3" x14ac:dyDescent="0.25">
      <c r="A9" t="s">
        <v>841</v>
      </c>
      <c r="B9" s="21" t="str">
        <f t="shared" si="0"/>
        <v>2017/01/10 14:25:55.803</v>
      </c>
      <c r="C9" s="21">
        <f t="shared" si="1"/>
        <v>4.372457176214084E-2</v>
      </c>
    </row>
    <row r="10" spans="1:3" x14ac:dyDescent="0.25">
      <c r="A10" t="s">
        <v>842</v>
      </c>
      <c r="B10" s="21" t="str">
        <f t="shared" si="0"/>
        <v>2017/01/10 14:25:56.997</v>
      </c>
      <c r="C10" s="21">
        <f t="shared" si="1"/>
        <v>1.3819444575347006E-5</v>
      </c>
    </row>
    <row r="11" spans="1:3" x14ac:dyDescent="0.25">
      <c r="A11" t="s">
        <v>843</v>
      </c>
      <c r="B11" s="21" t="str">
        <f t="shared" si="0"/>
        <v>2017/01/10 15:36:41.509</v>
      </c>
      <c r="C11" s="21">
        <f t="shared" si="1"/>
        <v>4.9126296289614402E-2</v>
      </c>
    </row>
    <row r="12" spans="1:3" x14ac:dyDescent="0.25">
      <c r="A12" t="s">
        <v>844</v>
      </c>
      <c r="B12" s="21" t="str">
        <f t="shared" si="0"/>
        <v>2017/01/10 15:36:43.105</v>
      </c>
      <c r="C12" s="21">
        <f t="shared" si="1"/>
        <v>1.8472223018761724E-5</v>
      </c>
    </row>
    <row r="13" spans="1:3" x14ac:dyDescent="0.25">
      <c r="A13" t="s">
        <v>845</v>
      </c>
      <c r="B13" s="21" t="str">
        <f t="shared" si="0"/>
        <v>2017/01/10 15:51:34.491</v>
      </c>
      <c r="C13" s="21">
        <f t="shared" si="1"/>
        <v>1.0316967593098525E-2</v>
      </c>
    </row>
    <row r="14" spans="1:3" x14ac:dyDescent="0.25">
      <c r="A14" t="s">
        <v>846</v>
      </c>
      <c r="B14" s="21" t="str">
        <f t="shared" si="0"/>
        <v>2017/01/10 15:51:35.077</v>
      </c>
      <c r="C14" s="21">
        <f t="shared" si="1"/>
        <v>6.7824075813405216E-6</v>
      </c>
    </row>
    <row r="15" spans="1:3" x14ac:dyDescent="0.25">
      <c r="A15" t="s">
        <v>847</v>
      </c>
      <c r="B15" s="21" t="str">
        <f t="shared" si="0"/>
        <v>2017/01/10 16:34:31.272</v>
      </c>
      <c r="C15" s="21">
        <f t="shared" si="1"/>
        <v>2.9817071757861413E-2</v>
      </c>
    </row>
    <row r="16" spans="1:3" x14ac:dyDescent="0.25">
      <c r="A16" t="s">
        <v>848</v>
      </c>
      <c r="B16" s="21" t="str">
        <f t="shared" si="0"/>
        <v>2017/01/10 16:34:31.282</v>
      </c>
      <c r="C16" s="21">
        <f t="shared" si="1"/>
        <v>1.1574593372642994E-7</v>
      </c>
    </row>
    <row r="17" spans="1:3" x14ac:dyDescent="0.25">
      <c r="A17" t="s">
        <v>849</v>
      </c>
      <c r="B17" s="21" t="str">
        <f t="shared" si="0"/>
        <v>2017/01/10 16:34:33.543</v>
      </c>
      <c r="C17" s="21">
        <f t="shared" si="1"/>
        <v>2.6168978365603834E-5</v>
      </c>
    </row>
    <row r="18" spans="1:3" x14ac:dyDescent="0.25">
      <c r="A18" t="s">
        <v>850</v>
      </c>
      <c r="B18" s="21" t="str">
        <f t="shared" si="0"/>
        <v>2017/01/10 19:19:23.663</v>
      </c>
      <c r="C18" s="21">
        <f t="shared" si="1"/>
        <v>0.11446898148278706</v>
      </c>
    </row>
    <row r="19" spans="1:3" x14ac:dyDescent="0.25">
      <c r="A19" t="s">
        <v>851</v>
      </c>
      <c r="B19" s="21" t="str">
        <f t="shared" si="0"/>
        <v>2017/01/10 19:19:24.351</v>
      </c>
      <c r="C19" s="21">
        <f t="shared" si="1"/>
        <v>7.9629608080722392E-6</v>
      </c>
    </row>
    <row r="20" spans="1:3" x14ac:dyDescent="0.25">
      <c r="A20" t="s">
        <v>852</v>
      </c>
      <c r="B20" s="21" t="str">
        <f t="shared" si="0"/>
        <v>2017/01/10 19:19:24.519</v>
      </c>
      <c r="C20" s="21">
        <f t="shared" si="1"/>
        <v>1.9444487406872213E-6</v>
      </c>
    </row>
    <row r="21" spans="1:3" x14ac:dyDescent="0.25">
      <c r="A21" t="s">
        <v>853</v>
      </c>
      <c r="B21" s="21" t="str">
        <f t="shared" si="0"/>
        <v>2017/01/10 20:37:43.970</v>
      </c>
      <c r="C21" s="21">
        <f t="shared" si="1"/>
        <v>5.4391793979448266E-2</v>
      </c>
    </row>
    <row r="22" spans="1:3" x14ac:dyDescent="0.25">
      <c r="A22" t="s">
        <v>854</v>
      </c>
      <c r="B22" s="21" t="str">
        <f t="shared" si="0"/>
        <v>2017/01/10 20:37:44.491</v>
      </c>
      <c r="C22" s="21">
        <f t="shared" si="1"/>
        <v>6.0300953919067979E-6</v>
      </c>
    </row>
    <row r="23" spans="1:3" x14ac:dyDescent="0.25">
      <c r="A23" t="s">
        <v>855</v>
      </c>
      <c r="B23" s="21" t="str">
        <f t="shared" si="0"/>
        <v>2017/01/10 22:25:56.018</v>
      </c>
      <c r="C23" s="21">
        <f t="shared" si="1"/>
        <v>7.5133414349693339E-2</v>
      </c>
    </row>
    <row r="24" spans="1:3" x14ac:dyDescent="0.25">
      <c r="A24" t="s">
        <v>856</v>
      </c>
      <c r="B24" s="21" t="str">
        <f t="shared" si="0"/>
        <v>2017/01/10 22:25:56.485</v>
      </c>
      <c r="C24" s="21">
        <f t="shared" si="1"/>
        <v>5.4050906328484416E-6</v>
      </c>
    </row>
    <row r="25" spans="1:3" x14ac:dyDescent="0.25">
      <c r="A25" t="s">
        <v>857</v>
      </c>
      <c r="B25" s="21" t="str">
        <f t="shared" si="0"/>
        <v>2017/01/10 22:31:19.461</v>
      </c>
      <c r="C25" s="21">
        <f t="shared" si="1"/>
        <v>3.7381481524789706E-3</v>
      </c>
    </row>
    <row r="26" spans="1:3" x14ac:dyDescent="0.25">
      <c r="A26" t="s">
        <v>858</v>
      </c>
      <c r="B26" s="21" t="str">
        <f t="shared" si="0"/>
        <v>2017/01/10 22:31:19.761</v>
      </c>
      <c r="C26" s="21">
        <f t="shared" si="1"/>
        <v>3.4722179407253861E-6</v>
      </c>
    </row>
    <row r="27" spans="1:3" x14ac:dyDescent="0.25">
      <c r="A27" t="s">
        <v>859</v>
      </c>
      <c r="B27" s="21" t="str">
        <f t="shared" si="0"/>
        <v>2017/01/10 22:31:20.440</v>
      </c>
      <c r="C27" s="21">
        <f t="shared" si="1"/>
        <v>7.8587981988675892E-6</v>
      </c>
    </row>
    <row r="28" spans="1:3" x14ac:dyDescent="0.25">
      <c r="A28" t="s">
        <v>860</v>
      </c>
      <c r="B28" s="21" t="str">
        <f t="shared" si="0"/>
        <v>2017/01/10 22:35:23.684</v>
      </c>
      <c r="C28" s="21">
        <f t="shared" si="1"/>
        <v>2.8153240709798411E-3</v>
      </c>
    </row>
    <row r="29" spans="1:3" x14ac:dyDescent="0.25">
      <c r="A29" t="s">
        <v>861</v>
      </c>
      <c r="B29" s="21" t="str">
        <f t="shared" si="0"/>
        <v>2017/01/10 22:35:23.941</v>
      </c>
      <c r="C29" s="21">
        <f t="shared" si="1"/>
        <v>2.9745424399152398E-6</v>
      </c>
    </row>
    <row r="30" spans="1:3" x14ac:dyDescent="0.25">
      <c r="A30" t="s">
        <v>862</v>
      </c>
      <c r="B30" s="21" t="str">
        <f t="shared" si="0"/>
        <v>2017/01/10 22:35:24.137</v>
      </c>
      <c r="C30" s="21">
        <f t="shared" si="1"/>
        <v>2.2685126168653369E-6</v>
      </c>
    </row>
    <row r="31" spans="1:3" x14ac:dyDescent="0.25">
      <c r="A31" t="s">
        <v>863</v>
      </c>
      <c r="B31" s="21" t="str">
        <f t="shared" ref="B31:B83" si="2">MID(A31,6,23)</f>
        <v>2017/01/10 22:41:32.473</v>
      </c>
      <c r="C31" s="21">
        <f t="shared" ref="C31:C83" si="3">ABS(B31-B30)</f>
        <v>4.2631481483113021E-3</v>
      </c>
    </row>
    <row r="32" spans="1:3" x14ac:dyDescent="0.25">
      <c r="A32" t="s">
        <v>864</v>
      </c>
      <c r="B32" s="21" t="str">
        <f t="shared" si="2"/>
        <v>2017/01/10 22:45:08.194</v>
      </c>
      <c r="C32" s="21">
        <f t="shared" si="3"/>
        <v>2.4967708377516828E-3</v>
      </c>
    </row>
    <row r="33" spans="1:3" x14ac:dyDescent="0.25">
      <c r="A33" t="s">
        <v>865</v>
      </c>
      <c r="B33" s="21" t="str">
        <f t="shared" si="2"/>
        <v>2017/01/10 22:45:08.221</v>
      </c>
      <c r="C33" s="21">
        <f t="shared" si="3"/>
        <v>3.1249510357156396E-7</v>
      </c>
    </row>
    <row r="34" spans="1:3" x14ac:dyDescent="0.25">
      <c r="A34" t="s">
        <v>866</v>
      </c>
      <c r="B34" s="21" t="str">
        <f t="shared" si="2"/>
        <v>2017/01/10 22:45:08.445</v>
      </c>
      <c r="C34" s="21">
        <f t="shared" si="3"/>
        <v>2.5925983209162951E-6</v>
      </c>
    </row>
    <row r="35" spans="1:3" x14ac:dyDescent="0.25">
      <c r="A35" t="s">
        <v>867</v>
      </c>
      <c r="B35" s="21" t="str">
        <f t="shared" si="2"/>
        <v>2017/01/10 23:08:05.992</v>
      </c>
      <c r="C35" s="21">
        <f t="shared" si="3"/>
        <v>1.5943831014737953E-2</v>
      </c>
    </row>
    <row r="36" spans="1:3" x14ac:dyDescent="0.25">
      <c r="A36" t="s">
        <v>868</v>
      </c>
      <c r="B36" s="21" t="str">
        <f t="shared" si="2"/>
        <v>2017/01/10 23:08:06.030</v>
      </c>
      <c r="C36" s="21">
        <f t="shared" si="3"/>
        <v>4.3981708586215973E-7</v>
      </c>
    </row>
    <row r="37" spans="1:3" x14ac:dyDescent="0.25">
      <c r="A37" t="s">
        <v>869</v>
      </c>
      <c r="B37" s="21" t="str">
        <f t="shared" si="2"/>
        <v>2017/01/10 23:08:06.400</v>
      </c>
      <c r="C37" s="21">
        <f t="shared" si="3"/>
        <v>4.2824030970223248E-6</v>
      </c>
    </row>
    <row r="38" spans="1:3" x14ac:dyDescent="0.25">
      <c r="A38" t="s">
        <v>870</v>
      </c>
      <c r="B38" s="21" t="str">
        <f t="shared" si="2"/>
        <v>2017/01/10 23:10:35.217</v>
      </c>
      <c r="C38" s="21">
        <f t="shared" si="3"/>
        <v>1.7224189869011752E-3</v>
      </c>
    </row>
    <row r="39" spans="1:3" x14ac:dyDescent="0.25">
      <c r="A39" t="s">
        <v>871</v>
      </c>
      <c r="B39" s="21" t="str">
        <f t="shared" si="2"/>
        <v>2017/01/10 23:10:35.347</v>
      </c>
      <c r="C39" s="21">
        <f t="shared" si="3"/>
        <v>1.5046243788674474E-6</v>
      </c>
    </row>
    <row r="40" spans="1:3" x14ac:dyDescent="0.25">
      <c r="A40" t="s">
        <v>872</v>
      </c>
      <c r="B40" s="21" t="str">
        <f t="shared" si="2"/>
        <v>2017/01/10 23:14:08.211</v>
      </c>
      <c r="C40" s="21">
        <f t="shared" si="3"/>
        <v>2.4637037058710121E-3</v>
      </c>
    </row>
    <row r="41" spans="1:3" x14ac:dyDescent="0.25">
      <c r="A41" t="s">
        <v>873</v>
      </c>
      <c r="B41" s="21" t="str">
        <f t="shared" si="2"/>
        <v>2017/01/10 23:14:08.348</v>
      </c>
      <c r="C41" s="21">
        <f t="shared" si="3"/>
        <v>1.585649442858994E-6</v>
      </c>
    </row>
    <row r="42" spans="1:3" x14ac:dyDescent="0.25">
      <c r="A42" t="s">
        <v>874</v>
      </c>
      <c r="B42" s="21" t="str">
        <f t="shared" si="2"/>
        <v>2017/01/10 23:17:36.333</v>
      </c>
      <c r="C42" s="21">
        <f t="shared" si="3"/>
        <v>2.4072337982943282E-3</v>
      </c>
    </row>
    <row r="43" spans="1:3" x14ac:dyDescent="0.25">
      <c r="A43" t="s">
        <v>875</v>
      </c>
      <c r="B43" s="21" t="str">
        <f t="shared" si="2"/>
        <v>2017/01/10 23:17:36.357</v>
      </c>
      <c r="C43" s="21">
        <f t="shared" si="3"/>
        <v>2.7777423383668065E-7</v>
      </c>
    </row>
    <row r="44" spans="1:3" x14ac:dyDescent="0.25">
      <c r="A44" t="s">
        <v>876</v>
      </c>
      <c r="B44" s="21" t="str">
        <f t="shared" si="2"/>
        <v>2017/01/10 23:17:36.518</v>
      </c>
      <c r="C44" s="21">
        <f t="shared" si="3"/>
        <v>1.8634236766956747E-6</v>
      </c>
    </row>
    <row r="45" spans="1:3" x14ac:dyDescent="0.25">
      <c r="A45" t="s">
        <v>877</v>
      </c>
      <c r="B45" s="21" t="str">
        <f t="shared" si="2"/>
        <v>2017/01/10 23:20:08.334</v>
      </c>
      <c r="C45" s="21">
        <f t="shared" si="3"/>
        <v>1.7571296339156106E-3</v>
      </c>
    </row>
    <row r="46" spans="1:3" x14ac:dyDescent="0.25">
      <c r="A46" t="s">
        <v>878</v>
      </c>
      <c r="B46" s="21" t="str">
        <f t="shared" si="2"/>
        <v>2017/01/10 23:20:08.351</v>
      </c>
      <c r="C46" s="21">
        <f t="shared" si="3"/>
        <v>1.967564458027482E-7</v>
      </c>
    </row>
    <row r="47" spans="1:3" x14ac:dyDescent="0.25">
      <c r="A47" t="s">
        <v>879</v>
      </c>
      <c r="B47" s="21" t="str">
        <f t="shared" si="2"/>
        <v>2017/01/10 23:20:08.512</v>
      </c>
      <c r="C47" s="21">
        <f t="shared" si="3"/>
        <v>1.8634309526532888E-6</v>
      </c>
    </row>
    <row r="48" spans="1:3" x14ac:dyDescent="0.25">
      <c r="A48" t="s">
        <v>880</v>
      </c>
      <c r="B48" s="21" t="str">
        <f t="shared" si="2"/>
        <v>2017/01/10 23:25:00.948</v>
      </c>
      <c r="C48" s="21">
        <f t="shared" si="3"/>
        <v>3.3846759251900949E-3</v>
      </c>
    </row>
    <row r="49" spans="1:3" x14ac:dyDescent="0.25">
      <c r="A49" t="s">
        <v>881</v>
      </c>
      <c r="B49" s="21" t="str">
        <f t="shared" si="2"/>
        <v>2017/01/10 23:25:01.146</v>
      </c>
      <c r="C49" s="21">
        <f t="shared" si="3"/>
        <v>2.2916647139936686E-6</v>
      </c>
    </row>
    <row r="50" spans="1:3" x14ac:dyDescent="0.25">
      <c r="A50" t="s">
        <v>882</v>
      </c>
      <c r="B50" s="21" t="str">
        <f t="shared" si="2"/>
        <v>2017/01/10 23:25:50.682</v>
      </c>
      <c r="C50" s="21">
        <f t="shared" si="3"/>
        <v>5.7333333097631112E-4</v>
      </c>
    </row>
    <row r="51" spans="1:3" x14ac:dyDescent="0.25">
      <c r="A51" t="s">
        <v>883</v>
      </c>
      <c r="B51" s="21" t="str">
        <f t="shared" si="2"/>
        <v>2017/01/10 23:25:50.945</v>
      </c>
      <c r="C51" s="21">
        <f t="shared" si="3"/>
        <v>3.0439841793850064E-6</v>
      </c>
    </row>
    <row r="52" spans="1:3" x14ac:dyDescent="0.25">
      <c r="A52" t="s">
        <v>884</v>
      </c>
      <c r="B52" s="21" t="str">
        <f t="shared" si="2"/>
        <v>2017/01/10 23:25:51.145</v>
      </c>
      <c r="C52" s="21">
        <f t="shared" si="3"/>
        <v>2.3148168111220002E-6</v>
      </c>
    </row>
    <row r="53" spans="1:3" x14ac:dyDescent="0.25">
      <c r="A53" t="s">
        <v>885</v>
      </c>
      <c r="B53" s="21" t="str">
        <f t="shared" si="2"/>
        <v>2017/01/10 23:26:27.332</v>
      </c>
      <c r="C53" s="21">
        <f t="shared" si="3"/>
        <v>4.1883101221174002E-4</v>
      </c>
    </row>
    <row r="54" spans="1:3" x14ac:dyDescent="0.25">
      <c r="A54" t="s">
        <v>886</v>
      </c>
      <c r="B54" s="21" t="str">
        <f t="shared" si="2"/>
        <v>2017/01/10 23:26:27.339</v>
      </c>
      <c r="C54" s="21">
        <f t="shared" si="3"/>
        <v>8.1025063991546631E-8</v>
      </c>
    </row>
    <row r="55" spans="1:3" x14ac:dyDescent="0.25">
      <c r="A55" t="s">
        <v>887</v>
      </c>
      <c r="B55" s="21" t="str">
        <f t="shared" si="2"/>
        <v>2017/01/10 23:26:27.503</v>
      </c>
      <c r="C55" s="21">
        <f t="shared" si="3"/>
        <v>1.898144546430558E-6</v>
      </c>
    </row>
    <row r="56" spans="1:3" x14ac:dyDescent="0.25">
      <c r="A56" t="s">
        <v>888</v>
      </c>
      <c r="B56" s="21" t="str">
        <f t="shared" si="2"/>
        <v>2017/01/10 23:32:17.975</v>
      </c>
      <c r="C56" s="21">
        <f t="shared" si="3"/>
        <v>4.0563888906035572E-3</v>
      </c>
    </row>
    <row r="57" spans="1:3" x14ac:dyDescent="0.25">
      <c r="A57" t="s">
        <v>889</v>
      </c>
      <c r="B57" s="21" t="str">
        <f t="shared" si="2"/>
        <v>2017/01/10 23:32:18.006</v>
      </c>
      <c r="C57" s="21">
        <f t="shared" si="3"/>
        <v>3.587920218706131E-7</v>
      </c>
    </row>
    <row r="58" spans="1:3" x14ac:dyDescent="0.25">
      <c r="A58" t="s">
        <v>890</v>
      </c>
      <c r="B58" s="21" t="str">
        <f t="shared" si="2"/>
        <v>2017/01/11 00:05:56.877</v>
      </c>
      <c r="C58" s="21">
        <f t="shared" si="3"/>
        <v>2.3366562505543698E-2</v>
      </c>
    </row>
    <row r="59" spans="1:3" x14ac:dyDescent="0.25">
      <c r="A59" t="s">
        <v>891</v>
      </c>
      <c r="B59" s="21" t="str">
        <f t="shared" si="2"/>
        <v>2017/01/11 00:05:57.021</v>
      </c>
      <c r="C59" s="21">
        <f t="shared" si="3"/>
        <v>1.6666672308929265E-6</v>
      </c>
    </row>
    <row r="60" spans="1:3" x14ac:dyDescent="0.25">
      <c r="A60" t="s">
        <v>892</v>
      </c>
      <c r="B60" s="21" t="str">
        <f t="shared" si="2"/>
        <v>2017/01/11 00:05:57.196</v>
      </c>
      <c r="C60" s="21">
        <f t="shared" si="3"/>
        <v>2.0254592527635396E-6</v>
      </c>
    </row>
    <row r="61" spans="1:3" x14ac:dyDescent="0.25">
      <c r="A61" t="s">
        <v>893</v>
      </c>
      <c r="B61" s="21" t="str">
        <f t="shared" si="2"/>
        <v>2017/01/11 00:06:29.023</v>
      </c>
      <c r="C61" s="21">
        <f t="shared" si="3"/>
        <v>3.6836805520579219E-4</v>
      </c>
    </row>
    <row r="62" spans="1:3" x14ac:dyDescent="0.25">
      <c r="A62" t="s">
        <v>894</v>
      </c>
      <c r="B62" s="21" t="str">
        <f t="shared" si="2"/>
        <v>2017/01/11 00:06:32.195</v>
      </c>
      <c r="C62" s="21">
        <f t="shared" si="3"/>
        <v>3.6712961446028203E-5</v>
      </c>
    </row>
    <row r="63" spans="1:3" x14ac:dyDescent="0.25">
      <c r="A63" t="s">
        <v>895</v>
      </c>
      <c r="B63" s="21" t="str">
        <f t="shared" si="2"/>
        <v>2017/01/11 00:06:32.867</v>
      </c>
      <c r="C63" s="21">
        <f t="shared" si="3"/>
        <v>7.7777804108336568E-6</v>
      </c>
    </row>
    <row r="64" spans="1:3" x14ac:dyDescent="0.25">
      <c r="A64" t="s">
        <v>896</v>
      </c>
      <c r="B64" s="21" t="str">
        <f t="shared" si="2"/>
        <v>2017/01/11 00:20:13.689</v>
      </c>
      <c r="C64" s="21">
        <f t="shared" si="3"/>
        <v>9.5002546295290813E-3</v>
      </c>
    </row>
    <row r="65" spans="1:3" x14ac:dyDescent="0.25">
      <c r="A65" t="s">
        <v>897</v>
      </c>
      <c r="B65" s="21" t="str">
        <f t="shared" si="2"/>
        <v>2017/01/11 00:20:13.948</v>
      </c>
      <c r="C65" s="21">
        <f t="shared" si="3"/>
        <v>2.9976872610859573E-6</v>
      </c>
    </row>
    <row r="66" spans="1:3" x14ac:dyDescent="0.25">
      <c r="A66" t="s">
        <v>898</v>
      </c>
      <c r="B66" s="21" t="str">
        <f t="shared" si="2"/>
        <v>2017/01/11 00:20:13.960</v>
      </c>
      <c r="C66" s="21">
        <f t="shared" si="3"/>
        <v>1.3888347893953323E-7</v>
      </c>
    </row>
    <row r="67" spans="1:3" x14ac:dyDescent="0.25">
      <c r="A67" t="s">
        <v>899</v>
      </c>
      <c r="B67" s="21" t="str">
        <f t="shared" si="2"/>
        <v>2017/01/11 00:20:14.148</v>
      </c>
      <c r="C67" s="21">
        <f t="shared" si="3"/>
        <v>2.1759260562248528E-6</v>
      </c>
    </row>
    <row r="68" spans="1:3" x14ac:dyDescent="0.25">
      <c r="A68" t="s">
        <v>900</v>
      </c>
      <c r="B68" s="21" t="str">
        <f t="shared" si="2"/>
        <v>2017/01/11 00:20:14.162</v>
      </c>
      <c r="C68" s="21">
        <f t="shared" si="3"/>
        <v>1.6204285202547908E-7</v>
      </c>
    </row>
    <row r="69" spans="1:3" x14ac:dyDescent="0.25">
      <c r="A69" t="s">
        <v>901</v>
      </c>
      <c r="B69" s="21" t="str">
        <f t="shared" si="2"/>
        <v>2017/01/11 00:21:17.949</v>
      </c>
      <c r="C69" s="21">
        <f t="shared" si="3"/>
        <v>7.3827546293614432E-4</v>
      </c>
    </row>
    <row r="70" spans="1:3" x14ac:dyDescent="0.25">
      <c r="A70" t="s">
        <v>902</v>
      </c>
      <c r="B70" s="21" t="str">
        <f t="shared" si="2"/>
        <v>2017/01/11 00:21:18.145</v>
      </c>
      <c r="C70" s="21">
        <f t="shared" si="3"/>
        <v>2.2685126168653369E-6</v>
      </c>
    </row>
    <row r="71" spans="1:3" x14ac:dyDescent="0.25">
      <c r="A71" t="s">
        <v>903</v>
      </c>
      <c r="B71" s="21" t="str">
        <f t="shared" si="2"/>
        <v>2017/01/11 00:21:18.688</v>
      </c>
      <c r="C71" s="21">
        <f t="shared" si="3"/>
        <v>6.2847248045727611E-6</v>
      </c>
    </row>
    <row r="72" spans="1:3" x14ac:dyDescent="0.25">
      <c r="A72" t="s">
        <v>904</v>
      </c>
      <c r="B72" s="21" t="str">
        <f t="shared" si="2"/>
        <v>2017/01/11 00:26:27.940</v>
      </c>
      <c r="C72" s="21">
        <f t="shared" si="3"/>
        <v>3.5793055576505139E-3</v>
      </c>
    </row>
    <row r="73" spans="1:3" x14ac:dyDescent="0.25">
      <c r="A73" t="s">
        <v>905</v>
      </c>
      <c r="B73" s="21" t="str">
        <f t="shared" si="2"/>
        <v>2017/01/11 00:26:28.145</v>
      </c>
      <c r="C73" s="21">
        <f t="shared" si="3"/>
        <v>2.372682502027601E-6</v>
      </c>
    </row>
    <row r="74" spans="1:3" x14ac:dyDescent="0.25">
      <c r="A74" t="s">
        <v>906</v>
      </c>
      <c r="B74" s="21" t="str">
        <f t="shared" si="2"/>
        <v>2017/01/11 00:26:28.685</v>
      </c>
      <c r="C74" s="21">
        <f t="shared" si="3"/>
        <v>6.2500039348378778E-6</v>
      </c>
    </row>
    <row r="75" spans="1:3" x14ac:dyDescent="0.25">
      <c r="A75" t="s">
        <v>907</v>
      </c>
      <c r="B75" s="21" t="str">
        <f t="shared" si="2"/>
        <v>2017/01/11 01:16:46.948</v>
      </c>
      <c r="C75" s="21">
        <f t="shared" si="3"/>
        <v>3.4933599534269888E-2</v>
      </c>
    </row>
    <row r="76" spans="1:3" x14ac:dyDescent="0.25">
      <c r="A76" t="s">
        <v>908</v>
      </c>
      <c r="B76" s="21" t="str">
        <f t="shared" si="2"/>
        <v>2017/01/11 01:16:47.153</v>
      </c>
      <c r="C76" s="21">
        <f t="shared" si="3"/>
        <v>2.372682502027601E-6</v>
      </c>
    </row>
    <row r="77" spans="1:3" x14ac:dyDescent="0.25">
      <c r="A77" t="s">
        <v>909</v>
      </c>
      <c r="B77" s="21" t="str">
        <f t="shared" si="2"/>
        <v>2017/01/11 01:16:47.688</v>
      </c>
      <c r="C77" s="21">
        <f t="shared" si="3"/>
        <v>6.1921309679746628E-6</v>
      </c>
    </row>
    <row r="78" spans="1:3" x14ac:dyDescent="0.25">
      <c r="A78" t="s">
        <v>910</v>
      </c>
      <c r="B78" s="21" t="str">
        <f t="shared" si="2"/>
        <v>2017/01/11 01:21:32.975</v>
      </c>
      <c r="C78" s="21">
        <f t="shared" si="3"/>
        <v>3.3019328693626449E-3</v>
      </c>
    </row>
    <row r="79" spans="1:3" x14ac:dyDescent="0.25">
      <c r="A79" t="s">
        <v>911</v>
      </c>
      <c r="B79" s="21" t="str">
        <f t="shared" si="2"/>
        <v>2017/01/11 01:21:33.011</v>
      </c>
      <c r="C79" s="21">
        <f t="shared" si="3"/>
        <v>4.1667226469144225E-7</v>
      </c>
    </row>
    <row r="80" spans="1:3" x14ac:dyDescent="0.25">
      <c r="A80" t="s">
        <v>912</v>
      </c>
      <c r="B80" s="21" t="str">
        <f t="shared" si="2"/>
        <v>2017/01/11 01:21:33.389</v>
      </c>
      <c r="C80" s="21">
        <f t="shared" si="3"/>
        <v>4.3749969336204231E-6</v>
      </c>
    </row>
    <row r="81" spans="1:3" x14ac:dyDescent="0.25">
      <c r="A81" t="s">
        <v>913</v>
      </c>
      <c r="B81" s="21" t="str">
        <f t="shared" si="2"/>
        <v>2017/01/11 02:40:36.629</v>
      </c>
      <c r="C81" s="21">
        <f t="shared" si="3"/>
        <v>5.4898611109820195E-2</v>
      </c>
    </row>
    <row r="82" spans="1:3" x14ac:dyDescent="0.25">
      <c r="A82" t="s">
        <v>914</v>
      </c>
      <c r="B82" s="21" t="str">
        <f t="shared" si="2"/>
        <v>2017/01/11 04:35:47.262</v>
      </c>
      <c r="C82" s="21">
        <f t="shared" si="3"/>
        <v>7.998417824273929E-2</v>
      </c>
    </row>
    <row r="83" spans="1:3" x14ac:dyDescent="0.25">
      <c r="A83" t="s">
        <v>915</v>
      </c>
      <c r="B83" s="21" t="str">
        <f t="shared" si="2"/>
        <v>2017/01/11 04:35:47.282</v>
      </c>
      <c r="C83" s="21">
        <f t="shared" si="3"/>
        <v>2.3147731553763151E-7</v>
      </c>
    </row>
    <row r="84" spans="1:3" x14ac:dyDescent="0.25">
      <c r="A84" t="s">
        <v>916</v>
      </c>
      <c r="B84" s="21" t="str">
        <f t="shared" ref="B84:B89" si="4">MID(A84,6,23)</f>
        <v>2017/01/11 04:35:47.542</v>
      </c>
      <c r="C84" s="21">
        <f t="shared" ref="C84:C89" si="5">ABS(B84-B83)</f>
        <v>3.0092633096501231E-6</v>
      </c>
    </row>
    <row r="85" spans="1:3" x14ac:dyDescent="0.25">
      <c r="A85" t="s">
        <v>917</v>
      </c>
      <c r="B85" s="21" t="str">
        <f t="shared" si="4"/>
        <v>2017/01/11 04:54:42.499</v>
      </c>
      <c r="C85" s="21">
        <f t="shared" si="5"/>
        <v>1.3136076391674578E-2</v>
      </c>
    </row>
    <row r="86" spans="1:3" x14ac:dyDescent="0.25">
      <c r="A86" t="s">
        <v>918</v>
      </c>
      <c r="B86" s="21" t="str">
        <f t="shared" si="4"/>
        <v>2017/01/11 04:55:41.496</v>
      </c>
      <c r="C86" s="21">
        <f t="shared" si="5"/>
        <v>6.8283564178273082E-4</v>
      </c>
    </row>
    <row r="87" spans="1:3" x14ac:dyDescent="0.25">
      <c r="A87" t="s">
        <v>919</v>
      </c>
      <c r="B87" s="21" t="str">
        <f t="shared" si="4"/>
        <v>2017/01/11 06:22:56.159</v>
      </c>
      <c r="C87" s="21">
        <f t="shared" si="5"/>
        <v>6.0586377316212747E-2</v>
      </c>
    </row>
    <row r="88" spans="1:3" x14ac:dyDescent="0.25">
      <c r="A88" t="s">
        <v>920</v>
      </c>
      <c r="B88" s="21" t="str">
        <f t="shared" si="4"/>
        <v>2017/01/11 06:22:56.629</v>
      </c>
      <c r="C88" s="21">
        <f t="shared" si="5"/>
        <v>5.4398187785409391E-6</v>
      </c>
    </row>
    <row r="89" spans="1:3" x14ac:dyDescent="0.25">
      <c r="A89" t="s">
        <v>921</v>
      </c>
      <c r="B89" s="21" t="str">
        <f t="shared" si="4"/>
        <v>2017/01/11 06:22:56.669</v>
      </c>
      <c r="C89" s="21">
        <f t="shared" si="5"/>
        <v>4.6296190703287721E-7</v>
      </c>
    </row>
    <row r="90" spans="1:3" x14ac:dyDescent="0.25">
      <c r="B90" s="21"/>
      <c r="C90" s="21"/>
    </row>
    <row r="91" spans="1:3" x14ac:dyDescent="0.25">
      <c r="B91" s="21"/>
      <c r="C91" s="21"/>
    </row>
    <row r="92" spans="1:3" x14ac:dyDescent="0.25">
      <c r="B92" s="21"/>
      <c r="C92" s="21"/>
    </row>
    <row r="93" spans="1:3" x14ac:dyDescent="0.25">
      <c r="B93" s="21"/>
      <c r="C93" s="21"/>
    </row>
    <row r="94" spans="1:3" x14ac:dyDescent="0.25">
      <c r="B94" s="21"/>
      <c r="C94" s="21"/>
    </row>
    <row r="95" spans="1:3" x14ac:dyDescent="0.25">
      <c r="B95" s="21"/>
      <c r="C95" s="21"/>
    </row>
    <row r="96" spans="1:3" x14ac:dyDescent="0.25">
      <c r="B96" s="21"/>
      <c r="C96" s="21"/>
    </row>
    <row r="97" spans="2:3" x14ac:dyDescent="0.25">
      <c r="B97" s="21"/>
      <c r="C97" s="21"/>
    </row>
    <row r="98" spans="2:3" x14ac:dyDescent="0.25">
      <c r="B98" s="21"/>
      <c r="C98" s="21"/>
    </row>
    <row r="99" spans="2:3" x14ac:dyDescent="0.25">
      <c r="B99" s="21"/>
      <c r="C99" s="21"/>
    </row>
    <row r="100" spans="2:3" x14ac:dyDescent="0.25">
      <c r="B100" s="21"/>
      <c r="C100" s="21"/>
    </row>
    <row r="101" spans="2:3" x14ac:dyDescent="0.25">
      <c r="B101" s="21"/>
      <c r="C101" s="21"/>
    </row>
    <row r="102" spans="2:3" x14ac:dyDescent="0.25">
      <c r="B102" s="21"/>
      <c r="C102" s="21"/>
    </row>
    <row r="103" spans="2:3" x14ac:dyDescent="0.25">
      <c r="B103" s="21"/>
      <c r="C103" s="21"/>
    </row>
    <row r="104" spans="2:3" x14ac:dyDescent="0.25">
      <c r="B104" s="21"/>
      <c r="C104" s="21"/>
    </row>
    <row r="105" spans="2:3" x14ac:dyDescent="0.25">
      <c r="B105" s="21"/>
      <c r="C105" s="21"/>
    </row>
    <row r="106" spans="2:3" x14ac:dyDescent="0.25">
      <c r="B106" s="21"/>
      <c r="C106" s="21"/>
    </row>
    <row r="107" spans="2:3" x14ac:dyDescent="0.25">
      <c r="B107" s="21"/>
      <c r="C107" s="21"/>
    </row>
    <row r="108" spans="2:3" x14ac:dyDescent="0.25">
      <c r="B108" s="21"/>
      <c r="C108" s="21"/>
    </row>
    <row r="109" spans="2:3" x14ac:dyDescent="0.25">
      <c r="B109" s="21"/>
      <c r="C109" s="21"/>
    </row>
    <row r="110" spans="2:3" x14ac:dyDescent="0.25">
      <c r="B110" s="21"/>
      <c r="C110" s="21"/>
    </row>
    <row r="111" spans="2:3" x14ac:dyDescent="0.25">
      <c r="B111" s="21"/>
      <c r="C111" s="21"/>
    </row>
    <row r="112" spans="2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2017-01-11T16:45:00Z</dcterms:modified>
</cp:coreProperties>
</file>